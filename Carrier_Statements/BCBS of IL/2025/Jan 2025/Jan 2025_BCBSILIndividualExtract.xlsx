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2-19-25\"/>
    </mc:Choice>
  </mc:AlternateContent>
  <xr:revisionPtr revIDLastSave="0" documentId="13_ncr:1_{38E8D7FA-5D5E-4E61-944C-64692DA2ADD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</sheets>
  <calcPr calcId="181029"/>
</workbook>
</file>

<file path=xl/calcChain.xml><?xml version="1.0" encoding="utf-8"?>
<calcChain xmlns="http://schemas.openxmlformats.org/spreadsheetml/2006/main">
  <c r="E1" i="4" l="1"/>
  <c r="E2" i="4"/>
  <c r="E3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8" i="4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57" i="2"/>
  <c r="K25" i="4"/>
  <c r="I25" i="4"/>
  <c r="K24" i="4"/>
  <c r="I24" i="4"/>
  <c r="K29" i="4"/>
  <c r="I29" i="4"/>
  <c r="K28" i="4"/>
  <c r="I28" i="4"/>
  <c r="K31" i="4"/>
  <c r="I31" i="4"/>
  <c r="K13" i="4"/>
  <c r="I13" i="4"/>
  <c r="K23" i="4"/>
  <c r="I23" i="4"/>
  <c r="K22" i="4"/>
  <c r="I22" i="4"/>
  <c r="K21" i="4"/>
  <c r="I21" i="4"/>
  <c r="K27" i="4"/>
  <c r="I27" i="4"/>
  <c r="K20" i="4"/>
  <c r="I20" i="4"/>
  <c r="K19" i="4"/>
  <c r="I19" i="4"/>
  <c r="K18" i="4"/>
  <c r="I18" i="4"/>
  <c r="K12" i="4"/>
  <c r="I12" i="4"/>
  <c r="K17" i="4"/>
  <c r="I17" i="4"/>
  <c r="K16" i="4"/>
  <c r="I16" i="4"/>
  <c r="K15" i="4"/>
  <c r="I15" i="4"/>
  <c r="K14" i="4"/>
  <c r="I14" i="4"/>
  <c r="K26" i="4"/>
  <c r="I26" i="4"/>
  <c r="K11" i="4"/>
  <c r="I11" i="4"/>
  <c r="K10" i="4"/>
  <c r="I10" i="4"/>
  <c r="K9" i="4"/>
  <c r="I9" i="4"/>
  <c r="K8" i="4"/>
  <c r="I8" i="4"/>
  <c r="K30" i="4"/>
  <c r="I30" i="4"/>
  <c r="N4" i="4"/>
  <c r="I2" i="2"/>
  <c r="I672" i="2"/>
  <c r="I886" i="2"/>
  <c r="I4" i="2"/>
  <c r="I1220" i="2"/>
  <c r="I5" i="2"/>
  <c r="I6" i="2"/>
  <c r="I7" i="2"/>
  <c r="I887" i="2"/>
  <c r="I673" i="2"/>
  <c r="I674" i="2"/>
  <c r="I675" i="2"/>
  <c r="I676" i="2"/>
  <c r="I1586" i="2"/>
  <c r="I896" i="2"/>
  <c r="I8" i="2"/>
  <c r="I1222" i="2"/>
  <c r="I9" i="2"/>
  <c r="I677" i="2"/>
  <c r="I32" i="2"/>
  <c r="I59" i="2"/>
  <c r="I10" i="2"/>
  <c r="I11" i="2"/>
  <c r="I12" i="2"/>
  <c r="I913" i="2"/>
  <c r="I1232" i="2"/>
  <c r="I888" i="2"/>
  <c r="I49" i="2"/>
  <c r="I678" i="2"/>
  <c r="I685" i="2"/>
  <c r="I889" i="2"/>
  <c r="I13" i="2"/>
  <c r="I33" i="2"/>
  <c r="I679" i="2"/>
  <c r="I890" i="2"/>
  <c r="I680" i="2"/>
  <c r="I1223" i="2"/>
  <c r="I14" i="2"/>
  <c r="I897" i="2"/>
  <c r="I1233" i="2"/>
  <c r="I696" i="2"/>
  <c r="I697" i="2"/>
  <c r="I695" i="2"/>
  <c r="I1224" i="2"/>
  <c r="I681" i="2"/>
  <c r="I1241" i="2"/>
  <c r="I34" i="2"/>
  <c r="I15" i="2"/>
  <c r="I898" i="2"/>
  <c r="I16" i="2"/>
  <c r="I700" i="2"/>
  <c r="I701" i="2"/>
  <c r="I35" i="2"/>
  <c r="I686" i="2"/>
  <c r="I682" i="2"/>
  <c r="I899" i="2"/>
  <c r="I891" i="2"/>
  <c r="I900" i="2"/>
  <c r="I17" i="2"/>
  <c r="I18" i="2"/>
  <c r="I1242" i="2"/>
  <c r="I19" i="2"/>
  <c r="I1225" i="2"/>
  <c r="I60" i="2"/>
  <c r="I20" i="2"/>
  <c r="I21" i="2"/>
  <c r="I892" i="2"/>
  <c r="I50" i="2"/>
  <c r="I51" i="2"/>
  <c r="I22" i="2"/>
  <c r="I911" i="2"/>
  <c r="I23" i="2"/>
  <c r="I1226" i="2"/>
  <c r="I1227" i="2"/>
  <c r="I24" i="2"/>
  <c r="I52" i="2"/>
  <c r="I61" i="2"/>
  <c r="I25" i="2"/>
  <c r="I912" i="2"/>
  <c r="I893" i="2"/>
  <c r="I26" i="2"/>
  <c r="I27" i="2"/>
  <c r="I28" i="2"/>
  <c r="I29" i="2"/>
  <c r="I1228" i="2"/>
  <c r="I1229" i="2"/>
  <c r="I1234" i="2"/>
  <c r="I1230" i="2"/>
  <c r="I1231" i="2"/>
  <c r="I53" i="2"/>
  <c r="I894" i="2"/>
  <c r="I1243" i="2"/>
  <c r="I1239" i="2"/>
  <c r="I698" i="2"/>
  <c r="I901" i="2"/>
  <c r="I30" i="2"/>
  <c r="I895" i="2"/>
  <c r="I683" i="2"/>
  <c r="I917" i="2"/>
  <c r="I684" i="2"/>
  <c r="I902" i="2"/>
  <c r="I914" i="2"/>
  <c r="I903" i="2"/>
  <c r="I36" i="2"/>
  <c r="I915" i="2"/>
  <c r="I37" i="2"/>
  <c r="I904" i="2"/>
  <c r="I38" i="2"/>
  <c r="I1235" i="2"/>
  <c r="I39" i="2"/>
  <c r="I687" i="2"/>
  <c r="I905" i="2"/>
  <c r="I1236" i="2"/>
  <c r="I40" i="2"/>
  <c r="I1221" i="2"/>
  <c r="I906" i="2"/>
  <c r="I921" i="2"/>
  <c r="I688" i="2"/>
  <c r="I689" i="2"/>
  <c r="I907" i="2"/>
  <c r="I41" i="2"/>
  <c r="I42" i="2"/>
  <c r="I54" i="2"/>
  <c r="I908" i="2"/>
  <c r="I1240" i="2"/>
  <c r="I55" i="2"/>
  <c r="I1237" i="2"/>
  <c r="I43" i="2"/>
  <c r="I909" i="2"/>
  <c r="I44" i="2"/>
  <c r="I45" i="2"/>
  <c r="I918" i="2"/>
  <c r="I919" i="2"/>
  <c r="I690" i="2"/>
  <c r="I691" i="2"/>
  <c r="I910" i="2"/>
  <c r="I692" i="2"/>
  <c r="I56" i="2"/>
  <c r="I46" i="2"/>
  <c r="I57" i="2"/>
  <c r="I58" i="2"/>
  <c r="I699" i="2"/>
  <c r="I702" i="2"/>
  <c r="I920" i="2"/>
  <c r="I693" i="2"/>
  <c r="I694" i="2"/>
  <c r="I47" i="2"/>
  <c r="I916" i="2"/>
  <c r="I1238" i="2"/>
  <c r="I48" i="2"/>
  <c r="I703" i="2"/>
  <c r="I31" i="2"/>
  <c r="I1386" i="2"/>
  <c r="I1587" i="2"/>
  <c r="I1588" i="2"/>
  <c r="I1589" i="2"/>
  <c r="I1590" i="2"/>
  <c r="I1591" i="2"/>
  <c r="I63" i="2"/>
  <c r="I948" i="2"/>
  <c r="I956" i="2"/>
  <c r="I922" i="2"/>
  <c r="I957" i="2"/>
  <c r="I1255" i="2"/>
  <c r="I80" i="2"/>
  <c r="I97" i="2"/>
  <c r="I64" i="2"/>
  <c r="I87" i="2"/>
  <c r="I1244" i="2"/>
  <c r="I65" i="2"/>
  <c r="I923" i="2"/>
  <c r="I924" i="2"/>
  <c r="I925" i="2"/>
  <c r="I94" i="2"/>
  <c r="I91" i="2"/>
  <c r="I942" i="2"/>
  <c r="I955" i="2"/>
  <c r="I1358" i="2"/>
  <c r="I943" i="2"/>
  <c r="I926" i="2"/>
  <c r="I66" i="2"/>
  <c r="I67" i="2"/>
  <c r="I935" i="2"/>
  <c r="I81" i="2"/>
  <c r="I927" i="2"/>
  <c r="I944" i="2"/>
  <c r="I1254" i="2"/>
  <c r="I1257" i="2"/>
  <c r="I945" i="2"/>
  <c r="I1245" i="2"/>
  <c r="I1246" i="2"/>
  <c r="I1247" i="2"/>
  <c r="I1248" i="2"/>
  <c r="I68" i="2"/>
  <c r="I88" i="2"/>
  <c r="I1249" i="2"/>
  <c r="I92" i="2"/>
  <c r="I704" i="2"/>
  <c r="I69" i="2"/>
  <c r="I70" i="2"/>
  <c r="I71" i="2"/>
  <c r="I1357" i="2"/>
  <c r="I928" i="2"/>
  <c r="I946" i="2"/>
  <c r="I949" i="2"/>
  <c r="I1250" i="2"/>
  <c r="I1251" i="2"/>
  <c r="I62" i="2"/>
  <c r="I95" i="2"/>
  <c r="I72" i="2"/>
  <c r="I73" i="2"/>
  <c r="I929" i="2"/>
  <c r="I1252" i="2"/>
  <c r="I1253" i="2"/>
  <c r="I947" i="2"/>
  <c r="I74" i="2"/>
  <c r="I930" i="2"/>
  <c r="I931" i="2"/>
  <c r="I75" i="2"/>
  <c r="I1256" i="2"/>
  <c r="I76" i="2"/>
  <c r="I932" i="2"/>
  <c r="I77" i="2"/>
  <c r="I96" i="2"/>
  <c r="I89" i="2"/>
  <c r="I933" i="2"/>
  <c r="I90" i="2"/>
  <c r="I934" i="2"/>
  <c r="I78" i="2"/>
  <c r="I79" i="2"/>
  <c r="I950" i="2"/>
  <c r="I951" i="2"/>
  <c r="I98" i="2"/>
  <c r="I99" i="2"/>
  <c r="I952" i="2"/>
  <c r="I936" i="2"/>
  <c r="I93" i="2"/>
  <c r="I937" i="2"/>
  <c r="I938" i="2"/>
  <c r="I939" i="2"/>
  <c r="I82" i="2"/>
  <c r="I83" i="2"/>
  <c r="I953" i="2"/>
  <c r="I954" i="2"/>
  <c r="I705" i="2"/>
  <c r="I84" i="2"/>
  <c r="I85" i="2"/>
  <c r="I86" i="2"/>
  <c r="I940" i="2"/>
  <c r="I941" i="2"/>
  <c r="I1478" i="2"/>
  <c r="I1454" i="2"/>
  <c r="I1456" i="2"/>
  <c r="I1393" i="2"/>
  <c r="I1394" i="2"/>
  <c r="I1474" i="2"/>
  <c r="I1475" i="2"/>
  <c r="I1476" i="2"/>
  <c r="I1472" i="2"/>
  <c r="I1455" i="2"/>
  <c r="I1471" i="2"/>
  <c r="I1477" i="2"/>
  <c r="I1561" i="2"/>
  <c r="I1387" i="2"/>
  <c r="I1388" i="2"/>
  <c r="I1389" i="2"/>
  <c r="I1390" i="2"/>
  <c r="I1391" i="2"/>
  <c r="I1479" i="2"/>
  <c r="I1457" i="2"/>
  <c r="I1473" i="2"/>
  <c r="I1392" i="2"/>
  <c r="I1395" i="2"/>
  <c r="I100" i="2"/>
  <c r="I706" i="2"/>
  <c r="I707" i="2"/>
  <c r="I708" i="2"/>
  <c r="I101" i="2"/>
  <c r="I102" i="2"/>
  <c r="I112" i="2"/>
  <c r="I103" i="2"/>
  <c r="I104" i="2"/>
  <c r="I105" i="2"/>
  <c r="I106" i="2"/>
  <c r="I958" i="2"/>
  <c r="I709" i="2"/>
  <c r="I710" i="2"/>
  <c r="I107" i="2"/>
  <c r="I108" i="2"/>
  <c r="I959" i="2"/>
  <c r="I109" i="2"/>
  <c r="I110" i="2"/>
  <c r="I111" i="2"/>
  <c r="I116" i="2"/>
  <c r="I711" i="2"/>
  <c r="I113" i="2"/>
  <c r="I114" i="2"/>
  <c r="I115" i="2"/>
  <c r="I1258" i="2"/>
  <c r="I1359" i="2"/>
  <c r="I960" i="2"/>
  <c r="I117" i="2"/>
  <c r="I712" i="2"/>
  <c r="I1396" i="2"/>
  <c r="I118" i="2"/>
  <c r="I124" i="2"/>
  <c r="I964" i="2"/>
  <c r="I123" i="2"/>
  <c r="I961" i="2"/>
  <c r="I962" i="2"/>
  <c r="I119" i="2"/>
  <c r="I120" i="2"/>
  <c r="I121" i="2"/>
  <c r="I122" i="2"/>
  <c r="I963" i="2"/>
  <c r="I125" i="2"/>
  <c r="I126" i="2"/>
  <c r="I1592" i="2"/>
  <c r="I1593" i="2"/>
  <c r="I1259" i="2"/>
  <c r="I713" i="2"/>
  <c r="I127" i="2"/>
  <c r="I965" i="2"/>
  <c r="I128" i="2"/>
  <c r="I129" i="2"/>
  <c r="I967" i="2"/>
  <c r="I138" i="2"/>
  <c r="I130" i="2"/>
  <c r="I131" i="2"/>
  <c r="I1263" i="2"/>
  <c r="I1260" i="2"/>
  <c r="I132" i="2"/>
  <c r="I141" i="2"/>
  <c r="I133" i="2"/>
  <c r="I1261" i="2"/>
  <c r="I1262" i="2"/>
  <c r="I966" i="2"/>
  <c r="I134" i="2"/>
  <c r="I135" i="2"/>
  <c r="I971" i="2"/>
  <c r="I140" i="2"/>
  <c r="I136" i="2"/>
  <c r="I137" i="2"/>
  <c r="I968" i="2"/>
  <c r="I1264" i="2"/>
  <c r="I714" i="2"/>
  <c r="I139" i="2"/>
  <c r="I969" i="2"/>
  <c r="I970" i="2"/>
  <c r="I715" i="2"/>
  <c r="I1562" i="2"/>
  <c r="I1482" i="2"/>
  <c r="I1481" i="2"/>
  <c r="I1480" i="2"/>
  <c r="I1563" i="2"/>
  <c r="I1565" i="2"/>
  <c r="I1566" i="2"/>
  <c r="I1458" i="2"/>
  <c r="I1484" i="2"/>
  <c r="I1483" i="2"/>
  <c r="I1564" i="2"/>
  <c r="I1567" i="2"/>
  <c r="I169" i="2"/>
  <c r="I1363" i="2"/>
  <c r="I143" i="2"/>
  <c r="I144" i="2"/>
  <c r="I145" i="2"/>
  <c r="I146" i="2"/>
  <c r="I147" i="2"/>
  <c r="I1360" i="2"/>
  <c r="I148" i="2"/>
  <c r="I149" i="2"/>
  <c r="I162" i="2"/>
  <c r="I979" i="2"/>
  <c r="I716" i="2"/>
  <c r="I150" i="2"/>
  <c r="I980" i="2"/>
  <c r="I151" i="2"/>
  <c r="I1361" i="2"/>
  <c r="I972" i="2"/>
  <c r="I1362" i="2"/>
  <c r="I1265" i="2"/>
  <c r="I152" i="2"/>
  <c r="I153" i="2"/>
  <c r="I973" i="2"/>
  <c r="I1267" i="2"/>
  <c r="I163" i="2"/>
  <c r="I164" i="2"/>
  <c r="I977" i="2"/>
  <c r="I978" i="2"/>
  <c r="I717" i="2"/>
  <c r="I154" i="2"/>
  <c r="I142" i="2"/>
  <c r="I155" i="2"/>
  <c r="I156" i="2"/>
  <c r="I165" i="2"/>
  <c r="I975" i="2"/>
  <c r="I1266" i="2"/>
  <c r="I976" i="2"/>
  <c r="I157" i="2"/>
  <c r="I974" i="2"/>
  <c r="I158" i="2"/>
  <c r="I159" i="2"/>
  <c r="I160" i="2"/>
  <c r="I170" i="2"/>
  <c r="I166" i="2"/>
  <c r="I167" i="2"/>
  <c r="I161" i="2"/>
  <c r="I168" i="2"/>
  <c r="I718" i="2"/>
  <c r="I171" i="2"/>
  <c r="I172" i="2"/>
  <c r="I720" i="2"/>
  <c r="I202" i="2"/>
  <c r="I203" i="2"/>
  <c r="I721" i="2"/>
  <c r="I722" i="2"/>
  <c r="I995" i="2"/>
  <c r="I173" i="2"/>
  <c r="I174" i="2"/>
  <c r="I175" i="2"/>
  <c r="I982" i="2"/>
  <c r="I1365" i="2"/>
  <c r="I983" i="2"/>
  <c r="I176" i="2"/>
  <c r="I204" i="2"/>
  <c r="I996" i="2"/>
  <c r="I984" i="2"/>
  <c r="I205" i="2"/>
  <c r="I177" i="2"/>
  <c r="I178" i="2"/>
  <c r="I985" i="2"/>
  <c r="I986" i="2"/>
  <c r="I211" i="2"/>
  <c r="I987" i="2"/>
  <c r="I192" i="2"/>
  <c r="I1269" i="2"/>
  <c r="I179" i="2"/>
  <c r="I180" i="2"/>
  <c r="I988" i="2"/>
  <c r="I997" i="2"/>
  <c r="I181" i="2"/>
  <c r="I182" i="2"/>
  <c r="I206" i="2"/>
  <c r="I1270" i="2"/>
  <c r="I207" i="2"/>
  <c r="I183" i="2"/>
  <c r="I1272" i="2"/>
  <c r="I184" i="2"/>
  <c r="I193" i="2"/>
  <c r="I719" i="2"/>
  <c r="I1268" i="2"/>
  <c r="I185" i="2"/>
  <c r="I186" i="2"/>
  <c r="I187" i="2"/>
  <c r="I1271" i="2"/>
  <c r="I208" i="2"/>
  <c r="I188" i="2"/>
  <c r="I189" i="2"/>
  <c r="I190" i="2"/>
  <c r="I191" i="2"/>
  <c r="I194" i="2"/>
  <c r="I724" i="2"/>
  <c r="I1364" i="2"/>
  <c r="I212" i="2"/>
  <c r="I213" i="2"/>
  <c r="I195" i="2"/>
  <c r="I196" i="2"/>
  <c r="I209" i="2"/>
  <c r="I989" i="2"/>
  <c r="I990" i="2"/>
  <c r="I981" i="2"/>
  <c r="I197" i="2"/>
  <c r="I198" i="2"/>
  <c r="I991" i="2"/>
  <c r="I992" i="2"/>
  <c r="I998" i="2"/>
  <c r="I723" i="2"/>
  <c r="I214" i="2"/>
  <c r="I215" i="2"/>
  <c r="I993" i="2"/>
  <c r="I994" i="2"/>
  <c r="I199" i="2"/>
  <c r="I200" i="2"/>
  <c r="I201" i="2"/>
  <c r="I999" i="2"/>
  <c r="I210" i="2"/>
  <c r="I1488" i="2"/>
  <c r="I1486" i="2"/>
  <c r="I1487" i="2"/>
  <c r="I1489" i="2"/>
  <c r="I1485" i="2"/>
  <c r="I1000" i="2"/>
  <c r="I725" i="2"/>
  <c r="I1273" i="2"/>
  <c r="I726" i="2"/>
  <c r="I1274" i="2"/>
  <c r="I216" i="2"/>
  <c r="I217" i="2"/>
  <c r="I1275" i="2"/>
  <c r="I1001" i="2"/>
  <c r="I729" i="2"/>
  <c r="I218" i="2"/>
  <c r="I727" i="2"/>
  <c r="I728" i="2"/>
  <c r="I1459" i="2"/>
  <c r="I1460" i="2"/>
  <c r="I1461" i="2"/>
  <c r="I220" i="2"/>
  <c r="I1366" i="2"/>
  <c r="I219" i="2"/>
  <c r="I1276" i="2"/>
  <c r="I1277" i="2"/>
  <c r="I1022" i="2"/>
  <c r="I222" i="2"/>
  <c r="I1367" i="2"/>
  <c r="I233" i="2"/>
  <c r="I223" i="2"/>
  <c r="I1003" i="2"/>
  <c r="I1368" i="2"/>
  <c r="I1004" i="2"/>
  <c r="I224" i="2"/>
  <c r="I1005" i="2"/>
  <c r="I1006" i="2"/>
  <c r="I731" i="2"/>
  <c r="I1278" i="2"/>
  <c r="I234" i="2"/>
  <c r="I1007" i="2"/>
  <c r="I1017" i="2"/>
  <c r="I1283" i="2"/>
  <c r="I1014" i="2"/>
  <c r="I225" i="2"/>
  <c r="I1285" i="2"/>
  <c r="I242" i="2"/>
  <c r="I1369" i="2"/>
  <c r="I240" i="2"/>
  <c r="I241" i="2"/>
  <c r="I1008" i="2"/>
  <c r="I243" i="2"/>
  <c r="I1279" i="2"/>
  <c r="I226" i="2"/>
  <c r="I1280" i="2"/>
  <c r="I227" i="2"/>
  <c r="I1009" i="2"/>
  <c r="I1018" i="2"/>
  <c r="I221" i="2"/>
  <c r="I228" i="2"/>
  <c r="I229" i="2"/>
  <c r="I1010" i="2"/>
  <c r="I230" i="2"/>
  <c r="I1011" i="2"/>
  <c r="I730" i="2"/>
  <c r="I1012" i="2"/>
  <c r="I1013" i="2"/>
  <c r="I231" i="2"/>
  <c r="I232" i="2"/>
  <c r="I1281" i="2"/>
  <c r="I239" i="2"/>
  <c r="I1021" i="2"/>
  <c r="I1282" i="2"/>
  <c r="I235" i="2"/>
  <c r="I236" i="2"/>
  <c r="I1284" i="2"/>
  <c r="I1015" i="2"/>
  <c r="I237" i="2"/>
  <c r="I1016" i="2"/>
  <c r="I732" i="2"/>
  <c r="I238" i="2"/>
  <c r="I1019" i="2"/>
  <c r="I1020" i="2"/>
  <c r="I1002" i="2"/>
  <c r="I1398" i="2"/>
  <c r="I1397" i="2"/>
  <c r="I1399" i="2"/>
  <c r="I1400" i="2"/>
  <c r="I1401" i="2"/>
  <c r="I1402" i="2"/>
  <c r="I1594" i="2"/>
  <c r="I1595" i="2"/>
  <c r="I1596" i="2"/>
  <c r="I277" i="2"/>
  <c r="I244" i="2"/>
  <c r="I245" i="2"/>
  <c r="I1286" i="2"/>
  <c r="I1287" i="2"/>
  <c r="I278" i="2"/>
  <c r="I262" i="2"/>
  <c r="I263" i="2"/>
  <c r="I1295" i="2"/>
  <c r="I1296" i="2"/>
  <c r="I246" i="2"/>
  <c r="I1055" i="2"/>
  <c r="I1048" i="2"/>
  <c r="I1056" i="2"/>
  <c r="I273" i="2"/>
  <c r="I1049" i="2"/>
  <c r="I736" i="2"/>
  <c r="I737" i="2"/>
  <c r="I1027" i="2"/>
  <c r="I743" i="2"/>
  <c r="I744" i="2"/>
  <c r="I279" i="2"/>
  <c r="I1288" i="2"/>
  <c r="I274" i="2"/>
  <c r="I1302" i="2"/>
  <c r="I247" i="2"/>
  <c r="I1028" i="2"/>
  <c r="I1057" i="2"/>
  <c r="I248" i="2"/>
  <c r="I285" i="2"/>
  <c r="I1029" i="2"/>
  <c r="I1061" i="2"/>
  <c r="I1030" i="2"/>
  <c r="I264" i="2"/>
  <c r="I1062" i="2"/>
  <c r="I1031" i="2"/>
  <c r="I1023" i="2"/>
  <c r="I1024" i="2"/>
  <c r="I1370" i="2"/>
  <c r="I249" i="2"/>
  <c r="I1032" i="2"/>
  <c r="I265" i="2"/>
  <c r="I1033" i="2"/>
  <c r="I1034" i="2"/>
  <c r="I1035" i="2"/>
  <c r="I280" i="2"/>
  <c r="I250" i="2"/>
  <c r="I251" i="2"/>
  <c r="I276" i="2"/>
  <c r="I1025" i="2"/>
  <c r="I1036" i="2"/>
  <c r="I1050" i="2"/>
  <c r="I1289" i="2"/>
  <c r="I1371" i="2"/>
  <c r="I252" i="2"/>
  <c r="I253" i="2"/>
  <c r="I1051" i="2"/>
  <c r="I1037" i="2"/>
  <c r="I1300" i="2"/>
  <c r="I1058" i="2"/>
  <c r="I1052" i="2"/>
  <c r="I1290" i="2"/>
  <c r="I1038" i="2"/>
  <c r="I254" i="2"/>
  <c r="I1039" i="2"/>
  <c r="I281" i="2"/>
  <c r="I1040" i="2"/>
  <c r="I1291" i="2"/>
  <c r="I255" i="2"/>
  <c r="I1292" i="2"/>
  <c r="I1293" i="2"/>
  <c r="I283" i="2"/>
  <c r="I1301" i="2"/>
  <c r="I1041" i="2"/>
  <c r="I733" i="2"/>
  <c r="I256" i="2"/>
  <c r="I266" i="2"/>
  <c r="I1042" i="2"/>
  <c r="I1043" i="2"/>
  <c r="I1044" i="2"/>
  <c r="I1045" i="2"/>
  <c r="I1059" i="2"/>
  <c r="I1060" i="2"/>
  <c r="I734" i="2"/>
  <c r="I257" i="2"/>
  <c r="I1046" i="2"/>
  <c r="I1294" i="2"/>
  <c r="I1047" i="2"/>
  <c r="I282" i="2"/>
  <c r="I735" i="2"/>
  <c r="I1026" i="2"/>
  <c r="I258" i="2"/>
  <c r="I259" i="2"/>
  <c r="I275" i="2"/>
  <c r="I260" i="2"/>
  <c r="I261" i="2"/>
  <c r="I1053" i="2"/>
  <c r="I267" i="2"/>
  <c r="I1297" i="2"/>
  <c r="I1298" i="2"/>
  <c r="I738" i="2"/>
  <c r="I739" i="2"/>
  <c r="I1054" i="2"/>
  <c r="I740" i="2"/>
  <c r="I1299" i="2"/>
  <c r="I268" i="2"/>
  <c r="I284" i="2"/>
  <c r="I269" i="2"/>
  <c r="I270" i="2"/>
  <c r="I271" i="2"/>
  <c r="I272" i="2"/>
  <c r="I745" i="2"/>
  <c r="I741" i="2"/>
  <c r="I742" i="2"/>
  <c r="I1463" i="2"/>
  <c r="I1408" i="2"/>
  <c r="I1406" i="2"/>
  <c r="I1405" i="2"/>
  <c r="I1490" i="2"/>
  <c r="I1491" i="2"/>
  <c r="I1407" i="2"/>
  <c r="I1404" i="2"/>
  <c r="I1492" i="2"/>
  <c r="I1493" i="2"/>
  <c r="I1494" i="2"/>
  <c r="I1462" i="2"/>
  <c r="I1568" i="2"/>
  <c r="I1403" i="2"/>
  <c r="I286" i="2"/>
  <c r="I746" i="2"/>
  <c r="I1409" i="2"/>
  <c r="I1304" i="2"/>
  <c r="I287" i="2"/>
  <c r="I1312" i="2"/>
  <c r="I288" i="2"/>
  <c r="I289" i="2"/>
  <c r="I1305" i="2"/>
  <c r="I321" i="2"/>
  <c r="I312" i="2"/>
  <c r="I290" i="2"/>
  <c r="I1072" i="2"/>
  <c r="I1078" i="2"/>
  <c r="I1063" i="2"/>
  <c r="I748" i="2"/>
  <c r="I291" i="2"/>
  <c r="I1303" i="2"/>
  <c r="I1064" i="2"/>
  <c r="I292" i="2"/>
  <c r="I1079" i="2"/>
  <c r="I313" i="2"/>
  <c r="I1085" i="2"/>
  <c r="I293" i="2"/>
  <c r="I1372" i="2"/>
  <c r="I314" i="2"/>
  <c r="I1065" i="2"/>
  <c r="I1306" i="2"/>
  <c r="I315" i="2"/>
  <c r="I747" i="2"/>
  <c r="I1313" i="2"/>
  <c r="I1066" i="2"/>
  <c r="I294" i="2"/>
  <c r="I295" i="2"/>
  <c r="I1067" i="2"/>
  <c r="I1083" i="2"/>
  <c r="I316" i="2"/>
  <c r="I317" i="2"/>
  <c r="I1307" i="2"/>
  <c r="I296" i="2"/>
  <c r="I749" i="2"/>
  <c r="I318" i="2"/>
  <c r="I1080" i="2"/>
  <c r="I1073" i="2"/>
  <c r="I297" i="2"/>
  <c r="I1068" i="2"/>
  <c r="I1069" i="2"/>
  <c r="I323" i="2"/>
  <c r="I319" i="2"/>
  <c r="I298" i="2"/>
  <c r="I1070" i="2"/>
  <c r="I299" i="2"/>
  <c r="I300" i="2"/>
  <c r="I301" i="2"/>
  <c r="I302" i="2"/>
  <c r="I320" i="2"/>
  <c r="I1308" i="2"/>
  <c r="I303" i="2"/>
  <c r="I304" i="2"/>
  <c r="I1071" i="2"/>
  <c r="I1081" i="2"/>
  <c r="I1309" i="2"/>
  <c r="I1310" i="2"/>
  <c r="I1074" i="2"/>
  <c r="I1311" i="2"/>
  <c r="I322" i="2"/>
  <c r="I1075" i="2"/>
  <c r="I1076" i="2"/>
  <c r="I305" i="2"/>
  <c r="I306" i="2"/>
  <c r="I307" i="2"/>
  <c r="I1077" i="2"/>
  <c r="I324" i="2"/>
  <c r="I308" i="2"/>
  <c r="I309" i="2"/>
  <c r="I750" i="2"/>
  <c r="I1082" i="2"/>
  <c r="I751" i="2"/>
  <c r="I310" i="2"/>
  <c r="I311" i="2"/>
  <c r="I1084" i="2"/>
  <c r="I1410" i="2"/>
  <c r="I1090" i="2"/>
  <c r="I325" i="2"/>
  <c r="I326" i="2"/>
  <c r="I327" i="2"/>
  <c r="I1086" i="2"/>
  <c r="I1087" i="2"/>
  <c r="I1088" i="2"/>
  <c r="I1089" i="2"/>
  <c r="I1411" i="2"/>
  <c r="I1381" i="2"/>
  <c r="I1597" i="2"/>
  <c r="I328" i="2"/>
  <c r="I1110" i="2"/>
  <c r="I1111" i="2"/>
  <c r="I343" i="2"/>
  <c r="I344" i="2"/>
  <c r="I1314" i="2"/>
  <c r="I1373" i="2"/>
  <c r="I1093" i="2"/>
  <c r="I345" i="2"/>
  <c r="I329" i="2"/>
  <c r="I1112" i="2"/>
  <c r="I330" i="2"/>
  <c r="I1094" i="2"/>
  <c r="I752" i="2"/>
  <c r="I1315" i="2"/>
  <c r="I1095" i="2"/>
  <c r="I758" i="2"/>
  <c r="I1096" i="2"/>
  <c r="I1319" i="2"/>
  <c r="I331" i="2"/>
  <c r="I1097" i="2"/>
  <c r="I753" i="2"/>
  <c r="I355" i="2"/>
  <c r="I358" i="2"/>
  <c r="I1316" i="2"/>
  <c r="I332" i="2"/>
  <c r="I1106" i="2"/>
  <c r="I333" i="2"/>
  <c r="I334" i="2"/>
  <c r="I1102" i="2"/>
  <c r="I1317" i="2"/>
  <c r="I1107" i="2"/>
  <c r="I1098" i="2"/>
  <c r="I1099" i="2"/>
  <c r="I335" i="2"/>
  <c r="I336" i="2"/>
  <c r="I1091" i="2"/>
  <c r="I1108" i="2"/>
  <c r="I356" i="2"/>
  <c r="I357" i="2"/>
  <c r="I337" i="2"/>
  <c r="I359" i="2"/>
  <c r="I338" i="2"/>
  <c r="I339" i="2"/>
  <c r="I340" i="2"/>
  <c r="I1100" i="2"/>
  <c r="I341" i="2"/>
  <c r="I1101" i="2"/>
  <c r="I757" i="2"/>
  <c r="I759" i="2"/>
  <c r="I342" i="2"/>
  <c r="I1092" i="2"/>
  <c r="I1103" i="2"/>
  <c r="I346" i="2"/>
  <c r="I1318" i="2"/>
  <c r="I1109" i="2"/>
  <c r="I347" i="2"/>
  <c r="I348" i="2"/>
  <c r="I349" i="2"/>
  <c r="I350" i="2"/>
  <c r="I760" i="2"/>
  <c r="I1104" i="2"/>
  <c r="I754" i="2"/>
  <c r="I351" i="2"/>
  <c r="I755" i="2"/>
  <c r="I1105" i="2"/>
  <c r="I352" i="2"/>
  <c r="I353" i="2"/>
  <c r="I354" i="2"/>
  <c r="I756" i="2"/>
  <c r="I761" i="2"/>
  <c r="I1498" i="2"/>
  <c r="I1495" i="2"/>
  <c r="I1496" i="2"/>
  <c r="I1497" i="2"/>
  <c r="I1412" i="2"/>
  <c r="I1598" i="2"/>
  <c r="I1600" i="2"/>
  <c r="I1599" i="2"/>
  <c r="I1113" i="2"/>
  <c r="I1114" i="2"/>
  <c r="I362" i="2"/>
  <c r="I363" i="2"/>
  <c r="I1320" i="2"/>
  <c r="I360" i="2"/>
  <c r="I361" i="2"/>
  <c r="I1116" i="2"/>
  <c r="I1115" i="2"/>
  <c r="I364" i="2"/>
  <c r="I365" i="2"/>
  <c r="I1499" i="2"/>
  <c r="I1413" i="2"/>
  <c r="I1382" i="2"/>
  <c r="I1383" i="2"/>
  <c r="I762" i="2"/>
  <c r="I366" i="2"/>
  <c r="I763" i="2"/>
  <c r="I764" i="2"/>
  <c r="I765" i="2"/>
  <c r="I1117" i="2"/>
  <c r="I367" i="2"/>
  <c r="I368" i="2"/>
  <c r="I1123" i="2"/>
  <c r="I1118" i="2"/>
  <c r="I1119" i="2"/>
  <c r="I372" i="2"/>
  <c r="I373" i="2"/>
  <c r="I377" i="2"/>
  <c r="I374" i="2"/>
  <c r="I766" i="2"/>
  <c r="I767" i="2"/>
  <c r="I369" i="2"/>
  <c r="I1120" i="2"/>
  <c r="I768" i="2"/>
  <c r="I375" i="2"/>
  <c r="I376" i="2"/>
  <c r="I1121" i="2"/>
  <c r="I769" i="2"/>
  <c r="I770" i="2"/>
  <c r="I1122" i="2"/>
  <c r="I370" i="2"/>
  <c r="I371" i="2"/>
  <c r="I378" i="2"/>
  <c r="I1502" i="2"/>
  <c r="I1415" i="2"/>
  <c r="I1414" i="2"/>
  <c r="I1501" i="2"/>
  <c r="I1464" i="2"/>
  <c r="I1569" i="2"/>
  <c r="I1500" i="2"/>
  <c r="I379" i="2"/>
  <c r="I380" i="2"/>
  <c r="I381" i="2"/>
  <c r="I382" i="2"/>
  <c r="I400" i="2"/>
  <c r="I383" i="2"/>
  <c r="I384" i="2"/>
  <c r="I385" i="2"/>
  <c r="I386" i="2"/>
  <c r="I387" i="2"/>
  <c r="I388" i="2"/>
  <c r="I389" i="2"/>
  <c r="I401" i="2"/>
  <c r="I390" i="2"/>
  <c r="I391" i="2"/>
  <c r="I392" i="2"/>
  <c r="I402" i="2"/>
  <c r="I393" i="2"/>
  <c r="I394" i="2"/>
  <c r="I395" i="2"/>
  <c r="I396" i="2"/>
  <c r="I397" i="2"/>
  <c r="I398" i="2"/>
  <c r="I399" i="2"/>
  <c r="I1503" i="2"/>
  <c r="I1504" i="2"/>
  <c r="I1419" i="2"/>
  <c r="I1416" i="2"/>
  <c r="I1418" i="2"/>
  <c r="I1428" i="2"/>
  <c r="I1426" i="2"/>
  <c r="I1431" i="2"/>
  <c r="I1432" i="2"/>
  <c r="I1505" i="2"/>
  <c r="I1420" i="2"/>
  <c r="I1421" i="2"/>
  <c r="I1422" i="2"/>
  <c r="I1423" i="2"/>
  <c r="I1424" i="2"/>
  <c r="I1425" i="2"/>
  <c r="I1430" i="2"/>
  <c r="I1466" i="2"/>
  <c r="I1465" i="2"/>
  <c r="I1429" i="2"/>
  <c r="I1467" i="2"/>
  <c r="I1468" i="2"/>
  <c r="I1417" i="2"/>
  <c r="I1427" i="2"/>
  <c r="I771" i="2"/>
  <c r="I774" i="2"/>
  <c r="I775" i="2"/>
  <c r="I1134" i="2"/>
  <c r="I776" i="2"/>
  <c r="I777" i="2"/>
  <c r="I778" i="2"/>
  <c r="I779" i="2"/>
  <c r="I1124" i="2"/>
  <c r="I780" i="2"/>
  <c r="I772" i="2"/>
  <c r="I815" i="2"/>
  <c r="I773" i="2"/>
  <c r="I816" i="2"/>
  <c r="I1125" i="2"/>
  <c r="I1126" i="2"/>
  <c r="I1127" i="2"/>
  <c r="I1128" i="2"/>
  <c r="I781" i="2"/>
  <c r="I782" i="2"/>
  <c r="I1129" i="2"/>
  <c r="I783" i="2"/>
  <c r="I817" i="2"/>
  <c r="I818" i="2"/>
  <c r="I784" i="2"/>
  <c r="I1130" i="2"/>
  <c r="I819" i="2"/>
  <c r="I820" i="2"/>
  <c r="I821" i="2"/>
  <c r="I822" i="2"/>
  <c r="I823" i="2"/>
  <c r="I785" i="2"/>
  <c r="I786" i="2"/>
  <c r="I787" i="2"/>
  <c r="I788" i="2"/>
  <c r="I789" i="2"/>
  <c r="I790" i="2"/>
  <c r="I1131" i="2"/>
  <c r="I1132" i="2"/>
  <c r="I824" i="2"/>
  <c r="I791" i="2"/>
  <c r="I792" i="2"/>
  <c r="I793" i="2"/>
  <c r="I825" i="2"/>
  <c r="I794" i="2"/>
  <c r="I795" i="2"/>
  <c r="I826" i="2"/>
  <c r="I796" i="2"/>
  <c r="I797" i="2"/>
  <c r="I798" i="2"/>
  <c r="I827" i="2"/>
  <c r="I799" i="2"/>
  <c r="I800" i="2"/>
  <c r="I828" i="2"/>
  <c r="I829" i="2"/>
  <c r="I801" i="2"/>
  <c r="I802" i="2"/>
  <c r="I803" i="2"/>
  <c r="I830" i="2"/>
  <c r="I831" i="2"/>
  <c r="I837" i="2"/>
  <c r="I832" i="2"/>
  <c r="I804" i="2"/>
  <c r="I805" i="2"/>
  <c r="I806" i="2"/>
  <c r="I1133" i="2"/>
  <c r="I833" i="2"/>
  <c r="I807" i="2"/>
  <c r="I834" i="2"/>
  <c r="I808" i="2"/>
  <c r="I809" i="2"/>
  <c r="I810" i="2"/>
  <c r="I811" i="2"/>
  <c r="I812" i="2"/>
  <c r="I835" i="2"/>
  <c r="I813" i="2"/>
  <c r="I814" i="2"/>
  <c r="I836" i="2"/>
  <c r="I1601" i="2"/>
  <c r="I1506" i="2"/>
  <c r="I838" i="2"/>
  <c r="I841" i="2"/>
  <c r="I839" i="2"/>
  <c r="I840" i="2"/>
  <c r="I1137" i="2"/>
  <c r="I1138" i="2"/>
  <c r="I477" i="2"/>
  <c r="I478" i="2"/>
  <c r="I479" i="2"/>
  <c r="I1139" i="2"/>
  <c r="I480" i="2"/>
  <c r="I1140" i="2"/>
  <c r="I404" i="2"/>
  <c r="I405" i="2"/>
  <c r="I481" i="2"/>
  <c r="I406" i="2"/>
  <c r="I482" i="2"/>
  <c r="I483" i="2"/>
  <c r="I575" i="2"/>
  <c r="I407" i="2"/>
  <c r="I583" i="2"/>
  <c r="I584" i="2"/>
  <c r="I408" i="2"/>
  <c r="I542" i="2"/>
  <c r="I409" i="2"/>
  <c r="I484" i="2"/>
  <c r="I410" i="2"/>
  <c r="I411" i="2"/>
  <c r="I562" i="2"/>
  <c r="I569" i="2"/>
  <c r="I552" i="2"/>
  <c r="I576" i="2"/>
  <c r="I577" i="2"/>
  <c r="I412" i="2"/>
  <c r="I543" i="2"/>
  <c r="I485" i="2"/>
  <c r="I486" i="2"/>
  <c r="I487" i="2"/>
  <c r="I1143" i="2"/>
  <c r="I1321" i="2"/>
  <c r="I413" i="2"/>
  <c r="I488" i="2"/>
  <c r="I414" i="2"/>
  <c r="I1141" i="2"/>
  <c r="I415" i="2"/>
  <c r="I416" i="2"/>
  <c r="I417" i="2"/>
  <c r="I489" i="2"/>
  <c r="I490" i="2"/>
  <c r="I570" i="2"/>
  <c r="I491" i="2"/>
  <c r="I492" i="2"/>
  <c r="I418" i="2"/>
  <c r="I1374" i="2"/>
  <c r="I419" i="2"/>
  <c r="I420" i="2"/>
  <c r="I493" i="2"/>
  <c r="I494" i="2"/>
  <c r="I421" i="2"/>
  <c r="I563" i="2"/>
  <c r="I495" i="2"/>
  <c r="I496" i="2"/>
  <c r="I671" i="2"/>
  <c r="I422" i="2"/>
  <c r="I497" i="2"/>
  <c r="I578" i="2"/>
  <c r="I423" i="2"/>
  <c r="I424" i="2"/>
  <c r="I425" i="2"/>
  <c r="I426" i="2"/>
  <c r="I427" i="2"/>
  <c r="I428" i="2"/>
  <c r="I429" i="2"/>
  <c r="I430" i="2"/>
  <c r="I431" i="2"/>
  <c r="I432" i="2"/>
  <c r="I433" i="2"/>
  <c r="I571" i="2"/>
  <c r="I564" i="2"/>
  <c r="I434" i="2"/>
  <c r="I544" i="2"/>
  <c r="I435" i="2"/>
  <c r="I498" i="2"/>
  <c r="I499" i="2"/>
  <c r="I553" i="2"/>
  <c r="I436" i="2"/>
  <c r="I437" i="2"/>
  <c r="I1135" i="2"/>
  <c r="I579" i="2"/>
  <c r="I500" i="2"/>
  <c r="I438" i="2"/>
  <c r="I545" i="2"/>
  <c r="I439" i="2"/>
  <c r="I440" i="2"/>
  <c r="I441" i="2"/>
  <c r="I546" i="2"/>
  <c r="I442" i="2"/>
  <c r="I443" i="2"/>
  <c r="I547" i="2"/>
  <c r="I444" i="2"/>
  <c r="I548" i="2"/>
  <c r="I445" i="2"/>
  <c r="I446" i="2"/>
  <c r="I549" i="2"/>
  <c r="I447" i="2"/>
  <c r="I448" i="2"/>
  <c r="I449" i="2"/>
  <c r="I450" i="2"/>
  <c r="I451" i="2"/>
  <c r="I452" i="2"/>
  <c r="I453" i="2"/>
  <c r="I454" i="2"/>
  <c r="I1136" i="2"/>
  <c r="I455" i="2"/>
  <c r="I565" i="2"/>
  <c r="I550" i="2"/>
  <c r="I456" i="2"/>
  <c r="I457" i="2"/>
  <c r="I458" i="2"/>
  <c r="I566" i="2"/>
  <c r="I459" i="2"/>
  <c r="I460" i="2"/>
  <c r="I461" i="2"/>
  <c r="I462" i="2"/>
  <c r="I403" i="2"/>
  <c r="I463" i="2"/>
  <c r="I551" i="2"/>
  <c r="I464" i="2"/>
  <c r="I465" i="2"/>
  <c r="I466" i="2"/>
  <c r="I467" i="2"/>
  <c r="I468" i="2"/>
  <c r="I469" i="2"/>
  <c r="I580" i="2"/>
  <c r="I470" i="2"/>
  <c r="I471" i="2"/>
  <c r="I581" i="2"/>
  <c r="I582" i="2"/>
  <c r="I472" i="2"/>
  <c r="I473" i="2"/>
  <c r="I474" i="2"/>
  <c r="I475" i="2"/>
  <c r="I567" i="2"/>
  <c r="I476" i="2"/>
  <c r="I568" i="2"/>
  <c r="I501" i="2"/>
  <c r="I502" i="2"/>
  <c r="I554" i="2"/>
  <c r="I555" i="2"/>
  <c r="I585" i="2"/>
  <c r="I503" i="2"/>
  <c r="I504" i="2"/>
  <c r="I556" i="2"/>
  <c r="I505" i="2"/>
  <c r="I506" i="2"/>
  <c r="I507" i="2"/>
  <c r="I508" i="2"/>
  <c r="I509" i="2"/>
  <c r="I510" i="2"/>
  <c r="I511" i="2"/>
  <c r="I512" i="2"/>
  <c r="I513" i="2"/>
  <c r="I514" i="2"/>
  <c r="I572" i="2"/>
  <c r="I1142" i="2"/>
  <c r="I515" i="2"/>
  <c r="I516" i="2"/>
  <c r="I842" i="2"/>
  <c r="I843" i="2"/>
  <c r="I517" i="2"/>
  <c r="I518" i="2"/>
  <c r="I519" i="2"/>
  <c r="I520" i="2"/>
  <c r="I521" i="2"/>
  <c r="I557" i="2"/>
  <c r="I522" i="2"/>
  <c r="I1144" i="2"/>
  <c r="I523" i="2"/>
  <c r="I524" i="2"/>
  <c r="I525" i="2"/>
  <c r="I526" i="2"/>
  <c r="I527" i="2"/>
  <c r="I558" i="2"/>
  <c r="I528" i="2"/>
  <c r="I529" i="2"/>
  <c r="I559" i="2"/>
  <c r="I530" i="2"/>
  <c r="I531" i="2"/>
  <c r="I532" i="2"/>
  <c r="I533" i="2"/>
  <c r="I587" i="2"/>
  <c r="I573" i="2"/>
  <c r="I574" i="2"/>
  <c r="I534" i="2"/>
  <c r="I560" i="2"/>
  <c r="I535" i="2"/>
  <c r="I536" i="2"/>
  <c r="I537" i="2"/>
  <c r="I538" i="2"/>
  <c r="I539" i="2"/>
  <c r="I540" i="2"/>
  <c r="I541" i="2"/>
  <c r="I561" i="2"/>
  <c r="I586" i="2"/>
  <c r="I1536" i="2"/>
  <c r="I1547" i="2"/>
  <c r="I1548" i="2"/>
  <c r="I1549" i="2"/>
  <c r="I1515" i="2"/>
  <c r="I1570" i="2"/>
  <c r="I1433" i="2"/>
  <c r="I1529" i="2"/>
  <c r="I1530" i="2"/>
  <c r="I1531" i="2"/>
  <c r="I1516" i="2"/>
  <c r="I1517" i="2"/>
  <c r="I1537" i="2"/>
  <c r="I1541" i="2"/>
  <c r="I1546" i="2"/>
  <c r="I1518" i="2"/>
  <c r="I1510" i="2"/>
  <c r="I1511" i="2"/>
  <c r="I1519" i="2"/>
  <c r="I1437" i="2"/>
  <c r="I1545" i="2"/>
  <c r="I1436" i="2"/>
  <c r="I1544" i="2"/>
  <c r="I1539" i="2"/>
  <c r="I1540" i="2"/>
  <c r="I1520" i="2"/>
  <c r="I1512" i="2"/>
  <c r="I1434" i="2"/>
  <c r="I1521" i="2"/>
  <c r="I1522" i="2"/>
  <c r="I1508" i="2"/>
  <c r="I1523" i="2"/>
  <c r="I1524" i="2"/>
  <c r="I1525" i="2"/>
  <c r="I1526" i="2"/>
  <c r="I1435" i="2"/>
  <c r="I1469" i="2"/>
  <c r="I1470" i="2"/>
  <c r="I1532" i="2"/>
  <c r="I1527" i="2"/>
  <c r="I1528" i="2"/>
  <c r="I1542" i="2"/>
  <c r="I1533" i="2"/>
  <c r="I1538" i="2"/>
  <c r="I1553" i="2"/>
  <c r="I1543" i="2"/>
  <c r="I1550" i="2"/>
  <c r="I1551" i="2"/>
  <c r="I1552" i="2"/>
  <c r="I1507" i="2"/>
  <c r="I1534" i="2"/>
  <c r="I1535" i="2"/>
  <c r="I1513" i="2"/>
  <c r="I1509" i="2"/>
  <c r="I1514" i="2"/>
  <c r="I1145" i="2"/>
  <c r="I1146" i="2"/>
  <c r="I1147" i="2"/>
  <c r="I1602" i="2"/>
  <c r="I588" i="2"/>
  <c r="I1571" i="2"/>
  <c r="I1438" i="2"/>
  <c r="I1439" i="2"/>
  <c r="I1375" i="2"/>
  <c r="I844" i="2"/>
  <c r="I1322" i="2"/>
  <c r="I1323" i="2"/>
  <c r="I1327" i="2"/>
  <c r="I1328" i="2"/>
  <c r="I849" i="2"/>
  <c r="I1148" i="2"/>
  <c r="I1149" i="2"/>
  <c r="I845" i="2"/>
  <c r="I1329" i="2"/>
  <c r="I589" i="2"/>
  <c r="I1324" i="2"/>
  <c r="I1325" i="2"/>
  <c r="I591" i="2"/>
  <c r="I1326" i="2"/>
  <c r="I592" i="2"/>
  <c r="I590" i="2"/>
  <c r="I602" i="2"/>
  <c r="I593" i="2"/>
  <c r="I1333" i="2"/>
  <c r="I1332" i="2"/>
  <c r="I1152" i="2"/>
  <c r="I595" i="2"/>
  <c r="I1330" i="2"/>
  <c r="I1150" i="2"/>
  <c r="I846" i="2"/>
  <c r="I1151" i="2"/>
  <c r="I594" i="2"/>
  <c r="I596" i="2"/>
  <c r="I597" i="2"/>
  <c r="I598" i="2"/>
  <c r="I1153" i="2"/>
  <c r="I847" i="2"/>
  <c r="I599" i="2"/>
  <c r="I600" i="2"/>
  <c r="I601" i="2"/>
  <c r="I1331" i="2"/>
  <c r="I848" i="2"/>
  <c r="I1154" i="2"/>
  <c r="I1554" i="2"/>
  <c r="I1603" i="2"/>
  <c r="I856" i="2"/>
  <c r="I603" i="2"/>
  <c r="I1156" i="2"/>
  <c r="I1166" i="2"/>
  <c r="I850" i="2"/>
  <c r="I604" i="2"/>
  <c r="I615" i="2"/>
  <c r="I1157" i="2"/>
  <c r="I857" i="2"/>
  <c r="I1158" i="2"/>
  <c r="I1168" i="2"/>
  <c r="I1161" i="2"/>
  <c r="I1335" i="2"/>
  <c r="I605" i="2"/>
  <c r="I614" i="2"/>
  <c r="I1336" i="2"/>
  <c r="I1337" i="2"/>
  <c r="I606" i="2"/>
  <c r="I1376" i="2"/>
  <c r="I1162" i="2"/>
  <c r="I1338" i="2"/>
  <c r="I607" i="2"/>
  <c r="I1167" i="2"/>
  <c r="I1343" i="2"/>
  <c r="I1339" i="2"/>
  <c r="I1334" i="2"/>
  <c r="I1344" i="2"/>
  <c r="I608" i="2"/>
  <c r="I1155" i="2"/>
  <c r="I609" i="2"/>
  <c r="I1159" i="2"/>
  <c r="I610" i="2"/>
  <c r="I1340" i="2"/>
  <c r="I1341" i="2"/>
  <c r="I1342" i="2"/>
  <c r="I611" i="2"/>
  <c r="I1160" i="2"/>
  <c r="I1163" i="2"/>
  <c r="I851" i="2"/>
  <c r="I612" i="2"/>
  <c r="I613" i="2"/>
  <c r="I852" i="2"/>
  <c r="I1164" i="2"/>
  <c r="I858" i="2"/>
  <c r="I853" i="2"/>
  <c r="I854" i="2"/>
  <c r="I1165" i="2"/>
  <c r="I855" i="2"/>
  <c r="I1440" i="2"/>
  <c r="I1441" i="2"/>
  <c r="I859" i="2"/>
  <c r="I616" i="2"/>
  <c r="I1169" i="2"/>
  <c r="I1346" i="2"/>
  <c r="I1345" i="2"/>
  <c r="I1347" i="2"/>
  <c r="I1572" i="2"/>
  <c r="I1555" i="2"/>
  <c r="I617" i="2"/>
  <c r="I1170" i="2"/>
  <c r="I629" i="2"/>
  <c r="I860" i="2"/>
  <c r="I618" i="2"/>
  <c r="I1377" i="2"/>
  <c r="I861" i="2"/>
  <c r="I862" i="2"/>
  <c r="I619" i="2"/>
  <c r="I631" i="2"/>
  <c r="I863" i="2"/>
  <c r="I864" i="2"/>
  <c r="I620" i="2"/>
  <c r="I1181" i="2"/>
  <c r="I621" i="2"/>
  <c r="I1171" i="2"/>
  <c r="I1180" i="2"/>
  <c r="I1172" i="2"/>
  <c r="I1173" i="2"/>
  <c r="I622" i="2"/>
  <c r="I632" i="2"/>
  <c r="I1174" i="2"/>
  <c r="I623" i="2"/>
  <c r="I1175" i="2"/>
  <c r="I633" i="2"/>
  <c r="I624" i="2"/>
  <c r="I1176" i="2"/>
  <c r="I1177" i="2"/>
  <c r="I625" i="2"/>
  <c r="I1178" i="2"/>
  <c r="I626" i="2"/>
  <c r="I627" i="2"/>
  <c r="I628" i="2"/>
  <c r="I634" i="2"/>
  <c r="I1179" i="2"/>
  <c r="I865" i="2"/>
  <c r="I630" i="2"/>
  <c r="I1604" i="2"/>
  <c r="I1607" i="2"/>
  <c r="I1605" i="2"/>
  <c r="I1606" i="2"/>
  <c r="I1205" i="2"/>
  <c r="I635" i="2"/>
  <c r="I876" i="2"/>
  <c r="I874" i="2"/>
  <c r="I1182" i="2"/>
  <c r="I866" i="2"/>
  <c r="I867" i="2"/>
  <c r="I1193" i="2"/>
  <c r="I1194" i="2"/>
  <c r="I1195" i="2"/>
  <c r="I869" i="2"/>
  <c r="I639" i="2"/>
  <c r="I640" i="2"/>
  <c r="I1183" i="2"/>
  <c r="I1184" i="2"/>
  <c r="I645" i="2"/>
  <c r="I636" i="2"/>
  <c r="I1185" i="2"/>
  <c r="I1186" i="2"/>
  <c r="I1348" i="2"/>
  <c r="I1187" i="2"/>
  <c r="I1188" i="2"/>
  <c r="I873" i="2"/>
  <c r="I1378" i="2"/>
  <c r="I646" i="2"/>
  <c r="I637" i="2"/>
  <c r="I1204" i="2"/>
  <c r="I1189" i="2"/>
  <c r="I638" i="2"/>
  <c r="I1190" i="2"/>
  <c r="I1191" i="2"/>
  <c r="I868" i="2"/>
  <c r="I1192" i="2"/>
  <c r="I1349" i="2"/>
  <c r="I1196" i="2"/>
  <c r="I1197" i="2"/>
  <c r="I1198" i="2"/>
  <c r="I1206" i="2"/>
  <c r="I1350" i="2"/>
  <c r="I1199" i="2"/>
  <c r="I1200" i="2"/>
  <c r="I1201" i="2"/>
  <c r="I875" i="2"/>
  <c r="I1202" i="2"/>
  <c r="I641" i="2"/>
  <c r="I642" i="2"/>
  <c r="I1207" i="2"/>
  <c r="I870" i="2"/>
  <c r="I643" i="2"/>
  <c r="I647" i="2"/>
  <c r="I648" i="2"/>
  <c r="I871" i="2"/>
  <c r="I872" i="2"/>
  <c r="I644" i="2"/>
  <c r="I1208" i="2"/>
  <c r="I1203" i="2"/>
  <c r="I1442" i="2"/>
  <c r="I1443" i="2"/>
  <c r="I1573" i="2"/>
  <c r="I1444" i="2"/>
  <c r="I1384" i="2"/>
  <c r="I1385" i="2"/>
  <c r="I1608" i="2"/>
  <c r="I1351" i="2"/>
  <c r="I1352" i="2"/>
  <c r="I877" i="2"/>
  <c r="I1447" i="2"/>
  <c r="I1558" i="2"/>
  <c r="I1445" i="2"/>
  <c r="I1446" i="2"/>
  <c r="I1556" i="2"/>
  <c r="I1448" i="2"/>
  <c r="I1557" i="2"/>
  <c r="I1577" i="2"/>
  <c r="I1578" i="2"/>
  <c r="I1574" i="2"/>
  <c r="I1579" i="2"/>
  <c r="I1580" i="2"/>
  <c r="I1575" i="2"/>
  <c r="I1581" i="2"/>
  <c r="I1582" i="2"/>
  <c r="I1576" i="2"/>
  <c r="I1583" i="2"/>
  <c r="I1584" i="2"/>
  <c r="I1585" i="2"/>
  <c r="I649" i="2"/>
  <c r="I1379" i="2"/>
  <c r="I650" i="2"/>
  <c r="I1353" i="2"/>
  <c r="I1210" i="2"/>
  <c r="I1211" i="2"/>
  <c r="I1209" i="2"/>
  <c r="I651" i="2"/>
  <c r="I1212" i="2"/>
  <c r="I1354" i="2"/>
  <c r="I1213" i="2"/>
  <c r="I879" i="2"/>
  <c r="I652" i="2"/>
  <c r="I878" i="2"/>
  <c r="I1609" i="2"/>
  <c r="I1559" i="2"/>
  <c r="I880" i="2"/>
  <c r="I1380" i="2"/>
  <c r="I1214" i="2"/>
  <c r="I653" i="2"/>
  <c r="I655" i="2"/>
  <c r="I1215" i="2"/>
  <c r="I1216" i="2"/>
  <c r="I654" i="2"/>
  <c r="I881" i="2"/>
  <c r="I662" i="2"/>
  <c r="I663" i="2"/>
  <c r="I664" i="2"/>
  <c r="I665" i="2"/>
  <c r="I670" i="2"/>
  <c r="I657" i="2"/>
  <c r="I658" i="2"/>
  <c r="I656" i="2"/>
  <c r="I659" i="2"/>
  <c r="I660" i="2"/>
  <c r="I661" i="2"/>
  <c r="I666" i="2"/>
  <c r="I1217" i="2"/>
  <c r="I667" i="2"/>
  <c r="I668" i="2"/>
  <c r="I669" i="2"/>
  <c r="I882" i="2"/>
  <c r="I1453" i="2"/>
  <c r="I1449" i="2"/>
  <c r="I1450" i="2"/>
  <c r="I1451" i="2"/>
  <c r="I1452" i="2"/>
  <c r="I1560" i="2"/>
  <c r="I1355" i="2"/>
  <c r="I883" i="2"/>
  <c r="I1218" i="2"/>
  <c r="I884" i="2"/>
  <c r="I1356" i="2"/>
  <c r="I1219" i="2"/>
  <c r="I885" i="2"/>
  <c r="K2" i="2"/>
  <c r="K672" i="2"/>
  <c r="K886" i="2"/>
  <c r="K4" i="2"/>
  <c r="K1220" i="2"/>
  <c r="K5" i="2"/>
  <c r="K6" i="2"/>
  <c r="K7" i="2"/>
  <c r="K887" i="2"/>
  <c r="K673" i="2"/>
  <c r="K674" i="2"/>
  <c r="K675" i="2"/>
  <c r="K676" i="2"/>
  <c r="K1586" i="2"/>
  <c r="K896" i="2"/>
  <c r="K8" i="2"/>
  <c r="K1222" i="2"/>
  <c r="K9" i="2"/>
  <c r="K677" i="2"/>
  <c r="K32" i="2"/>
  <c r="K59" i="2"/>
  <c r="K10" i="2"/>
  <c r="K11" i="2"/>
  <c r="K12" i="2"/>
  <c r="K913" i="2"/>
  <c r="K1232" i="2"/>
  <c r="K888" i="2"/>
  <c r="K49" i="2"/>
  <c r="K678" i="2"/>
  <c r="K685" i="2"/>
  <c r="K889" i="2"/>
  <c r="K13" i="2"/>
  <c r="K33" i="2"/>
  <c r="K679" i="2"/>
  <c r="K890" i="2"/>
  <c r="K680" i="2"/>
  <c r="K1223" i="2"/>
  <c r="K14" i="2"/>
  <c r="K897" i="2"/>
  <c r="K1233" i="2"/>
  <c r="K696" i="2"/>
  <c r="K697" i="2"/>
  <c r="K695" i="2"/>
  <c r="K1224" i="2"/>
  <c r="K681" i="2"/>
  <c r="K1241" i="2"/>
  <c r="K34" i="2"/>
  <c r="K15" i="2"/>
  <c r="K898" i="2"/>
  <c r="K16" i="2"/>
  <c r="K700" i="2"/>
  <c r="K701" i="2"/>
  <c r="K35" i="2"/>
  <c r="K686" i="2"/>
  <c r="K682" i="2"/>
  <c r="K899" i="2"/>
  <c r="K891" i="2"/>
  <c r="K900" i="2"/>
  <c r="K17" i="2"/>
  <c r="K18" i="2"/>
  <c r="K1242" i="2"/>
  <c r="K19" i="2"/>
  <c r="K1225" i="2"/>
  <c r="K60" i="2"/>
  <c r="K20" i="2"/>
  <c r="K21" i="2"/>
  <c r="K892" i="2"/>
  <c r="K50" i="2"/>
  <c r="K51" i="2"/>
  <c r="K22" i="2"/>
  <c r="K911" i="2"/>
  <c r="K23" i="2"/>
  <c r="K1226" i="2"/>
  <c r="K1227" i="2"/>
  <c r="K24" i="2"/>
  <c r="K52" i="2"/>
  <c r="K61" i="2"/>
  <c r="K25" i="2"/>
  <c r="K912" i="2"/>
  <c r="K893" i="2"/>
  <c r="K26" i="2"/>
  <c r="K27" i="2"/>
  <c r="K28" i="2"/>
  <c r="K29" i="2"/>
  <c r="K1228" i="2"/>
  <c r="K1229" i="2"/>
  <c r="K1234" i="2"/>
  <c r="K1230" i="2"/>
  <c r="K1231" i="2"/>
  <c r="K53" i="2"/>
  <c r="K894" i="2"/>
  <c r="K1243" i="2"/>
  <c r="K1239" i="2"/>
  <c r="K698" i="2"/>
  <c r="K901" i="2"/>
  <c r="K30" i="2"/>
  <c r="K895" i="2"/>
  <c r="K683" i="2"/>
  <c r="K917" i="2"/>
  <c r="K684" i="2"/>
  <c r="K902" i="2"/>
  <c r="K914" i="2"/>
  <c r="K903" i="2"/>
  <c r="K36" i="2"/>
  <c r="K915" i="2"/>
  <c r="K37" i="2"/>
  <c r="K904" i="2"/>
  <c r="K38" i="2"/>
  <c r="K1235" i="2"/>
  <c r="K39" i="2"/>
  <c r="K687" i="2"/>
  <c r="K905" i="2"/>
  <c r="K1236" i="2"/>
  <c r="K40" i="2"/>
  <c r="K1221" i="2"/>
  <c r="K906" i="2"/>
  <c r="K921" i="2"/>
  <c r="K688" i="2"/>
  <c r="K689" i="2"/>
  <c r="K907" i="2"/>
  <c r="K41" i="2"/>
  <c r="K42" i="2"/>
  <c r="K54" i="2"/>
  <c r="K908" i="2"/>
  <c r="K1240" i="2"/>
  <c r="K55" i="2"/>
  <c r="K1237" i="2"/>
  <c r="K43" i="2"/>
  <c r="K909" i="2"/>
  <c r="K44" i="2"/>
  <c r="K45" i="2"/>
  <c r="K918" i="2"/>
  <c r="K919" i="2"/>
  <c r="K690" i="2"/>
  <c r="K691" i="2"/>
  <c r="K910" i="2"/>
  <c r="K692" i="2"/>
  <c r="K56" i="2"/>
  <c r="K46" i="2"/>
  <c r="K57" i="2"/>
  <c r="K58" i="2"/>
  <c r="K699" i="2"/>
  <c r="K702" i="2"/>
  <c r="K920" i="2"/>
  <c r="K693" i="2"/>
  <c r="K694" i="2"/>
  <c r="K47" i="2"/>
  <c r="K916" i="2"/>
  <c r="K1238" i="2"/>
  <c r="K48" i="2"/>
  <c r="K703" i="2"/>
  <c r="K31" i="2"/>
  <c r="K1386" i="2"/>
  <c r="K1587" i="2"/>
  <c r="K1588" i="2"/>
  <c r="K1589" i="2"/>
  <c r="K1590" i="2"/>
  <c r="K1591" i="2"/>
  <c r="K63" i="2"/>
  <c r="K948" i="2"/>
  <c r="K956" i="2"/>
  <c r="K922" i="2"/>
  <c r="K957" i="2"/>
  <c r="K1255" i="2"/>
  <c r="K80" i="2"/>
  <c r="K97" i="2"/>
  <c r="K64" i="2"/>
  <c r="K87" i="2"/>
  <c r="K1244" i="2"/>
  <c r="K65" i="2"/>
  <c r="K923" i="2"/>
  <c r="K924" i="2"/>
  <c r="K925" i="2"/>
  <c r="K94" i="2"/>
  <c r="K91" i="2"/>
  <c r="K942" i="2"/>
  <c r="K955" i="2"/>
  <c r="K1358" i="2"/>
  <c r="K943" i="2"/>
  <c r="K926" i="2"/>
  <c r="K66" i="2"/>
  <c r="K67" i="2"/>
  <c r="K935" i="2"/>
  <c r="K81" i="2"/>
  <c r="K927" i="2"/>
  <c r="K944" i="2"/>
  <c r="K1254" i="2"/>
  <c r="K1257" i="2"/>
  <c r="K945" i="2"/>
  <c r="K1245" i="2"/>
  <c r="K1246" i="2"/>
  <c r="K1247" i="2"/>
  <c r="K1248" i="2"/>
  <c r="K68" i="2"/>
  <c r="K88" i="2"/>
  <c r="K1249" i="2"/>
  <c r="K92" i="2"/>
  <c r="K704" i="2"/>
  <c r="K69" i="2"/>
  <c r="K70" i="2"/>
  <c r="K71" i="2"/>
  <c r="K1357" i="2"/>
  <c r="K928" i="2"/>
  <c r="K946" i="2"/>
  <c r="K949" i="2"/>
  <c r="K1250" i="2"/>
  <c r="K1251" i="2"/>
  <c r="K62" i="2"/>
  <c r="K95" i="2"/>
  <c r="K72" i="2"/>
  <c r="K73" i="2"/>
  <c r="K929" i="2"/>
  <c r="K1252" i="2"/>
  <c r="K1253" i="2"/>
  <c r="K947" i="2"/>
  <c r="K74" i="2"/>
  <c r="K930" i="2"/>
  <c r="K931" i="2"/>
  <c r="K75" i="2"/>
  <c r="K1256" i="2"/>
  <c r="K76" i="2"/>
  <c r="K932" i="2"/>
  <c r="K77" i="2"/>
  <c r="K96" i="2"/>
  <c r="K89" i="2"/>
  <c r="K933" i="2"/>
  <c r="K90" i="2"/>
  <c r="K934" i="2"/>
  <c r="K78" i="2"/>
  <c r="K79" i="2"/>
  <c r="K950" i="2"/>
  <c r="K951" i="2"/>
  <c r="K98" i="2"/>
  <c r="K99" i="2"/>
  <c r="K952" i="2"/>
  <c r="K936" i="2"/>
  <c r="K93" i="2"/>
  <c r="K937" i="2"/>
  <c r="K938" i="2"/>
  <c r="K939" i="2"/>
  <c r="K82" i="2"/>
  <c r="K83" i="2"/>
  <c r="K953" i="2"/>
  <c r="K954" i="2"/>
  <c r="K705" i="2"/>
  <c r="K84" i="2"/>
  <c r="K85" i="2"/>
  <c r="K86" i="2"/>
  <c r="K940" i="2"/>
  <c r="K941" i="2"/>
  <c r="K1478" i="2"/>
  <c r="K1454" i="2"/>
  <c r="K1456" i="2"/>
  <c r="K1393" i="2"/>
  <c r="K1394" i="2"/>
  <c r="K1474" i="2"/>
  <c r="K1475" i="2"/>
  <c r="K1476" i="2"/>
  <c r="K1472" i="2"/>
  <c r="K1455" i="2"/>
  <c r="K1471" i="2"/>
  <c r="K1477" i="2"/>
  <c r="K1561" i="2"/>
  <c r="K1387" i="2"/>
  <c r="K1388" i="2"/>
  <c r="K1389" i="2"/>
  <c r="K1390" i="2"/>
  <c r="K1391" i="2"/>
  <c r="K1479" i="2"/>
  <c r="K1457" i="2"/>
  <c r="K1473" i="2"/>
  <c r="K1392" i="2"/>
  <c r="K1395" i="2"/>
  <c r="K100" i="2"/>
  <c r="K706" i="2"/>
  <c r="K707" i="2"/>
  <c r="K708" i="2"/>
  <c r="K101" i="2"/>
  <c r="K102" i="2"/>
  <c r="K112" i="2"/>
  <c r="K103" i="2"/>
  <c r="K104" i="2"/>
  <c r="K105" i="2"/>
  <c r="K106" i="2"/>
  <c r="K958" i="2"/>
  <c r="K709" i="2"/>
  <c r="K710" i="2"/>
  <c r="K107" i="2"/>
  <c r="K108" i="2"/>
  <c r="K959" i="2"/>
  <c r="K109" i="2"/>
  <c r="K110" i="2"/>
  <c r="K111" i="2"/>
  <c r="K116" i="2"/>
  <c r="K711" i="2"/>
  <c r="K113" i="2"/>
  <c r="K114" i="2"/>
  <c r="K115" i="2"/>
  <c r="K1258" i="2"/>
  <c r="K1359" i="2"/>
  <c r="K960" i="2"/>
  <c r="K117" i="2"/>
  <c r="K712" i="2"/>
  <c r="K1396" i="2"/>
  <c r="K118" i="2"/>
  <c r="K124" i="2"/>
  <c r="K964" i="2"/>
  <c r="K123" i="2"/>
  <c r="K961" i="2"/>
  <c r="K962" i="2"/>
  <c r="K119" i="2"/>
  <c r="K120" i="2"/>
  <c r="K121" i="2"/>
  <c r="K122" i="2"/>
  <c r="K963" i="2"/>
  <c r="K125" i="2"/>
  <c r="K126" i="2"/>
  <c r="K1592" i="2"/>
  <c r="K1593" i="2"/>
  <c r="K1259" i="2"/>
  <c r="K713" i="2"/>
  <c r="K127" i="2"/>
  <c r="K965" i="2"/>
  <c r="K128" i="2"/>
  <c r="K129" i="2"/>
  <c r="K967" i="2"/>
  <c r="K138" i="2"/>
  <c r="K130" i="2"/>
  <c r="K131" i="2"/>
  <c r="K1263" i="2"/>
  <c r="K1260" i="2"/>
  <c r="K132" i="2"/>
  <c r="K141" i="2"/>
  <c r="K133" i="2"/>
  <c r="K1261" i="2"/>
  <c r="K1262" i="2"/>
  <c r="K966" i="2"/>
  <c r="K134" i="2"/>
  <c r="K135" i="2"/>
  <c r="K971" i="2"/>
  <c r="K140" i="2"/>
  <c r="K136" i="2"/>
  <c r="K137" i="2"/>
  <c r="K968" i="2"/>
  <c r="K1264" i="2"/>
  <c r="K714" i="2"/>
  <c r="K139" i="2"/>
  <c r="K969" i="2"/>
  <c r="K970" i="2"/>
  <c r="K715" i="2"/>
  <c r="K1562" i="2"/>
  <c r="K1482" i="2"/>
  <c r="K1481" i="2"/>
  <c r="K1480" i="2"/>
  <c r="K1563" i="2"/>
  <c r="K1565" i="2"/>
  <c r="K1566" i="2"/>
  <c r="K1458" i="2"/>
  <c r="K1484" i="2"/>
  <c r="K1483" i="2"/>
  <c r="K1564" i="2"/>
  <c r="K1567" i="2"/>
  <c r="K169" i="2"/>
  <c r="K1363" i="2"/>
  <c r="K143" i="2"/>
  <c r="K144" i="2"/>
  <c r="K145" i="2"/>
  <c r="K146" i="2"/>
  <c r="K147" i="2"/>
  <c r="K1360" i="2"/>
  <c r="K148" i="2"/>
  <c r="K149" i="2"/>
  <c r="K162" i="2"/>
  <c r="K979" i="2"/>
  <c r="K716" i="2"/>
  <c r="K150" i="2"/>
  <c r="K980" i="2"/>
  <c r="K151" i="2"/>
  <c r="K1361" i="2"/>
  <c r="K972" i="2"/>
  <c r="K1362" i="2"/>
  <c r="K1265" i="2"/>
  <c r="K152" i="2"/>
  <c r="K153" i="2"/>
  <c r="K973" i="2"/>
  <c r="K1267" i="2"/>
  <c r="K163" i="2"/>
  <c r="K164" i="2"/>
  <c r="K977" i="2"/>
  <c r="K978" i="2"/>
  <c r="K717" i="2"/>
  <c r="K154" i="2"/>
  <c r="K142" i="2"/>
  <c r="K155" i="2"/>
  <c r="K156" i="2"/>
  <c r="K165" i="2"/>
  <c r="K975" i="2"/>
  <c r="K1266" i="2"/>
  <c r="K976" i="2"/>
  <c r="K157" i="2"/>
  <c r="K974" i="2"/>
  <c r="K158" i="2"/>
  <c r="K159" i="2"/>
  <c r="K160" i="2"/>
  <c r="K170" i="2"/>
  <c r="K166" i="2"/>
  <c r="K167" i="2"/>
  <c r="K161" i="2"/>
  <c r="K168" i="2"/>
  <c r="K718" i="2"/>
  <c r="K171" i="2"/>
  <c r="K172" i="2"/>
  <c r="K720" i="2"/>
  <c r="K202" i="2"/>
  <c r="K203" i="2"/>
  <c r="K721" i="2"/>
  <c r="K722" i="2"/>
  <c r="K995" i="2"/>
  <c r="K173" i="2"/>
  <c r="K174" i="2"/>
  <c r="K175" i="2"/>
  <c r="K982" i="2"/>
  <c r="K1365" i="2"/>
  <c r="K983" i="2"/>
  <c r="K176" i="2"/>
  <c r="K204" i="2"/>
  <c r="K996" i="2"/>
  <c r="K984" i="2"/>
  <c r="K205" i="2"/>
  <c r="K177" i="2"/>
  <c r="K178" i="2"/>
  <c r="K985" i="2"/>
  <c r="K986" i="2"/>
  <c r="K211" i="2"/>
  <c r="K987" i="2"/>
  <c r="K192" i="2"/>
  <c r="K1269" i="2"/>
  <c r="K179" i="2"/>
  <c r="K180" i="2"/>
  <c r="K988" i="2"/>
  <c r="K997" i="2"/>
  <c r="K181" i="2"/>
  <c r="K182" i="2"/>
  <c r="K206" i="2"/>
  <c r="K1270" i="2"/>
  <c r="K207" i="2"/>
  <c r="K183" i="2"/>
  <c r="K1272" i="2"/>
  <c r="K184" i="2"/>
  <c r="K193" i="2"/>
  <c r="K719" i="2"/>
  <c r="K1268" i="2"/>
  <c r="K185" i="2"/>
  <c r="K186" i="2"/>
  <c r="K187" i="2"/>
  <c r="K1271" i="2"/>
  <c r="K208" i="2"/>
  <c r="K188" i="2"/>
  <c r="K189" i="2"/>
  <c r="K190" i="2"/>
  <c r="K191" i="2"/>
  <c r="K194" i="2"/>
  <c r="K724" i="2"/>
  <c r="K1364" i="2"/>
  <c r="K212" i="2"/>
  <c r="K213" i="2"/>
  <c r="K195" i="2"/>
  <c r="K196" i="2"/>
  <c r="K209" i="2"/>
  <c r="K989" i="2"/>
  <c r="K990" i="2"/>
  <c r="K981" i="2"/>
  <c r="K197" i="2"/>
  <c r="K198" i="2"/>
  <c r="K991" i="2"/>
  <c r="K992" i="2"/>
  <c r="K998" i="2"/>
  <c r="K723" i="2"/>
  <c r="K214" i="2"/>
  <c r="K215" i="2"/>
  <c r="K993" i="2"/>
  <c r="K994" i="2"/>
  <c r="K199" i="2"/>
  <c r="K200" i="2"/>
  <c r="K201" i="2"/>
  <c r="K999" i="2"/>
  <c r="K210" i="2"/>
  <c r="K1488" i="2"/>
  <c r="K1486" i="2"/>
  <c r="K1487" i="2"/>
  <c r="K1489" i="2"/>
  <c r="K1485" i="2"/>
  <c r="K1000" i="2"/>
  <c r="K725" i="2"/>
  <c r="K1273" i="2"/>
  <c r="K726" i="2"/>
  <c r="K1274" i="2"/>
  <c r="K216" i="2"/>
  <c r="K217" i="2"/>
  <c r="K1275" i="2"/>
  <c r="K1001" i="2"/>
  <c r="K729" i="2"/>
  <c r="K218" i="2"/>
  <c r="K727" i="2"/>
  <c r="K728" i="2"/>
  <c r="K1459" i="2"/>
  <c r="K1460" i="2"/>
  <c r="K1461" i="2"/>
  <c r="K220" i="2"/>
  <c r="K1366" i="2"/>
  <c r="K219" i="2"/>
  <c r="K1276" i="2"/>
  <c r="K1277" i="2"/>
  <c r="K1022" i="2"/>
  <c r="K222" i="2"/>
  <c r="K1367" i="2"/>
  <c r="K233" i="2"/>
  <c r="K223" i="2"/>
  <c r="K1003" i="2"/>
  <c r="K1368" i="2"/>
  <c r="K1004" i="2"/>
  <c r="K224" i="2"/>
  <c r="K1005" i="2"/>
  <c r="K1006" i="2"/>
  <c r="K731" i="2"/>
  <c r="K1278" i="2"/>
  <c r="K234" i="2"/>
  <c r="K1007" i="2"/>
  <c r="K1017" i="2"/>
  <c r="K1283" i="2"/>
  <c r="K1014" i="2"/>
  <c r="K225" i="2"/>
  <c r="K1285" i="2"/>
  <c r="K242" i="2"/>
  <c r="K1369" i="2"/>
  <c r="K240" i="2"/>
  <c r="K241" i="2"/>
  <c r="K1008" i="2"/>
  <c r="K243" i="2"/>
  <c r="K1279" i="2"/>
  <c r="K226" i="2"/>
  <c r="K1280" i="2"/>
  <c r="K227" i="2"/>
  <c r="K1009" i="2"/>
  <c r="K1018" i="2"/>
  <c r="K221" i="2"/>
  <c r="K228" i="2"/>
  <c r="K229" i="2"/>
  <c r="K1010" i="2"/>
  <c r="K230" i="2"/>
  <c r="K1011" i="2"/>
  <c r="K730" i="2"/>
  <c r="K1012" i="2"/>
  <c r="K1013" i="2"/>
  <c r="K231" i="2"/>
  <c r="K232" i="2"/>
  <c r="K1281" i="2"/>
  <c r="K239" i="2"/>
  <c r="K1021" i="2"/>
  <c r="K1282" i="2"/>
  <c r="K235" i="2"/>
  <c r="K236" i="2"/>
  <c r="K1284" i="2"/>
  <c r="K1015" i="2"/>
  <c r="K237" i="2"/>
  <c r="K1016" i="2"/>
  <c r="K732" i="2"/>
  <c r="K238" i="2"/>
  <c r="K1019" i="2"/>
  <c r="K1020" i="2"/>
  <c r="K1002" i="2"/>
  <c r="K1398" i="2"/>
  <c r="K1397" i="2"/>
  <c r="K1399" i="2"/>
  <c r="K1400" i="2"/>
  <c r="K1401" i="2"/>
  <c r="K1402" i="2"/>
  <c r="K1594" i="2"/>
  <c r="K1595" i="2"/>
  <c r="K1596" i="2"/>
  <c r="K277" i="2"/>
  <c r="K244" i="2"/>
  <c r="K245" i="2"/>
  <c r="K1286" i="2"/>
  <c r="K1287" i="2"/>
  <c r="K278" i="2"/>
  <c r="K262" i="2"/>
  <c r="K263" i="2"/>
  <c r="K1295" i="2"/>
  <c r="K1296" i="2"/>
  <c r="K246" i="2"/>
  <c r="K1055" i="2"/>
  <c r="K1048" i="2"/>
  <c r="K1056" i="2"/>
  <c r="K273" i="2"/>
  <c r="K1049" i="2"/>
  <c r="K736" i="2"/>
  <c r="K737" i="2"/>
  <c r="K1027" i="2"/>
  <c r="K743" i="2"/>
  <c r="K744" i="2"/>
  <c r="K279" i="2"/>
  <c r="K1288" i="2"/>
  <c r="K274" i="2"/>
  <c r="K1302" i="2"/>
  <c r="K247" i="2"/>
  <c r="K1028" i="2"/>
  <c r="K1057" i="2"/>
  <c r="K248" i="2"/>
  <c r="K285" i="2"/>
  <c r="K1029" i="2"/>
  <c r="K1061" i="2"/>
  <c r="K1030" i="2"/>
  <c r="K264" i="2"/>
  <c r="K1062" i="2"/>
  <c r="K1031" i="2"/>
  <c r="K1023" i="2"/>
  <c r="K1024" i="2"/>
  <c r="K1370" i="2"/>
  <c r="K249" i="2"/>
  <c r="K1032" i="2"/>
  <c r="K265" i="2"/>
  <c r="K1033" i="2"/>
  <c r="K1034" i="2"/>
  <c r="K1035" i="2"/>
  <c r="K280" i="2"/>
  <c r="K250" i="2"/>
  <c r="K251" i="2"/>
  <c r="K276" i="2"/>
  <c r="K1025" i="2"/>
  <c r="K1036" i="2"/>
  <c r="K1050" i="2"/>
  <c r="K1289" i="2"/>
  <c r="K1371" i="2"/>
  <c r="K252" i="2"/>
  <c r="K253" i="2"/>
  <c r="K1051" i="2"/>
  <c r="K1037" i="2"/>
  <c r="K1300" i="2"/>
  <c r="K1058" i="2"/>
  <c r="K1052" i="2"/>
  <c r="K1290" i="2"/>
  <c r="K1038" i="2"/>
  <c r="K254" i="2"/>
  <c r="K1039" i="2"/>
  <c r="K281" i="2"/>
  <c r="K1040" i="2"/>
  <c r="K1291" i="2"/>
  <c r="K255" i="2"/>
  <c r="K1292" i="2"/>
  <c r="K1293" i="2"/>
  <c r="K283" i="2"/>
  <c r="K1301" i="2"/>
  <c r="K1041" i="2"/>
  <c r="K733" i="2"/>
  <c r="K256" i="2"/>
  <c r="K266" i="2"/>
  <c r="K1042" i="2"/>
  <c r="K1043" i="2"/>
  <c r="K1044" i="2"/>
  <c r="K1045" i="2"/>
  <c r="K1059" i="2"/>
  <c r="K1060" i="2"/>
  <c r="K734" i="2"/>
  <c r="K257" i="2"/>
  <c r="K1046" i="2"/>
  <c r="K1294" i="2"/>
  <c r="K1047" i="2"/>
  <c r="K282" i="2"/>
  <c r="K735" i="2"/>
  <c r="K1026" i="2"/>
  <c r="K258" i="2"/>
  <c r="K259" i="2"/>
  <c r="K275" i="2"/>
  <c r="K260" i="2"/>
  <c r="K261" i="2"/>
  <c r="K1053" i="2"/>
  <c r="K267" i="2"/>
  <c r="K1297" i="2"/>
  <c r="K1298" i="2"/>
  <c r="K738" i="2"/>
  <c r="K739" i="2"/>
  <c r="K1054" i="2"/>
  <c r="K740" i="2"/>
  <c r="K1299" i="2"/>
  <c r="K268" i="2"/>
  <c r="K284" i="2"/>
  <c r="K269" i="2"/>
  <c r="K270" i="2"/>
  <c r="K271" i="2"/>
  <c r="K272" i="2"/>
  <c r="K745" i="2"/>
  <c r="K741" i="2"/>
  <c r="K742" i="2"/>
  <c r="K1463" i="2"/>
  <c r="K1408" i="2"/>
  <c r="K1406" i="2"/>
  <c r="K1405" i="2"/>
  <c r="K1490" i="2"/>
  <c r="K1491" i="2"/>
  <c r="K1407" i="2"/>
  <c r="K1404" i="2"/>
  <c r="K1492" i="2"/>
  <c r="K1493" i="2"/>
  <c r="K1494" i="2"/>
  <c r="K1462" i="2"/>
  <c r="K1568" i="2"/>
  <c r="K1403" i="2"/>
  <c r="K286" i="2"/>
  <c r="K746" i="2"/>
  <c r="K1409" i="2"/>
  <c r="K1304" i="2"/>
  <c r="K287" i="2"/>
  <c r="K1312" i="2"/>
  <c r="K288" i="2"/>
  <c r="K289" i="2"/>
  <c r="K1305" i="2"/>
  <c r="K321" i="2"/>
  <c r="K312" i="2"/>
  <c r="K290" i="2"/>
  <c r="K1072" i="2"/>
  <c r="K1078" i="2"/>
  <c r="K1063" i="2"/>
  <c r="K748" i="2"/>
  <c r="K291" i="2"/>
  <c r="K1303" i="2"/>
  <c r="K1064" i="2"/>
  <c r="K292" i="2"/>
  <c r="K1079" i="2"/>
  <c r="K313" i="2"/>
  <c r="K1085" i="2"/>
  <c r="K293" i="2"/>
  <c r="K1372" i="2"/>
  <c r="K314" i="2"/>
  <c r="K1065" i="2"/>
  <c r="K1306" i="2"/>
  <c r="K315" i="2"/>
  <c r="K747" i="2"/>
  <c r="K1313" i="2"/>
  <c r="K1066" i="2"/>
  <c r="K294" i="2"/>
  <c r="K295" i="2"/>
  <c r="K1067" i="2"/>
  <c r="K1083" i="2"/>
  <c r="K316" i="2"/>
  <c r="K317" i="2"/>
  <c r="K1307" i="2"/>
  <c r="K296" i="2"/>
  <c r="K749" i="2"/>
  <c r="K318" i="2"/>
  <c r="K1080" i="2"/>
  <c r="K1073" i="2"/>
  <c r="K297" i="2"/>
  <c r="K1068" i="2"/>
  <c r="K1069" i="2"/>
  <c r="K323" i="2"/>
  <c r="K319" i="2"/>
  <c r="K298" i="2"/>
  <c r="K1070" i="2"/>
  <c r="K299" i="2"/>
  <c r="K300" i="2"/>
  <c r="K301" i="2"/>
  <c r="K302" i="2"/>
  <c r="K320" i="2"/>
  <c r="K1308" i="2"/>
  <c r="K303" i="2"/>
  <c r="K304" i="2"/>
  <c r="K1071" i="2"/>
  <c r="K1081" i="2"/>
  <c r="K1309" i="2"/>
  <c r="K1310" i="2"/>
  <c r="K1074" i="2"/>
  <c r="K1311" i="2"/>
  <c r="K322" i="2"/>
  <c r="K1075" i="2"/>
  <c r="K1076" i="2"/>
  <c r="K305" i="2"/>
  <c r="K306" i="2"/>
  <c r="K307" i="2"/>
  <c r="K1077" i="2"/>
  <c r="K324" i="2"/>
  <c r="K308" i="2"/>
  <c r="K309" i="2"/>
  <c r="K750" i="2"/>
  <c r="K1082" i="2"/>
  <c r="K751" i="2"/>
  <c r="K310" i="2"/>
  <c r="K311" i="2"/>
  <c r="K1084" i="2"/>
  <c r="K1410" i="2"/>
  <c r="K1090" i="2"/>
  <c r="K325" i="2"/>
  <c r="K326" i="2"/>
  <c r="K327" i="2"/>
  <c r="K1086" i="2"/>
  <c r="K1087" i="2"/>
  <c r="K1088" i="2"/>
  <c r="K1089" i="2"/>
  <c r="K1411" i="2"/>
  <c r="K1381" i="2"/>
  <c r="K1597" i="2"/>
  <c r="K328" i="2"/>
  <c r="K1110" i="2"/>
  <c r="K1111" i="2"/>
  <c r="K343" i="2"/>
  <c r="K344" i="2"/>
  <c r="K1314" i="2"/>
  <c r="K1373" i="2"/>
  <c r="K1093" i="2"/>
  <c r="K345" i="2"/>
  <c r="K329" i="2"/>
  <c r="K1112" i="2"/>
  <c r="K330" i="2"/>
  <c r="K1094" i="2"/>
  <c r="K752" i="2"/>
  <c r="K1315" i="2"/>
  <c r="K1095" i="2"/>
  <c r="K758" i="2"/>
  <c r="K1096" i="2"/>
  <c r="K1319" i="2"/>
  <c r="K331" i="2"/>
  <c r="K1097" i="2"/>
  <c r="K753" i="2"/>
  <c r="K355" i="2"/>
  <c r="K358" i="2"/>
  <c r="K1316" i="2"/>
  <c r="K332" i="2"/>
  <c r="K1106" i="2"/>
  <c r="K333" i="2"/>
  <c r="K334" i="2"/>
  <c r="K1102" i="2"/>
  <c r="K1317" i="2"/>
  <c r="K1107" i="2"/>
  <c r="K1098" i="2"/>
  <c r="K1099" i="2"/>
  <c r="K335" i="2"/>
  <c r="K336" i="2"/>
  <c r="K1091" i="2"/>
  <c r="K1108" i="2"/>
  <c r="K356" i="2"/>
  <c r="K357" i="2"/>
  <c r="K337" i="2"/>
  <c r="K359" i="2"/>
  <c r="K338" i="2"/>
  <c r="K339" i="2"/>
  <c r="K340" i="2"/>
  <c r="K1100" i="2"/>
  <c r="K341" i="2"/>
  <c r="K1101" i="2"/>
  <c r="K757" i="2"/>
  <c r="K759" i="2"/>
  <c r="K342" i="2"/>
  <c r="K1092" i="2"/>
  <c r="K1103" i="2"/>
  <c r="K346" i="2"/>
  <c r="K1318" i="2"/>
  <c r="K1109" i="2"/>
  <c r="K347" i="2"/>
  <c r="K348" i="2"/>
  <c r="K349" i="2"/>
  <c r="K350" i="2"/>
  <c r="K760" i="2"/>
  <c r="K1104" i="2"/>
  <c r="K754" i="2"/>
  <c r="K351" i="2"/>
  <c r="K755" i="2"/>
  <c r="K1105" i="2"/>
  <c r="K352" i="2"/>
  <c r="K353" i="2"/>
  <c r="K354" i="2"/>
  <c r="K756" i="2"/>
  <c r="K761" i="2"/>
  <c r="K1498" i="2"/>
  <c r="K1495" i="2"/>
  <c r="K1496" i="2"/>
  <c r="K1497" i="2"/>
  <c r="K1412" i="2"/>
  <c r="K1598" i="2"/>
  <c r="K1600" i="2"/>
  <c r="K1599" i="2"/>
  <c r="K1113" i="2"/>
  <c r="K1114" i="2"/>
  <c r="K362" i="2"/>
  <c r="K363" i="2"/>
  <c r="K1320" i="2"/>
  <c r="K360" i="2"/>
  <c r="K361" i="2"/>
  <c r="K1116" i="2"/>
  <c r="K1115" i="2"/>
  <c r="K364" i="2"/>
  <c r="K365" i="2"/>
  <c r="K1499" i="2"/>
  <c r="K1413" i="2"/>
  <c r="K1382" i="2"/>
  <c r="K1383" i="2"/>
  <c r="K762" i="2"/>
  <c r="K366" i="2"/>
  <c r="K763" i="2"/>
  <c r="K764" i="2"/>
  <c r="K765" i="2"/>
  <c r="K1117" i="2"/>
  <c r="K367" i="2"/>
  <c r="K368" i="2"/>
  <c r="K1123" i="2"/>
  <c r="K1118" i="2"/>
  <c r="K1119" i="2"/>
  <c r="K372" i="2"/>
  <c r="K373" i="2"/>
  <c r="K377" i="2"/>
  <c r="K374" i="2"/>
  <c r="K766" i="2"/>
  <c r="K767" i="2"/>
  <c r="K369" i="2"/>
  <c r="K1120" i="2"/>
  <c r="K768" i="2"/>
  <c r="K375" i="2"/>
  <c r="K376" i="2"/>
  <c r="K1121" i="2"/>
  <c r="K769" i="2"/>
  <c r="K770" i="2"/>
  <c r="K1122" i="2"/>
  <c r="K370" i="2"/>
  <c r="K371" i="2"/>
  <c r="K378" i="2"/>
  <c r="K1502" i="2"/>
  <c r="K1415" i="2"/>
  <c r="K1414" i="2"/>
  <c r="K1501" i="2"/>
  <c r="K1464" i="2"/>
  <c r="K1569" i="2"/>
  <c r="K1500" i="2"/>
  <c r="K379" i="2"/>
  <c r="K380" i="2"/>
  <c r="K381" i="2"/>
  <c r="K382" i="2"/>
  <c r="K400" i="2"/>
  <c r="K383" i="2"/>
  <c r="K384" i="2"/>
  <c r="K385" i="2"/>
  <c r="K386" i="2"/>
  <c r="K387" i="2"/>
  <c r="K388" i="2"/>
  <c r="K389" i="2"/>
  <c r="K401" i="2"/>
  <c r="K390" i="2"/>
  <c r="K391" i="2"/>
  <c r="K392" i="2"/>
  <c r="K402" i="2"/>
  <c r="K393" i="2"/>
  <c r="K394" i="2"/>
  <c r="K395" i="2"/>
  <c r="K396" i="2"/>
  <c r="K397" i="2"/>
  <c r="K398" i="2"/>
  <c r="K399" i="2"/>
  <c r="K1503" i="2"/>
  <c r="K1504" i="2"/>
  <c r="K1419" i="2"/>
  <c r="K1416" i="2"/>
  <c r="K1418" i="2"/>
  <c r="K1428" i="2"/>
  <c r="K1426" i="2"/>
  <c r="K1431" i="2"/>
  <c r="K1432" i="2"/>
  <c r="K1505" i="2"/>
  <c r="K1420" i="2"/>
  <c r="K1421" i="2"/>
  <c r="K1422" i="2"/>
  <c r="K1423" i="2"/>
  <c r="K1424" i="2"/>
  <c r="K1425" i="2"/>
  <c r="K1430" i="2"/>
  <c r="K1466" i="2"/>
  <c r="K1465" i="2"/>
  <c r="K1429" i="2"/>
  <c r="K1467" i="2"/>
  <c r="K1468" i="2"/>
  <c r="K1417" i="2"/>
  <c r="K1427" i="2"/>
  <c r="K771" i="2"/>
  <c r="K774" i="2"/>
  <c r="K775" i="2"/>
  <c r="K1134" i="2"/>
  <c r="K776" i="2"/>
  <c r="K777" i="2"/>
  <c r="K778" i="2"/>
  <c r="K779" i="2"/>
  <c r="K1124" i="2"/>
  <c r="K780" i="2"/>
  <c r="K772" i="2"/>
  <c r="K815" i="2"/>
  <c r="K773" i="2"/>
  <c r="K816" i="2"/>
  <c r="K1125" i="2"/>
  <c r="K1126" i="2"/>
  <c r="K1127" i="2"/>
  <c r="K1128" i="2"/>
  <c r="K781" i="2"/>
  <c r="K782" i="2"/>
  <c r="K1129" i="2"/>
  <c r="K783" i="2"/>
  <c r="K817" i="2"/>
  <c r="K818" i="2"/>
  <c r="K784" i="2"/>
  <c r="K1130" i="2"/>
  <c r="K819" i="2"/>
  <c r="K820" i="2"/>
  <c r="K821" i="2"/>
  <c r="K822" i="2"/>
  <c r="K823" i="2"/>
  <c r="K785" i="2"/>
  <c r="K786" i="2"/>
  <c r="K787" i="2"/>
  <c r="K788" i="2"/>
  <c r="K789" i="2"/>
  <c r="K790" i="2"/>
  <c r="K1131" i="2"/>
  <c r="K1132" i="2"/>
  <c r="K824" i="2"/>
  <c r="K791" i="2"/>
  <c r="K792" i="2"/>
  <c r="K793" i="2"/>
  <c r="K825" i="2"/>
  <c r="K794" i="2"/>
  <c r="K795" i="2"/>
  <c r="K826" i="2"/>
  <c r="K796" i="2"/>
  <c r="K797" i="2"/>
  <c r="K798" i="2"/>
  <c r="K827" i="2"/>
  <c r="K799" i="2"/>
  <c r="K800" i="2"/>
  <c r="K828" i="2"/>
  <c r="K829" i="2"/>
  <c r="K801" i="2"/>
  <c r="K802" i="2"/>
  <c r="K803" i="2"/>
  <c r="K830" i="2"/>
  <c r="K831" i="2"/>
  <c r="K837" i="2"/>
  <c r="K832" i="2"/>
  <c r="K804" i="2"/>
  <c r="K805" i="2"/>
  <c r="K806" i="2"/>
  <c r="K1133" i="2"/>
  <c r="K833" i="2"/>
  <c r="K807" i="2"/>
  <c r="K834" i="2"/>
  <c r="K808" i="2"/>
  <c r="K809" i="2"/>
  <c r="K810" i="2"/>
  <c r="K811" i="2"/>
  <c r="K812" i="2"/>
  <c r="K835" i="2"/>
  <c r="K813" i="2"/>
  <c r="K814" i="2"/>
  <c r="K836" i="2"/>
  <c r="K1601" i="2"/>
  <c r="K1506" i="2"/>
  <c r="K838" i="2"/>
  <c r="K841" i="2"/>
  <c r="K839" i="2"/>
  <c r="K840" i="2"/>
  <c r="K1137" i="2"/>
  <c r="K1138" i="2"/>
  <c r="K477" i="2"/>
  <c r="K478" i="2"/>
  <c r="K479" i="2"/>
  <c r="K1139" i="2"/>
  <c r="K480" i="2"/>
  <c r="K1140" i="2"/>
  <c r="K404" i="2"/>
  <c r="K405" i="2"/>
  <c r="K481" i="2"/>
  <c r="K406" i="2"/>
  <c r="K482" i="2"/>
  <c r="K483" i="2"/>
  <c r="K575" i="2"/>
  <c r="K407" i="2"/>
  <c r="K583" i="2"/>
  <c r="K584" i="2"/>
  <c r="K408" i="2"/>
  <c r="K542" i="2"/>
  <c r="K409" i="2"/>
  <c r="K484" i="2"/>
  <c r="K410" i="2"/>
  <c r="K411" i="2"/>
  <c r="K562" i="2"/>
  <c r="K569" i="2"/>
  <c r="K552" i="2"/>
  <c r="K576" i="2"/>
  <c r="K577" i="2"/>
  <c r="K412" i="2"/>
  <c r="K543" i="2"/>
  <c r="K485" i="2"/>
  <c r="K486" i="2"/>
  <c r="K487" i="2"/>
  <c r="K1143" i="2"/>
  <c r="K1321" i="2"/>
  <c r="K413" i="2"/>
  <c r="K488" i="2"/>
  <c r="K414" i="2"/>
  <c r="K1141" i="2"/>
  <c r="K415" i="2"/>
  <c r="K416" i="2"/>
  <c r="K417" i="2"/>
  <c r="K489" i="2"/>
  <c r="K490" i="2"/>
  <c r="K570" i="2"/>
  <c r="K491" i="2"/>
  <c r="K492" i="2"/>
  <c r="K418" i="2"/>
  <c r="K1374" i="2"/>
  <c r="K419" i="2"/>
  <c r="K420" i="2"/>
  <c r="K493" i="2"/>
  <c r="K494" i="2"/>
  <c r="K421" i="2"/>
  <c r="K563" i="2"/>
  <c r="K495" i="2"/>
  <c r="K496" i="2"/>
  <c r="K671" i="2"/>
  <c r="K422" i="2"/>
  <c r="K497" i="2"/>
  <c r="K578" i="2"/>
  <c r="K423" i="2"/>
  <c r="K424" i="2"/>
  <c r="K425" i="2"/>
  <c r="K426" i="2"/>
  <c r="K427" i="2"/>
  <c r="K428" i="2"/>
  <c r="K429" i="2"/>
  <c r="K430" i="2"/>
  <c r="K431" i="2"/>
  <c r="K432" i="2"/>
  <c r="K433" i="2"/>
  <c r="K571" i="2"/>
  <c r="K564" i="2"/>
  <c r="K434" i="2"/>
  <c r="K544" i="2"/>
  <c r="K435" i="2"/>
  <c r="K498" i="2"/>
  <c r="K499" i="2"/>
  <c r="K553" i="2"/>
  <c r="K436" i="2"/>
  <c r="K437" i="2"/>
  <c r="K1135" i="2"/>
  <c r="K579" i="2"/>
  <c r="K500" i="2"/>
  <c r="K438" i="2"/>
  <c r="K545" i="2"/>
  <c r="K439" i="2"/>
  <c r="K440" i="2"/>
  <c r="K441" i="2"/>
  <c r="K546" i="2"/>
  <c r="K442" i="2"/>
  <c r="K443" i="2"/>
  <c r="K547" i="2"/>
  <c r="K444" i="2"/>
  <c r="K548" i="2"/>
  <c r="K445" i="2"/>
  <c r="K446" i="2"/>
  <c r="K549" i="2"/>
  <c r="K447" i="2"/>
  <c r="K448" i="2"/>
  <c r="K449" i="2"/>
  <c r="K450" i="2"/>
  <c r="K451" i="2"/>
  <c r="K452" i="2"/>
  <c r="K453" i="2"/>
  <c r="K454" i="2"/>
  <c r="K1136" i="2"/>
  <c r="K455" i="2"/>
  <c r="K565" i="2"/>
  <c r="K550" i="2"/>
  <c r="K456" i="2"/>
  <c r="K457" i="2"/>
  <c r="K458" i="2"/>
  <c r="K566" i="2"/>
  <c r="K459" i="2"/>
  <c r="K460" i="2"/>
  <c r="K461" i="2"/>
  <c r="K462" i="2"/>
  <c r="K403" i="2"/>
  <c r="K463" i="2"/>
  <c r="K551" i="2"/>
  <c r="K464" i="2"/>
  <c r="K465" i="2"/>
  <c r="K466" i="2"/>
  <c r="K467" i="2"/>
  <c r="K468" i="2"/>
  <c r="K469" i="2"/>
  <c r="K580" i="2"/>
  <c r="K470" i="2"/>
  <c r="K471" i="2"/>
  <c r="K581" i="2"/>
  <c r="K582" i="2"/>
  <c r="K472" i="2"/>
  <c r="K473" i="2"/>
  <c r="K474" i="2"/>
  <c r="K475" i="2"/>
  <c r="K567" i="2"/>
  <c r="K476" i="2"/>
  <c r="K568" i="2"/>
  <c r="K501" i="2"/>
  <c r="K502" i="2"/>
  <c r="K554" i="2"/>
  <c r="K555" i="2"/>
  <c r="K585" i="2"/>
  <c r="K503" i="2"/>
  <c r="K504" i="2"/>
  <c r="K556" i="2"/>
  <c r="K505" i="2"/>
  <c r="K506" i="2"/>
  <c r="K507" i="2"/>
  <c r="K508" i="2"/>
  <c r="K509" i="2"/>
  <c r="K510" i="2"/>
  <c r="K511" i="2"/>
  <c r="K512" i="2"/>
  <c r="K513" i="2"/>
  <c r="K514" i="2"/>
  <c r="K572" i="2"/>
  <c r="K1142" i="2"/>
  <c r="K515" i="2"/>
  <c r="K516" i="2"/>
  <c r="K842" i="2"/>
  <c r="K843" i="2"/>
  <c r="K517" i="2"/>
  <c r="K518" i="2"/>
  <c r="K519" i="2"/>
  <c r="K520" i="2"/>
  <c r="K521" i="2"/>
  <c r="K557" i="2"/>
  <c r="K522" i="2"/>
  <c r="K1144" i="2"/>
  <c r="K523" i="2"/>
  <c r="K524" i="2"/>
  <c r="K525" i="2"/>
  <c r="K526" i="2"/>
  <c r="K527" i="2"/>
  <c r="K558" i="2"/>
  <c r="K528" i="2"/>
  <c r="K529" i="2"/>
  <c r="K559" i="2"/>
  <c r="K530" i="2"/>
  <c r="K531" i="2"/>
  <c r="K532" i="2"/>
  <c r="K533" i="2"/>
  <c r="K587" i="2"/>
  <c r="K573" i="2"/>
  <c r="K574" i="2"/>
  <c r="K534" i="2"/>
  <c r="K560" i="2"/>
  <c r="K535" i="2"/>
  <c r="K536" i="2"/>
  <c r="K537" i="2"/>
  <c r="K538" i="2"/>
  <c r="K539" i="2"/>
  <c r="K540" i="2"/>
  <c r="K541" i="2"/>
  <c r="K561" i="2"/>
  <c r="K586" i="2"/>
  <c r="K1536" i="2"/>
  <c r="K1547" i="2"/>
  <c r="K1548" i="2"/>
  <c r="K1549" i="2"/>
  <c r="K1515" i="2"/>
  <c r="K1570" i="2"/>
  <c r="K1433" i="2"/>
  <c r="K1529" i="2"/>
  <c r="K1530" i="2"/>
  <c r="K1531" i="2"/>
  <c r="K1516" i="2"/>
  <c r="K1517" i="2"/>
  <c r="K1537" i="2"/>
  <c r="K1541" i="2"/>
  <c r="K1546" i="2"/>
  <c r="K1518" i="2"/>
  <c r="K1510" i="2"/>
  <c r="K1511" i="2"/>
  <c r="K1519" i="2"/>
  <c r="K1437" i="2"/>
  <c r="K1545" i="2"/>
  <c r="K1436" i="2"/>
  <c r="K1544" i="2"/>
  <c r="K1539" i="2"/>
  <c r="K1540" i="2"/>
  <c r="K1520" i="2"/>
  <c r="K1512" i="2"/>
  <c r="K1434" i="2"/>
  <c r="K1521" i="2"/>
  <c r="K1522" i="2"/>
  <c r="K1508" i="2"/>
  <c r="K1523" i="2"/>
  <c r="K1524" i="2"/>
  <c r="K1525" i="2"/>
  <c r="K1526" i="2"/>
  <c r="K1435" i="2"/>
  <c r="K1469" i="2"/>
  <c r="K1470" i="2"/>
  <c r="K1532" i="2"/>
  <c r="K1527" i="2"/>
  <c r="K1528" i="2"/>
  <c r="K1542" i="2"/>
  <c r="K1533" i="2"/>
  <c r="K1538" i="2"/>
  <c r="K1553" i="2"/>
  <c r="K1543" i="2"/>
  <c r="K1550" i="2"/>
  <c r="K1551" i="2"/>
  <c r="K1552" i="2"/>
  <c r="K1507" i="2"/>
  <c r="K1534" i="2"/>
  <c r="K1535" i="2"/>
  <c r="K1513" i="2"/>
  <c r="K1509" i="2"/>
  <c r="K1514" i="2"/>
  <c r="K1145" i="2"/>
  <c r="K1146" i="2"/>
  <c r="K1147" i="2"/>
  <c r="K1602" i="2"/>
  <c r="K588" i="2"/>
  <c r="K1571" i="2"/>
  <c r="K1438" i="2"/>
  <c r="K1439" i="2"/>
  <c r="K1375" i="2"/>
  <c r="K844" i="2"/>
  <c r="K1322" i="2"/>
  <c r="K1323" i="2"/>
  <c r="K1327" i="2"/>
  <c r="K1328" i="2"/>
  <c r="K849" i="2"/>
  <c r="K1148" i="2"/>
  <c r="K1149" i="2"/>
  <c r="K845" i="2"/>
  <c r="K1329" i="2"/>
  <c r="K589" i="2"/>
  <c r="K1324" i="2"/>
  <c r="K1325" i="2"/>
  <c r="K591" i="2"/>
  <c r="K1326" i="2"/>
  <c r="K592" i="2"/>
  <c r="K590" i="2"/>
  <c r="K602" i="2"/>
  <c r="K593" i="2"/>
  <c r="K1333" i="2"/>
  <c r="K1332" i="2"/>
  <c r="K1152" i="2"/>
  <c r="K595" i="2"/>
  <c r="K1330" i="2"/>
  <c r="K1150" i="2"/>
  <c r="K846" i="2"/>
  <c r="K1151" i="2"/>
  <c r="K594" i="2"/>
  <c r="K596" i="2"/>
  <c r="K597" i="2"/>
  <c r="K598" i="2"/>
  <c r="K1153" i="2"/>
  <c r="K847" i="2"/>
  <c r="K599" i="2"/>
  <c r="K600" i="2"/>
  <c r="K601" i="2"/>
  <c r="K1331" i="2"/>
  <c r="K848" i="2"/>
  <c r="K1154" i="2"/>
  <c r="K1554" i="2"/>
  <c r="K1603" i="2"/>
  <c r="K856" i="2"/>
  <c r="K603" i="2"/>
  <c r="K1156" i="2"/>
  <c r="K1166" i="2"/>
  <c r="K850" i="2"/>
  <c r="K604" i="2"/>
  <c r="K615" i="2"/>
  <c r="K1157" i="2"/>
  <c r="K857" i="2"/>
  <c r="K1158" i="2"/>
  <c r="K1168" i="2"/>
  <c r="K1161" i="2"/>
  <c r="K1335" i="2"/>
  <c r="K605" i="2"/>
  <c r="K614" i="2"/>
  <c r="K1336" i="2"/>
  <c r="K1337" i="2"/>
  <c r="K606" i="2"/>
  <c r="K1376" i="2"/>
  <c r="K1162" i="2"/>
  <c r="K1338" i="2"/>
  <c r="K607" i="2"/>
  <c r="K1167" i="2"/>
  <c r="K1343" i="2"/>
  <c r="K1339" i="2"/>
  <c r="K1334" i="2"/>
  <c r="K1344" i="2"/>
  <c r="K608" i="2"/>
  <c r="K1155" i="2"/>
  <c r="K609" i="2"/>
  <c r="K1159" i="2"/>
  <c r="K610" i="2"/>
  <c r="K1340" i="2"/>
  <c r="K1341" i="2"/>
  <c r="K1342" i="2"/>
  <c r="K611" i="2"/>
  <c r="K1160" i="2"/>
  <c r="K1163" i="2"/>
  <c r="K851" i="2"/>
  <c r="K612" i="2"/>
  <c r="K613" i="2"/>
  <c r="K852" i="2"/>
  <c r="K1164" i="2"/>
  <c r="K858" i="2"/>
  <c r="K853" i="2"/>
  <c r="K854" i="2"/>
  <c r="K1165" i="2"/>
  <c r="K855" i="2"/>
  <c r="K1440" i="2"/>
  <c r="K1441" i="2"/>
  <c r="K859" i="2"/>
  <c r="K616" i="2"/>
  <c r="K1169" i="2"/>
  <c r="K1346" i="2"/>
  <c r="K1345" i="2"/>
  <c r="K1347" i="2"/>
  <c r="K1572" i="2"/>
  <c r="K1555" i="2"/>
  <c r="K617" i="2"/>
  <c r="K1170" i="2"/>
  <c r="K629" i="2"/>
  <c r="K860" i="2"/>
  <c r="K618" i="2"/>
  <c r="K1377" i="2"/>
  <c r="K861" i="2"/>
  <c r="K862" i="2"/>
  <c r="K619" i="2"/>
  <c r="K631" i="2"/>
  <c r="K863" i="2"/>
  <c r="K864" i="2"/>
  <c r="K620" i="2"/>
  <c r="K1181" i="2"/>
  <c r="K621" i="2"/>
  <c r="K1171" i="2"/>
  <c r="K1180" i="2"/>
  <c r="K1172" i="2"/>
  <c r="K1173" i="2"/>
  <c r="K622" i="2"/>
  <c r="K632" i="2"/>
  <c r="K1174" i="2"/>
  <c r="K623" i="2"/>
  <c r="K1175" i="2"/>
  <c r="K633" i="2"/>
  <c r="K624" i="2"/>
  <c r="K1176" i="2"/>
  <c r="K1177" i="2"/>
  <c r="K625" i="2"/>
  <c r="K1178" i="2"/>
  <c r="K626" i="2"/>
  <c r="K627" i="2"/>
  <c r="K628" i="2"/>
  <c r="K634" i="2"/>
  <c r="K1179" i="2"/>
  <c r="K865" i="2"/>
  <c r="K630" i="2"/>
  <c r="K1604" i="2"/>
  <c r="K1607" i="2"/>
  <c r="K1605" i="2"/>
  <c r="K1606" i="2"/>
  <c r="K1205" i="2"/>
  <c r="K635" i="2"/>
  <c r="K876" i="2"/>
  <c r="K874" i="2"/>
  <c r="K1182" i="2"/>
  <c r="K866" i="2"/>
  <c r="K867" i="2"/>
  <c r="K1193" i="2"/>
  <c r="K1194" i="2"/>
  <c r="K1195" i="2"/>
  <c r="K869" i="2"/>
  <c r="K639" i="2"/>
  <c r="K640" i="2"/>
  <c r="K1183" i="2"/>
  <c r="K1184" i="2"/>
  <c r="K645" i="2"/>
  <c r="K636" i="2"/>
  <c r="K1185" i="2"/>
  <c r="K1186" i="2"/>
  <c r="K1348" i="2"/>
  <c r="K1187" i="2"/>
  <c r="K1188" i="2"/>
  <c r="K873" i="2"/>
  <c r="K1378" i="2"/>
  <c r="K646" i="2"/>
  <c r="K637" i="2"/>
  <c r="K1204" i="2"/>
  <c r="K1189" i="2"/>
  <c r="K638" i="2"/>
  <c r="K1190" i="2"/>
  <c r="K1191" i="2"/>
  <c r="K868" i="2"/>
  <c r="K1192" i="2"/>
  <c r="K1349" i="2"/>
  <c r="K1196" i="2"/>
  <c r="K1197" i="2"/>
  <c r="K1198" i="2"/>
  <c r="K1206" i="2"/>
  <c r="K1350" i="2"/>
  <c r="K1199" i="2"/>
  <c r="K1200" i="2"/>
  <c r="K1201" i="2"/>
  <c r="K875" i="2"/>
  <c r="K1202" i="2"/>
  <c r="K641" i="2"/>
  <c r="K642" i="2"/>
  <c r="K1207" i="2"/>
  <c r="K870" i="2"/>
  <c r="K643" i="2"/>
  <c r="K647" i="2"/>
  <c r="K648" i="2"/>
  <c r="K871" i="2"/>
  <c r="K872" i="2"/>
  <c r="K644" i="2"/>
  <c r="K1208" i="2"/>
  <c r="K1203" i="2"/>
  <c r="K1442" i="2"/>
  <c r="K1443" i="2"/>
  <c r="K1573" i="2"/>
  <c r="K1444" i="2"/>
  <c r="K1384" i="2"/>
  <c r="K1385" i="2"/>
  <c r="K1608" i="2"/>
  <c r="K1351" i="2"/>
  <c r="K1352" i="2"/>
  <c r="K877" i="2"/>
  <c r="K1447" i="2"/>
  <c r="K1558" i="2"/>
  <c r="K1445" i="2"/>
  <c r="K1446" i="2"/>
  <c r="K1556" i="2"/>
  <c r="K1448" i="2"/>
  <c r="K1557" i="2"/>
  <c r="K1577" i="2"/>
  <c r="K1578" i="2"/>
  <c r="K1574" i="2"/>
  <c r="K1579" i="2"/>
  <c r="K1580" i="2"/>
  <c r="K1575" i="2"/>
  <c r="K1581" i="2"/>
  <c r="K1582" i="2"/>
  <c r="K1576" i="2"/>
  <c r="K1583" i="2"/>
  <c r="K1584" i="2"/>
  <c r="K1585" i="2"/>
  <c r="K649" i="2"/>
  <c r="K1379" i="2"/>
  <c r="K650" i="2"/>
  <c r="K1353" i="2"/>
  <c r="K1210" i="2"/>
  <c r="K1211" i="2"/>
  <c r="K1209" i="2"/>
  <c r="K651" i="2"/>
  <c r="K1212" i="2"/>
  <c r="K1354" i="2"/>
  <c r="K1213" i="2"/>
  <c r="K879" i="2"/>
  <c r="K652" i="2"/>
  <c r="K878" i="2"/>
  <c r="K1609" i="2"/>
  <c r="K1559" i="2"/>
  <c r="K880" i="2"/>
  <c r="K1380" i="2"/>
  <c r="K1214" i="2"/>
  <c r="K653" i="2"/>
  <c r="K655" i="2"/>
  <c r="K1215" i="2"/>
  <c r="K1216" i="2"/>
  <c r="K654" i="2"/>
  <c r="K881" i="2"/>
  <c r="K662" i="2"/>
  <c r="K663" i="2"/>
  <c r="K664" i="2"/>
  <c r="K665" i="2"/>
  <c r="K670" i="2"/>
  <c r="K657" i="2"/>
  <c r="K658" i="2"/>
  <c r="K656" i="2"/>
  <c r="K659" i="2"/>
  <c r="K660" i="2"/>
  <c r="K661" i="2"/>
  <c r="K666" i="2"/>
  <c r="K1217" i="2"/>
  <c r="K667" i="2"/>
  <c r="K668" i="2"/>
  <c r="K669" i="2"/>
  <c r="K882" i="2"/>
  <c r="K1453" i="2"/>
  <c r="K1449" i="2"/>
  <c r="K1450" i="2"/>
  <c r="K1451" i="2"/>
  <c r="K1452" i="2"/>
  <c r="K1560" i="2"/>
  <c r="K1355" i="2"/>
  <c r="K883" i="2"/>
  <c r="K1218" i="2"/>
  <c r="K884" i="2"/>
  <c r="K1356" i="2"/>
  <c r="K1219" i="2"/>
  <c r="K885" i="2"/>
  <c r="K3" i="2"/>
  <c r="I3" i="2"/>
</calcChain>
</file>

<file path=xl/sharedStrings.xml><?xml version="1.0" encoding="utf-8"?>
<sst xmlns="http://schemas.openxmlformats.org/spreadsheetml/2006/main" count="47664" uniqueCount="3846">
  <si>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</si>
  <si>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</si>
  <si>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</si>
  <si>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</si>
  <si>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</si>
  <si>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</si>
  <si>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</si>
  <si>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</si>
  <si>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t>Producer Commission Data - Individual</t>
    </r>
    <r>
      <rPr>
        <sz val="18"/>
        <color rgb="FFFFFFFF"/>
        <rFont val="Arial"/>
        <charset val="1"/>
      </rPr>
      <t xml:space="preserve">
For Period: January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</si>
  <si>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</si>
  <si>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</si>
  <si>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</si>
  <si>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</si>
  <si>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</si>
  <si>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</si>
  <si>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</si>
  <si>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</si>
  <si>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</si>
  <si>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</si>
  <si>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</si>
  <si>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</si>
  <si>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</si>
  <si>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</si>
  <si>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</si>
  <si>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</si>
  <si>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</si>
  <si>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</si>
  <si>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</si>
  <si>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</si>
  <si>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</si>
  <si>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</si>
  <si>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</si>
  <si>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</si>
  <si>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</si>
  <si>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107864424-SU-JASON R HOFFMANN</t>
  </si>
  <si>
    <t>H</t>
  </si>
  <si>
    <t>069098</t>
  </si>
  <si>
    <t>1</t>
  </si>
  <si>
    <t>000804340341</t>
  </si>
  <si>
    <t>OAKLEY, TAMMY</t>
  </si>
  <si>
    <t>P</t>
  </si>
  <si>
    <t>000,000.00</t>
  </si>
  <si>
    <t>20250301</t>
  </si>
  <si>
    <t>20230101</t>
  </si>
  <si>
    <t>026</t>
  </si>
  <si>
    <t>MM2</t>
  </si>
  <si>
    <t>N</t>
  </si>
  <si>
    <t>$01.00</t>
  </si>
  <si>
    <t>0.0000</t>
  </si>
  <si>
    <t>107864424</t>
  </si>
  <si>
    <t>Renew Flat</t>
  </si>
  <si>
    <t>20250201</t>
  </si>
  <si>
    <t>025</t>
  </si>
  <si>
    <t>000,301.00</t>
  </si>
  <si>
    <t>$/Member</t>
  </si>
  <si>
    <t>IS1800</t>
  </si>
  <si>
    <t>000921184433</t>
  </si>
  <si>
    <t>PREUITT, JEFFREY</t>
  </si>
  <si>
    <t>20250101</t>
  </si>
  <si>
    <t>002</t>
  </si>
  <si>
    <t>BLUEPRECISION^</t>
  </si>
  <si>
    <t>030.00</t>
  </si>
  <si>
    <t>000,030.00</t>
  </si>
  <si>
    <t>IG1300</t>
  </si>
  <si>
    <t>000921379937</t>
  </si>
  <si>
    <t>UPHOFF, TERRI</t>
  </si>
  <si>
    <t>000921662766</t>
  </si>
  <si>
    <t>JEDLINK, KRISTINA</t>
  </si>
  <si>
    <t>20240601</t>
  </si>
  <si>
    <t>009</t>
  </si>
  <si>
    <t>000921726368</t>
  </si>
  <si>
    <t>SASSO, GUY</t>
  </si>
  <si>
    <t>000.00</t>
  </si>
  <si>
    <t>IS1402</t>
  </si>
  <si>
    <t>000921730914</t>
  </si>
  <si>
    <t>RUBENACKER, AMY</t>
  </si>
  <si>
    <t>20240801</t>
  </si>
  <si>
    <t>007</t>
  </si>
  <si>
    <t>BLUECHOICEPRF^</t>
  </si>
  <si>
    <t>025.00</t>
  </si>
  <si>
    <t>000,025.00</t>
  </si>
  <si>
    <t>IG1302</t>
  </si>
  <si>
    <t>000921730915</t>
  </si>
  <si>
    <t>LEVIN, AVA</t>
  </si>
  <si>
    <t>000921732105</t>
  </si>
  <si>
    <t>SHACKLEY, MAGGIE</t>
  </si>
  <si>
    <t>000921733203</t>
  </si>
  <si>
    <t>LESUER, ALLYSIA</t>
  </si>
  <si>
    <t>000921733906</t>
  </si>
  <si>
    <t>ABBOTT, BREE</t>
  </si>
  <si>
    <t>20240901</t>
  </si>
  <si>
    <t>006</t>
  </si>
  <si>
    <t>IB1305</t>
  </si>
  <si>
    <t>2</t>
  </si>
  <si>
    <t>000921733907</t>
  </si>
  <si>
    <t>HAMM, DAVID</t>
  </si>
  <si>
    <t>000,050.00</t>
  </si>
  <si>
    <t>IS1802</t>
  </si>
  <si>
    <t>000921733944</t>
  </si>
  <si>
    <t>RODGERS, GARRETT</t>
  </si>
  <si>
    <t>000921741039</t>
  </si>
  <si>
    <t>SPOERER, MOLLIE</t>
  </si>
  <si>
    <t>20241001</t>
  </si>
  <si>
    <t>005</t>
  </si>
  <si>
    <t>004</t>
  </si>
  <si>
    <t>000921743288</t>
  </si>
  <si>
    <t>MALONE, JULIA</t>
  </si>
  <si>
    <t>20241101</t>
  </si>
  <si>
    <t>% Premium Flat</t>
  </si>
  <si>
    <t>D</t>
  </si>
  <si>
    <t>DI1561</t>
  </si>
  <si>
    <t>000921751437</t>
  </si>
  <si>
    <t>FRANKEL, ROBERT</t>
  </si>
  <si>
    <t>000,015.33</t>
  </si>
  <si>
    <t>DENPPO^</t>
  </si>
  <si>
    <t>100.00</t>
  </si>
  <si>
    <t>0.0600</t>
  </si>
  <si>
    <t>000,000.92</t>
  </si>
  <si>
    <t>IB1300</t>
  </si>
  <si>
    <t>000921751918</t>
  </si>
  <si>
    <t>TIPLER, BRAD</t>
  </si>
  <si>
    <t>000921752647</t>
  </si>
  <si>
    <t>GREENE, YAKIENA</t>
  </si>
  <si>
    <t>IS1300</t>
  </si>
  <si>
    <t>000921764752</t>
  </si>
  <si>
    <t>BELANGER, SNOBIA</t>
  </si>
  <si>
    <t>000921767016</t>
  </si>
  <si>
    <t>JOHNSON, AMBER</t>
  </si>
  <si>
    <t>001</t>
  </si>
  <si>
    <t>107865740-SU-GREGORY K TEIPEL</t>
  </si>
  <si>
    <t>IS1404</t>
  </si>
  <si>
    <t>000890201904</t>
  </si>
  <si>
    <t>BLAKE, LAURA</t>
  </si>
  <si>
    <t>20141201</t>
  </si>
  <si>
    <t>123</t>
  </si>
  <si>
    <t>BLUECAREDIRCT^</t>
  </si>
  <si>
    <t>020.00</t>
  </si>
  <si>
    <t>000,020.00</t>
  </si>
  <si>
    <t>107865740</t>
  </si>
  <si>
    <t>000890675110</t>
  </si>
  <si>
    <t>HURZELER, JOHN</t>
  </si>
  <si>
    <t>20200601</t>
  </si>
  <si>
    <t>057</t>
  </si>
  <si>
    <t>IB1402</t>
  </si>
  <si>
    <t>000920793160</t>
  </si>
  <si>
    <t>PRITCHARD, JILL</t>
  </si>
  <si>
    <t>20230901</t>
  </si>
  <si>
    <t>018</t>
  </si>
  <si>
    <t>000,040.00</t>
  </si>
  <si>
    <t>IB1803</t>
  </si>
  <si>
    <t>000920802434</t>
  </si>
  <si>
    <t>CHUNG, HEESOOK</t>
  </si>
  <si>
    <t>000920816684</t>
  </si>
  <si>
    <t>SMITH, JULIE</t>
  </si>
  <si>
    <t>20210101</t>
  </si>
  <si>
    <t>050</t>
  </si>
  <si>
    <t>000920983352</t>
  </si>
  <si>
    <t>JENSEN, TERESA</t>
  </si>
  <si>
    <t>20170101</t>
  </si>
  <si>
    <t>098</t>
  </si>
  <si>
    <t>000921027292</t>
  </si>
  <si>
    <t>HENDRICKSON, TIMOTHY</t>
  </si>
  <si>
    <t>20201201</t>
  </si>
  <si>
    <t>051</t>
  </si>
  <si>
    <t>000921031639</t>
  </si>
  <si>
    <t>VOLLAND, RONALD</t>
  </si>
  <si>
    <t>000921047933</t>
  </si>
  <si>
    <t>DEASE, MAX</t>
  </si>
  <si>
    <t>20150101</t>
  </si>
  <si>
    <t>122</t>
  </si>
  <si>
    <t>121</t>
  </si>
  <si>
    <t>120</t>
  </si>
  <si>
    <t>20241201</t>
  </si>
  <si>
    <t>119</t>
  </si>
  <si>
    <t>000921095896</t>
  </si>
  <si>
    <t>MUELLER, BRIAN</t>
  </si>
  <si>
    <t>000921108007</t>
  </si>
  <si>
    <t>PETSCHE, GREGORY</t>
  </si>
  <si>
    <t>20150301</t>
  </si>
  <si>
    <t>000921115069</t>
  </si>
  <si>
    <t>HERMANN, WILLIAM</t>
  </si>
  <si>
    <t>20240501</t>
  </si>
  <si>
    <t>010</t>
  </si>
  <si>
    <t>IS1301</t>
  </si>
  <si>
    <t>000921202225</t>
  </si>
  <si>
    <t>FALCO, TINA</t>
  </si>
  <si>
    <t>20160101</t>
  </si>
  <si>
    <t>110</t>
  </si>
  <si>
    <t>000921264796</t>
  </si>
  <si>
    <t>VARGAS, JUAN</t>
  </si>
  <si>
    <t>20160401</t>
  </si>
  <si>
    <t>107</t>
  </si>
  <si>
    <t>IS1506</t>
  </si>
  <si>
    <t>000921276081</t>
  </si>
  <si>
    <t>KRAMER, TINA</t>
  </si>
  <si>
    <t>20160801</t>
  </si>
  <si>
    <t>102</t>
  </si>
  <si>
    <t>MYBLUEPLUS^</t>
  </si>
  <si>
    <t>000921300992</t>
  </si>
  <si>
    <t>TJADEN, MICHELE</t>
  </si>
  <si>
    <t>20220101</t>
  </si>
  <si>
    <t>038</t>
  </si>
  <si>
    <t>IS1507</t>
  </si>
  <si>
    <t>000921339518</t>
  </si>
  <si>
    <t>FREY, STEPHEN</t>
  </si>
  <si>
    <t>000921341816</t>
  </si>
  <si>
    <t>KILEY, JOHN</t>
  </si>
  <si>
    <t>20210601</t>
  </si>
  <si>
    <t>045</t>
  </si>
  <si>
    <t>4-</t>
  </si>
  <si>
    <t>000921424259</t>
  </si>
  <si>
    <t>VOLK, TIFFANY</t>
  </si>
  <si>
    <t>20211001</t>
  </si>
  <si>
    <t>040</t>
  </si>
  <si>
    <t>000,080.00-</t>
  </si>
  <si>
    <t>000921462867</t>
  </si>
  <si>
    <t>BURDI, CARMELLA</t>
  </si>
  <si>
    <t>20190101</t>
  </si>
  <si>
    <t>074</t>
  </si>
  <si>
    <t>000921471284</t>
  </si>
  <si>
    <t>HARMON, PAULA</t>
  </si>
  <si>
    <t>20190501</t>
  </si>
  <si>
    <t>070</t>
  </si>
  <si>
    <t>000921479653</t>
  </si>
  <si>
    <t>SNODGRASS, KELSEY</t>
  </si>
  <si>
    <t>20190801</t>
  </si>
  <si>
    <t>067</t>
  </si>
  <si>
    <t>000921496012</t>
  </si>
  <si>
    <t>HOOD, AMY</t>
  </si>
  <si>
    <t>20200101</t>
  </si>
  <si>
    <t>061</t>
  </si>
  <si>
    <t>5</t>
  </si>
  <si>
    <t>000921513874</t>
  </si>
  <si>
    <t>FRANCHI, EVAGELIA</t>
  </si>
  <si>
    <t>20240101</t>
  </si>
  <si>
    <t>014</t>
  </si>
  <si>
    <t>000,125.00</t>
  </si>
  <si>
    <t>000921531868</t>
  </si>
  <si>
    <t>JENKINS, CHRISTOPHER</t>
  </si>
  <si>
    <t>20201101</t>
  </si>
  <si>
    <t>052</t>
  </si>
  <si>
    <t>DI1551</t>
  </si>
  <si>
    <t>000,018.04</t>
  </si>
  <si>
    <t>0.0400</t>
  </si>
  <si>
    <t>000,000.72</t>
  </si>
  <si>
    <t>IB1303</t>
  </si>
  <si>
    <t>000921535183</t>
  </si>
  <si>
    <t>WHITTAKER, KENN</t>
  </si>
  <si>
    <t>IB1302</t>
  </si>
  <si>
    <t>000921544469</t>
  </si>
  <si>
    <t>PORTER, DENNISE</t>
  </si>
  <si>
    <t>000921546691</t>
  </si>
  <si>
    <t>DAWID, AGNIESZKA</t>
  </si>
  <si>
    <t>000921551673</t>
  </si>
  <si>
    <t>OLSON, SCOTT</t>
  </si>
  <si>
    <t>000921555423</t>
  </si>
  <si>
    <t>CASTRO, ANTHONY</t>
  </si>
  <si>
    <t>20210201</t>
  </si>
  <si>
    <t>049</t>
  </si>
  <si>
    <t>015.00</t>
  </si>
  <si>
    <t>000,015.00</t>
  </si>
  <si>
    <t>000921562893</t>
  </si>
  <si>
    <t>CHASE, DOMINIQUE</t>
  </si>
  <si>
    <t>20210501</t>
  </si>
  <si>
    <t>046</t>
  </si>
  <si>
    <t>000921567248</t>
  </si>
  <si>
    <t>SUNDBERG, BRIAN</t>
  </si>
  <si>
    <t>IS1302</t>
  </si>
  <si>
    <t>000921573554</t>
  </si>
  <si>
    <t>STEINGREABER, KATE</t>
  </si>
  <si>
    <t>20230501</t>
  </si>
  <si>
    <t>022</t>
  </si>
  <si>
    <t>000921574908</t>
  </si>
  <si>
    <t>GOMEZ, JOSE</t>
  </si>
  <si>
    <t>20210701</t>
  </si>
  <si>
    <t>044</t>
  </si>
  <si>
    <t>000921577896</t>
  </si>
  <si>
    <t>WALKER, YVONNE</t>
  </si>
  <si>
    <t>20210801</t>
  </si>
  <si>
    <t>043</t>
  </si>
  <si>
    <t>3</t>
  </si>
  <si>
    <t>000921582482</t>
  </si>
  <si>
    <t>CATALANOTTO, JENNIFER</t>
  </si>
  <si>
    <t>20210901</t>
  </si>
  <si>
    <t>042</t>
  </si>
  <si>
    <t>000,075.00</t>
  </si>
  <si>
    <t>000921586005</t>
  </si>
  <si>
    <t>RAY, WILMA</t>
  </si>
  <si>
    <t>20211101</t>
  </si>
  <si>
    <t>000921587908</t>
  </si>
  <si>
    <t>STAPLETON, LATOYA</t>
  </si>
  <si>
    <t>20211201</t>
  </si>
  <si>
    <t>039</t>
  </si>
  <si>
    <t>000921591311</t>
  </si>
  <si>
    <t>FITZPATRICK, EMILY</t>
  </si>
  <si>
    <t>000921597241</t>
  </si>
  <si>
    <t>VELEZ, MARITZA</t>
  </si>
  <si>
    <t>000921598890</t>
  </si>
  <si>
    <t>ZAVERI, MAHAVIR</t>
  </si>
  <si>
    <t>000921604394</t>
  </si>
  <si>
    <t>DAILEY, GARY</t>
  </si>
  <si>
    <t>20240401</t>
  </si>
  <si>
    <t>011</t>
  </si>
  <si>
    <t>000921619860</t>
  </si>
  <si>
    <t>PIUNNO, RACHAEL</t>
  </si>
  <si>
    <t>20220901</t>
  </si>
  <si>
    <t>029</t>
  </si>
  <si>
    <t>000921622828</t>
  </si>
  <si>
    <t>LANGE, KAREN</t>
  </si>
  <si>
    <t>20221001</t>
  </si>
  <si>
    <t>000921625646</t>
  </si>
  <si>
    <t>SANDERS, SHARON</t>
  </si>
  <si>
    <t>20240701</t>
  </si>
  <si>
    <t>008</t>
  </si>
  <si>
    <t>000921638777</t>
  </si>
  <si>
    <t>LASCELLES, JEREMIAH</t>
  </si>
  <si>
    <t>IG1800</t>
  </si>
  <si>
    <t>000921641060</t>
  </si>
  <si>
    <t>FALCO, MYRANDA</t>
  </si>
  <si>
    <t>000921641942</t>
  </si>
  <si>
    <t>DIANA, CHASE</t>
  </si>
  <si>
    <t>000921644115</t>
  </si>
  <si>
    <t>HUTCHISON, LISABETH</t>
  </si>
  <si>
    <t>20230201</t>
  </si>
  <si>
    <t>000,060.00</t>
  </si>
  <si>
    <t>000921648611</t>
  </si>
  <si>
    <t>DIAZ FLORES, SETH</t>
  </si>
  <si>
    <t>000921651612</t>
  </si>
  <si>
    <t>THOMAS, PATSY</t>
  </si>
  <si>
    <t>20230301</t>
  </si>
  <si>
    <t>024</t>
  </si>
  <si>
    <t>000921662305</t>
  </si>
  <si>
    <t>BUERER, BOBBIE</t>
  </si>
  <si>
    <t>20230701</t>
  </si>
  <si>
    <t>020</t>
  </si>
  <si>
    <t>000921666328</t>
  </si>
  <si>
    <t>HABICH, CORBIN</t>
  </si>
  <si>
    <t>20230801</t>
  </si>
  <si>
    <t>019</t>
  </si>
  <si>
    <t>000921670337</t>
  </si>
  <si>
    <t>PRITCHARD, ALEX</t>
  </si>
  <si>
    <t>017</t>
  </si>
  <si>
    <t>000921677342</t>
  </si>
  <si>
    <t>GRIZZARD, KATHERINE</t>
  </si>
  <si>
    <t>013</t>
  </si>
  <si>
    <t>000921679447</t>
  </si>
  <si>
    <t>CORSO, ISABELLA</t>
  </si>
  <si>
    <t>000921681086</t>
  </si>
  <si>
    <t>DESAI, SARAH</t>
  </si>
  <si>
    <t>000921684156</t>
  </si>
  <si>
    <t>TOWNSEND, MELISSA</t>
  </si>
  <si>
    <t>000921684722</t>
  </si>
  <si>
    <t>THOMAS, TAMBORIA</t>
  </si>
  <si>
    <t>000921701817</t>
  </si>
  <si>
    <t>STEINER-GRAW, JENNY-MAE</t>
  </si>
  <si>
    <t>20240201</t>
  </si>
  <si>
    <t>000921701836</t>
  </si>
  <si>
    <t>STEINER-GRAW, KAYLA</t>
  </si>
  <si>
    <t>000921712012</t>
  </si>
  <si>
    <t>WILSON, JAMES</t>
  </si>
  <si>
    <t>20240301</t>
  </si>
  <si>
    <t>012</t>
  </si>
  <si>
    <t>000921717898</t>
  </si>
  <si>
    <t>AUDINO, ANTHONY</t>
  </si>
  <si>
    <t>000921720602</t>
  </si>
  <si>
    <t>POWER, CAROLE</t>
  </si>
  <si>
    <t>000921720708</t>
  </si>
  <si>
    <t>KRAMER, THOMAS</t>
  </si>
  <si>
    <t>000921720928</t>
  </si>
  <si>
    <t>WISNESKI, SUSAN</t>
  </si>
  <si>
    <t>000921729559</t>
  </si>
  <si>
    <t>TALAGA, IVY</t>
  </si>
  <si>
    <t>000921733663</t>
  </si>
  <si>
    <t>HENDERSON, EDNA</t>
  </si>
  <si>
    <t>000921737821</t>
  </si>
  <si>
    <t>FUNDERBURGH, DENISE</t>
  </si>
  <si>
    <t>000921742076</t>
  </si>
  <si>
    <t>WEYBRIGHT, MICHAEL</t>
  </si>
  <si>
    <t>000921743381</t>
  </si>
  <si>
    <t>BLUCHER, KELLY</t>
  </si>
  <si>
    <t>000921743807</t>
  </si>
  <si>
    <t>SANCHEZ, GLORIA</t>
  </si>
  <si>
    <t>000921746727</t>
  </si>
  <si>
    <t>TOPF, AMY</t>
  </si>
  <si>
    <t>000921750205</t>
  </si>
  <si>
    <t>STANCZYK, EMILIE</t>
  </si>
  <si>
    <t>003</t>
  </si>
  <si>
    <t>IB1577</t>
  </si>
  <si>
    <t>000921751114</t>
  </si>
  <si>
    <t>LUTTMER, KATHLEEN</t>
  </si>
  <si>
    <t>000921752543</t>
  </si>
  <si>
    <t>DIANA, MARY</t>
  </si>
  <si>
    <t>000921752866</t>
  </si>
  <si>
    <t>FREDRICKS, GLORIA</t>
  </si>
  <si>
    <t>000921766263</t>
  </si>
  <si>
    <t>CATALANO, ELIZABETH</t>
  </si>
  <si>
    <t>000925238193</t>
  </si>
  <si>
    <t>NAEGELIN, JULIE</t>
  </si>
  <si>
    <t>IST300</t>
  </si>
  <si>
    <t>000957185285</t>
  </si>
  <si>
    <t>ORZECHOWSKI, LAURA</t>
  </si>
  <si>
    <t>000,132.47</t>
  </si>
  <si>
    <t>MED</t>
  </si>
  <si>
    <t>0.1000</t>
  </si>
  <si>
    <t>000,013.25</t>
  </si>
  <si>
    <t>107865749-SU-RYAN J CALTAGIRONE</t>
  </si>
  <si>
    <t>000920730191</t>
  </si>
  <si>
    <t>NALLY, ROGER</t>
  </si>
  <si>
    <t>107865749</t>
  </si>
  <si>
    <t>IB1801</t>
  </si>
  <si>
    <t>000920749347</t>
  </si>
  <si>
    <t>ROMERO-PEREZ, ROBERTO</t>
  </si>
  <si>
    <t>000920830927</t>
  </si>
  <si>
    <t>RICCHIUTO, PATRICK</t>
  </si>
  <si>
    <t>IB1500</t>
  </si>
  <si>
    <t>000920903863</t>
  </si>
  <si>
    <t>HILL, WAYNE</t>
  </si>
  <si>
    <t>20140501</t>
  </si>
  <si>
    <t>130</t>
  </si>
  <si>
    <t>000920955115</t>
  </si>
  <si>
    <t>SODA, TARA</t>
  </si>
  <si>
    <t>20141001</t>
  </si>
  <si>
    <t>125</t>
  </si>
  <si>
    <t>DI2532</t>
  </si>
  <si>
    <t>000,035.73</t>
  </si>
  <si>
    <t>000,001.43</t>
  </si>
  <si>
    <t>000920981701</t>
  </si>
  <si>
    <t>HEFTER, MICHAEL</t>
  </si>
  <si>
    <t>20220401</t>
  </si>
  <si>
    <t>035</t>
  </si>
  <si>
    <t>034</t>
  </si>
  <si>
    <t>000920981974</t>
  </si>
  <si>
    <t>CURA, LINDA</t>
  </si>
  <si>
    <t>000921022638</t>
  </si>
  <si>
    <t>PISTORIUS, BRIAN</t>
  </si>
  <si>
    <t>000921035908</t>
  </si>
  <si>
    <t>HEWING, JOSEPH</t>
  </si>
  <si>
    <t>000921183633</t>
  </si>
  <si>
    <t>MALONE, JOANNE</t>
  </si>
  <si>
    <t>000921481823</t>
  </si>
  <si>
    <t>GAULRAPP, ROBERT</t>
  </si>
  <si>
    <t>20190901</t>
  </si>
  <si>
    <t>066</t>
  </si>
  <si>
    <t>4</t>
  </si>
  <si>
    <t>000921505326</t>
  </si>
  <si>
    <t>LEUZZI, PETER</t>
  </si>
  <si>
    <t>062</t>
  </si>
  <si>
    <t>000,100.00</t>
  </si>
  <si>
    <t>000921525444</t>
  </si>
  <si>
    <t>COPPLE, KATHRYN</t>
  </si>
  <si>
    <t>20200701</t>
  </si>
  <si>
    <t>056</t>
  </si>
  <si>
    <t>000921537221</t>
  </si>
  <si>
    <t>SKRZYPCZYNSKI, KAREN</t>
  </si>
  <si>
    <t>000921537558</t>
  </si>
  <si>
    <t>PATI, BISWAJIT</t>
  </si>
  <si>
    <t>000921539279</t>
  </si>
  <si>
    <t>PROZ-OZINGA, AMY</t>
  </si>
  <si>
    <t>000921571971</t>
  </si>
  <si>
    <t>ESTRADA, MIGUEL</t>
  </si>
  <si>
    <t>000921571977</t>
  </si>
  <si>
    <t>MIKULA, MARK</t>
  </si>
  <si>
    <t>000921574576</t>
  </si>
  <si>
    <t>BURKE, LISA</t>
  </si>
  <si>
    <t>000,080.00</t>
  </si>
  <si>
    <t>000921592861</t>
  </si>
  <si>
    <t>GOLD, DYLAN</t>
  </si>
  <si>
    <t>000921624310</t>
  </si>
  <si>
    <t>MEHAFFEY, LANCE</t>
  </si>
  <si>
    <t>20221101</t>
  </si>
  <si>
    <t>028</t>
  </si>
  <si>
    <t>000921625249</t>
  </si>
  <si>
    <t>SIEROCKI, JOSEPH</t>
  </si>
  <si>
    <t>000921628689</t>
  </si>
  <si>
    <t>SCHNEIDER, JULIE</t>
  </si>
  <si>
    <t>000921663446</t>
  </si>
  <si>
    <t>BRUMFIELD, HARRIS</t>
  </si>
  <si>
    <t>000921677876</t>
  </si>
  <si>
    <t>PANE, DOMINICK</t>
  </si>
  <si>
    <t>000921685178</t>
  </si>
  <si>
    <t>DODARO, JOSEPH</t>
  </si>
  <si>
    <t>000921688598</t>
  </si>
  <si>
    <t>VELINO, PHILLIP</t>
  </si>
  <si>
    <t>000921707153</t>
  </si>
  <si>
    <t>WILLER, MARK</t>
  </si>
  <si>
    <t>000921712494</t>
  </si>
  <si>
    <t>BUSTOS, JACOB</t>
  </si>
  <si>
    <t>000921715827</t>
  </si>
  <si>
    <t>FARNAM, ETHAN</t>
  </si>
  <si>
    <t>000921729226</t>
  </si>
  <si>
    <t>SCHASSLER, DYLAN</t>
  </si>
  <si>
    <t>000921741288</t>
  </si>
  <si>
    <t>CRYDER, KYLER</t>
  </si>
  <si>
    <t>000921743524</t>
  </si>
  <si>
    <t>SHALLCROSS, THOMAS</t>
  </si>
  <si>
    <t>000921746658</t>
  </si>
  <si>
    <t>PARHAM, KRISTEN</t>
  </si>
  <si>
    <t>000921748122</t>
  </si>
  <si>
    <t>MOJICA WEEMS, CLAUDIA</t>
  </si>
  <si>
    <t>000921775979</t>
  </si>
  <si>
    <t>SHUMAN, CHRISTOPHER</t>
  </si>
  <si>
    <t>107874335-SU-EUGENE DANIEL ZANGARI</t>
  </si>
  <si>
    <t>000921667063</t>
  </si>
  <si>
    <t>TEAGUE, SABRINA</t>
  </si>
  <si>
    <t>107874335</t>
  </si>
  <si>
    <t>DI1541</t>
  </si>
  <si>
    <t>000,019.52</t>
  </si>
  <si>
    <t>000,001.17</t>
  </si>
  <si>
    <t>000921679661</t>
  </si>
  <si>
    <t>DICK, MONTANA</t>
  </si>
  <si>
    <t>107877777-SU-COLLEEN J FINNIGAN</t>
  </si>
  <si>
    <t>000890008999</t>
  </si>
  <si>
    <t>DEFILIPPIS, FRANK</t>
  </si>
  <si>
    <t>107877777</t>
  </si>
  <si>
    <t>000,107.02</t>
  </si>
  <si>
    <t>000,004.28</t>
  </si>
  <si>
    <t>000890124783</t>
  </si>
  <si>
    <t>STARON, MARC</t>
  </si>
  <si>
    <t>20140101</t>
  </si>
  <si>
    <t>134</t>
  </si>
  <si>
    <t>133</t>
  </si>
  <si>
    <t>000890172002</t>
  </si>
  <si>
    <t>EKINS, NANCY</t>
  </si>
  <si>
    <t>000890328011</t>
  </si>
  <si>
    <t>FARRIS, LISA</t>
  </si>
  <si>
    <t>000890574813</t>
  </si>
  <si>
    <t>LUCAS, BRADLEY</t>
  </si>
  <si>
    <t>20180101</t>
  </si>
  <si>
    <t>086</t>
  </si>
  <si>
    <t>000,000.78</t>
  </si>
  <si>
    <t>000890666927</t>
  </si>
  <si>
    <t>PAULIUS, VILIJA</t>
  </si>
  <si>
    <t>000920740081</t>
  </si>
  <si>
    <t>FRANCIS, ADAM</t>
  </si>
  <si>
    <t>000920781642</t>
  </si>
  <si>
    <t>GEORGEAN, JOHN</t>
  </si>
  <si>
    <t>20140201</t>
  </si>
  <si>
    <t>132</t>
  </si>
  <si>
    <t>000920811116</t>
  </si>
  <si>
    <t>FUSHI, GEORGE</t>
  </si>
  <si>
    <t>000920843306</t>
  </si>
  <si>
    <t>MARSH, DIANE</t>
  </si>
  <si>
    <t>20140401</t>
  </si>
  <si>
    <t>131</t>
  </si>
  <si>
    <t>000920870350</t>
  </si>
  <si>
    <t>FINNIGAN, COLLEEN</t>
  </si>
  <si>
    <t>20180601</t>
  </si>
  <si>
    <t>081</t>
  </si>
  <si>
    <t>000920936858</t>
  </si>
  <si>
    <t>FLORES, TONI</t>
  </si>
  <si>
    <t>000921022343</t>
  </si>
  <si>
    <t>JOERGENS, JANICE</t>
  </si>
  <si>
    <t>DI2542</t>
  </si>
  <si>
    <t>000,023.98</t>
  </si>
  <si>
    <t>000,000.96</t>
  </si>
  <si>
    <t>000921065097</t>
  </si>
  <si>
    <t>BAJIC, BILJANA</t>
  </si>
  <si>
    <t>20150201</t>
  </si>
  <si>
    <t>DI1531</t>
  </si>
  <si>
    <t>000,002.14</t>
  </si>
  <si>
    <t>000921101342</t>
  </si>
  <si>
    <t>KEZDI-HAMZELOO, LAURA</t>
  </si>
  <si>
    <t>000921149201</t>
  </si>
  <si>
    <t>BROOKS, MICHELLE</t>
  </si>
  <si>
    <t>20200901</t>
  </si>
  <si>
    <t>054</t>
  </si>
  <si>
    <t>000921168158</t>
  </si>
  <si>
    <t>RAMOS, VINCE</t>
  </si>
  <si>
    <t>000921194798</t>
  </si>
  <si>
    <t>MCCARRON, MARIA</t>
  </si>
  <si>
    <t>20231101</t>
  </si>
  <si>
    <t>016</t>
  </si>
  <si>
    <t>000921271595</t>
  </si>
  <si>
    <t>POPP, HALEY</t>
  </si>
  <si>
    <t>021</t>
  </si>
  <si>
    <t>000921395856</t>
  </si>
  <si>
    <t>KENNEDY, MICHELLE</t>
  </si>
  <si>
    <t>000921421818</t>
  </si>
  <si>
    <t>RICHARDSON, JACQUELYNN</t>
  </si>
  <si>
    <t>20191001</t>
  </si>
  <si>
    <t>065</t>
  </si>
  <si>
    <t>000921529579</t>
  </si>
  <si>
    <t>TOLLARD, DELBERT</t>
  </si>
  <si>
    <t>053</t>
  </si>
  <si>
    <t>000921532153</t>
  </si>
  <si>
    <t>FUSHI, SUZANNE</t>
  </si>
  <si>
    <t>000921533063</t>
  </si>
  <si>
    <t>EXTROM, SAMANTHA</t>
  </si>
  <si>
    <t>1-</t>
  </si>
  <si>
    <t>000921534664</t>
  </si>
  <si>
    <t>WOLF, ELISSA</t>
  </si>
  <si>
    <t>000,025.00-</t>
  </si>
  <si>
    <t>000921542300</t>
  </si>
  <si>
    <t>GARCIA, RICHARD</t>
  </si>
  <si>
    <t>000921566327</t>
  </si>
  <si>
    <t>FREDRICK, MICHAEL</t>
  </si>
  <si>
    <t>000921570655</t>
  </si>
  <si>
    <t>VOLPE, MICHAEL</t>
  </si>
  <si>
    <t>000921571517</t>
  </si>
  <si>
    <t>TARALLO, VITO</t>
  </si>
  <si>
    <t>000921588661</t>
  </si>
  <si>
    <t>HEINTZE, STACIE</t>
  </si>
  <si>
    <t>000921613688</t>
  </si>
  <si>
    <t>COOK, LAURA</t>
  </si>
  <si>
    <t>20220601</t>
  </si>
  <si>
    <t>033</t>
  </si>
  <si>
    <t>000921616642</t>
  </si>
  <si>
    <t>WALSH, PETER</t>
  </si>
  <si>
    <t>20220701</t>
  </si>
  <si>
    <t>032</t>
  </si>
  <si>
    <t>000921641428</t>
  </si>
  <si>
    <t>IRPINO, CATHERINE</t>
  </si>
  <si>
    <t>000921662308</t>
  </si>
  <si>
    <t>PANTALEO, VALERIE</t>
  </si>
  <si>
    <t>000921662432</t>
  </si>
  <si>
    <t>COLEMAN, CEDRIC</t>
  </si>
  <si>
    <t>000921703384</t>
  </si>
  <si>
    <t>PACK, GABRIEL</t>
  </si>
  <si>
    <t>000921715790</t>
  </si>
  <si>
    <t>MEADOWS, KEVIN</t>
  </si>
  <si>
    <t>IG1801</t>
  </si>
  <si>
    <t>000921734761</t>
  </si>
  <si>
    <t>GAGLIARDOTTO, DOMINIC</t>
  </si>
  <si>
    <t>000921738200</t>
  </si>
  <si>
    <t>TARALLO, THOMAS</t>
  </si>
  <si>
    <t>000921751990</t>
  </si>
  <si>
    <t>MCGUIRK, HUGH</t>
  </si>
  <si>
    <t>000921753579</t>
  </si>
  <si>
    <t>TURSKEY, SUSAN</t>
  </si>
  <si>
    <t>107879365-SU-MICHELA ROZMAN</t>
  </si>
  <si>
    <t>000921611719</t>
  </si>
  <si>
    <t>MATTERN, MATHIAS</t>
  </si>
  <si>
    <t>20220301</t>
  </si>
  <si>
    <t>036</t>
  </si>
  <si>
    <t>107879365</t>
  </si>
  <si>
    <t>107888445-SU-MATTHEW DAUGHERTY</t>
  </si>
  <si>
    <t>000890140464</t>
  </si>
  <si>
    <t>LEKAS, PETER</t>
  </si>
  <si>
    <t>107888445</t>
  </si>
  <si>
    <t>000920723118</t>
  </si>
  <si>
    <t>CROSSETT, DEANNA</t>
  </si>
  <si>
    <t>107928670-SU-TIMOTHY HODGMAN</t>
  </si>
  <si>
    <t>069121</t>
  </si>
  <si>
    <t>000804490522</t>
  </si>
  <si>
    <t>STUENKEL, THOMAS</t>
  </si>
  <si>
    <t>107928670</t>
  </si>
  <si>
    <t>Flat Annual</t>
  </si>
  <si>
    <t>000890147974</t>
  </si>
  <si>
    <t>JOHNSON, RONALD</t>
  </si>
  <si>
    <t>000921487022</t>
  </si>
  <si>
    <t>GOSS, TIMOTHY</t>
  </si>
  <si>
    <t>20191101</t>
  </si>
  <si>
    <t>063</t>
  </si>
  <si>
    <t>000921579057</t>
  </si>
  <si>
    <t>NAVARROLI, ANTHONY</t>
  </si>
  <si>
    <t>000921708287</t>
  </si>
  <si>
    <t>TEKAMPE, DANIELLE</t>
  </si>
  <si>
    <t>IB1501</t>
  </si>
  <si>
    <t>000921774098</t>
  </si>
  <si>
    <t>STRUCHEN, KELSEY</t>
  </si>
  <si>
    <t>107928688-SU-GARY PORTUGAL</t>
  </si>
  <si>
    <t>069995</t>
  </si>
  <si>
    <t>000808513753</t>
  </si>
  <si>
    <t>SCHOENEMAN, GARY</t>
  </si>
  <si>
    <t>PD2</t>
  </si>
  <si>
    <t>107928688</t>
  </si>
  <si>
    <t>000808526068</t>
  </si>
  <si>
    <t>BERNARDO, KEN</t>
  </si>
  <si>
    <t>000,027.70</t>
  </si>
  <si>
    <t>000808534987</t>
  </si>
  <si>
    <t>FINK, GAIL</t>
  </si>
  <si>
    <t>000,051.30</t>
  </si>
  <si>
    <t>PDP</t>
  </si>
  <si>
    <t>000,013.00</t>
  </si>
  <si>
    <t>000890120981</t>
  </si>
  <si>
    <t>EATON, KRISTIN</t>
  </si>
  <si>
    <t>000890206999</t>
  </si>
  <si>
    <t>HUSKE, DORIAN</t>
  </si>
  <si>
    <t>000890254820</t>
  </si>
  <si>
    <t>KAPLAN, KAREN</t>
  </si>
  <si>
    <t>000890371264</t>
  </si>
  <si>
    <t>BRODY, STEVEN</t>
  </si>
  <si>
    <t>097</t>
  </si>
  <si>
    <t>000890657597</t>
  </si>
  <si>
    <t>BARRETO, YASER</t>
  </si>
  <si>
    <t>000920753040</t>
  </si>
  <si>
    <t>CLANTON, JUANITA</t>
  </si>
  <si>
    <t>000920756130</t>
  </si>
  <si>
    <t>HARMS, GREGORY</t>
  </si>
  <si>
    <t>000920842042</t>
  </si>
  <si>
    <t>BOONE, ERIN</t>
  </si>
  <si>
    <t>000920856141</t>
  </si>
  <si>
    <t>TRAN, NHI</t>
  </si>
  <si>
    <t>000920869620</t>
  </si>
  <si>
    <t>VONDRASEK, THOMAS</t>
  </si>
  <si>
    <t>000920901616</t>
  </si>
  <si>
    <t>ARUNASALAM, NEHRU</t>
  </si>
  <si>
    <t>000920933743</t>
  </si>
  <si>
    <t>MADENBERG, ANDREW</t>
  </si>
  <si>
    <t>000920983142</t>
  </si>
  <si>
    <t>PATEL, SURESHKUMAR</t>
  </si>
  <si>
    <t>000921014126</t>
  </si>
  <si>
    <t>GLAYSHER, ROBERT</t>
  </si>
  <si>
    <t>000921034787</t>
  </si>
  <si>
    <t>CAPLAN, DAVID</t>
  </si>
  <si>
    <t>000921086560</t>
  </si>
  <si>
    <t>KULIK JOHNSON, EVA</t>
  </si>
  <si>
    <t>000921106627</t>
  </si>
  <si>
    <t>MOORE, MITCHELL</t>
  </si>
  <si>
    <t>20150701</t>
  </si>
  <si>
    <t>116</t>
  </si>
  <si>
    <t>000921123556</t>
  </si>
  <si>
    <t>TAC, MARIOLA</t>
  </si>
  <si>
    <t>000921238046</t>
  </si>
  <si>
    <t>WENBERG, KAREN</t>
  </si>
  <si>
    <t>000921244967</t>
  </si>
  <si>
    <t>BEAULIEU, GABRIELA</t>
  </si>
  <si>
    <t>000921264987</t>
  </si>
  <si>
    <t>ORTHEY, THOMAS</t>
  </si>
  <si>
    <t>106</t>
  </si>
  <si>
    <t>000921296122</t>
  </si>
  <si>
    <t>BANKER, RUPESH</t>
  </si>
  <si>
    <t>000921302645</t>
  </si>
  <si>
    <t>SPENCE, JENNIFER</t>
  </si>
  <si>
    <t>000921309084</t>
  </si>
  <si>
    <t>STERGIOU, JOHN</t>
  </si>
  <si>
    <t>000921312795</t>
  </si>
  <si>
    <t>LEWIS, JAIME</t>
  </si>
  <si>
    <t>000921337456</t>
  </si>
  <si>
    <t>VARGAS, DANIEL</t>
  </si>
  <si>
    <t>20170201</t>
  </si>
  <si>
    <t>000921337457</t>
  </si>
  <si>
    <t>VARGAS, ELPIDIO</t>
  </si>
  <si>
    <t>000921339940</t>
  </si>
  <si>
    <t>WEAVER, MATTHEW</t>
  </si>
  <si>
    <t>000921343338</t>
  </si>
  <si>
    <t>SINGH, PRABHJOT</t>
  </si>
  <si>
    <t>20170301</t>
  </si>
  <si>
    <t>096</t>
  </si>
  <si>
    <t>000921344567</t>
  </si>
  <si>
    <t>SCHULTZ, LISA</t>
  </si>
  <si>
    <t>000921347604</t>
  </si>
  <si>
    <t>ALPER, MARK</t>
  </si>
  <si>
    <t>000921368213</t>
  </si>
  <si>
    <t>NAKHLEH, SIHAM</t>
  </si>
  <si>
    <t>000921372246</t>
  </si>
  <si>
    <t>EAVES, BRIAN</t>
  </si>
  <si>
    <t>000921377954</t>
  </si>
  <si>
    <t>MONTOYA, JOSE</t>
  </si>
  <si>
    <t>000921387647</t>
  </si>
  <si>
    <t>BEKOE, FLORENCE</t>
  </si>
  <si>
    <t>000,029.08</t>
  </si>
  <si>
    <t>000,001.16</t>
  </si>
  <si>
    <t>000921394151</t>
  </si>
  <si>
    <t>JAIME, EDUARDO</t>
  </si>
  <si>
    <t>085</t>
  </si>
  <si>
    <t>000921407195</t>
  </si>
  <si>
    <t>GOTTLIEB, DIANE</t>
  </si>
  <si>
    <t>000921431227</t>
  </si>
  <si>
    <t>TENZINGER, DIANE</t>
  </si>
  <si>
    <t>20231201</t>
  </si>
  <si>
    <t>015</t>
  </si>
  <si>
    <t>000921476427</t>
  </si>
  <si>
    <t>SOWLAT, IRIS</t>
  </si>
  <si>
    <t>000921489948</t>
  </si>
  <si>
    <t>HNAT, SANDRA</t>
  </si>
  <si>
    <t>064</t>
  </si>
  <si>
    <t>000921491009</t>
  </si>
  <si>
    <t>LEHRMAN, ROSS</t>
  </si>
  <si>
    <t>20191201</t>
  </si>
  <si>
    <t>000921491139</t>
  </si>
  <si>
    <t>KOLOMS, SARAH</t>
  </si>
  <si>
    <t>20200201</t>
  </si>
  <si>
    <t>000921496742</t>
  </si>
  <si>
    <t>MULANI, ASIYA</t>
  </si>
  <si>
    <t>000921502674</t>
  </si>
  <si>
    <t>CISNEROS, ALEX</t>
  </si>
  <si>
    <t>000921510733</t>
  </si>
  <si>
    <t>STEEN, MARGARET</t>
  </si>
  <si>
    <t>000921525689</t>
  </si>
  <si>
    <t>BEVERLEY, AMANDA</t>
  </si>
  <si>
    <t>000921533556</t>
  </si>
  <si>
    <t>LACSAMANA, ADELWISA</t>
  </si>
  <si>
    <t>000921533946</t>
  </si>
  <si>
    <t>MOJICA, DAMIAN</t>
  </si>
  <si>
    <t>000921537511</t>
  </si>
  <si>
    <t>BATKA, KATHLEEN</t>
  </si>
  <si>
    <t>000921540812</t>
  </si>
  <si>
    <t>JOHNSON, HEATHER</t>
  </si>
  <si>
    <t>037</t>
  </si>
  <si>
    <t>000921542136</t>
  </si>
  <si>
    <t>HERMODSON, STUART</t>
  </si>
  <si>
    <t>000921554788</t>
  </si>
  <si>
    <t>COLEMAN, JALEN</t>
  </si>
  <si>
    <t>000921566860</t>
  </si>
  <si>
    <t>ANDERSON, EDNALYN</t>
  </si>
  <si>
    <t>000921568641</t>
  </si>
  <si>
    <t>MARTINEZ, BRANDON</t>
  </si>
  <si>
    <t>000921571775</t>
  </si>
  <si>
    <t>INCISI, AUGENIJA</t>
  </si>
  <si>
    <t>000921576876</t>
  </si>
  <si>
    <t>OLKER, DALE</t>
  </si>
  <si>
    <t>000921576971</t>
  </si>
  <si>
    <t>SINGH, MANDEEP</t>
  </si>
  <si>
    <t>000921581876</t>
  </si>
  <si>
    <t>WARD, JESSE</t>
  </si>
  <si>
    <t>000921587989</t>
  </si>
  <si>
    <t>WILBERG, KAREN</t>
  </si>
  <si>
    <t>000921595294</t>
  </si>
  <si>
    <t>HNAT, TYLER</t>
  </si>
  <si>
    <t>000921596021</t>
  </si>
  <si>
    <t>HUDSON, WILLIAM</t>
  </si>
  <si>
    <t>000921597480</t>
  </si>
  <si>
    <t>PATEL, NILAM</t>
  </si>
  <si>
    <t>000921599923</t>
  </si>
  <si>
    <t>GLICKMAN, KATE</t>
  </si>
  <si>
    <t>000921602662</t>
  </si>
  <si>
    <t>DEMARCO, STEVEN</t>
  </si>
  <si>
    <t>20220201</t>
  </si>
  <si>
    <t>000921602893</t>
  </si>
  <si>
    <t>PATTISON, TIMOTHY</t>
  </si>
  <si>
    <t>000921609449</t>
  </si>
  <si>
    <t>SILVA, TERESA</t>
  </si>
  <si>
    <t>000921612575</t>
  </si>
  <si>
    <t>KOZIOL, JOSHUA</t>
  </si>
  <si>
    <t>20220501</t>
  </si>
  <si>
    <t>000921613480</t>
  </si>
  <si>
    <t>MONTOYA, JOHANNA</t>
  </si>
  <si>
    <t>000921618235</t>
  </si>
  <si>
    <t>RHYNER, MARTA</t>
  </si>
  <si>
    <t>000921621668</t>
  </si>
  <si>
    <t>BIGALKE, JULIE</t>
  </si>
  <si>
    <t>000921622438</t>
  </si>
  <si>
    <t>GARDNER, GINA</t>
  </si>
  <si>
    <t>000921626737</t>
  </si>
  <si>
    <t>CHAO, JOSE</t>
  </si>
  <si>
    <t>000921627135</t>
  </si>
  <si>
    <t>PITARGUE, IMELDA</t>
  </si>
  <si>
    <t>000921627521</t>
  </si>
  <si>
    <t>FRIED, JEFFERY</t>
  </si>
  <si>
    <t>000921629608</t>
  </si>
  <si>
    <t>SILVERSTEIN, MITCHELL</t>
  </si>
  <si>
    <t>000921644790</t>
  </si>
  <si>
    <t>VARGAS, ANGEL</t>
  </si>
  <si>
    <t>000921646053</t>
  </si>
  <si>
    <t>BOYLE, GREGORY</t>
  </si>
  <si>
    <t>000921647863</t>
  </si>
  <si>
    <t>GALICIA SALAS, MARIA</t>
  </si>
  <si>
    <t>000921659289</t>
  </si>
  <si>
    <t>VAVRINCHIK, PAUL</t>
  </si>
  <si>
    <t>20230601</t>
  </si>
  <si>
    <t>000921663223</t>
  </si>
  <si>
    <t>BUOSCIO, SUSAN</t>
  </si>
  <si>
    <t>000921667480</t>
  </si>
  <si>
    <t>LOOD, JANA</t>
  </si>
  <si>
    <t>000921668515</t>
  </si>
  <si>
    <t>GOLDFARB, JORDAN</t>
  </si>
  <si>
    <t>000921672098</t>
  </si>
  <si>
    <t>SCARBRO, ARTHUR</t>
  </si>
  <si>
    <t>20231001</t>
  </si>
  <si>
    <t>000921676193</t>
  </si>
  <si>
    <t>HOLDEN, ALEXIS</t>
  </si>
  <si>
    <t>20231004</t>
  </si>
  <si>
    <t>000921676615</t>
  </si>
  <si>
    <t>LOPEZ, LAURA</t>
  </si>
  <si>
    <t>20230930</t>
  </si>
  <si>
    <t>000921679337</t>
  </si>
  <si>
    <t>STAMATOUKOS, THOMAS</t>
  </si>
  <si>
    <t>000921680588</t>
  </si>
  <si>
    <t>MAY, THOMAS</t>
  </si>
  <si>
    <t>000921680843</t>
  </si>
  <si>
    <t>KALDIS, CHRISTOS</t>
  </si>
  <si>
    <t>000921686718</t>
  </si>
  <si>
    <t>SANSWEET, MICHAEL</t>
  </si>
  <si>
    <t>000921701460</t>
  </si>
  <si>
    <t>KONTOPOULOS, PETER</t>
  </si>
  <si>
    <t>000921703386</t>
  </si>
  <si>
    <t>MOJICA, DOMINIC</t>
  </si>
  <si>
    <t>000921712325</t>
  </si>
  <si>
    <t>BERNARDO, JASON</t>
  </si>
  <si>
    <t>000921714710</t>
  </si>
  <si>
    <t>RYHERD, LORETTA</t>
  </si>
  <si>
    <t>000921715402</t>
  </si>
  <si>
    <t>FRANCO, HENRY</t>
  </si>
  <si>
    <t>000921733363</t>
  </si>
  <si>
    <t>MILLER, SANDRA</t>
  </si>
  <si>
    <t>000921747583</t>
  </si>
  <si>
    <t>KOTI, IBOLYA</t>
  </si>
  <si>
    <t>000921752169</t>
  </si>
  <si>
    <t>NGUYEN, LIEN</t>
  </si>
  <si>
    <t>000921753401</t>
  </si>
  <si>
    <t>DANIEL, NORA</t>
  </si>
  <si>
    <t>000921755338</t>
  </si>
  <si>
    <t>SINGH, JASKIRAT</t>
  </si>
  <si>
    <t>000921755413</t>
  </si>
  <si>
    <t>CAPEK, MATTHEW</t>
  </si>
  <si>
    <t>000921755738</t>
  </si>
  <si>
    <t>SCHOENEMAN, MICHELE</t>
  </si>
  <si>
    <t>000921756621</t>
  </si>
  <si>
    <t>KONTOPOULOS, KIM</t>
  </si>
  <si>
    <t>000921757164</t>
  </si>
  <si>
    <t>FINK, ELLIOT</t>
  </si>
  <si>
    <t>000921758847</t>
  </si>
  <si>
    <t>ZAWACKI, ANDREW</t>
  </si>
  <si>
    <t>000921759382</t>
  </si>
  <si>
    <t>FINK, ETHAN</t>
  </si>
  <si>
    <t>000921768367</t>
  </si>
  <si>
    <t>VOLLMANN, ALLISON</t>
  </si>
  <si>
    <t>000924089354</t>
  </si>
  <si>
    <t>STEVENS, ANTHONY</t>
  </si>
  <si>
    <t>000957132147</t>
  </si>
  <si>
    <t>WEBB, WILLIAM</t>
  </si>
  <si>
    <t>000,352.54</t>
  </si>
  <si>
    <t>20250215</t>
  </si>
  <si>
    <t>20241015</t>
  </si>
  <si>
    <t>ME8</t>
  </si>
  <si>
    <t>0.0500</t>
  </si>
  <si>
    <t>000,017.63</t>
  </si>
  <si>
    <t>000957132161</t>
  </si>
  <si>
    <t>WEBB, CAROL</t>
  </si>
  <si>
    <t>000,255.25</t>
  </si>
  <si>
    <t>000,025.53</t>
  </si>
  <si>
    <t>000957180862</t>
  </si>
  <si>
    <t>MILLER, MARGO</t>
  </si>
  <si>
    <t>000,203.74</t>
  </si>
  <si>
    <t>20250227</t>
  </si>
  <si>
    <t>20240727</t>
  </si>
  <si>
    <t>000,020.37</t>
  </si>
  <si>
    <t>IST30P</t>
  </si>
  <si>
    <t>000957183406</t>
  </si>
  <si>
    <t>REARDON, LAURA</t>
  </si>
  <si>
    <t>000,153.68</t>
  </si>
  <si>
    <t>000,015.37</t>
  </si>
  <si>
    <t>IST31U</t>
  </si>
  <si>
    <t>000957189355</t>
  </si>
  <si>
    <t>KWANDRAS, KATHLEEN</t>
  </si>
  <si>
    <t>000,215.93</t>
  </si>
  <si>
    <t>MLD</t>
  </si>
  <si>
    <t>0.1800</t>
  </si>
  <si>
    <t>000,038.87</t>
  </si>
  <si>
    <t>000957189455</t>
  </si>
  <si>
    <t>ROVELL, LAURIE</t>
  </si>
  <si>
    <t>000,220.05</t>
  </si>
  <si>
    <t>000,022.01</t>
  </si>
  <si>
    <t>000957192789</t>
  </si>
  <si>
    <t>000,153.24</t>
  </si>
  <si>
    <t>000,015.32</t>
  </si>
  <si>
    <t>000957193494</t>
  </si>
  <si>
    <t>WEISS, ROBERT</t>
  </si>
  <si>
    <t>000,231.17</t>
  </si>
  <si>
    <t>20250401</t>
  </si>
  <si>
    <t>000,041.61</t>
  </si>
  <si>
    <t>000957196513</t>
  </si>
  <si>
    <t>ANGELETOS, HELEN</t>
  </si>
  <si>
    <t>000,329.94</t>
  </si>
  <si>
    <t>20250222</t>
  </si>
  <si>
    <t>20241122</t>
  </si>
  <si>
    <t>000,016.50</t>
  </si>
  <si>
    <t>000957198166</t>
  </si>
  <si>
    <t>WHEELER, SHIRLEY</t>
  </si>
  <si>
    <t>000,296.52</t>
  </si>
  <si>
    <t>ML8</t>
  </si>
  <si>
    <t>0.0900</t>
  </si>
  <si>
    <t>000,026.69</t>
  </si>
  <si>
    <t>000957201189</t>
  </si>
  <si>
    <t>107928695-SU-ANDREW J CHOI</t>
  </si>
  <si>
    <t>000808522682</t>
  </si>
  <si>
    <t>ATKINS, DAVID</t>
  </si>
  <si>
    <t>107928695</t>
  </si>
  <si>
    <t>000890198388</t>
  </si>
  <si>
    <t>PALOIAN, DEANNA</t>
  </si>
  <si>
    <t>000920718654</t>
  </si>
  <si>
    <t>LIAO, ANGEL</t>
  </si>
  <si>
    <t>000920731862</t>
  </si>
  <si>
    <t>BALMACEDA, DOROTHY JOY</t>
  </si>
  <si>
    <t>000920738743</t>
  </si>
  <si>
    <t>SIT, ANDREW</t>
  </si>
  <si>
    <t>000920744320</t>
  </si>
  <si>
    <t>DIEL, JOKO</t>
  </si>
  <si>
    <t>000920747374</t>
  </si>
  <si>
    <t>SAKANOVIC, SALIH</t>
  </si>
  <si>
    <t>000920799638</t>
  </si>
  <si>
    <t>BERRENS, ODALYS</t>
  </si>
  <si>
    <t>20140301</t>
  </si>
  <si>
    <t>000920802168</t>
  </si>
  <si>
    <t>ADENIYI, ADEDAYO</t>
  </si>
  <si>
    <t>20210401</t>
  </si>
  <si>
    <t>047</t>
  </si>
  <si>
    <t>000920806107</t>
  </si>
  <si>
    <t>KITTLAUS, ERIK</t>
  </si>
  <si>
    <t>20230401</t>
  </si>
  <si>
    <t>023</t>
  </si>
  <si>
    <t>000920807657</t>
  </si>
  <si>
    <t>RAJU, RAVENDER</t>
  </si>
  <si>
    <t>000920823109</t>
  </si>
  <si>
    <t>CURNOW, MICHAEL</t>
  </si>
  <si>
    <t>000920829633</t>
  </si>
  <si>
    <t>MANDALIOS, EMILIOS</t>
  </si>
  <si>
    <t>000920832176</t>
  </si>
  <si>
    <t>RODRIGUEZ, JESUS</t>
  </si>
  <si>
    <t>000920838667</t>
  </si>
  <si>
    <t>RATH, GARY</t>
  </si>
  <si>
    <t>000920858983</t>
  </si>
  <si>
    <t>BORAGAY, RAMIL</t>
  </si>
  <si>
    <t>000920947451</t>
  </si>
  <si>
    <t>HAXHI, ANDREA</t>
  </si>
  <si>
    <t>20160701</t>
  </si>
  <si>
    <t>104</t>
  </si>
  <si>
    <t>000920981538</t>
  </si>
  <si>
    <t>KELSH, MATTHEW</t>
  </si>
  <si>
    <t>000921014166</t>
  </si>
  <si>
    <t>LEISER, JOEY</t>
  </si>
  <si>
    <t>000921014688</t>
  </si>
  <si>
    <t>CROCKETT, REBECCA</t>
  </si>
  <si>
    <t>IG1500</t>
  </si>
  <si>
    <t>000921020388</t>
  </si>
  <si>
    <t>RODICA, NICKIE</t>
  </si>
  <si>
    <t>000921027219</t>
  </si>
  <si>
    <t>RUIZ, ROSALINDA</t>
  </si>
  <si>
    <t>000921033394</t>
  </si>
  <si>
    <t>SECKINGER, ERIC</t>
  </si>
  <si>
    <t>000921034873</t>
  </si>
  <si>
    <t>RIVERA, NORA</t>
  </si>
  <si>
    <t>000921041648</t>
  </si>
  <si>
    <t>CAMARDELLA, ANDREW</t>
  </si>
  <si>
    <t>000921044357</t>
  </si>
  <si>
    <t>GOLDA, SUSAN</t>
  </si>
  <si>
    <t>000921063478</t>
  </si>
  <si>
    <t>TRIBUZIO, GIUSEPPE</t>
  </si>
  <si>
    <t>000921065609</t>
  </si>
  <si>
    <t>CONWAY, ROBERT</t>
  </si>
  <si>
    <t>000921172606</t>
  </si>
  <si>
    <t>CRESSY, LAURA</t>
  </si>
  <si>
    <t>000921179348</t>
  </si>
  <si>
    <t>CATANGAY, WENDEL</t>
  </si>
  <si>
    <t>000921184910</t>
  </si>
  <si>
    <t>DICKSON, JOANN</t>
  </si>
  <si>
    <t>000921284503</t>
  </si>
  <si>
    <t>CORONA, BLANCA</t>
  </si>
  <si>
    <t>000921285702</t>
  </si>
  <si>
    <t>FARRALES, JENNIFER</t>
  </si>
  <si>
    <t>000921296679</t>
  </si>
  <si>
    <t>SISCAR, RUBY</t>
  </si>
  <si>
    <t>000921307815</t>
  </si>
  <si>
    <t>KLUGA, KATIE</t>
  </si>
  <si>
    <t>000921309629</t>
  </si>
  <si>
    <t>PIOTROWSKI, LUCY</t>
  </si>
  <si>
    <t>000921334668</t>
  </si>
  <si>
    <t>HIRSCH, LINDA</t>
  </si>
  <si>
    <t>000921354467</t>
  </si>
  <si>
    <t>TOBIAS, ANNA MARIE</t>
  </si>
  <si>
    <t>20210921</t>
  </si>
  <si>
    <t>000921373822</t>
  </si>
  <si>
    <t>TUDOR, GEORGE</t>
  </si>
  <si>
    <t>000,045.00</t>
  </si>
  <si>
    <t>000921385763</t>
  </si>
  <si>
    <t>SAKANOVIC, SAMIR</t>
  </si>
  <si>
    <t>000921395518</t>
  </si>
  <si>
    <t>KAPPELMAN, KATHLEEN</t>
  </si>
  <si>
    <t>000921409379</t>
  </si>
  <si>
    <t>GAYONDATO, GLENN</t>
  </si>
  <si>
    <t>20180201</t>
  </si>
  <si>
    <t>000921416984</t>
  </si>
  <si>
    <t>WIECZOREK, LISA</t>
  </si>
  <si>
    <t>000921428727</t>
  </si>
  <si>
    <t>NOVAK, AMALIJA</t>
  </si>
  <si>
    <t>000921434825</t>
  </si>
  <si>
    <t>LIAO, AMY</t>
  </si>
  <si>
    <t>000921455757</t>
  </si>
  <si>
    <t>MIRASOL, LEONIDAS</t>
  </si>
  <si>
    <t>000921477927</t>
  </si>
  <si>
    <t>HARMON, KIMBERLY</t>
  </si>
  <si>
    <t>20190701</t>
  </si>
  <si>
    <t>068</t>
  </si>
  <si>
    <t>000921493684</t>
  </si>
  <si>
    <t>MIFLORES, QUEENIE</t>
  </si>
  <si>
    <t>000921496655</t>
  </si>
  <si>
    <t>HOROWITZ, PETER</t>
  </si>
  <si>
    <t>IG1403</t>
  </si>
  <si>
    <t>000921498630</t>
  </si>
  <si>
    <t>ISIP, JEANNETTE</t>
  </si>
  <si>
    <t>000921513013</t>
  </si>
  <si>
    <t>KANG, KAN</t>
  </si>
  <si>
    <t>000921580384</t>
  </si>
  <si>
    <t>BAILEY, MARK</t>
  </si>
  <si>
    <t>000921584687</t>
  </si>
  <si>
    <t>BORS, MALGORZATA</t>
  </si>
  <si>
    <t>041</t>
  </si>
  <si>
    <t>000921586066</t>
  </si>
  <si>
    <t>CONFORTI, CECYLIA</t>
  </si>
  <si>
    <t>000921586372</t>
  </si>
  <si>
    <t>PANATTONI, RENEE</t>
  </si>
  <si>
    <t>000921595571</t>
  </si>
  <si>
    <t>ZOMBORI, GABOR</t>
  </si>
  <si>
    <t>000921597719</t>
  </si>
  <si>
    <t>RANN, ERIKA</t>
  </si>
  <si>
    <t>000921601561</t>
  </si>
  <si>
    <t>CARNET, DANIEL</t>
  </si>
  <si>
    <t>000921611747</t>
  </si>
  <si>
    <t>YAWORSKI, ASHLEY</t>
  </si>
  <si>
    <t>000921618660</t>
  </si>
  <si>
    <t>LEE, NATHANIEL</t>
  </si>
  <si>
    <t>20220801</t>
  </si>
  <si>
    <t>031</t>
  </si>
  <si>
    <t>000921626460</t>
  </si>
  <si>
    <t>VICALDO, RIKKI LITO</t>
  </si>
  <si>
    <t>20221201</t>
  </si>
  <si>
    <t>027</t>
  </si>
  <si>
    <t>000921626562</t>
  </si>
  <si>
    <t>TULETT, DAHLIA</t>
  </si>
  <si>
    <t>000921626735</t>
  </si>
  <si>
    <t>SWIFT, CAMILLE</t>
  </si>
  <si>
    <t>000921626778</t>
  </si>
  <si>
    <t>WANER, JAMES</t>
  </si>
  <si>
    <t>000921626795</t>
  </si>
  <si>
    <t>VANDAM, ERIKA</t>
  </si>
  <si>
    <t>000921626814</t>
  </si>
  <si>
    <t>WANER, ERIC</t>
  </si>
  <si>
    <t>000921626886</t>
  </si>
  <si>
    <t>KIM, JOHN</t>
  </si>
  <si>
    <t>000921626899</t>
  </si>
  <si>
    <t>KOTARBA, ROCHELLE</t>
  </si>
  <si>
    <t>000921627905</t>
  </si>
  <si>
    <t>FOURTOUNIS, PETER</t>
  </si>
  <si>
    <t>000921638023</t>
  </si>
  <si>
    <t>TOBIAS, RACHAEL MARIE</t>
  </si>
  <si>
    <t>000921665213</t>
  </si>
  <si>
    <t>BENNETT, GABRIELLE</t>
  </si>
  <si>
    <t>000921665441</t>
  </si>
  <si>
    <t>NOWAKOWSKI, KIMBERLY</t>
  </si>
  <si>
    <t>000921669678</t>
  </si>
  <si>
    <t>DESALVIO, SARAH</t>
  </si>
  <si>
    <t>000921671193</t>
  </si>
  <si>
    <t>HOFFMAN, GREY</t>
  </si>
  <si>
    <t>000921671201</t>
  </si>
  <si>
    <t>FERNANDEZ, APRIL JOHAENA</t>
  </si>
  <si>
    <t>000921672709</t>
  </si>
  <si>
    <t>OYEBIYI, SIDNEY</t>
  </si>
  <si>
    <t>000921678612</t>
  </si>
  <si>
    <t>NUTTLE, DANIEL</t>
  </si>
  <si>
    <t>000921678630</t>
  </si>
  <si>
    <t>TOBIAS, MEGAN</t>
  </si>
  <si>
    <t>000921680773</t>
  </si>
  <si>
    <t>HALL, BRYEN</t>
  </si>
  <si>
    <t>000921682749</t>
  </si>
  <si>
    <t>DEPUTY, ALLISON</t>
  </si>
  <si>
    <t>000921685824</t>
  </si>
  <si>
    <t>VALDECANAS, CHRISTINE DIOR</t>
  </si>
  <si>
    <t>000921686195</t>
  </si>
  <si>
    <t>WITT, MICHAEL</t>
  </si>
  <si>
    <t>000921688055</t>
  </si>
  <si>
    <t>WESTBROOK, JOHN</t>
  </si>
  <si>
    <t>000921688344</t>
  </si>
  <si>
    <t>YOON, SUN-HEE</t>
  </si>
  <si>
    <t>000921689866</t>
  </si>
  <si>
    <t>LYPINCHAN, KHAMLA</t>
  </si>
  <si>
    <t>000921700448</t>
  </si>
  <si>
    <t>BEDNAREK, PATRICIA</t>
  </si>
  <si>
    <t>000921701950</t>
  </si>
  <si>
    <t>MACDONALD, PETER</t>
  </si>
  <si>
    <t>000921702424</t>
  </si>
  <si>
    <t>MAGTOTO, EDUARDO</t>
  </si>
  <si>
    <t>000921709144</t>
  </si>
  <si>
    <t>SKENDER, DEBORAH</t>
  </si>
  <si>
    <t>000921715555</t>
  </si>
  <si>
    <t>DUFFY, TAYLOR</t>
  </si>
  <si>
    <t>000921715869</t>
  </si>
  <si>
    <t>MANUEL, MICHAEL</t>
  </si>
  <si>
    <t>000921717400</t>
  </si>
  <si>
    <t>FASULLO, GIOACCHINO</t>
  </si>
  <si>
    <t>000921719797</t>
  </si>
  <si>
    <t>NADER, RYAN</t>
  </si>
  <si>
    <t>000921720934</t>
  </si>
  <si>
    <t>GOLDEN, ERIN</t>
  </si>
  <si>
    <t>000921721458</t>
  </si>
  <si>
    <t>MALDONADO, DESIREE</t>
  </si>
  <si>
    <t>000921723282</t>
  </si>
  <si>
    <t>GOLDEN, BRIAN</t>
  </si>
  <si>
    <t>000921724369</t>
  </si>
  <si>
    <t>DEBARTOLO, DANIELA</t>
  </si>
  <si>
    <t>000921726220</t>
  </si>
  <si>
    <t>REIF, JUDITH</t>
  </si>
  <si>
    <t>000921727315</t>
  </si>
  <si>
    <t>PEDOTA, CORALYN</t>
  </si>
  <si>
    <t>000921728029</t>
  </si>
  <si>
    <t>PLUTA, ATTICUS</t>
  </si>
  <si>
    <t>000921728128</t>
  </si>
  <si>
    <t>KANG, JEANNE</t>
  </si>
  <si>
    <t>000921728986</t>
  </si>
  <si>
    <t>DUPAYA, KATHLEEN RUTH</t>
  </si>
  <si>
    <t>000921729823</t>
  </si>
  <si>
    <t>BALCRUZ, MIGUEL</t>
  </si>
  <si>
    <t>000921731126</t>
  </si>
  <si>
    <t>HAXHI, VASILIQI</t>
  </si>
  <si>
    <t>000921733050</t>
  </si>
  <si>
    <t>GONZALEZ, CHARLES</t>
  </si>
  <si>
    <t>000,150.00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</si>
  <si>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</si>
  <si>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</si>
  <si>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</si>
  <si>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</si>
  <si>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</si>
  <si>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</si>
  <si>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</si>
  <si>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</si>
  <si>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</si>
  <si>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</si>
  <si>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</si>
  <si>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</si>
  <si>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</si>
  <si>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</si>
  <si>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000921743354</t>
  </si>
  <si>
    <t>SCIUPIDER, MAGDALENA</t>
  </si>
  <si>
    <t>000921744359</t>
  </si>
  <si>
    <t>PTASZEK, RACHAEL</t>
  </si>
  <si>
    <t>000921745063</t>
  </si>
  <si>
    <t>OWENS, DERREL</t>
  </si>
  <si>
    <t>000921746655</t>
  </si>
  <si>
    <t>SCHMITZ, JOHN</t>
  </si>
  <si>
    <t>000921746887</t>
  </si>
  <si>
    <t>STARK, MARTIN</t>
  </si>
  <si>
    <t>000921747592</t>
  </si>
  <si>
    <t>FURTH, JOHN</t>
  </si>
  <si>
    <t>000,120.00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</si>
  <si>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</si>
  <si>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</si>
  <si>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</si>
  <si>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</si>
  <si>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</si>
  <si>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</si>
  <si>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</si>
  <si>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</si>
  <si>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</si>
  <si>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</si>
  <si>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000921750721</t>
  </si>
  <si>
    <t>DIAZ, JULIA</t>
  </si>
  <si>
    <t>000921751168</t>
  </si>
  <si>
    <t>MILLER, RACHEL</t>
  </si>
  <si>
    <t>000921751992</t>
  </si>
  <si>
    <t>YEE, STANLEY</t>
  </si>
  <si>
    <t>000921752115</t>
  </si>
  <si>
    <t>YIM, MOON</t>
  </si>
  <si>
    <t>000921755354</t>
  </si>
  <si>
    <t>PATEL, LAL</t>
  </si>
  <si>
    <t>000921755629</t>
  </si>
  <si>
    <t>TECSON, BRYAN</t>
  </si>
  <si>
    <t>000921758961</t>
  </si>
  <si>
    <t>HARRINGTON, JACOB</t>
  </si>
  <si>
    <t>000921759094</t>
  </si>
  <si>
    <t>HARRINGTON, ELENA</t>
  </si>
  <si>
    <t>000921765814</t>
  </si>
  <si>
    <t>DIERCKENS, MARIA</t>
  </si>
  <si>
    <t>000921773420</t>
  </si>
  <si>
    <t>DEMOPOULOS, NICK</t>
  </si>
  <si>
    <t>000921773760</t>
  </si>
  <si>
    <t>LIU, KARA</t>
  </si>
  <si>
    <t>000921774027</t>
  </si>
  <si>
    <t>LEWIS, ALAN</t>
  </si>
  <si>
    <t>000921775120</t>
  </si>
  <si>
    <t>ATILANO, JONATHAN</t>
  </si>
  <si>
    <t>000925427510</t>
  </si>
  <si>
    <t>SHERMAN, MEGAN</t>
  </si>
  <si>
    <t>000957189549</t>
  </si>
  <si>
    <t>000,170.27</t>
  </si>
  <si>
    <t>000,017.03</t>
  </si>
  <si>
    <t>107928700-SU-STACEY A PORTUGAL</t>
  </si>
  <si>
    <t>000804454471</t>
  </si>
  <si>
    <t>WILSON, JEANNE</t>
  </si>
  <si>
    <t>107928700</t>
  </si>
  <si>
    <t>000,306.00</t>
  </si>
  <si>
    <t>Enroll_Flat</t>
  </si>
  <si>
    <t>000804501244</t>
  </si>
  <si>
    <t>PRICE, NANCY</t>
  </si>
  <si>
    <t>000,286.92</t>
  </si>
  <si>
    <t>000808518130</t>
  </si>
  <si>
    <t>STOKES, JOHN</t>
  </si>
  <si>
    <t>000921672504</t>
  </si>
  <si>
    <t>WILBURN, BREANNA</t>
  </si>
  <si>
    <t>000921725212</t>
  </si>
  <si>
    <t>NUNES, MARIA</t>
  </si>
  <si>
    <t>000921761683</t>
  </si>
  <si>
    <t>ARNOUIL, KURT</t>
  </si>
  <si>
    <t>000957184029</t>
  </si>
  <si>
    <t>000,180.27</t>
  </si>
  <si>
    <t>000,018.03</t>
  </si>
  <si>
    <t>IST32U</t>
  </si>
  <si>
    <t>000957187034</t>
  </si>
  <si>
    <t>MENNA, RICHARD</t>
  </si>
  <si>
    <t>000,247.84</t>
  </si>
  <si>
    <t>000,044.61</t>
  </si>
  <si>
    <t>000957190953</t>
  </si>
  <si>
    <t>KOWALCZYK BUDZIAKOWS, B</t>
  </si>
  <si>
    <t>000,124.34</t>
  </si>
  <si>
    <t>000,022.38</t>
  </si>
  <si>
    <t>000957192007</t>
  </si>
  <si>
    <t>GIBBONS, JEANNE</t>
  </si>
  <si>
    <t>000,205.78</t>
  </si>
  <si>
    <t>000,020.58</t>
  </si>
  <si>
    <t>000957194826</t>
  </si>
  <si>
    <t>SILVER, PATRICIA</t>
  </si>
  <si>
    <t>000,208.96</t>
  </si>
  <si>
    <t>000,037.61</t>
  </si>
  <si>
    <t>000957201780</t>
  </si>
  <si>
    <t>REED, RICHARD</t>
  </si>
  <si>
    <t>000,268.00</t>
  </si>
  <si>
    <t>20250701</t>
  </si>
  <si>
    <t>000,024.12</t>
  </si>
  <si>
    <t>000,268.00-</t>
  </si>
  <si>
    <t>000,024.12-</t>
  </si>
  <si>
    <t>20250601</t>
  </si>
  <si>
    <t>20250501</t>
  </si>
  <si>
    <t>107928712-SU-PAMELA SUE DEATON</t>
  </si>
  <si>
    <t>069992</t>
  </si>
  <si>
    <t>000808529453</t>
  </si>
  <si>
    <t>AUER, BRIAN</t>
  </si>
  <si>
    <t>000,081.40</t>
  </si>
  <si>
    <t>107928712</t>
  </si>
  <si>
    <t>000890146317</t>
  </si>
  <si>
    <t>WARWICK, KATHLEEN</t>
  </si>
  <si>
    <t>000890192808</t>
  </si>
  <si>
    <t>MUIR, STEPHEN</t>
  </si>
  <si>
    <t>000890204026</t>
  </si>
  <si>
    <t>JONES, BRYCE</t>
  </si>
  <si>
    <t>000890547737</t>
  </si>
  <si>
    <t>WAINWRIGHT, PAIGE</t>
  </si>
  <si>
    <t>000890599429</t>
  </si>
  <si>
    <t>SHEPPARD, BRIAN</t>
  </si>
  <si>
    <t>000890606134</t>
  </si>
  <si>
    <t>WRIGHT, JOHN</t>
  </si>
  <si>
    <t>000890665955</t>
  </si>
  <si>
    <t>CARNAHAN, JACQUELINE</t>
  </si>
  <si>
    <t>000890672355</t>
  </si>
  <si>
    <t>BROADFIELD, DEBRA</t>
  </si>
  <si>
    <t>000920713089</t>
  </si>
  <si>
    <t>BROWNING, ALICE</t>
  </si>
  <si>
    <t>000920751356</t>
  </si>
  <si>
    <t>YODER, THOMAS</t>
  </si>
  <si>
    <t>000920781082</t>
  </si>
  <si>
    <t>SWANSON, EMILY</t>
  </si>
  <si>
    <t>000920790382</t>
  </si>
  <si>
    <t>HENDERSON, CONNETTE</t>
  </si>
  <si>
    <t>000920956771</t>
  </si>
  <si>
    <t>PARKER, LIONEL</t>
  </si>
  <si>
    <t>20141101</t>
  </si>
  <si>
    <t>124</t>
  </si>
  <si>
    <t>000920991258</t>
  </si>
  <si>
    <t>VITALE, CATERINA</t>
  </si>
  <si>
    <t>000921007680</t>
  </si>
  <si>
    <t>MILLER, JARRAD</t>
  </si>
  <si>
    <t>000921027309</t>
  </si>
  <si>
    <t>GOODELL, THOMAS</t>
  </si>
  <si>
    <t>000921033793</t>
  </si>
  <si>
    <t>JACOBS, ANDREW</t>
  </si>
  <si>
    <t>000921037019</t>
  </si>
  <si>
    <t>ENSIGN, KIMBERLY</t>
  </si>
  <si>
    <t>000921060613</t>
  </si>
  <si>
    <t>MAPUGAY, JAIME</t>
  </si>
  <si>
    <t>000921115801</t>
  </si>
  <si>
    <t>DECKER, REED</t>
  </si>
  <si>
    <t>000921163146</t>
  </si>
  <si>
    <t>JIA, NING</t>
  </si>
  <si>
    <t>000921225070</t>
  </si>
  <si>
    <t>GARCIA-DAKER, MARGARITA</t>
  </si>
  <si>
    <t>000921233848</t>
  </si>
  <si>
    <t>PATTERSON, BRUCE</t>
  </si>
  <si>
    <t>000921237782</t>
  </si>
  <si>
    <t>ZERA, TRACI</t>
  </si>
  <si>
    <t>000921250107</t>
  </si>
  <si>
    <t>WILLIAMS, JOHN</t>
  </si>
  <si>
    <t>000921252130</t>
  </si>
  <si>
    <t>MCKINNEY, ANDREA</t>
  </si>
  <si>
    <t>000921277623</t>
  </si>
  <si>
    <t>WEY, JACKIE</t>
  </si>
  <si>
    <t>000921285003</t>
  </si>
  <si>
    <t>LEEDS, THOMAS</t>
  </si>
  <si>
    <t>000921293197</t>
  </si>
  <si>
    <t>YODER, BENJAMIN</t>
  </si>
  <si>
    <t>000921302391</t>
  </si>
  <si>
    <t>MAUBACH, SHIRLEY</t>
  </si>
  <si>
    <t>000921316212</t>
  </si>
  <si>
    <t>LANE, PATRICIA</t>
  </si>
  <si>
    <t>000921329087</t>
  </si>
  <si>
    <t>HANNAM, BRADFORD</t>
  </si>
  <si>
    <t>000921337845</t>
  </si>
  <si>
    <t>DREW, MATTHEW</t>
  </si>
  <si>
    <t>000921345845</t>
  </si>
  <si>
    <t>STURDIVANT, RICARDO</t>
  </si>
  <si>
    <t>000921346365</t>
  </si>
  <si>
    <t>LANG, HUNTER</t>
  </si>
  <si>
    <t>000921349982</t>
  </si>
  <si>
    <t>HINES, JONATHAN</t>
  </si>
  <si>
    <t>000921352333</t>
  </si>
  <si>
    <t>BUFORD, MARCEY</t>
  </si>
  <si>
    <t>000921353220</t>
  </si>
  <si>
    <t>ELLESS, LAURIE</t>
  </si>
  <si>
    <t>000921353221</t>
  </si>
  <si>
    <t>ELLESS, ALEXANDER</t>
  </si>
  <si>
    <t>000921361140</t>
  </si>
  <si>
    <t>HOY, KATHERINE</t>
  </si>
  <si>
    <t>000921366675</t>
  </si>
  <si>
    <t>SHUMAKER, DARLA</t>
  </si>
  <si>
    <t>20171101</t>
  </si>
  <si>
    <t>088</t>
  </si>
  <si>
    <t>000,012.47</t>
  </si>
  <si>
    <t>000,000.50</t>
  </si>
  <si>
    <t>000921374211</t>
  </si>
  <si>
    <t>WHITE, THERESA</t>
  </si>
  <si>
    <t>000921376684</t>
  </si>
  <si>
    <t>MOBERG, MICHAEL</t>
  </si>
  <si>
    <t>20200501</t>
  </si>
  <si>
    <t>058</t>
  </si>
  <si>
    <t>000921385021</t>
  </si>
  <si>
    <t>CLINE, ASHLEY</t>
  </si>
  <si>
    <t>000921397044</t>
  </si>
  <si>
    <t>RAMSEY, TAMMY</t>
  </si>
  <si>
    <t>000921398434</t>
  </si>
  <si>
    <t>FORBES, JOHN</t>
  </si>
  <si>
    <t>000921402034</t>
  </si>
  <si>
    <t>SMITH, ELEKA</t>
  </si>
  <si>
    <t>000921425856</t>
  </si>
  <si>
    <t>KEERAN, ALLISON</t>
  </si>
  <si>
    <t>000921429402</t>
  </si>
  <si>
    <t>KAFER, BRITNEY</t>
  </si>
  <si>
    <t>000921443188</t>
  </si>
  <si>
    <t>LIND, JOSEPH</t>
  </si>
  <si>
    <t>000921449898</t>
  </si>
  <si>
    <t>FRITZEN, JON</t>
  </si>
  <si>
    <t>20200301</t>
  </si>
  <si>
    <t>060</t>
  </si>
  <si>
    <t>000921453082</t>
  </si>
  <si>
    <t>LIPPMANN, REBECCA</t>
  </si>
  <si>
    <t>000921458162</t>
  </si>
  <si>
    <t>NILES, DUSTIN</t>
  </si>
  <si>
    <t>000921458282</t>
  </si>
  <si>
    <t>CASSELMAN, DONALD</t>
  </si>
  <si>
    <t>073</t>
  </si>
  <si>
    <t>000921482539</t>
  </si>
  <si>
    <t>HART, MEGAN</t>
  </si>
  <si>
    <t>000921484954</t>
  </si>
  <si>
    <t>FERNANDEZ, CHRISTINE</t>
  </si>
  <si>
    <t>000921485403</t>
  </si>
  <si>
    <t>TERMUENDE, CYNTHIA</t>
  </si>
  <si>
    <t>000921490296</t>
  </si>
  <si>
    <t>DRAUDEN, MARK</t>
  </si>
  <si>
    <t>000921492711</t>
  </si>
  <si>
    <t>MILNER, ALLISON</t>
  </si>
  <si>
    <t>000921492749</t>
  </si>
  <si>
    <t>DVORAK, RUSSELL</t>
  </si>
  <si>
    <t>000921506263</t>
  </si>
  <si>
    <t>TRIPOLI, NICK</t>
  </si>
  <si>
    <t>000921508837</t>
  </si>
  <si>
    <t>REAGAN, JOLYNN</t>
  </si>
  <si>
    <t>000921509319</t>
  </si>
  <si>
    <t>SUITERS, DEANNA</t>
  </si>
  <si>
    <t>000921514199</t>
  </si>
  <si>
    <t>QUACH, LAM</t>
  </si>
  <si>
    <t>000921515071</t>
  </si>
  <si>
    <t>STEWART, KRISTINE</t>
  </si>
  <si>
    <t>000921516857</t>
  </si>
  <si>
    <t>BAKER, MICHAEL</t>
  </si>
  <si>
    <t>20200401</t>
  </si>
  <si>
    <t>059</t>
  </si>
  <si>
    <t>000921526453</t>
  </si>
  <si>
    <t>JOHNSON, DEAN</t>
  </si>
  <si>
    <t>20200801</t>
  </si>
  <si>
    <t>055</t>
  </si>
  <si>
    <t>000921528619</t>
  </si>
  <si>
    <t>ALLEN, CORY</t>
  </si>
  <si>
    <t>000921529574</t>
  </si>
  <si>
    <t>WRIGHT, MILES</t>
  </si>
  <si>
    <t>000921538152</t>
  </si>
  <si>
    <t>JOHNSON, CALEB</t>
  </si>
  <si>
    <t>000921549113</t>
  </si>
  <si>
    <t>YESCHEK, STEVEN</t>
  </si>
  <si>
    <t>000921559868</t>
  </si>
  <si>
    <t>STRANDBERG, NATHAN</t>
  </si>
  <si>
    <t>000921562213</t>
  </si>
  <si>
    <t>RUBENACKER, LORI</t>
  </si>
  <si>
    <t>000921567439</t>
  </si>
  <si>
    <t>ZEONE, MISTY</t>
  </si>
  <si>
    <t>000921576071</t>
  </si>
  <si>
    <t>GALLARDO, TANIA</t>
  </si>
  <si>
    <t>000921576503</t>
  </si>
  <si>
    <t>BENTON, JEFFREY</t>
  </si>
  <si>
    <t>000921582283</t>
  </si>
  <si>
    <t>LLOYD, GAGE</t>
  </si>
  <si>
    <t>000921586260</t>
  </si>
  <si>
    <t>HALLORAN, SARAH</t>
  </si>
  <si>
    <t>000921588098</t>
  </si>
  <si>
    <t>REIS, CONNOR</t>
  </si>
  <si>
    <t>000921588374</t>
  </si>
  <si>
    <t>HINES, WILLIAM</t>
  </si>
  <si>
    <t>000921589183</t>
  </si>
  <si>
    <t>BEYER, JOHN</t>
  </si>
  <si>
    <t>000921601036</t>
  </si>
  <si>
    <t>LORTON, CANDUS</t>
  </si>
  <si>
    <t>000921612308</t>
  </si>
  <si>
    <t>HIGHLAND, ANDREA</t>
  </si>
  <si>
    <t>000921612417</t>
  </si>
  <si>
    <t>BOMA, MARY</t>
  </si>
  <si>
    <t>000921615201</t>
  </si>
  <si>
    <t>CURRY, ALEXA</t>
  </si>
  <si>
    <t>000921620688</t>
  </si>
  <si>
    <t>BALDWIN, STEPHEN</t>
  </si>
  <si>
    <t>000921624003</t>
  </si>
  <si>
    <t>GHYS-WILLIAMSON, JULIE</t>
  </si>
  <si>
    <t>000921627597</t>
  </si>
  <si>
    <t>BOLT, KIMBERLY</t>
  </si>
  <si>
    <t>000921632623</t>
  </si>
  <si>
    <t>BERNHOFT, TINA</t>
  </si>
  <si>
    <t>000921635174</t>
  </si>
  <si>
    <t>PETROVIC, JANINE</t>
  </si>
  <si>
    <t>000921640683</t>
  </si>
  <si>
    <t>ROBERTSON, ANGELA</t>
  </si>
  <si>
    <t>000921640871</t>
  </si>
  <si>
    <t>MCCULLOUGH, ELENA</t>
  </si>
  <si>
    <t>000921643615</t>
  </si>
  <si>
    <t>KATH, RHONDA</t>
  </si>
  <si>
    <t>000921643639</t>
  </si>
  <si>
    <t>BENNETT, JOSHUA</t>
  </si>
  <si>
    <t>000921645238</t>
  </si>
  <si>
    <t>KETTERER, CAITLIN</t>
  </si>
  <si>
    <t>000921645863</t>
  </si>
  <si>
    <t>WATSON, THOMAS</t>
  </si>
  <si>
    <t>000921651646</t>
  </si>
  <si>
    <t>REILLY, KATHERINE</t>
  </si>
  <si>
    <t>000921654677</t>
  </si>
  <si>
    <t>ANDERS, RUSSELL</t>
  </si>
  <si>
    <t>000921656811</t>
  </si>
  <si>
    <t>GRITZMACHER, DAVID</t>
  </si>
  <si>
    <t>000,087.24</t>
  </si>
  <si>
    <t>000921658237</t>
  </si>
  <si>
    <t>GREENHALGH, DIANA</t>
  </si>
  <si>
    <t>000921659141</t>
  </si>
  <si>
    <t>THOMPSON, TEHYA</t>
  </si>
  <si>
    <t>000921659241</t>
  </si>
  <si>
    <t>SMOCK, CHARLES</t>
  </si>
  <si>
    <t>000921660733</t>
  </si>
  <si>
    <t>BOSWELL, KIMBERLY</t>
  </si>
  <si>
    <t>000921663885</t>
  </si>
  <si>
    <t>ANDERSON, MARK</t>
  </si>
  <si>
    <t>000921670908</t>
  </si>
  <si>
    <t>MORGAN, SYDNEY</t>
  </si>
  <si>
    <t>000921670914</t>
  </si>
  <si>
    <t>MORGAN, SOPHIA</t>
  </si>
  <si>
    <t>000921672966</t>
  </si>
  <si>
    <t>SOHN, JEFFREY</t>
  </si>
  <si>
    <t>000921673371</t>
  </si>
  <si>
    <t>SPEDDING, BITTU</t>
  </si>
  <si>
    <t>000921674626</t>
  </si>
  <si>
    <t>CORKERY, KAELYN</t>
  </si>
  <si>
    <t>000921676406</t>
  </si>
  <si>
    <t>KING, KIANA</t>
  </si>
  <si>
    <t>000921679999</t>
  </si>
  <si>
    <t>GARRIOTT, THOMAS</t>
  </si>
  <si>
    <t>000921680214</t>
  </si>
  <si>
    <t>REINERS, LYNETTE</t>
  </si>
  <si>
    <t>2-</t>
  </si>
  <si>
    <t>000921681069</t>
  </si>
  <si>
    <t>MACKEY, TODD</t>
  </si>
  <si>
    <t>000,050.00-</t>
  </si>
  <si>
    <t>000921681159</t>
  </si>
  <si>
    <t>DINGES, VIRGINIA</t>
  </si>
  <si>
    <t>000921684651</t>
  </si>
  <si>
    <t>ELLIOTT, RYAN</t>
  </si>
  <si>
    <t>000921687152</t>
  </si>
  <si>
    <t>HOFMANN, KRISTI</t>
  </si>
  <si>
    <t>000921690484</t>
  </si>
  <si>
    <t>POWELL, LANDON</t>
  </si>
  <si>
    <t>000921694832</t>
  </si>
  <si>
    <t>TAYLOR, BRENDA</t>
  </si>
  <si>
    <t>000921694934</t>
  </si>
  <si>
    <t>SEPICH, LAUREN</t>
  </si>
  <si>
    <t>000921695765</t>
  </si>
  <si>
    <t>MOORE, MARY</t>
  </si>
  <si>
    <t>000921695803</t>
  </si>
  <si>
    <t>FREEMAN, PAMELA</t>
  </si>
  <si>
    <t>000921697095</t>
  </si>
  <si>
    <t>SCHABER, NICHOLAS</t>
  </si>
  <si>
    <t>000921699022</t>
  </si>
  <si>
    <t>BULLA, ALICE</t>
  </si>
  <si>
    <t>000921700143</t>
  </si>
  <si>
    <t>PRICE, SCOTT</t>
  </si>
  <si>
    <t>000921700943</t>
  </si>
  <si>
    <t>GRIFFIN, CHERYL</t>
  </si>
  <si>
    <t>000921701801</t>
  </si>
  <si>
    <t>MAGNUSON, CHERYL</t>
  </si>
  <si>
    <t>000921703179</t>
  </si>
  <si>
    <t>WEICHMAN, AUSTIN</t>
  </si>
  <si>
    <t>000921703370</t>
  </si>
  <si>
    <t>CROWELL, MICHELLE</t>
  </si>
  <si>
    <t>000921704349</t>
  </si>
  <si>
    <t>HINES, NATHANIEL</t>
  </si>
  <si>
    <t>000921706919</t>
  </si>
  <si>
    <t>MOTTELER, JERRY</t>
  </si>
  <si>
    <t>000921707548</t>
  </si>
  <si>
    <t>GERKE, CHRISTINA</t>
  </si>
  <si>
    <t>000921716068</t>
  </si>
  <si>
    <t>SULLIVAN, LINDSAY</t>
  </si>
  <si>
    <t>000921716171</t>
  </si>
  <si>
    <t>ECKERT, MARTHA</t>
  </si>
  <si>
    <t>000921719361</t>
  </si>
  <si>
    <t>TOOLEY, MONICA</t>
  </si>
  <si>
    <t>000921720093</t>
  </si>
  <si>
    <t>FORBES, SCOTT</t>
  </si>
  <si>
    <t>000921720459</t>
  </si>
  <si>
    <t>KAEB, DANON</t>
  </si>
  <si>
    <t>000921721256</t>
  </si>
  <si>
    <t>TAGUE, NANCY</t>
  </si>
  <si>
    <t>000921721352</t>
  </si>
  <si>
    <t>GUTTSCHOW, LOGAN</t>
  </si>
  <si>
    <t>000921723632</t>
  </si>
  <si>
    <t>GUTTSCHOW, LAUREN</t>
  </si>
  <si>
    <t>000921723763</t>
  </si>
  <si>
    <t>DONOVAN, JAMES</t>
  </si>
  <si>
    <t>000921725502</t>
  </si>
  <si>
    <t>BACHMAN, CLAY</t>
  </si>
  <si>
    <t>000921726908</t>
  </si>
  <si>
    <t>JORGENSON, DANIEL</t>
  </si>
  <si>
    <t>000921729233</t>
  </si>
  <si>
    <t>BANGURA, TERRELL</t>
  </si>
  <si>
    <t>000921730642</t>
  </si>
  <si>
    <t>BAZZELL, TANIA</t>
  </si>
  <si>
    <t>000921731593</t>
  </si>
  <si>
    <t>REEVES, DAKOTAH</t>
  </si>
  <si>
    <t>000921735969</t>
  </si>
  <si>
    <t>EYRIE, MARZIPAN</t>
  </si>
  <si>
    <t>000921740609</t>
  </si>
  <si>
    <t>COLYOTT, KENNETH</t>
  </si>
  <si>
    <t>000921745110</t>
  </si>
  <si>
    <t>SCHULZ, MICHELLE</t>
  </si>
  <si>
    <t>000921746082</t>
  </si>
  <si>
    <t>HOBACK, MICHAEL</t>
  </si>
  <si>
    <t>000921746204</t>
  </si>
  <si>
    <t>WEAVER, ALYSSA</t>
  </si>
  <si>
    <t>000921746998</t>
  </si>
  <si>
    <t>CORBITT, ROSALIND</t>
  </si>
  <si>
    <t>000921747239</t>
  </si>
  <si>
    <t>BROWN, DELANEY</t>
  </si>
  <si>
    <t>000921747473</t>
  </si>
  <si>
    <t>BHASKAR, MEENU</t>
  </si>
  <si>
    <t>000921748597</t>
  </si>
  <si>
    <t>KLEIN, IRA</t>
  </si>
  <si>
    <t>000921748934</t>
  </si>
  <si>
    <t>KAUR, SIMRANGIT</t>
  </si>
  <si>
    <t>000921749211</t>
  </si>
  <si>
    <t>MORRIS, STEPHANIE</t>
  </si>
  <si>
    <t>000921749262</t>
  </si>
  <si>
    <t>STEIDINGER, LORI</t>
  </si>
  <si>
    <t>000921751692</t>
  </si>
  <si>
    <t>FINLEN, CARLA</t>
  </si>
  <si>
    <t>000921751727</t>
  </si>
  <si>
    <t>MARSHALL, STEPHANIE</t>
  </si>
  <si>
    <t>000921752202</t>
  </si>
  <si>
    <t>MAYO, ROBERT</t>
  </si>
  <si>
    <t>000921752609</t>
  </si>
  <si>
    <t>SCHISLER, KIMBER</t>
  </si>
  <si>
    <t>000921752640</t>
  </si>
  <si>
    <t>SOHN, ADAM</t>
  </si>
  <si>
    <t>000921752870</t>
  </si>
  <si>
    <t>BEDWELL, DAVID</t>
  </si>
  <si>
    <t>000921753446</t>
  </si>
  <si>
    <t>TAYLOR, LARRY</t>
  </si>
  <si>
    <t>000921755095</t>
  </si>
  <si>
    <t>DRESSER, KIMBERLY</t>
  </si>
  <si>
    <t>000921759307</t>
  </si>
  <si>
    <t>THOMPSON, WILLIAM</t>
  </si>
  <si>
    <t>000921759705</t>
  </si>
  <si>
    <t>GIBBONS, RILEY</t>
  </si>
  <si>
    <t>000921759734</t>
  </si>
  <si>
    <t>MERZ, DENISE</t>
  </si>
  <si>
    <t>000921760141</t>
  </si>
  <si>
    <t>VAUGHAN, LORI</t>
  </si>
  <si>
    <t>000921761405</t>
  </si>
  <si>
    <t>NAUSLEY, BRENT</t>
  </si>
  <si>
    <t>000921761905</t>
  </si>
  <si>
    <t>LINDER, JOSHUA</t>
  </si>
  <si>
    <t>000921762131</t>
  </si>
  <si>
    <t>MILLER, PENNY</t>
  </si>
  <si>
    <t>000921763130</t>
  </si>
  <si>
    <t>MAZUREK, BRIANNE</t>
  </si>
  <si>
    <t>000921763465</t>
  </si>
  <si>
    <t>FROST, JOSHUA</t>
  </si>
  <si>
    <t>000921764312</t>
  </si>
  <si>
    <t>BOTTLES, MARY</t>
  </si>
  <si>
    <t>000921764505</t>
  </si>
  <si>
    <t>SINGH, SURJIT</t>
  </si>
  <si>
    <t>000921764774</t>
  </si>
  <si>
    <t>PARKER, BRIAN</t>
  </si>
  <si>
    <t>000921765563</t>
  </si>
  <si>
    <t>MISSAKASAVAKE, THANADOBI</t>
  </si>
  <si>
    <t>000921766913</t>
  </si>
  <si>
    <t>MINK, FAITH</t>
  </si>
  <si>
    <t>000921767556</t>
  </si>
  <si>
    <t>SINGH, KARANVIR</t>
  </si>
  <si>
    <t>000921767605</t>
  </si>
  <si>
    <t>RATCLIFF, DENA</t>
  </si>
  <si>
    <t>000921768179</t>
  </si>
  <si>
    <t>CALLAHAN, KEN</t>
  </si>
  <si>
    <t>000921768491</t>
  </si>
  <si>
    <t>THOMPSON, KATHY</t>
  </si>
  <si>
    <t>000921775321</t>
  </si>
  <si>
    <t>WEBER, CLAIRE</t>
  </si>
  <si>
    <t>000921776240</t>
  </si>
  <si>
    <t>NORWOOD, MEREDITH</t>
  </si>
  <si>
    <t>000957000455</t>
  </si>
  <si>
    <t>MEYER, KAY</t>
  </si>
  <si>
    <t>000,128.29</t>
  </si>
  <si>
    <t>000,023.09</t>
  </si>
  <si>
    <t>000957126566</t>
  </si>
  <si>
    <t>WEBER, ROSEMARY</t>
  </si>
  <si>
    <t>000,190.08</t>
  </si>
  <si>
    <t>000,034.21</t>
  </si>
  <si>
    <t>000957177321</t>
  </si>
  <si>
    <t>LANGRAND, JOAN</t>
  </si>
  <si>
    <t>000,115.64</t>
  </si>
  <si>
    <t>000,020.82</t>
  </si>
  <si>
    <t>000957177416</t>
  </si>
  <si>
    <t>CURTIS, SUZANNE</t>
  </si>
  <si>
    <t>000,276.75</t>
  </si>
  <si>
    <t>000,024.91</t>
  </si>
  <si>
    <t>IST301</t>
  </si>
  <si>
    <t>000957178596</t>
  </si>
  <si>
    <t>ROBERTS, RONALD</t>
  </si>
  <si>
    <t>000,142.51</t>
  </si>
  <si>
    <t>000,014.25</t>
  </si>
  <si>
    <t>000957178626</t>
  </si>
  <si>
    <t>WOODS, CATHY</t>
  </si>
  <si>
    <t>000957178723</t>
  </si>
  <si>
    <t>MILBY, BETH</t>
  </si>
  <si>
    <t>20250207</t>
  </si>
  <si>
    <t>20241207</t>
  </si>
  <si>
    <t>20250107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</si>
  <si>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</si>
  <si>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</si>
  <si>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</si>
  <si>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</si>
  <si>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</si>
  <si>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</si>
  <si>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</si>
  <si>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</si>
  <si>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</si>
  <si>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</si>
  <si>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</si>
  <si>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</si>
  <si>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</si>
  <si>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</si>
  <si>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000957182209</t>
  </si>
  <si>
    <t>OCHILTREE, JANICE</t>
  </si>
  <si>
    <t>000,109.42</t>
  </si>
  <si>
    <t>000,019.70</t>
  </si>
  <si>
    <t>000957184011</t>
  </si>
  <si>
    <t>KRACHER, LAURA</t>
  </si>
  <si>
    <t>000957186206</t>
  </si>
  <si>
    <t>BOYD, VICKIE</t>
  </si>
  <si>
    <t>000,223.86</t>
  </si>
  <si>
    <t>000,022.39</t>
  </si>
  <si>
    <t>000957186310</t>
  </si>
  <si>
    <t>HINTON, MARC</t>
  </si>
  <si>
    <t>000,176.59</t>
  </si>
  <si>
    <t>000,031.79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</si>
  <si>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</si>
  <si>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</si>
  <si>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</si>
  <si>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</si>
  <si>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</si>
  <si>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</si>
  <si>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</si>
  <si>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</si>
  <si>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</si>
  <si>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</si>
  <si>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</si>
  <si>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</si>
  <si>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000957187822</t>
  </si>
  <si>
    <t>COLLINS, JIM</t>
  </si>
  <si>
    <t>000,142.92</t>
  </si>
  <si>
    <t>000,025.73</t>
  </si>
  <si>
    <t>000957188567</t>
  </si>
  <si>
    <t>MEYER, CATHRYN</t>
  </si>
  <si>
    <t>000957188880</t>
  </si>
  <si>
    <t>BURTON, BRENDA</t>
  </si>
  <si>
    <t>000,111.91</t>
  </si>
  <si>
    <t>000,020.14</t>
  </si>
  <si>
    <t>000957189095</t>
  </si>
  <si>
    <t>SINES, JOHN</t>
  </si>
  <si>
    <t>000,174.02</t>
  </si>
  <si>
    <t>000,017.40</t>
  </si>
  <si>
    <t>000957189937</t>
  </si>
  <si>
    <t>SCHERFF, JANICE</t>
  </si>
  <si>
    <t>000,115.64-</t>
  </si>
  <si>
    <t>000,020.82-</t>
  </si>
  <si>
    <t>000957193658</t>
  </si>
  <si>
    <t>RICHARDSON, KATHLEEN</t>
  </si>
  <si>
    <t>000,201.47</t>
  </si>
  <si>
    <t>000,020.15</t>
  </si>
  <si>
    <t>000957194783</t>
  </si>
  <si>
    <t>HILPERT, CAROLE</t>
  </si>
  <si>
    <t>000,288.86</t>
  </si>
  <si>
    <t>000,014.44</t>
  </si>
  <si>
    <t>000957197557</t>
  </si>
  <si>
    <t>CERVEN, TIMOTHY</t>
  </si>
  <si>
    <t>000,125.77</t>
  </si>
  <si>
    <t>000,022.64</t>
  </si>
  <si>
    <t>000957197559</t>
  </si>
  <si>
    <t>CERVEN, MARLA</t>
  </si>
  <si>
    <t>000,124.12</t>
  </si>
  <si>
    <t>000,022.34</t>
  </si>
  <si>
    <t>000957197855</t>
  </si>
  <si>
    <t>MILLER, VONNIE</t>
  </si>
  <si>
    <t>000,153.64</t>
  </si>
  <si>
    <t>000,027.66</t>
  </si>
  <si>
    <t>000957199560</t>
  </si>
  <si>
    <t>JENSEN, BRIAN</t>
  </si>
  <si>
    <t>000957200943</t>
  </si>
  <si>
    <t>WILBER, RUSSELL</t>
  </si>
  <si>
    <t>000957201150</t>
  </si>
  <si>
    <t>WOODWORTH, LAMONT</t>
  </si>
  <si>
    <t>000,239.84</t>
  </si>
  <si>
    <t>000,043.17</t>
  </si>
  <si>
    <t>000957201955</t>
  </si>
  <si>
    <t>SANDERS, MARK</t>
  </si>
  <si>
    <t>000,167.55</t>
  </si>
  <si>
    <t>000,030.16</t>
  </si>
  <si>
    <t>000957202119</t>
  </si>
  <si>
    <t>CUSTER, THOMAS</t>
  </si>
  <si>
    <t>000,218.49</t>
  </si>
  <si>
    <t>000,039.33</t>
  </si>
  <si>
    <t>000957203744</t>
  </si>
  <si>
    <t>BRANDT, JAMES</t>
  </si>
  <si>
    <t>000,125.77-</t>
  </si>
  <si>
    <t>000,022.64-</t>
  </si>
  <si>
    <t>000957203747</t>
  </si>
  <si>
    <t>BRANDT, MARY</t>
  </si>
  <si>
    <t>000,115.08</t>
  </si>
  <si>
    <t>000,020.71</t>
  </si>
  <si>
    <t>000,115.08-</t>
  </si>
  <si>
    <t>000,020.71-</t>
  </si>
  <si>
    <t>107928714-SU-RICARDO D SANTOS</t>
  </si>
  <si>
    <t>000920750023</t>
  </si>
  <si>
    <t>GOLDSTEIN, LORI</t>
  </si>
  <si>
    <t>107928714</t>
  </si>
  <si>
    <t>000920832838</t>
  </si>
  <si>
    <t>MEDINA, OSCAR</t>
  </si>
  <si>
    <t>000920875325</t>
  </si>
  <si>
    <t>IWAN, LINDA</t>
  </si>
  <si>
    <t>000920928420</t>
  </si>
  <si>
    <t>JOHANSON, JOAN</t>
  </si>
  <si>
    <t>000921061677</t>
  </si>
  <si>
    <t>SMITH, MARCIA</t>
  </si>
  <si>
    <t>000921081522</t>
  </si>
  <si>
    <t>KANE, MINDI</t>
  </si>
  <si>
    <t>000921112149</t>
  </si>
  <si>
    <t>FOLTZ, JEFFREY</t>
  </si>
  <si>
    <t>000921146622</t>
  </si>
  <si>
    <t>HOLLAND, MARLENE</t>
  </si>
  <si>
    <t>000921385663</t>
  </si>
  <si>
    <t>FAN, TOM</t>
  </si>
  <si>
    <t>000921498135</t>
  </si>
  <si>
    <t>ZULLO, MANDI</t>
  </si>
  <si>
    <t>000921501725</t>
  </si>
  <si>
    <t>HAENLEIN, MICHAEL</t>
  </si>
  <si>
    <t>000,040.00-</t>
  </si>
  <si>
    <t>000921506239</t>
  </si>
  <si>
    <t>MEDINA, JORGE</t>
  </si>
  <si>
    <t>000921549994</t>
  </si>
  <si>
    <t>MEDINA, MARIA</t>
  </si>
  <si>
    <t>000921553562</t>
  </si>
  <si>
    <t>SUGA, JOANNE</t>
  </si>
  <si>
    <t>000921556561</t>
  </si>
  <si>
    <t>WONG, CHARLES</t>
  </si>
  <si>
    <t>20210301</t>
  </si>
  <si>
    <t>048</t>
  </si>
  <si>
    <t>000921563981</t>
  </si>
  <si>
    <t>KUSSMANN, DIANE</t>
  </si>
  <si>
    <t>000921592257</t>
  </si>
  <si>
    <t>GARCIA, CAROLE</t>
  </si>
  <si>
    <t>000921595331</t>
  </si>
  <si>
    <t>GLASGO, JAMES</t>
  </si>
  <si>
    <t>000921625973</t>
  </si>
  <si>
    <t>HENRY, DIANE</t>
  </si>
  <si>
    <t>000921646054</t>
  </si>
  <si>
    <t>LENCZYCKI, MELISSA</t>
  </si>
  <si>
    <t>000921669510</t>
  </si>
  <si>
    <t>SKOKAN, RICHARD</t>
  </si>
  <si>
    <t>000921669599</t>
  </si>
  <si>
    <t>SALES, ANGELENE BEATRI</t>
  </si>
  <si>
    <t>000921675547</t>
  </si>
  <si>
    <t>WADE, MATTHEW</t>
  </si>
  <si>
    <t>000921678645</t>
  </si>
  <si>
    <t>PUANGCO, DIOSDADO</t>
  </si>
  <si>
    <t>000921689456</t>
  </si>
  <si>
    <t>MCKNIGHT, JOY</t>
  </si>
  <si>
    <t>000921701331</t>
  </si>
  <si>
    <t>MAMAAT, ANNE PAULINE</t>
  </si>
  <si>
    <t>000921703965</t>
  </si>
  <si>
    <t>TREJO, ALEJANDRO</t>
  </si>
  <si>
    <t>000921704787</t>
  </si>
  <si>
    <t>YEVYCH, NATALIIA</t>
  </si>
  <si>
    <t>000921706883</t>
  </si>
  <si>
    <t>ROSS, CREED</t>
  </si>
  <si>
    <t>000921712039</t>
  </si>
  <si>
    <t>NEAL, SEBASTIAN</t>
  </si>
  <si>
    <t>000921713365</t>
  </si>
  <si>
    <t>HARRIS, NEHEMIAH</t>
  </si>
  <si>
    <t>000921716847</t>
  </si>
  <si>
    <t>ESTANDA, FIDEL</t>
  </si>
  <si>
    <t>IS1501</t>
  </si>
  <si>
    <t>000921728151</t>
  </si>
  <si>
    <t>ALI, ZANOBIA</t>
  </si>
  <si>
    <t>000921749386</t>
  </si>
  <si>
    <t>MORALES, MARILYN</t>
  </si>
  <si>
    <t>000921756422</t>
  </si>
  <si>
    <t>THOMAS, CALEB</t>
  </si>
  <si>
    <t>000921762373</t>
  </si>
  <si>
    <t>CALABRESE, MIKE</t>
  </si>
  <si>
    <t>000921771894</t>
  </si>
  <si>
    <t>RADOVANOVIC, MILOS</t>
  </si>
  <si>
    <t>000921772500</t>
  </si>
  <si>
    <t>STRELKA, DAMIAN</t>
  </si>
  <si>
    <t>000921773339</t>
  </si>
  <si>
    <t>MARTIN, KRISTEN</t>
  </si>
  <si>
    <t>000957180084</t>
  </si>
  <si>
    <t>GONSIEWSKI, JEFFREY</t>
  </si>
  <si>
    <t>000,186.18</t>
  </si>
  <si>
    <t>000,033.51</t>
  </si>
  <si>
    <t>107928717-SU-FRANK E LISKOVEC</t>
  </si>
  <si>
    <t>069115</t>
  </si>
  <si>
    <t>000804473710</t>
  </si>
  <si>
    <t>OESTMANN, GENE</t>
  </si>
  <si>
    <t>MM4</t>
  </si>
  <si>
    <t>107928717</t>
  </si>
  <si>
    <t>000890208523</t>
  </si>
  <si>
    <t>LEPRI, MYRA</t>
  </si>
  <si>
    <t>000890262018</t>
  </si>
  <si>
    <t>AGUIRRE, SERGIO</t>
  </si>
  <si>
    <t>000890545645</t>
  </si>
  <si>
    <t>VACHULCIK, KAREN</t>
  </si>
  <si>
    <t>000890715455</t>
  </si>
  <si>
    <t>AGUIRRE, RENE</t>
  </si>
  <si>
    <t>000920719848</t>
  </si>
  <si>
    <t>CERNY-BRACHER, LORI</t>
  </si>
  <si>
    <t>000920760884</t>
  </si>
  <si>
    <t>LANNERS, RICHARD</t>
  </si>
  <si>
    <t>109</t>
  </si>
  <si>
    <t>000920775423</t>
  </si>
  <si>
    <t>BRAND, NAOMI</t>
  </si>
  <si>
    <t>000920784697</t>
  </si>
  <si>
    <t>RODENKIRCH, ANNE</t>
  </si>
  <si>
    <t>000920861836</t>
  </si>
  <si>
    <t>VUJICA, STJEPAN</t>
  </si>
  <si>
    <t>000920869125</t>
  </si>
  <si>
    <t>WIEDEL, ANTHONY</t>
  </si>
  <si>
    <t>000920927833</t>
  </si>
  <si>
    <t>ESSARY, ERICA</t>
  </si>
  <si>
    <t>000920932458</t>
  </si>
  <si>
    <t>SCHULBERG, BEATA</t>
  </si>
  <si>
    <t>000920943430</t>
  </si>
  <si>
    <t>SHANKER, NORMAN</t>
  </si>
  <si>
    <t>000921037040</t>
  </si>
  <si>
    <t>BROWN, CORI</t>
  </si>
  <si>
    <t>000921054464</t>
  </si>
  <si>
    <t>ROMANIZ, LORENZO</t>
  </si>
  <si>
    <t>000921060236</t>
  </si>
  <si>
    <t>BENDER, REBECCA</t>
  </si>
  <si>
    <t>000921153608</t>
  </si>
  <si>
    <t>FREUND, CHRISTINA</t>
  </si>
  <si>
    <t>000921179704</t>
  </si>
  <si>
    <t>GLOSA, KATIE</t>
  </si>
  <si>
    <t>000921182822</t>
  </si>
  <si>
    <t>MUNAO, JOHN</t>
  </si>
  <si>
    <t>000921243078</t>
  </si>
  <si>
    <t>BURNS, ROBERT</t>
  </si>
  <si>
    <t>20160301</t>
  </si>
  <si>
    <t>108</t>
  </si>
  <si>
    <t>000,071.94</t>
  </si>
  <si>
    <t>000,002.88</t>
  </si>
  <si>
    <t>000921252929</t>
  </si>
  <si>
    <t>PATEL, CHETAN</t>
  </si>
  <si>
    <t>000921372537</t>
  </si>
  <si>
    <t>DWYER, CHRISTINA</t>
  </si>
  <si>
    <t>000921378016</t>
  </si>
  <si>
    <t>VORA, RUCHIR</t>
  </si>
  <si>
    <t>000921386444</t>
  </si>
  <si>
    <t>KULIK, JENNIFER</t>
  </si>
  <si>
    <t>000921399067</t>
  </si>
  <si>
    <t>KOUVALIS, AMALIA</t>
  </si>
  <si>
    <t>000921399306</t>
  </si>
  <si>
    <t>OSTOJICH, JASNA</t>
  </si>
  <si>
    <t>000921439239</t>
  </si>
  <si>
    <t>MUNDZIC, DONNA</t>
  </si>
  <si>
    <t>000921444050</t>
  </si>
  <si>
    <t>PATTON, KHALIL</t>
  </si>
  <si>
    <t>000921506116</t>
  </si>
  <si>
    <t>WRIGHT, MICHAEL</t>
  </si>
  <si>
    <t>000921544809</t>
  </si>
  <si>
    <t>ALAGHEBAND, TAGHI</t>
  </si>
  <si>
    <t>000921560045</t>
  </si>
  <si>
    <t>PINEDA, ERIC</t>
  </si>
  <si>
    <t>000,020.00-</t>
  </si>
  <si>
    <t>000921603355</t>
  </si>
  <si>
    <t>VASILJ, JELA</t>
  </si>
  <si>
    <t>000921605712</t>
  </si>
  <si>
    <t>HANNA, DAVID</t>
  </si>
  <si>
    <t>000921614291</t>
  </si>
  <si>
    <t>STORNELLO, ANNAMARIE</t>
  </si>
  <si>
    <t>000921630535</t>
  </si>
  <si>
    <t>HERLIHY, LORILE</t>
  </si>
  <si>
    <t>000921637408</t>
  </si>
  <si>
    <t>NORRIS, JASON</t>
  </si>
  <si>
    <t>000921640271</t>
  </si>
  <si>
    <t>OVALLE VICUNA DE ENC, CARMEN</t>
  </si>
  <si>
    <t>000921641638</t>
  </si>
  <si>
    <t>FINK, PAMELA</t>
  </si>
  <si>
    <t>000921655241</t>
  </si>
  <si>
    <t>METZ, MARILYN</t>
  </si>
  <si>
    <t>000921663243</t>
  </si>
  <si>
    <t>LISKOVEC, GABRIELLE</t>
  </si>
  <si>
    <t>000921670999</t>
  </si>
  <si>
    <t>JOYCE, ANNE</t>
  </si>
  <si>
    <t>000921680480</t>
  </si>
  <si>
    <t>AHMED, FAROOQ</t>
  </si>
  <si>
    <t>000921686958</t>
  </si>
  <si>
    <t>VILLASENOR, OMAR</t>
  </si>
  <si>
    <t>000921699934</t>
  </si>
  <si>
    <t>CHAREWICZ, DAVID</t>
  </si>
  <si>
    <t>000921713629</t>
  </si>
  <si>
    <t>EWING, ISAIAH</t>
  </si>
  <si>
    <t>000921713715</t>
  </si>
  <si>
    <t>EWING, LISA</t>
  </si>
  <si>
    <t>000921720586</t>
  </si>
  <si>
    <t>NIEDZWIECKI, GEORGE</t>
  </si>
  <si>
    <t>000921737260</t>
  </si>
  <si>
    <t>MEYER, BRADLEY</t>
  </si>
  <si>
    <t>000921754198</t>
  </si>
  <si>
    <t>ZICK, AMANDA</t>
  </si>
  <si>
    <t>000921757617</t>
  </si>
  <si>
    <t>VOS, JOY</t>
  </si>
  <si>
    <t>000921760538</t>
  </si>
  <si>
    <t>FACCHINI, KRISTEN</t>
  </si>
  <si>
    <t>000921761596</t>
  </si>
  <si>
    <t>STROUSE, JOSEPH</t>
  </si>
  <si>
    <t>000921768375</t>
  </si>
  <si>
    <t>MARTIN, LUIS</t>
  </si>
  <si>
    <t>000,030.00-</t>
  </si>
  <si>
    <t>000957198660</t>
  </si>
  <si>
    <t>WEISER, WENDY</t>
  </si>
  <si>
    <t>000,129.53</t>
  </si>
  <si>
    <t>000,012.95</t>
  </si>
  <si>
    <t>000,129.53-</t>
  </si>
  <si>
    <t>000,012.95-</t>
  </si>
  <si>
    <t>000957201348</t>
  </si>
  <si>
    <t>CALLERO, LAWRENCE</t>
  </si>
  <si>
    <t>107928722-SU-RICHARD A YALE</t>
  </si>
  <si>
    <t>000808537815</t>
  </si>
  <si>
    <t>ROSENBERG, LAURA</t>
  </si>
  <si>
    <t>000,010.00</t>
  </si>
  <si>
    <t>107928722</t>
  </si>
  <si>
    <t>000890070450</t>
  </si>
  <si>
    <t>RONAN, MARTIN</t>
  </si>
  <si>
    <t>000890592904</t>
  </si>
  <si>
    <t>ZONTINI, STACEY</t>
  </si>
  <si>
    <t>000920791902</t>
  </si>
  <si>
    <t>COLELLA, SARAH</t>
  </si>
  <si>
    <t>000920819028</t>
  </si>
  <si>
    <t>KOHEN, BRURIA</t>
  </si>
  <si>
    <t>000920863815</t>
  </si>
  <si>
    <t>DISALVO, MARGARET</t>
  </si>
  <si>
    <t>000921033174</t>
  </si>
  <si>
    <t>FISHMAN, HOWARD</t>
  </si>
  <si>
    <t>000921052920</t>
  </si>
  <si>
    <t>SZTUKOWSKI, ANDREW</t>
  </si>
  <si>
    <t>000921053033</t>
  </si>
  <si>
    <t>VOLE, ERCOLE</t>
  </si>
  <si>
    <t>000921085713</t>
  </si>
  <si>
    <t>ACHIMAS, MARIUS</t>
  </si>
  <si>
    <t>000921190036</t>
  </si>
  <si>
    <t>CAMNITZER, STEVEN</t>
  </si>
  <si>
    <t>000921272409</t>
  </si>
  <si>
    <t>CARPENTER, ANDREW</t>
  </si>
  <si>
    <t>20160601</t>
  </si>
  <si>
    <t>105</t>
  </si>
  <si>
    <t>000921382324</t>
  </si>
  <si>
    <t>MONTALTO, UBALDO</t>
  </si>
  <si>
    <t>000921453217</t>
  </si>
  <si>
    <t>MORRELL, TAMARA</t>
  </si>
  <si>
    <t>000921503760</t>
  </si>
  <si>
    <t>SOLOLA, EMMANUEL</t>
  </si>
  <si>
    <t>000921512482</t>
  </si>
  <si>
    <t>ROSS, ERIC</t>
  </si>
  <si>
    <t>000921512523</t>
  </si>
  <si>
    <t>GARBACZ, CODY</t>
  </si>
  <si>
    <t>000921523821</t>
  </si>
  <si>
    <t>PLOETZ, DAWN</t>
  </si>
  <si>
    <t>000921529342</t>
  </si>
  <si>
    <t>LUDWIG, ANDREAS</t>
  </si>
  <si>
    <t>000921538664</t>
  </si>
  <si>
    <t>BOSCH, JOSEPH</t>
  </si>
  <si>
    <t>000921546978</t>
  </si>
  <si>
    <t>SALABOUNIS, MANUEL</t>
  </si>
  <si>
    <t>000921549883</t>
  </si>
  <si>
    <t>PETERS, SCOTT</t>
  </si>
  <si>
    <t>000921562319</t>
  </si>
  <si>
    <t>LEINONEN, DIANE</t>
  </si>
  <si>
    <t>000921571172</t>
  </si>
  <si>
    <t>KIRSHNER, SHELBY</t>
  </si>
  <si>
    <t>000921590339</t>
  </si>
  <si>
    <t>STEFANELLI, ANTHONY</t>
  </si>
  <si>
    <t>000921606777</t>
  </si>
  <si>
    <t>HOPPER, NICOLE</t>
  </si>
  <si>
    <t>000921609665</t>
  </si>
  <si>
    <t>KNOECKL, JOSEPH</t>
  </si>
  <si>
    <t>000921623897</t>
  </si>
  <si>
    <t>RONAN, STEPHEN</t>
  </si>
  <si>
    <t>000921631997</t>
  </si>
  <si>
    <t>LUBBAT, LINA</t>
  </si>
  <si>
    <t>000921639427</t>
  </si>
  <si>
    <t>JORDAN, BRUCE</t>
  </si>
  <si>
    <t>000921644463</t>
  </si>
  <si>
    <t>BOWERS, KELLYE</t>
  </si>
  <si>
    <t>000921651990</t>
  </si>
  <si>
    <t>LINDBLOOM, ERIN</t>
  </si>
  <si>
    <t>000921653408</t>
  </si>
  <si>
    <t>COHN, SOPHIA</t>
  </si>
  <si>
    <t>000921659302</t>
  </si>
  <si>
    <t>PHONEPRASITH, CHANSOUK</t>
  </si>
  <si>
    <t>000921669487</t>
  </si>
  <si>
    <t>KAUFMAN, MEGAN</t>
  </si>
  <si>
    <t>000921671307</t>
  </si>
  <si>
    <t>BOCK, JOSEPH</t>
  </si>
  <si>
    <t>000921679779</t>
  </si>
  <si>
    <t>LIEBLICK-SVARNIAS, MICHELE</t>
  </si>
  <si>
    <t>000921689366</t>
  </si>
  <si>
    <t>MYERS, KAREN</t>
  </si>
  <si>
    <t>000921695571</t>
  </si>
  <si>
    <t>YOUNG, SCOTT</t>
  </si>
  <si>
    <t>000921737016</t>
  </si>
  <si>
    <t>SOLIS, NICOLE</t>
  </si>
  <si>
    <t>000921737365</t>
  </si>
  <si>
    <t>SMITH, KELLY</t>
  </si>
  <si>
    <t>000921737764</t>
  </si>
  <si>
    <t>STOTTER, SOPHIE</t>
  </si>
  <si>
    <t>000921749141</t>
  </si>
  <si>
    <t>CAPASSO, LINDA</t>
  </si>
  <si>
    <t>000921760733</t>
  </si>
  <si>
    <t>MAHONEY, SAMANTHA</t>
  </si>
  <si>
    <t>000921765577</t>
  </si>
  <si>
    <t>SKAGGS, JOHN</t>
  </si>
  <si>
    <t>000921769703</t>
  </si>
  <si>
    <t>SHABTAI, ZIVA</t>
  </si>
  <si>
    <t>000921771397</t>
  </si>
  <si>
    <t>SHABTAI, TAMAR</t>
  </si>
  <si>
    <t>000921775187</t>
  </si>
  <si>
    <t>POHLMAN, COURTNEY</t>
  </si>
  <si>
    <t>000921775272</t>
  </si>
  <si>
    <t>LOUW, NEVILLE</t>
  </si>
  <si>
    <t>000957180733</t>
  </si>
  <si>
    <t>GOTHELF, DEBBIE</t>
  </si>
  <si>
    <t>000957195628</t>
  </si>
  <si>
    <t>MAGID, PHILIP</t>
  </si>
  <si>
    <t>000,226.47</t>
  </si>
  <si>
    <t>000,022.65</t>
  </si>
  <si>
    <t>107928729-SU-JACOB D YALE</t>
  </si>
  <si>
    <t>000804453793</t>
  </si>
  <si>
    <t>TAYLOR, MARY</t>
  </si>
  <si>
    <t>107928729</t>
  </si>
  <si>
    <t>000808510400</t>
  </si>
  <si>
    <t>HOGAN, JOHN</t>
  </si>
  <si>
    <t>000890366239</t>
  </si>
  <si>
    <t>ZIEMEK, JAMES</t>
  </si>
  <si>
    <t>000890600429</t>
  </si>
  <si>
    <t>PRAGER, NICHOLAS</t>
  </si>
  <si>
    <t>000890652589</t>
  </si>
  <si>
    <t>GERHARDT, MARK</t>
  </si>
  <si>
    <t>000920733925</t>
  </si>
  <si>
    <t>BURDICK, MEAGHAN</t>
  </si>
  <si>
    <t>000920818458</t>
  </si>
  <si>
    <t>BOCHLAS, GUST</t>
  </si>
  <si>
    <t>000,001.44</t>
  </si>
  <si>
    <t>000920838670</t>
  </si>
  <si>
    <t>TOMAN, DENISE</t>
  </si>
  <si>
    <t>000920859491</t>
  </si>
  <si>
    <t>ROWE, KELLY</t>
  </si>
  <si>
    <t>000920894876</t>
  </si>
  <si>
    <t>WOOD, HEATHER</t>
  </si>
  <si>
    <t>000920935083</t>
  </si>
  <si>
    <t>ZILIOLI, GREGORY</t>
  </si>
  <si>
    <t>000921032769</t>
  </si>
  <si>
    <t>MIKUTA, ELIZABETH</t>
  </si>
  <si>
    <t>000921182478</t>
  </si>
  <si>
    <t>VALENTI, LORI</t>
  </si>
  <si>
    <t>20151001</t>
  </si>
  <si>
    <t>112</t>
  </si>
  <si>
    <t>000921265079</t>
  </si>
  <si>
    <t>GIBBONS, HEIDI</t>
  </si>
  <si>
    <t>20170901</t>
  </si>
  <si>
    <t>090</t>
  </si>
  <si>
    <t>000921361476</t>
  </si>
  <si>
    <t>BORKOWICZ, KEITH</t>
  </si>
  <si>
    <t>000921384956</t>
  </si>
  <si>
    <t>SHIPBAUGH, BROOKE</t>
  </si>
  <si>
    <t>000921426418</t>
  </si>
  <si>
    <t>KARAS, BARTLOMIEJ</t>
  </si>
  <si>
    <t>000921429882</t>
  </si>
  <si>
    <t>COLINA GARCIA, ELZER</t>
  </si>
  <si>
    <t>20181101</t>
  </si>
  <si>
    <t>076</t>
  </si>
  <si>
    <t>000921433010</t>
  </si>
  <si>
    <t>TATE, HARRISON</t>
  </si>
  <si>
    <t>000921444438</t>
  </si>
  <si>
    <t>TRAWINSKI, TODD</t>
  </si>
  <si>
    <t>000921448927</t>
  </si>
  <si>
    <t>HOLMAN, JAMES</t>
  </si>
  <si>
    <t>000921463570</t>
  </si>
  <si>
    <t>BLANGIARDO, ROSA</t>
  </si>
  <si>
    <t>000921490541</t>
  </si>
  <si>
    <t>CAVE, CONNIE</t>
  </si>
  <si>
    <t>000921491021</t>
  </si>
  <si>
    <t>BAUGNET, ANN</t>
  </si>
  <si>
    <t>000921494184</t>
  </si>
  <si>
    <t>SINGH, GAGAN</t>
  </si>
  <si>
    <t>000921495810</t>
  </si>
  <si>
    <t>KOSTRZEWSKI, ZBIGNIEW</t>
  </si>
  <si>
    <t>000921518750</t>
  </si>
  <si>
    <t>STILTNER, ROBERT</t>
  </si>
  <si>
    <t>000921525550</t>
  </si>
  <si>
    <t>SCHOPER, MARY</t>
  </si>
  <si>
    <t>000921541916</t>
  </si>
  <si>
    <t>OSBORN, RICK</t>
  </si>
  <si>
    <t>000921544055</t>
  </si>
  <si>
    <t>WILTGEN, LAWRENCE</t>
  </si>
  <si>
    <t>000921547422</t>
  </si>
  <si>
    <t>XHEKA, BUKRIA</t>
  </si>
  <si>
    <t>000921549026</t>
  </si>
  <si>
    <t>CHERNOFF, JOSHUA</t>
  </si>
  <si>
    <t>000921562490</t>
  </si>
  <si>
    <t>DUDZIENSKI, JOHN</t>
  </si>
  <si>
    <t>000921566557</t>
  </si>
  <si>
    <t>LUDWIG, OLIVIA</t>
  </si>
  <si>
    <t>000921600102</t>
  </si>
  <si>
    <t>MANNING, CHARLES</t>
  </si>
  <si>
    <t>000921614967</t>
  </si>
  <si>
    <t>GARCIA, JOSEPH</t>
  </si>
  <si>
    <t>000921615656</t>
  </si>
  <si>
    <t>SMITH, JEREMIAH</t>
  </si>
  <si>
    <t>000921619921</t>
  </si>
  <si>
    <t>REES, STACEY</t>
  </si>
  <si>
    <t>030</t>
  </si>
  <si>
    <t>000921620919</t>
  </si>
  <si>
    <t>ZAMMAR, CHRISTOPHER</t>
  </si>
  <si>
    <t>000921622374</t>
  </si>
  <si>
    <t>HOCHSPRUNG, CHRISTINE</t>
  </si>
  <si>
    <t>000921622709</t>
  </si>
  <si>
    <t>LEONARD, BILL</t>
  </si>
  <si>
    <t>000921647081</t>
  </si>
  <si>
    <t>PAEZ, LEAH</t>
  </si>
  <si>
    <t>000921653053</t>
  </si>
  <si>
    <t>VELEZ, DAVID</t>
  </si>
  <si>
    <t>000921654253</t>
  </si>
  <si>
    <t>COHEN, SAMUEL</t>
  </si>
  <si>
    <t>000921658031</t>
  </si>
  <si>
    <t>KNOBLOCH, MICHELLE</t>
  </si>
  <si>
    <t>000921667756</t>
  </si>
  <si>
    <t>HACK, JOSEPH</t>
  </si>
  <si>
    <t>000921667820</t>
  </si>
  <si>
    <t>ALBRECHT, EMILY</t>
  </si>
  <si>
    <t>000921672394</t>
  </si>
  <si>
    <t>REED-VINKAVICH, DAWN</t>
  </si>
  <si>
    <t>000921677646</t>
  </si>
  <si>
    <t>JURAN, ROBIN</t>
  </si>
  <si>
    <t>000921687840</t>
  </si>
  <si>
    <t>LAVEN, BRETT</t>
  </si>
  <si>
    <t>000921694892</t>
  </si>
  <si>
    <t>MORA, ELIZABETH</t>
  </si>
  <si>
    <t>000921702310</t>
  </si>
  <si>
    <t>RODRIGUEZ-MAZARI, JESSICA</t>
  </si>
  <si>
    <t>000921708094</t>
  </si>
  <si>
    <t>NEWLING, ELIZABETH</t>
  </si>
  <si>
    <t>000921712158</t>
  </si>
  <si>
    <t>MUNIZ, KEILA</t>
  </si>
  <si>
    <t>000921714712</t>
  </si>
  <si>
    <t>WILTGEN, RYAN</t>
  </si>
  <si>
    <t>000921715459</t>
  </si>
  <si>
    <t>WENGERSKI, ANITA</t>
  </si>
  <si>
    <t>000921715823</t>
  </si>
  <si>
    <t>HALL, RAYMOND</t>
  </si>
  <si>
    <t>000921727218</t>
  </si>
  <si>
    <t>HOGAN, MYA</t>
  </si>
  <si>
    <t>000921729211</t>
  </si>
  <si>
    <t>CAVI, REED</t>
  </si>
  <si>
    <t>000921732826</t>
  </si>
  <si>
    <t>BELLOCK, TERESA</t>
  </si>
  <si>
    <t>000921737301</t>
  </si>
  <si>
    <t>BRUCATO, BIANCA</t>
  </si>
  <si>
    <t>000921742098</t>
  </si>
  <si>
    <t>HILL, SARAH</t>
  </si>
  <si>
    <t>000921742876</t>
  </si>
  <si>
    <t>LEMICK, APRIL</t>
  </si>
  <si>
    <t>IG2802</t>
  </si>
  <si>
    <t>000921745594</t>
  </si>
  <si>
    <t>ANEES, SOMIA</t>
  </si>
  <si>
    <t>000921747273</t>
  </si>
  <si>
    <t>LEE, SUNG</t>
  </si>
  <si>
    <t>000921751625</t>
  </si>
  <si>
    <t>CIPRA, MARY</t>
  </si>
  <si>
    <t>000921754913</t>
  </si>
  <si>
    <t>ROTHENBERG, BENJAMIN</t>
  </si>
  <si>
    <t>000921755402</t>
  </si>
  <si>
    <t>GOODNER, SCOTT</t>
  </si>
  <si>
    <t>000921760904</t>
  </si>
  <si>
    <t>FRANZEN, KEITH</t>
  </si>
  <si>
    <t>000921762372</t>
  </si>
  <si>
    <t>ORZECHOWSKI, ELIJAH</t>
  </si>
  <si>
    <t>000921763019</t>
  </si>
  <si>
    <t>PINK, MITCHELL</t>
  </si>
  <si>
    <t>000921774029</t>
  </si>
  <si>
    <t>FLENER, ADALYN</t>
  </si>
  <si>
    <t>000921774875</t>
  </si>
  <si>
    <t>RABIN, KYLE</t>
  </si>
  <si>
    <t>000921776082</t>
  </si>
  <si>
    <t>KAPLAN, CARLOS</t>
  </si>
  <si>
    <t>000921776092</t>
  </si>
  <si>
    <t>KAPLAN, ERIDANIA</t>
  </si>
  <si>
    <t>000957176531</t>
  </si>
  <si>
    <t>000,139.74</t>
  </si>
  <si>
    <t>000,025.15</t>
  </si>
  <si>
    <t>000957185740</t>
  </si>
  <si>
    <t>SCHUMERS, ANNETTE</t>
  </si>
  <si>
    <t>000,128.49</t>
  </si>
  <si>
    <t>000,023.13</t>
  </si>
  <si>
    <t>000957192008</t>
  </si>
  <si>
    <t>TEMPLIN, SUSAN</t>
  </si>
  <si>
    <t>000957197789</t>
  </si>
  <si>
    <t>OSTALA, BARBARA</t>
  </si>
  <si>
    <t>000,138.16</t>
  </si>
  <si>
    <t>000,024.87</t>
  </si>
  <si>
    <t>000957201001</t>
  </si>
  <si>
    <t>WENGERSKI, STEVEN</t>
  </si>
  <si>
    <t>107928852-SU-CHRISTIAN TAUGNER</t>
  </si>
  <si>
    <t>000808511849</t>
  </si>
  <si>
    <t>GUSS, KAREN</t>
  </si>
  <si>
    <t>107928852</t>
  </si>
  <si>
    <t>000808516613</t>
  </si>
  <si>
    <t>KARLINSKI, DEBRA</t>
  </si>
  <si>
    <t>000890410489</t>
  </si>
  <si>
    <t>KITTLESON, JEANINE</t>
  </si>
  <si>
    <t>000890568876</t>
  </si>
  <si>
    <t>IANNOTTI, BILLIE</t>
  </si>
  <si>
    <t>000920865373</t>
  </si>
  <si>
    <t>STABLER, MAUREEN</t>
  </si>
  <si>
    <t>000920898622</t>
  </si>
  <si>
    <t>SIMMONS, PHILLIP</t>
  </si>
  <si>
    <t>000920915016</t>
  </si>
  <si>
    <t>SEIFRID, JOHN</t>
  </si>
  <si>
    <t>129</t>
  </si>
  <si>
    <t>000921325526</t>
  </si>
  <si>
    <t>STEWART, GEORGIA</t>
  </si>
  <si>
    <t>000921364191</t>
  </si>
  <si>
    <t>MOTHERWAY, CURRAN</t>
  </si>
  <si>
    <t>000921389339</t>
  </si>
  <si>
    <t>CROSETTO, STEPHENIE</t>
  </si>
  <si>
    <t>000921453737</t>
  </si>
  <si>
    <t>CHLEBOWSKI, MICHELLE</t>
  </si>
  <si>
    <t>000921517589</t>
  </si>
  <si>
    <t>SABATINO, JASON</t>
  </si>
  <si>
    <t>000921550048</t>
  </si>
  <si>
    <t>PAOLINELLI, ROBERT</t>
  </si>
  <si>
    <t>000921555774</t>
  </si>
  <si>
    <t>ZIMMERMAN, JANET</t>
  </si>
  <si>
    <t>000921570298</t>
  </si>
  <si>
    <t>SCHEINMAN, JACS</t>
  </si>
  <si>
    <t>000921609075</t>
  </si>
  <si>
    <t>SABATINO, CRISTINA</t>
  </si>
  <si>
    <t>000921613300</t>
  </si>
  <si>
    <t>OKERNS, BRIAN</t>
  </si>
  <si>
    <t>000921624679</t>
  </si>
  <si>
    <t>KULAGA, JOSEPH</t>
  </si>
  <si>
    <t>000921627609</t>
  </si>
  <si>
    <t>MUELLER, DENISE</t>
  </si>
  <si>
    <t>000921649424</t>
  </si>
  <si>
    <t>TIMMONS, LARRY</t>
  </si>
  <si>
    <t>000921671680</t>
  </si>
  <si>
    <t>OCONNOR, SARAH</t>
  </si>
  <si>
    <t>000921674010</t>
  </si>
  <si>
    <t>DANTONIO, EMILY</t>
  </si>
  <si>
    <t>000921675138</t>
  </si>
  <si>
    <t>GOBLE, THOMAS</t>
  </si>
  <si>
    <t>000921693521</t>
  </si>
  <si>
    <t>PELLEGRINO, SAMMY</t>
  </si>
  <si>
    <t>000921707635</t>
  </si>
  <si>
    <t>FOREMAN, ANGELA</t>
  </si>
  <si>
    <t>000921718522</t>
  </si>
  <si>
    <t>ABLES, MICHELLE</t>
  </si>
  <si>
    <t>000921721880</t>
  </si>
  <si>
    <t>HARRIS, MAURICE</t>
  </si>
  <si>
    <t>000921728956</t>
  </si>
  <si>
    <t>SPENCER, ALLISON</t>
  </si>
  <si>
    <t>000921735222</t>
  </si>
  <si>
    <t>NOLAN, NINA</t>
  </si>
  <si>
    <t>000921737741</t>
  </si>
  <si>
    <t>LAPNIEWSKI, JENNIFER</t>
  </si>
  <si>
    <t>000921751126</t>
  </si>
  <si>
    <t>DUNGAN, KATHLEEN</t>
  </si>
  <si>
    <t>000921772693</t>
  </si>
  <si>
    <t>PAVLATOS, DEMETRI</t>
  </si>
  <si>
    <t>000957117990</t>
  </si>
  <si>
    <t>WEBER, KENNETH</t>
  </si>
  <si>
    <t>000,222.65</t>
  </si>
  <si>
    <t>000,020.04</t>
  </si>
  <si>
    <t>000957117991</t>
  </si>
  <si>
    <t>WEBER, JANICE</t>
  </si>
  <si>
    <t>000,183.63</t>
  </si>
  <si>
    <t>000,033.05</t>
  </si>
  <si>
    <t>IST34U</t>
  </si>
  <si>
    <t>000957177887</t>
  </si>
  <si>
    <t>000,150.41</t>
  </si>
  <si>
    <t>000,027.07</t>
  </si>
  <si>
    <t>000957182638</t>
  </si>
  <si>
    <t>000957187354</t>
  </si>
  <si>
    <t>GIACOPELLI, YOLANA</t>
  </si>
  <si>
    <t>000,238.74</t>
  </si>
  <si>
    <t>000,021.49</t>
  </si>
  <si>
    <t>000957190406</t>
  </si>
  <si>
    <t>LOHAN, DIRK</t>
  </si>
  <si>
    <t>000,276.86</t>
  </si>
  <si>
    <t>000,024.92</t>
  </si>
  <si>
    <t>000957193583</t>
  </si>
  <si>
    <t>MONEGATO, JOHN</t>
  </si>
  <si>
    <t>000,386.94</t>
  </si>
  <si>
    <t>000,019.35</t>
  </si>
  <si>
    <t>000957195975</t>
  </si>
  <si>
    <t>WEITZMAN, DIANE</t>
  </si>
  <si>
    <t>000,203.06</t>
  </si>
  <si>
    <t>000,036.55</t>
  </si>
  <si>
    <t>000957196323</t>
  </si>
  <si>
    <t>HARRISON, BETTY</t>
  </si>
  <si>
    <t>000,194.06</t>
  </si>
  <si>
    <t>000,034.93</t>
  </si>
  <si>
    <t>000957199460</t>
  </si>
  <si>
    <t>NELSON, FRED</t>
  </si>
  <si>
    <t>000,254.73</t>
  </si>
  <si>
    <t>000,022.93</t>
  </si>
  <si>
    <t>000957200323</t>
  </si>
  <si>
    <t>RAYMOND, CHAROLETTE</t>
  </si>
  <si>
    <t>000,311.47</t>
  </si>
  <si>
    <t>000,028.03</t>
  </si>
  <si>
    <t>107928853-SU-BARRY L SCHUMANN</t>
  </si>
  <si>
    <t>000921083457</t>
  </si>
  <si>
    <t>MOLNAR, ANNE</t>
  </si>
  <si>
    <t>107928853</t>
  </si>
  <si>
    <t>000921143709</t>
  </si>
  <si>
    <t>LORTS, MARCI</t>
  </si>
  <si>
    <t>000921573663</t>
  </si>
  <si>
    <t>STRUNK, NATHANAEL</t>
  </si>
  <si>
    <t>000921574058</t>
  </si>
  <si>
    <t>ENGEL, ELLIE</t>
  </si>
  <si>
    <t>000921604268</t>
  </si>
  <si>
    <t>BUSSEY, KRIS</t>
  </si>
  <si>
    <t>000921611263</t>
  </si>
  <si>
    <t>ATILANO, ADRIANA</t>
  </si>
  <si>
    <t>000921650117</t>
  </si>
  <si>
    <t>MANN, NICHOLAS</t>
  </si>
  <si>
    <t>000921720485</t>
  </si>
  <si>
    <t>PONTIKIS, CHRISTINE</t>
  </si>
  <si>
    <t>000921723906</t>
  </si>
  <si>
    <t>FOSTER, MELISSA</t>
  </si>
  <si>
    <t>000921731241</t>
  </si>
  <si>
    <t>FABIANI, ANNA</t>
  </si>
  <si>
    <t>000921732281</t>
  </si>
  <si>
    <t>BRUNNER, RICHARD</t>
  </si>
  <si>
    <t>000921735463</t>
  </si>
  <si>
    <t>MUSILLAMI, PATRICIA</t>
  </si>
  <si>
    <t>000921749845</t>
  </si>
  <si>
    <t>BOFFA, MARTINO</t>
  </si>
  <si>
    <t>000921752189</t>
  </si>
  <si>
    <t>BAYSINGER, PATRICK</t>
  </si>
  <si>
    <t>000921761599</t>
  </si>
  <si>
    <t>BETTENDORF, LORI</t>
  </si>
  <si>
    <t>107928856-SU-JEFFREY E HORN</t>
  </si>
  <si>
    <t>000804469274</t>
  </si>
  <si>
    <t>DAVIS, DAWSON</t>
  </si>
  <si>
    <t>000,036.20</t>
  </si>
  <si>
    <t>107928856</t>
  </si>
  <si>
    <t>000804480783</t>
  </si>
  <si>
    <t>MITCHELL, SUSAN</t>
  </si>
  <si>
    <t>000807676876</t>
  </si>
  <si>
    <t>BENSING, DONALD</t>
  </si>
  <si>
    <t>20060601</t>
  </si>
  <si>
    <t>224</t>
  </si>
  <si>
    <t>000,050.42</t>
  </si>
  <si>
    <t>000808517136</t>
  </si>
  <si>
    <t>SMERECKY, JOHN</t>
  </si>
  <si>
    <t>000920991180</t>
  </si>
  <si>
    <t>ERICKSON, DARRIN</t>
  </si>
  <si>
    <t>000921271341</t>
  </si>
  <si>
    <t>MONROE, BENJAMIN</t>
  </si>
  <si>
    <t>000921396977</t>
  </si>
  <si>
    <t>ANDERSON, SARAH</t>
  </si>
  <si>
    <t>000921514651</t>
  </si>
  <si>
    <t>MUSSAR, JENNA</t>
  </si>
  <si>
    <t>000921559912</t>
  </si>
  <si>
    <t>SHAW, LASHARA</t>
  </si>
  <si>
    <t>000921579647</t>
  </si>
  <si>
    <t>LAI, PHUONG</t>
  </si>
  <si>
    <t>000921682677</t>
  </si>
  <si>
    <t>GASEOR, TRACI</t>
  </si>
  <si>
    <t>000921737830</t>
  </si>
  <si>
    <t>ZACHMAN, JEFFREY</t>
  </si>
  <si>
    <t>000921749969</t>
  </si>
  <si>
    <t>PRICE, SUSAN</t>
  </si>
  <si>
    <t>000957183257</t>
  </si>
  <si>
    <t>000,147.68</t>
  </si>
  <si>
    <t>000,026.58</t>
  </si>
  <si>
    <t>IHD301</t>
  </si>
  <si>
    <t>000957189032</t>
  </si>
  <si>
    <t>DEFAZIO, LAURA</t>
  </si>
  <si>
    <t>000,046.76</t>
  </si>
  <si>
    <t>000,004.68</t>
  </si>
  <si>
    <t>107928863-SU-ANDREA PETRUNGARO</t>
  </si>
  <si>
    <t>000921382321</t>
  </si>
  <si>
    <t>SAXON, DAVID</t>
  </si>
  <si>
    <t>107928863</t>
  </si>
  <si>
    <t>000921637697</t>
  </si>
  <si>
    <t>PAPADOPOULOS, DEMETRA</t>
  </si>
  <si>
    <t>000921720514</t>
  </si>
  <si>
    <t>PAPADOPOULOS, DIMITRIOS</t>
  </si>
  <si>
    <t>000921724471</t>
  </si>
  <si>
    <t>CLEAVE, MADELYN</t>
  </si>
  <si>
    <t>000921729256</t>
  </si>
  <si>
    <t>MARGIOTTA, BRENNAN</t>
  </si>
  <si>
    <t>000921748438</t>
  </si>
  <si>
    <t>SIPRUT, ANTONIA</t>
  </si>
  <si>
    <t>000921751940</t>
  </si>
  <si>
    <t>STARON, VIOLETTA</t>
  </si>
  <si>
    <t>000921759663</t>
  </si>
  <si>
    <t>CERASANI, PAMELA</t>
  </si>
  <si>
    <t>000921764777</t>
  </si>
  <si>
    <t>MURAWSKI, MICHAEL</t>
  </si>
  <si>
    <t>000921765101</t>
  </si>
  <si>
    <t>LARKIN, BRANDON</t>
  </si>
  <si>
    <t>000921776147</t>
  </si>
  <si>
    <t>HUDZIK, TIMOTHY</t>
  </si>
  <si>
    <t>107929170-SU-SAADIA S ABDUL</t>
  </si>
  <si>
    <t>000807936286</t>
  </si>
  <si>
    <t>KHALIL, MOHAMMED</t>
  </si>
  <si>
    <t>20130101</t>
  </si>
  <si>
    <t>145</t>
  </si>
  <si>
    <t>000,028.00</t>
  </si>
  <si>
    <t>107929170</t>
  </si>
  <si>
    <t>000808510805</t>
  </si>
  <si>
    <t>BORRINO, ROBERTA</t>
  </si>
  <si>
    <t>000808513854</t>
  </si>
  <si>
    <t>NAVARRO, FRANCISCO</t>
  </si>
  <si>
    <t>000890126199</t>
  </si>
  <si>
    <t>KHADRI, SHOAIB</t>
  </si>
  <si>
    <t>000890142304</t>
  </si>
  <si>
    <t>RANIELI, MARY</t>
  </si>
  <si>
    <t>000890430268</t>
  </si>
  <si>
    <t>FRIEDMAN, IAN</t>
  </si>
  <si>
    <t>000890570747</t>
  </si>
  <si>
    <t>SHARMA, JEETENDRA</t>
  </si>
  <si>
    <t>000920872407</t>
  </si>
  <si>
    <t>REDDEN, CHRISTOPHER</t>
  </si>
  <si>
    <t>000920934309</t>
  </si>
  <si>
    <t>PFISTER, STEPHANIE</t>
  </si>
  <si>
    <t>000921029606</t>
  </si>
  <si>
    <t>SMITH, JERRY</t>
  </si>
  <si>
    <t>000921200310</t>
  </si>
  <si>
    <t>ROESCH, DANIELLE</t>
  </si>
  <si>
    <t>000921280651</t>
  </si>
  <si>
    <t>ELMAZ, HASAN</t>
  </si>
  <si>
    <t>103</t>
  </si>
  <si>
    <t>000921292424</t>
  </si>
  <si>
    <t>SIDDIQUI, NAEEM</t>
  </si>
  <si>
    <t>000921315563</t>
  </si>
  <si>
    <t>IOVANE, PATRICIA</t>
  </si>
  <si>
    <t>000921322323</t>
  </si>
  <si>
    <t>PAMPLONA, ERIC</t>
  </si>
  <si>
    <t>000921500396</t>
  </si>
  <si>
    <t>ASHFAQ, FATIMA</t>
  </si>
  <si>
    <t>000921540321</t>
  </si>
  <si>
    <t>VAYNSHTEYN, PHILIP</t>
  </si>
  <si>
    <t>000921549744</t>
  </si>
  <si>
    <t>RICE, MICHAEL</t>
  </si>
  <si>
    <t>000921567778</t>
  </si>
  <si>
    <t>GAVIN, KATHLEEN</t>
  </si>
  <si>
    <t>000,071.46</t>
  </si>
  <si>
    <t>000921591179</t>
  </si>
  <si>
    <t>BLOOMFIELD, CYNTHIA</t>
  </si>
  <si>
    <t>000921609601</t>
  </si>
  <si>
    <t>SAYRE, MEGAN</t>
  </si>
  <si>
    <t>000921612005</t>
  </si>
  <si>
    <t>WEINER-CHARGO, MINDY</t>
  </si>
  <si>
    <t>20220331</t>
  </si>
  <si>
    <t>000921626440</t>
  </si>
  <si>
    <t>NGUYEN, VU</t>
  </si>
  <si>
    <t>000921633364</t>
  </si>
  <si>
    <t>BOYER, VICTOR</t>
  </si>
  <si>
    <t>000921634607</t>
  </si>
  <si>
    <t>ZEJER, TOMASZ</t>
  </si>
  <si>
    <t>000921640623</t>
  </si>
  <si>
    <t>WILLIAMS, LOGAN</t>
  </si>
  <si>
    <t>000921655802</t>
  </si>
  <si>
    <t>MANSOUR, MANSOUR</t>
  </si>
  <si>
    <t>000921658899</t>
  </si>
  <si>
    <t>WIDENER, SEAN</t>
  </si>
  <si>
    <t>000921665726</t>
  </si>
  <si>
    <t>LINDGREN, LAUREN</t>
  </si>
  <si>
    <t>000921679309</t>
  </si>
  <si>
    <t>HORNIK, DAVID</t>
  </si>
  <si>
    <t>000921679852</t>
  </si>
  <si>
    <t>MARTINEZ, ALEXIS</t>
  </si>
  <si>
    <t>000921683547</t>
  </si>
  <si>
    <t>HOOVER, ANDREA</t>
  </si>
  <si>
    <t>000921683851</t>
  </si>
  <si>
    <t>SMITH, DARRYL</t>
  </si>
  <si>
    <t>000921687552</t>
  </si>
  <si>
    <t>NAPOLETANO, MICHAEL</t>
  </si>
  <si>
    <t>000921690056</t>
  </si>
  <si>
    <t>SAMME, MATTHEW</t>
  </si>
  <si>
    <t>000921692051</t>
  </si>
  <si>
    <t>SCHNUPP, ROSEMARIE</t>
  </si>
  <si>
    <t>000921695547</t>
  </si>
  <si>
    <t>ABRAHAMS, DUREYAH</t>
  </si>
  <si>
    <t>000921712145</t>
  </si>
  <si>
    <t>ORIGER, LINDSAY</t>
  </si>
  <si>
    <t>000921712172</t>
  </si>
  <si>
    <t>ORIGER, DEANNA</t>
  </si>
  <si>
    <t>000921712180</t>
  </si>
  <si>
    <t>ORIGER, LOGAN</t>
  </si>
  <si>
    <t>000921714544</t>
  </si>
  <si>
    <t>KUBAL, MICHAEL</t>
  </si>
  <si>
    <t>000921735271</t>
  </si>
  <si>
    <t>LAVEAU, DAWN</t>
  </si>
  <si>
    <t>000921740652</t>
  </si>
  <si>
    <t>HASHIM, TAHA</t>
  </si>
  <si>
    <t>000921743680</t>
  </si>
  <si>
    <t>THORNTON, JORDEN</t>
  </si>
  <si>
    <t>20240821</t>
  </si>
  <si>
    <t>000921750393</t>
  </si>
  <si>
    <t>SMITH, JUDITH</t>
  </si>
  <si>
    <t>000921750683</t>
  </si>
  <si>
    <t>SHARMA, NAGESH</t>
  </si>
  <si>
    <t>000921760647</t>
  </si>
  <si>
    <t>SITKIEWICZ, SEAN</t>
  </si>
  <si>
    <t>000921762668</t>
  </si>
  <si>
    <t>STOKES, GRACE</t>
  </si>
  <si>
    <t>000921764010</t>
  </si>
  <si>
    <t>VARGAS, HEATHER</t>
  </si>
  <si>
    <t>000921764026</t>
  </si>
  <si>
    <t>TABIEROS, PORFIRIO</t>
  </si>
  <si>
    <t>000,090.00</t>
  </si>
  <si>
    <t>000921767314</t>
  </si>
  <si>
    <t>SHAFIQ, ARSLAN</t>
  </si>
  <si>
    <t>000921769369</t>
  </si>
  <si>
    <t>KHAN, ADIL</t>
  </si>
  <si>
    <t>000921770452</t>
  </si>
  <si>
    <t>KHAN, AMER</t>
  </si>
  <si>
    <t>000921770955</t>
  </si>
  <si>
    <t>ARIANO, GIUSEPPE</t>
  </si>
  <si>
    <t>000921773402</t>
  </si>
  <si>
    <t>KILLINGER, JONATHAN</t>
  </si>
  <si>
    <t>000921773404</t>
  </si>
  <si>
    <t>ESQUIBEL, ELIZABETH</t>
  </si>
  <si>
    <t>000921774395</t>
  </si>
  <si>
    <t>HAMOUI, OMAR</t>
  </si>
  <si>
    <t>000921775352</t>
  </si>
  <si>
    <t>MARCHESE, VITO</t>
  </si>
  <si>
    <t>000957176895</t>
  </si>
  <si>
    <t>000957176901</t>
  </si>
  <si>
    <t>BORRINO, THOMAS</t>
  </si>
  <si>
    <t>000957198887</t>
  </si>
  <si>
    <t>000,259.35</t>
  </si>
  <si>
    <t>000,023.34</t>
  </si>
  <si>
    <t>000957199999</t>
  </si>
  <si>
    <t>MEGLIO, ANTONIO</t>
  </si>
  <si>
    <t>000,257.67</t>
  </si>
  <si>
    <t>000,025.77</t>
  </si>
  <si>
    <t>107929387-SU-STEPHANIE E DRAPAC</t>
  </si>
  <si>
    <t>000920893529</t>
  </si>
  <si>
    <t>LUCZAK, NANCY</t>
  </si>
  <si>
    <t>107929387</t>
  </si>
  <si>
    <t>000920914774</t>
  </si>
  <si>
    <t>MIDLICK, DAVID</t>
  </si>
  <si>
    <t>000921260152</t>
  </si>
  <si>
    <t>ZAHUMENSKY, CATHY</t>
  </si>
  <si>
    <t>000921493526</t>
  </si>
  <si>
    <t>URBON, KELLEEN</t>
  </si>
  <si>
    <t>000921654827</t>
  </si>
  <si>
    <t>LOFTHOUSE, KEIRA</t>
  </si>
  <si>
    <t>000921663718</t>
  </si>
  <si>
    <t>LENTINO, KARI</t>
  </si>
  <si>
    <t>000921663738</t>
  </si>
  <si>
    <t>PYSTER, JENNIFER</t>
  </si>
  <si>
    <t>000921685710</t>
  </si>
  <si>
    <t>SLIVOVSKY, JAMES</t>
  </si>
  <si>
    <t>000921698526</t>
  </si>
  <si>
    <t>OBERMANN, SUZANNE</t>
  </si>
  <si>
    <t>000921716008</t>
  </si>
  <si>
    <t>MCCORMICK, TERRI</t>
  </si>
  <si>
    <t>000921754814</t>
  </si>
  <si>
    <t>HASSAN, SANDRA</t>
  </si>
  <si>
    <t>000921756382</t>
  </si>
  <si>
    <t>LITHIO-BEILFUSS, JANICE</t>
  </si>
  <si>
    <t>000921771955</t>
  </si>
  <si>
    <t>FITZSIMMONS, JAN</t>
  </si>
  <si>
    <t>107929532-SU-NASANDELGER MUNKHJARGAL ZANA</t>
  </si>
  <si>
    <t>000920829671</t>
  </si>
  <si>
    <t>BOLDBAATAR, TAMIR</t>
  </si>
  <si>
    <t>107929532</t>
  </si>
  <si>
    <t>000921610346</t>
  </si>
  <si>
    <t>ENKHTEGSH, MINJSOR</t>
  </si>
  <si>
    <t>000921637686</t>
  </si>
  <si>
    <t>PUREVJAV, UYANGA</t>
  </si>
  <si>
    <t>000921641771</t>
  </si>
  <si>
    <t>TUMURKHUYAG, GERELTUYA</t>
  </si>
  <si>
    <t>000921653564</t>
  </si>
  <si>
    <t>TSERENDOLGOR, MUNKHNARAN</t>
  </si>
  <si>
    <t>000921657856</t>
  </si>
  <si>
    <t>DELGERBUYAN, BATMUNKH</t>
  </si>
  <si>
    <t>000921675701</t>
  </si>
  <si>
    <t>MASHBAT, UNDRAGA</t>
  </si>
  <si>
    <t>000921678765</t>
  </si>
  <si>
    <t>GANSUKH, KHULAN</t>
  </si>
  <si>
    <t>000921686738</t>
  </si>
  <si>
    <t>PUREVDASH, TUMENJARGAL</t>
  </si>
  <si>
    <t>000921696760</t>
  </si>
  <si>
    <t>BADARCH, BUYANJARGAL</t>
  </si>
  <si>
    <t>000921698942</t>
  </si>
  <si>
    <t>MYAGMARSUREN, BAZARRAGCHAA</t>
  </si>
  <si>
    <t>000921700565</t>
  </si>
  <si>
    <t>GANSUKH, KHATANBOLD</t>
  </si>
  <si>
    <t>000921702794</t>
  </si>
  <si>
    <t>ZUNDUI, NARANZUL</t>
  </si>
  <si>
    <t>000921709712</t>
  </si>
  <si>
    <t>OTGONTSAGAAN, SUMBERDARIYA</t>
  </si>
  <si>
    <t>000921722448</t>
  </si>
  <si>
    <t>SAMBUUNYAM, KHANDARMAA</t>
  </si>
  <si>
    <t>000921722560</t>
  </si>
  <si>
    <t>BATBOLD, NINJIN</t>
  </si>
  <si>
    <t>000921729969</t>
  </si>
  <si>
    <t>DASHDONDOV, ANUN</t>
  </si>
  <si>
    <t>000921735619</t>
  </si>
  <si>
    <t>CHIMEDTSEREN, GAN ERDENE</t>
  </si>
  <si>
    <t>000921736153</t>
  </si>
  <si>
    <t>ENKHBOLD, OTGONTUYA</t>
  </si>
  <si>
    <t>000921736429</t>
  </si>
  <si>
    <t>DAGVARENCHIN, ENKHBAYAR</t>
  </si>
  <si>
    <t>000921736594</t>
  </si>
  <si>
    <t>OCHIRBAT, ENKHBAYAR</t>
  </si>
  <si>
    <t>000921738851</t>
  </si>
  <si>
    <t>LUTBAATAR, YESUNTUMUR</t>
  </si>
  <si>
    <t>000921738996</t>
  </si>
  <si>
    <t>CHECHELNITSKIY, ARKADIY</t>
  </si>
  <si>
    <t>000921740632</t>
  </si>
  <si>
    <t>TSOGTBAATAR, BATBAATAR</t>
  </si>
  <si>
    <t>000921742014</t>
  </si>
  <si>
    <t>BALDAN, BATBAYAR</t>
  </si>
  <si>
    <t>000921744568</t>
  </si>
  <si>
    <t>GANBAT, ANKHZUL</t>
  </si>
  <si>
    <t>000921744861</t>
  </si>
  <si>
    <t>MUNKHBAATAR, DAVAAJARGAL</t>
  </si>
  <si>
    <t>000921745067</t>
  </si>
  <si>
    <t>TAIVANJARGAL, ONONGOO</t>
  </si>
  <si>
    <t>000921745105</t>
  </si>
  <si>
    <t>OTRYAD, ITGEL</t>
  </si>
  <si>
    <t>000921746276</t>
  </si>
  <si>
    <t>GANTULGA, OCH ERDEM</t>
  </si>
  <si>
    <t>000921746485</t>
  </si>
  <si>
    <t>BATKHUYAG, BUYANJARGAL</t>
  </si>
  <si>
    <t>000921746677</t>
  </si>
  <si>
    <t>BATZAYA, BULGANTUUL</t>
  </si>
  <si>
    <t>000921746749</t>
  </si>
  <si>
    <t>AYUSHJAV, BAT ULZII</t>
  </si>
  <si>
    <t>000921747266</t>
  </si>
  <si>
    <t>BATMUNKH, DULGUUN</t>
  </si>
  <si>
    <t>000921747344</t>
  </si>
  <si>
    <t>TSEND, MUNKHBAATAR</t>
  </si>
  <si>
    <t>000921747764</t>
  </si>
  <si>
    <t>BAASANSUREN, AMARBAYASGALAN</t>
  </si>
  <si>
    <t>000921747768</t>
  </si>
  <si>
    <t>DORJKHAND, TSENGELMAA</t>
  </si>
  <si>
    <t>000921748281</t>
  </si>
  <si>
    <t>MIIMAYAN, OYUNTSETSEG</t>
  </si>
  <si>
    <t>000921748447</t>
  </si>
  <si>
    <t>BAYMBAJAV, ENKHTUYA</t>
  </si>
  <si>
    <t>000921748537</t>
  </si>
  <si>
    <t>BATSAIKHAN, SUVD</t>
  </si>
  <si>
    <t>000921748561</t>
  </si>
  <si>
    <t>BYARUUZAN, TSERENKHAND</t>
  </si>
  <si>
    <t>000921748847</t>
  </si>
  <si>
    <t>NAMSRAI, OTGONBAATAR</t>
  </si>
  <si>
    <t>000921749087</t>
  </si>
  <si>
    <t>MYAGMARSUREN, SELENGE</t>
  </si>
  <si>
    <t>000921749763</t>
  </si>
  <si>
    <t>JUMDAA, OYUN</t>
  </si>
  <si>
    <t>000921750193</t>
  </si>
  <si>
    <t>BORKHUU, OTGONBAT</t>
  </si>
  <si>
    <t>000921750291</t>
  </si>
  <si>
    <t>DORJ, BATMANDAKH</t>
  </si>
  <si>
    <t>000921750363</t>
  </si>
  <si>
    <t>MUNKHBAYAR, ERBOLD</t>
  </si>
  <si>
    <t>000921750380</t>
  </si>
  <si>
    <t>SEREENEN, MUNKHJARGAL</t>
  </si>
  <si>
    <t>000921751082</t>
  </si>
  <si>
    <t>BIIRAA, BATKHISHIG</t>
  </si>
  <si>
    <t>000921751638</t>
  </si>
  <si>
    <t>TSOGBAYAR, ENKHBAT</t>
  </si>
  <si>
    <t>000921751641</t>
  </si>
  <si>
    <t>ARIYAJAV, DELGER</t>
  </si>
  <si>
    <t>000921752090</t>
  </si>
  <si>
    <t>GANBAATAR, BATKHISHIG</t>
  </si>
  <si>
    <t>000921752496</t>
  </si>
  <si>
    <t>GAAJAV, URANBYAMBAA</t>
  </si>
  <si>
    <t>000921752531</t>
  </si>
  <si>
    <t>MUNKHULZII, MANLAIBAATAR</t>
  </si>
  <si>
    <t>000921753994</t>
  </si>
  <si>
    <t>ADIYADORJ, MUNKHBAYAR</t>
  </si>
  <si>
    <t>000921754199</t>
  </si>
  <si>
    <t>BATJARGAL, BAYARTSETSEG</t>
  </si>
  <si>
    <t>000921755395</t>
  </si>
  <si>
    <t>SHARAVDORJ, BAYARMAA</t>
  </si>
  <si>
    <t>000921755686</t>
  </si>
  <si>
    <t>BAVUUDORJ, BATTUYA</t>
  </si>
  <si>
    <t>000921756543</t>
  </si>
  <si>
    <t>BATBAYAR, UGUUMUR</t>
  </si>
  <si>
    <t>000921758975</t>
  </si>
  <si>
    <t>MUNKHBAYAR, JARGALSAIKHAN</t>
  </si>
  <si>
    <t>000921759225</t>
  </si>
  <si>
    <t>BINDERIYA, ANKHBAYAR</t>
  </si>
  <si>
    <t>000921760507</t>
  </si>
  <si>
    <t>DALAI, BAYARSAIKHAN</t>
  </si>
  <si>
    <t>000921761589</t>
  </si>
  <si>
    <t>MUNKHTOGOO, ERDENEBAT</t>
  </si>
  <si>
    <t>000921761622</t>
  </si>
  <si>
    <t>YAGAANBAATAR, ODONTUYA</t>
  </si>
  <si>
    <t>000921761807</t>
  </si>
  <si>
    <t>NINA, ERDENE OCHIR</t>
  </si>
  <si>
    <t>000921762274</t>
  </si>
  <si>
    <t>BATBAYAR, SARUULTUGS</t>
  </si>
  <si>
    <t>000921768201</t>
  </si>
  <si>
    <t>BUDJAV, BOLORMAA</t>
  </si>
  <si>
    <t>000921768634</t>
  </si>
  <si>
    <t>BADARCHIN, MUNKHSAIKHAN</t>
  </si>
  <si>
    <t>000921768673</t>
  </si>
  <si>
    <t>TOGTOKHBAYAR, LKHAGVASUREN</t>
  </si>
  <si>
    <t>000921769118</t>
  </si>
  <si>
    <t>BUYANRAVJIKH, ORGILERDENE</t>
  </si>
  <si>
    <t>000921769768</t>
  </si>
  <si>
    <t>SANJAA, ODBILEG</t>
  </si>
  <si>
    <t>000921771418</t>
  </si>
  <si>
    <t>GANBOLD, SOYOLMAA</t>
  </si>
  <si>
    <t>107929705-SU-HEATHER MARIE GESKE</t>
  </si>
  <si>
    <t>000921100154</t>
  </si>
  <si>
    <t>KING, ERICA</t>
  </si>
  <si>
    <t>107929705</t>
  </si>
  <si>
    <t>000921449290</t>
  </si>
  <si>
    <t>O'ROURKE, KIMBERLY</t>
  </si>
  <si>
    <t>000921585426</t>
  </si>
  <si>
    <t>JANNOTTA, CAROL</t>
  </si>
  <si>
    <t>000921738749</t>
  </si>
  <si>
    <t>FLEEGE, TINA</t>
  </si>
  <si>
    <t>000921743493</t>
  </si>
  <si>
    <t>MERKEL, JACOB</t>
  </si>
  <si>
    <t>000957178708</t>
  </si>
  <si>
    <t>TOTH, GERALYN</t>
  </si>
  <si>
    <t>000,136.89</t>
  </si>
  <si>
    <t>000,013.69</t>
  </si>
  <si>
    <t>107929777-SU-ESTHER M HERRERA-LARSEN</t>
  </si>
  <si>
    <t>000808531931</t>
  </si>
  <si>
    <t>MARTINELLI, CATHY</t>
  </si>
  <si>
    <t>107929777</t>
  </si>
  <si>
    <t>000920913321</t>
  </si>
  <si>
    <t>CARBAJAL, MARGARITO</t>
  </si>
  <si>
    <t>000921480992</t>
  </si>
  <si>
    <t>CHAVAN, SANGITA</t>
  </si>
  <si>
    <t>000921493746</t>
  </si>
  <si>
    <t>ADAIR, LAURA</t>
  </si>
  <si>
    <t>000921500141</t>
  </si>
  <si>
    <t>RODRIGUEZ, GRISELDA</t>
  </si>
  <si>
    <t>000921511219</t>
  </si>
  <si>
    <t>CRUZ, MARIA</t>
  </si>
  <si>
    <t>000921566146</t>
  </si>
  <si>
    <t>GUTIERREZ, JACQUELINA</t>
  </si>
  <si>
    <t>000921568365</t>
  </si>
  <si>
    <t>VANHOUTEN, GRETCHEN</t>
  </si>
  <si>
    <t>000921577108</t>
  </si>
  <si>
    <t>AGUERO, ERIKA</t>
  </si>
  <si>
    <t>000921613196</t>
  </si>
  <si>
    <t>DUNNE, MEGAN</t>
  </si>
  <si>
    <t>000921660934</t>
  </si>
  <si>
    <t>ROMERO, FEDERICO</t>
  </si>
  <si>
    <t>000921688165</t>
  </si>
  <si>
    <t>MOSTYN, JORDAN</t>
  </si>
  <si>
    <t>000921689009</t>
  </si>
  <si>
    <t>CHAVEZ, GABRIELA</t>
  </si>
  <si>
    <t>000921772181</t>
  </si>
  <si>
    <t>RICE, REBECCA</t>
  </si>
  <si>
    <t>000957200025</t>
  </si>
  <si>
    <t>CHITKOWSKI, SANDRA</t>
  </si>
  <si>
    <t>000,310.23</t>
  </si>
  <si>
    <t>000,015.51</t>
  </si>
  <si>
    <t>000957201791</t>
  </si>
  <si>
    <t>SHER, FRANCA</t>
  </si>
  <si>
    <t>000,436.01</t>
  </si>
  <si>
    <t>MEU</t>
  </si>
  <si>
    <t>000,021.80</t>
  </si>
  <si>
    <t>107930733-SU-PAUL ROBINSON</t>
  </si>
  <si>
    <t>000808516864</t>
  </si>
  <si>
    <t>ZIEGLER, LARRY</t>
  </si>
  <si>
    <t>107930733</t>
  </si>
  <si>
    <t>000921774585</t>
  </si>
  <si>
    <t>GALIOTO, ANTHONY</t>
  </si>
  <si>
    <t>000957087313</t>
  </si>
  <si>
    <t>SCHOENBERG, PATRICIA</t>
  </si>
  <si>
    <t>000,227.46</t>
  </si>
  <si>
    <t>000,020.47</t>
  </si>
  <si>
    <t>000957183023</t>
  </si>
  <si>
    <t>ZIEGLAR, LARRY</t>
  </si>
  <si>
    <t>000957192247</t>
  </si>
  <si>
    <t>KANDEL, ANDREA</t>
  </si>
  <si>
    <t>000,170.76</t>
  </si>
  <si>
    <t>000,017.08</t>
  </si>
  <si>
    <t>107931129-SU-MICHAEL DUNAVANT</t>
  </si>
  <si>
    <t>069112</t>
  </si>
  <si>
    <t>000804459238</t>
  </si>
  <si>
    <t>ECKLEY, JOHN</t>
  </si>
  <si>
    <t>107931129</t>
  </si>
  <si>
    <t>000804459242</t>
  </si>
  <si>
    <t>FARRELL, ELLEN</t>
  </si>
  <si>
    <t>000804462446</t>
  </si>
  <si>
    <t>COOLEY, KATHLEEN</t>
  </si>
  <si>
    <t>000808520534</t>
  </si>
  <si>
    <t>PRESSON, HOLLY</t>
  </si>
  <si>
    <t>000890119738</t>
  </si>
  <si>
    <t>SCHULTZ, CHARLES</t>
  </si>
  <si>
    <t>000921611622</t>
  </si>
  <si>
    <t>ANDERSON, MOLLY</t>
  </si>
  <si>
    <t>000921744727</t>
  </si>
  <si>
    <t>WILLS, JENNIFER</t>
  </si>
  <si>
    <t>000921760611</t>
  </si>
  <si>
    <t>MAGSOMBOL, NIEL</t>
  </si>
  <si>
    <t>000921762696</t>
  </si>
  <si>
    <t>MCBRIDE, STEVEN</t>
  </si>
  <si>
    <t>000921765149</t>
  </si>
  <si>
    <t>ELDER, ASHTIN</t>
  </si>
  <si>
    <t>000921766101</t>
  </si>
  <si>
    <t>MITCHELL, JORDAN</t>
  </si>
  <si>
    <t>000921769307</t>
  </si>
  <si>
    <t>MEYER, JAYSON</t>
  </si>
  <si>
    <t>000921772109</t>
  </si>
  <si>
    <t>KRAFT, ELLE</t>
  </si>
  <si>
    <t>000921772139</t>
  </si>
  <si>
    <t>SCHULTZ, JOSEPH</t>
  </si>
  <si>
    <t>000921772932</t>
  </si>
  <si>
    <t>PARUNGAO, HAILEY</t>
  </si>
  <si>
    <t>000921775596</t>
  </si>
  <si>
    <t>MOCK, ANDREW</t>
  </si>
  <si>
    <t>000921775834</t>
  </si>
  <si>
    <t>JOBE, JENNIFER</t>
  </si>
  <si>
    <t>000921776028</t>
  </si>
  <si>
    <t>BOUNDS, DARRICK</t>
  </si>
  <si>
    <t>000921776332</t>
  </si>
  <si>
    <t>CAMPBELL, RAE</t>
  </si>
  <si>
    <t>000957178893</t>
  </si>
  <si>
    <t>CORKILL, CAROL</t>
  </si>
  <si>
    <t>000957181213</t>
  </si>
  <si>
    <t>STONE, JEAN</t>
  </si>
  <si>
    <t>000957182456</t>
  </si>
  <si>
    <t>GULLERUD, ERIC</t>
  </si>
  <si>
    <t>000957183756</t>
  </si>
  <si>
    <t>BOBER, KATHLEEN</t>
  </si>
  <si>
    <t>000,147.19</t>
  </si>
  <si>
    <t>000,014.72</t>
  </si>
  <si>
    <t>000957184688</t>
  </si>
  <si>
    <t>BACKAS, PAULA</t>
  </si>
  <si>
    <t>000,159.58</t>
  </si>
  <si>
    <t>000,015.96</t>
  </si>
  <si>
    <t>000957185301</t>
  </si>
  <si>
    <t>HECKMAN, HANNELORE</t>
  </si>
  <si>
    <t>20250226</t>
  </si>
  <si>
    <t>20240926</t>
  </si>
  <si>
    <t>000957186775</t>
  </si>
  <si>
    <t>HILTABRAND, ELISABETH</t>
  </si>
  <si>
    <t>000,177.31</t>
  </si>
  <si>
    <t>000,017.73</t>
  </si>
  <si>
    <t>000957187801</t>
  </si>
  <si>
    <t>DRUMMET, JOHN</t>
  </si>
  <si>
    <t>000,277.44</t>
  </si>
  <si>
    <t>20250219</t>
  </si>
  <si>
    <t>20241019</t>
  </si>
  <si>
    <t>000,027.74</t>
  </si>
  <si>
    <t>000957188465</t>
  </si>
  <si>
    <t>FEARMAN, DORIS</t>
  </si>
  <si>
    <t>000,127.19</t>
  </si>
  <si>
    <t>000,022.89</t>
  </si>
  <si>
    <t>000957190585</t>
  </si>
  <si>
    <t>NOTTOLI III, JOHN</t>
  </si>
  <si>
    <t>000957191665</t>
  </si>
  <si>
    <t>SPARKS, GARY</t>
  </si>
  <si>
    <t>000,258.02</t>
  </si>
  <si>
    <t>000,025.80</t>
  </si>
  <si>
    <t>000957192877</t>
  </si>
  <si>
    <t>GRUBB, CAROLE</t>
  </si>
  <si>
    <t>000,296.16</t>
  </si>
  <si>
    <t>000,014.81</t>
  </si>
  <si>
    <t>000957193999</t>
  </si>
  <si>
    <t>WOLLENSCHLAGER, TRUDY</t>
  </si>
  <si>
    <t>000,268.64</t>
  </si>
  <si>
    <t>000,013.43</t>
  </si>
  <si>
    <t>000957196432</t>
  </si>
  <si>
    <t>BAUMHARDT, JEAN</t>
  </si>
  <si>
    <t>000,232.64</t>
  </si>
  <si>
    <t>000,023.26</t>
  </si>
  <si>
    <t>000957197466</t>
  </si>
  <si>
    <t>WILLIAMS, ROGER</t>
  </si>
  <si>
    <t>000,331.74</t>
  </si>
  <si>
    <t>000,016.59</t>
  </si>
  <si>
    <t>000957197523</t>
  </si>
  <si>
    <t>SCHLOEGEL, MARGARETE</t>
  </si>
  <si>
    <t>000,157.42</t>
  </si>
  <si>
    <t>000,015.74</t>
  </si>
  <si>
    <t>000957199091</t>
  </si>
  <si>
    <t>LAKEN, DANIEL</t>
  </si>
  <si>
    <t>000,208.62</t>
  </si>
  <si>
    <t>000,020.86</t>
  </si>
  <si>
    <t>107931179-SU-BRIAN CHRISTOPHER STROHMAN</t>
  </si>
  <si>
    <t>000808533968</t>
  </si>
  <si>
    <t>NELSON, NANCY</t>
  </si>
  <si>
    <t>107931179</t>
  </si>
  <si>
    <t>000920744066</t>
  </si>
  <si>
    <t>SHUTE, LAWRENCE</t>
  </si>
  <si>
    <t>000920796228</t>
  </si>
  <si>
    <t>ROBINSON, ADAM</t>
  </si>
  <si>
    <t>000920825168</t>
  </si>
  <si>
    <t>KASSAM, KABIR</t>
  </si>
  <si>
    <t>000921075635</t>
  </si>
  <si>
    <t>TOYE, ERIC</t>
  </si>
  <si>
    <t>000921547998</t>
  </si>
  <si>
    <t>SHUTE, TINA</t>
  </si>
  <si>
    <t>000921663457</t>
  </si>
  <si>
    <t>CARL, FRANK</t>
  </si>
  <si>
    <t>000,001.08</t>
  </si>
  <si>
    <t>000921739499</t>
  </si>
  <si>
    <t>ADELMAN, MARC</t>
  </si>
  <si>
    <t>000921773349</t>
  </si>
  <si>
    <t>BUHL, RICHARD</t>
  </si>
  <si>
    <t>000921773888</t>
  </si>
  <si>
    <t>KUMRA, UDEY</t>
  </si>
  <si>
    <t>000957199978</t>
  </si>
  <si>
    <t>KNIGHT, NANCY</t>
  </si>
  <si>
    <t>000,189.49</t>
  </si>
  <si>
    <t>000,018.95</t>
  </si>
  <si>
    <t>107931701-SU-THOMAS PARDUE</t>
  </si>
  <si>
    <t>000921691987</t>
  </si>
  <si>
    <t>GAMLUCH BOLIVAR, REIMAN</t>
  </si>
  <si>
    <t>107931701</t>
  </si>
  <si>
    <t>000921702671</t>
  </si>
  <si>
    <t>GONZALEZ ALBORNOZ, GRECHEL</t>
  </si>
  <si>
    <t>000921735115</t>
  </si>
  <si>
    <t>KAPANGA, SEAN</t>
  </si>
  <si>
    <t>107932908-SU-CHAD J YALE</t>
  </si>
  <si>
    <t>000890193468</t>
  </si>
  <si>
    <t>WEISS, KATHY</t>
  </si>
  <si>
    <t>107932908</t>
  </si>
  <si>
    <t>000890582992</t>
  </si>
  <si>
    <t>GRAVINA, ANNA</t>
  </si>
  <si>
    <t>000921222785</t>
  </si>
  <si>
    <t>TANNER, LAURA</t>
  </si>
  <si>
    <t>000921258551</t>
  </si>
  <si>
    <t>TUMAN, KATELYN</t>
  </si>
  <si>
    <t>000921422828</t>
  </si>
  <si>
    <t>LUDLOW, JUDITH</t>
  </si>
  <si>
    <t>000921594843</t>
  </si>
  <si>
    <t>CROSS, DARREN</t>
  </si>
  <si>
    <t>000921614734</t>
  </si>
  <si>
    <t>ROSS, KELSEY</t>
  </si>
  <si>
    <t>000921629371</t>
  </si>
  <si>
    <t>WILSON, LORI</t>
  </si>
  <si>
    <t>000921632916</t>
  </si>
  <si>
    <t>METTAM, DOUGLAS</t>
  </si>
  <si>
    <t>000921649707</t>
  </si>
  <si>
    <t>CHAMBERS, JERIMY</t>
  </si>
  <si>
    <t>000921655451</t>
  </si>
  <si>
    <t>HO, CARLY</t>
  </si>
  <si>
    <t>000921655868</t>
  </si>
  <si>
    <t>COBEN, PATRICIA</t>
  </si>
  <si>
    <t>000921681347</t>
  </si>
  <si>
    <t>JOHNSON, KLYNTON</t>
  </si>
  <si>
    <t>107934270-SU-TOM EDWARD SERIO</t>
  </si>
  <si>
    <t>000804466456</t>
  </si>
  <si>
    <t>WENZEL, DANIEL</t>
  </si>
  <si>
    <t>107934270</t>
  </si>
  <si>
    <t>000890314576</t>
  </si>
  <si>
    <t>DAVIS, JAMES</t>
  </si>
  <si>
    <t>000890646180</t>
  </si>
  <si>
    <t>BUSTARD, LINDA</t>
  </si>
  <si>
    <t>000921255409</t>
  </si>
  <si>
    <t>FREEMAN, MARKE</t>
  </si>
  <si>
    <t>000921502568</t>
  </si>
  <si>
    <t>CARTER, MEGAN</t>
  </si>
  <si>
    <t>000921608884</t>
  </si>
  <si>
    <t>CANONNE, SEBASTIEN</t>
  </si>
  <si>
    <t>000921625956</t>
  </si>
  <si>
    <t>ALLENDORF, KEITH</t>
  </si>
  <si>
    <t>000921654944</t>
  </si>
  <si>
    <t>GILLEY, AUSTIN</t>
  </si>
  <si>
    <t>000921683072</t>
  </si>
  <si>
    <t>BALOUGH, BRIAN</t>
  </si>
  <si>
    <t>000921685986</t>
  </si>
  <si>
    <t>SERIO, TOM</t>
  </si>
  <si>
    <t>000921687411</t>
  </si>
  <si>
    <t>SCHUELLER, MICHELLE</t>
  </si>
  <si>
    <t>000921704033</t>
  </si>
  <si>
    <t>WOJCZYNSKI, JOURDAN</t>
  </si>
  <si>
    <t>000921737642</t>
  </si>
  <si>
    <t>WERES, STEFAN</t>
  </si>
  <si>
    <t>000921744197</t>
  </si>
  <si>
    <t>CHIEFARI, ISABELLA</t>
  </si>
  <si>
    <t>000921756431</t>
  </si>
  <si>
    <t>BOURETTE, PENNY</t>
  </si>
  <si>
    <t>000921759989</t>
  </si>
  <si>
    <t>DAVIS, CHARLES</t>
  </si>
  <si>
    <t>000921761471</t>
  </si>
  <si>
    <t>LANGFIELD, EMILY</t>
  </si>
  <si>
    <t>000921769734</t>
  </si>
  <si>
    <t>CAMPO, JACK</t>
  </si>
  <si>
    <t>000957181119</t>
  </si>
  <si>
    <t>PIGNATIELLO, CARMEN</t>
  </si>
  <si>
    <t>000,149.84</t>
  </si>
  <si>
    <t>000,014.98</t>
  </si>
  <si>
    <t>000957181120</t>
  </si>
  <si>
    <t>PIGNATIELLO, KAREN</t>
  </si>
  <si>
    <t>000957181187</t>
  </si>
  <si>
    <t>KUR, LYN</t>
  </si>
  <si>
    <t>000957191991</t>
  </si>
  <si>
    <t>BORGESON, GLORY</t>
  </si>
  <si>
    <t>000957195184</t>
  </si>
  <si>
    <t>CARLSON, DALE</t>
  </si>
  <si>
    <t>000,158.80</t>
  </si>
  <si>
    <t>20241027</t>
  </si>
  <si>
    <t>000,028.58</t>
  </si>
  <si>
    <t>107934277-SU-DALE JON WALENGA</t>
  </si>
  <si>
    <t>000808525883</t>
  </si>
  <si>
    <t>BRINKMEIER, GREGORY</t>
  </si>
  <si>
    <t>107934277</t>
  </si>
  <si>
    <t>000890114150</t>
  </si>
  <si>
    <t>BRINNICH, PETER</t>
  </si>
  <si>
    <t>000890282791</t>
  </si>
  <si>
    <t>ECONOM, BILL</t>
  </si>
  <si>
    <t>000920747803</t>
  </si>
  <si>
    <t>FUCHS, VICTORIA</t>
  </si>
  <si>
    <t>000920807404</t>
  </si>
  <si>
    <t>BURKE, KATHERINE</t>
  </si>
  <si>
    <t>20161001</t>
  </si>
  <si>
    <t>101</t>
  </si>
  <si>
    <t>000920917214</t>
  </si>
  <si>
    <t>LAING, MELISSA</t>
  </si>
  <si>
    <t>000920943059</t>
  </si>
  <si>
    <t>SAUNDERS, GINA</t>
  </si>
  <si>
    <t>000920943822</t>
  </si>
  <si>
    <t>STOREY, DENICE</t>
  </si>
  <si>
    <t>000921060189</t>
  </si>
  <si>
    <t>PATEL, BHARAT</t>
  </si>
  <si>
    <t>000921096589</t>
  </si>
  <si>
    <t>DAOUD, NICOLA</t>
  </si>
  <si>
    <t>000921147211</t>
  </si>
  <si>
    <t>USELDING, THOMAS</t>
  </si>
  <si>
    <t>000921258054</t>
  </si>
  <si>
    <t>COLLIER, DOUGLAS</t>
  </si>
  <si>
    <t>000921331639</t>
  </si>
  <si>
    <t>YOUNG, WILLIAM</t>
  </si>
  <si>
    <t>000921361689</t>
  </si>
  <si>
    <t>000921366382</t>
  </si>
  <si>
    <t>GALLO, MARY</t>
  </si>
  <si>
    <t>000921400018</t>
  </si>
  <si>
    <t>DUNN, SHERYL</t>
  </si>
  <si>
    <t>000921401598</t>
  </si>
  <si>
    <t>GALANES, NIKOLE</t>
  </si>
  <si>
    <t>20201001</t>
  </si>
  <si>
    <t>000921410093</t>
  </si>
  <si>
    <t>HALPER, FRANK</t>
  </si>
  <si>
    <t>000921425918</t>
  </si>
  <si>
    <t>OWEN, MICHAEL</t>
  </si>
  <si>
    <t>20180901</t>
  </si>
  <si>
    <t>078</t>
  </si>
  <si>
    <t>000921428698</t>
  </si>
  <si>
    <t>MORAR, CLARA</t>
  </si>
  <si>
    <t>20181001</t>
  </si>
  <si>
    <t>000921437252</t>
  </si>
  <si>
    <t>BILEK, HEATHER</t>
  </si>
  <si>
    <t>000921437502</t>
  </si>
  <si>
    <t>BUSCEMI, GIANNA</t>
  </si>
  <si>
    <t>000921480505</t>
  </si>
  <si>
    <t>BURGESS, NANCY</t>
  </si>
  <si>
    <t>000921491611</t>
  </si>
  <si>
    <t>TARNOWSKI, SHELBY</t>
  </si>
  <si>
    <t>000921495277</t>
  </si>
  <si>
    <t>UPADHYAY, JIGNESH</t>
  </si>
  <si>
    <t>000921524108</t>
  </si>
  <si>
    <t>TOW, JOHN</t>
  </si>
  <si>
    <t>000921531601</t>
  </si>
  <si>
    <t>DIDOMENIC, KRISTEN</t>
  </si>
  <si>
    <t>000921534217</t>
  </si>
  <si>
    <t>BAKER, MICHELLE</t>
  </si>
  <si>
    <t>000921549194</t>
  </si>
  <si>
    <t>GEBHARDT, LAURA</t>
  </si>
  <si>
    <t>000921550979</t>
  </si>
  <si>
    <t>LAUTERBACH, EMILY</t>
  </si>
  <si>
    <t>000921558157</t>
  </si>
  <si>
    <t>STANCY, MICHAEL</t>
  </si>
  <si>
    <t>000921559300</t>
  </si>
  <si>
    <t>RUBINO, GIOVANNA</t>
  </si>
  <si>
    <t>000921560384</t>
  </si>
  <si>
    <t>ZIEGLER, DANNY</t>
  </si>
  <si>
    <t>000921564156</t>
  </si>
  <si>
    <t>RAMSER, RICHARD</t>
  </si>
  <si>
    <t>000921566575</t>
  </si>
  <si>
    <t>WILTERMOOD, RYAN</t>
  </si>
  <si>
    <t>000921569217</t>
  </si>
  <si>
    <t>BOTT, DANIEL</t>
  </si>
  <si>
    <t>000921572037</t>
  </si>
  <si>
    <t>KIDD, SUSAN</t>
  </si>
  <si>
    <t>000921583805</t>
  </si>
  <si>
    <t>FALKENTHAL, JUSTINE</t>
  </si>
  <si>
    <t>000921604912</t>
  </si>
  <si>
    <t>VOELLINGER, CAROL</t>
  </si>
  <si>
    <t>000921608326</t>
  </si>
  <si>
    <t>TODOROVIC, ALEKSANDRIJA</t>
  </si>
  <si>
    <t>000921614006</t>
  </si>
  <si>
    <t>PACHUTA, DOROTHY</t>
  </si>
  <si>
    <t>000921624894</t>
  </si>
  <si>
    <t>KINNUNEN, COLLEEN</t>
  </si>
  <si>
    <t>000921629549</t>
  </si>
  <si>
    <t>NEVA, DENNIS</t>
  </si>
  <si>
    <t>000921636009</t>
  </si>
  <si>
    <t>TALAGA, JOHN</t>
  </si>
  <si>
    <t>000921640725</t>
  </si>
  <si>
    <t>LOIACANO, DANIEL</t>
  </si>
  <si>
    <t>000921651490</t>
  </si>
  <si>
    <t>LEVI, EUGENE</t>
  </si>
  <si>
    <t>000921655328</t>
  </si>
  <si>
    <t>FEENEY, DANIEL</t>
  </si>
  <si>
    <t>000921657715</t>
  </si>
  <si>
    <t>PIKE, KATIE</t>
  </si>
  <si>
    <t>000921658559</t>
  </si>
  <si>
    <t>IAVARONE, JERRY</t>
  </si>
  <si>
    <t>000921661189</t>
  </si>
  <si>
    <t>CURRAN, KATHLEEN</t>
  </si>
  <si>
    <t>000921685609</t>
  </si>
  <si>
    <t>BROWN, DEBRA</t>
  </si>
  <si>
    <t>000921686296</t>
  </si>
  <si>
    <t>HANOVER, KIM</t>
  </si>
  <si>
    <t>000921708948</t>
  </si>
  <si>
    <t>ADAMS, KAYLA</t>
  </si>
  <si>
    <t>000921711185</t>
  </si>
  <si>
    <t>CRONIN, MEGAN</t>
  </si>
  <si>
    <t>IG1504</t>
  </si>
  <si>
    <t>000921712330</t>
  </si>
  <si>
    <t>FRAWLEY, KATHRYN</t>
  </si>
  <si>
    <t>000,030.66</t>
  </si>
  <si>
    <t>000,001.84</t>
  </si>
  <si>
    <t>000921713078</t>
  </si>
  <si>
    <t>MANDEL, JORDAN</t>
  </si>
  <si>
    <t>000921717671</t>
  </si>
  <si>
    <t>LAWSON, FRANK</t>
  </si>
  <si>
    <t>000921733676</t>
  </si>
  <si>
    <t>MILLER, KAREN</t>
  </si>
  <si>
    <t>000921741198</t>
  </si>
  <si>
    <t>SMILE, MIA</t>
  </si>
  <si>
    <t>000921749527</t>
  </si>
  <si>
    <t>SMITH, SANDRA</t>
  </si>
  <si>
    <t>IB2303</t>
  </si>
  <si>
    <t>000921750608</t>
  </si>
  <si>
    <t>EIDEN, JEAN</t>
  </si>
  <si>
    <t>000921752749</t>
  </si>
  <si>
    <t>TEMPLETON, ATREYU</t>
  </si>
  <si>
    <t>000921753448</t>
  </si>
  <si>
    <t>SEPSEY, DAVID</t>
  </si>
  <si>
    <t>000921753939</t>
  </si>
  <si>
    <t>WIDMARK, STUART</t>
  </si>
  <si>
    <t>000921761322</t>
  </si>
  <si>
    <t>SALAS BERNAL, EXDALIA</t>
  </si>
  <si>
    <t>000921765817</t>
  </si>
  <si>
    <t>DROST, CHLOE</t>
  </si>
  <si>
    <t>000921766386</t>
  </si>
  <si>
    <t>SKOUBIS, WILLIAM</t>
  </si>
  <si>
    <t>IB2302</t>
  </si>
  <si>
    <t>000921770026</t>
  </si>
  <si>
    <t>BACH, MATTHEW</t>
  </si>
  <si>
    <t>000921771373</t>
  </si>
  <si>
    <t>MITARITONNA, ANGELA</t>
  </si>
  <si>
    <t>000921772983</t>
  </si>
  <si>
    <t>000921775150</t>
  </si>
  <si>
    <t>JESSEN, ERIN</t>
  </si>
  <si>
    <t>000921775707</t>
  </si>
  <si>
    <t>HUXTABLE, LAURA</t>
  </si>
  <si>
    <t>000921775848</t>
  </si>
  <si>
    <t>HOWER, JOSEPH</t>
  </si>
  <si>
    <t>IB2305</t>
  </si>
  <si>
    <t>000921776253</t>
  </si>
  <si>
    <t>ALVAREZ GILES, LAURO</t>
  </si>
  <si>
    <t>000957180281</t>
  </si>
  <si>
    <t>SCHOLLE, DAVID</t>
  </si>
  <si>
    <t>000957181234</t>
  </si>
  <si>
    <t>RIEMER, DONNA</t>
  </si>
  <si>
    <t>000957182082</t>
  </si>
  <si>
    <t>BUFFO, DIANNE</t>
  </si>
  <si>
    <t>000,135.13</t>
  </si>
  <si>
    <t>000,024.32</t>
  </si>
  <si>
    <t>000957190088</t>
  </si>
  <si>
    <t>BONASERA, SABRINA</t>
  </si>
  <si>
    <t>000,158.77</t>
  </si>
  <si>
    <t>000957199512</t>
  </si>
  <si>
    <t>PAPP, ABBY</t>
  </si>
  <si>
    <t>000,121.58</t>
  </si>
  <si>
    <t>000,021.88</t>
  </si>
  <si>
    <t>107934471-SU-JONATHAN ALOFF</t>
  </si>
  <si>
    <t>000804462536</t>
  </si>
  <si>
    <t>DUDA, CYRENA</t>
  </si>
  <si>
    <t>107934471</t>
  </si>
  <si>
    <t>000804462554</t>
  </si>
  <si>
    <t>DUDA, EUGENE</t>
  </si>
  <si>
    <t>000921366539</t>
  </si>
  <si>
    <t>GALLEGO, KAROL</t>
  </si>
  <si>
    <t>000921619207</t>
  </si>
  <si>
    <t>SUNDBERG, KELSEY</t>
  </si>
  <si>
    <t>000921752064</t>
  </si>
  <si>
    <t>PARKIN, TERRY</t>
  </si>
  <si>
    <t>000921754649</t>
  </si>
  <si>
    <t>ALOFF, JONATHAN</t>
  </si>
  <si>
    <t>000921758795</t>
  </si>
  <si>
    <t>GONZALEZ-ALONSO, ABRIL</t>
  </si>
  <si>
    <t>000921763571</t>
  </si>
  <si>
    <t>ALVAREZ, JENNIFER</t>
  </si>
  <si>
    <t>107934662-SU-GREGORY HANSFORD</t>
  </si>
  <si>
    <t>000921679009</t>
  </si>
  <si>
    <t>THORNTON, DEL</t>
  </si>
  <si>
    <t>107934662</t>
  </si>
  <si>
    <t>000921767270</t>
  </si>
  <si>
    <t>GOTH, CAMERON</t>
  </si>
  <si>
    <t>000957187508</t>
  </si>
  <si>
    <t>ELLMO, DIANA</t>
  </si>
  <si>
    <t>000,246.25</t>
  </si>
  <si>
    <t>000,024.63</t>
  </si>
  <si>
    <t>107935128-SU-JOSE TORRES</t>
  </si>
  <si>
    <t>000921710459</t>
  </si>
  <si>
    <t>SANDOVAL, LUIS</t>
  </si>
  <si>
    <t>107935128</t>
  </si>
  <si>
    <t>107935567-SU-RICHARD WUENSCH</t>
  </si>
  <si>
    <t>069122</t>
  </si>
  <si>
    <t>000804494676</t>
  </si>
  <si>
    <t>PAYNE, VELMA</t>
  </si>
  <si>
    <t>107935567</t>
  </si>
  <si>
    <t>000890162352</t>
  </si>
  <si>
    <t>JANUS, MARK</t>
  </si>
  <si>
    <t>000921633015</t>
  </si>
  <si>
    <t>ZARAZA, SUSAN</t>
  </si>
  <si>
    <t>000921639756</t>
  </si>
  <si>
    <t>PENA, SANDRA</t>
  </si>
  <si>
    <t>000921646883</t>
  </si>
  <si>
    <t>MEDINA, NICHOLAS</t>
  </si>
  <si>
    <t>000957191690</t>
  </si>
  <si>
    <t>ACRI, DONALD</t>
  </si>
  <si>
    <t>000,292.59</t>
  </si>
  <si>
    <t>000,026.33</t>
  </si>
  <si>
    <t>000957203828</t>
  </si>
  <si>
    <t>GARCIA, MONINA</t>
  </si>
  <si>
    <t>000,027.58</t>
  </si>
  <si>
    <t>107939694-SU-MICHAEL A SEMPREVIVO</t>
  </si>
  <si>
    <t>000921727262</t>
  </si>
  <si>
    <t>ROMAY, BIANCA</t>
  </si>
  <si>
    <t>107939694</t>
  </si>
  <si>
    <t>000957054077</t>
  </si>
  <si>
    <t>CASSIDY, DEBRA</t>
  </si>
  <si>
    <t>000,159.13</t>
  </si>
  <si>
    <t>000,028.64</t>
  </si>
  <si>
    <t>ISL300</t>
  </si>
  <si>
    <t>000,099.47</t>
  </si>
  <si>
    <t>MPO</t>
  </si>
  <si>
    <t>000,009.95</t>
  </si>
  <si>
    <t>000,099.47-</t>
  </si>
  <si>
    <t>000,009.95-</t>
  </si>
  <si>
    <t>000957095574</t>
  </si>
  <si>
    <t>SCHAFFER, HARLAND</t>
  </si>
  <si>
    <t>000957199488</t>
  </si>
  <si>
    <t>COOPER, BEULAH</t>
  </si>
  <si>
    <t>000,318.23</t>
  </si>
  <si>
    <t>000,015.91</t>
  </si>
  <si>
    <t>000957199518</t>
  </si>
  <si>
    <t>CARLSON, KURT</t>
  </si>
  <si>
    <t>000,246.51</t>
  </si>
  <si>
    <t>000,022.19</t>
  </si>
  <si>
    <t>000957199602</t>
  </si>
  <si>
    <t>LINHART, JANET</t>
  </si>
  <si>
    <t>000,153.65</t>
  </si>
  <si>
    <t>107941365-SU-PATSAMON THANADABOUTH</t>
  </si>
  <si>
    <t>000804472943</t>
  </si>
  <si>
    <t>MALIVARN, CHANHSOUK</t>
  </si>
  <si>
    <t>107941365</t>
  </si>
  <si>
    <t>000920939671</t>
  </si>
  <si>
    <t>KEO, PRANY</t>
  </si>
  <si>
    <t>000921095680</t>
  </si>
  <si>
    <t>PHORASAVONG, ANTHONY</t>
  </si>
  <si>
    <t>000921555974</t>
  </si>
  <si>
    <t>SATI, VIENGKEO</t>
  </si>
  <si>
    <t>107943867-SU-STEVEN D WERNER</t>
  </si>
  <si>
    <t>000808524439</t>
  </si>
  <si>
    <t>STENN, KATHY</t>
  </si>
  <si>
    <t>107943867</t>
  </si>
  <si>
    <t>000957190219</t>
  </si>
  <si>
    <t>107944695-SU-VICTOR FUENTES</t>
  </si>
  <si>
    <t>000921137543</t>
  </si>
  <si>
    <t>MURATA, SARAH</t>
  </si>
  <si>
    <t>107944695</t>
  </si>
  <si>
    <t>000921617380</t>
  </si>
  <si>
    <t>CABRERA, EVELYN</t>
  </si>
  <si>
    <t>000921686258</t>
  </si>
  <si>
    <t>PERELMAN-HALL, JOSHUA</t>
  </si>
  <si>
    <t>000921724104</t>
  </si>
  <si>
    <t>BARRAUD, MARYLINE</t>
  </si>
  <si>
    <t>000921741677</t>
  </si>
  <si>
    <t>TAPIA DURAN, JESUS</t>
  </si>
  <si>
    <t>000921743474</t>
  </si>
  <si>
    <t>BOWMAN, MARIANNE</t>
  </si>
  <si>
    <t>000921757381</t>
  </si>
  <si>
    <t>RODRIGUEZ DAVILA, CELINA</t>
  </si>
  <si>
    <t>000921759933</t>
  </si>
  <si>
    <t>MENDOZA, MARLENE</t>
  </si>
  <si>
    <t>000921765929</t>
  </si>
  <si>
    <t>MASSA, LINDA</t>
  </si>
  <si>
    <t>107945318-SU-MELISSA TATRO</t>
  </si>
  <si>
    <t>000890261732</t>
  </si>
  <si>
    <t>SIEGEL, ROBERT</t>
  </si>
  <si>
    <t>107945318</t>
  </si>
  <si>
    <t>000890662686</t>
  </si>
  <si>
    <t>MHO HAGAN, MARCIA</t>
  </si>
  <si>
    <t>000920752891</t>
  </si>
  <si>
    <t>NELSON, MARK</t>
  </si>
  <si>
    <t>IB2804</t>
  </si>
  <si>
    <t>000920827391</t>
  </si>
  <si>
    <t>COLE, ROBERT</t>
  </si>
  <si>
    <t>000920945535</t>
  </si>
  <si>
    <t>MAZZENGA, ALISSA</t>
  </si>
  <si>
    <t>IB2501</t>
  </si>
  <si>
    <t>000921055011</t>
  </si>
  <si>
    <t>KOOPMAN, MITCH</t>
  </si>
  <si>
    <t>000921200779</t>
  </si>
  <si>
    <t>BARCLAY, SUSAN</t>
  </si>
  <si>
    <t>IG2500</t>
  </si>
  <si>
    <t>000921316205</t>
  </si>
  <si>
    <t>MUSSELMAN, MARC</t>
  </si>
  <si>
    <t>000921494779</t>
  </si>
  <si>
    <t>TAYLOR, ALISSA</t>
  </si>
  <si>
    <t>000921498605</t>
  </si>
  <si>
    <t>COSENTINO, NICOLE</t>
  </si>
  <si>
    <t>000921538499</t>
  </si>
  <si>
    <t>DEFRANK, ANGELA</t>
  </si>
  <si>
    <t>000921576096</t>
  </si>
  <si>
    <t>SAVINO, PAMELA</t>
  </si>
  <si>
    <t>000921627056</t>
  </si>
  <si>
    <t>CIOCH, KRYSTIANNE</t>
  </si>
  <si>
    <t>000921633094</t>
  </si>
  <si>
    <t>NICOSIA, JEANNA</t>
  </si>
  <si>
    <t>000921634283</t>
  </si>
  <si>
    <t>MAHONEY, CHRISTINE</t>
  </si>
  <si>
    <t>IB2803</t>
  </si>
  <si>
    <t>000921684783</t>
  </si>
  <si>
    <t>PARENTI, DOMINIC</t>
  </si>
  <si>
    <t>107949302-SU-ODMAA ENKHTUR</t>
  </si>
  <si>
    <t>000921615275</t>
  </si>
  <si>
    <t>SANJSUREN, MUNKHERDENE</t>
  </si>
  <si>
    <t>107949302</t>
  </si>
  <si>
    <t>000921755426</t>
  </si>
  <si>
    <t>ENKHTUR, ODMAA</t>
  </si>
  <si>
    <t>000921769541</t>
  </si>
  <si>
    <t>ERDENE OCHIR, MUNKHSAIKHAN</t>
  </si>
  <si>
    <t>000921772995</t>
  </si>
  <si>
    <t>DAVAG, SUVDAA</t>
  </si>
  <si>
    <t>107951751-SU-BARRY GORDON BRENNER</t>
  </si>
  <si>
    <t>000921715438</t>
  </si>
  <si>
    <t>ANDERSON, RYAN</t>
  </si>
  <si>
    <t>107951751</t>
  </si>
  <si>
    <t>000921748119</t>
  </si>
  <si>
    <t>TONDELLI, TERRY</t>
  </si>
  <si>
    <t>000921754273</t>
  </si>
  <si>
    <t>GARDNER, APRIL</t>
  </si>
  <si>
    <t>000921757425</t>
  </si>
  <si>
    <t>MARCOLINI, MENDBAYAR</t>
  </si>
  <si>
    <t>000921757733</t>
  </si>
  <si>
    <t>GAUTHIER, ALYXANDRA</t>
  </si>
  <si>
    <t>107951812-SU-TERI RENEE FOSTER</t>
  </si>
  <si>
    <t>000920796493</t>
  </si>
  <si>
    <t>CALLAHAN, MARTHA</t>
  </si>
  <si>
    <t>107951812</t>
  </si>
  <si>
    <t>000921749359</t>
  </si>
  <si>
    <t>FRANKEL, JOEL</t>
  </si>
  <si>
    <t>107953558-SU-NAVA LIVNE</t>
  </si>
  <si>
    <t>000808526973</t>
  </si>
  <si>
    <t>LIVNE, GIORA</t>
  </si>
  <si>
    <t>107953558</t>
  </si>
  <si>
    <t>000957194293</t>
  </si>
  <si>
    <t>000,197.58</t>
  </si>
  <si>
    <t>000,035.56</t>
  </si>
  <si>
    <t>107953967-SU-AMANDA J RODRIGUEZ</t>
  </si>
  <si>
    <t>000921629663</t>
  </si>
  <si>
    <t>ANUMULA, VENUMADHAV</t>
  </si>
  <si>
    <t>107953967</t>
  </si>
  <si>
    <t>000921632632</t>
  </si>
  <si>
    <t>CROWE, BRIAN</t>
  </si>
  <si>
    <t>107954203-SU-ANTHONY J HUNSBERGER</t>
  </si>
  <si>
    <t>000807842413</t>
  </si>
  <si>
    <t>GORMAN, NANCY</t>
  </si>
  <si>
    <t>20100101</t>
  </si>
  <si>
    <t>181</t>
  </si>
  <si>
    <t>000,027.00</t>
  </si>
  <si>
    <t>107954203</t>
  </si>
  <si>
    <t>000807843709</t>
  </si>
  <si>
    <t>GORMAN, JACKIE</t>
  </si>
  <si>
    <t>000808529581</t>
  </si>
  <si>
    <t>KOPECKY, BRUCE</t>
  </si>
  <si>
    <t>000808529793</t>
  </si>
  <si>
    <t>MOE, NELS</t>
  </si>
  <si>
    <t>000808531036</t>
  </si>
  <si>
    <t>HOWARD, LINDA</t>
  </si>
  <si>
    <t>000,054.00</t>
  </si>
  <si>
    <t>000808531568</t>
  </si>
  <si>
    <t>WOLF, PENNY</t>
  </si>
  <si>
    <t>000890111247</t>
  </si>
  <si>
    <t>TOMLIN, JEFFREY</t>
  </si>
  <si>
    <t>000890204280</t>
  </si>
  <si>
    <t>PETTENON, RICHARD</t>
  </si>
  <si>
    <t>000890408763</t>
  </si>
  <si>
    <t>SKILLIN, STACY</t>
  </si>
  <si>
    <t>000,100.00-</t>
  </si>
  <si>
    <t>000890529838</t>
  </si>
  <si>
    <t>WALSH, JEREMY</t>
  </si>
  <si>
    <t>000890603507</t>
  </si>
  <si>
    <t>ROCA, ROBERT</t>
  </si>
  <si>
    <t>000890612011</t>
  </si>
  <si>
    <t>NICASIO, VINCENT</t>
  </si>
  <si>
    <t>20140701</t>
  </si>
  <si>
    <t>128</t>
  </si>
  <si>
    <t>000920713674</t>
  </si>
  <si>
    <t>RENDE, FRANK</t>
  </si>
  <si>
    <t>000920765817</t>
  </si>
  <si>
    <t>EMMETT, ROBERT</t>
  </si>
  <si>
    <t>000920776236</t>
  </si>
  <si>
    <t>AVENDANO, NAOMI</t>
  </si>
  <si>
    <t>000920779843</t>
  </si>
  <si>
    <t>SPRADLIN, CHRISTINE</t>
  </si>
  <si>
    <t>000920792870</t>
  </si>
  <si>
    <t>LARDE, KENNETH</t>
  </si>
  <si>
    <t>000920862291</t>
  </si>
  <si>
    <t>KOPFER, ROBERT</t>
  </si>
  <si>
    <t>000920877651</t>
  </si>
  <si>
    <t>SANSORES, NATALIE</t>
  </si>
  <si>
    <t>000920884024</t>
  </si>
  <si>
    <t>EPCKE, WILLIAM</t>
  </si>
  <si>
    <t>000920885497</t>
  </si>
  <si>
    <t>CERVANTES, ANTONIO</t>
  </si>
  <si>
    <t>000920887150</t>
  </si>
  <si>
    <t>MOODLEY, JAYSEELAN</t>
  </si>
  <si>
    <t>000,108.28</t>
  </si>
  <si>
    <t>000,006.50</t>
  </si>
  <si>
    <t>000920937200</t>
  </si>
  <si>
    <t>FREY, MICHAEL</t>
  </si>
  <si>
    <t>000921018640</t>
  </si>
  <si>
    <t>POLLITZ, ROSEMARIE</t>
  </si>
  <si>
    <t>000921027671</t>
  </si>
  <si>
    <t>CROSSLEY, KEVIN</t>
  </si>
  <si>
    <t>000921033755</t>
  </si>
  <si>
    <t>HANAHAN, BARBARA</t>
  </si>
  <si>
    <t>000921048437</t>
  </si>
  <si>
    <t>CEBULSKI, THERESE</t>
  </si>
  <si>
    <t>000921109095</t>
  </si>
  <si>
    <t>GAMONES, TYRENE</t>
  </si>
  <si>
    <t>000921172690</t>
  </si>
  <si>
    <t>AERNE, MATTHEW</t>
  </si>
  <si>
    <t>000921212612</t>
  </si>
  <si>
    <t>SILHA, DIANE</t>
  </si>
  <si>
    <t>000921230443</t>
  </si>
  <si>
    <t>BALLAS, LISA</t>
  </si>
  <si>
    <t>000921281898</t>
  </si>
  <si>
    <t>BIENER, TIMOTHY</t>
  </si>
  <si>
    <t>000921285255</t>
  </si>
  <si>
    <t>BENTLEY, THOMAS</t>
  </si>
  <si>
    <t>20160901</t>
  </si>
  <si>
    <t>000921306747</t>
  </si>
  <si>
    <t>POUPKO, MICHAEL</t>
  </si>
  <si>
    <t>000921318489</t>
  </si>
  <si>
    <t>SHEETS DE GRACIA, KAREN</t>
  </si>
  <si>
    <t>000921323837</t>
  </si>
  <si>
    <t>KONODI, KURT</t>
  </si>
  <si>
    <t>000921360562</t>
  </si>
  <si>
    <t>SCHOLTZ, JASON</t>
  </si>
  <si>
    <t>000921362789</t>
  </si>
  <si>
    <t>NOVAK, LISA</t>
  </si>
  <si>
    <t>000921377875</t>
  </si>
  <si>
    <t>PINSLER, IGAL</t>
  </si>
  <si>
    <t>000921398600</t>
  </si>
  <si>
    <t>MORROW, CYNTHIA</t>
  </si>
  <si>
    <t>000921414472</t>
  </si>
  <si>
    <t>AULIS, RODNEY</t>
  </si>
  <si>
    <t>20180501</t>
  </si>
  <si>
    <t>082</t>
  </si>
  <si>
    <t>000921435591</t>
  </si>
  <si>
    <t>WILLNECKER, CHERYL</t>
  </si>
  <si>
    <t>000921437840</t>
  </si>
  <si>
    <t>QUINTANILLA, ALEJANDRO</t>
  </si>
  <si>
    <t>000921442441</t>
  </si>
  <si>
    <t>COHEN, NICOLE</t>
  </si>
  <si>
    <t>000921473605</t>
  </si>
  <si>
    <t>WILD, SHEILA</t>
  </si>
  <si>
    <t>000921476325</t>
  </si>
  <si>
    <t>ZOLDAK, ANASTASIA</t>
  </si>
  <si>
    <t>000921482123</t>
  </si>
  <si>
    <t>VAUGHAN, ROBYN</t>
  </si>
  <si>
    <t>000,071.29</t>
  </si>
  <si>
    <t>000,002.85</t>
  </si>
  <si>
    <t>000921491463</t>
  </si>
  <si>
    <t>NUNEZ, AURORA</t>
  </si>
  <si>
    <t>000921499974</t>
  </si>
  <si>
    <t>RANDALL, RYAN</t>
  </si>
  <si>
    <t>000921512188</t>
  </si>
  <si>
    <t>RASKEVICZ, ALPHONSE</t>
  </si>
  <si>
    <t>000921517353</t>
  </si>
  <si>
    <t>LEVINSON, DEBORAH</t>
  </si>
  <si>
    <t>000921574346</t>
  </si>
  <si>
    <t>VICORY, LORI</t>
  </si>
  <si>
    <t>000921574684</t>
  </si>
  <si>
    <t>KIRKLAND, ASHLEY</t>
  </si>
  <si>
    <t>000921589939</t>
  </si>
  <si>
    <t>HANSON, TRACY</t>
  </si>
  <si>
    <t>000921598121</t>
  </si>
  <si>
    <t>KELEGHAN, JENNIFER</t>
  </si>
  <si>
    <t>000921618718</t>
  </si>
  <si>
    <t>ZWETTLER, MAMIE</t>
  </si>
  <si>
    <t>000921622567</t>
  </si>
  <si>
    <t>BARK, GARY</t>
  </si>
  <si>
    <t>000921625641</t>
  </si>
  <si>
    <t>POTILECHIO, KENNETH</t>
  </si>
  <si>
    <t>000921637899</t>
  </si>
  <si>
    <t>EMOND, SCOTT</t>
  </si>
  <si>
    <t>000921644691</t>
  </si>
  <si>
    <t>DRAKE, ANGELA</t>
  </si>
  <si>
    <t>000921646298</t>
  </si>
  <si>
    <t>KELLY, ANNE</t>
  </si>
  <si>
    <t>000921652029</t>
  </si>
  <si>
    <t>FRACHEY, RICHARD</t>
  </si>
  <si>
    <t>000921652793</t>
  </si>
  <si>
    <t>COSTELLO, TRACY</t>
  </si>
  <si>
    <t>000921654306</t>
  </si>
  <si>
    <t>EIKLEBERRY, SHELLY</t>
  </si>
  <si>
    <t>000921656286</t>
  </si>
  <si>
    <t>THOMAS, MICHAEL</t>
  </si>
  <si>
    <t>000921656916</t>
  </si>
  <si>
    <t>GEHRINGER, CYNTHIA</t>
  </si>
  <si>
    <t>000921657874</t>
  </si>
  <si>
    <t>SORENSEN, DANIEL</t>
  </si>
  <si>
    <t>000921668352</t>
  </si>
  <si>
    <t>WINDERS, DIANE</t>
  </si>
  <si>
    <t>000921677938</t>
  </si>
  <si>
    <t>GUILLEN, ALEX</t>
  </si>
  <si>
    <t>000921679778</t>
  </si>
  <si>
    <t>VYBIRAL, KEVIN</t>
  </si>
  <si>
    <t>000921681063</t>
  </si>
  <si>
    <t>SCHNORR, KAREN</t>
  </si>
  <si>
    <t>000921692449</t>
  </si>
  <si>
    <t>ROWAN-LAKE, LINDA</t>
  </si>
  <si>
    <t>000921695630</t>
  </si>
  <si>
    <t>ELLERBY, MARILYN</t>
  </si>
  <si>
    <t>000921696798</t>
  </si>
  <si>
    <t>CWIOK, JOHN</t>
  </si>
  <si>
    <t>000921707925</t>
  </si>
  <si>
    <t>LAKIN, VALARIE</t>
  </si>
  <si>
    <t>000921727311</t>
  </si>
  <si>
    <t>GARCIA, JOSE</t>
  </si>
  <si>
    <t>000921733611</t>
  </si>
  <si>
    <t>MOLLOHAN, BRIDGET</t>
  </si>
  <si>
    <t>000921734718</t>
  </si>
  <si>
    <t>CAMARA, LULLETE</t>
  </si>
  <si>
    <t>000921735859</t>
  </si>
  <si>
    <t>MACDONALD, JENNIFER</t>
  </si>
  <si>
    <t>000921738169</t>
  </si>
  <si>
    <t>LEIN, LINDA</t>
  </si>
  <si>
    <t>000921743262</t>
  </si>
  <si>
    <t>GERAGHTY, BRIANA</t>
  </si>
  <si>
    <t>000921743515</t>
  </si>
  <si>
    <t>BELL PAWELKO, AMANDA</t>
  </si>
  <si>
    <t>000921745254</t>
  </si>
  <si>
    <t>SILHA, CAMERON</t>
  </si>
  <si>
    <t>000921747568</t>
  </si>
  <si>
    <t>PILOLLA, DEBRA</t>
  </si>
  <si>
    <t>000921747609</t>
  </si>
  <si>
    <t>THAUS, GINTARE</t>
  </si>
  <si>
    <t>000921748758</t>
  </si>
  <si>
    <t>LEHMAN, MELINDA</t>
  </si>
  <si>
    <t>000921749411</t>
  </si>
  <si>
    <t>HARRIS, DANIEL</t>
  </si>
  <si>
    <t>000921755936</t>
  </si>
  <si>
    <t>SILHA, MARJORIE</t>
  </si>
  <si>
    <t>000921763256</t>
  </si>
  <si>
    <t>ROCA, ALEXANDER</t>
  </si>
  <si>
    <t>000921765839</t>
  </si>
  <si>
    <t>MORROW, JENNIFER</t>
  </si>
  <si>
    <t>000921773868</t>
  </si>
  <si>
    <t>AGUIRRE, AGUSTINA</t>
  </si>
  <si>
    <t>000921774851</t>
  </si>
  <si>
    <t>DONOFRIO, NICHOLAS</t>
  </si>
  <si>
    <t>IB2801</t>
  </si>
  <si>
    <t>000921775093</t>
  </si>
  <si>
    <t>MOODLEY, CAMLIN</t>
  </si>
  <si>
    <t>000957193300</t>
  </si>
  <si>
    <t>FARNSWORTH, ROSEMARY</t>
  </si>
  <si>
    <t>000,182.65</t>
  </si>
  <si>
    <t>000,032.88</t>
  </si>
  <si>
    <t>000957194802</t>
  </si>
  <si>
    <t>000957194804</t>
  </si>
  <si>
    <t>GORMAN, JACK</t>
  </si>
  <si>
    <t>000,371.27</t>
  </si>
  <si>
    <t>000,018.56</t>
  </si>
  <si>
    <t>IST305</t>
  </si>
  <si>
    <t>000957196012</t>
  </si>
  <si>
    <t>BELTRAN, KATHLEEN</t>
  </si>
  <si>
    <t>000,267.76</t>
  </si>
  <si>
    <t>000,026.78</t>
  </si>
  <si>
    <t>000957197200</t>
  </si>
  <si>
    <t>KOPECKY, MARY</t>
  </si>
  <si>
    <t>000,138.28-</t>
  </si>
  <si>
    <t>000,024.89-</t>
  </si>
  <si>
    <t>000957197502</t>
  </si>
  <si>
    <t>SCHEIDECKER, BARBARA</t>
  </si>
  <si>
    <t>000,303.29</t>
  </si>
  <si>
    <t>000,015.16</t>
  </si>
  <si>
    <t>000957197648</t>
  </si>
  <si>
    <t>000,147.44-</t>
  </si>
  <si>
    <t>000,026.54-</t>
  </si>
  <si>
    <t>000,147.44</t>
  </si>
  <si>
    <t>000,026.54</t>
  </si>
  <si>
    <t>000957197833</t>
  </si>
  <si>
    <t>GAFFNEY, MARION</t>
  </si>
  <si>
    <t>000,229.10</t>
  </si>
  <si>
    <t>20241126</t>
  </si>
  <si>
    <t>000,020.62</t>
  </si>
  <si>
    <t>000957198740</t>
  </si>
  <si>
    <t>000957198773</t>
  </si>
  <si>
    <t>000957199024</t>
  </si>
  <si>
    <t>JOHNSON, TERRY</t>
  </si>
  <si>
    <t>20250203</t>
  </si>
  <si>
    <t>20241203</t>
  </si>
  <si>
    <t>000957199653</t>
  </si>
  <si>
    <t>ALLEN, RICHARD</t>
  </si>
  <si>
    <t>000,181.94</t>
  </si>
  <si>
    <t>000,018.19</t>
  </si>
  <si>
    <t>000957200242</t>
  </si>
  <si>
    <t>SWETT, JAMES</t>
  </si>
  <si>
    <t>000,229.67</t>
  </si>
  <si>
    <t>000,041.34</t>
  </si>
  <si>
    <t>000957201158</t>
  </si>
  <si>
    <t>PITELKA, NELDA</t>
  </si>
  <si>
    <t>000,420.69</t>
  </si>
  <si>
    <t>000,021.03</t>
  </si>
  <si>
    <t>000957201883</t>
  </si>
  <si>
    <t>TRIZZINO, MARY</t>
  </si>
  <si>
    <t>000,135.58</t>
  </si>
  <si>
    <t>000,024.40</t>
  </si>
  <si>
    <t>000957203139</t>
  </si>
  <si>
    <t>PEARSON, KAY</t>
  </si>
  <si>
    <t>000957203142</t>
  </si>
  <si>
    <t>PEARSON, DENNIS</t>
  </si>
  <si>
    <t>000,296.19</t>
  </si>
  <si>
    <t>000,029.62</t>
  </si>
  <si>
    <t>SU</t>
  </si>
  <si>
    <t>JASON R HOFFMANN</t>
  </si>
  <si>
    <t>GREGORY K TEIPEL</t>
  </si>
  <si>
    <t>RYAN J CALTAGIRONE</t>
  </si>
  <si>
    <t>EUGENE DANIEL ZANGARI</t>
  </si>
  <si>
    <t>COLLEEN J FINNIGAN</t>
  </si>
  <si>
    <t>MICHELA ROZMAN</t>
  </si>
  <si>
    <t>MATTHEW DAUGHERTY</t>
  </si>
  <si>
    <t>TIMOTHY HODGMAN</t>
  </si>
  <si>
    <t>GARY PORTUGAL</t>
  </si>
  <si>
    <t>ANDREW J CHOI</t>
  </si>
  <si>
    <t>STACEY A PORTUGAL</t>
  </si>
  <si>
    <t>PAMELA SUE DEATON</t>
  </si>
  <si>
    <t>RICARDO D SANTOS</t>
  </si>
  <si>
    <t>FRANK E LISKOVEC</t>
  </si>
  <si>
    <t>RICHARD A YALE</t>
  </si>
  <si>
    <t>JACOB D YALE</t>
  </si>
  <si>
    <t>CHRISTIAN TAUGNER</t>
  </si>
  <si>
    <t>BARRY L SCHUMANN</t>
  </si>
  <si>
    <t>JEFFREY E HORN</t>
  </si>
  <si>
    <t>ANDREA PETRUNGARO</t>
  </si>
  <si>
    <t>SAADIA S ABDUL</t>
  </si>
  <si>
    <t>STEPHANIE E DRAPAC</t>
  </si>
  <si>
    <t>NASANDELGER MUNKHJARGAL ZANA</t>
  </si>
  <si>
    <t>HEATHER MARIE GESKE</t>
  </si>
  <si>
    <t>ESTHER M HERRERA</t>
  </si>
  <si>
    <t>LARSEN</t>
  </si>
  <si>
    <t>PAUL ROBINSON</t>
  </si>
  <si>
    <t>MICHAEL DUNAVANT</t>
  </si>
  <si>
    <t>BRIAN CHRISTOPHER STROHMAN</t>
  </si>
  <si>
    <t>THOMAS PARDUE</t>
  </si>
  <si>
    <t>CHAD J YALE</t>
  </si>
  <si>
    <t>TOM EDWARD SERIO</t>
  </si>
  <si>
    <t>DALE JON WALENGA</t>
  </si>
  <si>
    <t>JONATHAN ALOFF</t>
  </si>
  <si>
    <t>GREGORY HANSFORD</t>
  </si>
  <si>
    <t>JOSE TORRES</t>
  </si>
  <si>
    <t>RICHARD WUENSCH</t>
  </si>
  <si>
    <t>MICHAEL A SEMPREVIVO</t>
  </si>
  <si>
    <t>PATSAMON THANADABOUTH</t>
  </si>
  <si>
    <t>STEVEN D WERNER</t>
  </si>
  <si>
    <t>VICTOR FUENTES</t>
  </si>
  <si>
    <t>MELISSA TATRO</t>
  </si>
  <si>
    <t>ODMAA ENKHTUR</t>
  </si>
  <si>
    <t>BARRY GORDON BRENNER</t>
  </si>
  <si>
    <t>TERI RENEE FOSTER</t>
  </si>
  <si>
    <t>NAVA LIVNE</t>
  </si>
  <si>
    <t>AMANDA J RODRIGUEZ</t>
  </si>
  <si>
    <t>ANTHONY J HUNSBERGER</t>
  </si>
  <si>
    <t>18828278SUB2</t>
  </si>
  <si>
    <t>138.28-</t>
  </si>
  <si>
    <t>147.44-</t>
  </si>
  <si>
    <t>129.53-</t>
  </si>
  <si>
    <t>099.47-</t>
  </si>
  <si>
    <t>115.64-</t>
  </si>
  <si>
    <t>125.77-</t>
  </si>
  <si>
    <t>115.08-</t>
  </si>
  <si>
    <t>268.00-</t>
  </si>
  <si>
    <t>BCBS of IL CD Tier 1</t>
  </si>
  <si>
    <t>BCBS of IL BC Pref</t>
  </si>
  <si>
    <t>BCBS of IL BC Pref Tier 3</t>
  </si>
  <si>
    <t>BCBS of IL Blue Precision Tier 1</t>
  </si>
  <si>
    <t>BCBS of IL MS &gt;80 and U65</t>
  </si>
  <si>
    <t>BCBS of IL Medicare Supplement Persons Aged 65-79</t>
  </si>
  <si>
    <t>BCBS of IL MS Secure &gt;80 and U65</t>
  </si>
  <si>
    <t>BCBS of IL MS 65-79</t>
  </si>
  <si>
    <t>BCBS of IL MAPD 2024</t>
  </si>
  <si>
    <t>BCBS of IL MAPD 2025*</t>
  </si>
  <si>
    <t>[%/$=306][prorate=12/12]</t>
  </si>
  <si>
    <t>[%/$=313][prorate=11/12]</t>
  </si>
  <si>
    <t>BCBS of IL 2023 MAPD</t>
  </si>
  <si>
    <t>BCBS of IL BF Tier 1</t>
  </si>
  <si>
    <t>BCBS of IL PDP 2024</t>
  </si>
  <si>
    <t>BCBS of IL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</si>
</sst>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  <font>
      <sz val="10"/>
      <color rgb="FF00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0" fillId="0" borderId="0" xfId="0" applyAlignment="1"/>
    <xf numFmtId="0" fontId="6" fillId="0" borderId="0" xfId="0" applyNumberFormat="1" applyFont="1" applyAlignment="1">
      <alignment vertical="top"/>
    </xf>
    <xf numFmtId="0" fontId="6" fillId="0" borderId="0" xfId="0" applyNumberFormat="1" applyFont="1" applyAlignment="1">
      <alignment horizontal="right" vertical="top"/>
    </xf>
    <xf numFmtId="8" fontId="6" fillId="0" borderId="0" xfId="0" applyNumberFormat="1" applyFont="1" applyAlignment="1">
      <alignment horizontal="right" vertical="top"/>
    </xf>
    <xf numFmtId="8" fontId="6" fillId="0" borderId="0" xfId="0" applyNumberFormat="1" applyFont="1" applyAlignment="1">
      <alignment vertical="top"/>
    </xf>
    <xf numFmtId="0" fontId="5" fillId="0" borderId="1" xfId="0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/>
    </xf>
    <xf numFmtId="0" fontId="0" fillId="0" borderId="0" xfId="0" applyFill="1"/>
    <xf numFmtId="0" fontId="6" fillId="0" borderId="0" xfId="0" applyNumberFormat="1" applyFont="1" applyFill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NumberFormat="1" applyFont="1" applyFill="1" applyAlignment="1">
      <alignment horizontal="right" vertical="top"/>
    </xf>
    <xf numFmtId="8" fontId="6" fillId="0" borderId="0" xfId="0" applyNumberFormat="1" applyFont="1" applyFill="1" applyAlignment="1">
      <alignment horizontal="right" vertical="top"/>
    </xf>
    <xf numFmtId="0" fontId="6" fillId="0" borderId="0" xfId="0" applyFont="1" applyFill="1" applyAlignment="1">
      <alignment horizontal="right" vertical="top"/>
    </xf>
    <xf numFmtId="0" fontId="0" fillId="0" borderId="0" xfId="0" applyFill="1" applyAlignment="1">
      <alignment horizontal="right"/>
    </xf>
    <xf numFmtId="8" fontId="6" fillId="0" borderId="0" xfId="0" applyNumberFormat="1" applyFont="1" applyFill="1" applyAlignment="1">
      <alignment vertical="top"/>
    </xf>
    <xf numFmtId="0" fontId="0" fillId="0" borderId="0" xfId="0" applyFill="1" applyAlignment="1"/>
    <xf numFmtId="0" fontId="8" fillId="0" borderId="0" xfId="0" applyFont="1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780"/>
  <sheetViews>
    <sheetView showGridLines="0" tabSelected="1" topLeftCell="B1" workbookViewId="0">
      <selection activeCell="T33" sqref="T33:U33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8" t="s">
        <v>0</v>
      </c>
      <c r="S3" s="8"/>
      <c r="T3" s="8"/>
    </row>
    <row r="4" spans="1:33" ht="6.75" customHeight="1" x14ac:dyDescent="0.2">
      <c r="A4" s="9" t="s">
        <v>1</v>
      </c>
      <c r="C4" s="10" t="s">
        <v>2</v>
      </c>
      <c r="D4" s="10"/>
      <c r="E4" s="10"/>
      <c r="F4" s="10"/>
      <c r="G4" s="10"/>
      <c r="H4" s="10"/>
      <c r="R4" s="8"/>
      <c r="S4" s="8"/>
      <c r="T4" s="8"/>
    </row>
    <row r="5" spans="1:33" ht="6.75" customHeight="1" x14ac:dyDescent="0.2">
      <c r="A5" s="9"/>
      <c r="C5" s="10"/>
      <c r="D5" s="10"/>
      <c r="E5" s="10"/>
      <c r="F5" s="10"/>
      <c r="G5" s="10"/>
      <c r="H5" s="10"/>
      <c r="R5" s="8"/>
      <c r="S5" s="8"/>
      <c r="T5" s="8"/>
    </row>
    <row r="6" spans="1:33" ht="33.75" customHeight="1" x14ac:dyDescent="0.2">
      <c r="Q6" s="11" t="s">
        <v>3</v>
      </c>
      <c r="R6" s="11"/>
      <c r="S6" s="11"/>
      <c r="T6" s="11"/>
    </row>
    <row r="7" spans="1:33" ht="7.5" customHeight="1" x14ac:dyDescent="0.2">
      <c r="A7" s="9" t="s">
        <v>4</v>
      </c>
      <c r="C7" s="10" t="s">
        <v>5</v>
      </c>
      <c r="D7" s="10"/>
      <c r="E7" s="10"/>
      <c r="F7" s="10"/>
      <c r="G7" s="10"/>
    </row>
    <row r="8" spans="1:33" ht="6" customHeight="1" x14ac:dyDescent="0.2">
      <c r="A8" s="9"/>
      <c r="C8" s="10"/>
      <c r="D8" s="10"/>
      <c r="E8" s="10"/>
      <c r="F8" s="10"/>
      <c r="G8" s="10"/>
    </row>
    <row r="9" spans="1:33" ht="13.5" customHeight="1" x14ac:dyDescent="0.2">
      <c r="A9" s="1" t="s">
        <v>6</v>
      </c>
      <c r="C9" s="10" t="s">
        <v>7</v>
      </c>
      <c r="D9" s="10"/>
    </row>
    <row r="10" spans="1:33" ht="12" customHeight="1" x14ac:dyDescent="0.2"/>
    <row r="11" spans="1:33" ht="25.5" customHeight="1" x14ac:dyDescent="0.2">
      <c r="A11" s="12" t="s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8.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2.75" customHeight="1" x14ac:dyDescent="0.2">
      <c r="A13" s="13" t="s">
        <v>9</v>
      </c>
      <c r="B13" s="13" t="s">
        <v>10</v>
      </c>
      <c r="C13" s="13"/>
      <c r="D13" s="13" t="s">
        <v>11</v>
      </c>
      <c r="E13" s="13"/>
      <c r="F13" s="13" t="s">
        <v>12</v>
      </c>
      <c r="G13" s="13"/>
      <c r="H13" s="13"/>
      <c r="I13" s="13"/>
      <c r="J13" s="13" t="s">
        <v>13</v>
      </c>
      <c r="K13" s="13" t="s">
        <v>14</v>
      </c>
      <c r="L13" s="13" t="s">
        <v>15</v>
      </c>
      <c r="N13" s="13" t="s">
        <v>16</v>
      </c>
      <c r="O13" s="13"/>
      <c r="P13" s="13" t="s">
        <v>17</v>
      </c>
      <c r="Q13" s="13"/>
      <c r="R13" s="13"/>
      <c r="S13" s="13" t="s">
        <v>18</v>
      </c>
      <c r="T13" s="13" t="s">
        <v>19</v>
      </c>
      <c r="U13" s="13"/>
      <c r="V13" s="13" t="s">
        <v>20</v>
      </c>
      <c r="W13" s="13" t="s">
        <v>21</v>
      </c>
      <c r="X13" s="13" t="s">
        <v>22</v>
      </c>
      <c r="Y13" s="13" t="s">
        <v>23</v>
      </c>
      <c r="Z13" s="13"/>
      <c r="AA13" s="13" t="s">
        <v>24</v>
      </c>
      <c r="AB13" s="13" t="s">
        <v>25</v>
      </c>
      <c r="AC13" s="13" t="s">
        <v>26</v>
      </c>
      <c r="AD13" s="13" t="s">
        <v>27</v>
      </c>
      <c r="AE13" s="13" t="s">
        <v>28</v>
      </c>
      <c r="AF13" s="13" t="s">
        <v>29</v>
      </c>
      <c r="AG13" s="13" t="s">
        <v>30</v>
      </c>
    </row>
    <row r="14" spans="1:33" ht="14.25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0.75" customHeight="1" x14ac:dyDescent="0.2">
      <c r="L15" s="13"/>
      <c r="N15" s="13"/>
      <c r="O15" s="13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50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35</v>
      </c>
      <c r="K18" s="4" t="s">
        <v>36</v>
      </c>
      <c r="N18" s="7" t="s">
        <v>38</v>
      </c>
      <c r="O18" s="7"/>
      <c r="P18" s="7" t="s">
        <v>39</v>
      </c>
      <c r="Q18" s="7"/>
      <c r="R18" s="7"/>
      <c r="S18" s="3" t="s">
        <v>40</v>
      </c>
      <c r="T18" s="7" t="s">
        <v>41</v>
      </c>
      <c r="U18" s="7"/>
      <c r="V18" s="4" t="s">
        <v>51</v>
      </c>
      <c r="W18" s="4" t="s">
        <v>43</v>
      </c>
      <c r="X18" s="4" t="s">
        <v>52</v>
      </c>
      <c r="Y18" s="7" t="s">
        <v>45</v>
      </c>
      <c r="Z18" s="7"/>
      <c r="AA18" s="4" t="s">
        <v>46</v>
      </c>
      <c r="AB18" s="4" t="s">
        <v>47</v>
      </c>
      <c r="AD18" s="4" t="s">
        <v>53</v>
      </c>
      <c r="AE18" s="4" t="s">
        <v>48</v>
      </c>
      <c r="AF18" s="4" t="s">
        <v>41</v>
      </c>
      <c r="AG18" s="4" t="s">
        <v>49</v>
      </c>
    </row>
    <row r="19" spans="1:33" ht="16.5" customHeight="1" x14ac:dyDescent="0.2">
      <c r="A19" s="2" t="s">
        <v>31</v>
      </c>
      <c r="B19" s="5" t="s">
        <v>54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55</v>
      </c>
      <c r="L19" s="4" t="s">
        <v>37</v>
      </c>
      <c r="N19" s="7" t="s">
        <v>56</v>
      </c>
      <c r="O19" s="7"/>
      <c r="P19" s="7" t="s">
        <v>57</v>
      </c>
      <c r="Q19" s="7"/>
      <c r="R19" s="7"/>
      <c r="S19" s="3" t="s">
        <v>40</v>
      </c>
      <c r="T19" s="7" t="s">
        <v>41</v>
      </c>
      <c r="U19" s="7"/>
      <c r="V19" s="4" t="s">
        <v>42</v>
      </c>
      <c r="W19" s="4" t="s">
        <v>58</v>
      </c>
      <c r="X19" s="4" t="s">
        <v>59</v>
      </c>
      <c r="Y19" s="7" t="s">
        <v>60</v>
      </c>
      <c r="Z19" s="7"/>
      <c r="AA19" s="4" t="s">
        <v>46</v>
      </c>
      <c r="AB19" s="4" t="s">
        <v>47</v>
      </c>
      <c r="AC19" s="4" t="s">
        <v>61</v>
      </c>
      <c r="AD19" s="4" t="s">
        <v>62</v>
      </c>
      <c r="AE19" s="4" t="s">
        <v>48</v>
      </c>
      <c r="AF19" s="4" t="s">
        <v>41</v>
      </c>
      <c r="AG19" s="4" t="s">
        <v>49</v>
      </c>
    </row>
    <row r="20" spans="1:33" ht="16.5" customHeight="1" x14ac:dyDescent="0.2">
      <c r="A20" s="2" t="s">
        <v>31</v>
      </c>
      <c r="B20" s="5" t="s">
        <v>54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63</v>
      </c>
      <c r="L20" s="4" t="s">
        <v>37</v>
      </c>
      <c r="N20" s="7" t="s">
        <v>64</v>
      </c>
      <c r="O20" s="7"/>
      <c r="P20" s="7" t="s">
        <v>65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58</v>
      </c>
      <c r="X20" s="4" t="s">
        <v>59</v>
      </c>
      <c r="Y20" s="7" t="s">
        <v>60</v>
      </c>
      <c r="Z20" s="7"/>
      <c r="AA20" s="4" t="s">
        <v>46</v>
      </c>
      <c r="AB20" s="4" t="s">
        <v>47</v>
      </c>
      <c r="AC20" s="4" t="s">
        <v>61</v>
      </c>
      <c r="AD20" s="4" t="s">
        <v>62</v>
      </c>
      <c r="AE20" s="4" t="s">
        <v>48</v>
      </c>
      <c r="AF20" s="4" t="s">
        <v>41</v>
      </c>
      <c r="AG20" s="4" t="s">
        <v>49</v>
      </c>
    </row>
    <row r="21" spans="1:33" ht="16.5" customHeight="1" x14ac:dyDescent="0.2">
      <c r="A21" s="2" t="s">
        <v>31</v>
      </c>
      <c r="B21" s="5" t="s">
        <v>54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55</v>
      </c>
      <c r="L21" s="4" t="s">
        <v>37</v>
      </c>
      <c r="N21" s="7" t="s">
        <v>66</v>
      </c>
      <c r="O21" s="7"/>
      <c r="P21" s="7" t="s">
        <v>67</v>
      </c>
      <c r="Q21" s="7"/>
      <c r="R21" s="7"/>
      <c r="S21" s="3" t="s">
        <v>40</v>
      </c>
      <c r="T21" s="7" t="s">
        <v>41</v>
      </c>
      <c r="U21" s="7"/>
      <c r="V21" s="4" t="s">
        <v>42</v>
      </c>
      <c r="W21" s="4" t="s">
        <v>68</v>
      </c>
      <c r="X21" s="4" t="s">
        <v>69</v>
      </c>
      <c r="Y21" s="7" t="s">
        <v>60</v>
      </c>
      <c r="Z21" s="7"/>
      <c r="AA21" s="4" t="s">
        <v>46</v>
      </c>
      <c r="AB21" s="4" t="s">
        <v>47</v>
      </c>
      <c r="AC21" s="4" t="s">
        <v>61</v>
      </c>
      <c r="AD21" s="4" t="s">
        <v>62</v>
      </c>
      <c r="AE21" s="4" t="s">
        <v>48</v>
      </c>
      <c r="AF21" s="4" t="s">
        <v>41</v>
      </c>
      <c r="AG21" s="4" t="s">
        <v>49</v>
      </c>
    </row>
    <row r="22" spans="1:33" ht="16.5" customHeight="1" x14ac:dyDescent="0.2">
      <c r="A22" s="2" t="s">
        <v>31</v>
      </c>
      <c r="B22" s="5" t="s">
        <v>54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63</v>
      </c>
      <c r="L22" s="4" t="s">
        <v>37</v>
      </c>
      <c r="N22" s="7" t="s">
        <v>70</v>
      </c>
      <c r="O22" s="7"/>
      <c r="P22" s="7" t="s">
        <v>71</v>
      </c>
      <c r="Q22" s="7"/>
      <c r="R22" s="7"/>
      <c r="S22" s="3" t="s">
        <v>40</v>
      </c>
      <c r="T22" s="7" t="s">
        <v>41</v>
      </c>
      <c r="U22" s="7"/>
      <c r="V22" s="4" t="s">
        <v>42</v>
      </c>
      <c r="W22" s="4" t="s">
        <v>68</v>
      </c>
      <c r="X22" s="4" t="s">
        <v>69</v>
      </c>
      <c r="Y22" s="7" t="s">
        <v>60</v>
      </c>
      <c r="Z22" s="7"/>
      <c r="AA22" s="4" t="s">
        <v>46</v>
      </c>
      <c r="AB22" s="4" t="s">
        <v>47</v>
      </c>
      <c r="AC22" s="4" t="s">
        <v>72</v>
      </c>
      <c r="AD22" s="4" t="s">
        <v>41</v>
      </c>
      <c r="AE22" s="4" t="s">
        <v>48</v>
      </c>
      <c r="AF22" s="4" t="s">
        <v>41</v>
      </c>
      <c r="AG22" s="4" t="s">
        <v>49</v>
      </c>
    </row>
    <row r="23" spans="1:33" ht="16.5" customHeight="1" x14ac:dyDescent="0.2">
      <c r="A23" s="2" t="s">
        <v>31</v>
      </c>
      <c r="B23" s="5" t="s">
        <v>54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73</v>
      </c>
      <c r="L23" s="4" t="s">
        <v>37</v>
      </c>
      <c r="N23" s="7" t="s">
        <v>74</v>
      </c>
      <c r="O23" s="7"/>
      <c r="P23" s="7" t="s">
        <v>75</v>
      </c>
      <c r="Q23" s="7"/>
      <c r="R23" s="7"/>
      <c r="S23" s="3" t="s">
        <v>40</v>
      </c>
      <c r="T23" s="7" t="s">
        <v>41</v>
      </c>
      <c r="U23" s="7"/>
      <c r="V23" s="4" t="s">
        <v>42</v>
      </c>
      <c r="W23" s="4" t="s">
        <v>76</v>
      </c>
      <c r="X23" s="4" t="s">
        <v>77</v>
      </c>
      <c r="Y23" s="7" t="s">
        <v>78</v>
      </c>
      <c r="Z23" s="7"/>
      <c r="AA23" s="4" t="s">
        <v>46</v>
      </c>
      <c r="AB23" s="4" t="s">
        <v>47</v>
      </c>
      <c r="AC23" s="4" t="s">
        <v>79</v>
      </c>
      <c r="AD23" s="4" t="s">
        <v>80</v>
      </c>
      <c r="AE23" s="4" t="s">
        <v>48</v>
      </c>
      <c r="AF23" s="4" t="s">
        <v>41</v>
      </c>
      <c r="AG23" s="4" t="s">
        <v>49</v>
      </c>
    </row>
    <row r="24" spans="1:33" ht="16.5" customHeight="1" x14ac:dyDescent="0.2">
      <c r="A24" s="2" t="s">
        <v>31</v>
      </c>
      <c r="B24" s="5" t="s">
        <v>54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81</v>
      </c>
      <c r="L24" s="4" t="s">
        <v>37</v>
      </c>
      <c r="N24" s="7" t="s">
        <v>82</v>
      </c>
      <c r="O24" s="7"/>
      <c r="P24" s="7" t="s">
        <v>83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76</v>
      </c>
      <c r="X24" s="4" t="s">
        <v>77</v>
      </c>
      <c r="Y24" s="7" t="s">
        <v>78</v>
      </c>
      <c r="Z24" s="7"/>
      <c r="AA24" s="4" t="s">
        <v>46</v>
      </c>
      <c r="AB24" s="4" t="s">
        <v>47</v>
      </c>
      <c r="AC24" s="4" t="s">
        <v>79</v>
      </c>
      <c r="AD24" s="4" t="s">
        <v>80</v>
      </c>
      <c r="AE24" s="4" t="s">
        <v>48</v>
      </c>
      <c r="AF24" s="4" t="s">
        <v>41</v>
      </c>
      <c r="AG24" s="4" t="s">
        <v>49</v>
      </c>
    </row>
    <row r="25" spans="1:33" ht="16.5" customHeight="1" x14ac:dyDescent="0.2">
      <c r="A25" s="2" t="s">
        <v>31</v>
      </c>
      <c r="B25" s="5" t="s">
        <v>54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73</v>
      </c>
      <c r="L25" s="4" t="s">
        <v>37</v>
      </c>
      <c r="N25" s="7" t="s">
        <v>84</v>
      </c>
      <c r="O25" s="7"/>
      <c r="P25" s="7" t="s">
        <v>85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76</v>
      </c>
      <c r="X25" s="4" t="s">
        <v>77</v>
      </c>
      <c r="Y25" s="7" t="s">
        <v>78</v>
      </c>
      <c r="Z25" s="7"/>
      <c r="AA25" s="4" t="s">
        <v>46</v>
      </c>
      <c r="AB25" s="4" t="s">
        <v>47</v>
      </c>
      <c r="AC25" s="4" t="s">
        <v>79</v>
      </c>
      <c r="AD25" s="4" t="s">
        <v>80</v>
      </c>
      <c r="AE25" s="4" t="s">
        <v>48</v>
      </c>
      <c r="AF25" s="4" t="s">
        <v>41</v>
      </c>
      <c r="AG25" s="4" t="s">
        <v>49</v>
      </c>
    </row>
    <row r="26" spans="1:33" ht="16.5" customHeight="1" x14ac:dyDescent="0.2">
      <c r="A26" s="2" t="s">
        <v>31</v>
      </c>
      <c r="B26" s="5" t="s">
        <v>54</v>
      </c>
      <c r="C26" s="5"/>
      <c r="D26" s="5"/>
      <c r="E26" s="6" t="s">
        <v>33</v>
      </c>
      <c r="F26" s="6"/>
      <c r="G26" s="7" t="s">
        <v>34</v>
      </c>
      <c r="H26" s="7"/>
      <c r="I26" s="7"/>
      <c r="J26" s="3" t="s">
        <v>35</v>
      </c>
      <c r="K26" s="4" t="s">
        <v>73</v>
      </c>
      <c r="L26" s="4" t="s">
        <v>37</v>
      </c>
      <c r="N26" s="7" t="s">
        <v>86</v>
      </c>
      <c r="O26" s="7"/>
      <c r="P26" s="7" t="s">
        <v>87</v>
      </c>
      <c r="Q26" s="7"/>
      <c r="R26" s="7"/>
      <c r="S26" s="3" t="s">
        <v>40</v>
      </c>
      <c r="T26" s="7" t="s">
        <v>41</v>
      </c>
      <c r="U26" s="7"/>
      <c r="V26" s="4" t="s">
        <v>42</v>
      </c>
      <c r="W26" s="4" t="s">
        <v>76</v>
      </c>
      <c r="X26" s="4" t="s">
        <v>77</v>
      </c>
      <c r="Y26" s="7" t="s">
        <v>78</v>
      </c>
      <c r="Z26" s="7"/>
      <c r="AA26" s="4" t="s">
        <v>46</v>
      </c>
      <c r="AB26" s="4" t="s">
        <v>47</v>
      </c>
      <c r="AC26" s="4" t="s">
        <v>79</v>
      </c>
      <c r="AD26" s="4" t="s">
        <v>80</v>
      </c>
      <c r="AE26" s="4" t="s">
        <v>48</v>
      </c>
      <c r="AF26" s="4" t="s">
        <v>41</v>
      </c>
      <c r="AG26" s="4" t="s">
        <v>49</v>
      </c>
    </row>
    <row r="27" spans="1:33" ht="16.5" customHeight="1" x14ac:dyDescent="0.2">
      <c r="A27" s="2" t="s">
        <v>31</v>
      </c>
      <c r="B27" s="5" t="s">
        <v>54</v>
      </c>
      <c r="C27" s="5"/>
      <c r="D27" s="5"/>
      <c r="E27" s="6" t="s">
        <v>33</v>
      </c>
      <c r="F27" s="6"/>
      <c r="G27" s="7" t="s">
        <v>34</v>
      </c>
      <c r="H27" s="7"/>
      <c r="I27" s="7"/>
      <c r="J27" s="3" t="s">
        <v>35</v>
      </c>
      <c r="K27" s="4" t="s">
        <v>73</v>
      </c>
      <c r="L27" s="4" t="s">
        <v>37</v>
      </c>
      <c r="N27" s="7" t="s">
        <v>88</v>
      </c>
      <c r="O27" s="7"/>
      <c r="P27" s="7" t="s">
        <v>89</v>
      </c>
      <c r="Q27" s="7"/>
      <c r="R27" s="7"/>
      <c r="S27" s="3" t="s">
        <v>40</v>
      </c>
      <c r="T27" s="7" t="s">
        <v>41</v>
      </c>
      <c r="U27" s="7"/>
      <c r="V27" s="4" t="s">
        <v>42</v>
      </c>
      <c r="W27" s="4" t="s">
        <v>90</v>
      </c>
      <c r="X27" s="4" t="s">
        <v>91</v>
      </c>
      <c r="Y27" s="7" t="s">
        <v>78</v>
      </c>
      <c r="Z27" s="7"/>
      <c r="AA27" s="4" t="s">
        <v>46</v>
      </c>
      <c r="AB27" s="4" t="s">
        <v>47</v>
      </c>
      <c r="AC27" s="4" t="s">
        <v>79</v>
      </c>
      <c r="AD27" s="4" t="s">
        <v>80</v>
      </c>
      <c r="AE27" s="4" t="s">
        <v>48</v>
      </c>
      <c r="AF27" s="4" t="s">
        <v>41</v>
      </c>
      <c r="AG27" s="4" t="s">
        <v>49</v>
      </c>
    </row>
    <row r="28" spans="1:33" ht="16.5" customHeight="1" x14ac:dyDescent="0.2">
      <c r="A28" s="2" t="s">
        <v>31</v>
      </c>
      <c r="B28" s="5" t="s">
        <v>54</v>
      </c>
      <c r="C28" s="5"/>
      <c r="D28" s="5"/>
      <c r="E28" s="6" t="s">
        <v>33</v>
      </c>
      <c r="F28" s="6"/>
      <c r="G28" s="7" t="s">
        <v>34</v>
      </c>
      <c r="H28" s="7"/>
      <c r="I28" s="7"/>
      <c r="J28" s="3" t="s">
        <v>35</v>
      </c>
      <c r="K28" s="4" t="s">
        <v>92</v>
      </c>
      <c r="L28" s="4" t="s">
        <v>93</v>
      </c>
      <c r="N28" s="7" t="s">
        <v>94</v>
      </c>
      <c r="O28" s="7"/>
      <c r="P28" s="7" t="s">
        <v>95</v>
      </c>
      <c r="Q28" s="7"/>
      <c r="R28" s="7"/>
      <c r="S28" s="3" t="s">
        <v>40</v>
      </c>
      <c r="T28" s="7" t="s">
        <v>41</v>
      </c>
      <c r="U28" s="7"/>
      <c r="V28" s="4" t="s">
        <v>42</v>
      </c>
      <c r="W28" s="4" t="s">
        <v>90</v>
      </c>
      <c r="X28" s="4" t="s">
        <v>91</v>
      </c>
      <c r="Y28" s="7" t="s">
        <v>78</v>
      </c>
      <c r="Z28" s="7"/>
      <c r="AA28" s="4" t="s">
        <v>46</v>
      </c>
      <c r="AB28" s="4" t="s">
        <v>47</v>
      </c>
      <c r="AC28" s="4" t="s">
        <v>79</v>
      </c>
      <c r="AD28" s="4" t="s">
        <v>96</v>
      </c>
      <c r="AE28" s="4" t="s">
        <v>48</v>
      </c>
      <c r="AF28" s="4" t="s">
        <v>41</v>
      </c>
      <c r="AG28" s="4" t="s">
        <v>49</v>
      </c>
    </row>
    <row r="29" spans="1:33" ht="16.5" customHeight="1" x14ac:dyDescent="0.2">
      <c r="A29" s="2" t="s">
        <v>31</v>
      </c>
      <c r="B29" s="5" t="s">
        <v>54</v>
      </c>
      <c r="C29" s="5"/>
      <c r="D29" s="5"/>
      <c r="E29" s="6" t="s">
        <v>33</v>
      </c>
      <c r="F29" s="6"/>
      <c r="G29" s="7" t="s">
        <v>34</v>
      </c>
      <c r="H29" s="7"/>
      <c r="I29" s="7"/>
      <c r="J29" s="3" t="s">
        <v>35</v>
      </c>
      <c r="K29" s="4" t="s">
        <v>97</v>
      </c>
      <c r="L29" s="4" t="s">
        <v>37</v>
      </c>
      <c r="N29" s="7" t="s">
        <v>98</v>
      </c>
      <c r="O29" s="7"/>
      <c r="P29" s="7" t="s">
        <v>99</v>
      </c>
      <c r="Q29" s="7"/>
      <c r="R29" s="7"/>
      <c r="S29" s="3" t="s">
        <v>40</v>
      </c>
      <c r="T29" s="7" t="s">
        <v>41</v>
      </c>
      <c r="U29" s="7"/>
      <c r="V29" s="4" t="s">
        <v>42</v>
      </c>
      <c r="W29" s="4" t="s">
        <v>76</v>
      </c>
      <c r="X29" s="4" t="s">
        <v>77</v>
      </c>
      <c r="Y29" s="7" t="s">
        <v>78</v>
      </c>
      <c r="Z29" s="7"/>
      <c r="AA29" s="4" t="s">
        <v>46</v>
      </c>
      <c r="AB29" s="4" t="s">
        <v>47</v>
      </c>
      <c r="AC29" s="4" t="s">
        <v>79</v>
      </c>
      <c r="AD29" s="4" t="s">
        <v>80</v>
      </c>
      <c r="AE29" s="4" t="s">
        <v>48</v>
      </c>
      <c r="AF29" s="4" t="s">
        <v>41</v>
      </c>
      <c r="AG29" s="4" t="s">
        <v>49</v>
      </c>
    </row>
    <row r="30" spans="1:33" ht="16.5" customHeight="1" x14ac:dyDescent="0.2">
      <c r="A30" s="2" t="s">
        <v>31</v>
      </c>
      <c r="B30" s="5" t="s">
        <v>54</v>
      </c>
      <c r="C30" s="5"/>
      <c r="D30" s="5"/>
      <c r="E30" s="6" t="s">
        <v>33</v>
      </c>
      <c r="F30" s="6"/>
      <c r="G30" s="7" t="s">
        <v>34</v>
      </c>
      <c r="H30" s="7"/>
      <c r="I30" s="7"/>
      <c r="J30" s="3" t="s">
        <v>35</v>
      </c>
      <c r="K30" s="4" t="s">
        <v>73</v>
      </c>
      <c r="L30" s="4" t="s">
        <v>37</v>
      </c>
      <c r="N30" s="7" t="s">
        <v>100</v>
      </c>
      <c r="O30" s="7"/>
      <c r="P30" s="7" t="s">
        <v>101</v>
      </c>
      <c r="Q30" s="7"/>
      <c r="R30" s="7"/>
      <c r="S30" s="3" t="s">
        <v>40</v>
      </c>
      <c r="T30" s="7" t="s">
        <v>41</v>
      </c>
      <c r="U30" s="7"/>
      <c r="V30" s="4" t="s">
        <v>42</v>
      </c>
      <c r="W30" s="4" t="s">
        <v>102</v>
      </c>
      <c r="X30" s="4" t="s">
        <v>103</v>
      </c>
      <c r="Y30" s="7" t="s">
        <v>78</v>
      </c>
      <c r="Z30" s="7"/>
      <c r="AA30" s="4" t="s">
        <v>46</v>
      </c>
      <c r="AB30" s="4" t="s">
        <v>47</v>
      </c>
      <c r="AC30" s="4" t="s">
        <v>79</v>
      </c>
      <c r="AD30" s="4" t="s">
        <v>80</v>
      </c>
      <c r="AE30" s="4" t="s">
        <v>48</v>
      </c>
      <c r="AF30" s="4" t="s">
        <v>41</v>
      </c>
      <c r="AG30" s="4" t="s">
        <v>49</v>
      </c>
    </row>
    <row r="31" spans="1:33" ht="16.5" customHeight="1" x14ac:dyDescent="0.2">
      <c r="A31" s="2" t="s">
        <v>31</v>
      </c>
      <c r="B31" s="5" t="s">
        <v>54</v>
      </c>
      <c r="C31" s="5"/>
      <c r="D31" s="5"/>
      <c r="E31" s="6" t="s">
        <v>33</v>
      </c>
      <c r="F31" s="6"/>
      <c r="G31" s="7" t="s">
        <v>34</v>
      </c>
      <c r="H31" s="7"/>
      <c r="I31" s="7"/>
      <c r="J31" s="3" t="s">
        <v>35</v>
      </c>
      <c r="K31" s="4" t="s">
        <v>73</v>
      </c>
      <c r="L31" s="4" t="s">
        <v>37</v>
      </c>
      <c r="N31" s="7" t="s">
        <v>100</v>
      </c>
      <c r="O31" s="7"/>
      <c r="P31" s="7" t="s">
        <v>101</v>
      </c>
      <c r="Q31" s="7"/>
      <c r="R31" s="7"/>
      <c r="S31" s="3" t="s">
        <v>40</v>
      </c>
      <c r="T31" s="7" t="s">
        <v>41</v>
      </c>
      <c r="U31" s="7"/>
      <c r="V31" s="4" t="s">
        <v>51</v>
      </c>
      <c r="W31" s="4" t="s">
        <v>102</v>
      </c>
      <c r="X31" s="4" t="s">
        <v>104</v>
      </c>
      <c r="Y31" s="7" t="s">
        <v>78</v>
      </c>
      <c r="Z31" s="7"/>
      <c r="AA31" s="4" t="s">
        <v>46</v>
      </c>
      <c r="AB31" s="4" t="s">
        <v>47</v>
      </c>
      <c r="AC31" s="4" t="s">
        <v>79</v>
      </c>
      <c r="AD31" s="4" t="s">
        <v>80</v>
      </c>
      <c r="AE31" s="4" t="s">
        <v>48</v>
      </c>
      <c r="AF31" s="4" t="s">
        <v>41</v>
      </c>
      <c r="AG31" s="4" t="s">
        <v>49</v>
      </c>
    </row>
    <row r="32" spans="1:33" ht="16.5" customHeight="1" x14ac:dyDescent="0.2">
      <c r="A32" s="2" t="s">
        <v>31</v>
      </c>
      <c r="B32" s="5" t="s">
        <v>54</v>
      </c>
      <c r="C32" s="5"/>
      <c r="D32" s="5"/>
      <c r="E32" s="6" t="s">
        <v>33</v>
      </c>
      <c r="F32" s="6"/>
      <c r="G32" s="7" t="s">
        <v>34</v>
      </c>
      <c r="H32" s="7"/>
      <c r="I32" s="7"/>
      <c r="J32" s="3" t="s">
        <v>35</v>
      </c>
      <c r="K32" s="4" t="s">
        <v>73</v>
      </c>
      <c r="L32" s="4" t="s">
        <v>37</v>
      </c>
      <c r="N32" s="7" t="s">
        <v>105</v>
      </c>
      <c r="O32" s="7"/>
      <c r="P32" s="7" t="s">
        <v>106</v>
      </c>
      <c r="Q32" s="7"/>
      <c r="R32" s="7"/>
      <c r="S32" s="3" t="s">
        <v>40</v>
      </c>
      <c r="T32" s="7" t="s">
        <v>41</v>
      </c>
      <c r="U32" s="7"/>
      <c r="V32" s="4" t="s">
        <v>42</v>
      </c>
      <c r="W32" s="4" t="s">
        <v>107</v>
      </c>
      <c r="X32" s="4" t="s">
        <v>104</v>
      </c>
      <c r="Y32" s="7" t="s">
        <v>78</v>
      </c>
      <c r="Z32" s="7"/>
      <c r="AA32" s="4" t="s">
        <v>46</v>
      </c>
      <c r="AB32" s="4" t="s">
        <v>47</v>
      </c>
      <c r="AC32" s="4" t="s">
        <v>79</v>
      </c>
      <c r="AD32" s="4" t="s">
        <v>80</v>
      </c>
      <c r="AE32" s="4" t="s">
        <v>48</v>
      </c>
      <c r="AF32" s="4" t="s">
        <v>41</v>
      </c>
      <c r="AG32" s="4" t="s">
        <v>49</v>
      </c>
    </row>
    <row r="33" spans="1:33" ht="16.5" customHeight="1" x14ac:dyDescent="0.2">
      <c r="A33" s="2" t="s">
        <v>31</v>
      </c>
      <c r="B33" s="5" t="s">
        <v>108</v>
      </c>
      <c r="C33" s="5"/>
      <c r="D33" s="5"/>
      <c r="E33" s="6" t="s">
        <v>33</v>
      </c>
      <c r="F33" s="6"/>
      <c r="G33" s="7" t="s">
        <v>34</v>
      </c>
      <c r="H33" s="7"/>
      <c r="I33" s="7"/>
      <c r="J33" s="3" t="s">
        <v>109</v>
      </c>
      <c r="K33" s="4" t="s">
        <v>110</v>
      </c>
      <c r="N33" s="7" t="s">
        <v>111</v>
      </c>
      <c r="O33" s="7"/>
      <c r="P33" s="7" t="s">
        <v>112</v>
      </c>
      <c r="Q33" s="7"/>
      <c r="R33" s="7"/>
      <c r="S33" s="3" t="s">
        <v>40</v>
      </c>
      <c r="T33" s="7" t="s">
        <v>113</v>
      </c>
      <c r="U33" s="7"/>
      <c r="V33" s="4" t="s">
        <v>42</v>
      </c>
      <c r="W33" s="4" t="s">
        <v>58</v>
      </c>
      <c r="X33" s="4" t="s">
        <v>59</v>
      </c>
      <c r="Y33" s="7" t="s">
        <v>114</v>
      </c>
      <c r="Z33" s="7"/>
      <c r="AA33" s="4" t="s">
        <v>46</v>
      </c>
      <c r="AB33" s="4" t="s">
        <v>115</v>
      </c>
      <c r="AC33" s="4" t="s">
        <v>116</v>
      </c>
      <c r="AD33" s="4" t="s">
        <v>117</v>
      </c>
      <c r="AE33" s="4" t="s">
        <v>48</v>
      </c>
      <c r="AF33" s="4" t="s">
        <v>41</v>
      </c>
      <c r="AG33" s="4" t="s">
        <v>49</v>
      </c>
    </row>
    <row r="34" spans="1:33" ht="16.5" customHeight="1" x14ac:dyDescent="0.2">
      <c r="A34" s="2" t="s">
        <v>31</v>
      </c>
      <c r="B34" s="5" t="s">
        <v>54</v>
      </c>
      <c r="C34" s="5"/>
      <c r="D34" s="5"/>
      <c r="E34" s="6" t="s">
        <v>33</v>
      </c>
      <c r="F34" s="6"/>
      <c r="G34" s="7" t="s">
        <v>34</v>
      </c>
      <c r="H34" s="7"/>
      <c r="I34" s="7"/>
      <c r="J34" s="3" t="s">
        <v>35</v>
      </c>
      <c r="K34" s="4" t="s">
        <v>118</v>
      </c>
      <c r="L34" s="4" t="s">
        <v>37</v>
      </c>
      <c r="N34" s="7" t="s">
        <v>119</v>
      </c>
      <c r="O34" s="7"/>
      <c r="P34" s="7" t="s">
        <v>120</v>
      </c>
      <c r="Q34" s="7"/>
      <c r="R34" s="7"/>
      <c r="S34" s="3" t="s">
        <v>40</v>
      </c>
      <c r="T34" s="7" t="s">
        <v>41</v>
      </c>
      <c r="U34" s="7"/>
      <c r="V34" s="4" t="s">
        <v>42</v>
      </c>
      <c r="W34" s="4" t="s">
        <v>58</v>
      </c>
      <c r="X34" s="4" t="s">
        <v>59</v>
      </c>
      <c r="Y34" s="7" t="s">
        <v>60</v>
      </c>
      <c r="Z34" s="7"/>
      <c r="AA34" s="4" t="s">
        <v>46</v>
      </c>
      <c r="AB34" s="4" t="s">
        <v>47</v>
      </c>
      <c r="AC34" s="4" t="s">
        <v>61</v>
      </c>
      <c r="AD34" s="4" t="s">
        <v>62</v>
      </c>
      <c r="AE34" s="4" t="s">
        <v>48</v>
      </c>
      <c r="AF34" s="4" t="s">
        <v>41</v>
      </c>
      <c r="AG34" s="4" t="s">
        <v>49</v>
      </c>
    </row>
    <row r="35" spans="1:33" ht="16.5" customHeight="1" x14ac:dyDescent="0.2">
      <c r="A35" s="2" t="s">
        <v>31</v>
      </c>
      <c r="B35" s="5" t="s">
        <v>54</v>
      </c>
      <c r="C35" s="5"/>
      <c r="D35" s="5"/>
      <c r="E35" s="6" t="s">
        <v>33</v>
      </c>
      <c r="F35" s="6"/>
      <c r="G35" s="7" t="s">
        <v>34</v>
      </c>
      <c r="H35" s="7"/>
      <c r="I35" s="7"/>
      <c r="J35" s="3" t="s">
        <v>35</v>
      </c>
      <c r="K35" s="4" t="s">
        <v>73</v>
      </c>
      <c r="L35" s="4" t="s">
        <v>37</v>
      </c>
      <c r="N35" s="7" t="s">
        <v>121</v>
      </c>
      <c r="O35" s="7"/>
      <c r="P35" s="7" t="s">
        <v>122</v>
      </c>
      <c r="Q35" s="7"/>
      <c r="R35" s="7"/>
      <c r="S35" s="3" t="s">
        <v>40</v>
      </c>
      <c r="T35" s="7" t="s">
        <v>41</v>
      </c>
      <c r="U35" s="7"/>
      <c r="V35" s="4" t="s">
        <v>42</v>
      </c>
      <c r="W35" s="4" t="s">
        <v>58</v>
      </c>
      <c r="X35" s="4" t="s">
        <v>59</v>
      </c>
      <c r="Y35" s="7" t="s">
        <v>78</v>
      </c>
      <c r="Z35" s="7"/>
      <c r="AA35" s="4" t="s">
        <v>46</v>
      </c>
      <c r="AB35" s="4" t="s">
        <v>47</v>
      </c>
      <c r="AC35" s="4" t="s">
        <v>79</v>
      </c>
      <c r="AD35" s="4" t="s">
        <v>80</v>
      </c>
      <c r="AE35" s="4" t="s">
        <v>48</v>
      </c>
      <c r="AF35" s="4" t="s">
        <v>41</v>
      </c>
      <c r="AG35" s="4" t="s">
        <v>49</v>
      </c>
    </row>
    <row r="36" spans="1:33" ht="16.5" customHeight="1" x14ac:dyDescent="0.2">
      <c r="A36" s="2" t="s">
        <v>31</v>
      </c>
      <c r="B36" s="5" t="s">
        <v>54</v>
      </c>
      <c r="C36" s="5"/>
      <c r="D36" s="5"/>
      <c r="E36" s="6" t="s">
        <v>33</v>
      </c>
      <c r="F36" s="6"/>
      <c r="G36" s="7" t="s">
        <v>34</v>
      </c>
      <c r="H36" s="7"/>
      <c r="I36" s="7"/>
      <c r="J36" s="3" t="s">
        <v>35</v>
      </c>
      <c r="K36" s="4" t="s">
        <v>123</v>
      </c>
      <c r="L36" s="4" t="s">
        <v>37</v>
      </c>
      <c r="N36" s="7" t="s">
        <v>124</v>
      </c>
      <c r="O36" s="7"/>
      <c r="P36" s="7" t="s">
        <v>125</v>
      </c>
      <c r="Q36" s="7"/>
      <c r="R36" s="7"/>
      <c r="S36" s="3" t="s">
        <v>40</v>
      </c>
      <c r="T36" s="7" t="s">
        <v>41</v>
      </c>
      <c r="U36" s="7"/>
      <c r="V36" s="4" t="s">
        <v>42</v>
      </c>
      <c r="W36" s="4" t="s">
        <v>58</v>
      </c>
      <c r="X36" s="4" t="s">
        <v>59</v>
      </c>
      <c r="Y36" s="7" t="s">
        <v>60</v>
      </c>
      <c r="Z36" s="7"/>
      <c r="AA36" s="4" t="s">
        <v>46</v>
      </c>
      <c r="AB36" s="4" t="s">
        <v>47</v>
      </c>
      <c r="AC36" s="4" t="s">
        <v>61</v>
      </c>
      <c r="AD36" s="4" t="s">
        <v>62</v>
      </c>
      <c r="AE36" s="4" t="s">
        <v>48</v>
      </c>
      <c r="AF36" s="4" t="s">
        <v>41</v>
      </c>
      <c r="AG36" s="4" t="s">
        <v>49</v>
      </c>
    </row>
    <row r="37" spans="1:33" ht="16.5" customHeight="1" x14ac:dyDescent="0.2">
      <c r="A37" s="2" t="s">
        <v>31</v>
      </c>
      <c r="B37" s="5" t="s">
        <v>54</v>
      </c>
      <c r="C37" s="5"/>
      <c r="D37" s="5"/>
      <c r="E37" s="6" t="s">
        <v>33</v>
      </c>
      <c r="F37" s="6"/>
      <c r="G37" s="7" t="s">
        <v>34</v>
      </c>
      <c r="H37" s="7"/>
      <c r="I37" s="7"/>
      <c r="J37" s="3" t="s">
        <v>35</v>
      </c>
      <c r="K37" s="4" t="s">
        <v>73</v>
      </c>
      <c r="L37" s="4" t="s">
        <v>37</v>
      </c>
      <c r="N37" s="7" t="s">
        <v>126</v>
      </c>
      <c r="O37" s="7"/>
      <c r="P37" s="7" t="s">
        <v>127</v>
      </c>
      <c r="Q37" s="7"/>
      <c r="R37" s="7"/>
      <c r="S37" s="3" t="s">
        <v>40</v>
      </c>
      <c r="T37" s="7" t="s">
        <v>41</v>
      </c>
      <c r="U37" s="7"/>
      <c r="V37" s="4" t="s">
        <v>51</v>
      </c>
      <c r="W37" s="4" t="s">
        <v>58</v>
      </c>
      <c r="X37" s="4" t="s">
        <v>128</v>
      </c>
      <c r="Y37" s="7" t="s">
        <v>78</v>
      </c>
      <c r="Z37" s="7"/>
      <c r="AA37" s="4" t="s">
        <v>46</v>
      </c>
      <c r="AB37" s="4" t="s">
        <v>47</v>
      </c>
      <c r="AC37" s="4" t="s">
        <v>79</v>
      </c>
      <c r="AD37" s="4" t="s">
        <v>80</v>
      </c>
      <c r="AE37" s="4" t="s">
        <v>48</v>
      </c>
      <c r="AF37" s="4" t="s">
        <v>41</v>
      </c>
      <c r="AG37" s="4" t="s">
        <v>49</v>
      </c>
    </row>
    <row r="38" spans="1:33" ht="16.5" customHeight="1" x14ac:dyDescent="0.2">
      <c r="A38" s="2" t="s">
        <v>31</v>
      </c>
      <c r="B38" s="5" t="s">
        <v>54</v>
      </c>
      <c r="C38" s="5"/>
      <c r="D38" s="5"/>
      <c r="E38" s="6" t="s">
        <v>33</v>
      </c>
      <c r="F38" s="6"/>
      <c r="G38" s="7" t="s">
        <v>129</v>
      </c>
      <c r="H38" s="7"/>
      <c r="I38" s="7"/>
      <c r="J38" s="3" t="s">
        <v>35</v>
      </c>
      <c r="K38" s="4" t="s">
        <v>130</v>
      </c>
      <c r="L38" s="4" t="s">
        <v>37</v>
      </c>
      <c r="N38" s="7" t="s">
        <v>131</v>
      </c>
      <c r="O38" s="7"/>
      <c r="P38" s="7" t="s">
        <v>132</v>
      </c>
      <c r="Q38" s="7"/>
      <c r="R38" s="7"/>
      <c r="S38" s="3" t="s">
        <v>40</v>
      </c>
      <c r="T38" s="7" t="s">
        <v>41</v>
      </c>
      <c r="U38" s="7"/>
      <c r="V38" s="4" t="s">
        <v>42</v>
      </c>
      <c r="W38" s="4" t="s">
        <v>133</v>
      </c>
      <c r="X38" s="4" t="s">
        <v>134</v>
      </c>
      <c r="Y38" s="7" t="s">
        <v>135</v>
      </c>
      <c r="Z38" s="7"/>
      <c r="AA38" s="4" t="s">
        <v>46</v>
      </c>
      <c r="AB38" s="4" t="s">
        <v>47</v>
      </c>
      <c r="AC38" s="4" t="s">
        <v>136</v>
      </c>
      <c r="AD38" s="4" t="s">
        <v>137</v>
      </c>
      <c r="AE38" s="4" t="s">
        <v>48</v>
      </c>
      <c r="AF38" s="4" t="s">
        <v>41</v>
      </c>
      <c r="AG38" s="4" t="s">
        <v>138</v>
      </c>
    </row>
    <row r="39" spans="1:33" ht="16.5" customHeight="1" x14ac:dyDescent="0.2">
      <c r="A39" s="2" t="s">
        <v>31</v>
      </c>
      <c r="B39" s="5" t="s">
        <v>54</v>
      </c>
      <c r="C39" s="5"/>
      <c r="D39" s="5"/>
      <c r="E39" s="6" t="s">
        <v>33</v>
      </c>
      <c r="F39" s="6"/>
      <c r="G39" s="7" t="s">
        <v>129</v>
      </c>
      <c r="H39" s="7"/>
      <c r="I39" s="7"/>
      <c r="J39" s="3" t="s">
        <v>35</v>
      </c>
      <c r="K39" s="4" t="s">
        <v>97</v>
      </c>
      <c r="L39" s="4" t="s">
        <v>37</v>
      </c>
      <c r="N39" s="7" t="s">
        <v>139</v>
      </c>
      <c r="O39" s="7"/>
      <c r="P39" s="7" t="s">
        <v>140</v>
      </c>
      <c r="Q39" s="7"/>
      <c r="R39" s="7"/>
      <c r="S39" s="3" t="s">
        <v>40</v>
      </c>
      <c r="T39" s="7" t="s">
        <v>41</v>
      </c>
      <c r="U39" s="7"/>
      <c r="V39" s="4" t="s">
        <v>42</v>
      </c>
      <c r="W39" s="4" t="s">
        <v>141</v>
      </c>
      <c r="X39" s="4" t="s">
        <v>142</v>
      </c>
      <c r="Y39" s="7" t="s">
        <v>78</v>
      </c>
      <c r="Z39" s="7"/>
      <c r="AA39" s="4" t="s">
        <v>46</v>
      </c>
      <c r="AB39" s="4" t="s">
        <v>47</v>
      </c>
      <c r="AC39" s="4" t="s">
        <v>136</v>
      </c>
      <c r="AD39" s="4" t="s">
        <v>137</v>
      </c>
      <c r="AE39" s="4" t="s">
        <v>48</v>
      </c>
      <c r="AF39" s="4" t="s">
        <v>41</v>
      </c>
      <c r="AG39" s="4" t="s">
        <v>138</v>
      </c>
    </row>
    <row r="40" spans="1:33" ht="16.5" customHeight="1" x14ac:dyDescent="0.2">
      <c r="A40" s="2" t="s">
        <v>31</v>
      </c>
      <c r="B40" s="5" t="s">
        <v>54</v>
      </c>
      <c r="C40" s="5"/>
      <c r="D40" s="5"/>
      <c r="E40" s="6" t="s">
        <v>33</v>
      </c>
      <c r="F40" s="6"/>
      <c r="G40" s="7" t="s">
        <v>129</v>
      </c>
      <c r="H40" s="7"/>
      <c r="I40" s="7"/>
      <c r="J40" s="3" t="s">
        <v>35</v>
      </c>
      <c r="K40" s="4" t="s">
        <v>143</v>
      </c>
      <c r="L40" s="4" t="s">
        <v>93</v>
      </c>
      <c r="N40" s="7" t="s">
        <v>144</v>
      </c>
      <c r="O40" s="7"/>
      <c r="P40" s="7" t="s">
        <v>145</v>
      </c>
      <c r="Q40" s="7"/>
      <c r="R40" s="7"/>
      <c r="S40" s="3" t="s">
        <v>40</v>
      </c>
      <c r="T40" s="7" t="s">
        <v>41</v>
      </c>
      <c r="U40" s="7"/>
      <c r="V40" s="4" t="s">
        <v>42</v>
      </c>
      <c r="W40" s="4" t="s">
        <v>146</v>
      </c>
      <c r="X40" s="4" t="s">
        <v>147</v>
      </c>
      <c r="Y40" s="7" t="s">
        <v>135</v>
      </c>
      <c r="Z40" s="7"/>
      <c r="AA40" s="4" t="s">
        <v>46</v>
      </c>
      <c r="AB40" s="4" t="s">
        <v>47</v>
      </c>
      <c r="AC40" s="4" t="s">
        <v>136</v>
      </c>
      <c r="AD40" s="4" t="s">
        <v>148</v>
      </c>
      <c r="AE40" s="4" t="s">
        <v>48</v>
      </c>
      <c r="AF40" s="4" t="s">
        <v>41</v>
      </c>
      <c r="AG40" s="4" t="s">
        <v>138</v>
      </c>
    </row>
    <row r="41" spans="1:33" ht="16.5" customHeight="1" x14ac:dyDescent="0.2">
      <c r="A41" s="2" t="s">
        <v>31</v>
      </c>
      <c r="B41" s="5" t="s">
        <v>54</v>
      </c>
      <c r="C41" s="5"/>
      <c r="D41" s="5"/>
      <c r="E41" s="6" t="s">
        <v>33</v>
      </c>
      <c r="F41" s="6"/>
      <c r="G41" s="7" t="s">
        <v>129</v>
      </c>
      <c r="H41" s="7"/>
      <c r="I41" s="7"/>
      <c r="J41" s="3" t="s">
        <v>35</v>
      </c>
      <c r="K41" s="4" t="s">
        <v>149</v>
      </c>
      <c r="L41" s="4" t="s">
        <v>37</v>
      </c>
      <c r="N41" s="7" t="s">
        <v>150</v>
      </c>
      <c r="O41" s="7"/>
      <c r="P41" s="7" t="s">
        <v>151</v>
      </c>
      <c r="Q41" s="7"/>
      <c r="R41" s="7"/>
      <c r="S41" s="3" t="s">
        <v>40</v>
      </c>
      <c r="T41" s="7" t="s">
        <v>41</v>
      </c>
      <c r="U41" s="7"/>
      <c r="V41" s="4" t="s">
        <v>42</v>
      </c>
      <c r="W41" s="4" t="s">
        <v>43</v>
      </c>
      <c r="X41" s="4" t="s">
        <v>44</v>
      </c>
      <c r="Y41" s="7" t="s">
        <v>78</v>
      </c>
      <c r="Z41" s="7"/>
      <c r="AA41" s="4" t="s">
        <v>46</v>
      </c>
      <c r="AB41" s="4" t="s">
        <v>47</v>
      </c>
      <c r="AC41" s="4" t="s">
        <v>136</v>
      </c>
      <c r="AD41" s="4" t="s">
        <v>137</v>
      </c>
      <c r="AE41" s="4" t="s">
        <v>48</v>
      </c>
      <c r="AF41" s="4" t="s">
        <v>41</v>
      </c>
      <c r="AG41" s="4" t="s">
        <v>138</v>
      </c>
    </row>
    <row r="42" spans="1:33" ht="16.5" customHeight="1" x14ac:dyDescent="0.2">
      <c r="A42" s="2" t="s">
        <v>31</v>
      </c>
      <c r="B42" s="5" t="s">
        <v>54</v>
      </c>
      <c r="C42" s="5"/>
      <c r="D42" s="5"/>
      <c r="E42" s="6" t="s">
        <v>33</v>
      </c>
      <c r="F42" s="6"/>
      <c r="G42" s="7" t="s">
        <v>129</v>
      </c>
      <c r="H42" s="7"/>
      <c r="I42" s="7"/>
      <c r="J42" s="3" t="s">
        <v>35</v>
      </c>
      <c r="K42" s="4" t="s">
        <v>149</v>
      </c>
      <c r="L42" s="4" t="s">
        <v>37</v>
      </c>
      <c r="N42" s="7" t="s">
        <v>152</v>
      </c>
      <c r="O42" s="7"/>
      <c r="P42" s="7" t="s">
        <v>153</v>
      </c>
      <c r="Q42" s="7"/>
      <c r="R42" s="7"/>
      <c r="S42" s="3" t="s">
        <v>40</v>
      </c>
      <c r="T42" s="7" t="s">
        <v>41</v>
      </c>
      <c r="U42" s="7"/>
      <c r="V42" s="4" t="s">
        <v>42</v>
      </c>
      <c r="W42" s="4" t="s">
        <v>154</v>
      </c>
      <c r="X42" s="4" t="s">
        <v>155</v>
      </c>
      <c r="Y42" s="7" t="s">
        <v>78</v>
      </c>
      <c r="Z42" s="7"/>
      <c r="AA42" s="4" t="s">
        <v>46</v>
      </c>
      <c r="AB42" s="4" t="s">
        <v>47</v>
      </c>
      <c r="AC42" s="4" t="s">
        <v>136</v>
      </c>
      <c r="AD42" s="4" t="s">
        <v>137</v>
      </c>
      <c r="AE42" s="4" t="s">
        <v>48</v>
      </c>
      <c r="AF42" s="4" t="s">
        <v>41</v>
      </c>
      <c r="AG42" s="4" t="s">
        <v>138</v>
      </c>
    </row>
    <row r="43" spans="1:33" ht="16.5" customHeight="1" x14ac:dyDescent="0.2">
      <c r="A43" s="2" t="s">
        <v>31</v>
      </c>
      <c r="B43" s="5" t="s">
        <v>54</v>
      </c>
      <c r="C43" s="5"/>
      <c r="D43" s="5"/>
      <c r="E43" s="6" t="s">
        <v>33</v>
      </c>
      <c r="F43" s="6"/>
      <c r="G43" s="7" t="s">
        <v>129</v>
      </c>
      <c r="H43" s="7"/>
      <c r="I43" s="7"/>
      <c r="J43" s="3" t="s">
        <v>35</v>
      </c>
      <c r="K43" s="4" t="s">
        <v>130</v>
      </c>
      <c r="L43" s="4" t="s">
        <v>37</v>
      </c>
      <c r="N43" s="7" t="s">
        <v>156</v>
      </c>
      <c r="O43" s="7"/>
      <c r="P43" s="7" t="s">
        <v>157</v>
      </c>
      <c r="Q43" s="7"/>
      <c r="R43" s="7"/>
      <c r="S43" s="3" t="s">
        <v>40</v>
      </c>
      <c r="T43" s="7" t="s">
        <v>41</v>
      </c>
      <c r="U43" s="7"/>
      <c r="V43" s="4" t="s">
        <v>42</v>
      </c>
      <c r="W43" s="4" t="s">
        <v>158</v>
      </c>
      <c r="X43" s="4" t="s">
        <v>159</v>
      </c>
      <c r="Y43" s="7" t="s">
        <v>135</v>
      </c>
      <c r="Z43" s="7"/>
      <c r="AA43" s="4" t="s">
        <v>46</v>
      </c>
      <c r="AB43" s="4" t="s">
        <v>47</v>
      </c>
      <c r="AC43" s="4" t="s">
        <v>72</v>
      </c>
      <c r="AD43" s="4" t="s">
        <v>41</v>
      </c>
      <c r="AE43" s="4" t="s">
        <v>48</v>
      </c>
      <c r="AF43" s="4" t="s">
        <v>41</v>
      </c>
      <c r="AG43" s="4" t="s">
        <v>138</v>
      </c>
    </row>
    <row r="44" spans="1:33" ht="16.5" customHeight="1" x14ac:dyDescent="0.2">
      <c r="A44" s="2" t="s">
        <v>31</v>
      </c>
      <c r="B44" s="5" t="s">
        <v>54</v>
      </c>
      <c r="C44" s="5"/>
      <c r="D44" s="5"/>
      <c r="E44" s="6" t="s">
        <v>33</v>
      </c>
      <c r="F44" s="6"/>
      <c r="G44" s="7" t="s">
        <v>129</v>
      </c>
      <c r="H44" s="7"/>
      <c r="I44" s="7"/>
      <c r="J44" s="3" t="s">
        <v>35</v>
      </c>
      <c r="K44" s="4" t="s">
        <v>143</v>
      </c>
      <c r="L44" s="4" t="s">
        <v>37</v>
      </c>
      <c r="N44" s="7" t="s">
        <v>160</v>
      </c>
      <c r="O44" s="7"/>
      <c r="P44" s="7" t="s">
        <v>161</v>
      </c>
      <c r="Q44" s="7"/>
      <c r="R44" s="7"/>
      <c r="S44" s="3" t="s">
        <v>40</v>
      </c>
      <c r="T44" s="7" t="s">
        <v>41</v>
      </c>
      <c r="U44" s="7"/>
      <c r="V44" s="4" t="s">
        <v>42</v>
      </c>
      <c r="W44" s="4" t="s">
        <v>162</v>
      </c>
      <c r="X44" s="4" t="s">
        <v>163</v>
      </c>
      <c r="Y44" s="7" t="s">
        <v>135</v>
      </c>
      <c r="Z44" s="7"/>
      <c r="AA44" s="4" t="s">
        <v>46</v>
      </c>
      <c r="AB44" s="4" t="s">
        <v>47</v>
      </c>
      <c r="AC44" s="4" t="s">
        <v>136</v>
      </c>
      <c r="AD44" s="4" t="s">
        <v>137</v>
      </c>
      <c r="AE44" s="4" t="s">
        <v>48</v>
      </c>
      <c r="AF44" s="4" t="s">
        <v>41</v>
      </c>
      <c r="AG44" s="4" t="s">
        <v>138</v>
      </c>
    </row>
    <row r="45" spans="1:33" ht="16.5" customHeight="1" x14ac:dyDescent="0.2">
      <c r="A45" s="2" t="s">
        <v>31</v>
      </c>
      <c r="B45" s="5" t="s">
        <v>54</v>
      </c>
      <c r="C45" s="5"/>
      <c r="D45" s="5"/>
      <c r="E45" s="6" t="s">
        <v>33</v>
      </c>
      <c r="F45" s="6"/>
      <c r="G45" s="7" t="s">
        <v>129</v>
      </c>
      <c r="H45" s="7"/>
      <c r="I45" s="7"/>
      <c r="J45" s="3" t="s">
        <v>35</v>
      </c>
      <c r="K45" s="4" t="s">
        <v>73</v>
      </c>
      <c r="L45" s="4" t="s">
        <v>93</v>
      </c>
      <c r="N45" s="7" t="s">
        <v>164</v>
      </c>
      <c r="O45" s="7"/>
      <c r="P45" s="7" t="s">
        <v>165</v>
      </c>
      <c r="Q45" s="7"/>
      <c r="R45" s="7"/>
      <c r="S45" s="3" t="s">
        <v>40</v>
      </c>
      <c r="T45" s="7" t="s">
        <v>41</v>
      </c>
      <c r="U45" s="7"/>
      <c r="V45" s="4" t="s">
        <v>42</v>
      </c>
      <c r="W45" s="4" t="s">
        <v>58</v>
      </c>
      <c r="X45" s="4" t="s">
        <v>59</v>
      </c>
      <c r="Y45" s="7" t="s">
        <v>78</v>
      </c>
      <c r="Z45" s="7"/>
      <c r="AA45" s="4" t="s">
        <v>46</v>
      </c>
      <c r="AB45" s="4" t="s">
        <v>47</v>
      </c>
      <c r="AC45" s="4" t="s">
        <v>79</v>
      </c>
      <c r="AD45" s="4" t="s">
        <v>96</v>
      </c>
      <c r="AE45" s="4" t="s">
        <v>48</v>
      </c>
      <c r="AF45" s="4" t="s">
        <v>41</v>
      </c>
      <c r="AG45" s="4" t="s">
        <v>138</v>
      </c>
    </row>
    <row r="46" spans="1:33" ht="16.5" customHeight="1" x14ac:dyDescent="0.2">
      <c r="A46" s="2" t="s">
        <v>31</v>
      </c>
      <c r="B46" s="5" t="s">
        <v>54</v>
      </c>
      <c r="C46" s="5"/>
      <c r="D46" s="5"/>
      <c r="E46" s="6" t="s">
        <v>33</v>
      </c>
      <c r="F46" s="6"/>
      <c r="G46" s="7" t="s">
        <v>129</v>
      </c>
      <c r="H46" s="7"/>
      <c r="I46" s="7"/>
      <c r="J46" s="3" t="s">
        <v>35</v>
      </c>
      <c r="K46" s="4" t="s">
        <v>143</v>
      </c>
      <c r="L46" s="4" t="s">
        <v>37</v>
      </c>
      <c r="N46" s="7" t="s">
        <v>166</v>
      </c>
      <c r="O46" s="7"/>
      <c r="P46" s="7" t="s">
        <v>167</v>
      </c>
      <c r="Q46" s="7"/>
      <c r="R46" s="7"/>
      <c r="S46" s="3" t="s">
        <v>40</v>
      </c>
      <c r="T46" s="7" t="s">
        <v>41</v>
      </c>
      <c r="U46" s="7"/>
      <c r="V46" s="4" t="s">
        <v>42</v>
      </c>
      <c r="W46" s="4" t="s">
        <v>168</v>
      </c>
      <c r="X46" s="4" t="s">
        <v>169</v>
      </c>
      <c r="Y46" s="7" t="s">
        <v>135</v>
      </c>
      <c r="Z46" s="7"/>
      <c r="AA46" s="4" t="s">
        <v>46</v>
      </c>
      <c r="AB46" s="4" t="s">
        <v>47</v>
      </c>
      <c r="AC46" s="4" t="s">
        <v>72</v>
      </c>
      <c r="AD46" s="4" t="s">
        <v>41</v>
      </c>
      <c r="AE46" s="4" t="s">
        <v>48</v>
      </c>
      <c r="AF46" s="4" t="s">
        <v>41</v>
      </c>
      <c r="AG46" s="4" t="s">
        <v>138</v>
      </c>
    </row>
    <row r="47" spans="1:33" ht="16.5" customHeight="1" x14ac:dyDescent="0.2">
      <c r="A47" s="2" t="s">
        <v>31</v>
      </c>
      <c r="B47" s="5" t="s">
        <v>54</v>
      </c>
      <c r="C47" s="5"/>
      <c r="D47" s="5"/>
      <c r="E47" s="6" t="s">
        <v>33</v>
      </c>
      <c r="F47" s="6"/>
      <c r="G47" s="7" t="s">
        <v>129</v>
      </c>
      <c r="H47" s="7"/>
      <c r="I47" s="7"/>
      <c r="J47" s="3" t="s">
        <v>35</v>
      </c>
      <c r="K47" s="4" t="s">
        <v>143</v>
      </c>
      <c r="L47" s="4" t="s">
        <v>37</v>
      </c>
      <c r="N47" s="7" t="s">
        <v>166</v>
      </c>
      <c r="O47" s="7"/>
      <c r="P47" s="7" t="s">
        <v>167</v>
      </c>
      <c r="Q47" s="7"/>
      <c r="R47" s="7"/>
      <c r="S47" s="3" t="s">
        <v>40</v>
      </c>
      <c r="T47" s="7" t="s">
        <v>41</v>
      </c>
      <c r="U47" s="7"/>
      <c r="V47" s="4" t="s">
        <v>51</v>
      </c>
      <c r="W47" s="4" t="s">
        <v>168</v>
      </c>
      <c r="X47" s="4" t="s">
        <v>170</v>
      </c>
      <c r="Y47" s="7" t="s">
        <v>135</v>
      </c>
      <c r="Z47" s="7"/>
      <c r="AA47" s="4" t="s">
        <v>46</v>
      </c>
      <c r="AB47" s="4" t="s">
        <v>47</v>
      </c>
      <c r="AC47" s="4" t="s">
        <v>72</v>
      </c>
      <c r="AD47" s="4" t="s">
        <v>41</v>
      </c>
      <c r="AE47" s="4" t="s">
        <v>48</v>
      </c>
      <c r="AF47" s="4" t="s">
        <v>41</v>
      </c>
      <c r="AG47" s="4" t="s">
        <v>138</v>
      </c>
    </row>
    <row r="48" spans="1:33" ht="16.5" customHeight="1" x14ac:dyDescent="0.2">
      <c r="A48" s="2" t="s">
        <v>31</v>
      </c>
      <c r="B48" s="5" t="s">
        <v>54</v>
      </c>
      <c r="C48" s="5"/>
      <c r="D48" s="5"/>
      <c r="E48" s="6" t="s">
        <v>33</v>
      </c>
      <c r="F48" s="6"/>
      <c r="G48" s="7" t="s">
        <v>129</v>
      </c>
      <c r="H48" s="7"/>
      <c r="I48" s="7"/>
      <c r="J48" s="3" t="s">
        <v>35</v>
      </c>
      <c r="K48" s="4" t="s">
        <v>143</v>
      </c>
      <c r="L48" s="4" t="s">
        <v>37</v>
      </c>
      <c r="N48" s="7" t="s">
        <v>166</v>
      </c>
      <c r="O48" s="7"/>
      <c r="P48" s="7" t="s">
        <v>167</v>
      </c>
      <c r="Q48" s="7"/>
      <c r="R48" s="7"/>
      <c r="S48" s="3" t="s">
        <v>40</v>
      </c>
      <c r="T48" s="7" t="s">
        <v>41</v>
      </c>
      <c r="U48" s="7"/>
      <c r="V48" s="4" t="s">
        <v>58</v>
      </c>
      <c r="W48" s="4" t="s">
        <v>168</v>
      </c>
      <c r="X48" s="4" t="s">
        <v>171</v>
      </c>
      <c r="Y48" s="7" t="s">
        <v>135</v>
      </c>
      <c r="Z48" s="7"/>
      <c r="AA48" s="4" t="s">
        <v>46</v>
      </c>
      <c r="AB48" s="4" t="s">
        <v>47</v>
      </c>
      <c r="AC48" s="4" t="s">
        <v>72</v>
      </c>
      <c r="AD48" s="4" t="s">
        <v>41</v>
      </c>
      <c r="AE48" s="4" t="s">
        <v>48</v>
      </c>
      <c r="AF48" s="4" t="s">
        <v>41</v>
      </c>
      <c r="AG48" s="4" t="s">
        <v>138</v>
      </c>
    </row>
    <row r="49" spans="1:33" ht="16.5" customHeight="1" x14ac:dyDescent="0.2">
      <c r="A49" s="2" t="s">
        <v>31</v>
      </c>
      <c r="B49" s="5" t="s">
        <v>54</v>
      </c>
      <c r="C49" s="5"/>
      <c r="D49" s="5"/>
      <c r="E49" s="6" t="s">
        <v>33</v>
      </c>
      <c r="F49" s="6"/>
      <c r="G49" s="7" t="s">
        <v>129</v>
      </c>
      <c r="H49" s="7"/>
      <c r="I49" s="7"/>
      <c r="J49" s="3" t="s">
        <v>35</v>
      </c>
      <c r="K49" s="4" t="s">
        <v>143</v>
      </c>
      <c r="L49" s="4" t="s">
        <v>37</v>
      </c>
      <c r="N49" s="7" t="s">
        <v>166</v>
      </c>
      <c r="O49" s="7"/>
      <c r="P49" s="7" t="s">
        <v>167</v>
      </c>
      <c r="Q49" s="7"/>
      <c r="R49" s="7"/>
      <c r="S49" s="3" t="s">
        <v>40</v>
      </c>
      <c r="T49" s="7" t="s">
        <v>41</v>
      </c>
      <c r="U49" s="7"/>
      <c r="V49" s="4" t="s">
        <v>172</v>
      </c>
      <c r="W49" s="4" t="s">
        <v>168</v>
      </c>
      <c r="X49" s="4" t="s">
        <v>173</v>
      </c>
      <c r="Y49" s="7" t="s">
        <v>135</v>
      </c>
      <c r="Z49" s="7"/>
      <c r="AA49" s="4" t="s">
        <v>46</v>
      </c>
      <c r="AB49" s="4" t="s">
        <v>47</v>
      </c>
      <c r="AC49" s="4" t="s">
        <v>72</v>
      </c>
      <c r="AD49" s="4" t="s">
        <v>41</v>
      </c>
      <c r="AE49" s="4" t="s">
        <v>48</v>
      </c>
      <c r="AF49" s="4" t="s">
        <v>41</v>
      </c>
      <c r="AG49" s="4" t="s">
        <v>138</v>
      </c>
    </row>
    <row r="50" spans="1:33" ht="16.5" customHeight="1" x14ac:dyDescent="0.2">
      <c r="A50" s="2" t="s">
        <v>31</v>
      </c>
      <c r="B50" s="5" t="s">
        <v>54</v>
      </c>
      <c r="C50" s="5"/>
      <c r="D50" s="5"/>
      <c r="E50" s="6" t="s">
        <v>33</v>
      </c>
      <c r="F50" s="6"/>
      <c r="G50" s="7" t="s">
        <v>129</v>
      </c>
      <c r="H50" s="7"/>
      <c r="I50" s="7"/>
      <c r="J50" s="3" t="s">
        <v>35</v>
      </c>
      <c r="K50" s="4" t="s">
        <v>149</v>
      </c>
      <c r="L50" s="4" t="s">
        <v>93</v>
      </c>
      <c r="N50" s="7" t="s">
        <v>174</v>
      </c>
      <c r="O50" s="7"/>
      <c r="P50" s="7" t="s">
        <v>175</v>
      </c>
      <c r="Q50" s="7"/>
      <c r="R50" s="7"/>
      <c r="S50" s="3" t="s">
        <v>40</v>
      </c>
      <c r="T50" s="7" t="s">
        <v>41</v>
      </c>
      <c r="U50" s="7"/>
      <c r="V50" s="4" t="s">
        <v>42</v>
      </c>
      <c r="W50" s="4" t="s">
        <v>158</v>
      </c>
      <c r="X50" s="4" t="s">
        <v>159</v>
      </c>
      <c r="Y50" s="7" t="s">
        <v>78</v>
      </c>
      <c r="Z50" s="7"/>
      <c r="AA50" s="4" t="s">
        <v>46</v>
      </c>
      <c r="AB50" s="4" t="s">
        <v>47</v>
      </c>
      <c r="AC50" s="4" t="s">
        <v>136</v>
      </c>
      <c r="AD50" s="4" t="s">
        <v>148</v>
      </c>
      <c r="AE50" s="4" t="s">
        <v>48</v>
      </c>
      <c r="AF50" s="4" t="s">
        <v>41</v>
      </c>
      <c r="AG50" s="4" t="s">
        <v>138</v>
      </c>
    </row>
    <row r="51" spans="1:33" ht="16.5" customHeight="1" x14ac:dyDescent="0.2">
      <c r="A51" s="2" t="s">
        <v>31</v>
      </c>
      <c r="B51" s="5" t="s">
        <v>54</v>
      </c>
      <c r="C51" s="5"/>
      <c r="D51" s="5"/>
      <c r="E51" s="6" t="s">
        <v>33</v>
      </c>
      <c r="F51" s="6"/>
      <c r="G51" s="7" t="s">
        <v>129</v>
      </c>
      <c r="H51" s="7"/>
      <c r="I51" s="7"/>
      <c r="J51" s="3" t="s">
        <v>35</v>
      </c>
      <c r="K51" s="4" t="s">
        <v>73</v>
      </c>
      <c r="L51" s="4" t="s">
        <v>37</v>
      </c>
      <c r="N51" s="7" t="s">
        <v>176</v>
      </c>
      <c r="O51" s="7"/>
      <c r="P51" s="7" t="s">
        <v>177</v>
      </c>
      <c r="Q51" s="7"/>
      <c r="R51" s="7"/>
      <c r="S51" s="3" t="s">
        <v>40</v>
      </c>
      <c r="T51" s="7" t="s">
        <v>41</v>
      </c>
      <c r="U51" s="7"/>
      <c r="V51" s="4" t="s">
        <v>42</v>
      </c>
      <c r="W51" s="4" t="s">
        <v>178</v>
      </c>
      <c r="X51" s="4" t="s">
        <v>171</v>
      </c>
      <c r="Y51" s="7" t="s">
        <v>78</v>
      </c>
      <c r="Z51" s="7"/>
      <c r="AA51" s="4" t="s">
        <v>46</v>
      </c>
      <c r="AB51" s="4" t="s">
        <v>47</v>
      </c>
      <c r="AC51" s="4" t="s">
        <v>136</v>
      </c>
      <c r="AD51" s="4" t="s">
        <v>137</v>
      </c>
      <c r="AE51" s="4" t="s">
        <v>48</v>
      </c>
      <c r="AF51" s="4" t="s">
        <v>41</v>
      </c>
      <c r="AG51" s="4" t="s">
        <v>138</v>
      </c>
    </row>
    <row r="52" spans="1:33" ht="16.5" customHeight="1" x14ac:dyDescent="0.2">
      <c r="A52" s="2" t="s">
        <v>31</v>
      </c>
      <c r="B52" s="5" t="s">
        <v>54</v>
      </c>
      <c r="C52" s="5"/>
      <c r="D52" s="5"/>
      <c r="E52" s="6" t="s">
        <v>33</v>
      </c>
      <c r="F52" s="6"/>
      <c r="G52" s="7" t="s">
        <v>129</v>
      </c>
      <c r="H52" s="7"/>
      <c r="I52" s="7"/>
      <c r="J52" s="3" t="s">
        <v>35</v>
      </c>
      <c r="K52" s="4" t="s">
        <v>55</v>
      </c>
      <c r="L52" s="4" t="s">
        <v>37</v>
      </c>
      <c r="N52" s="7" t="s">
        <v>179</v>
      </c>
      <c r="O52" s="7"/>
      <c r="P52" s="7" t="s">
        <v>180</v>
      </c>
      <c r="Q52" s="7"/>
      <c r="R52" s="7"/>
      <c r="S52" s="3" t="s">
        <v>40</v>
      </c>
      <c r="T52" s="7" t="s">
        <v>41</v>
      </c>
      <c r="U52" s="7"/>
      <c r="V52" s="4" t="s">
        <v>42</v>
      </c>
      <c r="W52" s="4" t="s">
        <v>181</v>
      </c>
      <c r="X52" s="4" t="s">
        <v>182</v>
      </c>
      <c r="Y52" s="7" t="s">
        <v>60</v>
      </c>
      <c r="Z52" s="7"/>
      <c r="AA52" s="4" t="s">
        <v>46</v>
      </c>
      <c r="AB52" s="4" t="s">
        <v>47</v>
      </c>
      <c r="AC52" s="4" t="s">
        <v>61</v>
      </c>
      <c r="AD52" s="4" t="s">
        <v>62</v>
      </c>
      <c r="AE52" s="4" t="s">
        <v>48</v>
      </c>
      <c r="AF52" s="4" t="s">
        <v>41</v>
      </c>
      <c r="AG52" s="4" t="s">
        <v>138</v>
      </c>
    </row>
    <row r="53" spans="1:33" ht="16.5" customHeight="1" x14ac:dyDescent="0.2">
      <c r="A53" s="2" t="s">
        <v>31</v>
      </c>
      <c r="B53" s="5" t="s">
        <v>54</v>
      </c>
      <c r="C53" s="5"/>
      <c r="D53" s="5"/>
      <c r="E53" s="6" t="s">
        <v>33</v>
      </c>
      <c r="F53" s="6"/>
      <c r="G53" s="7" t="s">
        <v>129</v>
      </c>
      <c r="H53" s="7"/>
      <c r="I53" s="7"/>
      <c r="J53" s="3" t="s">
        <v>35</v>
      </c>
      <c r="K53" s="4" t="s">
        <v>183</v>
      </c>
      <c r="L53" s="4" t="s">
        <v>93</v>
      </c>
      <c r="N53" s="7" t="s">
        <v>184</v>
      </c>
      <c r="O53" s="7"/>
      <c r="P53" s="7" t="s">
        <v>185</v>
      </c>
      <c r="Q53" s="7"/>
      <c r="R53" s="7"/>
      <c r="S53" s="3" t="s">
        <v>40</v>
      </c>
      <c r="T53" s="7" t="s">
        <v>41</v>
      </c>
      <c r="U53" s="7"/>
      <c r="V53" s="4" t="s">
        <v>42</v>
      </c>
      <c r="W53" s="4" t="s">
        <v>186</v>
      </c>
      <c r="X53" s="4" t="s">
        <v>187</v>
      </c>
      <c r="Y53" s="7" t="s">
        <v>60</v>
      </c>
      <c r="Z53" s="7"/>
      <c r="AA53" s="4" t="s">
        <v>46</v>
      </c>
      <c r="AB53" s="4" t="s">
        <v>47</v>
      </c>
      <c r="AC53" s="4" t="s">
        <v>79</v>
      </c>
      <c r="AD53" s="4" t="s">
        <v>96</v>
      </c>
      <c r="AE53" s="4" t="s">
        <v>48</v>
      </c>
      <c r="AF53" s="4" t="s">
        <v>41</v>
      </c>
      <c r="AG53" s="4" t="s">
        <v>138</v>
      </c>
    </row>
    <row r="54" spans="1:33" ht="16.5" customHeight="1" x14ac:dyDescent="0.2">
      <c r="A54" s="2" t="s">
        <v>31</v>
      </c>
      <c r="B54" s="5" t="s">
        <v>54</v>
      </c>
      <c r="C54" s="5"/>
      <c r="D54" s="5"/>
      <c r="E54" s="6" t="s">
        <v>33</v>
      </c>
      <c r="F54" s="6"/>
      <c r="G54" s="7" t="s">
        <v>129</v>
      </c>
      <c r="H54" s="7"/>
      <c r="I54" s="7"/>
      <c r="J54" s="3" t="s">
        <v>35</v>
      </c>
      <c r="K54" s="4" t="s">
        <v>55</v>
      </c>
      <c r="L54" s="4" t="s">
        <v>37</v>
      </c>
      <c r="N54" s="7" t="s">
        <v>188</v>
      </c>
      <c r="O54" s="7"/>
      <c r="P54" s="7" t="s">
        <v>189</v>
      </c>
      <c r="Q54" s="7"/>
      <c r="R54" s="7"/>
      <c r="S54" s="3" t="s">
        <v>40</v>
      </c>
      <c r="T54" s="7" t="s">
        <v>41</v>
      </c>
      <c r="U54" s="7"/>
      <c r="V54" s="4" t="s">
        <v>42</v>
      </c>
      <c r="W54" s="4" t="s">
        <v>190</v>
      </c>
      <c r="X54" s="4" t="s">
        <v>191</v>
      </c>
      <c r="Y54" s="7" t="s">
        <v>60</v>
      </c>
      <c r="Z54" s="7"/>
      <c r="AA54" s="4" t="s">
        <v>46</v>
      </c>
      <c r="AB54" s="4" t="s">
        <v>47</v>
      </c>
      <c r="AC54" s="4" t="s">
        <v>72</v>
      </c>
      <c r="AD54" s="4" t="s">
        <v>41</v>
      </c>
      <c r="AE54" s="4" t="s">
        <v>48</v>
      </c>
      <c r="AF54" s="4" t="s">
        <v>41</v>
      </c>
      <c r="AG54" s="4" t="s">
        <v>138</v>
      </c>
    </row>
    <row r="55" spans="1:33" ht="16.5" customHeight="1" x14ac:dyDescent="0.2">
      <c r="A55" s="2" t="s">
        <v>31</v>
      </c>
      <c r="B55" s="5" t="s">
        <v>54</v>
      </c>
      <c r="C55" s="5"/>
      <c r="D55" s="5"/>
      <c r="E55" s="6" t="s">
        <v>33</v>
      </c>
      <c r="F55" s="6"/>
      <c r="G55" s="7" t="s">
        <v>129</v>
      </c>
      <c r="H55" s="7"/>
      <c r="I55" s="7"/>
      <c r="J55" s="3" t="s">
        <v>35</v>
      </c>
      <c r="K55" s="4" t="s">
        <v>192</v>
      </c>
      <c r="L55" s="4" t="s">
        <v>37</v>
      </c>
      <c r="N55" s="7" t="s">
        <v>193</v>
      </c>
      <c r="O55" s="7"/>
      <c r="P55" s="7" t="s">
        <v>194</v>
      </c>
      <c r="Q55" s="7"/>
      <c r="R55" s="7"/>
      <c r="S55" s="3" t="s">
        <v>40</v>
      </c>
      <c r="T55" s="7" t="s">
        <v>41</v>
      </c>
      <c r="U55" s="7"/>
      <c r="V55" s="4" t="s">
        <v>51</v>
      </c>
      <c r="W55" s="4" t="s">
        <v>195</v>
      </c>
      <c r="X55" s="4" t="s">
        <v>196</v>
      </c>
      <c r="Y55" s="7" t="s">
        <v>197</v>
      </c>
      <c r="Z55" s="7"/>
      <c r="AA55" s="4" t="s">
        <v>46</v>
      </c>
      <c r="AB55" s="4" t="s">
        <v>47</v>
      </c>
      <c r="AC55" s="4" t="s">
        <v>72</v>
      </c>
      <c r="AD55" s="4" t="s">
        <v>41</v>
      </c>
      <c r="AE55" s="4" t="s">
        <v>48</v>
      </c>
      <c r="AF55" s="4" t="s">
        <v>41</v>
      </c>
      <c r="AG55" s="4" t="s">
        <v>138</v>
      </c>
    </row>
    <row r="56" spans="1:33" ht="16.5" customHeight="1" x14ac:dyDescent="0.2">
      <c r="A56" s="2" t="s">
        <v>31</v>
      </c>
      <c r="B56" s="5" t="s">
        <v>54</v>
      </c>
      <c r="C56" s="5"/>
      <c r="D56" s="5"/>
      <c r="E56" s="6" t="s">
        <v>33</v>
      </c>
      <c r="F56" s="6"/>
      <c r="G56" s="7" t="s">
        <v>129</v>
      </c>
      <c r="H56" s="7"/>
      <c r="I56" s="7"/>
      <c r="J56" s="3" t="s">
        <v>35</v>
      </c>
      <c r="K56" s="4" t="s">
        <v>55</v>
      </c>
      <c r="L56" s="4" t="s">
        <v>37</v>
      </c>
      <c r="N56" s="7" t="s">
        <v>198</v>
      </c>
      <c r="O56" s="7"/>
      <c r="P56" s="7" t="s">
        <v>199</v>
      </c>
      <c r="Q56" s="7"/>
      <c r="R56" s="7"/>
      <c r="S56" s="3" t="s">
        <v>40</v>
      </c>
      <c r="T56" s="7" t="s">
        <v>41</v>
      </c>
      <c r="U56" s="7"/>
      <c r="V56" s="4" t="s">
        <v>42</v>
      </c>
      <c r="W56" s="4" t="s">
        <v>200</v>
      </c>
      <c r="X56" s="4" t="s">
        <v>201</v>
      </c>
      <c r="Y56" s="7" t="s">
        <v>60</v>
      </c>
      <c r="Z56" s="7"/>
      <c r="AA56" s="4" t="s">
        <v>46</v>
      </c>
      <c r="AB56" s="4" t="s">
        <v>47</v>
      </c>
      <c r="AC56" s="4" t="s">
        <v>79</v>
      </c>
      <c r="AD56" s="4" t="s">
        <v>80</v>
      </c>
      <c r="AE56" s="4" t="s">
        <v>48</v>
      </c>
      <c r="AF56" s="4" t="s">
        <v>41</v>
      </c>
      <c r="AG56" s="4" t="s">
        <v>138</v>
      </c>
    </row>
    <row r="57" spans="1:33" ht="16.5" customHeight="1" x14ac:dyDescent="0.2">
      <c r="A57" s="2" t="s">
        <v>31</v>
      </c>
      <c r="B57" s="5" t="s">
        <v>54</v>
      </c>
      <c r="C57" s="5"/>
      <c r="D57" s="5"/>
      <c r="E57" s="6" t="s">
        <v>33</v>
      </c>
      <c r="F57" s="6"/>
      <c r="G57" s="7" t="s">
        <v>129</v>
      </c>
      <c r="H57" s="7"/>
      <c r="I57" s="7"/>
      <c r="J57" s="3" t="s">
        <v>35</v>
      </c>
      <c r="K57" s="4" t="s">
        <v>202</v>
      </c>
      <c r="L57" s="4" t="s">
        <v>37</v>
      </c>
      <c r="N57" s="7" t="s">
        <v>203</v>
      </c>
      <c r="O57" s="7"/>
      <c r="P57" s="7" t="s">
        <v>204</v>
      </c>
      <c r="Q57" s="7"/>
      <c r="R57" s="7"/>
      <c r="S57" s="3" t="s">
        <v>40</v>
      </c>
      <c r="T57" s="7" t="s">
        <v>41</v>
      </c>
      <c r="U57" s="7"/>
      <c r="V57" s="4" t="s">
        <v>42</v>
      </c>
      <c r="W57" s="4" t="s">
        <v>58</v>
      </c>
      <c r="X57" s="4" t="s">
        <v>59</v>
      </c>
      <c r="Y57" s="7" t="s">
        <v>197</v>
      </c>
      <c r="Z57" s="7"/>
      <c r="AA57" s="4" t="s">
        <v>46</v>
      </c>
      <c r="AB57" s="4" t="s">
        <v>47</v>
      </c>
      <c r="AC57" s="4" t="s">
        <v>136</v>
      </c>
      <c r="AD57" s="4" t="s">
        <v>137</v>
      </c>
      <c r="AE57" s="4" t="s">
        <v>48</v>
      </c>
      <c r="AF57" s="4" t="s">
        <v>41</v>
      </c>
      <c r="AG57" s="4" t="s">
        <v>138</v>
      </c>
    </row>
    <row r="58" spans="1:33" ht="16.5" customHeight="1" x14ac:dyDescent="0.2">
      <c r="A58" s="2" t="s">
        <v>31</v>
      </c>
      <c r="B58" s="5" t="s">
        <v>54</v>
      </c>
      <c r="C58" s="5"/>
      <c r="D58" s="5"/>
      <c r="E58" s="6" t="s">
        <v>33</v>
      </c>
      <c r="F58" s="6"/>
      <c r="G58" s="7" t="s">
        <v>129</v>
      </c>
      <c r="H58" s="7"/>
      <c r="I58" s="7"/>
      <c r="J58" s="3" t="s">
        <v>35</v>
      </c>
      <c r="K58" s="4" t="s">
        <v>73</v>
      </c>
      <c r="L58" s="4" t="s">
        <v>37</v>
      </c>
      <c r="N58" s="7" t="s">
        <v>205</v>
      </c>
      <c r="O58" s="7"/>
      <c r="P58" s="7" t="s">
        <v>206</v>
      </c>
      <c r="Q58" s="7"/>
      <c r="R58" s="7"/>
      <c r="S58" s="3" t="s">
        <v>40</v>
      </c>
      <c r="T58" s="7" t="s">
        <v>41</v>
      </c>
      <c r="U58" s="7"/>
      <c r="V58" s="4" t="s">
        <v>42</v>
      </c>
      <c r="W58" s="4" t="s">
        <v>207</v>
      </c>
      <c r="X58" s="4" t="s">
        <v>208</v>
      </c>
      <c r="Y58" s="7" t="s">
        <v>78</v>
      </c>
      <c r="Z58" s="7"/>
      <c r="AA58" s="4" t="s">
        <v>46</v>
      </c>
      <c r="AB58" s="4" t="s">
        <v>47</v>
      </c>
      <c r="AC58" s="4" t="s">
        <v>136</v>
      </c>
      <c r="AD58" s="4" t="s">
        <v>137</v>
      </c>
      <c r="AE58" s="4" t="s">
        <v>48</v>
      </c>
      <c r="AF58" s="4" t="s">
        <v>41</v>
      </c>
      <c r="AG58" s="4" t="s">
        <v>138</v>
      </c>
    </row>
    <row r="59" spans="1:33" ht="16.5" customHeight="1" x14ac:dyDescent="0.2">
      <c r="A59" s="2" t="s">
        <v>31</v>
      </c>
      <c r="B59" s="5" t="s">
        <v>54</v>
      </c>
      <c r="C59" s="5"/>
      <c r="D59" s="5"/>
      <c r="E59" s="6" t="s">
        <v>33</v>
      </c>
      <c r="F59" s="6"/>
      <c r="G59" s="7" t="s">
        <v>129</v>
      </c>
      <c r="H59" s="7"/>
      <c r="I59" s="7"/>
      <c r="J59" s="3" t="s">
        <v>35</v>
      </c>
      <c r="K59" s="4" t="s">
        <v>130</v>
      </c>
      <c r="L59" s="4" t="s">
        <v>209</v>
      </c>
      <c r="N59" s="7" t="s">
        <v>210</v>
      </c>
      <c r="O59" s="7"/>
      <c r="P59" s="7" t="s">
        <v>211</v>
      </c>
      <c r="Q59" s="7"/>
      <c r="R59" s="7"/>
      <c r="S59" s="3" t="s">
        <v>40</v>
      </c>
      <c r="T59" s="7" t="s">
        <v>41</v>
      </c>
      <c r="U59" s="7"/>
      <c r="V59" s="4" t="s">
        <v>51</v>
      </c>
      <c r="W59" s="4" t="s">
        <v>212</v>
      </c>
      <c r="X59" s="4" t="s">
        <v>213</v>
      </c>
      <c r="Y59" s="7" t="s">
        <v>135</v>
      </c>
      <c r="Z59" s="7"/>
      <c r="AA59" s="4" t="s">
        <v>46</v>
      </c>
      <c r="AB59" s="4" t="s">
        <v>47</v>
      </c>
      <c r="AC59" s="4" t="s">
        <v>136</v>
      </c>
      <c r="AD59" s="4" t="s">
        <v>214</v>
      </c>
      <c r="AE59" s="4" t="s">
        <v>48</v>
      </c>
      <c r="AF59" s="4" t="s">
        <v>41</v>
      </c>
      <c r="AG59" s="4" t="s">
        <v>138</v>
      </c>
    </row>
    <row r="60" spans="1:33" ht="16.5" customHeight="1" x14ac:dyDescent="0.2">
      <c r="A60" s="2" t="s">
        <v>31</v>
      </c>
      <c r="B60" s="5" t="s">
        <v>54</v>
      </c>
      <c r="C60" s="5"/>
      <c r="D60" s="5"/>
      <c r="E60" s="6" t="s">
        <v>33</v>
      </c>
      <c r="F60" s="6"/>
      <c r="G60" s="7" t="s">
        <v>129</v>
      </c>
      <c r="H60" s="7"/>
      <c r="I60" s="7"/>
      <c r="J60" s="3" t="s">
        <v>35</v>
      </c>
      <c r="K60" s="4" t="s">
        <v>55</v>
      </c>
      <c r="L60" s="4" t="s">
        <v>37</v>
      </c>
      <c r="N60" s="7" t="s">
        <v>215</v>
      </c>
      <c r="O60" s="7"/>
      <c r="P60" s="7" t="s">
        <v>216</v>
      </c>
      <c r="Q60" s="7"/>
      <c r="R60" s="7"/>
      <c r="S60" s="3" t="s">
        <v>40</v>
      </c>
      <c r="T60" s="7" t="s">
        <v>41</v>
      </c>
      <c r="U60" s="7"/>
      <c r="V60" s="4" t="s">
        <v>42</v>
      </c>
      <c r="W60" s="4" t="s">
        <v>217</v>
      </c>
      <c r="X60" s="4" t="s">
        <v>218</v>
      </c>
      <c r="Y60" s="7" t="s">
        <v>60</v>
      </c>
      <c r="Z60" s="7"/>
      <c r="AA60" s="4" t="s">
        <v>46</v>
      </c>
      <c r="AB60" s="4" t="s">
        <v>47</v>
      </c>
      <c r="AC60" s="4" t="s">
        <v>79</v>
      </c>
      <c r="AD60" s="4" t="s">
        <v>80</v>
      </c>
      <c r="AE60" s="4" t="s">
        <v>48</v>
      </c>
      <c r="AF60" s="4" t="s">
        <v>41</v>
      </c>
      <c r="AG60" s="4" t="s">
        <v>138</v>
      </c>
    </row>
    <row r="61" spans="1:33" ht="16.5" customHeight="1" x14ac:dyDescent="0.2">
      <c r="A61" s="2" t="s">
        <v>31</v>
      </c>
      <c r="B61" s="5" t="s">
        <v>54</v>
      </c>
      <c r="C61" s="5"/>
      <c r="D61" s="5"/>
      <c r="E61" s="6" t="s">
        <v>33</v>
      </c>
      <c r="F61" s="6"/>
      <c r="G61" s="7" t="s">
        <v>129</v>
      </c>
      <c r="H61" s="7"/>
      <c r="I61" s="7"/>
      <c r="J61" s="3" t="s">
        <v>35</v>
      </c>
      <c r="K61" s="4" t="s">
        <v>73</v>
      </c>
      <c r="L61" s="4" t="s">
        <v>37</v>
      </c>
      <c r="N61" s="7" t="s">
        <v>219</v>
      </c>
      <c r="O61" s="7"/>
      <c r="P61" s="7" t="s">
        <v>220</v>
      </c>
      <c r="Q61" s="7"/>
      <c r="R61" s="7"/>
      <c r="S61" s="3" t="s">
        <v>40</v>
      </c>
      <c r="T61" s="7" t="s">
        <v>41</v>
      </c>
      <c r="U61" s="7"/>
      <c r="V61" s="4" t="s">
        <v>42</v>
      </c>
      <c r="W61" s="4" t="s">
        <v>221</v>
      </c>
      <c r="X61" s="4" t="s">
        <v>222</v>
      </c>
      <c r="Y61" s="7" t="s">
        <v>78</v>
      </c>
      <c r="Z61" s="7"/>
      <c r="AA61" s="4" t="s">
        <v>46</v>
      </c>
      <c r="AB61" s="4" t="s">
        <v>47</v>
      </c>
      <c r="AC61" s="4" t="s">
        <v>136</v>
      </c>
      <c r="AD61" s="4" t="s">
        <v>137</v>
      </c>
      <c r="AE61" s="4" t="s">
        <v>48</v>
      </c>
      <c r="AF61" s="4" t="s">
        <v>41</v>
      </c>
      <c r="AG61" s="4" t="s">
        <v>138</v>
      </c>
    </row>
    <row r="62" spans="1:33" ht="16.5" customHeight="1" x14ac:dyDescent="0.2">
      <c r="A62" s="2" t="s">
        <v>31</v>
      </c>
      <c r="B62" s="5" t="s">
        <v>54</v>
      </c>
      <c r="C62" s="5"/>
      <c r="D62" s="5"/>
      <c r="E62" s="6" t="s">
        <v>33</v>
      </c>
      <c r="F62" s="6"/>
      <c r="G62" s="7" t="s">
        <v>129</v>
      </c>
      <c r="H62" s="7"/>
      <c r="I62" s="7"/>
      <c r="J62" s="3" t="s">
        <v>35</v>
      </c>
      <c r="K62" s="4" t="s">
        <v>55</v>
      </c>
      <c r="L62" s="4" t="s">
        <v>93</v>
      </c>
      <c r="N62" s="7" t="s">
        <v>223</v>
      </c>
      <c r="O62" s="7"/>
      <c r="P62" s="7" t="s">
        <v>224</v>
      </c>
      <c r="Q62" s="7"/>
      <c r="R62" s="7"/>
      <c r="S62" s="3" t="s">
        <v>40</v>
      </c>
      <c r="T62" s="7" t="s">
        <v>41</v>
      </c>
      <c r="U62" s="7"/>
      <c r="V62" s="4" t="s">
        <v>42</v>
      </c>
      <c r="W62" s="4" t="s">
        <v>225</v>
      </c>
      <c r="X62" s="4" t="s">
        <v>226</v>
      </c>
      <c r="Y62" s="7" t="s">
        <v>60</v>
      </c>
      <c r="Z62" s="7"/>
      <c r="AA62" s="4" t="s">
        <v>46</v>
      </c>
      <c r="AB62" s="4" t="s">
        <v>47</v>
      </c>
      <c r="AC62" s="4" t="s">
        <v>79</v>
      </c>
      <c r="AD62" s="4" t="s">
        <v>96</v>
      </c>
      <c r="AE62" s="4" t="s">
        <v>48</v>
      </c>
      <c r="AF62" s="4" t="s">
        <v>41</v>
      </c>
      <c r="AG62" s="4" t="s">
        <v>138</v>
      </c>
    </row>
    <row r="63" spans="1:33" ht="16.5" customHeight="1" x14ac:dyDescent="0.2">
      <c r="A63" s="2" t="s">
        <v>31</v>
      </c>
      <c r="B63" s="5" t="s">
        <v>54</v>
      </c>
      <c r="C63" s="5"/>
      <c r="D63" s="5"/>
      <c r="E63" s="6" t="s">
        <v>33</v>
      </c>
      <c r="F63" s="6"/>
      <c r="G63" s="7" t="s">
        <v>129</v>
      </c>
      <c r="H63" s="7"/>
      <c r="I63" s="7"/>
      <c r="J63" s="3" t="s">
        <v>35</v>
      </c>
      <c r="K63" s="4" t="s">
        <v>73</v>
      </c>
      <c r="L63" s="4" t="s">
        <v>93</v>
      </c>
      <c r="N63" s="7" t="s">
        <v>227</v>
      </c>
      <c r="O63" s="7"/>
      <c r="P63" s="7" t="s">
        <v>228</v>
      </c>
      <c r="Q63" s="7"/>
      <c r="R63" s="7"/>
      <c r="S63" s="3" t="s">
        <v>40</v>
      </c>
      <c r="T63" s="7" t="s">
        <v>41</v>
      </c>
      <c r="U63" s="7"/>
      <c r="V63" s="4" t="s">
        <v>51</v>
      </c>
      <c r="W63" s="4" t="s">
        <v>229</v>
      </c>
      <c r="X63" s="4" t="s">
        <v>230</v>
      </c>
      <c r="Y63" s="7" t="s">
        <v>78</v>
      </c>
      <c r="Z63" s="7"/>
      <c r="AA63" s="4" t="s">
        <v>46</v>
      </c>
      <c r="AB63" s="4" t="s">
        <v>47</v>
      </c>
      <c r="AC63" s="4" t="s">
        <v>136</v>
      </c>
      <c r="AD63" s="4" t="s">
        <v>148</v>
      </c>
      <c r="AE63" s="4" t="s">
        <v>48</v>
      </c>
      <c r="AF63" s="4" t="s">
        <v>41</v>
      </c>
      <c r="AG63" s="4" t="s">
        <v>138</v>
      </c>
    </row>
    <row r="64" spans="1:33" ht="16.5" customHeight="1" x14ac:dyDescent="0.2">
      <c r="A64" s="2" t="s">
        <v>31</v>
      </c>
      <c r="B64" s="5" t="s">
        <v>54</v>
      </c>
      <c r="C64" s="5"/>
      <c r="D64" s="5"/>
      <c r="E64" s="6" t="s">
        <v>33</v>
      </c>
      <c r="F64" s="6"/>
      <c r="G64" s="7" t="s">
        <v>129</v>
      </c>
      <c r="H64" s="7"/>
      <c r="I64" s="7"/>
      <c r="J64" s="3" t="s">
        <v>35</v>
      </c>
      <c r="K64" s="4" t="s">
        <v>55</v>
      </c>
      <c r="L64" s="4" t="s">
        <v>231</v>
      </c>
      <c r="N64" s="7" t="s">
        <v>232</v>
      </c>
      <c r="O64" s="7"/>
      <c r="P64" s="7" t="s">
        <v>233</v>
      </c>
      <c r="Q64" s="7"/>
      <c r="R64" s="7"/>
      <c r="S64" s="3" t="s">
        <v>40</v>
      </c>
      <c r="T64" s="7" t="s">
        <v>41</v>
      </c>
      <c r="U64" s="7"/>
      <c r="V64" s="4" t="s">
        <v>42</v>
      </c>
      <c r="W64" s="4" t="s">
        <v>234</v>
      </c>
      <c r="X64" s="4" t="s">
        <v>235</v>
      </c>
      <c r="Y64" s="7" t="s">
        <v>60</v>
      </c>
      <c r="Z64" s="7"/>
      <c r="AA64" s="4" t="s">
        <v>46</v>
      </c>
      <c r="AB64" s="4" t="s">
        <v>47</v>
      </c>
      <c r="AC64" s="4" t="s">
        <v>79</v>
      </c>
      <c r="AD64" s="4" t="s">
        <v>236</v>
      </c>
      <c r="AE64" s="4" t="s">
        <v>48</v>
      </c>
      <c r="AF64" s="4" t="s">
        <v>41</v>
      </c>
      <c r="AG64" s="4" t="s">
        <v>138</v>
      </c>
    </row>
    <row r="65" spans="1:33" ht="16.5" customHeight="1" x14ac:dyDescent="0.2">
      <c r="A65" s="2" t="s">
        <v>31</v>
      </c>
      <c r="B65" s="5" t="s">
        <v>54</v>
      </c>
      <c r="C65" s="5"/>
      <c r="D65" s="5"/>
      <c r="E65" s="6" t="s">
        <v>33</v>
      </c>
      <c r="F65" s="6"/>
      <c r="G65" s="7" t="s">
        <v>129</v>
      </c>
      <c r="H65" s="7"/>
      <c r="I65" s="7"/>
      <c r="J65" s="3" t="s">
        <v>35</v>
      </c>
      <c r="K65" s="4" t="s">
        <v>149</v>
      </c>
      <c r="L65" s="4" t="s">
        <v>37</v>
      </c>
      <c r="N65" s="7" t="s">
        <v>237</v>
      </c>
      <c r="O65" s="7"/>
      <c r="P65" s="7" t="s">
        <v>238</v>
      </c>
      <c r="Q65" s="7"/>
      <c r="R65" s="7"/>
      <c r="S65" s="3" t="s">
        <v>40</v>
      </c>
      <c r="T65" s="7" t="s">
        <v>41</v>
      </c>
      <c r="U65" s="7"/>
      <c r="V65" s="4" t="s">
        <v>42</v>
      </c>
      <c r="W65" s="4" t="s">
        <v>239</v>
      </c>
      <c r="X65" s="4" t="s">
        <v>240</v>
      </c>
      <c r="Y65" s="7" t="s">
        <v>78</v>
      </c>
      <c r="Z65" s="7"/>
      <c r="AA65" s="4" t="s">
        <v>46</v>
      </c>
      <c r="AB65" s="4" t="s">
        <v>47</v>
      </c>
      <c r="AC65" s="4" t="s">
        <v>136</v>
      </c>
      <c r="AD65" s="4" t="s">
        <v>137</v>
      </c>
      <c r="AE65" s="4" t="s">
        <v>48</v>
      </c>
      <c r="AF65" s="4" t="s">
        <v>41</v>
      </c>
      <c r="AG65" s="4" t="s">
        <v>138</v>
      </c>
    </row>
    <row r="66" spans="1:33" ht="16.5" customHeight="1" x14ac:dyDescent="0.2">
      <c r="A66" s="2" t="s">
        <v>31</v>
      </c>
      <c r="B66" s="5" t="s">
        <v>108</v>
      </c>
      <c r="C66" s="5"/>
      <c r="D66" s="5"/>
      <c r="E66" s="6" t="s">
        <v>33</v>
      </c>
      <c r="F66" s="6"/>
      <c r="G66" s="7" t="s">
        <v>129</v>
      </c>
      <c r="H66" s="7"/>
      <c r="I66" s="7"/>
      <c r="J66" s="3" t="s">
        <v>109</v>
      </c>
      <c r="K66" s="4" t="s">
        <v>241</v>
      </c>
      <c r="N66" s="7" t="s">
        <v>237</v>
      </c>
      <c r="O66" s="7"/>
      <c r="P66" s="7" t="s">
        <v>238</v>
      </c>
      <c r="Q66" s="7"/>
      <c r="R66" s="7"/>
      <c r="S66" s="3" t="s">
        <v>40</v>
      </c>
      <c r="T66" s="7" t="s">
        <v>242</v>
      </c>
      <c r="U66" s="7"/>
      <c r="V66" s="4" t="s">
        <v>42</v>
      </c>
      <c r="W66" s="4" t="s">
        <v>58</v>
      </c>
      <c r="X66" s="4" t="s">
        <v>240</v>
      </c>
      <c r="Y66" s="7" t="s">
        <v>114</v>
      </c>
      <c r="Z66" s="7"/>
      <c r="AA66" s="4" t="s">
        <v>46</v>
      </c>
      <c r="AB66" s="4" t="s">
        <v>115</v>
      </c>
      <c r="AC66" s="4" t="s">
        <v>243</v>
      </c>
      <c r="AD66" s="4" t="s">
        <v>244</v>
      </c>
      <c r="AE66" s="4" t="s">
        <v>48</v>
      </c>
      <c r="AF66" s="4" t="s">
        <v>41</v>
      </c>
      <c r="AG66" s="4" t="s">
        <v>138</v>
      </c>
    </row>
    <row r="67" spans="1:33" ht="16.5" customHeight="1" x14ac:dyDescent="0.2">
      <c r="A67" s="2" t="s">
        <v>31</v>
      </c>
      <c r="B67" s="5" t="s">
        <v>54</v>
      </c>
      <c r="C67" s="5"/>
      <c r="D67" s="5"/>
      <c r="E67" s="6" t="s">
        <v>33</v>
      </c>
      <c r="F67" s="6"/>
      <c r="G67" s="7" t="s">
        <v>129</v>
      </c>
      <c r="H67" s="7"/>
      <c r="I67" s="7"/>
      <c r="J67" s="3" t="s">
        <v>35</v>
      </c>
      <c r="K67" s="4" t="s">
        <v>245</v>
      </c>
      <c r="L67" s="4" t="s">
        <v>93</v>
      </c>
      <c r="N67" s="7" t="s">
        <v>246</v>
      </c>
      <c r="O67" s="7"/>
      <c r="P67" s="7" t="s">
        <v>247</v>
      </c>
      <c r="Q67" s="7"/>
      <c r="R67" s="7"/>
      <c r="S67" s="3" t="s">
        <v>40</v>
      </c>
      <c r="T67" s="7" t="s">
        <v>41</v>
      </c>
      <c r="U67" s="7"/>
      <c r="V67" s="4" t="s">
        <v>42</v>
      </c>
      <c r="W67" s="4" t="s">
        <v>43</v>
      </c>
      <c r="X67" s="4" t="s">
        <v>44</v>
      </c>
      <c r="Y67" s="7" t="s">
        <v>78</v>
      </c>
      <c r="Z67" s="7"/>
      <c r="AA67" s="4" t="s">
        <v>46</v>
      </c>
      <c r="AB67" s="4" t="s">
        <v>47</v>
      </c>
      <c r="AC67" s="4" t="s">
        <v>136</v>
      </c>
      <c r="AD67" s="4" t="s">
        <v>148</v>
      </c>
      <c r="AE67" s="4" t="s">
        <v>48</v>
      </c>
      <c r="AF67" s="4" t="s">
        <v>41</v>
      </c>
      <c r="AG67" s="4" t="s">
        <v>138</v>
      </c>
    </row>
    <row r="68" spans="1:33" ht="16.5" customHeight="1" x14ac:dyDescent="0.2">
      <c r="A68" s="2" t="s">
        <v>31</v>
      </c>
      <c r="B68" s="5" t="s">
        <v>54</v>
      </c>
      <c r="C68" s="5"/>
      <c r="D68" s="5"/>
      <c r="E68" s="6" t="s">
        <v>33</v>
      </c>
      <c r="F68" s="6"/>
      <c r="G68" s="7" t="s">
        <v>129</v>
      </c>
      <c r="H68" s="7"/>
      <c r="I68" s="7"/>
      <c r="J68" s="3" t="s">
        <v>35</v>
      </c>
      <c r="K68" s="4" t="s">
        <v>248</v>
      </c>
      <c r="L68" s="4" t="s">
        <v>37</v>
      </c>
      <c r="N68" s="7" t="s">
        <v>249</v>
      </c>
      <c r="O68" s="7"/>
      <c r="P68" s="7" t="s">
        <v>250</v>
      </c>
      <c r="Q68" s="7"/>
      <c r="R68" s="7"/>
      <c r="S68" s="3" t="s">
        <v>40</v>
      </c>
      <c r="T68" s="7" t="s">
        <v>41</v>
      </c>
      <c r="U68" s="7"/>
      <c r="V68" s="4" t="s">
        <v>42</v>
      </c>
      <c r="W68" s="4" t="s">
        <v>154</v>
      </c>
      <c r="X68" s="4" t="s">
        <v>155</v>
      </c>
      <c r="Y68" s="7" t="s">
        <v>60</v>
      </c>
      <c r="Z68" s="7"/>
      <c r="AA68" s="4" t="s">
        <v>46</v>
      </c>
      <c r="AB68" s="4" t="s">
        <v>47</v>
      </c>
      <c r="AC68" s="4" t="s">
        <v>79</v>
      </c>
      <c r="AD68" s="4" t="s">
        <v>80</v>
      </c>
      <c r="AE68" s="4" t="s">
        <v>48</v>
      </c>
      <c r="AF68" s="4" t="s">
        <v>41</v>
      </c>
      <c r="AG68" s="4" t="s">
        <v>138</v>
      </c>
    </row>
    <row r="69" spans="1:33" ht="16.5" customHeight="1" x14ac:dyDescent="0.2">
      <c r="A69" s="2" t="s">
        <v>31</v>
      </c>
      <c r="B69" s="5" t="s">
        <v>54</v>
      </c>
      <c r="C69" s="5"/>
      <c r="D69" s="5"/>
      <c r="E69" s="6" t="s">
        <v>33</v>
      </c>
      <c r="F69" s="6"/>
      <c r="G69" s="7" t="s">
        <v>129</v>
      </c>
      <c r="H69" s="7"/>
      <c r="I69" s="7"/>
      <c r="J69" s="3" t="s">
        <v>35</v>
      </c>
      <c r="K69" s="4" t="s">
        <v>130</v>
      </c>
      <c r="L69" s="4" t="s">
        <v>37</v>
      </c>
      <c r="N69" s="7" t="s">
        <v>251</v>
      </c>
      <c r="O69" s="7"/>
      <c r="P69" s="7" t="s">
        <v>252</v>
      </c>
      <c r="Q69" s="7"/>
      <c r="R69" s="7"/>
      <c r="S69" s="3" t="s">
        <v>40</v>
      </c>
      <c r="T69" s="7" t="s">
        <v>41</v>
      </c>
      <c r="U69" s="7"/>
      <c r="V69" s="4" t="s">
        <v>42</v>
      </c>
      <c r="W69" s="4" t="s">
        <v>154</v>
      </c>
      <c r="X69" s="4" t="s">
        <v>155</v>
      </c>
      <c r="Y69" s="7" t="s">
        <v>135</v>
      </c>
      <c r="Z69" s="7"/>
      <c r="AA69" s="4" t="s">
        <v>46</v>
      </c>
      <c r="AB69" s="4" t="s">
        <v>47</v>
      </c>
      <c r="AC69" s="4" t="s">
        <v>136</v>
      </c>
      <c r="AD69" s="4" t="s">
        <v>137</v>
      </c>
      <c r="AE69" s="4" t="s">
        <v>48</v>
      </c>
      <c r="AF69" s="4" t="s">
        <v>41</v>
      </c>
      <c r="AG69" s="4" t="s">
        <v>138</v>
      </c>
    </row>
    <row r="70" spans="1:33" ht="16.5" customHeight="1" x14ac:dyDescent="0.2">
      <c r="A70" s="2" t="s">
        <v>31</v>
      </c>
      <c r="B70" s="5" t="s">
        <v>54</v>
      </c>
      <c r="C70" s="5"/>
      <c r="D70" s="5"/>
      <c r="E70" s="6" t="s">
        <v>33</v>
      </c>
      <c r="F70" s="6"/>
      <c r="G70" s="7" t="s">
        <v>129</v>
      </c>
      <c r="H70" s="7"/>
      <c r="I70" s="7"/>
      <c r="J70" s="3" t="s">
        <v>35</v>
      </c>
      <c r="K70" s="4" t="s">
        <v>149</v>
      </c>
      <c r="L70" s="4" t="s">
        <v>93</v>
      </c>
      <c r="N70" s="7" t="s">
        <v>253</v>
      </c>
      <c r="O70" s="7"/>
      <c r="P70" s="7" t="s">
        <v>254</v>
      </c>
      <c r="Q70" s="7"/>
      <c r="R70" s="7"/>
      <c r="S70" s="3" t="s">
        <v>40</v>
      </c>
      <c r="T70" s="7" t="s">
        <v>41</v>
      </c>
      <c r="U70" s="7"/>
      <c r="V70" s="4" t="s">
        <v>42</v>
      </c>
      <c r="W70" s="4" t="s">
        <v>154</v>
      </c>
      <c r="X70" s="4" t="s">
        <v>155</v>
      </c>
      <c r="Y70" s="7" t="s">
        <v>78</v>
      </c>
      <c r="Z70" s="7"/>
      <c r="AA70" s="4" t="s">
        <v>46</v>
      </c>
      <c r="AB70" s="4" t="s">
        <v>47</v>
      </c>
      <c r="AC70" s="4" t="s">
        <v>136</v>
      </c>
      <c r="AD70" s="4" t="s">
        <v>148</v>
      </c>
      <c r="AE70" s="4" t="s">
        <v>48</v>
      </c>
      <c r="AF70" s="4" t="s">
        <v>41</v>
      </c>
      <c r="AG70" s="4" t="s">
        <v>138</v>
      </c>
    </row>
    <row r="71" spans="1:33" ht="16.5" customHeight="1" x14ac:dyDescent="0.2">
      <c r="A71" s="2" t="s">
        <v>31</v>
      </c>
      <c r="B71" s="5" t="s">
        <v>54</v>
      </c>
      <c r="C71" s="5"/>
      <c r="D71" s="5"/>
      <c r="E71" s="6" t="s">
        <v>33</v>
      </c>
      <c r="F71" s="6"/>
      <c r="G71" s="7" t="s">
        <v>129</v>
      </c>
      <c r="H71" s="7"/>
      <c r="I71" s="7"/>
      <c r="J71" s="3" t="s">
        <v>35</v>
      </c>
      <c r="K71" s="4" t="s">
        <v>192</v>
      </c>
      <c r="L71" s="4" t="s">
        <v>37</v>
      </c>
      <c r="N71" s="7" t="s">
        <v>255</v>
      </c>
      <c r="O71" s="7"/>
      <c r="P71" s="7" t="s">
        <v>256</v>
      </c>
      <c r="Q71" s="7"/>
      <c r="R71" s="7"/>
      <c r="S71" s="3" t="s">
        <v>40</v>
      </c>
      <c r="T71" s="7" t="s">
        <v>41</v>
      </c>
      <c r="U71" s="7"/>
      <c r="V71" s="4" t="s">
        <v>42</v>
      </c>
      <c r="W71" s="4" t="s">
        <v>257</v>
      </c>
      <c r="X71" s="4" t="s">
        <v>258</v>
      </c>
      <c r="Y71" s="7" t="s">
        <v>197</v>
      </c>
      <c r="Z71" s="7"/>
      <c r="AA71" s="4" t="s">
        <v>46</v>
      </c>
      <c r="AB71" s="4" t="s">
        <v>47</v>
      </c>
      <c r="AC71" s="4" t="s">
        <v>259</v>
      </c>
      <c r="AD71" s="4" t="s">
        <v>260</v>
      </c>
      <c r="AE71" s="4" t="s">
        <v>48</v>
      </c>
      <c r="AF71" s="4" t="s">
        <v>41</v>
      </c>
      <c r="AG71" s="4" t="s">
        <v>138</v>
      </c>
    </row>
    <row r="72" spans="1:33" ht="16.5" customHeight="1" x14ac:dyDescent="0.2">
      <c r="A72" s="2" t="s">
        <v>31</v>
      </c>
      <c r="B72" s="5" t="s">
        <v>54</v>
      </c>
      <c r="C72" s="5"/>
      <c r="D72" s="5"/>
      <c r="E72" s="6" t="s">
        <v>33</v>
      </c>
      <c r="F72" s="6"/>
      <c r="G72" s="7" t="s">
        <v>129</v>
      </c>
      <c r="H72" s="7"/>
      <c r="I72" s="7"/>
      <c r="J72" s="3" t="s">
        <v>35</v>
      </c>
      <c r="K72" s="4" t="s">
        <v>143</v>
      </c>
      <c r="L72" s="4" t="s">
        <v>93</v>
      </c>
      <c r="N72" s="7" t="s">
        <v>261</v>
      </c>
      <c r="O72" s="7"/>
      <c r="P72" s="7" t="s">
        <v>262</v>
      </c>
      <c r="Q72" s="7"/>
      <c r="R72" s="7"/>
      <c r="S72" s="3" t="s">
        <v>40</v>
      </c>
      <c r="T72" s="7" t="s">
        <v>41</v>
      </c>
      <c r="U72" s="7"/>
      <c r="V72" s="4" t="s">
        <v>42</v>
      </c>
      <c r="W72" s="4" t="s">
        <v>263</v>
      </c>
      <c r="X72" s="4" t="s">
        <v>264</v>
      </c>
      <c r="Y72" s="7" t="s">
        <v>135</v>
      </c>
      <c r="Z72" s="7"/>
      <c r="AA72" s="4" t="s">
        <v>46</v>
      </c>
      <c r="AB72" s="4" t="s">
        <v>47</v>
      </c>
      <c r="AC72" s="4" t="s">
        <v>136</v>
      </c>
      <c r="AD72" s="4" t="s">
        <v>148</v>
      </c>
      <c r="AE72" s="4" t="s">
        <v>48</v>
      </c>
      <c r="AF72" s="4" t="s">
        <v>41</v>
      </c>
      <c r="AG72" s="4" t="s">
        <v>138</v>
      </c>
    </row>
    <row r="73" spans="1:33" ht="16.5" customHeight="1" x14ac:dyDescent="0.2">
      <c r="A73" s="2" t="s">
        <v>31</v>
      </c>
      <c r="B73" s="5" t="s">
        <v>54</v>
      </c>
      <c r="C73" s="5"/>
      <c r="D73" s="5"/>
      <c r="E73" s="6" t="s">
        <v>33</v>
      </c>
      <c r="F73" s="6"/>
      <c r="G73" s="7" t="s">
        <v>129</v>
      </c>
      <c r="H73" s="7"/>
      <c r="I73" s="7"/>
      <c r="J73" s="3" t="s">
        <v>35</v>
      </c>
      <c r="K73" s="4" t="s">
        <v>55</v>
      </c>
      <c r="L73" s="4" t="s">
        <v>37</v>
      </c>
      <c r="N73" s="7" t="s">
        <v>265</v>
      </c>
      <c r="O73" s="7"/>
      <c r="P73" s="7" t="s">
        <v>266</v>
      </c>
      <c r="Q73" s="7"/>
      <c r="R73" s="7"/>
      <c r="S73" s="3" t="s">
        <v>40</v>
      </c>
      <c r="T73" s="7" t="s">
        <v>41</v>
      </c>
      <c r="U73" s="7"/>
      <c r="V73" s="4" t="s">
        <v>42</v>
      </c>
      <c r="W73" s="4" t="s">
        <v>207</v>
      </c>
      <c r="X73" s="4" t="s">
        <v>208</v>
      </c>
      <c r="Y73" s="7" t="s">
        <v>60</v>
      </c>
      <c r="Z73" s="7"/>
      <c r="AA73" s="4" t="s">
        <v>46</v>
      </c>
      <c r="AB73" s="4" t="s">
        <v>47</v>
      </c>
      <c r="AC73" s="4" t="s">
        <v>79</v>
      </c>
      <c r="AD73" s="4" t="s">
        <v>80</v>
      </c>
      <c r="AE73" s="4" t="s">
        <v>48</v>
      </c>
      <c r="AF73" s="4" t="s">
        <v>41</v>
      </c>
      <c r="AG73" s="4" t="s">
        <v>138</v>
      </c>
    </row>
    <row r="74" spans="1:33" ht="16.5" customHeight="1" x14ac:dyDescent="0.2">
      <c r="A74" s="2" t="s">
        <v>31</v>
      </c>
      <c r="B74" s="5" t="s">
        <v>54</v>
      </c>
      <c r="C74" s="5"/>
      <c r="D74" s="5"/>
      <c r="E74" s="6" t="s">
        <v>33</v>
      </c>
      <c r="F74" s="6"/>
      <c r="G74" s="7" t="s">
        <v>129</v>
      </c>
      <c r="H74" s="7"/>
      <c r="I74" s="7"/>
      <c r="J74" s="3" t="s">
        <v>35</v>
      </c>
      <c r="K74" s="4" t="s">
        <v>267</v>
      </c>
      <c r="L74" s="4" t="s">
        <v>37</v>
      </c>
      <c r="N74" s="7" t="s">
        <v>268</v>
      </c>
      <c r="O74" s="7"/>
      <c r="P74" s="7" t="s">
        <v>269</v>
      </c>
      <c r="Q74" s="7"/>
      <c r="R74" s="7"/>
      <c r="S74" s="3" t="s">
        <v>40</v>
      </c>
      <c r="T74" s="7" t="s">
        <v>41</v>
      </c>
      <c r="U74" s="7"/>
      <c r="V74" s="4" t="s">
        <v>42</v>
      </c>
      <c r="W74" s="4" t="s">
        <v>270</v>
      </c>
      <c r="X74" s="4" t="s">
        <v>271</v>
      </c>
      <c r="Y74" s="7" t="s">
        <v>78</v>
      </c>
      <c r="Z74" s="7"/>
      <c r="AA74" s="4" t="s">
        <v>46</v>
      </c>
      <c r="AB74" s="4" t="s">
        <v>47</v>
      </c>
      <c r="AC74" s="4" t="s">
        <v>136</v>
      </c>
      <c r="AD74" s="4" t="s">
        <v>137</v>
      </c>
      <c r="AE74" s="4" t="s">
        <v>48</v>
      </c>
      <c r="AF74" s="4" t="s">
        <v>41</v>
      </c>
      <c r="AG74" s="4" t="s">
        <v>138</v>
      </c>
    </row>
    <row r="75" spans="1:33" ht="16.5" customHeight="1" x14ac:dyDescent="0.2">
      <c r="A75" s="2" t="s">
        <v>31</v>
      </c>
      <c r="B75" s="5" t="s">
        <v>54</v>
      </c>
      <c r="C75" s="5"/>
      <c r="D75" s="5"/>
      <c r="E75" s="6" t="s">
        <v>33</v>
      </c>
      <c r="F75" s="6"/>
      <c r="G75" s="7" t="s">
        <v>129</v>
      </c>
      <c r="H75" s="7"/>
      <c r="I75" s="7"/>
      <c r="J75" s="3" t="s">
        <v>35</v>
      </c>
      <c r="K75" s="4" t="s">
        <v>97</v>
      </c>
      <c r="L75" s="4" t="s">
        <v>37</v>
      </c>
      <c r="N75" s="7" t="s">
        <v>272</v>
      </c>
      <c r="O75" s="7"/>
      <c r="P75" s="7" t="s">
        <v>273</v>
      </c>
      <c r="Q75" s="7"/>
      <c r="R75" s="7"/>
      <c r="S75" s="3" t="s">
        <v>40</v>
      </c>
      <c r="T75" s="7" t="s">
        <v>41</v>
      </c>
      <c r="U75" s="7"/>
      <c r="V75" s="4" t="s">
        <v>42</v>
      </c>
      <c r="W75" s="4" t="s">
        <v>274</v>
      </c>
      <c r="X75" s="4" t="s">
        <v>275</v>
      </c>
      <c r="Y75" s="7" t="s">
        <v>78</v>
      </c>
      <c r="Z75" s="7"/>
      <c r="AA75" s="4" t="s">
        <v>46</v>
      </c>
      <c r="AB75" s="4" t="s">
        <v>47</v>
      </c>
      <c r="AC75" s="4" t="s">
        <v>136</v>
      </c>
      <c r="AD75" s="4" t="s">
        <v>137</v>
      </c>
      <c r="AE75" s="4" t="s">
        <v>48</v>
      </c>
      <c r="AF75" s="4" t="s">
        <v>41</v>
      </c>
      <c r="AG75" s="4" t="s">
        <v>138</v>
      </c>
    </row>
    <row r="76" spans="1:33" ht="16.5" customHeight="1" x14ac:dyDescent="0.2">
      <c r="A76" s="2" t="s">
        <v>31</v>
      </c>
      <c r="B76" s="5" t="s">
        <v>54</v>
      </c>
      <c r="C76" s="5"/>
      <c r="D76" s="5"/>
      <c r="E76" s="6" t="s">
        <v>33</v>
      </c>
      <c r="F76" s="6"/>
      <c r="G76" s="7" t="s">
        <v>129</v>
      </c>
      <c r="H76" s="7"/>
      <c r="I76" s="7"/>
      <c r="J76" s="3" t="s">
        <v>35</v>
      </c>
      <c r="K76" s="4" t="s">
        <v>248</v>
      </c>
      <c r="L76" s="4" t="s">
        <v>37</v>
      </c>
      <c r="N76" s="7" t="s">
        <v>276</v>
      </c>
      <c r="O76" s="7"/>
      <c r="P76" s="7" t="s">
        <v>277</v>
      </c>
      <c r="Q76" s="7"/>
      <c r="R76" s="7"/>
      <c r="S76" s="3" t="s">
        <v>40</v>
      </c>
      <c r="T76" s="7" t="s">
        <v>41</v>
      </c>
      <c r="U76" s="7"/>
      <c r="V76" s="4" t="s">
        <v>42</v>
      </c>
      <c r="W76" s="4" t="s">
        <v>278</v>
      </c>
      <c r="X76" s="4" t="s">
        <v>279</v>
      </c>
      <c r="Y76" s="7" t="s">
        <v>60</v>
      </c>
      <c r="Z76" s="7"/>
      <c r="AA76" s="4" t="s">
        <v>46</v>
      </c>
      <c r="AB76" s="4" t="s">
        <v>47</v>
      </c>
      <c r="AC76" s="4" t="s">
        <v>79</v>
      </c>
      <c r="AD76" s="4" t="s">
        <v>80</v>
      </c>
      <c r="AE76" s="4" t="s">
        <v>48</v>
      </c>
      <c r="AF76" s="4" t="s">
        <v>41</v>
      </c>
      <c r="AG76" s="4" t="s">
        <v>138</v>
      </c>
    </row>
    <row r="77" spans="1:33" ht="16.5" customHeight="1" x14ac:dyDescent="0.2">
      <c r="A77" s="2" t="s">
        <v>31</v>
      </c>
      <c r="B77" s="5" t="s">
        <v>54</v>
      </c>
      <c r="C77" s="5"/>
      <c r="D77" s="5"/>
      <c r="E77" s="6" t="s">
        <v>33</v>
      </c>
      <c r="F77" s="6"/>
      <c r="G77" s="7" t="s">
        <v>129</v>
      </c>
      <c r="H77" s="7"/>
      <c r="I77" s="7"/>
      <c r="J77" s="3" t="s">
        <v>35</v>
      </c>
      <c r="K77" s="4" t="s">
        <v>55</v>
      </c>
      <c r="L77" s="4" t="s">
        <v>280</v>
      </c>
      <c r="N77" s="7" t="s">
        <v>281</v>
      </c>
      <c r="O77" s="7"/>
      <c r="P77" s="7" t="s">
        <v>282</v>
      </c>
      <c r="Q77" s="7"/>
      <c r="R77" s="7"/>
      <c r="S77" s="3" t="s">
        <v>40</v>
      </c>
      <c r="T77" s="7" t="s">
        <v>41</v>
      </c>
      <c r="U77" s="7"/>
      <c r="V77" s="4" t="s">
        <v>42</v>
      </c>
      <c r="W77" s="4" t="s">
        <v>283</v>
      </c>
      <c r="X77" s="4" t="s">
        <v>284</v>
      </c>
      <c r="Y77" s="7" t="s">
        <v>60</v>
      </c>
      <c r="Z77" s="7"/>
      <c r="AA77" s="4" t="s">
        <v>46</v>
      </c>
      <c r="AB77" s="4" t="s">
        <v>47</v>
      </c>
      <c r="AC77" s="4" t="s">
        <v>79</v>
      </c>
      <c r="AD77" s="4" t="s">
        <v>285</v>
      </c>
      <c r="AE77" s="4" t="s">
        <v>48</v>
      </c>
      <c r="AF77" s="4" t="s">
        <v>41</v>
      </c>
      <c r="AG77" s="4" t="s">
        <v>138</v>
      </c>
    </row>
    <row r="78" spans="1:33" ht="16.5" customHeight="1" x14ac:dyDescent="0.2">
      <c r="A78" s="2" t="s">
        <v>31</v>
      </c>
      <c r="B78" s="5" t="s">
        <v>54</v>
      </c>
      <c r="C78" s="5"/>
      <c r="D78" s="5"/>
      <c r="E78" s="6" t="s">
        <v>33</v>
      </c>
      <c r="F78" s="6"/>
      <c r="G78" s="7" t="s">
        <v>129</v>
      </c>
      <c r="H78" s="7"/>
      <c r="I78" s="7"/>
      <c r="J78" s="3" t="s">
        <v>35</v>
      </c>
      <c r="K78" s="4" t="s">
        <v>73</v>
      </c>
      <c r="L78" s="4" t="s">
        <v>93</v>
      </c>
      <c r="N78" s="7" t="s">
        <v>286</v>
      </c>
      <c r="O78" s="7"/>
      <c r="P78" s="7" t="s">
        <v>287</v>
      </c>
      <c r="Q78" s="7"/>
      <c r="R78" s="7"/>
      <c r="S78" s="3" t="s">
        <v>40</v>
      </c>
      <c r="T78" s="7" t="s">
        <v>41</v>
      </c>
      <c r="U78" s="7"/>
      <c r="V78" s="4" t="s">
        <v>42</v>
      </c>
      <c r="W78" s="4" t="s">
        <v>288</v>
      </c>
      <c r="X78" s="4" t="s">
        <v>213</v>
      </c>
      <c r="Y78" s="7" t="s">
        <v>78</v>
      </c>
      <c r="Z78" s="7"/>
      <c r="AA78" s="4" t="s">
        <v>46</v>
      </c>
      <c r="AB78" s="4" t="s">
        <v>47</v>
      </c>
      <c r="AC78" s="4" t="s">
        <v>136</v>
      </c>
      <c r="AD78" s="4" t="s">
        <v>148</v>
      </c>
      <c r="AE78" s="4" t="s">
        <v>48</v>
      </c>
      <c r="AF78" s="4" t="s">
        <v>41</v>
      </c>
      <c r="AG78" s="4" t="s">
        <v>138</v>
      </c>
    </row>
    <row r="79" spans="1:33" ht="16.5" customHeight="1" x14ac:dyDescent="0.2">
      <c r="A79" s="2" t="s">
        <v>31</v>
      </c>
      <c r="B79" s="5" t="s">
        <v>54</v>
      </c>
      <c r="C79" s="5"/>
      <c r="D79" s="5"/>
      <c r="E79" s="6" t="s">
        <v>33</v>
      </c>
      <c r="F79" s="6"/>
      <c r="G79" s="7" t="s">
        <v>129</v>
      </c>
      <c r="H79" s="7"/>
      <c r="I79" s="7"/>
      <c r="J79" s="3" t="s">
        <v>35</v>
      </c>
      <c r="K79" s="4" t="s">
        <v>73</v>
      </c>
      <c r="L79" s="4" t="s">
        <v>93</v>
      </c>
      <c r="N79" s="7" t="s">
        <v>289</v>
      </c>
      <c r="O79" s="7"/>
      <c r="P79" s="7" t="s">
        <v>290</v>
      </c>
      <c r="Q79" s="7"/>
      <c r="R79" s="7"/>
      <c r="S79" s="3" t="s">
        <v>40</v>
      </c>
      <c r="T79" s="7" t="s">
        <v>41</v>
      </c>
      <c r="U79" s="7"/>
      <c r="V79" s="4" t="s">
        <v>42</v>
      </c>
      <c r="W79" s="4" t="s">
        <v>291</v>
      </c>
      <c r="X79" s="4" t="s">
        <v>292</v>
      </c>
      <c r="Y79" s="7" t="s">
        <v>78</v>
      </c>
      <c r="Z79" s="7"/>
      <c r="AA79" s="4" t="s">
        <v>46</v>
      </c>
      <c r="AB79" s="4" t="s">
        <v>47</v>
      </c>
      <c r="AC79" s="4" t="s">
        <v>136</v>
      </c>
      <c r="AD79" s="4" t="s">
        <v>148</v>
      </c>
      <c r="AE79" s="4" t="s">
        <v>48</v>
      </c>
      <c r="AF79" s="4" t="s">
        <v>41</v>
      </c>
      <c r="AG79" s="4" t="s">
        <v>138</v>
      </c>
    </row>
    <row r="80" spans="1:33" ht="16.5" customHeight="1" x14ac:dyDescent="0.2">
      <c r="A80" s="2" t="s">
        <v>31</v>
      </c>
      <c r="B80" s="5" t="s">
        <v>54</v>
      </c>
      <c r="C80" s="5"/>
      <c r="D80" s="5"/>
      <c r="E80" s="6" t="s">
        <v>33</v>
      </c>
      <c r="F80" s="6"/>
      <c r="G80" s="7" t="s">
        <v>129</v>
      </c>
      <c r="H80" s="7"/>
      <c r="I80" s="7"/>
      <c r="J80" s="3" t="s">
        <v>35</v>
      </c>
      <c r="K80" s="4" t="s">
        <v>143</v>
      </c>
      <c r="L80" s="4" t="s">
        <v>37</v>
      </c>
      <c r="N80" s="7" t="s">
        <v>293</v>
      </c>
      <c r="O80" s="7"/>
      <c r="P80" s="7" t="s">
        <v>294</v>
      </c>
      <c r="Q80" s="7"/>
      <c r="R80" s="7"/>
      <c r="S80" s="3" t="s">
        <v>40</v>
      </c>
      <c r="T80" s="7" t="s">
        <v>41</v>
      </c>
      <c r="U80" s="7"/>
      <c r="V80" s="4" t="s">
        <v>42</v>
      </c>
      <c r="W80" s="4" t="s">
        <v>181</v>
      </c>
      <c r="X80" s="4" t="s">
        <v>182</v>
      </c>
      <c r="Y80" s="7" t="s">
        <v>135</v>
      </c>
      <c r="Z80" s="7"/>
      <c r="AA80" s="4" t="s">
        <v>46</v>
      </c>
      <c r="AB80" s="4" t="s">
        <v>47</v>
      </c>
      <c r="AC80" s="4" t="s">
        <v>72</v>
      </c>
      <c r="AD80" s="4" t="s">
        <v>41</v>
      </c>
      <c r="AE80" s="4" t="s">
        <v>48</v>
      </c>
      <c r="AF80" s="4" t="s">
        <v>41</v>
      </c>
      <c r="AG80" s="4" t="s">
        <v>138</v>
      </c>
    </row>
    <row r="81" spans="1:33" ht="16.5" customHeight="1" x14ac:dyDescent="0.2">
      <c r="A81" s="2" t="s">
        <v>31</v>
      </c>
      <c r="B81" s="5" t="s">
        <v>54</v>
      </c>
      <c r="C81" s="5"/>
      <c r="D81" s="5"/>
      <c r="E81" s="6" t="s">
        <v>33</v>
      </c>
      <c r="F81" s="6"/>
      <c r="G81" s="7" t="s">
        <v>129</v>
      </c>
      <c r="H81" s="7"/>
      <c r="I81" s="7"/>
      <c r="J81" s="3" t="s">
        <v>35</v>
      </c>
      <c r="K81" s="4" t="s">
        <v>143</v>
      </c>
      <c r="L81" s="4" t="s">
        <v>37</v>
      </c>
      <c r="N81" s="7" t="s">
        <v>295</v>
      </c>
      <c r="O81" s="7"/>
      <c r="P81" s="7" t="s">
        <v>296</v>
      </c>
      <c r="Q81" s="7"/>
      <c r="R81" s="7"/>
      <c r="S81" s="3" t="s">
        <v>40</v>
      </c>
      <c r="T81" s="7" t="s">
        <v>41</v>
      </c>
      <c r="U81" s="7"/>
      <c r="V81" s="4" t="s">
        <v>42</v>
      </c>
      <c r="W81" s="4" t="s">
        <v>200</v>
      </c>
      <c r="X81" s="4" t="s">
        <v>201</v>
      </c>
      <c r="Y81" s="7" t="s">
        <v>135</v>
      </c>
      <c r="Z81" s="7"/>
      <c r="AA81" s="4" t="s">
        <v>46</v>
      </c>
      <c r="AB81" s="4" t="s">
        <v>47</v>
      </c>
      <c r="AC81" s="4" t="s">
        <v>136</v>
      </c>
      <c r="AD81" s="4" t="s">
        <v>137</v>
      </c>
      <c r="AE81" s="4" t="s">
        <v>48</v>
      </c>
      <c r="AF81" s="4" t="s">
        <v>41</v>
      </c>
      <c r="AG81" s="4" t="s">
        <v>138</v>
      </c>
    </row>
    <row r="82" spans="1:33" ht="16.5" customHeight="1" x14ac:dyDescent="0.2">
      <c r="A82" s="2" t="s">
        <v>31</v>
      </c>
      <c r="B82" s="5" t="s">
        <v>54</v>
      </c>
      <c r="C82" s="5"/>
      <c r="D82" s="5"/>
      <c r="E82" s="6" t="s">
        <v>33</v>
      </c>
      <c r="F82" s="6"/>
      <c r="G82" s="7" t="s">
        <v>129</v>
      </c>
      <c r="H82" s="7"/>
      <c r="I82" s="7"/>
      <c r="J82" s="3" t="s">
        <v>35</v>
      </c>
      <c r="K82" s="4" t="s">
        <v>97</v>
      </c>
      <c r="L82" s="4" t="s">
        <v>37</v>
      </c>
      <c r="N82" s="7" t="s">
        <v>297</v>
      </c>
      <c r="O82" s="7"/>
      <c r="P82" s="7" t="s">
        <v>298</v>
      </c>
      <c r="Q82" s="7"/>
      <c r="R82" s="7"/>
      <c r="S82" s="3" t="s">
        <v>40</v>
      </c>
      <c r="T82" s="7" t="s">
        <v>41</v>
      </c>
      <c r="U82" s="7"/>
      <c r="V82" s="4" t="s">
        <v>42</v>
      </c>
      <c r="W82" s="4" t="s">
        <v>200</v>
      </c>
      <c r="X82" s="4" t="s">
        <v>201</v>
      </c>
      <c r="Y82" s="7" t="s">
        <v>78</v>
      </c>
      <c r="Z82" s="7"/>
      <c r="AA82" s="4" t="s">
        <v>46</v>
      </c>
      <c r="AB82" s="4" t="s">
        <v>47</v>
      </c>
      <c r="AC82" s="4" t="s">
        <v>136</v>
      </c>
      <c r="AD82" s="4" t="s">
        <v>137</v>
      </c>
      <c r="AE82" s="4" t="s">
        <v>48</v>
      </c>
      <c r="AF82" s="4" t="s">
        <v>41</v>
      </c>
      <c r="AG82" s="4" t="s">
        <v>138</v>
      </c>
    </row>
    <row r="83" spans="1:33" ht="16.5" customHeight="1" x14ac:dyDescent="0.2">
      <c r="A83" s="2" t="s">
        <v>31</v>
      </c>
      <c r="B83" s="5" t="s">
        <v>54</v>
      </c>
      <c r="C83" s="5"/>
      <c r="D83" s="5"/>
      <c r="E83" s="6" t="s">
        <v>33</v>
      </c>
      <c r="F83" s="6"/>
      <c r="G83" s="7" t="s">
        <v>129</v>
      </c>
      <c r="H83" s="7"/>
      <c r="I83" s="7"/>
      <c r="J83" s="3" t="s">
        <v>35</v>
      </c>
      <c r="K83" s="4" t="s">
        <v>202</v>
      </c>
      <c r="L83" s="4" t="s">
        <v>37</v>
      </c>
      <c r="N83" s="7" t="s">
        <v>299</v>
      </c>
      <c r="O83" s="7"/>
      <c r="P83" s="7" t="s">
        <v>300</v>
      </c>
      <c r="Q83" s="7"/>
      <c r="R83" s="7"/>
      <c r="S83" s="3" t="s">
        <v>40</v>
      </c>
      <c r="T83" s="7" t="s">
        <v>41</v>
      </c>
      <c r="U83" s="7"/>
      <c r="V83" s="4" t="s">
        <v>42</v>
      </c>
      <c r="W83" s="4" t="s">
        <v>301</v>
      </c>
      <c r="X83" s="4" t="s">
        <v>302</v>
      </c>
      <c r="Y83" s="7" t="s">
        <v>197</v>
      </c>
      <c r="Z83" s="7"/>
      <c r="AA83" s="4" t="s">
        <v>46</v>
      </c>
      <c r="AB83" s="4" t="s">
        <v>47</v>
      </c>
      <c r="AC83" s="4" t="s">
        <v>136</v>
      </c>
      <c r="AD83" s="4" t="s">
        <v>137</v>
      </c>
      <c r="AE83" s="4" t="s">
        <v>48</v>
      </c>
      <c r="AF83" s="4" t="s">
        <v>41</v>
      </c>
      <c r="AG83" s="4" t="s">
        <v>138</v>
      </c>
    </row>
    <row r="84" spans="1:33" ht="16.5" customHeight="1" x14ac:dyDescent="0.2">
      <c r="A84" s="2" t="s">
        <v>31</v>
      </c>
      <c r="B84" s="5" t="s">
        <v>54</v>
      </c>
      <c r="C84" s="5"/>
      <c r="D84" s="5"/>
      <c r="E84" s="6" t="s">
        <v>33</v>
      </c>
      <c r="F84" s="6"/>
      <c r="G84" s="7" t="s">
        <v>129</v>
      </c>
      <c r="H84" s="7"/>
      <c r="I84" s="7"/>
      <c r="J84" s="3" t="s">
        <v>35</v>
      </c>
      <c r="K84" s="4" t="s">
        <v>73</v>
      </c>
      <c r="L84" s="4" t="s">
        <v>93</v>
      </c>
      <c r="N84" s="7" t="s">
        <v>303</v>
      </c>
      <c r="O84" s="7"/>
      <c r="P84" s="7" t="s">
        <v>304</v>
      </c>
      <c r="Q84" s="7"/>
      <c r="R84" s="7"/>
      <c r="S84" s="3" t="s">
        <v>40</v>
      </c>
      <c r="T84" s="7" t="s">
        <v>41</v>
      </c>
      <c r="U84" s="7"/>
      <c r="V84" s="4" t="s">
        <v>51</v>
      </c>
      <c r="W84" s="4" t="s">
        <v>305</v>
      </c>
      <c r="X84" s="4" t="s">
        <v>306</v>
      </c>
      <c r="Y84" s="7" t="s">
        <v>78</v>
      </c>
      <c r="Z84" s="7"/>
      <c r="AA84" s="4" t="s">
        <v>46</v>
      </c>
      <c r="AB84" s="4" t="s">
        <v>47</v>
      </c>
      <c r="AC84" s="4" t="s">
        <v>136</v>
      </c>
      <c r="AD84" s="4" t="s">
        <v>148</v>
      </c>
      <c r="AE84" s="4" t="s">
        <v>48</v>
      </c>
      <c r="AF84" s="4" t="s">
        <v>41</v>
      </c>
      <c r="AG84" s="4" t="s">
        <v>138</v>
      </c>
    </row>
    <row r="85" spans="1:33" ht="16.5" customHeight="1" x14ac:dyDescent="0.2">
      <c r="A85" s="2" t="s">
        <v>31</v>
      </c>
      <c r="B85" s="5" t="s">
        <v>54</v>
      </c>
      <c r="C85" s="5"/>
      <c r="D85" s="5"/>
      <c r="E85" s="6" t="s">
        <v>33</v>
      </c>
      <c r="F85" s="6"/>
      <c r="G85" s="7" t="s">
        <v>129</v>
      </c>
      <c r="H85" s="7"/>
      <c r="I85" s="7"/>
      <c r="J85" s="3" t="s">
        <v>35</v>
      </c>
      <c r="K85" s="4" t="s">
        <v>55</v>
      </c>
      <c r="L85" s="4" t="s">
        <v>93</v>
      </c>
      <c r="N85" s="7" t="s">
        <v>307</v>
      </c>
      <c r="O85" s="7"/>
      <c r="P85" s="7" t="s">
        <v>308</v>
      </c>
      <c r="Q85" s="7"/>
      <c r="R85" s="7"/>
      <c r="S85" s="3" t="s">
        <v>40</v>
      </c>
      <c r="T85" s="7" t="s">
        <v>41</v>
      </c>
      <c r="U85" s="7"/>
      <c r="V85" s="4" t="s">
        <v>42</v>
      </c>
      <c r="W85" s="4" t="s">
        <v>309</v>
      </c>
      <c r="X85" s="4" t="s">
        <v>306</v>
      </c>
      <c r="Y85" s="7" t="s">
        <v>60</v>
      </c>
      <c r="Z85" s="7"/>
      <c r="AA85" s="4" t="s">
        <v>46</v>
      </c>
      <c r="AB85" s="4" t="s">
        <v>47</v>
      </c>
      <c r="AC85" s="4" t="s">
        <v>79</v>
      </c>
      <c r="AD85" s="4" t="s">
        <v>96</v>
      </c>
      <c r="AE85" s="4" t="s">
        <v>48</v>
      </c>
      <c r="AF85" s="4" t="s">
        <v>41</v>
      </c>
      <c r="AG85" s="4" t="s">
        <v>138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5" t="s">
        <v>54</v>
      </c>
      <c r="C88" s="5"/>
      <c r="D88" s="5"/>
      <c r="E88" s="6" t="s">
        <v>33</v>
      </c>
      <c r="F88" s="6"/>
      <c r="G88" s="7" t="s">
        <v>129</v>
      </c>
      <c r="H88" s="7"/>
      <c r="I88" s="7"/>
      <c r="J88" s="3" t="s">
        <v>35</v>
      </c>
      <c r="K88" s="4" t="s">
        <v>248</v>
      </c>
      <c r="L88" s="4" t="s">
        <v>37</v>
      </c>
      <c r="N88" s="7" t="s">
        <v>310</v>
      </c>
      <c r="O88" s="7"/>
      <c r="P88" s="7" t="s">
        <v>311</v>
      </c>
      <c r="Q88" s="7"/>
      <c r="R88" s="7"/>
      <c r="S88" s="3" t="s">
        <v>40</v>
      </c>
      <c r="T88" s="7" t="s">
        <v>41</v>
      </c>
      <c r="U88" s="7"/>
      <c r="V88" s="4" t="s">
        <v>42</v>
      </c>
      <c r="W88" s="4" t="s">
        <v>312</v>
      </c>
      <c r="X88" s="4" t="s">
        <v>313</v>
      </c>
      <c r="Y88" s="7" t="s">
        <v>60</v>
      </c>
      <c r="Z88" s="7"/>
      <c r="AA88" s="4" t="s">
        <v>46</v>
      </c>
      <c r="AB88" s="4" t="s">
        <v>47</v>
      </c>
      <c r="AC88" s="4" t="s">
        <v>61</v>
      </c>
      <c r="AD88" s="4" t="s">
        <v>62</v>
      </c>
      <c r="AE88" s="4" t="s">
        <v>48</v>
      </c>
      <c r="AF88" s="4" t="s">
        <v>41</v>
      </c>
      <c r="AG88" s="4" t="s">
        <v>138</v>
      </c>
    </row>
    <row r="89" spans="1:33" ht="16.5" customHeight="1" x14ac:dyDescent="0.2">
      <c r="A89" s="2" t="s">
        <v>31</v>
      </c>
      <c r="B89" s="5" t="s">
        <v>54</v>
      </c>
      <c r="C89" s="5"/>
      <c r="D89" s="5"/>
      <c r="E89" s="6" t="s">
        <v>33</v>
      </c>
      <c r="F89" s="6"/>
      <c r="G89" s="7" t="s">
        <v>129</v>
      </c>
      <c r="H89" s="7"/>
      <c r="I89" s="7"/>
      <c r="J89" s="3" t="s">
        <v>35</v>
      </c>
      <c r="K89" s="4" t="s">
        <v>73</v>
      </c>
      <c r="L89" s="4" t="s">
        <v>37</v>
      </c>
      <c r="N89" s="7" t="s">
        <v>314</v>
      </c>
      <c r="O89" s="7"/>
      <c r="P89" s="7" t="s">
        <v>315</v>
      </c>
      <c r="Q89" s="7"/>
      <c r="R89" s="7"/>
      <c r="S89" s="3" t="s">
        <v>40</v>
      </c>
      <c r="T89" s="7" t="s">
        <v>41</v>
      </c>
      <c r="U89" s="7"/>
      <c r="V89" s="4" t="s">
        <v>42</v>
      </c>
      <c r="W89" s="4" t="s">
        <v>43</v>
      </c>
      <c r="X89" s="4" t="s">
        <v>44</v>
      </c>
      <c r="Y89" s="7" t="s">
        <v>78</v>
      </c>
      <c r="Z89" s="7"/>
      <c r="AA89" s="4" t="s">
        <v>46</v>
      </c>
      <c r="AB89" s="4" t="s">
        <v>47</v>
      </c>
      <c r="AC89" s="4" t="s">
        <v>136</v>
      </c>
      <c r="AD89" s="4" t="s">
        <v>137</v>
      </c>
      <c r="AE89" s="4" t="s">
        <v>48</v>
      </c>
      <c r="AF89" s="4" t="s">
        <v>41</v>
      </c>
      <c r="AG89" s="4" t="s">
        <v>138</v>
      </c>
    </row>
    <row r="90" spans="1:33" ht="16.5" customHeight="1" x14ac:dyDescent="0.2">
      <c r="A90" s="2" t="s">
        <v>31</v>
      </c>
      <c r="B90" s="5" t="s">
        <v>54</v>
      </c>
      <c r="C90" s="5"/>
      <c r="D90" s="5"/>
      <c r="E90" s="6" t="s">
        <v>33</v>
      </c>
      <c r="F90" s="6"/>
      <c r="G90" s="7" t="s">
        <v>129</v>
      </c>
      <c r="H90" s="7"/>
      <c r="I90" s="7"/>
      <c r="J90" s="3" t="s">
        <v>35</v>
      </c>
      <c r="K90" s="4" t="s">
        <v>316</v>
      </c>
      <c r="L90" s="4" t="s">
        <v>37</v>
      </c>
      <c r="N90" s="7" t="s">
        <v>317</v>
      </c>
      <c r="O90" s="7"/>
      <c r="P90" s="7" t="s">
        <v>318</v>
      </c>
      <c r="Q90" s="7"/>
      <c r="R90" s="7"/>
      <c r="S90" s="3" t="s">
        <v>40</v>
      </c>
      <c r="T90" s="7" t="s">
        <v>41</v>
      </c>
      <c r="U90" s="7"/>
      <c r="V90" s="4" t="s">
        <v>42</v>
      </c>
      <c r="W90" s="4" t="s">
        <v>43</v>
      </c>
      <c r="X90" s="4" t="s">
        <v>44</v>
      </c>
      <c r="Y90" s="7" t="s">
        <v>60</v>
      </c>
      <c r="Z90" s="7"/>
      <c r="AA90" s="4" t="s">
        <v>46</v>
      </c>
      <c r="AB90" s="4" t="s">
        <v>47</v>
      </c>
      <c r="AC90" s="4" t="s">
        <v>79</v>
      </c>
      <c r="AD90" s="4" t="s">
        <v>80</v>
      </c>
      <c r="AE90" s="4" t="s">
        <v>48</v>
      </c>
      <c r="AF90" s="4" t="s">
        <v>41</v>
      </c>
      <c r="AG90" s="4" t="s">
        <v>138</v>
      </c>
    </row>
    <row r="91" spans="1:33" ht="16.5" customHeight="1" x14ac:dyDescent="0.2">
      <c r="A91" s="2" t="s">
        <v>31</v>
      </c>
      <c r="B91" s="5" t="s">
        <v>54</v>
      </c>
      <c r="C91" s="5"/>
      <c r="D91" s="5"/>
      <c r="E91" s="6" t="s">
        <v>33</v>
      </c>
      <c r="F91" s="6"/>
      <c r="G91" s="7" t="s">
        <v>129</v>
      </c>
      <c r="H91" s="7"/>
      <c r="I91" s="7"/>
      <c r="J91" s="3" t="s">
        <v>35</v>
      </c>
      <c r="K91" s="4" t="s">
        <v>55</v>
      </c>
      <c r="L91" s="4" t="s">
        <v>37</v>
      </c>
      <c r="N91" s="7" t="s">
        <v>319</v>
      </c>
      <c r="O91" s="7"/>
      <c r="P91" s="7" t="s">
        <v>320</v>
      </c>
      <c r="Q91" s="7"/>
      <c r="R91" s="7"/>
      <c r="S91" s="3" t="s">
        <v>40</v>
      </c>
      <c r="T91" s="7" t="s">
        <v>41</v>
      </c>
      <c r="U91" s="7"/>
      <c r="V91" s="4" t="s">
        <v>42</v>
      </c>
      <c r="W91" s="4" t="s">
        <v>43</v>
      </c>
      <c r="X91" s="4" t="s">
        <v>44</v>
      </c>
      <c r="Y91" s="7" t="s">
        <v>60</v>
      </c>
      <c r="Z91" s="7"/>
      <c r="AA91" s="4" t="s">
        <v>46</v>
      </c>
      <c r="AB91" s="4" t="s">
        <v>47</v>
      </c>
      <c r="AC91" s="4" t="s">
        <v>79</v>
      </c>
      <c r="AD91" s="4" t="s">
        <v>80</v>
      </c>
      <c r="AE91" s="4" t="s">
        <v>48</v>
      </c>
      <c r="AF91" s="4" t="s">
        <v>41</v>
      </c>
      <c r="AG91" s="4" t="s">
        <v>138</v>
      </c>
    </row>
    <row r="92" spans="1:33" ht="16.5" customHeight="1" x14ac:dyDescent="0.2">
      <c r="A92" s="2" t="s">
        <v>31</v>
      </c>
      <c r="B92" s="5" t="s">
        <v>54</v>
      </c>
      <c r="C92" s="5"/>
      <c r="D92" s="5"/>
      <c r="E92" s="6" t="s">
        <v>33</v>
      </c>
      <c r="F92" s="6"/>
      <c r="G92" s="7" t="s">
        <v>129</v>
      </c>
      <c r="H92" s="7"/>
      <c r="I92" s="7"/>
      <c r="J92" s="3" t="s">
        <v>35</v>
      </c>
      <c r="K92" s="4" t="s">
        <v>97</v>
      </c>
      <c r="L92" s="4" t="s">
        <v>280</v>
      </c>
      <c r="N92" s="7" t="s">
        <v>321</v>
      </c>
      <c r="O92" s="7"/>
      <c r="P92" s="7" t="s">
        <v>322</v>
      </c>
      <c r="Q92" s="7"/>
      <c r="R92" s="7"/>
      <c r="S92" s="3" t="s">
        <v>40</v>
      </c>
      <c r="T92" s="7" t="s">
        <v>41</v>
      </c>
      <c r="U92" s="7"/>
      <c r="V92" s="4" t="s">
        <v>42</v>
      </c>
      <c r="W92" s="4" t="s">
        <v>323</v>
      </c>
      <c r="X92" s="4" t="s">
        <v>52</v>
      </c>
      <c r="Y92" s="7" t="s">
        <v>78</v>
      </c>
      <c r="Z92" s="7"/>
      <c r="AA92" s="4" t="s">
        <v>46</v>
      </c>
      <c r="AB92" s="4" t="s">
        <v>47</v>
      </c>
      <c r="AC92" s="4" t="s">
        <v>136</v>
      </c>
      <c r="AD92" s="4" t="s">
        <v>324</v>
      </c>
      <c r="AE92" s="4" t="s">
        <v>48</v>
      </c>
      <c r="AF92" s="4" t="s">
        <v>41</v>
      </c>
      <c r="AG92" s="4" t="s">
        <v>138</v>
      </c>
    </row>
    <row r="93" spans="1:33" ht="16.5" customHeight="1" x14ac:dyDescent="0.2">
      <c r="A93" s="2" t="s">
        <v>31</v>
      </c>
      <c r="B93" s="5" t="s">
        <v>54</v>
      </c>
      <c r="C93" s="5"/>
      <c r="D93" s="5"/>
      <c r="E93" s="6" t="s">
        <v>33</v>
      </c>
      <c r="F93" s="6"/>
      <c r="G93" s="7" t="s">
        <v>129</v>
      </c>
      <c r="H93" s="7"/>
      <c r="I93" s="7"/>
      <c r="J93" s="3" t="s">
        <v>35</v>
      </c>
      <c r="K93" s="4" t="s">
        <v>73</v>
      </c>
      <c r="L93" s="4" t="s">
        <v>93</v>
      </c>
      <c r="N93" s="7" t="s">
        <v>325</v>
      </c>
      <c r="O93" s="7"/>
      <c r="P93" s="7" t="s">
        <v>326</v>
      </c>
      <c r="Q93" s="7"/>
      <c r="R93" s="7"/>
      <c r="S93" s="3" t="s">
        <v>40</v>
      </c>
      <c r="T93" s="7" t="s">
        <v>41</v>
      </c>
      <c r="U93" s="7"/>
      <c r="V93" s="4" t="s">
        <v>42</v>
      </c>
      <c r="W93" s="4" t="s">
        <v>323</v>
      </c>
      <c r="X93" s="4" t="s">
        <v>52</v>
      </c>
      <c r="Y93" s="7" t="s">
        <v>78</v>
      </c>
      <c r="Z93" s="7"/>
      <c r="AA93" s="4" t="s">
        <v>46</v>
      </c>
      <c r="AB93" s="4" t="s">
        <v>47</v>
      </c>
      <c r="AC93" s="4" t="s">
        <v>136</v>
      </c>
      <c r="AD93" s="4" t="s">
        <v>148</v>
      </c>
      <c r="AE93" s="4" t="s">
        <v>48</v>
      </c>
      <c r="AF93" s="4" t="s">
        <v>41</v>
      </c>
      <c r="AG93" s="4" t="s">
        <v>138</v>
      </c>
    </row>
    <row r="94" spans="1:33" ht="16.5" customHeight="1" x14ac:dyDescent="0.2">
      <c r="A94" s="2" t="s">
        <v>31</v>
      </c>
      <c r="B94" s="5" t="s">
        <v>54</v>
      </c>
      <c r="C94" s="5"/>
      <c r="D94" s="5"/>
      <c r="E94" s="6" t="s">
        <v>33</v>
      </c>
      <c r="F94" s="6"/>
      <c r="G94" s="7" t="s">
        <v>129</v>
      </c>
      <c r="H94" s="7"/>
      <c r="I94" s="7"/>
      <c r="J94" s="3" t="s">
        <v>35</v>
      </c>
      <c r="K94" s="4" t="s">
        <v>73</v>
      </c>
      <c r="L94" s="4" t="s">
        <v>37</v>
      </c>
      <c r="N94" s="7" t="s">
        <v>327</v>
      </c>
      <c r="O94" s="7"/>
      <c r="P94" s="7" t="s">
        <v>328</v>
      </c>
      <c r="Q94" s="7"/>
      <c r="R94" s="7"/>
      <c r="S94" s="3" t="s">
        <v>40</v>
      </c>
      <c r="T94" s="7" t="s">
        <v>41</v>
      </c>
      <c r="U94" s="7"/>
      <c r="V94" s="4" t="s">
        <v>42</v>
      </c>
      <c r="W94" s="4" t="s">
        <v>329</v>
      </c>
      <c r="X94" s="4" t="s">
        <v>330</v>
      </c>
      <c r="Y94" s="7" t="s">
        <v>78</v>
      </c>
      <c r="Z94" s="7"/>
      <c r="AA94" s="4" t="s">
        <v>46</v>
      </c>
      <c r="AB94" s="4" t="s">
        <v>47</v>
      </c>
      <c r="AC94" s="4" t="s">
        <v>136</v>
      </c>
      <c r="AD94" s="4" t="s">
        <v>137</v>
      </c>
      <c r="AE94" s="4" t="s">
        <v>48</v>
      </c>
      <c r="AF94" s="4" t="s">
        <v>41</v>
      </c>
      <c r="AG94" s="4" t="s">
        <v>138</v>
      </c>
    </row>
    <row r="95" spans="1:33" ht="16.5" customHeight="1" x14ac:dyDescent="0.2">
      <c r="A95" s="2" t="s">
        <v>31</v>
      </c>
      <c r="B95" s="5" t="s">
        <v>54</v>
      </c>
      <c r="C95" s="5"/>
      <c r="D95" s="5"/>
      <c r="E95" s="6" t="s">
        <v>33</v>
      </c>
      <c r="F95" s="6"/>
      <c r="G95" s="7" t="s">
        <v>129</v>
      </c>
      <c r="H95" s="7"/>
      <c r="I95" s="7"/>
      <c r="J95" s="3" t="s">
        <v>35</v>
      </c>
      <c r="K95" s="4" t="s">
        <v>55</v>
      </c>
      <c r="L95" s="4" t="s">
        <v>37</v>
      </c>
      <c r="N95" s="7" t="s">
        <v>331</v>
      </c>
      <c r="O95" s="7"/>
      <c r="P95" s="7" t="s">
        <v>332</v>
      </c>
      <c r="Q95" s="7"/>
      <c r="R95" s="7"/>
      <c r="S95" s="3" t="s">
        <v>40</v>
      </c>
      <c r="T95" s="7" t="s">
        <v>41</v>
      </c>
      <c r="U95" s="7"/>
      <c r="V95" s="4" t="s">
        <v>42</v>
      </c>
      <c r="W95" s="4" t="s">
        <v>333</v>
      </c>
      <c r="X95" s="4" t="s">
        <v>334</v>
      </c>
      <c r="Y95" s="7" t="s">
        <v>60</v>
      </c>
      <c r="Z95" s="7"/>
      <c r="AA95" s="4" t="s">
        <v>46</v>
      </c>
      <c r="AB95" s="4" t="s">
        <v>47</v>
      </c>
      <c r="AC95" s="4" t="s">
        <v>79</v>
      </c>
      <c r="AD95" s="4" t="s">
        <v>80</v>
      </c>
      <c r="AE95" s="4" t="s">
        <v>48</v>
      </c>
      <c r="AF95" s="4" t="s">
        <v>41</v>
      </c>
      <c r="AG95" s="4" t="s">
        <v>138</v>
      </c>
    </row>
    <row r="96" spans="1:33" ht="16.5" customHeight="1" x14ac:dyDescent="0.2">
      <c r="A96" s="2" t="s">
        <v>31</v>
      </c>
      <c r="B96" s="5" t="s">
        <v>54</v>
      </c>
      <c r="C96" s="5"/>
      <c r="D96" s="5"/>
      <c r="E96" s="6" t="s">
        <v>33</v>
      </c>
      <c r="F96" s="6"/>
      <c r="G96" s="7" t="s">
        <v>129</v>
      </c>
      <c r="H96" s="7"/>
      <c r="I96" s="7"/>
      <c r="J96" s="3" t="s">
        <v>35</v>
      </c>
      <c r="K96" s="4" t="s">
        <v>97</v>
      </c>
      <c r="L96" s="4" t="s">
        <v>37</v>
      </c>
      <c r="N96" s="7" t="s">
        <v>335</v>
      </c>
      <c r="O96" s="7"/>
      <c r="P96" s="7" t="s">
        <v>336</v>
      </c>
      <c r="Q96" s="7"/>
      <c r="R96" s="7"/>
      <c r="S96" s="3" t="s">
        <v>40</v>
      </c>
      <c r="T96" s="7" t="s">
        <v>41</v>
      </c>
      <c r="U96" s="7"/>
      <c r="V96" s="4" t="s">
        <v>42</v>
      </c>
      <c r="W96" s="4" t="s">
        <v>337</v>
      </c>
      <c r="X96" s="4" t="s">
        <v>338</v>
      </c>
      <c r="Y96" s="7" t="s">
        <v>78</v>
      </c>
      <c r="Z96" s="7"/>
      <c r="AA96" s="4" t="s">
        <v>46</v>
      </c>
      <c r="AB96" s="4" t="s">
        <v>47</v>
      </c>
      <c r="AC96" s="4" t="s">
        <v>136</v>
      </c>
      <c r="AD96" s="4" t="s">
        <v>137</v>
      </c>
      <c r="AE96" s="4" t="s">
        <v>48</v>
      </c>
      <c r="AF96" s="4" t="s">
        <v>41</v>
      </c>
      <c r="AG96" s="4" t="s">
        <v>138</v>
      </c>
    </row>
    <row r="97" spans="1:33" ht="16.5" customHeight="1" x14ac:dyDescent="0.2">
      <c r="A97" s="2" t="s">
        <v>31</v>
      </c>
      <c r="B97" s="5" t="s">
        <v>54</v>
      </c>
      <c r="C97" s="5"/>
      <c r="D97" s="5"/>
      <c r="E97" s="6" t="s">
        <v>33</v>
      </c>
      <c r="F97" s="6"/>
      <c r="G97" s="7" t="s">
        <v>129</v>
      </c>
      <c r="H97" s="7"/>
      <c r="I97" s="7"/>
      <c r="J97" s="3" t="s">
        <v>35</v>
      </c>
      <c r="K97" s="4" t="s">
        <v>73</v>
      </c>
      <c r="L97" s="4" t="s">
        <v>37</v>
      </c>
      <c r="N97" s="7" t="s">
        <v>339</v>
      </c>
      <c r="O97" s="7"/>
      <c r="P97" s="7" t="s">
        <v>340</v>
      </c>
      <c r="Q97" s="7"/>
      <c r="R97" s="7"/>
      <c r="S97" s="3" t="s">
        <v>40</v>
      </c>
      <c r="T97" s="7" t="s">
        <v>41</v>
      </c>
      <c r="U97" s="7"/>
      <c r="V97" s="4" t="s">
        <v>42</v>
      </c>
      <c r="W97" s="4" t="s">
        <v>146</v>
      </c>
      <c r="X97" s="4" t="s">
        <v>147</v>
      </c>
      <c r="Y97" s="7" t="s">
        <v>78</v>
      </c>
      <c r="Z97" s="7"/>
      <c r="AA97" s="4" t="s">
        <v>46</v>
      </c>
      <c r="AB97" s="4" t="s">
        <v>47</v>
      </c>
      <c r="AC97" s="4" t="s">
        <v>136</v>
      </c>
      <c r="AD97" s="4" t="s">
        <v>137</v>
      </c>
      <c r="AE97" s="4" t="s">
        <v>48</v>
      </c>
      <c r="AF97" s="4" t="s">
        <v>41</v>
      </c>
      <c r="AG97" s="4" t="s">
        <v>138</v>
      </c>
    </row>
    <row r="98" spans="1:33" ht="16.5" customHeight="1" x14ac:dyDescent="0.2">
      <c r="A98" s="2" t="s">
        <v>31</v>
      </c>
      <c r="B98" s="5" t="s">
        <v>54</v>
      </c>
      <c r="C98" s="5"/>
      <c r="D98" s="5"/>
      <c r="E98" s="6" t="s">
        <v>33</v>
      </c>
      <c r="F98" s="6"/>
      <c r="G98" s="7" t="s">
        <v>129</v>
      </c>
      <c r="H98" s="7"/>
      <c r="I98" s="7"/>
      <c r="J98" s="3" t="s">
        <v>35</v>
      </c>
      <c r="K98" s="4" t="s">
        <v>73</v>
      </c>
      <c r="L98" s="4" t="s">
        <v>37</v>
      </c>
      <c r="N98" s="7" t="s">
        <v>339</v>
      </c>
      <c r="O98" s="7"/>
      <c r="P98" s="7" t="s">
        <v>340</v>
      </c>
      <c r="Q98" s="7"/>
      <c r="R98" s="7"/>
      <c r="S98" s="3" t="s">
        <v>40</v>
      </c>
      <c r="T98" s="7" t="s">
        <v>41</v>
      </c>
      <c r="U98" s="7"/>
      <c r="V98" s="4" t="s">
        <v>51</v>
      </c>
      <c r="W98" s="4" t="s">
        <v>146</v>
      </c>
      <c r="X98" s="4" t="s">
        <v>341</v>
      </c>
      <c r="Y98" s="7" t="s">
        <v>78</v>
      </c>
      <c r="Z98" s="7"/>
      <c r="AA98" s="4" t="s">
        <v>46</v>
      </c>
      <c r="AB98" s="4" t="s">
        <v>47</v>
      </c>
      <c r="AC98" s="4" t="s">
        <v>136</v>
      </c>
      <c r="AD98" s="4" t="s">
        <v>137</v>
      </c>
      <c r="AE98" s="4" t="s">
        <v>48</v>
      </c>
      <c r="AF98" s="4" t="s">
        <v>41</v>
      </c>
      <c r="AG98" s="4" t="s">
        <v>138</v>
      </c>
    </row>
    <row r="99" spans="1:33" ht="16.5" customHeight="1" x14ac:dyDescent="0.2">
      <c r="A99" s="2" t="s">
        <v>31</v>
      </c>
      <c r="B99" s="5" t="s">
        <v>54</v>
      </c>
      <c r="C99" s="5"/>
      <c r="D99" s="5"/>
      <c r="E99" s="6" t="s">
        <v>33</v>
      </c>
      <c r="F99" s="6"/>
      <c r="G99" s="7" t="s">
        <v>129</v>
      </c>
      <c r="H99" s="7"/>
      <c r="I99" s="7"/>
      <c r="J99" s="3" t="s">
        <v>35</v>
      </c>
      <c r="K99" s="4" t="s">
        <v>73</v>
      </c>
      <c r="L99" s="4" t="s">
        <v>37</v>
      </c>
      <c r="N99" s="7" t="s">
        <v>342</v>
      </c>
      <c r="O99" s="7"/>
      <c r="P99" s="7" t="s">
        <v>343</v>
      </c>
      <c r="Q99" s="7"/>
      <c r="R99" s="7"/>
      <c r="S99" s="3" t="s">
        <v>40</v>
      </c>
      <c r="T99" s="7" t="s">
        <v>41</v>
      </c>
      <c r="U99" s="7"/>
      <c r="V99" s="4" t="s">
        <v>51</v>
      </c>
      <c r="W99" s="4" t="s">
        <v>234</v>
      </c>
      <c r="X99" s="4" t="s">
        <v>344</v>
      </c>
      <c r="Y99" s="7" t="s">
        <v>78</v>
      </c>
      <c r="Z99" s="7"/>
      <c r="AA99" s="4" t="s">
        <v>46</v>
      </c>
      <c r="AB99" s="4" t="s">
        <v>47</v>
      </c>
      <c r="AC99" s="4" t="s">
        <v>136</v>
      </c>
      <c r="AD99" s="4" t="s">
        <v>137</v>
      </c>
      <c r="AE99" s="4" t="s">
        <v>48</v>
      </c>
      <c r="AF99" s="4" t="s">
        <v>41</v>
      </c>
      <c r="AG99" s="4" t="s">
        <v>138</v>
      </c>
    </row>
    <row r="100" spans="1:33" ht="16.5" customHeight="1" x14ac:dyDescent="0.2">
      <c r="A100" s="2" t="s">
        <v>31</v>
      </c>
      <c r="B100" s="5" t="s">
        <v>54</v>
      </c>
      <c r="C100" s="5"/>
      <c r="D100" s="5"/>
      <c r="E100" s="6" t="s">
        <v>33</v>
      </c>
      <c r="F100" s="6"/>
      <c r="G100" s="7" t="s">
        <v>129</v>
      </c>
      <c r="H100" s="7"/>
      <c r="I100" s="7"/>
      <c r="J100" s="3" t="s">
        <v>35</v>
      </c>
      <c r="K100" s="4" t="s">
        <v>97</v>
      </c>
      <c r="L100" s="4" t="s">
        <v>93</v>
      </c>
      <c r="N100" s="7" t="s">
        <v>345</v>
      </c>
      <c r="O100" s="7"/>
      <c r="P100" s="7" t="s">
        <v>346</v>
      </c>
      <c r="Q100" s="7"/>
      <c r="R100" s="7"/>
      <c r="S100" s="3" t="s">
        <v>40</v>
      </c>
      <c r="T100" s="7" t="s">
        <v>41</v>
      </c>
      <c r="U100" s="7"/>
      <c r="V100" s="4" t="s">
        <v>42</v>
      </c>
      <c r="W100" s="4" t="s">
        <v>234</v>
      </c>
      <c r="X100" s="4" t="s">
        <v>235</v>
      </c>
      <c r="Y100" s="7" t="s">
        <v>78</v>
      </c>
      <c r="Z100" s="7"/>
      <c r="AA100" s="4" t="s">
        <v>46</v>
      </c>
      <c r="AB100" s="4" t="s">
        <v>47</v>
      </c>
      <c r="AC100" s="4" t="s">
        <v>136</v>
      </c>
      <c r="AD100" s="4" t="s">
        <v>148</v>
      </c>
      <c r="AE100" s="4" t="s">
        <v>48</v>
      </c>
      <c r="AF100" s="4" t="s">
        <v>41</v>
      </c>
      <c r="AG100" s="4" t="s">
        <v>138</v>
      </c>
    </row>
    <row r="101" spans="1:33" ht="16.5" customHeight="1" x14ac:dyDescent="0.2">
      <c r="A101" s="2" t="s">
        <v>31</v>
      </c>
      <c r="B101" s="5" t="s">
        <v>54</v>
      </c>
      <c r="C101" s="5"/>
      <c r="D101" s="5"/>
      <c r="E101" s="6" t="s">
        <v>33</v>
      </c>
      <c r="F101" s="6"/>
      <c r="G101" s="7" t="s">
        <v>129</v>
      </c>
      <c r="H101" s="7"/>
      <c r="I101" s="7"/>
      <c r="J101" s="3" t="s">
        <v>35</v>
      </c>
      <c r="K101" s="4" t="s">
        <v>130</v>
      </c>
      <c r="L101" s="4" t="s">
        <v>37</v>
      </c>
      <c r="N101" s="7" t="s">
        <v>347</v>
      </c>
      <c r="O101" s="7"/>
      <c r="P101" s="7" t="s">
        <v>348</v>
      </c>
      <c r="Q101" s="7"/>
      <c r="R101" s="7"/>
      <c r="S101" s="3" t="s">
        <v>40</v>
      </c>
      <c r="T101" s="7" t="s">
        <v>41</v>
      </c>
      <c r="U101" s="7"/>
      <c r="V101" s="4" t="s">
        <v>42</v>
      </c>
      <c r="W101" s="4" t="s">
        <v>234</v>
      </c>
      <c r="X101" s="4" t="s">
        <v>235</v>
      </c>
      <c r="Y101" s="7" t="s">
        <v>135</v>
      </c>
      <c r="Z101" s="7"/>
      <c r="AA101" s="4" t="s">
        <v>46</v>
      </c>
      <c r="AB101" s="4" t="s">
        <v>47</v>
      </c>
      <c r="AC101" s="4" t="s">
        <v>136</v>
      </c>
      <c r="AD101" s="4" t="s">
        <v>137</v>
      </c>
      <c r="AE101" s="4" t="s">
        <v>48</v>
      </c>
      <c r="AF101" s="4" t="s">
        <v>41</v>
      </c>
      <c r="AG101" s="4" t="s">
        <v>138</v>
      </c>
    </row>
    <row r="102" spans="1:33" ht="16.5" customHeight="1" x14ac:dyDescent="0.2">
      <c r="A102" s="2" t="s">
        <v>31</v>
      </c>
      <c r="B102" s="5" t="s">
        <v>54</v>
      </c>
      <c r="C102" s="5"/>
      <c r="D102" s="5"/>
      <c r="E102" s="6" t="s">
        <v>33</v>
      </c>
      <c r="F102" s="6"/>
      <c r="G102" s="7" t="s">
        <v>129</v>
      </c>
      <c r="H102" s="7"/>
      <c r="I102" s="7"/>
      <c r="J102" s="3" t="s">
        <v>35</v>
      </c>
      <c r="K102" s="4" t="s">
        <v>149</v>
      </c>
      <c r="L102" s="4" t="s">
        <v>37</v>
      </c>
      <c r="N102" s="7" t="s">
        <v>349</v>
      </c>
      <c r="O102" s="7"/>
      <c r="P102" s="7" t="s">
        <v>350</v>
      </c>
      <c r="Q102" s="7"/>
      <c r="R102" s="7"/>
      <c r="S102" s="3" t="s">
        <v>40</v>
      </c>
      <c r="T102" s="7" t="s">
        <v>41</v>
      </c>
      <c r="U102" s="7"/>
      <c r="V102" s="4" t="s">
        <v>42</v>
      </c>
      <c r="W102" s="4" t="s">
        <v>234</v>
      </c>
      <c r="X102" s="4" t="s">
        <v>235</v>
      </c>
      <c r="Y102" s="7" t="s">
        <v>78</v>
      </c>
      <c r="Z102" s="7"/>
      <c r="AA102" s="4" t="s">
        <v>46</v>
      </c>
      <c r="AB102" s="4" t="s">
        <v>47</v>
      </c>
      <c r="AC102" s="4" t="s">
        <v>136</v>
      </c>
      <c r="AD102" s="4" t="s">
        <v>137</v>
      </c>
      <c r="AE102" s="4" t="s">
        <v>48</v>
      </c>
      <c r="AF102" s="4" t="s">
        <v>41</v>
      </c>
      <c r="AG102" s="4" t="s">
        <v>138</v>
      </c>
    </row>
    <row r="103" spans="1:33" ht="16.5" customHeight="1" x14ac:dyDescent="0.2">
      <c r="A103" s="2" t="s">
        <v>31</v>
      </c>
      <c r="B103" s="5" t="s">
        <v>54</v>
      </c>
      <c r="C103" s="5"/>
      <c r="D103" s="5"/>
      <c r="E103" s="6" t="s">
        <v>33</v>
      </c>
      <c r="F103" s="6"/>
      <c r="G103" s="7" t="s">
        <v>129</v>
      </c>
      <c r="H103" s="7"/>
      <c r="I103" s="7"/>
      <c r="J103" s="3" t="s">
        <v>35</v>
      </c>
      <c r="K103" s="4" t="s">
        <v>73</v>
      </c>
      <c r="L103" s="4" t="s">
        <v>37</v>
      </c>
      <c r="N103" s="7" t="s">
        <v>351</v>
      </c>
      <c r="O103" s="7"/>
      <c r="P103" s="7" t="s">
        <v>352</v>
      </c>
      <c r="Q103" s="7"/>
      <c r="R103" s="7"/>
      <c r="S103" s="3" t="s">
        <v>40</v>
      </c>
      <c r="T103" s="7" t="s">
        <v>41</v>
      </c>
      <c r="U103" s="7"/>
      <c r="V103" s="4" t="s">
        <v>42</v>
      </c>
      <c r="W103" s="4" t="s">
        <v>234</v>
      </c>
      <c r="X103" s="4" t="s">
        <v>235</v>
      </c>
      <c r="Y103" s="7" t="s">
        <v>78</v>
      </c>
      <c r="Z103" s="7"/>
      <c r="AA103" s="4" t="s">
        <v>46</v>
      </c>
      <c r="AB103" s="4" t="s">
        <v>47</v>
      </c>
      <c r="AC103" s="4" t="s">
        <v>136</v>
      </c>
      <c r="AD103" s="4" t="s">
        <v>137</v>
      </c>
      <c r="AE103" s="4" t="s">
        <v>48</v>
      </c>
      <c r="AF103" s="4" t="s">
        <v>41</v>
      </c>
      <c r="AG103" s="4" t="s">
        <v>138</v>
      </c>
    </row>
    <row r="104" spans="1:33" ht="16.5" customHeight="1" x14ac:dyDescent="0.2">
      <c r="A104" s="2" t="s">
        <v>31</v>
      </c>
      <c r="B104" s="5" t="s">
        <v>54</v>
      </c>
      <c r="C104" s="5"/>
      <c r="D104" s="5"/>
      <c r="E104" s="6" t="s">
        <v>33</v>
      </c>
      <c r="F104" s="6"/>
      <c r="G104" s="7" t="s">
        <v>129</v>
      </c>
      <c r="H104" s="7"/>
      <c r="I104" s="7"/>
      <c r="J104" s="3" t="s">
        <v>35</v>
      </c>
      <c r="K104" s="4" t="s">
        <v>248</v>
      </c>
      <c r="L104" s="4" t="s">
        <v>37</v>
      </c>
      <c r="N104" s="7" t="s">
        <v>353</v>
      </c>
      <c r="O104" s="7"/>
      <c r="P104" s="7" t="s">
        <v>354</v>
      </c>
      <c r="Q104" s="7"/>
      <c r="R104" s="7"/>
      <c r="S104" s="3" t="s">
        <v>40</v>
      </c>
      <c r="T104" s="7" t="s">
        <v>41</v>
      </c>
      <c r="U104" s="7"/>
      <c r="V104" s="4" t="s">
        <v>42</v>
      </c>
      <c r="W104" s="4" t="s">
        <v>355</v>
      </c>
      <c r="X104" s="4" t="s">
        <v>344</v>
      </c>
      <c r="Y104" s="7" t="s">
        <v>60</v>
      </c>
      <c r="Z104" s="7"/>
      <c r="AA104" s="4" t="s">
        <v>46</v>
      </c>
      <c r="AB104" s="4" t="s">
        <v>47</v>
      </c>
      <c r="AC104" s="4" t="s">
        <v>79</v>
      </c>
      <c r="AD104" s="4" t="s">
        <v>80</v>
      </c>
      <c r="AE104" s="4" t="s">
        <v>48</v>
      </c>
      <c r="AF104" s="4" t="s">
        <v>41</v>
      </c>
      <c r="AG104" s="4" t="s">
        <v>138</v>
      </c>
    </row>
    <row r="105" spans="1:33" ht="16.5" customHeight="1" x14ac:dyDescent="0.2">
      <c r="A105" s="2" t="s">
        <v>31</v>
      </c>
      <c r="B105" s="5" t="s">
        <v>54</v>
      </c>
      <c r="C105" s="5"/>
      <c r="D105" s="5"/>
      <c r="E105" s="6" t="s">
        <v>33</v>
      </c>
      <c r="F105" s="6"/>
      <c r="G105" s="7" t="s">
        <v>129</v>
      </c>
      <c r="H105" s="7"/>
      <c r="I105" s="7"/>
      <c r="J105" s="3" t="s">
        <v>35</v>
      </c>
      <c r="K105" s="4" t="s">
        <v>55</v>
      </c>
      <c r="L105" s="4" t="s">
        <v>93</v>
      </c>
      <c r="N105" s="7" t="s">
        <v>356</v>
      </c>
      <c r="O105" s="7"/>
      <c r="P105" s="7" t="s">
        <v>357</v>
      </c>
      <c r="Q105" s="7"/>
      <c r="R105" s="7"/>
      <c r="S105" s="3" t="s">
        <v>40</v>
      </c>
      <c r="T105" s="7" t="s">
        <v>41</v>
      </c>
      <c r="U105" s="7"/>
      <c r="V105" s="4" t="s">
        <v>42</v>
      </c>
      <c r="W105" s="4" t="s">
        <v>355</v>
      </c>
      <c r="X105" s="4" t="s">
        <v>344</v>
      </c>
      <c r="Y105" s="7" t="s">
        <v>60</v>
      </c>
      <c r="Z105" s="7"/>
      <c r="AA105" s="4" t="s">
        <v>46</v>
      </c>
      <c r="AB105" s="4" t="s">
        <v>47</v>
      </c>
      <c r="AC105" s="4" t="s">
        <v>79</v>
      </c>
      <c r="AD105" s="4" t="s">
        <v>96</v>
      </c>
      <c r="AE105" s="4" t="s">
        <v>48</v>
      </c>
      <c r="AF105" s="4" t="s">
        <v>41</v>
      </c>
      <c r="AG105" s="4" t="s">
        <v>138</v>
      </c>
    </row>
    <row r="106" spans="1:33" ht="16.5" customHeight="1" x14ac:dyDescent="0.2">
      <c r="A106" s="2" t="s">
        <v>31</v>
      </c>
      <c r="B106" s="5" t="s">
        <v>54</v>
      </c>
      <c r="C106" s="5"/>
      <c r="D106" s="5"/>
      <c r="E106" s="6" t="s">
        <v>33</v>
      </c>
      <c r="F106" s="6"/>
      <c r="G106" s="7" t="s">
        <v>129</v>
      </c>
      <c r="H106" s="7"/>
      <c r="I106" s="7"/>
      <c r="J106" s="3" t="s">
        <v>35</v>
      </c>
      <c r="K106" s="4" t="s">
        <v>143</v>
      </c>
      <c r="L106" s="4" t="s">
        <v>37</v>
      </c>
      <c r="N106" s="7" t="s">
        <v>358</v>
      </c>
      <c r="O106" s="7"/>
      <c r="P106" s="7" t="s">
        <v>359</v>
      </c>
      <c r="Q106" s="7"/>
      <c r="R106" s="7"/>
      <c r="S106" s="3" t="s">
        <v>40</v>
      </c>
      <c r="T106" s="7" t="s">
        <v>41</v>
      </c>
      <c r="U106" s="7"/>
      <c r="V106" s="4" t="s">
        <v>42</v>
      </c>
      <c r="W106" s="4" t="s">
        <v>360</v>
      </c>
      <c r="X106" s="4" t="s">
        <v>361</v>
      </c>
      <c r="Y106" s="7" t="s">
        <v>135</v>
      </c>
      <c r="Z106" s="7"/>
      <c r="AA106" s="4" t="s">
        <v>46</v>
      </c>
      <c r="AB106" s="4" t="s">
        <v>47</v>
      </c>
      <c r="AC106" s="4" t="s">
        <v>79</v>
      </c>
      <c r="AD106" s="4" t="s">
        <v>80</v>
      </c>
      <c r="AE106" s="4" t="s">
        <v>48</v>
      </c>
      <c r="AF106" s="4" t="s">
        <v>41</v>
      </c>
      <c r="AG106" s="4" t="s">
        <v>138</v>
      </c>
    </row>
    <row r="107" spans="1:33" ht="16.5" customHeight="1" x14ac:dyDescent="0.2">
      <c r="A107" s="2" t="s">
        <v>31</v>
      </c>
      <c r="B107" s="5" t="s">
        <v>54</v>
      </c>
      <c r="C107" s="5"/>
      <c r="D107" s="5"/>
      <c r="E107" s="6" t="s">
        <v>33</v>
      </c>
      <c r="F107" s="6"/>
      <c r="G107" s="7" t="s">
        <v>129</v>
      </c>
      <c r="H107" s="7"/>
      <c r="I107" s="7"/>
      <c r="J107" s="3" t="s">
        <v>35</v>
      </c>
      <c r="K107" s="4" t="s">
        <v>143</v>
      </c>
      <c r="L107" s="4" t="s">
        <v>37</v>
      </c>
      <c r="N107" s="7" t="s">
        <v>362</v>
      </c>
      <c r="O107" s="7"/>
      <c r="P107" s="7" t="s">
        <v>363</v>
      </c>
      <c r="Q107" s="7"/>
      <c r="R107" s="7"/>
      <c r="S107" s="3" t="s">
        <v>40</v>
      </c>
      <c r="T107" s="7" t="s">
        <v>41</v>
      </c>
      <c r="U107" s="7"/>
      <c r="V107" s="4" t="s">
        <v>42</v>
      </c>
      <c r="W107" s="4" t="s">
        <v>360</v>
      </c>
      <c r="X107" s="4" t="s">
        <v>361</v>
      </c>
      <c r="Y107" s="7" t="s">
        <v>135</v>
      </c>
      <c r="Z107" s="7"/>
      <c r="AA107" s="4" t="s">
        <v>46</v>
      </c>
      <c r="AB107" s="4" t="s">
        <v>47</v>
      </c>
      <c r="AC107" s="4" t="s">
        <v>79</v>
      </c>
      <c r="AD107" s="4" t="s">
        <v>80</v>
      </c>
      <c r="AE107" s="4" t="s">
        <v>48</v>
      </c>
      <c r="AF107" s="4" t="s">
        <v>41</v>
      </c>
      <c r="AG107" s="4" t="s">
        <v>138</v>
      </c>
    </row>
    <row r="108" spans="1:33" ht="16.5" customHeight="1" x14ac:dyDescent="0.2">
      <c r="A108" s="2" t="s">
        <v>31</v>
      </c>
      <c r="B108" s="5" t="s">
        <v>54</v>
      </c>
      <c r="C108" s="5"/>
      <c r="D108" s="5"/>
      <c r="E108" s="6" t="s">
        <v>33</v>
      </c>
      <c r="F108" s="6"/>
      <c r="G108" s="7" t="s">
        <v>129</v>
      </c>
      <c r="H108" s="7"/>
      <c r="I108" s="7"/>
      <c r="J108" s="3" t="s">
        <v>35</v>
      </c>
      <c r="K108" s="4" t="s">
        <v>248</v>
      </c>
      <c r="L108" s="4" t="s">
        <v>37</v>
      </c>
      <c r="N108" s="7" t="s">
        <v>364</v>
      </c>
      <c r="O108" s="7"/>
      <c r="P108" s="7" t="s">
        <v>365</v>
      </c>
      <c r="Q108" s="7"/>
      <c r="R108" s="7"/>
      <c r="S108" s="3" t="s">
        <v>40</v>
      </c>
      <c r="T108" s="7" t="s">
        <v>41</v>
      </c>
      <c r="U108" s="7"/>
      <c r="V108" s="4" t="s">
        <v>42</v>
      </c>
      <c r="W108" s="4" t="s">
        <v>181</v>
      </c>
      <c r="X108" s="4" t="s">
        <v>182</v>
      </c>
      <c r="Y108" s="7" t="s">
        <v>60</v>
      </c>
      <c r="Z108" s="7"/>
      <c r="AA108" s="4" t="s">
        <v>46</v>
      </c>
      <c r="AB108" s="4" t="s">
        <v>47</v>
      </c>
      <c r="AC108" s="4" t="s">
        <v>61</v>
      </c>
      <c r="AD108" s="4" t="s">
        <v>62</v>
      </c>
      <c r="AE108" s="4" t="s">
        <v>48</v>
      </c>
      <c r="AF108" s="4" t="s">
        <v>41</v>
      </c>
      <c r="AG108" s="4" t="s">
        <v>138</v>
      </c>
    </row>
    <row r="109" spans="1:33" ht="16.5" customHeight="1" x14ac:dyDescent="0.2">
      <c r="A109" s="2" t="s">
        <v>31</v>
      </c>
      <c r="B109" s="5" t="s">
        <v>54</v>
      </c>
      <c r="C109" s="5"/>
      <c r="D109" s="5"/>
      <c r="E109" s="6" t="s">
        <v>33</v>
      </c>
      <c r="F109" s="6"/>
      <c r="G109" s="7" t="s">
        <v>129</v>
      </c>
      <c r="H109" s="7"/>
      <c r="I109" s="7"/>
      <c r="J109" s="3" t="s">
        <v>35</v>
      </c>
      <c r="K109" s="4" t="s">
        <v>143</v>
      </c>
      <c r="L109" s="4" t="s">
        <v>37</v>
      </c>
      <c r="N109" s="7" t="s">
        <v>366</v>
      </c>
      <c r="O109" s="7"/>
      <c r="P109" s="7" t="s">
        <v>367</v>
      </c>
      <c r="Q109" s="7"/>
      <c r="R109" s="7"/>
      <c r="S109" s="3" t="s">
        <v>40</v>
      </c>
      <c r="T109" s="7" t="s">
        <v>41</v>
      </c>
      <c r="U109" s="7"/>
      <c r="V109" s="4" t="s">
        <v>42</v>
      </c>
      <c r="W109" s="4" t="s">
        <v>181</v>
      </c>
      <c r="X109" s="4" t="s">
        <v>182</v>
      </c>
      <c r="Y109" s="7" t="s">
        <v>135</v>
      </c>
      <c r="Z109" s="7"/>
      <c r="AA109" s="4" t="s">
        <v>46</v>
      </c>
      <c r="AB109" s="4" t="s">
        <v>47</v>
      </c>
      <c r="AC109" s="4" t="s">
        <v>79</v>
      </c>
      <c r="AD109" s="4" t="s">
        <v>80</v>
      </c>
      <c r="AE109" s="4" t="s">
        <v>48</v>
      </c>
      <c r="AF109" s="4" t="s">
        <v>41</v>
      </c>
      <c r="AG109" s="4" t="s">
        <v>138</v>
      </c>
    </row>
    <row r="110" spans="1:33" ht="16.5" customHeight="1" x14ac:dyDescent="0.2">
      <c r="A110" s="2" t="s">
        <v>31</v>
      </c>
      <c r="B110" s="5" t="s">
        <v>54</v>
      </c>
      <c r="C110" s="5"/>
      <c r="D110" s="5"/>
      <c r="E110" s="6" t="s">
        <v>33</v>
      </c>
      <c r="F110" s="6"/>
      <c r="G110" s="7" t="s">
        <v>129</v>
      </c>
      <c r="H110" s="7"/>
      <c r="I110" s="7"/>
      <c r="J110" s="3" t="s">
        <v>35</v>
      </c>
      <c r="K110" s="4" t="s">
        <v>245</v>
      </c>
      <c r="L110" s="4" t="s">
        <v>93</v>
      </c>
      <c r="N110" s="7" t="s">
        <v>368</v>
      </c>
      <c r="O110" s="7"/>
      <c r="P110" s="7" t="s">
        <v>369</v>
      </c>
      <c r="Q110" s="7"/>
      <c r="R110" s="7"/>
      <c r="S110" s="3" t="s">
        <v>40</v>
      </c>
      <c r="T110" s="7" t="s">
        <v>41</v>
      </c>
      <c r="U110" s="7"/>
      <c r="V110" s="4" t="s">
        <v>42</v>
      </c>
      <c r="W110" s="4" t="s">
        <v>181</v>
      </c>
      <c r="X110" s="4" t="s">
        <v>182</v>
      </c>
      <c r="Y110" s="7" t="s">
        <v>78</v>
      </c>
      <c r="Z110" s="7"/>
      <c r="AA110" s="4" t="s">
        <v>46</v>
      </c>
      <c r="AB110" s="4" t="s">
        <v>47</v>
      </c>
      <c r="AC110" s="4" t="s">
        <v>79</v>
      </c>
      <c r="AD110" s="4" t="s">
        <v>96</v>
      </c>
      <c r="AE110" s="4" t="s">
        <v>48</v>
      </c>
      <c r="AF110" s="4" t="s">
        <v>41</v>
      </c>
      <c r="AG110" s="4" t="s">
        <v>138</v>
      </c>
    </row>
    <row r="111" spans="1:33" ht="16.5" customHeight="1" x14ac:dyDescent="0.2">
      <c r="A111" s="2" t="s">
        <v>31</v>
      </c>
      <c r="B111" s="5" t="s">
        <v>54</v>
      </c>
      <c r="C111" s="5"/>
      <c r="D111" s="5"/>
      <c r="E111" s="6" t="s">
        <v>33</v>
      </c>
      <c r="F111" s="6"/>
      <c r="G111" s="7" t="s">
        <v>129</v>
      </c>
      <c r="H111" s="7"/>
      <c r="I111" s="7"/>
      <c r="J111" s="3" t="s">
        <v>35</v>
      </c>
      <c r="K111" s="4" t="s">
        <v>183</v>
      </c>
      <c r="L111" s="4" t="s">
        <v>37</v>
      </c>
      <c r="N111" s="7" t="s">
        <v>370</v>
      </c>
      <c r="O111" s="7"/>
      <c r="P111" s="7" t="s">
        <v>371</v>
      </c>
      <c r="Q111" s="7"/>
      <c r="R111" s="7"/>
      <c r="S111" s="3" t="s">
        <v>40</v>
      </c>
      <c r="T111" s="7" t="s">
        <v>41</v>
      </c>
      <c r="U111" s="7"/>
      <c r="V111" s="4" t="s">
        <v>42</v>
      </c>
      <c r="W111" s="4" t="s">
        <v>68</v>
      </c>
      <c r="X111" s="4" t="s">
        <v>69</v>
      </c>
      <c r="Y111" s="7" t="s">
        <v>60</v>
      </c>
      <c r="Z111" s="7"/>
      <c r="AA111" s="4" t="s">
        <v>46</v>
      </c>
      <c r="AB111" s="4" t="s">
        <v>47</v>
      </c>
      <c r="AC111" s="4" t="s">
        <v>61</v>
      </c>
      <c r="AD111" s="4" t="s">
        <v>62</v>
      </c>
      <c r="AE111" s="4" t="s">
        <v>48</v>
      </c>
      <c r="AF111" s="4" t="s">
        <v>41</v>
      </c>
      <c r="AG111" s="4" t="s">
        <v>138</v>
      </c>
    </row>
    <row r="112" spans="1:33" ht="16.5" customHeight="1" x14ac:dyDescent="0.2">
      <c r="A112" s="2" t="s">
        <v>31</v>
      </c>
      <c r="B112" s="5" t="s">
        <v>54</v>
      </c>
      <c r="C112" s="5"/>
      <c r="D112" s="5"/>
      <c r="E112" s="6" t="s">
        <v>33</v>
      </c>
      <c r="F112" s="6"/>
      <c r="G112" s="7" t="s">
        <v>129</v>
      </c>
      <c r="H112" s="7"/>
      <c r="I112" s="7"/>
      <c r="J112" s="3" t="s">
        <v>35</v>
      </c>
      <c r="K112" s="4" t="s">
        <v>123</v>
      </c>
      <c r="L112" s="4" t="s">
        <v>37</v>
      </c>
      <c r="N112" s="7" t="s">
        <v>372</v>
      </c>
      <c r="O112" s="7"/>
      <c r="P112" s="7" t="s">
        <v>373</v>
      </c>
      <c r="Q112" s="7"/>
      <c r="R112" s="7"/>
      <c r="S112" s="3" t="s">
        <v>40</v>
      </c>
      <c r="T112" s="7" t="s">
        <v>41</v>
      </c>
      <c r="U112" s="7"/>
      <c r="V112" s="4" t="s">
        <v>42</v>
      </c>
      <c r="W112" s="4" t="s">
        <v>76</v>
      </c>
      <c r="X112" s="4" t="s">
        <v>77</v>
      </c>
      <c r="Y112" s="7" t="s">
        <v>60</v>
      </c>
      <c r="Z112" s="7"/>
      <c r="AA112" s="4" t="s">
        <v>46</v>
      </c>
      <c r="AB112" s="4" t="s">
        <v>47</v>
      </c>
      <c r="AC112" s="4" t="s">
        <v>61</v>
      </c>
      <c r="AD112" s="4" t="s">
        <v>62</v>
      </c>
      <c r="AE112" s="4" t="s">
        <v>48</v>
      </c>
      <c r="AF112" s="4" t="s">
        <v>41</v>
      </c>
      <c r="AG112" s="4" t="s">
        <v>138</v>
      </c>
    </row>
    <row r="113" spans="1:33" ht="16.5" customHeight="1" x14ac:dyDescent="0.2">
      <c r="A113" s="2" t="s">
        <v>31</v>
      </c>
      <c r="B113" s="5" t="s">
        <v>54</v>
      </c>
      <c r="C113" s="5"/>
      <c r="D113" s="5"/>
      <c r="E113" s="6" t="s">
        <v>33</v>
      </c>
      <c r="F113" s="6"/>
      <c r="G113" s="7" t="s">
        <v>129</v>
      </c>
      <c r="H113" s="7"/>
      <c r="I113" s="7"/>
      <c r="J113" s="3" t="s">
        <v>35</v>
      </c>
      <c r="K113" s="4" t="s">
        <v>267</v>
      </c>
      <c r="L113" s="4" t="s">
        <v>37</v>
      </c>
      <c r="N113" s="7" t="s">
        <v>374</v>
      </c>
      <c r="O113" s="7"/>
      <c r="P113" s="7" t="s">
        <v>375</v>
      </c>
      <c r="Q113" s="7"/>
      <c r="R113" s="7"/>
      <c r="S113" s="3" t="s">
        <v>40</v>
      </c>
      <c r="T113" s="7" t="s">
        <v>41</v>
      </c>
      <c r="U113" s="7"/>
      <c r="V113" s="4" t="s">
        <v>42</v>
      </c>
      <c r="W113" s="4" t="s">
        <v>90</v>
      </c>
      <c r="X113" s="4" t="s">
        <v>91</v>
      </c>
      <c r="Y113" s="7" t="s">
        <v>78</v>
      </c>
      <c r="Z113" s="7"/>
      <c r="AA113" s="4" t="s">
        <v>46</v>
      </c>
      <c r="AB113" s="4" t="s">
        <v>47</v>
      </c>
      <c r="AC113" s="4" t="s">
        <v>79</v>
      </c>
      <c r="AD113" s="4" t="s">
        <v>80</v>
      </c>
      <c r="AE113" s="4" t="s">
        <v>48</v>
      </c>
      <c r="AF113" s="4" t="s">
        <v>41</v>
      </c>
      <c r="AG113" s="4" t="s">
        <v>138</v>
      </c>
    </row>
    <row r="114" spans="1:33" ht="16.5" customHeight="1" x14ac:dyDescent="0.2">
      <c r="A114" s="2" t="s">
        <v>31</v>
      </c>
      <c r="B114" s="5" t="s">
        <v>54</v>
      </c>
      <c r="C114" s="5"/>
      <c r="D114" s="5"/>
      <c r="E114" s="6" t="s">
        <v>33</v>
      </c>
      <c r="F114" s="6"/>
      <c r="G114" s="7" t="s">
        <v>129</v>
      </c>
      <c r="H114" s="7"/>
      <c r="I114" s="7"/>
      <c r="J114" s="3" t="s">
        <v>35</v>
      </c>
      <c r="K114" s="4" t="s">
        <v>73</v>
      </c>
      <c r="L114" s="4" t="s">
        <v>37</v>
      </c>
      <c r="N114" s="7" t="s">
        <v>376</v>
      </c>
      <c r="O114" s="7"/>
      <c r="P114" s="7" t="s">
        <v>377</v>
      </c>
      <c r="Q114" s="7"/>
      <c r="R114" s="7"/>
      <c r="S114" s="3" t="s">
        <v>40</v>
      </c>
      <c r="T114" s="7" t="s">
        <v>41</v>
      </c>
      <c r="U114" s="7"/>
      <c r="V114" s="4" t="s">
        <v>42</v>
      </c>
      <c r="W114" s="4" t="s">
        <v>107</v>
      </c>
      <c r="X114" s="4" t="s">
        <v>104</v>
      </c>
      <c r="Y114" s="7" t="s">
        <v>78</v>
      </c>
      <c r="Z114" s="7"/>
      <c r="AA114" s="4" t="s">
        <v>46</v>
      </c>
      <c r="AB114" s="4" t="s">
        <v>47</v>
      </c>
      <c r="AC114" s="4" t="s">
        <v>79</v>
      </c>
      <c r="AD114" s="4" t="s">
        <v>80</v>
      </c>
      <c r="AE114" s="4" t="s">
        <v>48</v>
      </c>
      <c r="AF114" s="4" t="s">
        <v>41</v>
      </c>
      <c r="AG114" s="4" t="s">
        <v>138</v>
      </c>
    </row>
    <row r="115" spans="1:33" ht="16.5" customHeight="1" x14ac:dyDescent="0.2">
      <c r="A115" s="2" t="s">
        <v>31</v>
      </c>
      <c r="B115" s="5" t="s">
        <v>54</v>
      </c>
      <c r="C115" s="5"/>
      <c r="D115" s="5"/>
      <c r="E115" s="6" t="s">
        <v>33</v>
      </c>
      <c r="F115" s="6"/>
      <c r="G115" s="7" t="s">
        <v>129</v>
      </c>
      <c r="H115" s="7"/>
      <c r="I115" s="7"/>
      <c r="J115" s="3" t="s">
        <v>35</v>
      </c>
      <c r="K115" s="4" t="s">
        <v>267</v>
      </c>
      <c r="L115" s="4" t="s">
        <v>37</v>
      </c>
      <c r="N115" s="7" t="s">
        <v>378</v>
      </c>
      <c r="O115" s="7"/>
      <c r="P115" s="7" t="s">
        <v>379</v>
      </c>
      <c r="Q115" s="7"/>
      <c r="R115" s="7"/>
      <c r="S115" s="3" t="s">
        <v>40</v>
      </c>
      <c r="T115" s="7" t="s">
        <v>41</v>
      </c>
      <c r="U115" s="7"/>
      <c r="V115" s="4" t="s">
        <v>42</v>
      </c>
      <c r="W115" s="4" t="s">
        <v>107</v>
      </c>
      <c r="X115" s="4" t="s">
        <v>104</v>
      </c>
      <c r="Y115" s="7" t="s">
        <v>78</v>
      </c>
      <c r="Z115" s="7"/>
      <c r="AA115" s="4" t="s">
        <v>46</v>
      </c>
      <c r="AB115" s="4" t="s">
        <v>47</v>
      </c>
      <c r="AC115" s="4" t="s">
        <v>79</v>
      </c>
      <c r="AD115" s="4" t="s">
        <v>80</v>
      </c>
      <c r="AE115" s="4" t="s">
        <v>48</v>
      </c>
      <c r="AF115" s="4" t="s">
        <v>41</v>
      </c>
      <c r="AG115" s="4" t="s">
        <v>138</v>
      </c>
    </row>
    <row r="116" spans="1:33" ht="16.5" customHeight="1" x14ac:dyDescent="0.2">
      <c r="A116" s="2" t="s">
        <v>31</v>
      </c>
      <c r="B116" s="5" t="s">
        <v>54</v>
      </c>
      <c r="C116" s="5"/>
      <c r="D116" s="5"/>
      <c r="E116" s="6" t="s">
        <v>33</v>
      </c>
      <c r="F116" s="6"/>
      <c r="G116" s="7" t="s">
        <v>129</v>
      </c>
      <c r="H116" s="7"/>
      <c r="I116" s="7"/>
      <c r="J116" s="3" t="s">
        <v>35</v>
      </c>
      <c r="K116" s="4" t="s">
        <v>55</v>
      </c>
      <c r="L116" s="4" t="s">
        <v>37</v>
      </c>
      <c r="N116" s="7" t="s">
        <v>380</v>
      </c>
      <c r="O116" s="7"/>
      <c r="P116" s="7" t="s">
        <v>381</v>
      </c>
      <c r="Q116" s="7"/>
      <c r="R116" s="7"/>
      <c r="S116" s="3" t="s">
        <v>40</v>
      </c>
      <c r="T116" s="7" t="s">
        <v>41</v>
      </c>
      <c r="U116" s="7"/>
      <c r="V116" s="4" t="s">
        <v>42</v>
      </c>
      <c r="W116" s="4" t="s">
        <v>107</v>
      </c>
      <c r="X116" s="4" t="s">
        <v>104</v>
      </c>
      <c r="Y116" s="7" t="s">
        <v>60</v>
      </c>
      <c r="Z116" s="7"/>
      <c r="AA116" s="4" t="s">
        <v>46</v>
      </c>
      <c r="AB116" s="4" t="s">
        <v>47</v>
      </c>
      <c r="AC116" s="4" t="s">
        <v>61</v>
      </c>
      <c r="AD116" s="4" t="s">
        <v>62</v>
      </c>
      <c r="AE116" s="4" t="s">
        <v>48</v>
      </c>
      <c r="AF116" s="4" t="s">
        <v>41</v>
      </c>
      <c r="AG116" s="4" t="s">
        <v>138</v>
      </c>
    </row>
    <row r="117" spans="1:33" ht="16.5" customHeight="1" x14ac:dyDescent="0.2">
      <c r="A117" s="2" t="s">
        <v>31</v>
      </c>
      <c r="B117" s="5" t="s">
        <v>54</v>
      </c>
      <c r="C117" s="5"/>
      <c r="D117" s="5"/>
      <c r="E117" s="6" t="s">
        <v>33</v>
      </c>
      <c r="F117" s="6"/>
      <c r="G117" s="7" t="s">
        <v>129</v>
      </c>
      <c r="H117" s="7"/>
      <c r="I117" s="7"/>
      <c r="J117" s="3" t="s">
        <v>35</v>
      </c>
      <c r="K117" s="4" t="s">
        <v>73</v>
      </c>
      <c r="L117" s="4" t="s">
        <v>280</v>
      </c>
      <c r="N117" s="7" t="s">
        <v>382</v>
      </c>
      <c r="O117" s="7"/>
      <c r="P117" s="7" t="s">
        <v>383</v>
      </c>
      <c r="Q117" s="7"/>
      <c r="R117" s="7"/>
      <c r="S117" s="3" t="s">
        <v>40</v>
      </c>
      <c r="T117" s="7" t="s">
        <v>41</v>
      </c>
      <c r="U117" s="7"/>
      <c r="V117" s="4" t="s">
        <v>42</v>
      </c>
      <c r="W117" s="4" t="s">
        <v>58</v>
      </c>
      <c r="X117" s="4" t="s">
        <v>59</v>
      </c>
      <c r="Y117" s="7" t="s">
        <v>78</v>
      </c>
      <c r="Z117" s="7"/>
      <c r="AA117" s="4" t="s">
        <v>46</v>
      </c>
      <c r="AB117" s="4" t="s">
        <v>47</v>
      </c>
      <c r="AC117" s="4" t="s">
        <v>79</v>
      </c>
      <c r="AD117" s="4" t="s">
        <v>285</v>
      </c>
      <c r="AE117" s="4" t="s">
        <v>48</v>
      </c>
      <c r="AF117" s="4" t="s">
        <v>41</v>
      </c>
      <c r="AG117" s="4" t="s">
        <v>138</v>
      </c>
    </row>
    <row r="118" spans="1:33" ht="16.5" customHeight="1" x14ac:dyDescent="0.2">
      <c r="A118" s="2" t="s">
        <v>31</v>
      </c>
      <c r="B118" s="5" t="s">
        <v>54</v>
      </c>
      <c r="C118" s="5"/>
      <c r="D118" s="5"/>
      <c r="E118" s="6" t="s">
        <v>33</v>
      </c>
      <c r="F118" s="6"/>
      <c r="G118" s="7" t="s">
        <v>129</v>
      </c>
      <c r="H118" s="7"/>
      <c r="I118" s="7"/>
      <c r="J118" s="3" t="s">
        <v>35</v>
      </c>
      <c r="K118" s="4" t="s">
        <v>73</v>
      </c>
      <c r="L118" s="4" t="s">
        <v>37</v>
      </c>
      <c r="N118" s="7" t="s">
        <v>384</v>
      </c>
      <c r="O118" s="7"/>
      <c r="P118" s="7" t="s">
        <v>385</v>
      </c>
      <c r="Q118" s="7"/>
      <c r="R118" s="7"/>
      <c r="S118" s="3" t="s">
        <v>40</v>
      </c>
      <c r="T118" s="7" t="s">
        <v>41</v>
      </c>
      <c r="U118" s="7"/>
      <c r="V118" s="4" t="s">
        <v>42</v>
      </c>
      <c r="W118" s="4" t="s">
        <v>172</v>
      </c>
      <c r="X118" s="4" t="s">
        <v>386</v>
      </c>
      <c r="Y118" s="7" t="s">
        <v>78</v>
      </c>
      <c r="Z118" s="7"/>
      <c r="AA118" s="4" t="s">
        <v>46</v>
      </c>
      <c r="AB118" s="4" t="s">
        <v>47</v>
      </c>
      <c r="AC118" s="4" t="s">
        <v>79</v>
      </c>
      <c r="AD118" s="4" t="s">
        <v>80</v>
      </c>
      <c r="AE118" s="4" t="s">
        <v>48</v>
      </c>
      <c r="AF118" s="4" t="s">
        <v>41</v>
      </c>
      <c r="AG118" s="4" t="s">
        <v>138</v>
      </c>
    </row>
    <row r="119" spans="1:33" ht="16.5" customHeight="1" x14ac:dyDescent="0.2">
      <c r="A119" s="2" t="s">
        <v>31</v>
      </c>
      <c r="B119" s="5" t="s">
        <v>54</v>
      </c>
      <c r="C119" s="5"/>
      <c r="D119" s="5"/>
      <c r="E119" s="6" t="s">
        <v>33</v>
      </c>
      <c r="F119" s="6"/>
      <c r="G119" s="7" t="s">
        <v>129</v>
      </c>
      <c r="H119" s="7"/>
      <c r="I119" s="7"/>
      <c r="J119" s="3" t="s">
        <v>35</v>
      </c>
      <c r="K119" s="4" t="s">
        <v>73</v>
      </c>
      <c r="L119" s="4" t="s">
        <v>37</v>
      </c>
      <c r="N119" s="7" t="s">
        <v>384</v>
      </c>
      <c r="O119" s="7"/>
      <c r="P119" s="7" t="s">
        <v>385</v>
      </c>
      <c r="Q119" s="7"/>
      <c r="R119" s="7"/>
      <c r="S119" s="3" t="s">
        <v>40</v>
      </c>
      <c r="T119" s="7" t="s">
        <v>41</v>
      </c>
      <c r="U119" s="7"/>
      <c r="V119" s="4" t="s">
        <v>51</v>
      </c>
      <c r="W119" s="4" t="s">
        <v>172</v>
      </c>
      <c r="X119" s="4" t="s">
        <v>59</v>
      </c>
      <c r="Y119" s="7" t="s">
        <v>78</v>
      </c>
      <c r="Z119" s="7"/>
      <c r="AA119" s="4" t="s">
        <v>46</v>
      </c>
      <c r="AB119" s="4" t="s">
        <v>47</v>
      </c>
      <c r="AC119" s="4" t="s">
        <v>79</v>
      </c>
      <c r="AD119" s="4" t="s">
        <v>80</v>
      </c>
      <c r="AE119" s="4" t="s">
        <v>48</v>
      </c>
      <c r="AF119" s="4" t="s">
        <v>41</v>
      </c>
      <c r="AG119" s="4" t="s">
        <v>138</v>
      </c>
    </row>
    <row r="120" spans="1:33" ht="16.5" customHeight="1" x14ac:dyDescent="0.2">
      <c r="A120" s="2" t="s">
        <v>31</v>
      </c>
      <c r="B120" s="5" t="s">
        <v>54</v>
      </c>
      <c r="C120" s="5"/>
      <c r="D120" s="5"/>
      <c r="E120" s="6" t="s">
        <v>33</v>
      </c>
      <c r="F120" s="6"/>
      <c r="G120" s="7" t="s">
        <v>129</v>
      </c>
      <c r="H120" s="7"/>
      <c r="I120" s="7"/>
      <c r="J120" s="3" t="s">
        <v>35</v>
      </c>
      <c r="K120" s="4" t="s">
        <v>387</v>
      </c>
      <c r="L120" s="4" t="s">
        <v>37</v>
      </c>
      <c r="N120" s="7" t="s">
        <v>388</v>
      </c>
      <c r="O120" s="7"/>
      <c r="P120" s="7" t="s">
        <v>389</v>
      </c>
      <c r="Q120" s="7"/>
      <c r="R120" s="7"/>
      <c r="S120" s="3" t="s">
        <v>40</v>
      </c>
      <c r="T120" s="7" t="s">
        <v>41</v>
      </c>
      <c r="U120" s="7"/>
      <c r="V120" s="4" t="s">
        <v>42</v>
      </c>
      <c r="W120" s="4" t="s">
        <v>58</v>
      </c>
      <c r="X120" s="4" t="s">
        <v>59</v>
      </c>
      <c r="Y120" s="7" t="s">
        <v>197</v>
      </c>
      <c r="Z120" s="7"/>
      <c r="AA120" s="4" t="s">
        <v>46</v>
      </c>
      <c r="AB120" s="4" t="s">
        <v>47</v>
      </c>
      <c r="AC120" s="4" t="s">
        <v>136</v>
      </c>
      <c r="AD120" s="4" t="s">
        <v>137</v>
      </c>
      <c r="AE120" s="4" t="s">
        <v>48</v>
      </c>
      <c r="AF120" s="4" t="s">
        <v>41</v>
      </c>
      <c r="AG120" s="4" t="s">
        <v>138</v>
      </c>
    </row>
    <row r="121" spans="1:33" ht="16.5" customHeight="1" x14ac:dyDescent="0.2">
      <c r="A121" s="2" t="s">
        <v>31</v>
      </c>
      <c r="B121" s="5" t="s">
        <v>54</v>
      </c>
      <c r="C121" s="5"/>
      <c r="D121" s="5"/>
      <c r="E121" s="6" t="s">
        <v>33</v>
      </c>
      <c r="F121" s="6"/>
      <c r="G121" s="7" t="s">
        <v>129</v>
      </c>
      <c r="H121" s="7"/>
      <c r="I121" s="7"/>
      <c r="J121" s="3" t="s">
        <v>35</v>
      </c>
      <c r="K121" s="4" t="s">
        <v>248</v>
      </c>
      <c r="L121" s="4" t="s">
        <v>93</v>
      </c>
      <c r="N121" s="7" t="s">
        <v>390</v>
      </c>
      <c r="O121" s="7"/>
      <c r="P121" s="7" t="s">
        <v>391</v>
      </c>
      <c r="Q121" s="7"/>
      <c r="R121" s="7"/>
      <c r="S121" s="3" t="s">
        <v>40</v>
      </c>
      <c r="T121" s="7" t="s">
        <v>41</v>
      </c>
      <c r="U121" s="7"/>
      <c r="V121" s="4" t="s">
        <v>42</v>
      </c>
      <c r="W121" s="4" t="s">
        <v>58</v>
      </c>
      <c r="X121" s="4" t="s">
        <v>59</v>
      </c>
      <c r="Y121" s="7" t="s">
        <v>60</v>
      </c>
      <c r="Z121" s="7"/>
      <c r="AA121" s="4" t="s">
        <v>46</v>
      </c>
      <c r="AB121" s="4" t="s">
        <v>47</v>
      </c>
      <c r="AC121" s="4" t="s">
        <v>61</v>
      </c>
      <c r="AD121" s="4" t="s">
        <v>324</v>
      </c>
      <c r="AE121" s="4" t="s">
        <v>48</v>
      </c>
      <c r="AF121" s="4" t="s">
        <v>41</v>
      </c>
      <c r="AG121" s="4" t="s">
        <v>138</v>
      </c>
    </row>
    <row r="122" spans="1:33" ht="16.5" customHeight="1" x14ac:dyDescent="0.2">
      <c r="A122" s="2" t="s">
        <v>31</v>
      </c>
      <c r="B122" s="5" t="s">
        <v>54</v>
      </c>
      <c r="C122" s="5"/>
      <c r="D122" s="5"/>
      <c r="E122" s="6" t="s">
        <v>33</v>
      </c>
      <c r="F122" s="6"/>
      <c r="G122" s="7" t="s">
        <v>129</v>
      </c>
      <c r="H122" s="7"/>
      <c r="I122" s="7"/>
      <c r="J122" s="3" t="s">
        <v>35</v>
      </c>
      <c r="K122" s="4" t="s">
        <v>202</v>
      </c>
      <c r="L122" s="4" t="s">
        <v>93</v>
      </c>
      <c r="N122" s="7" t="s">
        <v>392</v>
      </c>
      <c r="O122" s="7"/>
      <c r="P122" s="7" t="s">
        <v>393</v>
      </c>
      <c r="Q122" s="7"/>
      <c r="R122" s="7"/>
      <c r="S122" s="3" t="s">
        <v>40</v>
      </c>
      <c r="T122" s="7" t="s">
        <v>41</v>
      </c>
      <c r="U122" s="7"/>
      <c r="V122" s="4" t="s">
        <v>42</v>
      </c>
      <c r="W122" s="4" t="s">
        <v>58</v>
      </c>
      <c r="X122" s="4" t="s">
        <v>59</v>
      </c>
      <c r="Y122" s="7" t="s">
        <v>197</v>
      </c>
      <c r="Z122" s="7"/>
      <c r="AA122" s="4" t="s">
        <v>46</v>
      </c>
      <c r="AB122" s="4" t="s">
        <v>47</v>
      </c>
      <c r="AC122" s="4" t="s">
        <v>136</v>
      </c>
      <c r="AD122" s="4" t="s">
        <v>148</v>
      </c>
      <c r="AE122" s="4" t="s">
        <v>48</v>
      </c>
      <c r="AF122" s="4" t="s">
        <v>41</v>
      </c>
      <c r="AG122" s="4" t="s">
        <v>138</v>
      </c>
    </row>
    <row r="123" spans="1:33" ht="16.5" customHeight="1" x14ac:dyDescent="0.2">
      <c r="A123" s="2" t="s">
        <v>31</v>
      </c>
      <c r="B123" s="5" t="s">
        <v>54</v>
      </c>
      <c r="C123" s="5"/>
      <c r="D123" s="5"/>
      <c r="E123" s="6" t="s">
        <v>33</v>
      </c>
      <c r="F123" s="6"/>
      <c r="G123" s="7" t="s">
        <v>129</v>
      </c>
      <c r="H123" s="7"/>
      <c r="I123" s="7"/>
      <c r="J123" s="3" t="s">
        <v>35</v>
      </c>
      <c r="K123" s="4" t="s">
        <v>73</v>
      </c>
      <c r="L123" s="4" t="s">
        <v>37</v>
      </c>
      <c r="N123" s="7" t="s">
        <v>394</v>
      </c>
      <c r="O123" s="7"/>
      <c r="P123" s="7" t="s">
        <v>395</v>
      </c>
      <c r="Q123" s="7"/>
      <c r="R123" s="7"/>
      <c r="S123" s="3" t="s">
        <v>40</v>
      </c>
      <c r="T123" s="7" t="s">
        <v>41</v>
      </c>
      <c r="U123" s="7"/>
      <c r="V123" s="4" t="s">
        <v>42</v>
      </c>
      <c r="W123" s="4" t="s">
        <v>58</v>
      </c>
      <c r="X123" s="4" t="s">
        <v>59</v>
      </c>
      <c r="Y123" s="7" t="s">
        <v>78</v>
      </c>
      <c r="Z123" s="7"/>
      <c r="AA123" s="4" t="s">
        <v>46</v>
      </c>
      <c r="AB123" s="4" t="s">
        <v>47</v>
      </c>
      <c r="AC123" s="4" t="s">
        <v>79</v>
      </c>
      <c r="AD123" s="4" t="s">
        <v>80</v>
      </c>
      <c r="AE123" s="4" t="s">
        <v>48</v>
      </c>
      <c r="AF123" s="4" t="s">
        <v>41</v>
      </c>
      <c r="AG123" s="4" t="s">
        <v>138</v>
      </c>
    </row>
    <row r="124" spans="1:33" ht="16.5" customHeight="1" x14ac:dyDescent="0.2">
      <c r="A124" s="2" t="s">
        <v>31</v>
      </c>
      <c r="B124" s="5" t="s">
        <v>54</v>
      </c>
      <c r="C124" s="5"/>
      <c r="D124" s="5"/>
      <c r="E124" s="6" t="s">
        <v>33</v>
      </c>
      <c r="F124" s="6"/>
      <c r="G124" s="7" t="s">
        <v>129</v>
      </c>
      <c r="H124" s="7"/>
      <c r="I124" s="7"/>
      <c r="J124" s="3" t="s">
        <v>35</v>
      </c>
      <c r="K124" s="4" t="s">
        <v>73</v>
      </c>
      <c r="L124" s="4" t="s">
        <v>37</v>
      </c>
      <c r="N124" s="7" t="s">
        <v>394</v>
      </c>
      <c r="O124" s="7"/>
      <c r="P124" s="7" t="s">
        <v>395</v>
      </c>
      <c r="Q124" s="7"/>
      <c r="R124" s="7"/>
      <c r="S124" s="3" t="s">
        <v>40</v>
      </c>
      <c r="T124" s="7" t="s">
        <v>41</v>
      </c>
      <c r="U124" s="7"/>
      <c r="V124" s="4" t="s">
        <v>51</v>
      </c>
      <c r="W124" s="4" t="s">
        <v>58</v>
      </c>
      <c r="X124" s="4" t="s">
        <v>128</v>
      </c>
      <c r="Y124" s="7" t="s">
        <v>78</v>
      </c>
      <c r="Z124" s="7"/>
      <c r="AA124" s="4" t="s">
        <v>46</v>
      </c>
      <c r="AB124" s="4" t="s">
        <v>47</v>
      </c>
      <c r="AC124" s="4" t="s">
        <v>79</v>
      </c>
      <c r="AD124" s="4" t="s">
        <v>80</v>
      </c>
      <c r="AE124" s="4" t="s">
        <v>48</v>
      </c>
      <c r="AF124" s="4" t="s">
        <v>41</v>
      </c>
      <c r="AG124" s="4" t="s">
        <v>138</v>
      </c>
    </row>
    <row r="125" spans="1:33" ht="16.5" customHeight="1" x14ac:dyDescent="0.2">
      <c r="A125" s="2" t="s">
        <v>31</v>
      </c>
      <c r="B125" s="5" t="s">
        <v>54</v>
      </c>
      <c r="C125" s="5"/>
      <c r="D125" s="5"/>
      <c r="E125" s="6" t="s">
        <v>33</v>
      </c>
      <c r="F125" s="6"/>
      <c r="G125" s="7" t="s">
        <v>129</v>
      </c>
      <c r="H125" s="7"/>
      <c r="I125" s="7"/>
      <c r="J125" s="3" t="s">
        <v>35</v>
      </c>
      <c r="K125" s="4" t="s">
        <v>55</v>
      </c>
      <c r="L125" s="4" t="s">
        <v>280</v>
      </c>
      <c r="N125" s="7" t="s">
        <v>396</v>
      </c>
      <c r="O125" s="7"/>
      <c r="P125" s="7" t="s">
        <v>397</v>
      </c>
      <c r="Q125" s="7"/>
      <c r="R125" s="7"/>
      <c r="S125" s="3" t="s">
        <v>40</v>
      </c>
      <c r="T125" s="7" t="s">
        <v>41</v>
      </c>
      <c r="U125" s="7"/>
      <c r="V125" s="4" t="s">
        <v>42</v>
      </c>
      <c r="W125" s="4" t="s">
        <v>43</v>
      </c>
      <c r="X125" s="4" t="s">
        <v>44</v>
      </c>
      <c r="Y125" s="7" t="s">
        <v>60</v>
      </c>
      <c r="Z125" s="7"/>
      <c r="AA125" s="4" t="s">
        <v>46</v>
      </c>
      <c r="AB125" s="4" t="s">
        <v>47</v>
      </c>
      <c r="AC125" s="4" t="s">
        <v>79</v>
      </c>
      <c r="AD125" s="4" t="s">
        <v>285</v>
      </c>
      <c r="AE125" s="4" t="s">
        <v>48</v>
      </c>
      <c r="AF125" s="4" t="s">
        <v>41</v>
      </c>
      <c r="AG125" s="4" t="s">
        <v>138</v>
      </c>
    </row>
    <row r="126" spans="1:33" ht="16.5" customHeight="1" x14ac:dyDescent="0.2">
      <c r="A126" s="2" t="s">
        <v>31</v>
      </c>
      <c r="B126" s="5" t="s">
        <v>108</v>
      </c>
      <c r="C126" s="5"/>
      <c r="D126" s="5"/>
      <c r="E126" s="6" t="s">
        <v>33</v>
      </c>
      <c r="F126" s="6"/>
      <c r="G126" s="7" t="s">
        <v>129</v>
      </c>
      <c r="H126" s="7"/>
      <c r="I126" s="7"/>
      <c r="J126" s="3" t="s">
        <v>35</v>
      </c>
      <c r="K126" s="4" t="s">
        <v>398</v>
      </c>
      <c r="N126" s="7" t="s">
        <v>399</v>
      </c>
      <c r="O126" s="7"/>
      <c r="P126" s="7" t="s">
        <v>400</v>
      </c>
      <c r="Q126" s="7"/>
      <c r="R126" s="7"/>
      <c r="S126" s="3" t="s">
        <v>40</v>
      </c>
      <c r="T126" s="7" t="s">
        <v>401</v>
      </c>
      <c r="U126" s="7"/>
      <c r="V126" s="4" t="s">
        <v>51</v>
      </c>
      <c r="W126" s="4" t="s">
        <v>102</v>
      </c>
      <c r="X126" s="4" t="s">
        <v>104</v>
      </c>
      <c r="Y126" s="7" t="s">
        <v>402</v>
      </c>
      <c r="Z126" s="7"/>
      <c r="AA126" s="4" t="s">
        <v>46</v>
      </c>
      <c r="AB126" s="4" t="s">
        <v>115</v>
      </c>
      <c r="AC126" s="4" t="s">
        <v>403</v>
      </c>
      <c r="AD126" s="4" t="s">
        <v>404</v>
      </c>
      <c r="AE126" s="4" t="s">
        <v>48</v>
      </c>
      <c r="AF126" s="4" t="s">
        <v>41</v>
      </c>
      <c r="AG126" s="4" t="s">
        <v>138</v>
      </c>
    </row>
    <row r="127" spans="1:33" ht="16.5" customHeight="1" x14ac:dyDescent="0.2">
      <c r="A127" s="2" t="s">
        <v>31</v>
      </c>
      <c r="B127" s="5" t="s">
        <v>54</v>
      </c>
      <c r="C127" s="5"/>
      <c r="D127" s="5"/>
      <c r="E127" s="6" t="s">
        <v>33</v>
      </c>
      <c r="F127" s="6"/>
      <c r="G127" s="7" t="s">
        <v>405</v>
      </c>
      <c r="H127" s="7"/>
      <c r="I127" s="7"/>
      <c r="J127" s="3" t="s">
        <v>35</v>
      </c>
      <c r="K127" s="4" t="s">
        <v>149</v>
      </c>
      <c r="L127" s="4" t="s">
        <v>37</v>
      </c>
      <c r="N127" s="7" t="s">
        <v>406</v>
      </c>
      <c r="O127" s="7"/>
      <c r="P127" s="7" t="s">
        <v>407</v>
      </c>
      <c r="Q127" s="7"/>
      <c r="R127" s="7"/>
      <c r="S127" s="3" t="s">
        <v>40</v>
      </c>
      <c r="T127" s="7" t="s">
        <v>41</v>
      </c>
      <c r="U127" s="7"/>
      <c r="V127" s="4" t="s">
        <v>42</v>
      </c>
      <c r="W127" s="4" t="s">
        <v>168</v>
      </c>
      <c r="X127" s="4" t="s">
        <v>169</v>
      </c>
      <c r="Y127" s="7" t="s">
        <v>78</v>
      </c>
      <c r="Z127" s="7"/>
      <c r="AA127" s="4" t="s">
        <v>46</v>
      </c>
      <c r="AB127" s="4" t="s">
        <v>47</v>
      </c>
      <c r="AC127" s="4" t="s">
        <v>136</v>
      </c>
      <c r="AD127" s="4" t="s">
        <v>137</v>
      </c>
      <c r="AE127" s="4" t="s">
        <v>48</v>
      </c>
      <c r="AF127" s="4" t="s">
        <v>41</v>
      </c>
      <c r="AG127" s="4" t="s">
        <v>408</v>
      </c>
    </row>
    <row r="128" spans="1:33" ht="16.5" customHeight="1" x14ac:dyDescent="0.2">
      <c r="A128" s="2" t="s">
        <v>31</v>
      </c>
      <c r="B128" s="5" t="s">
        <v>54</v>
      </c>
      <c r="C128" s="5"/>
      <c r="D128" s="5"/>
      <c r="E128" s="6" t="s">
        <v>33</v>
      </c>
      <c r="F128" s="6"/>
      <c r="G128" s="7" t="s">
        <v>405</v>
      </c>
      <c r="H128" s="7"/>
      <c r="I128" s="7"/>
      <c r="J128" s="3" t="s">
        <v>35</v>
      </c>
      <c r="K128" s="4" t="s">
        <v>409</v>
      </c>
      <c r="L128" s="4" t="s">
        <v>37</v>
      </c>
      <c r="N128" s="7" t="s">
        <v>410</v>
      </c>
      <c r="O128" s="7"/>
      <c r="P128" s="7" t="s">
        <v>411</v>
      </c>
      <c r="Q128" s="7"/>
      <c r="R128" s="7"/>
      <c r="S128" s="3" t="s">
        <v>40</v>
      </c>
      <c r="T128" s="7" t="s">
        <v>41</v>
      </c>
      <c r="U128" s="7"/>
      <c r="V128" s="4" t="s">
        <v>51</v>
      </c>
      <c r="W128" s="4" t="s">
        <v>43</v>
      </c>
      <c r="X128" s="4" t="s">
        <v>52</v>
      </c>
      <c r="Y128" s="7" t="s">
        <v>60</v>
      </c>
      <c r="Z128" s="7"/>
      <c r="AA128" s="4" t="s">
        <v>46</v>
      </c>
      <c r="AB128" s="4" t="s">
        <v>47</v>
      </c>
      <c r="AC128" s="4" t="s">
        <v>79</v>
      </c>
      <c r="AD128" s="4" t="s">
        <v>80</v>
      </c>
      <c r="AE128" s="4" t="s">
        <v>48</v>
      </c>
      <c r="AF128" s="4" t="s">
        <v>41</v>
      </c>
      <c r="AG128" s="4" t="s">
        <v>408</v>
      </c>
    </row>
    <row r="129" spans="1:33" ht="16.5" customHeight="1" x14ac:dyDescent="0.2">
      <c r="A129" s="2" t="s">
        <v>31</v>
      </c>
      <c r="B129" s="5" t="s">
        <v>54</v>
      </c>
      <c r="C129" s="5"/>
      <c r="D129" s="5"/>
      <c r="E129" s="6" t="s">
        <v>33</v>
      </c>
      <c r="F129" s="6"/>
      <c r="G129" s="7" t="s">
        <v>405</v>
      </c>
      <c r="H129" s="7"/>
      <c r="I129" s="7"/>
      <c r="J129" s="3" t="s">
        <v>35</v>
      </c>
      <c r="K129" s="4" t="s">
        <v>97</v>
      </c>
      <c r="L129" s="4" t="s">
        <v>93</v>
      </c>
      <c r="N129" s="7" t="s">
        <v>412</v>
      </c>
      <c r="O129" s="7"/>
      <c r="P129" s="7" t="s">
        <v>413</v>
      </c>
      <c r="Q129" s="7"/>
      <c r="R129" s="7"/>
      <c r="S129" s="3" t="s">
        <v>40</v>
      </c>
      <c r="T129" s="7" t="s">
        <v>41</v>
      </c>
      <c r="U129" s="7"/>
      <c r="V129" s="4" t="s">
        <v>42</v>
      </c>
      <c r="W129" s="4" t="s">
        <v>168</v>
      </c>
      <c r="X129" s="4" t="s">
        <v>169</v>
      </c>
      <c r="Y129" s="7" t="s">
        <v>78</v>
      </c>
      <c r="Z129" s="7"/>
      <c r="AA129" s="4" t="s">
        <v>46</v>
      </c>
      <c r="AB129" s="4" t="s">
        <v>47</v>
      </c>
      <c r="AC129" s="4" t="s">
        <v>136</v>
      </c>
      <c r="AD129" s="4" t="s">
        <v>148</v>
      </c>
      <c r="AE129" s="4" t="s">
        <v>48</v>
      </c>
      <c r="AF129" s="4" t="s">
        <v>41</v>
      </c>
      <c r="AG129" s="4" t="s">
        <v>408</v>
      </c>
    </row>
    <row r="130" spans="1:33" ht="16.5" customHeight="1" x14ac:dyDescent="0.2">
      <c r="A130" s="2" t="s">
        <v>31</v>
      </c>
      <c r="B130" s="5" t="s">
        <v>54</v>
      </c>
      <c r="C130" s="5"/>
      <c r="D130" s="5"/>
      <c r="E130" s="6" t="s">
        <v>33</v>
      </c>
      <c r="F130" s="6"/>
      <c r="G130" s="7" t="s">
        <v>405</v>
      </c>
      <c r="H130" s="7"/>
      <c r="I130" s="7"/>
      <c r="J130" s="3" t="s">
        <v>35</v>
      </c>
      <c r="K130" s="4" t="s">
        <v>414</v>
      </c>
      <c r="L130" s="4" t="s">
        <v>37</v>
      </c>
      <c r="N130" s="7" t="s">
        <v>415</v>
      </c>
      <c r="O130" s="7"/>
      <c r="P130" s="7" t="s">
        <v>416</v>
      </c>
      <c r="Q130" s="7"/>
      <c r="R130" s="7"/>
      <c r="S130" s="3" t="s">
        <v>40</v>
      </c>
      <c r="T130" s="7" t="s">
        <v>41</v>
      </c>
      <c r="U130" s="7"/>
      <c r="V130" s="4" t="s">
        <v>42</v>
      </c>
      <c r="W130" s="4" t="s">
        <v>417</v>
      </c>
      <c r="X130" s="4" t="s">
        <v>418</v>
      </c>
      <c r="Y130" s="7" t="s">
        <v>197</v>
      </c>
      <c r="Z130" s="7"/>
      <c r="AA130" s="4" t="s">
        <v>46</v>
      </c>
      <c r="AB130" s="4" t="s">
        <v>47</v>
      </c>
      <c r="AC130" s="4" t="s">
        <v>259</v>
      </c>
      <c r="AD130" s="4" t="s">
        <v>260</v>
      </c>
      <c r="AE130" s="4" t="s">
        <v>48</v>
      </c>
      <c r="AF130" s="4" t="s">
        <v>41</v>
      </c>
      <c r="AG130" s="4" t="s">
        <v>408</v>
      </c>
    </row>
    <row r="131" spans="1:33" ht="16.5" customHeight="1" x14ac:dyDescent="0.2">
      <c r="A131" s="2" t="s">
        <v>31</v>
      </c>
      <c r="B131" s="5" t="s">
        <v>54</v>
      </c>
      <c r="C131" s="5"/>
      <c r="D131" s="5"/>
      <c r="E131" s="6" t="s">
        <v>33</v>
      </c>
      <c r="F131" s="6"/>
      <c r="G131" s="7" t="s">
        <v>405</v>
      </c>
      <c r="H131" s="7"/>
      <c r="I131" s="7"/>
      <c r="J131" s="3" t="s">
        <v>35</v>
      </c>
      <c r="K131" s="4" t="s">
        <v>73</v>
      </c>
      <c r="L131" s="4" t="s">
        <v>37</v>
      </c>
      <c r="N131" s="7" t="s">
        <v>419</v>
      </c>
      <c r="O131" s="7"/>
      <c r="P131" s="7" t="s">
        <v>420</v>
      </c>
      <c r="Q131" s="7"/>
      <c r="R131" s="7"/>
      <c r="S131" s="3" t="s">
        <v>40</v>
      </c>
      <c r="T131" s="7" t="s">
        <v>41</v>
      </c>
      <c r="U131" s="7"/>
      <c r="V131" s="4" t="s">
        <v>42</v>
      </c>
      <c r="W131" s="4" t="s">
        <v>421</v>
      </c>
      <c r="X131" s="4" t="s">
        <v>422</v>
      </c>
      <c r="Y131" s="7" t="s">
        <v>78</v>
      </c>
      <c r="Z131" s="7"/>
      <c r="AA131" s="4" t="s">
        <v>46</v>
      </c>
      <c r="AB131" s="4" t="s">
        <v>47</v>
      </c>
      <c r="AC131" s="4" t="s">
        <v>136</v>
      </c>
      <c r="AD131" s="4" t="s">
        <v>137</v>
      </c>
      <c r="AE131" s="4" t="s">
        <v>48</v>
      </c>
      <c r="AF131" s="4" t="s">
        <v>41</v>
      </c>
      <c r="AG131" s="4" t="s">
        <v>408</v>
      </c>
    </row>
    <row r="132" spans="1:33" ht="16.5" customHeight="1" x14ac:dyDescent="0.2">
      <c r="A132" s="2" t="s">
        <v>31</v>
      </c>
      <c r="B132" s="5" t="s">
        <v>108</v>
      </c>
      <c r="C132" s="5"/>
      <c r="D132" s="5"/>
      <c r="E132" s="6" t="s">
        <v>33</v>
      </c>
      <c r="F132" s="6"/>
      <c r="G132" s="7" t="s">
        <v>405</v>
      </c>
      <c r="H132" s="7"/>
      <c r="I132" s="7"/>
      <c r="J132" s="3" t="s">
        <v>109</v>
      </c>
      <c r="K132" s="4" t="s">
        <v>423</v>
      </c>
      <c r="N132" s="7" t="s">
        <v>419</v>
      </c>
      <c r="O132" s="7"/>
      <c r="P132" s="7" t="s">
        <v>420</v>
      </c>
      <c r="Q132" s="7"/>
      <c r="R132" s="7"/>
      <c r="S132" s="3" t="s">
        <v>40</v>
      </c>
      <c r="T132" s="7" t="s">
        <v>424</v>
      </c>
      <c r="U132" s="7"/>
      <c r="V132" s="4" t="s">
        <v>42</v>
      </c>
      <c r="W132" s="4" t="s">
        <v>58</v>
      </c>
      <c r="X132" s="4" t="s">
        <v>159</v>
      </c>
      <c r="Y132" s="7" t="s">
        <v>114</v>
      </c>
      <c r="Z132" s="7"/>
      <c r="AA132" s="4" t="s">
        <v>46</v>
      </c>
      <c r="AB132" s="4" t="s">
        <v>115</v>
      </c>
      <c r="AC132" s="4" t="s">
        <v>243</v>
      </c>
      <c r="AD132" s="4" t="s">
        <v>425</v>
      </c>
      <c r="AE132" s="4" t="s">
        <v>48</v>
      </c>
      <c r="AF132" s="4" t="s">
        <v>41</v>
      </c>
      <c r="AG132" s="4" t="s">
        <v>408</v>
      </c>
    </row>
    <row r="133" spans="1:33" ht="16.5" customHeight="1" x14ac:dyDescent="0.2">
      <c r="A133" s="2" t="s">
        <v>31</v>
      </c>
      <c r="B133" s="5" t="s">
        <v>54</v>
      </c>
      <c r="C133" s="5"/>
      <c r="D133" s="5"/>
      <c r="E133" s="6" t="s">
        <v>33</v>
      </c>
      <c r="F133" s="6"/>
      <c r="G133" s="7" t="s">
        <v>405</v>
      </c>
      <c r="H133" s="7"/>
      <c r="I133" s="7"/>
      <c r="J133" s="3" t="s">
        <v>35</v>
      </c>
      <c r="K133" s="4" t="s">
        <v>387</v>
      </c>
      <c r="L133" s="4" t="s">
        <v>37</v>
      </c>
      <c r="N133" s="7" t="s">
        <v>426</v>
      </c>
      <c r="O133" s="7"/>
      <c r="P133" s="7" t="s">
        <v>427</v>
      </c>
      <c r="Q133" s="7"/>
      <c r="R133" s="7"/>
      <c r="S133" s="3" t="s">
        <v>40</v>
      </c>
      <c r="T133" s="7" t="s">
        <v>41</v>
      </c>
      <c r="U133" s="7"/>
      <c r="V133" s="4" t="s">
        <v>42</v>
      </c>
      <c r="W133" s="4" t="s">
        <v>428</v>
      </c>
      <c r="X133" s="4" t="s">
        <v>429</v>
      </c>
      <c r="Y133" s="7" t="s">
        <v>197</v>
      </c>
      <c r="Z133" s="7"/>
      <c r="AA133" s="4" t="s">
        <v>46</v>
      </c>
      <c r="AB133" s="4" t="s">
        <v>47</v>
      </c>
      <c r="AC133" s="4" t="s">
        <v>259</v>
      </c>
      <c r="AD133" s="4" t="s">
        <v>260</v>
      </c>
      <c r="AE133" s="4" t="s">
        <v>48</v>
      </c>
      <c r="AF133" s="4" t="s">
        <v>41</v>
      </c>
      <c r="AG133" s="4" t="s">
        <v>408</v>
      </c>
    </row>
    <row r="134" spans="1:33" ht="16.5" customHeight="1" x14ac:dyDescent="0.2">
      <c r="A134" s="2" t="s">
        <v>31</v>
      </c>
      <c r="B134" s="5" t="s">
        <v>54</v>
      </c>
      <c r="C134" s="5"/>
      <c r="D134" s="5"/>
      <c r="E134" s="6" t="s">
        <v>33</v>
      </c>
      <c r="F134" s="6"/>
      <c r="G134" s="7" t="s">
        <v>405</v>
      </c>
      <c r="H134" s="7"/>
      <c r="I134" s="7"/>
      <c r="J134" s="3" t="s">
        <v>35</v>
      </c>
      <c r="K134" s="4" t="s">
        <v>387</v>
      </c>
      <c r="L134" s="4" t="s">
        <v>37</v>
      </c>
      <c r="N134" s="7" t="s">
        <v>426</v>
      </c>
      <c r="O134" s="7"/>
      <c r="P134" s="7" t="s">
        <v>427</v>
      </c>
      <c r="Q134" s="7"/>
      <c r="R134" s="7"/>
      <c r="S134" s="3" t="s">
        <v>40</v>
      </c>
      <c r="T134" s="7" t="s">
        <v>41</v>
      </c>
      <c r="U134" s="7"/>
      <c r="V134" s="4" t="s">
        <v>51</v>
      </c>
      <c r="W134" s="4" t="s">
        <v>428</v>
      </c>
      <c r="X134" s="4" t="s">
        <v>430</v>
      </c>
      <c r="Y134" s="7" t="s">
        <v>197</v>
      </c>
      <c r="Z134" s="7"/>
      <c r="AA134" s="4" t="s">
        <v>46</v>
      </c>
      <c r="AB134" s="4" t="s">
        <v>47</v>
      </c>
      <c r="AC134" s="4" t="s">
        <v>259</v>
      </c>
      <c r="AD134" s="4" t="s">
        <v>260</v>
      </c>
      <c r="AE134" s="4" t="s">
        <v>48</v>
      </c>
      <c r="AF134" s="4" t="s">
        <v>41</v>
      </c>
      <c r="AG134" s="4" t="s">
        <v>408</v>
      </c>
    </row>
    <row r="135" spans="1:33" ht="16.5" customHeight="1" x14ac:dyDescent="0.2">
      <c r="A135" s="2" t="s">
        <v>31</v>
      </c>
      <c r="B135" s="5" t="s">
        <v>54</v>
      </c>
      <c r="C135" s="5"/>
      <c r="D135" s="5"/>
      <c r="E135" s="6" t="s">
        <v>33</v>
      </c>
      <c r="F135" s="6"/>
      <c r="G135" s="7" t="s">
        <v>405</v>
      </c>
      <c r="H135" s="7"/>
      <c r="I135" s="7"/>
      <c r="J135" s="3" t="s">
        <v>35</v>
      </c>
      <c r="K135" s="4" t="s">
        <v>149</v>
      </c>
      <c r="L135" s="4" t="s">
        <v>37</v>
      </c>
      <c r="N135" s="7" t="s">
        <v>431</v>
      </c>
      <c r="O135" s="7"/>
      <c r="P135" s="7" t="s">
        <v>432</v>
      </c>
      <c r="Q135" s="7"/>
      <c r="R135" s="7"/>
      <c r="S135" s="3" t="s">
        <v>40</v>
      </c>
      <c r="T135" s="7" t="s">
        <v>41</v>
      </c>
      <c r="U135" s="7"/>
      <c r="V135" s="4" t="s">
        <v>42</v>
      </c>
      <c r="W135" s="4" t="s">
        <v>168</v>
      </c>
      <c r="X135" s="4" t="s">
        <v>169</v>
      </c>
      <c r="Y135" s="7" t="s">
        <v>78</v>
      </c>
      <c r="Z135" s="7"/>
      <c r="AA135" s="4" t="s">
        <v>46</v>
      </c>
      <c r="AB135" s="4" t="s">
        <v>47</v>
      </c>
      <c r="AC135" s="4" t="s">
        <v>136</v>
      </c>
      <c r="AD135" s="4" t="s">
        <v>137</v>
      </c>
      <c r="AE135" s="4" t="s">
        <v>48</v>
      </c>
      <c r="AF135" s="4" t="s">
        <v>41</v>
      </c>
      <c r="AG135" s="4" t="s">
        <v>408</v>
      </c>
    </row>
    <row r="136" spans="1:33" ht="16.5" customHeight="1" x14ac:dyDescent="0.2">
      <c r="A136" s="2" t="s">
        <v>31</v>
      </c>
      <c r="B136" s="5" t="s">
        <v>54</v>
      </c>
      <c r="C136" s="5"/>
      <c r="D136" s="5"/>
      <c r="E136" s="6" t="s">
        <v>33</v>
      </c>
      <c r="F136" s="6"/>
      <c r="G136" s="7" t="s">
        <v>405</v>
      </c>
      <c r="H136" s="7"/>
      <c r="I136" s="7"/>
      <c r="J136" s="3" t="s">
        <v>35</v>
      </c>
      <c r="K136" s="4" t="s">
        <v>92</v>
      </c>
      <c r="L136" s="4" t="s">
        <v>280</v>
      </c>
      <c r="N136" s="7" t="s">
        <v>433</v>
      </c>
      <c r="O136" s="7"/>
      <c r="P136" s="7" t="s">
        <v>434</v>
      </c>
      <c r="Q136" s="7"/>
      <c r="R136" s="7"/>
      <c r="S136" s="3" t="s">
        <v>40</v>
      </c>
      <c r="T136" s="7" t="s">
        <v>41</v>
      </c>
      <c r="U136" s="7"/>
      <c r="V136" s="4" t="s">
        <v>42</v>
      </c>
      <c r="W136" s="4" t="s">
        <v>270</v>
      </c>
      <c r="X136" s="4" t="s">
        <v>271</v>
      </c>
      <c r="Y136" s="7" t="s">
        <v>78</v>
      </c>
      <c r="Z136" s="7"/>
      <c r="AA136" s="4" t="s">
        <v>46</v>
      </c>
      <c r="AB136" s="4" t="s">
        <v>47</v>
      </c>
      <c r="AC136" s="4" t="s">
        <v>136</v>
      </c>
      <c r="AD136" s="4" t="s">
        <v>324</v>
      </c>
      <c r="AE136" s="4" t="s">
        <v>48</v>
      </c>
      <c r="AF136" s="4" t="s">
        <v>41</v>
      </c>
      <c r="AG136" s="4" t="s">
        <v>408</v>
      </c>
    </row>
    <row r="137" spans="1:33" ht="16.5" customHeight="1" x14ac:dyDescent="0.2">
      <c r="A137" s="2" t="s">
        <v>31</v>
      </c>
      <c r="B137" s="5" t="s">
        <v>54</v>
      </c>
      <c r="C137" s="5"/>
      <c r="D137" s="5"/>
      <c r="E137" s="6" t="s">
        <v>33</v>
      </c>
      <c r="F137" s="6"/>
      <c r="G137" s="7" t="s">
        <v>405</v>
      </c>
      <c r="H137" s="7"/>
      <c r="I137" s="7"/>
      <c r="J137" s="3" t="s">
        <v>35</v>
      </c>
      <c r="K137" s="4" t="s">
        <v>192</v>
      </c>
      <c r="L137" s="4" t="s">
        <v>37</v>
      </c>
      <c r="N137" s="7" t="s">
        <v>435</v>
      </c>
      <c r="O137" s="7"/>
      <c r="P137" s="7" t="s">
        <v>436</v>
      </c>
      <c r="Q137" s="7"/>
      <c r="R137" s="7"/>
      <c r="S137" s="3" t="s">
        <v>40</v>
      </c>
      <c r="T137" s="7" t="s">
        <v>41</v>
      </c>
      <c r="U137" s="7"/>
      <c r="V137" s="4" t="s">
        <v>42</v>
      </c>
      <c r="W137" s="4" t="s">
        <v>168</v>
      </c>
      <c r="X137" s="4" t="s">
        <v>169</v>
      </c>
      <c r="Y137" s="7" t="s">
        <v>197</v>
      </c>
      <c r="Z137" s="7"/>
      <c r="AA137" s="4" t="s">
        <v>46</v>
      </c>
      <c r="AB137" s="4" t="s">
        <v>47</v>
      </c>
      <c r="AC137" s="4" t="s">
        <v>259</v>
      </c>
      <c r="AD137" s="4" t="s">
        <v>260</v>
      </c>
      <c r="AE137" s="4" t="s">
        <v>48</v>
      </c>
      <c r="AF137" s="4" t="s">
        <v>41</v>
      </c>
      <c r="AG137" s="4" t="s">
        <v>408</v>
      </c>
    </row>
    <row r="138" spans="1:33" ht="16.5" customHeight="1" x14ac:dyDescent="0.2">
      <c r="A138" s="2" t="s">
        <v>31</v>
      </c>
      <c r="B138" s="5" t="s">
        <v>54</v>
      </c>
      <c r="C138" s="5"/>
      <c r="D138" s="5"/>
      <c r="E138" s="6" t="s">
        <v>33</v>
      </c>
      <c r="F138" s="6"/>
      <c r="G138" s="7" t="s">
        <v>405</v>
      </c>
      <c r="H138" s="7"/>
      <c r="I138" s="7"/>
      <c r="J138" s="3" t="s">
        <v>35</v>
      </c>
      <c r="K138" s="4" t="s">
        <v>202</v>
      </c>
      <c r="L138" s="4" t="s">
        <v>37</v>
      </c>
      <c r="N138" s="7" t="s">
        <v>437</v>
      </c>
      <c r="O138" s="7"/>
      <c r="P138" s="7" t="s">
        <v>438</v>
      </c>
      <c r="Q138" s="7"/>
      <c r="R138" s="7"/>
      <c r="S138" s="3" t="s">
        <v>40</v>
      </c>
      <c r="T138" s="7" t="s">
        <v>41</v>
      </c>
      <c r="U138" s="7"/>
      <c r="V138" s="4" t="s">
        <v>42</v>
      </c>
      <c r="W138" s="4" t="s">
        <v>312</v>
      </c>
      <c r="X138" s="4" t="s">
        <v>313</v>
      </c>
      <c r="Y138" s="7" t="s">
        <v>197</v>
      </c>
      <c r="Z138" s="7"/>
      <c r="AA138" s="4" t="s">
        <v>46</v>
      </c>
      <c r="AB138" s="4" t="s">
        <v>47</v>
      </c>
      <c r="AC138" s="4" t="s">
        <v>136</v>
      </c>
      <c r="AD138" s="4" t="s">
        <v>137</v>
      </c>
      <c r="AE138" s="4" t="s">
        <v>48</v>
      </c>
      <c r="AF138" s="4" t="s">
        <v>41</v>
      </c>
      <c r="AG138" s="4" t="s">
        <v>408</v>
      </c>
    </row>
    <row r="139" spans="1:33" ht="16.5" customHeight="1" x14ac:dyDescent="0.2">
      <c r="A139" s="2" t="s">
        <v>31</v>
      </c>
      <c r="B139" s="5" t="s">
        <v>54</v>
      </c>
      <c r="C139" s="5"/>
      <c r="D139" s="5"/>
      <c r="E139" s="6" t="s">
        <v>33</v>
      </c>
      <c r="F139" s="6"/>
      <c r="G139" s="7" t="s">
        <v>405</v>
      </c>
      <c r="H139" s="7"/>
      <c r="I139" s="7"/>
      <c r="J139" s="3" t="s">
        <v>35</v>
      </c>
      <c r="K139" s="4" t="s">
        <v>149</v>
      </c>
      <c r="L139" s="4" t="s">
        <v>37</v>
      </c>
      <c r="N139" s="7" t="s">
        <v>439</v>
      </c>
      <c r="O139" s="7"/>
      <c r="P139" s="7" t="s">
        <v>440</v>
      </c>
      <c r="Q139" s="7"/>
      <c r="R139" s="7"/>
      <c r="S139" s="3" t="s">
        <v>40</v>
      </c>
      <c r="T139" s="7" t="s">
        <v>41</v>
      </c>
      <c r="U139" s="7"/>
      <c r="V139" s="4" t="s">
        <v>42</v>
      </c>
      <c r="W139" s="4" t="s">
        <v>441</v>
      </c>
      <c r="X139" s="4" t="s">
        <v>442</v>
      </c>
      <c r="Y139" s="7" t="s">
        <v>78</v>
      </c>
      <c r="Z139" s="7"/>
      <c r="AA139" s="4" t="s">
        <v>46</v>
      </c>
      <c r="AB139" s="4" t="s">
        <v>47</v>
      </c>
      <c r="AC139" s="4" t="s">
        <v>136</v>
      </c>
      <c r="AD139" s="4" t="s">
        <v>137</v>
      </c>
      <c r="AE139" s="4" t="s">
        <v>48</v>
      </c>
      <c r="AF139" s="4" t="s">
        <v>41</v>
      </c>
      <c r="AG139" s="4" t="s">
        <v>408</v>
      </c>
    </row>
    <row r="140" spans="1:33" ht="16.5" customHeight="1" x14ac:dyDescent="0.2">
      <c r="A140" s="2" t="s">
        <v>31</v>
      </c>
      <c r="B140" s="5" t="s">
        <v>54</v>
      </c>
      <c r="C140" s="5"/>
      <c r="D140" s="5"/>
      <c r="E140" s="6" t="s">
        <v>33</v>
      </c>
      <c r="F140" s="6"/>
      <c r="G140" s="7" t="s">
        <v>405</v>
      </c>
      <c r="H140" s="7"/>
      <c r="I140" s="7"/>
      <c r="J140" s="3" t="s">
        <v>35</v>
      </c>
      <c r="K140" s="4" t="s">
        <v>248</v>
      </c>
      <c r="L140" s="4" t="s">
        <v>443</v>
      </c>
      <c r="N140" s="7" t="s">
        <v>444</v>
      </c>
      <c r="O140" s="7"/>
      <c r="P140" s="7" t="s">
        <v>445</v>
      </c>
      <c r="Q140" s="7"/>
      <c r="R140" s="7"/>
      <c r="S140" s="3" t="s">
        <v>40</v>
      </c>
      <c r="T140" s="7" t="s">
        <v>41</v>
      </c>
      <c r="U140" s="7"/>
      <c r="V140" s="4" t="s">
        <v>42</v>
      </c>
      <c r="W140" s="4" t="s">
        <v>229</v>
      </c>
      <c r="X140" s="4" t="s">
        <v>446</v>
      </c>
      <c r="Y140" s="7" t="s">
        <v>60</v>
      </c>
      <c r="Z140" s="7"/>
      <c r="AA140" s="4" t="s">
        <v>46</v>
      </c>
      <c r="AB140" s="4" t="s">
        <v>47</v>
      </c>
      <c r="AC140" s="4" t="s">
        <v>79</v>
      </c>
      <c r="AD140" s="4" t="s">
        <v>447</v>
      </c>
      <c r="AE140" s="4" t="s">
        <v>48</v>
      </c>
      <c r="AF140" s="4" t="s">
        <v>41</v>
      </c>
      <c r="AG140" s="4" t="s">
        <v>408</v>
      </c>
    </row>
    <row r="141" spans="1:33" ht="16.5" customHeight="1" x14ac:dyDescent="0.2">
      <c r="A141" s="2" t="s">
        <v>31</v>
      </c>
      <c r="B141" s="5" t="s">
        <v>54</v>
      </c>
      <c r="C141" s="5"/>
      <c r="D141" s="5"/>
      <c r="E141" s="6" t="s">
        <v>33</v>
      </c>
      <c r="F141" s="6"/>
      <c r="G141" s="7" t="s">
        <v>405</v>
      </c>
      <c r="H141" s="7"/>
      <c r="I141" s="7"/>
      <c r="J141" s="3" t="s">
        <v>35</v>
      </c>
      <c r="K141" s="4" t="s">
        <v>92</v>
      </c>
      <c r="L141" s="4" t="s">
        <v>37</v>
      </c>
      <c r="N141" s="7" t="s">
        <v>448</v>
      </c>
      <c r="O141" s="7"/>
      <c r="P141" s="7" t="s">
        <v>449</v>
      </c>
      <c r="Q141" s="7"/>
      <c r="R141" s="7"/>
      <c r="S141" s="3" t="s">
        <v>40</v>
      </c>
      <c r="T141" s="7" t="s">
        <v>41</v>
      </c>
      <c r="U141" s="7"/>
      <c r="V141" s="4" t="s">
        <v>42</v>
      </c>
      <c r="W141" s="4" t="s">
        <v>450</v>
      </c>
      <c r="X141" s="4" t="s">
        <v>451</v>
      </c>
      <c r="Y141" s="7" t="s">
        <v>78</v>
      </c>
      <c r="Z141" s="7"/>
      <c r="AA141" s="4" t="s">
        <v>46</v>
      </c>
      <c r="AB141" s="4" t="s">
        <v>47</v>
      </c>
      <c r="AC141" s="4" t="s">
        <v>136</v>
      </c>
      <c r="AD141" s="4" t="s">
        <v>137</v>
      </c>
      <c r="AE141" s="4" t="s">
        <v>48</v>
      </c>
      <c r="AF141" s="4" t="s">
        <v>41</v>
      </c>
      <c r="AG141" s="4" t="s">
        <v>408</v>
      </c>
    </row>
    <row r="142" spans="1:33" ht="16.5" customHeight="1" x14ac:dyDescent="0.2">
      <c r="A142" s="2" t="s">
        <v>31</v>
      </c>
      <c r="B142" s="5" t="s">
        <v>54</v>
      </c>
      <c r="C142" s="5"/>
      <c r="D142" s="5"/>
      <c r="E142" s="6" t="s">
        <v>33</v>
      </c>
      <c r="F142" s="6"/>
      <c r="G142" s="7" t="s">
        <v>405</v>
      </c>
      <c r="H142" s="7"/>
      <c r="I142" s="7"/>
      <c r="J142" s="3" t="s">
        <v>35</v>
      </c>
      <c r="K142" s="4" t="s">
        <v>248</v>
      </c>
      <c r="L142" s="4" t="s">
        <v>37</v>
      </c>
      <c r="N142" s="7" t="s">
        <v>452</v>
      </c>
      <c r="O142" s="7"/>
      <c r="P142" s="7" t="s">
        <v>453</v>
      </c>
      <c r="Q142" s="7"/>
      <c r="R142" s="7"/>
      <c r="S142" s="3" t="s">
        <v>40</v>
      </c>
      <c r="T142" s="7" t="s">
        <v>41</v>
      </c>
      <c r="U142" s="7"/>
      <c r="V142" s="4" t="s">
        <v>42</v>
      </c>
      <c r="W142" s="4" t="s">
        <v>329</v>
      </c>
      <c r="X142" s="4" t="s">
        <v>330</v>
      </c>
      <c r="Y142" s="7" t="s">
        <v>60</v>
      </c>
      <c r="Z142" s="7"/>
      <c r="AA142" s="4" t="s">
        <v>46</v>
      </c>
      <c r="AB142" s="4" t="s">
        <v>47</v>
      </c>
      <c r="AC142" s="4" t="s">
        <v>79</v>
      </c>
      <c r="AD142" s="4" t="s">
        <v>80</v>
      </c>
      <c r="AE142" s="4" t="s">
        <v>48</v>
      </c>
      <c r="AF142" s="4" t="s">
        <v>41</v>
      </c>
      <c r="AG142" s="4" t="s">
        <v>408</v>
      </c>
    </row>
    <row r="143" spans="1:33" ht="16.5" customHeight="1" x14ac:dyDescent="0.2">
      <c r="A143" s="2" t="s">
        <v>31</v>
      </c>
      <c r="B143" s="5" t="s">
        <v>54</v>
      </c>
      <c r="C143" s="5"/>
      <c r="D143" s="5"/>
      <c r="E143" s="6" t="s">
        <v>33</v>
      </c>
      <c r="F143" s="6"/>
      <c r="G143" s="7" t="s">
        <v>405</v>
      </c>
      <c r="H143" s="7"/>
      <c r="I143" s="7"/>
      <c r="J143" s="3" t="s">
        <v>35</v>
      </c>
      <c r="K143" s="4" t="s">
        <v>248</v>
      </c>
      <c r="L143" s="4" t="s">
        <v>93</v>
      </c>
      <c r="N143" s="7" t="s">
        <v>454</v>
      </c>
      <c r="O143" s="7"/>
      <c r="P143" s="7" t="s">
        <v>455</v>
      </c>
      <c r="Q143" s="7"/>
      <c r="R143" s="7"/>
      <c r="S143" s="3" t="s">
        <v>40</v>
      </c>
      <c r="T143" s="7" t="s">
        <v>41</v>
      </c>
      <c r="U143" s="7"/>
      <c r="V143" s="4" t="s">
        <v>42</v>
      </c>
      <c r="W143" s="4" t="s">
        <v>154</v>
      </c>
      <c r="X143" s="4" t="s">
        <v>155</v>
      </c>
      <c r="Y143" s="7" t="s">
        <v>60</v>
      </c>
      <c r="Z143" s="7"/>
      <c r="AA143" s="4" t="s">
        <v>46</v>
      </c>
      <c r="AB143" s="4" t="s">
        <v>47</v>
      </c>
      <c r="AC143" s="4" t="s">
        <v>79</v>
      </c>
      <c r="AD143" s="4" t="s">
        <v>96</v>
      </c>
      <c r="AE143" s="4" t="s">
        <v>48</v>
      </c>
      <c r="AF143" s="4" t="s">
        <v>41</v>
      </c>
      <c r="AG143" s="4" t="s">
        <v>408</v>
      </c>
    </row>
    <row r="144" spans="1:33" ht="16.5" customHeight="1" x14ac:dyDescent="0.2">
      <c r="A144" s="2" t="s">
        <v>31</v>
      </c>
      <c r="B144" s="5" t="s">
        <v>54</v>
      </c>
      <c r="C144" s="5"/>
      <c r="D144" s="5"/>
      <c r="E144" s="6" t="s">
        <v>33</v>
      </c>
      <c r="F144" s="6"/>
      <c r="G144" s="7" t="s">
        <v>405</v>
      </c>
      <c r="H144" s="7"/>
      <c r="I144" s="7"/>
      <c r="J144" s="3" t="s">
        <v>35</v>
      </c>
      <c r="K144" s="4" t="s">
        <v>409</v>
      </c>
      <c r="L144" s="4" t="s">
        <v>37</v>
      </c>
      <c r="N144" s="7" t="s">
        <v>456</v>
      </c>
      <c r="O144" s="7"/>
      <c r="P144" s="7" t="s">
        <v>457</v>
      </c>
      <c r="Q144" s="7"/>
      <c r="R144" s="7"/>
      <c r="S144" s="3" t="s">
        <v>40</v>
      </c>
      <c r="T144" s="7" t="s">
        <v>41</v>
      </c>
      <c r="U144" s="7"/>
      <c r="V144" s="4" t="s">
        <v>42</v>
      </c>
      <c r="W144" s="4" t="s">
        <v>154</v>
      </c>
      <c r="X144" s="4" t="s">
        <v>155</v>
      </c>
      <c r="Y144" s="7" t="s">
        <v>60</v>
      </c>
      <c r="Z144" s="7"/>
      <c r="AA144" s="4" t="s">
        <v>46</v>
      </c>
      <c r="AB144" s="4" t="s">
        <v>47</v>
      </c>
      <c r="AC144" s="4" t="s">
        <v>79</v>
      </c>
      <c r="AD144" s="4" t="s">
        <v>80</v>
      </c>
      <c r="AE144" s="4" t="s">
        <v>48</v>
      </c>
      <c r="AF144" s="4" t="s">
        <v>41</v>
      </c>
      <c r="AG144" s="4" t="s">
        <v>408</v>
      </c>
    </row>
    <row r="145" spans="1:33" ht="16.5" customHeight="1" x14ac:dyDescent="0.2">
      <c r="A145" s="2" t="s">
        <v>31</v>
      </c>
      <c r="B145" s="5" t="s">
        <v>54</v>
      </c>
      <c r="C145" s="5"/>
      <c r="D145" s="5"/>
      <c r="E145" s="6" t="s">
        <v>33</v>
      </c>
      <c r="F145" s="6"/>
      <c r="G145" s="7" t="s">
        <v>405</v>
      </c>
      <c r="H145" s="7"/>
      <c r="I145" s="7"/>
      <c r="J145" s="3" t="s">
        <v>35</v>
      </c>
      <c r="K145" s="4" t="s">
        <v>248</v>
      </c>
      <c r="L145" s="4" t="s">
        <v>37</v>
      </c>
      <c r="N145" s="7" t="s">
        <v>458</v>
      </c>
      <c r="O145" s="7"/>
      <c r="P145" s="7" t="s">
        <v>459</v>
      </c>
      <c r="Q145" s="7"/>
      <c r="R145" s="7"/>
      <c r="S145" s="3" t="s">
        <v>40</v>
      </c>
      <c r="T145" s="7" t="s">
        <v>41</v>
      </c>
      <c r="U145" s="7"/>
      <c r="V145" s="4" t="s">
        <v>42</v>
      </c>
      <c r="W145" s="4" t="s">
        <v>207</v>
      </c>
      <c r="X145" s="4" t="s">
        <v>208</v>
      </c>
      <c r="Y145" s="7" t="s">
        <v>60</v>
      </c>
      <c r="Z145" s="7"/>
      <c r="AA145" s="4" t="s">
        <v>46</v>
      </c>
      <c r="AB145" s="4" t="s">
        <v>47</v>
      </c>
      <c r="AC145" s="4" t="s">
        <v>79</v>
      </c>
      <c r="AD145" s="4" t="s">
        <v>80</v>
      </c>
      <c r="AE145" s="4" t="s">
        <v>48</v>
      </c>
      <c r="AF145" s="4" t="s">
        <v>41</v>
      </c>
      <c r="AG145" s="4" t="s">
        <v>408</v>
      </c>
    </row>
    <row r="146" spans="1:33" ht="16.5" customHeight="1" x14ac:dyDescent="0.2">
      <c r="A146" s="2" t="s">
        <v>31</v>
      </c>
      <c r="B146" s="5" t="s">
        <v>54</v>
      </c>
      <c r="C146" s="5"/>
      <c r="D146" s="5"/>
      <c r="E146" s="6" t="s">
        <v>33</v>
      </c>
      <c r="F146" s="6"/>
      <c r="G146" s="7" t="s">
        <v>405</v>
      </c>
      <c r="H146" s="7"/>
      <c r="I146" s="7"/>
      <c r="J146" s="3" t="s">
        <v>35</v>
      </c>
      <c r="K146" s="4" t="s">
        <v>149</v>
      </c>
      <c r="L146" s="4" t="s">
        <v>37</v>
      </c>
      <c r="N146" s="7" t="s">
        <v>460</v>
      </c>
      <c r="O146" s="7"/>
      <c r="P146" s="7" t="s">
        <v>461</v>
      </c>
      <c r="Q146" s="7"/>
      <c r="R146" s="7"/>
      <c r="S146" s="3" t="s">
        <v>40</v>
      </c>
      <c r="T146" s="7" t="s">
        <v>41</v>
      </c>
      <c r="U146" s="7"/>
      <c r="V146" s="4" t="s">
        <v>42</v>
      </c>
      <c r="W146" s="4" t="s">
        <v>274</v>
      </c>
      <c r="X146" s="4" t="s">
        <v>275</v>
      </c>
      <c r="Y146" s="7" t="s">
        <v>78</v>
      </c>
      <c r="Z146" s="7"/>
      <c r="AA146" s="4" t="s">
        <v>46</v>
      </c>
      <c r="AB146" s="4" t="s">
        <v>47</v>
      </c>
      <c r="AC146" s="4" t="s">
        <v>136</v>
      </c>
      <c r="AD146" s="4" t="s">
        <v>137</v>
      </c>
      <c r="AE146" s="4" t="s">
        <v>48</v>
      </c>
      <c r="AF146" s="4" t="s">
        <v>41</v>
      </c>
      <c r="AG146" s="4" t="s">
        <v>408</v>
      </c>
    </row>
    <row r="147" spans="1:33" ht="16.5" customHeight="1" x14ac:dyDescent="0.2">
      <c r="A147" s="2" t="s">
        <v>31</v>
      </c>
      <c r="B147" s="5" t="s">
        <v>54</v>
      </c>
      <c r="C147" s="5"/>
      <c r="D147" s="5"/>
      <c r="E147" s="6" t="s">
        <v>33</v>
      </c>
      <c r="F147" s="6"/>
      <c r="G147" s="7" t="s">
        <v>405</v>
      </c>
      <c r="H147" s="7"/>
      <c r="I147" s="7"/>
      <c r="J147" s="3" t="s">
        <v>35</v>
      </c>
      <c r="K147" s="4" t="s">
        <v>245</v>
      </c>
      <c r="L147" s="4" t="s">
        <v>443</v>
      </c>
      <c r="N147" s="7" t="s">
        <v>462</v>
      </c>
      <c r="O147" s="7"/>
      <c r="P147" s="7" t="s">
        <v>463</v>
      </c>
      <c r="Q147" s="7"/>
      <c r="R147" s="7"/>
      <c r="S147" s="3" t="s">
        <v>40</v>
      </c>
      <c r="T147" s="7" t="s">
        <v>41</v>
      </c>
      <c r="U147" s="7"/>
      <c r="V147" s="4" t="s">
        <v>51</v>
      </c>
      <c r="W147" s="4" t="s">
        <v>274</v>
      </c>
      <c r="X147" s="4" t="s">
        <v>279</v>
      </c>
      <c r="Y147" s="7" t="s">
        <v>78</v>
      </c>
      <c r="Z147" s="7"/>
      <c r="AA147" s="4" t="s">
        <v>46</v>
      </c>
      <c r="AB147" s="4" t="s">
        <v>47</v>
      </c>
      <c r="AC147" s="4" t="s">
        <v>136</v>
      </c>
      <c r="AD147" s="4" t="s">
        <v>464</v>
      </c>
      <c r="AE147" s="4" t="s">
        <v>48</v>
      </c>
      <c r="AF147" s="4" t="s">
        <v>41</v>
      </c>
      <c r="AG147" s="4" t="s">
        <v>408</v>
      </c>
    </row>
    <row r="148" spans="1:33" ht="16.5" customHeight="1" x14ac:dyDescent="0.2">
      <c r="A148" s="2" t="s">
        <v>31</v>
      </c>
      <c r="B148" s="5" t="s">
        <v>54</v>
      </c>
      <c r="C148" s="5"/>
      <c r="D148" s="5"/>
      <c r="E148" s="6" t="s">
        <v>33</v>
      </c>
      <c r="F148" s="6"/>
      <c r="G148" s="7" t="s">
        <v>405</v>
      </c>
      <c r="H148" s="7"/>
      <c r="I148" s="7"/>
      <c r="J148" s="3" t="s">
        <v>35</v>
      </c>
      <c r="K148" s="4" t="s">
        <v>248</v>
      </c>
      <c r="L148" s="4" t="s">
        <v>37</v>
      </c>
      <c r="N148" s="7" t="s">
        <v>465</v>
      </c>
      <c r="O148" s="7"/>
      <c r="P148" s="7" t="s">
        <v>466</v>
      </c>
      <c r="Q148" s="7"/>
      <c r="R148" s="7"/>
      <c r="S148" s="3" t="s">
        <v>40</v>
      </c>
      <c r="T148" s="7" t="s">
        <v>41</v>
      </c>
      <c r="U148" s="7"/>
      <c r="V148" s="4" t="s">
        <v>42</v>
      </c>
      <c r="W148" s="4" t="s">
        <v>200</v>
      </c>
      <c r="X148" s="4" t="s">
        <v>201</v>
      </c>
      <c r="Y148" s="7" t="s">
        <v>60</v>
      </c>
      <c r="Z148" s="7"/>
      <c r="AA148" s="4" t="s">
        <v>46</v>
      </c>
      <c r="AB148" s="4" t="s">
        <v>47</v>
      </c>
      <c r="AC148" s="4" t="s">
        <v>79</v>
      </c>
      <c r="AD148" s="4" t="s">
        <v>80</v>
      </c>
      <c r="AE148" s="4" t="s">
        <v>48</v>
      </c>
      <c r="AF148" s="4" t="s">
        <v>41</v>
      </c>
      <c r="AG148" s="4" t="s">
        <v>408</v>
      </c>
    </row>
    <row r="149" spans="1:33" ht="16.5" customHeight="1" x14ac:dyDescent="0.2">
      <c r="A149" s="2" t="s">
        <v>31</v>
      </c>
      <c r="B149" s="5" t="s">
        <v>54</v>
      </c>
      <c r="C149" s="5"/>
      <c r="D149" s="5"/>
      <c r="E149" s="6" t="s">
        <v>33</v>
      </c>
      <c r="F149" s="6"/>
      <c r="G149" s="7" t="s">
        <v>405</v>
      </c>
      <c r="H149" s="7"/>
      <c r="I149" s="7"/>
      <c r="J149" s="3" t="s">
        <v>35</v>
      </c>
      <c r="K149" s="4" t="s">
        <v>149</v>
      </c>
      <c r="L149" s="4" t="s">
        <v>37</v>
      </c>
      <c r="N149" s="7" t="s">
        <v>467</v>
      </c>
      <c r="O149" s="7"/>
      <c r="P149" s="7" t="s">
        <v>468</v>
      </c>
      <c r="Q149" s="7"/>
      <c r="R149" s="7"/>
      <c r="S149" s="3" t="s">
        <v>40</v>
      </c>
      <c r="T149" s="7" t="s">
        <v>41</v>
      </c>
      <c r="U149" s="7"/>
      <c r="V149" s="4" t="s">
        <v>42</v>
      </c>
      <c r="W149" s="4" t="s">
        <v>469</v>
      </c>
      <c r="X149" s="4" t="s">
        <v>470</v>
      </c>
      <c r="Y149" s="7" t="s">
        <v>78</v>
      </c>
      <c r="Z149" s="7"/>
      <c r="AA149" s="4" t="s">
        <v>46</v>
      </c>
      <c r="AB149" s="4" t="s">
        <v>47</v>
      </c>
      <c r="AC149" s="4" t="s">
        <v>136</v>
      </c>
      <c r="AD149" s="4" t="s">
        <v>137</v>
      </c>
      <c r="AE149" s="4" t="s">
        <v>48</v>
      </c>
      <c r="AF149" s="4" t="s">
        <v>41</v>
      </c>
      <c r="AG149" s="4" t="s">
        <v>408</v>
      </c>
    </row>
    <row r="150" spans="1:33" ht="16.5" customHeight="1" x14ac:dyDescent="0.2">
      <c r="A150" s="2" t="s">
        <v>31</v>
      </c>
      <c r="B150" s="5" t="s">
        <v>54</v>
      </c>
      <c r="C150" s="5"/>
      <c r="D150" s="5"/>
      <c r="E150" s="6" t="s">
        <v>33</v>
      </c>
      <c r="F150" s="6"/>
      <c r="G150" s="7" t="s">
        <v>405</v>
      </c>
      <c r="H150" s="7"/>
      <c r="I150" s="7"/>
      <c r="J150" s="3" t="s">
        <v>35</v>
      </c>
      <c r="K150" s="4" t="s">
        <v>118</v>
      </c>
      <c r="L150" s="4" t="s">
        <v>37</v>
      </c>
      <c r="N150" s="7" t="s">
        <v>471</v>
      </c>
      <c r="O150" s="7"/>
      <c r="P150" s="7" t="s">
        <v>472</v>
      </c>
      <c r="Q150" s="7"/>
      <c r="R150" s="7"/>
      <c r="S150" s="3" t="s">
        <v>40</v>
      </c>
      <c r="T150" s="7" t="s">
        <v>41</v>
      </c>
      <c r="U150" s="7"/>
      <c r="V150" s="4" t="s">
        <v>42</v>
      </c>
      <c r="W150" s="4" t="s">
        <v>43</v>
      </c>
      <c r="X150" s="4" t="s">
        <v>44</v>
      </c>
      <c r="Y150" s="7" t="s">
        <v>60</v>
      </c>
      <c r="Z150" s="7"/>
      <c r="AA150" s="4" t="s">
        <v>46</v>
      </c>
      <c r="AB150" s="4" t="s">
        <v>47</v>
      </c>
      <c r="AC150" s="4" t="s">
        <v>79</v>
      </c>
      <c r="AD150" s="4" t="s">
        <v>80</v>
      </c>
      <c r="AE150" s="4" t="s">
        <v>48</v>
      </c>
      <c r="AF150" s="4" t="s">
        <v>41</v>
      </c>
      <c r="AG150" s="4" t="s">
        <v>408</v>
      </c>
    </row>
    <row r="151" spans="1:33" ht="16.5" customHeight="1" x14ac:dyDescent="0.2">
      <c r="A151" s="2" t="s">
        <v>31</v>
      </c>
      <c r="B151" s="5" t="s">
        <v>54</v>
      </c>
      <c r="C151" s="5"/>
      <c r="D151" s="5"/>
      <c r="E151" s="6" t="s">
        <v>33</v>
      </c>
      <c r="F151" s="6"/>
      <c r="G151" s="7" t="s">
        <v>405</v>
      </c>
      <c r="H151" s="7"/>
      <c r="I151" s="7"/>
      <c r="J151" s="3" t="s">
        <v>35</v>
      </c>
      <c r="K151" s="4" t="s">
        <v>149</v>
      </c>
      <c r="L151" s="4" t="s">
        <v>231</v>
      </c>
      <c r="N151" s="7" t="s">
        <v>473</v>
      </c>
      <c r="O151" s="7"/>
      <c r="P151" s="7" t="s">
        <v>474</v>
      </c>
      <c r="Q151" s="7"/>
      <c r="R151" s="7"/>
      <c r="S151" s="3" t="s">
        <v>40</v>
      </c>
      <c r="T151" s="7" t="s">
        <v>41</v>
      </c>
      <c r="U151" s="7"/>
      <c r="V151" s="4" t="s">
        <v>42</v>
      </c>
      <c r="W151" s="4" t="s">
        <v>43</v>
      </c>
      <c r="X151" s="4" t="s">
        <v>44</v>
      </c>
      <c r="Y151" s="7" t="s">
        <v>78</v>
      </c>
      <c r="Z151" s="7"/>
      <c r="AA151" s="4" t="s">
        <v>46</v>
      </c>
      <c r="AB151" s="4" t="s">
        <v>47</v>
      </c>
      <c r="AC151" s="4" t="s">
        <v>136</v>
      </c>
      <c r="AD151" s="4" t="s">
        <v>447</v>
      </c>
      <c r="AE151" s="4" t="s">
        <v>48</v>
      </c>
      <c r="AF151" s="4" t="s">
        <v>41</v>
      </c>
      <c r="AG151" s="4" t="s">
        <v>408</v>
      </c>
    </row>
    <row r="152" spans="1:33" ht="16.5" customHeight="1" x14ac:dyDescent="0.2">
      <c r="A152" s="2" t="s">
        <v>31</v>
      </c>
      <c r="B152" s="5" t="s">
        <v>54</v>
      </c>
      <c r="C152" s="5"/>
      <c r="D152" s="5"/>
      <c r="E152" s="6" t="s">
        <v>33</v>
      </c>
      <c r="F152" s="6"/>
      <c r="G152" s="7" t="s">
        <v>405</v>
      </c>
      <c r="H152" s="7"/>
      <c r="I152" s="7"/>
      <c r="J152" s="3" t="s">
        <v>35</v>
      </c>
      <c r="K152" s="4" t="s">
        <v>149</v>
      </c>
      <c r="L152" s="4" t="s">
        <v>37</v>
      </c>
      <c r="N152" s="7" t="s">
        <v>475</v>
      </c>
      <c r="O152" s="7"/>
      <c r="P152" s="7" t="s">
        <v>476</v>
      </c>
      <c r="Q152" s="7"/>
      <c r="R152" s="7"/>
      <c r="S152" s="3" t="s">
        <v>40</v>
      </c>
      <c r="T152" s="7" t="s">
        <v>41</v>
      </c>
      <c r="U152" s="7"/>
      <c r="V152" s="4" t="s">
        <v>42</v>
      </c>
      <c r="W152" s="4" t="s">
        <v>333</v>
      </c>
      <c r="X152" s="4" t="s">
        <v>334</v>
      </c>
      <c r="Y152" s="7" t="s">
        <v>78</v>
      </c>
      <c r="Z152" s="7"/>
      <c r="AA152" s="4" t="s">
        <v>46</v>
      </c>
      <c r="AB152" s="4" t="s">
        <v>47</v>
      </c>
      <c r="AC152" s="4" t="s">
        <v>136</v>
      </c>
      <c r="AD152" s="4" t="s">
        <v>137</v>
      </c>
      <c r="AE152" s="4" t="s">
        <v>48</v>
      </c>
      <c r="AF152" s="4" t="s">
        <v>41</v>
      </c>
      <c r="AG152" s="4" t="s">
        <v>408</v>
      </c>
    </row>
    <row r="153" spans="1:33" ht="16.5" customHeight="1" x14ac:dyDescent="0.2">
      <c r="A153" s="2" t="s">
        <v>31</v>
      </c>
      <c r="B153" s="5" t="s">
        <v>54</v>
      </c>
      <c r="C153" s="5"/>
      <c r="D153" s="5"/>
      <c r="E153" s="6" t="s">
        <v>33</v>
      </c>
      <c r="F153" s="6"/>
      <c r="G153" s="7" t="s">
        <v>405</v>
      </c>
      <c r="H153" s="7"/>
      <c r="I153" s="7"/>
      <c r="J153" s="3" t="s">
        <v>35</v>
      </c>
      <c r="K153" s="4" t="s">
        <v>409</v>
      </c>
      <c r="L153" s="4" t="s">
        <v>37</v>
      </c>
      <c r="N153" s="7" t="s">
        <v>477</v>
      </c>
      <c r="O153" s="7"/>
      <c r="P153" s="7" t="s">
        <v>478</v>
      </c>
      <c r="Q153" s="7"/>
      <c r="R153" s="7"/>
      <c r="S153" s="3" t="s">
        <v>40</v>
      </c>
      <c r="T153" s="7" t="s">
        <v>41</v>
      </c>
      <c r="U153" s="7"/>
      <c r="V153" s="4" t="s">
        <v>42</v>
      </c>
      <c r="W153" s="4" t="s">
        <v>234</v>
      </c>
      <c r="X153" s="4" t="s">
        <v>235</v>
      </c>
      <c r="Y153" s="7" t="s">
        <v>60</v>
      </c>
      <c r="Z153" s="7"/>
      <c r="AA153" s="4" t="s">
        <v>46</v>
      </c>
      <c r="AB153" s="4" t="s">
        <v>47</v>
      </c>
      <c r="AC153" s="4" t="s">
        <v>79</v>
      </c>
      <c r="AD153" s="4" t="s">
        <v>80</v>
      </c>
      <c r="AE153" s="4" t="s">
        <v>48</v>
      </c>
      <c r="AF153" s="4" t="s">
        <v>41</v>
      </c>
      <c r="AG153" s="4" t="s">
        <v>408</v>
      </c>
    </row>
    <row r="154" spans="1:33" ht="16.5" customHeight="1" x14ac:dyDescent="0.2">
      <c r="A154" s="2" t="s">
        <v>31</v>
      </c>
      <c r="B154" s="5" t="s">
        <v>54</v>
      </c>
      <c r="C154" s="5"/>
      <c r="D154" s="5"/>
      <c r="E154" s="6" t="s">
        <v>33</v>
      </c>
      <c r="F154" s="6"/>
      <c r="G154" s="7" t="s">
        <v>405</v>
      </c>
      <c r="H154" s="7"/>
      <c r="I154" s="7"/>
      <c r="J154" s="3" t="s">
        <v>35</v>
      </c>
      <c r="K154" s="4" t="s">
        <v>409</v>
      </c>
      <c r="L154" s="4" t="s">
        <v>37</v>
      </c>
      <c r="N154" s="7" t="s">
        <v>479</v>
      </c>
      <c r="O154" s="7"/>
      <c r="P154" s="7" t="s">
        <v>480</v>
      </c>
      <c r="Q154" s="7"/>
      <c r="R154" s="7"/>
      <c r="S154" s="3" t="s">
        <v>40</v>
      </c>
      <c r="T154" s="7" t="s">
        <v>41</v>
      </c>
      <c r="U154" s="7"/>
      <c r="V154" s="4" t="s">
        <v>42</v>
      </c>
      <c r="W154" s="4" t="s">
        <v>234</v>
      </c>
      <c r="X154" s="4" t="s">
        <v>235</v>
      </c>
      <c r="Y154" s="7" t="s">
        <v>60</v>
      </c>
      <c r="Z154" s="7"/>
      <c r="AA154" s="4" t="s">
        <v>46</v>
      </c>
      <c r="AB154" s="4" t="s">
        <v>47</v>
      </c>
      <c r="AC154" s="4" t="s">
        <v>79</v>
      </c>
      <c r="AD154" s="4" t="s">
        <v>80</v>
      </c>
      <c r="AE154" s="4" t="s">
        <v>48</v>
      </c>
      <c r="AF154" s="4" t="s">
        <v>41</v>
      </c>
      <c r="AG154" s="4" t="s">
        <v>408</v>
      </c>
    </row>
    <row r="155" spans="1:33" ht="16.5" customHeight="1" x14ac:dyDescent="0.2">
      <c r="A155" s="2" t="s">
        <v>31</v>
      </c>
      <c r="B155" s="5" t="s">
        <v>54</v>
      </c>
      <c r="C155" s="5"/>
      <c r="D155" s="5"/>
      <c r="E155" s="6" t="s">
        <v>33</v>
      </c>
      <c r="F155" s="6"/>
      <c r="G155" s="7" t="s">
        <v>405</v>
      </c>
      <c r="H155" s="7"/>
      <c r="I155" s="7"/>
      <c r="J155" s="3" t="s">
        <v>35</v>
      </c>
      <c r="K155" s="4" t="s">
        <v>149</v>
      </c>
      <c r="L155" s="4" t="s">
        <v>37</v>
      </c>
      <c r="N155" s="7" t="s">
        <v>481</v>
      </c>
      <c r="O155" s="7"/>
      <c r="P155" s="7" t="s">
        <v>482</v>
      </c>
      <c r="Q155" s="7"/>
      <c r="R155" s="7"/>
      <c r="S155" s="3" t="s">
        <v>40</v>
      </c>
      <c r="T155" s="7" t="s">
        <v>41</v>
      </c>
      <c r="U155" s="7"/>
      <c r="V155" s="4" t="s">
        <v>42</v>
      </c>
      <c r="W155" s="4" t="s">
        <v>234</v>
      </c>
      <c r="X155" s="4" t="s">
        <v>235</v>
      </c>
      <c r="Y155" s="7" t="s">
        <v>78</v>
      </c>
      <c r="Z155" s="7"/>
      <c r="AA155" s="4" t="s">
        <v>46</v>
      </c>
      <c r="AB155" s="4" t="s">
        <v>47</v>
      </c>
      <c r="AC155" s="4" t="s">
        <v>136</v>
      </c>
      <c r="AD155" s="4" t="s">
        <v>137</v>
      </c>
      <c r="AE155" s="4" t="s">
        <v>48</v>
      </c>
      <c r="AF155" s="4" t="s">
        <v>41</v>
      </c>
      <c r="AG155" s="4" t="s">
        <v>408</v>
      </c>
    </row>
    <row r="156" spans="1:33" ht="16.5" customHeight="1" x14ac:dyDescent="0.2">
      <c r="A156" s="2" t="s">
        <v>31</v>
      </c>
      <c r="B156" s="5" t="s">
        <v>54</v>
      </c>
      <c r="C156" s="5"/>
      <c r="D156" s="5"/>
      <c r="E156" s="6" t="s">
        <v>33</v>
      </c>
      <c r="F156" s="6"/>
      <c r="G156" s="7" t="s">
        <v>405</v>
      </c>
      <c r="H156" s="7"/>
      <c r="I156" s="7"/>
      <c r="J156" s="3" t="s">
        <v>35</v>
      </c>
      <c r="K156" s="4" t="s">
        <v>143</v>
      </c>
      <c r="L156" s="4" t="s">
        <v>93</v>
      </c>
      <c r="N156" s="7" t="s">
        <v>483</v>
      </c>
      <c r="O156" s="7"/>
      <c r="P156" s="7" t="s">
        <v>484</v>
      </c>
      <c r="Q156" s="7"/>
      <c r="R156" s="7"/>
      <c r="S156" s="3" t="s">
        <v>40</v>
      </c>
      <c r="T156" s="7" t="s">
        <v>41</v>
      </c>
      <c r="U156" s="7"/>
      <c r="V156" s="4" t="s">
        <v>42</v>
      </c>
      <c r="W156" s="4" t="s">
        <v>355</v>
      </c>
      <c r="X156" s="4" t="s">
        <v>344</v>
      </c>
      <c r="Y156" s="7" t="s">
        <v>135</v>
      </c>
      <c r="Z156" s="7"/>
      <c r="AA156" s="4" t="s">
        <v>46</v>
      </c>
      <c r="AB156" s="4" t="s">
        <v>47</v>
      </c>
      <c r="AC156" s="4" t="s">
        <v>72</v>
      </c>
      <c r="AD156" s="4" t="s">
        <v>41</v>
      </c>
      <c r="AE156" s="4" t="s">
        <v>48</v>
      </c>
      <c r="AF156" s="4" t="s">
        <v>41</v>
      </c>
      <c r="AG156" s="4" t="s">
        <v>408</v>
      </c>
    </row>
    <row r="157" spans="1:33" ht="16.5" customHeight="1" x14ac:dyDescent="0.2">
      <c r="A157" s="2" t="s">
        <v>31</v>
      </c>
      <c r="B157" s="5" t="s">
        <v>54</v>
      </c>
      <c r="C157" s="5"/>
      <c r="D157" s="5"/>
      <c r="E157" s="6" t="s">
        <v>33</v>
      </c>
      <c r="F157" s="6"/>
      <c r="G157" s="7" t="s">
        <v>405</v>
      </c>
      <c r="H157" s="7"/>
      <c r="I157" s="7"/>
      <c r="J157" s="3" t="s">
        <v>35</v>
      </c>
      <c r="K157" s="4" t="s">
        <v>409</v>
      </c>
      <c r="L157" s="4" t="s">
        <v>37</v>
      </c>
      <c r="N157" s="7" t="s">
        <v>485</v>
      </c>
      <c r="O157" s="7"/>
      <c r="P157" s="7" t="s">
        <v>486</v>
      </c>
      <c r="Q157" s="7"/>
      <c r="R157" s="7"/>
      <c r="S157" s="3" t="s">
        <v>40</v>
      </c>
      <c r="T157" s="7" t="s">
        <v>41</v>
      </c>
      <c r="U157" s="7"/>
      <c r="V157" s="4" t="s">
        <v>42</v>
      </c>
      <c r="W157" s="4" t="s">
        <v>360</v>
      </c>
      <c r="X157" s="4" t="s">
        <v>361</v>
      </c>
      <c r="Y157" s="7" t="s">
        <v>60</v>
      </c>
      <c r="Z157" s="7"/>
      <c r="AA157" s="4" t="s">
        <v>46</v>
      </c>
      <c r="AB157" s="4" t="s">
        <v>47</v>
      </c>
      <c r="AC157" s="4" t="s">
        <v>61</v>
      </c>
      <c r="AD157" s="4" t="s">
        <v>62</v>
      </c>
      <c r="AE157" s="4" t="s">
        <v>48</v>
      </c>
      <c r="AF157" s="4" t="s">
        <v>41</v>
      </c>
      <c r="AG157" s="4" t="s">
        <v>408</v>
      </c>
    </row>
    <row r="158" spans="1:33" ht="16.5" customHeight="1" x14ac:dyDescent="0.2">
      <c r="A158" s="2" t="s">
        <v>31</v>
      </c>
      <c r="B158" s="5" t="s">
        <v>54</v>
      </c>
      <c r="C158" s="5"/>
      <c r="D158" s="5"/>
      <c r="E158" s="6" t="s">
        <v>33</v>
      </c>
      <c r="F158" s="6"/>
      <c r="G158" s="7" t="s">
        <v>405</v>
      </c>
      <c r="H158" s="7"/>
      <c r="I158" s="7"/>
      <c r="J158" s="3" t="s">
        <v>35</v>
      </c>
      <c r="K158" s="4" t="s">
        <v>149</v>
      </c>
      <c r="L158" s="4" t="s">
        <v>37</v>
      </c>
      <c r="N158" s="7" t="s">
        <v>487</v>
      </c>
      <c r="O158" s="7"/>
      <c r="P158" s="7" t="s">
        <v>488</v>
      </c>
      <c r="Q158" s="7"/>
      <c r="R158" s="7"/>
      <c r="S158" s="3" t="s">
        <v>40</v>
      </c>
      <c r="T158" s="7" t="s">
        <v>41</v>
      </c>
      <c r="U158" s="7"/>
      <c r="V158" s="4" t="s">
        <v>42</v>
      </c>
      <c r="W158" s="4" t="s">
        <v>301</v>
      </c>
      <c r="X158" s="4" t="s">
        <v>302</v>
      </c>
      <c r="Y158" s="7" t="s">
        <v>78</v>
      </c>
      <c r="Z158" s="7"/>
      <c r="AA158" s="4" t="s">
        <v>46</v>
      </c>
      <c r="AB158" s="4" t="s">
        <v>47</v>
      </c>
      <c r="AC158" s="4" t="s">
        <v>79</v>
      </c>
      <c r="AD158" s="4" t="s">
        <v>80</v>
      </c>
      <c r="AE158" s="4" t="s">
        <v>48</v>
      </c>
      <c r="AF158" s="4" t="s">
        <v>41</v>
      </c>
      <c r="AG158" s="4" t="s">
        <v>408</v>
      </c>
    </row>
    <row r="159" spans="1:33" ht="16.5" customHeight="1" x14ac:dyDescent="0.2">
      <c r="A159" s="2" t="s">
        <v>31</v>
      </c>
      <c r="B159" s="5" t="s">
        <v>54</v>
      </c>
      <c r="C159" s="5"/>
      <c r="D159" s="5"/>
      <c r="E159" s="6" t="s">
        <v>33</v>
      </c>
      <c r="F159" s="6"/>
      <c r="G159" s="7" t="s">
        <v>405</v>
      </c>
      <c r="H159" s="7"/>
      <c r="I159" s="7"/>
      <c r="J159" s="3" t="s">
        <v>35</v>
      </c>
      <c r="K159" s="4" t="s">
        <v>149</v>
      </c>
      <c r="L159" s="4" t="s">
        <v>37</v>
      </c>
      <c r="N159" s="7" t="s">
        <v>489</v>
      </c>
      <c r="O159" s="7"/>
      <c r="P159" s="7" t="s">
        <v>490</v>
      </c>
      <c r="Q159" s="7"/>
      <c r="R159" s="7"/>
      <c r="S159" s="3" t="s">
        <v>40</v>
      </c>
      <c r="T159" s="7" t="s">
        <v>41</v>
      </c>
      <c r="U159" s="7"/>
      <c r="V159" s="4" t="s">
        <v>42</v>
      </c>
      <c r="W159" s="4" t="s">
        <v>312</v>
      </c>
      <c r="X159" s="4" t="s">
        <v>313</v>
      </c>
      <c r="Y159" s="7" t="s">
        <v>78</v>
      </c>
      <c r="Z159" s="7"/>
      <c r="AA159" s="4" t="s">
        <v>46</v>
      </c>
      <c r="AB159" s="4" t="s">
        <v>47</v>
      </c>
      <c r="AC159" s="4" t="s">
        <v>79</v>
      </c>
      <c r="AD159" s="4" t="s">
        <v>80</v>
      </c>
      <c r="AE159" s="4" t="s">
        <v>48</v>
      </c>
      <c r="AF159" s="4" t="s">
        <v>41</v>
      </c>
      <c r="AG159" s="4" t="s">
        <v>408</v>
      </c>
    </row>
    <row r="160" spans="1:33" ht="16.5" customHeight="1" x14ac:dyDescent="0.2">
      <c r="A160" s="2" t="s">
        <v>31</v>
      </c>
      <c r="B160" s="5" t="s">
        <v>54</v>
      </c>
      <c r="C160" s="5"/>
      <c r="D160" s="5"/>
      <c r="E160" s="6" t="s">
        <v>33</v>
      </c>
      <c r="F160" s="6"/>
      <c r="G160" s="7" t="s">
        <v>405</v>
      </c>
      <c r="H160" s="7"/>
      <c r="I160" s="7"/>
      <c r="J160" s="3" t="s">
        <v>35</v>
      </c>
      <c r="K160" s="4" t="s">
        <v>245</v>
      </c>
      <c r="L160" s="4" t="s">
        <v>37</v>
      </c>
      <c r="N160" s="7" t="s">
        <v>491</v>
      </c>
      <c r="O160" s="7"/>
      <c r="P160" s="7" t="s">
        <v>492</v>
      </c>
      <c r="Q160" s="7"/>
      <c r="R160" s="7"/>
      <c r="S160" s="3" t="s">
        <v>40</v>
      </c>
      <c r="T160" s="7" t="s">
        <v>41</v>
      </c>
      <c r="U160" s="7"/>
      <c r="V160" s="4" t="s">
        <v>42</v>
      </c>
      <c r="W160" s="4" t="s">
        <v>107</v>
      </c>
      <c r="X160" s="4" t="s">
        <v>104</v>
      </c>
      <c r="Y160" s="7" t="s">
        <v>78</v>
      </c>
      <c r="Z160" s="7"/>
      <c r="AA160" s="4" t="s">
        <v>46</v>
      </c>
      <c r="AB160" s="4" t="s">
        <v>47</v>
      </c>
      <c r="AC160" s="4" t="s">
        <v>79</v>
      </c>
      <c r="AD160" s="4" t="s">
        <v>80</v>
      </c>
      <c r="AE160" s="4" t="s">
        <v>48</v>
      </c>
      <c r="AF160" s="4" t="s">
        <v>41</v>
      </c>
      <c r="AG160" s="4" t="s">
        <v>408</v>
      </c>
    </row>
    <row r="161" spans="1:33" ht="16.5" customHeight="1" x14ac:dyDescent="0.2">
      <c r="A161" s="2" t="s">
        <v>31</v>
      </c>
      <c r="B161" s="5" t="s">
        <v>54</v>
      </c>
      <c r="C161" s="5"/>
      <c r="D161" s="5"/>
      <c r="E161" s="6" t="s">
        <v>33</v>
      </c>
      <c r="F161" s="6"/>
      <c r="G161" s="7" t="s">
        <v>405</v>
      </c>
      <c r="H161" s="7"/>
      <c r="I161" s="7"/>
      <c r="J161" s="3" t="s">
        <v>35</v>
      </c>
      <c r="K161" s="4" t="s">
        <v>245</v>
      </c>
      <c r="L161" s="4" t="s">
        <v>231</v>
      </c>
      <c r="N161" s="7" t="s">
        <v>493</v>
      </c>
      <c r="O161" s="7"/>
      <c r="P161" s="7" t="s">
        <v>494</v>
      </c>
      <c r="Q161" s="7"/>
      <c r="R161" s="7"/>
      <c r="S161" s="3" t="s">
        <v>40</v>
      </c>
      <c r="T161" s="7" t="s">
        <v>41</v>
      </c>
      <c r="U161" s="7"/>
      <c r="V161" s="4" t="s">
        <v>42</v>
      </c>
      <c r="W161" s="4" t="s">
        <v>107</v>
      </c>
      <c r="X161" s="4" t="s">
        <v>104</v>
      </c>
      <c r="Y161" s="7" t="s">
        <v>78</v>
      </c>
      <c r="Z161" s="7"/>
      <c r="AA161" s="4" t="s">
        <v>46</v>
      </c>
      <c r="AB161" s="4" t="s">
        <v>47</v>
      </c>
      <c r="AC161" s="4" t="s">
        <v>79</v>
      </c>
      <c r="AD161" s="4" t="s">
        <v>236</v>
      </c>
      <c r="AE161" s="4" t="s">
        <v>48</v>
      </c>
      <c r="AF161" s="4" t="s">
        <v>41</v>
      </c>
      <c r="AG161" s="4" t="s">
        <v>408</v>
      </c>
    </row>
    <row r="162" spans="1:33" ht="16.5" customHeight="1" x14ac:dyDescent="0.2">
      <c r="A162" s="2" t="s">
        <v>31</v>
      </c>
      <c r="B162" s="5" t="s">
        <v>54</v>
      </c>
      <c r="C162" s="5"/>
      <c r="D162" s="5"/>
      <c r="E162" s="6" t="s">
        <v>33</v>
      </c>
      <c r="F162" s="6"/>
      <c r="G162" s="7" t="s">
        <v>405</v>
      </c>
      <c r="H162" s="7"/>
      <c r="I162" s="7"/>
      <c r="J162" s="3" t="s">
        <v>35</v>
      </c>
      <c r="K162" s="4" t="s">
        <v>248</v>
      </c>
      <c r="L162" s="4" t="s">
        <v>37</v>
      </c>
      <c r="N162" s="7" t="s">
        <v>495</v>
      </c>
      <c r="O162" s="7"/>
      <c r="P162" s="7" t="s">
        <v>496</v>
      </c>
      <c r="Q162" s="7"/>
      <c r="R162" s="7"/>
      <c r="S162" s="3" t="s">
        <v>40</v>
      </c>
      <c r="T162" s="7" t="s">
        <v>41</v>
      </c>
      <c r="U162" s="7"/>
      <c r="V162" s="4" t="s">
        <v>42</v>
      </c>
      <c r="W162" s="4" t="s">
        <v>58</v>
      </c>
      <c r="X162" s="4" t="s">
        <v>59</v>
      </c>
      <c r="Y162" s="7" t="s">
        <v>60</v>
      </c>
      <c r="Z162" s="7"/>
      <c r="AA162" s="4" t="s">
        <v>46</v>
      </c>
      <c r="AB162" s="4" t="s">
        <v>47</v>
      </c>
      <c r="AC162" s="4" t="s">
        <v>61</v>
      </c>
      <c r="AD162" s="4" t="s">
        <v>62</v>
      </c>
      <c r="AE162" s="4" t="s">
        <v>48</v>
      </c>
      <c r="AF162" s="4" t="s">
        <v>41</v>
      </c>
      <c r="AG162" s="4" t="s">
        <v>408</v>
      </c>
    </row>
    <row r="163" spans="1:33" ht="16.5" customHeight="1" x14ac:dyDescent="0.2">
      <c r="A163" s="2" t="s">
        <v>31</v>
      </c>
      <c r="B163" s="5" t="s">
        <v>54</v>
      </c>
      <c r="C163" s="5"/>
      <c r="D163" s="5"/>
      <c r="E163" s="6" t="s">
        <v>33</v>
      </c>
      <c r="F163" s="6"/>
      <c r="G163" s="7" t="s">
        <v>405</v>
      </c>
      <c r="H163" s="7"/>
      <c r="I163" s="7"/>
      <c r="J163" s="3" t="s">
        <v>35</v>
      </c>
      <c r="K163" s="4" t="s">
        <v>414</v>
      </c>
      <c r="L163" s="4" t="s">
        <v>37</v>
      </c>
      <c r="N163" s="7" t="s">
        <v>497</v>
      </c>
      <c r="O163" s="7"/>
      <c r="P163" s="7" t="s">
        <v>498</v>
      </c>
      <c r="Q163" s="7"/>
      <c r="R163" s="7"/>
      <c r="S163" s="3" t="s">
        <v>40</v>
      </c>
      <c r="T163" s="7" t="s">
        <v>41</v>
      </c>
      <c r="U163" s="7"/>
      <c r="V163" s="4" t="s">
        <v>42</v>
      </c>
      <c r="W163" s="4" t="s">
        <v>58</v>
      </c>
      <c r="X163" s="4" t="s">
        <v>59</v>
      </c>
      <c r="Y163" s="7" t="s">
        <v>197</v>
      </c>
      <c r="Z163" s="7"/>
      <c r="AA163" s="4" t="s">
        <v>46</v>
      </c>
      <c r="AB163" s="4" t="s">
        <v>47</v>
      </c>
      <c r="AC163" s="4" t="s">
        <v>136</v>
      </c>
      <c r="AD163" s="4" t="s">
        <v>137</v>
      </c>
      <c r="AE163" s="4" t="s">
        <v>48</v>
      </c>
      <c r="AF163" s="4" t="s">
        <v>41</v>
      </c>
      <c r="AG163" s="4" t="s">
        <v>408</v>
      </c>
    </row>
    <row r="164" spans="1:33" ht="16.5" customHeight="1" x14ac:dyDescent="0.2">
      <c r="A164" s="2" t="s">
        <v>31</v>
      </c>
      <c r="B164" s="5" t="s">
        <v>54</v>
      </c>
      <c r="C164" s="5"/>
      <c r="D164" s="5"/>
      <c r="E164" s="6" t="s">
        <v>33</v>
      </c>
      <c r="F164" s="6"/>
      <c r="G164" s="7" t="s">
        <v>405</v>
      </c>
      <c r="H164" s="7"/>
      <c r="I164" s="7"/>
      <c r="J164" s="3" t="s">
        <v>35</v>
      </c>
      <c r="K164" s="4" t="s">
        <v>245</v>
      </c>
      <c r="L164" s="4" t="s">
        <v>93</v>
      </c>
      <c r="N164" s="7" t="s">
        <v>499</v>
      </c>
      <c r="O164" s="7"/>
      <c r="P164" s="7" t="s">
        <v>500</v>
      </c>
      <c r="Q164" s="7"/>
      <c r="R164" s="7"/>
      <c r="S164" s="3" t="s">
        <v>40</v>
      </c>
      <c r="T164" s="7" t="s">
        <v>41</v>
      </c>
      <c r="U164" s="7"/>
      <c r="V164" s="4" t="s">
        <v>42</v>
      </c>
      <c r="W164" s="4" t="s">
        <v>51</v>
      </c>
      <c r="X164" s="4" t="s">
        <v>128</v>
      </c>
      <c r="Y164" s="7" t="s">
        <v>78</v>
      </c>
      <c r="Z164" s="7"/>
      <c r="AA164" s="4" t="s">
        <v>46</v>
      </c>
      <c r="AB164" s="4" t="s">
        <v>47</v>
      </c>
      <c r="AC164" s="4" t="s">
        <v>79</v>
      </c>
      <c r="AD164" s="4" t="s">
        <v>96</v>
      </c>
      <c r="AE164" s="4" t="s">
        <v>48</v>
      </c>
      <c r="AF164" s="4" t="s">
        <v>41</v>
      </c>
      <c r="AG164" s="4" t="s">
        <v>408</v>
      </c>
    </row>
    <row r="165" spans="1:33" ht="16.5" customHeight="1" x14ac:dyDescent="0.2">
      <c r="A165" s="2" t="s">
        <v>31</v>
      </c>
      <c r="B165" s="5" t="s">
        <v>54</v>
      </c>
      <c r="C165" s="5"/>
      <c r="D165" s="5"/>
      <c r="E165" s="6" t="s">
        <v>33</v>
      </c>
      <c r="F165" s="6"/>
      <c r="G165" s="7" t="s">
        <v>501</v>
      </c>
      <c r="H165" s="7"/>
      <c r="I165" s="7"/>
      <c r="J165" s="3" t="s">
        <v>35</v>
      </c>
      <c r="K165" s="4" t="s">
        <v>73</v>
      </c>
      <c r="L165" s="4" t="s">
        <v>37</v>
      </c>
      <c r="N165" s="7" t="s">
        <v>502</v>
      </c>
      <c r="O165" s="7"/>
      <c r="P165" s="7" t="s">
        <v>503</v>
      </c>
      <c r="Q165" s="7"/>
      <c r="R165" s="7"/>
      <c r="S165" s="3" t="s">
        <v>40</v>
      </c>
      <c r="T165" s="7" t="s">
        <v>41</v>
      </c>
      <c r="U165" s="7"/>
      <c r="V165" s="4" t="s">
        <v>42</v>
      </c>
      <c r="W165" s="4" t="s">
        <v>58</v>
      </c>
      <c r="X165" s="4" t="s">
        <v>59</v>
      </c>
      <c r="Y165" s="7" t="s">
        <v>78</v>
      </c>
      <c r="Z165" s="7"/>
      <c r="AA165" s="4" t="s">
        <v>46</v>
      </c>
      <c r="AB165" s="4" t="s">
        <v>47</v>
      </c>
      <c r="AC165" s="4" t="s">
        <v>79</v>
      </c>
      <c r="AD165" s="4" t="s">
        <v>80</v>
      </c>
      <c r="AE165" s="4" t="s">
        <v>48</v>
      </c>
      <c r="AF165" s="4" t="s">
        <v>41</v>
      </c>
      <c r="AG165" s="4" t="s">
        <v>504</v>
      </c>
    </row>
    <row r="166" spans="1:33" ht="16.5" customHeight="1" x14ac:dyDescent="0.2">
      <c r="A166" s="2" t="s">
        <v>31</v>
      </c>
      <c r="B166" s="5" t="s">
        <v>108</v>
      </c>
      <c r="C166" s="5"/>
      <c r="D166" s="5"/>
      <c r="E166" s="6" t="s">
        <v>33</v>
      </c>
      <c r="F166" s="6"/>
      <c r="G166" s="7" t="s">
        <v>501</v>
      </c>
      <c r="H166" s="7"/>
      <c r="I166" s="7"/>
      <c r="J166" s="3" t="s">
        <v>109</v>
      </c>
      <c r="K166" s="4" t="s">
        <v>505</v>
      </c>
      <c r="N166" s="7" t="s">
        <v>502</v>
      </c>
      <c r="O166" s="7"/>
      <c r="P166" s="7" t="s">
        <v>503</v>
      </c>
      <c r="Q166" s="7"/>
      <c r="R166" s="7"/>
      <c r="S166" s="3" t="s">
        <v>40</v>
      </c>
      <c r="T166" s="7" t="s">
        <v>506</v>
      </c>
      <c r="U166" s="7"/>
      <c r="V166" s="4" t="s">
        <v>42</v>
      </c>
      <c r="W166" s="4" t="s">
        <v>58</v>
      </c>
      <c r="X166" s="4" t="s">
        <v>59</v>
      </c>
      <c r="Y166" s="7" t="s">
        <v>114</v>
      </c>
      <c r="Z166" s="7"/>
      <c r="AA166" s="4" t="s">
        <v>46</v>
      </c>
      <c r="AB166" s="4" t="s">
        <v>115</v>
      </c>
      <c r="AC166" s="4" t="s">
        <v>116</v>
      </c>
      <c r="AD166" s="4" t="s">
        <v>507</v>
      </c>
      <c r="AE166" s="4" t="s">
        <v>48</v>
      </c>
      <c r="AF166" s="4" t="s">
        <v>41</v>
      </c>
      <c r="AG166" s="4" t="s">
        <v>504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5" t="s">
        <v>54</v>
      </c>
      <c r="C169" s="5"/>
      <c r="D169" s="5"/>
      <c r="E169" s="6" t="s">
        <v>33</v>
      </c>
      <c r="F169" s="6"/>
      <c r="G169" s="7" t="s">
        <v>501</v>
      </c>
      <c r="H169" s="7"/>
      <c r="I169" s="7"/>
      <c r="J169" s="3" t="s">
        <v>35</v>
      </c>
      <c r="K169" s="4" t="s">
        <v>73</v>
      </c>
      <c r="L169" s="4" t="s">
        <v>37</v>
      </c>
      <c r="N169" s="7" t="s">
        <v>508</v>
      </c>
      <c r="O169" s="7"/>
      <c r="P169" s="7" t="s">
        <v>509</v>
      </c>
      <c r="Q169" s="7"/>
      <c r="R169" s="7"/>
      <c r="S169" s="3" t="s">
        <v>40</v>
      </c>
      <c r="T169" s="7" t="s">
        <v>41</v>
      </c>
      <c r="U169" s="7"/>
      <c r="V169" s="4" t="s">
        <v>42</v>
      </c>
      <c r="W169" s="4" t="s">
        <v>234</v>
      </c>
      <c r="X169" s="4" t="s">
        <v>235</v>
      </c>
      <c r="Y169" s="7" t="s">
        <v>78</v>
      </c>
      <c r="Z169" s="7"/>
      <c r="AA169" s="4" t="s">
        <v>46</v>
      </c>
      <c r="AB169" s="4" t="s">
        <v>47</v>
      </c>
      <c r="AC169" s="4" t="s">
        <v>136</v>
      </c>
      <c r="AD169" s="4" t="s">
        <v>137</v>
      </c>
      <c r="AE169" s="4" t="s">
        <v>48</v>
      </c>
      <c r="AF169" s="4" t="s">
        <v>41</v>
      </c>
      <c r="AG169" s="4" t="s">
        <v>504</v>
      </c>
    </row>
    <row r="170" spans="1:33" ht="16.5" customHeight="1" x14ac:dyDescent="0.2">
      <c r="A170" s="2" t="s">
        <v>31</v>
      </c>
      <c r="B170" s="5" t="s">
        <v>54</v>
      </c>
      <c r="C170" s="5"/>
      <c r="D170" s="5"/>
      <c r="E170" s="6" t="s">
        <v>33</v>
      </c>
      <c r="F170" s="6"/>
      <c r="G170" s="7" t="s">
        <v>510</v>
      </c>
      <c r="H170" s="7"/>
      <c r="I170" s="7"/>
      <c r="J170" s="3" t="s">
        <v>35</v>
      </c>
      <c r="K170" s="4" t="s">
        <v>97</v>
      </c>
      <c r="L170" s="4" t="s">
        <v>443</v>
      </c>
      <c r="N170" s="7" t="s">
        <v>511</v>
      </c>
      <c r="O170" s="7"/>
      <c r="P170" s="7" t="s">
        <v>512</v>
      </c>
      <c r="Q170" s="7"/>
      <c r="R170" s="7"/>
      <c r="S170" s="3" t="s">
        <v>40</v>
      </c>
      <c r="T170" s="7" t="s">
        <v>41</v>
      </c>
      <c r="U170" s="7"/>
      <c r="V170" s="4" t="s">
        <v>42</v>
      </c>
      <c r="W170" s="4" t="s">
        <v>229</v>
      </c>
      <c r="X170" s="4" t="s">
        <v>446</v>
      </c>
      <c r="Y170" s="7" t="s">
        <v>78</v>
      </c>
      <c r="Z170" s="7"/>
      <c r="AA170" s="4" t="s">
        <v>46</v>
      </c>
      <c r="AB170" s="4" t="s">
        <v>47</v>
      </c>
      <c r="AC170" s="4" t="s">
        <v>136</v>
      </c>
      <c r="AD170" s="4" t="s">
        <v>464</v>
      </c>
      <c r="AE170" s="4" t="s">
        <v>48</v>
      </c>
      <c r="AF170" s="4" t="s">
        <v>41</v>
      </c>
      <c r="AG170" s="4" t="s">
        <v>513</v>
      </c>
    </row>
    <row r="171" spans="1:33" ht="16.5" customHeight="1" x14ac:dyDescent="0.2">
      <c r="A171" s="2" t="s">
        <v>31</v>
      </c>
      <c r="B171" s="5" t="s">
        <v>108</v>
      </c>
      <c r="C171" s="5"/>
      <c r="D171" s="5"/>
      <c r="E171" s="6" t="s">
        <v>33</v>
      </c>
      <c r="F171" s="6"/>
      <c r="G171" s="7" t="s">
        <v>510</v>
      </c>
      <c r="H171" s="7"/>
      <c r="I171" s="7"/>
      <c r="J171" s="3" t="s">
        <v>109</v>
      </c>
      <c r="K171" s="4" t="s">
        <v>423</v>
      </c>
      <c r="N171" s="7" t="s">
        <v>511</v>
      </c>
      <c r="O171" s="7"/>
      <c r="P171" s="7" t="s">
        <v>512</v>
      </c>
      <c r="Q171" s="7"/>
      <c r="R171" s="7"/>
      <c r="S171" s="3" t="s">
        <v>40</v>
      </c>
      <c r="T171" s="7" t="s">
        <v>514</v>
      </c>
      <c r="U171" s="7"/>
      <c r="V171" s="4" t="s">
        <v>42</v>
      </c>
      <c r="W171" s="4" t="s">
        <v>58</v>
      </c>
      <c r="X171" s="4" t="s">
        <v>201</v>
      </c>
      <c r="Y171" s="7" t="s">
        <v>114</v>
      </c>
      <c r="Z171" s="7"/>
      <c r="AA171" s="4" t="s">
        <v>46</v>
      </c>
      <c r="AB171" s="4" t="s">
        <v>115</v>
      </c>
      <c r="AC171" s="4" t="s">
        <v>243</v>
      </c>
      <c r="AD171" s="4" t="s">
        <v>515</v>
      </c>
      <c r="AE171" s="4" t="s">
        <v>48</v>
      </c>
      <c r="AF171" s="4" t="s">
        <v>41</v>
      </c>
      <c r="AG171" s="4" t="s">
        <v>513</v>
      </c>
    </row>
    <row r="172" spans="1:33" ht="16.5" customHeight="1" x14ac:dyDescent="0.2">
      <c r="A172" s="2" t="s">
        <v>31</v>
      </c>
      <c r="B172" s="5" t="s">
        <v>54</v>
      </c>
      <c r="C172" s="5"/>
      <c r="D172" s="5"/>
      <c r="E172" s="6" t="s">
        <v>33</v>
      </c>
      <c r="F172" s="6"/>
      <c r="G172" s="7" t="s">
        <v>510</v>
      </c>
      <c r="H172" s="7"/>
      <c r="I172" s="7"/>
      <c r="J172" s="3" t="s">
        <v>35</v>
      </c>
      <c r="K172" s="4" t="s">
        <v>149</v>
      </c>
      <c r="L172" s="4" t="s">
        <v>37</v>
      </c>
      <c r="N172" s="7" t="s">
        <v>516</v>
      </c>
      <c r="O172" s="7"/>
      <c r="P172" s="7" t="s">
        <v>517</v>
      </c>
      <c r="Q172" s="7"/>
      <c r="R172" s="7"/>
      <c r="S172" s="3" t="s">
        <v>40</v>
      </c>
      <c r="T172" s="7" t="s">
        <v>41</v>
      </c>
      <c r="U172" s="7"/>
      <c r="V172" s="4" t="s">
        <v>42</v>
      </c>
      <c r="W172" s="4" t="s">
        <v>518</v>
      </c>
      <c r="X172" s="4" t="s">
        <v>519</v>
      </c>
      <c r="Y172" s="7" t="s">
        <v>78</v>
      </c>
      <c r="Z172" s="7"/>
      <c r="AA172" s="4" t="s">
        <v>46</v>
      </c>
      <c r="AB172" s="4" t="s">
        <v>47</v>
      </c>
      <c r="AC172" s="4" t="s">
        <v>136</v>
      </c>
      <c r="AD172" s="4" t="s">
        <v>137</v>
      </c>
      <c r="AE172" s="4" t="s">
        <v>48</v>
      </c>
      <c r="AF172" s="4" t="s">
        <v>41</v>
      </c>
      <c r="AG172" s="4" t="s">
        <v>513</v>
      </c>
    </row>
    <row r="173" spans="1:33" ht="16.5" customHeight="1" x14ac:dyDescent="0.2">
      <c r="A173" s="2" t="s">
        <v>31</v>
      </c>
      <c r="B173" s="5" t="s">
        <v>54</v>
      </c>
      <c r="C173" s="5"/>
      <c r="D173" s="5"/>
      <c r="E173" s="6" t="s">
        <v>33</v>
      </c>
      <c r="F173" s="6"/>
      <c r="G173" s="7" t="s">
        <v>510</v>
      </c>
      <c r="H173" s="7"/>
      <c r="I173" s="7"/>
      <c r="J173" s="3" t="s">
        <v>35</v>
      </c>
      <c r="K173" s="4" t="s">
        <v>149</v>
      </c>
      <c r="L173" s="4" t="s">
        <v>37</v>
      </c>
      <c r="N173" s="7" t="s">
        <v>516</v>
      </c>
      <c r="O173" s="7"/>
      <c r="P173" s="7" t="s">
        <v>517</v>
      </c>
      <c r="Q173" s="7"/>
      <c r="R173" s="7"/>
      <c r="S173" s="3" t="s">
        <v>40</v>
      </c>
      <c r="T173" s="7" t="s">
        <v>41</v>
      </c>
      <c r="U173" s="7"/>
      <c r="V173" s="4" t="s">
        <v>51</v>
      </c>
      <c r="W173" s="4" t="s">
        <v>518</v>
      </c>
      <c r="X173" s="4" t="s">
        <v>520</v>
      </c>
      <c r="Y173" s="7" t="s">
        <v>78</v>
      </c>
      <c r="Z173" s="7"/>
      <c r="AA173" s="4" t="s">
        <v>46</v>
      </c>
      <c r="AB173" s="4" t="s">
        <v>47</v>
      </c>
      <c r="AC173" s="4" t="s">
        <v>136</v>
      </c>
      <c r="AD173" s="4" t="s">
        <v>137</v>
      </c>
      <c r="AE173" s="4" t="s">
        <v>48</v>
      </c>
      <c r="AF173" s="4" t="s">
        <v>41</v>
      </c>
      <c r="AG173" s="4" t="s">
        <v>513</v>
      </c>
    </row>
    <row r="174" spans="1:33" ht="16.5" customHeight="1" x14ac:dyDescent="0.2">
      <c r="A174" s="2" t="s">
        <v>31</v>
      </c>
      <c r="B174" s="5" t="s">
        <v>54</v>
      </c>
      <c r="C174" s="5"/>
      <c r="D174" s="5"/>
      <c r="E174" s="6" t="s">
        <v>33</v>
      </c>
      <c r="F174" s="6"/>
      <c r="G174" s="7" t="s">
        <v>510</v>
      </c>
      <c r="H174" s="7"/>
      <c r="I174" s="7"/>
      <c r="J174" s="3" t="s">
        <v>35</v>
      </c>
      <c r="K174" s="4" t="s">
        <v>149</v>
      </c>
      <c r="L174" s="4" t="s">
        <v>37</v>
      </c>
      <c r="N174" s="7" t="s">
        <v>521</v>
      </c>
      <c r="O174" s="7"/>
      <c r="P174" s="7" t="s">
        <v>522</v>
      </c>
      <c r="Q174" s="7"/>
      <c r="R174" s="7"/>
      <c r="S174" s="3" t="s">
        <v>40</v>
      </c>
      <c r="T174" s="7" t="s">
        <v>41</v>
      </c>
      <c r="U174" s="7"/>
      <c r="V174" s="4" t="s">
        <v>42</v>
      </c>
      <c r="W174" s="4" t="s">
        <v>178</v>
      </c>
      <c r="X174" s="4" t="s">
        <v>171</v>
      </c>
      <c r="Y174" s="7" t="s">
        <v>78</v>
      </c>
      <c r="Z174" s="7"/>
      <c r="AA174" s="4" t="s">
        <v>46</v>
      </c>
      <c r="AB174" s="4" t="s">
        <v>47</v>
      </c>
      <c r="AC174" s="4" t="s">
        <v>136</v>
      </c>
      <c r="AD174" s="4" t="s">
        <v>137</v>
      </c>
      <c r="AE174" s="4" t="s">
        <v>48</v>
      </c>
      <c r="AF174" s="4" t="s">
        <v>41</v>
      </c>
      <c r="AG174" s="4" t="s">
        <v>513</v>
      </c>
    </row>
    <row r="175" spans="1:33" ht="16.5" customHeight="1" x14ac:dyDescent="0.2">
      <c r="A175" s="2" t="s">
        <v>31</v>
      </c>
      <c r="B175" s="5" t="s">
        <v>54</v>
      </c>
      <c r="C175" s="5"/>
      <c r="D175" s="5"/>
      <c r="E175" s="6" t="s">
        <v>33</v>
      </c>
      <c r="F175" s="6"/>
      <c r="G175" s="7" t="s">
        <v>510</v>
      </c>
      <c r="H175" s="7"/>
      <c r="I175" s="7"/>
      <c r="J175" s="3" t="s">
        <v>35</v>
      </c>
      <c r="K175" s="4" t="s">
        <v>97</v>
      </c>
      <c r="L175" s="4" t="s">
        <v>37</v>
      </c>
      <c r="N175" s="7" t="s">
        <v>523</v>
      </c>
      <c r="O175" s="7"/>
      <c r="P175" s="7" t="s">
        <v>524</v>
      </c>
      <c r="Q175" s="7"/>
      <c r="R175" s="7"/>
      <c r="S175" s="3" t="s">
        <v>40</v>
      </c>
      <c r="T175" s="7" t="s">
        <v>41</v>
      </c>
      <c r="U175" s="7"/>
      <c r="V175" s="4" t="s">
        <v>42</v>
      </c>
      <c r="W175" s="4" t="s">
        <v>186</v>
      </c>
      <c r="X175" s="4" t="s">
        <v>187</v>
      </c>
      <c r="Y175" s="7" t="s">
        <v>78</v>
      </c>
      <c r="Z175" s="7"/>
      <c r="AA175" s="4" t="s">
        <v>46</v>
      </c>
      <c r="AB175" s="4" t="s">
        <v>47</v>
      </c>
      <c r="AC175" s="4" t="s">
        <v>136</v>
      </c>
      <c r="AD175" s="4" t="s">
        <v>137</v>
      </c>
      <c r="AE175" s="4" t="s">
        <v>48</v>
      </c>
      <c r="AF175" s="4" t="s">
        <v>41</v>
      </c>
      <c r="AG175" s="4" t="s">
        <v>513</v>
      </c>
    </row>
    <row r="176" spans="1:33" ht="16.5" customHeight="1" x14ac:dyDescent="0.2">
      <c r="A176" s="2" t="s">
        <v>31</v>
      </c>
      <c r="B176" s="5" t="s">
        <v>54</v>
      </c>
      <c r="C176" s="5"/>
      <c r="D176" s="5"/>
      <c r="E176" s="6" t="s">
        <v>33</v>
      </c>
      <c r="F176" s="6"/>
      <c r="G176" s="7" t="s">
        <v>510</v>
      </c>
      <c r="H176" s="7"/>
      <c r="I176" s="7"/>
      <c r="J176" s="3" t="s">
        <v>35</v>
      </c>
      <c r="K176" s="4" t="s">
        <v>97</v>
      </c>
      <c r="L176" s="4" t="s">
        <v>37</v>
      </c>
      <c r="N176" s="7" t="s">
        <v>525</v>
      </c>
      <c r="O176" s="7"/>
      <c r="P176" s="7" t="s">
        <v>526</v>
      </c>
      <c r="Q176" s="7"/>
      <c r="R176" s="7"/>
      <c r="S176" s="3" t="s">
        <v>40</v>
      </c>
      <c r="T176" s="7" t="s">
        <v>41</v>
      </c>
      <c r="U176" s="7"/>
      <c r="V176" s="4" t="s">
        <v>42</v>
      </c>
      <c r="W176" s="4" t="s">
        <v>527</v>
      </c>
      <c r="X176" s="4" t="s">
        <v>528</v>
      </c>
      <c r="Y176" s="7" t="s">
        <v>78</v>
      </c>
      <c r="Z176" s="7"/>
      <c r="AA176" s="4" t="s">
        <v>46</v>
      </c>
      <c r="AB176" s="4" t="s">
        <v>47</v>
      </c>
      <c r="AC176" s="4" t="s">
        <v>136</v>
      </c>
      <c r="AD176" s="4" t="s">
        <v>137</v>
      </c>
      <c r="AE176" s="4" t="s">
        <v>48</v>
      </c>
      <c r="AF176" s="4" t="s">
        <v>41</v>
      </c>
      <c r="AG176" s="4" t="s">
        <v>513</v>
      </c>
    </row>
    <row r="177" spans="1:33" ht="16.5" customHeight="1" x14ac:dyDescent="0.2">
      <c r="A177" s="2" t="s">
        <v>31</v>
      </c>
      <c r="B177" s="5" t="s">
        <v>108</v>
      </c>
      <c r="C177" s="5"/>
      <c r="D177" s="5"/>
      <c r="E177" s="6" t="s">
        <v>33</v>
      </c>
      <c r="F177" s="6"/>
      <c r="G177" s="7" t="s">
        <v>510</v>
      </c>
      <c r="H177" s="7"/>
      <c r="I177" s="7"/>
      <c r="J177" s="3" t="s">
        <v>109</v>
      </c>
      <c r="K177" s="4" t="s">
        <v>505</v>
      </c>
      <c r="N177" s="7" t="s">
        <v>525</v>
      </c>
      <c r="O177" s="7"/>
      <c r="P177" s="7" t="s">
        <v>526</v>
      </c>
      <c r="Q177" s="7"/>
      <c r="R177" s="7"/>
      <c r="S177" s="3" t="s">
        <v>40</v>
      </c>
      <c r="T177" s="7" t="s">
        <v>506</v>
      </c>
      <c r="U177" s="7"/>
      <c r="V177" s="4" t="s">
        <v>42</v>
      </c>
      <c r="W177" s="4" t="s">
        <v>58</v>
      </c>
      <c r="X177" s="4" t="s">
        <v>528</v>
      </c>
      <c r="Y177" s="7" t="s">
        <v>114</v>
      </c>
      <c r="Z177" s="7"/>
      <c r="AA177" s="4" t="s">
        <v>46</v>
      </c>
      <c r="AB177" s="4" t="s">
        <v>115</v>
      </c>
      <c r="AC177" s="4" t="s">
        <v>243</v>
      </c>
      <c r="AD177" s="4" t="s">
        <v>529</v>
      </c>
      <c r="AE177" s="4" t="s">
        <v>48</v>
      </c>
      <c r="AF177" s="4" t="s">
        <v>41</v>
      </c>
      <c r="AG177" s="4" t="s">
        <v>513</v>
      </c>
    </row>
    <row r="178" spans="1:33" ht="16.5" customHeight="1" x14ac:dyDescent="0.2">
      <c r="A178" s="2" t="s">
        <v>31</v>
      </c>
      <c r="B178" s="5" t="s">
        <v>54</v>
      </c>
      <c r="C178" s="5"/>
      <c r="D178" s="5"/>
      <c r="E178" s="6" t="s">
        <v>33</v>
      </c>
      <c r="F178" s="6"/>
      <c r="G178" s="7" t="s">
        <v>510</v>
      </c>
      <c r="H178" s="7"/>
      <c r="I178" s="7"/>
      <c r="J178" s="3" t="s">
        <v>35</v>
      </c>
      <c r="K178" s="4" t="s">
        <v>149</v>
      </c>
      <c r="L178" s="4" t="s">
        <v>37</v>
      </c>
      <c r="N178" s="7" t="s">
        <v>530</v>
      </c>
      <c r="O178" s="7"/>
      <c r="P178" s="7" t="s">
        <v>531</v>
      </c>
      <c r="Q178" s="7"/>
      <c r="R178" s="7"/>
      <c r="S178" s="3" t="s">
        <v>40</v>
      </c>
      <c r="T178" s="7" t="s">
        <v>41</v>
      </c>
      <c r="U178" s="7"/>
      <c r="V178" s="4" t="s">
        <v>42</v>
      </c>
      <c r="W178" s="4" t="s">
        <v>527</v>
      </c>
      <c r="X178" s="4" t="s">
        <v>528</v>
      </c>
      <c r="Y178" s="7" t="s">
        <v>78</v>
      </c>
      <c r="Z178" s="7"/>
      <c r="AA178" s="4" t="s">
        <v>46</v>
      </c>
      <c r="AB178" s="4" t="s">
        <v>47</v>
      </c>
      <c r="AC178" s="4" t="s">
        <v>136</v>
      </c>
      <c r="AD178" s="4" t="s">
        <v>137</v>
      </c>
      <c r="AE178" s="4" t="s">
        <v>48</v>
      </c>
      <c r="AF178" s="4" t="s">
        <v>41</v>
      </c>
      <c r="AG178" s="4" t="s">
        <v>513</v>
      </c>
    </row>
    <row r="179" spans="1:33" ht="16.5" customHeight="1" x14ac:dyDescent="0.2">
      <c r="A179" s="2" t="s">
        <v>31</v>
      </c>
      <c r="B179" s="5" t="s">
        <v>54</v>
      </c>
      <c r="C179" s="5"/>
      <c r="D179" s="5"/>
      <c r="E179" s="6" t="s">
        <v>33</v>
      </c>
      <c r="F179" s="6"/>
      <c r="G179" s="7" t="s">
        <v>510</v>
      </c>
      <c r="H179" s="7"/>
      <c r="I179" s="7"/>
      <c r="J179" s="3" t="s">
        <v>35</v>
      </c>
      <c r="K179" s="4" t="s">
        <v>97</v>
      </c>
      <c r="L179" s="4" t="s">
        <v>37</v>
      </c>
      <c r="N179" s="7" t="s">
        <v>532</v>
      </c>
      <c r="O179" s="7"/>
      <c r="P179" s="7" t="s">
        <v>533</v>
      </c>
      <c r="Q179" s="7"/>
      <c r="R179" s="7"/>
      <c r="S179" s="3" t="s">
        <v>40</v>
      </c>
      <c r="T179" s="7" t="s">
        <v>41</v>
      </c>
      <c r="U179" s="7"/>
      <c r="V179" s="4" t="s">
        <v>42</v>
      </c>
      <c r="W179" s="4" t="s">
        <v>229</v>
      </c>
      <c r="X179" s="4" t="s">
        <v>446</v>
      </c>
      <c r="Y179" s="7" t="s">
        <v>78</v>
      </c>
      <c r="Z179" s="7"/>
      <c r="AA179" s="4" t="s">
        <v>46</v>
      </c>
      <c r="AB179" s="4" t="s">
        <v>47</v>
      </c>
      <c r="AC179" s="4" t="s">
        <v>136</v>
      </c>
      <c r="AD179" s="4" t="s">
        <v>137</v>
      </c>
      <c r="AE179" s="4" t="s">
        <v>48</v>
      </c>
      <c r="AF179" s="4" t="s">
        <v>41</v>
      </c>
      <c r="AG179" s="4" t="s">
        <v>513</v>
      </c>
    </row>
    <row r="180" spans="1:33" ht="16.5" customHeight="1" x14ac:dyDescent="0.2">
      <c r="A180" s="2" t="s">
        <v>31</v>
      </c>
      <c r="B180" s="5" t="s">
        <v>54</v>
      </c>
      <c r="C180" s="5"/>
      <c r="D180" s="5"/>
      <c r="E180" s="6" t="s">
        <v>33</v>
      </c>
      <c r="F180" s="6"/>
      <c r="G180" s="7" t="s">
        <v>510</v>
      </c>
      <c r="H180" s="7"/>
      <c r="I180" s="7"/>
      <c r="J180" s="3" t="s">
        <v>35</v>
      </c>
      <c r="K180" s="4" t="s">
        <v>97</v>
      </c>
      <c r="L180" s="4" t="s">
        <v>93</v>
      </c>
      <c r="N180" s="7" t="s">
        <v>534</v>
      </c>
      <c r="O180" s="7"/>
      <c r="P180" s="7" t="s">
        <v>535</v>
      </c>
      <c r="Q180" s="7"/>
      <c r="R180" s="7"/>
      <c r="S180" s="3" t="s">
        <v>40</v>
      </c>
      <c r="T180" s="7" t="s">
        <v>41</v>
      </c>
      <c r="U180" s="7"/>
      <c r="V180" s="4" t="s">
        <v>51</v>
      </c>
      <c r="W180" s="4" t="s">
        <v>536</v>
      </c>
      <c r="X180" s="4" t="s">
        <v>537</v>
      </c>
      <c r="Y180" s="7" t="s">
        <v>78</v>
      </c>
      <c r="Z180" s="7"/>
      <c r="AA180" s="4" t="s">
        <v>46</v>
      </c>
      <c r="AB180" s="4" t="s">
        <v>47</v>
      </c>
      <c r="AC180" s="4" t="s">
        <v>136</v>
      </c>
      <c r="AD180" s="4" t="s">
        <v>148</v>
      </c>
      <c r="AE180" s="4" t="s">
        <v>48</v>
      </c>
      <c r="AF180" s="4" t="s">
        <v>41</v>
      </c>
      <c r="AG180" s="4" t="s">
        <v>513</v>
      </c>
    </row>
    <row r="181" spans="1:33" ht="16.5" customHeight="1" x14ac:dyDescent="0.2">
      <c r="A181" s="2" t="s">
        <v>31</v>
      </c>
      <c r="B181" s="5" t="s">
        <v>54</v>
      </c>
      <c r="C181" s="5"/>
      <c r="D181" s="5"/>
      <c r="E181" s="6" t="s">
        <v>33</v>
      </c>
      <c r="F181" s="6"/>
      <c r="G181" s="7" t="s">
        <v>510</v>
      </c>
      <c r="H181" s="7"/>
      <c r="I181" s="7"/>
      <c r="J181" s="3" t="s">
        <v>35</v>
      </c>
      <c r="K181" s="4" t="s">
        <v>55</v>
      </c>
      <c r="L181" s="4" t="s">
        <v>231</v>
      </c>
      <c r="N181" s="7" t="s">
        <v>538</v>
      </c>
      <c r="O181" s="7"/>
      <c r="P181" s="7" t="s">
        <v>539</v>
      </c>
      <c r="Q181" s="7"/>
      <c r="R181" s="7"/>
      <c r="S181" s="3" t="s">
        <v>40</v>
      </c>
      <c r="T181" s="7" t="s">
        <v>41</v>
      </c>
      <c r="U181" s="7"/>
      <c r="V181" s="4" t="s">
        <v>42</v>
      </c>
      <c r="W181" s="4" t="s">
        <v>234</v>
      </c>
      <c r="X181" s="4" t="s">
        <v>235</v>
      </c>
      <c r="Y181" s="7" t="s">
        <v>60</v>
      </c>
      <c r="Z181" s="7"/>
      <c r="AA181" s="4" t="s">
        <v>46</v>
      </c>
      <c r="AB181" s="4" t="s">
        <v>47</v>
      </c>
      <c r="AC181" s="4" t="s">
        <v>79</v>
      </c>
      <c r="AD181" s="4" t="s">
        <v>236</v>
      </c>
      <c r="AE181" s="4" t="s">
        <v>48</v>
      </c>
      <c r="AF181" s="4" t="s">
        <v>41</v>
      </c>
      <c r="AG181" s="4" t="s">
        <v>513</v>
      </c>
    </row>
    <row r="182" spans="1:33" ht="16.5" customHeight="1" x14ac:dyDescent="0.2">
      <c r="A182" s="2" t="s">
        <v>31</v>
      </c>
      <c r="B182" s="5" t="s">
        <v>54</v>
      </c>
      <c r="C182" s="5"/>
      <c r="D182" s="5"/>
      <c r="E182" s="6" t="s">
        <v>33</v>
      </c>
      <c r="F182" s="6"/>
      <c r="G182" s="7" t="s">
        <v>510</v>
      </c>
      <c r="H182" s="7"/>
      <c r="I182" s="7"/>
      <c r="J182" s="3" t="s">
        <v>35</v>
      </c>
      <c r="K182" s="4" t="s">
        <v>202</v>
      </c>
      <c r="L182" s="4" t="s">
        <v>37</v>
      </c>
      <c r="N182" s="7" t="s">
        <v>540</v>
      </c>
      <c r="O182" s="7"/>
      <c r="P182" s="7" t="s">
        <v>541</v>
      </c>
      <c r="Q182" s="7"/>
      <c r="R182" s="7"/>
      <c r="S182" s="3" t="s">
        <v>40</v>
      </c>
      <c r="T182" s="7" t="s">
        <v>41</v>
      </c>
      <c r="U182" s="7"/>
      <c r="V182" s="4" t="s">
        <v>42</v>
      </c>
      <c r="W182" s="4" t="s">
        <v>542</v>
      </c>
      <c r="X182" s="4" t="s">
        <v>543</v>
      </c>
      <c r="Y182" s="7" t="s">
        <v>197</v>
      </c>
      <c r="Z182" s="7"/>
      <c r="AA182" s="4" t="s">
        <v>46</v>
      </c>
      <c r="AB182" s="4" t="s">
        <v>47</v>
      </c>
      <c r="AC182" s="4" t="s">
        <v>259</v>
      </c>
      <c r="AD182" s="4" t="s">
        <v>260</v>
      </c>
      <c r="AE182" s="4" t="s">
        <v>48</v>
      </c>
      <c r="AF182" s="4" t="s">
        <v>41</v>
      </c>
      <c r="AG182" s="4" t="s">
        <v>513</v>
      </c>
    </row>
    <row r="183" spans="1:33" ht="16.5" customHeight="1" x14ac:dyDescent="0.2">
      <c r="A183" s="2" t="s">
        <v>31</v>
      </c>
      <c r="B183" s="5" t="s">
        <v>54</v>
      </c>
      <c r="C183" s="5"/>
      <c r="D183" s="5"/>
      <c r="E183" s="6" t="s">
        <v>33</v>
      </c>
      <c r="F183" s="6"/>
      <c r="G183" s="7" t="s">
        <v>510</v>
      </c>
      <c r="H183" s="7"/>
      <c r="I183" s="7"/>
      <c r="J183" s="3" t="s">
        <v>35</v>
      </c>
      <c r="K183" s="4" t="s">
        <v>73</v>
      </c>
      <c r="L183" s="4" t="s">
        <v>37</v>
      </c>
      <c r="N183" s="7" t="s">
        <v>544</v>
      </c>
      <c r="O183" s="7"/>
      <c r="P183" s="7" t="s">
        <v>545</v>
      </c>
      <c r="Q183" s="7"/>
      <c r="R183" s="7"/>
      <c r="S183" s="3" t="s">
        <v>40</v>
      </c>
      <c r="T183" s="7" t="s">
        <v>41</v>
      </c>
      <c r="U183" s="7"/>
      <c r="V183" s="4" t="s">
        <v>42</v>
      </c>
      <c r="W183" s="4" t="s">
        <v>546</v>
      </c>
      <c r="X183" s="4" t="s">
        <v>547</v>
      </c>
      <c r="Y183" s="7" t="s">
        <v>78</v>
      </c>
      <c r="Z183" s="7"/>
      <c r="AA183" s="4" t="s">
        <v>46</v>
      </c>
      <c r="AB183" s="4" t="s">
        <v>47</v>
      </c>
      <c r="AC183" s="4" t="s">
        <v>136</v>
      </c>
      <c r="AD183" s="4" t="s">
        <v>137</v>
      </c>
      <c r="AE183" s="4" t="s">
        <v>48</v>
      </c>
      <c r="AF183" s="4" t="s">
        <v>41</v>
      </c>
      <c r="AG183" s="4" t="s">
        <v>513</v>
      </c>
    </row>
    <row r="184" spans="1:33" ht="16.5" customHeight="1" x14ac:dyDescent="0.2">
      <c r="A184" s="2" t="s">
        <v>31</v>
      </c>
      <c r="B184" s="5" t="s">
        <v>54</v>
      </c>
      <c r="C184" s="5"/>
      <c r="D184" s="5"/>
      <c r="E184" s="6" t="s">
        <v>33</v>
      </c>
      <c r="F184" s="6"/>
      <c r="G184" s="7" t="s">
        <v>510</v>
      </c>
      <c r="H184" s="7"/>
      <c r="I184" s="7"/>
      <c r="J184" s="3" t="s">
        <v>35</v>
      </c>
      <c r="K184" s="4" t="s">
        <v>316</v>
      </c>
      <c r="L184" s="4" t="s">
        <v>231</v>
      </c>
      <c r="N184" s="7" t="s">
        <v>548</v>
      </c>
      <c r="O184" s="7"/>
      <c r="P184" s="7" t="s">
        <v>549</v>
      </c>
      <c r="Q184" s="7"/>
      <c r="R184" s="7"/>
      <c r="S184" s="3" t="s">
        <v>40</v>
      </c>
      <c r="T184" s="7" t="s">
        <v>41</v>
      </c>
      <c r="U184" s="7"/>
      <c r="V184" s="4" t="s">
        <v>42</v>
      </c>
      <c r="W184" s="4" t="s">
        <v>263</v>
      </c>
      <c r="X184" s="4" t="s">
        <v>264</v>
      </c>
      <c r="Y184" s="7" t="s">
        <v>60</v>
      </c>
      <c r="Z184" s="7"/>
      <c r="AA184" s="4" t="s">
        <v>46</v>
      </c>
      <c r="AB184" s="4" t="s">
        <v>47</v>
      </c>
      <c r="AC184" s="4" t="s">
        <v>79</v>
      </c>
      <c r="AD184" s="4" t="s">
        <v>236</v>
      </c>
      <c r="AE184" s="4" t="s">
        <v>48</v>
      </c>
      <c r="AF184" s="4" t="s">
        <v>41</v>
      </c>
      <c r="AG184" s="4" t="s">
        <v>513</v>
      </c>
    </row>
    <row r="185" spans="1:33" ht="16.5" customHeight="1" x14ac:dyDescent="0.2">
      <c r="A185" s="2" t="s">
        <v>31</v>
      </c>
      <c r="B185" s="5" t="s">
        <v>54</v>
      </c>
      <c r="C185" s="5"/>
      <c r="D185" s="5"/>
      <c r="E185" s="6" t="s">
        <v>33</v>
      </c>
      <c r="F185" s="6"/>
      <c r="G185" s="7" t="s">
        <v>510</v>
      </c>
      <c r="H185" s="7"/>
      <c r="I185" s="7"/>
      <c r="J185" s="3" t="s">
        <v>35</v>
      </c>
      <c r="K185" s="4" t="s">
        <v>149</v>
      </c>
      <c r="L185" s="4" t="s">
        <v>37</v>
      </c>
      <c r="N185" s="7" t="s">
        <v>550</v>
      </c>
      <c r="O185" s="7"/>
      <c r="P185" s="7" t="s">
        <v>551</v>
      </c>
      <c r="Q185" s="7"/>
      <c r="R185" s="7"/>
      <c r="S185" s="3" t="s">
        <v>40</v>
      </c>
      <c r="T185" s="7" t="s">
        <v>41</v>
      </c>
      <c r="U185" s="7"/>
      <c r="V185" s="4" t="s">
        <v>42</v>
      </c>
      <c r="W185" s="4" t="s">
        <v>217</v>
      </c>
      <c r="X185" s="4" t="s">
        <v>218</v>
      </c>
      <c r="Y185" s="7" t="s">
        <v>78</v>
      </c>
      <c r="Z185" s="7"/>
      <c r="AA185" s="4" t="s">
        <v>46</v>
      </c>
      <c r="AB185" s="4" t="s">
        <v>47</v>
      </c>
      <c r="AC185" s="4" t="s">
        <v>136</v>
      </c>
      <c r="AD185" s="4" t="s">
        <v>137</v>
      </c>
      <c r="AE185" s="4" t="s">
        <v>48</v>
      </c>
      <c r="AF185" s="4" t="s">
        <v>41</v>
      </c>
      <c r="AG185" s="4" t="s">
        <v>513</v>
      </c>
    </row>
    <row r="186" spans="1:33" ht="16.5" customHeight="1" x14ac:dyDescent="0.2">
      <c r="A186" s="2" t="s">
        <v>31</v>
      </c>
      <c r="B186" s="5" t="s">
        <v>108</v>
      </c>
      <c r="C186" s="5"/>
      <c r="D186" s="5"/>
      <c r="E186" s="6" t="s">
        <v>33</v>
      </c>
      <c r="F186" s="6"/>
      <c r="G186" s="7" t="s">
        <v>510</v>
      </c>
      <c r="H186" s="7"/>
      <c r="I186" s="7"/>
      <c r="J186" s="3" t="s">
        <v>109</v>
      </c>
      <c r="K186" s="4" t="s">
        <v>552</v>
      </c>
      <c r="N186" s="7" t="s">
        <v>550</v>
      </c>
      <c r="O186" s="7"/>
      <c r="P186" s="7" t="s">
        <v>551</v>
      </c>
      <c r="Q186" s="7"/>
      <c r="R186" s="7"/>
      <c r="S186" s="3" t="s">
        <v>40</v>
      </c>
      <c r="T186" s="7" t="s">
        <v>553</v>
      </c>
      <c r="U186" s="7"/>
      <c r="V186" s="4" t="s">
        <v>42</v>
      </c>
      <c r="W186" s="4" t="s">
        <v>58</v>
      </c>
      <c r="X186" s="4" t="s">
        <v>218</v>
      </c>
      <c r="Y186" s="7" t="s">
        <v>114</v>
      </c>
      <c r="Z186" s="7"/>
      <c r="AA186" s="4" t="s">
        <v>46</v>
      </c>
      <c r="AB186" s="4" t="s">
        <v>115</v>
      </c>
      <c r="AC186" s="4" t="s">
        <v>243</v>
      </c>
      <c r="AD186" s="4" t="s">
        <v>554</v>
      </c>
      <c r="AE186" s="4" t="s">
        <v>48</v>
      </c>
      <c r="AF186" s="4" t="s">
        <v>41</v>
      </c>
      <c r="AG186" s="4" t="s">
        <v>513</v>
      </c>
    </row>
    <row r="187" spans="1:33" ht="16.5" customHeight="1" x14ac:dyDescent="0.2">
      <c r="A187" s="2" t="s">
        <v>31</v>
      </c>
      <c r="B187" s="5" t="s">
        <v>54</v>
      </c>
      <c r="C187" s="5"/>
      <c r="D187" s="5"/>
      <c r="E187" s="6" t="s">
        <v>33</v>
      </c>
      <c r="F187" s="6"/>
      <c r="G187" s="7" t="s">
        <v>510</v>
      </c>
      <c r="H187" s="7"/>
      <c r="I187" s="7"/>
      <c r="J187" s="3" t="s">
        <v>35</v>
      </c>
      <c r="K187" s="4" t="s">
        <v>55</v>
      </c>
      <c r="L187" s="4" t="s">
        <v>37</v>
      </c>
      <c r="N187" s="7" t="s">
        <v>555</v>
      </c>
      <c r="O187" s="7"/>
      <c r="P187" s="7" t="s">
        <v>556</v>
      </c>
      <c r="Q187" s="7"/>
      <c r="R187" s="7"/>
      <c r="S187" s="3" t="s">
        <v>40</v>
      </c>
      <c r="T187" s="7" t="s">
        <v>41</v>
      </c>
      <c r="U187" s="7"/>
      <c r="V187" s="4" t="s">
        <v>42</v>
      </c>
      <c r="W187" s="4" t="s">
        <v>557</v>
      </c>
      <c r="X187" s="4" t="s">
        <v>170</v>
      </c>
      <c r="Y187" s="7" t="s">
        <v>60</v>
      </c>
      <c r="Z187" s="7"/>
      <c r="AA187" s="4" t="s">
        <v>46</v>
      </c>
      <c r="AB187" s="4" t="s">
        <v>47</v>
      </c>
      <c r="AC187" s="4" t="s">
        <v>79</v>
      </c>
      <c r="AD187" s="4" t="s">
        <v>80</v>
      </c>
      <c r="AE187" s="4" t="s">
        <v>48</v>
      </c>
      <c r="AF187" s="4" t="s">
        <v>41</v>
      </c>
      <c r="AG187" s="4" t="s">
        <v>513</v>
      </c>
    </row>
    <row r="188" spans="1:33" ht="16.5" customHeight="1" x14ac:dyDescent="0.2">
      <c r="A188" s="2" t="s">
        <v>31</v>
      </c>
      <c r="B188" s="5" t="s">
        <v>108</v>
      </c>
      <c r="C188" s="5"/>
      <c r="D188" s="5"/>
      <c r="E188" s="6" t="s">
        <v>33</v>
      </c>
      <c r="F188" s="6"/>
      <c r="G188" s="7" t="s">
        <v>510</v>
      </c>
      <c r="H188" s="7"/>
      <c r="I188" s="7"/>
      <c r="J188" s="3" t="s">
        <v>109</v>
      </c>
      <c r="K188" s="4" t="s">
        <v>558</v>
      </c>
      <c r="N188" s="7" t="s">
        <v>555</v>
      </c>
      <c r="O188" s="7"/>
      <c r="P188" s="7" t="s">
        <v>556</v>
      </c>
      <c r="Q188" s="7"/>
      <c r="R188" s="7"/>
      <c r="S188" s="3" t="s">
        <v>40</v>
      </c>
      <c r="T188" s="7" t="s">
        <v>424</v>
      </c>
      <c r="U188" s="7"/>
      <c r="V188" s="4" t="s">
        <v>42</v>
      </c>
      <c r="W188" s="4" t="s">
        <v>58</v>
      </c>
      <c r="X188" s="4" t="s">
        <v>59</v>
      </c>
      <c r="Y188" s="7" t="s">
        <v>114</v>
      </c>
      <c r="Z188" s="7"/>
      <c r="AA188" s="4" t="s">
        <v>46</v>
      </c>
      <c r="AB188" s="4" t="s">
        <v>115</v>
      </c>
      <c r="AC188" s="4" t="s">
        <v>116</v>
      </c>
      <c r="AD188" s="4" t="s">
        <v>559</v>
      </c>
      <c r="AE188" s="4" t="s">
        <v>48</v>
      </c>
      <c r="AF188" s="4" t="s">
        <v>41</v>
      </c>
      <c r="AG188" s="4" t="s">
        <v>513</v>
      </c>
    </row>
    <row r="189" spans="1:33" ht="16.5" customHeight="1" x14ac:dyDescent="0.2">
      <c r="A189" s="2" t="s">
        <v>31</v>
      </c>
      <c r="B189" s="5" t="s">
        <v>54</v>
      </c>
      <c r="C189" s="5"/>
      <c r="D189" s="5"/>
      <c r="E189" s="6" t="s">
        <v>33</v>
      </c>
      <c r="F189" s="6"/>
      <c r="G189" s="7" t="s">
        <v>510</v>
      </c>
      <c r="H189" s="7"/>
      <c r="I189" s="7"/>
      <c r="J189" s="3" t="s">
        <v>35</v>
      </c>
      <c r="K189" s="4" t="s">
        <v>143</v>
      </c>
      <c r="L189" s="4" t="s">
        <v>37</v>
      </c>
      <c r="N189" s="7" t="s">
        <v>560</v>
      </c>
      <c r="O189" s="7"/>
      <c r="P189" s="7" t="s">
        <v>561</v>
      </c>
      <c r="Q189" s="7"/>
      <c r="R189" s="7"/>
      <c r="S189" s="3" t="s">
        <v>40</v>
      </c>
      <c r="T189" s="7" t="s">
        <v>41</v>
      </c>
      <c r="U189" s="7"/>
      <c r="V189" s="4" t="s">
        <v>42</v>
      </c>
      <c r="W189" s="4" t="s">
        <v>154</v>
      </c>
      <c r="X189" s="4" t="s">
        <v>155</v>
      </c>
      <c r="Y189" s="7" t="s">
        <v>135</v>
      </c>
      <c r="Z189" s="7"/>
      <c r="AA189" s="4" t="s">
        <v>46</v>
      </c>
      <c r="AB189" s="4" t="s">
        <v>47</v>
      </c>
      <c r="AC189" s="4" t="s">
        <v>136</v>
      </c>
      <c r="AD189" s="4" t="s">
        <v>137</v>
      </c>
      <c r="AE189" s="4" t="s">
        <v>48</v>
      </c>
      <c r="AF189" s="4" t="s">
        <v>41</v>
      </c>
      <c r="AG189" s="4" t="s">
        <v>513</v>
      </c>
    </row>
    <row r="190" spans="1:33" ht="16.5" customHeight="1" x14ac:dyDescent="0.2">
      <c r="A190" s="2" t="s">
        <v>31</v>
      </c>
      <c r="B190" s="5" t="s">
        <v>54</v>
      </c>
      <c r="C190" s="5"/>
      <c r="D190" s="5"/>
      <c r="E190" s="6" t="s">
        <v>33</v>
      </c>
      <c r="F190" s="6"/>
      <c r="G190" s="7" t="s">
        <v>510</v>
      </c>
      <c r="H190" s="7"/>
      <c r="I190" s="7"/>
      <c r="J190" s="3" t="s">
        <v>35</v>
      </c>
      <c r="K190" s="4" t="s">
        <v>97</v>
      </c>
      <c r="L190" s="4" t="s">
        <v>37</v>
      </c>
      <c r="N190" s="7" t="s">
        <v>562</v>
      </c>
      <c r="O190" s="7"/>
      <c r="P190" s="7" t="s">
        <v>563</v>
      </c>
      <c r="Q190" s="7"/>
      <c r="R190" s="7"/>
      <c r="S190" s="3" t="s">
        <v>40</v>
      </c>
      <c r="T190" s="7" t="s">
        <v>41</v>
      </c>
      <c r="U190" s="7"/>
      <c r="V190" s="4" t="s">
        <v>42</v>
      </c>
      <c r="W190" s="4" t="s">
        <v>564</v>
      </c>
      <c r="X190" s="4" t="s">
        <v>565</v>
      </c>
      <c r="Y190" s="7" t="s">
        <v>78</v>
      </c>
      <c r="Z190" s="7"/>
      <c r="AA190" s="4" t="s">
        <v>46</v>
      </c>
      <c r="AB190" s="4" t="s">
        <v>47</v>
      </c>
      <c r="AC190" s="4" t="s">
        <v>136</v>
      </c>
      <c r="AD190" s="4" t="s">
        <v>137</v>
      </c>
      <c r="AE190" s="4" t="s">
        <v>48</v>
      </c>
      <c r="AF190" s="4" t="s">
        <v>41</v>
      </c>
      <c r="AG190" s="4" t="s">
        <v>513</v>
      </c>
    </row>
    <row r="191" spans="1:33" ht="16.5" customHeight="1" x14ac:dyDescent="0.2">
      <c r="A191" s="2" t="s">
        <v>31</v>
      </c>
      <c r="B191" s="5" t="s">
        <v>54</v>
      </c>
      <c r="C191" s="5"/>
      <c r="D191" s="5"/>
      <c r="E191" s="6" t="s">
        <v>33</v>
      </c>
      <c r="F191" s="6"/>
      <c r="G191" s="7" t="s">
        <v>510</v>
      </c>
      <c r="H191" s="7"/>
      <c r="I191" s="7"/>
      <c r="J191" s="3" t="s">
        <v>35</v>
      </c>
      <c r="K191" s="4" t="s">
        <v>97</v>
      </c>
      <c r="L191" s="4" t="s">
        <v>37</v>
      </c>
      <c r="N191" s="7" t="s">
        <v>566</v>
      </c>
      <c r="O191" s="7"/>
      <c r="P191" s="7" t="s">
        <v>567</v>
      </c>
      <c r="Q191" s="7"/>
      <c r="R191" s="7"/>
      <c r="S191" s="3" t="s">
        <v>40</v>
      </c>
      <c r="T191" s="7" t="s">
        <v>41</v>
      </c>
      <c r="U191" s="7"/>
      <c r="V191" s="4" t="s">
        <v>42</v>
      </c>
      <c r="W191" s="4" t="s">
        <v>309</v>
      </c>
      <c r="X191" s="4" t="s">
        <v>306</v>
      </c>
      <c r="Y191" s="7" t="s">
        <v>78</v>
      </c>
      <c r="Z191" s="7"/>
      <c r="AA191" s="4" t="s">
        <v>46</v>
      </c>
      <c r="AB191" s="4" t="s">
        <v>47</v>
      </c>
      <c r="AC191" s="4" t="s">
        <v>136</v>
      </c>
      <c r="AD191" s="4" t="s">
        <v>137</v>
      </c>
      <c r="AE191" s="4" t="s">
        <v>48</v>
      </c>
      <c r="AF191" s="4" t="s">
        <v>41</v>
      </c>
      <c r="AG191" s="4" t="s">
        <v>513</v>
      </c>
    </row>
    <row r="192" spans="1:33" ht="16.5" customHeight="1" x14ac:dyDescent="0.2">
      <c r="A192" s="2" t="s">
        <v>31</v>
      </c>
      <c r="B192" s="5" t="s">
        <v>54</v>
      </c>
      <c r="C192" s="5"/>
      <c r="D192" s="5"/>
      <c r="E192" s="6" t="s">
        <v>33</v>
      </c>
      <c r="F192" s="6"/>
      <c r="G192" s="7" t="s">
        <v>510</v>
      </c>
      <c r="H192" s="7"/>
      <c r="I192" s="7"/>
      <c r="J192" s="3" t="s">
        <v>35</v>
      </c>
      <c r="K192" s="4" t="s">
        <v>248</v>
      </c>
      <c r="L192" s="4" t="s">
        <v>37</v>
      </c>
      <c r="N192" s="7" t="s">
        <v>568</v>
      </c>
      <c r="O192" s="7"/>
      <c r="P192" s="7" t="s">
        <v>569</v>
      </c>
      <c r="Q192" s="7"/>
      <c r="R192" s="7"/>
      <c r="S192" s="3" t="s">
        <v>40</v>
      </c>
      <c r="T192" s="7" t="s">
        <v>41</v>
      </c>
      <c r="U192" s="7"/>
      <c r="V192" s="4" t="s">
        <v>42</v>
      </c>
      <c r="W192" s="4" t="s">
        <v>570</v>
      </c>
      <c r="X192" s="4" t="s">
        <v>571</v>
      </c>
      <c r="Y192" s="7" t="s">
        <v>60</v>
      </c>
      <c r="Z192" s="7"/>
      <c r="AA192" s="4" t="s">
        <v>46</v>
      </c>
      <c r="AB192" s="4" t="s">
        <v>47</v>
      </c>
      <c r="AC192" s="4" t="s">
        <v>79</v>
      </c>
      <c r="AD192" s="4" t="s">
        <v>80</v>
      </c>
      <c r="AE192" s="4" t="s">
        <v>48</v>
      </c>
      <c r="AF192" s="4" t="s">
        <v>41</v>
      </c>
      <c r="AG192" s="4" t="s">
        <v>513</v>
      </c>
    </row>
    <row r="193" spans="1:33" ht="16.5" customHeight="1" x14ac:dyDescent="0.2">
      <c r="A193" s="2" t="s">
        <v>31</v>
      </c>
      <c r="B193" s="5" t="s">
        <v>54</v>
      </c>
      <c r="C193" s="5"/>
      <c r="D193" s="5"/>
      <c r="E193" s="6" t="s">
        <v>33</v>
      </c>
      <c r="F193" s="6"/>
      <c r="G193" s="7" t="s">
        <v>510</v>
      </c>
      <c r="H193" s="7"/>
      <c r="I193" s="7"/>
      <c r="J193" s="3" t="s">
        <v>35</v>
      </c>
      <c r="K193" s="4" t="s">
        <v>130</v>
      </c>
      <c r="L193" s="4" t="s">
        <v>93</v>
      </c>
      <c r="N193" s="7" t="s">
        <v>572</v>
      </c>
      <c r="O193" s="7"/>
      <c r="P193" s="7" t="s">
        <v>573</v>
      </c>
      <c r="Q193" s="7"/>
      <c r="R193" s="7"/>
      <c r="S193" s="3" t="s">
        <v>40</v>
      </c>
      <c r="T193" s="7" t="s">
        <v>41</v>
      </c>
      <c r="U193" s="7"/>
      <c r="V193" s="4" t="s">
        <v>51</v>
      </c>
      <c r="W193" s="4" t="s">
        <v>270</v>
      </c>
      <c r="X193" s="4" t="s">
        <v>574</v>
      </c>
      <c r="Y193" s="7" t="s">
        <v>135</v>
      </c>
      <c r="Z193" s="7"/>
      <c r="AA193" s="4" t="s">
        <v>46</v>
      </c>
      <c r="AB193" s="4" t="s">
        <v>47</v>
      </c>
      <c r="AC193" s="4" t="s">
        <v>136</v>
      </c>
      <c r="AD193" s="4" t="s">
        <v>148</v>
      </c>
      <c r="AE193" s="4" t="s">
        <v>48</v>
      </c>
      <c r="AF193" s="4" t="s">
        <v>41</v>
      </c>
      <c r="AG193" s="4" t="s">
        <v>513</v>
      </c>
    </row>
    <row r="194" spans="1:33" ht="16.5" customHeight="1" x14ac:dyDescent="0.2">
      <c r="A194" s="2" t="s">
        <v>31</v>
      </c>
      <c r="B194" s="5" t="s">
        <v>54</v>
      </c>
      <c r="C194" s="5"/>
      <c r="D194" s="5"/>
      <c r="E194" s="6" t="s">
        <v>33</v>
      </c>
      <c r="F194" s="6"/>
      <c r="G194" s="7" t="s">
        <v>510</v>
      </c>
      <c r="H194" s="7"/>
      <c r="I194" s="7"/>
      <c r="J194" s="3" t="s">
        <v>35</v>
      </c>
      <c r="K194" s="4" t="s">
        <v>97</v>
      </c>
      <c r="L194" s="4" t="s">
        <v>93</v>
      </c>
      <c r="N194" s="7" t="s">
        <v>575</v>
      </c>
      <c r="O194" s="7"/>
      <c r="P194" s="7" t="s">
        <v>576</v>
      </c>
      <c r="Q194" s="7"/>
      <c r="R194" s="7"/>
      <c r="S194" s="3" t="s">
        <v>40</v>
      </c>
      <c r="T194" s="7" t="s">
        <v>41</v>
      </c>
      <c r="U194" s="7"/>
      <c r="V194" s="4" t="s">
        <v>42</v>
      </c>
      <c r="W194" s="4" t="s">
        <v>527</v>
      </c>
      <c r="X194" s="4" t="s">
        <v>528</v>
      </c>
      <c r="Y194" s="7" t="s">
        <v>78</v>
      </c>
      <c r="Z194" s="7"/>
      <c r="AA194" s="4" t="s">
        <v>46</v>
      </c>
      <c r="AB194" s="4" t="s">
        <v>47</v>
      </c>
      <c r="AC194" s="4" t="s">
        <v>136</v>
      </c>
      <c r="AD194" s="4" t="s">
        <v>148</v>
      </c>
      <c r="AE194" s="4" t="s">
        <v>48</v>
      </c>
      <c r="AF194" s="4" t="s">
        <v>41</v>
      </c>
      <c r="AG194" s="4" t="s">
        <v>513</v>
      </c>
    </row>
    <row r="195" spans="1:33" ht="16.5" customHeight="1" x14ac:dyDescent="0.2">
      <c r="A195" s="2" t="s">
        <v>31</v>
      </c>
      <c r="B195" s="5" t="s">
        <v>54</v>
      </c>
      <c r="C195" s="5"/>
      <c r="D195" s="5"/>
      <c r="E195" s="6" t="s">
        <v>33</v>
      </c>
      <c r="F195" s="6"/>
      <c r="G195" s="7" t="s">
        <v>510</v>
      </c>
      <c r="H195" s="7"/>
      <c r="I195" s="7"/>
      <c r="J195" s="3" t="s">
        <v>35</v>
      </c>
      <c r="K195" s="4" t="s">
        <v>149</v>
      </c>
      <c r="L195" s="4" t="s">
        <v>93</v>
      </c>
      <c r="N195" s="7" t="s">
        <v>577</v>
      </c>
      <c r="O195" s="7"/>
      <c r="P195" s="7" t="s">
        <v>578</v>
      </c>
      <c r="Q195" s="7"/>
      <c r="R195" s="7"/>
      <c r="S195" s="3" t="s">
        <v>40</v>
      </c>
      <c r="T195" s="7" t="s">
        <v>41</v>
      </c>
      <c r="U195" s="7"/>
      <c r="V195" s="4" t="s">
        <v>42</v>
      </c>
      <c r="W195" s="4" t="s">
        <v>579</v>
      </c>
      <c r="X195" s="4" t="s">
        <v>580</v>
      </c>
      <c r="Y195" s="7" t="s">
        <v>78</v>
      </c>
      <c r="Z195" s="7"/>
      <c r="AA195" s="4" t="s">
        <v>46</v>
      </c>
      <c r="AB195" s="4" t="s">
        <v>47</v>
      </c>
      <c r="AC195" s="4" t="s">
        <v>136</v>
      </c>
      <c r="AD195" s="4" t="s">
        <v>148</v>
      </c>
      <c r="AE195" s="4" t="s">
        <v>48</v>
      </c>
      <c r="AF195" s="4" t="s">
        <v>41</v>
      </c>
      <c r="AG195" s="4" t="s">
        <v>513</v>
      </c>
    </row>
    <row r="196" spans="1:33" ht="16.5" customHeight="1" x14ac:dyDescent="0.2">
      <c r="A196" s="2" t="s">
        <v>31</v>
      </c>
      <c r="B196" s="5" t="s">
        <v>54</v>
      </c>
      <c r="C196" s="5"/>
      <c r="D196" s="5"/>
      <c r="E196" s="6" t="s">
        <v>33</v>
      </c>
      <c r="F196" s="6"/>
      <c r="G196" s="7" t="s">
        <v>510</v>
      </c>
      <c r="H196" s="7"/>
      <c r="I196" s="7"/>
      <c r="J196" s="3" t="s">
        <v>35</v>
      </c>
      <c r="K196" s="4" t="s">
        <v>55</v>
      </c>
      <c r="L196" s="4" t="s">
        <v>93</v>
      </c>
      <c r="N196" s="7" t="s">
        <v>581</v>
      </c>
      <c r="O196" s="7"/>
      <c r="P196" s="7" t="s">
        <v>582</v>
      </c>
      <c r="Q196" s="7"/>
      <c r="R196" s="7"/>
      <c r="S196" s="3" t="s">
        <v>40</v>
      </c>
      <c r="T196" s="7" t="s">
        <v>41</v>
      </c>
      <c r="U196" s="7"/>
      <c r="V196" s="4" t="s">
        <v>51</v>
      </c>
      <c r="W196" s="4" t="s">
        <v>564</v>
      </c>
      <c r="X196" s="4" t="s">
        <v>583</v>
      </c>
      <c r="Y196" s="7" t="s">
        <v>60</v>
      </c>
      <c r="Z196" s="7"/>
      <c r="AA196" s="4" t="s">
        <v>46</v>
      </c>
      <c r="AB196" s="4" t="s">
        <v>47</v>
      </c>
      <c r="AC196" s="4" t="s">
        <v>79</v>
      </c>
      <c r="AD196" s="4" t="s">
        <v>96</v>
      </c>
      <c r="AE196" s="4" t="s">
        <v>48</v>
      </c>
      <c r="AF196" s="4" t="s">
        <v>41</v>
      </c>
      <c r="AG196" s="4" t="s">
        <v>513</v>
      </c>
    </row>
    <row r="197" spans="1:33" ht="16.5" customHeight="1" x14ac:dyDescent="0.2">
      <c r="A197" s="2" t="s">
        <v>31</v>
      </c>
      <c r="B197" s="5" t="s">
        <v>54</v>
      </c>
      <c r="C197" s="5"/>
      <c r="D197" s="5"/>
      <c r="E197" s="6" t="s">
        <v>33</v>
      </c>
      <c r="F197" s="6"/>
      <c r="G197" s="7" t="s">
        <v>510</v>
      </c>
      <c r="H197" s="7"/>
      <c r="I197" s="7"/>
      <c r="J197" s="3" t="s">
        <v>35</v>
      </c>
      <c r="K197" s="4" t="s">
        <v>55</v>
      </c>
      <c r="L197" s="4" t="s">
        <v>93</v>
      </c>
      <c r="N197" s="7" t="s">
        <v>581</v>
      </c>
      <c r="O197" s="7"/>
      <c r="P197" s="7" t="s">
        <v>582</v>
      </c>
      <c r="Q197" s="7"/>
      <c r="R197" s="7"/>
      <c r="S197" s="3" t="s">
        <v>40</v>
      </c>
      <c r="T197" s="7" t="s">
        <v>41</v>
      </c>
      <c r="U197" s="7"/>
      <c r="V197" s="4" t="s">
        <v>58</v>
      </c>
      <c r="W197" s="4" t="s">
        <v>564</v>
      </c>
      <c r="X197" s="4" t="s">
        <v>240</v>
      </c>
      <c r="Y197" s="7" t="s">
        <v>60</v>
      </c>
      <c r="Z197" s="7"/>
      <c r="AA197" s="4" t="s">
        <v>46</v>
      </c>
      <c r="AB197" s="4" t="s">
        <v>47</v>
      </c>
      <c r="AC197" s="4" t="s">
        <v>79</v>
      </c>
      <c r="AD197" s="4" t="s">
        <v>96</v>
      </c>
      <c r="AE197" s="4" t="s">
        <v>48</v>
      </c>
      <c r="AF197" s="4" t="s">
        <v>41</v>
      </c>
      <c r="AG197" s="4" t="s">
        <v>513</v>
      </c>
    </row>
    <row r="198" spans="1:33" ht="16.5" customHeight="1" x14ac:dyDescent="0.2">
      <c r="A198" s="2" t="s">
        <v>31</v>
      </c>
      <c r="B198" s="5" t="s">
        <v>54</v>
      </c>
      <c r="C198" s="5"/>
      <c r="D198" s="5"/>
      <c r="E198" s="6" t="s">
        <v>33</v>
      </c>
      <c r="F198" s="6"/>
      <c r="G198" s="7" t="s">
        <v>510</v>
      </c>
      <c r="H198" s="7"/>
      <c r="I198" s="7"/>
      <c r="J198" s="3" t="s">
        <v>35</v>
      </c>
      <c r="K198" s="4" t="s">
        <v>387</v>
      </c>
      <c r="L198" s="4" t="s">
        <v>37</v>
      </c>
      <c r="N198" s="7" t="s">
        <v>584</v>
      </c>
      <c r="O198" s="7"/>
      <c r="P198" s="7" t="s">
        <v>585</v>
      </c>
      <c r="Q198" s="7"/>
      <c r="R198" s="7"/>
      <c r="S198" s="3" t="s">
        <v>40</v>
      </c>
      <c r="T198" s="7" t="s">
        <v>41</v>
      </c>
      <c r="U198" s="7"/>
      <c r="V198" s="4" t="s">
        <v>42</v>
      </c>
      <c r="W198" s="4" t="s">
        <v>58</v>
      </c>
      <c r="X198" s="4" t="s">
        <v>59</v>
      </c>
      <c r="Y198" s="7" t="s">
        <v>197</v>
      </c>
      <c r="Z198" s="7"/>
      <c r="AA198" s="4" t="s">
        <v>46</v>
      </c>
      <c r="AB198" s="4" t="s">
        <v>47</v>
      </c>
      <c r="AC198" s="4" t="s">
        <v>136</v>
      </c>
      <c r="AD198" s="4" t="s">
        <v>137</v>
      </c>
      <c r="AE198" s="4" t="s">
        <v>48</v>
      </c>
      <c r="AF198" s="4" t="s">
        <v>41</v>
      </c>
      <c r="AG198" s="4" t="s">
        <v>513</v>
      </c>
    </row>
    <row r="199" spans="1:33" ht="16.5" customHeight="1" x14ac:dyDescent="0.2">
      <c r="A199" s="2" t="s">
        <v>31</v>
      </c>
      <c r="B199" s="5" t="s">
        <v>54</v>
      </c>
      <c r="C199" s="5"/>
      <c r="D199" s="5"/>
      <c r="E199" s="6" t="s">
        <v>33</v>
      </c>
      <c r="F199" s="6"/>
      <c r="G199" s="7" t="s">
        <v>510</v>
      </c>
      <c r="H199" s="7"/>
      <c r="I199" s="7"/>
      <c r="J199" s="3" t="s">
        <v>35</v>
      </c>
      <c r="K199" s="4" t="s">
        <v>97</v>
      </c>
      <c r="L199" s="4" t="s">
        <v>37</v>
      </c>
      <c r="N199" s="7" t="s">
        <v>586</v>
      </c>
      <c r="O199" s="7"/>
      <c r="P199" s="7" t="s">
        <v>587</v>
      </c>
      <c r="Q199" s="7"/>
      <c r="R199" s="7"/>
      <c r="S199" s="3" t="s">
        <v>40</v>
      </c>
      <c r="T199" s="7" t="s">
        <v>41</v>
      </c>
      <c r="U199" s="7"/>
      <c r="V199" s="4" t="s">
        <v>51</v>
      </c>
      <c r="W199" s="4" t="s">
        <v>239</v>
      </c>
      <c r="X199" s="4" t="s">
        <v>163</v>
      </c>
      <c r="Y199" s="7" t="s">
        <v>78</v>
      </c>
      <c r="Z199" s="7"/>
      <c r="AA199" s="4" t="s">
        <v>46</v>
      </c>
      <c r="AB199" s="4" t="s">
        <v>47</v>
      </c>
      <c r="AC199" s="4" t="s">
        <v>136</v>
      </c>
      <c r="AD199" s="4" t="s">
        <v>137</v>
      </c>
      <c r="AE199" s="4" t="s">
        <v>48</v>
      </c>
      <c r="AF199" s="4" t="s">
        <v>41</v>
      </c>
      <c r="AG199" s="4" t="s">
        <v>513</v>
      </c>
    </row>
    <row r="200" spans="1:33" ht="16.5" customHeight="1" x14ac:dyDescent="0.2">
      <c r="A200" s="2" t="s">
        <v>31</v>
      </c>
      <c r="B200" s="5" t="s">
        <v>54</v>
      </c>
      <c r="C200" s="5"/>
      <c r="D200" s="5"/>
      <c r="E200" s="6" t="s">
        <v>33</v>
      </c>
      <c r="F200" s="6"/>
      <c r="G200" s="7" t="s">
        <v>510</v>
      </c>
      <c r="H200" s="7"/>
      <c r="I200" s="7"/>
      <c r="J200" s="3" t="s">
        <v>35</v>
      </c>
      <c r="K200" s="4" t="s">
        <v>149</v>
      </c>
      <c r="L200" s="4" t="s">
        <v>588</v>
      </c>
      <c r="N200" s="7" t="s">
        <v>589</v>
      </c>
      <c r="O200" s="7"/>
      <c r="P200" s="7" t="s">
        <v>590</v>
      </c>
      <c r="Q200" s="7"/>
      <c r="R200" s="7"/>
      <c r="S200" s="3" t="s">
        <v>40</v>
      </c>
      <c r="T200" s="7" t="s">
        <v>41</v>
      </c>
      <c r="U200" s="7"/>
      <c r="V200" s="4" t="s">
        <v>51</v>
      </c>
      <c r="W200" s="4" t="s">
        <v>301</v>
      </c>
      <c r="X200" s="4" t="s">
        <v>182</v>
      </c>
      <c r="Y200" s="7" t="s">
        <v>78</v>
      </c>
      <c r="Z200" s="7"/>
      <c r="AA200" s="4" t="s">
        <v>46</v>
      </c>
      <c r="AB200" s="4" t="s">
        <v>47</v>
      </c>
      <c r="AC200" s="4" t="s">
        <v>79</v>
      </c>
      <c r="AD200" s="4" t="s">
        <v>591</v>
      </c>
      <c r="AE200" s="4" t="s">
        <v>48</v>
      </c>
      <c r="AF200" s="4" t="s">
        <v>41</v>
      </c>
      <c r="AG200" s="4" t="s">
        <v>513</v>
      </c>
    </row>
    <row r="201" spans="1:33" ht="16.5" customHeight="1" x14ac:dyDescent="0.2">
      <c r="A201" s="2" t="s">
        <v>31</v>
      </c>
      <c r="B201" s="5" t="s">
        <v>54</v>
      </c>
      <c r="C201" s="5"/>
      <c r="D201" s="5"/>
      <c r="E201" s="6" t="s">
        <v>33</v>
      </c>
      <c r="F201" s="6"/>
      <c r="G201" s="7" t="s">
        <v>510</v>
      </c>
      <c r="H201" s="7"/>
      <c r="I201" s="7"/>
      <c r="J201" s="3" t="s">
        <v>35</v>
      </c>
      <c r="K201" s="4" t="s">
        <v>97</v>
      </c>
      <c r="L201" s="4" t="s">
        <v>37</v>
      </c>
      <c r="N201" s="7" t="s">
        <v>592</v>
      </c>
      <c r="O201" s="7"/>
      <c r="P201" s="7" t="s">
        <v>593</v>
      </c>
      <c r="Q201" s="7"/>
      <c r="R201" s="7"/>
      <c r="S201" s="3" t="s">
        <v>40</v>
      </c>
      <c r="T201" s="7" t="s">
        <v>41</v>
      </c>
      <c r="U201" s="7"/>
      <c r="V201" s="4" t="s">
        <v>42</v>
      </c>
      <c r="W201" s="4" t="s">
        <v>154</v>
      </c>
      <c r="X201" s="4" t="s">
        <v>155</v>
      </c>
      <c r="Y201" s="7" t="s">
        <v>78</v>
      </c>
      <c r="Z201" s="7"/>
      <c r="AA201" s="4" t="s">
        <v>46</v>
      </c>
      <c r="AB201" s="4" t="s">
        <v>47</v>
      </c>
      <c r="AC201" s="4" t="s">
        <v>136</v>
      </c>
      <c r="AD201" s="4" t="s">
        <v>137</v>
      </c>
      <c r="AE201" s="4" t="s">
        <v>48</v>
      </c>
      <c r="AF201" s="4" t="s">
        <v>41</v>
      </c>
      <c r="AG201" s="4" t="s">
        <v>513</v>
      </c>
    </row>
    <row r="202" spans="1:33" ht="16.5" customHeight="1" x14ac:dyDescent="0.2">
      <c r="A202" s="2" t="s">
        <v>31</v>
      </c>
      <c r="B202" s="5" t="s">
        <v>54</v>
      </c>
      <c r="C202" s="5"/>
      <c r="D202" s="5"/>
      <c r="E202" s="6" t="s">
        <v>33</v>
      </c>
      <c r="F202" s="6"/>
      <c r="G202" s="7" t="s">
        <v>510</v>
      </c>
      <c r="H202" s="7"/>
      <c r="I202" s="7"/>
      <c r="J202" s="3" t="s">
        <v>35</v>
      </c>
      <c r="K202" s="4" t="s">
        <v>149</v>
      </c>
      <c r="L202" s="4" t="s">
        <v>37</v>
      </c>
      <c r="N202" s="7" t="s">
        <v>594</v>
      </c>
      <c r="O202" s="7"/>
      <c r="P202" s="7" t="s">
        <v>595</v>
      </c>
      <c r="Q202" s="7"/>
      <c r="R202" s="7"/>
      <c r="S202" s="3" t="s">
        <v>40</v>
      </c>
      <c r="T202" s="7" t="s">
        <v>41</v>
      </c>
      <c r="U202" s="7"/>
      <c r="V202" s="4" t="s">
        <v>42</v>
      </c>
      <c r="W202" s="4" t="s">
        <v>263</v>
      </c>
      <c r="X202" s="4" t="s">
        <v>264</v>
      </c>
      <c r="Y202" s="7" t="s">
        <v>78</v>
      </c>
      <c r="Z202" s="7"/>
      <c r="AA202" s="4" t="s">
        <v>46</v>
      </c>
      <c r="AB202" s="4" t="s">
        <v>47</v>
      </c>
      <c r="AC202" s="4" t="s">
        <v>136</v>
      </c>
      <c r="AD202" s="4" t="s">
        <v>137</v>
      </c>
      <c r="AE202" s="4" t="s">
        <v>48</v>
      </c>
      <c r="AF202" s="4" t="s">
        <v>41</v>
      </c>
      <c r="AG202" s="4" t="s">
        <v>513</v>
      </c>
    </row>
    <row r="203" spans="1:33" ht="16.5" customHeight="1" x14ac:dyDescent="0.2">
      <c r="A203" s="2" t="s">
        <v>31</v>
      </c>
      <c r="B203" s="5" t="s">
        <v>54</v>
      </c>
      <c r="C203" s="5"/>
      <c r="D203" s="5"/>
      <c r="E203" s="6" t="s">
        <v>33</v>
      </c>
      <c r="F203" s="6"/>
      <c r="G203" s="7" t="s">
        <v>510</v>
      </c>
      <c r="H203" s="7"/>
      <c r="I203" s="7"/>
      <c r="J203" s="3" t="s">
        <v>35</v>
      </c>
      <c r="K203" s="4" t="s">
        <v>73</v>
      </c>
      <c r="L203" s="4" t="s">
        <v>93</v>
      </c>
      <c r="N203" s="7" t="s">
        <v>596</v>
      </c>
      <c r="O203" s="7"/>
      <c r="P203" s="7" t="s">
        <v>597</v>
      </c>
      <c r="Q203" s="7"/>
      <c r="R203" s="7"/>
      <c r="S203" s="3" t="s">
        <v>40</v>
      </c>
      <c r="T203" s="7" t="s">
        <v>41</v>
      </c>
      <c r="U203" s="7"/>
      <c r="V203" s="4" t="s">
        <v>42</v>
      </c>
      <c r="W203" s="4" t="s">
        <v>207</v>
      </c>
      <c r="X203" s="4" t="s">
        <v>208</v>
      </c>
      <c r="Y203" s="7" t="s">
        <v>78</v>
      </c>
      <c r="Z203" s="7"/>
      <c r="AA203" s="4" t="s">
        <v>46</v>
      </c>
      <c r="AB203" s="4" t="s">
        <v>47</v>
      </c>
      <c r="AC203" s="4" t="s">
        <v>136</v>
      </c>
      <c r="AD203" s="4" t="s">
        <v>148</v>
      </c>
      <c r="AE203" s="4" t="s">
        <v>48</v>
      </c>
      <c r="AF203" s="4" t="s">
        <v>41</v>
      </c>
      <c r="AG203" s="4" t="s">
        <v>513</v>
      </c>
    </row>
    <row r="204" spans="1:33" ht="16.5" customHeight="1" x14ac:dyDescent="0.2">
      <c r="A204" s="2" t="s">
        <v>31</v>
      </c>
      <c r="B204" s="5" t="s">
        <v>54</v>
      </c>
      <c r="C204" s="5"/>
      <c r="D204" s="5"/>
      <c r="E204" s="6" t="s">
        <v>33</v>
      </c>
      <c r="F204" s="6"/>
      <c r="G204" s="7" t="s">
        <v>510</v>
      </c>
      <c r="H204" s="7"/>
      <c r="I204" s="7"/>
      <c r="J204" s="3" t="s">
        <v>35</v>
      </c>
      <c r="K204" s="4" t="s">
        <v>55</v>
      </c>
      <c r="L204" s="4" t="s">
        <v>37</v>
      </c>
      <c r="N204" s="7" t="s">
        <v>598</v>
      </c>
      <c r="O204" s="7"/>
      <c r="P204" s="7" t="s">
        <v>599</v>
      </c>
      <c r="Q204" s="7"/>
      <c r="R204" s="7"/>
      <c r="S204" s="3" t="s">
        <v>40</v>
      </c>
      <c r="T204" s="7" t="s">
        <v>41</v>
      </c>
      <c r="U204" s="7"/>
      <c r="V204" s="4" t="s">
        <v>51</v>
      </c>
      <c r="W204" s="4" t="s">
        <v>90</v>
      </c>
      <c r="X204" s="4" t="s">
        <v>103</v>
      </c>
      <c r="Y204" s="7" t="s">
        <v>60</v>
      </c>
      <c r="Z204" s="7"/>
      <c r="AA204" s="4" t="s">
        <v>46</v>
      </c>
      <c r="AB204" s="4" t="s">
        <v>47</v>
      </c>
      <c r="AC204" s="4" t="s">
        <v>61</v>
      </c>
      <c r="AD204" s="4" t="s">
        <v>62</v>
      </c>
      <c r="AE204" s="4" t="s">
        <v>48</v>
      </c>
      <c r="AF204" s="4" t="s">
        <v>41</v>
      </c>
      <c r="AG204" s="4" t="s">
        <v>513</v>
      </c>
    </row>
    <row r="205" spans="1:33" ht="16.5" customHeight="1" x14ac:dyDescent="0.2">
      <c r="A205" s="2" t="s">
        <v>31</v>
      </c>
      <c r="B205" s="5" t="s">
        <v>54</v>
      </c>
      <c r="C205" s="5"/>
      <c r="D205" s="5"/>
      <c r="E205" s="6" t="s">
        <v>33</v>
      </c>
      <c r="F205" s="6"/>
      <c r="G205" s="7" t="s">
        <v>510</v>
      </c>
      <c r="H205" s="7"/>
      <c r="I205" s="7"/>
      <c r="J205" s="3" t="s">
        <v>35</v>
      </c>
      <c r="K205" s="4" t="s">
        <v>143</v>
      </c>
      <c r="L205" s="4" t="s">
        <v>37</v>
      </c>
      <c r="N205" s="7" t="s">
        <v>600</v>
      </c>
      <c r="O205" s="7"/>
      <c r="P205" s="7" t="s">
        <v>601</v>
      </c>
      <c r="Q205" s="7"/>
      <c r="R205" s="7"/>
      <c r="S205" s="3" t="s">
        <v>40</v>
      </c>
      <c r="T205" s="7" t="s">
        <v>41</v>
      </c>
      <c r="U205" s="7"/>
      <c r="V205" s="4" t="s">
        <v>42</v>
      </c>
      <c r="W205" s="4" t="s">
        <v>172</v>
      </c>
      <c r="X205" s="4" t="s">
        <v>386</v>
      </c>
      <c r="Y205" s="7" t="s">
        <v>135</v>
      </c>
      <c r="Z205" s="7"/>
      <c r="AA205" s="4" t="s">
        <v>46</v>
      </c>
      <c r="AB205" s="4" t="s">
        <v>47</v>
      </c>
      <c r="AC205" s="4" t="s">
        <v>79</v>
      </c>
      <c r="AD205" s="4" t="s">
        <v>80</v>
      </c>
      <c r="AE205" s="4" t="s">
        <v>48</v>
      </c>
      <c r="AF205" s="4" t="s">
        <v>41</v>
      </c>
      <c r="AG205" s="4" t="s">
        <v>513</v>
      </c>
    </row>
    <row r="206" spans="1:33" ht="16.5" customHeight="1" x14ac:dyDescent="0.2">
      <c r="A206" s="2" t="s">
        <v>31</v>
      </c>
      <c r="B206" s="5" t="s">
        <v>54</v>
      </c>
      <c r="C206" s="5"/>
      <c r="D206" s="5"/>
      <c r="E206" s="6" t="s">
        <v>33</v>
      </c>
      <c r="F206" s="6"/>
      <c r="G206" s="7" t="s">
        <v>510</v>
      </c>
      <c r="H206" s="7"/>
      <c r="I206" s="7"/>
      <c r="J206" s="3" t="s">
        <v>35</v>
      </c>
      <c r="K206" s="4" t="s">
        <v>118</v>
      </c>
      <c r="L206" s="4" t="s">
        <v>37</v>
      </c>
      <c r="N206" s="7" t="s">
        <v>600</v>
      </c>
      <c r="O206" s="7"/>
      <c r="P206" s="7" t="s">
        <v>601</v>
      </c>
      <c r="Q206" s="7"/>
      <c r="R206" s="7"/>
      <c r="S206" s="3" t="s">
        <v>40</v>
      </c>
      <c r="T206" s="7" t="s">
        <v>41</v>
      </c>
      <c r="U206" s="7"/>
      <c r="V206" s="4" t="s">
        <v>51</v>
      </c>
      <c r="W206" s="4" t="s">
        <v>172</v>
      </c>
      <c r="X206" s="4" t="s">
        <v>59</v>
      </c>
      <c r="Y206" s="7" t="s">
        <v>60</v>
      </c>
      <c r="Z206" s="7"/>
      <c r="AA206" s="4" t="s">
        <v>46</v>
      </c>
      <c r="AB206" s="4" t="s">
        <v>47</v>
      </c>
      <c r="AC206" s="4" t="s">
        <v>61</v>
      </c>
      <c r="AD206" s="4" t="s">
        <v>62</v>
      </c>
      <c r="AE206" s="4" t="s">
        <v>48</v>
      </c>
      <c r="AF206" s="4" t="s">
        <v>41</v>
      </c>
      <c r="AG206" s="4" t="s">
        <v>513</v>
      </c>
    </row>
    <row r="207" spans="1:33" ht="16.5" customHeight="1" x14ac:dyDescent="0.2">
      <c r="A207" s="2" t="s">
        <v>31</v>
      </c>
      <c r="B207" s="5" t="s">
        <v>54</v>
      </c>
      <c r="C207" s="5"/>
      <c r="D207" s="5"/>
      <c r="E207" s="6" t="s">
        <v>33</v>
      </c>
      <c r="F207" s="6"/>
      <c r="G207" s="7" t="s">
        <v>510</v>
      </c>
      <c r="H207" s="7"/>
      <c r="I207" s="7"/>
      <c r="J207" s="3" t="s">
        <v>35</v>
      </c>
      <c r="K207" s="4" t="s">
        <v>97</v>
      </c>
      <c r="L207" s="4" t="s">
        <v>37</v>
      </c>
      <c r="N207" s="7" t="s">
        <v>602</v>
      </c>
      <c r="O207" s="7"/>
      <c r="P207" s="7" t="s">
        <v>603</v>
      </c>
      <c r="Q207" s="7"/>
      <c r="R207" s="7"/>
      <c r="S207" s="3" t="s">
        <v>40</v>
      </c>
      <c r="T207" s="7" t="s">
        <v>41</v>
      </c>
      <c r="U207" s="7"/>
      <c r="V207" s="4" t="s">
        <v>42</v>
      </c>
      <c r="W207" s="4" t="s">
        <v>604</v>
      </c>
      <c r="X207" s="4" t="s">
        <v>605</v>
      </c>
      <c r="Y207" s="7" t="s">
        <v>78</v>
      </c>
      <c r="Z207" s="7"/>
      <c r="AA207" s="4" t="s">
        <v>46</v>
      </c>
      <c r="AB207" s="4" t="s">
        <v>47</v>
      </c>
      <c r="AC207" s="4" t="s">
        <v>136</v>
      </c>
      <c r="AD207" s="4" t="s">
        <v>137</v>
      </c>
      <c r="AE207" s="4" t="s">
        <v>48</v>
      </c>
      <c r="AF207" s="4" t="s">
        <v>41</v>
      </c>
      <c r="AG207" s="4" t="s">
        <v>513</v>
      </c>
    </row>
    <row r="208" spans="1:33" ht="16.5" customHeight="1" x14ac:dyDescent="0.2">
      <c r="A208" s="2" t="s">
        <v>31</v>
      </c>
      <c r="B208" s="5" t="s">
        <v>54</v>
      </c>
      <c r="C208" s="5"/>
      <c r="D208" s="5"/>
      <c r="E208" s="6" t="s">
        <v>33</v>
      </c>
      <c r="F208" s="6"/>
      <c r="G208" s="7" t="s">
        <v>510</v>
      </c>
      <c r="H208" s="7"/>
      <c r="I208" s="7"/>
      <c r="J208" s="3" t="s">
        <v>35</v>
      </c>
      <c r="K208" s="4" t="s">
        <v>118</v>
      </c>
      <c r="L208" s="4" t="s">
        <v>37</v>
      </c>
      <c r="N208" s="7" t="s">
        <v>606</v>
      </c>
      <c r="O208" s="7"/>
      <c r="P208" s="7" t="s">
        <v>607</v>
      </c>
      <c r="Q208" s="7"/>
      <c r="R208" s="7"/>
      <c r="S208" s="3" t="s">
        <v>40</v>
      </c>
      <c r="T208" s="7" t="s">
        <v>41</v>
      </c>
      <c r="U208" s="7"/>
      <c r="V208" s="4" t="s">
        <v>42</v>
      </c>
      <c r="W208" s="4" t="s">
        <v>608</v>
      </c>
      <c r="X208" s="4" t="s">
        <v>609</v>
      </c>
      <c r="Y208" s="7" t="s">
        <v>60</v>
      </c>
      <c r="Z208" s="7"/>
      <c r="AA208" s="4" t="s">
        <v>46</v>
      </c>
      <c r="AB208" s="4" t="s">
        <v>47</v>
      </c>
      <c r="AC208" s="4" t="s">
        <v>79</v>
      </c>
      <c r="AD208" s="4" t="s">
        <v>80</v>
      </c>
      <c r="AE208" s="4" t="s">
        <v>48</v>
      </c>
      <c r="AF208" s="4" t="s">
        <v>41</v>
      </c>
      <c r="AG208" s="4" t="s">
        <v>513</v>
      </c>
    </row>
    <row r="209" spans="1:33" ht="16.5" customHeight="1" x14ac:dyDescent="0.2">
      <c r="A209" s="2" t="s">
        <v>31</v>
      </c>
      <c r="B209" s="5" t="s">
        <v>54</v>
      </c>
      <c r="C209" s="5"/>
      <c r="D209" s="5"/>
      <c r="E209" s="6" t="s">
        <v>33</v>
      </c>
      <c r="F209" s="6"/>
      <c r="G209" s="7" t="s">
        <v>510</v>
      </c>
      <c r="H209" s="7"/>
      <c r="I209" s="7"/>
      <c r="J209" s="3" t="s">
        <v>35</v>
      </c>
      <c r="K209" s="4" t="s">
        <v>97</v>
      </c>
      <c r="L209" s="4" t="s">
        <v>37</v>
      </c>
      <c r="N209" s="7" t="s">
        <v>610</v>
      </c>
      <c r="O209" s="7"/>
      <c r="P209" s="7" t="s">
        <v>611</v>
      </c>
      <c r="Q209" s="7"/>
      <c r="R209" s="7"/>
      <c r="S209" s="3" t="s">
        <v>40</v>
      </c>
      <c r="T209" s="7" t="s">
        <v>41</v>
      </c>
      <c r="U209" s="7"/>
      <c r="V209" s="4" t="s">
        <v>42</v>
      </c>
      <c r="W209" s="4" t="s">
        <v>43</v>
      </c>
      <c r="X209" s="4" t="s">
        <v>44</v>
      </c>
      <c r="Y209" s="7" t="s">
        <v>78</v>
      </c>
      <c r="Z209" s="7"/>
      <c r="AA209" s="4" t="s">
        <v>46</v>
      </c>
      <c r="AB209" s="4" t="s">
        <v>47</v>
      </c>
      <c r="AC209" s="4" t="s">
        <v>136</v>
      </c>
      <c r="AD209" s="4" t="s">
        <v>137</v>
      </c>
      <c r="AE209" s="4" t="s">
        <v>48</v>
      </c>
      <c r="AF209" s="4" t="s">
        <v>41</v>
      </c>
      <c r="AG209" s="4" t="s">
        <v>513</v>
      </c>
    </row>
    <row r="210" spans="1:33" ht="16.5" customHeight="1" x14ac:dyDescent="0.2">
      <c r="A210" s="2" t="s">
        <v>31</v>
      </c>
      <c r="B210" s="5" t="s">
        <v>54</v>
      </c>
      <c r="C210" s="5"/>
      <c r="D210" s="5"/>
      <c r="E210" s="6" t="s">
        <v>33</v>
      </c>
      <c r="F210" s="6"/>
      <c r="G210" s="7" t="s">
        <v>510</v>
      </c>
      <c r="H210" s="7"/>
      <c r="I210" s="7"/>
      <c r="J210" s="3" t="s">
        <v>35</v>
      </c>
      <c r="K210" s="4" t="s">
        <v>149</v>
      </c>
      <c r="L210" s="4" t="s">
        <v>37</v>
      </c>
      <c r="N210" s="7" t="s">
        <v>612</v>
      </c>
      <c r="O210" s="7"/>
      <c r="P210" s="7" t="s">
        <v>613</v>
      </c>
      <c r="Q210" s="7"/>
      <c r="R210" s="7"/>
      <c r="S210" s="3" t="s">
        <v>40</v>
      </c>
      <c r="T210" s="7" t="s">
        <v>41</v>
      </c>
      <c r="U210" s="7"/>
      <c r="V210" s="4" t="s">
        <v>42</v>
      </c>
      <c r="W210" s="4" t="s">
        <v>333</v>
      </c>
      <c r="X210" s="4" t="s">
        <v>334</v>
      </c>
      <c r="Y210" s="7" t="s">
        <v>78</v>
      </c>
      <c r="Z210" s="7"/>
      <c r="AA210" s="4" t="s">
        <v>46</v>
      </c>
      <c r="AB210" s="4" t="s">
        <v>47</v>
      </c>
      <c r="AC210" s="4" t="s">
        <v>136</v>
      </c>
      <c r="AD210" s="4" t="s">
        <v>137</v>
      </c>
      <c r="AE210" s="4" t="s">
        <v>48</v>
      </c>
      <c r="AF210" s="4" t="s">
        <v>41</v>
      </c>
      <c r="AG210" s="4" t="s">
        <v>513</v>
      </c>
    </row>
    <row r="211" spans="1:33" ht="16.5" customHeight="1" x14ac:dyDescent="0.2">
      <c r="A211" s="2" t="s">
        <v>31</v>
      </c>
      <c r="B211" s="5" t="s">
        <v>54</v>
      </c>
      <c r="C211" s="5"/>
      <c r="D211" s="5"/>
      <c r="E211" s="6" t="s">
        <v>33</v>
      </c>
      <c r="F211" s="6"/>
      <c r="G211" s="7" t="s">
        <v>510</v>
      </c>
      <c r="H211" s="7"/>
      <c r="I211" s="7"/>
      <c r="J211" s="3" t="s">
        <v>35</v>
      </c>
      <c r="K211" s="4" t="s">
        <v>97</v>
      </c>
      <c r="L211" s="4" t="s">
        <v>37</v>
      </c>
      <c r="N211" s="7" t="s">
        <v>614</v>
      </c>
      <c r="O211" s="7"/>
      <c r="P211" s="7" t="s">
        <v>615</v>
      </c>
      <c r="Q211" s="7"/>
      <c r="R211" s="7"/>
      <c r="S211" s="3" t="s">
        <v>40</v>
      </c>
      <c r="T211" s="7" t="s">
        <v>41</v>
      </c>
      <c r="U211" s="7"/>
      <c r="V211" s="4" t="s">
        <v>42</v>
      </c>
      <c r="W211" s="4" t="s">
        <v>333</v>
      </c>
      <c r="X211" s="4" t="s">
        <v>334</v>
      </c>
      <c r="Y211" s="7" t="s">
        <v>78</v>
      </c>
      <c r="Z211" s="7"/>
      <c r="AA211" s="4" t="s">
        <v>46</v>
      </c>
      <c r="AB211" s="4" t="s">
        <v>47</v>
      </c>
      <c r="AC211" s="4" t="s">
        <v>136</v>
      </c>
      <c r="AD211" s="4" t="s">
        <v>137</v>
      </c>
      <c r="AE211" s="4" t="s">
        <v>48</v>
      </c>
      <c r="AF211" s="4" t="s">
        <v>41</v>
      </c>
      <c r="AG211" s="4" t="s">
        <v>513</v>
      </c>
    </row>
    <row r="212" spans="1:33" ht="16.5" customHeight="1" x14ac:dyDescent="0.2">
      <c r="A212" s="2" t="s">
        <v>31</v>
      </c>
      <c r="B212" s="5" t="s">
        <v>54</v>
      </c>
      <c r="C212" s="5"/>
      <c r="D212" s="5"/>
      <c r="E212" s="6" t="s">
        <v>33</v>
      </c>
      <c r="F212" s="6"/>
      <c r="G212" s="7" t="s">
        <v>510</v>
      </c>
      <c r="H212" s="7"/>
      <c r="I212" s="7"/>
      <c r="J212" s="3" t="s">
        <v>35</v>
      </c>
      <c r="K212" s="4" t="s">
        <v>73</v>
      </c>
      <c r="L212" s="4" t="s">
        <v>443</v>
      </c>
      <c r="N212" s="7" t="s">
        <v>616</v>
      </c>
      <c r="O212" s="7"/>
      <c r="P212" s="7" t="s">
        <v>617</v>
      </c>
      <c r="Q212" s="7"/>
      <c r="R212" s="7"/>
      <c r="S212" s="3" t="s">
        <v>40</v>
      </c>
      <c r="T212" s="7" t="s">
        <v>41</v>
      </c>
      <c r="U212" s="7"/>
      <c r="V212" s="4" t="s">
        <v>42</v>
      </c>
      <c r="W212" s="4" t="s">
        <v>234</v>
      </c>
      <c r="X212" s="4" t="s">
        <v>235</v>
      </c>
      <c r="Y212" s="7" t="s">
        <v>78</v>
      </c>
      <c r="Z212" s="7"/>
      <c r="AA212" s="4" t="s">
        <v>46</v>
      </c>
      <c r="AB212" s="4" t="s">
        <v>47</v>
      </c>
      <c r="AC212" s="4" t="s">
        <v>136</v>
      </c>
      <c r="AD212" s="4" t="s">
        <v>464</v>
      </c>
      <c r="AE212" s="4" t="s">
        <v>48</v>
      </c>
      <c r="AF212" s="4" t="s">
        <v>41</v>
      </c>
      <c r="AG212" s="4" t="s">
        <v>513</v>
      </c>
    </row>
    <row r="213" spans="1:33" ht="16.5" customHeight="1" x14ac:dyDescent="0.2">
      <c r="A213" s="2" t="s">
        <v>31</v>
      </c>
      <c r="B213" s="5" t="s">
        <v>54</v>
      </c>
      <c r="C213" s="5"/>
      <c r="D213" s="5"/>
      <c r="E213" s="6" t="s">
        <v>33</v>
      </c>
      <c r="F213" s="6"/>
      <c r="G213" s="7" t="s">
        <v>510</v>
      </c>
      <c r="H213" s="7"/>
      <c r="I213" s="7"/>
      <c r="J213" s="3" t="s">
        <v>35</v>
      </c>
      <c r="K213" s="4" t="s">
        <v>73</v>
      </c>
      <c r="L213" s="4" t="s">
        <v>93</v>
      </c>
      <c r="N213" s="7" t="s">
        <v>618</v>
      </c>
      <c r="O213" s="7"/>
      <c r="P213" s="7" t="s">
        <v>619</v>
      </c>
      <c r="Q213" s="7"/>
      <c r="R213" s="7"/>
      <c r="S213" s="3" t="s">
        <v>40</v>
      </c>
      <c r="T213" s="7" t="s">
        <v>41</v>
      </c>
      <c r="U213" s="7"/>
      <c r="V213" s="4" t="s">
        <v>42</v>
      </c>
      <c r="W213" s="4" t="s">
        <v>301</v>
      </c>
      <c r="X213" s="4" t="s">
        <v>302</v>
      </c>
      <c r="Y213" s="7" t="s">
        <v>78</v>
      </c>
      <c r="Z213" s="7"/>
      <c r="AA213" s="4" t="s">
        <v>46</v>
      </c>
      <c r="AB213" s="4" t="s">
        <v>47</v>
      </c>
      <c r="AC213" s="4" t="s">
        <v>79</v>
      </c>
      <c r="AD213" s="4" t="s">
        <v>96</v>
      </c>
      <c r="AE213" s="4" t="s">
        <v>48</v>
      </c>
      <c r="AF213" s="4" t="s">
        <v>41</v>
      </c>
      <c r="AG213" s="4" t="s">
        <v>513</v>
      </c>
    </row>
    <row r="214" spans="1:33" ht="16.5" customHeight="1" x14ac:dyDescent="0.2">
      <c r="A214" s="2" t="s">
        <v>31</v>
      </c>
      <c r="B214" s="5" t="s">
        <v>54</v>
      </c>
      <c r="C214" s="5"/>
      <c r="D214" s="5"/>
      <c r="E214" s="6" t="s">
        <v>33</v>
      </c>
      <c r="F214" s="6"/>
      <c r="G214" s="7" t="s">
        <v>510</v>
      </c>
      <c r="H214" s="7"/>
      <c r="I214" s="7"/>
      <c r="J214" s="3" t="s">
        <v>35</v>
      </c>
      <c r="K214" s="4" t="s">
        <v>620</v>
      </c>
      <c r="L214" s="4" t="s">
        <v>93</v>
      </c>
      <c r="N214" s="7" t="s">
        <v>621</v>
      </c>
      <c r="O214" s="7"/>
      <c r="P214" s="7" t="s">
        <v>622</v>
      </c>
      <c r="Q214" s="7"/>
      <c r="R214" s="7"/>
      <c r="S214" s="3" t="s">
        <v>40</v>
      </c>
      <c r="T214" s="7" t="s">
        <v>41</v>
      </c>
      <c r="U214" s="7"/>
      <c r="V214" s="4" t="s">
        <v>42</v>
      </c>
      <c r="W214" s="4" t="s">
        <v>76</v>
      </c>
      <c r="X214" s="4" t="s">
        <v>77</v>
      </c>
      <c r="Y214" s="7" t="s">
        <v>78</v>
      </c>
      <c r="Z214" s="7"/>
      <c r="AA214" s="4" t="s">
        <v>46</v>
      </c>
      <c r="AB214" s="4" t="s">
        <v>47</v>
      </c>
      <c r="AC214" s="4" t="s">
        <v>79</v>
      </c>
      <c r="AD214" s="4" t="s">
        <v>96</v>
      </c>
      <c r="AE214" s="4" t="s">
        <v>48</v>
      </c>
      <c r="AF214" s="4" t="s">
        <v>41</v>
      </c>
      <c r="AG214" s="4" t="s">
        <v>513</v>
      </c>
    </row>
    <row r="215" spans="1:33" ht="16.5" customHeight="1" x14ac:dyDescent="0.2">
      <c r="A215" s="2" t="s">
        <v>31</v>
      </c>
      <c r="B215" s="5" t="s">
        <v>54</v>
      </c>
      <c r="C215" s="5"/>
      <c r="D215" s="5"/>
      <c r="E215" s="6" t="s">
        <v>33</v>
      </c>
      <c r="F215" s="6"/>
      <c r="G215" s="7" t="s">
        <v>510</v>
      </c>
      <c r="H215" s="7"/>
      <c r="I215" s="7"/>
      <c r="J215" s="3" t="s">
        <v>35</v>
      </c>
      <c r="K215" s="4" t="s">
        <v>73</v>
      </c>
      <c r="L215" s="4" t="s">
        <v>37</v>
      </c>
      <c r="N215" s="7" t="s">
        <v>623</v>
      </c>
      <c r="O215" s="7"/>
      <c r="P215" s="7" t="s">
        <v>624</v>
      </c>
      <c r="Q215" s="7"/>
      <c r="R215" s="7"/>
      <c r="S215" s="3" t="s">
        <v>40</v>
      </c>
      <c r="T215" s="7" t="s">
        <v>41</v>
      </c>
      <c r="U215" s="7"/>
      <c r="V215" s="4" t="s">
        <v>42</v>
      </c>
      <c r="W215" s="4" t="s">
        <v>90</v>
      </c>
      <c r="X215" s="4" t="s">
        <v>91</v>
      </c>
      <c r="Y215" s="7" t="s">
        <v>78</v>
      </c>
      <c r="Z215" s="7"/>
      <c r="AA215" s="4" t="s">
        <v>46</v>
      </c>
      <c r="AB215" s="4" t="s">
        <v>47</v>
      </c>
      <c r="AC215" s="4" t="s">
        <v>79</v>
      </c>
      <c r="AD215" s="4" t="s">
        <v>80</v>
      </c>
      <c r="AE215" s="4" t="s">
        <v>48</v>
      </c>
      <c r="AF215" s="4" t="s">
        <v>41</v>
      </c>
      <c r="AG215" s="4" t="s">
        <v>513</v>
      </c>
    </row>
    <row r="216" spans="1:33" ht="16.5" customHeight="1" x14ac:dyDescent="0.2">
      <c r="A216" s="2" t="s">
        <v>31</v>
      </c>
      <c r="B216" s="5" t="s">
        <v>54</v>
      </c>
      <c r="C216" s="5"/>
      <c r="D216" s="5"/>
      <c r="E216" s="6" t="s">
        <v>33</v>
      </c>
      <c r="F216" s="6"/>
      <c r="G216" s="7" t="s">
        <v>510</v>
      </c>
      <c r="H216" s="7"/>
      <c r="I216" s="7"/>
      <c r="J216" s="3" t="s">
        <v>35</v>
      </c>
      <c r="K216" s="4" t="s">
        <v>97</v>
      </c>
      <c r="L216" s="4" t="s">
        <v>93</v>
      </c>
      <c r="N216" s="7" t="s">
        <v>625</v>
      </c>
      <c r="O216" s="7"/>
      <c r="P216" s="7" t="s">
        <v>626</v>
      </c>
      <c r="Q216" s="7"/>
      <c r="R216" s="7"/>
      <c r="S216" s="3" t="s">
        <v>40</v>
      </c>
      <c r="T216" s="7" t="s">
        <v>41</v>
      </c>
      <c r="U216" s="7"/>
      <c r="V216" s="4" t="s">
        <v>42</v>
      </c>
      <c r="W216" s="4" t="s">
        <v>58</v>
      </c>
      <c r="X216" s="4" t="s">
        <v>59</v>
      </c>
      <c r="Y216" s="7" t="s">
        <v>78</v>
      </c>
      <c r="Z216" s="7"/>
      <c r="AA216" s="4" t="s">
        <v>46</v>
      </c>
      <c r="AB216" s="4" t="s">
        <v>47</v>
      </c>
      <c r="AC216" s="4" t="s">
        <v>79</v>
      </c>
      <c r="AD216" s="4" t="s">
        <v>96</v>
      </c>
      <c r="AE216" s="4" t="s">
        <v>48</v>
      </c>
      <c r="AF216" s="4" t="s">
        <v>41</v>
      </c>
      <c r="AG216" s="4" t="s">
        <v>513</v>
      </c>
    </row>
    <row r="217" spans="1:33" ht="16.5" customHeight="1" x14ac:dyDescent="0.2">
      <c r="A217" s="2" t="s">
        <v>31</v>
      </c>
      <c r="B217" s="5" t="s">
        <v>54</v>
      </c>
      <c r="C217" s="5"/>
      <c r="D217" s="5"/>
      <c r="E217" s="6" t="s">
        <v>33</v>
      </c>
      <c r="F217" s="6"/>
      <c r="G217" s="7" t="s">
        <v>510</v>
      </c>
      <c r="H217" s="7"/>
      <c r="I217" s="7"/>
      <c r="J217" s="3" t="s">
        <v>35</v>
      </c>
      <c r="K217" s="4" t="s">
        <v>202</v>
      </c>
      <c r="L217" s="4" t="s">
        <v>280</v>
      </c>
      <c r="N217" s="7" t="s">
        <v>627</v>
      </c>
      <c r="O217" s="7"/>
      <c r="P217" s="7" t="s">
        <v>628</v>
      </c>
      <c r="Q217" s="7"/>
      <c r="R217" s="7"/>
      <c r="S217" s="3" t="s">
        <v>40</v>
      </c>
      <c r="T217" s="7" t="s">
        <v>41</v>
      </c>
      <c r="U217" s="7"/>
      <c r="V217" s="4" t="s">
        <v>42</v>
      </c>
      <c r="W217" s="4" t="s">
        <v>58</v>
      </c>
      <c r="X217" s="4" t="s">
        <v>59</v>
      </c>
      <c r="Y217" s="7" t="s">
        <v>197</v>
      </c>
      <c r="Z217" s="7"/>
      <c r="AA217" s="4" t="s">
        <v>46</v>
      </c>
      <c r="AB217" s="4" t="s">
        <v>47</v>
      </c>
      <c r="AC217" s="4" t="s">
        <v>136</v>
      </c>
      <c r="AD217" s="4" t="s">
        <v>324</v>
      </c>
      <c r="AE217" s="4" t="s">
        <v>48</v>
      </c>
      <c r="AF217" s="4" t="s">
        <v>41</v>
      </c>
      <c r="AG217" s="4" t="s">
        <v>513</v>
      </c>
    </row>
    <row r="218" spans="1:33" ht="16.5" customHeight="1" x14ac:dyDescent="0.2">
      <c r="A218" s="2" t="s">
        <v>31</v>
      </c>
      <c r="B218" s="5" t="s">
        <v>54</v>
      </c>
      <c r="C218" s="5"/>
      <c r="D218" s="5"/>
      <c r="E218" s="6" t="s">
        <v>33</v>
      </c>
      <c r="F218" s="6"/>
      <c r="G218" s="7" t="s">
        <v>629</v>
      </c>
      <c r="H218" s="7"/>
      <c r="I218" s="7"/>
      <c r="J218" s="3" t="s">
        <v>35</v>
      </c>
      <c r="K218" s="4" t="s">
        <v>202</v>
      </c>
      <c r="L218" s="4" t="s">
        <v>37</v>
      </c>
      <c r="N218" s="7" t="s">
        <v>630</v>
      </c>
      <c r="O218" s="7"/>
      <c r="P218" s="7" t="s">
        <v>631</v>
      </c>
      <c r="Q218" s="7"/>
      <c r="R218" s="7"/>
      <c r="S218" s="3" t="s">
        <v>40</v>
      </c>
      <c r="T218" s="7" t="s">
        <v>41</v>
      </c>
      <c r="U218" s="7"/>
      <c r="V218" s="4" t="s">
        <v>42</v>
      </c>
      <c r="W218" s="4" t="s">
        <v>632</v>
      </c>
      <c r="X218" s="4" t="s">
        <v>633</v>
      </c>
      <c r="Y218" s="7" t="s">
        <v>197</v>
      </c>
      <c r="Z218" s="7"/>
      <c r="AA218" s="4" t="s">
        <v>46</v>
      </c>
      <c r="AB218" s="4" t="s">
        <v>47</v>
      </c>
      <c r="AC218" s="4" t="s">
        <v>259</v>
      </c>
      <c r="AD218" s="4" t="s">
        <v>260</v>
      </c>
      <c r="AE218" s="4" t="s">
        <v>48</v>
      </c>
      <c r="AF218" s="4" t="s">
        <v>41</v>
      </c>
      <c r="AG218" s="4" t="s">
        <v>634</v>
      </c>
    </row>
    <row r="219" spans="1:33" ht="16.5" customHeight="1" x14ac:dyDescent="0.2">
      <c r="A219" s="2" t="s">
        <v>31</v>
      </c>
      <c r="B219" s="5" t="s">
        <v>54</v>
      </c>
      <c r="C219" s="5"/>
      <c r="D219" s="5"/>
      <c r="E219" s="6" t="s">
        <v>33</v>
      </c>
      <c r="F219" s="6"/>
      <c r="G219" s="7" t="s">
        <v>635</v>
      </c>
      <c r="H219" s="7"/>
      <c r="I219" s="7"/>
      <c r="J219" s="3" t="s">
        <v>35</v>
      </c>
      <c r="K219" s="4" t="s">
        <v>245</v>
      </c>
      <c r="L219" s="4" t="s">
        <v>37</v>
      </c>
      <c r="N219" s="7" t="s">
        <v>636</v>
      </c>
      <c r="O219" s="7"/>
      <c r="P219" s="7" t="s">
        <v>637</v>
      </c>
      <c r="Q219" s="7"/>
      <c r="R219" s="7"/>
      <c r="S219" s="3" t="s">
        <v>40</v>
      </c>
      <c r="T219" s="7" t="s">
        <v>41</v>
      </c>
      <c r="U219" s="7"/>
      <c r="V219" s="4" t="s">
        <v>42</v>
      </c>
      <c r="W219" s="4" t="s">
        <v>200</v>
      </c>
      <c r="X219" s="4" t="s">
        <v>201</v>
      </c>
      <c r="Y219" s="7" t="s">
        <v>78</v>
      </c>
      <c r="Z219" s="7"/>
      <c r="AA219" s="4" t="s">
        <v>46</v>
      </c>
      <c r="AB219" s="4" t="s">
        <v>47</v>
      </c>
      <c r="AC219" s="4" t="s">
        <v>136</v>
      </c>
      <c r="AD219" s="4" t="s">
        <v>137</v>
      </c>
      <c r="AE219" s="4" t="s">
        <v>48</v>
      </c>
      <c r="AF219" s="4" t="s">
        <v>41</v>
      </c>
      <c r="AG219" s="4" t="s">
        <v>638</v>
      </c>
    </row>
    <row r="220" spans="1:33" ht="16.5" customHeight="1" x14ac:dyDescent="0.2">
      <c r="A220" s="2" t="s">
        <v>31</v>
      </c>
      <c r="B220" s="5" t="s">
        <v>54</v>
      </c>
      <c r="C220" s="5"/>
      <c r="D220" s="5"/>
      <c r="E220" s="6" t="s">
        <v>33</v>
      </c>
      <c r="F220" s="6"/>
      <c r="G220" s="7" t="s">
        <v>635</v>
      </c>
      <c r="H220" s="7"/>
      <c r="I220" s="7"/>
      <c r="J220" s="3" t="s">
        <v>35</v>
      </c>
      <c r="K220" s="4" t="s">
        <v>149</v>
      </c>
      <c r="L220" s="4" t="s">
        <v>37</v>
      </c>
      <c r="N220" s="7" t="s">
        <v>639</v>
      </c>
      <c r="O220" s="7"/>
      <c r="P220" s="7" t="s">
        <v>640</v>
      </c>
      <c r="Q220" s="7"/>
      <c r="R220" s="7"/>
      <c r="S220" s="3" t="s">
        <v>40</v>
      </c>
      <c r="T220" s="7" t="s">
        <v>41</v>
      </c>
      <c r="U220" s="7"/>
      <c r="V220" s="4" t="s">
        <v>42</v>
      </c>
      <c r="W220" s="4" t="s">
        <v>518</v>
      </c>
      <c r="X220" s="4" t="s">
        <v>519</v>
      </c>
      <c r="Y220" s="7" t="s">
        <v>78</v>
      </c>
      <c r="Z220" s="7"/>
      <c r="AA220" s="4" t="s">
        <v>46</v>
      </c>
      <c r="AB220" s="4" t="s">
        <v>47</v>
      </c>
      <c r="AC220" s="4" t="s">
        <v>136</v>
      </c>
      <c r="AD220" s="4" t="s">
        <v>137</v>
      </c>
      <c r="AE220" s="4" t="s">
        <v>48</v>
      </c>
      <c r="AF220" s="4" t="s">
        <v>41</v>
      </c>
      <c r="AG220" s="4" t="s">
        <v>638</v>
      </c>
    </row>
    <row r="221" spans="1:33" ht="16.5" customHeight="1" x14ac:dyDescent="0.2">
      <c r="A221" s="2" t="s">
        <v>31</v>
      </c>
      <c r="B221" s="5" t="s">
        <v>32</v>
      </c>
      <c r="C221" s="5"/>
      <c r="D221" s="5"/>
      <c r="E221" s="6" t="s">
        <v>33</v>
      </c>
      <c r="F221" s="6"/>
      <c r="G221" s="7" t="s">
        <v>641</v>
      </c>
      <c r="H221" s="7"/>
      <c r="I221" s="7"/>
      <c r="J221" s="3" t="s">
        <v>35</v>
      </c>
      <c r="K221" s="4" t="s">
        <v>642</v>
      </c>
      <c r="L221" s="4" t="s">
        <v>37</v>
      </c>
      <c r="N221" s="7" t="s">
        <v>643</v>
      </c>
      <c r="O221" s="7"/>
      <c r="P221" s="7" t="s">
        <v>644</v>
      </c>
      <c r="Q221" s="7"/>
      <c r="R221" s="7"/>
      <c r="S221" s="3" t="s">
        <v>40</v>
      </c>
      <c r="T221" s="7" t="s">
        <v>41</v>
      </c>
      <c r="U221" s="7"/>
      <c r="V221" s="4" t="s">
        <v>42</v>
      </c>
      <c r="W221" s="4" t="s">
        <v>58</v>
      </c>
      <c r="X221" s="4" t="s">
        <v>59</v>
      </c>
      <c r="Y221" s="7" t="s">
        <v>45</v>
      </c>
      <c r="Z221" s="7"/>
      <c r="AA221" s="4" t="s">
        <v>46</v>
      </c>
      <c r="AB221" s="4" t="s">
        <v>47</v>
      </c>
      <c r="AD221" s="4" t="s">
        <v>41</v>
      </c>
      <c r="AE221" s="4" t="s">
        <v>48</v>
      </c>
      <c r="AF221" s="4" t="s">
        <v>41</v>
      </c>
      <c r="AG221" s="4" t="s">
        <v>645</v>
      </c>
    </row>
    <row r="222" spans="1:33" ht="16.5" customHeight="1" x14ac:dyDescent="0.2">
      <c r="A222" s="2" t="s">
        <v>31</v>
      </c>
      <c r="B222" s="5" t="s">
        <v>646</v>
      </c>
      <c r="C222" s="5"/>
      <c r="D222" s="5"/>
      <c r="E222" s="6" t="s">
        <v>33</v>
      </c>
      <c r="F222" s="6"/>
      <c r="G222" s="7" t="s">
        <v>641</v>
      </c>
      <c r="H222" s="7"/>
      <c r="I222" s="7"/>
      <c r="J222" s="3" t="s">
        <v>35</v>
      </c>
      <c r="K222" s="4" t="s">
        <v>642</v>
      </c>
      <c r="L222" s="4" t="s">
        <v>37</v>
      </c>
      <c r="N222" s="7" t="s">
        <v>643</v>
      </c>
      <c r="O222" s="7"/>
      <c r="P222" s="7" t="s">
        <v>644</v>
      </c>
      <c r="Q222" s="7"/>
      <c r="R222" s="7"/>
      <c r="S222" s="3" t="s">
        <v>40</v>
      </c>
      <c r="T222" s="7" t="s">
        <v>41</v>
      </c>
      <c r="U222" s="7"/>
      <c r="V222" s="4" t="s">
        <v>51</v>
      </c>
      <c r="W222" s="4" t="s">
        <v>58</v>
      </c>
      <c r="X222" s="4" t="s">
        <v>128</v>
      </c>
      <c r="Y222" s="7" t="s">
        <v>45</v>
      </c>
      <c r="Z222" s="7"/>
      <c r="AA222" s="4" t="s">
        <v>46</v>
      </c>
      <c r="AB222" s="4" t="s">
        <v>47</v>
      </c>
      <c r="AD222" s="4" t="s">
        <v>41</v>
      </c>
      <c r="AE222" s="4" t="s">
        <v>48</v>
      </c>
      <c r="AF222" s="4" t="s">
        <v>41</v>
      </c>
      <c r="AG222" s="4" t="s">
        <v>645</v>
      </c>
    </row>
    <row r="223" spans="1:33" ht="16.5" customHeight="1" x14ac:dyDescent="0.2">
      <c r="A223" s="2" t="s">
        <v>31</v>
      </c>
      <c r="B223" s="5" t="s">
        <v>54</v>
      </c>
      <c r="C223" s="5"/>
      <c r="D223" s="5"/>
      <c r="E223" s="6" t="s">
        <v>33</v>
      </c>
      <c r="F223" s="6"/>
      <c r="G223" s="7" t="s">
        <v>641</v>
      </c>
      <c r="H223" s="7"/>
      <c r="I223" s="7"/>
      <c r="J223" s="3" t="s">
        <v>35</v>
      </c>
      <c r="K223" s="4" t="s">
        <v>149</v>
      </c>
      <c r="L223" s="4" t="s">
        <v>37</v>
      </c>
      <c r="N223" s="7" t="s">
        <v>647</v>
      </c>
      <c r="O223" s="7"/>
      <c r="P223" s="7" t="s">
        <v>648</v>
      </c>
      <c r="Q223" s="7"/>
      <c r="R223" s="7"/>
      <c r="S223" s="3" t="s">
        <v>40</v>
      </c>
      <c r="T223" s="7" t="s">
        <v>41</v>
      </c>
      <c r="U223" s="7"/>
      <c r="V223" s="4" t="s">
        <v>42</v>
      </c>
      <c r="W223" s="4" t="s">
        <v>229</v>
      </c>
      <c r="X223" s="4" t="s">
        <v>446</v>
      </c>
      <c r="Y223" s="7" t="s">
        <v>78</v>
      </c>
      <c r="Z223" s="7"/>
      <c r="AA223" s="4" t="s">
        <v>46</v>
      </c>
      <c r="AB223" s="4" t="s">
        <v>47</v>
      </c>
      <c r="AC223" s="4" t="s">
        <v>136</v>
      </c>
      <c r="AD223" s="4" t="s">
        <v>137</v>
      </c>
      <c r="AE223" s="4" t="s">
        <v>48</v>
      </c>
      <c r="AF223" s="4" t="s">
        <v>41</v>
      </c>
      <c r="AG223" s="4" t="s">
        <v>645</v>
      </c>
    </row>
    <row r="224" spans="1:33" ht="16.5" customHeight="1" x14ac:dyDescent="0.2">
      <c r="A224" s="2" t="s">
        <v>31</v>
      </c>
      <c r="B224" s="5" t="s">
        <v>54</v>
      </c>
      <c r="C224" s="5"/>
      <c r="D224" s="5"/>
      <c r="E224" s="6" t="s">
        <v>33</v>
      </c>
      <c r="F224" s="6"/>
      <c r="G224" s="7" t="s">
        <v>641</v>
      </c>
      <c r="H224" s="7"/>
      <c r="I224" s="7"/>
      <c r="J224" s="3" t="s">
        <v>35</v>
      </c>
      <c r="K224" s="4" t="s">
        <v>245</v>
      </c>
      <c r="L224" s="4" t="s">
        <v>443</v>
      </c>
      <c r="N224" s="7" t="s">
        <v>649</v>
      </c>
      <c r="O224" s="7"/>
      <c r="P224" s="7" t="s">
        <v>650</v>
      </c>
      <c r="Q224" s="7"/>
      <c r="R224" s="7"/>
      <c r="S224" s="3" t="s">
        <v>40</v>
      </c>
      <c r="T224" s="7" t="s">
        <v>41</v>
      </c>
      <c r="U224" s="7"/>
      <c r="V224" s="4" t="s">
        <v>51</v>
      </c>
      <c r="W224" s="4" t="s">
        <v>651</v>
      </c>
      <c r="X224" s="4" t="s">
        <v>652</v>
      </c>
      <c r="Y224" s="7" t="s">
        <v>78</v>
      </c>
      <c r="Z224" s="7"/>
      <c r="AA224" s="4" t="s">
        <v>46</v>
      </c>
      <c r="AB224" s="4" t="s">
        <v>47</v>
      </c>
      <c r="AC224" s="4" t="s">
        <v>136</v>
      </c>
      <c r="AD224" s="4" t="s">
        <v>464</v>
      </c>
      <c r="AE224" s="4" t="s">
        <v>48</v>
      </c>
      <c r="AF224" s="4" t="s">
        <v>41</v>
      </c>
      <c r="AG224" s="4" t="s">
        <v>645</v>
      </c>
    </row>
    <row r="225" spans="1:33" ht="16.5" customHeight="1" x14ac:dyDescent="0.2">
      <c r="A225" s="2" t="s">
        <v>31</v>
      </c>
      <c r="B225" s="5" t="s">
        <v>54</v>
      </c>
      <c r="C225" s="5"/>
      <c r="D225" s="5"/>
      <c r="E225" s="6" t="s">
        <v>33</v>
      </c>
      <c r="F225" s="6"/>
      <c r="G225" s="7" t="s">
        <v>641</v>
      </c>
      <c r="H225" s="7"/>
      <c r="I225" s="7"/>
      <c r="J225" s="3" t="s">
        <v>35</v>
      </c>
      <c r="K225" s="4" t="s">
        <v>55</v>
      </c>
      <c r="L225" s="4" t="s">
        <v>37</v>
      </c>
      <c r="N225" s="7" t="s">
        <v>653</v>
      </c>
      <c r="O225" s="7"/>
      <c r="P225" s="7" t="s">
        <v>654</v>
      </c>
      <c r="Q225" s="7"/>
      <c r="R225" s="7"/>
      <c r="S225" s="3" t="s">
        <v>40</v>
      </c>
      <c r="T225" s="7" t="s">
        <v>41</v>
      </c>
      <c r="U225" s="7"/>
      <c r="V225" s="4" t="s">
        <v>42</v>
      </c>
      <c r="W225" s="4" t="s">
        <v>278</v>
      </c>
      <c r="X225" s="4" t="s">
        <v>279</v>
      </c>
      <c r="Y225" s="7" t="s">
        <v>60</v>
      </c>
      <c r="Z225" s="7"/>
      <c r="AA225" s="4" t="s">
        <v>46</v>
      </c>
      <c r="AB225" s="4" t="s">
        <v>47</v>
      </c>
      <c r="AC225" s="4" t="s">
        <v>79</v>
      </c>
      <c r="AD225" s="4" t="s">
        <v>80</v>
      </c>
      <c r="AE225" s="4" t="s">
        <v>48</v>
      </c>
      <c r="AF225" s="4" t="s">
        <v>41</v>
      </c>
      <c r="AG225" s="4" t="s">
        <v>645</v>
      </c>
    </row>
    <row r="226" spans="1:33" ht="16.5" customHeight="1" x14ac:dyDescent="0.2">
      <c r="A226" s="2" t="s">
        <v>31</v>
      </c>
      <c r="B226" s="5" t="s">
        <v>54</v>
      </c>
      <c r="C226" s="5"/>
      <c r="D226" s="5"/>
      <c r="E226" s="6" t="s">
        <v>33</v>
      </c>
      <c r="F226" s="6"/>
      <c r="G226" s="7" t="s">
        <v>641</v>
      </c>
      <c r="H226" s="7"/>
      <c r="I226" s="7"/>
      <c r="J226" s="3" t="s">
        <v>35</v>
      </c>
      <c r="K226" s="4" t="s">
        <v>55</v>
      </c>
      <c r="L226" s="4" t="s">
        <v>37</v>
      </c>
      <c r="N226" s="7" t="s">
        <v>653</v>
      </c>
      <c r="O226" s="7"/>
      <c r="P226" s="7" t="s">
        <v>654</v>
      </c>
      <c r="Q226" s="7"/>
      <c r="R226" s="7"/>
      <c r="S226" s="3" t="s">
        <v>40</v>
      </c>
      <c r="T226" s="7" t="s">
        <v>41</v>
      </c>
      <c r="U226" s="7"/>
      <c r="V226" s="4" t="s">
        <v>51</v>
      </c>
      <c r="W226" s="4" t="s">
        <v>278</v>
      </c>
      <c r="X226" s="4" t="s">
        <v>284</v>
      </c>
      <c r="Y226" s="7" t="s">
        <v>60</v>
      </c>
      <c r="Z226" s="7"/>
      <c r="AA226" s="4" t="s">
        <v>46</v>
      </c>
      <c r="AB226" s="4" t="s">
        <v>47</v>
      </c>
      <c r="AC226" s="4" t="s">
        <v>79</v>
      </c>
      <c r="AD226" s="4" t="s">
        <v>80</v>
      </c>
      <c r="AE226" s="4" t="s">
        <v>48</v>
      </c>
      <c r="AF226" s="4" t="s">
        <v>41</v>
      </c>
      <c r="AG226" s="4" t="s">
        <v>645</v>
      </c>
    </row>
    <row r="227" spans="1:33" ht="16.5" customHeight="1" x14ac:dyDescent="0.2">
      <c r="A227" s="2" t="s">
        <v>31</v>
      </c>
      <c r="B227" s="5" t="s">
        <v>54</v>
      </c>
      <c r="C227" s="5"/>
      <c r="D227" s="5"/>
      <c r="E227" s="6" t="s">
        <v>33</v>
      </c>
      <c r="F227" s="6"/>
      <c r="G227" s="7" t="s">
        <v>641</v>
      </c>
      <c r="H227" s="7"/>
      <c r="I227" s="7"/>
      <c r="J227" s="3" t="s">
        <v>35</v>
      </c>
      <c r="K227" s="4" t="s">
        <v>149</v>
      </c>
      <c r="L227" s="4" t="s">
        <v>37</v>
      </c>
      <c r="N227" s="7" t="s">
        <v>655</v>
      </c>
      <c r="O227" s="7"/>
      <c r="P227" s="7" t="s">
        <v>656</v>
      </c>
      <c r="Q227" s="7"/>
      <c r="R227" s="7"/>
      <c r="S227" s="3" t="s">
        <v>40</v>
      </c>
      <c r="T227" s="7" t="s">
        <v>41</v>
      </c>
      <c r="U227" s="7"/>
      <c r="V227" s="4" t="s">
        <v>42</v>
      </c>
      <c r="W227" s="4" t="s">
        <v>355</v>
      </c>
      <c r="X227" s="4" t="s">
        <v>344</v>
      </c>
      <c r="Y227" s="7" t="s">
        <v>78</v>
      </c>
      <c r="Z227" s="7"/>
      <c r="AA227" s="4" t="s">
        <v>46</v>
      </c>
      <c r="AB227" s="4" t="s">
        <v>47</v>
      </c>
      <c r="AC227" s="4" t="s">
        <v>136</v>
      </c>
      <c r="AD227" s="4" t="s">
        <v>137</v>
      </c>
      <c r="AE227" s="4" t="s">
        <v>48</v>
      </c>
      <c r="AF227" s="4" t="s">
        <v>41</v>
      </c>
      <c r="AG227" s="4" t="s">
        <v>645</v>
      </c>
    </row>
    <row r="228" spans="1:33" ht="16.5" customHeight="1" x14ac:dyDescent="0.2">
      <c r="A228" s="2" t="s">
        <v>31</v>
      </c>
      <c r="B228" s="5" t="s">
        <v>54</v>
      </c>
      <c r="C228" s="5"/>
      <c r="D228" s="5"/>
      <c r="E228" s="6" t="s">
        <v>33</v>
      </c>
      <c r="F228" s="6"/>
      <c r="G228" s="7" t="s">
        <v>641</v>
      </c>
      <c r="H228" s="7"/>
      <c r="I228" s="7"/>
      <c r="J228" s="3" t="s">
        <v>35</v>
      </c>
      <c r="K228" s="4" t="s">
        <v>657</v>
      </c>
      <c r="L228" s="4" t="s">
        <v>443</v>
      </c>
      <c r="N228" s="7" t="s">
        <v>658</v>
      </c>
      <c r="O228" s="7"/>
      <c r="P228" s="7" t="s">
        <v>659</v>
      </c>
      <c r="Q228" s="7"/>
      <c r="R228" s="7"/>
      <c r="S228" s="3" t="s">
        <v>40</v>
      </c>
      <c r="T228" s="7" t="s">
        <v>41</v>
      </c>
      <c r="U228" s="7"/>
      <c r="V228" s="4" t="s">
        <v>42</v>
      </c>
      <c r="W228" s="4" t="s">
        <v>51</v>
      </c>
      <c r="X228" s="4" t="s">
        <v>128</v>
      </c>
      <c r="Y228" s="7" t="s">
        <v>197</v>
      </c>
      <c r="Z228" s="7"/>
      <c r="AA228" s="4" t="s">
        <v>46</v>
      </c>
      <c r="AB228" s="4" t="s">
        <v>47</v>
      </c>
      <c r="AC228" s="4" t="s">
        <v>136</v>
      </c>
      <c r="AD228" s="4" t="s">
        <v>464</v>
      </c>
      <c r="AE228" s="4" t="s">
        <v>48</v>
      </c>
      <c r="AF228" s="4" t="s">
        <v>41</v>
      </c>
      <c r="AG228" s="4" t="s">
        <v>645</v>
      </c>
    </row>
    <row r="229" spans="1:33" ht="16.5" customHeight="1" x14ac:dyDescent="0.2">
      <c r="A229" s="2" t="s">
        <v>31</v>
      </c>
      <c r="B229" s="5" t="s">
        <v>50</v>
      </c>
      <c r="C229" s="5"/>
      <c r="D229" s="5"/>
      <c r="E229" s="6" t="s">
        <v>33</v>
      </c>
      <c r="F229" s="6"/>
      <c r="G229" s="7" t="s">
        <v>660</v>
      </c>
      <c r="H229" s="7"/>
      <c r="I229" s="7"/>
      <c r="J229" s="3" t="s">
        <v>35</v>
      </c>
      <c r="K229" s="4" t="s">
        <v>661</v>
      </c>
      <c r="N229" s="7" t="s">
        <v>662</v>
      </c>
      <c r="O229" s="7"/>
      <c r="P229" s="7" t="s">
        <v>663</v>
      </c>
      <c r="Q229" s="7"/>
      <c r="R229" s="7"/>
      <c r="S229" s="3" t="s">
        <v>40</v>
      </c>
      <c r="T229" s="7" t="s">
        <v>41</v>
      </c>
      <c r="U229" s="7"/>
      <c r="V229" s="4" t="s">
        <v>51</v>
      </c>
      <c r="W229" s="4" t="s">
        <v>76</v>
      </c>
      <c r="X229" s="4" t="s">
        <v>91</v>
      </c>
      <c r="Y229" s="7" t="s">
        <v>664</v>
      </c>
      <c r="Z229" s="7"/>
      <c r="AA229" s="4" t="s">
        <v>46</v>
      </c>
      <c r="AB229" s="4" t="s">
        <v>47</v>
      </c>
      <c r="AD229" s="4" t="s">
        <v>96</v>
      </c>
      <c r="AE229" s="4" t="s">
        <v>48</v>
      </c>
      <c r="AF229" s="4" t="s">
        <v>41</v>
      </c>
      <c r="AG229" s="4" t="s">
        <v>665</v>
      </c>
    </row>
    <row r="230" spans="1:33" ht="16.5" customHeight="1" x14ac:dyDescent="0.2">
      <c r="A230" s="2" t="s">
        <v>31</v>
      </c>
      <c r="B230" s="5" t="s">
        <v>50</v>
      </c>
      <c r="C230" s="5"/>
      <c r="D230" s="5"/>
      <c r="E230" s="6" t="s">
        <v>33</v>
      </c>
      <c r="F230" s="6"/>
      <c r="G230" s="7" t="s">
        <v>660</v>
      </c>
      <c r="H230" s="7"/>
      <c r="I230" s="7"/>
      <c r="J230" s="3" t="s">
        <v>35</v>
      </c>
      <c r="K230" s="4" t="s">
        <v>661</v>
      </c>
      <c r="N230" s="7" t="s">
        <v>666</v>
      </c>
      <c r="O230" s="7"/>
      <c r="P230" s="7" t="s">
        <v>667</v>
      </c>
      <c r="Q230" s="7"/>
      <c r="R230" s="7"/>
      <c r="S230" s="3" t="s">
        <v>40</v>
      </c>
      <c r="T230" s="7" t="s">
        <v>41</v>
      </c>
      <c r="U230" s="7"/>
      <c r="V230" s="4" t="s">
        <v>51</v>
      </c>
      <c r="W230" s="4" t="s">
        <v>172</v>
      </c>
      <c r="X230" s="4" t="s">
        <v>59</v>
      </c>
      <c r="Y230" s="7" t="s">
        <v>664</v>
      </c>
      <c r="Z230" s="7"/>
      <c r="AA230" s="4" t="s">
        <v>46</v>
      </c>
      <c r="AB230" s="4" t="s">
        <v>47</v>
      </c>
      <c r="AD230" s="4" t="s">
        <v>96</v>
      </c>
      <c r="AE230" s="4" t="s">
        <v>48</v>
      </c>
      <c r="AF230" s="4" t="s">
        <v>41</v>
      </c>
      <c r="AG230" s="4" t="s">
        <v>665</v>
      </c>
    </row>
    <row r="231" spans="1:33" ht="16.5" customHeight="1" x14ac:dyDescent="0.2">
      <c r="A231" s="2" t="s">
        <v>31</v>
      </c>
      <c r="B231" s="5" t="s">
        <v>646</v>
      </c>
      <c r="C231" s="5"/>
      <c r="D231" s="5"/>
      <c r="E231" s="6" t="s">
        <v>33</v>
      </c>
      <c r="F231" s="6"/>
      <c r="G231" s="7" t="s">
        <v>660</v>
      </c>
      <c r="H231" s="7"/>
      <c r="I231" s="7"/>
      <c r="J231" s="3" t="s">
        <v>35</v>
      </c>
      <c r="K231" s="4" t="s">
        <v>661</v>
      </c>
      <c r="L231" s="4" t="s">
        <v>37</v>
      </c>
      <c r="N231" s="7" t="s">
        <v>666</v>
      </c>
      <c r="O231" s="7"/>
      <c r="P231" s="7" t="s">
        <v>667</v>
      </c>
      <c r="Q231" s="7"/>
      <c r="R231" s="7"/>
      <c r="S231" s="3" t="s">
        <v>40</v>
      </c>
      <c r="T231" s="7" t="s">
        <v>668</v>
      </c>
      <c r="U231" s="7"/>
      <c r="V231" s="4" t="s">
        <v>58</v>
      </c>
      <c r="W231" s="4" t="s">
        <v>172</v>
      </c>
      <c r="X231" s="4" t="s">
        <v>128</v>
      </c>
      <c r="Y231" s="7" t="s">
        <v>664</v>
      </c>
      <c r="Z231" s="7"/>
      <c r="AA231" s="4" t="s">
        <v>46</v>
      </c>
      <c r="AB231" s="4" t="s">
        <v>47</v>
      </c>
      <c r="AD231" s="4" t="s">
        <v>41</v>
      </c>
      <c r="AE231" s="4" t="s">
        <v>48</v>
      </c>
      <c r="AF231" s="4" t="s">
        <v>41</v>
      </c>
      <c r="AG231" s="4" t="s">
        <v>665</v>
      </c>
    </row>
    <row r="232" spans="1:33" ht="16.5" customHeight="1" x14ac:dyDescent="0.2">
      <c r="A232" s="2" t="s">
        <v>31</v>
      </c>
      <c r="B232" s="5" t="s">
        <v>646</v>
      </c>
      <c r="C232" s="5"/>
      <c r="D232" s="5"/>
      <c r="E232" s="6" t="s">
        <v>33</v>
      </c>
      <c r="F232" s="6"/>
      <c r="G232" s="7" t="s">
        <v>660</v>
      </c>
      <c r="H232" s="7"/>
      <c r="I232" s="7"/>
      <c r="J232" s="3" t="s">
        <v>35</v>
      </c>
      <c r="K232" s="4" t="s">
        <v>661</v>
      </c>
      <c r="L232" s="4" t="s">
        <v>37</v>
      </c>
      <c r="N232" s="7" t="s">
        <v>669</v>
      </c>
      <c r="O232" s="7"/>
      <c r="P232" s="7" t="s">
        <v>670</v>
      </c>
      <c r="Q232" s="7"/>
      <c r="R232" s="7"/>
      <c r="S232" s="3" t="s">
        <v>40</v>
      </c>
      <c r="T232" s="7" t="s">
        <v>671</v>
      </c>
      <c r="U232" s="7"/>
      <c r="V232" s="4" t="s">
        <v>51</v>
      </c>
      <c r="W232" s="4" t="s">
        <v>58</v>
      </c>
      <c r="X232" s="4" t="s">
        <v>128</v>
      </c>
      <c r="Y232" s="7" t="s">
        <v>672</v>
      </c>
      <c r="Z232" s="7"/>
      <c r="AA232" s="4" t="s">
        <v>46</v>
      </c>
      <c r="AB232" s="4" t="s">
        <v>47</v>
      </c>
      <c r="AD232" s="4" t="s">
        <v>673</v>
      </c>
      <c r="AE232" s="4" t="s">
        <v>48</v>
      </c>
      <c r="AF232" s="4" t="s">
        <v>41</v>
      </c>
      <c r="AG232" s="4" t="s">
        <v>665</v>
      </c>
    </row>
    <row r="233" spans="1:33" ht="16.5" customHeight="1" x14ac:dyDescent="0.2">
      <c r="A233" s="2" t="s">
        <v>31</v>
      </c>
      <c r="B233" s="5" t="s">
        <v>54</v>
      </c>
      <c r="C233" s="5"/>
      <c r="D233" s="5"/>
      <c r="E233" s="6" t="s">
        <v>33</v>
      </c>
      <c r="F233" s="6"/>
      <c r="G233" s="7" t="s">
        <v>660</v>
      </c>
      <c r="H233" s="7"/>
      <c r="I233" s="7"/>
      <c r="J233" s="3" t="s">
        <v>35</v>
      </c>
      <c r="K233" s="4" t="s">
        <v>97</v>
      </c>
      <c r="L233" s="4" t="s">
        <v>280</v>
      </c>
      <c r="N233" s="7" t="s">
        <v>674</v>
      </c>
      <c r="O233" s="7"/>
      <c r="P233" s="7" t="s">
        <v>675</v>
      </c>
      <c r="Q233" s="7"/>
      <c r="R233" s="7"/>
      <c r="S233" s="3" t="s">
        <v>40</v>
      </c>
      <c r="T233" s="7" t="s">
        <v>41</v>
      </c>
      <c r="U233" s="7"/>
      <c r="V233" s="4" t="s">
        <v>42</v>
      </c>
      <c r="W233" s="4" t="s">
        <v>43</v>
      </c>
      <c r="X233" s="4" t="s">
        <v>44</v>
      </c>
      <c r="Y233" s="7" t="s">
        <v>78</v>
      </c>
      <c r="Z233" s="7"/>
      <c r="AA233" s="4" t="s">
        <v>46</v>
      </c>
      <c r="AB233" s="4" t="s">
        <v>47</v>
      </c>
      <c r="AC233" s="4" t="s">
        <v>136</v>
      </c>
      <c r="AD233" s="4" t="s">
        <v>324</v>
      </c>
      <c r="AE233" s="4" t="s">
        <v>48</v>
      </c>
      <c r="AF233" s="4" t="s">
        <v>41</v>
      </c>
      <c r="AG233" s="4" t="s">
        <v>665</v>
      </c>
    </row>
    <row r="234" spans="1:33" ht="16.5" customHeight="1" x14ac:dyDescent="0.2">
      <c r="A234" s="2" t="s">
        <v>31</v>
      </c>
      <c r="B234" s="5" t="s">
        <v>54</v>
      </c>
      <c r="C234" s="5"/>
      <c r="D234" s="5"/>
      <c r="E234" s="6" t="s">
        <v>33</v>
      </c>
      <c r="F234" s="6"/>
      <c r="G234" s="7" t="s">
        <v>660</v>
      </c>
      <c r="H234" s="7"/>
      <c r="I234" s="7"/>
      <c r="J234" s="3" t="s">
        <v>35</v>
      </c>
      <c r="K234" s="4" t="s">
        <v>97</v>
      </c>
      <c r="L234" s="4" t="s">
        <v>37</v>
      </c>
      <c r="N234" s="7" t="s">
        <v>676</v>
      </c>
      <c r="O234" s="7"/>
      <c r="P234" s="7" t="s">
        <v>677</v>
      </c>
      <c r="Q234" s="7"/>
      <c r="R234" s="7"/>
      <c r="S234" s="3" t="s">
        <v>40</v>
      </c>
      <c r="T234" s="7" t="s">
        <v>41</v>
      </c>
      <c r="U234" s="7"/>
      <c r="V234" s="4" t="s">
        <v>42</v>
      </c>
      <c r="W234" s="4" t="s">
        <v>154</v>
      </c>
      <c r="X234" s="4" t="s">
        <v>155</v>
      </c>
      <c r="Y234" s="7" t="s">
        <v>78</v>
      </c>
      <c r="Z234" s="7"/>
      <c r="AA234" s="4" t="s">
        <v>46</v>
      </c>
      <c r="AB234" s="4" t="s">
        <v>47</v>
      </c>
      <c r="AC234" s="4" t="s">
        <v>136</v>
      </c>
      <c r="AD234" s="4" t="s">
        <v>137</v>
      </c>
      <c r="AE234" s="4" t="s">
        <v>48</v>
      </c>
      <c r="AF234" s="4" t="s">
        <v>41</v>
      </c>
      <c r="AG234" s="4" t="s">
        <v>665</v>
      </c>
    </row>
    <row r="235" spans="1:33" ht="16.5" customHeight="1" x14ac:dyDescent="0.2">
      <c r="A235" s="2" t="s">
        <v>31</v>
      </c>
      <c r="B235" s="5" t="s">
        <v>54</v>
      </c>
      <c r="C235" s="5"/>
      <c r="D235" s="5"/>
      <c r="E235" s="6" t="s">
        <v>33</v>
      </c>
      <c r="F235" s="6"/>
      <c r="G235" s="7" t="s">
        <v>660</v>
      </c>
      <c r="H235" s="7"/>
      <c r="I235" s="7"/>
      <c r="J235" s="3" t="s">
        <v>35</v>
      </c>
      <c r="K235" s="4" t="s">
        <v>97</v>
      </c>
      <c r="L235" s="4" t="s">
        <v>37</v>
      </c>
      <c r="N235" s="7" t="s">
        <v>678</v>
      </c>
      <c r="O235" s="7"/>
      <c r="P235" s="7" t="s">
        <v>679</v>
      </c>
      <c r="Q235" s="7"/>
      <c r="R235" s="7"/>
      <c r="S235" s="3" t="s">
        <v>40</v>
      </c>
      <c r="T235" s="7" t="s">
        <v>41</v>
      </c>
      <c r="U235" s="7"/>
      <c r="V235" s="4" t="s">
        <v>42</v>
      </c>
      <c r="W235" s="4" t="s">
        <v>154</v>
      </c>
      <c r="X235" s="4" t="s">
        <v>155</v>
      </c>
      <c r="Y235" s="7" t="s">
        <v>78</v>
      </c>
      <c r="Z235" s="7"/>
      <c r="AA235" s="4" t="s">
        <v>46</v>
      </c>
      <c r="AB235" s="4" t="s">
        <v>47</v>
      </c>
      <c r="AC235" s="4" t="s">
        <v>136</v>
      </c>
      <c r="AD235" s="4" t="s">
        <v>137</v>
      </c>
      <c r="AE235" s="4" t="s">
        <v>48</v>
      </c>
      <c r="AF235" s="4" t="s">
        <v>41</v>
      </c>
      <c r="AG235" s="4" t="s">
        <v>665</v>
      </c>
    </row>
    <row r="236" spans="1:33" ht="16.5" customHeight="1" x14ac:dyDescent="0.2">
      <c r="A236" s="2" t="s">
        <v>31</v>
      </c>
      <c r="B236" s="5" t="s">
        <v>54</v>
      </c>
      <c r="C236" s="5"/>
      <c r="D236" s="5"/>
      <c r="E236" s="6" t="s">
        <v>33</v>
      </c>
      <c r="F236" s="6"/>
      <c r="G236" s="7" t="s">
        <v>660</v>
      </c>
      <c r="H236" s="7"/>
      <c r="I236" s="7"/>
      <c r="J236" s="3" t="s">
        <v>35</v>
      </c>
      <c r="K236" s="4" t="s">
        <v>143</v>
      </c>
      <c r="L236" s="4" t="s">
        <v>37</v>
      </c>
      <c r="N236" s="7" t="s">
        <v>680</v>
      </c>
      <c r="O236" s="7"/>
      <c r="P236" s="7" t="s">
        <v>681</v>
      </c>
      <c r="Q236" s="7"/>
      <c r="R236" s="7"/>
      <c r="S236" s="3" t="s">
        <v>40</v>
      </c>
      <c r="T236" s="7" t="s">
        <v>41</v>
      </c>
      <c r="U236" s="7"/>
      <c r="V236" s="4" t="s">
        <v>42</v>
      </c>
      <c r="W236" s="4" t="s">
        <v>158</v>
      </c>
      <c r="X236" s="4" t="s">
        <v>159</v>
      </c>
      <c r="Y236" s="7" t="s">
        <v>135</v>
      </c>
      <c r="Z236" s="7"/>
      <c r="AA236" s="4" t="s">
        <v>46</v>
      </c>
      <c r="AB236" s="4" t="s">
        <v>47</v>
      </c>
      <c r="AC236" s="4" t="s">
        <v>136</v>
      </c>
      <c r="AD236" s="4" t="s">
        <v>137</v>
      </c>
      <c r="AE236" s="4" t="s">
        <v>48</v>
      </c>
      <c r="AF236" s="4" t="s">
        <v>41</v>
      </c>
      <c r="AG236" s="4" t="s">
        <v>665</v>
      </c>
    </row>
    <row r="237" spans="1:33" ht="16.5" customHeight="1" x14ac:dyDescent="0.2">
      <c r="A237" s="2" t="s">
        <v>31</v>
      </c>
      <c r="B237" s="5" t="s">
        <v>54</v>
      </c>
      <c r="C237" s="5"/>
      <c r="D237" s="5"/>
      <c r="E237" s="6" t="s">
        <v>33</v>
      </c>
      <c r="F237" s="6"/>
      <c r="G237" s="7" t="s">
        <v>660</v>
      </c>
      <c r="H237" s="7"/>
      <c r="I237" s="7"/>
      <c r="J237" s="3" t="s">
        <v>35</v>
      </c>
      <c r="K237" s="4" t="s">
        <v>143</v>
      </c>
      <c r="L237" s="4" t="s">
        <v>37</v>
      </c>
      <c r="N237" s="7" t="s">
        <v>680</v>
      </c>
      <c r="O237" s="7"/>
      <c r="P237" s="7" t="s">
        <v>681</v>
      </c>
      <c r="Q237" s="7"/>
      <c r="R237" s="7"/>
      <c r="S237" s="3" t="s">
        <v>40</v>
      </c>
      <c r="T237" s="7" t="s">
        <v>41</v>
      </c>
      <c r="U237" s="7"/>
      <c r="V237" s="4" t="s">
        <v>51</v>
      </c>
      <c r="W237" s="4" t="s">
        <v>158</v>
      </c>
      <c r="X237" s="4" t="s">
        <v>682</v>
      </c>
      <c r="Y237" s="7" t="s">
        <v>135</v>
      </c>
      <c r="Z237" s="7"/>
      <c r="AA237" s="4" t="s">
        <v>46</v>
      </c>
      <c r="AB237" s="4" t="s">
        <v>47</v>
      </c>
      <c r="AC237" s="4" t="s">
        <v>136</v>
      </c>
      <c r="AD237" s="4" t="s">
        <v>137</v>
      </c>
      <c r="AE237" s="4" t="s">
        <v>48</v>
      </c>
      <c r="AF237" s="4" t="s">
        <v>41</v>
      </c>
      <c r="AG237" s="4" t="s">
        <v>665</v>
      </c>
    </row>
    <row r="238" spans="1:33" ht="16.5" customHeight="1" x14ac:dyDescent="0.2">
      <c r="A238" s="2" t="s">
        <v>31</v>
      </c>
      <c r="B238" s="5" t="s">
        <v>54</v>
      </c>
      <c r="C238" s="5"/>
      <c r="D238" s="5"/>
      <c r="E238" s="6" t="s">
        <v>33</v>
      </c>
      <c r="F238" s="6"/>
      <c r="G238" s="7" t="s">
        <v>660</v>
      </c>
      <c r="H238" s="7"/>
      <c r="I238" s="7"/>
      <c r="J238" s="3" t="s">
        <v>35</v>
      </c>
      <c r="K238" s="4" t="s">
        <v>149</v>
      </c>
      <c r="L238" s="4" t="s">
        <v>280</v>
      </c>
      <c r="N238" s="7" t="s">
        <v>683</v>
      </c>
      <c r="O238" s="7"/>
      <c r="P238" s="7" t="s">
        <v>684</v>
      </c>
      <c r="Q238" s="7"/>
      <c r="R238" s="7"/>
      <c r="S238" s="3" t="s">
        <v>40</v>
      </c>
      <c r="T238" s="7" t="s">
        <v>41</v>
      </c>
      <c r="U238" s="7"/>
      <c r="V238" s="4" t="s">
        <v>42</v>
      </c>
      <c r="W238" s="4" t="s">
        <v>527</v>
      </c>
      <c r="X238" s="4" t="s">
        <v>528</v>
      </c>
      <c r="Y238" s="7" t="s">
        <v>78</v>
      </c>
      <c r="Z238" s="7"/>
      <c r="AA238" s="4" t="s">
        <v>46</v>
      </c>
      <c r="AB238" s="4" t="s">
        <v>47</v>
      </c>
      <c r="AC238" s="4" t="s">
        <v>136</v>
      </c>
      <c r="AD238" s="4" t="s">
        <v>324</v>
      </c>
      <c r="AE238" s="4" t="s">
        <v>48</v>
      </c>
      <c r="AF238" s="4" t="s">
        <v>41</v>
      </c>
      <c r="AG238" s="4" t="s">
        <v>665</v>
      </c>
    </row>
    <row r="239" spans="1:33" ht="16.5" customHeight="1" x14ac:dyDescent="0.2">
      <c r="A239" s="2" t="s">
        <v>31</v>
      </c>
      <c r="B239" s="5" t="s">
        <v>54</v>
      </c>
      <c r="C239" s="5"/>
      <c r="D239" s="5"/>
      <c r="E239" s="6" t="s">
        <v>33</v>
      </c>
      <c r="F239" s="6"/>
      <c r="G239" s="7" t="s">
        <v>660</v>
      </c>
      <c r="H239" s="7"/>
      <c r="I239" s="7"/>
      <c r="J239" s="3" t="s">
        <v>35</v>
      </c>
      <c r="K239" s="4" t="s">
        <v>73</v>
      </c>
      <c r="L239" s="4" t="s">
        <v>37</v>
      </c>
      <c r="N239" s="7" t="s">
        <v>685</v>
      </c>
      <c r="O239" s="7"/>
      <c r="P239" s="7" t="s">
        <v>686</v>
      </c>
      <c r="Q239" s="7"/>
      <c r="R239" s="7"/>
      <c r="S239" s="3" t="s">
        <v>40</v>
      </c>
      <c r="T239" s="7" t="s">
        <v>41</v>
      </c>
      <c r="U239" s="7"/>
      <c r="V239" s="4" t="s">
        <v>42</v>
      </c>
      <c r="W239" s="4" t="s">
        <v>312</v>
      </c>
      <c r="X239" s="4" t="s">
        <v>313</v>
      </c>
      <c r="Y239" s="7" t="s">
        <v>78</v>
      </c>
      <c r="Z239" s="7"/>
      <c r="AA239" s="4" t="s">
        <v>46</v>
      </c>
      <c r="AB239" s="4" t="s">
        <v>47</v>
      </c>
      <c r="AC239" s="4" t="s">
        <v>79</v>
      </c>
      <c r="AD239" s="4" t="s">
        <v>80</v>
      </c>
      <c r="AE239" s="4" t="s">
        <v>48</v>
      </c>
      <c r="AF239" s="4" t="s">
        <v>41</v>
      </c>
      <c r="AG239" s="4" t="s">
        <v>665</v>
      </c>
    </row>
    <row r="240" spans="1:33" ht="16.5" customHeight="1" x14ac:dyDescent="0.2">
      <c r="A240" s="2" t="s">
        <v>31</v>
      </c>
      <c r="B240" s="5" t="s">
        <v>54</v>
      </c>
      <c r="C240" s="5"/>
      <c r="D240" s="5"/>
      <c r="E240" s="6" t="s">
        <v>33</v>
      </c>
      <c r="F240" s="6"/>
      <c r="G240" s="7" t="s">
        <v>660</v>
      </c>
      <c r="H240" s="7"/>
      <c r="I240" s="7"/>
      <c r="J240" s="3" t="s">
        <v>35</v>
      </c>
      <c r="K240" s="4" t="s">
        <v>97</v>
      </c>
      <c r="L240" s="4" t="s">
        <v>37</v>
      </c>
      <c r="N240" s="7" t="s">
        <v>687</v>
      </c>
      <c r="O240" s="7"/>
      <c r="P240" s="7" t="s">
        <v>688</v>
      </c>
      <c r="Q240" s="7"/>
      <c r="R240" s="7"/>
      <c r="S240" s="3" t="s">
        <v>40</v>
      </c>
      <c r="T240" s="7" t="s">
        <v>41</v>
      </c>
      <c r="U240" s="7"/>
      <c r="V240" s="4" t="s">
        <v>42</v>
      </c>
      <c r="W240" s="4" t="s">
        <v>518</v>
      </c>
      <c r="X240" s="4" t="s">
        <v>519</v>
      </c>
      <c r="Y240" s="7" t="s">
        <v>78</v>
      </c>
      <c r="Z240" s="7"/>
      <c r="AA240" s="4" t="s">
        <v>46</v>
      </c>
      <c r="AB240" s="4" t="s">
        <v>47</v>
      </c>
      <c r="AC240" s="4" t="s">
        <v>72</v>
      </c>
      <c r="AD240" s="4" t="s">
        <v>41</v>
      </c>
      <c r="AE240" s="4" t="s">
        <v>48</v>
      </c>
      <c r="AF240" s="4" t="s">
        <v>41</v>
      </c>
      <c r="AG240" s="4" t="s">
        <v>665</v>
      </c>
    </row>
    <row r="241" spans="1:33" ht="16.5" customHeight="1" x14ac:dyDescent="0.2">
      <c r="A241" s="2" t="s">
        <v>31</v>
      </c>
      <c r="B241" s="5" t="s">
        <v>54</v>
      </c>
      <c r="C241" s="5"/>
      <c r="D241" s="5"/>
      <c r="E241" s="6" t="s">
        <v>33</v>
      </c>
      <c r="F241" s="6"/>
      <c r="G241" s="7" t="s">
        <v>660</v>
      </c>
      <c r="H241" s="7"/>
      <c r="I241" s="7"/>
      <c r="J241" s="3" t="s">
        <v>35</v>
      </c>
      <c r="K241" s="4" t="s">
        <v>149</v>
      </c>
      <c r="L241" s="4" t="s">
        <v>37</v>
      </c>
      <c r="N241" s="7" t="s">
        <v>689</v>
      </c>
      <c r="O241" s="7"/>
      <c r="P241" s="7" t="s">
        <v>690</v>
      </c>
      <c r="Q241" s="7"/>
      <c r="R241" s="7"/>
      <c r="S241" s="3" t="s">
        <v>40</v>
      </c>
      <c r="T241" s="7" t="s">
        <v>41</v>
      </c>
      <c r="U241" s="7"/>
      <c r="V241" s="4" t="s">
        <v>51</v>
      </c>
      <c r="W241" s="4" t="s">
        <v>355</v>
      </c>
      <c r="X241" s="4" t="s">
        <v>361</v>
      </c>
      <c r="Y241" s="7" t="s">
        <v>78</v>
      </c>
      <c r="Z241" s="7"/>
      <c r="AA241" s="4" t="s">
        <v>46</v>
      </c>
      <c r="AB241" s="4" t="s">
        <v>47</v>
      </c>
      <c r="AC241" s="4" t="s">
        <v>79</v>
      </c>
      <c r="AD241" s="4" t="s">
        <v>80</v>
      </c>
      <c r="AE241" s="4" t="s">
        <v>48</v>
      </c>
      <c r="AF241" s="4" t="s">
        <v>41</v>
      </c>
      <c r="AG241" s="4" t="s">
        <v>665</v>
      </c>
    </row>
    <row r="242" spans="1:33" ht="16.5" customHeight="1" x14ac:dyDescent="0.2">
      <c r="A242" s="2" t="s">
        <v>31</v>
      </c>
      <c r="B242" s="5" t="s">
        <v>54</v>
      </c>
      <c r="C242" s="5"/>
      <c r="D242" s="5"/>
      <c r="E242" s="6" t="s">
        <v>33</v>
      </c>
      <c r="F242" s="6"/>
      <c r="G242" s="7" t="s">
        <v>660</v>
      </c>
      <c r="H242" s="7"/>
      <c r="I242" s="7"/>
      <c r="J242" s="3" t="s">
        <v>35</v>
      </c>
      <c r="K242" s="4" t="s">
        <v>130</v>
      </c>
      <c r="L242" s="4" t="s">
        <v>37</v>
      </c>
      <c r="N242" s="7" t="s">
        <v>691</v>
      </c>
      <c r="O242" s="7"/>
      <c r="P242" s="7" t="s">
        <v>692</v>
      </c>
      <c r="Q242" s="7"/>
      <c r="R242" s="7"/>
      <c r="S242" s="3" t="s">
        <v>40</v>
      </c>
      <c r="T242" s="7" t="s">
        <v>41</v>
      </c>
      <c r="U242" s="7"/>
      <c r="V242" s="4" t="s">
        <v>42</v>
      </c>
      <c r="W242" s="4" t="s">
        <v>58</v>
      </c>
      <c r="X242" s="4" t="s">
        <v>59</v>
      </c>
      <c r="Y242" s="7" t="s">
        <v>135</v>
      </c>
      <c r="Z242" s="7"/>
      <c r="AA242" s="4" t="s">
        <v>46</v>
      </c>
      <c r="AB242" s="4" t="s">
        <v>47</v>
      </c>
      <c r="AC242" s="4" t="s">
        <v>79</v>
      </c>
      <c r="AD242" s="4" t="s">
        <v>80</v>
      </c>
      <c r="AE242" s="4" t="s">
        <v>48</v>
      </c>
      <c r="AF242" s="4" t="s">
        <v>41</v>
      </c>
      <c r="AG242" s="4" t="s">
        <v>665</v>
      </c>
    </row>
    <row r="243" spans="1:33" ht="16.5" customHeight="1" x14ac:dyDescent="0.2">
      <c r="A243" s="2" t="s">
        <v>31</v>
      </c>
      <c r="B243" s="5" t="s">
        <v>54</v>
      </c>
      <c r="C243" s="5"/>
      <c r="D243" s="5"/>
      <c r="E243" s="6" t="s">
        <v>33</v>
      </c>
      <c r="F243" s="6"/>
      <c r="G243" s="7" t="s">
        <v>660</v>
      </c>
      <c r="H243" s="7"/>
      <c r="I243" s="7"/>
      <c r="J243" s="3" t="s">
        <v>35</v>
      </c>
      <c r="K243" s="4" t="s">
        <v>130</v>
      </c>
      <c r="L243" s="4" t="s">
        <v>37</v>
      </c>
      <c r="N243" s="7" t="s">
        <v>691</v>
      </c>
      <c r="O243" s="7"/>
      <c r="P243" s="7" t="s">
        <v>692</v>
      </c>
      <c r="Q243" s="7"/>
      <c r="R243" s="7"/>
      <c r="S243" s="3" t="s">
        <v>40</v>
      </c>
      <c r="T243" s="7" t="s">
        <v>41</v>
      </c>
      <c r="U243" s="7"/>
      <c r="V243" s="4" t="s">
        <v>51</v>
      </c>
      <c r="W243" s="4" t="s">
        <v>58</v>
      </c>
      <c r="X243" s="4" t="s">
        <v>128</v>
      </c>
      <c r="Y243" s="7" t="s">
        <v>135</v>
      </c>
      <c r="Z243" s="7"/>
      <c r="AA243" s="4" t="s">
        <v>46</v>
      </c>
      <c r="AB243" s="4" t="s">
        <v>47</v>
      </c>
      <c r="AC243" s="4" t="s">
        <v>79</v>
      </c>
      <c r="AD243" s="4" t="s">
        <v>80</v>
      </c>
      <c r="AE243" s="4" t="s">
        <v>48</v>
      </c>
      <c r="AF243" s="4" t="s">
        <v>41</v>
      </c>
      <c r="AG243" s="4" t="s">
        <v>665</v>
      </c>
    </row>
    <row r="244" spans="1:33" ht="16.5" customHeight="1" x14ac:dyDescent="0.2">
      <c r="A244" s="2" t="s">
        <v>31</v>
      </c>
      <c r="B244" s="5" t="s">
        <v>54</v>
      </c>
      <c r="C244" s="5"/>
      <c r="D244" s="5"/>
      <c r="E244" s="6" t="s">
        <v>33</v>
      </c>
      <c r="F244" s="6"/>
      <c r="G244" s="7" t="s">
        <v>660</v>
      </c>
      <c r="H244" s="7"/>
      <c r="I244" s="7"/>
      <c r="J244" s="3" t="s">
        <v>35</v>
      </c>
      <c r="K244" s="4" t="s">
        <v>149</v>
      </c>
      <c r="L244" s="4" t="s">
        <v>37</v>
      </c>
      <c r="N244" s="7" t="s">
        <v>693</v>
      </c>
      <c r="O244" s="7"/>
      <c r="P244" s="7" t="s">
        <v>694</v>
      </c>
      <c r="Q244" s="7"/>
      <c r="R244" s="7"/>
      <c r="S244" s="3" t="s">
        <v>40</v>
      </c>
      <c r="T244" s="7" t="s">
        <v>41</v>
      </c>
      <c r="U244" s="7"/>
      <c r="V244" s="4" t="s">
        <v>42</v>
      </c>
      <c r="W244" s="4" t="s">
        <v>229</v>
      </c>
      <c r="X244" s="4" t="s">
        <v>446</v>
      </c>
      <c r="Y244" s="7" t="s">
        <v>78</v>
      </c>
      <c r="Z244" s="7"/>
      <c r="AA244" s="4" t="s">
        <v>46</v>
      </c>
      <c r="AB244" s="4" t="s">
        <v>47</v>
      </c>
      <c r="AC244" s="4" t="s">
        <v>136</v>
      </c>
      <c r="AD244" s="4" t="s">
        <v>137</v>
      </c>
      <c r="AE244" s="4" t="s">
        <v>48</v>
      </c>
      <c r="AF244" s="4" t="s">
        <v>41</v>
      </c>
      <c r="AG244" s="4" t="s">
        <v>665</v>
      </c>
    </row>
    <row r="245" spans="1:33" ht="16.5" customHeight="1" x14ac:dyDescent="0.2">
      <c r="A245" s="2" t="s">
        <v>31</v>
      </c>
      <c r="B245" s="5" t="s">
        <v>54</v>
      </c>
      <c r="C245" s="5"/>
      <c r="D245" s="5"/>
      <c r="E245" s="6" t="s">
        <v>33</v>
      </c>
      <c r="F245" s="6"/>
      <c r="G245" s="7" t="s">
        <v>660</v>
      </c>
      <c r="H245" s="7"/>
      <c r="I245" s="7"/>
      <c r="J245" s="3" t="s">
        <v>35</v>
      </c>
      <c r="K245" s="4" t="s">
        <v>409</v>
      </c>
      <c r="L245" s="4" t="s">
        <v>93</v>
      </c>
      <c r="N245" s="7" t="s">
        <v>695</v>
      </c>
      <c r="O245" s="7"/>
      <c r="P245" s="7" t="s">
        <v>696</v>
      </c>
      <c r="Q245" s="7"/>
      <c r="R245" s="7"/>
      <c r="S245" s="3" t="s">
        <v>40</v>
      </c>
      <c r="T245" s="7" t="s">
        <v>41</v>
      </c>
      <c r="U245" s="7"/>
      <c r="V245" s="4" t="s">
        <v>42</v>
      </c>
      <c r="W245" s="4" t="s">
        <v>43</v>
      </c>
      <c r="X245" s="4" t="s">
        <v>44</v>
      </c>
      <c r="Y245" s="7" t="s">
        <v>60</v>
      </c>
      <c r="Z245" s="7"/>
      <c r="AA245" s="4" t="s">
        <v>46</v>
      </c>
      <c r="AB245" s="4" t="s">
        <v>47</v>
      </c>
      <c r="AC245" s="4" t="s">
        <v>79</v>
      </c>
      <c r="AD245" s="4" t="s">
        <v>96</v>
      </c>
      <c r="AE245" s="4" t="s">
        <v>48</v>
      </c>
      <c r="AF245" s="4" t="s">
        <v>41</v>
      </c>
      <c r="AG245" s="4" t="s">
        <v>665</v>
      </c>
    </row>
    <row r="246" spans="1:33" ht="16.5" customHeight="1" x14ac:dyDescent="0.2">
      <c r="A246" s="2" t="s">
        <v>31</v>
      </c>
      <c r="B246" s="5" t="s">
        <v>54</v>
      </c>
      <c r="C246" s="5"/>
      <c r="D246" s="5"/>
      <c r="E246" s="6" t="s">
        <v>33</v>
      </c>
      <c r="F246" s="6"/>
      <c r="G246" s="7" t="s">
        <v>660</v>
      </c>
      <c r="H246" s="7"/>
      <c r="I246" s="7"/>
      <c r="J246" s="3" t="s">
        <v>35</v>
      </c>
      <c r="K246" s="4" t="s">
        <v>248</v>
      </c>
      <c r="L246" s="4" t="s">
        <v>37</v>
      </c>
      <c r="N246" s="7" t="s">
        <v>697</v>
      </c>
      <c r="O246" s="7"/>
      <c r="P246" s="7" t="s">
        <v>698</v>
      </c>
      <c r="Q246" s="7"/>
      <c r="R246" s="7"/>
      <c r="S246" s="3" t="s">
        <v>40</v>
      </c>
      <c r="T246" s="7" t="s">
        <v>41</v>
      </c>
      <c r="U246" s="7"/>
      <c r="V246" s="4" t="s">
        <v>42</v>
      </c>
      <c r="W246" s="4" t="s">
        <v>58</v>
      </c>
      <c r="X246" s="4" t="s">
        <v>59</v>
      </c>
      <c r="Y246" s="7" t="s">
        <v>60</v>
      </c>
      <c r="Z246" s="7"/>
      <c r="AA246" s="4" t="s">
        <v>46</v>
      </c>
      <c r="AB246" s="4" t="s">
        <v>47</v>
      </c>
      <c r="AC246" s="4" t="s">
        <v>61</v>
      </c>
      <c r="AD246" s="4" t="s">
        <v>62</v>
      </c>
      <c r="AE246" s="4" t="s">
        <v>48</v>
      </c>
      <c r="AF246" s="4" t="s">
        <v>41</v>
      </c>
      <c r="AG246" s="4" t="s">
        <v>665</v>
      </c>
    </row>
    <row r="247" spans="1:33" ht="16.5" customHeight="1" x14ac:dyDescent="0.2">
      <c r="A247" s="2" t="s">
        <v>31</v>
      </c>
      <c r="B247" s="5" t="s">
        <v>54</v>
      </c>
      <c r="C247" s="5"/>
      <c r="D247" s="5"/>
      <c r="E247" s="6" t="s">
        <v>33</v>
      </c>
      <c r="F247" s="6"/>
      <c r="G247" s="7" t="s">
        <v>660</v>
      </c>
      <c r="H247" s="7"/>
      <c r="I247" s="7"/>
      <c r="J247" s="3" t="s">
        <v>35</v>
      </c>
      <c r="K247" s="4" t="s">
        <v>409</v>
      </c>
      <c r="L247" s="4" t="s">
        <v>93</v>
      </c>
      <c r="N247" s="7" t="s">
        <v>699</v>
      </c>
      <c r="O247" s="7"/>
      <c r="P247" s="7" t="s">
        <v>700</v>
      </c>
      <c r="Q247" s="7"/>
      <c r="R247" s="7"/>
      <c r="S247" s="3" t="s">
        <v>40</v>
      </c>
      <c r="T247" s="7" t="s">
        <v>41</v>
      </c>
      <c r="U247" s="7"/>
      <c r="V247" s="4" t="s">
        <v>42</v>
      </c>
      <c r="W247" s="4" t="s">
        <v>133</v>
      </c>
      <c r="X247" s="4" t="s">
        <v>134</v>
      </c>
      <c r="Y247" s="7" t="s">
        <v>60</v>
      </c>
      <c r="Z247" s="7"/>
      <c r="AA247" s="4" t="s">
        <v>46</v>
      </c>
      <c r="AB247" s="4" t="s">
        <v>47</v>
      </c>
      <c r="AC247" s="4" t="s">
        <v>79</v>
      </c>
      <c r="AD247" s="4" t="s">
        <v>96</v>
      </c>
      <c r="AE247" s="4" t="s">
        <v>48</v>
      </c>
      <c r="AF247" s="4" t="s">
        <v>41</v>
      </c>
      <c r="AG247" s="4" t="s">
        <v>665</v>
      </c>
    </row>
    <row r="248" spans="1:33" ht="0.75" customHeight="1" x14ac:dyDescent="0.2"/>
    <row r="249" spans="1:33" ht="12" customHeight="1" x14ac:dyDescent="0.2"/>
    <row r="250" spans="1:33" ht="16.5" customHeight="1" x14ac:dyDescent="0.2">
      <c r="A250" s="2" t="s">
        <v>31</v>
      </c>
      <c r="B250" s="5" t="s">
        <v>54</v>
      </c>
      <c r="C250" s="5"/>
      <c r="D250" s="5"/>
      <c r="E250" s="6" t="s">
        <v>33</v>
      </c>
      <c r="F250" s="6"/>
      <c r="G250" s="7" t="s">
        <v>660</v>
      </c>
      <c r="H250" s="7"/>
      <c r="I250" s="7"/>
      <c r="J250" s="3" t="s">
        <v>35</v>
      </c>
      <c r="K250" s="4" t="s">
        <v>149</v>
      </c>
      <c r="L250" s="4" t="s">
        <v>93</v>
      </c>
      <c r="N250" s="7" t="s">
        <v>701</v>
      </c>
      <c r="O250" s="7"/>
      <c r="P250" s="7" t="s">
        <v>702</v>
      </c>
      <c r="Q250" s="7"/>
      <c r="R250" s="7"/>
      <c r="S250" s="3" t="s">
        <v>40</v>
      </c>
      <c r="T250" s="7" t="s">
        <v>41</v>
      </c>
      <c r="U250" s="7"/>
      <c r="V250" s="4" t="s">
        <v>42</v>
      </c>
      <c r="W250" s="4" t="s">
        <v>154</v>
      </c>
      <c r="X250" s="4" t="s">
        <v>155</v>
      </c>
      <c r="Y250" s="7" t="s">
        <v>78</v>
      </c>
      <c r="Z250" s="7"/>
      <c r="AA250" s="4" t="s">
        <v>46</v>
      </c>
      <c r="AB250" s="4" t="s">
        <v>47</v>
      </c>
      <c r="AC250" s="4" t="s">
        <v>136</v>
      </c>
      <c r="AD250" s="4" t="s">
        <v>148</v>
      </c>
      <c r="AE250" s="4" t="s">
        <v>48</v>
      </c>
      <c r="AF250" s="4" t="s">
        <v>41</v>
      </c>
      <c r="AG250" s="4" t="s">
        <v>665</v>
      </c>
    </row>
    <row r="251" spans="1:33" ht="16.5" customHeight="1" x14ac:dyDescent="0.2">
      <c r="A251" s="2" t="s">
        <v>31</v>
      </c>
      <c r="B251" s="5" t="s">
        <v>54</v>
      </c>
      <c r="C251" s="5"/>
      <c r="D251" s="5"/>
      <c r="E251" s="6" t="s">
        <v>33</v>
      </c>
      <c r="F251" s="6"/>
      <c r="G251" s="7" t="s">
        <v>660</v>
      </c>
      <c r="H251" s="7"/>
      <c r="I251" s="7"/>
      <c r="J251" s="3" t="s">
        <v>35</v>
      </c>
      <c r="K251" s="4" t="s">
        <v>55</v>
      </c>
      <c r="L251" s="4" t="s">
        <v>37</v>
      </c>
      <c r="N251" s="7" t="s">
        <v>703</v>
      </c>
      <c r="O251" s="7"/>
      <c r="P251" s="7" t="s">
        <v>704</v>
      </c>
      <c r="Q251" s="7"/>
      <c r="R251" s="7"/>
      <c r="S251" s="3" t="s">
        <v>40</v>
      </c>
      <c r="T251" s="7" t="s">
        <v>41</v>
      </c>
      <c r="U251" s="7"/>
      <c r="V251" s="4" t="s">
        <v>42</v>
      </c>
      <c r="W251" s="4" t="s">
        <v>181</v>
      </c>
      <c r="X251" s="4" t="s">
        <v>182</v>
      </c>
      <c r="Y251" s="7" t="s">
        <v>60</v>
      </c>
      <c r="Z251" s="7"/>
      <c r="AA251" s="4" t="s">
        <v>46</v>
      </c>
      <c r="AB251" s="4" t="s">
        <v>47</v>
      </c>
      <c r="AC251" s="4" t="s">
        <v>61</v>
      </c>
      <c r="AD251" s="4" t="s">
        <v>62</v>
      </c>
      <c r="AE251" s="4" t="s">
        <v>48</v>
      </c>
      <c r="AF251" s="4" t="s">
        <v>41</v>
      </c>
      <c r="AG251" s="4" t="s">
        <v>665</v>
      </c>
    </row>
    <row r="252" spans="1:33" ht="16.5" customHeight="1" x14ac:dyDescent="0.2">
      <c r="A252" s="2" t="s">
        <v>31</v>
      </c>
      <c r="B252" s="5" t="s">
        <v>54</v>
      </c>
      <c r="C252" s="5"/>
      <c r="D252" s="5"/>
      <c r="E252" s="6" t="s">
        <v>33</v>
      </c>
      <c r="F252" s="6"/>
      <c r="G252" s="7" t="s">
        <v>660</v>
      </c>
      <c r="H252" s="7"/>
      <c r="I252" s="7"/>
      <c r="J252" s="3" t="s">
        <v>35</v>
      </c>
      <c r="K252" s="4" t="s">
        <v>657</v>
      </c>
      <c r="L252" s="4" t="s">
        <v>37</v>
      </c>
      <c r="N252" s="7" t="s">
        <v>705</v>
      </c>
      <c r="O252" s="7"/>
      <c r="P252" s="7" t="s">
        <v>706</v>
      </c>
      <c r="Q252" s="7"/>
      <c r="R252" s="7"/>
      <c r="S252" s="3" t="s">
        <v>40</v>
      </c>
      <c r="T252" s="7" t="s">
        <v>41</v>
      </c>
      <c r="U252" s="7"/>
      <c r="V252" s="4" t="s">
        <v>42</v>
      </c>
      <c r="W252" s="4" t="s">
        <v>68</v>
      </c>
      <c r="X252" s="4" t="s">
        <v>69</v>
      </c>
      <c r="Y252" s="7" t="s">
        <v>197</v>
      </c>
      <c r="Z252" s="7"/>
      <c r="AA252" s="4" t="s">
        <v>46</v>
      </c>
      <c r="AB252" s="4" t="s">
        <v>47</v>
      </c>
      <c r="AC252" s="4" t="s">
        <v>136</v>
      </c>
      <c r="AD252" s="4" t="s">
        <v>137</v>
      </c>
      <c r="AE252" s="4" t="s">
        <v>48</v>
      </c>
      <c r="AF252" s="4" t="s">
        <v>41</v>
      </c>
      <c r="AG252" s="4" t="s">
        <v>665</v>
      </c>
    </row>
    <row r="253" spans="1:33" ht="16.5" customHeight="1" x14ac:dyDescent="0.2">
      <c r="A253" s="2" t="s">
        <v>31</v>
      </c>
      <c r="B253" s="5" t="s">
        <v>54</v>
      </c>
      <c r="C253" s="5"/>
      <c r="D253" s="5"/>
      <c r="E253" s="6" t="s">
        <v>33</v>
      </c>
      <c r="F253" s="6"/>
      <c r="G253" s="7" t="s">
        <v>660</v>
      </c>
      <c r="H253" s="7"/>
      <c r="I253" s="7"/>
      <c r="J253" s="3" t="s">
        <v>35</v>
      </c>
      <c r="K253" s="4" t="s">
        <v>657</v>
      </c>
      <c r="L253" s="4" t="s">
        <v>37</v>
      </c>
      <c r="N253" s="7" t="s">
        <v>705</v>
      </c>
      <c r="O253" s="7"/>
      <c r="P253" s="7" t="s">
        <v>706</v>
      </c>
      <c r="Q253" s="7"/>
      <c r="R253" s="7"/>
      <c r="S253" s="3" t="s">
        <v>40</v>
      </c>
      <c r="T253" s="7" t="s">
        <v>41</v>
      </c>
      <c r="U253" s="7"/>
      <c r="V253" s="4" t="s">
        <v>51</v>
      </c>
      <c r="W253" s="4" t="s">
        <v>68</v>
      </c>
      <c r="X253" s="4" t="s">
        <v>313</v>
      </c>
      <c r="Y253" s="7" t="s">
        <v>197</v>
      </c>
      <c r="Z253" s="7"/>
      <c r="AA253" s="4" t="s">
        <v>46</v>
      </c>
      <c r="AB253" s="4" t="s">
        <v>47</v>
      </c>
      <c r="AC253" s="4" t="s">
        <v>136</v>
      </c>
      <c r="AD253" s="4" t="s">
        <v>137</v>
      </c>
      <c r="AE253" s="4" t="s">
        <v>48</v>
      </c>
      <c r="AF253" s="4" t="s">
        <v>41</v>
      </c>
      <c r="AG253" s="4" t="s">
        <v>665</v>
      </c>
    </row>
    <row r="254" spans="1:33" ht="16.5" customHeight="1" x14ac:dyDescent="0.2">
      <c r="A254" s="2" t="s">
        <v>31</v>
      </c>
      <c r="B254" s="5" t="s">
        <v>54</v>
      </c>
      <c r="C254" s="5"/>
      <c r="D254" s="5"/>
      <c r="E254" s="6" t="s">
        <v>33</v>
      </c>
      <c r="F254" s="6"/>
      <c r="G254" s="7" t="s">
        <v>660</v>
      </c>
      <c r="H254" s="7"/>
      <c r="I254" s="7"/>
      <c r="J254" s="3" t="s">
        <v>35</v>
      </c>
      <c r="K254" s="4" t="s">
        <v>248</v>
      </c>
      <c r="L254" s="4" t="s">
        <v>37</v>
      </c>
      <c r="N254" s="7" t="s">
        <v>707</v>
      </c>
      <c r="O254" s="7"/>
      <c r="P254" s="7" t="s">
        <v>708</v>
      </c>
      <c r="Q254" s="7"/>
      <c r="R254" s="7"/>
      <c r="S254" s="3" t="s">
        <v>40</v>
      </c>
      <c r="T254" s="7" t="s">
        <v>41</v>
      </c>
      <c r="U254" s="7"/>
      <c r="V254" s="4" t="s">
        <v>42</v>
      </c>
      <c r="W254" s="4" t="s">
        <v>709</v>
      </c>
      <c r="X254" s="4" t="s">
        <v>710</v>
      </c>
      <c r="Y254" s="7" t="s">
        <v>60</v>
      </c>
      <c r="Z254" s="7"/>
      <c r="AA254" s="4" t="s">
        <v>46</v>
      </c>
      <c r="AB254" s="4" t="s">
        <v>47</v>
      </c>
      <c r="AC254" s="4" t="s">
        <v>79</v>
      </c>
      <c r="AD254" s="4" t="s">
        <v>80</v>
      </c>
      <c r="AE254" s="4" t="s">
        <v>48</v>
      </c>
      <c r="AF254" s="4" t="s">
        <v>41</v>
      </c>
      <c r="AG254" s="4" t="s">
        <v>665</v>
      </c>
    </row>
    <row r="255" spans="1:33" ht="16.5" customHeight="1" x14ac:dyDescent="0.2">
      <c r="A255" s="2" t="s">
        <v>31</v>
      </c>
      <c r="B255" s="5" t="s">
        <v>54</v>
      </c>
      <c r="C255" s="5"/>
      <c r="D255" s="5"/>
      <c r="E255" s="6" t="s">
        <v>33</v>
      </c>
      <c r="F255" s="6"/>
      <c r="G255" s="7" t="s">
        <v>660</v>
      </c>
      <c r="H255" s="7"/>
      <c r="I255" s="7"/>
      <c r="J255" s="3" t="s">
        <v>35</v>
      </c>
      <c r="K255" s="4" t="s">
        <v>202</v>
      </c>
      <c r="L255" s="4" t="s">
        <v>93</v>
      </c>
      <c r="N255" s="7" t="s">
        <v>711</v>
      </c>
      <c r="O255" s="7"/>
      <c r="P255" s="7" t="s">
        <v>712</v>
      </c>
      <c r="Q255" s="7"/>
      <c r="R255" s="7"/>
      <c r="S255" s="3" t="s">
        <v>40</v>
      </c>
      <c r="T255" s="7" t="s">
        <v>41</v>
      </c>
      <c r="U255" s="7"/>
      <c r="V255" s="4" t="s">
        <v>42</v>
      </c>
      <c r="W255" s="4" t="s">
        <v>234</v>
      </c>
      <c r="X255" s="4" t="s">
        <v>235</v>
      </c>
      <c r="Y255" s="7" t="s">
        <v>197</v>
      </c>
      <c r="Z255" s="7"/>
      <c r="AA255" s="4" t="s">
        <v>46</v>
      </c>
      <c r="AB255" s="4" t="s">
        <v>47</v>
      </c>
      <c r="AC255" s="4" t="s">
        <v>259</v>
      </c>
      <c r="AD255" s="4" t="s">
        <v>62</v>
      </c>
      <c r="AE255" s="4" t="s">
        <v>48</v>
      </c>
      <c r="AF255" s="4" t="s">
        <v>41</v>
      </c>
      <c r="AG255" s="4" t="s">
        <v>665</v>
      </c>
    </row>
    <row r="256" spans="1:33" ht="16.5" customHeight="1" x14ac:dyDescent="0.2">
      <c r="A256" s="2" t="s">
        <v>31</v>
      </c>
      <c r="B256" s="5" t="s">
        <v>54</v>
      </c>
      <c r="C256" s="5"/>
      <c r="D256" s="5"/>
      <c r="E256" s="6" t="s">
        <v>33</v>
      </c>
      <c r="F256" s="6"/>
      <c r="G256" s="7" t="s">
        <v>660</v>
      </c>
      <c r="H256" s="7"/>
      <c r="I256" s="7"/>
      <c r="J256" s="3" t="s">
        <v>35</v>
      </c>
      <c r="K256" s="4" t="s">
        <v>202</v>
      </c>
      <c r="L256" s="4" t="s">
        <v>93</v>
      </c>
      <c r="N256" s="7" t="s">
        <v>711</v>
      </c>
      <c r="O256" s="7"/>
      <c r="P256" s="7" t="s">
        <v>712</v>
      </c>
      <c r="Q256" s="7"/>
      <c r="R256" s="7"/>
      <c r="S256" s="3" t="s">
        <v>40</v>
      </c>
      <c r="T256" s="7" t="s">
        <v>41</v>
      </c>
      <c r="U256" s="7"/>
      <c r="V256" s="4" t="s">
        <v>51</v>
      </c>
      <c r="W256" s="4" t="s">
        <v>234</v>
      </c>
      <c r="X256" s="4" t="s">
        <v>344</v>
      </c>
      <c r="Y256" s="7" t="s">
        <v>197</v>
      </c>
      <c r="Z256" s="7"/>
      <c r="AA256" s="4" t="s">
        <v>46</v>
      </c>
      <c r="AB256" s="4" t="s">
        <v>47</v>
      </c>
      <c r="AC256" s="4" t="s">
        <v>259</v>
      </c>
      <c r="AD256" s="4" t="s">
        <v>62</v>
      </c>
      <c r="AE256" s="4" t="s">
        <v>48</v>
      </c>
      <c r="AF256" s="4" t="s">
        <v>41</v>
      </c>
      <c r="AG256" s="4" t="s">
        <v>665</v>
      </c>
    </row>
    <row r="257" spans="1:33" ht="16.5" customHeight="1" x14ac:dyDescent="0.2">
      <c r="A257" s="2" t="s">
        <v>31</v>
      </c>
      <c r="B257" s="5" t="s">
        <v>54</v>
      </c>
      <c r="C257" s="5"/>
      <c r="D257" s="5"/>
      <c r="E257" s="6" t="s">
        <v>33</v>
      </c>
      <c r="F257" s="6"/>
      <c r="G257" s="7" t="s">
        <v>660</v>
      </c>
      <c r="H257" s="7"/>
      <c r="I257" s="7"/>
      <c r="J257" s="3" t="s">
        <v>35</v>
      </c>
      <c r="K257" s="4" t="s">
        <v>149</v>
      </c>
      <c r="L257" s="4" t="s">
        <v>280</v>
      </c>
      <c r="N257" s="7" t="s">
        <v>713</v>
      </c>
      <c r="O257" s="7"/>
      <c r="P257" s="7" t="s">
        <v>714</v>
      </c>
      <c r="Q257" s="7"/>
      <c r="R257" s="7"/>
      <c r="S257" s="3" t="s">
        <v>40</v>
      </c>
      <c r="T257" s="7" t="s">
        <v>41</v>
      </c>
      <c r="U257" s="7"/>
      <c r="V257" s="4" t="s">
        <v>42</v>
      </c>
      <c r="W257" s="4" t="s">
        <v>527</v>
      </c>
      <c r="X257" s="4" t="s">
        <v>528</v>
      </c>
      <c r="Y257" s="7" t="s">
        <v>78</v>
      </c>
      <c r="Z257" s="7"/>
      <c r="AA257" s="4" t="s">
        <v>46</v>
      </c>
      <c r="AB257" s="4" t="s">
        <v>47</v>
      </c>
      <c r="AC257" s="4" t="s">
        <v>136</v>
      </c>
      <c r="AD257" s="4" t="s">
        <v>324</v>
      </c>
      <c r="AE257" s="4" t="s">
        <v>48</v>
      </c>
      <c r="AF257" s="4" t="s">
        <v>41</v>
      </c>
      <c r="AG257" s="4" t="s">
        <v>665</v>
      </c>
    </row>
    <row r="258" spans="1:33" ht="16.5" customHeight="1" x14ac:dyDescent="0.2">
      <c r="A258" s="2" t="s">
        <v>31</v>
      </c>
      <c r="B258" s="5" t="s">
        <v>54</v>
      </c>
      <c r="C258" s="5"/>
      <c r="D258" s="5"/>
      <c r="E258" s="6" t="s">
        <v>33</v>
      </c>
      <c r="F258" s="6"/>
      <c r="G258" s="7" t="s">
        <v>660</v>
      </c>
      <c r="H258" s="7"/>
      <c r="I258" s="7"/>
      <c r="J258" s="3" t="s">
        <v>35</v>
      </c>
      <c r="K258" s="4" t="s">
        <v>143</v>
      </c>
      <c r="L258" s="4" t="s">
        <v>37</v>
      </c>
      <c r="N258" s="7" t="s">
        <v>715</v>
      </c>
      <c r="O258" s="7"/>
      <c r="P258" s="7" t="s">
        <v>716</v>
      </c>
      <c r="Q258" s="7"/>
      <c r="R258" s="7"/>
      <c r="S258" s="3" t="s">
        <v>40</v>
      </c>
      <c r="T258" s="7" t="s">
        <v>41</v>
      </c>
      <c r="U258" s="7"/>
      <c r="V258" s="4" t="s">
        <v>42</v>
      </c>
      <c r="W258" s="4" t="s">
        <v>527</v>
      </c>
      <c r="X258" s="4" t="s">
        <v>528</v>
      </c>
      <c r="Y258" s="7" t="s">
        <v>135</v>
      </c>
      <c r="Z258" s="7"/>
      <c r="AA258" s="4" t="s">
        <v>46</v>
      </c>
      <c r="AB258" s="4" t="s">
        <v>47</v>
      </c>
      <c r="AC258" s="4" t="s">
        <v>136</v>
      </c>
      <c r="AD258" s="4" t="s">
        <v>137</v>
      </c>
      <c r="AE258" s="4" t="s">
        <v>48</v>
      </c>
      <c r="AF258" s="4" t="s">
        <v>41</v>
      </c>
      <c r="AG258" s="4" t="s">
        <v>665</v>
      </c>
    </row>
    <row r="259" spans="1:33" ht="16.5" customHeight="1" x14ac:dyDescent="0.2">
      <c r="A259" s="2" t="s">
        <v>31</v>
      </c>
      <c r="B259" s="5" t="s">
        <v>54</v>
      </c>
      <c r="C259" s="5"/>
      <c r="D259" s="5"/>
      <c r="E259" s="6" t="s">
        <v>33</v>
      </c>
      <c r="F259" s="6"/>
      <c r="G259" s="7" t="s">
        <v>660</v>
      </c>
      <c r="H259" s="7"/>
      <c r="I259" s="7"/>
      <c r="J259" s="3" t="s">
        <v>35</v>
      </c>
      <c r="K259" s="4" t="s">
        <v>130</v>
      </c>
      <c r="L259" s="4" t="s">
        <v>37</v>
      </c>
      <c r="N259" s="7" t="s">
        <v>717</v>
      </c>
      <c r="O259" s="7"/>
      <c r="P259" s="7" t="s">
        <v>718</v>
      </c>
      <c r="Q259" s="7"/>
      <c r="R259" s="7"/>
      <c r="S259" s="3" t="s">
        <v>40</v>
      </c>
      <c r="T259" s="7" t="s">
        <v>41</v>
      </c>
      <c r="U259" s="7"/>
      <c r="V259" s="4" t="s">
        <v>42</v>
      </c>
      <c r="W259" s="4" t="s">
        <v>190</v>
      </c>
      <c r="X259" s="4" t="s">
        <v>191</v>
      </c>
      <c r="Y259" s="7" t="s">
        <v>135</v>
      </c>
      <c r="Z259" s="7"/>
      <c r="AA259" s="4" t="s">
        <v>46</v>
      </c>
      <c r="AB259" s="4" t="s">
        <v>47</v>
      </c>
      <c r="AC259" s="4" t="s">
        <v>72</v>
      </c>
      <c r="AD259" s="4" t="s">
        <v>41</v>
      </c>
      <c r="AE259" s="4" t="s">
        <v>48</v>
      </c>
      <c r="AF259" s="4" t="s">
        <v>41</v>
      </c>
      <c r="AG259" s="4" t="s">
        <v>665</v>
      </c>
    </row>
    <row r="260" spans="1:33" ht="16.5" customHeight="1" x14ac:dyDescent="0.2">
      <c r="A260" s="2" t="s">
        <v>31</v>
      </c>
      <c r="B260" s="5" t="s">
        <v>54</v>
      </c>
      <c r="C260" s="5"/>
      <c r="D260" s="5"/>
      <c r="E260" s="6" t="s">
        <v>33</v>
      </c>
      <c r="F260" s="6"/>
      <c r="G260" s="7" t="s">
        <v>660</v>
      </c>
      <c r="H260" s="7"/>
      <c r="I260" s="7"/>
      <c r="J260" s="3" t="s">
        <v>35</v>
      </c>
      <c r="K260" s="4" t="s">
        <v>130</v>
      </c>
      <c r="L260" s="4" t="s">
        <v>37</v>
      </c>
      <c r="N260" s="7" t="s">
        <v>717</v>
      </c>
      <c r="O260" s="7"/>
      <c r="P260" s="7" t="s">
        <v>718</v>
      </c>
      <c r="Q260" s="7"/>
      <c r="R260" s="7"/>
      <c r="S260" s="3" t="s">
        <v>40</v>
      </c>
      <c r="T260" s="7" t="s">
        <v>41</v>
      </c>
      <c r="U260" s="7"/>
      <c r="V260" s="4" t="s">
        <v>51</v>
      </c>
      <c r="W260" s="4" t="s">
        <v>190</v>
      </c>
      <c r="X260" s="4" t="s">
        <v>719</v>
      </c>
      <c r="Y260" s="7" t="s">
        <v>135</v>
      </c>
      <c r="Z260" s="7"/>
      <c r="AA260" s="4" t="s">
        <v>46</v>
      </c>
      <c r="AB260" s="4" t="s">
        <v>47</v>
      </c>
      <c r="AC260" s="4" t="s">
        <v>72</v>
      </c>
      <c r="AD260" s="4" t="s">
        <v>41</v>
      </c>
      <c r="AE260" s="4" t="s">
        <v>48</v>
      </c>
      <c r="AF260" s="4" t="s">
        <v>41</v>
      </c>
      <c r="AG260" s="4" t="s">
        <v>665</v>
      </c>
    </row>
    <row r="261" spans="1:33" ht="16.5" customHeight="1" x14ac:dyDescent="0.2">
      <c r="A261" s="2" t="s">
        <v>31</v>
      </c>
      <c r="B261" s="5" t="s">
        <v>54</v>
      </c>
      <c r="C261" s="5"/>
      <c r="D261" s="5"/>
      <c r="E261" s="6" t="s">
        <v>33</v>
      </c>
      <c r="F261" s="6"/>
      <c r="G261" s="7" t="s">
        <v>660</v>
      </c>
      <c r="H261" s="7"/>
      <c r="I261" s="7"/>
      <c r="J261" s="3" t="s">
        <v>35</v>
      </c>
      <c r="K261" s="4" t="s">
        <v>149</v>
      </c>
      <c r="L261" s="4" t="s">
        <v>93</v>
      </c>
      <c r="N261" s="7" t="s">
        <v>720</v>
      </c>
      <c r="O261" s="7"/>
      <c r="P261" s="7" t="s">
        <v>721</v>
      </c>
      <c r="Q261" s="7"/>
      <c r="R261" s="7"/>
      <c r="S261" s="3" t="s">
        <v>40</v>
      </c>
      <c r="T261" s="7" t="s">
        <v>41</v>
      </c>
      <c r="U261" s="7"/>
      <c r="V261" s="4" t="s">
        <v>42</v>
      </c>
      <c r="W261" s="4" t="s">
        <v>229</v>
      </c>
      <c r="X261" s="4" t="s">
        <v>446</v>
      </c>
      <c r="Y261" s="7" t="s">
        <v>78</v>
      </c>
      <c r="Z261" s="7"/>
      <c r="AA261" s="4" t="s">
        <v>46</v>
      </c>
      <c r="AB261" s="4" t="s">
        <v>47</v>
      </c>
      <c r="AC261" s="4" t="s">
        <v>136</v>
      </c>
      <c r="AD261" s="4" t="s">
        <v>148</v>
      </c>
      <c r="AE261" s="4" t="s">
        <v>48</v>
      </c>
      <c r="AF261" s="4" t="s">
        <v>41</v>
      </c>
      <c r="AG261" s="4" t="s">
        <v>665</v>
      </c>
    </row>
    <row r="262" spans="1:33" ht="16.5" customHeight="1" x14ac:dyDescent="0.2">
      <c r="A262" s="2" t="s">
        <v>31</v>
      </c>
      <c r="B262" s="5" t="s">
        <v>54</v>
      </c>
      <c r="C262" s="5"/>
      <c r="D262" s="5"/>
      <c r="E262" s="6" t="s">
        <v>33</v>
      </c>
      <c r="F262" s="6"/>
      <c r="G262" s="7" t="s">
        <v>660</v>
      </c>
      <c r="H262" s="7"/>
      <c r="I262" s="7"/>
      <c r="J262" s="3" t="s">
        <v>35</v>
      </c>
      <c r="K262" s="4" t="s">
        <v>149</v>
      </c>
      <c r="L262" s="4" t="s">
        <v>37</v>
      </c>
      <c r="N262" s="7" t="s">
        <v>722</v>
      </c>
      <c r="O262" s="7"/>
      <c r="P262" s="7" t="s">
        <v>723</v>
      </c>
      <c r="Q262" s="7"/>
      <c r="R262" s="7"/>
      <c r="S262" s="3" t="s">
        <v>40</v>
      </c>
      <c r="T262" s="7" t="s">
        <v>41</v>
      </c>
      <c r="U262" s="7"/>
      <c r="V262" s="4" t="s">
        <v>42</v>
      </c>
      <c r="W262" s="4" t="s">
        <v>158</v>
      </c>
      <c r="X262" s="4" t="s">
        <v>159</v>
      </c>
      <c r="Y262" s="7" t="s">
        <v>78</v>
      </c>
      <c r="Z262" s="7"/>
      <c r="AA262" s="4" t="s">
        <v>46</v>
      </c>
      <c r="AB262" s="4" t="s">
        <v>47</v>
      </c>
      <c r="AC262" s="4" t="s">
        <v>72</v>
      </c>
      <c r="AD262" s="4" t="s">
        <v>41</v>
      </c>
      <c r="AE262" s="4" t="s">
        <v>48</v>
      </c>
      <c r="AF262" s="4" t="s">
        <v>41</v>
      </c>
      <c r="AG262" s="4" t="s">
        <v>665</v>
      </c>
    </row>
    <row r="263" spans="1:33" ht="16.5" customHeight="1" x14ac:dyDescent="0.2">
      <c r="A263" s="2" t="s">
        <v>31</v>
      </c>
      <c r="B263" s="5" t="s">
        <v>108</v>
      </c>
      <c r="C263" s="5"/>
      <c r="D263" s="5"/>
      <c r="E263" s="6" t="s">
        <v>33</v>
      </c>
      <c r="F263" s="6"/>
      <c r="G263" s="7" t="s">
        <v>660</v>
      </c>
      <c r="H263" s="7"/>
      <c r="I263" s="7"/>
      <c r="J263" s="3" t="s">
        <v>109</v>
      </c>
      <c r="K263" s="4" t="s">
        <v>552</v>
      </c>
      <c r="N263" s="7" t="s">
        <v>722</v>
      </c>
      <c r="O263" s="7"/>
      <c r="P263" s="7" t="s">
        <v>723</v>
      </c>
      <c r="Q263" s="7"/>
      <c r="R263" s="7"/>
      <c r="S263" s="3" t="s">
        <v>40</v>
      </c>
      <c r="T263" s="7" t="s">
        <v>553</v>
      </c>
      <c r="U263" s="7"/>
      <c r="V263" s="4" t="s">
        <v>42</v>
      </c>
      <c r="W263" s="4" t="s">
        <v>58</v>
      </c>
      <c r="X263" s="4" t="s">
        <v>528</v>
      </c>
      <c r="Y263" s="7" t="s">
        <v>114</v>
      </c>
      <c r="Z263" s="7"/>
      <c r="AA263" s="4" t="s">
        <v>46</v>
      </c>
      <c r="AB263" s="4" t="s">
        <v>115</v>
      </c>
      <c r="AC263" s="4" t="s">
        <v>48</v>
      </c>
      <c r="AD263" s="4" t="s">
        <v>41</v>
      </c>
      <c r="AE263" s="4" t="s">
        <v>48</v>
      </c>
      <c r="AF263" s="4" t="s">
        <v>41</v>
      </c>
      <c r="AG263" s="4" t="s">
        <v>665</v>
      </c>
    </row>
    <row r="264" spans="1:33" ht="16.5" customHeight="1" x14ac:dyDescent="0.2">
      <c r="A264" s="2" t="s">
        <v>31</v>
      </c>
      <c r="B264" s="5" t="s">
        <v>54</v>
      </c>
      <c r="C264" s="5"/>
      <c r="D264" s="5"/>
      <c r="E264" s="6" t="s">
        <v>33</v>
      </c>
      <c r="F264" s="6"/>
      <c r="G264" s="7" t="s">
        <v>660</v>
      </c>
      <c r="H264" s="7"/>
      <c r="I264" s="7"/>
      <c r="J264" s="3" t="s">
        <v>35</v>
      </c>
      <c r="K264" s="4" t="s">
        <v>143</v>
      </c>
      <c r="L264" s="4" t="s">
        <v>231</v>
      </c>
      <c r="N264" s="7" t="s">
        <v>724</v>
      </c>
      <c r="O264" s="7"/>
      <c r="P264" s="7" t="s">
        <v>725</v>
      </c>
      <c r="Q264" s="7"/>
      <c r="R264" s="7"/>
      <c r="S264" s="3" t="s">
        <v>40</v>
      </c>
      <c r="T264" s="7" t="s">
        <v>41</v>
      </c>
      <c r="U264" s="7"/>
      <c r="V264" s="4" t="s">
        <v>42</v>
      </c>
      <c r="W264" s="4" t="s">
        <v>158</v>
      </c>
      <c r="X264" s="4" t="s">
        <v>159</v>
      </c>
      <c r="Y264" s="7" t="s">
        <v>135</v>
      </c>
      <c r="Z264" s="7"/>
      <c r="AA264" s="4" t="s">
        <v>46</v>
      </c>
      <c r="AB264" s="4" t="s">
        <v>47</v>
      </c>
      <c r="AC264" s="4" t="s">
        <v>136</v>
      </c>
      <c r="AD264" s="4" t="s">
        <v>447</v>
      </c>
      <c r="AE264" s="4" t="s">
        <v>48</v>
      </c>
      <c r="AF264" s="4" t="s">
        <v>41</v>
      </c>
      <c r="AG264" s="4" t="s">
        <v>665</v>
      </c>
    </row>
    <row r="265" spans="1:33" ht="16.5" customHeight="1" x14ac:dyDescent="0.2">
      <c r="A265" s="2" t="s">
        <v>31</v>
      </c>
      <c r="B265" s="5" t="s">
        <v>54</v>
      </c>
      <c r="C265" s="5"/>
      <c r="D265" s="5"/>
      <c r="E265" s="6" t="s">
        <v>33</v>
      </c>
      <c r="F265" s="6"/>
      <c r="G265" s="7" t="s">
        <v>660</v>
      </c>
      <c r="H265" s="7"/>
      <c r="I265" s="7"/>
      <c r="J265" s="3" t="s">
        <v>35</v>
      </c>
      <c r="K265" s="4" t="s">
        <v>97</v>
      </c>
      <c r="L265" s="4" t="s">
        <v>37</v>
      </c>
      <c r="N265" s="7" t="s">
        <v>726</v>
      </c>
      <c r="O265" s="7"/>
      <c r="P265" s="7" t="s">
        <v>727</v>
      </c>
      <c r="Q265" s="7"/>
      <c r="R265" s="7"/>
      <c r="S265" s="3" t="s">
        <v>40</v>
      </c>
      <c r="T265" s="7" t="s">
        <v>41</v>
      </c>
      <c r="U265" s="7"/>
      <c r="V265" s="4" t="s">
        <v>42</v>
      </c>
      <c r="W265" s="4" t="s">
        <v>158</v>
      </c>
      <c r="X265" s="4" t="s">
        <v>159</v>
      </c>
      <c r="Y265" s="7" t="s">
        <v>78</v>
      </c>
      <c r="Z265" s="7"/>
      <c r="AA265" s="4" t="s">
        <v>46</v>
      </c>
      <c r="AB265" s="4" t="s">
        <v>47</v>
      </c>
      <c r="AC265" s="4" t="s">
        <v>136</v>
      </c>
      <c r="AD265" s="4" t="s">
        <v>137</v>
      </c>
      <c r="AE265" s="4" t="s">
        <v>48</v>
      </c>
      <c r="AF265" s="4" t="s">
        <v>41</v>
      </c>
      <c r="AG265" s="4" t="s">
        <v>665</v>
      </c>
    </row>
    <row r="266" spans="1:33" ht="16.5" customHeight="1" x14ac:dyDescent="0.2">
      <c r="A266" s="2" t="s">
        <v>31</v>
      </c>
      <c r="B266" s="5" t="s">
        <v>54</v>
      </c>
      <c r="C266" s="5"/>
      <c r="D266" s="5"/>
      <c r="E266" s="6" t="s">
        <v>33</v>
      </c>
      <c r="F266" s="6"/>
      <c r="G266" s="7" t="s">
        <v>660</v>
      </c>
      <c r="H266" s="7"/>
      <c r="I266" s="7"/>
      <c r="J266" s="3" t="s">
        <v>35</v>
      </c>
      <c r="K266" s="4" t="s">
        <v>55</v>
      </c>
      <c r="L266" s="4" t="s">
        <v>37</v>
      </c>
      <c r="N266" s="7" t="s">
        <v>728</v>
      </c>
      <c r="O266" s="7"/>
      <c r="P266" s="7" t="s">
        <v>729</v>
      </c>
      <c r="Q266" s="7"/>
      <c r="R266" s="7"/>
      <c r="S266" s="3" t="s">
        <v>40</v>
      </c>
      <c r="T266" s="7" t="s">
        <v>41</v>
      </c>
      <c r="U266" s="7"/>
      <c r="V266" s="4" t="s">
        <v>42</v>
      </c>
      <c r="W266" s="4" t="s">
        <v>730</v>
      </c>
      <c r="X266" s="4" t="s">
        <v>682</v>
      </c>
      <c r="Y266" s="7" t="s">
        <v>60</v>
      </c>
      <c r="Z266" s="7"/>
      <c r="AA266" s="4" t="s">
        <v>46</v>
      </c>
      <c r="AB266" s="4" t="s">
        <v>47</v>
      </c>
      <c r="AC266" s="4" t="s">
        <v>79</v>
      </c>
      <c r="AD266" s="4" t="s">
        <v>80</v>
      </c>
      <c r="AE266" s="4" t="s">
        <v>48</v>
      </c>
      <c r="AF266" s="4" t="s">
        <v>41</v>
      </c>
      <c r="AG266" s="4" t="s">
        <v>665</v>
      </c>
    </row>
    <row r="267" spans="1:33" ht="16.5" customHeight="1" x14ac:dyDescent="0.2">
      <c r="A267" s="2" t="s">
        <v>31</v>
      </c>
      <c r="B267" s="5" t="s">
        <v>54</v>
      </c>
      <c r="C267" s="5"/>
      <c r="D267" s="5"/>
      <c r="E267" s="6" t="s">
        <v>33</v>
      </c>
      <c r="F267" s="6"/>
      <c r="G267" s="7" t="s">
        <v>660</v>
      </c>
      <c r="H267" s="7"/>
      <c r="I267" s="7"/>
      <c r="J267" s="3" t="s">
        <v>35</v>
      </c>
      <c r="K267" s="4" t="s">
        <v>409</v>
      </c>
      <c r="L267" s="4" t="s">
        <v>93</v>
      </c>
      <c r="N267" s="7" t="s">
        <v>731</v>
      </c>
      <c r="O267" s="7"/>
      <c r="P267" s="7" t="s">
        <v>732</v>
      </c>
      <c r="Q267" s="7"/>
      <c r="R267" s="7"/>
      <c r="S267" s="3" t="s">
        <v>40</v>
      </c>
      <c r="T267" s="7" t="s">
        <v>41</v>
      </c>
      <c r="U267" s="7"/>
      <c r="V267" s="4" t="s">
        <v>42</v>
      </c>
      <c r="W267" s="4" t="s">
        <v>730</v>
      </c>
      <c r="X267" s="4" t="s">
        <v>682</v>
      </c>
      <c r="Y267" s="7" t="s">
        <v>60</v>
      </c>
      <c r="Z267" s="7"/>
      <c r="AA267" s="4" t="s">
        <v>46</v>
      </c>
      <c r="AB267" s="4" t="s">
        <v>47</v>
      </c>
      <c r="AC267" s="4" t="s">
        <v>79</v>
      </c>
      <c r="AD267" s="4" t="s">
        <v>96</v>
      </c>
      <c r="AE267" s="4" t="s">
        <v>48</v>
      </c>
      <c r="AF267" s="4" t="s">
        <v>41</v>
      </c>
      <c r="AG267" s="4" t="s">
        <v>665</v>
      </c>
    </row>
    <row r="268" spans="1:33" ht="16.5" customHeight="1" x14ac:dyDescent="0.2">
      <c r="A268" s="2" t="s">
        <v>31</v>
      </c>
      <c r="B268" s="5" t="s">
        <v>54</v>
      </c>
      <c r="C268" s="5"/>
      <c r="D268" s="5"/>
      <c r="E268" s="6" t="s">
        <v>33</v>
      </c>
      <c r="F268" s="6"/>
      <c r="G268" s="7" t="s">
        <v>660</v>
      </c>
      <c r="H268" s="7"/>
      <c r="I268" s="7"/>
      <c r="J268" s="3" t="s">
        <v>35</v>
      </c>
      <c r="K268" s="4" t="s">
        <v>149</v>
      </c>
      <c r="L268" s="4" t="s">
        <v>37</v>
      </c>
      <c r="N268" s="7" t="s">
        <v>733</v>
      </c>
      <c r="O268" s="7"/>
      <c r="P268" s="7" t="s">
        <v>734</v>
      </c>
      <c r="Q268" s="7"/>
      <c r="R268" s="7"/>
      <c r="S268" s="3" t="s">
        <v>40</v>
      </c>
      <c r="T268" s="7" t="s">
        <v>41</v>
      </c>
      <c r="U268" s="7"/>
      <c r="V268" s="4" t="s">
        <v>42</v>
      </c>
      <c r="W268" s="4" t="s">
        <v>154</v>
      </c>
      <c r="X268" s="4" t="s">
        <v>155</v>
      </c>
      <c r="Y268" s="7" t="s">
        <v>78</v>
      </c>
      <c r="Z268" s="7"/>
      <c r="AA268" s="4" t="s">
        <v>46</v>
      </c>
      <c r="AB268" s="4" t="s">
        <v>47</v>
      </c>
      <c r="AC268" s="4" t="s">
        <v>136</v>
      </c>
      <c r="AD268" s="4" t="s">
        <v>137</v>
      </c>
      <c r="AE268" s="4" t="s">
        <v>48</v>
      </c>
      <c r="AF268" s="4" t="s">
        <v>41</v>
      </c>
      <c r="AG268" s="4" t="s">
        <v>665</v>
      </c>
    </row>
    <row r="269" spans="1:33" ht="16.5" customHeight="1" x14ac:dyDescent="0.2">
      <c r="A269" s="2" t="s">
        <v>31</v>
      </c>
      <c r="B269" s="5" t="s">
        <v>54</v>
      </c>
      <c r="C269" s="5"/>
      <c r="D269" s="5"/>
      <c r="E269" s="6" t="s">
        <v>33</v>
      </c>
      <c r="F269" s="6"/>
      <c r="G269" s="7" t="s">
        <v>660</v>
      </c>
      <c r="H269" s="7"/>
      <c r="I269" s="7"/>
      <c r="J269" s="3" t="s">
        <v>35</v>
      </c>
      <c r="K269" s="4" t="s">
        <v>620</v>
      </c>
      <c r="L269" s="4" t="s">
        <v>443</v>
      </c>
      <c r="N269" s="7" t="s">
        <v>735</v>
      </c>
      <c r="O269" s="7"/>
      <c r="P269" s="7" t="s">
        <v>736</v>
      </c>
      <c r="Q269" s="7"/>
      <c r="R269" s="7"/>
      <c r="S269" s="3" t="s">
        <v>40</v>
      </c>
      <c r="T269" s="7" t="s">
        <v>41</v>
      </c>
      <c r="U269" s="7"/>
      <c r="V269" s="4" t="s">
        <v>42</v>
      </c>
      <c r="W269" s="4" t="s">
        <v>737</v>
      </c>
      <c r="X269" s="4" t="s">
        <v>738</v>
      </c>
      <c r="Y269" s="7" t="s">
        <v>78</v>
      </c>
      <c r="Z269" s="7"/>
      <c r="AA269" s="4" t="s">
        <v>46</v>
      </c>
      <c r="AB269" s="4" t="s">
        <v>47</v>
      </c>
      <c r="AC269" s="4" t="s">
        <v>136</v>
      </c>
      <c r="AD269" s="4" t="s">
        <v>464</v>
      </c>
      <c r="AE269" s="4" t="s">
        <v>48</v>
      </c>
      <c r="AF269" s="4" t="s">
        <v>41</v>
      </c>
      <c r="AG269" s="4" t="s">
        <v>665</v>
      </c>
    </row>
    <row r="270" spans="1:33" ht="16.5" customHeight="1" x14ac:dyDescent="0.2">
      <c r="A270" s="2" t="s">
        <v>31</v>
      </c>
      <c r="B270" s="5" t="s">
        <v>54</v>
      </c>
      <c r="C270" s="5"/>
      <c r="D270" s="5"/>
      <c r="E270" s="6" t="s">
        <v>33</v>
      </c>
      <c r="F270" s="6"/>
      <c r="G270" s="7" t="s">
        <v>660</v>
      </c>
      <c r="H270" s="7"/>
      <c r="I270" s="7"/>
      <c r="J270" s="3" t="s">
        <v>35</v>
      </c>
      <c r="K270" s="4" t="s">
        <v>55</v>
      </c>
      <c r="L270" s="4" t="s">
        <v>37</v>
      </c>
      <c r="N270" s="7" t="s">
        <v>739</v>
      </c>
      <c r="O270" s="7"/>
      <c r="P270" s="7" t="s">
        <v>740</v>
      </c>
      <c r="Q270" s="7"/>
      <c r="R270" s="7"/>
      <c r="S270" s="3" t="s">
        <v>40</v>
      </c>
      <c r="T270" s="7" t="s">
        <v>41</v>
      </c>
      <c r="U270" s="7"/>
      <c r="V270" s="4" t="s">
        <v>42</v>
      </c>
      <c r="W270" s="4" t="s">
        <v>263</v>
      </c>
      <c r="X270" s="4" t="s">
        <v>264</v>
      </c>
      <c r="Y270" s="7" t="s">
        <v>60</v>
      </c>
      <c r="Z270" s="7"/>
      <c r="AA270" s="4" t="s">
        <v>46</v>
      </c>
      <c r="AB270" s="4" t="s">
        <v>47</v>
      </c>
      <c r="AC270" s="4" t="s">
        <v>79</v>
      </c>
      <c r="AD270" s="4" t="s">
        <v>80</v>
      </c>
      <c r="AE270" s="4" t="s">
        <v>48</v>
      </c>
      <c r="AF270" s="4" t="s">
        <v>41</v>
      </c>
      <c r="AG270" s="4" t="s">
        <v>665</v>
      </c>
    </row>
    <row r="271" spans="1:33" ht="16.5" customHeight="1" x14ac:dyDescent="0.2">
      <c r="A271" s="2" t="s">
        <v>31</v>
      </c>
      <c r="B271" s="5" t="s">
        <v>54</v>
      </c>
      <c r="C271" s="5"/>
      <c r="D271" s="5"/>
      <c r="E271" s="6" t="s">
        <v>33</v>
      </c>
      <c r="F271" s="6"/>
      <c r="G271" s="7" t="s">
        <v>660</v>
      </c>
      <c r="H271" s="7"/>
      <c r="I271" s="7"/>
      <c r="J271" s="3" t="s">
        <v>35</v>
      </c>
      <c r="K271" s="4" t="s">
        <v>409</v>
      </c>
      <c r="L271" s="4" t="s">
        <v>443</v>
      </c>
      <c r="N271" s="7" t="s">
        <v>741</v>
      </c>
      <c r="O271" s="7"/>
      <c r="P271" s="7" t="s">
        <v>742</v>
      </c>
      <c r="Q271" s="7"/>
      <c r="R271" s="7"/>
      <c r="S271" s="3" t="s">
        <v>40</v>
      </c>
      <c r="T271" s="7" t="s">
        <v>41</v>
      </c>
      <c r="U271" s="7"/>
      <c r="V271" s="4" t="s">
        <v>42</v>
      </c>
      <c r="W271" s="4" t="s">
        <v>737</v>
      </c>
      <c r="X271" s="4" t="s">
        <v>738</v>
      </c>
      <c r="Y271" s="7" t="s">
        <v>60</v>
      </c>
      <c r="Z271" s="7"/>
      <c r="AA271" s="4" t="s">
        <v>46</v>
      </c>
      <c r="AB271" s="4" t="s">
        <v>47</v>
      </c>
      <c r="AC271" s="4" t="s">
        <v>79</v>
      </c>
      <c r="AD271" s="4" t="s">
        <v>447</v>
      </c>
      <c r="AE271" s="4" t="s">
        <v>48</v>
      </c>
      <c r="AF271" s="4" t="s">
        <v>41</v>
      </c>
      <c r="AG271" s="4" t="s">
        <v>665</v>
      </c>
    </row>
    <row r="272" spans="1:33" ht="16.5" customHeight="1" x14ac:dyDescent="0.2">
      <c r="A272" s="2" t="s">
        <v>31</v>
      </c>
      <c r="B272" s="5" t="s">
        <v>54</v>
      </c>
      <c r="C272" s="5"/>
      <c r="D272" s="5"/>
      <c r="E272" s="6" t="s">
        <v>33</v>
      </c>
      <c r="F272" s="6"/>
      <c r="G272" s="7" t="s">
        <v>660</v>
      </c>
      <c r="H272" s="7"/>
      <c r="I272" s="7"/>
      <c r="J272" s="3" t="s">
        <v>35</v>
      </c>
      <c r="K272" s="4" t="s">
        <v>409</v>
      </c>
      <c r="L272" s="4" t="s">
        <v>37</v>
      </c>
      <c r="N272" s="7" t="s">
        <v>743</v>
      </c>
      <c r="O272" s="7"/>
      <c r="P272" s="7" t="s">
        <v>744</v>
      </c>
      <c r="Q272" s="7"/>
      <c r="R272" s="7"/>
      <c r="S272" s="3" t="s">
        <v>40</v>
      </c>
      <c r="T272" s="7" t="s">
        <v>41</v>
      </c>
      <c r="U272" s="7"/>
      <c r="V272" s="4" t="s">
        <v>42</v>
      </c>
      <c r="W272" s="4" t="s">
        <v>527</v>
      </c>
      <c r="X272" s="4" t="s">
        <v>528</v>
      </c>
      <c r="Y272" s="7" t="s">
        <v>60</v>
      </c>
      <c r="Z272" s="7"/>
      <c r="AA272" s="4" t="s">
        <v>46</v>
      </c>
      <c r="AB272" s="4" t="s">
        <v>47</v>
      </c>
      <c r="AC272" s="4" t="s">
        <v>79</v>
      </c>
      <c r="AD272" s="4" t="s">
        <v>80</v>
      </c>
      <c r="AE272" s="4" t="s">
        <v>48</v>
      </c>
      <c r="AF272" s="4" t="s">
        <v>41</v>
      </c>
      <c r="AG272" s="4" t="s">
        <v>665</v>
      </c>
    </row>
    <row r="273" spans="1:33" ht="16.5" customHeight="1" x14ac:dyDescent="0.2">
      <c r="A273" s="2" t="s">
        <v>31</v>
      </c>
      <c r="B273" s="5" t="s">
        <v>54</v>
      </c>
      <c r="C273" s="5"/>
      <c r="D273" s="5"/>
      <c r="E273" s="6" t="s">
        <v>33</v>
      </c>
      <c r="F273" s="6"/>
      <c r="G273" s="7" t="s">
        <v>660</v>
      </c>
      <c r="H273" s="7"/>
      <c r="I273" s="7"/>
      <c r="J273" s="3" t="s">
        <v>35</v>
      </c>
      <c r="K273" s="4" t="s">
        <v>73</v>
      </c>
      <c r="L273" s="4" t="s">
        <v>37</v>
      </c>
      <c r="N273" s="7" t="s">
        <v>745</v>
      </c>
      <c r="O273" s="7"/>
      <c r="P273" s="7" t="s">
        <v>746</v>
      </c>
      <c r="Q273" s="7"/>
      <c r="R273" s="7"/>
      <c r="S273" s="3" t="s">
        <v>40</v>
      </c>
      <c r="T273" s="7" t="s">
        <v>41</v>
      </c>
      <c r="U273" s="7"/>
      <c r="V273" s="4" t="s">
        <v>42</v>
      </c>
      <c r="W273" s="4" t="s">
        <v>58</v>
      </c>
      <c r="X273" s="4" t="s">
        <v>59</v>
      </c>
      <c r="Y273" s="7" t="s">
        <v>78</v>
      </c>
      <c r="Z273" s="7"/>
      <c r="AA273" s="4" t="s">
        <v>46</v>
      </c>
      <c r="AB273" s="4" t="s">
        <v>47</v>
      </c>
      <c r="AC273" s="4" t="s">
        <v>79</v>
      </c>
      <c r="AD273" s="4" t="s">
        <v>80</v>
      </c>
      <c r="AE273" s="4" t="s">
        <v>48</v>
      </c>
      <c r="AF273" s="4" t="s">
        <v>41</v>
      </c>
      <c r="AG273" s="4" t="s">
        <v>665</v>
      </c>
    </row>
    <row r="274" spans="1:33" ht="16.5" customHeight="1" x14ac:dyDescent="0.2">
      <c r="A274" s="2" t="s">
        <v>31</v>
      </c>
      <c r="B274" s="5" t="s">
        <v>54</v>
      </c>
      <c r="C274" s="5"/>
      <c r="D274" s="5"/>
      <c r="E274" s="6" t="s">
        <v>33</v>
      </c>
      <c r="F274" s="6"/>
      <c r="G274" s="7" t="s">
        <v>660</v>
      </c>
      <c r="H274" s="7"/>
      <c r="I274" s="7"/>
      <c r="J274" s="3" t="s">
        <v>35</v>
      </c>
      <c r="K274" s="4" t="s">
        <v>55</v>
      </c>
      <c r="L274" s="4" t="s">
        <v>443</v>
      </c>
      <c r="N274" s="7" t="s">
        <v>747</v>
      </c>
      <c r="O274" s="7"/>
      <c r="P274" s="7" t="s">
        <v>748</v>
      </c>
      <c r="Q274" s="7"/>
      <c r="R274" s="7"/>
      <c r="S274" s="3" t="s">
        <v>40</v>
      </c>
      <c r="T274" s="7" t="s">
        <v>41</v>
      </c>
      <c r="U274" s="7"/>
      <c r="V274" s="4" t="s">
        <v>42</v>
      </c>
      <c r="W274" s="4" t="s">
        <v>527</v>
      </c>
      <c r="X274" s="4" t="s">
        <v>528</v>
      </c>
      <c r="Y274" s="7" t="s">
        <v>60</v>
      </c>
      <c r="Z274" s="7"/>
      <c r="AA274" s="4" t="s">
        <v>46</v>
      </c>
      <c r="AB274" s="4" t="s">
        <v>47</v>
      </c>
      <c r="AC274" s="4" t="s">
        <v>79</v>
      </c>
      <c r="AD274" s="4" t="s">
        <v>447</v>
      </c>
      <c r="AE274" s="4" t="s">
        <v>48</v>
      </c>
      <c r="AF274" s="4" t="s">
        <v>41</v>
      </c>
      <c r="AG274" s="4" t="s">
        <v>665</v>
      </c>
    </row>
    <row r="275" spans="1:33" ht="16.5" customHeight="1" x14ac:dyDescent="0.2">
      <c r="A275" s="2" t="s">
        <v>31</v>
      </c>
      <c r="B275" s="5" t="s">
        <v>54</v>
      </c>
      <c r="C275" s="5"/>
      <c r="D275" s="5"/>
      <c r="E275" s="6" t="s">
        <v>33</v>
      </c>
      <c r="F275" s="6"/>
      <c r="G275" s="7" t="s">
        <v>660</v>
      </c>
      <c r="H275" s="7"/>
      <c r="I275" s="7"/>
      <c r="J275" s="3" t="s">
        <v>35</v>
      </c>
      <c r="K275" s="4" t="s">
        <v>409</v>
      </c>
      <c r="L275" s="4" t="s">
        <v>37</v>
      </c>
      <c r="N275" s="7" t="s">
        <v>749</v>
      </c>
      <c r="O275" s="7"/>
      <c r="P275" s="7" t="s">
        <v>750</v>
      </c>
      <c r="Q275" s="7"/>
      <c r="R275" s="7"/>
      <c r="S275" s="3" t="s">
        <v>40</v>
      </c>
      <c r="T275" s="7" t="s">
        <v>41</v>
      </c>
      <c r="U275" s="7"/>
      <c r="V275" s="4" t="s">
        <v>42</v>
      </c>
      <c r="W275" s="4" t="s">
        <v>207</v>
      </c>
      <c r="X275" s="4" t="s">
        <v>208</v>
      </c>
      <c r="Y275" s="7" t="s">
        <v>60</v>
      </c>
      <c r="Z275" s="7"/>
      <c r="AA275" s="4" t="s">
        <v>46</v>
      </c>
      <c r="AB275" s="4" t="s">
        <v>47</v>
      </c>
      <c r="AC275" s="4" t="s">
        <v>79</v>
      </c>
      <c r="AD275" s="4" t="s">
        <v>80</v>
      </c>
      <c r="AE275" s="4" t="s">
        <v>48</v>
      </c>
      <c r="AF275" s="4" t="s">
        <v>41</v>
      </c>
      <c r="AG275" s="4" t="s">
        <v>665</v>
      </c>
    </row>
    <row r="276" spans="1:33" ht="16.5" customHeight="1" x14ac:dyDescent="0.2">
      <c r="A276" s="2" t="s">
        <v>31</v>
      </c>
      <c r="B276" s="5" t="s">
        <v>54</v>
      </c>
      <c r="C276" s="5"/>
      <c r="D276" s="5"/>
      <c r="E276" s="6" t="s">
        <v>33</v>
      </c>
      <c r="F276" s="6"/>
      <c r="G276" s="7" t="s">
        <v>660</v>
      </c>
      <c r="H276" s="7"/>
      <c r="I276" s="7"/>
      <c r="J276" s="3" t="s">
        <v>35</v>
      </c>
      <c r="K276" s="4" t="s">
        <v>409</v>
      </c>
      <c r="L276" s="4" t="s">
        <v>588</v>
      </c>
      <c r="N276" s="7" t="s">
        <v>749</v>
      </c>
      <c r="O276" s="7"/>
      <c r="P276" s="7" t="s">
        <v>750</v>
      </c>
      <c r="Q276" s="7"/>
      <c r="R276" s="7"/>
      <c r="S276" s="3" t="s">
        <v>40</v>
      </c>
      <c r="T276" s="7" t="s">
        <v>41</v>
      </c>
      <c r="U276" s="7"/>
      <c r="V276" s="4" t="s">
        <v>42</v>
      </c>
      <c r="W276" s="4" t="s">
        <v>207</v>
      </c>
      <c r="X276" s="4" t="s">
        <v>208</v>
      </c>
      <c r="Y276" s="7" t="s">
        <v>60</v>
      </c>
      <c r="Z276" s="7"/>
      <c r="AA276" s="4" t="s">
        <v>46</v>
      </c>
      <c r="AB276" s="4" t="s">
        <v>47</v>
      </c>
      <c r="AC276" s="4" t="s">
        <v>79</v>
      </c>
      <c r="AD276" s="4" t="s">
        <v>591</v>
      </c>
      <c r="AE276" s="4" t="s">
        <v>48</v>
      </c>
      <c r="AF276" s="4" t="s">
        <v>41</v>
      </c>
      <c r="AG276" s="4" t="s">
        <v>665</v>
      </c>
    </row>
    <row r="277" spans="1:33" ht="16.5" customHeight="1" x14ac:dyDescent="0.2">
      <c r="A277" s="2" t="s">
        <v>31</v>
      </c>
      <c r="B277" s="5" t="s">
        <v>54</v>
      </c>
      <c r="C277" s="5"/>
      <c r="D277" s="5"/>
      <c r="E277" s="6" t="s">
        <v>33</v>
      </c>
      <c r="F277" s="6"/>
      <c r="G277" s="7" t="s">
        <v>660</v>
      </c>
      <c r="H277" s="7"/>
      <c r="I277" s="7"/>
      <c r="J277" s="3" t="s">
        <v>35</v>
      </c>
      <c r="K277" s="4" t="s">
        <v>409</v>
      </c>
      <c r="L277" s="4" t="s">
        <v>588</v>
      </c>
      <c r="N277" s="7" t="s">
        <v>749</v>
      </c>
      <c r="O277" s="7"/>
      <c r="P277" s="7" t="s">
        <v>750</v>
      </c>
      <c r="Q277" s="7"/>
      <c r="R277" s="7"/>
      <c r="S277" s="3" t="s">
        <v>40</v>
      </c>
      <c r="T277" s="7" t="s">
        <v>41</v>
      </c>
      <c r="U277" s="7"/>
      <c r="V277" s="4" t="s">
        <v>51</v>
      </c>
      <c r="W277" s="4" t="s">
        <v>207</v>
      </c>
      <c r="X277" s="4" t="s">
        <v>275</v>
      </c>
      <c r="Y277" s="7" t="s">
        <v>60</v>
      </c>
      <c r="Z277" s="7"/>
      <c r="AA277" s="4" t="s">
        <v>46</v>
      </c>
      <c r="AB277" s="4" t="s">
        <v>47</v>
      </c>
      <c r="AC277" s="4" t="s">
        <v>79</v>
      </c>
      <c r="AD277" s="4" t="s">
        <v>591</v>
      </c>
      <c r="AE277" s="4" t="s">
        <v>48</v>
      </c>
      <c r="AF277" s="4" t="s">
        <v>41</v>
      </c>
      <c r="AG277" s="4" t="s">
        <v>665</v>
      </c>
    </row>
    <row r="278" spans="1:33" ht="16.5" customHeight="1" x14ac:dyDescent="0.2">
      <c r="A278" s="2" t="s">
        <v>31</v>
      </c>
      <c r="B278" s="5" t="s">
        <v>108</v>
      </c>
      <c r="C278" s="5"/>
      <c r="D278" s="5"/>
      <c r="E278" s="6" t="s">
        <v>33</v>
      </c>
      <c r="F278" s="6"/>
      <c r="G278" s="7" t="s">
        <v>660</v>
      </c>
      <c r="H278" s="7"/>
      <c r="I278" s="7"/>
      <c r="J278" s="3" t="s">
        <v>109</v>
      </c>
      <c r="K278" s="4" t="s">
        <v>558</v>
      </c>
      <c r="N278" s="7" t="s">
        <v>749</v>
      </c>
      <c r="O278" s="7"/>
      <c r="P278" s="7" t="s">
        <v>750</v>
      </c>
      <c r="Q278" s="7"/>
      <c r="R278" s="7"/>
      <c r="S278" s="3" t="s">
        <v>40</v>
      </c>
      <c r="T278" s="7" t="s">
        <v>751</v>
      </c>
      <c r="U278" s="7"/>
      <c r="V278" s="4" t="s">
        <v>42</v>
      </c>
      <c r="W278" s="4" t="s">
        <v>58</v>
      </c>
      <c r="X278" s="4" t="s">
        <v>208</v>
      </c>
      <c r="Y278" s="7" t="s">
        <v>114</v>
      </c>
      <c r="Z278" s="7"/>
      <c r="AA278" s="4" t="s">
        <v>46</v>
      </c>
      <c r="AB278" s="4" t="s">
        <v>115</v>
      </c>
      <c r="AC278" s="4" t="s">
        <v>243</v>
      </c>
      <c r="AD278" s="4" t="s">
        <v>752</v>
      </c>
      <c r="AE278" s="4" t="s">
        <v>48</v>
      </c>
      <c r="AF278" s="4" t="s">
        <v>41</v>
      </c>
      <c r="AG278" s="4" t="s">
        <v>665</v>
      </c>
    </row>
    <row r="279" spans="1:33" ht="16.5" customHeight="1" x14ac:dyDescent="0.2">
      <c r="A279" s="2" t="s">
        <v>31</v>
      </c>
      <c r="B279" s="5" t="s">
        <v>54</v>
      </c>
      <c r="C279" s="5"/>
      <c r="D279" s="5"/>
      <c r="E279" s="6" t="s">
        <v>33</v>
      </c>
      <c r="F279" s="6"/>
      <c r="G279" s="7" t="s">
        <v>660</v>
      </c>
      <c r="H279" s="7"/>
      <c r="I279" s="7"/>
      <c r="J279" s="3" t="s">
        <v>35</v>
      </c>
      <c r="K279" s="4" t="s">
        <v>97</v>
      </c>
      <c r="L279" s="4" t="s">
        <v>93</v>
      </c>
      <c r="N279" s="7" t="s">
        <v>753</v>
      </c>
      <c r="O279" s="7"/>
      <c r="P279" s="7" t="s">
        <v>754</v>
      </c>
      <c r="Q279" s="7"/>
      <c r="R279" s="7"/>
      <c r="S279" s="3" t="s">
        <v>40</v>
      </c>
      <c r="T279" s="7" t="s">
        <v>41</v>
      </c>
      <c r="U279" s="7"/>
      <c r="V279" s="4" t="s">
        <v>51</v>
      </c>
      <c r="W279" s="4" t="s">
        <v>527</v>
      </c>
      <c r="X279" s="4" t="s">
        <v>755</v>
      </c>
      <c r="Y279" s="7" t="s">
        <v>78</v>
      </c>
      <c r="Z279" s="7"/>
      <c r="AA279" s="4" t="s">
        <v>46</v>
      </c>
      <c r="AB279" s="4" t="s">
        <v>47</v>
      </c>
      <c r="AC279" s="4" t="s">
        <v>72</v>
      </c>
      <c r="AD279" s="4" t="s">
        <v>41</v>
      </c>
      <c r="AE279" s="4" t="s">
        <v>48</v>
      </c>
      <c r="AF279" s="4" t="s">
        <v>41</v>
      </c>
      <c r="AG279" s="4" t="s">
        <v>665</v>
      </c>
    </row>
    <row r="280" spans="1:33" ht="16.5" customHeight="1" x14ac:dyDescent="0.2">
      <c r="A280" s="2" t="s">
        <v>31</v>
      </c>
      <c r="B280" s="5" t="s">
        <v>54</v>
      </c>
      <c r="C280" s="5"/>
      <c r="D280" s="5"/>
      <c r="E280" s="6" t="s">
        <v>33</v>
      </c>
      <c r="F280" s="6"/>
      <c r="G280" s="7" t="s">
        <v>660</v>
      </c>
      <c r="H280" s="7"/>
      <c r="I280" s="7"/>
      <c r="J280" s="3" t="s">
        <v>35</v>
      </c>
      <c r="K280" s="4" t="s">
        <v>97</v>
      </c>
      <c r="L280" s="4" t="s">
        <v>37</v>
      </c>
      <c r="N280" s="7" t="s">
        <v>756</v>
      </c>
      <c r="O280" s="7"/>
      <c r="P280" s="7" t="s">
        <v>757</v>
      </c>
      <c r="Q280" s="7"/>
      <c r="R280" s="7"/>
      <c r="S280" s="3" t="s">
        <v>40</v>
      </c>
      <c r="T280" s="7" t="s">
        <v>41</v>
      </c>
      <c r="U280" s="7"/>
      <c r="V280" s="4" t="s">
        <v>42</v>
      </c>
      <c r="W280" s="4" t="s">
        <v>323</v>
      </c>
      <c r="X280" s="4" t="s">
        <v>52</v>
      </c>
      <c r="Y280" s="7" t="s">
        <v>78</v>
      </c>
      <c r="Z280" s="7"/>
      <c r="AA280" s="4" t="s">
        <v>46</v>
      </c>
      <c r="AB280" s="4" t="s">
        <v>47</v>
      </c>
      <c r="AC280" s="4" t="s">
        <v>136</v>
      </c>
      <c r="AD280" s="4" t="s">
        <v>137</v>
      </c>
      <c r="AE280" s="4" t="s">
        <v>48</v>
      </c>
      <c r="AF280" s="4" t="s">
        <v>41</v>
      </c>
      <c r="AG280" s="4" t="s">
        <v>665</v>
      </c>
    </row>
    <row r="281" spans="1:33" ht="16.5" customHeight="1" x14ac:dyDescent="0.2">
      <c r="A281" s="2" t="s">
        <v>31</v>
      </c>
      <c r="B281" s="5" t="s">
        <v>54</v>
      </c>
      <c r="C281" s="5"/>
      <c r="D281" s="5"/>
      <c r="E281" s="6" t="s">
        <v>33</v>
      </c>
      <c r="F281" s="6"/>
      <c r="G281" s="7" t="s">
        <v>660</v>
      </c>
      <c r="H281" s="7"/>
      <c r="I281" s="7"/>
      <c r="J281" s="3" t="s">
        <v>35</v>
      </c>
      <c r="K281" s="4" t="s">
        <v>55</v>
      </c>
      <c r="L281" s="4" t="s">
        <v>37</v>
      </c>
      <c r="N281" s="7" t="s">
        <v>758</v>
      </c>
      <c r="O281" s="7"/>
      <c r="P281" s="7" t="s">
        <v>759</v>
      </c>
      <c r="Q281" s="7"/>
      <c r="R281" s="7"/>
      <c r="S281" s="3" t="s">
        <v>40</v>
      </c>
      <c r="T281" s="7" t="s">
        <v>41</v>
      </c>
      <c r="U281" s="7"/>
      <c r="V281" s="4" t="s">
        <v>42</v>
      </c>
      <c r="W281" s="4" t="s">
        <v>760</v>
      </c>
      <c r="X281" s="4" t="s">
        <v>761</v>
      </c>
      <c r="Y281" s="7" t="s">
        <v>60</v>
      </c>
      <c r="Z281" s="7"/>
      <c r="AA281" s="4" t="s">
        <v>46</v>
      </c>
      <c r="AB281" s="4" t="s">
        <v>47</v>
      </c>
      <c r="AC281" s="4" t="s">
        <v>79</v>
      </c>
      <c r="AD281" s="4" t="s">
        <v>80</v>
      </c>
      <c r="AE281" s="4" t="s">
        <v>48</v>
      </c>
      <c r="AF281" s="4" t="s">
        <v>41</v>
      </c>
      <c r="AG281" s="4" t="s">
        <v>665</v>
      </c>
    </row>
    <row r="282" spans="1:33" ht="16.5" customHeight="1" x14ac:dyDescent="0.2">
      <c r="A282" s="2" t="s">
        <v>31</v>
      </c>
      <c r="B282" s="5" t="s">
        <v>54</v>
      </c>
      <c r="C282" s="5"/>
      <c r="D282" s="5"/>
      <c r="E282" s="6" t="s">
        <v>33</v>
      </c>
      <c r="F282" s="6"/>
      <c r="G282" s="7" t="s">
        <v>660</v>
      </c>
      <c r="H282" s="7"/>
      <c r="I282" s="7"/>
      <c r="J282" s="3" t="s">
        <v>35</v>
      </c>
      <c r="K282" s="4" t="s">
        <v>267</v>
      </c>
      <c r="L282" s="4" t="s">
        <v>37</v>
      </c>
      <c r="N282" s="7" t="s">
        <v>762</v>
      </c>
      <c r="O282" s="7"/>
      <c r="P282" s="7" t="s">
        <v>763</v>
      </c>
      <c r="Q282" s="7"/>
      <c r="R282" s="7"/>
      <c r="S282" s="3" t="s">
        <v>40</v>
      </c>
      <c r="T282" s="7" t="s">
        <v>41</v>
      </c>
      <c r="U282" s="7"/>
      <c r="V282" s="4" t="s">
        <v>42</v>
      </c>
      <c r="W282" s="4" t="s">
        <v>76</v>
      </c>
      <c r="X282" s="4" t="s">
        <v>77</v>
      </c>
      <c r="Y282" s="7" t="s">
        <v>78</v>
      </c>
      <c r="Z282" s="7"/>
      <c r="AA282" s="4" t="s">
        <v>46</v>
      </c>
      <c r="AB282" s="4" t="s">
        <v>47</v>
      </c>
      <c r="AC282" s="4" t="s">
        <v>79</v>
      </c>
      <c r="AD282" s="4" t="s">
        <v>80</v>
      </c>
      <c r="AE282" s="4" t="s">
        <v>48</v>
      </c>
      <c r="AF282" s="4" t="s">
        <v>41</v>
      </c>
      <c r="AG282" s="4" t="s">
        <v>665</v>
      </c>
    </row>
    <row r="283" spans="1:33" ht="16.5" customHeight="1" x14ac:dyDescent="0.2">
      <c r="A283" s="2" t="s">
        <v>31</v>
      </c>
      <c r="B283" s="5" t="s">
        <v>54</v>
      </c>
      <c r="C283" s="5"/>
      <c r="D283" s="5"/>
      <c r="E283" s="6" t="s">
        <v>33</v>
      </c>
      <c r="F283" s="6"/>
      <c r="G283" s="7" t="s">
        <v>660</v>
      </c>
      <c r="H283" s="7"/>
      <c r="I283" s="7"/>
      <c r="J283" s="3" t="s">
        <v>35</v>
      </c>
      <c r="K283" s="4" t="s">
        <v>409</v>
      </c>
      <c r="L283" s="4" t="s">
        <v>37</v>
      </c>
      <c r="N283" s="7" t="s">
        <v>764</v>
      </c>
      <c r="O283" s="7"/>
      <c r="P283" s="7" t="s">
        <v>765</v>
      </c>
      <c r="Q283" s="7"/>
      <c r="R283" s="7"/>
      <c r="S283" s="3" t="s">
        <v>40</v>
      </c>
      <c r="T283" s="7" t="s">
        <v>41</v>
      </c>
      <c r="U283" s="7"/>
      <c r="V283" s="4" t="s">
        <v>42</v>
      </c>
      <c r="W283" s="4" t="s">
        <v>651</v>
      </c>
      <c r="X283" s="4" t="s">
        <v>766</v>
      </c>
      <c r="Y283" s="7" t="s">
        <v>60</v>
      </c>
      <c r="Z283" s="7"/>
      <c r="AA283" s="4" t="s">
        <v>46</v>
      </c>
      <c r="AB283" s="4" t="s">
        <v>47</v>
      </c>
      <c r="AC283" s="4" t="s">
        <v>79</v>
      </c>
      <c r="AD283" s="4" t="s">
        <v>80</v>
      </c>
      <c r="AE283" s="4" t="s">
        <v>48</v>
      </c>
      <c r="AF283" s="4" t="s">
        <v>41</v>
      </c>
      <c r="AG283" s="4" t="s">
        <v>665</v>
      </c>
    </row>
    <row r="284" spans="1:33" ht="16.5" customHeight="1" x14ac:dyDescent="0.2">
      <c r="A284" s="2" t="s">
        <v>31</v>
      </c>
      <c r="B284" s="5" t="s">
        <v>54</v>
      </c>
      <c r="C284" s="5"/>
      <c r="D284" s="5"/>
      <c r="E284" s="6" t="s">
        <v>33</v>
      </c>
      <c r="F284" s="6"/>
      <c r="G284" s="7" t="s">
        <v>660</v>
      </c>
      <c r="H284" s="7"/>
      <c r="I284" s="7"/>
      <c r="J284" s="3" t="s">
        <v>35</v>
      </c>
      <c r="K284" s="4" t="s">
        <v>409</v>
      </c>
      <c r="L284" s="4" t="s">
        <v>37</v>
      </c>
      <c r="N284" s="7" t="s">
        <v>767</v>
      </c>
      <c r="O284" s="7"/>
      <c r="P284" s="7" t="s">
        <v>768</v>
      </c>
      <c r="Q284" s="7"/>
      <c r="R284" s="7"/>
      <c r="S284" s="3" t="s">
        <v>40</v>
      </c>
      <c r="T284" s="7" t="s">
        <v>41</v>
      </c>
      <c r="U284" s="7"/>
      <c r="V284" s="4" t="s">
        <v>42</v>
      </c>
      <c r="W284" s="4" t="s">
        <v>769</v>
      </c>
      <c r="X284" s="4" t="s">
        <v>652</v>
      </c>
      <c r="Y284" s="7" t="s">
        <v>60</v>
      </c>
      <c r="Z284" s="7"/>
      <c r="AA284" s="4" t="s">
        <v>46</v>
      </c>
      <c r="AB284" s="4" t="s">
        <v>47</v>
      </c>
      <c r="AC284" s="4" t="s">
        <v>79</v>
      </c>
      <c r="AD284" s="4" t="s">
        <v>80</v>
      </c>
      <c r="AE284" s="4" t="s">
        <v>48</v>
      </c>
      <c r="AF284" s="4" t="s">
        <v>41</v>
      </c>
      <c r="AG284" s="4" t="s">
        <v>665</v>
      </c>
    </row>
    <row r="285" spans="1:33" ht="16.5" customHeight="1" x14ac:dyDescent="0.2">
      <c r="A285" s="2" t="s">
        <v>31</v>
      </c>
      <c r="B285" s="5" t="s">
        <v>54</v>
      </c>
      <c r="C285" s="5"/>
      <c r="D285" s="5"/>
      <c r="E285" s="6" t="s">
        <v>33</v>
      </c>
      <c r="F285" s="6"/>
      <c r="G285" s="7" t="s">
        <v>660</v>
      </c>
      <c r="H285" s="7"/>
      <c r="I285" s="7"/>
      <c r="J285" s="3" t="s">
        <v>35</v>
      </c>
      <c r="K285" s="4" t="s">
        <v>409</v>
      </c>
      <c r="L285" s="4" t="s">
        <v>37</v>
      </c>
      <c r="N285" s="7" t="s">
        <v>770</v>
      </c>
      <c r="O285" s="7"/>
      <c r="P285" s="7" t="s">
        <v>771</v>
      </c>
      <c r="Q285" s="7"/>
      <c r="R285" s="7"/>
      <c r="S285" s="3" t="s">
        <v>40</v>
      </c>
      <c r="T285" s="7" t="s">
        <v>41</v>
      </c>
      <c r="U285" s="7"/>
      <c r="V285" s="4" t="s">
        <v>42</v>
      </c>
      <c r="W285" s="4" t="s">
        <v>772</v>
      </c>
      <c r="X285" s="4" t="s">
        <v>230</v>
      </c>
      <c r="Y285" s="7" t="s">
        <v>60</v>
      </c>
      <c r="Z285" s="7"/>
      <c r="AA285" s="4" t="s">
        <v>46</v>
      </c>
      <c r="AB285" s="4" t="s">
        <v>47</v>
      </c>
      <c r="AC285" s="4" t="s">
        <v>79</v>
      </c>
      <c r="AD285" s="4" t="s">
        <v>80</v>
      </c>
      <c r="AE285" s="4" t="s">
        <v>48</v>
      </c>
      <c r="AF285" s="4" t="s">
        <v>41</v>
      </c>
      <c r="AG285" s="4" t="s">
        <v>665</v>
      </c>
    </row>
    <row r="286" spans="1:33" ht="16.5" customHeight="1" x14ac:dyDescent="0.2">
      <c r="A286" s="2" t="s">
        <v>31</v>
      </c>
      <c r="B286" s="5" t="s">
        <v>54</v>
      </c>
      <c r="C286" s="5"/>
      <c r="D286" s="5"/>
      <c r="E286" s="6" t="s">
        <v>33</v>
      </c>
      <c r="F286" s="6"/>
      <c r="G286" s="7" t="s">
        <v>660</v>
      </c>
      <c r="H286" s="7"/>
      <c r="I286" s="7"/>
      <c r="J286" s="3" t="s">
        <v>35</v>
      </c>
      <c r="K286" s="4" t="s">
        <v>73</v>
      </c>
      <c r="L286" s="4" t="s">
        <v>280</v>
      </c>
      <c r="N286" s="7" t="s">
        <v>773</v>
      </c>
      <c r="O286" s="7"/>
      <c r="P286" s="7" t="s">
        <v>774</v>
      </c>
      <c r="Q286" s="7"/>
      <c r="R286" s="7"/>
      <c r="S286" s="3" t="s">
        <v>40</v>
      </c>
      <c r="T286" s="7" t="s">
        <v>41</v>
      </c>
      <c r="U286" s="7"/>
      <c r="V286" s="4" t="s">
        <v>42</v>
      </c>
      <c r="W286" s="4" t="s">
        <v>229</v>
      </c>
      <c r="X286" s="4" t="s">
        <v>446</v>
      </c>
      <c r="Y286" s="7" t="s">
        <v>78</v>
      </c>
      <c r="Z286" s="7"/>
      <c r="AA286" s="4" t="s">
        <v>46</v>
      </c>
      <c r="AB286" s="4" t="s">
        <v>47</v>
      </c>
      <c r="AC286" s="4" t="s">
        <v>136</v>
      </c>
      <c r="AD286" s="4" t="s">
        <v>324</v>
      </c>
      <c r="AE286" s="4" t="s">
        <v>48</v>
      </c>
      <c r="AF286" s="4" t="s">
        <v>41</v>
      </c>
      <c r="AG286" s="4" t="s">
        <v>665</v>
      </c>
    </row>
    <row r="287" spans="1:33" ht="16.5" customHeight="1" x14ac:dyDescent="0.2">
      <c r="A287" s="2" t="s">
        <v>31</v>
      </c>
      <c r="B287" s="5" t="s">
        <v>54</v>
      </c>
      <c r="C287" s="5"/>
      <c r="D287" s="5"/>
      <c r="E287" s="6" t="s">
        <v>33</v>
      </c>
      <c r="F287" s="6"/>
      <c r="G287" s="7" t="s">
        <v>660</v>
      </c>
      <c r="H287" s="7"/>
      <c r="I287" s="7"/>
      <c r="J287" s="3" t="s">
        <v>35</v>
      </c>
      <c r="K287" s="4" t="s">
        <v>149</v>
      </c>
      <c r="L287" s="4" t="s">
        <v>37</v>
      </c>
      <c r="N287" s="7" t="s">
        <v>775</v>
      </c>
      <c r="O287" s="7"/>
      <c r="P287" s="7" t="s">
        <v>776</v>
      </c>
      <c r="Q287" s="7"/>
      <c r="R287" s="7"/>
      <c r="S287" s="3" t="s">
        <v>40</v>
      </c>
      <c r="T287" s="7" t="s">
        <v>41</v>
      </c>
      <c r="U287" s="7"/>
      <c r="V287" s="4" t="s">
        <v>42</v>
      </c>
      <c r="W287" s="4" t="s">
        <v>43</v>
      </c>
      <c r="X287" s="4" t="s">
        <v>44</v>
      </c>
      <c r="Y287" s="7" t="s">
        <v>78</v>
      </c>
      <c r="Z287" s="7"/>
      <c r="AA287" s="4" t="s">
        <v>46</v>
      </c>
      <c r="AB287" s="4" t="s">
        <v>47</v>
      </c>
      <c r="AC287" s="4" t="s">
        <v>136</v>
      </c>
      <c r="AD287" s="4" t="s">
        <v>137</v>
      </c>
      <c r="AE287" s="4" t="s">
        <v>48</v>
      </c>
      <c r="AF287" s="4" t="s">
        <v>41</v>
      </c>
      <c r="AG287" s="4" t="s">
        <v>665</v>
      </c>
    </row>
    <row r="288" spans="1:33" ht="16.5" customHeight="1" x14ac:dyDescent="0.2">
      <c r="A288" s="2" t="s">
        <v>31</v>
      </c>
      <c r="B288" s="5" t="s">
        <v>54</v>
      </c>
      <c r="C288" s="5"/>
      <c r="D288" s="5"/>
      <c r="E288" s="6" t="s">
        <v>33</v>
      </c>
      <c r="F288" s="6"/>
      <c r="G288" s="7" t="s">
        <v>660</v>
      </c>
      <c r="H288" s="7"/>
      <c r="I288" s="7"/>
      <c r="J288" s="3" t="s">
        <v>35</v>
      </c>
      <c r="K288" s="4" t="s">
        <v>149</v>
      </c>
      <c r="L288" s="4" t="s">
        <v>37</v>
      </c>
      <c r="N288" s="7" t="s">
        <v>777</v>
      </c>
      <c r="O288" s="7"/>
      <c r="P288" s="7" t="s">
        <v>778</v>
      </c>
      <c r="Q288" s="7"/>
      <c r="R288" s="7"/>
      <c r="S288" s="3" t="s">
        <v>40</v>
      </c>
      <c r="T288" s="7" t="s">
        <v>41</v>
      </c>
      <c r="U288" s="7"/>
      <c r="V288" s="4" t="s">
        <v>42</v>
      </c>
      <c r="W288" s="4" t="s">
        <v>229</v>
      </c>
      <c r="X288" s="4" t="s">
        <v>446</v>
      </c>
      <c r="Y288" s="7" t="s">
        <v>78</v>
      </c>
      <c r="Z288" s="7"/>
      <c r="AA288" s="4" t="s">
        <v>46</v>
      </c>
      <c r="AB288" s="4" t="s">
        <v>47</v>
      </c>
      <c r="AC288" s="4" t="s">
        <v>136</v>
      </c>
      <c r="AD288" s="4" t="s">
        <v>137</v>
      </c>
      <c r="AE288" s="4" t="s">
        <v>48</v>
      </c>
      <c r="AF288" s="4" t="s">
        <v>41</v>
      </c>
      <c r="AG288" s="4" t="s">
        <v>665</v>
      </c>
    </row>
    <row r="289" spans="1:33" ht="16.5" customHeight="1" x14ac:dyDescent="0.2">
      <c r="A289" s="2" t="s">
        <v>31</v>
      </c>
      <c r="B289" s="5" t="s">
        <v>54</v>
      </c>
      <c r="C289" s="5"/>
      <c r="D289" s="5"/>
      <c r="E289" s="6" t="s">
        <v>33</v>
      </c>
      <c r="F289" s="6"/>
      <c r="G289" s="7" t="s">
        <v>660</v>
      </c>
      <c r="H289" s="7"/>
      <c r="I289" s="7"/>
      <c r="J289" s="3" t="s">
        <v>35</v>
      </c>
      <c r="K289" s="4" t="s">
        <v>92</v>
      </c>
      <c r="L289" s="4" t="s">
        <v>93</v>
      </c>
      <c r="N289" s="7" t="s">
        <v>779</v>
      </c>
      <c r="O289" s="7"/>
      <c r="P289" s="7" t="s">
        <v>780</v>
      </c>
      <c r="Q289" s="7"/>
      <c r="R289" s="7"/>
      <c r="S289" s="3" t="s">
        <v>40</v>
      </c>
      <c r="T289" s="7" t="s">
        <v>41</v>
      </c>
      <c r="U289" s="7"/>
      <c r="V289" s="4" t="s">
        <v>42</v>
      </c>
      <c r="W289" s="4" t="s">
        <v>58</v>
      </c>
      <c r="X289" s="4" t="s">
        <v>59</v>
      </c>
      <c r="Y289" s="7" t="s">
        <v>78</v>
      </c>
      <c r="Z289" s="7"/>
      <c r="AA289" s="4" t="s">
        <v>46</v>
      </c>
      <c r="AB289" s="4" t="s">
        <v>47</v>
      </c>
      <c r="AC289" s="4" t="s">
        <v>79</v>
      </c>
      <c r="AD289" s="4" t="s">
        <v>96</v>
      </c>
      <c r="AE289" s="4" t="s">
        <v>48</v>
      </c>
      <c r="AF289" s="4" t="s">
        <v>41</v>
      </c>
      <c r="AG289" s="4" t="s">
        <v>665</v>
      </c>
    </row>
    <row r="290" spans="1:33" ht="16.5" customHeight="1" x14ac:dyDescent="0.2">
      <c r="A290" s="2" t="s">
        <v>31</v>
      </c>
      <c r="B290" s="5" t="s">
        <v>54</v>
      </c>
      <c r="C290" s="5"/>
      <c r="D290" s="5"/>
      <c r="E290" s="6" t="s">
        <v>33</v>
      </c>
      <c r="F290" s="6"/>
      <c r="G290" s="7" t="s">
        <v>660</v>
      </c>
      <c r="H290" s="7"/>
      <c r="I290" s="7"/>
      <c r="J290" s="3" t="s">
        <v>35</v>
      </c>
      <c r="K290" s="4" t="s">
        <v>409</v>
      </c>
      <c r="L290" s="4" t="s">
        <v>588</v>
      </c>
      <c r="N290" s="7" t="s">
        <v>781</v>
      </c>
      <c r="O290" s="7"/>
      <c r="P290" s="7" t="s">
        <v>782</v>
      </c>
      <c r="Q290" s="7"/>
      <c r="R290" s="7"/>
      <c r="S290" s="3" t="s">
        <v>40</v>
      </c>
      <c r="T290" s="7" t="s">
        <v>41</v>
      </c>
      <c r="U290" s="7"/>
      <c r="V290" s="4" t="s">
        <v>51</v>
      </c>
      <c r="W290" s="4" t="s">
        <v>154</v>
      </c>
      <c r="X290" s="4" t="s">
        <v>258</v>
      </c>
      <c r="Y290" s="7" t="s">
        <v>60</v>
      </c>
      <c r="Z290" s="7"/>
      <c r="AA290" s="4" t="s">
        <v>46</v>
      </c>
      <c r="AB290" s="4" t="s">
        <v>47</v>
      </c>
      <c r="AC290" s="4" t="s">
        <v>79</v>
      </c>
      <c r="AD290" s="4" t="s">
        <v>591</v>
      </c>
      <c r="AE290" s="4" t="s">
        <v>48</v>
      </c>
      <c r="AF290" s="4" t="s">
        <v>41</v>
      </c>
      <c r="AG290" s="4" t="s">
        <v>665</v>
      </c>
    </row>
    <row r="291" spans="1:33" ht="16.5" customHeight="1" x14ac:dyDescent="0.2">
      <c r="A291" s="2" t="s">
        <v>31</v>
      </c>
      <c r="B291" s="5" t="s">
        <v>54</v>
      </c>
      <c r="C291" s="5"/>
      <c r="D291" s="5"/>
      <c r="E291" s="6" t="s">
        <v>33</v>
      </c>
      <c r="F291" s="6"/>
      <c r="G291" s="7" t="s">
        <v>660</v>
      </c>
      <c r="H291" s="7"/>
      <c r="I291" s="7"/>
      <c r="J291" s="3" t="s">
        <v>35</v>
      </c>
      <c r="K291" s="4" t="s">
        <v>55</v>
      </c>
      <c r="L291" s="4" t="s">
        <v>37</v>
      </c>
      <c r="N291" s="7" t="s">
        <v>783</v>
      </c>
      <c r="O291" s="7"/>
      <c r="P291" s="7" t="s">
        <v>784</v>
      </c>
      <c r="Q291" s="7"/>
      <c r="R291" s="7"/>
      <c r="S291" s="3" t="s">
        <v>40</v>
      </c>
      <c r="T291" s="7" t="s">
        <v>41</v>
      </c>
      <c r="U291" s="7"/>
      <c r="V291" s="4" t="s">
        <v>42</v>
      </c>
      <c r="W291" s="4" t="s">
        <v>355</v>
      </c>
      <c r="X291" s="4" t="s">
        <v>344</v>
      </c>
      <c r="Y291" s="7" t="s">
        <v>60</v>
      </c>
      <c r="Z291" s="7"/>
      <c r="AA291" s="4" t="s">
        <v>46</v>
      </c>
      <c r="AB291" s="4" t="s">
        <v>47</v>
      </c>
      <c r="AC291" s="4" t="s">
        <v>79</v>
      </c>
      <c r="AD291" s="4" t="s">
        <v>80</v>
      </c>
      <c r="AE291" s="4" t="s">
        <v>48</v>
      </c>
      <c r="AF291" s="4" t="s">
        <v>41</v>
      </c>
      <c r="AG291" s="4" t="s">
        <v>665</v>
      </c>
    </row>
    <row r="292" spans="1:33" ht="16.5" customHeight="1" x14ac:dyDescent="0.2">
      <c r="A292" s="2" t="s">
        <v>31</v>
      </c>
      <c r="B292" s="5" t="s">
        <v>54</v>
      </c>
      <c r="C292" s="5"/>
      <c r="D292" s="5"/>
      <c r="E292" s="6" t="s">
        <v>33</v>
      </c>
      <c r="F292" s="6"/>
      <c r="G292" s="7" t="s">
        <v>660</v>
      </c>
      <c r="H292" s="7"/>
      <c r="I292" s="7"/>
      <c r="J292" s="3" t="s">
        <v>35</v>
      </c>
      <c r="K292" s="4" t="s">
        <v>55</v>
      </c>
      <c r="L292" s="4" t="s">
        <v>37</v>
      </c>
      <c r="N292" s="7" t="s">
        <v>783</v>
      </c>
      <c r="O292" s="7"/>
      <c r="P292" s="7" t="s">
        <v>784</v>
      </c>
      <c r="Q292" s="7"/>
      <c r="R292" s="7"/>
      <c r="S292" s="3" t="s">
        <v>40</v>
      </c>
      <c r="T292" s="7" t="s">
        <v>41</v>
      </c>
      <c r="U292" s="7"/>
      <c r="V292" s="4" t="s">
        <v>51</v>
      </c>
      <c r="W292" s="4" t="s">
        <v>355</v>
      </c>
      <c r="X292" s="4" t="s">
        <v>361</v>
      </c>
      <c r="Y292" s="7" t="s">
        <v>60</v>
      </c>
      <c r="Z292" s="7"/>
      <c r="AA292" s="4" t="s">
        <v>46</v>
      </c>
      <c r="AB292" s="4" t="s">
        <v>47</v>
      </c>
      <c r="AC292" s="4" t="s">
        <v>61</v>
      </c>
      <c r="AD292" s="4" t="s">
        <v>62</v>
      </c>
      <c r="AE292" s="4" t="s">
        <v>48</v>
      </c>
      <c r="AF292" s="4" t="s">
        <v>41</v>
      </c>
      <c r="AG292" s="4" t="s">
        <v>665</v>
      </c>
    </row>
    <row r="293" spans="1:33" ht="16.5" customHeight="1" x14ac:dyDescent="0.2">
      <c r="A293" s="2" t="s">
        <v>31</v>
      </c>
      <c r="B293" s="5" t="s">
        <v>54</v>
      </c>
      <c r="C293" s="5"/>
      <c r="D293" s="5"/>
      <c r="E293" s="6" t="s">
        <v>33</v>
      </c>
      <c r="F293" s="6"/>
      <c r="G293" s="7" t="s">
        <v>660</v>
      </c>
      <c r="H293" s="7"/>
      <c r="I293" s="7"/>
      <c r="J293" s="3" t="s">
        <v>35</v>
      </c>
      <c r="K293" s="4" t="s">
        <v>143</v>
      </c>
      <c r="L293" s="4" t="s">
        <v>37</v>
      </c>
      <c r="N293" s="7" t="s">
        <v>785</v>
      </c>
      <c r="O293" s="7"/>
      <c r="P293" s="7" t="s">
        <v>786</v>
      </c>
      <c r="Q293" s="7"/>
      <c r="R293" s="7"/>
      <c r="S293" s="3" t="s">
        <v>40</v>
      </c>
      <c r="T293" s="7" t="s">
        <v>41</v>
      </c>
      <c r="U293" s="7"/>
      <c r="V293" s="4" t="s">
        <v>42</v>
      </c>
      <c r="W293" s="4" t="s">
        <v>154</v>
      </c>
      <c r="X293" s="4" t="s">
        <v>155</v>
      </c>
      <c r="Y293" s="7" t="s">
        <v>135</v>
      </c>
      <c r="Z293" s="7"/>
      <c r="AA293" s="4" t="s">
        <v>46</v>
      </c>
      <c r="AB293" s="4" t="s">
        <v>47</v>
      </c>
      <c r="AC293" s="4" t="s">
        <v>136</v>
      </c>
      <c r="AD293" s="4" t="s">
        <v>137</v>
      </c>
      <c r="AE293" s="4" t="s">
        <v>48</v>
      </c>
      <c r="AF293" s="4" t="s">
        <v>41</v>
      </c>
      <c r="AG293" s="4" t="s">
        <v>665</v>
      </c>
    </row>
    <row r="294" spans="1:33" ht="16.5" customHeight="1" x14ac:dyDescent="0.2">
      <c r="A294" s="2" t="s">
        <v>31</v>
      </c>
      <c r="B294" s="5" t="s">
        <v>54</v>
      </c>
      <c r="C294" s="5"/>
      <c r="D294" s="5"/>
      <c r="E294" s="6" t="s">
        <v>33</v>
      </c>
      <c r="F294" s="6"/>
      <c r="G294" s="7" t="s">
        <v>660</v>
      </c>
      <c r="H294" s="7"/>
      <c r="I294" s="7"/>
      <c r="J294" s="3" t="s">
        <v>35</v>
      </c>
      <c r="K294" s="4" t="s">
        <v>73</v>
      </c>
      <c r="L294" s="4" t="s">
        <v>37</v>
      </c>
      <c r="N294" s="7" t="s">
        <v>787</v>
      </c>
      <c r="O294" s="7"/>
      <c r="P294" s="7" t="s">
        <v>788</v>
      </c>
      <c r="Q294" s="7"/>
      <c r="R294" s="7"/>
      <c r="S294" s="3" t="s">
        <v>40</v>
      </c>
      <c r="T294" s="7" t="s">
        <v>41</v>
      </c>
      <c r="U294" s="7"/>
      <c r="V294" s="4" t="s">
        <v>51</v>
      </c>
      <c r="W294" s="4" t="s">
        <v>200</v>
      </c>
      <c r="X294" s="4" t="s">
        <v>789</v>
      </c>
      <c r="Y294" s="7" t="s">
        <v>78</v>
      </c>
      <c r="Z294" s="7"/>
      <c r="AA294" s="4" t="s">
        <v>46</v>
      </c>
      <c r="AB294" s="4" t="s">
        <v>47</v>
      </c>
      <c r="AC294" s="4" t="s">
        <v>72</v>
      </c>
      <c r="AD294" s="4" t="s">
        <v>41</v>
      </c>
      <c r="AE294" s="4" t="s">
        <v>48</v>
      </c>
      <c r="AF294" s="4" t="s">
        <v>41</v>
      </c>
      <c r="AG294" s="4" t="s">
        <v>665</v>
      </c>
    </row>
    <row r="295" spans="1:33" ht="16.5" customHeight="1" x14ac:dyDescent="0.2">
      <c r="A295" s="2" t="s">
        <v>31</v>
      </c>
      <c r="B295" s="5" t="s">
        <v>108</v>
      </c>
      <c r="C295" s="5"/>
      <c r="D295" s="5"/>
      <c r="E295" s="6" t="s">
        <v>33</v>
      </c>
      <c r="F295" s="6"/>
      <c r="G295" s="7" t="s">
        <v>660</v>
      </c>
      <c r="H295" s="7"/>
      <c r="I295" s="7"/>
      <c r="J295" s="3" t="s">
        <v>109</v>
      </c>
      <c r="K295" s="4" t="s">
        <v>558</v>
      </c>
      <c r="N295" s="7" t="s">
        <v>790</v>
      </c>
      <c r="O295" s="7"/>
      <c r="P295" s="7" t="s">
        <v>791</v>
      </c>
      <c r="Q295" s="7"/>
      <c r="R295" s="7"/>
      <c r="S295" s="3" t="s">
        <v>40</v>
      </c>
      <c r="T295" s="7" t="s">
        <v>424</v>
      </c>
      <c r="U295" s="7"/>
      <c r="V295" s="4" t="s">
        <v>42</v>
      </c>
      <c r="W295" s="4" t="s">
        <v>58</v>
      </c>
      <c r="X295" s="4" t="s">
        <v>155</v>
      </c>
      <c r="Y295" s="7" t="s">
        <v>114</v>
      </c>
      <c r="Z295" s="7"/>
      <c r="AA295" s="4" t="s">
        <v>46</v>
      </c>
      <c r="AB295" s="4" t="s">
        <v>115</v>
      </c>
      <c r="AC295" s="4" t="s">
        <v>243</v>
      </c>
      <c r="AD295" s="4" t="s">
        <v>425</v>
      </c>
      <c r="AE295" s="4" t="s">
        <v>48</v>
      </c>
      <c r="AF295" s="4" t="s">
        <v>41</v>
      </c>
      <c r="AG295" s="4" t="s">
        <v>665</v>
      </c>
    </row>
    <row r="296" spans="1:33" ht="16.5" customHeight="1" x14ac:dyDescent="0.2">
      <c r="A296" s="2" t="s">
        <v>31</v>
      </c>
      <c r="B296" s="5" t="s">
        <v>54</v>
      </c>
      <c r="C296" s="5"/>
      <c r="D296" s="5"/>
      <c r="E296" s="6" t="s">
        <v>33</v>
      </c>
      <c r="F296" s="6"/>
      <c r="G296" s="7" t="s">
        <v>660</v>
      </c>
      <c r="H296" s="7"/>
      <c r="I296" s="7"/>
      <c r="J296" s="3" t="s">
        <v>35</v>
      </c>
      <c r="K296" s="4" t="s">
        <v>149</v>
      </c>
      <c r="L296" s="4" t="s">
        <v>37</v>
      </c>
      <c r="N296" s="7" t="s">
        <v>792</v>
      </c>
      <c r="O296" s="7"/>
      <c r="P296" s="7" t="s">
        <v>793</v>
      </c>
      <c r="Q296" s="7"/>
      <c r="R296" s="7"/>
      <c r="S296" s="3" t="s">
        <v>40</v>
      </c>
      <c r="T296" s="7" t="s">
        <v>41</v>
      </c>
      <c r="U296" s="7"/>
      <c r="V296" s="4" t="s">
        <v>42</v>
      </c>
      <c r="W296" s="4" t="s">
        <v>274</v>
      </c>
      <c r="X296" s="4" t="s">
        <v>275</v>
      </c>
      <c r="Y296" s="7" t="s">
        <v>78</v>
      </c>
      <c r="Z296" s="7"/>
      <c r="AA296" s="4" t="s">
        <v>46</v>
      </c>
      <c r="AB296" s="4" t="s">
        <v>47</v>
      </c>
      <c r="AC296" s="4" t="s">
        <v>136</v>
      </c>
      <c r="AD296" s="4" t="s">
        <v>137</v>
      </c>
      <c r="AE296" s="4" t="s">
        <v>48</v>
      </c>
      <c r="AF296" s="4" t="s">
        <v>41</v>
      </c>
      <c r="AG296" s="4" t="s">
        <v>665</v>
      </c>
    </row>
    <row r="297" spans="1:33" ht="16.5" customHeight="1" x14ac:dyDescent="0.2">
      <c r="A297" s="2" t="s">
        <v>31</v>
      </c>
      <c r="B297" s="5" t="s">
        <v>54</v>
      </c>
      <c r="C297" s="5"/>
      <c r="D297" s="5"/>
      <c r="E297" s="6" t="s">
        <v>33</v>
      </c>
      <c r="F297" s="6"/>
      <c r="G297" s="7" t="s">
        <v>660</v>
      </c>
      <c r="H297" s="7"/>
      <c r="I297" s="7"/>
      <c r="J297" s="3" t="s">
        <v>35</v>
      </c>
      <c r="K297" s="4" t="s">
        <v>149</v>
      </c>
      <c r="L297" s="4" t="s">
        <v>37</v>
      </c>
      <c r="N297" s="7" t="s">
        <v>794</v>
      </c>
      <c r="O297" s="7"/>
      <c r="P297" s="7" t="s">
        <v>795</v>
      </c>
      <c r="Q297" s="7"/>
      <c r="R297" s="7"/>
      <c r="S297" s="3" t="s">
        <v>40</v>
      </c>
      <c r="T297" s="7" t="s">
        <v>41</v>
      </c>
      <c r="U297" s="7"/>
      <c r="V297" s="4" t="s">
        <v>42</v>
      </c>
      <c r="W297" s="4" t="s">
        <v>207</v>
      </c>
      <c r="X297" s="4" t="s">
        <v>208</v>
      </c>
      <c r="Y297" s="7" t="s">
        <v>78</v>
      </c>
      <c r="Z297" s="7"/>
      <c r="AA297" s="4" t="s">
        <v>46</v>
      </c>
      <c r="AB297" s="4" t="s">
        <v>47</v>
      </c>
      <c r="AC297" s="4" t="s">
        <v>136</v>
      </c>
      <c r="AD297" s="4" t="s">
        <v>137</v>
      </c>
      <c r="AE297" s="4" t="s">
        <v>48</v>
      </c>
      <c r="AF297" s="4" t="s">
        <v>41</v>
      </c>
      <c r="AG297" s="4" t="s">
        <v>665</v>
      </c>
    </row>
    <row r="298" spans="1:33" ht="16.5" customHeight="1" x14ac:dyDescent="0.2">
      <c r="A298" s="2" t="s">
        <v>31</v>
      </c>
      <c r="B298" s="5" t="s">
        <v>54</v>
      </c>
      <c r="C298" s="5"/>
      <c r="D298" s="5"/>
      <c r="E298" s="6" t="s">
        <v>33</v>
      </c>
      <c r="F298" s="6"/>
      <c r="G298" s="7" t="s">
        <v>660</v>
      </c>
      <c r="H298" s="7"/>
      <c r="I298" s="7"/>
      <c r="J298" s="3" t="s">
        <v>35</v>
      </c>
      <c r="K298" s="4" t="s">
        <v>248</v>
      </c>
      <c r="L298" s="4" t="s">
        <v>37</v>
      </c>
      <c r="N298" s="7" t="s">
        <v>796</v>
      </c>
      <c r="O298" s="7"/>
      <c r="P298" s="7" t="s">
        <v>797</v>
      </c>
      <c r="Q298" s="7"/>
      <c r="R298" s="7"/>
      <c r="S298" s="3" t="s">
        <v>40</v>
      </c>
      <c r="T298" s="7" t="s">
        <v>41</v>
      </c>
      <c r="U298" s="7"/>
      <c r="V298" s="4" t="s">
        <v>42</v>
      </c>
      <c r="W298" s="4" t="s">
        <v>58</v>
      </c>
      <c r="X298" s="4" t="s">
        <v>59</v>
      </c>
      <c r="Y298" s="7" t="s">
        <v>60</v>
      </c>
      <c r="Z298" s="7"/>
      <c r="AA298" s="4" t="s">
        <v>46</v>
      </c>
      <c r="AB298" s="4" t="s">
        <v>47</v>
      </c>
      <c r="AC298" s="4" t="s">
        <v>61</v>
      </c>
      <c r="AD298" s="4" t="s">
        <v>62</v>
      </c>
      <c r="AE298" s="4" t="s">
        <v>48</v>
      </c>
      <c r="AF298" s="4" t="s">
        <v>41</v>
      </c>
      <c r="AG298" s="4" t="s">
        <v>665</v>
      </c>
    </row>
    <row r="299" spans="1:33" ht="16.5" customHeight="1" x14ac:dyDescent="0.2">
      <c r="A299" s="2" t="s">
        <v>31</v>
      </c>
      <c r="B299" s="5" t="s">
        <v>54</v>
      </c>
      <c r="C299" s="5"/>
      <c r="D299" s="5"/>
      <c r="E299" s="6" t="s">
        <v>33</v>
      </c>
      <c r="F299" s="6"/>
      <c r="G299" s="7" t="s">
        <v>660</v>
      </c>
      <c r="H299" s="7"/>
      <c r="I299" s="7"/>
      <c r="J299" s="3" t="s">
        <v>35</v>
      </c>
      <c r="K299" s="4" t="s">
        <v>55</v>
      </c>
      <c r="L299" s="4" t="s">
        <v>37</v>
      </c>
      <c r="N299" s="7" t="s">
        <v>798</v>
      </c>
      <c r="O299" s="7"/>
      <c r="P299" s="7" t="s">
        <v>799</v>
      </c>
      <c r="Q299" s="7"/>
      <c r="R299" s="7"/>
      <c r="S299" s="3" t="s">
        <v>40</v>
      </c>
      <c r="T299" s="7" t="s">
        <v>41</v>
      </c>
      <c r="U299" s="7"/>
      <c r="V299" s="4" t="s">
        <v>42</v>
      </c>
      <c r="W299" s="4" t="s">
        <v>234</v>
      </c>
      <c r="X299" s="4" t="s">
        <v>235</v>
      </c>
      <c r="Y299" s="7" t="s">
        <v>60</v>
      </c>
      <c r="Z299" s="7"/>
      <c r="AA299" s="4" t="s">
        <v>46</v>
      </c>
      <c r="AB299" s="4" t="s">
        <v>47</v>
      </c>
      <c r="AC299" s="4" t="s">
        <v>79</v>
      </c>
      <c r="AD299" s="4" t="s">
        <v>80</v>
      </c>
      <c r="AE299" s="4" t="s">
        <v>48</v>
      </c>
      <c r="AF299" s="4" t="s">
        <v>41</v>
      </c>
      <c r="AG299" s="4" t="s">
        <v>665</v>
      </c>
    </row>
    <row r="300" spans="1:33" ht="16.5" customHeight="1" x14ac:dyDescent="0.2">
      <c r="A300" s="2" t="s">
        <v>31</v>
      </c>
      <c r="B300" s="5" t="s">
        <v>54</v>
      </c>
      <c r="C300" s="5"/>
      <c r="D300" s="5"/>
      <c r="E300" s="6" t="s">
        <v>33</v>
      </c>
      <c r="F300" s="6"/>
      <c r="G300" s="7" t="s">
        <v>660</v>
      </c>
      <c r="H300" s="7"/>
      <c r="I300" s="7"/>
      <c r="J300" s="3" t="s">
        <v>35</v>
      </c>
      <c r="K300" s="4" t="s">
        <v>143</v>
      </c>
      <c r="L300" s="4" t="s">
        <v>93</v>
      </c>
      <c r="N300" s="7" t="s">
        <v>800</v>
      </c>
      <c r="O300" s="7"/>
      <c r="P300" s="7" t="s">
        <v>801</v>
      </c>
      <c r="Q300" s="7"/>
      <c r="R300" s="7"/>
      <c r="S300" s="3" t="s">
        <v>40</v>
      </c>
      <c r="T300" s="7" t="s">
        <v>41</v>
      </c>
      <c r="U300" s="7"/>
      <c r="V300" s="4" t="s">
        <v>42</v>
      </c>
      <c r="W300" s="4" t="s">
        <v>278</v>
      </c>
      <c r="X300" s="4" t="s">
        <v>279</v>
      </c>
      <c r="Y300" s="7" t="s">
        <v>135</v>
      </c>
      <c r="Z300" s="7"/>
      <c r="AA300" s="4" t="s">
        <v>46</v>
      </c>
      <c r="AB300" s="4" t="s">
        <v>47</v>
      </c>
      <c r="AC300" s="4" t="s">
        <v>136</v>
      </c>
      <c r="AD300" s="4" t="s">
        <v>148</v>
      </c>
      <c r="AE300" s="4" t="s">
        <v>48</v>
      </c>
      <c r="AF300" s="4" t="s">
        <v>41</v>
      </c>
      <c r="AG300" s="4" t="s">
        <v>665</v>
      </c>
    </row>
    <row r="301" spans="1:33" ht="16.5" customHeight="1" x14ac:dyDescent="0.2">
      <c r="A301" s="2" t="s">
        <v>31</v>
      </c>
      <c r="B301" s="5" t="s">
        <v>54</v>
      </c>
      <c r="C301" s="5"/>
      <c r="D301" s="5"/>
      <c r="E301" s="6" t="s">
        <v>33</v>
      </c>
      <c r="F301" s="6"/>
      <c r="G301" s="7" t="s">
        <v>660</v>
      </c>
      <c r="H301" s="7"/>
      <c r="I301" s="7"/>
      <c r="J301" s="3" t="s">
        <v>35</v>
      </c>
      <c r="K301" s="4" t="s">
        <v>55</v>
      </c>
      <c r="L301" s="4" t="s">
        <v>93</v>
      </c>
      <c r="N301" s="7" t="s">
        <v>802</v>
      </c>
      <c r="O301" s="7"/>
      <c r="P301" s="7" t="s">
        <v>803</v>
      </c>
      <c r="Q301" s="7"/>
      <c r="R301" s="7"/>
      <c r="S301" s="3" t="s">
        <v>40</v>
      </c>
      <c r="T301" s="7" t="s">
        <v>41</v>
      </c>
      <c r="U301" s="7"/>
      <c r="V301" s="4" t="s">
        <v>42</v>
      </c>
      <c r="W301" s="4" t="s">
        <v>278</v>
      </c>
      <c r="X301" s="4" t="s">
        <v>279</v>
      </c>
      <c r="Y301" s="7" t="s">
        <v>60</v>
      </c>
      <c r="Z301" s="7"/>
      <c r="AA301" s="4" t="s">
        <v>46</v>
      </c>
      <c r="AB301" s="4" t="s">
        <v>47</v>
      </c>
      <c r="AC301" s="4" t="s">
        <v>79</v>
      </c>
      <c r="AD301" s="4" t="s">
        <v>96</v>
      </c>
      <c r="AE301" s="4" t="s">
        <v>48</v>
      </c>
      <c r="AF301" s="4" t="s">
        <v>41</v>
      </c>
      <c r="AG301" s="4" t="s">
        <v>665</v>
      </c>
    </row>
    <row r="302" spans="1:33" ht="16.5" customHeight="1" x14ac:dyDescent="0.2">
      <c r="A302" s="2" t="s">
        <v>31</v>
      </c>
      <c r="B302" s="5" t="s">
        <v>54</v>
      </c>
      <c r="C302" s="5"/>
      <c r="D302" s="5"/>
      <c r="E302" s="6" t="s">
        <v>33</v>
      </c>
      <c r="F302" s="6"/>
      <c r="G302" s="7" t="s">
        <v>660</v>
      </c>
      <c r="H302" s="7"/>
      <c r="I302" s="7"/>
      <c r="J302" s="3" t="s">
        <v>35</v>
      </c>
      <c r="K302" s="4" t="s">
        <v>409</v>
      </c>
      <c r="L302" s="4" t="s">
        <v>37</v>
      </c>
      <c r="N302" s="7" t="s">
        <v>804</v>
      </c>
      <c r="O302" s="7"/>
      <c r="P302" s="7" t="s">
        <v>805</v>
      </c>
      <c r="Q302" s="7"/>
      <c r="R302" s="7"/>
      <c r="S302" s="3" t="s">
        <v>40</v>
      </c>
      <c r="T302" s="7" t="s">
        <v>41</v>
      </c>
      <c r="U302" s="7"/>
      <c r="V302" s="4" t="s">
        <v>42</v>
      </c>
      <c r="W302" s="4" t="s">
        <v>68</v>
      </c>
      <c r="X302" s="4" t="s">
        <v>69</v>
      </c>
      <c r="Y302" s="7" t="s">
        <v>60</v>
      </c>
      <c r="Z302" s="7"/>
      <c r="AA302" s="4" t="s">
        <v>46</v>
      </c>
      <c r="AB302" s="4" t="s">
        <v>47</v>
      </c>
      <c r="AC302" s="4" t="s">
        <v>61</v>
      </c>
      <c r="AD302" s="4" t="s">
        <v>62</v>
      </c>
      <c r="AE302" s="4" t="s">
        <v>48</v>
      </c>
      <c r="AF302" s="4" t="s">
        <v>41</v>
      </c>
      <c r="AG302" s="4" t="s">
        <v>665</v>
      </c>
    </row>
    <row r="303" spans="1:33" ht="16.5" customHeight="1" x14ac:dyDescent="0.2">
      <c r="A303" s="2" t="s">
        <v>31</v>
      </c>
      <c r="B303" s="5" t="s">
        <v>54</v>
      </c>
      <c r="C303" s="5"/>
      <c r="D303" s="5"/>
      <c r="E303" s="6" t="s">
        <v>33</v>
      </c>
      <c r="F303" s="6"/>
      <c r="G303" s="7" t="s">
        <v>660</v>
      </c>
      <c r="H303" s="7"/>
      <c r="I303" s="7"/>
      <c r="J303" s="3" t="s">
        <v>35</v>
      </c>
      <c r="K303" s="4" t="s">
        <v>143</v>
      </c>
      <c r="L303" s="4" t="s">
        <v>37</v>
      </c>
      <c r="N303" s="7" t="s">
        <v>806</v>
      </c>
      <c r="O303" s="7"/>
      <c r="P303" s="7" t="s">
        <v>807</v>
      </c>
      <c r="Q303" s="7"/>
      <c r="R303" s="7"/>
      <c r="S303" s="3" t="s">
        <v>40</v>
      </c>
      <c r="T303" s="7" t="s">
        <v>41</v>
      </c>
      <c r="U303" s="7"/>
      <c r="V303" s="4" t="s">
        <v>42</v>
      </c>
      <c r="W303" s="4" t="s">
        <v>200</v>
      </c>
      <c r="X303" s="4" t="s">
        <v>201</v>
      </c>
      <c r="Y303" s="7" t="s">
        <v>135</v>
      </c>
      <c r="Z303" s="7"/>
      <c r="AA303" s="4" t="s">
        <v>46</v>
      </c>
      <c r="AB303" s="4" t="s">
        <v>47</v>
      </c>
      <c r="AC303" s="4" t="s">
        <v>136</v>
      </c>
      <c r="AD303" s="4" t="s">
        <v>137</v>
      </c>
      <c r="AE303" s="4" t="s">
        <v>48</v>
      </c>
      <c r="AF303" s="4" t="s">
        <v>41</v>
      </c>
      <c r="AG303" s="4" t="s">
        <v>665</v>
      </c>
    </row>
    <row r="304" spans="1:33" ht="16.5" customHeight="1" x14ac:dyDescent="0.2">
      <c r="A304" s="2" t="s">
        <v>31</v>
      </c>
      <c r="B304" s="5" t="s">
        <v>54</v>
      </c>
      <c r="C304" s="5"/>
      <c r="D304" s="5"/>
      <c r="E304" s="6" t="s">
        <v>33</v>
      </c>
      <c r="F304" s="6"/>
      <c r="G304" s="7" t="s">
        <v>660</v>
      </c>
      <c r="H304" s="7"/>
      <c r="I304" s="7"/>
      <c r="J304" s="3" t="s">
        <v>35</v>
      </c>
      <c r="K304" s="4" t="s">
        <v>409</v>
      </c>
      <c r="L304" s="4" t="s">
        <v>37</v>
      </c>
      <c r="N304" s="7" t="s">
        <v>808</v>
      </c>
      <c r="O304" s="7"/>
      <c r="P304" s="7" t="s">
        <v>809</v>
      </c>
      <c r="Q304" s="7"/>
      <c r="R304" s="7"/>
      <c r="S304" s="3" t="s">
        <v>40</v>
      </c>
      <c r="T304" s="7" t="s">
        <v>41</v>
      </c>
      <c r="U304" s="7"/>
      <c r="V304" s="4" t="s">
        <v>42</v>
      </c>
      <c r="W304" s="4" t="s">
        <v>200</v>
      </c>
      <c r="X304" s="4" t="s">
        <v>201</v>
      </c>
      <c r="Y304" s="7" t="s">
        <v>60</v>
      </c>
      <c r="Z304" s="7"/>
      <c r="AA304" s="4" t="s">
        <v>46</v>
      </c>
      <c r="AB304" s="4" t="s">
        <v>47</v>
      </c>
      <c r="AC304" s="4" t="s">
        <v>79</v>
      </c>
      <c r="AD304" s="4" t="s">
        <v>80</v>
      </c>
      <c r="AE304" s="4" t="s">
        <v>48</v>
      </c>
      <c r="AF304" s="4" t="s">
        <v>41</v>
      </c>
      <c r="AG304" s="4" t="s">
        <v>665</v>
      </c>
    </row>
    <row r="305" spans="1:33" ht="16.5" customHeight="1" x14ac:dyDescent="0.2">
      <c r="A305" s="2" t="s">
        <v>31</v>
      </c>
      <c r="B305" s="5" t="s">
        <v>54</v>
      </c>
      <c r="C305" s="5"/>
      <c r="D305" s="5"/>
      <c r="E305" s="6" t="s">
        <v>33</v>
      </c>
      <c r="F305" s="6"/>
      <c r="G305" s="7" t="s">
        <v>660</v>
      </c>
      <c r="H305" s="7"/>
      <c r="I305" s="7"/>
      <c r="J305" s="3" t="s">
        <v>35</v>
      </c>
      <c r="K305" s="4" t="s">
        <v>149</v>
      </c>
      <c r="L305" s="4" t="s">
        <v>37</v>
      </c>
      <c r="N305" s="7" t="s">
        <v>810</v>
      </c>
      <c r="O305" s="7"/>
      <c r="P305" s="7" t="s">
        <v>811</v>
      </c>
      <c r="Q305" s="7"/>
      <c r="R305" s="7"/>
      <c r="S305" s="3" t="s">
        <v>40</v>
      </c>
      <c r="T305" s="7" t="s">
        <v>41</v>
      </c>
      <c r="U305" s="7"/>
      <c r="V305" s="4" t="s">
        <v>42</v>
      </c>
      <c r="W305" s="4" t="s">
        <v>200</v>
      </c>
      <c r="X305" s="4" t="s">
        <v>201</v>
      </c>
      <c r="Y305" s="7" t="s">
        <v>78</v>
      </c>
      <c r="Z305" s="7"/>
      <c r="AA305" s="4" t="s">
        <v>46</v>
      </c>
      <c r="AB305" s="4" t="s">
        <v>47</v>
      </c>
      <c r="AC305" s="4" t="s">
        <v>136</v>
      </c>
      <c r="AD305" s="4" t="s">
        <v>137</v>
      </c>
      <c r="AE305" s="4" t="s">
        <v>48</v>
      </c>
      <c r="AF305" s="4" t="s">
        <v>41</v>
      </c>
      <c r="AG305" s="4" t="s">
        <v>665</v>
      </c>
    </row>
    <row r="306" spans="1:33" ht="16.5" customHeight="1" x14ac:dyDescent="0.2">
      <c r="A306" s="2" t="s">
        <v>31</v>
      </c>
      <c r="B306" s="5" t="s">
        <v>54</v>
      </c>
      <c r="C306" s="5"/>
      <c r="D306" s="5"/>
      <c r="E306" s="6" t="s">
        <v>33</v>
      </c>
      <c r="F306" s="6"/>
      <c r="G306" s="7" t="s">
        <v>660</v>
      </c>
      <c r="H306" s="7"/>
      <c r="I306" s="7"/>
      <c r="J306" s="3" t="s">
        <v>35</v>
      </c>
      <c r="K306" s="4" t="s">
        <v>55</v>
      </c>
      <c r="L306" s="4" t="s">
        <v>37</v>
      </c>
      <c r="N306" s="7" t="s">
        <v>812</v>
      </c>
      <c r="O306" s="7"/>
      <c r="P306" s="7" t="s">
        <v>813</v>
      </c>
      <c r="Q306" s="7"/>
      <c r="R306" s="7"/>
      <c r="S306" s="3" t="s">
        <v>40</v>
      </c>
      <c r="T306" s="7" t="s">
        <v>41</v>
      </c>
      <c r="U306" s="7"/>
      <c r="V306" s="4" t="s">
        <v>42</v>
      </c>
      <c r="W306" s="4" t="s">
        <v>200</v>
      </c>
      <c r="X306" s="4" t="s">
        <v>201</v>
      </c>
      <c r="Y306" s="7" t="s">
        <v>60</v>
      </c>
      <c r="Z306" s="7"/>
      <c r="AA306" s="4" t="s">
        <v>46</v>
      </c>
      <c r="AB306" s="4" t="s">
        <v>47</v>
      </c>
      <c r="AC306" s="4" t="s">
        <v>79</v>
      </c>
      <c r="AD306" s="4" t="s">
        <v>80</v>
      </c>
      <c r="AE306" s="4" t="s">
        <v>48</v>
      </c>
      <c r="AF306" s="4" t="s">
        <v>41</v>
      </c>
      <c r="AG306" s="4" t="s">
        <v>665</v>
      </c>
    </row>
    <row r="307" spans="1:33" ht="16.5" customHeight="1" x14ac:dyDescent="0.2">
      <c r="A307" s="2" t="s">
        <v>31</v>
      </c>
      <c r="B307" s="5" t="s">
        <v>54</v>
      </c>
      <c r="C307" s="5"/>
      <c r="D307" s="5"/>
      <c r="E307" s="6" t="s">
        <v>33</v>
      </c>
      <c r="F307" s="6"/>
      <c r="G307" s="7" t="s">
        <v>660</v>
      </c>
      <c r="H307" s="7"/>
      <c r="I307" s="7"/>
      <c r="J307" s="3" t="s">
        <v>35</v>
      </c>
      <c r="K307" s="4" t="s">
        <v>149</v>
      </c>
      <c r="L307" s="4" t="s">
        <v>280</v>
      </c>
      <c r="N307" s="7" t="s">
        <v>814</v>
      </c>
      <c r="O307" s="7"/>
      <c r="P307" s="7" t="s">
        <v>815</v>
      </c>
      <c r="Q307" s="7"/>
      <c r="R307" s="7"/>
      <c r="S307" s="3" t="s">
        <v>40</v>
      </c>
      <c r="T307" s="7" t="s">
        <v>41</v>
      </c>
      <c r="U307" s="7"/>
      <c r="V307" s="4" t="s">
        <v>42</v>
      </c>
      <c r="W307" s="4" t="s">
        <v>200</v>
      </c>
      <c r="X307" s="4" t="s">
        <v>201</v>
      </c>
      <c r="Y307" s="7" t="s">
        <v>78</v>
      </c>
      <c r="Z307" s="7"/>
      <c r="AA307" s="4" t="s">
        <v>46</v>
      </c>
      <c r="AB307" s="4" t="s">
        <v>47</v>
      </c>
      <c r="AC307" s="4" t="s">
        <v>136</v>
      </c>
      <c r="AD307" s="4" t="s">
        <v>324</v>
      </c>
      <c r="AE307" s="4" t="s">
        <v>48</v>
      </c>
      <c r="AF307" s="4" t="s">
        <v>41</v>
      </c>
      <c r="AG307" s="4" t="s">
        <v>665</v>
      </c>
    </row>
    <row r="308" spans="1:33" ht="16.5" customHeight="1" x14ac:dyDescent="0.2">
      <c r="A308" s="2" t="s">
        <v>31</v>
      </c>
      <c r="B308" s="5" t="s">
        <v>54</v>
      </c>
      <c r="C308" s="5"/>
      <c r="D308" s="5"/>
      <c r="E308" s="6" t="s">
        <v>33</v>
      </c>
      <c r="F308" s="6"/>
      <c r="G308" s="7" t="s">
        <v>660</v>
      </c>
      <c r="H308" s="7"/>
      <c r="I308" s="7"/>
      <c r="J308" s="3" t="s">
        <v>35</v>
      </c>
      <c r="K308" s="4" t="s">
        <v>409</v>
      </c>
      <c r="L308" s="4" t="s">
        <v>37</v>
      </c>
      <c r="N308" s="7" t="s">
        <v>816</v>
      </c>
      <c r="O308" s="7"/>
      <c r="P308" s="7" t="s">
        <v>817</v>
      </c>
      <c r="Q308" s="7"/>
      <c r="R308" s="7"/>
      <c r="S308" s="3" t="s">
        <v>40</v>
      </c>
      <c r="T308" s="7" t="s">
        <v>41</v>
      </c>
      <c r="U308" s="7"/>
      <c r="V308" s="4" t="s">
        <v>51</v>
      </c>
      <c r="W308" s="4" t="s">
        <v>818</v>
      </c>
      <c r="X308" s="4" t="s">
        <v>633</v>
      </c>
      <c r="Y308" s="7" t="s">
        <v>60</v>
      </c>
      <c r="Z308" s="7"/>
      <c r="AA308" s="4" t="s">
        <v>46</v>
      </c>
      <c r="AB308" s="4" t="s">
        <v>47</v>
      </c>
      <c r="AC308" s="4" t="s">
        <v>79</v>
      </c>
      <c r="AD308" s="4" t="s">
        <v>80</v>
      </c>
      <c r="AE308" s="4" t="s">
        <v>48</v>
      </c>
      <c r="AF308" s="4" t="s">
        <v>41</v>
      </c>
      <c r="AG308" s="4" t="s">
        <v>665</v>
      </c>
    </row>
    <row r="309" spans="1:33" ht="16.5" customHeight="1" x14ac:dyDescent="0.2">
      <c r="A309" s="2" t="s">
        <v>31</v>
      </c>
      <c r="B309" s="5" t="s">
        <v>54</v>
      </c>
      <c r="C309" s="5"/>
      <c r="D309" s="5"/>
      <c r="E309" s="6" t="s">
        <v>33</v>
      </c>
      <c r="F309" s="6"/>
      <c r="G309" s="7" t="s">
        <v>660</v>
      </c>
      <c r="H309" s="7"/>
      <c r="I309" s="7"/>
      <c r="J309" s="3" t="s">
        <v>35</v>
      </c>
      <c r="K309" s="4" t="s">
        <v>143</v>
      </c>
      <c r="L309" s="4" t="s">
        <v>37</v>
      </c>
      <c r="N309" s="7" t="s">
        <v>819</v>
      </c>
      <c r="O309" s="7"/>
      <c r="P309" s="7" t="s">
        <v>820</v>
      </c>
      <c r="Q309" s="7"/>
      <c r="R309" s="7"/>
      <c r="S309" s="3" t="s">
        <v>40</v>
      </c>
      <c r="T309" s="7" t="s">
        <v>41</v>
      </c>
      <c r="U309" s="7"/>
      <c r="V309" s="4" t="s">
        <v>42</v>
      </c>
      <c r="W309" s="4" t="s">
        <v>818</v>
      </c>
      <c r="X309" s="4" t="s">
        <v>789</v>
      </c>
      <c r="Y309" s="7" t="s">
        <v>135</v>
      </c>
      <c r="Z309" s="7"/>
      <c r="AA309" s="4" t="s">
        <v>46</v>
      </c>
      <c r="AB309" s="4" t="s">
        <v>47</v>
      </c>
      <c r="AC309" s="4" t="s">
        <v>136</v>
      </c>
      <c r="AD309" s="4" t="s">
        <v>137</v>
      </c>
      <c r="AE309" s="4" t="s">
        <v>48</v>
      </c>
      <c r="AF309" s="4" t="s">
        <v>41</v>
      </c>
      <c r="AG309" s="4" t="s">
        <v>665</v>
      </c>
    </row>
    <row r="310" spans="1:33" ht="16.5" customHeight="1" x14ac:dyDescent="0.2">
      <c r="A310" s="2" t="s">
        <v>31</v>
      </c>
      <c r="B310" s="5" t="s">
        <v>54</v>
      </c>
      <c r="C310" s="5"/>
      <c r="D310" s="5"/>
      <c r="E310" s="6" t="s">
        <v>33</v>
      </c>
      <c r="F310" s="6"/>
      <c r="G310" s="7" t="s">
        <v>660</v>
      </c>
      <c r="H310" s="7"/>
      <c r="I310" s="7"/>
      <c r="J310" s="3" t="s">
        <v>35</v>
      </c>
      <c r="K310" s="4" t="s">
        <v>149</v>
      </c>
      <c r="L310" s="4" t="s">
        <v>37</v>
      </c>
      <c r="N310" s="7" t="s">
        <v>821</v>
      </c>
      <c r="O310" s="7"/>
      <c r="P310" s="7" t="s">
        <v>822</v>
      </c>
      <c r="Q310" s="7"/>
      <c r="R310" s="7"/>
      <c r="S310" s="3" t="s">
        <v>40</v>
      </c>
      <c r="T310" s="7" t="s">
        <v>41</v>
      </c>
      <c r="U310" s="7"/>
      <c r="V310" s="4" t="s">
        <v>42</v>
      </c>
      <c r="W310" s="4" t="s">
        <v>428</v>
      </c>
      <c r="X310" s="4" t="s">
        <v>429</v>
      </c>
      <c r="Y310" s="7" t="s">
        <v>78</v>
      </c>
      <c r="Z310" s="7"/>
      <c r="AA310" s="4" t="s">
        <v>46</v>
      </c>
      <c r="AB310" s="4" t="s">
        <v>47</v>
      </c>
      <c r="AC310" s="4" t="s">
        <v>136</v>
      </c>
      <c r="AD310" s="4" t="s">
        <v>137</v>
      </c>
      <c r="AE310" s="4" t="s">
        <v>48</v>
      </c>
      <c r="AF310" s="4" t="s">
        <v>41</v>
      </c>
      <c r="AG310" s="4" t="s">
        <v>665</v>
      </c>
    </row>
    <row r="311" spans="1:33" ht="16.5" customHeight="1" x14ac:dyDescent="0.2">
      <c r="A311" s="2" t="s">
        <v>31</v>
      </c>
      <c r="B311" s="5" t="s">
        <v>54</v>
      </c>
      <c r="C311" s="5"/>
      <c r="D311" s="5"/>
      <c r="E311" s="6" t="s">
        <v>33</v>
      </c>
      <c r="F311" s="6"/>
      <c r="G311" s="7" t="s">
        <v>660</v>
      </c>
      <c r="H311" s="7"/>
      <c r="I311" s="7"/>
      <c r="J311" s="3" t="s">
        <v>35</v>
      </c>
      <c r="K311" s="4" t="s">
        <v>143</v>
      </c>
      <c r="L311" s="4" t="s">
        <v>37</v>
      </c>
      <c r="N311" s="7" t="s">
        <v>823</v>
      </c>
      <c r="O311" s="7"/>
      <c r="P311" s="7" t="s">
        <v>824</v>
      </c>
      <c r="Q311" s="7"/>
      <c r="R311" s="7"/>
      <c r="S311" s="3" t="s">
        <v>40</v>
      </c>
      <c r="T311" s="7" t="s">
        <v>41</v>
      </c>
      <c r="U311" s="7"/>
      <c r="V311" s="4" t="s">
        <v>42</v>
      </c>
      <c r="W311" s="4" t="s">
        <v>825</v>
      </c>
      <c r="X311" s="4" t="s">
        <v>430</v>
      </c>
      <c r="Y311" s="7" t="s">
        <v>135</v>
      </c>
      <c r="Z311" s="7"/>
      <c r="AA311" s="4" t="s">
        <v>46</v>
      </c>
      <c r="AB311" s="4" t="s">
        <v>47</v>
      </c>
      <c r="AC311" s="4" t="s">
        <v>136</v>
      </c>
      <c r="AD311" s="4" t="s">
        <v>137</v>
      </c>
      <c r="AE311" s="4" t="s">
        <v>48</v>
      </c>
      <c r="AF311" s="4" t="s">
        <v>41</v>
      </c>
      <c r="AG311" s="4" t="s">
        <v>665</v>
      </c>
    </row>
    <row r="312" spans="1:33" ht="16.5" customHeight="1" x14ac:dyDescent="0.2">
      <c r="A312" s="2" t="s">
        <v>31</v>
      </c>
      <c r="B312" s="5" t="s">
        <v>54</v>
      </c>
      <c r="C312" s="5"/>
      <c r="D312" s="5"/>
      <c r="E312" s="6" t="s">
        <v>33</v>
      </c>
      <c r="F312" s="6"/>
      <c r="G312" s="7" t="s">
        <v>660</v>
      </c>
      <c r="H312" s="7"/>
      <c r="I312" s="7"/>
      <c r="J312" s="3" t="s">
        <v>35</v>
      </c>
      <c r="K312" s="4" t="s">
        <v>143</v>
      </c>
      <c r="L312" s="4" t="s">
        <v>37</v>
      </c>
      <c r="N312" s="7" t="s">
        <v>826</v>
      </c>
      <c r="O312" s="7"/>
      <c r="P312" s="7" t="s">
        <v>827</v>
      </c>
      <c r="Q312" s="7"/>
      <c r="R312" s="7"/>
      <c r="S312" s="3" t="s">
        <v>40</v>
      </c>
      <c r="T312" s="7" t="s">
        <v>41</v>
      </c>
      <c r="U312" s="7"/>
      <c r="V312" s="4" t="s">
        <v>42</v>
      </c>
      <c r="W312" s="4" t="s">
        <v>604</v>
      </c>
      <c r="X312" s="4" t="s">
        <v>605</v>
      </c>
      <c r="Y312" s="7" t="s">
        <v>135</v>
      </c>
      <c r="Z312" s="7"/>
      <c r="AA312" s="4" t="s">
        <v>46</v>
      </c>
      <c r="AB312" s="4" t="s">
        <v>47</v>
      </c>
      <c r="AC312" s="4" t="s">
        <v>136</v>
      </c>
      <c r="AD312" s="4" t="s">
        <v>137</v>
      </c>
      <c r="AE312" s="4" t="s">
        <v>48</v>
      </c>
      <c r="AF312" s="4" t="s">
        <v>41</v>
      </c>
      <c r="AG312" s="4" t="s">
        <v>665</v>
      </c>
    </row>
    <row r="313" spans="1:33" ht="16.5" customHeight="1" x14ac:dyDescent="0.2">
      <c r="A313" s="2" t="s">
        <v>31</v>
      </c>
      <c r="B313" s="5" t="s">
        <v>54</v>
      </c>
      <c r="C313" s="5"/>
      <c r="D313" s="5"/>
      <c r="E313" s="6" t="s">
        <v>33</v>
      </c>
      <c r="F313" s="6"/>
      <c r="G313" s="7" t="s">
        <v>660</v>
      </c>
      <c r="H313" s="7"/>
      <c r="I313" s="7"/>
      <c r="J313" s="3" t="s">
        <v>35</v>
      </c>
      <c r="K313" s="4" t="s">
        <v>149</v>
      </c>
      <c r="L313" s="4" t="s">
        <v>280</v>
      </c>
      <c r="N313" s="7" t="s">
        <v>828</v>
      </c>
      <c r="O313" s="7"/>
      <c r="P313" s="7" t="s">
        <v>829</v>
      </c>
      <c r="Q313" s="7"/>
      <c r="R313" s="7"/>
      <c r="S313" s="3" t="s">
        <v>40</v>
      </c>
      <c r="T313" s="7" t="s">
        <v>41</v>
      </c>
      <c r="U313" s="7"/>
      <c r="V313" s="4" t="s">
        <v>42</v>
      </c>
      <c r="W313" s="4" t="s">
        <v>58</v>
      </c>
      <c r="X313" s="4" t="s">
        <v>59</v>
      </c>
      <c r="Y313" s="7" t="s">
        <v>78</v>
      </c>
      <c r="Z313" s="7"/>
      <c r="AA313" s="4" t="s">
        <v>46</v>
      </c>
      <c r="AB313" s="4" t="s">
        <v>47</v>
      </c>
      <c r="AC313" s="4" t="s">
        <v>79</v>
      </c>
      <c r="AD313" s="4" t="s">
        <v>285</v>
      </c>
      <c r="AE313" s="4" t="s">
        <v>48</v>
      </c>
      <c r="AF313" s="4" t="s">
        <v>41</v>
      </c>
      <c r="AG313" s="4" t="s">
        <v>665</v>
      </c>
    </row>
    <row r="314" spans="1:33" ht="16.5" customHeight="1" x14ac:dyDescent="0.2">
      <c r="A314" s="2" t="s">
        <v>31</v>
      </c>
      <c r="B314" s="5" t="s">
        <v>54</v>
      </c>
      <c r="C314" s="5"/>
      <c r="D314" s="5"/>
      <c r="E314" s="6" t="s">
        <v>33</v>
      </c>
      <c r="F314" s="6"/>
      <c r="G314" s="7" t="s">
        <v>660</v>
      </c>
      <c r="H314" s="7"/>
      <c r="I314" s="7"/>
      <c r="J314" s="3" t="s">
        <v>35</v>
      </c>
      <c r="K314" s="4" t="s">
        <v>143</v>
      </c>
      <c r="L314" s="4" t="s">
        <v>93</v>
      </c>
      <c r="N314" s="7" t="s">
        <v>830</v>
      </c>
      <c r="O314" s="7"/>
      <c r="P314" s="7" t="s">
        <v>831</v>
      </c>
      <c r="Q314" s="7"/>
      <c r="R314" s="7"/>
      <c r="S314" s="3" t="s">
        <v>40</v>
      </c>
      <c r="T314" s="7" t="s">
        <v>41</v>
      </c>
      <c r="U314" s="7"/>
      <c r="V314" s="4" t="s">
        <v>42</v>
      </c>
      <c r="W314" s="4" t="s">
        <v>309</v>
      </c>
      <c r="X314" s="4" t="s">
        <v>306</v>
      </c>
      <c r="Y314" s="7" t="s">
        <v>135</v>
      </c>
      <c r="Z314" s="7"/>
      <c r="AA314" s="4" t="s">
        <v>46</v>
      </c>
      <c r="AB314" s="4" t="s">
        <v>47</v>
      </c>
      <c r="AC314" s="4" t="s">
        <v>136</v>
      </c>
      <c r="AD314" s="4" t="s">
        <v>148</v>
      </c>
      <c r="AE314" s="4" t="s">
        <v>48</v>
      </c>
      <c r="AF314" s="4" t="s">
        <v>41</v>
      </c>
      <c r="AG314" s="4" t="s">
        <v>665</v>
      </c>
    </row>
    <row r="315" spans="1:33" ht="16.5" customHeight="1" x14ac:dyDescent="0.2">
      <c r="A315" s="2" t="s">
        <v>31</v>
      </c>
      <c r="B315" s="5" t="s">
        <v>54</v>
      </c>
      <c r="C315" s="5"/>
      <c r="D315" s="5"/>
      <c r="E315" s="6" t="s">
        <v>33</v>
      </c>
      <c r="F315" s="6"/>
      <c r="G315" s="7" t="s">
        <v>660</v>
      </c>
      <c r="H315" s="7"/>
      <c r="I315" s="7"/>
      <c r="J315" s="3" t="s">
        <v>35</v>
      </c>
      <c r="K315" s="4" t="s">
        <v>248</v>
      </c>
      <c r="L315" s="4" t="s">
        <v>37</v>
      </c>
      <c r="N315" s="7" t="s">
        <v>832</v>
      </c>
      <c r="O315" s="7"/>
      <c r="P315" s="7" t="s">
        <v>833</v>
      </c>
      <c r="Q315" s="7"/>
      <c r="R315" s="7"/>
      <c r="S315" s="3" t="s">
        <v>40</v>
      </c>
      <c r="T315" s="7" t="s">
        <v>41</v>
      </c>
      <c r="U315" s="7"/>
      <c r="V315" s="4" t="s">
        <v>42</v>
      </c>
      <c r="W315" s="4" t="s">
        <v>309</v>
      </c>
      <c r="X315" s="4" t="s">
        <v>306</v>
      </c>
      <c r="Y315" s="7" t="s">
        <v>60</v>
      </c>
      <c r="Z315" s="7"/>
      <c r="AA315" s="4" t="s">
        <v>46</v>
      </c>
      <c r="AB315" s="4" t="s">
        <v>47</v>
      </c>
      <c r="AC315" s="4" t="s">
        <v>79</v>
      </c>
      <c r="AD315" s="4" t="s">
        <v>80</v>
      </c>
      <c r="AE315" s="4" t="s">
        <v>48</v>
      </c>
      <c r="AF315" s="4" t="s">
        <v>41</v>
      </c>
      <c r="AG315" s="4" t="s">
        <v>665</v>
      </c>
    </row>
    <row r="316" spans="1:33" ht="16.5" customHeight="1" x14ac:dyDescent="0.2">
      <c r="A316" s="2" t="s">
        <v>31</v>
      </c>
      <c r="B316" s="5" t="s">
        <v>54</v>
      </c>
      <c r="C316" s="5"/>
      <c r="D316" s="5"/>
      <c r="E316" s="6" t="s">
        <v>33</v>
      </c>
      <c r="F316" s="6"/>
      <c r="G316" s="7" t="s">
        <v>660</v>
      </c>
      <c r="H316" s="7"/>
      <c r="I316" s="7"/>
      <c r="J316" s="3" t="s">
        <v>35</v>
      </c>
      <c r="K316" s="4" t="s">
        <v>657</v>
      </c>
      <c r="L316" s="4" t="s">
        <v>37</v>
      </c>
      <c r="N316" s="7" t="s">
        <v>834</v>
      </c>
      <c r="O316" s="7"/>
      <c r="P316" s="7" t="s">
        <v>835</v>
      </c>
      <c r="Q316" s="7"/>
      <c r="R316" s="7"/>
      <c r="S316" s="3" t="s">
        <v>40</v>
      </c>
      <c r="T316" s="7" t="s">
        <v>41</v>
      </c>
      <c r="U316" s="7"/>
      <c r="V316" s="4" t="s">
        <v>42</v>
      </c>
      <c r="W316" s="4" t="s">
        <v>43</v>
      </c>
      <c r="X316" s="4" t="s">
        <v>44</v>
      </c>
      <c r="Y316" s="7" t="s">
        <v>197</v>
      </c>
      <c r="Z316" s="7"/>
      <c r="AA316" s="4" t="s">
        <v>46</v>
      </c>
      <c r="AB316" s="4" t="s">
        <v>47</v>
      </c>
      <c r="AC316" s="4" t="s">
        <v>259</v>
      </c>
      <c r="AD316" s="4" t="s">
        <v>260</v>
      </c>
      <c r="AE316" s="4" t="s">
        <v>48</v>
      </c>
      <c r="AF316" s="4" t="s">
        <v>41</v>
      </c>
      <c r="AG316" s="4" t="s">
        <v>665</v>
      </c>
    </row>
    <row r="317" spans="1:33" ht="16.5" customHeight="1" x14ac:dyDescent="0.2">
      <c r="A317" s="2" t="s">
        <v>31</v>
      </c>
      <c r="B317" s="5" t="s">
        <v>54</v>
      </c>
      <c r="C317" s="5"/>
      <c r="D317" s="5"/>
      <c r="E317" s="6" t="s">
        <v>33</v>
      </c>
      <c r="F317" s="6"/>
      <c r="G317" s="7" t="s">
        <v>660</v>
      </c>
      <c r="H317" s="7"/>
      <c r="I317" s="7"/>
      <c r="J317" s="3" t="s">
        <v>35</v>
      </c>
      <c r="K317" s="4" t="s">
        <v>92</v>
      </c>
      <c r="L317" s="4" t="s">
        <v>37</v>
      </c>
      <c r="N317" s="7" t="s">
        <v>836</v>
      </c>
      <c r="O317" s="7"/>
      <c r="P317" s="7" t="s">
        <v>837</v>
      </c>
      <c r="Q317" s="7"/>
      <c r="R317" s="7"/>
      <c r="S317" s="3" t="s">
        <v>40</v>
      </c>
      <c r="T317" s="7" t="s">
        <v>41</v>
      </c>
      <c r="U317" s="7"/>
      <c r="V317" s="4" t="s">
        <v>42</v>
      </c>
      <c r="W317" s="4" t="s">
        <v>43</v>
      </c>
      <c r="X317" s="4" t="s">
        <v>44</v>
      </c>
      <c r="Y317" s="7" t="s">
        <v>78</v>
      </c>
      <c r="Z317" s="7"/>
      <c r="AA317" s="4" t="s">
        <v>46</v>
      </c>
      <c r="AB317" s="4" t="s">
        <v>47</v>
      </c>
      <c r="AC317" s="4" t="s">
        <v>136</v>
      </c>
      <c r="AD317" s="4" t="s">
        <v>137</v>
      </c>
      <c r="AE317" s="4" t="s">
        <v>48</v>
      </c>
      <c r="AF317" s="4" t="s">
        <v>41</v>
      </c>
      <c r="AG317" s="4" t="s">
        <v>665</v>
      </c>
    </row>
    <row r="318" spans="1:33" ht="16.5" customHeight="1" x14ac:dyDescent="0.2">
      <c r="A318" s="2" t="s">
        <v>31</v>
      </c>
      <c r="B318" s="5" t="s">
        <v>54</v>
      </c>
      <c r="C318" s="5"/>
      <c r="D318" s="5"/>
      <c r="E318" s="6" t="s">
        <v>33</v>
      </c>
      <c r="F318" s="6"/>
      <c r="G318" s="7" t="s">
        <v>660</v>
      </c>
      <c r="H318" s="7"/>
      <c r="I318" s="7"/>
      <c r="J318" s="3" t="s">
        <v>35</v>
      </c>
      <c r="K318" s="4" t="s">
        <v>92</v>
      </c>
      <c r="L318" s="4" t="s">
        <v>37</v>
      </c>
      <c r="N318" s="7" t="s">
        <v>838</v>
      </c>
      <c r="O318" s="7"/>
      <c r="P318" s="7" t="s">
        <v>839</v>
      </c>
      <c r="Q318" s="7"/>
      <c r="R318" s="7"/>
      <c r="S318" s="3" t="s">
        <v>40</v>
      </c>
      <c r="T318" s="7" t="s">
        <v>41</v>
      </c>
      <c r="U318" s="7"/>
      <c r="V318" s="4" t="s">
        <v>42</v>
      </c>
      <c r="W318" s="4" t="s">
        <v>58</v>
      </c>
      <c r="X318" s="4" t="s">
        <v>59</v>
      </c>
      <c r="Y318" s="7" t="s">
        <v>78</v>
      </c>
      <c r="Z318" s="7"/>
      <c r="AA318" s="4" t="s">
        <v>46</v>
      </c>
      <c r="AB318" s="4" t="s">
        <v>47</v>
      </c>
      <c r="AC318" s="4" t="s">
        <v>79</v>
      </c>
      <c r="AD318" s="4" t="s">
        <v>80</v>
      </c>
      <c r="AE318" s="4" t="s">
        <v>48</v>
      </c>
      <c r="AF318" s="4" t="s">
        <v>41</v>
      </c>
      <c r="AG318" s="4" t="s">
        <v>665</v>
      </c>
    </row>
    <row r="319" spans="1:33" ht="16.5" customHeight="1" x14ac:dyDescent="0.2">
      <c r="A319" s="2" t="s">
        <v>31</v>
      </c>
      <c r="B319" s="5" t="s">
        <v>54</v>
      </c>
      <c r="C319" s="5"/>
      <c r="D319" s="5"/>
      <c r="E319" s="6" t="s">
        <v>33</v>
      </c>
      <c r="F319" s="6"/>
      <c r="G319" s="7" t="s">
        <v>660</v>
      </c>
      <c r="H319" s="7"/>
      <c r="I319" s="7"/>
      <c r="J319" s="3" t="s">
        <v>35</v>
      </c>
      <c r="K319" s="4" t="s">
        <v>55</v>
      </c>
      <c r="L319" s="4" t="s">
        <v>37</v>
      </c>
      <c r="N319" s="7" t="s">
        <v>840</v>
      </c>
      <c r="O319" s="7"/>
      <c r="P319" s="7" t="s">
        <v>841</v>
      </c>
      <c r="Q319" s="7"/>
      <c r="R319" s="7"/>
      <c r="S319" s="3" t="s">
        <v>40</v>
      </c>
      <c r="T319" s="7" t="s">
        <v>41</v>
      </c>
      <c r="U319" s="7"/>
      <c r="V319" s="4" t="s">
        <v>42</v>
      </c>
      <c r="W319" s="4" t="s">
        <v>43</v>
      </c>
      <c r="X319" s="4" t="s">
        <v>44</v>
      </c>
      <c r="Y319" s="7" t="s">
        <v>60</v>
      </c>
      <c r="Z319" s="7"/>
      <c r="AA319" s="4" t="s">
        <v>46</v>
      </c>
      <c r="AB319" s="4" t="s">
        <v>47</v>
      </c>
      <c r="AC319" s="4" t="s">
        <v>79</v>
      </c>
      <c r="AD319" s="4" t="s">
        <v>80</v>
      </c>
      <c r="AE319" s="4" t="s">
        <v>48</v>
      </c>
      <c r="AF319" s="4" t="s">
        <v>41</v>
      </c>
      <c r="AG319" s="4" t="s">
        <v>665</v>
      </c>
    </row>
    <row r="320" spans="1:33" ht="16.5" customHeight="1" x14ac:dyDescent="0.2">
      <c r="A320" s="2" t="s">
        <v>31</v>
      </c>
      <c r="B320" s="5" t="s">
        <v>54</v>
      </c>
      <c r="C320" s="5"/>
      <c r="D320" s="5"/>
      <c r="E320" s="6" t="s">
        <v>33</v>
      </c>
      <c r="F320" s="6"/>
      <c r="G320" s="7" t="s">
        <v>660</v>
      </c>
      <c r="H320" s="7"/>
      <c r="I320" s="7"/>
      <c r="J320" s="3" t="s">
        <v>35</v>
      </c>
      <c r="K320" s="4" t="s">
        <v>55</v>
      </c>
      <c r="L320" s="4" t="s">
        <v>37</v>
      </c>
      <c r="N320" s="7" t="s">
        <v>842</v>
      </c>
      <c r="O320" s="7"/>
      <c r="P320" s="7" t="s">
        <v>843</v>
      </c>
      <c r="Q320" s="7"/>
      <c r="R320" s="7"/>
      <c r="S320" s="3" t="s">
        <v>40</v>
      </c>
      <c r="T320" s="7" t="s">
        <v>41</v>
      </c>
      <c r="U320" s="7"/>
      <c r="V320" s="4" t="s">
        <v>42</v>
      </c>
      <c r="W320" s="4" t="s">
        <v>234</v>
      </c>
      <c r="X320" s="4" t="s">
        <v>235</v>
      </c>
      <c r="Y320" s="7" t="s">
        <v>60</v>
      </c>
      <c r="Z320" s="7"/>
      <c r="AA320" s="4" t="s">
        <v>46</v>
      </c>
      <c r="AB320" s="4" t="s">
        <v>47</v>
      </c>
      <c r="AC320" s="4" t="s">
        <v>79</v>
      </c>
      <c r="AD320" s="4" t="s">
        <v>80</v>
      </c>
      <c r="AE320" s="4" t="s">
        <v>48</v>
      </c>
      <c r="AF320" s="4" t="s">
        <v>41</v>
      </c>
      <c r="AG320" s="4" t="s">
        <v>665</v>
      </c>
    </row>
    <row r="321" spans="1:33" ht="16.5" customHeight="1" x14ac:dyDescent="0.2">
      <c r="A321" s="2" t="s">
        <v>31</v>
      </c>
      <c r="B321" s="5" t="s">
        <v>54</v>
      </c>
      <c r="C321" s="5"/>
      <c r="D321" s="5"/>
      <c r="E321" s="6" t="s">
        <v>33</v>
      </c>
      <c r="F321" s="6"/>
      <c r="G321" s="7" t="s">
        <v>660</v>
      </c>
      <c r="H321" s="7"/>
      <c r="I321" s="7"/>
      <c r="J321" s="3" t="s">
        <v>35</v>
      </c>
      <c r="K321" s="4" t="s">
        <v>118</v>
      </c>
      <c r="L321" s="4" t="s">
        <v>37</v>
      </c>
      <c r="N321" s="7" t="s">
        <v>844</v>
      </c>
      <c r="O321" s="7"/>
      <c r="P321" s="7" t="s">
        <v>845</v>
      </c>
      <c r="Q321" s="7"/>
      <c r="R321" s="7"/>
      <c r="S321" s="3" t="s">
        <v>40</v>
      </c>
      <c r="T321" s="7" t="s">
        <v>41</v>
      </c>
      <c r="U321" s="7"/>
      <c r="V321" s="4" t="s">
        <v>42</v>
      </c>
      <c r="W321" s="4" t="s">
        <v>323</v>
      </c>
      <c r="X321" s="4" t="s">
        <v>52</v>
      </c>
      <c r="Y321" s="7" t="s">
        <v>60</v>
      </c>
      <c r="Z321" s="7"/>
      <c r="AA321" s="4" t="s">
        <v>46</v>
      </c>
      <c r="AB321" s="4" t="s">
        <v>47</v>
      </c>
      <c r="AC321" s="4" t="s">
        <v>79</v>
      </c>
      <c r="AD321" s="4" t="s">
        <v>80</v>
      </c>
      <c r="AE321" s="4" t="s">
        <v>48</v>
      </c>
      <c r="AF321" s="4" t="s">
        <v>41</v>
      </c>
      <c r="AG321" s="4" t="s">
        <v>665</v>
      </c>
    </row>
    <row r="322" spans="1:33" ht="16.5" customHeight="1" x14ac:dyDescent="0.2">
      <c r="A322" s="2" t="s">
        <v>31</v>
      </c>
      <c r="B322" s="5" t="s">
        <v>54</v>
      </c>
      <c r="C322" s="5"/>
      <c r="D322" s="5"/>
      <c r="E322" s="6" t="s">
        <v>33</v>
      </c>
      <c r="F322" s="6"/>
      <c r="G322" s="7" t="s">
        <v>660</v>
      </c>
      <c r="H322" s="7"/>
      <c r="I322" s="7"/>
      <c r="J322" s="3" t="s">
        <v>35</v>
      </c>
      <c r="K322" s="4" t="s">
        <v>55</v>
      </c>
      <c r="L322" s="4" t="s">
        <v>37</v>
      </c>
      <c r="N322" s="7" t="s">
        <v>844</v>
      </c>
      <c r="O322" s="7"/>
      <c r="P322" s="7" t="s">
        <v>845</v>
      </c>
      <c r="Q322" s="7"/>
      <c r="R322" s="7"/>
      <c r="S322" s="3" t="s">
        <v>40</v>
      </c>
      <c r="T322" s="7" t="s">
        <v>41</v>
      </c>
      <c r="U322" s="7"/>
      <c r="V322" s="4" t="s">
        <v>51</v>
      </c>
      <c r="W322" s="4" t="s">
        <v>323</v>
      </c>
      <c r="X322" s="4" t="s">
        <v>330</v>
      </c>
      <c r="Y322" s="7" t="s">
        <v>60</v>
      </c>
      <c r="Z322" s="7"/>
      <c r="AA322" s="4" t="s">
        <v>46</v>
      </c>
      <c r="AB322" s="4" t="s">
        <v>47</v>
      </c>
      <c r="AC322" s="4" t="s">
        <v>79</v>
      </c>
      <c r="AD322" s="4" t="s">
        <v>80</v>
      </c>
      <c r="AE322" s="4" t="s">
        <v>48</v>
      </c>
      <c r="AF322" s="4" t="s">
        <v>41</v>
      </c>
      <c r="AG322" s="4" t="s">
        <v>665</v>
      </c>
    </row>
    <row r="323" spans="1:33" ht="16.5" customHeight="1" x14ac:dyDescent="0.2">
      <c r="A323" s="2" t="s">
        <v>31</v>
      </c>
      <c r="B323" s="5" t="s">
        <v>54</v>
      </c>
      <c r="C323" s="5"/>
      <c r="D323" s="5"/>
      <c r="E323" s="6" t="s">
        <v>33</v>
      </c>
      <c r="F323" s="6"/>
      <c r="G323" s="7" t="s">
        <v>660</v>
      </c>
      <c r="H323" s="7"/>
      <c r="I323" s="7"/>
      <c r="J323" s="3" t="s">
        <v>35</v>
      </c>
      <c r="K323" s="4" t="s">
        <v>55</v>
      </c>
      <c r="L323" s="4" t="s">
        <v>93</v>
      </c>
      <c r="N323" s="7" t="s">
        <v>846</v>
      </c>
      <c r="O323" s="7"/>
      <c r="P323" s="7" t="s">
        <v>847</v>
      </c>
      <c r="Q323" s="7"/>
      <c r="R323" s="7"/>
      <c r="S323" s="3" t="s">
        <v>40</v>
      </c>
      <c r="T323" s="7" t="s">
        <v>41</v>
      </c>
      <c r="U323" s="7"/>
      <c r="V323" s="4" t="s">
        <v>42</v>
      </c>
      <c r="W323" s="4" t="s">
        <v>323</v>
      </c>
      <c r="X323" s="4" t="s">
        <v>52</v>
      </c>
      <c r="Y323" s="7" t="s">
        <v>60</v>
      </c>
      <c r="Z323" s="7"/>
      <c r="AA323" s="4" t="s">
        <v>46</v>
      </c>
      <c r="AB323" s="4" t="s">
        <v>47</v>
      </c>
      <c r="AC323" s="4" t="s">
        <v>79</v>
      </c>
      <c r="AD323" s="4" t="s">
        <v>96</v>
      </c>
      <c r="AE323" s="4" t="s">
        <v>48</v>
      </c>
      <c r="AF323" s="4" t="s">
        <v>41</v>
      </c>
      <c r="AG323" s="4" t="s">
        <v>665</v>
      </c>
    </row>
    <row r="324" spans="1:33" ht="16.5" customHeight="1" x14ac:dyDescent="0.2">
      <c r="A324" s="2" t="s">
        <v>31</v>
      </c>
      <c r="B324" s="5" t="s">
        <v>54</v>
      </c>
      <c r="C324" s="5"/>
      <c r="D324" s="5"/>
      <c r="E324" s="6" t="s">
        <v>33</v>
      </c>
      <c r="F324" s="6"/>
      <c r="G324" s="7" t="s">
        <v>660</v>
      </c>
      <c r="H324" s="7"/>
      <c r="I324" s="7"/>
      <c r="J324" s="3" t="s">
        <v>35</v>
      </c>
      <c r="K324" s="4" t="s">
        <v>55</v>
      </c>
      <c r="L324" s="4" t="s">
        <v>93</v>
      </c>
      <c r="N324" s="7" t="s">
        <v>846</v>
      </c>
      <c r="O324" s="7"/>
      <c r="P324" s="7" t="s">
        <v>847</v>
      </c>
      <c r="Q324" s="7"/>
      <c r="R324" s="7"/>
      <c r="S324" s="3" t="s">
        <v>40</v>
      </c>
      <c r="T324" s="7" t="s">
        <v>41</v>
      </c>
      <c r="U324" s="7"/>
      <c r="V324" s="4" t="s">
        <v>51</v>
      </c>
      <c r="W324" s="4" t="s">
        <v>323</v>
      </c>
      <c r="X324" s="4" t="s">
        <v>330</v>
      </c>
      <c r="Y324" s="7" t="s">
        <v>60</v>
      </c>
      <c r="Z324" s="7"/>
      <c r="AA324" s="4" t="s">
        <v>46</v>
      </c>
      <c r="AB324" s="4" t="s">
        <v>47</v>
      </c>
      <c r="AC324" s="4" t="s">
        <v>79</v>
      </c>
      <c r="AD324" s="4" t="s">
        <v>96</v>
      </c>
      <c r="AE324" s="4" t="s">
        <v>48</v>
      </c>
      <c r="AF324" s="4" t="s">
        <v>41</v>
      </c>
      <c r="AG324" s="4" t="s">
        <v>665</v>
      </c>
    </row>
    <row r="325" spans="1:33" ht="16.5" customHeight="1" x14ac:dyDescent="0.2">
      <c r="A325" s="2" t="s">
        <v>31</v>
      </c>
      <c r="B325" s="5" t="s">
        <v>54</v>
      </c>
      <c r="C325" s="5"/>
      <c r="D325" s="5"/>
      <c r="E325" s="6" t="s">
        <v>33</v>
      </c>
      <c r="F325" s="6"/>
      <c r="G325" s="7" t="s">
        <v>660</v>
      </c>
      <c r="H325" s="7"/>
      <c r="I325" s="7"/>
      <c r="J325" s="3" t="s">
        <v>35</v>
      </c>
      <c r="K325" s="4" t="s">
        <v>657</v>
      </c>
      <c r="L325" s="4" t="s">
        <v>37</v>
      </c>
      <c r="N325" s="7" t="s">
        <v>848</v>
      </c>
      <c r="O325" s="7"/>
      <c r="P325" s="7" t="s">
        <v>849</v>
      </c>
      <c r="Q325" s="7"/>
      <c r="R325" s="7"/>
      <c r="S325" s="3" t="s">
        <v>40</v>
      </c>
      <c r="T325" s="7" t="s">
        <v>41</v>
      </c>
      <c r="U325" s="7"/>
      <c r="V325" s="4" t="s">
        <v>42</v>
      </c>
      <c r="W325" s="4" t="s">
        <v>850</v>
      </c>
      <c r="X325" s="4" t="s">
        <v>574</v>
      </c>
      <c r="Y325" s="7" t="s">
        <v>197</v>
      </c>
      <c r="Z325" s="7"/>
      <c r="AA325" s="4" t="s">
        <v>46</v>
      </c>
      <c r="AB325" s="4" t="s">
        <v>47</v>
      </c>
      <c r="AC325" s="4" t="s">
        <v>259</v>
      </c>
      <c r="AD325" s="4" t="s">
        <v>260</v>
      </c>
      <c r="AE325" s="4" t="s">
        <v>48</v>
      </c>
      <c r="AF325" s="4" t="s">
        <v>41</v>
      </c>
      <c r="AG325" s="4" t="s">
        <v>665</v>
      </c>
    </row>
    <row r="326" spans="1:33" ht="16.5" customHeight="1" x14ac:dyDescent="0.2">
      <c r="A326" s="2" t="s">
        <v>31</v>
      </c>
      <c r="B326" s="5" t="s">
        <v>54</v>
      </c>
      <c r="C326" s="5"/>
      <c r="D326" s="5"/>
      <c r="E326" s="6" t="s">
        <v>33</v>
      </c>
      <c r="F326" s="6"/>
      <c r="G326" s="7" t="s">
        <v>660</v>
      </c>
      <c r="H326" s="7"/>
      <c r="I326" s="7"/>
      <c r="J326" s="3" t="s">
        <v>35</v>
      </c>
      <c r="K326" s="4" t="s">
        <v>149</v>
      </c>
      <c r="L326" s="4" t="s">
        <v>37</v>
      </c>
      <c r="N326" s="7" t="s">
        <v>851</v>
      </c>
      <c r="O326" s="7"/>
      <c r="P326" s="7" t="s">
        <v>852</v>
      </c>
      <c r="Q326" s="7"/>
      <c r="R326" s="7"/>
      <c r="S326" s="3" t="s">
        <v>40</v>
      </c>
      <c r="T326" s="7" t="s">
        <v>41</v>
      </c>
      <c r="U326" s="7"/>
      <c r="V326" s="4" t="s">
        <v>42</v>
      </c>
      <c r="W326" s="4" t="s">
        <v>333</v>
      </c>
      <c r="X326" s="4" t="s">
        <v>334</v>
      </c>
      <c r="Y326" s="7" t="s">
        <v>78</v>
      </c>
      <c r="Z326" s="7"/>
      <c r="AA326" s="4" t="s">
        <v>46</v>
      </c>
      <c r="AB326" s="4" t="s">
        <v>47</v>
      </c>
      <c r="AC326" s="4" t="s">
        <v>136</v>
      </c>
      <c r="AD326" s="4" t="s">
        <v>137</v>
      </c>
      <c r="AE326" s="4" t="s">
        <v>48</v>
      </c>
      <c r="AF326" s="4" t="s">
        <v>41</v>
      </c>
      <c r="AG326" s="4" t="s">
        <v>665</v>
      </c>
    </row>
    <row r="327" spans="1:33" ht="16.5" customHeight="1" x14ac:dyDescent="0.2">
      <c r="A327" s="2" t="s">
        <v>31</v>
      </c>
      <c r="B327" s="5" t="s">
        <v>54</v>
      </c>
      <c r="C327" s="5"/>
      <c r="D327" s="5"/>
      <c r="E327" s="6" t="s">
        <v>33</v>
      </c>
      <c r="F327" s="6"/>
      <c r="G327" s="7" t="s">
        <v>660</v>
      </c>
      <c r="H327" s="7"/>
      <c r="I327" s="7"/>
      <c r="J327" s="3" t="s">
        <v>35</v>
      </c>
      <c r="K327" s="4" t="s">
        <v>55</v>
      </c>
      <c r="L327" s="4" t="s">
        <v>37</v>
      </c>
      <c r="N327" s="7" t="s">
        <v>853</v>
      </c>
      <c r="O327" s="7"/>
      <c r="P327" s="7" t="s">
        <v>854</v>
      </c>
      <c r="Q327" s="7"/>
      <c r="R327" s="7"/>
      <c r="S327" s="3" t="s">
        <v>40</v>
      </c>
      <c r="T327" s="7" t="s">
        <v>41</v>
      </c>
      <c r="U327" s="7"/>
      <c r="V327" s="4" t="s">
        <v>42</v>
      </c>
      <c r="W327" s="4" t="s">
        <v>146</v>
      </c>
      <c r="X327" s="4" t="s">
        <v>147</v>
      </c>
      <c r="Y327" s="7" t="s">
        <v>60</v>
      </c>
      <c r="Z327" s="7"/>
      <c r="AA327" s="4" t="s">
        <v>46</v>
      </c>
      <c r="AB327" s="4" t="s">
        <v>47</v>
      </c>
      <c r="AC327" s="4" t="s">
        <v>79</v>
      </c>
      <c r="AD327" s="4" t="s">
        <v>80</v>
      </c>
      <c r="AE327" s="4" t="s">
        <v>48</v>
      </c>
      <c r="AF327" s="4" t="s">
        <v>41</v>
      </c>
      <c r="AG327" s="4" t="s">
        <v>665</v>
      </c>
    </row>
    <row r="328" spans="1:33" ht="16.5" customHeight="1" x14ac:dyDescent="0.2">
      <c r="A328" s="2" t="s">
        <v>31</v>
      </c>
      <c r="B328" s="5" t="s">
        <v>54</v>
      </c>
      <c r="C328" s="5"/>
      <c r="D328" s="5"/>
      <c r="E328" s="6" t="s">
        <v>33</v>
      </c>
      <c r="F328" s="6"/>
      <c r="G328" s="7" t="s">
        <v>660</v>
      </c>
      <c r="H328" s="7"/>
      <c r="I328" s="7"/>
      <c r="J328" s="3" t="s">
        <v>35</v>
      </c>
      <c r="K328" s="4" t="s">
        <v>143</v>
      </c>
      <c r="L328" s="4" t="s">
        <v>37</v>
      </c>
      <c r="N328" s="7" t="s">
        <v>855</v>
      </c>
      <c r="O328" s="7"/>
      <c r="P328" s="7" t="s">
        <v>856</v>
      </c>
      <c r="Q328" s="7"/>
      <c r="R328" s="7"/>
      <c r="S328" s="3" t="s">
        <v>40</v>
      </c>
      <c r="T328" s="7" t="s">
        <v>41</v>
      </c>
      <c r="U328" s="7"/>
      <c r="V328" s="4" t="s">
        <v>42</v>
      </c>
      <c r="W328" s="4" t="s">
        <v>146</v>
      </c>
      <c r="X328" s="4" t="s">
        <v>147</v>
      </c>
      <c r="Y328" s="7" t="s">
        <v>135</v>
      </c>
      <c r="Z328" s="7"/>
      <c r="AA328" s="4" t="s">
        <v>46</v>
      </c>
      <c r="AB328" s="4" t="s">
        <v>47</v>
      </c>
      <c r="AC328" s="4" t="s">
        <v>136</v>
      </c>
      <c r="AD328" s="4" t="s">
        <v>137</v>
      </c>
      <c r="AE328" s="4" t="s">
        <v>48</v>
      </c>
      <c r="AF328" s="4" t="s">
        <v>41</v>
      </c>
      <c r="AG328" s="4" t="s">
        <v>665</v>
      </c>
    </row>
    <row r="329" spans="1:33" ht="0.75" customHeight="1" x14ac:dyDescent="0.2"/>
    <row r="330" spans="1:33" ht="12" customHeight="1" x14ac:dyDescent="0.2"/>
    <row r="331" spans="1:33" ht="16.5" customHeight="1" x14ac:dyDescent="0.2">
      <c r="A331" s="2" t="s">
        <v>31</v>
      </c>
      <c r="B331" s="5" t="s">
        <v>54</v>
      </c>
      <c r="C331" s="5"/>
      <c r="D331" s="5"/>
      <c r="E331" s="6" t="s">
        <v>33</v>
      </c>
      <c r="F331" s="6"/>
      <c r="G331" s="7" t="s">
        <v>660</v>
      </c>
      <c r="H331" s="7"/>
      <c r="I331" s="7"/>
      <c r="J331" s="3" t="s">
        <v>35</v>
      </c>
      <c r="K331" s="4" t="s">
        <v>55</v>
      </c>
      <c r="L331" s="4" t="s">
        <v>37</v>
      </c>
      <c r="N331" s="7" t="s">
        <v>857</v>
      </c>
      <c r="O331" s="7"/>
      <c r="P331" s="7" t="s">
        <v>858</v>
      </c>
      <c r="Q331" s="7"/>
      <c r="R331" s="7"/>
      <c r="S331" s="3" t="s">
        <v>40</v>
      </c>
      <c r="T331" s="7" t="s">
        <v>41</v>
      </c>
      <c r="U331" s="7"/>
      <c r="V331" s="4" t="s">
        <v>42</v>
      </c>
      <c r="W331" s="4" t="s">
        <v>859</v>
      </c>
      <c r="X331" s="4" t="s">
        <v>341</v>
      </c>
      <c r="Y331" s="7" t="s">
        <v>60</v>
      </c>
      <c r="Z331" s="7"/>
      <c r="AA331" s="4" t="s">
        <v>46</v>
      </c>
      <c r="AB331" s="4" t="s">
        <v>47</v>
      </c>
      <c r="AC331" s="4" t="s">
        <v>79</v>
      </c>
      <c r="AD331" s="4" t="s">
        <v>80</v>
      </c>
      <c r="AE331" s="4" t="s">
        <v>48</v>
      </c>
      <c r="AF331" s="4" t="s">
        <v>41</v>
      </c>
      <c r="AG331" s="4" t="s">
        <v>665</v>
      </c>
    </row>
    <row r="332" spans="1:33" ht="16.5" customHeight="1" x14ac:dyDescent="0.2">
      <c r="A332" s="2" t="s">
        <v>31</v>
      </c>
      <c r="B332" s="5" t="s">
        <v>54</v>
      </c>
      <c r="C332" s="5"/>
      <c r="D332" s="5"/>
      <c r="E332" s="6" t="s">
        <v>33</v>
      </c>
      <c r="F332" s="6"/>
      <c r="G332" s="7" t="s">
        <v>660</v>
      </c>
      <c r="H332" s="7"/>
      <c r="I332" s="7"/>
      <c r="J332" s="3" t="s">
        <v>35</v>
      </c>
      <c r="K332" s="4" t="s">
        <v>149</v>
      </c>
      <c r="L332" s="4" t="s">
        <v>280</v>
      </c>
      <c r="N332" s="7" t="s">
        <v>860</v>
      </c>
      <c r="O332" s="7"/>
      <c r="P332" s="7" t="s">
        <v>861</v>
      </c>
      <c r="Q332" s="7"/>
      <c r="R332" s="7"/>
      <c r="S332" s="3" t="s">
        <v>40</v>
      </c>
      <c r="T332" s="7" t="s">
        <v>41</v>
      </c>
      <c r="U332" s="7"/>
      <c r="V332" s="4" t="s">
        <v>42</v>
      </c>
      <c r="W332" s="4" t="s">
        <v>862</v>
      </c>
      <c r="X332" s="4" t="s">
        <v>341</v>
      </c>
      <c r="Y332" s="7" t="s">
        <v>78</v>
      </c>
      <c r="Z332" s="7"/>
      <c r="AA332" s="4" t="s">
        <v>46</v>
      </c>
      <c r="AB332" s="4" t="s">
        <v>47</v>
      </c>
      <c r="AC332" s="4" t="s">
        <v>136</v>
      </c>
      <c r="AD332" s="4" t="s">
        <v>324</v>
      </c>
      <c r="AE332" s="4" t="s">
        <v>48</v>
      </c>
      <c r="AF332" s="4" t="s">
        <v>41</v>
      </c>
      <c r="AG332" s="4" t="s">
        <v>665</v>
      </c>
    </row>
    <row r="333" spans="1:33" ht="16.5" customHeight="1" x14ac:dyDescent="0.2">
      <c r="A333" s="2" t="s">
        <v>31</v>
      </c>
      <c r="B333" s="5" t="s">
        <v>54</v>
      </c>
      <c r="C333" s="5"/>
      <c r="D333" s="5"/>
      <c r="E333" s="6" t="s">
        <v>33</v>
      </c>
      <c r="F333" s="6"/>
      <c r="G333" s="7" t="s">
        <v>660</v>
      </c>
      <c r="H333" s="7"/>
      <c r="I333" s="7"/>
      <c r="J333" s="3" t="s">
        <v>35</v>
      </c>
      <c r="K333" s="4" t="s">
        <v>657</v>
      </c>
      <c r="L333" s="4" t="s">
        <v>37</v>
      </c>
      <c r="N333" s="7" t="s">
        <v>863</v>
      </c>
      <c r="O333" s="7"/>
      <c r="P333" s="7" t="s">
        <v>864</v>
      </c>
      <c r="Q333" s="7"/>
      <c r="R333" s="7"/>
      <c r="S333" s="3" t="s">
        <v>40</v>
      </c>
      <c r="T333" s="7" t="s">
        <v>41</v>
      </c>
      <c r="U333" s="7"/>
      <c r="V333" s="4" t="s">
        <v>42</v>
      </c>
      <c r="W333" s="4" t="s">
        <v>865</v>
      </c>
      <c r="X333" s="4" t="s">
        <v>147</v>
      </c>
      <c r="Y333" s="7" t="s">
        <v>197</v>
      </c>
      <c r="Z333" s="7"/>
      <c r="AA333" s="4" t="s">
        <v>46</v>
      </c>
      <c r="AB333" s="4" t="s">
        <v>47</v>
      </c>
      <c r="AC333" s="4" t="s">
        <v>259</v>
      </c>
      <c r="AD333" s="4" t="s">
        <v>260</v>
      </c>
      <c r="AE333" s="4" t="s">
        <v>48</v>
      </c>
      <c r="AF333" s="4" t="s">
        <v>41</v>
      </c>
      <c r="AG333" s="4" t="s">
        <v>665</v>
      </c>
    </row>
    <row r="334" spans="1:33" ht="16.5" customHeight="1" x14ac:dyDescent="0.2">
      <c r="A334" s="2" t="s">
        <v>31</v>
      </c>
      <c r="B334" s="5" t="s">
        <v>54</v>
      </c>
      <c r="C334" s="5"/>
      <c r="D334" s="5"/>
      <c r="E334" s="6" t="s">
        <v>33</v>
      </c>
      <c r="F334" s="6"/>
      <c r="G334" s="7" t="s">
        <v>660</v>
      </c>
      <c r="H334" s="7"/>
      <c r="I334" s="7"/>
      <c r="J334" s="3" t="s">
        <v>35</v>
      </c>
      <c r="K334" s="4" t="s">
        <v>409</v>
      </c>
      <c r="L334" s="4" t="s">
        <v>588</v>
      </c>
      <c r="N334" s="7" t="s">
        <v>866</v>
      </c>
      <c r="O334" s="7"/>
      <c r="P334" s="7" t="s">
        <v>867</v>
      </c>
      <c r="Q334" s="7"/>
      <c r="R334" s="7"/>
      <c r="S334" s="3" t="s">
        <v>40</v>
      </c>
      <c r="T334" s="7" t="s">
        <v>41</v>
      </c>
      <c r="U334" s="7"/>
      <c r="V334" s="4" t="s">
        <v>51</v>
      </c>
      <c r="W334" s="4" t="s">
        <v>234</v>
      </c>
      <c r="X334" s="4" t="s">
        <v>344</v>
      </c>
      <c r="Y334" s="7" t="s">
        <v>60</v>
      </c>
      <c r="Z334" s="7"/>
      <c r="AA334" s="4" t="s">
        <v>46</v>
      </c>
      <c r="AB334" s="4" t="s">
        <v>47</v>
      </c>
      <c r="AC334" s="4" t="s">
        <v>79</v>
      </c>
      <c r="AD334" s="4" t="s">
        <v>591</v>
      </c>
      <c r="AE334" s="4" t="s">
        <v>48</v>
      </c>
      <c r="AF334" s="4" t="s">
        <v>41</v>
      </c>
      <c r="AG334" s="4" t="s">
        <v>665</v>
      </c>
    </row>
    <row r="335" spans="1:33" ht="16.5" customHeight="1" x14ac:dyDescent="0.2">
      <c r="A335" s="2" t="s">
        <v>31</v>
      </c>
      <c r="B335" s="5" t="s">
        <v>54</v>
      </c>
      <c r="C335" s="5"/>
      <c r="D335" s="5"/>
      <c r="E335" s="6" t="s">
        <v>33</v>
      </c>
      <c r="F335" s="6"/>
      <c r="G335" s="7" t="s">
        <v>660</v>
      </c>
      <c r="H335" s="7"/>
      <c r="I335" s="7"/>
      <c r="J335" s="3" t="s">
        <v>35</v>
      </c>
      <c r="K335" s="4" t="s">
        <v>149</v>
      </c>
      <c r="L335" s="4" t="s">
        <v>37</v>
      </c>
      <c r="N335" s="7" t="s">
        <v>868</v>
      </c>
      <c r="O335" s="7"/>
      <c r="P335" s="7" t="s">
        <v>869</v>
      </c>
      <c r="Q335" s="7"/>
      <c r="R335" s="7"/>
      <c r="S335" s="3" t="s">
        <v>40</v>
      </c>
      <c r="T335" s="7" t="s">
        <v>41</v>
      </c>
      <c r="U335" s="7"/>
      <c r="V335" s="4" t="s">
        <v>42</v>
      </c>
      <c r="W335" s="4" t="s">
        <v>234</v>
      </c>
      <c r="X335" s="4" t="s">
        <v>235</v>
      </c>
      <c r="Y335" s="7" t="s">
        <v>78</v>
      </c>
      <c r="Z335" s="7"/>
      <c r="AA335" s="4" t="s">
        <v>46</v>
      </c>
      <c r="AB335" s="4" t="s">
        <v>47</v>
      </c>
      <c r="AC335" s="4" t="s">
        <v>136</v>
      </c>
      <c r="AD335" s="4" t="s">
        <v>137</v>
      </c>
      <c r="AE335" s="4" t="s">
        <v>48</v>
      </c>
      <c r="AF335" s="4" t="s">
        <v>41</v>
      </c>
      <c r="AG335" s="4" t="s">
        <v>665</v>
      </c>
    </row>
    <row r="336" spans="1:33" ht="16.5" customHeight="1" x14ac:dyDescent="0.2">
      <c r="A336" s="2" t="s">
        <v>31</v>
      </c>
      <c r="B336" s="5" t="s">
        <v>54</v>
      </c>
      <c r="C336" s="5"/>
      <c r="D336" s="5"/>
      <c r="E336" s="6" t="s">
        <v>33</v>
      </c>
      <c r="F336" s="6"/>
      <c r="G336" s="7" t="s">
        <v>660</v>
      </c>
      <c r="H336" s="7"/>
      <c r="I336" s="7"/>
      <c r="J336" s="3" t="s">
        <v>35</v>
      </c>
      <c r="K336" s="4" t="s">
        <v>149</v>
      </c>
      <c r="L336" s="4" t="s">
        <v>37</v>
      </c>
      <c r="N336" s="7" t="s">
        <v>870</v>
      </c>
      <c r="O336" s="7"/>
      <c r="P336" s="7" t="s">
        <v>871</v>
      </c>
      <c r="Q336" s="7"/>
      <c r="R336" s="7"/>
      <c r="S336" s="3" t="s">
        <v>40</v>
      </c>
      <c r="T336" s="7" t="s">
        <v>41</v>
      </c>
      <c r="U336" s="7"/>
      <c r="V336" s="4" t="s">
        <v>42</v>
      </c>
      <c r="W336" s="4" t="s">
        <v>234</v>
      </c>
      <c r="X336" s="4" t="s">
        <v>235</v>
      </c>
      <c r="Y336" s="7" t="s">
        <v>78</v>
      </c>
      <c r="Z336" s="7"/>
      <c r="AA336" s="4" t="s">
        <v>46</v>
      </c>
      <c r="AB336" s="4" t="s">
        <v>47</v>
      </c>
      <c r="AC336" s="4" t="s">
        <v>136</v>
      </c>
      <c r="AD336" s="4" t="s">
        <v>137</v>
      </c>
      <c r="AE336" s="4" t="s">
        <v>48</v>
      </c>
      <c r="AF336" s="4" t="s">
        <v>41</v>
      </c>
      <c r="AG336" s="4" t="s">
        <v>665</v>
      </c>
    </row>
    <row r="337" spans="1:33" ht="16.5" customHeight="1" x14ac:dyDescent="0.2">
      <c r="A337" s="2" t="s">
        <v>31</v>
      </c>
      <c r="B337" s="5" t="s">
        <v>54</v>
      </c>
      <c r="C337" s="5"/>
      <c r="D337" s="5"/>
      <c r="E337" s="6" t="s">
        <v>33</v>
      </c>
      <c r="F337" s="6"/>
      <c r="G337" s="7" t="s">
        <v>660</v>
      </c>
      <c r="H337" s="7"/>
      <c r="I337" s="7"/>
      <c r="J337" s="3" t="s">
        <v>35</v>
      </c>
      <c r="K337" s="4" t="s">
        <v>149</v>
      </c>
      <c r="L337" s="4" t="s">
        <v>93</v>
      </c>
      <c r="N337" s="7" t="s">
        <v>872</v>
      </c>
      <c r="O337" s="7"/>
      <c r="P337" s="7" t="s">
        <v>873</v>
      </c>
      <c r="Q337" s="7"/>
      <c r="R337" s="7"/>
      <c r="S337" s="3" t="s">
        <v>40</v>
      </c>
      <c r="T337" s="7" t="s">
        <v>41</v>
      </c>
      <c r="U337" s="7"/>
      <c r="V337" s="4" t="s">
        <v>51</v>
      </c>
      <c r="W337" s="4" t="s">
        <v>234</v>
      </c>
      <c r="X337" s="4" t="s">
        <v>344</v>
      </c>
      <c r="Y337" s="7" t="s">
        <v>78</v>
      </c>
      <c r="Z337" s="7"/>
      <c r="AA337" s="4" t="s">
        <v>46</v>
      </c>
      <c r="AB337" s="4" t="s">
        <v>47</v>
      </c>
      <c r="AC337" s="4" t="s">
        <v>136</v>
      </c>
      <c r="AD337" s="4" t="s">
        <v>148</v>
      </c>
      <c r="AE337" s="4" t="s">
        <v>48</v>
      </c>
      <c r="AF337" s="4" t="s">
        <v>41</v>
      </c>
      <c r="AG337" s="4" t="s">
        <v>665</v>
      </c>
    </row>
    <row r="338" spans="1:33" ht="16.5" customHeight="1" x14ac:dyDescent="0.2">
      <c r="A338" s="2" t="s">
        <v>31</v>
      </c>
      <c r="B338" s="5" t="s">
        <v>54</v>
      </c>
      <c r="C338" s="5"/>
      <c r="D338" s="5"/>
      <c r="E338" s="6" t="s">
        <v>33</v>
      </c>
      <c r="F338" s="6"/>
      <c r="G338" s="7" t="s">
        <v>660</v>
      </c>
      <c r="H338" s="7"/>
      <c r="I338" s="7"/>
      <c r="J338" s="3" t="s">
        <v>35</v>
      </c>
      <c r="K338" s="4" t="s">
        <v>73</v>
      </c>
      <c r="L338" s="4" t="s">
        <v>37</v>
      </c>
      <c r="N338" s="7" t="s">
        <v>874</v>
      </c>
      <c r="O338" s="7"/>
      <c r="P338" s="7" t="s">
        <v>875</v>
      </c>
      <c r="Q338" s="7"/>
      <c r="R338" s="7"/>
      <c r="S338" s="3" t="s">
        <v>40</v>
      </c>
      <c r="T338" s="7" t="s">
        <v>41</v>
      </c>
      <c r="U338" s="7"/>
      <c r="V338" s="4" t="s">
        <v>42</v>
      </c>
      <c r="W338" s="4" t="s">
        <v>355</v>
      </c>
      <c r="X338" s="4" t="s">
        <v>344</v>
      </c>
      <c r="Y338" s="7" t="s">
        <v>78</v>
      </c>
      <c r="Z338" s="7"/>
      <c r="AA338" s="4" t="s">
        <v>46</v>
      </c>
      <c r="AB338" s="4" t="s">
        <v>47</v>
      </c>
      <c r="AC338" s="4" t="s">
        <v>136</v>
      </c>
      <c r="AD338" s="4" t="s">
        <v>137</v>
      </c>
      <c r="AE338" s="4" t="s">
        <v>48</v>
      </c>
      <c r="AF338" s="4" t="s">
        <v>41</v>
      </c>
      <c r="AG338" s="4" t="s">
        <v>665</v>
      </c>
    </row>
    <row r="339" spans="1:33" ht="16.5" customHeight="1" x14ac:dyDescent="0.2">
      <c r="A339" s="2" t="s">
        <v>31</v>
      </c>
      <c r="B339" s="5" t="s">
        <v>54</v>
      </c>
      <c r="C339" s="5"/>
      <c r="D339" s="5"/>
      <c r="E339" s="6" t="s">
        <v>33</v>
      </c>
      <c r="F339" s="6"/>
      <c r="G339" s="7" t="s">
        <v>660</v>
      </c>
      <c r="H339" s="7"/>
      <c r="I339" s="7"/>
      <c r="J339" s="3" t="s">
        <v>35</v>
      </c>
      <c r="K339" s="4" t="s">
        <v>81</v>
      </c>
      <c r="L339" s="4" t="s">
        <v>37</v>
      </c>
      <c r="N339" s="7" t="s">
        <v>876</v>
      </c>
      <c r="O339" s="7"/>
      <c r="P339" s="7" t="s">
        <v>877</v>
      </c>
      <c r="Q339" s="7"/>
      <c r="R339" s="7"/>
      <c r="S339" s="3" t="s">
        <v>40</v>
      </c>
      <c r="T339" s="7" t="s">
        <v>41</v>
      </c>
      <c r="U339" s="7"/>
      <c r="V339" s="4" t="s">
        <v>42</v>
      </c>
      <c r="W339" s="4" t="s">
        <v>355</v>
      </c>
      <c r="X339" s="4" t="s">
        <v>344</v>
      </c>
      <c r="Y339" s="7" t="s">
        <v>78</v>
      </c>
      <c r="Z339" s="7"/>
      <c r="AA339" s="4" t="s">
        <v>46</v>
      </c>
      <c r="AB339" s="4" t="s">
        <v>47</v>
      </c>
      <c r="AC339" s="4" t="s">
        <v>136</v>
      </c>
      <c r="AD339" s="4" t="s">
        <v>137</v>
      </c>
      <c r="AE339" s="4" t="s">
        <v>48</v>
      </c>
      <c r="AF339" s="4" t="s">
        <v>41</v>
      </c>
      <c r="AG339" s="4" t="s">
        <v>665</v>
      </c>
    </row>
    <row r="340" spans="1:33" ht="16.5" customHeight="1" x14ac:dyDescent="0.2">
      <c r="A340" s="2" t="s">
        <v>31</v>
      </c>
      <c r="B340" s="5" t="s">
        <v>54</v>
      </c>
      <c r="C340" s="5"/>
      <c r="D340" s="5"/>
      <c r="E340" s="6" t="s">
        <v>33</v>
      </c>
      <c r="F340" s="6"/>
      <c r="G340" s="7" t="s">
        <v>660</v>
      </c>
      <c r="H340" s="7"/>
      <c r="I340" s="7"/>
      <c r="J340" s="3" t="s">
        <v>35</v>
      </c>
      <c r="K340" s="4" t="s">
        <v>409</v>
      </c>
      <c r="L340" s="4" t="s">
        <v>37</v>
      </c>
      <c r="N340" s="7" t="s">
        <v>878</v>
      </c>
      <c r="O340" s="7"/>
      <c r="P340" s="7" t="s">
        <v>879</v>
      </c>
      <c r="Q340" s="7"/>
      <c r="R340" s="7"/>
      <c r="S340" s="3" t="s">
        <v>40</v>
      </c>
      <c r="T340" s="7" t="s">
        <v>41</v>
      </c>
      <c r="U340" s="7"/>
      <c r="V340" s="4" t="s">
        <v>42</v>
      </c>
      <c r="W340" s="4" t="s">
        <v>360</v>
      </c>
      <c r="X340" s="4" t="s">
        <v>361</v>
      </c>
      <c r="Y340" s="7" t="s">
        <v>60</v>
      </c>
      <c r="Z340" s="7"/>
      <c r="AA340" s="4" t="s">
        <v>46</v>
      </c>
      <c r="AB340" s="4" t="s">
        <v>47</v>
      </c>
      <c r="AC340" s="4" t="s">
        <v>61</v>
      </c>
      <c r="AD340" s="4" t="s">
        <v>62</v>
      </c>
      <c r="AE340" s="4" t="s">
        <v>48</v>
      </c>
      <c r="AF340" s="4" t="s">
        <v>41</v>
      </c>
      <c r="AG340" s="4" t="s">
        <v>665</v>
      </c>
    </row>
    <row r="341" spans="1:33" ht="16.5" customHeight="1" x14ac:dyDescent="0.2">
      <c r="A341" s="2" t="s">
        <v>31</v>
      </c>
      <c r="B341" s="5" t="s">
        <v>54</v>
      </c>
      <c r="C341" s="5"/>
      <c r="D341" s="5"/>
      <c r="E341" s="6" t="s">
        <v>33</v>
      </c>
      <c r="F341" s="6"/>
      <c r="G341" s="7" t="s">
        <v>660</v>
      </c>
      <c r="H341" s="7"/>
      <c r="I341" s="7"/>
      <c r="J341" s="3" t="s">
        <v>35</v>
      </c>
      <c r="K341" s="4" t="s">
        <v>97</v>
      </c>
      <c r="L341" s="4" t="s">
        <v>37</v>
      </c>
      <c r="N341" s="7" t="s">
        <v>880</v>
      </c>
      <c r="O341" s="7"/>
      <c r="P341" s="7" t="s">
        <v>881</v>
      </c>
      <c r="Q341" s="7"/>
      <c r="R341" s="7"/>
      <c r="S341" s="3" t="s">
        <v>40</v>
      </c>
      <c r="T341" s="7" t="s">
        <v>41</v>
      </c>
      <c r="U341" s="7"/>
      <c r="V341" s="4" t="s">
        <v>42</v>
      </c>
      <c r="W341" s="4" t="s">
        <v>360</v>
      </c>
      <c r="X341" s="4" t="s">
        <v>361</v>
      </c>
      <c r="Y341" s="7" t="s">
        <v>78</v>
      </c>
      <c r="Z341" s="7"/>
      <c r="AA341" s="4" t="s">
        <v>46</v>
      </c>
      <c r="AB341" s="4" t="s">
        <v>47</v>
      </c>
      <c r="AC341" s="4" t="s">
        <v>79</v>
      </c>
      <c r="AD341" s="4" t="s">
        <v>80</v>
      </c>
      <c r="AE341" s="4" t="s">
        <v>48</v>
      </c>
      <c r="AF341" s="4" t="s">
        <v>41</v>
      </c>
      <c r="AG341" s="4" t="s">
        <v>665</v>
      </c>
    </row>
    <row r="342" spans="1:33" ht="16.5" customHeight="1" x14ac:dyDescent="0.2">
      <c r="A342" s="2" t="s">
        <v>31</v>
      </c>
      <c r="B342" s="5" t="s">
        <v>54</v>
      </c>
      <c r="C342" s="5"/>
      <c r="D342" s="5"/>
      <c r="E342" s="6" t="s">
        <v>33</v>
      </c>
      <c r="F342" s="6"/>
      <c r="G342" s="7" t="s">
        <v>660</v>
      </c>
      <c r="H342" s="7"/>
      <c r="I342" s="7"/>
      <c r="J342" s="3" t="s">
        <v>35</v>
      </c>
      <c r="K342" s="4" t="s">
        <v>143</v>
      </c>
      <c r="L342" s="4" t="s">
        <v>37</v>
      </c>
      <c r="N342" s="7" t="s">
        <v>882</v>
      </c>
      <c r="O342" s="7"/>
      <c r="P342" s="7" t="s">
        <v>883</v>
      </c>
      <c r="Q342" s="7"/>
      <c r="R342" s="7"/>
      <c r="S342" s="3" t="s">
        <v>40</v>
      </c>
      <c r="T342" s="7" t="s">
        <v>41</v>
      </c>
      <c r="U342" s="7"/>
      <c r="V342" s="4" t="s">
        <v>42</v>
      </c>
      <c r="W342" s="4" t="s">
        <v>301</v>
      </c>
      <c r="X342" s="4" t="s">
        <v>302</v>
      </c>
      <c r="Y342" s="7" t="s">
        <v>135</v>
      </c>
      <c r="Z342" s="7"/>
      <c r="AA342" s="4" t="s">
        <v>46</v>
      </c>
      <c r="AB342" s="4" t="s">
        <v>47</v>
      </c>
      <c r="AC342" s="4" t="s">
        <v>79</v>
      </c>
      <c r="AD342" s="4" t="s">
        <v>80</v>
      </c>
      <c r="AE342" s="4" t="s">
        <v>48</v>
      </c>
      <c r="AF342" s="4" t="s">
        <v>41</v>
      </c>
      <c r="AG342" s="4" t="s">
        <v>665</v>
      </c>
    </row>
    <row r="343" spans="1:33" ht="16.5" customHeight="1" x14ac:dyDescent="0.2">
      <c r="A343" s="2" t="s">
        <v>31</v>
      </c>
      <c r="B343" s="5" t="s">
        <v>54</v>
      </c>
      <c r="C343" s="5"/>
      <c r="D343" s="5"/>
      <c r="E343" s="6" t="s">
        <v>33</v>
      </c>
      <c r="F343" s="6"/>
      <c r="G343" s="7" t="s">
        <v>660</v>
      </c>
      <c r="H343" s="7"/>
      <c r="I343" s="7"/>
      <c r="J343" s="3" t="s">
        <v>35</v>
      </c>
      <c r="K343" s="4" t="s">
        <v>143</v>
      </c>
      <c r="L343" s="4" t="s">
        <v>37</v>
      </c>
      <c r="N343" s="7" t="s">
        <v>884</v>
      </c>
      <c r="O343" s="7"/>
      <c r="P343" s="7" t="s">
        <v>885</v>
      </c>
      <c r="Q343" s="7"/>
      <c r="R343" s="7"/>
      <c r="S343" s="3" t="s">
        <v>40</v>
      </c>
      <c r="T343" s="7" t="s">
        <v>41</v>
      </c>
      <c r="U343" s="7"/>
      <c r="V343" s="4" t="s">
        <v>42</v>
      </c>
      <c r="W343" s="4" t="s">
        <v>90</v>
      </c>
      <c r="X343" s="4" t="s">
        <v>91</v>
      </c>
      <c r="Y343" s="7" t="s">
        <v>135</v>
      </c>
      <c r="Z343" s="7"/>
      <c r="AA343" s="4" t="s">
        <v>46</v>
      </c>
      <c r="AB343" s="4" t="s">
        <v>47</v>
      </c>
      <c r="AC343" s="4" t="s">
        <v>79</v>
      </c>
      <c r="AD343" s="4" t="s">
        <v>80</v>
      </c>
      <c r="AE343" s="4" t="s">
        <v>48</v>
      </c>
      <c r="AF343" s="4" t="s">
        <v>41</v>
      </c>
      <c r="AG343" s="4" t="s">
        <v>665</v>
      </c>
    </row>
    <row r="344" spans="1:33" ht="16.5" customHeight="1" x14ac:dyDescent="0.2">
      <c r="A344" s="2" t="s">
        <v>31</v>
      </c>
      <c r="B344" s="5" t="s">
        <v>54</v>
      </c>
      <c r="C344" s="5"/>
      <c r="D344" s="5"/>
      <c r="E344" s="6" t="s">
        <v>33</v>
      </c>
      <c r="F344" s="6"/>
      <c r="G344" s="7" t="s">
        <v>660</v>
      </c>
      <c r="H344" s="7"/>
      <c r="I344" s="7"/>
      <c r="J344" s="3" t="s">
        <v>35</v>
      </c>
      <c r="K344" s="4" t="s">
        <v>657</v>
      </c>
      <c r="L344" s="4" t="s">
        <v>37</v>
      </c>
      <c r="N344" s="7" t="s">
        <v>886</v>
      </c>
      <c r="O344" s="7"/>
      <c r="P344" s="7" t="s">
        <v>887</v>
      </c>
      <c r="Q344" s="7"/>
      <c r="R344" s="7"/>
      <c r="S344" s="3" t="s">
        <v>40</v>
      </c>
      <c r="T344" s="7" t="s">
        <v>41</v>
      </c>
      <c r="U344" s="7"/>
      <c r="V344" s="4" t="s">
        <v>42</v>
      </c>
      <c r="W344" s="4" t="s">
        <v>58</v>
      </c>
      <c r="X344" s="4" t="s">
        <v>59</v>
      </c>
      <c r="Y344" s="7" t="s">
        <v>197</v>
      </c>
      <c r="Z344" s="7"/>
      <c r="AA344" s="4" t="s">
        <v>46</v>
      </c>
      <c r="AB344" s="4" t="s">
        <v>47</v>
      </c>
      <c r="AC344" s="4" t="s">
        <v>136</v>
      </c>
      <c r="AD344" s="4" t="s">
        <v>137</v>
      </c>
      <c r="AE344" s="4" t="s">
        <v>48</v>
      </c>
      <c r="AF344" s="4" t="s">
        <v>41</v>
      </c>
      <c r="AG344" s="4" t="s">
        <v>665</v>
      </c>
    </row>
    <row r="345" spans="1:33" ht="16.5" customHeight="1" x14ac:dyDescent="0.2">
      <c r="A345" s="2" t="s">
        <v>31</v>
      </c>
      <c r="B345" s="5" t="s">
        <v>54</v>
      </c>
      <c r="C345" s="5"/>
      <c r="D345" s="5"/>
      <c r="E345" s="6" t="s">
        <v>33</v>
      </c>
      <c r="F345" s="6"/>
      <c r="G345" s="7" t="s">
        <v>660</v>
      </c>
      <c r="H345" s="7"/>
      <c r="I345" s="7"/>
      <c r="J345" s="3" t="s">
        <v>35</v>
      </c>
      <c r="K345" s="4" t="s">
        <v>657</v>
      </c>
      <c r="L345" s="4" t="s">
        <v>37</v>
      </c>
      <c r="N345" s="7" t="s">
        <v>886</v>
      </c>
      <c r="O345" s="7"/>
      <c r="P345" s="7" t="s">
        <v>887</v>
      </c>
      <c r="Q345" s="7"/>
      <c r="R345" s="7"/>
      <c r="S345" s="3" t="s">
        <v>40</v>
      </c>
      <c r="T345" s="7" t="s">
        <v>41</v>
      </c>
      <c r="U345" s="7"/>
      <c r="V345" s="4" t="s">
        <v>51</v>
      </c>
      <c r="W345" s="4" t="s">
        <v>58</v>
      </c>
      <c r="X345" s="4" t="s">
        <v>128</v>
      </c>
      <c r="Y345" s="7" t="s">
        <v>197</v>
      </c>
      <c r="Z345" s="7"/>
      <c r="AA345" s="4" t="s">
        <v>46</v>
      </c>
      <c r="AB345" s="4" t="s">
        <v>47</v>
      </c>
      <c r="AC345" s="4" t="s">
        <v>136</v>
      </c>
      <c r="AD345" s="4" t="s">
        <v>137</v>
      </c>
      <c r="AE345" s="4" t="s">
        <v>48</v>
      </c>
      <c r="AF345" s="4" t="s">
        <v>41</v>
      </c>
      <c r="AG345" s="4" t="s">
        <v>665</v>
      </c>
    </row>
    <row r="346" spans="1:33" ht="16.5" customHeight="1" x14ac:dyDescent="0.2">
      <c r="A346" s="2" t="s">
        <v>31</v>
      </c>
      <c r="B346" s="5" t="s">
        <v>54</v>
      </c>
      <c r="C346" s="5"/>
      <c r="D346" s="5"/>
      <c r="E346" s="6" t="s">
        <v>33</v>
      </c>
      <c r="F346" s="6"/>
      <c r="G346" s="7" t="s">
        <v>660</v>
      </c>
      <c r="H346" s="7"/>
      <c r="I346" s="7"/>
      <c r="J346" s="3" t="s">
        <v>35</v>
      </c>
      <c r="K346" s="4" t="s">
        <v>248</v>
      </c>
      <c r="L346" s="4" t="s">
        <v>37</v>
      </c>
      <c r="N346" s="7" t="s">
        <v>888</v>
      </c>
      <c r="O346" s="7"/>
      <c r="P346" s="7" t="s">
        <v>889</v>
      </c>
      <c r="Q346" s="7"/>
      <c r="R346" s="7"/>
      <c r="S346" s="3" t="s">
        <v>40</v>
      </c>
      <c r="T346" s="7" t="s">
        <v>41</v>
      </c>
      <c r="U346" s="7"/>
      <c r="V346" s="4" t="s">
        <v>42</v>
      </c>
      <c r="W346" s="4" t="s">
        <v>58</v>
      </c>
      <c r="X346" s="4" t="s">
        <v>59</v>
      </c>
      <c r="Y346" s="7" t="s">
        <v>60</v>
      </c>
      <c r="Z346" s="7"/>
      <c r="AA346" s="4" t="s">
        <v>46</v>
      </c>
      <c r="AB346" s="4" t="s">
        <v>47</v>
      </c>
      <c r="AC346" s="4" t="s">
        <v>61</v>
      </c>
      <c r="AD346" s="4" t="s">
        <v>62</v>
      </c>
      <c r="AE346" s="4" t="s">
        <v>48</v>
      </c>
      <c r="AF346" s="4" t="s">
        <v>41</v>
      </c>
      <c r="AG346" s="4" t="s">
        <v>665</v>
      </c>
    </row>
    <row r="347" spans="1:33" ht="16.5" customHeight="1" x14ac:dyDescent="0.2">
      <c r="A347" s="2" t="s">
        <v>31</v>
      </c>
      <c r="B347" s="5" t="s">
        <v>54</v>
      </c>
      <c r="C347" s="5"/>
      <c r="D347" s="5"/>
      <c r="E347" s="6" t="s">
        <v>33</v>
      </c>
      <c r="F347" s="6"/>
      <c r="G347" s="7" t="s">
        <v>660</v>
      </c>
      <c r="H347" s="7"/>
      <c r="I347" s="7"/>
      <c r="J347" s="3" t="s">
        <v>35</v>
      </c>
      <c r="K347" s="4" t="s">
        <v>192</v>
      </c>
      <c r="L347" s="4" t="s">
        <v>37</v>
      </c>
      <c r="N347" s="7" t="s">
        <v>890</v>
      </c>
      <c r="O347" s="7"/>
      <c r="P347" s="7" t="s">
        <v>891</v>
      </c>
      <c r="Q347" s="7"/>
      <c r="R347" s="7"/>
      <c r="S347" s="3" t="s">
        <v>40</v>
      </c>
      <c r="T347" s="7" t="s">
        <v>41</v>
      </c>
      <c r="U347" s="7"/>
      <c r="V347" s="4" t="s">
        <v>42</v>
      </c>
      <c r="W347" s="4" t="s">
        <v>58</v>
      </c>
      <c r="X347" s="4" t="s">
        <v>59</v>
      </c>
      <c r="Y347" s="7" t="s">
        <v>197</v>
      </c>
      <c r="Z347" s="7"/>
      <c r="AA347" s="4" t="s">
        <v>46</v>
      </c>
      <c r="AB347" s="4" t="s">
        <v>47</v>
      </c>
      <c r="AC347" s="4" t="s">
        <v>136</v>
      </c>
      <c r="AD347" s="4" t="s">
        <v>137</v>
      </c>
      <c r="AE347" s="4" t="s">
        <v>48</v>
      </c>
      <c r="AF347" s="4" t="s">
        <v>41</v>
      </c>
      <c r="AG347" s="4" t="s">
        <v>665</v>
      </c>
    </row>
    <row r="348" spans="1:33" ht="16.5" customHeight="1" x14ac:dyDescent="0.2">
      <c r="A348" s="2" t="s">
        <v>31</v>
      </c>
      <c r="B348" s="5" t="s">
        <v>54</v>
      </c>
      <c r="C348" s="5"/>
      <c r="D348" s="5"/>
      <c r="E348" s="6" t="s">
        <v>33</v>
      </c>
      <c r="F348" s="6"/>
      <c r="G348" s="7" t="s">
        <v>660</v>
      </c>
      <c r="H348" s="7"/>
      <c r="I348" s="7"/>
      <c r="J348" s="3" t="s">
        <v>35</v>
      </c>
      <c r="K348" s="4" t="s">
        <v>143</v>
      </c>
      <c r="L348" s="4" t="s">
        <v>37</v>
      </c>
      <c r="N348" s="7" t="s">
        <v>892</v>
      </c>
      <c r="O348" s="7"/>
      <c r="P348" s="7" t="s">
        <v>893</v>
      </c>
      <c r="Q348" s="7"/>
      <c r="R348" s="7"/>
      <c r="S348" s="3" t="s">
        <v>40</v>
      </c>
      <c r="T348" s="7" t="s">
        <v>41</v>
      </c>
      <c r="U348" s="7"/>
      <c r="V348" s="4" t="s">
        <v>42</v>
      </c>
      <c r="W348" s="4" t="s">
        <v>58</v>
      </c>
      <c r="X348" s="4" t="s">
        <v>59</v>
      </c>
      <c r="Y348" s="7" t="s">
        <v>135</v>
      </c>
      <c r="Z348" s="7"/>
      <c r="AA348" s="4" t="s">
        <v>46</v>
      </c>
      <c r="AB348" s="4" t="s">
        <v>47</v>
      </c>
      <c r="AC348" s="4" t="s">
        <v>79</v>
      </c>
      <c r="AD348" s="4" t="s">
        <v>80</v>
      </c>
      <c r="AE348" s="4" t="s">
        <v>48</v>
      </c>
      <c r="AF348" s="4" t="s">
        <v>41</v>
      </c>
      <c r="AG348" s="4" t="s">
        <v>665</v>
      </c>
    </row>
    <row r="349" spans="1:33" ht="16.5" customHeight="1" x14ac:dyDescent="0.2">
      <c r="A349" s="2" t="s">
        <v>31</v>
      </c>
      <c r="B349" s="5" t="s">
        <v>54</v>
      </c>
      <c r="C349" s="5"/>
      <c r="D349" s="5"/>
      <c r="E349" s="6" t="s">
        <v>33</v>
      </c>
      <c r="F349" s="6"/>
      <c r="G349" s="7" t="s">
        <v>660</v>
      </c>
      <c r="H349" s="7"/>
      <c r="I349" s="7"/>
      <c r="J349" s="3" t="s">
        <v>35</v>
      </c>
      <c r="K349" s="4" t="s">
        <v>149</v>
      </c>
      <c r="L349" s="4" t="s">
        <v>37</v>
      </c>
      <c r="N349" s="7" t="s">
        <v>894</v>
      </c>
      <c r="O349" s="7"/>
      <c r="P349" s="7" t="s">
        <v>895</v>
      </c>
      <c r="Q349" s="7"/>
      <c r="R349" s="7"/>
      <c r="S349" s="3" t="s">
        <v>40</v>
      </c>
      <c r="T349" s="7" t="s">
        <v>41</v>
      </c>
      <c r="U349" s="7"/>
      <c r="V349" s="4" t="s">
        <v>42</v>
      </c>
      <c r="W349" s="4" t="s">
        <v>58</v>
      </c>
      <c r="X349" s="4" t="s">
        <v>59</v>
      </c>
      <c r="Y349" s="7" t="s">
        <v>78</v>
      </c>
      <c r="Z349" s="7"/>
      <c r="AA349" s="4" t="s">
        <v>46</v>
      </c>
      <c r="AB349" s="4" t="s">
        <v>47</v>
      </c>
      <c r="AC349" s="4" t="s">
        <v>79</v>
      </c>
      <c r="AD349" s="4" t="s">
        <v>80</v>
      </c>
      <c r="AE349" s="4" t="s">
        <v>48</v>
      </c>
      <c r="AF349" s="4" t="s">
        <v>41</v>
      </c>
      <c r="AG349" s="4" t="s">
        <v>665</v>
      </c>
    </row>
    <row r="350" spans="1:33" ht="16.5" customHeight="1" x14ac:dyDescent="0.2">
      <c r="A350" s="2" t="s">
        <v>31</v>
      </c>
      <c r="B350" s="5" t="s">
        <v>54</v>
      </c>
      <c r="C350" s="5"/>
      <c r="D350" s="5"/>
      <c r="E350" s="6" t="s">
        <v>33</v>
      </c>
      <c r="F350" s="6"/>
      <c r="G350" s="7" t="s">
        <v>660</v>
      </c>
      <c r="H350" s="7"/>
      <c r="I350" s="7"/>
      <c r="J350" s="3" t="s">
        <v>35</v>
      </c>
      <c r="K350" s="4" t="s">
        <v>149</v>
      </c>
      <c r="L350" s="4" t="s">
        <v>280</v>
      </c>
      <c r="N350" s="7" t="s">
        <v>896</v>
      </c>
      <c r="O350" s="7"/>
      <c r="P350" s="7" t="s">
        <v>897</v>
      </c>
      <c r="Q350" s="7"/>
      <c r="R350" s="7"/>
      <c r="S350" s="3" t="s">
        <v>40</v>
      </c>
      <c r="T350" s="7" t="s">
        <v>41</v>
      </c>
      <c r="U350" s="7"/>
      <c r="V350" s="4" t="s">
        <v>42</v>
      </c>
      <c r="W350" s="4" t="s">
        <v>58</v>
      </c>
      <c r="X350" s="4" t="s">
        <v>59</v>
      </c>
      <c r="Y350" s="7" t="s">
        <v>78</v>
      </c>
      <c r="Z350" s="7"/>
      <c r="AA350" s="4" t="s">
        <v>46</v>
      </c>
      <c r="AB350" s="4" t="s">
        <v>47</v>
      </c>
      <c r="AC350" s="4" t="s">
        <v>79</v>
      </c>
      <c r="AD350" s="4" t="s">
        <v>285</v>
      </c>
      <c r="AE350" s="4" t="s">
        <v>48</v>
      </c>
      <c r="AF350" s="4" t="s">
        <v>41</v>
      </c>
      <c r="AG350" s="4" t="s">
        <v>665</v>
      </c>
    </row>
    <row r="351" spans="1:33" ht="16.5" customHeight="1" x14ac:dyDescent="0.2">
      <c r="A351" s="2" t="s">
        <v>31</v>
      </c>
      <c r="B351" s="5" t="s">
        <v>54</v>
      </c>
      <c r="C351" s="5"/>
      <c r="D351" s="5"/>
      <c r="E351" s="6" t="s">
        <v>33</v>
      </c>
      <c r="F351" s="6"/>
      <c r="G351" s="7" t="s">
        <v>660</v>
      </c>
      <c r="H351" s="7"/>
      <c r="I351" s="7"/>
      <c r="J351" s="3" t="s">
        <v>35</v>
      </c>
      <c r="K351" s="4" t="s">
        <v>149</v>
      </c>
      <c r="L351" s="4" t="s">
        <v>37</v>
      </c>
      <c r="N351" s="7" t="s">
        <v>898</v>
      </c>
      <c r="O351" s="7"/>
      <c r="P351" s="7" t="s">
        <v>899</v>
      </c>
      <c r="Q351" s="7"/>
      <c r="R351" s="7"/>
      <c r="S351" s="3" t="s">
        <v>40</v>
      </c>
      <c r="T351" s="7" t="s">
        <v>41</v>
      </c>
      <c r="U351" s="7"/>
      <c r="V351" s="4" t="s">
        <v>42</v>
      </c>
      <c r="W351" s="4" t="s">
        <v>58</v>
      </c>
      <c r="X351" s="4" t="s">
        <v>59</v>
      </c>
      <c r="Y351" s="7" t="s">
        <v>78</v>
      </c>
      <c r="Z351" s="7"/>
      <c r="AA351" s="4" t="s">
        <v>46</v>
      </c>
      <c r="AB351" s="4" t="s">
        <v>47</v>
      </c>
      <c r="AC351" s="4" t="s">
        <v>79</v>
      </c>
      <c r="AD351" s="4" t="s">
        <v>80</v>
      </c>
      <c r="AE351" s="4" t="s">
        <v>48</v>
      </c>
      <c r="AF351" s="4" t="s">
        <v>41</v>
      </c>
      <c r="AG351" s="4" t="s">
        <v>665</v>
      </c>
    </row>
    <row r="352" spans="1:33" ht="16.5" customHeight="1" x14ac:dyDescent="0.2">
      <c r="A352" s="2" t="s">
        <v>31</v>
      </c>
      <c r="B352" s="5" t="s">
        <v>54</v>
      </c>
      <c r="C352" s="5"/>
      <c r="D352" s="5"/>
      <c r="E352" s="6" t="s">
        <v>33</v>
      </c>
      <c r="F352" s="6"/>
      <c r="G352" s="7" t="s">
        <v>660</v>
      </c>
      <c r="H352" s="7"/>
      <c r="I352" s="7"/>
      <c r="J352" s="3" t="s">
        <v>35</v>
      </c>
      <c r="K352" s="4" t="s">
        <v>92</v>
      </c>
      <c r="L352" s="4" t="s">
        <v>37</v>
      </c>
      <c r="N352" s="7" t="s">
        <v>900</v>
      </c>
      <c r="O352" s="7"/>
      <c r="P352" s="7" t="s">
        <v>901</v>
      </c>
      <c r="Q352" s="7"/>
      <c r="R352" s="7"/>
      <c r="S352" s="3" t="s">
        <v>40</v>
      </c>
      <c r="T352" s="7" t="s">
        <v>41</v>
      </c>
      <c r="U352" s="7"/>
      <c r="V352" s="4" t="s">
        <v>42</v>
      </c>
      <c r="W352" s="4" t="s">
        <v>58</v>
      </c>
      <c r="X352" s="4" t="s">
        <v>59</v>
      </c>
      <c r="Y352" s="7" t="s">
        <v>78</v>
      </c>
      <c r="Z352" s="7"/>
      <c r="AA352" s="4" t="s">
        <v>46</v>
      </c>
      <c r="AB352" s="4" t="s">
        <v>47</v>
      </c>
      <c r="AC352" s="4" t="s">
        <v>79</v>
      </c>
      <c r="AD352" s="4" t="s">
        <v>80</v>
      </c>
      <c r="AE352" s="4" t="s">
        <v>48</v>
      </c>
      <c r="AF352" s="4" t="s">
        <v>41</v>
      </c>
      <c r="AG352" s="4" t="s">
        <v>665</v>
      </c>
    </row>
    <row r="353" spans="1:33" ht="16.5" customHeight="1" x14ac:dyDescent="0.2">
      <c r="A353" s="2" t="s">
        <v>31</v>
      </c>
      <c r="B353" s="5" t="s">
        <v>54</v>
      </c>
      <c r="C353" s="5"/>
      <c r="D353" s="5"/>
      <c r="E353" s="6" t="s">
        <v>33</v>
      </c>
      <c r="F353" s="6"/>
      <c r="G353" s="7" t="s">
        <v>660</v>
      </c>
      <c r="H353" s="7"/>
      <c r="I353" s="7"/>
      <c r="J353" s="3" t="s">
        <v>35</v>
      </c>
      <c r="K353" s="4" t="s">
        <v>149</v>
      </c>
      <c r="L353" s="4" t="s">
        <v>37</v>
      </c>
      <c r="N353" s="7" t="s">
        <v>902</v>
      </c>
      <c r="O353" s="7"/>
      <c r="P353" s="7" t="s">
        <v>903</v>
      </c>
      <c r="Q353" s="7"/>
      <c r="R353" s="7"/>
      <c r="S353" s="3" t="s">
        <v>40</v>
      </c>
      <c r="T353" s="7" t="s">
        <v>41</v>
      </c>
      <c r="U353" s="7"/>
      <c r="V353" s="4" t="s">
        <v>42</v>
      </c>
      <c r="W353" s="4" t="s">
        <v>58</v>
      </c>
      <c r="X353" s="4" t="s">
        <v>59</v>
      </c>
      <c r="Y353" s="7" t="s">
        <v>78</v>
      </c>
      <c r="Z353" s="7"/>
      <c r="AA353" s="4" t="s">
        <v>46</v>
      </c>
      <c r="AB353" s="4" t="s">
        <v>47</v>
      </c>
      <c r="AC353" s="4" t="s">
        <v>79</v>
      </c>
      <c r="AD353" s="4" t="s">
        <v>80</v>
      </c>
      <c r="AE353" s="4" t="s">
        <v>48</v>
      </c>
      <c r="AF353" s="4" t="s">
        <v>41</v>
      </c>
      <c r="AG353" s="4" t="s">
        <v>665</v>
      </c>
    </row>
    <row r="354" spans="1:33" ht="16.5" customHeight="1" x14ac:dyDescent="0.2">
      <c r="A354" s="2" t="s">
        <v>31</v>
      </c>
      <c r="B354" s="5" t="s">
        <v>54</v>
      </c>
      <c r="C354" s="5"/>
      <c r="D354" s="5"/>
      <c r="E354" s="6" t="s">
        <v>33</v>
      </c>
      <c r="F354" s="6"/>
      <c r="G354" s="7" t="s">
        <v>660</v>
      </c>
      <c r="H354" s="7"/>
      <c r="I354" s="7"/>
      <c r="J354" s="3" t="s">
        <v>35</v>
      </c>
      <c r="K354" s="4" t="s">
        <v>92</v>
      </c>
      <c r="L354" s="4" t="s">
        <v>37</v>
      </c>
      <c r="N354" s="7" t="s">
        <v>904</v>
      </c>
      <c r="O354" s="7"/>
      <c r="P354" s="7" t="s">
        <v>905</v>
      </c>
      <c r="Q354" s="7"/>
      <c r="R354" s="7"/>
      <c r="S354" s="3" t="s">
        <v>40</v>
      </c>
      <c r="T354" s="7" t="s">
        <v>41</v>
      </c>
      <c r="U354" s="7"/>
      <c r="V354" s="4" t="s">
        <v>42</v>
      </c>
      <c r="W354" s="4" t="s">
        <v>58</v>
      </c>
      <c r="X354" s="4" t="s">
        <v>59</v>
      </c>
      <c r="Y354" s="7" t="s">
        <v>78</v>
      </c>
      <c r="Z354" s="7"/>
      <c r="AA354" s="4" t="s">
        <v>46</v>
      </c>
      <c r="AB354" s="4" t="s">
        <v>47</v>
      </c>
      <c r="AC354" s="4" t="s">
        <v>79</v>
      </c>
      <c r="AD354" s="4" t="s">
        <v>80</v>
      </c>
      <c r="AE354" s="4" t="s">
        <v>48</v>
      </c>
      <c r="AF354" s="4" t="s">
        <v>41</v>
      </c>
      <c r="AG354" s="4" t="s">
        <v>665</v>
      </c>
    </row>
    <row r="355" spans="1:33" ht="16.5" customHeight="1" x14ac:dyDescent="0.2">
      <c r="A355" s="2" t="s">
        <v>31</v>
      </c>
      <c r="B355" s="5" t="s">
        <v>54</v>
      </c>
      <c r="C355" s="5"/>
      <c r="D355" s="5"/>
      <c r="E355" s="6" t="s">
        <v>33</v>
      </c>
      <c r="F355" s="6"/>
      <c r="G355" s="7" t="s">
        <v>660</v>
      </c>
      <c r="H355" s="7"/>
      <c r="I355" s="7"/>
      <c r="J355" s="3" t="s">
        <v>35</v>
      </c>
      <c r="K355" s="4" t="s">
        <v>192</v>
      </c>
      <c r="L355" s="4" t="s">
        <v>93</v>
      </c>
      <c r="N355" s="7" t="s">
        <v>906</v>
      </c>
      <c r="O355" s="7"/>
      <c r="P355" s="7" t="s">
        <v>907</v>
      </c>
      <c r="Q355" s="7"/>
      <c r="R355" s="7"/>
      <c r="S355" s="3" t="s">
        <v>40</v>
      </c>
      <c r="T355" s="7" t="s">
        <v>41</v>
      </c>
      <c r="U355" s="7"/>
      <c r="V355" s="4" t="s">
        <v>42</v>
      </c>
      <c r="W355" s="4" t="s">
        <v>51</v>
      </c>
      <c r="X355" s="4" t="s">
        <v>128</v>
      </c>
      <c r="Y355" s="7" t="s">
        <v>197</v>
      </c>
      <c r="Z355" s="7"/>
      <c r="AA355" s="4" t="s">
        <v>46</v>
      </c>
      <c r="AB355" s="4" t="s">
        <v>47</v>
      </c>
      <c r="AC355" s="4" t="s">
        <v>136</v>
      </c>
      <c r="AD355" s="4" t="s">
        <v>148</v>
      </c>
      <c r="AE355" s="4" t="s">
        <v>48</v>
      </c>
      <c r="AF355" s="4" t="s">
        <v>41</v>
      </c>
      <c r="AG355" s="4" t="s">
        <v>665</v>
      </c>
    </row>
    <row r="356" spans="1:33" ht="16.5" customHeight="1" x14ac:dyDescent="0.2">
      <c r="A356" s="2" t="s">
        <v>31</v>
      </c>
      <c r="B356" s="5" t="s">
        <v>54</v>
      </c>
      <c r="C356" s="5"/>
      <c r="D356" s="5"/>
      <c r="E356" s="6" t="s">
        <v>33</v>
      </c>
      <c r="F356" s="6"/>
      <c r="G356" s="7" t="s">
        <v>660</v>
      </c>
      <c r="H356" s="7"/>
      <c r="I356" s="7"/>
      <c r="J356" s="3" t="s">
        <v>35</v>
      </c>
      <c r="K356" s="4" t="s">
        <v>202</v>
      </c>
      <c r="L356" s="4" t="s">
        <v>37</v>
      </c>
      <c r="N356" s="7" t="s">
        <v>906</v>
      </c>
      <c r="O356" s="7"/>
      <c r="P356" s="7" t="s">
        <v>907</v>
      </c>
      <c r="Q356" s="7"/>
      <c r="R356" s="7"/>
      <c r="S356" s="3" t="s">
        <v>40</v>
      </c>
      <c r="T356" s="7" t="s">
        <v>41</v>
      </c>
      <c r="U356" s="7"/>
      <c r="V356" s="4" t="s">
        <v>42</v>
      </c>
      <c r="W356" s="4" t="s">
        <v>51</v>
      </c>
      <c r="X356" s="4" t="s">
        <v>128</v>
      </c>
      <c r="Y356" s="7" t="s">
        <v>197</v>
      </c>
      <c r="Z356" s="7"/>
      <c r="AA356" s="4" t="s">
        <v>46</v>
      </c>
      <c r="AB356" s="4" t="s">
        <v>47</v>
      </c>
      <c r="AC356" s="4" t="s">
        <v>136</v>
      </c>
      <c r="AD356" s="4" t="s">
        <v>137</v>
      </c>
      <c r="AE356" s="4" t="s">
        <v>48</v>
      </c>
      <c r="AF356" s="4" t="s">
        <v>41</v>
      </c>
      <c r="AG356" s="4" t="s">
        <v>665</v>
      </c>
    </row>
    <row r="357" spans="1:33" ht="16.5" customHeight="1" x14ac:dyDescent="0.2">
      <c r="A357" s="2" t="s">
        <v>31</v>
      </c>
      <c r="B357" s="5" t="s">
        <v>54</v>
      </c>
      <c r="C357" s="5"/>
      <c r="D357" s="5"/>
      <c r="E357" s="6" t="s">
        <v>33</v>
      </c>
      <c r="F357" s="6"/>
      <c r="G357" s="7" t="s">
        <v>660</v>
      </c>
      <c r="H357" s="7"/>
      <c r="I357" s="7"/>
      <c r="J357" s="3" t="s">
        <v>35</v>
      </c>
      <c r="K357" s="4" t="s">
        <v>192</v>
      </c>
      <c r="L357" s="4" t="s">
        <v>37</v>
      </c>
      <c r="N357" s="7" t="s">
        <v>908</v>
      </c>
      <c r="O357" s="7"/>
      <c r="P357" s="7" t="s">
        <v>909</v>
      </c>
      <c r="Q357" s="7"/>
      <c r="R357" s="7"/>
      <c r="S357" s="3" t="s">
        <v>40</v>
      </c>
      <c r="T357" s="7" t="s">
        <v>41</v>
      </c>
      <c r="U357" s="7"/>
      <c r="V357" s="4" t="s">
        <v>42</v>
      </c>
      <c r="W357" s="4" t="s">
        <v>51</v>
      </c>
      <c r="X357" s="4" t="s">
        <v>128</v>
      </c>
      <c r="Y357" s="7" t="s">
        <v>197</v>
      </c>
      <c r="Z357" s="7"/>
      <c r="AA357" s="4" t="s">
        <v>46</v>
      </c>
      <c r="AB357" s="4" t="s">
        <v>47</v>
      </c>
      <c r="AC357" s="4" t="s">
        <v>136</v>
      </c>
      <c r="AD357" s="4" t="s">
        <v>137</v>
      </c>
      <c r="AE357" s="4" t="s">
        <v>48</v>
      </c>
      <c r="AF357" s="4" t="s">
        <v>41</v>
      </c>
      <c r="AG357" s="4" t="s">
        <v>665</v>
      </c>
    </row>
    <row r="358" spans="1:33" ht="16.5" customHeight="1" x14ac:dyDescent="0.2">
      <c r="A358" s="2" t="s">
        <v>31</v>
      </c>
      <c r="B358" s="5" t="s">
        <v>108</v>
      </c>
      <c r="C358" s="5"/>
      <c r="D358" s="5"/>
      <c r="E358" s="6" t="s">
        <v>33</v>
      </c>
      <c r="F358" s="6"/>
      <c r="G358" s="7" t="s">
        <v>660</v>
      </c>
      <c r="H358" s="7"/>
      <c r="I358" s="7"/>
      <c r="J358" s="3" t="s">
        <v>35</v>
      </c>
      <c r="K358" s="4" t="s">
        <v>398</v>
      </c>
      <c r="N358" s="7" t="s">
        <v>910</v>
      </c>
      <c r="O358" s="7"/>
      <c r="P358" s="7" t="s">
        <v>911</v>
      </c>
      <c r="Q358" s="7"/>
      <c r="R358" s="7"/>
      <c r="S358" s="3" t="s">
        <v>40</v>
      </c>
      <c r="T358" s="7" t="s">
        <v>912</v>
      </c>
      <c r="U358" s="7"/>
      <c r="V358" s="4" t="s">
        <v>913</v>
      </c>
      <c r="W358" s="4" t="s">
        <v>914</v>
      </c>
      <c r="X358" s="4" t="s">
        <v>104</v>
      </c>
      <c r="Y358" s="7" t="s">
        <v>915</v>
      </c>
      <c r="Z358" s="7"/>
      <c r="AA358" s="4" t="s">
        <v>46</v>
      </c>
      <c r="AB358" s="4" t="s">
        <v>115</v>
      </c>
      <c r="AC358" s="4" t="s">
        <v>916</v>
      </c>
      <c r="AD358" s="4" t="s">
        <v>917</v>
      </c>
      <c r="AE358" s="4" t="s">
        <v>48</v>
      </c>
      <c r="AF358" s="4" t="s">
        <v>41</v>
      </c>
      <c r="AG358" s="4" t="s">
        <v>665</v>
      </c>
    </row>
    <row r="359" spans="1:33" ht="16.5" customHeight="1" x14ac:dyDescent="0.2">
      <c r="A359" s="2" t="s">
        <v>31</v>
      </c>
      <c r="B359" s="5" t="s">
        <v>108</v>
      </c>
      <c r="C359" s="5"/>
      <c r="D359" s="5"/>
      <c r="E359" s="6" t="s">
        <v>33</v>
      </c>
      <c r="F359" s="6"/>
      <c r="G359" s="7" t="s">
        <v>660</v>
      </c>
      <c r="H359" s="7"/>
      <c r="I359" s="7"/>
      <c r="J359" s="3" t="s">
        <v>35</v>
      </c>
      <c r="K359" s="4" t="s">
        <v>398</v>
      </c>
      <c r="N359" s="7" t="s">
        <v>918</v>
      </c>
      <c r="O359" s="7"/>
      <c r="P359" s="7" t="s">
        <v>919</v>
      </c>
      <c r="Q359" s="7"/>
      <c r="R359" s="7"/>
      <c r="S359" s="3" t="s">
        <v>40</v>
      </c>
      <c r="T359" s="7" t="s">
        <v>920</v>
      </c>
      <c r="U359" s="7"/>
      <c r="V359" s="4" t="s">
        <v>913</v>
      </c>
      <c r="W359" s="4" t="s">
        <v>914</v>
      </c>
      <c r="X359" s="4" t="s">
        <v>104</v>
      </c>
      <c r="Y359" s="7" t="s">
        <v>402</v>
      </c>
      <c r="Z359" s="7"/>
      <c r="AA359" s="4" t="s">
        <v>46</v>
      </c>
      <c r="AB359" s="4" t="s">
        <v>115</v>
      </c>
      <c r="AC359" s="4" t="s">
        <v>403</v>
      </c>
      <c r="AD359" s="4" t="s">
        <v>921</v>
      </c>
      <c r="AE359" s="4" t="s">
        <v>48</v>
      </c>
      <c r="AF359" s="4" t="s">
        <v>41</v>
      </c>
      <c r="AG359" s="4" t="s">
        <v>665</v>
      </c>
    </row>
    <row r="360" spans="1:33" ht="16.5" customHeight="1" x14ac:dyDescent="0.2">
      <c r="A360" s="2" t="s">
        <v>31</v>
      </c>
      <c r="B360" s="5" t="s">
        <v>108</v>
      </c>
      <c r="C360" s="5"/>
      <c r="D360" s="5"/>
      <c r="E360" s="6" t="s">
        <v>33</v>
      </c>
      <c r="F360" s="6"/>
      <c r="G360" s="7" t="s">
        <v>660</v>
      </c>
      <c r="H360" s="7"/>
      <c r="I360" s="7"/>
      <c r="J360" s="3" t="s">
        <v>35</v>
      </c>
      <c r="K360" s="4" t="s">
        <v>398</v>
      </c>
      <c r="N360" s="7" t="s">
        <v>922</v>
      </c>
      <c r="O360" s="7"/>
      <c r="P360" s="7" t="s">
        <v>923</v>
      </c>
      <c r="Q360" s="7"/>
      <c r="R360" s="7"/>
      <c r="S360" s="3" t="s">
        <v>40</v>
      </c>
      <c r="T360" s="7" t="s">
        <v>924</v>
      </c>
      <c r="U360" s="7"/>
      <c r="V360" s="4" t="s">
        <v>925</v>
      </c>
      <c r="W360" s="4" t="s">
        <v>926</v>
      </c>
      <c r="X360" s="4" t="s">
        <v>77</v>
      </c>
      <c r="Y360" s="7" t="s">
        <v>402</v>
      </c>
      <c r="Z360" s="7"/>
      <c r="AA360" s="4" t="s">
        <v>46</v>
      </c>
      <c r="AB360" s="4" t="s">
        <v>115</v>
      </c>
      <c r="AC360" s="4" t="s">
        <v>403</v>
      </c>
      <c r="AD360" s="4" t="s">
        <v>927</v>
      </c>
      <c r="AE360" s="4" t="s">
        <v>48</v>
      </c>
      <c r="AF360" s="4" t="s">
        <v>41</v>
      </c>
      <c r="AG360" s="4" t="s">
        <v>665</v>
      </c>
    </row>
    <row r="361" spans="1:33" ht="16.5" customHeight="1" x14ac:dyDescent="0.2">
      <c r="A361" s="2" t="s">
        <v>31</v>
      </c>
      <c r="B361" s="5" t="s">
        <v>108</v>
      </c>
      <c r="C361" s="5"/>
      <c r="D361" s="5"/>
      <c r="E361" s="6" t="s">
        <v>33</v>
      </c>
      <c r="F361" s="6"/>
      <c r="G361" s="7" t="s">
        <v>660</v>
      </c>
      <c r="H361" s="7"/>
      <c r="I361" s="7"/>
      <c r="J361" s="3" t="s">
        <v>35</v>
      </c>
      <c r="K361" s="4" t="s">
        <v>928</v>
      </c>
      <c r="N361" s="7" t="s">
        <v>929</v>
      </c>
      <c r="O361" s="7"/>
      <c r="P361" s="7" t="s">
        <v>930</v>
      </c>
      <c r="Q361" s="7"/>
      <c r="R361" s="7"/>
      <c r="S361" s="3" t="s">
        <v>40</v>
      </c>
      <c r="T361" s="7" t="s">
        <v>931</v>
      </c>
      <c r="U361" s="7"/>
      <c r="V361" s="4" t="s">
        <v>51</v>
      </c>
      <c r="W361" s="4" t="s">
        <v>90</v>
      </c>
      <c r="X361" s="4" t="s">
        <v>103</v>
      </c>
      <c r="Y361" s="7" t="s">
        <v>402</v>
      </c>
      <c r="Z361" s="7"/>
      <c r="AA361" s="4" t="s">
        <v>46</v>
      </c>
      <c r="AB361" s="4" t="s">
        <v>115</v>
      </c>
      <c r="AC361" s="4" t="s">
        <v>403</v>
      </c>
      <c r="AD361" s="4" t="s">
        <v>932</v>
      </c>
      <c r="AE361" s="4" t="s">
        <v>48</v>
      </c>
      <c r="AF361" s="4" t="s">
        <v>41</v>
      </c>
      <c r="AG361" s="4" t="s">
        <v>665</v>
      </c>
    </row>
    <row r="362" spans="1:33" ht="16.5" customHeight="1" x14ac:dyDescent="0.2">
      <c r="A362" s="2" t="s">
        <v>31</v>
      </c>
      <c r="B362" s="5" t="s">
        <v>108</v>
      </c>
      <c r="C362" s="5"/>
      <c r="D362" s="5"/>
      <c r="E362" s="6" t="s">
        <v>33</v>
      </c>
      <c r="F362" s="6"/>
      <c r="G362" s="7" t="s">
        <v>660</v>
      </c>
      <c r="H362" s="7"/>
      <c r="I362" s="7"/>
      <c r="J362" s="3" t="s">
        <v>35</v>
      </c>
      <c r="K362" s="4" t="s">
        <v>933</v>
      </c>
      <c r="N362" s="7" t="s">
        <v>934</v>
      </c>
      <c r="O362" s="7"/>
      <c r="P362" s="7" t="s">
        <v>935</v>
      </c>
      <c r="Q362" s="7"/>
      <c r="R362" s="7"/>
      <c r="S362" s="3" t="s">
        <v>40</v>
      </c>
      <c r="T362" s="7" t="s">
        <v>936</v>
      </c>
      <c r="U362" s="7"/>
      <c r="V362" s="4" t="s">
        <v>42</v>
      </c>
      <c r="W362" s="4" t="s">
        <v>58</v>
      </c>
      <c r="X362" s="4" t="s">
        <v>59</v>
      </c>
      <c r="Y362" s="7" t="s">
        <v>937</v>
      </c>
      <c r="Z362" s="7"/>
      <c r="AA362" s="4" t="s">
        <v>46</v>
      </c>
      <c r="AB362" s="4" t="s">
        <v>115</v>
      </c>
      <c r="AC362" s="4" t="s">
        <v>938</v>
      </c>
      <c r="AD362" s="4" t="s">
        <v>939</v>
      </c>
      <c r="AE362" s="4" t="s">
        <v>48</v>
      </c>
      <c r="AF362" s="4" t="s">
        <v>41</v>
      </c>
      <c r="AG362" s="4" t="s">
        <v>665</v>
      </c>
    </row>
    <row r="363" spans="1:33" ht="16.5" customHeight="1" x14ac:dyDescent="0.2">
      <c r="A363" s="2" t="s">
        <v>31</v>
      </c>
      <c r="B363" s="5" t="s">
        <v>108</v>
      </c>
      <c r="C363" s="5"/>
      <c r="D363" s="5"/>
      <c r="E363" s="6" t="s">
        <v>33</v>
      </c>
      <c r="F363" s="6"/>
      <c r="G363" s="7" t="s">
        <v>660</v>
      </c>
      <c r="H363" s="7"/>
      <c r="I363" s="7"/>
      <c r="J363" s="3" t="s">
        <v>35</v>
      </c>
      <c r="K363" s="4" t="s">
        <v>933</v>
      </c>
      <c r="N363" s="7" t="s">
        <v>934</v>
      </c>
      <c r="O363" s="7"/>
      <c r="P363" s="7" t="s">
        <v>935</v>
      </c>
      <c r="Q363" s="7"/>
      <c r="R363" s="7"/>
      <c r="S363" s="3" t="s">
        <v>40</v>
      </c>
      <c r="T363" s="7" t="s">
        <v>936</v>
      </c>
      <c r="U363" s="7"/>
      <c r="V363" s="4" t="s">
        <v>51</v>
      </c>
      <c r="W363" s="4" t="s">
        <v>58</v>
      </c>
      <c r="X363" s="4" t="s">
        <v>128</v>
      </c>
      <c r="Y363" s="7" t="s">
        <v>937</v>
      </c>
      <c r="Z363" s="7"/>
      <c r="AA363" s="4" t="s">
        <v>46</v>
      </c>
      <c r="AB363" s="4" t="s">
        <v>115</v>
      </c>
      <c r="AC363" s="4" t="s">
        <v>938</v>
      </c>
      <c r="AD363" s="4" t="s">
        <v>939</v>
      </c>
      <c r="AE363" s="4" t="s">
        <v>48</v>
      </c>
      <c r="AF363" s="4" t="s">
        <v>41</v>
      </c>
      <c r="AG363" s="4" t="s">
        <v>665</v>
      </c>
    </row>
    <row r="364" spans="1:33" ht="16.5" customHeight="1" x14ac:dyDescent="0.2">
      <c r="A364" s="2" t="s">
        <v>31</v>
      </c>
      <c r="B364" s="5" t="s">
        <v>108</v>
      </c>
      <c r="C364" s="5"/>
      <c r="D364" s="5"/>
      <c r="E364" s="6" t="s">
        <v>33</v>
      </c>
      <c r="F364" s="6"/>
      <c r="G364" s="7" t="s">
        <v>660</v>
      </c>
      <c r="H364" s="7"/>
      <c r="I364" s="7"/>
      <c r="J364" s="3" t="s">
        <v>35</v>
      </c>
      <c r="K364" s="4" t="s">
        <v>928</v>
      </c>
      <c r="N364" s="7" t="s">
        <v>940</v>
      </c>
      <c r="O364" s="7"/>
      <c r="P364" s="7" t="s">
        <v>941</v>
      </c>
      <c r="Q364" s="7"/>
      <c r="R364" s="7"/>
      <c r="S364" s="3" t="s">
        <v>40</v>
      </c>
      <c r="T364" s="7" t="s">
        <v>942</v>
      </c>
      <c r="U364" s="7"/>
      <c r="V364" s="4" t="s">
        <v>51</v>
      </c>
      <c r="W364" s="4" t="s">
        <v>58</v>
      </c>
      <c r="X364" s="4" t="s">
        <v>128</v>
      </c>
      <c r="Y364" s="7" t="s">
        <v>402</v>
      </c>
      <c r="Z364" s="7"/>
      <c r="AA364" s="4" t="s">
        <v>46</v>
      </c>
      <c r="AB364" s="4" t="s">
        <v>115</v>
      </c>
      <c r="AC364" s="4" t="s">
        <v>403</v>
      </c>
      <c r="AD364" s="4" t="s">
        <v>943</v>
      </c>
      <c r="AE364" s="4" t="s">
        <v>48</v>
      </c>
      <c r="AF364" s="4" t="s">
        <v>41</v>
      </c>
      <c r="AG364" s="4" t="s">
        <v>665</v>
      </c>
    </row>
    <row r="365" spans="1:33" ht="16.5" customHeight="1" x14ac:dyDescent="0.2">
      <c r="A365" s="2" t="s">
        <v>31</v>
      </c>
      <c r="B365" s="5" t="s">
        <v>108</v>
      </c>
      <c r="C365" s="5"/>
      <c r="D365" s="5"/>
      <c r="E365" s="6" t="s">
        <v>33</v>
      </c>
      <c r="F365" s="6"/>
      <c r="G365" s="7" t="s">
        <v>660</v>
      </c>
      <c r="H365" s="7"/>
      <c r="I365" s="7"/>
      <c r="J365" s="3" t="s">
        <v>35</v>
      </c>
      <c r="K365" s="4" t="s">
        <v>398</v>
      </c>
      <c r="N365" s="7" t="s">
        <v>944</v>
      </c>
      <c r="O365" s="7"/>
      <c r="P365" s="7" t="s">
        <v>667</v>
      </c>
      <c r="Q365" s="7"/>
      <c r="R365" s="7"/>
      <c r="S365" s="3" t="s">
        <v>40</v>
      </c>
      <c r="T365" s="7" t="s">
        <v>945</v>
      </c>
      <c r="U365" s="7"/>
      <c r="V365" s="4" t="s">
        <v>51</v>
      </c>
      <c r="W365" s="4" t="s">
        <v>172</v>
      </c>
      <c r="X365" s="4" t="s">
        <v>59</v>
      </c>
      <c r="Y365" s="7" t="s">
        <v>402</v>
      </c>
      <c r="Z365" s="7"/>
      <c r="AA365" s="4" t="s">
        <v>46</v>
      </c>
      <c r="AB365" s="4" t="s">
        <v>115</v>
      </c>
      <c r="AC365" s="4" t="s">
        <v>403</v>
      </c>
      <c r="AD365" s="4" t="s">
        <v>946</v>
      </c>
      <c r="AE365" s="4" t="s">
        <v>48</v>
      </c>
      <c r="AF365" s="4" t="s">
        <v>41</v>
      </c>
      <c r="AG365" s="4" t="s">
        <v>665</v>
      </c>
    </row>
    <row r="366" spans="1:33" ht="16.5" customHeight="1" x14ac:dyDescent="0.2">
      <c r="A366" s="2" t="s">
        <v>31</v>
      </c>
      <c r="B366" s="5" t="s">
        <v>108</v>
      </c>
      <c r="C366" s="5"/>
      <c r="D366" s="5"/>
      <c r="E366" s="6" t="s">
        <v>33</v>
      </c>
      <c r="F366" s="6"/>
      <c r="G366" s="7" t="s">
        <v>660</v>
      </c>
      <c r="H366" s="7"/>
      <c r="I366" s="7"/>
      <c r="J366" s="3" t="s">
        <v>35</v>
      </c>
      <c r="K366" s="4" t="s">
        <v>933</v>
      </c>
      <c r="N366" s="7" t="s">
        <v>947</v>
      </c>
      <c r="O366" s="7"/>
      <c r="P366" s="7" t="s">
        <v>948</v>
      </c>
      <c r="Q366" s="7"/>
      <c r="R366" s="7"/>
      <c r="S366" s="3" t="s">
        <v>40</v>
      </c>
      <c r="T366" s="7" t="s">
        <v>949</v>
      </c>
      <c r="U366" s="7"/>
      <c r="V366" s="4" t="s">
        <v>950</v>
      </c>
      <c r="W366" s="4" t="s">
        <v>58</v>
      </c>
      <c r="X366" s="4" t="s">
        <v>386</v>
      </c>
      <c r="Y366" s="7" t="s">
        <v>937</v>
      </c>
      <c r="Z366" s="7"/>
      <c r="AA366" s="4" t="s">
        <v>46</v>
      </c>
      <c r="AB366" s="4" t="s">
        <v>115</v>
      </c>
      <c r="AC366" s="4" t="s">
        <v>938</v>
      </c>
      <c r="AD366" s="4" t="s">
        <v>951</v>
      </c>
      <c r="AE366" s="4" t="s">
        <v>48</v>
      </c>
      <c r="AF366" s="4" t="s">
        <v>41</v>
      </c>
      <c r="AG366" s="4" t="s">
        <v>665</v>
      </c>
    </row>
    <row r="367" spans="1:33" ht="16.5" customHeight="1" x14ac:dyDescent="0.2">
      <c r="A367" s="2" t="s">
        <v>31</v>
      </c>
      <c r="B367" s="5" t="s">
        <v>108</v>
      </c>
      <c r="C367" s="5"/>
      <c r="D367" s="5"/>
      <c r="E367" s="6" t="s">
        <v>33</v>
      </c>
      <c r="F367" s="6"/>
      <c r="G367" s="7" t="s">
        <v>660</v>
      </c>
      <c r="H367" s="7"/>
      <c r="I367" s="7"/>
      <c r="J367" s="3" t="s">
        <v>35</v>
      </c>
      <c r="K367" s="4" t="s">
        <v>933</v>
      </c>
      <c r="N367" s="7" t="s">
        <v>947</v>
      </c>
      <c r="O367" s="7"/>
      <c r="P367" s="7" t="s">
        <v>948</v>
      </c>
      <c r="Q367" s="7"/>
      <c r="R367" s="7"/>
      <c r="S367" s="3" t="s">
        <v>40</v>
      </c>
      <c r="T367" s="7" t="s">
        <v>949</v>
      </c>
      <c r="U367" s="7"/>
      <c r="V367" s="4" t="s">
        <v>42</v>
      </c>
      <c r="W367" s="4" t="s">
        <v>58</v>
      </c>
      <c r="X367" s="4" t="s">
        <v>59</v>
      </c>
      <c r="Y367" s="7" t="s">
        <v>937</v>
      </c>
      <c r="Z367" s="7"/>
      <c r="AA367" s="4" t="s">
        <v>46</v>
      </c>
      <c r="AB367" s="4" t="s">
        <v>115</v>
      </c>
      <c r="AC367" s="4" t="s">
        <v>938</v>
      </c>
      <c r="AD367" s="4" t="s">
        <v>951</v>
      </c>
      <c r="AE367" s="4" t="s">
        <v>48</v>
      </c>
      <c r="AF367" s="4" t="s">
        <v>41</v>
      </c>
      <c r="AG367" s="4" t="s">
        <v>665</v>
      </c>
    </row>
    <row r="368" spans="1:33" ht="16.5" customHeight="1" x14ac:dyDescent="0.2">
      <c r="A368" s="2" t="s">
        <v>31</v>
      </c>
      <c r="B368" s="5" t="s">
        <v>108</v>
      </c>
      <c r="C368" s="5"/>
      <c r="D368" s="5"/>
      <c r="E368" s="6" t="s">
        <v>33</v>
      </c>
      <c r="F368" s="6"/>
      <c r="G368" s="7" t="s">
        <v>660</v>
      </c>
      <c r="H368" s="7"/>
      <c r="I368" s="7"/>
      <c r="J368" s="3" t="s">
        <v>35</v>
      </c>
      <c r="K368" s="4" t="s">
        <v>933</v>
      </c>
      <c r="N368" s="7" t="s">
        <v>947</v>
      </c>
      <c r="O368" s="7"/>
      <c r="P368" s="7" t="s">
        <v>948</v>
      </c>
      <c r="Q368" s="7"/>
      <c r="R368" s="7"/>
      <c r="S368" s="3" t="s">
        <v>40</v>
      </c>
      <c r="T368" s="7" t="s">
        <v>949</v>
      </c>
      <c r="U368" s="7"/>
      <c r="V368" s="4" t="s">
        <v>51</v>
      </c>
      <c r="W368" s="4" t="s">
        <v>58</v>
      </c>
      <c r="X368" s="4" t="s">
        <v>128</v>
      </c>
      <c r="Y368" s="7" t="s">
        <v>937</v>
      </c>
      <c r="Z368" s="7"/>
      <c r="AA368" s="4" t="s">
        <v>46</v>
      </c>
      <c r="AB368" s="4" t="s">
        <v>115</v>
      </c>
      <c r="AC368" s="4" t="s">
        <v>938</v>
      </c>
      <c r="AD368" s="4" t="s">
        <v>951</v>
      </c>
      <c r="AE368" s="4" t="s">
        <v>48</v>
      </c>
      <c r="AF368" s="4" t="s">
        <v>41</v>
      </c>
      <c r="AG368" s="4" t="s">
        <v>665</v>
      </c>
    </row>
    <row r="369" spans="1:33" ht="16.5" customHeight="1" x14ac:dyDescent="0.2">
      <c r="A369" s="2" t="s">
        <v>31</v>
      </c>
      <c r="B369" s="5" t="s">
        <v>108</v>
      </c>
      <c r="C369" s="5"/>
      <c r="D369" s="5"/>
      <c r="E369" s="6" t="s">
        <v>33</v>
      </c>
      <c r="F369" s="6"/>
      <c r="G369" s="7" t="s">
        <v>660</v>
      </c>
      <c r="H369" s="7"/>
      <c r="I369" s="7"/>
      <c r="J369" s="3" t="s">
        <v>35</v>
      </c>
      <c r="K369" s="4" t="s">
        <v>398</v>
      </c>
      <c r="N369" s="7" t="s">
        <v>952</v>
      </c>
      <c r="O369" s="7"/>
      <c r="P369" s="7" t="s">
        <v>953</v>
      </c>
      <c r="Q369" s="7"/>
      <c r="R369" s="7"/>
      <c r="S369" s="3" t="s">
        <v>40</v>
      </c>
      <c r="T369" s="7" t="s">
        <v>954</v>
      </c>
      <c r="U369" s="7"/>
      <c r="V369" s="4" t="s">
        <v>955</v>
      </c>
      <c r="W369" s="4" t="s">
        <v>956</v>
      </c>
      <c r="X369" s="4" t="s">
        <v>386</v>
      </c>
      <c r="Y369" s="7" t="s">
        <v>915</v>
      </c>
      <c r="Z369" s="7"/>
      <c r="AA369" s="4" t="s">
        <v>46</v>
      </c>
      <c r="AB369" s="4" t="s">
        <v>115</v>
      </c>
      <c r="AC369" s="4" t="s">
        <v>916</v>
      </c>
      <c r="AD369" s="4" t="s">
        <v>957</v>
      </c>
      <c r="AE369" s="4" t="s">
        <v>48</v>
      </c>
      <c r="AF369" s="4" t="s">
        <v>41</v>
      </c>
      <c r="AG369" s="4" t="s">
        <v>665</v>
      </c>
    </row>
    <row r="370" spans="1:33" ht="16.5" customHeight="1" x14ac:dyDescent="0.2">
      <c r="A370" s="2" t="s">
        <v>31</v>
      </c>
      <c r="B370" s="5" t="s">
        <v>108</v>
      </c>
      <c r="C370" s="5"/>
      <c r="D370" s="5"/>
      <c r="E370" s="6" t="s">
        <v>33</v>
      </c>
      <c r="F370" s="6"/>
      <c r="G370" s="7" t="s">
        <v>660</v>
      </c>
      <c r="H370" s="7"/>
      <c r="I370" s="7"/>
      <c r="J370" s="3" t="s">
        <v>35</v>
      </c>
      <c r="K370" s="4" t="s">
        <v>933</v>
      </c>
      <c r="N370" s="7" t="s">
        <v>958</v>
      </c>
      <c r="O370" s="7"/>
      <c r="P370" s="7" t="s">
        <v>959</v>
      </c>
      <c r="Q370" s="7"/>
      <c r="R370" s="7"/>
      <c r="S370" s="3" t="s">
        <v>40</v>
      </c>
      <c r="T370" s="7" t="s">
        <v>960</v>
      </c>
      <c r="U370" s="7"/>
      <c r="V370" s="4" t="s">
        <v>51</v>
      </c>
      <c r="W370" s="4" t="s">
        <v>58</v>
      </c>
      <c r="X370" s="4" t="s">
        <v>128</v>
      </c>
      <c r="Y370" s="7" t="s">
        <v>961</v>
      </c>
      <c r="Z370" s="7"/>
      <c r="AA370" s="4" t="s">
        <v>46</v>
      </c>
      <c r="AB370" s="4" t="s">
        <v>115</v>
      </c>
      <c r="AC370" s="4" t="s">
        <v>962</v>
      </c>
      <c r="AD370" s="4" t="s">
        <v>963</v>
      </c>
      <c r="AE370" s="4" t="s">
        <v>48</v>
      </c>
      <c r="AF370" s="4" t="s">
        <v>41</v>
      </c>
      <c r="AG370" s="4" t="s">
        <v>665</v>
      </c>
    </row>
    <row r="371" spans="1:33" ht="16.5" customHeight="1" x14ac:dyDescent="0.2">
      <c r="A371" s="2" t="s">
        <v>31</v>
      </c>
      <c r="B371" s="5" t="s">
        <v>108</v>
      </c>
      <c r="C371" s="5"/>
      <c r="D371" s="5"/>
      <c r="E371" s="6" t="s">
        <v>33</v>
      </c>
      <c r="F371" s="6"/>
      <c r="G371" s="7" t="s">
        <v>660</v>
      </c>
      <c r="H371" s="7"/>
      <c r="I371" s="7"/>
      <c r="J371" s="3" t="s">
        <v>35</v>
      </c>
      <c r="K371" s="4" t="s">
        <v>398</v>
      </c>
      <c r="N371" s="7" t="s">
        <v>964</v>
      </c>
      <c r="O371" s="7"/>
      <c r="P371" s="7" t="s">
        <v>670</v>
      </c>
      <c r="Q371" s="7"/>
      <c r="R371" s="7"/>
      <c r="S371" s="3" t="s">
        <v>40</v>
      </c>
      <c r="T371" s="7" t="s">
        <v>401</v>
      </c>
      <c r="U371" s="7"/>
      <c r="V371" s="4" t="s">
        <v>51</v>
      </c>
      <c r="W371" s="4" t="s">
        <v>58</v>
      </c>
      <c r="X371" s="4" t="s">
        <v>128</v>
      </c>
      <c r="Y371" s="7" t="s">
        <v>402</v>
      </c>
      <c r="Z371" s="7"/>
      <c r="AA371" s="4" t="s">
        <v>46</v>
      </c>
      <c r="AB371" s="4" t="s">
        <v>115</v>
      </c>
      <c r="AC371" s="4" t="s">
        <v>403</v>
      </c>
      <c r="AD371" s="4" t="s">
        <v>404</v>
      </c>
      <c r="AE371" s="4" t="s">
        <v>48</v>
      </c>
      <c r="AF371" s="4" t="s">
        <v>41</v>
      </c>
      <c r="AG371" s="4" t="s">
        <v>665</v>
      </c>
    </row>
    <row r="372" spans="1:33" ht="16.5" customHeight="1" x14ac:dyDescent="0.2">
      <c r="A372" s="2" t="s">
        <v>31</v>
      </c>
      <c r="B372" s="5" t="s">
        <v>50</v>
      </c>
      <c r="C372" s="5"/>
      <c r="D372" s="5"/>
      <c r="E372" s="6" t="s">
        <v>33</v>
      </c>
      <c r="F372" s="6"/>
      <c r="G372" s="7" t="s">
        <v>965</v>
      </c>
      <c r="H372" s="7"/>
      <c r="I372" s="7"/>
      <c r="J372" s="3" t="s">
        <v>35</v>
      </c>
      <c r="K372" s="4" t="s">
        <v>661</v>
      </c>
      <c r="N372" s="7" t="s">
        <v>966</v>
      </c>
      <c r="O372" s="7"/>
      <c r="P372" s="7" t="s">
        <v>967</v>
      </c>
      <c r="Q372" s="7"/>
      <c r="R372" s="7"/>
      <c r="S372" s="3" t="s">
        <v>40</v>
      </c>
      <c r="T372" s="7" t="s">
        <v>41</v>
      </c>
      <c r="U372" s="7"/>
      <c r="V372" s="4" t="s">
        <v>51</v>
      </c>
      <c r="W372" s="4" t="s">
        <v>107</v>
      </c>
      <c r="X372" s="4" t="s">
        <v>386</v>
      </c>
      <c r="Y372" s="7" t="s">
        <v>664</v>
      </c>
      <c r="Z372" s="7"/>
      <c r="AA372" s="4" t="s">
        <v>46</v>
      </c>
      <c r="AB372" s="4" t="s">
        <v>47</v>
      </c>
      <c r="AD372" s="4" t="s">
        <v>96</v>
      </c>
      <c r="AE372" s="4" t="s">
        <v>48</v>
      </c>
      <c r="AF372" s="4" t="s">
        <v>41</v>
      </c>
      <c r="AG372" s="4" t="s">
        <v>968</v>
      </c>
    </row>
    <row r="373" spans="1:33" ht="16.5" customHeight="1" x14ac:dyDescent="0.2">
      <c r="A373" s="2" t="s">
        <v>31</v>
      </c>
      <c r="B373" s="5" t="s">
        <v>32</v>
      </c>
      <c r="C373" s="5"/>
      <c r="D373" s="5"/>
      <c r="E373" s="6" t="s">
        <v>33</v>
      </c>
      <c r="F373" s="6"/>
      <c r="G373" s="7" t="s">
        <v>965</v>
      </c>
      <c r="H373" s="7"/>
      <c r="I373" s="7"/>
      <c r="J373" s="3" t="s">
        <v>35</v>
      </c>
      <c r="K373" s="4" t="s">
        <v>661</v>
      </c>
      <c r="L373" s="4" t="s">
        <v>37</v>
      </c>
      <c r="N373" s="7" t="s">
        <v>966</v>
      </c>
      <c r="O373" s="7"/>
      <c r="P373" s="7" t="s">
        <v>967</v>
      </c>
      <c r="Q373" s="7"/>
      <c r="R373" s="7"/>
      <c r="S373" s="3" t="s">
        <v>40</v>
      </c>
      <c r="T373" s="7" t="s">
        <v>668</v>
      </c>
      <c r="U373" s="7"/>
      <c r="V373" s="4" t="s">
        <v>58</v>
      </c>
      <c r="W373" s="4" t="s">
        <v>107</v>
      </c>
      <c r="X373" s="4" t="s">
        <v>59</v>
      </c>
      <c r="Y373" s="7" t="s">
        <v>664</v>
      </c>
      <c r="Z373" s="7"/>
      <c r="AA373" s="4" t="s">
        <v>46</v>
      </c>
      <c r="AB373" s="4" t="s">
        <v>47</v>
      </c>
      <c r="AD373" s="4" t="s">
        <v>41</v>
      </c>
      <c r="AE373" s="4" t="s">
        <v>48</v>
      </c>
      <c r="AF373" s="4" t="s">
        <v>41</v>
      </c>
      <c r="AG373" s="4" t="s">
        <v>968</v>
      </c>
    </row>
    <row r="374" spans="1:33" ht="16.5" customHeight="1" x14ac:dyDescent="0.2">
      <c r="A374" s="2" t="s">
        <v>31</v>
      </c>
      <c r="B374" s="5" t="s">
        <v>54</v>
      </c>
      <c r="C374" s="5"/>
      <c r="D374" s="5"/>
      <c r="E374" s="6" t="s">
        <v>33</v>
      </c>
      <c r="F374" s="6"/>
      <c r="G374" s="7" t="s">
        <v>965</v>
      </c>
      <c r="H374" s="7"/>
      <c r="I374" s="7"/>
      <c r="J374" s="3" t="s">
        <v>35</v>
      </c>
      <c r="K374" s="4" t="s">
        <v>55</v>
      </c>
      <c r="L374" s="4" t="s">
        <v>37</v>
      </c>
      <c r="N374" s="7" t="s">
        <v>969</v>
      </c>
      <c r="O374" s="7"/>
      <c r="P374" s="7" t="s">
        <v>970</v>
      </c>
      <c r="Q374" s="7"/>
      <c r="R374" s="7"/>
      <c r="S374" s="3" t="s">
        <v>40</v>
      </c>
      <c r="T374" s="7" t="s">
        <v>41</v>
      </c>
      <c r="U374" s="7"/>
      <c r="V374" s="4" t="s">
        <v>42</v>
      </c>
      <c r="W374" s="4" t="s">
        <v>58</v>
      </c>
      <c r="X374" s="4" t="s">
        <v>59</v>
      </c>
      <c r="Y374" s="7" t="s">
        <v>60</v>
      </c>
      <c r="Z374" s="7"/>
      <c r="AA374" s="4" t="s">
        <v>46</v>
      </c>
      <c r="AB374" s="4" t="s">
        <v>47</v>
      </c>
      <c r="AC374" s="4" t="s">
        <v>61</v>
      </c>
      <c r="AD374" s="4" t="s">
        <v>62</v>
      </c>
      <c r="AE374" s="4" t="s">
        <v>48</v>
      </c>
      <c r="AF374" s="4" t="s">
        <v>41</v>
      </c>
      <c r="AG374" s="4" t="s">
        <v>968</v>
      </c>
    </row>
    <row r="375" spans="1:33" ht="16.5" customHeight="1" x14ac:dyDescent="0.2">
      <c r="A375" s="2" t="s">
        <v>31</v>
      </c>
      <c r="B375" s="5" t="s">
        <v>54</v>
      </c>
      <c r="C375" s="5"/>
      <c r="D375" s="5"/>
      <c r="E375" s="6" t="s">
        <v>33</v>
      </c>
      <c r="F375" s="6"/>
      <c r="G375" s="7" t="s">
        <v>965</v>
      </c>
      <c r="H375" s="7"/>
      <c r="I375" s="7"/>
      <c r="J375" s="3" t="s">
        <v>35</v>
      </c>
      <c r="K375" s="4" t="s">
        <v>149</v>
      </c>
      <c r="L375" s="4" t="s">
        <v>37</v>
      </c>
      <c r="N375" s="7" t="s">
        <v>971</v>
      </c>
      <c r="O375" s="7"/>
      <c r="P375" s="7" t="s">
        <v>972</v>
      </c>
      <c r="Q375" s="7"/>
      <c r="R375" s="7"/>
      <c r="S375" s="3" t="s">
        <v>40</v>
      </c>
      <c r="T375" s="7" t="s">
        <v>41</v>
      </c>
      <c r="U375" s="7"/>
      <c r="V375" s="4" t="s">
        <v>42</v>
      </c>
      <c r="W375" s="4" t="s">
        <v>309</v>
      </c>
      <c r="X375" s="4" t="s">
        <v>306</v>
      </c>
      <c r="Y375" s="7" t="s">
        <v>78</v>
      </c>
      <c r="Z375" s="7"/>
      <c r="AA375" s="4" t="s">
        <v>46</v>
      </c>
      <c r="AB375" s="4" t="s">
        <v>47</v>
      </c>
      <c r="AC375" s="4" t="s">
        <v>136</v>
      </c>
      <c r="AD375" s="4" t="s">
        <v>137</v>
      </c>
      <c r="AE375" s="4" t="s">
        <v>48</v>
      </c>
      <c r="AF375" s="4" t="s">
        <v>41</v>
      </c>
      <c r="AG375" s="4" t="s">
        <v>968</v>
      </c>
    </row>
    <row r="376" spans="1:33" ht="16.5" customHeight="1" x14ac:dyDescent="0.2">
      <c r="A376" s="2" t="s">
        <v>31</v>
      </c>
      <c r="B376" s="5" t="s">
        <v>54</v>
      </c>
      <c r="C376" s="5"/>
      <c r="D376" s="5"/>
      <c r="E376" s="6" t="s">
        <v>33</v>
      </c>
      <c r="F376" s="6"/>
      <c r="G376" s="7" t="s">
        <v>965</v>
      </c>
      <c r="H376" s="7"/>
      <c r="I376" s="7"/>
      <c r="J376" s="3" t="s">
        <v>35</v>
      </c>
      <c r="K376" s="4" t="s">
        <v>130</v>
      </c>
      <c r="L376" s="4" t="s">
        <v>37</v>
      </c>
      <c r="N376" s="7" t="s">
        <v>973</v>
      </c>
      <c r="O376" s="7"/>
      <c r="P376" s="7" t="s">
        <v>974</v>
      </c>
      <c r="Q376" s="7"/>
      <c r="R376" s="7"/>
      <c r="S376" s="3" t="s">
        <v>40</v>
      </c>
      <c r="T376" s="7" t="s">
        <v>41</v>
      </c>
      <c r="U376" s="7"/>
      <c r="V376" s="4" t="s">
        <v>51</v>
      </c>
      <c r="W376" s="4" t="s">
        <v>518</v>
      </c>
      <c r="X376" s="4" t="s">
        <v>520</v>
      </c>
      <c r="Y376" s="7" t="s">
        <v>135</v>
      </c>
      <c r="Z376" s="7"/>
      <c r="AA376" s="4" t="s">
        <v>46</v>
      </c>
      <c r="AB376" s="4" t="s">
        <v>47</v>
      </c>
      <c r="AC376" s="4" t="s">
        <v>136</v>
      </c>
      <c r="AD376" s="4" t="s">
        <v>137</v>
      </c>
      <c r="AE376" s="4" t="s">
        <v>48</v>
      </c>
      <c r="AF376" s="4" t="s">
        <v>41</v>
      </c>
      <c r="AG376" s="4" t="s">
        <v>968</v>
      </c>
    </row>
    <row r="377" spans="1:33" ht="16.5" customHeight="1" x14ac:dyDescent="0.2">
      <c r="A377" s="2" t="s">
        <v>31</v>
      </c>
      <c r="B377" s="5" t="s">
        <v>54</v>
      </c>
      <c r="C377" s="5"/>
      <c r="D377" s="5"/>
      <c r="E377" s="6" t="s">
        <v>33</v>
      </c>
      <c r="F377" s="6"/>
      <c r="G377" s="7" t="s">
        <v>965</v>
      </c>
      <c r="H377" s="7"/>
      <c r="I377" s="7"/>
      <c r="J377" s="3" t="s">
        <v>35</v>
      </c>
      <c r="K377" s="4" t="s">
        <v>92</v>
      </c>
      <c r="L377" s="4" t="s">
        <v>37</v>
      </c>
      <c r="N377" s="7" t="s">
        <v>975</v>
      </c>
      <c r="O377" s="7"/>
      <c r="P377" s="7" t="s">
        <v>976</v>
      </c>
      <c r="Q377" s="7"/>
      <c r="R377" s="7"/>
      <c r="S377" s="3" t="s">
        <v>40</v>
      </c>
      <c r="T377" s="7" t="s">
        <v>41</v>
      </c>
      <c r="U377" s="7"/>
      <c r="V377" s="4" t="s">
        <v>42</v>
      </c>
      <c r="W377" s="4" t="s">
        <v>158</v>
      </c>
      <c r="X377" s="4" t="s">
        <v>159</v>
      </c>
      <c r="Y377" s="7" t="s">
        <v>78</v>
      </c>
      <c r="Z377" s="7"/>
      <c r="AA377" s="4" t="s">
        <v>46</v>
      </c>
      <c r="AB377" s="4" t="s">
        <v>47</v>
      </c>
      <c r="AC377" s="4" t="s">
        <v>136</v>
      </c>
      <c r="AD377" s="4" t="s">
        <v>137</v>
      </c>
      <c r="AE377" s="4" t="s">
        <v>48</v>
      </c>
      <c r="AF377" s="4" t="s">
        <v>41</v>
      </c>
      <c r="AG377" s="4" t="s">
        <v>968</v>
      </c>
    </row>
    <row r="378" spans="1:33" ht="16.5" customHeight="1" x14ac:dyDescent="0.2">
      <c r="A378" s="2" t="s">
        <v>31</v>
      </c>
      <c r="B378" s="5" t="s">
        <v>54</v>
      </c>
      <c r="C378" s="5"/>
      <c r="D378" s="5"/>
      <c r="E378" s="6" t="s">
        <v>33</v>
      </c>
      <c r="F378" s="6"/>
      <c r="G378" s="7" t="s">
        <v>965</v>
      </c>
      <c r="H378" s="7"/>
      <c r="I378" s="7"/>
      <c r="J378" s="3" t="s">
        <v>35</v>
      </c>
      <c r="K378" s="4" t="s">
        <v>414</v>
      </c>
      <c r="L378" s="4" t="s">
        <v>37</v>
      </c>
      <c r="N378" s="7" t="s">
        <v>977</v>
      </c>
      <c r="O378" s="7"/>
      <c r="P378" s="7" t="s">
        <v>978</v>
      </c>
      <c r="Q378" s="7"/>
      <c r="R378" s="7"/>
      <c r="S378" s="3" t="s">
        <v>40</v>
      </c>
      <c r="T378" s="7" t="s">
        <v>41</v>
      </c>
      <c r="U378" s="7"/>
      <c r="V378" s="4" t="s">
        <v>51</v>
      </c>
      <c r="W378" s="4" t="s">
        <v>234</v>
      </c>
      <c r="X378" s="4" t="s">
        <v>344</v>
      </c>
      <c r="Y378" s="7" t="s">
        <v>197</v>
      </c>
      <c r="Z378" s="7"/>
      <c r="AA378" s="4" t="s">
        <v>46</v>
      </c>
      <c r="AB378" s="4" t="s">
        <v>47</v>
      </c>
      <c r="AC378" s="4" t="s">
        <v>259</v>
      </c>
      <c r="AD378" s="4" t="s">
        <v>260</v>
      </c>
      <c r="AE378" s="4" t="s">
        <v>48</v>
      </c>
      <c r="AF378" s="4" t="s">
        <v>41</v>
      </c>
      <c r="AG378" s="4" t="s">
        <v>968</v>
      </c>
    </row>
    <row r="379" spans="1:33" ht="16.5" customHeight="1" x14ac:dyDescent="0.2">
      <c r="A379" s="2" t="s">
        <v>31</v>
      </c>
      <c r="B379" s="5" t="s">
        <v>54</v>
      </c>
      <c r="C379" s="5"/>
      <c r="D379" s="5"/>
      <c r="E379" s="6" t="s">
        <v>33</v>
      </c>
      <c r="F379" s="6"/>
      <c r="G379" s="7" t="s">
        <v>965</v>
      </c>
      <c r="H379" s="7"/>
      <c r="I379" s="7"/>
      <c r="J379" s="3" t="s">
        <v>35</v>
      </c>
      <c r="K379" s="4" t="s">
        <v>149</v>
      </c>
      <c r="L379" s="4" t="s">
        <v>37</v>
      </c>
      <c r="N379" s="7" t="s">
        <v>979</v>
      </c>
      <c r="O379" s="7"/>
      <c r="P379" s="7" t="s">
        <v>980</v>
      </c>
      <c r="Q379" s="7"/>
      <c r="R379" s="7"/>
      <c r="S379" s="3" t="s">
        <v>40</v>
      </c>
      <c r="T379" s="7" t="s">
        <v>41</v>
      </c>
      <c r="U379" s="7"/>
      <c r="V379" s="4" t="s">
        <v>42</v>
      </c>
      <c r="W379" s="4" t="s">
        <v>51</v>
      </c>
      <c r="X379" s="4" t="s">
        <v>128</v>
      </c>
      <c r="Y379" s="7" t="s">
        <v>78</v>
      </c>
      <c r="Z379" s="7"/>
      <c r="AA379" s="4" t="s">
        <v>46</v>
      </c>
      <c r="AB379" s="4" t="s">
        <v>47</v>
      </c>
      <c r="AC379" s="4" t="s">
        <v>79</v>
      </c>
      <c r="AD379" s="4" t="s">
        <v>80</v>
      </c>
      <c r="AE379" s="4" t="s">
        <v>48</v>
      </c>
      <c r="AF379" s="4" t="s">
        <v>41</v>
      </c>
      <c r="AG379" s="4" t="s">
        <v>968</v>
      </c>
    </row>
    <row r="380" spans="1:33" ht="16.5" customHeight="1" x14ac:dyDescent="0.2">
      <c r="A380" s="2" t="s">
        <v>31</v>
      </c>
      <c r="B380" s="5" t="s">
        <v>54</v>
      </c>
      <c r="C380" s="5"/>
      <c r="D380" s="5"/>
      <c r="E380" s="6" t="s">
        <v>33</v>
      </c>
      <c r="F380" s="6"/>
      <c r="G380" s="7" t="s">
        <v>965</v>
      </c>
      <c r="H380" s="7"/>
      <c r="I380" s="7"/>
      <c r="J380" s="3" t="s">
        <v>35</v>
      </c>
      <c r="K380" s="4" t="s">
        <v>97</v>
      </c>
      <c r="L380" s="4" t="s">
        <v>280</v>
      </c>
      <c r="N380" s="7" t="s">
        <v>981</v>
      </c>
      <c r="O380" s="7"/>
      <c r="P380" s="7" t="s">
        <v>982</v>
      </c>
      <c r="Q380" s="7"/>
      <c r="R380" s="7"/>
      <c r="S380" s="3" t="s">
        <v>40</v>
      </c>
      <c r="T380" s="7" t="s">
        <v>41</v>
      </c>
      <c r="U380" s="7"/>
      <c r="V380" s="4" t="s">
        <v>42</v>
      </c>
      <c r="W380" s="4" t="s">
        <v>983</v>
      </c>
      <c r="X380" s="4" t="s">
        <v>537</v>
      </c>
      <c r="Y380" s="7" t="s">
        <v>78</v>
      </c>
      <c r="Z380" s="7"/>
      <c r="AA380" s="4" t="s">
        <v>46</v>
      </c>
      <c r="AB380" s="4" t="s">
        <v>47</v>
      </c>
      <c r="AC380" s="4" t="s">
        <v>136</v>
      </c>
      <c r="AD380" s="4" t="s">
        <v>324</v>
      </c>
      <c r="AE380" s="4" t="s">
        <v>48</v>
      </c>
      <c r="AF380" s="4" t="s">
        <v>41</v>
      </c>
      <c r="AG380" s="4" t="s">
        <v>968</v>
      </c>
    </row>
    <row r="381" spans="1:33" ht="16.5" customHeight="1" x14ac:dyDescent="0.2">
      <c r="A381" s="2" t="s">
        <v>31</v>
      </c>
      <c r="B381" s="5" t="s">
        <v>54</v>
      </c>
      <c r="C381" s="5"/>
      <c r="D381" s="5"/>
      <c r="E381" s="6" t="s">
        <v>33</v>
      </c>
      <c r="F381" s="6"/>
      <c r="G381" s="7" t="s">
        <v>965</v>
      </c>
      <c r="H381" s="7"/>
      <c r="I381" s="7"/>
      <c r="J381" s="3" t="s">
        <v>35</v>
      </c>
      <c r="K381" s="4" t="s">
        <v>73</v>
      </c>
      <c r="L381" s="4" t="s">
        <v>37</v>
      </c>
      <c r="N381" s="7" t="s">
        <v>984</v>
      </c>
      <c r="O381" s="7"/>
      <c r="P381" s="7" t="s">
        <v>985</v>
      </c>
      <c r="Q381" s="7"/>
      <c r="R381" s="7"/>
      <c r="S381" s="3" t="s">
        <v>40</v>
      </c>
      <c r="T381" s="7" t="s">
        <v>41</v>
      </c>
      <c r="U381" s="7"/>
      <c r="V381" s="4" t="s">
        <v>42</v>
      </c>
      <c r="W381" s="4" t="s">
        <v>986</v>
      </c>
      <c r="X381" s="4" t="s">
        <v>987</v>
      </c>
      <c r="Y381" s="7" t="s">
        <v>78</v>
      </c>
      <c r="Z381" s="7"/>
      <c r="AA381" s="4" t="s">
        <v>46</v>
      </c>
      <c r="AB381" s="4" t="s">
        <v>47</v>
      </c>
      <c r="AC381" s="4" t="s">
        <v>136</v>
      </c>
      <c r="AD381" s="4" t="s">
        <v>137</v>
      </c>
      <c r="AE381" s="4" t="s">
        <v>48</v>
      </c>
      <c r="AF381" s="4" t="s">
        <v>41</v>
      </c>
      <c r="AG381" s="4" t="s">
        <v>968</v>
      </c>
    </row>
    <row r="382" spans="1:33" ht="16.5" customHeight="1" x14ac:dyDescent="0.2">
      <c r="A382" s="2" t="s">
        <v>31</v>
      </c>
      <c r="B382" s="5" t="s">
        <v>54</v>
      </c>
      <c r="C382" s="5"/>
      <c r="D382" s="5"/>
      <c r="E382" s="6" t="s">
        <v>33</v>
      </c>
      <c r="F382" s="6"/>
      <c r="G382" s="7" t="s">
        <v>965</v>
      </c>
      <c r="H382" s="7"/>
      <c r="I382" s="7"/>
      <c r="J382" s="3" t="s">
        <v>35</v>
      </c>
      <c r="K382" s="4" t="s">
        <v>245</v>
      </c>
      <c r="L382" s="4" t="s">
        <v>37</v>
      </c>
      <c r="N382" s="7" t="s">
        <v>988</v>
      </c>
      <c r="O382" s="7"/>
      <c r="P382" s="7" t="s">
        <v>989</v>
      </c>
      <c r="Q382" s="7"/>
      <c r="R382" s="7"/>
      <c r="S382" s="3" t="s">
        <v>40</v>
      </c>
      <c r="T382" s="7" t="s">
        <v>41</v>
      </c>
      <c r="U382" s="7"/>
      <c r="V382" s="4" t="s">
        <v>42</v>
      </c>
      <c r="W382" s="4" t="s">
        <v>990</v>
      </c>
      <c r="X382" s="4" t="s">
        <v>991</v>
      </c>
      <c r="Y382" s="7" t="s">
        <v>78</v>
      </c>
      <c r="Z382" s="7"/>
      <c r="AA382" s="4" t="s">
        <v>46</v>
      </c>
      <c r="AB382" s="4" t="s">
        <v>47</v>
      </c>
      <c r="AC382" s="4" t="s">
        <v>136</v>
      </c>
      <c r="AD382" s="4" t="s">
        <v>137</v>
      </c>
      <c r="AE382" s="4" t="s">
        <v>48</v>
      </c>
      <c r="AF382" s="4" t="s">
        <v>41</v>
      </c>
      <c r="AG382" s="4" t="s">
        <v>968</v>
      </c>
    </row>
    <row r="383" spans="1:33" ht="16.5" customHeight="1" x14ac:dyDescent="0.2">
      <c r="A383" s="2" t="s">
        <v>31</v>
      </c>
      <c r="B383" s="5" t="s">
        <v>54</v>
      </c>
      <c r="C383" s="5"/>
      <c r="D383" s="5"/>
      <c r="E383" s="6" t="s">
        <v>33</v>
      </c>
      <c r="F383" s="6"/>
      <c r="G383" s="7" t="s">
        <v>965</v>
      </c>
      <c r="H383" s="7"/>
      <c r="I383" s="7"/>
      <c r="J383" s="3" t="s">
        <v>35</v>
      </c>
      <c r="K383" s="4" t="s">
        <v>149</v>
      </c>
      <c r="L383" s="4" t="s">
        <v>37</v>
      </c>
      <c r="N383" s="7" t="s">
        <v>992</v>
      </c>
      <c r="O383" s="7"/>
      <c r="P383" s="7" t="s">
        <v>993</v>
      </c>
      <c r="Q383" s="7"/>
      <c r="R383" s="7"/>
      <c r="S383" s="3" t="s">
        <v>40</v>
      </c>
      <c r="T383" s="7" t="s">
        <v>41</v>
      </c>
      <c r="U383" s="7"/>
      <c r="V383" s="4" t="s">
        <v>42</v>
      </c>
      <c r="W383" s="4" t="s">
        <v>859</v>
      </c>
      <c r="X383" s="4" t="s">
        <v>341</v>
      </c>
      <c r="Y383" s="7" t="s">
        <v>78</v>
      </c>
      <c r="Z383" s="7"/>
      <c r="AA383" s="4" t="s">
        <v>46</v>
      </c>
      <c r="AB383" s="4" t="s">
        <v>47</v>
      </c>
      <c r="AC383" s="4" t="s">
        <v>136</v>
      </c>
      <c r="AD383" s="4" t="s">
        <v>137</v>
      </c>
      <c r="AE383" s="4" t="s">
        <v>48</v>
      </c>
      <c r="AF383" s="4" t="s">
        <v>41</v>
      </c>
      <c r="AG383" s="4" t="s">
        <v>968</v>
      </c>
    </row>
    <row r="384" spans="1:33" ht="16.5" customHeight="1" x14ac:dyDescent="0.2">
      <c r="A384" s="2" t="s">
        <v>31</v>
      </c>
      <c r="B384" s="5" t="s">
        <v>54</v>
      </c>
      <c r="C384" s="5"/>
      <c r="D384" s="5"/>
      <c r="E384" s="6" t="s">
        <v>33</v>
      </c>
      <c r="F384" s="6"/>
      <c r="G384" s="7" t="s">
        <v>965</v>
      </c>
      <c r="H384" s="7"/>
      <c r="I384" s="7"/>
      <c r="J384" s="3" t="s">
        <v>35</v>
      </c>
      <c r="K384" s="4" t="s">
        <v>248</v>
      </c>
      <c r="L384" s="4" t="s">
        <v>93</v>
      </c>
      <c r="N384" s="7" t="s">
        <v>994</v>
      </c>
      <c r="O384" s="7"/>
      <c r="P384" s="7" t="s">
        <v>995</v>
      </c>
      <c r="Q384" s="7"/>
      <c r="R384" s="7"/>
      <c r="S384" s="3" t="s">
        <v>40</v>
      </c>
      <c r="T384" s="7" t="s">
        <v>41</v>
      </c>
      <c r="U384" s="7"/>
      <c r="V384" s="4" t="s">
        <v>42</v>
      </c>
      <c r="W384" s="4" t="s">
        <v>58</v>
      </c>
      <c r="X384" s="4" t="s">
        <v>59</v>
      </c>
      <c r="Y384" s="7" t="s">
        <v>60</v>
      </c>
      <c r="Z384" s="7"/>
      <c r="AA384" s="4" t="s">
        <v>46</v>
      </c>
      <c r="AB384" s="4" t="s">
        <v>47</v>
      </c>
      <c r="AC384" s="4" t="s">
        <v>61</v>
      </c>
      <c r="AD384" s="4" t="s">
        <v>324</v>
      </c>
      <c r="AE384" s="4" t="s">
        <v>48</v>
      </c>
      <c r="AF384" s="4" t="s">
        <v>41</v>
      </c>
      <c r="AG384" s="4" t="s">
        <v>968</v>
      </c>
    </row>
    <row r="385" spans="1:33" ht="16.5" customHeight="1" x14ac:dyDescent="0.2">
      <c r="A385" s="2" t="s">
        <v>31</v>
      </c>
      <c r="B385" s="5" t="s">
        <v>54</v>
      </c>
      <c r="C385" s="5"/>
      <c r="D385" s="5"/>
      <c r="E385" s="6" t="s">
        <v>33</v>
      </c>
      <c r="F385" s="6"/>
      <c r="G385" s="7" t="s">
        <v>965</v>
      </c>
      <c r="H385" s="7"/>
      <c r="I385" s="7"/>
      <c r="J385" s="3" t="s">
        <v>35</v>
      </c>
      <c r="K385" s="4" t="s">
        <v>143</v>
      </c>
      <c r="L385" s="4" t="s">
        <v>37</v>
      </c>
      <c r="N385" s="7" t="s">
        <v>996</v>
      </c>
      <c r="O385" s="7"/>
      <c r="P385" s="7" t="s">
        <v>997</v>
      </c>
      <c r="Q385" s="7"/>
      <c r="R385" s="7"/>
      <c r="S385" s="3" t="s">
        <v>40</v>
      </c>
      <c r="T385" s="7" t="s">
        <v>41</v>
      </c>
      <c r="U385" s="7"/>
      <c r="V385" s="4" t="s">
        <v>42</v>
      </c>
      <c r="W385" s="4" t="s">
        <v>102</v>
      </c>
      <c r="X385" s="4" t="s">
        <v>103</v>
      </c>
      <c r="Y385" s="7" t="s">
        <v>135</v>
      </c>
      <c r="Z385" s="7"/>
      <c r="AA385" s="4" t="s">
        <v>46</v>
      </c>
      <c r="AB385" s="4" t="s">
        <v>47</v>
      </c>
      <c r="AC385" s="4" t="s">
        <v>79</v>
      </c>
      <c r="AD385" s="4" t="s">
        <v>80</v>
      </c>
      <c r="AE385" s="4" t="s">
        <v>48</v>
      </c>
      <c r="AF385" s="4" t="s">
        <v>41</v>
      </c>
      <c r="AG385" s="4" t="s">
        <v>968</v>
      </c>
    </row>
    <row r="386" spans="1:33" ht="16.5" customHeight="1" x14ac:dyDescent="0.2">
      <c r="A386" s="2" t="s">
        <v>31</v>
      </c>
      <c r="B386" s="5" t="s">
        <v>54</v>
      </c>
      <c r="C386" s="5"/>
      <c r="D386" s="5"/>
      <c r="E386" s="6" t="s">
        <v>33</v>
      </c>
      <c r="F386" s="6"/>
      <c r="G386" s="7" t="s">
        <v>965</v>
      </c>
      <c r="H386" s="7"/>
      <c r="I386" s="7"/>
      <c r="J386" s="3" t="s">
        <v>35</v>
      </c>
      <c r="K386" s="4" t="s">
        <v>409</v>
      </c>
      <c r="L386" s="4" t="s">
        <v>37</v>
      </c>
      <c r="N386" s="7" t="s">
        <v>998</v>
      </c>
      <c r="O386" s="7"/>
      <c r="P386" s="7" t="s">
        <v>999</v>
      </c>
      <c r="Q386" s="7"/>
      <c r="R386" s="7"/>
      <c r="S386" s="3" t="s">
        <v>40</v>
      </c>
      <c r="T386" s="7" t="s">
        <v>41</v>
      </c>
      <c r="U386" s="7"/>
      <c r="V386" s="4" t="s">
        <v>42</v>
      </c>
      <c r="W386" s="4" t="s">
        <v>200</v>
      </c>
      <c r="X386" s="4" t="s">
        <v>201</v>
      </c>
      <c r="Y386" s="7" t="s">
        <v>60</v>
      </c>
      <c r="Z386" s="7"/>
      <c r="AA386" s="4" t="s">
        <v>46</v>
      </c>
      <c r="AB386" s="4" t="s">
        <v>47</v>
      </c>
      <c r="AC386" s="4" t="s">
        <v>79</v>
      </c>
      <c r="AD386" s="4" t="s">
        <v>80</v>
      </c>
      <c r="AE386" s="4" t="s">
        <v>48</v>
      </c>
      <c r="AF386" s="4" t="s">
        <v>41</v>
      </c>
      <c r="AG386" s="4" t="s">
        <v>968</v>
      </c>
    </row>
    <row r="387" spans="1:33" ht="16.5" customHeight="1" x14ac:dyDescent="0.2">
      <c r="A387" s="2" t="s">
        <v>31</v>
      </c>
      <c r="B387" s="5" t="s">
        <v>54</v>
      </c>
      <c r="C387" s="5"/>
      <c r="D387" s="5"/>
      <c r="E387" s="6" t="s">
        <v>33</v>
      </c>
      <c r="F387" s="6"/>
      <c r="G387" s="7" t="s">
        <v>965</v>
      </c>
      <c r="H387" s="7"/>
      <c r="I387" s="7"/>
      <c r="J387" s="3" t="s">
        <v>35</v>
      </c>
      <c r="K387" s="4" t="s">
        <v>97</v>
      </c>
      <c r="L387" s="4" t="s">
        <v>93</v>
      </c>
      <c r="N387" s="7" t="s">
        <v>1000</v>
      </c>
      <c r="O387" s="7"/>
      <c r="P387" s="7" t="s">
        <v>1001</v>
      </c>
      <c r="Q387" s="7"/>
      <c r="R387" s="7"/>
      <c r="S387" s="3" t="s">
        <v>40</v>
      </c>
      <c r="T387" s="7" t="s">
        <v>41</v>
      </c>
      <c r="U387" s="7"/>
      <c r="V387" s="4" t="s">
        <v>42</v>
      </c>
      <c r="W387" s="4" t="s">
        <v>274</v>
      </c>
      <c r="X387" s="4" t="s">
        <v>275</v>
      </c>
      <c r="Y387" s="7" t="s">
        <v>78</v>
      </c>
      <c r="Z387" s="7"/>
      <c r="AA387" s="4" t="s">
        <v>46</v>
      </c>
      <c r="AB387" s="4" t="s">
        <v>47</v>
      </c>
      <c r="AC387" s="4" t="s">
        <v>136</v>
      </c>
      <c r="AD387" s="4" t="s">
        <v>148</v>
      </c>
      <c r="AE387" s="4" t="s">
        <v>48</v>
      </c>
      <c r="AF387" s="4" t="s">
        <v>41</v>
      </c>
      <c r="AG387" s="4" t="s">
        <v>968</v>
      </c>
    </row>
    <row r="388" spans="1:33" ht="16.5" customHeight="1" x14ac:dyDescent="0.2">
      <c r="A388" s="2" t="s">
        <v>31</v>
      </c>
      <c r="B388" s="5" t="s">
        <v>54</v>
      </c>
      <c r="C388" s="5"/>
      <c r="D388" s="5"/>
      <c r="E388" s="6" t="s">
        <v>33</v>
      </c>
      <c r="F388" s="6"/>
      <c r="G388" s="7" t="s">
        <v>965</v>
      </c>
      <c r="H388" s="7"/>
      <c r="I388" s="7"/>
      <c r="J388" s="3" t="s">
        <v>35</v>
      </c>
      <c r="K388" s="4" t="s">
        <v>414</v>
      </c>
      <c r="L388" s="4" t="s">
        <v>37</v>
      </c>
      <c r="N388" s="7" t="s">
        <v>1002</v>
      </c>
      <c r="O388" s="7"/>
      <c r="P388" s="7" t="s">
        <v>1003</v>
      </c>
      <c r="Q388" s="7"/>
      <c r="R388" s="7"/>
      <c r="S388" s="3" t="s">
        <v>40</v>
      </c>
      <c r="T388" s="7" t="s">
        <v>41</v>
      </c>
      <c r="U388" s="7"/>
      <c r="V388" s="4" t="s">
        <v>42</v>
      </c>
      <c r="W388" s="4" t="s">
        <v>234</v>
      </c>
      <c r="X388" s="4" t="s">
        <v>235</v>
      </c>
      <c r="Y388" s="7" t="s">
        <v>197</v>
      </c>
      <c r="Z388" s="7"/>
      <c r="AA388" s="4" t="s">
        <v>46</v>
      </c>
      <c r="AB388" s="4" t="s">
        <v>47</v>
      </c>
      <c r="AC388" s="4" t="s">
        <v>259</v>
      </c>
      <c r="AD388" s="4" t="s">
        <v>260</v>
      </c>
      <c r="AE388" s="4" t="s">
        <v>48</v>
      </c>
      <c r="AF388" s="4" t="s">
        <v>41</v>
      </c>
      <c r="AG388" s="4" t="s">
        <v>968</v>
      </c>
    </row>
    <row r="389" spans="1:33" ht="16.5" customHeight="1" x14ac:dyDescent="0.2">
      <c r="A389" s="2" t="s">
        <v>31</v>
      </c>
      <c r="B389" s="5" t="s">
        <v>54</v>
      </c>
      <c r="C389" s="5"/>
      <c r="D389" s="5"/>
      <c r="E389" s="6" t="s">
        <v>33</v>
      </c>
      <c r="F389" s="6"/>
      <c r="G389" s="7" t="s">
        <v>965</v>
      </c>
      <c r="H389" s="7"/>
      <c r="I389" s="7"/>
      <c r="J389" s="3" t="s">
        <v>35</v>
      </c>
      <c r="K389" s="4" t="s">
        <v>55</v>
      </c>
      <c r="L389" s="4" t="s">
        <v>93</v>
      </c>
      <c r="N389" s="7" t="s">
        <v>1004</v>
      </c>
      <c r="O389" s="7"/>
      <c r="P389" s="7" t="s">
        <v>1005</v>
      </c>
      <c r="Q389" s="7"/>
      <c r="R389" s="7"/>
      <c r="S389" s="3" t="s">
        <v>40</v>
      </c>
      <c r="T389" s="7" t="s">
        <v>41</v>
      </c>
      <c r="U389" s="7"/>
      <c r="V389" s="4" t="s">
        <v>42</v>
      </c>
      <c r="W389" s="4" t="s">
        <v>1006</v>
      </c>
      <c r="X389" s="4" t="s">
        <v>1007</v>
      </c>
      <c r="Y389" s="7" t="s">
        <v>60</v>
      </c>
      <c r="Z389" s="7"/>
      <c r="AA389" s="4" t="s">
        <v>46</v>
      </c>
      <c r="AB389" s="4" t="s">
        <v>47</v>
      </c>
      <c r="AC389" s="4" t="s">
        <v>72</v>
      </c>
      <c r="AD389" s="4" t="s">
        <v>41</v>
      </c>
      <c r="AE389" s="4" t="s">
        <v>48</v>
      </c>
      <c r="AF389" s="4" t="s">
        <v>41</v>
      </c>
      <c r="AG389" s="4" t="s">
        <v>968</v>
      </c>
    </row>
    <row r="390" spans="1:33" ht="16.5" customHeight="1" x14ac:dyDescent="0.2">
      <c r="A390" s="2" t="s">
        <v>31</v>
      </c>
      <c r="B390" s="5" t="s">
        <v>54</v>
      </c>
      <c r="C390" s="5"/>
      <c r="D390" s="5"/>
      <c r="E390" s="6" t="s">
        <v>33</v>
      </c>
      <c r="F390" s="6"/>
      <c r="G390" s="7" t="s">
        <v>965</v>
      </c>
      <c r="H390" s="7"/>
      <c r="I390" s="7"/>
      <c r="J390" s="3" t="s">
        <v>35</v>
      </c>
      <c r="K390" s="4" t="s">
        <v>202</v>
      </c>
      <c r="L390" s="4" t="s">
        <v>37</v>
      </c>
      <c r="N390" s="7" t="s">
        <v>1008</v>
      </c>
      <c r="O390" s="7"/>
      <c r="P390" s="7" t="s">
        <v>1009</v>
      </c>
      <c r="Q390" s="7"/>
      <c r="R390" s="7"/>
      <c r="S390" s="3" t="s">
        <v>40</v>
      </c>
      <c r="T390" s="7" t="s">
        <v>41</v>
      </c>
      <c r="U390" s="7"/>
      <c r="V390" s="4" t="s">
        <v>42</v>
      </c>
      <c r="W390" s="4" t="s">
        <v>58</v>
      </c>
      <c r="X390" s="4" t="s">
        <v>59</v>
      </c>
      <c r="Y390" s="7" t="s">
        <v>197</v>
      </c>
      <c r="Z390" s="7"/>
      <c r="AA390" s="4" t="s">
        <v>46</v>
      </c>
      <c r="AB390" s="4" t="s">
        <v>47</v>
      </c>
      <c r="AC390" s="4" t="s">
        <v>136</v>
      </c>
      <c r="AD390" s="4" t="s">
        <v>137</v>
      </c>
      <c r="AE390" s="4" t="s">
        <v>48</v>
      </c>
      <c r="AF390" s="4" t="s">
        <v>41</v>
      </c>
      <c r="AG390" s="4" t="s">
        <v>968</v>
      </c>
    </row>
    <row r="391" spans="1:33" ht="16.5" customHeight="1" x14ac:dyDescent="0.2">
      <c r="A391" s="2" t="s">
        <v>31</v>
      </c>
      <c r="B391" s="5" t="s">
        <v>54</v>
      </c>
      <c r="C391" s="5"/>
      <c r="D391" s="5"/>
      <c r="E391" s="6" t="s">
        <v>33</v>
      </c>
      <c r="F391" s="6"/>
      <c r="G391" s="7" t="s">
        <v>965</v>
      </c>
      <c r="H391" s="7"/>
      <c r="I391" s="7"/>
      <c r="J391" s="3" t="s">
        <v>35</v>
      </c>
      <c r="K391" s="4" t="s">
        <v>55</v>
      </c>
      <c r="L391" s="4" t="s">
        <v>37</v>
      </c>
      <c r="N391" s="7" t="s">
        <v>1010</v>
      </c>
      <c r="O391" s="7"/>
      <c r="P391" s="7" t="s">
        <v>1011</v>
      </c>
      <c r="Q391" s="7"/>
      <c r="R391" s="7"/>
      <c r="S391" s="3" t="s">
        <v>40</v>
      </c>
      <c r="T391" s="7" t="s">
        <v>41</v>
      </c>
      <c r="U391" s="7"/>
      <c r="V391" s="4" t="s">
        <v>42</v>
      </c>
      <c r="W391" s="4" t="s">
        <v>158</v>
      </c>
      <c r="X391" s="4" t="s">
        <v>159</v>
      </c>
      <c r="Y391" s="7" t="s">
        <v>60</v>
      </c>
      <c r="Z391" s="7"/>
      <c r="AA391" s="4" t="s">
        <v>46</v>
      </c>
      <c r="AB391" s="4" t="s">
        <v>47</v>
      </c>
      <c r="AC391" s="4" t="s">
        <v>79</v>
      </c>
      <c r="AD391" s="4" t="s">
        <v>80</v>
      </c>
      <c r="AE391" s="4" t="s">
        <v>48</v>
      </c>
      <c r="AF391" s="4" t="s">
        <v>41</v>
      </c>
      <c r="AG391" s="4" t="s">
        <v>968</v>
      </c>
    </row>
    <row r="392" spans="1:33" ht="16.5" customHeight="1" x14ac:dyDescent="0.2">
      <c r="A392" s="2" t="s">
        <v>31</v>
      </c>
      <c r="B392" s="5" t="s">
        <v>54</v>
      </c>
      <c r="C392" s="5"/>
      <c r="D392" s="5"/>
      <c r="E392" s="6" t="s">
        <v>33</v>
      </c>
      <c r="F392" s="6"/>
      <c r="G392" s="7" t="s">
        <v>965</v>
      </c>
      <c r="H392" s="7"/>
      <c r="I392" s="7"/>
      <c r="J392" s="3" t="s">
        <v>35</v>
      </c>
      <c r="K392" s="4" t="s">
        <v>73</v>
      </c>
      <c r="L392" s="4" t="s">
        <v>37</v>
      </c>
      <c r="N392" s="7" t="s">
        <v>1012</v>
      </c>
      <c r="O392" s="7"/>
      <c r="P392" s="7" t="s">
        <v>1013</v>
      </c>
      <c r="Q392" s="7"/>
      <c r="R392" s="7"/>
      <c r="S392" s="3" t="s">
        <v>40</v>
      </c>
      <c r="T392" s="7" t="s">
        <v>41</v>
      </c>
      <c r="U392" s="7"/>
      <c r="V392" s="4" t="s">
        <v>42</v>
      </c>
      <c r="W392" s="4" t="s">
        <v>168</v>
      </c>
      <c r="X392" s="4" t="s">
        <v>169</v>
      </c>
      <c r="Y392" s="7" t="s">
        <v>78</v>
      </c>
      <c r="Z392" s="7"/>
      <c r="AA392" s="4" t="s">
        <v>46</v>
      </c>
      <c r="AB392" s="4" t="s">
        <v>47</v>
      </c>
      <c r="AC392" s="4" t="s">
        <v>136</v>
      </c>
      <c r="AD392" s="4" t="s">
        <v>137</v>
      </c>
      <c r="AE392" s="4" t="s">
        <v>48</v>
      </c>
      <c r="AF392" s="4" t="s">
        <v>41</v>
      </c>
      <c r="AG392" s="4" t="s">
        <v>968</v>
      </c>
    </row>
    <row r="393" spans="1:33" ht="16.5" customHeight="1" x14ac:dyDescent="0.2">
      <c r="A393" s="2" t="s">
        <v>31</v>
      </c>
      <c r="B393" s="5" t="s">
        <v>54</v>
      </c>
      <c r="C393" s="5"/>
      <c r="D393" s="5"/>
      <c r="E393" s="6" t="s">
        <v>33</v>
      </c>
      <c r="F393" s="6"/>
      <c r="G393" s="7" t="s">
        <v>965</v>
      </c>
      <c r="H393" s="7"/>
      <c r="I393" s="7"/>
      <c r="J393" s="3" t="s">
        <v>35</v>
      </c>
      <c r="K393" s="4" t="s">
        <v>1014</v>
      </c>
      <c r="L393" s="4" t="s">
        <v>37</v>
      </c>
      <c r="N393" s="7" t="s">
        <v>1015</v>
      </c>
      <c r="O393" s="7"/>
      <c r="P393" s="7" t="s">
        <v>1016</v>
      </c>
      <c r="Q393" s="7"/>
      <c r="R393" s="7"/>
      <c r="S393" s="3" t="s">
        <v>40</v>
      </c>
      <c r="T393" s="7" t="s">
        <v>41</v>
      </c>
      <c r="U393" s="7"/>
      <c r="V393" s="4" t="s">
        <v>42</v>
      </c>
      <c r="W393" s="4" t="s">
        <v>90</v>
      </c>
      <c r="X393" s="4" t="s">
        <v>91</v>
      </c>
      <c r="Y393" s="7" t="s">
        <v>78</v>
      </c>
      <c r="Z393" s="7"/>
      <c r="AA393" s="4" t="s">
        <v>46</v>
      </c>
      <c r="AB393" s="4" t="s">
        <v>47</v>
      </c>
      <c r="AC393" s="4" t="s">
        <v>79</v>
      </c>
      <c r="AD393" s="4" t="s">
        <v>80</v>
      </c>
      <c r="AE393" s="4" t="s">
        <v>48</v>
      </c>
      <c r="AF393" s="4" t="s">
        <v>41</v>
      </c>
      <c r="AG393" s="4" t="s">
        <v>968</v>
      </c>
    </row>
    <row r="394" spans="1:33" ht="16.5" customHeight="1" x14ac:dyDescent="0.2">
      <c r="A394" s="2" t="s">
        <v>31</v>
      </c>
      <c r="B394" s="5" t="s">
        <v>54</v>
      </c>
      <c r="C394" s="5"/>
      <c r="D394" s="5"/>
      <c r="E394" s="6" t="s">
        <v>33</v>
      </c>
      <c r="F394" s="6"/>
      <c r="G394" s="7" t="s">
        <v>965</v>
      </c>
      <c r="H394" s="7"/>
      <c r="I394" s="7"/>
      <c r="J394" s="3" t="s">
        <v>35</v>
      </c>
      <c r="K394" s="4" t="s">
        <v>202</v>
      </c>
      <c r="L394" s="4" t="s">
        <v>37</v>
      </c>
      <c r="N394" s="7" t="s">
        <v>1017</v>
      </c>
      <c r="O394" s="7"/>
      <c r="P394" s="7" t="s">
        <v>1018</v>
      </c>
      <c r="Q394" s="7"/>
      <c r="R394" s="7"/>
      <c r="S394" s="3" t="s">
        <v>40</v>
      </c>
      <c r="T394" s="7" t="s">
        <v>41</v>
      </c>
      <c r="U394" s="7"/>
      <c r="V394" s="4" t="s">
        <v>42</v>
      </c>
      <c r="W394" s="4" t="s">
        <v>158</v>
      </c>
      <c r="X394" s="4" t="s">
        <v>159</v>
      </c>
      <c r="Y394" s="7" t="s">
        <v>197</v>
      </c>
      <c r="Z394" s="7"/>
      <c r="AA394" s="4" t="s">
        <v>46</v>
      </c>
      <c r="AB394" s="4" t="s">
        <v>47</v>
      </c>
      <c r="AC394" s="4" t="s">
        <v>259</v>
      </c>
      <c r="AD394" s="4" t="s">
        <v>260</v>
      </c>
      <c r="AE394" s="4" t="s">
        <v>48</v>
      </c>
      <c r="AF394" s="4" t="s">
        <v>41</v>
      </c>
      <c r="AG394" s="4" t="s">
        <v>968</v>
      </c>
    </row>
    <row r="395" spans="1:33" ht="16.5" customHeight="1" x14ac:dyDescent="0.2">
      <c r="A395" s="2" t="s">
        <v>31</v>
      </c>
      <c r="B395" s="5" t="s">
        <v>54</v>
      </c>
      <c r="C395" s="5"/>
      <c r="D395" s="5"/>
      <c r="E395" s="6" t="s">
        <v>33</v>
      </c>
      <c r="F395" s="6"/>
      <c r="G395" s="7" t="s">
        <v>965</v>
      </c>
      <c r="H395" s="7"/>
      <c r="I395" s="7"/>
      <c r="J395" s="3" t="s">
        <v>35</v>
      </c>
      <c r="K395" s="4" t="s">
        <v>55</v>
      </c>
      <c r="L395" s="4" t="s">
        <v>37</v>
      </c>
      <c r="N395" s="7" t="s">
        <v>1019</v>
      </c>
      <c r="O395" s="7"/>
      <c r="P395" s="7" t="s">
        <v>1020</v>
      </c>
      <c r="Q395" s="7"/>
      <c r="R395" s="7"/>
      <c r="S395" s="3" t="s">
        <v>40</v>
      </c>
      <c r="T395" s="7" t="s">
        <v>41</v>
      </c>
      <c r="U395" s="7"/>
      <c r="V395" s="4" t="s">
        <v>42</v>
      </c>
      <c r="W395" s="4" t="s">
        <v>323</v>
      </c>
      <c r="X395" s="4" t="s">
        <v>52</v>
      </c>
      <c r="Y395" s="7" t="s">
        <v>60</v>
      </c>
      <c r="Z395" s="7"/>
      <c r="AA395" s="4" t="s">
        <v>46</v>
      </c>
      <c r="AB395" s="4" t="s">
        <v>47</v>
      </c>
      <c r="AC395" s="4" t="s">
        <v>79</v>
      </c>
      <c r="AD395" s="4" t="s">
        <v>80</v>
      </c>
      <c r="AE395" s="4" t="s">
        <v>48</v>
      </c>
      <c r="AF395" s="4" t="s">
        <v>41</v>
      </c>
      <c r="AG395" s="4" t="s">
        <v>968</v>
      </c>
    </row>
    <row r="396" spans="1:33" ht="16.5" customHeight="1" x14ac:dyDescent="0.2">
      <c r="A396" s="2" t="s">
        <v>31</v>
      </c>
      <c r="B396" s="5" t="s">
        <v>54</v>
      </c>
      <c r="C396" s="5"/>
      <c r="D396" s="5"/>
      <c r="E396" s="6" t="s">
        <v>33</v>
      </c>
      <c r="F396" s="6"/>
      <c r="G396" s="7" t="s">
        <v>965</v>
      </c>
      <c r="H396" s="7"/>
      <c r="I396" s="7"/>
      <c r="J396" s="3" t="s">
        <v>35</v>
      </c>
      <c r="K396" s="4" t="s">
        <v>657</v>
      </c>
      <c r="L396" s="4" t="s">
        <v>37</v>
      </c>
      <c r="N396" s="7" t="s">
        <v>1021</v>
      </c>
      <c r="O396" s="7"/>
      <c r="P396" s="7" t="s">
        <v>1022</v>
      </c>
      <c r="Q396" s="7"/>
      <c r="R396" s="7"/>
      <c r="S396" s="3" t="s">
        <v>40</v>
      </c>
      <c r="T396" s="7" t="s">
        <v>41</v>
      </c>
      <c r="U396" s="7"/>
      <c r="V396" s="4" t="s">
        <v>42</v>
      </c>
      <c r="W396" s="4" t="s">
        <v>158</v>
      </c>
      <c r="X396" s="4" t="s">
        <v>159</v>
      </c>
      <c r="Y396" s="7" t="s">
        <v>197</v>
      </c>
      <c r="Z396" s="7"/>
      <c r="AA396" s="4" t="s">
        <v>46</v>
      </c>
      <c r="AB396" s="4" t="s">
        <v>47</v>
      </c>
      <c r="AC396" s="4" t="s">
        <v>259</v>
      </c>
      <c r="AD396" s="4" t="s">
        <v>260</v>
      </c>
      <c r="AE396" s="4" t="s">
        <v>48</v>
      </c>
      <c r="AF396" s="4" t="s">
        <v>41</v>
      </c>
      <c r="AG396" s="4" t="s">
        <v>968</v>
      </c>
    </row>
    <row r="397" spans="1:33" ht="16.5" customHeight="1" x14ac:dyDescent="0.2">
      <c r="A397" s="2" t="s">
        <v>31</v>
      </c>
      <c r="B397" s="5" t="s">
        <v>54</v>
      </c>
      <c r="C397" s="5"/>
      <c r="D397" s="5"/>
      <c r="E397" s="6" t="s">
        <v>33</v>
      </c>
      <c r="F397" s="6"/>
      <c r="G397" s="7" t="s">
        <v>965</v>
      </c>
      <c r="H397" s="7"/>
      <c r="I397" s="7"/>
      <c r="J397" s="3" t="s">
        <v>35</v>
      </c>
      <c r="K397" s="4" t="s">
        <v>130</v>
      </c>
      <c r="L397" s="4" t="s">
        <v>37</v>
      </c>
      <c r="N397" s="7" t="s">
        <v>1023</v>
      </c>
      <c r="O397" s="7"/>
      <c r="P397" s="7" t="s">
        <v>1024</v>
      </c>
      <c r="Q397" s="7"/>
      <c r="R397" s="7"/>
      <c r="S397" s="3" t="s">
        <v>40</v>
      </c>
      <c r="T397" s="7" t="s">
        <v>41</v>
      </c>
      <c r="U397" s="7"/>
      <c r="V397" s="4" t="s">
        <v>42</v>
      </c>
      <c r="W397" s="4" t="s">
        <v>234</v>
      </c>
      <c r="X397" s="4" t="s">
        <v>235</v>
      </c>
      <c r="Y397" s="7" t="s">
        <v>135</v>
      </c>
      <c r="Z397" s="7"/>
      <c r="AA397" s="4" t="s">
        <v>46</v>
      </c>
      <c r="AB397" s="4" t="s">
        <v>47</v>
      </c>
      <c r="AC397" s="4" t="s">
        <v>136</v>
      </c>
      <c r="AD397" s="4" t="s">
        <v>137</v>
      </c>
      <c r="AE397" s="4" t="s">
        <v>48</v>
      </c>
      <c r="AF397" s="4" t="s">
        <v>41</v>
      </c>
      <c r="AG397" s="4" t="s">
        <v>968</v>
      </c>
    </row>
    <row r="398" spans="1:33" ht="16.5" customHeight="1" x14ac:dyDescent="0.2">
      <c r="A398" s="2" t="s">
        <v>31</v>
      </c>
      <c r="B398" s="5" t="s">
        <v>54</v>
      </c>
      <c r="C398" s="5"/>
      <c r="D398" s="5"/>
      <c r="E398" s="6" t="s">
        <v>33</v>
      </c>
      <c r="F398" s="6"/>
      <c r="G398" s="7" t="s">
        <v>965</v>
      </c>
      <c r="H398" s="7"/>
      <c r="I398" s="7"/>
      <c r="J398" s="3" t="s">
        <v>35</v>
      </c>
      <c r="K398" s="4" t="s">
        <v>245</v>
      </c>
      <c r="L398" s="4" t="s">
        <v>37</v>
      </c>
      <c r="N398" s="7" t="s">
        <v>1025</v>
      </c>
      <c r="O398" s="7"/>
      <c r="P398" s="7" t="s">
        <v>1026</v>
      </c>
      <c r="Q398" s="7"/>
      <c r="R398" s="7"/>
      <c r="S398" s="3" t="s">
        <v>40</v>
      </c>
      <c r="T398" s="7" t="s">
        <v>41</v>
      </c>
      <c r="U398" s="7"/>
      <c r="V398" s="4" t="s">
        <v>42</v>
      </c>
      <c r="W398" s="4" t="s">
        <v>604</v>
      </c>
      <c r="X398" s="4" t="s">
        <v>605</v>
      </c>
      <c r="Y398" s="7" t="s">
        <v>78</v>
      </c>
      <c r="Z398" s="7"/>
      <c r="AA398" s="4" t="s">
        <v>46</v>
      </c>
      <c r="AB398" s="4" t="s">
        <v>47</v>
      </c>
      <c r="AC398" s="4" t="s">
        <v>136</v>
      </c>
      <c r="AD398" s="4" t="s">
        <v>137</v>
      </c>
      <c r="AE398" s="4" t="s">
        <v>48</v>
      </c>
      <c r="AF398" s="4" t="s">
        <v>41</v>
      </c>
      <c r="AG398" s="4" t="s">
        <v>968</v>
      </c>
    </row>
    <row r="399" spans="1:33" ht="16.5" customHeight="1" x14ac:dyDescent="0.2">
      <c r="A399" s="2" t="s">
        <v>31</v>
      </c>
      <c r="B399" s="5" t="s">
        <v>54</v>
      </c>
      <c r="C399" s="5"/>
      <c r="D399" s="5"/>
      <c r="E399" s="6" t="s">
        <v>33</v>
      </c>
      <c r="F399" s="6"/>
      <c r="G399" s="7" t="s">
        <v>965</v>
      </c>
      <c r="H399" s="7"/>
      <c r="I399" s="7"/>
      <c r="J399" s="3" t="s">
        <v>35</v>
      </c>
      <c r="K399" s="4" t="s">
        <v>248</v>
      </c>
      <c r="L399" s="4" t="s">
        <v>37</v>
      </c>
      <c r="N399" s="7" t="s">
        <v>1027</v>
      </c>
      <c r="O399" s="7"/>
      <c r="P399" s="7" t="s">
        <v>1028</v>
      </c>
      <c r="Q399" s="7"/>
      <c r="R399" s="7"/>
      <c r="S399" s="3" t="s">
        <v>40</v>
      </c>
      <c r="T399" s="7" t="s">
        <v>41</v>
      </c>
      <c r="U399" s="7"/>
      <c r="V399" s="4" t="s">
        <v>42</v>
      </c>
      <c r="W399" s="4" t="s">
        <v>51</v>
      </c>
      <c r="X399" s="4" t="s">
        <v>128</v>
      </c>
      <c r="Y399" s="7" t="s">
        <v>60</v>
      </c>
      <c r="Z399" s="7"/>
      <c r="AA399" s="4" t="s">
        <v>46</v>
      </c>
      <c r="AB399" s="4" t="s">
        <v>47</v>
      </c>
      <c r="AC399" s="4" t="s">
        <v>61</v>
      </c>
      <c r="AD399" s="4" t="s">
        <v>62</v>
      </c>
      <c r="AE399" s="4" t="s">
        <v>48</v>
      </c>
      <c r="AF399" s="4" t="s">
        <v>41</v>
      </c>
      <c r="AG399" s="4" t="s">
        <v>968</v>
      </c>
    </row>
    <row r="400" spans="1:33" ht="16.5" customHeight="1" x14ac:dyDescent="0.2">
      <c r="A400" s="2" t="s">
        <v>31</v>
      </c>
      <c r="B400" s="5" t="s">
        <v>54</v>
      </c>
      <c r="C400" s="5"/>
      <c r="D400" s="5"/>
      <c r="E400" s="6" t="s">
        <v>33</v>
      </c>
      <c r="F400" s="6"/>
      <c r="G400" s="7" t="s">
        <v>965</v>
      </c>
      <c r="H400" s="7"/>
      <c r="I400" s="7"/>
      <c r="J400" s="3" t="s">
        <v>35</v>
      </c>
      <c r="K400" s="4" t="s">
        <v>143</v>
      </c>
      <c r="L400" s="4" t="s">
        <v>37</v>
      </c>
      <c r="N400" s="7" t="s">
        <v>1029</v>
      </c>
      <c r="O400" s="7"/>
      <c r="P400" s="7" t="s">
        <v>1030</v>
      </c>
      <c r="Q400" s="7"/>
      <c r="R400" s="7"/>
      <c r="S400" s="3" t="s">
        <v>40</v>
      </c>
      <c r="T400" s="7" t="s">
        <v>41</v>
      </c>
      <c r="U400" s="7"/>
      <c r="V400" s="4" t="s">
        <v>42</v>
      </c>
      <c r="W400" s="4" t="s">
        <v>58</v>
      </c>
      <c r="X400" s="4" t="s">
        <v>59</v>
      </c>
      <c r="Y400" s="7" t="s">
        <v>135</v>
      </c>
      <c r="Z400" s="7"/>
      <c r="AA400" s="4" t="s">
        <v>46</v>
      </c>
      <c r="AB400" s="4" t="s">
        <v>47</v>
      </c>
      <c r="AC400" s="4" t="s">
        <v>79</v>
      </c>
      <c r="AD400" s="4" t="s">
        <v>80</v>
      </c>
      <c r="AE400" s="4" t="s">
        <v>48</v>
      </c>
      <c r="AF400" s="4" t="s">
        <v>41</v>
      </c>
      <c r="AG400" s="4" t="s">
        <v>968</v>
      </c>
    </row>
    <row r="401" spans="1:33" ht="16.5" customHeight="1" x14ac:dyDescent="0.2">
      <c r="A401" s="2" t="s">
        <v>31</v>
      </c>
      <c r="B401" s="5" t="s">
        <v>54</v>
      </c>
      <c r="C401" s="5"/>
      <c r="D401" s="5"/>
      <c r="E401" s="6" t="s">
        <v>33</v>
      </c>
      <c r="F401" s="6"/>
      <c r="G401" s="7" t="s">
        <v>965</v>
      </c>
      <c r="H401" s="7"/>
      <c r="I401" s="7"/>
      <c r="J401" s="3" t="s">
        <v>35</v>
      </c>
      <c r="K401" s="4" t="s">
        <v>202</v>
      </c>
      <c r="L401" s="4" t="s">
        <v>93</v>
      </c>
      <c r="N401" s="7" t="s">
        <v>1031</v>
      </c>
      <c r="O401" s="7"/>
      <c r="P401" s="7" t="s">
        <v>1032</v>
      </c>
      <c r="Q401" s="7"/>
      <c r="R401" s="7"/>
      <c r="S401" s="3" t="s">
        <v>40</v>
      </c>
      <c r="T401" s="7" t="s">
        <v>41</v>
      </c>
      <c r="U401" s="7"/>
      <c r="V401" s="4" t="s">
        <v>42</v>
      </c>
      <c r="W401" s="4" t="s">
        <v>58</v>
      </c>
      <c r="X401" s="4" t="s">
        <v>59</v>
      </c>
      <c r="Y401" s="7" t="s">
        <v>197</v>
      </c>
      <c r="Z401" s="7"/>
      <c r="AA401" s="4" t="s">
        <v>46</v>
      </c>
      <c r="AB401" s="4" t="s">
        <v>47</v>
      </c>
      <c r="AC401" s="4" t="s">
        <v>136</v>
      </c>
      <c r="AD401" s="4" t="s">
        <v>148</v>
      </c>
      <c r="AE401" s="4" t="s">
        <v>48</v>
      </c>
      <c r="AF401" s="4" t="s">
        <v>41</v>
      </c>
      <c r="AG401" s="4" t="s">
        <v>968</v>
      </c>
    </row>
    <row r="402" spans="1:33" ht="16.5" customHeight="1" x14ac:dyDescent="0.2">
      <c r="A402" s="2" t="s">
        <v>31</v>
      </c>
      <c r="B402" s="5" t="s">
        <v>54</v>
      </c>
      <c r="C402" s="5"/>
      <c r="D402" s="5"/>
      <c r="E402" s="6" t="s">
        <v>33</v>
      </c>
      <c r="F402" s="6"/>
      <c r="G402" s="7" t="s">
        <v>965</v>
      </c>
      <c r="H402" s="7"/>
      <c r="I402" s="7"/>
      <c r="J402" s="3" t="s">
        <v>35</v>
      </c>
      <c r="K402" s="4" t="s">
        <v>657</v>
      </c>
      <c r="L402" s="4" t="s">
        <v>93</v>
      </c>
      <c r="N402" s="7" t="s">
        <v>1033</v>
      </c>
      <c r="O402" s="7"/>
      <c r="P402" s="7" t="s">
        <v>1034</v>
      </c>
      <c r="Q402" s="7"/>
      <c r="R402" s="7"/>
      <c r="S402" s="3" t="s">
        <v>40</v>
      </c>
      <c r="T402" s="7" t="s">
        <v>41</v>
      </c>
      <c r="U402" s="7"/>
      <c r="V402" s="4" t="s">
        <v>42</v>
      </c>
      <c r="W402" s="4" t="s">
        <v>90</v>
      </c>
      <c r="X402" s="4" t="s">
        <v>91</v>
      </c>
      <c r="Y402" s="7" t="s">
        <v>197</v>
      </c>
      <c r="Z402" s="7"/>
      <c r="AA402" s="4" t="s">
        <v>46</v>
      </c>
      <c r="AB402" s="4" t="s">
        <v>47</v>
      </c>
      <c r="AC402" s="4" t="s">
        <v>136</v>
      </c>
      <c r="AD402" s="4" t="s">
        <v>148</v>
      </c>
      <c r="AE402" s="4" t="s">
        <v>48</v>
      </c>
      <c r="AF402" s="4" t="s">
        <v>41</v>
      </c>
      <c r="AG402" s="4" t="s">
        <v>968</v>
      </c>
    </row>
    <row r="403" spans="1:33" ht="16.5" customHeight="1" x14ac:dyDescent="0.2">
      <c r="A403" s="2" t="s">
        <v>31</v>
      </c>
      <c r="B403" s="5" t="s">
        <v>54</v>
      </c>
      <c r="C403" s="5"/>
      <c r="D403" s="5"/>
      <c r="E403" s="6" t="s">
        <v>33</v>
      </c>
      <c r="F403" s="6"/>
      <c r="G403" s="7" t="s">
        <v>965</v>
      </c>
      <c r="H403" s="7"/>
      <c r="I403" s="7"/>
      <c r="J403" s="3" t="s">
        <v>35</v>
      </c>
      <c r="K403" s="4" t="s">
        <v>657</v>
      </c>
      <c r="L403" s="4" t="s">
        <v>93</v>
      </c>
      <c r="N403" s="7" t="s">
        <v>1035</v>
      </c>
      <c r="O403" s="7"/>
      <c r="P403" s="7" t="s">
        <v>1036</v>
      </c>
      <c r="Q403" s="7"/>
      <c r="R403" s="7"/>
      <c r="S403" s="3" t="s">
        <v>40</v>
      </c>
      <c r="T403" s="7" t="s">
        <v>41</v>
      </c>
      <c r="U403" s="7"/>
      <c r="V403" s="4" t="s">
        <v>42</v>
      </c>
      <c r="W403" s="4" t="s">
        <v>234</v>
      </c>
      <c r="X403" s="4" t="s">
        <v>235</v>
      </c>
      <c r="Y403" s="7" t="s">
        <v>197</v>
      </c>
      <c r="Z403" s="7"/>
      <c r="AA403" s="4" t="s">
        <v>46</v>
      </c>
      <c r="AB403" s="4" t="s">
        <v>47</v>
      </c>
      <c r="AC403" s="4" t="s">
        <v>259</v>
      </c>
      <c r="AD403" s="4" t="s">
        <v>62</v>
      </c>
      <c r="AE403" s="4" t="s">
        <v>48</v>
      </c>
      <c r="AF403" s="4" t="s">
        <v>41</v>
      </c>
      <c r="AG403" s="4" t="s">
        <v>968</v>
      </c>
    </row>
    <row r="404" spans="1:33" ht="16.5" customHeight="1" x14ac:dyDescent="0.2">
      <c r="A404" s="2" t="s">
        <v>31</v>
      </c>
      <c r="B404" s="5" t="s">
        <v>54</v>
      </c>
      <c r="C404" s="5"/>
      <c r="D404" s="5"/>
      <c r="E404" s="6" t="s">
        <v>33</v>
      </c>
      <c r="F404" s="6"/>
      <c r="G404" s="7" t="s">
        <v>965</v>
      </c>
      <c r="H404" s="7"/>
      <c r="I404" s="7"/>
      <c r="J404" s="3" t="s">
        <v>35</v>
      </c>
      <c r="K404" s="4" t="s">
        <v>143</v>
      </c>
      <c r="L404" s="4" t="s">
        <v>37</v>
      </c>
      <c r="N404" s="7" t="s">
        <v>1037</v>
      </c>
      <c r="O404" s="7"/>
      <c r="P404" s="7" t="s">
        <v>1038</v>
      </c>
      <c r="Q404" s="7"/>
      <c r="R404" s="7"/>
      <c r="S404" s="3" t="s">
        <v>40</v>
      </c>
      <c r="T404" s="7" t="s">
        <v>41</v>
      </c>
      <c r="U404" s="7"/>
      <c r="V404" s="4" t="s">
        <v>42</v>
      </c>
      <c r="W404" s="4" t="s">
        <v>154</v>
      </c>
      <c r="X404" s="4" t="s">
        <v>155</v>
      </c>
      <c r="Y404" s="7" t="s">
        <v>135</v>
      </c>
      <c r="Z404" s="7"/>
      <c r="AA404" s="4" t="s">
        <v>46</v>
      </c>
      <c r="AB404" s="4" t="s">
        <v>47</v>
      </c>
      <c r="AC404" s="4" t="s">
        <v>136</v>
      </c>
      <c r="AD404" s="4" t="s">
        <v>137</v>
      </c>
      <c r="AE404" s="4" t="s">
        <v>48</v>
      </c>
      <c r="AF404" s="4" t="s">
        <v>41</v>
      </c>
      <c r="AG404" s="4" t="s">
        <v>968</v>
      </c>
    </row>
    <row r="405" spans="1:33" ht="16.5" customHeight="1" x14ac:dyDescent="0.2">
      <c r="A405" s="2" t="s">
        <v>31</v>
      </c>
      <c r="B405" s="5" t="s">
        <v>54</v>
      </c>
      <c r="C405" s="5"/>
      <c r="D405" s="5"/>
      <c r="E405" s="6" t="s">
        <v>33</v>
      </c>
      <c r="F405" s="6"/>
      <c r="G405" s="7" t="s">
        <v>965</v>
      </c>
      <c r="H405" s="7"/>
      <c r="I405" s="7"/>
      <c r="J405" s="3" t="s">
        <v>35</v>
      </c>
      <c r="K405" s="4" t="s">
        <v>202</v>
      </c>
      <c r="L405" s="4" t="s">
        <v>37</v>
      </c>
      <c r="N405" s="7" t="s">
        <v>1039</v>
      </c>
      <c r="O405" s="7"/>
      <c r="P405" s="7" t="s">
        <v>1040</v>
      </c>
      <c r="Q405" s="7"/>
      <c r="R405" s="7"/>
      <c r="S405" s="3" t="s">
        <v>40</v>
      </c>
      <c r="T405" s="7" t="s">
        <v>41</v>
      </c>
      <c r="U405" s="7"/>
      <c r="V405" s="4" t="s">
        <v>42</v>
      </c>
      <c r="W405" s="4" t="s">
        <v>355</v>
      </c>
      <c r="X405" s="4" t="s">
        <v>344</v>
      </c>
      <c r="Y405" s="7" t="s">
        <v>197</v>
      </c>
      <c r="Z405" s="7"/>
      <c r="AA405" s="4" t="s">
        <v>46</v>
      </c>
      <c r="AB405" s="4" t="s">
        <v>47</v>
      </c>
      <c r="AC405" s="4" t="s">
        <v>259</v>
      </c>
      <c r="AD405" s="4" t="s">
        <v>260</v>
      </c>
      <c r="AE405" s="4" t="s">
        <v>48</v>
      </c>
      <c r="AF405" s="4" t="s">
        <v>41</v>
      </c>
      <c r="AG405" s="4" t="s">
        <v>968</v>
      </c>
    </row>
    <row r="406" spans="1:33" ht="16.5" customHeight="1" x14ac:dyDescent="0.2">
      <c r="A406" s="2" t="s">
        <v>31</v>
      </c>
      <c r="B406" s="5" t="s">
        <v>54</v>
      </c>
      <c r="C406" s="5"/>
      <c r="D406" s="5"/>
      <c r="E406" s="6" t="s">
        <v>33</v>
      </c>
      <c r="F406" s="6"/>
      <c r="G406" s="7" t="s">
        <v>965</v>
      </c>
      <c r="H406" s="7"/>
      <c r="I406" s="7"/>
      <c r="J406" s="3" t="s">
        <v>35</v>
      </c>
      <c r="K406" s="4" t="s">
        <v>143</v>
      </c>
      <c r="L406" s="4" t="s">
        <v>280</v>
      </c>
      <c r="N406" s="7" t="s">
        <v>1041</v>
      </c>
      <c r="O406" s="7"/>
      <c r="P406" s="7" t="s">
        <v>1042</v>
      </c>
      <c r="Q406" s="7"/>
      <c r="R406" s="7"/>
      <c r="S406" s="3" t="s">
        <v>40</v>
      </c>
      <c r="T406" s="7" t="s">
        <v>41</v>
      </c>
      <c r="U406" s="7"/>
      <c r="V406" s="4" t="s">
        <v>42</v>
      </c>
      <c r="W406" s="4" t="s">
        <v>200</v>
      </c>
      <c r="X406" s="4" t="s">
        <v>201</v>
      </c>
      <c r="Y406" s="7" t="s">
        <v>135</v>
      </c>
      <c r="Z406" s="7"/>
      <c r="AA406" s="4" t="s">
        <v>46</v>
      </c>
      <c r="AB406" s="4" t="s">
        <v>47</v>
      </c>
      <c r="AC406" s="4" t="s">
        <v>136</v>
      </c>
      <c r="AD406" s="4" t="s">
        <v>324</v>
      </c>
      <c r="AE406" s="4" t="s">
        <v>48</v>
      </c>
      <c r="AF406" s="4" t="s">
        <v>41</v>
      </c>
      <c r="AG406" s="4" t="s">
        <v>968</v>
      </c>
    </row>
    <row r="407" spans="1:33" ht="16.5" customHeight="1" x14ac:dyDescent="0.2">
      <c r="A407" s="2" t="s">
        <v>31</v>
      </c>
      <c r="B407" s="5" t="s">
        <v>54</v>
      </c>
      <c r="C407" s="5"/>
      <c r="D407" s="5"/>
      <c r="E407" s="6" t="s">
        <v>33</v>
      </c>
      <c r="F407" s="6"/>
      <c r="G407" s="7" t="s">
        <v>965</v>
      </c>
      <c r="H407" s="7"/>
      <c r="I407" s="7"/>
      <c r="J407" s="3" t="s">
        <v>35</v>
      </c>
      <c r="K407" s="4" t="s">
        <v>73</v>
      </c>
      <c r="L407" s="4" t="s">
        <v>37</v>
      </c>
      <c r="N407" s="7" t="s">
        <v>1043</v>
      </c>
      <c r="O407" s="7"/>
      <c r="P407" s="7" t="s">
        <v>1044</v>
      </c>
      <c r="Q407" s="7"/>
      <c r="R407" s="7"/>
      <c r="S407" s="3" t="s">
        <v>40</v>
      </c>
      <c r="T407" s="7" t="s">
        <v>41</v>
      </c>
      <c r="U407" s="7"/>
      <c r="V407" s="4" t="s">
        <v>42</v>
      </c>
      <c r="W407" s="4" t="s">
        <v>312</v>
      </c>
      <c r="X407" s="4" t="s">
        <v>313</v>
      </c>
      <c r="Y407" s="7" t="s">
        <v>78</v>
      </c>
      <c r="Z407" s="7"/>
      <c r="AA407" s="4" t="s">
        <v>46</v>
      </c>
      <c r="AB407" s="4" t="s">
        <v>47</v>
      </c>
      <c r="AC407" s="4" t="s">
        <v>79</v>
      </c>
      <c r="AD407" s="4" t="s">
        <v>80</v>
      </c>
      <c r="AE407" s="4" t="s">
        <v>48</v>
      </c>
      <c r="AF407" s="4" t="s">
        <v>41</v>
      </c>
      <c r="AG407" s="4" t="s">
        <v>968</v>
      </c>
    </row>
    <row r="408" spans="1:33" ht="16.5" customHeight="1" x14ac:dyDescent="0.2">
      <c r="A408" s="2" t="s">
        <v>31</v>
      </c>
      <c r="B408" s="5" t="s">
        <v>54</v>
      </c>
      <c r="C408" s="5"/>
      <c r="D408" s="5"/>
      <c r="E408" s="6" t="s">
        <v>33</v>
      </c>
      <c r="F408" s="6"/>
      <c r="G408" s="7" t="s">
        <v>965</v>
      </c>
      <c r="H408" s="7"/>
      <c r="I408" s="7"/>
      <c r="J408" s="3" t="s">
        <v>35</v>
      </c>
      <c r="K408" s="4" t="s">
        <v>267</v>
      </c>
      <c r="L408" s="4" t="s">
        <v>37</v>
      </c>
      <c r="N408" s="7" t="s">
        <v>1045</v>
      </c>
      <c r="O408" s="7"/>
      <c r="P408" s="7" t="s">
        <v>1046</v>
      </c>
      <c r="Q408" s="7"/>
      <c r="R408" s="7"/>
      <c r="S408" s="3" t="s">
        <v>40</v>
      </c>
      <c r="T408" s="7" t="s">
        <v>41</v>
      </c>
      <c r="U408" s="7"/>
      <c r="V408" s="4" t="s">
        <v>42</v>
      </c>
      <c r="W408" s="4" t="s">
        <v>43</v>
      </c>
      <c r="X408" s="4" t="s">
        <v>44</v>
      </c>
      <c r="Y408" s="7" t="s">
        <v>78</v>
      </c>
      <c r="Z408" s="7"/>
      <c r="AA408" s="4" t="s">
        <v>46</v>
      </c>
      <c r="AB408" s="4" t="s">
        <v>47</v>
      </c>
      <c r="AC408" s="4" t="s">
        <v>136</v>
      </c>
      <c r="AD408" s="4" t="s">
        <v>137</v>
      </c>
      <c r="AE408" s="4" t="s">
        <v>48</v>
      </c>
      <c r="AF408" s="4" t="s">
        <v>41</v>
      </c>
      <c r="AG408" s="4" t="s">
        <v>968</v>
      </c>
    </row>
    <row r="409" spans="1:33" ht="16.5" customHeight="1" x14ac:dyDescent="0.2">
      <c r="A409" s="2" t="s">
        <v>31</v>
      </c>
      <c r="B409" s="5" t="s">
        <v>54</v>
      </c>
      <c r="C409" s="5"/>
      <c r="D409" s="5"/>
      <c r="E409" s="6" t="s">
        <v>33</v>
      </c>
      <c r="F409" s="6"/>
      <c r="G409" s="7" t="s">
        <v>965</v>
      </c>
      <c r="H409" s="7"/>
      <c r="I409" s="7"/>
      <c r="J409" s="3" t="s">
        <v>35</v>
      </c>
      <c r="K409" s="4" t="s">
        <v>55</v>
      </c>
      <c r="L409" s="4" t="s">
        <v>37</v>
      </c>
      <c r="N409" s="7" t="s">
        <v>1047</v>
      </c>
      <c r="O409" s="7"/>
      <c r="P409" s="7" t="s">
        <v>1048</v>
      </c>
      <c r="Q409" s="7"/>
      <c r="R409" s="7"/>
      <c r="S409" s="3" t="s">
        <v>40</v>
      </c>
      <c r="T409" s="7" t="s">
        <v>41</v>
      </c>
      <c r="U409" s="7"/>
      <c r="V409" s="4" t="s">
        <v>42</v>
      </c>
      <c r="W409" s="4" t="s">
        <v>58</v>
      </c>
      <c r="X409" s="4" t="s">
        <v>59</v>
      </c>
      <c r="Y409" s="7" t="s">
        <v>60</v>
      </c>
      <c r="Z409" s="7"/>
      <c r="AA409" s="4" t="s">
        <v>46</v>
      </c>
      <c r="AB409" s="4" t="s">
        <v>47</v>
      </c>
      <c r="AC409" s="4" t="s">
        <v>61</v>
      </c>
      <c r="AD409" s="4" t="s">
        <v>62</v>
      </c>
      <c r="AE409" s="4" t="s">
        <v>48</v>
      </c>
      <c r="AF409" s="4" t="s">
        <v>41</v>
      </c>
      <c r="AG409" s="4" t="s">
        <v>968</v>
      </c>
    </row>
    <row r="410" spans="1:33" ht="0.75" customHeight="1" x14ac:dyDescent="0.2"/>
    <row r="411" spans="1:33" ht="12" customHeight="1" x14ac:dyDescent="0.2"/>
    <row r="412" spans="1:33" ht="16.5" customHeight="1" x14ac:dyDescent="0.2">
      <c r="A412" s="2" t="s">
        <v>31</v>
      </c>
      <c r="B412" s="5" t="s">
        <v>54</v>
      </c>
      <c r="C412" s="5"/>
      <c r="D412" s="5"/>
      <c r="E412" s="6" t="s">
        <v>33</v>
      </c>
      <c r="F412" s="6"/>
      <c r="G412" s="7" t="s">
        <v>965</v>
      </c>
      <c r="H412" s="7"/>
      <c r="I412" s="7"/>
      <c r="J412" s="3" t="s">
        <v>35</v>
      </c>
      <c r="K412" s="4" t="s">
        <v>149</v>
      </c>
      <c r="L412" s="4" t="s">
        <v>37</v>
      </c>
      <c r="N412" s="7" t="s">
        <v>1049</v>
      </c>
      <c r="O412" s="7"/>
      <c r="P412" s="7" t="s">
        <v>1050</v>
      </c>
      <c r="Q412" s="7"/>
      <c r="R412" s="7"/>
      <c r="S412" s="3" t="s">
        <v>40</v>
      </c>
      <c r="T412" s="7" t="s">
        <v>41</v>
      </c>
      <c r="U412" s="7"/>
      <c r="V412" s="4" t="s">
        <v>42</v>
      </c>
      <c r="W412" s="4" t="s">
        <v>1051</v>
      </c>
      <c r="X412" s="4" t="s">
        <v>284</v>
      </c>
      <c r="Y412" s="7" t="s">
        <v>78</v>
      </c>
      <c r="Z412" s="7"/>
      <c r="AA412" s="4" t="s">
        <v>46</v>
      </c>
      <c r="AB412" s="4" t="s">
        <v>47</v>
      </c>
      <c r="AC412" s="4" t="s">
        <v>136</v>
      </c>
      <c r="AD412" s="4" t="s">
        <v>137</v>
      </c>
      <c r="AE412" s="4" t="s">
        <v>48</v>
      </c>
      <c r="AF412" s="4" t="s">
        <v>41</v>
      </c>
      <c r="AG412" s="4" t="s">
        <v>968</v>
      </c>
    </row>
    <row r="413" spans="1:33" ht="16.5" customHeight="1" x14ac:dyDescent="0.2">
      <c r="A413" s="2" t="s">
        <v>31</v>
      </c>
      <c r="B413" s="5" t="s">
        <v>54</v>
      </c>
      <c r="C413" s="5"/>
      <c r="D413" s="5"/>
      <c r="E413" s="6" t="s">
        <v>33</v>
      </c>
      <c r="F413" s="6"/>
      <c r="G413" s="7" t="s">
        <v>965</v>
      </c>
      <c r="H413" s="7"/>
      <c r="I413" s="7"/>
      <c r="J413" s="3" t="s">
        <v>35</v>
      </c>
      <c r="K413" s="4" t="s">
        <v>657</v>
      </c>
      <c r="L413" s="4" t="s">
        <v>280</v>
      </c>
      <c r="N413" s="7" t="s">
        <v>1052</v>
      </c>
      <c r="O413" s="7"/>
      <c r="P413" s="7" t="s">
        <v>1053</v>
      </c>
      <c r="Q413" s="7"/>
      <c r="R413" s="7"/>
      <c r="S413" s="3" t="s">
        <v>40</v>
      </c>
      <c r="T413" s="7" t="s">
        <v>41</v>
      </c>
      <c r="U413" s="7"/>
      <c r="V413" s="4" t="s">
        <v>42</v>
      </c>
      <c r="W413" s="4" t="s">
        <v>234</v>
      </c>
      <c r="X413" s="4" t="s">
        <v>235</v>
      </c>
      <c r="Y413" s="7" t="s">
        <v>197</v>
      </c>
      <c r="Z413" s="7"/>
      <c r="AA413" s="4" t="s">
        <v>46</v>
      </c>
      <c r="AB413" s="4" t="s">
        <v>47</v>
      </c>
      <c r="AC413" s="4" t="s">
        <v>259</v>
      </c>
      <c r="AD413" s="4" t="s">
        <v>1054</v>
      </c>
      <c r="AE413" s="4" t="s">
        <v>48</v>
      </c>
      <c r="AF413" s="4" t="s">
        <v>41</v>
      </c>
      <c r="AG413" s="4" t="s">
        <v>968</v>
      </c>
    </row>
    <row r="414" spans="1:33" ht="16.5" customHeight="1" x14ac:dyDescent="0.2">
      <c r="A414" s="2" t="s">
        <v>31</v>
      </c>
      <c r="B414" s="5" t="s">
        <v>54</v>
      </c>
      <c r="C414" s="5"/>
      <c r="D414" s="5"/>
      <c r="E414" s="6" t="s">
        <v>33</v>
      </c>
      <c r="F414" s="6"/>
      <c r="G414" s="7" t="s">
        <v>965</v>
      </c>
      <c r="H414" s="7"/>
      <c r="I414" s="7"/>
      <c r="J414" s="3" t="s">
        <v>35</v>
      </c>
      <c r="K414" s="4" t="s">
        <v>657</v>
      </c>
      <c r="L414" s="4" t="s">
        <v>280</v>
      </c>
      <c r="N414" s="7" t="s">
        <v>1052</v>
      </c>
      <c r="O414" s="7"/>
      <c r="P414" s="7" t="s">
        <v>1053</v>
      </c>
      <c r="Q414" s="7"/>
      <c r="R414" s="7"/>
      <c r="S414" s="3" t="s">
        <v>40</v>
      </c>
      <c r="T414" s="7" t="s">
        <v>41</v>
      </c>
      <c r="U414" s="7"/>
      <c r="V414" s="4" t="s">
        <v>51</v>
      </c>
      <c r="W414" s="4" t="s">
        <v>234</v>
      </c>
      <c r="X414" s="4" t="s">
        <v>344</v>
      </c>
      <c r="Y414" s="7" t="s">
        <v>197</v>
      </c>
      <c r="Z414" s="7"/>
      <c r="AA414" s="4" t="s">
        <v>46</v>
      </c>
      <c r="AB414" s="4" t="s">
        <v>47</v>
      </c>
      <c r="AC414" s="4" t="s">
        <v>259</v>
      </c>
      <c r="AD414" s="4" t="s">
        <v>1054</v>
      </c>
      <c r="AE414" s="4" t="s">
        <v>48</v>
      </c>
      <c r="AF414" s="4" t="s">
        <v>41</v>
      </c>
      <c r="AG414" s="4" t="s">
        <v>968</v>
      </c>
    </row>
    <row r="415" spans="1:33" ht="16.5" customHeight="1" x14ac:dyDescent="0.2">
      <c r="A415" s="2" t="s">
        <v>31</v>
      </c>
      <c r="B415" s="5" t="s">
        <v>54</v>
      </c>
      <c r="C415" s="5"/>
      <c r="D415" s="5"/>
      <c r="E415" s="6" t="s">
        <v>33</v>
      </c>
      <c r="F415" s="6"/>
      <c r="G415" s="7" t="s">
        <v>965</v>
      </c>
      <c r="H415" s="7"/>
      <c r="I415" s="7"/>
      <c r="J415" s="3" t="s">
        <v>35</v>
      </c>
      <c r="K415" s="4" t="s">
        <v>149</v>
      </c>
      <c r="L415" s="4" t="s">
        <v>37</v>
      </c>
      <c r="N415" s="7" t="s">
        <v>1055</v>
      </c>
      <c r="O415" s="7"/>
      <c r="P415" s="7" t="s">
        <v>1056</v>
      </c>
      <c r="Q415" s="7"/>
      <c r="R415" s="7"/>
      <c r="S415" s="3" t="s">
        <v>40</v>
      </c>
      <c r="T415" s="7" t="s">
        <v>41</v>
      </c>
      <c r="U415" s="7"/>
      <c r="V415" s="4" t="s">
        <v>42</v>
      </c>
      <c r="W415" s="4" t="s">
        <v>51</v>
      </c>
      <c r="X415" s="4" t="s">
        <v>128</v>
      </c>
      <c r="Y415" s="7" t="s">
        <v>78</v>
      </c>
      <c r="Z415" s="7"/>
      <c r="AA415" s="4" t="s">
        <v>46</v>
      </c>
      <c r="AB415" s="4" t="s">
        <v>47</v>
      </c>
      <c r="AC415" s="4" t="s">
        <v>79</v>
      </c>
      <c r="AD415" s="4" t="s">
        <v>80</v>
      </c>
      <c r="AE415" s="4" t="s">
        <v>48</v>
      </c>
      <c r="AF415" s="4" t="s">
        <v>41</v>
      </c>
      <c r="AG415" s="4" t="s">
        <v>968</v>
      </c>
    </row>
    <row r="416" spans="1:33" ht="16.5" customHeight="1" x14ac:dyDescent="0.2">
      <c r="A416" s="2" t="s">
        <v>31</v>
      </c>
      <c r="B416" s="5" t="s">
        <v>54</v>
      </c>
      <c r="C416" s="5"/>
      <c r="D416" s="5"/>
      <c r="E416" s="6" t="s">
        <v>33</v>
      </c>
      <c r="F416" s="6"/>
      <c r="G416" s="7" t="s">
        <v>965</v>
      </c>
      <c r="H416" s="7"/>
      <c r="I416" s="7"/>
      <c r="J416" s="3" t="s">
        <v>35</v>
      </c>
      <c r="K416" s="4" t="s">
        <v>657</v>
      </c>
      <c r="L416" s="4" t="s">
        <v>37</v>
      </c>
      <c r="N416" s="7" t="s">
        <v>1057</v>
      </c>
      <c r="O416" s="7"/>
      <c r="P416" s="7" t="s">
        <v>1058</v>
      </c>
      <c r="Q416" s="7"/>
      <c r="R416" s="7"/>
      <c r="S416" s="3" t="s">
        <v>40</v>
      </c>
      <c r="T416" s="7" t="s">
        <v>41</v>
      </c>
      <c r="U416" s="7"/>
      <c r="V416" s="4" t="s">
        <v>42</v>
      </c>
      <c r="W416" s="4" t="s">
        <v>58</v>
      </c>
      <c r="X416" s="4" t="s">
        <v>59</v>
      </c>
      <c r="Y416" s="7" t="s">
        <v>197</v>
      </c>
      <c r="Z416" s="7"/>
      <c r="AA416" s="4" t="s">
        <v>46</v>
      </c>
      <c r="AB416" s="4" t="s">
        <v>47</v>
      </c>
      <c r="AC416" s="4" t="s">
        <v>136</v>
      </c>
      <c r="AD416" s="4" t="s">
        <v>137</v>
      </c>
      <c r="AE416" s="4" t="s">
        <v>48</v>
      </c>
      <c r="AF416" s="4" t="s">
        <v>41</v>
      </c>
      <c r="AG416" s="4" t="s">
        <v>968</v>
      </c>
    </row>
    <row r="417" spans="1:33" ht="16.5" customHeight="1" x14ac:dyDescent="0.2">
      <c r="A417" s="2" t="s">
        <v>31</v>
      </c>
      <c r="B417" s="5" t="s">
        <v>54</v>
      </c>
      <c r="C417" s="5"/>
      <c r="D417" s="5"/>
      <c r="E417" s="6" t="s">
        <v>33</v>
      </c>
      <c r="F417" s="6"/>
      <c r="G417" s="7" t="s">
        <v>965</v>
      </c>
      <c r="H417" s="7"/>
      <c r="I417" s="7"/>
      <c r="J417" s="3" t="s">
        <v>35</v>
      </c>
      <c r="K417" s="4" t="s">
        <v>657</v>
      </c>
      <c r="L417" s="4" t="s">
        <v>37</v>
      </c>
      <c r="N417" s="7" t="s">
        <v>1059</v>
      </c>
      <c r="O417" s="7"/>
      <c r="P417" s="7" t="s">
        <v>1060</v>
      </c>
      <c r="Q417" s="7"/>
      <c r="R417" s="7"/>
      <c r="S417" s="3" t="s">
        <v>40</v>
      </c>
      <c r="T417" s="7" t="s">
        <v>41</v>
      </c>
      <c r="U417" s="7"/>
      <c r="V417" s="4" t="s">
        <v>42</v>
      </c>
      <c r="W417" s="4" t="s">
        <v>1061</v>
      </c>
      <c r="X417" s="4" t="s">
        <v>755</v>
      </c>
      <c r="Y417" s="7" t="s">
        <v>197</v>
      </c>
      <c r="Z417" s="7"/>
      <c r="AA417" s="4" t="s">
        <v>46</v>
      </c>
      <c r="AB417" s="4" t="s">
        <v>47</v>
      </c>
      <c r="AC417" s="4" t="s">
        <v>259</v>
      </c>
      <c r="AD417" s="4" t="s">
        <v>260</v>
      </c>
      <c r="AE417" s="4" t="s">
        <v>48</v>
      </c>
      <c r="AF417" s="4" t="s">
        <v>41</v>
      </c>
      <c r="AG417" s="4" t="s">
        <v>968</v>
      </c>
    </row>
    <row r="418" spans="1:33" ht="16.5" customHeight="1" x14ac:dyDescent="0.2">
      <c r="A418" s="2" t="s">
        <v>31</v>
      </c>
      <c r="B418" s="5" t="s">
        <v>54</v>
      </c>
      <c r="C418" s="5"/>
      <c r="D418" s="5"/>
      <c r="E418" s="6" t="s">
        <v>33</v>
      </c>
      <c r="F418" s="6"/>
      <c r="G418" s="7" t="s">
        <v>965</v>
      </c>
      <c r="H418" s="7"/>
      <c r="I418" s="7"/>
      <c r="J418" s="3" t="s">
        <v>35</v>
      </c>
      <c r="K418" s="4" t="s">
        <v>73</v>
      </c>
      <c r="L418" s="4" t="s">
        <v>37</v>
      </c>
      <c r="N418" s="7" t="s">
        <v>1062</v>
      </c>
      <c r="O418" s="7"/>
      <c r="P418" s="7" t="s">
        <v>1063</v>
      </c>
      <c r="Q418" s="7"/>
      <c r="R418" s="7"/>
      <c r="S418" s="3" t="s">
        <v>40</v>
      </c>
      <c r="T418" s="7" t="s">
        <v>41</v>
      </c>
      <c r="U418" s="7"/>
      <c r="V418" s="4" t="s">
        <v>51</v>
      </c>
      <c r="W418" s="4" t="s">
        <v>58</v>
      </c>
      <c r="X418" s="4" t="s">
        <v>128</v>
      </c>
      <c r="Y418" s="7" t="s">
        <v>78</v>
      </c>
      <c r="Z418" s="7"/>
      <c r="AA418" s="4" t="s">
        <v>46</v>
      </c>
      <c r="AB418" s="4" t="s">
        <v>47</v>
      </c>
      <c r="AC418" s="4" t="s">
        <v>72</v>
      </c>
      <c r="AD418" s="4" t="s">
        <v>41</v>
      </c>
      <c r="AE418" s="4" t="s">
        <v>48</v>
      </c>
      <c r="AF418" s="4" t="s">
        <v>41</v>
      </c>
      <c r="AG418" s="4" t="s">
        <v>968</v>
      </c>
    </row>
    <row r="419" spans="1:33" ht="16.5" customHeight="1" x14ac:dyDescent="0.2">
      <c r="A419" s="2" t="s">
        <v>31</v>
      </c>
      <c r="B419" s="5" t="s">
        <v>54</v>
      </c>
      <c r="C419" s="5"/>
      <c r="D419" s="5"/>
      <c r="E419" s="6" t="s">
        <v>33</v>
      </c>
      <c r="F419" s="6"/>
      <c r="G419" s="7" t="s">
        <v>965</v>
      </c>
      <c r="H419" s="7"/>
      <c r="I419" s="7"/>
      <c r="J419" s="3" t="s">
        <v>35</v>
      </c>
      <c r="K419" s="4" t="s">
        <v>73</v>
      </c>
      <c r="L419" s="4" t="s">
        <v>37</v>
      </c>
      <c r="N419" s="7" t="s">
        <v>1062</v>
      </c>
      <c r="O419" s="7"/>
      <c r="P419" s="7" t="s">
        <v>1063</v>
      </c>
      <c r="Q419" s="7"/>
      <c r="R419" s="7"/>
      <c r="S419" s="3" t="s">
        <v>40</v>
      </c>
      <c r="T419" s="7" t="s">
        <v>41</v>
      </c>
      <c r="U419" s="7"/>
      <c r="V419" s="4" t="s">
        <v>51</v>
      </c>
      <c r="W419" s="4" t="s">
        <v>58</v>
      </c>
      <c r="X419" s="4" t="s">
        <v>128</v>
      </c>
      <c r="Y419" s="7" t="s">
        <v>78</v>
      </c>
      <c r="Z419" s="7"/>
      <c r="AA419" s="4" t="s">
        <v>46</v>
      </c>
      <c r="AB419" s="4" t="s">
        <v>47</v>
      </c>
      <c r="AC419" s="4" t="s">
        <v>72</v>
      </c>
      <c r="AD419" s="4" t="s">
        <v>41</v>
      </c>
      <c r="AE419" s="4" t="s">
        <v>48</v>
      </c>
      <c r="AF419" s="4" t="s">
        <v>41</v>
      </c>
      <c r="AG419" s="4" t="s">
        <v>968</v>
      </c>
    </row>
    <row r="420" spans="1:33" ht="16.5" customHeight="1" x14ac:dyDescent="0.2">
      <c r="A420" s="2" t="s">
        <v>31</v>
      </c>
      <c r="B420" s="5" t="s">
        <v>54</v>
      </c>
      <c r="C420" s="5"/>
      <c r="D420" s="5"/>
      <c r="E420" s="6" t="s">
        <v>33</v>
      </c>
      <c r="F420" s="6"/>
      <c r="G420" s="7" t="s">
        <v>965</v>
      </c>
      <c r="H420" s="7"/>
      <c r="I420" s="7"/>
      <c r="J420" s="3" t="s">
        <v>35</v>
      </c>
      <c r="K420" s="4" t="s">
        <v>73</v>
      </c>
      <c r="L420" s="4" t="s">
        <v>588</v>
      </c>
      <c r="N420" s="7" t="s">
        <v>1062</v>
      </c>
      <c r="O420" s="7"/>
      <c r="P420" s="7" t="s">
        <v>1063</v>
      </c>
      <c r="Q420" s="7"/>
      <c r="R420" s="7"/>
      <c r="S420" s="3" t="s">
        <v>40</v>
      </c>
      <c r="T420" s="7" t="s">
        <v>41</v>
      </c>
      <c r="U420" s="7"/>
      <c r="V420" s="4" t="s">
        <v>51</v>
      </c>
      <c r="W420" s="4" t="s">
        <v>58</v>
      </c>
      <c r="X420" s="4" t="s">
        <v>128</v>
      </c>
      <c r="Y420" s="7" t="s">
        <v>78</v>
      </c>
      <c r="Z420" s="7"/>
      <c r="AA420" s="4" t="s">
        <v>46</v>
      </c>
      <c r="AB420" s="4" t="s">
        <v>47</v>
      </c>
      <c r="AC420" s="4" t="s">
        <v>72</v>
      </c>
      <c r="AD420" s="4" t="s">
        <v>41</v>
      </c>
      <c r="AE420" s="4" t="s">
        <v>48</v>
      </c>
      <c r="AF420" s="4" t="s">
        <v>41</v>
      </c>
      <c r="AG420" s="4" t="s">
        <v>968</v>
      </c>
    </row>
    <row r="421" spans="1:33" ht="16.5" customHeight="1" x14ac:dyDescent="0.2">
      <c r="A421" s="2" t="s">
        <v>31</v>
      </c>
      <c r="B421" s="5" t="s">
        <v>54</v>
      </c>
      <c r="C421" s="5"/>
      <c r="D421" s="5"/>
      <c r="E421" s="6" t="s">
        <v>33</v>
      </c>
      <c r="F421" s="6"/>
      <c r="G421" s="7" t="s">
        <v>965</v>
      </c>
      <c r="H421" s="7"/>
      <c r="I421" s="7"/>
      <c r="J421" s="3" t="s">
        <v>35</v>
      </c>
      <c r="K421" s="4" t="s">
        <v>248</v>
      </c>
      <c r="L421" s="4" t="s">
        <v>37</v>
      </c>
      <c r="N421" s="7" t="s">
        <v>1064</v>
      </c>
      <c r="O421" s="7"/>
      <c r="P421" s="7" t="s">
        <v>1065</v>
      </c>
      <c r="Q421" s="7"/>
      <c r="R421" s="7"/>
      <c r="S421" s="3" t="s">
        <v>40</v>
      </c>
      <c r="T421" s="7" t="s">
        <v>41</v>
      </c>
      <c r="U421" s="7"/>
      <c r="V421" s="4" t="s">
        <v>42</v>
      </c>
      <c r="W421" s="4" t="s">
        <v>58</v>
      </c>
      <c r="X421" s="4" t="s">
        <v>59</v>
      </c>
      <c r="Y421" s="7" t="s">
        <v>60</v>
      </c>
      <c r="Z421" s="7"/>
      <c r="AA421" s="4" t="s">
        <v>46</v>
      </c>
      <c r="AB421" s="4" t="s">
        <v>47</v>
      </c>
      <c r="AC421" s="4" t="s">
        <v>61</v>
      </c>
      <c r="AD421" s="4" t="s">
        <v>62</v>
      </c>
      <c r="AE421" s="4" t="s">
        <v>48</v>
      </c>
      <c r="AF421" s="4" t="s">
        <v>41</v>
      </c>
      <c r="AG421" s="4" t="s">
        <v>968</v>
      </c>
    </row>
    <row r="422" spans="1:33" ht="16.5" customHeight="1" x14ac:dyDescent="0.2">
      <c r="A422" s="2" t="s">
        <v>31</v>
      </c>
      <c r="B422" s="5" t="s">
        <v>54</v>
      </c>
      <c r="C422" s="5"/>
      <c r="D422" s="5"/>
      <c r="E422" s="6" t="s">
        <v>33</v>
      </c>
      <c r="F422" s="6"/>
      <c r="G422" s="7" t="s">
        <v>965</v>
      </c>
      <c r="H422" s="7"/>
      <c r="I422" s="7"/>
      <c r="J422" s="3" t="s">
        <v>35</v>
      </c>
      <c r="K422" s="4" t="s">
        <v>316</v>
      </c>
      <c r="L422" s="4" t="s">
        <v>37</v>
      </c>
      <c r="N422" s="7" t="s">
        <v>1066</v>
      </c>
      <c r="O422" s="7"/>
      <c r="P422" s="7" t="s">
        <v>1067</v>
      </c>
      <c r="Q422" s="7"/>
      <c r="R422" s="7"/>
      <c r="S422" s="3" t="s">
        <v>40</v>
      </c>
      <c r="T422" s="7" t="s">
        <v>41</v>
      </c>
      <c r="U422" s="7"/>
      <c r="V422" s="4" t="s">
        <v>42</v>
      </c>
      <c r="W422" s="4" t="s">
        <v>217</v>
      </c>
      <c r="X422" s="4" t="s">
        <v>218</v>
      </c>
      <c r="Y422" s="7" t="s">
        <v>60</v>
      </c>
      <c r="Z422" s="7"/>
      <c r="AA422" s="4" t="s">
        <v>46</v>
      </c>
      <c r="AB422" s="4" t="s">
        <v>47</v>
      </c>
      <c r="AC422" s="4" t="s">
        <v>79</v>
      </c>
      <c r="AD422" s="4" t="s">
        <v>80</v>
      </c>
      <c r="AE422" s="4" t="s">
        <v>48</v>
      </c>
      <c r="AF422" s="4" t="s">
        <v>41</v>
      </c>
      <c r="AG422" s="4" t="s">
        <v>968</v>
      </c>
    </row>
    <row r="423" spans="1:33" ht="16.5" customHeight="1" x14ac:dyDescent="0.2">
      <c r="A423" s="2" t="s">
        <v>31</v>
      </c>
      <c r="B423" s="5" t="s">
        <v>54</v>
      </c>
      <c r="C423" s="5"/>
      <c r="D423" s="5"/>
      <c r="E423" s="6" t="s">
        <v>33</v>
      </c>
      <c r="F423" s="6"/>
      <c r="G423" s="7" t="s">
        <v>965</v>
      </c>
      <c r="H423" s="7"/>
      <c r="I423" s="7"/>
      <c r="J423" s="3" t="s">
        <v>35</v>
      </c>
      <c r="K423" s="4" t="s">
        <v>55</v>
      </c>
      <c r="L423" s="4" t="s">
        <v>37</v>
      </c>
      <c r="N423" s="7" t="s">
        <v>1068</v>
      </c>
      <c r="O423" s="7"/>
      <c r="P423" s="7" t="s">
        <v>1069</v>
      </c>
      <c r="Q423" s="7"/>
      <c r="R423" s="7"/>
      <c r="S423" s="3" t="s">
        <v>40</v>
      </c>
      <c r="T423" s="7" t="s">
        <v>41</v>
      </c>
      <c r="U423" s="7"/>
      <c r="V423" s="4" t="s">
        <v>42</v>
      </c>
      <c r="W423" s="4" t="s">
        <v>58</v>
      </c>
      <c r="X423" s="4" t="s">
        <v>59</v>
      </c>
      <c r="Y423" s="7" t="s">
        <v>60</v>
      </c>
      <c r="Z423" s="7"/>
      <c r="AA423" s="4" t="s">
        <v>46</v>
      </c>
      <c r="AB423" s="4" t="s">
        <v>47</v>
      </c>
      <c r="AC423" s="4" t="s">
        <v>61</v>
      </c>
      <c r="AD423" s="4" t="s">
        <v>62</v>
      </c>
      <c r="AE423" s="4" t="s">
        <v>48</v>
      </c>
      <c r="AF423" s="4" t="s">
        <v>41</v>
      </c>
      <c r="AG423" s="4" t="s">
        <v>968</v>
      </c>
    </row>
    <row r="424" spans="1:33" ht="16.5" customHeight="1" x14ac:dyDescent="0.2">
      <c r="A424" s="2" t="s">
        <v>31</v>
      </c>
      <c r="B424" s="5" t="s">
        <v>54</v>
      </c>
      <c r="C424" s="5"/>
      <c r="D424" s="5"/>
      <c r="E424" s="6" t="s">
        <v>33</v>
      </c>
      <c r="F424" s="6"/>
      <c r="G424" s="7" t="s">
        <v>965</v>
      </c>
      <c r="H424" s="7"/>
      <c r="I424" s="7"/>
      <c r="J424" s="3" t="s">
        <v>35</v>
      </c>
      <c r="K424" s="4" t="s">
        <v>97</v>
      </c>
      <c r="L424" s="4" t="s">
        <v>37</v>
      </c>
      <c r="N424" s="7" t="s">
        <v>1070</v>
      </c>
      <c r="O424" s="7"/>
      <c r="P424" s="7" t="s">
        <v>1071</v>
      </c>
      <c r="Q424" s="7"/>
      <c r="R424" s="7"/>
      <c r="S424" s="3" t="s">
        <v>40</v>
      </c>
      <c r="T424" s="7" t="s">
        <v>41</v>
      </c>
      <c r="U424" s="7"/>
      <c r="V424" s="4" t="s">
        <v>42</v>
      </c>
      <c r="W424" s="4" t="s">
        <v>1072</v>
      </c>
      <c r="X424" s="4" t="s">
        <v>1073</v>
      </c>
      <c r="Y424" s="7" t="s">
        <v>78</v>
      </c>
      <c r="Z424" s="7"/>
      <c r="AA424" s="4" t="s">
        <v>46</v>
      </c>
      <c r="AB424" s="4" t="s">
        <v>47</v>
      </c>
      <c r="AC424" s="4" t="s">
        <v>136</v>
      </c>
      <c r="AD424" s="4" t="s">
        <v>137</v>
      </c>
      <c r="AE424" s="4" t="s">
        <v>48</v>
      </c>
      <c r="AF424" s="4" t="s">
        <v>41</v>
      </c>
      <c r="AG424" s="4" t="s">
        <v>968</v>
      </c>
    </row>
    <row r="425" spans="1:33" ht="16.5" customHeight="1" x14ac:dyDescent="0.2">
      <c r="A425" s="2" t="s">
        <v>31</v>
      </c>
      <c r="B425" s="5" t="s">
        <v>54</v>
      </c>
      <c r="C425" s="5"/>
      <c r="D425" s="5"/>
      <c r="E425" s="6" t="s">
        <v>33</v>
      </c>
      <c r="F425" s="6"/>
      <c r="G425" s="7" t="s">
        <v>965</v>
      </c>
      <c r="H425" s="7"/>
      <c r="I425" s="7"/>
      <c r="J425" s="3" t="s">
        <v>35</v>
      </c>
      <c r="K425" s="4" t="s">
        <v>97</v>
      </c>
      <c r="L425" s="4" t="s">
        <v>37</v>
      </c>
      <c r="N425" s="7" t="s">
        <v>1070</v>
      </c>
      <c r="O425" s="7"/>
      <c r="P425" s="7" t="s">
        <v>1071</v>
      </c>
      <c r="Q425" s="7"/>
      <c r="R425" s="7"/>
      <c r="S425" s="3" t="s">
        <v>40</v>
      </c>
      <c r="T425" s="7" t="s">
        <v>41</v>
      </c>
      <c r="U425" s="7"/>
      <c r="V425" s="4" t="s">
        <v>51</v>
      </c>
      <c r="W425" s="4" t="s">
        <v>1072</v>
      </c>
      <c r="X425" s="4" t="s">
        <v>226</v>
      </c>
      <c r="Y425" s="7" t="s">
        <v>78</v>
      </c>
      <c r="Z425" s="7"/>
      <c r="AA425" s="4" t="s">
        <v>46</v>
      </c>
      <c r="AB425" s="4" t="s">
        <v>47</v>
      </c>
      <c r="AC425" s="4" t="s">
        <v>136</v>
      </c>
      <c r="AD425" s="4" t="s">
        <v>137</v>
      </c>
      <c r="AE425" s="4" t="s">
        <v>48</v>
      </c>
      <c r="AF425" s="4" t="s">
        <v>41</v>
      </c>
      <c r="AG425" s="4" t="s">
        <v>968</v>
      </c>
    </row>
    <row r="426" spans="1:33" ht="16.5" customHeight="1" x14ac:dyDescent="0.2">
      <c r="A426" s="2" t="s">
        <v>31</v>
      </c>
      <c r="B426" s="5" t="s">
        <v>54</v>
      </c>
      <c r="C426" s="5"/>
      <c r="D426" s="5"/>
      <c r="E426" s="6" t="s">
        <v>33</v>
      </c>
      <c r="F426" s="6"/>
      <c r="G426" s="7" t="s">
        <v>965</v>
      </c>
      <c r="H426" s="7"/>
      <c r="I426" s="7"/>
      <c r="J426" s="3" t="s">
        <v>35</v>
      </c>
      <c r="K426" s="4" t="s">
        <v>143</v>
      </c>
      <c r="L426" s="4" t="s">
        <v>280</v>
      </c>
      <c r="N426" s="7" t="s">
        <v>1074</v>
      </c>
      <c r="O426" s="7"/>
      <c r="P426" s="7" t="s">
        <v>1075</v>
      </c>
      <c r="Q426" s="7"/>
      <c r="R426" s="7"/>
      <c r="S426" s="3" t="s">
        <v>40</v>
      </c>
      <c r="T426" s="7" t="s">
        <v>41</v>
      </c>
      <c r="U426" s="7"/>
      <c r="V426" s="4" t="s">
        <v>42</v>
      </c>
      <c r="W426" s="4" t="s">
        <v>234</v>
      </c>
      <c r="X426" s="4" t="s">
        <v>235</v>
      </c>
      <c r="Y426" s="7" t="s">
        <v>135</v>
      </c>
      <c r="Z426" s="7"/>
      <c r="AA426" s="4" t="s">
        <v>46</v>
      </c>
      <c r="AB426" s="4" t="s">
        <v>47</v>
      </c>
      <c r="AC426" s="4" t="s">
        <v>136</v>
      </c>
      <c r="AD426" s="4" t="s">
        <v>324</v>
      </c>
      <c r="AE426" s="4" t="s">
        <v>48</v>
      </c>
      <c r="AF426" s="4" t="s">
        <v>41</v>
      </c>
      <c r="AG426" s="4" t="s">
        <v>968</v>
      </c>
    </row>
    <row r="427" spans="1:33" ht="16.5" customHeight="1" x14ac:dyDescent="0.2">
      <c r="A427" s="2" t="s">
        <v>31</v>
      </c>
      <c r="B427" s="5" t="s">
        <v>54</v>
      </c>
      <c r="C427" s="5"/>
      <c r="D427" s="5"/>
      <c r="E427" s="6" t="s">
        <v>33</v>
      </c>
      <c r="F427" s="6"/>
      <c r="G427" s="7" t="s">
        <v>965</v>
      </c>
      <c r="H427" s="7"/>
      <c r="I427" s="7"/>
      <c r="J427" s="3" t="s">
        <v>35</v>
      </c>
      <c r="K427" s="4" t="s">
        <v>149</v>
      </c>
      <c r="L427" s="4" t="s">
        <v>37</v>
      </c>
      <c r="N427" s="7" t="s">
        <v>1076</v>
      </c>
      <c r="O427" s="7"/>
      <c r="P427" s="7" t="s">
        <v>1077</v>
      </c>
      <c r="Q427" s="7"/>
      <c r="R427" s="7"/>
      <c r="S427" s="3" t="s">
        <v>40</v>
      </c>
      <c r="T427" s="7" t="s">
        <v>41</v>
      </c>
      <c r="U427" s="7"/>
      <c r="V427" s="4" t="s">
        <v>42</v>
      </c>
      <c r="W427" s="4" t="s">
        <v>229</v>
      </c>
      <c r="X427" s="4" t="s">
        <v>446</v>
      </c>
      <c r="Y427" s="7" t="s">
        <v>78</v>
      </c>
      <c r="Z427" s="7"/>
      <c r="AA427" s="4" t="s">
        <v>46</v>
      </c>
      <c r="AB427" s="4" t="s">
        <v>47</v>
      </c>
      <c r="AC427" s="4" t="s">
        <v>136</v>
      </c>
      <c r="AD427" s="4" t="s">
        <v>137</v>
      </c>
      <c r="AE427" s="4" t="s">
        <v>48</v>
      </c>
      <c r="AF427" s="4" t="s">
        <v>41</v>
      </c>
      <c r="AG427" s="4" t="s">
        <v>968</v>
      </c>
    </row>
    <row r="428" spans="1:33" ht="16.5" customHeight="1" x14ac:dyDescent="0.2">
      <c r="A428" s="2" t="s">
        <v>31</v>
      </c>
      <c r="B428" s="5" t="s">
        <v>54</v>
      </c>
      <c r="C428" s="5"/>
      <c r="D428" s="5"/>
      <c r="E428" s="6" t="s">
        <v>33</v>
      </c>
      <c r="F428" s="6"/>
      <c r="G428" s="7" t="s">
        <v>965</v>
      </c>
      <c r="H428" s="7"/>
      <c r="I428" s="7"/>
      <c r="J428" s="3" t="s">
        <v>35</v>
      </c>
      <c r="K428" s="4" t="s">
        <v>1078</v>
      </c>
      <c r="L428" s="4" t="s">
        <v>37</v>
      </c>
      <c r="N428" s="7" t="s">
        <v>1079</v>
      </c>
      <c r="O428" s="7"/>
      <c r="P428" s="7" t="s">
        <v>1080</v>
      </c>
      <c r="Q428" s="7"/>
      <c r="R428" s="7"/>
      <c r="S428" s="3" t="s">
        <v>40</v>
      </c>
      <c r="T428" s="7" t="s">
        <v>41</v>
      </c>
      <c r="U428" s="7"/>
      <c r="V428" s="4" t="s">
        <v>42</v>
      </c>
      <c r="W428" s="4" t="s">
        <v>229</v>
      </c>
      <c r="X428" s="4" t="s">
        <v>446</v>
      </c>
      <c r="Y428" s="7" t="s">
        <v>135</v>
      </c>
      <c r="Z428" s="7"/>
      <c r="AA428" s="4" t="s">
        <v>46</v>
      </c>
      <c r="AB428" s="4" t="s">
        <v>47</v>
      </c>
      <c r="AC428" s="4" t="s">
        <v>136</v>
      </c>
      <c r="AD428" s="4" t="s">
        <v>137</v>
      </c>
      <c r="AE428" s="4" t="s">
        <v>48</v>
      </c>
      <c r="AF428" s="4" t="s">
        <v>41</v>
      </c>
      <c r="AG428" s="4" t="s">
        <v>968</v>
      </c>
    </row>
    <row r="429" spans="1:33" ht="16.5" customHeight="1" x14ac:dyDescent="0.2">
      <c r="A429" s="2" t="s">
        <v>31</v>
      </c>
      <c r="B429" s="5" t="s">
        <v>54</v>
      </c>
      <c r="C429" s="5"/>
      <c r="D429" s="5"/>
      <c r="E429" s="6" t="s">
        <v>33</v>
      </c>
      <c r="F429" s="6"/>
      <c r="G429" s="7" t="s">
        <v>965</v>
      </c>
      <c r="H429" s="7"/>
      <c r="I429" s="7"/>
      <c r="J429" s="3" t="s">
        <v>35</v>
      </c>
      <c r="K429" s="4" t="s">
        <v>248</v>
      </c>
      <c r="L429" s="4" t="s">
        <v>93</v>
      </c>
      <c r="N429" s="7" t="s">
        <v>1081</v>
      </c>
      <c r="O429" s="7"/>
      <c r="P429" s="7" t="s">
        <v>1082</v>
      </c>
      <c r="Q429" s="7"/>
      <c r="R429" s="7"/>
      <c r="S429" s="3" t="s">
        <v>40</v>
      </c>
      <c r="T429" s="7" t="s">
        <v>41</v>
      </c>
      <c r="U429" s="7"/>
      <c r="V429" s="4" t="s">
        <v>42</v>
      </c>
      <c r="W429" s="4" t="s">
        <v>68</v>
      </c>
      <c r="X429" s="4" t="s">
        <v>69</v>
      </c>
      <c r="Y429" s="7" t="s">
        <v>60</v>
      </c>
      <c r="Z429" s="7"/>
      <c r="AA429" s="4" t="s">
        <v>46</v>
      </c>
      <c r="AB429" s="4" t="s">
        <v>47</v>
      </c>
      <c r="AC429" s="4" t="s">
        <v>72</v>
      </c>
      <c r="AD429" s="4" t="s">
        <v>41</v>
      </c>
      <c r="AE429" s="4" t="s">
        <v>48</v>
      </c>
      <c r="AF429" s="4" t="s">
        <v>41</v>
      </c>
      <c r="AG429" s="4" t="s">
        <v>968</v>
      </c>
    </row>
    <row r="430" spans="1:33" ht="16.5" customHeight="1" x14ac:dyDescent="0.2">
      <c r="A430" s="2" t="s">
        <v>31</v>
      </c>
      <c r="B430" s="5" t="s">
        <v>54</v>
      </c>
      <c r="C430" s="5"/>
      <c r="D430" s="5"/>
      <c r="E430" s="6" t="s">
        <v>33</v>
      </c>
      <c r="F430" s="6"/>
      <c r="G430" s="7" t="s">
        <v>965</v>
      </c>
      <c r="H430" s="7"/>
      <c r="I430" s="7"/>
      <c r="J430" s="3" t="s">
        <v>35</v>
      </c>
      <c r="K430" s="4" t="s">
        <v>92</v>
      </c>
      <c r="L430" s="4" t="s">
        <v>280</v>
      </c>
      <c r="N430" s="7" t="s">
        <v>1083</v>
      </c>
      <c r="O430" s="7"/>
      <c r="P430" s="7" t="s">
        <v>1084</v>
      </c>
      <c r="Q430" s="7"/>
      <c r="R430" s="7"/>
      <c r="S430" s="3" t="s">
        <v>40</v>
      </c>
      <c r="T430" s="7" t="s">
        <v>41</v>
      </c>
      <c r="U430" s="7"/>
      <c r="V430" s="4" t="s">
        <v>42</v>
      </c>
      <c r="W430" s="4" t="s">
        <v>58</v>
      </c>
      <c r="X430" s="4" t="s">
        <v>59</v>
      </c>
      <c r="Y430" s="7" t="s">
        <v>78</v>
      </c>
      <c r="Z430" s="7"/>
      <c r="AA430" s="4" t="s">
        <v>46</v>
      </c>
      <c r="AB430" s="4" t="s">
        <v>47</v>
      </c>
      <c r="AC430" s="4" t="s">
        <v>79</v>
      </c>
      <c r="AD430" s="4" t="s">
        <v>285</v>
      </c>
      <c r="AE430" s="4" t="s">
        <v>48</v>
      </c>
      <c r="AF430" s="4" t="s">
        <v>41</v>
      </c>
      <c r="AG430" s="4" t="s">
        <v>968</v>
      </c>
    </row>
    <row r="431" spans="1:33" ht="16.5" customHeight="1" x14ac:dyDescent="0.2">
      <c r="A431" s="2" t="s">
        <v>31</v>
      </c>
      <c r="B431" s="5" t="s">
        <v>54</v>
      </c>
      <c r="C431" s="5"/>
      <c r="D431" s="5"/>
      <c r="E431" s="6" t="s">
        <v>33</v>
      </c>
      <c r="F431" s="6"/>
      <c r="G431" s="7" t="s">
        <v>965</v>
      </c>
      <c r="H431" s="7"/>
      <c r="I431" s="7"/>
      <c r="J431" s="3" t="s">
        <v>35</v>
      </c>
      <c r="K431" s="4" t="s">
        <v>149</v>
      </c>
      <c r="L431" s="4" t="s">
        <v>37</v>
      </c>
      <c r="N431" s="7" t="s">
        <v>1085</v>
      </c>
      <c r="O431" s="7"/>
      <c r="P431" s="7" t="s">
        <v>1086</v>
      </c>
      <c r="Q431" s="7"/>
      <c r="R431" s="7"/>
      <c r="S431" s="3" t="s">
        <v>40</v>
      </c>
      <c r="T431" s="7" t="s">
        <v>41</v>
      </c>
      <c r="U431" s="7"/>
      <c r="V431" s="4" t="s">
        <v>42</v>
      </c>
      <c r="W431" s="4" t="s">
        <v>212</v>
      </c>
      <c r="X431" s="4" t="s">
        <v>1087</v>
      </c>
      <c r="Y431" s="7" t="s">
        <v>78</v>
      </c>
      <c r="Z431" s="7"/>
      <c r="AA431" s="4" t="s">
        <v>46</v>
      </c>
      <c r="AB431" s="4" t="s">
        <v>47</v>
      </c>
      <c r="AC431" s="4" t="s">
        <v>136</v>
      </c>
      <c r="AD431" s="4" t="s">
        <v>137</v>
      </c>
      <c r="AE431" s="4" t="s">
        <v>48</v>
      </c>
      <c r="AF431" s="4" t="s">
        <v>41</v>
      </c>
      <c r="AG431" s="4" t="s">
        <v>968</v>
      </c>
    </row>
    <row r="432" spans="1:33" ht="16.5" customHeight="1" x14ac:dyDescent="0.2">
      <c r="A432" s="2" t="s">
        <v>31</v>
      </c>
      <c r="B432" s="5" t="s">
        <v>54</v>
      </c>
      <c r="C432" s="5"/>
      <c r="D432" s="5"/>
      <c r="E432" s="6" t="s">
        <v>33</v>
      </c>
      <c r="F432" s="6"/>
      <c r="G432" s="7" t="s">
        <v>965</v>
      </c>
      <c r="H432" s="7"/>
      <c r="I432" s="7"/>
      <c r="J432" s="3" t="s">
        <v>35</v>
      </c>
      <c r="K432" s="4" t="s">
        <v>149</v>
      </c>
      <c r="L432" s="4" t="s">
        <v>37</v>
      </c>
      <c r="N432" s="7" t="s">
        <v>1088</v>
      </c>
      <c r="O432" s="7"/>
      <c r="P432" s="7" t="s">
        <v>1089</v>
      </c>
      <c r="Q432" s="7"/>
      <c r="R432" s="7"/>
      <c r="S432" s="3" t="s">
        <v>40</v>
      </c>
      <c r="T432" s="7" t="s">
        <v>41</v>
      </c>
      <c r="U432" s="7"/>
      <c r="V432" s="4" t="s">
        <v>42</v>
      </c>
      <c r="W432" s="4" t="s">
        <v>291</v>
      </c>
      <c r="X432" s="4" t="s">
        <v>292</v>
      </c>
      <c r="Y432" s="7" t="s">
        <v>78</v>
      </c>
      <c r="Z432" s="7"/>
      <c r="AA432" s="4" t="s">
        <v>46</v>
      </c>
      <c r="AB432" s="4" t="s">
        <v>47</v>
      </c>
      <c r="AC432" s="4" t="s">
        <v>136</v>
      </c>
      <c r="AD432" s="4" t="s">
        <v>137</v>
      </c>
      <c r="AE432" s="4" t="s">
        <v>48</v>
      </c>
      <c r="AF432" s="4" t="s">
        <v>41</v>
      </c>
      <c r="AG432" s="4" t="s">
        <v>968</v>
      </c>
    </row>
    <row r="433" spans="1:33" ht="16.5" customHeight="1" x14ac:dyDescent="0.2">
      <c r="A433" s="2" t="s">
        <v>31</v>
      </c>
      <c r="B433" s="5" t="s">
        <v>54</v>
      </c>
      <c r="C433" s="5"/>
      <c r="D433" s="5"/>
      <c r="E433" s="6" t="s">
        <v>33</v>
      </c>
      <c r="F433" s="6"/>
      <c r="G433" s="7" t="s">
        <v>965</v>
      </c>
      <c r="H433" s="7"/>
      <c r="I433" s="7"/>
      <c r="J433" s="3" t="s">
        <v>35</v>
      </c>
      <c r="K433" s="4" t="s">
        <v>248</v>
      </c>
      <c r="L433" s="4" t="s">
        <v>37</v>
      </c>
      <c r="N433" s="7" t="s">
        <v>1090</v>
      </c>
      <c r="O433" s="7"/>
      <c r="P433" s="7" t="s">
        <v>1091</v>
      </c>
      <c r="Q433" s="7"/>
      <c r="R433" s="7"/>
      <c r="S433" s="3" t="s">
        <v>40</v>
      </c>
      <c r="T433" s="7" t="s">
        <v>41</v>
      </c>
      <c r="U433" s="7"/>
      <c r="V433" s="4" t="s">
        <v>42</v>
      </c>
      <c r="W433" s="4" t="s">
        <v>288</v>
      </c>
      <c r="X433" s="4" t="s">
        <v>213</v>
      </c>
      <c r="Y433" s="7" t="s">
        <v>60</v>
      </c>
      <c r="Z433" s="7"/>
      <c r="AA433" s="4" t="s">
        <v>46</v>
      </c>
      <c r="AB433" s="4" t="s">
        <v>47</v>
      </c>
      <c r="AC433" s="4" t="s">
        <v>79</v>
      </c>
      <c r="AD433" s="4" t="s">
        <v>80</v>
      </c>
      <c r="AE433" s="4" t="s">
        <v>48</v>
      </c>
      <c r="AF433" s="4" t="s">
        <v>41</v>
      </c>
      <c r="AG433" s="4" t="s">
        <v>968</v>
      </c>
    </row>
    <row r="434" spans="1:33" ht="16.5" customHeight="1" x14ac:dyDescent="0.2">
      <c r="A434" s="2" t="s">
        <v>31</v>
      </c>
      <c r="B434" s="5" t="s">
        <v>54</v>
      </c>
      <c r="C434" s="5"/>
      <c r="D434" s="5"/>
      <c r="E434" s="6" t="s">
        <v>33</v>
      </c>
      <c r="F434" s="6"/>
      <c r="G434" s="7" t="s">
        <v>965</v>
      </c>
      <c r="H434" s="7"/>
      <c r="I434" s="7"/>
      <c r="J434" s="3" t="s">
        <v>35</v>
      </c>
      <c r="K434" s="4" t="s">
        <v>149</v>
      </c>
      <c r="L434" s="4" t="s">
        <v>93</v>
      </c>
      <c r="N434" s="7" t="s">
        <v>1092</v>
      </c>
      <c r="O434" s="7"/>
      <c r="P434" s="7" t="s">
        <v>1093</v>
      </c>
      <c r="Q434" s="7"/>
      <c r="R434" s="7"/>
      <c r="S434" s="3" t="s">
        <v>40</v>
      </c>
      <c r="T434" s="7" t="s">
        <v>41</v>
      </c>
      <c r="U434" s="7"/>
      <c r="V434" s="4" t="s">
        <v>42</v>
      </c>
      <c r="W434" s="4" t="s">
        <v>200</v>
      </c>
      <c r="X434" s="4" t="s">
        <v>201</v>
      </c>
      <c r="Y434" s="7" t="s">
        <v>78</v>
      </c>
      <c r="Z434" s="7"/>
      <c r="AA434" s="4" t="s">
        <v>46</v>
      </c>
      <c r="AB434" s="4" t="s">
        <v>47</v>
      </c>
      <c r="AC434" s="4" t="s">
        <v>136</v>
      </c>
      <c r="AD434" s="4" t="s">
        <v>148</v>
      </c>
      <c r="AE434" s="4" t="s">
        <v>48</v>
      </c>
      <c r="AF434" s="4" t="s">
        <v>41</v>
      </c>
      <c r="AG434" s="4" t="s">
        <v>968</v>
      </c>
    </row>
    <row r="435" spans="1:33" ht="16.5" customHeight="1" x14ac:dyDescent="0.2">
      <c r="A435" s="2" t="s">
        <v>31</v>
      </c>
      <c r="B435" s="5" t="s">
        <v>54</v>
      </c>
      <c r="C435" s="5"/>
      <c r="D435" s="5"/>
      <c r="E435" s="6" t="s">
        <v>33</v>
      </c>
      <c r="F435" s="6"/>
      <c r="G435" s="7" t="s">
        <v>965</v>
      </c>
      <c r="H435" s="7"/>
      <c r="I435" s="7"/>
      <c r="J435" s="3" t="s">
        <v>35</v>
      </c>
      <c r="K435" s="4" t="s">
        <v>149</v>
      </c>
      <c r="L435" s="4" t="s">
        <v>93</v>
      </c>
      <c r="N435" s="7" t="s">
        <v>1094</v>
      </c>
      <c r="O435" s="7"/>
      <c r="P435" s="7" t="s">
        <v>1095</v>
      </c>
      <c r="Q435" s="7"/>
      <c r="R435" s="7"/>
      <c r="S435" s="3" t="s">
        <v>40</v>
      </c>
      <c r="T435" s="7" t="s">
        <v>41</v>
      </c>
      <c r="U435" s="7"/>
      <c r="V435" s="4" t="s">
        <v>42</v>
      </c>
      <c r="W435" s="4" t="s">
        <v>200</v>
      </c>
      <c r="X435" s="4" t="s">
        <v>201</v>
      </c>
      <c r="Y435" s="7" t="s">
        <v>78</v>
      </c>
      <c r="Z435" s="7"/>
      <c r="AA435" s="4" t="s">
        <v>46</v>
      </c>
      <c r="AB435" s="4" t="s">
        <v>47</v>
      </c>
      <c r="AC435" s="4" t="s">
        <v>136</v>
      </c>
      <c r="AD435" s="4" t="s">
        <v>148</v>
      </c>
      <c r="AE435" s="4" t="s">
        <v>48</v>
      </c>
      <c r="AF435" s="4" t="s">
        <v>41</v>
      </c>
      <c r="AG435" s="4" t="s">
        <v>968</v>
      </c>
    </row>
    <row r="436" spans="1:33" ht="16.5" customHeight="1" x14ac:dyDescent="0.2">
      <c r="A436" s="2" t="s">
        <v>31</v>
      </c>
      <c r="B436" s="5" t="s">
        <v>54</v>
      </c>
      <c r="C436" s="5"/>
      <c r="D436" s="5"/>
      <c r="E436" s="6" t="s">
        <v>33</v>
      </c>
      <c r="F436" s="6"/>
      <c r="G436" s="7" t="s">
        <v>965</v>
      </c>
      <c r="H436" s="7"/>
      <c r="I436" s="7"/>
      <c r="J436" s="3" t="s">
        <v>35</v>
      </c>
      <c r="K436" s="4" t="s">
        <v>149</v>
      </c>
      <c r="L436" s="4" t="s">
        <v>37</v>
      </c>
      <c r="N436" s="7" t="s">
        <v>1096</v>
      </c>
      <c r="O436" s="7"/>
      <c r="P436" s="7" t="s">
        <v>1097</v>
      </c>
      <c r="Q436" s="7"/>
      <c r="R436" s="7"/>
      <c r="S436" s="3" t="s">
        <v>40</v>
      </c>
      <c r="T436" s="7" t="s">
        <v>41</v>
      </c>
      <c r="U436" s="7"/>
      <c r="V436" s="4" t="s">
        <v>42</v>
      </c>
      <c r="W436" s="4" t="s">
        <v>818</v>
      </c>
      <c r="X436" s="4" t="s">
        <v>789</v>
      </c>
      <c r="Y436" s="7" t="s">
        <v>78</v>
      </c>
      <c r="Z436" s="7"/>
      <c r="AA436" s="4" t="s">
        <v>46</v>
      </c>
      <c r="AB436" s="4" t="s">
        <v>47</v>
      </c>
      <c r="AC436" s="4" t="s">
        <v>136</v>
      </c>
      <c r="AD436" s="4" t="s">
        <v>137</v>
      </c>
      <c r="AE436" s="4" t="s">
        <v>48</v>
      </c>
      <c r="AF436" s="4" t="s">
        <v>41</v>
      </c>
      <c r="AG436" s="4" t="s">
        <v>968</v>
      </c>
    </row>
    <row r="437" spans="1:33" ht="16.5" customHeight="1" x14ac:dyDescent="0.2">
      <c r="A437" s="2" t="s">
        <v>31</v>
      </c>
      <c r="B437" s="5" t="s">
        <v>54</v>
      </c>
      <c r="C437" s="5"/>
      <c r="D437" s="5"/>
      <c r="E437" s="6" t="s">
        <v>33</v>
      </c>
      <c r="F437" s="6"/>
      <c r="G437" s="7" t="s">
        <v>965</v>
      </c>
      <c r="H437" s="7"/>
      <c r="I437" s="7"/>
      <c r="J437" s="3" t="s">
        <v>35</v>
      </c>
      <c r="K437" s="4" t="s">
        <v>409</v>
      </c>
      <c r="L437" s="4" t="s">
        <v>93</v>
      </c>
      <c r="N437" s="7" t="s">
        <v>1098</v>
      </c>
      <c r="O437" s="7"/>
      <c r="P437" s="7" t="s">
        <v>1099</v>
      </c>
      <c r="Q437" s="7"/>
      <c r="R437" s="7"/>
      <c r="S437" s="3" t="s">
        <v>40</v>
      </c>
      <c r="T437" s="7" t="s">
        <v>41</v>
      </c>
      <c r="U437" s="7"/>
      <c r="V437" s="4" t="s">
        <v>42</v>
      </c>
      <c r="W437" s="4" t="s">
        <v>825</v>
      </c>
      <c r="X437" s="4" t="s">
        <v>430</v>
      </c>
      <c r="Y437" s="7" t="s">
        <v>60</v>
      </c>
      <c r="Z437" s="7"/>
      <c r="AA437" s="4" t="s">
        <v>46</v>
      </c>
      <c r="AB437" s="4" t="s">
        <v>47</v>
      </c>
      <c r="AC437" s="4" t="s">
        <v>79</v>
      </c>
      <c r="AD437" s="4" t="s">
        <v>96</v>
      </c>
      <c r="AE437" s="4" t="s">
        <v>48</v>
      </c>
      <c r="AF437" s="4" t="s">
        <v>41</v>
      </c>
      <c r="AG437" s="4" t="s">
        <v>968</v>
      </c>
    </row>
    <row r="438" spans="1:33" ht="16.5" customHeight="1" x14ac:dyDescent="0.2">
      <c r="A438" s="2" t="s">
        <v>31</v>
      </c>
      <c r="B438" s="5" t="s">
        <v>54</v>
      </c>
      <c r="C438" s="5"/>
      <c r="D438" s="5"/>
      <c r="E438" s="6" t="s">
        <v>33</v>
      </c>
      <c r="F438" s="6"/>
      <c r="G438" s="7" t="s">
        <v>965</v>
      </c>
      <c r="H438" s="7"/>
      <c r="I438" s="7"/>
      <c r="J438" s="3" t="s">
        <v>35</v>
      </c>
      <c r="K438" s="4" t="s">
        <v>149</v>
      </c>
      <c r="L438" s="4" t="s">
        <v>37</v>
      </c>
      <c r="N438" s="7" t="s">
        <v>1100</v>
      </c>
      <c r="O438" s="7"/>
      <c r="P438" s="7" t="s">
        <v>1101</v>
      </c>
      <c r="Q438" s="7"/>
      <c r="R438" s="7"/>
      <c r="S438" s="3" t="s">
        <v>40</v>
      </c>
      <c r="T438" s="7" t="s">
        <v>41</v>
      </c>
      <c r="U438" s="7"/>
      <c r="V438" s="4" t="s">
        <v>42</v>
      </c>
      <c r="W438" s="4" t="s">
        <v>1102</v>
      </c>
      <c r="X438" s="4" t="s">
        <v>1103</v>
      </c>
      <c r="Y438" s="7" t="s">
        <v>78</v>
      </c>
      <c r="Z438" s="7"/>
      <c r="AA438" s="4" t="s">
        <v>46</v>
      </c>
      <c r="AB438" s="4" t="s">
        <v>47</v>
      </c>
      <c r="AC438" s="4" t="s">
        <v>136</v>
      </c>
      <c r="AD438" s="4" t="s">
        <v>137</v>
      </c>
      <c r="AE438" s="4" t="s">
        <v>48</v>
      </c>
      <c r="AF438" s="4" t="s">
        <v>41</v>
      </c>
      <c r="AG438" s="4" t="s">
        <v>968</v>
      </c>
    </row>
    <row r="439" spans="1:33" ht="16.5" customHeight="1" x14ac:dyDescent="0.2">
      <c r="A439" s="2" t="s">
        <v>31</v>
      </c>
      <c r="B439" s="5" t="s">
        <v>54</v>
      </c>
      <c r="C439" s="5"/>
      <c r="D439" s="5"/>
      <c r="E439" s="6" t="s">
        <v>33</v>
      </c>
      <c r="F439" s="6"/>
      <c r="G439" s="7" t="s">
        <v>965</v>
      </c>
      <c r="H439" s="7"/>
      <c r="I439" s="7"/>
      <c r="J439" s="3" t="s">
        <v>35</v>
      </c>
      <c r="K439" s="4" t="s">
        <v>143</v>
      </c>
      <c r="L439" s="4" t="s">
        <v>37</v>
      </c>
      <c r="N439" s="7" t="s">
        <v>1104</v>
      </c>
      <c r="O439" s="7"/>
      <c r="P439" s="7" t="s">
        <v>1105</v>
      </c>
      <c r="Q439" s="7"/>
      <c r="R439" s="7"/>
      <c r="S439" s="3" t="s">
        <v>40</v>
      </c>
      <c r="T439" s="7" t="s">
        <v>41</v>
      </c>
      <c r="U439" s="7"/>
      <c r="V439" s="4" t="s">
        <v>42</v>
      </c>
      <c r="W439" s="4" t="s">
        <v>1106</v>
      </c>
      <c r="X439" s="4" t="s">
        <v>1107</v>
      </c>
      <c r="Y439" s="7" t="s">
        <v>135</v>
      </c>
      <c r="Z439" s="7"/>
      <c r="AA439" s="4" t="s">
        <v>46</v>
      </c>
      <c r="AB439" s="4" t="s">
        <v>47</v>
      </c>
      <c r="AC439" s="4" t="s">
        <v>136</v>
      </c>
      <c r="AD439" s="4" t="s">
        <v>137</v>
      </c>
      <c r="AE439" s="4" t="s">
        <v>48</v>
      </c>
      <c r="AF439" s="4" t="s">
        <v>41</v>
      </c>
      <c r="AG439" s="4" t="s">
        <v>968</v>
      </c>
    </row>
    <row r="440" spans="1:33" ht="16.5" customHeight="1" x14ac:dyDescent="0.2">
      <c r="A440" s="2" t="s">
        <v>31</v>
      </c>
      <c r="B440" s="5" t="s">
        <v>54</v>
      </c>
      <c r="C440" s="5"/>
      <c r="D440" s="5"/>
      <c r="E440" s="6" t="s">
        <v>33</v>
      </c>
      <c r="F440" s="6"/>
      <c r="G440" s="7" t="s">
        <v>965</v>
      </c>
      <c r="H440" s="7"/>
      <c r="I440" s="7"/>
      <c r="J440" s="3" t="s">
        <v>35</v>
      </c>
      <c r="K440" s="4" t="s">
        <v>143</v>
      </c>
      <c r="L440" s="4" t="s">
        <v>37</v>
      </c>
      <c r="N440" s="7" t="s">
        <v>1108</v>
      </c>
      <c r="O440" s="7"/>
      <c r="P440" s="7" t="s">
        <v>1109</v>
      </c>
      <c r="Q440" s="7"/>
      <c r="R440" s="7"/>
      <c r="S440" s="3" t="s">
        <v>40</v>
      </c>
      <c r="T440" s="7" t="s">
        <v>41</v>
      </c>
      <c r="U440" s="7"/>
      <c r="V440" s="4" t="s">
        <v>42</v>
      </c>
      <c r="W440" s="4" t="s">
        <v>43</v>
      </c>
      <c r="X440" s="4" t="s">
        <v>44</v>
      </c>
      <c r="Y440" s="7" t="s">
        <v>135</v>
      </c>
      <c r="Z440" s="7"/>
      <c r="AA440" s="4" t="s">
        <v>46</v>
      </c>
      <c r="AB440" s="4" t="s">
        <v>47</v>
      </c>
      <c r="AC440" s="4" t="s">
        <v>136</v>
      </c>
      <c r="AD440" s="4" t="s">
        <v>137</v>
      </c>
      <c r="AE440" s="4" t="s">
        <v>48</v>
      </c>
      <c r="AF440" s="4" t="s">
        <v>41</v>
      </c>
      <c r="AG440" s="4" t="s">
        <v>968</v>
      </c>
    </row>
    <row r="441" spans="1:33" ht="16.5" customHeight="1" x14ac:dyDescent="0.2">
      <c r="A441" s="2" t="s">
        <v>31</v>
      </c>
      <c r="B441" s="5" t="s">
        <v>54</v>
      </c>
      <c r="C441" s="5"/>
      <c r="D441" s="5"/>
      <c r="E441" s="6" t="s">
        <v>33</v>
      </c>
      <c r="F441" s="6"/>
      <c r="G441" s="7" t="s">
        <v>965</v>
      </c>
      <c r="H441" s="7"/>
      <c r="I441" s="7"/>
      <c r="J441" s="3" t="s">
        <v>35</v>
      </c>
      <c r="K441" s="4" t="s">
        <v>73</v>
      </c>
      <c r="L441" s="4" t="s">
        <v>37</v>
      </c>
      <c r="N441" s="7" t="s">
        <v>1110</v>
      </c>
      <c r="O441" s="7"/>
      <c r="P441" s="7" t="s">
        <v>1111</v>
      </c>
      <c r="Q441" s="7"/>
      <c r="R441" s="7"/>
      <c r="S441" s="3" t="s">
        <v>40</v>
      </c>
      <c r="T441" s="7" t="s">
        <v>41</v>
      </c>
      <c r="U441" s="7"/>
      <c r="V441" s="4" t="s">
        <v>42</v>
      </c>
      <c r="W441" s="4" t="s">
        <v>43</v>
      </c>
      <c r="X441" s="4" t="s">
        <v>44</v>
      </c>
      <c r="Y441" s="7" t="s">
        <v>78</v>
      </c>
      <c r="Z441" s="7"/>
      <c r="AA441" s="4" t="s">
        <v>46</v>
      </c>
      <c r="AB441" s="4" t="s">
        <v>47</v>
      </c>
      <c r="AC441" s="4" t="s">
        <v>136</v>
      </c>
      <c r="AD441" s="4" t="s">
        <v>137</v>
      </c>
      <c r="AE441" s="4" t="s">
        <v>48</v>
      </c>
      <c r="AF441" s="4" t="s">
        <v>41</v>
      </c>
      <c r="AG441" s="4" t="s">
        <v>968</v>
      </c>
    </row>
    <row r="442" spans="1:33" ht="16.5" customHeight="1" x14ac:dyDescent="0.2">
      <c r="A442" s="2" t="s">
        <v>31</v>
      </c>
      <c r="B442" s="5" t="s">
        <v>54</v>
      </c>
      <c r="C442" s="5"/>
      <c r="D442" s="5"/>
      <c r="E442" s="6" t="s">
        <v>33</v>
      </c>
      <c r="F442" s="6"/>
      <c r="G442" s="7" t="s">
        <v>965</v>
      </c>
      <c r="H442" s="7"/>
      <c r="I442" s="7"/>
      <c r="J442" s="3" t="s">
        <v>35</v>
      </c>
      <c r="K442" s="4" t="s">
        <v>149</v>
      </c>
      <c r="L442" s="4" t="s">
        <v>93</v>
      </c>
      <c r="N442" s="7" t="s">
        <v>1112</v>
      </c>
      <c r="O442" s="7"/>
      <c r="P442" s="7" t="s">
        <v>1113</v>
      </c>
      <c r="Q442" s="7"/>
      <c r="R442" s="7"/>
      <c r="S442" s="3" t="s">
        <v>40</v>
      </c>
      <c r="T442" s="7" t="s">
        <v>41</v>
      </c>
      <c r="U442" s="7"/>
      <c r="V442" s="4" t="s">
        <v>42</v>
      </c>
      <c r="W442" s="4" t="s">
        <v>43</v>
      </c>
      <c r="X442" s="4" t="s">
        <v>44</v>
      </c>
      <c r="Y442" s="7" t="s">
        <v>78</v>
      </c>
      <c r="Z442" s="7"/>
      <c r="AA442" s="4" t="s">
        <v>46</v>
      </c>
      <c r="AB442" s="4" t="s">
        <v>47</v>
      </c>
      <c r="AC442" s="4" t="s">
        <v>136</v>
      </c>
      <c r="AD442" s="4" t="s">
        <v>148</v>
      </c>
      <c r="AE442" s="4" t="s">
        <v>48</v>
      </c>
      <c r="AF442" s="4" t="s">
        <v>41</v>
      </c>
      <c r="AG442" s="4" t="s">
        <v>968</v>
      </c>
    </row>
    <row r="443" spans="1:33" ht="16.5" customHeight="1" x14ac:dyDescent="0.2">
      <c r="A443" s="2" t="s">
        <v>31</v>
      </c>
      <c r="B443" s="5" t="s">
        <v>54</v>
      </c>
      <c r="C443" s="5"/>
      <c r="D443" s="5"/>
      <c r="E443" s="6" t="s">
        <v>33</v>
      </c>
      <c r="F443" s="6"/>
      <c r="G443" s="7" t="s">
        <v>965</v>
      </c>
      <c r="H443" s="7"/>
      <c r="I443" s="7"/>
      <c r="J443" s="3" t="s">
        <v>35</v>
      </c>
      <c r="K443" s="4" t="s">
        <v>149</v>
      </c>
      <c r="L443" s="4" t="s">
        <v>443</v>
      </c>
      <c r="N443" s="7" t="s">
        <v>1114</v>
      </c>
      <c r="O443" s="7"/>
      <c r="P443" s="7" t="s">
        <v>1115</v>
      </c>
      <c r="Q443" s="7"/>
      <c r="R443" s="7"/>
      <c r="S443" s="3" t="s">
        <v>40</v>
      </c>
      <c r="T443" s="7" t="s">
        <v>41</v>
      </c>
      <c r="U443" s="7"/>
      <c r="V443" s="4" t="s">
        <v>42</v>
      </c>
      <c r="W443" s="4" t="s">
        <v>43</v>
      </c>
      <c r="X443" s="4" t="s">
        <v>44</v>
      </c>
      <c r="Y443" s="7" t="s">
        <v>78</v>
      </c>
      <c r="Z443" s="7"/>
      <c r="AA443" s="4" t="s">
        <v>46</v>
      </c>
      <c r="AB443" s="4" t="s">
        <v>47</v>
      </c>
      <c r="AC443" s="4" t="s">
        <v>136</v>
      </c>
      <c r="AD443" s="4" t="s">
        <v>464</v>
      </c>
      <c r="AE443" s="4" t="s">
        <v>48</v>
      </c>
      <c r="AF443" s="4" t="s">
        <v>41</v>
      </c>
      <c r="AG443" s="4" t="s">
        <v>968</v>
      </c>
    </row>
    <row r="444" spans="1:33" ht="16.5" customHeight="1" x14ac:dyDescent="0.2">
      <c r="A444" s="2" t="s">
        <v>31</v>
      </c>
      <c r="B444" s="5" t="s">
        <v>54</v>
      </c>
      <c r="C444" s="5"/>
      <c r="D444" s="5"/>
      <c r="E444" s="6" t="s">
        <v>33</v>
      </c>
      <c r="F444" s="6"/>
      <c r="G444" s="7" t="s">
        <v>965</v>
      </c>
      <c r="H444" s="7"/>
      <c r="I444" s="7"/>
      <c r="J444" s="3" t="s">
        <v>35</v>
      </c>
      <c r="K444" s="4" t="s">
        <v>149</v>
      </c>
      <c r="L444" s="4" t="s">
        <v>37</v>
      </c>
      <c r="N444" s="7" t="s">
        <v>1116</v>
      </c>
      <c r="O444" s="7"/>
      <c r="P444" s="7" t="s">
        <v>1117</v>
      </c>
      <c r="Q444" s="7"/>
      <c r="R444" s="7"/>
      <c r="S444" s="3" t="s">
        <v>40</v>
      </c>
      <c r="T444" s="7" t="s">
        <v>41</v>
      </c>
      <c r="U444" s="7"/>
      <c r="V444" s="4" t="s">
        <v>42</v>
      </c>
      <c r="W444" s="4" t="s">
        <v>43</v>
      </c>
      <c r="X444" s="4" t="s">
        <v>44</v>
      </c>
      <c r="Y444" s="7" t="s">
        <v>78</v>
      </c>
      <c r="Z444" s="7"/>
      <c r="AA444" s="4" t="s">
        <v>46</v>
      </c>
      <c r="AB444" s="4" t="s">
        <v>47</v>
      </c>
      <c r="AC444" s="4" t="s">
        <v>136</v>
      </c>
      <c r="AD444" s="4" t="s">
        <v>137</v>
      </c>
      <c r="AE444" s="4" t="s">
        <v>48</v>
      </c>
      <c r="AF444" s="4" t="s">
        <v>41</v>
      </c>
      <c r="AG444" s="4" t="s">
        <v>968</v>
      </c>
    </row>
    <row r="445" spans="1:33" ht="16.5" customHeight="1" x14ac:dyDescent="0.2">
      <c r="A445" s="2" t="s">
        <v>31</v>
      </c>
      <c r="B445" s="5" t="s">
        <v>54</v>
      </c>
      <c r="C445" s="5"/>
      <c r="D445" s="5"/>
      <c r="E445" s="6" t="s">
        <v>33</v>
      </c>
      <c r="F445" s="6"/>
      <c r="G445" s="7" t="s">
        <v>965</v>
      </c>
      <c r="H445" s="7"/>
      <c r="I445" s="7"/>
      <c r="J445" s="3" t="s">
        <v>35</v>
      </c>
      <c r="K445" s="4" t="s">
        <v>55</v>
      </c>
      <c r="L445" s="4" t="s">
        <v>93</v>
      </c>
      <c r="N445" s="7" t="s">
        <v>1118</v>
      </c>
      <c r="O445" s="7"/>
      <c r="P445" s="7" t="s">
        <v>1119</v>
      </c>
      <c r="Q445" s="7"/>
      <c r="R445" s="7"/>
      <c r="S445" s="3" t="s">
        <v>40</v>
      </c>
      <c r="T445" s="7" t="s">
        <v>41</v>
      </c>
      <c r="U445" s="7"/>
      <c r="V445" s="4" t="s">
        <v>42</v>
      </c>
      <c r="W445" s="4" t="s">
        <v>43</v>
      </c>
      <c r="X445" s="4" t="s">
        <v>44</v>
      </c>
      <c r="Y445" s="7" t="s">
        <v>60</v>
      </c>
      <c r="Z445" s="7"/>
      <c r="AA445" s="4" t="s">
        <v>46</v>
      </c>
      <c r="AB445" s="4" t="s">
        <v>47</v>
      </c>
      <c r="AC445" s="4" t="s">
        <v>79</v>
      </c>
      <c r="AD445" s="4" t="s">
        <v>96</v>
      </c>
      <c r="AE445" s="4" t="s">
        <v>48</v>
      </c>
      <c r="AF445" s="4" t="s">
        <v>41</v>
      </c>
      <c r="AG445" s="4" t="s">
        <v>968</v>
      </c>
    </row>
    <row r="446" spans="1:33" ht="16.5" customHeight="1" x14ac:dyDescent="0.2">
      <c r="A446" s="2" t="s">
        <v>31</v>
      </c>
      <c r="B446" s="5" t="s">
        <v>54</v>
      </c>
      <c r="C446" s="5"/>
      <c r="D446" s="5"/>
      <c r="E446" s="6" t="s">
        <v>33</v>
      </c>
      <c r="F446" s="6"/>
      <c r="G446" s="7" t="s">
        <v>965</v>
      </c>
      <c r="H446" s="7"/>
      <c r="I446" s="7"/>
      <c r="J446" s="3" t="s">
        <v>35</v>
      </c>
      <c r="K446" s="4" t="s">
        <v>409</v>
      </c>
      <c r="L446" s="4" t="s">
        <v>37</v>
      </c>
      <c r="N446" s="7" t="s">
        <v>1120</v>
      </c>
      <c r="O446" s="7"/>
      <c r="P446" s="7" t="s">
        <v>1121</v>
      </c>
      <c r="Q446" s="7"/>
      <c r="R446" s="7"/>
      <c r="S446" s="3" t="s">
        <v>40</v>
      </c>
      <c r="T446" s="7" t="s">
        <v>41</v>
      </c>
      <c r="U446" s="7"/>
      <c r="V446" s="4" t="s">
        <v>42</v>
      </c>
      <c r="W446" s="4" t="s">
        <v>43</v>
      </c>
      <c r="X446" s="4" t="s">
        <v>44</v>
      </c>
      <c r="Y446" s="7" t="s">
        <v>60</v>
      </c>
      <c r="Z446" s="7"/>
      <c r="AA446" s="4" t="s">
        <v>46</v>
      </c>
      <c r="AB446" s="4" t="s">
        <v>47</v>
      </c>
      <c r="AC446" s="4" t="s">
        <v>79</v>
      </c>
      <c r="AD446" s="4" t="s">
        <v>80</v>
      </c>
      <c r="AE446" s="4" t="s">
        <v>48</v>
      </c>
      <c r="AF446" s="4" t="s">
        <v>41</v>
      </c>
      <c r="AG446" s="4" t="s">
        <v>968</v>
      </c>
    </row>
    <row r="447" spans="1:33" ht="16.5" customHeight="1" x14ac:dyDescent="0.2">
      <c r="A447" s="2" t="s">
        <v>31</v>
      </c>
      <c r="B447" s="5" t="s">
        <v>54</v>
      </c>
      <c r="C447" s="5"/>
      <c r="D447" s="5"/>
      <c r="E447" s="6" t="s">
        <v>33</v>
      </c>
      <c r="F447" s="6"/>
      <c r="G447" s="7" t="s">
        <v>965</v>
      </c>
      <c r="H447" s="7"/>
      <c r="I447" s="7"/>
      <c r="J447" s="3" t="s">
        <v>35</v>
      </c>
      <c r="K447" s="4" t="s">
        <v>97</v>
      </c>
      <c r="L447" s="4" t="s">
        <v>37</v>
      </c>
      <c r="N447" s="7" t="s">
        <v>1122</v>
      </c>
      <c r="O447" s="7"/>
      <c r="P447" s="7" t="s">
        <v>1123</v>
      </c>
      <c r="Q447" s="7"/>
      <c r="R447" s="7"/>
      <c r="S447" s="3" t="s">
        <v>40</v>
      </c>
      <c r="T447" s="7" t="s">
        <v>41</v>
      </c>
      <c r="U447" s="7"/>
      <c r="V447" s="4" t="s">
        <v>42</v>
      </c>
      <c r="W447" s="4" t="s">
        <v>43</v>
      </c>
      <c r="X447" s="4" t="s">
        <v>44</v>
      </c>
      <c r="Y447" s="7" t="s">
        <v>78</v>
      </c>
      <c r="Z447" s="7"/>
      <c r="AA447" s="4" t="s">
        <v>46</v>
      </c>
      <c r="AB447" s="4" t="s">
        <v>47</v>
      </c>
      <c r="AC447" s="4" t="s">
        <v>136</v>
      </c>
      <c r="AD447" s="4" t="s">
        <v>137</v>
      </c>
      <c r="AE447" s="4" t="s">
        <v>48</v>
      </c>
      <c r="AF447" s="4" t="s">
        <v>41</v>
      </c>
      <c r="AG447" s="4" t="s">
        <v>968</v>
      </c>
    </row>
    <row r="448" spans="1:33" ht="16.5" customHeight="1" x14ac:dyDescent="0.2">
      <c r="A448" s="2" t="s">
        <v>31</v>
      </c>
      <c r="B448" s="5" t="s">
        <v>54</v>
      </c>
      <c r="C448" s="5"/>
      <c r="D448" s="5"/>
      <c r="E448" s="6" t="s">
        <v>33</v>
      </c>
      <c r="F448" s="6"/>
      <c r="G448" s="7" t="s">
        <v>965</v>
      </c>
      <c r="H448" s="7"/>
      <c r="I448" s="7"/>
      <c r="J448" s="3" t="s">
        <v>35</v>
      </c>
      <c r="K448" s="4" t="s">
        <v>149</v>
      </c>
      <c r="L448" s="4" t="s">
        <v>37</v>
      </c>
      <c r="N448" s="7" t="s">
        <v>1124</v>
      </c>
      <c r="O448" s="7"/>
      <c r="P448" s="7" t="s">
        <v>1125</v>
      </c>
      <c r="Q448" s="7"/>
      <c r="R448" s="7"/>
      <c r="S448" s="3" t="s">
        <v>40</v>
      </c>
      <c r="T448" s="7" t="s">
        <v>41</v>
      </c>
      <c r="U448" s="7"/>
      <c r="V448" s="4" t="s">
        <v>42</v>
      </c>
      <c r="W448" s="4" t="s">
        <v>43</v>
      </c>
      <c r="X448" s="4" t="s">
        <v>44</v>
      </c>
      <c r="Y448" s="7" t="s">
        <v>78</v>
      </c>
      <c r="Z448" s="7"/>
      <c r="AA448" s="4" t="s">
        <v>46</v>
      </c>
      <c r="AB448" s="4" t="s">
        <v>47</v>
      </c>
      <c r="AC448" s="4" t="s">
        <v>136</v>
      </c>
      <c r="AD448" s="4" t="s">
        <v>137</v>
      </c>
      <c r="AE448" s="4" t="s">
        <v>48</v>
      </c>
      <c r="AF448" s="4" t="s">
        <v>41</v>
      </c>
      <c r="AG448" s="4" t="s">
        <v>968</v>
      </c>
    </row>
    <row r="449" spans="1:33" ht="16.5" customHeight="1" x14ac:dyDescent="0.2">
      <c r="A449" s="2" t="s">
        <v>31</v>
      </c>
      <c r="B449" s="5" t="s">
        <v>54</v>
      </c>
      <c r="C449" s="5"/>
      <c r="D449" s="5"/>
      <c r="E449" s="6" t="s">
        <v>33</v>
      </c>
      <c r="F449" s="6"/>
      <c r="G449" s="7" t="s">
        <v>965</v>
      </c>
      <c r="H449" s="7"/>
      <c r="I449" s="7"/>
      <c r="J449" s="3" t="s">
        <v>35</v>
      </c>
      <c r="K449" s="4" t="s">
        <v>97</v>
      </c>
      <c r="L449" s="4" t="s">
        <v>37</v>
      </c>
      <c r="N449" s="7" t="s">
        <v>1126</v>
      </c>
      <c r="O449" s="7"/>
      <c r="P449" s="7" t="s">
        <v>1127</v>
      </c>
      <c r="Q449" s="7"/>
      <c r="R449" s="7"/>
      <c r="S449" s="3" t="s">
        <v>40</v>
      </c>
      <c r="T449" s="7" t="s">
        <v>41</v>
      </c>
      <c r="U449" s="7"/>
      <c r="V449" s="4" t="s">
        <v>42</v>
      </c>
      <c r="W449" s="4" t="s">
        <v>337</v>
      </c>
      <c r="X449" s="4" t="s">
        <v>338</v>
      </c>
      <c r="Y449" s="7" t="s">
        <v>78</v>
      </c>
      <c r="Z449" s="7"/>
      <c r="AA449" s="4" t="s">
        <v>46</v>
      </c>
      <c r="AB449" s="4" t="s">
        <v>47</v>
      </c>
      <c r="AC449" s="4" t="s">
        <v>136</v>
      </c>
      <c r="AD449" s="4" t="s">
        <v>137</v>
      </c>
      <c r="AE449" s="4" t="s">
        <v>48</v>
      </c>
      <c r="AF449" s="4" t="s">
        <v>41</v>
      </c>
      <c r="AG449" s="4" t="s">
        <v>968</v>
      </c>
    </row>
    <row r="450" spans="1:33" ht="16.5" customHeight="1" x14ac:dyDescent="0.2">
      <c r="A450" s="2" t="s">
        <v>31</v>
      </c>
      <c r="B450" s="5" t="s">
        <v>54</v>
      </c>
      <c r="C450" s="5"/>
      <c r="D450" s="5"/>
      <c r="E450" s="6" t="s">
        <v>33</v>
      </c>
      <c r="F450" s="6"/>
      <c r="G450" s="7" t="s">
        <v>965</v>
      </c>
      <c r="H450" s="7"/>
      <c r="I450" s="7"/>
      <c r="J450" s="3" t="s">
        <v>35</v>
      </c>
      <c r="K450" s="4" t="s">
        <v>97</v>
      </c>
      <c r="L450" s="4" t="s">
        <v>37</v>
      </c>
      <c r="N450" s="7" t="s">
        <v>1126</v>
      </c>
      <c r="O450" s="7"/>
      <c r="P450" s="7" t="s">
        <v>1127</v>
      </c>
      <c r="Q450" s="7"/>
      <c r="R450" s="7"/>
      <c r="S450" s="3" t="s">
        <v>40</v>
      </c>
      <c r="T450" s="7" t="s">
        <v>41</v>
      </c>
      <c r="U450" s="7"/>
      <c r="V450" s="4" t="s">
        <v>51</v>
      </c>
      <c r="W450" s="4" t="s">
        <v>337</v>
      </c>
      <c r="X450" s="4" t="s">
        <v>147</v>
      </c>
      <c r="Y450" s="7" t="s">
        <v>78</v>
      </c>
      <c r="Z450" s="7"/>
      <c r="AA450" s="4" t="s">
        <v>46</v>
      </c>
      <c r="AB450" s="4" t="s">
        <v>47</v>
      </c>
      <c r="AC450" s="4" t="s">
        <v>136</v>
      </c>
      <c r="AD450" s="4" t="s">
        <v>137</v>
      </c>
      <c r="AE450" s="4" t="s">
        <v>48</v>
      </c>
      <c r="AF450" s="4" t="s">
        <v>41</v>
      </c>
      <c r="AG450" s="4" t="s">
        <v>968</v>
      </c>
    </row>
    <row r="451" spans="1:33" ht="16.5" customHeight="1" x14ac:dyDescent="0.2">
      <c r="A451" s="2" t="s">
        <v>31</v>
      </c>
      <c r="B451" s="5" t="s">
        <v>54</v>
      </c>
      <c r="C451" s="5"/>
      <c r="D451" s="5"/>
      <c r="E451" s="6" t="s">
        <v>33</v>
      </c>
      <c r="F451" s="6"/>
      <c r="G451" s="7" t="s">
        <v>965</v>
      </c>
      <c r="H451" s="7"/>
      <c r="I451" s="7"/>
      <c r="J451" s="3" t="s">
        <v>35</v>
      </c>
      <c r="K451" s="4" t="s">
        <v>143</v>
      </c>
      <c r="L451" s="4" t="s">
        <v>37</v>
      </c>
      <c r="N451" s="7" t="s">
        <v>1128</v>
      </c>
      <c r="O451" s="7"/>
      <c r="P451" s="7" t="s">
        <v>1129</v>
      </c>
      <c r="Q451" s="7"/>
      <c r="R451" s="7"/>
      <c r="S451" s="3" t="s">
        <v>40</v>
      </c>
      <c r="T451" s="7" t="s">
        <v>41</v>
      </c>
      <c r="U451" s="7"/>
      <c r="V451" s="4" t="s">
        <v>42</v>
      </c>
      <c r="W451" s="4" t="s">
        <v>337</v>
      </c>
      <c r="X451" s="4" t="s">
        <v>338</v>
      </c>
      <c r="Y451" s="7" t="s">
        <v>135</v>
      </c>
      <c r="Z451" s="7"/>
      <c r="AA451" s="4" t="s">
        <v>46</v>
      </c>
      <c r="AB451" s="4" t="s">
        <v>47</v>
      </c>
      <c r="AC451" s="4" t="s">
        <v>136</v>
      </c>
      <c r="AD451" s="4" t="s">
        <v>137</v>
      </c>
      <c r="AE451" s="4" t="s">
        <v>48</v>
      </c>
      <c r="AF451" s="4" t="s">
        <v>41</v>
      </c>
      <c r="AG451" s="4" t="s">
        <v>968</v>
      </c>
    </row>
    <row r="452" spans="1:33" ht="16.5" customHeight="1" x14ac:dyDescent="0.2">
      <c r="A452" s="2" t="s">
        <v>31</v>
      </c>
      <c r="B452" s="5" t="s">
        <v>54</v>
      </c>
      <c r="C452" s="5"/>
      <c r="D452" s="5"/>
      <c r="E452" s="6" t="s">
        <v>33</v>
      </c>
      <c r="F452" s="6"/>
      <c r="G452" s="7" t="s">
        <v>965</v>
      </c>
      <c r="H452" s="7"/>
      <c r="I452" s="7"/>
      <c r="J452" s="3" t="s">
        <v>35</v>
      </c>
      <c r="K452" s="4" t="s">
        <v>143</v>
      </c>
      <c r="L452" s="4" t="s">
        <v>37</v>
      </c>
      <c r="N452" s="7" t="s">
        <v>1130</v>
      </c>
      <c r="O452" s="7"/>
      <c r="P452" s="7" t="s">
        <v>1131</v>
      </c>
      <c r="Q452" s="7"/>
      <c r="R452" s="7"/>
      <c r="S452" s="3" t="s">
        <v>40</v>
      </c>
      <c r="T452" s="7" t="s">
        <v>41</v>
      </c>
      <c r="U452" s="7"/>
      <c r="V452" s="4" t="s">
        <v>42</v>
      </c>
      <c r="W452" s="4" t="s">
        <v>146</v>
      </c>
      <c r="X452" s="4" t="s">
        <v>147</v>
      </c>
      <c r="Y452" s="7" t="s">
        <v>135</v>
      </c>
      <c r="Z452" s="7"/>
      <c r="AA452" s="4" t="s">
        <v>46</v>
      </c>
      <c r="AB452" s="4" t="s">
        <v>47</v>
      </c>
      <c r="AC452" s="4" t="s">
        <v>136</v>
      </c>
      <c r="AD452" s="4" t="s">
        <v>137</v>
      </c>
      <c r="AE452" s="4" t="s">
        <v>48</v>
      </c>
      <c r="AF452" s="4" t="s">
        <v>41</v>
      </c>
      <c r="AG452" s="4" t="s">
        <v>968</v>
      </c>
    </row>
    <row r="453" spans="1:33" ht="16.5" customHeight="1" x14ac:dyDescent="0.2">
      <c r="A453" s="2" t="s">
        <v>31</v>
      </c>
      <c r="B453" s="5" t="s">
        <v>54</v>
      </c>
      <c r="C453" s="5"/>
      <c r="D453" s="5"/>
      <c r="E453" s="6" t="s">
        <v>33</v>
      </c>
      <c r="F453" s="6"/>
      <c r="G453" s="7" t="s">
        <v>965</v>
      </c>
      <c r="H453" s="7"/>
      <c r="I453" s="7"/>
      <c r="J453" s="3" t="s">
        <v>35</v>
      </c>
      <c r="K453" s="4" t="s">
        <v>143</v>
      </c>
      <c r="L453" s="4" t="s">
        <v>37</v>
      </c>
      <c r="N453" s="7" t="s">
        <v>1132</v>
      </c>
      <c r="O453" s="7"/>
      <c r="P453" s="7" t="s">
        <v>1133</v>
      </c>
      <c r="Q453" s="7"/>
      <c r="R453" s="7"/>
      <c r="S453" s="3" t="s">
        <v>40</v>
      </c>
      <c r="T453" s="7" t="s">
        <v>41</v>
      </c>
      <c r="U453" s="7"/>
      <c r="V453" s="4" t="s">
        <v>42</v>
      </c>
      <c r="W453" s="4" t="s">
        <v>58</v>
      </c>
      <c r="X453" s="4" t="s">
        <v>59</v>
      </c>
      <c r="Y453" s="7" t="s">
        <v>135</v>
      </c>
      <c r="Z453" s="7"/>
      <c r="AA453" s="4" t="s">
        <v>46</v>
      </c>
      <c r="AB453" s="4" t="s">
        <v>47</v>
      </c>
      <c r="AC453" s="4" t="s">
        <v>79</v>
      </c>
      <c r="AD453" s="4" t="s">
        <v>80</v>
      </c>
      <c r="AE453" s="4" t="s">
        <v>48</v>
      </c>
      <c r="AF453" s="4" t="s">
        <v>41</v>
      </c>
      <c r="AG453" s="4" t="s">
        <v>968</v>
      </c>
    </row>
    <row r="454" spans="1:33" ht="16.5" customHeight="1" x14ac:dyDescent="0.2">
      <c r="A454" s="2" t="s">
        <v>31</v>
      </c>
      <c r="B454" s="5" t="s">
        <v>54</v>
      </c>
      <c r="C454" s="5"/>
      <c r="D454" s="5"/>
      <c r="E454" s="6" t="s">
        <v>33</v>
      </c>
      <c r="F454" s="6"/>
      <c r="G454" s="7" t="s">
        <v>965</v>
      </c>
      <c r="H454" s="7"/>
      <c r="I454" s="7"/>
      <c r="J454" s="3" t="s">
        <v>35</v>
      </c>
      <c r="K454" s="4" t="s">
        <v>143</v>
      </c>
      <c r="L454" s="4" t="s">
        <v>37</v>
      </c>
      <c r="N454" s="7" t="s">
        <v>1134</v>
      </c>
      <c r="O454" s="7"/>
      <c r="P454" s="7" t="s">
        <v>1135</v>
      </c>
      <c r="Q454" s="7"/>
      <c r="R454" s="7"/>
      <c r="S454" s="3" t="s">
        <v>40</v>
      </c>
      <c r="T454" s="7" t="s">
        <v>41</v>
      </c>
      <c r="U454" s="7"/>
      <c r="V454" s="4" t="s">
        <v>42</v>
      </c>
      <c r="W454" s="4" t="s">
        <v>859</v>
      </c>
      <c r="X454" s="4" t="s">
        <v>341</v>
      </c>
      <c r="Y454" s="7" t="s">
        <v>135</v>
      </c>
      <c r="Z454" s="7"/>
      <c r="AA454" s="4" t="s">
        <v>46</v>
      </c>
      <c r="AB454" s="4" t="s">
        <v>47</v>
      </c>
      <c r="AC454" s="4" t="s">
        <v>136</v>
      </c>
      <c r="AD454" s="4" t="s">
        <v>137</v>
      </c>
      <c r="AE454" s="4" t="s">
        <v>48</v>
      </c>
      <c r="AF454" s="4" t="s">
        <v>41</v>
      </c>
      <c r="AG454" s="4" t="s">
        <v>968</v>
      </c>
    </row>
    <row r="455" spans="1:33" ht="16.5" customHeight="1" x14ac:dyDescent="0.2">
      <c r="A455" s="2" t="s">
        <v>31</v>
      </c>
      <c r="B455" s="5" t="s">
        <v>54</v>
      </c>
      <c r="C455" s="5"/>
      <c r="D455" s="5"/>
      <c r="E455" s="6" t="s">
        <v>33</v>
      </c>
      <c r="F455" s="6"/>
      <c r="G455" s="7" t="s">
        <v>965</v>
      </c>
      <c r="H455" s="7"/>
      <c r="I455" s="7"/>
      <c r="J455" s="3" t="s">
        <v>35</v>
      </c>
      <c r="K455" s="4" t="s">
        <v>130</v>
      </c>
      <c r="L455" s="4" t="s">
        <v>37</v>
      </c>
      <c r="N455" s="7" t="s">
        <v>1136</v>
      </c>
      <c r="O455" s="7"/>
      <c r="P455" s="7" t="s">
        <v>1137</v>
      </c>
      <c r="Q455" s="7"/>
      <c r="R455" s="7"/>
      <c r="S455" s="3" t="s">
        <v>40</v>
      </c>
      <c r="T455" s="7" t="s">
        <v>41</v>
      </c>
      <c r="U455" s="7"/>
      <c r="V455" s="4" t="s">
        <v>42</v>
      </c>
      <c r="W455" s="4" t="s">
        <v>859</v>
      </c>
      <c r="X455" s="4" t="s">
        <v>341</v>
      </c>
      <c r="Y455" s="7" t="s">
        <v>135</v>
      </c>
      <c r="Z455" s="7"/>
      <c r="AA455" s="4" t="s">
        <v>46</v>
      </c>
      <c r="AB455" s="4" t="s">
        <v>47</v>
      </c>
      <c r="AC455" s="4" t="s">
        <v>136</v>
      </c>
      <c r="AD455" s="4" t="s">
        <v>137</v>
      </c>
      <c r="AE455" s="4" t="s">
        <v>48</v>
      </c>
      <c r="AF455" s="4" t="s">
        <v>41</v>
      </c>
      <c r="AG455" s="4" t="s">
        <v>968</v>
      </c>
    </row>
    <row r="456" spans="1:33" ht="16.5" customHeight="1" x14ac:dyDescent="0.2">
      <c r="A456" s="2" t="s">
        <v>31</v>
      </c>
      <c r="B456" s="5" t="s">
        <v>54</v>
      </c>
      <c r="C456" s="5"/>
      <c r="D456" s="5"/>
      <c r="E456" s="6" t="s">
        <v>33</v>
      </c>
      <c r="F456" s="6"/>
      <c r="G456" s="7" t="s">
        <v>965</v>
      </c>
      <c r="H456" s="7"/>
      <c r="I456" s="7"/>
      <c r="J456" s="3" t="s">
        <v>35</v>
      </c>
      <c r="K456" s="4" t="s">
        <v>149</v>
      </c>
      <c r="L456" s="4" t="s">
        <v>93</v>
      </c>
      <c r="N456" s="7" t="s">
        <v>1138</v>
      </c>
      <c r="O456" s="7"/>
      <c r="P456" s="7" t="s">
        <v>1139</v>
      </c>
      <c r="Q456" s="7"/>
      <c r="R456" s="7"/>
      <c r="S456" s="3" t="s">
        <v>40</v>
      </c>
      <c r="T456" s="7" t="s">
        <v>41</v>
      </c>
      <c r="U456" s="7"/>
      <c r="V456" s="4" t="s">
        <v>42</v>
      </c>
      <c r="W456" s="4" t="s">
        <v>234</v>
      </c>
      <c r="X456" s="4" t="s">
        <v>235</v>
      </c>
      <c r="Y456" s="7" t="s">
        <v>78</v>
      </c>
      <c r="Z456" s="7"/>
      <c r="AA456" s="4" t="s">
        <v>46</v>
      </c>
      <c r="AB456" s="4" t="s">
        <v>47</v>
      </c>
      <c r="AC456" s="4" t="s">
        <v>136</v>
      </c>
      <c r="AD456" s="4" t="s">
        <v>148</v>
      </c>
      <c r="AE456" s="4" t="s">
        <v>48</v>
      </c>
      <c r="AF456" s="4" t="s">
        <v>41</v>
      </c>
      <c r="AG456" s="4" t="s">
        <v>968</v>
      </c>
    </row>
    <row r="457" spans="1:33" ht="16.5" customHeight="1" x14ac:dyDescent="0.2">
      <c r="A457" s="2" t="s">
        <v>31</v>
      </c>
      <c r="B457" s="5" t="s">
        <v>54</v>
      </c>
      <c r="C457" s="5"/>
      <c r="D457" s="5"/>
      <c r="E457" s="6" t="s">
        <v>33</v>
      </c>
      <c r="F457" s="6"/>
      <c r="G457" s="7" t="s">
        <v>965</v>
      </c>
      <c r="H457" s="7"/>
      <c r="I457" s="7"/>
      <c r="J457" s="3" t="s">
        <v>35</v>
      </c>
      <c r="K457" s="4" t="s">
        <v>409</v>
      </c>
      <c r="L457" s="4" t="s">
        <v>37</v>
      </c>
      <c r="N457" s="7" t="s">
        <v>1140</v>
      </c>
      <c r="O457" s="7"/>
      <c r="P457" s="7" t="s">
        <v>1141</v>
      </c>
      <c r="Q457" s="7"/>
      <c r="R457" s="7"/>
      <c r="S457" s="3" t="s">
        <v>40</v>
      </c>
      <c r="T457" s="7" t="s">
        <v>41</v>
      </c>
      <c r="U457" s="7"/>
      <c r="V457" s="4" t="s">
        <v>42</v>
      </c>
      <c r="W457" s="4" t="s">
        <v>234</v>
      </c>
      <c r="X457" s="4" t="s">
        <v>235</v>
      </c>
      <c r="Y457" s="7" t="s">
        <v>60</v>
      </c>
      <c r="Z457" s="7"/>
      <c r="AA457" s="4" t="s">
        <v>46</v>
      </c>
      <c r="AB457" s="4" t="s">
        <v>47</v>
      </c>
      <c r="AC457" s="4" t="s">
        <v>79</v>
      </c>
      <c r="AD457" s="4" t="s">
        <v>80</v>
      </c>
      <c r="AE457" s="4" t="s">
        <v>48</v>
      </c>
      <c r="AF457" s="4" t="s">
        <v>41</v>
      </c>
      <c r="AG457" s="4" t="s">
        <v>968</v>
      </c>
    </row>
    <row r="458" spans="1:33" ht="16.5" customHeight="1" x14ac:dyDescent="0.2">
      <c r="A458" s="2" t="s">
        <v>31</v>
      </c>
      <c r="B458" s="5" t="s">
        <v>54</v>
      </c>
      <c r="C458" s="5"/>
      <c r="D458" s="5"/>
      <c r="E458" s="6" t="s">
        <v>33</v>
      </c>
      <c r="F458" s="6"/>
      <c r="G458" s="7" t="s">
        <v>965</v>
      </c>
      <c r="H458" s="7"/>
      <c r="I458" s="7"/>
      <c r="J458" s="3" t="s">
        <v>35</v>
      </c>
      <c r="K458" s="4" t="s">
        <v>143</v>
      </c>
      <c r="L458" s="4" t="s">
        <v>280</v>
      </c>
      <c r="N458" s="7" t="s">
        <v>1142</v>
      </c>
      <c r="O458" s="7"/>
      <c r="P458" s="7" t="s">
        <v>1143</v>
      </c>
      <c r="Q458" s="7"/>
      <c r="R458" s="7"/>
      <c r="S458" s="3" t="s">
        <v>40</v>
      </c>
      <c r="T458" s="7" t="s">
        <v>41</v>
      </c>
      <c r="U458" s="7"/>
      <c r="V458" s="4" t="s">
        <v>42</v>
      </c>
      <c r="W458" s="4" t="s">
        <v>234</v>
      </c>
      <c r="X458" s="4" t="s">
        <v>235</v>
      </c>
      <c r="Y458" s="7" t="s">
        <v>135</v>
      </c>
      <c r="Z458" s="7"/>
      <c r="AA458" s="4" t="s">
        <v>46</v>
      </c>
      <c r="AB458" s="4" t="s">
        <v>47</v>
      </c>
      <c r="AC458" s="4" t="s">
        <v>136</v>
      </c>
      <c r="AD458" s="4" t="s">
        <v>324</v>
      </c>
      <c r="AE458" s="4" t="s">
        <v>48</v>
      </c>
      <c r="AF458" s="4" t="s">
        <v>41</v>
      </c>
      <c r="AG458" s="4" t="s">
        <v>968</v>
      </c>
    </row>
    <row r="459" spans="1:33" ht="16.5" customHeight="1" x14ac:dyDescent="0.2">
      <c r="A459" s="2" t="s">
        <v>31</v>
      </c>
      <c r="B459" s="5" t="s">
        <v>54</v>
      </c>
      <c r="C459" s="5"/>
      <c r="D459" s="5"/>
      <c r="E459" s="6" t="s">
        <v>33</v>
      </c>
      <c r="F459" s="6"/>
      <c r="G459" s="7" t="s">
        <v>965</v>
      </c>
      <c r="H459" s="7"/>
      <c r="I459" s="7"/>
      <c r="J459" s="3" t="s">
        <v>35</v>
      </c>
      <c r="K459" s="4" t="s">
        <v>143</v>
      </c>
      <c r="L459" s="4" t="s">
        <v>93</v>
      </c>
      <c r="N459" s="7" t="s">
        <v>1144</v>
      </c>
      <c r="O459" s="7"/>
      <c r="P459" s="7" t="s">
        <v>1145</v>
      </c>
      <c r="Q459" s="7"/>
      <c r="R459" s="7"/>
      <c r="S459" s="3" t="s">
        <v>40</v>
      </c>
      <c r="T459" s="7" t="s">
        <v>41</v>
      </c>
      <c r="U459" s="7"/>
      <c r="V459" s="4" t="s">
        <v>42</v>
      </c>
      <c r="W459" s="4" t="s">
        <v>234</v>
      </c>
      <c r="X459" s="4" t="s">
        <v>235</v>
      </c>
      <c r="Y459" s="7" t="s">
        <v>135</v>
      </c>
      <c r="Z459" s="7"/>
      <c r="AA459" s="4" t="s">
        <v>46</v>
      </c>
      <c r="AB459" s="4" t="s">
        <v>47</v>
      </c>
      <c r="AC459" s="4" t="s">
        <v>136</v>
      </c>
      <c r="AD459" s="4" t="s">
        <v>148</v>
      </c>
      <c r="AE459" s="4" t="s">
        <v>48</v>
      </c>
      <c r="AF459" s="4" t="s">
        <v>41</v>
      </c>
      <c r="AG459" s="4" t="s">
        <v>968</v>
      </c>
    </row>
    <row r="460" spans="1:33" ht="16.5" customHeight="1" x14ac:dyDescent="0.2">
      <c r="A460" s="2" t="s">
        <v>31</v>
      </c>
      <c r="B460" s="5" t="s">
        <v>54</v>
      </c>
      <c r="C460" s="5"/>
      <c r="D460" s="5"/>
      <c r="E460" s="6" t="s">
        <v>33</v>
      </c>
      <c r="F460" s="6"/>
      <c r="G460" s="7" t="s">
        <v>965</v>
      </c>
      <c r="H460" s="7"/>
      <c r="I460" s="7"/>
      <c r="J460" s="3" t="s">
        <v>35</v>
      </c>
      <c r="K460" s="4" t="s">
        <v>202</v>
      </c>
      <c r="L460" s="4" t="s">
        <v>93</v>
      </c>
      <c r="N460" s="7" t="s">
        <v>1146</v>
      </c>
      <c r="O460" s="7"/>
      <c r="P460" s="7" t="s">
        <v>1147</v>
      </c>
      <c r="Q460" s="7"/>
      <c r="R460" s="7"/>
      <c r="S460" s="3" t="s">
        <v>40</v>
      </c>
      <c r="T460" s="7" t="s">
        <v>41</v>
      </c>
      <c r="U460" s="7"/>
      <c r="V460" s="4" t="s">
        <v>42</v>
      </c>
      <c r="W460" s="4" t="s">
        <v>76</v>
      </c>
      <c r="X460" s="4" t="s">
        <v>77</v>
      </c>
      <c r="Y460" s="7" t="s">
        <v>197</v>
      </c>
      <c r="Z460" s="7"/>
      <c r="AA460" s="4" t="s">
        <v>46</v>
      </c>
      <c r="AB460" s="4" t="s">
        <v>47</v>
      </c>
      <c r="AC460" s="4" t="s">
        <v>136</v>
      </c>
      <c r="AD460" s="4" t="s">
        <v>148</v>
      </c>
      <c r="AE460" s="4" t="s">
        <v>48</v>
      </c>
      <c r="AF460" s="4" t="s">
        <v>41</v>
      </c>
      <c r="AG460" s="4" t="s">
        <v>968</v>
      </c>
    </row>
    <row r="461" spans="1:33" ht="16.5" customHeight="1" x14ac:dyDescent="0.2">
      <c r="A461" s="2" t="s">
        <v>31</v>
      </c>
      <c r="B461" s="5" t="s">
        <v>54</v>
      </c>
      <c r="C461" s="5"/>
      <c r="D461" s="5"/>
      <c r="E461" s="6" t="s">
        <v>33</v>
      </c>
      <c r="F461" s="6"/>
      <c r="G461" s="7" t="s">
        <v>965</v>
      </c>
      <c r="H461" s="7"/>
      <c r="I461" s="7"/>
      <c r="J461" s="3" t="s">
        <v>35</v>
      </c>
      <c r="K461" s="4" t="s">
        <v>55</v>
      </c>
      <c r="L461" s="4" t="s">
        <v>37</v>
      </c>
      <c r="N461" s="7" t="s">
        <v>1148</v>
      </c>
      <c r="O461" s="7"/>
      <c r="P461" s="7" t="s">
        <v>1149</v>
      </c>
      <c r="Q461" s="7"/>
      <c r="R461" s="7"/>
      <c r="S461" s="3" t="s">
        <v>40</v>
      </c>
      <c r="T461" s="7" t="s">
        <v>41</v>
      </c>
      <c r="U461" s="7"/>
      <c r="V461" s="4" t="s">
        <v>42</v>
      </c>
      <c r="W461" s="4" t="s">
        <v>102</v>
      </c>
      <c r="X461" s="4" t="s">
        <v>103</v>
      </c>
      <c r="Y461" s="7" t="s">
        <v>60</v>
      </c>
      <c r="Z461" s="7"/>
      <c r="AA461" s="4" t="s">
        <v>46</v>
      </c>
      <c r="AB461" s="4" t="s">
        <v>47</v>
      </c>
      <c r="AC461" s="4" t="s">
        <v>61</v>
      </c>
      <c r="AD461" s="4" t="s">
        <v>62</v>
      </c>
      <c r="AE461" s="4" t="s">
        <v>48</v>
      </c>
      <c r="AF461" s="4" t="s">
        <v>41</v>
      </c>
      <c r="AG461" s="4" t="s">
        <v>968</v>
      </c>
    </row>
    <row r="462" spans="1:33" ht="16.5" customHeight="1" x14ac:dyDescent="0.2">
      <c r="A462" s="2" t="s">
        <v>31</v>
      </c>
      <c r="B462" s="5" t="s">
        <v>54</v>
      </c>
      <c r="C462" s="5"/>
      <c r="D462" s="5"/>
      <c r="E462" s="6" t="s">
        <v>33</v>
      </c>
      <c r="F462" s="6"/>
      <c r="G462" s="7" t="s">
        <v>965</v>
      </c>
      <c r="H462" s="7"/>
      <c r="I462" s="7"/>
      <c r="J462" s="3" t="s">
        <v>35</v>
      </c>
      <c r="K462" s="4" t="s">
        <v>245</v>
      </c>
      <c r="L462" s="4" t="s">
        <v>37</v>
      </c>
      <c r="N462" s="7" t="s">
        <v>1150</v>
      </c>
      <c r="O462" s="7"/>
      <c r="P462" s="7" t="s">
        <v>1151</v>
      </c>
      <c r="Q462" s="7"/>
      <c r="R462" s="7"/>
      <c r="S462" s="3" t="s">
        <v>40</v>
      </c>
      <c r="T462" s="7" t="s">
        <v>41</v>
      </c>
      <c r="U462" s="7"/>
      <c r="V462" s="4" t="s">
        <v>42</v>
      </c>
      <c r="W462" s="4" t="s">
        <v>234</v>
      </c>
      <c r="X462" s="4" t="s">
        <v>235</v>
      </c>
      <c r="Y462" s="7" t="s">
        <v>78</v>
      </c>
      <c r="Z462" s="7"/>
      <c r="AA462" s="4" t="s">
        <v>46</v>
      </c>
      <c r="AB462" s="4" t="s">
        <v>47</v>
      </c>
      <c r="AC462" s="4" t="s">
        <v>136</v>
      </c>
      <c r="AD462" s="4" t="s">
        <v>137</v>
      </c>
      <c r="AE462" s="4" t="s">
        <v>48</v>
      </c>
      <c r="AF462" s="4" t="s">
        <v>41</v>
      </c>
      <c r="AG462" s="4" t="s">
        <v>968</v>
      </c>
    </row>
    <row r="463" spans="1:33" ht="16.5" customHeight="1" x14ac:dyDescent="0.2">
      <c r="A463" s="2" t="s">
        <v>31</v>
      </c>
      <c r="B463" s="5" t="s">
        <v>54</v>
      </c>
      <c r="C463" s="5"/>
      <c r="D463" s="5"/>
      <c r="E463" s="6" t="s">
        <v>33</v>
      </c>
      <c r="F463" s="6"/>
      <c r="G463" s="7" t="s">
        <v>965</v>
      </c>
      <c r="H463" s="7"/>
      <c r="I463" s="7"/>
      <c r="J463" s="3" t="s">
        <v>35</v>
      </c>
      <c r="K463" s="4" t="s">
        <v>248</v>
      </c>
      <c r="L463" s="4" t="s">
        <v>37</v>
      </c>
      <c r="N463" s="7" t="s">
        <v>1152</v>
      </c>
      <c r="O463" s="7"/>
      <c r="P463" s="7" t="s">
        <v>1153</v>
      </c>
      <c r="Q463" s="7"/>
      <c r="R463" s="7"/>
      <c r="S463" s="3" t="s">
        <v>40</v>
      </c>
      <c r="T463" s="7" t="s">
        <v>41</v>
      </c>
      <c r="U463" s="7"/>
      <c r="V463" s="4" t="s">
        <v>42</v>
      </c>
      <c r="W463" s="4" t="s">
        <v>234</v>
      </c>
      <c r="X463" s="4" t="s">
        <v>235</v>
      </c>
      <c r="Y463" s="7" t="s">
        <v>60</v>
      </c>
      <c r="Z463" s="7"/>
      <c r="AA463" s="4" t="s">
        <v>46</v>
      </c>
      <c r="AB463" s="4" t="s">
        <v>47</v>
      </c>
      <c r="AC463" s="4" t="s">
        <v>79</v>
      </c>
      <c r="AD463" s="4" t="s">
        <v>80</v>
      </c>
      <c r="AE463" s="4" t="s">
        <v>48</v>
      </c>
      <c r="AF463" s="4" t="s">
        <v>41</v>
      </c>
      <c r="AG463" s="4" t="s">
        <v>968</v>
      </c>
    </row>
    <row r="464" spans="1:33" ht="16.5" customHeight="1" x14ac:dyDescent="0.2">
      <c r="A464" s="2" t="s">
        <v>31</v>
      </c>
      <c r="B464" s="5" t="s">
        <v>54</v>
      </c>
      <c r="C464" s="5"/>
      <c r="D464" s="5"/>
      <c r="E464" s="6" t="s">
        <v>33</v>
      </c>
      <c r="F464" s="6"/>
      <c r="G464" s="7" t="s">
        <v>965</v>
      </c>
      <c r="H464" s="7"/>
      <c r="I464" s="7"/>
      <c r="J464" s="3" t="s">
        <v>35</v>
      </c>
      <c r="K464" s="4" t="s">
        <v>657</v>
      </c>
      <c r="L464" s="4" t="s">
        <v>37</v>
      </c>
      <c r="N464" s="7" t="s">
        <v>1154</v>
      </c>
      <c r="O464" s="7"/>
      <c r="P464" s="7" t="s">
        <v>1155</v>
      </c>
      <c r="Q464" s="7"/>
      <c r="R464" s="7"/>
      <c r="S464" s="3" t="s">
        <v>40</v>
      </c>
      <c r="T464" s="7" t="s">
        <v>41</v>
      </c>
      <c r="U464" s="7"/>
      <c r="V464" s="4" t="s">
        <v>42</v>
      </c>
      <c r="W464" s="4" t="s">
        <v>234</v>
      </c>
      <c r="X464" s="4" t="s">
        <v>235</v>
      </c>
      <c r="Y464" s="7" t="s">
        <v>197</v>
      </c>
      <c r="Z464" s="7"/>
      <c r="AA464" s="4" t="s">
        <v>46</v>
      </c>
      <c r="AB464" s="4" t="s">
        <v>47</v>
      </c>
      <c r="AC464" s="4" t="s">
        <v>259</v>
      </c>
      <c r="AD464" s="4" t="s">
        <v>260</v>
      </c>
      <c r="AE464" s="4" t="s">
        <v>48</v>
      </c>
      <c r="AF464" s="4" t="s">
        <v>41</v>
      </c>
      <c r="AG464" s="4" t="s">
        <v>968</v>
      </c>
    </row>
    <row r="465" spans="1:33" ht="16.5" customHeight="1" x14ac:dyDescent="0.2">
      <c r="A465" s="2" t="s">
        <v>31</v>
      </c>
      <c r="B465" s="5" t="s">
        <v>54</v>
      </c>
      <c r="C465" s="5"/>
      <c r="D465" s="5"/>
      <c r="E465" s="6" t="s">
        <v>33</v>
      </c>
      <c r="F465" s="6"/>
      <c r="G465" s="7" t="s">
        <v>965</v>
      </c>
      <c r="H465" s="7"/>
      <c r="I465" s="7"/>
      <c r="J465" s="3" t="s">
        <v>35</v>
      </c>
      <c r="K465" s="4" t="s">
        <v>202</v>
      </c>
      <c r="L465" s="4" t="s">
        <v>37</v>
      </c>
      <c r="N465" s="7" t="s">
        <v>1156</v>
      </c>
      <c r="O465" s="7"/>
      <c r="P465" s="7" t="s">
        <v>1157</v>
      </c>
      <c r="Q465" s="7"/>
      <c r="R465" s="7"/>
      <c r="S465" s="3" t="s">
        <v>40</v>
      </c>
      <c r="T465" s="7" t="s">
        <v>41</v>
      </c>
      <c r="U465" s="7"/>
      <c r="V465" s="4" t="s">
        <v>42</v>
      </c>
      <c r="W465" s="4" t="s">
        <v>355</v>
      </c>
      <c r="X465" s="4" t="s">
        <v>344</v>
      </c>
      <c r="Y465" s="7" t="s">
        <v>197</v>
      </c>
      <c r="Z465" s="7"/>
      <c r="AA465" s="4" t="s">
        <v>46</v>
      </c>
      <c r="AB465" s="4" t="s">
        <v>47</v>
      </c>
      <c r="AC465" s="4" t="s">
        <v>72</v>
      </c>
      <c r="AD465" s="4" t="s">
        <v>41</v>
      </c>
      <c r="AE465" s="4" t="s">
        <v>48</v>
      </c>
      <c r="AF465" s="4" t="s">
        <v>41</v>
      </c>
      <c r="AG465" s="4" t="s">
        <v>968</v>
      </c>
    </row>
    <row r="466" spans="1:33" ht="16.5" customHeight="1" x14ac:dyDescent="0.2">
      <c r="A466" s="2" t="s">
        <v>31</v>
      </c>
      <c r="B466" s="5" t="s">
        <v>54</v>
      </c>
      <c r="C466" s="5"/>
      <c r="D466" s="5"/>
      <c r="E466" s="6" t="s">
        <v>33</v>
      </c>
      <c r="F466" s="6"/>
      <c r="G466" s="7" t="s">
        <v>965</v>
      </c>
      <c r="H466" s="7"/>
      <c r="I466" s="7"/>
      <c r="J466" s="3" t="s">
        <v>35</v>
      </c>
      <c r="K466" s="4" t="s">
        <v>248</v>
      </c>
      <c r="L466" s="4" t="s">
        <v>280</v>
      </c>
      <c r="N466" s="7" t="s">
        <v>1158</v>
      </c>
      <c r="O466" s="7"/>
      <c r="P466" s="7" t="s">
        <v>1159</v>
      </c>
      <c r="Q466" s="7"/>
      <c r="R466" s="7"/>
      <c r="S466" s="3" t="s">
        <v>40</v>
      </c>
      <c r="T466" s="7" t="s">
        <v>41</v>
      </c>
      <c r="U466" s="7"/>
      <c r="V466" s="4" t="s">
        <v>42</v>
      </c>
      <c r="W466" s="4" t="s">
        <v>355</v>
      </c>
      <c r="X466" s="4" t="s">
        <v>344</v>
      </c>
      <c r="Y466" s="7" t="s">
        <v>60</v>
      </c>
      <c r="Z466" s="7"/>
      <c r="AA466" s="4" t="s">
        <v>46</v>
      </c>
      <c r="AB466" s="4" t="s">
        <v>47</v>
      </c>
      <c r="AC466" s="4" t="s">
        <v>79</v>
      </c>
      <c r="AD466" s="4" t="s">
        <v>285</v>
      </c>
      <c r="AE466" s="4" t="s">
        <v>48</v>
      </c>
      <c r="AF466" s="4" t="s">
        <v>41</v>
      </c>
      <c r="AG466" s="4" t="s">
        <v>968</v>
      </c>
    </row>
    <row r="467" spans="1:33" ht="16.5" customHeight="1" x14ac:dyDescent="0.2">
      <c r="A467" s="2" t="s">
        <v>31</v>
      </c>
      <c r="B467" s="5" t="s">
        <v>54</v>
      </c>
      <c r="C467" s="5"/>
      <c r="D467" s="5"/>
      <c r="E467" s="6" t="s">
        <v>33</v>
      </c>
      <c r="F467" s="6"/>
      <c r="G467" s="7" t="s">
        <v>965</v>
      </c>
      <c r="H467" s="7"/>
      <c r="I467" s="7"/>
      <c r="J467" s="3" t="s">
        <v>35</v>
      </c>
      <c r="K467" s="4" t="s">
        <v>202</v>
      </c>
      <c r="L467" s="4" t="s">
        <v>37</v>
      </c>
      <c r="N467" s="7" t="s">
        <v>1160</v>
      </c>
      <c r="O467" s="7"/>
      <c r="P467" s="7" t="s">
        <v>1161</v>
      </c>
      <c r="Q467" s="7"/>
      <c r="R467" s="7"/>
      <c r="S467" s="3" t="s">
        <v>40</v>
      </c>
      <c r="T467" s="7" t="s">
        <v>41</v>
      </c>
      <c r="U467" s="7"/>
      <c r="V467" s="4" t="s">
        <v>42</v>
      </c>
      <c r="W467" s="4" t="s">
        <v>355</v>
      </c>
      <c r="X467" s="4" t="s">
        <v>344</v>
      </c>
      <c r="Y467" s="7" t="s">
        <v>197</v>
      </c>
      <c r="Z467" s="7"/>
      <c r="AA467" s="4" t="s">
        <v>46</v>
      </c>
      <c r="AB467" s="4" t="s">
        <v>47</v>
      </c>
      <c r="AC467" s="4" t="s">
        <v>259</v>
      </c>
      <c r="AD467" s="4" t="s">
        <v>260</v>
      </c>
      <c r="AE467" s="4" t="s">
        <v>48</v>
      </c>
      <c r="AF467" s="4" t="s">
        <v>41</v>
      </c>
      <c r="AG467" s="4" t="s">
        <v>968</v>
      </c>
    </row>
    <row r="468" spans="1:33" ht="16.5" customHeight="1" x14ac:dyDescent="0.2">
      <c r="A468" s="2" t="s">
        <v>31</v>
      </c>
      <c r="B468" s="5" t="s">
        <v>54</v>
      </c>
      <c r="C468" s="5"/>
      <c r="D468" s="5"/>
      <c r="E468" s="6" t="s">
        <v>33</v>
      </c>
      <c r="F468" s="6"/>
      <c r="G468" s="7" t="s">
        <v>965</v>
      </c>
      <c r="H468" s="7"/>
      <c r="I468" s="7"/>
      <c r="J468" s="3" t="s">
        <v>35</v>
      </c>
      <c r="K468" s="4" t="s">
        <v>409</v>
      </c>
      <c r="L468" s="4" t="s">
        <v>37</v>
      </c>
      <c r="N468" s="7" t="s">
        <v>1162</v>
      </c>
      <c r="O468" s="7"/>
      <c r="P468" s="7" t="s">
        <v>1163</v>
      </c>
      <c r="Q468" s="7"/>
      <c r="R468" s="7"/>
      <c r="S468" s="3" t="s">
        <v>40</v>
      </c>
      <c r="T468" s="7" t="s">
        <v>41</v>
      </c>
      <c r="U468" s="7"/>
      <c r="V468" s="4" t="s">
        <v>42</v>
      </c>
      <c r="W468" s="4" t="s">
        <v>360</v>
      </c>
      <c r="X468" s="4" t="s">
        <v>361</v>
      </c>
      <c r="Y468" s="7" t="s">
        <v>60</v>
      </c>
      <c r="Z468" s="7"/>
      <c r="AA468" s="4" t="s">
        <v>46</v>
      </c>
      <c r="AB468" s="4" t="s">
        <v>47</v>
      </c>
      <c r="AC468" s="4" t="s">
        <v>61</v>
      </c>
      <c r="AD468" s="4" t="s">
        <v>62</v>
      </c>
      <c r="AE468" s="4" t="s">
        <v>48</v>
      </c>
      <c r="AF468" s="4" t="s">
        <v>41</v>
      </c>
      <c r="AG468" s="4" t="s">
        <v>968</v>
      </c>
    </row>
    <row r="469" spans="1:33" ht="16.5" customHeight="1" x14ac:dyDescent="0.2">
      <c r="A469" s="2" t="s">
        <v>31</v>
      </c>
      <c r="B469" s="5" t="s">
        <v>54</v>
      </c>
      <c r="C469" s="5"/>
      <c r="D469" s="5"/>
      <c r="E469" s="6" t="s">
        <v>33</v>
      </c>
      <c r="F469" s="6"/>
      <c r="G469" s="7" t="s">
        <v>965</v>
      </c>
      <c r="H469" s="7"/>
      <c r="I469" s="7"/>
      <c r="J469" s="3" t="s">
        <v>35</v>
      </c>
      <c r="K469" s="4" t="s">
        <v>248</v>
      </c>
      <c r="L469" s="4" t="s">
        <v>93</v>
      </c>
      <c r="N469" s="7" t="s">
        <v>1164</v>
      </c>
      <c r="O469" s="7"/>
      <c r="P469" s="7" t="s">
        <v>1165</v>
      </c>
      <c r="Q469" s="7"/>
      <c r="R469" s="7"/>
      <c r="S469" s="3" t="s">
        <v>40</v>
      </c>
      <c r="T469" s="7" t="s">
        <v>41</v>
      </c>
      <c r="U469" s="7"/>
      <c r="V469" s="4" t="s">
        <v>42</v>
      </c>
      <c r="W469" s="4" t="s">
        <v>58</v>
      </c>
      <c r="X469" s="4" t="s">
        <v>59</v>
      </c>
      <c r="Y469" s="7" t="s">
        <v>60</v>
      </c>
      <c r="Z469" s="7"/>
      <c r="AA469" s="4" t="s">
        <v>46</v>
      </c>
      <c r="AB469" s="4" t="s">
        <v>47</v>
      </c>
      <c r="AC469" s="4" t="s">
        <v>61</v>
      </c>
      <c r="AD469" s="4" t="s">
        <v>324</v>
      </c>
      <c r="AE469" s="4" t="s">
        <v>48</v>
      </c>
      <c r="AF469" s="4" t="s">
        <v>41</v>
      </c>
      <c r="AG469" s="4" t="s">
        <v>968</v>
      </c>
    </row>
    <row r="470" spans="1:33" ht="16.5" customHeight="1" x14ac:dyDescent="0.2">
      <c r="A470" s="2" t="s">
        <v>31</v>
      </c>
      <c r="B470" s="5" t="s">
        <v>54</v>
      </c>
      <c r="C470" s="5"/>
      <c r="D470" s="5"/>
      <c r="E470" s="6" t="s">
        <v>33</v>
      </c>
      <c r="F470" s="6"/>
      <c r="G470" s="7" t="s">
        <v>965</v>
      </c>
      <c r="H470" s="7"/>
      <c r="I470" s="7"/>
      <c r="J470" s="3" t="s">
        <v>35</v>
      </c>
      <c r="K470" s="4" t="s">
        <v>409</v>
      </c>
      <c r="L470" s="4" t="s">
        <v>37</v>
      </c>
      <c r="N470" s="7" t="s">
        <v>1166</v>
      </c>
      <c r="O470" s="7"/>
      <c r="P470" s="7" t="s">
        <v>1167</v>
      </c>
      <c r="Q470" s="7"/>
      <c r="R470" s="7"/>
      <c r="S470" s="3" t="s">
        <v>40</v>
      </c>
      <c r="T470" s="7" t="s">
        <v>41</v>
      </c>
      <c r="U470" s="7"/>
      <c r="V470" s="4" t="s">
        <v>42</v>
      </c>
      <c r="W470" s="4" t="s">
        <v>301</v>
      </c>
      <c r="X470" s="4" t="s">
        <v>302</v>
      </c>
      <c r="Y470" s="7" t="s">
        <v>60</v>
      </c>
      <c r="Z470" s="7"/>
      <c r="AA470" s="4" t="s">
        <v>46</v>
      </c>
      <c r="AB470" s="4" t="s">
        <v>47</v>
      </c>
      <c r="AC470" s="4" t="s">
        <v>61</v>
      </c>
      <c r="AD470" s="4" t="s">
        <v>62</v>
      </c>
      <c r="AE470" s="4" t="s">
        <v>48</v>
      </c>
      <c r="AF470" s="4" t="s">
        <v>41</v>
      </c>
      <c r="AG470" s="4" t="s">
        <v>968</v>
      </c>
    </row>
    <row r="471" spans="1:33" ht="16.5" customHeight="1" x14ac:dyDescent="0.2">
      <c r="A471" s="2" t="s">
        <v>31</v>
      </c>
      <c r="B471" s="5" t="s">
        <v>54</v>
      </c>
      <c r="C471" s="5"/>
      <c r="D471" s="5"/>
      <c r="E471" s="6" t="s">
        <v>33</v>
      </c>
      <c r="F471" s="6"/>
      <c r="G471" s="7" t="s">
        <v>965</v>
      </c>
      <c r="H471" s="7"/>
      <c r="I471" s="7"/>
      <c r="J471" s="3" t="s">
        <v>35</v>
      </c>
      <c r="K471" s="4" t="s">
        <v>73</v>
      </c>
      <c r="L471" s="4" t="s">
        <v>37</v>
      </c>
      <c r="N471" s="7" t="s">
        <v>1168</v>
      </c>
      <c r="O471" s="7"/>
      <c r="P471" s="7" t="s">
        <v>1169</v>
      </c>
      <c r="Q471" s="7"/>
      <c r="R471" s="7"/>
      <c r="S471" s="3" t="s">
        <v>40</v>
      </c>
      <c r="T471" s="7" t="s">
        <v>41</v>
      </c>
      <c r="U471" s="7"/>
      <c r="V471" s="4" t="s">
        <v>42</v>
      </c>
      <c r="W471" s="4" t="s">
        <v>181</v>
      </c>
      <c r="X471" s="4" t="s">
        <v>182</v>
      </c>
      <c r="Y471" s="7" t="s">
        <v>78</v>
      </c>
      <c r="Z471" s="7"/>
      <c r="AA471" s="4" t="s">
        <v>46</v>
      </c>
      <c r="AB471" s="4" t="s">
        <v>47</v>
      </c>
      <c r="AC471" s="4" t="s">
        <v>79</v>
      </c>
      <c r="AD471" s="4" t="s">
        <v>80</v>
      </c>
      <c r="AE471" s="4" t="s">
        <v>48</v>
      </c>
      <c r="AF471" s="4" t="s">
        <v>41</v>
      </c>
      <c r="AG471" s="4" t="s">
        <v>968</v>
      </c>
    </row>
    <row r="472" spans="1:33" ht="16.5" customHeight="1" x14ac:dyDescent="0.2">
      <c r="A472" s="2" t="s">
        <v>31</v>
      </c>
      <c r="B472" s="5" t="s">
        <v>54</v>
      </c>
      <c r="C472" s="5"/>
      <c r="D472" s="5"/>
      <c r="E472" s="6" t="s">
        <v>33</v>
      </c>
      <c r="F472" s="6"/>
      <c r="G472" s="7" t="s">
        <v>965</v>
      </c>
      <c r="H472" s="7"/>
      <c r="I472" s="7"/>
      <c r="J472" s="3" t="s">
        <v>35</v>
      </c>
      <c r="K472" s="4" t="s">
        <v>248</v>
      </c>
      <c r="L472" s="4" t="s">
        <v>93</v>
      </c>
      <c r="N472" s="7" t="s">
        <v>1170</v>
      </c>
      <c r="O472" s="7"/>
      <c r="P472" s="7" t="s">
        <v>1171</v>
      </c>
      <c r="Q472" s="7"/>
      <c r="R472" s="7"/>
      <c r="S472" s="3" t="s">
        <v>40</v>
      </c>
      <c r="T472" s="7" t="s">
        <v>41</v>
      </c>
      <c r="U472" s="7"/>
      <c r="V472" s="4" t="s">
        <v>42</v>
      </c>
      <c r="W472" s="4" t="s">
        <v>181</v>
      </c>
      <c r="X472" s="4" t="s">
        <v>182</v>
      </c>
      <c r="Y472" s="7" t="s">
        <v>60</v>
      </c>
      <c r="Z472" s="7"/>
      <c r="AA472" s="4" t="s">
        <v>46</v>
      </c>
      <c r="AB472" s="4" t="s">
        <v>47</v>
      </c>
      <c r="AC472" s="4" t="s">
        <v>61</v>
      </c>
      <c r="AD472" s="4" t="s">
        <v>324</v>
      </c>
      <c r="AE472" s="4" t="s">
        <v>48</v>
      </c>
      <c r="AF472" s="4" t="s">
        <v>41</v>
      </c>
      <c r="AG472" s="4" t="s">
        <v>968</v>
      </c>
    </row>
    <row r="473" spans="1:33" ht="16.5" customHeight="1" x14ac:dyDescent="0.2">
      <c r="A473" s="2" t="s">
        <v>31</v>
      </c>
      <c r="B473" s="5" t="s">
        <v>54</v>
      </c>
      <c r="C473" s="5"/>
      <c r="D473" s="5"/>
      <c r="E473" s="6" t="s">
        <v>33</v>
      </c>
      <c r="F473" s="6"/>
      <c r="G473" s="7" t="s">
        <v>965</v>
      </c>
      <c r="H473" s="7"/>
      <c r="I473" s="7"/>
      <c r="J473" s="3" t="s">
        <v>35</v>
      </c>
      <c r="K473" s="4" t="s">
        <v>73</v>
      </c>
      <c r="L473" s="4" t="s">
        <v>37</v>
      </c>
      <c r="N473" s="7" t="s">
        <v>1172</v>
      </c>
      <c r="O473" s="7"/>
      <c r="P473" s="7" t="s">
        <v>1173</v>
      </c>
      <c r="Q473" s="7"/>
      <c r="R473" s="7"/>
      <c r="S473" s="3" t="s">
        <v>40</v>
      </c>
      <c r="T473" s="7" t="s">
        <v>41</v>
      </c>
      <c r="U473" s="7"/>
      <c r="V473" s="4" t="s">
        <v>42</v>
      </c>
      <c r="W473" s="4" t="s">
        <v>68</v>
      </c>
      <c r="X473" s="4" t="s">
        <v>69</v>
      </c>
      <c r="Y473" s="7" t="s">
        <v>78</v>
      </c>
      <c r="Z473" s="7"/>
      <c r="AA473" s="4" t="s">
        <v>46</v>
      </c>
      <c r="AB473" s="4" t="s">
        <v>47</v>
      </c>
      <c r="AC473" s="4" t="s">
        <v>79</v>
      </c>
      <c r="AD473" s="4" t="s">
        <v>80</v>
      </c>
      <c r="AE473" s="4" t="s">
        <v>48</v>
      </c>
      <c r="AF473" s="4" t="s">
        <v>41</v>
      </c>
      <c r="AG473" s="4" t="s">
        <v>968</v>
      </c>
    </row>
    <row r="474" spans="1:33" ht="16.5" customHeight="1" x14ac:dyDescent="0.2">
      <c r="A474" s="2" t="s">
        <v>31</v>
      </c>
      <c r="B474" s="5" t="s">
        <v>54</v>
      </c>
      <c r="C474" s="5"/>
      <c r="D474" s="5"/>
      <c r="E474" s="6" t="s">
        <v>33</v>
      </c>
      <c r="F474" s="6"/>
      <c r="G474" s="7" t="s">
        <v>965</v>
      </c>
      <c r="H474" s="7"/>
      <c r="I474" s="7"/>
      <c r="J474" s="3" t="s">
        <v>35</v>
      </c>
      <c r="K474" s="4" t="s">
        <v>248</v>
      </c>
      <c r="L474" s="4" t="s">
        <v>37</v>
      </c>
      <c r="N474" s="7" t="s">
        <v>1174</v>
      </c>
      <c r="O474" s="7"/>
      <c r="P474" s="7" t="s">
        <v>1175</v>
      </c>
      <c r="Q474" s="7"/>
      <c r="R474" s="7"/>
      <c r="S474" s="3" t="s">
        <v>40</v>
      </c>
      <c r="T474" s="7" t="s">
        <v>41</v>
      </c>
      <c r="U474" s="7"/>
      <c r="V474" s="4" t="s">
        <v>51</v>
      </c>
      <c r="W474" s="4" t="s">
        <v>181</v>
      </c>
      <c r="X474" s="4" t="s">
        <v>69</v>
      </c>
      <c r="Y474" s="7" t="s">
        <v>60</v>
      </c>
      <c r="Z474" s="7"/>
      <c r="AA474" s="4" t="s">
        <v>46</v>
      </c>
      <c r="AB474" s="4" t="s">
        <v>47</v>
      </c>
      <c r="AC474" s="4" t="s">
        <v>61</v>
      </c>
      <c r="AD474" s="4" t="s">
        <v>62</v>
      </c>
      <c r="AE474" s="4" t="s">
        <v>48</v>
      </c>
      <c r="AF474" s="4" t="s">
        <v>41</v>
      </c>
      <c r="AG474" s="4" t="s">
        <v>968</v>
      </c>
    </row>
    <row r="475" spans="1:33" ht="16.5" customHeight="1" x14ac:dyDescent="0.2">
      <c r="A475" s="2" t="s">
        <v>31</v>
      </c>
      <c r="B475" s="5" t="s">
        <v>54</v>
      </c>
      <c r="C475" s="5"/>
      <c r="D475" s="5"/>
      <c r="E475" s="6" t="s">
        <v>33</v>
      </c>
      <c r="F475" s="6"/>
      <c r="G475" s="7" t="s">
        <v>965</v>
      </c>
      <c r="H475" s="7"/>
      <c r="I475" s="7"/>
      <c r="J475" s="3" t="s">
        <v>35</v>
      </c>
      <c r="K475" s="4" t="s">
        <v>73</v>
      </c>
      <c r="L475" s="4" t="s">
        <v>37</v>
      </c>
      <c r="N475" s="7" t="s">
        <v>1176</v>
      </c>
      <c r="O475" s="7"/>
      <c r="P475" s="7" t="s">
        <v>1177</v>
      </c>
      <c r="Q475" s="7"/>
      <c r="R475" s="7"/>
      <c r="S475" s="3" t="s">
        <v>40</v>
      </c>
      <c r="T475" s="7" t="s">
        <v>41</v>
      </c>
      <c r="U475" s="7"/>
      <c r="V475" s="4" t="s">
        <v>42</v>
      </c>
      <c r="W475" s="4" t="s">
        <v>68</v>
      </c>
      <c r="X475" s="4" t="s">
        <v>69</v>
      </c>
      <c r="Y475" s="7" t="s">
        <v>78</v>
      </c>
      <c r="Z475" s="7"/>
      <c r="AA475" s="4" t="s">
        <v>46</v>
      </c>
      <c r="AB475" s="4" t="s">
        <v>47</v>
      </c>
      <c r="AC475" s="4" t="s">
        <v>79</v>
      </c>
      <c r="AD475" s="4" t="s">
        <v>80</v>
      </c>
      <c r="AE475" s="4" t="s">
        <v>48</v>
      </c>
      <c r="AF475" s="4" t="s">
        <v>41</v>
      </c>
      <c r="AG475" s="4" t="s">
        <v>968</v>
      </c>
    </row>
    <row r="476" spans="1:33" ht="16.5" customHeight="1" x14ac:dyDescent="0.2">
      <c r="A476" s="2" t="s">
        <v>31</v>
      </c>
      <c r="B476" s="5" t="s">
        <v>54</v>
      </c>
      <c r="C476" s="5"/>
      <c r="D476" s="5"/>
      <c r="E476" s="6" t="s">
        <v>33</v>
      </c>
      <c r="F476" s="6"/>
      <c r="G476" s="7" t="s">
        <v>965</v>
      </c>
      <c r="H476" s="7"/>
      <c r="I476" s="7"/>
      <c r="J476" s="3" t="s">
        <v>35</v>
      </c>
      <c r="K476" s="4" t="s">
        <v>130</v>
      </c>
      <c r="L476" s="4" t="s">
        <v>37</v>
      </c>
      <c r="N476" s="7" t="s">
        <v>1178</v>
      </c>
      <c r="O476" s="7"/>
      <c r="P476" s="7" t="s">
        <v>1179</v>
      </c>
      <c r="Q476" s="7"/>
      <c r="R476" s="7"/>
      <c r="S476" s="3" t="s">
        <v>40</v>
      </c>
      <c r="T476" s="7" t="s">
        <v>41</v>
      </c>
      <c r="U476" s="7"/>
      <c r="V476" s="4" t="s">
        <v>42</v>
      </c>
      <c r="W476" s="4" t="s">
        <v>312</v>
      </c>
      <c r="X476" s="4" t="s">
        <v>313</v>
      </c>
      <c r="Y476" s="7" t="s">
        <v>135</v>
      </c>
      <c r="Z476" s="7"/>
      <c r="AA476" s="4" t="s">
        <v>46</v>
      </c>
      <c r="AB476" s="4" t="s">
        <v>47</v>
      </c>
      <c r="AC476" s="4" t="s">
        <v>79</v>
      </c>
      <c r="AD476" s="4" t="s">
        <v>80</v>
      </c>
      <c r="AE476" s="4" t="s">
        <v>48</v>
      </c>
      <c r="AF476" s="4" t="s">
        <v>41</v>
      </c>
      <c r="AG476" s="4" t="s">
        <v>968</v>
      </c>
    </row>
    <row r="477" spans="1:33" ht="16.5" customHeight="1" x14ac:dyDescent="0.2">
      <c r="A477" s="2" t="s">
        <v>31</v>
      </c>
      <c r="B477" s="5" t="s">
        <v>54</v>
      </c>
      <c r="C477" s="5"/>
      <c r="D477" s="5"/>
      <c r="E477" s="6" t="s">
        <v>33</v>
      </c>
      <c r="F477" s="6"/>
      <c r="G477" s="7" t="s">
        <v>965</v>
      </c>
      <c r="H477" s="7"/>
      <c r="I477" s="7"/>
      <c r="J477" s="3" t="s">
        <v>35</v>
      </c>
      <c r="K477" s="4" t="s">
        <v>149</v>
      </c>
      <c r="L477" s="4" t="s">
        <v>37</v>
      </c>
      <c r="N477" s="7" t="s">
        <v>1180</v>
      </c>
      <c r="O477" s="7"/>
      <c r="P477" s="7" t="s">
        <v>1181</v>
      </c>
      <c r="Q477" s="7"/>
      <c r="R477" s="7"/>
      <c r="S477" s="3" t="s">
        <v>40</v>
      </c>
      <c r="T477" s="7" t="s">
        <v>41</v>
      </c>
      <c r="U477" s="7"/>
      <c r="V477" s="4" t="s">
        <v>42</v>
      </c>
      <c r="W477" s="4" t="s">
        <v>312</v>
      </c>
      <c r="X477" s="4" t="s">
        <v>313</v>
      </c>
      <c r="Y477" s="7" t="s">
        <v>78</v>
      </c>
      <c r="Z477" s="7"/>
      <c r="AA477" s="4" t="s">
        <v>46</v>
      </c>
      <c r="AB477" s="4" t="s">
        <v>47</v>
      </c>
      <c r="AC477" s="4" t="s">
        <v>79</v>
      </c>
      <c r="AD477" s="4" t="s">
        <v>80</v>
      </c>
      <c r="AE477" s="4" t="s">
        <v>48</v>
      </c>
      <c r="AF477" s="4" t="s">
        <v>41</v>
      </c>
      <c r="AG477" s="4" t="s">
        <v>968</v>
      </c>
    </row>
    <row r="478" spans="1:33" ht="16.5" customHeight="1" x14ac:dyDescent="0.2">
      <c r="A478" s="2" t="s">
        <v>31</v>
      </c>
      <c r="B478" s="5" t="s">
        <v>54</v>
      </c>
      <c r="C478" s="5"/>
      <c r="D478" s="5"/>
      <c r="E478" s="6" t="s">
        <v>33</v>
      </c>
      <c r="F478" s="6"/>
      <c r="G478" s="7" t="s">
        <v>965</v>
      </c>
      <c r="H478" s="7"/>
      <c r="I478" s="7"/>
      <c r="J478" s="3" t="s">
        <v>35</v>
      </c>
      <c r="K478" s="4" t="s">
        <v>202</v>
      </c>
      <c r="L478" s="4" t="s">
        <v>37</v>
      </c>
      <c r="N478" s="7" t="s">
        <v>1182</v>
      </c>
      <c r="O478" s="7"/>
      <c r="P478" s="7" t="s">
        <v>1183</v>
      </c>
      <c r="Q478" s="7"/>
      <c r="R478" s="7"/>
      <c r="S478" s="3" t="s">
        <v>40</v>
      </c>
      <c r="T478" s="7" t="s">
        <v>41</v>
      </c>
      <c r="U478" s="7"/>
      <c r="V478" s="4" t="s">
        <v>42</v>
      </c>
      <c r="W478" s="4" t="s">
        <v>312</v>
      </c>
      <c r="X478" s="4" t="s">
        <v>313</v>
      </c>
      <c r="Y478" s="7" t="s">
        <v>197</v>
      </c>
      <c r="Z478" s="7"/>
      <c r="AA478" s="4" t="s">
        <v>46</v>
      </c>
      <c r="AB478" s="4" t="s">
        <v>47</v>
      </c>
      <c r="AC478" s="4" t="s">
        <v>136</v>
      </c>
      <c r="AD478" s="4" t="s">
        <v>137</v>
      </c>
      <c r="AE478" s="4" t="s">
        <v>48</v>
      </c>
      <c r="AF478" s="4" t="s">
        <v>41</v>
      </c>
      <c r="AG478" s="4" t="s">
        <v>968</v>
      </c>
    </row>
    <row r="479" spans="1:33" ht="16.5" customHeight="1" x14ac:dyDescent="0.2">
      <c r="A479" s="2" t="s">
        <v>31</v>
      </c>
      <c r="B479" s="5" t="s">
        <v>54</v>
      </c>
      <c r="C479" s="5"/>
      <c r="D479" s="5"/>
      <c r="E479" s="6" t="s">
        <v>33</v>
      </c>
      <c r="F479" s="6"/>
      <c r="G479" s="7" t="s">
        <v>965</v>
      </c>
      <c r="H479" s="7"/>
      <c r="I479" s="7"/>
      <c r="J479" s="3" t="s">
        <v>35</v>
      </c>
      <c r="K479" s="4" t="s">
        <v>409</v>
      </c>
      <c r="L479" s="4" t="s">
        <v>37</v>
      </c>
      <c r="N479" s="7" t="s">
        <v>1184</v>
      </c>
      <c r="O479" s="7"/>
      <c r="P479" s="7" t="s">
        <v>1185</v>
      </c>
      <c r="Q479" s="7"/>
      <c r="R479" s="7"/>
      <c r="S479" s="3" t="s">
        <v>40</v>
      </c>
      <c r="T479" s="7" t="s">
        <v>41</v>
      </c>
      <c r="U479" s="7"/>
      <c r="V479" s="4" t="s">
        <v>42</v>
      </c>
      <c r="W479" s="4" t="s">
        <v>312</v>
      </c>
      <c r="X479" s="4" t="s">
        <v>313</v>
      </c>
      <c r="Y479" s="7" t="s">
        <v>60</v>
      </c>
      <c r="Z479" s="7"/>
      <c r="AA479" s="4" t="s">
        <v>46</v>
      </c>
      <c r="AB479" s="4" t="s">
        <v>47</v>
      </c>
      <c r="AC479" s="4" t="s">
        <v>61</v>
      </c>
      <c r="AD479" s="4" t="s">
        <v>62</v>
      </c>
      <c r="AE479" s="4" t="s">
        <v>48</v>
      </c>
      <c r="AF479" s="4" t="s">
        <v>41</v>
      </c>
      <c r="AG479" s="4" t="s">
        <v>968</v>
      </c>
    </row>
    <row r="480" spans="1:33" ht="16.5" customHeight="1" x14ac:dyDescent="0.2">
      <c r="A480" s="2" t="s">
        <v>31</v>
      </c>
      <c r="B480" s="5" t="s">
        <v>54</v>
      </c>
      <c r="C480" s="5"/>
      <c r="D480" s="5"/>
      <c r="E480" s="6" t="s">
        <v>33</v>
      </c>
      <c r="F480" s="6"/>
      <c r="G480" s="7" t="s">
        <v>965</v>
      </c>
      <c r="H480" s="7"/>
      <c r="I480" s="7"/>
      <c r="J480" s="3" t="s">
        <v>35</v>
      </c>
      <c r="K480" s="4" t="s">
        <v>143</v>
      </c>
      <c r="L480" s="4" t="s">
        <v>37</v>
      </c>
      <c r="N480" s="7" t="s">
        <v>1186</v>
      </c>
      <c r="O480" s="7"/>
      <c r="P480" s="7" t="s">
        <v>1187</v>
      </c>
      <c r="Q480" s="7"/>
      <c r="R480" s="7"/>
      <c r="S480" s="3" t="s">
        <v>40</v>
      </c>
      <c r="T480" s="7" t="s">
        <v>41</v>
      </c>
      <c r="U480" s="7"/>
      <c r="V480" s="4" t="s">
        <v>42</v>
      </c>
      <c r="W480" s="4" t="s">
        <v>312</v>
      </c>
      <c r="X480" s="4" t="s">
        <v>313</v>
      </c>
      <c r="Y480" s="7" t="s">
        <v>135</v>
      </c>
      <c r="Z480" s="7"/>
      <c r="AA480" s="4" t="s">
        <v>46</v>
      </c>
      <c r="AB480" s="4" t="s">
        <v>47</v>
      </c>
      <c r="AC480" s="4" t="s">
        <v>79</v>
      </c>
      <c r="AD480" s="4" t="s">
        <v>80</v>
      </c>
      <c r="AE480" s="4" t="s">
        <v>48</v>
      </c>
      <c r="AF480" s="4" t="s">
        <v>41</v>
      </c>
      <c r="AG480" s="4" t="s">
        <v>968</v>
      </c>
    </row>
    <row r="481" spans="1:33" ht="16.5" customHeight="1" x14ac:dyDescent="0.2">
      <c r="A481" s="2" t="s">
        <v>31</v>
      </c>
      <c r="B481" s="5" t="s">
        <v>54</v>
      </c>
      <c r="C481" s="5"/>
      <c r="D481" s="5"/>
      <c r="E481" s="6" t="s">
        <v>33</v>
      </c>
      <c r="F481" s="6"/>
      <c r="G481" s="7" t="s">
        <v>965</v>
      </c>
      <c r="H481" s="7"/>
      <c r="I481" s="7"/>
      <c r="J481" s="3" t="s">
        <v>35</v>
      </c>
      <c r="K481" s="4" t="s">
        <v>92</v>
      </c>
      <c r="L481" s="4" t="s">
        <v>37</v>
      </c>
      <c r="N481" s="7" t="s">
        <v>1188</v>
      </c>
      <c r="O481" s="7"/>
      <c r="P481" s="7" t="s">
        <v>1189</v>
      </c>
      <c r="Q481" s="7"/>
      <c r="R481" s="7"/>
      <c r="S481" s="3" t="s">
        <v>40</v>
      </c>
      <c r="T481" s="7" t="s">
        <v>41</v>
      </c>
      <c r="U481" s="7"/>
      <c r="V481" s="4" t="s">
        <v>42</v>
      </c>
      <c r="W481" s="4" t="s">
        <v>312</v>
      </c>
      <c r="X481" s="4" t="s">
        <v>313</v>
      </c>
      <c r="Y481" s="7" t="s">
        <v>78</v>
      </c>
      <c r="Z481" s="7"/>
      <c r="AA481" s="4" t="s">
        <v>46</v>
      </c>
      <c r="AB481" s="4" t="s">
        <v>47</v>
      </c>
      <c r="AC481" s="4" t="s">
        <v>79</v>
      </c>
      <c r="AD481" s="4" t="s">
        <v>80</v>
      </c>
      <c r="AE481" s="4" t="s">
        <v>48</v>
      </c>
      <c r="AF481" s="4" t="s">
        <v>41</v>
      </c>
      <c r="AG481" s="4" t="s">
        <v>968</v>
      </c>
    </row>
    <row r="482" spans="1:33" ht="16.5" customHeight="1" x14ac:dyDescent="0.2">
      <c r="A482" s="2" t="s">
        <v>31</v>
      </c>
      <c r="B482" s="5" t="s">
        <v>54</v>
      </c>
      <c r="C482" s="5"/>
      <c r="D482" s="5"/>
      <c r="E482" s="6" t="s">
        <v>33</v>
      </c>
      <c r="F482" s="6"/>
      <c r="G482" s="7" t="s">
        <v>965</v>
      </c>
      <c r="H482" s="7"/>
      <c r="I482" s="7"/>
      <c r="J482" s="3" t="s">
        <v>35</v>
      </c>
      <c r="K482" s="4" t="s">
        <v>143</v>
      </c>
      <c r="L482" s="4" t="s">
        <v>588</v>
      </c>
      <c r="N482" s="7" t="s">
        <v>1190</v>
      </c>
      <c r="O482" s="7"/>
      <c r="P482" s="7" t="s">
        <v>1191</v>
      </c>
      <c r="Q482" s="7"/>
      <c r="R482" s="7"/>
      <c r="S482" s="3" t="s">
        <v>40</v>
      </c>
      <c r="T482" s="7" t="s">
        <v>41</v>
      </c>
      <c r="U482" s="7"/>
      <c r="V482" s="4" t="s">
        <v>51</v>
      </c>
      <c r="W482" s="4" t="s">
        <v>312</v>
      </c>
      <c r="X482" s="4" t="s">
        <v>77</v>
      </c>
      <c r="Y482" s="7" t="s">
        <v>135</v>
      </c>
      <c r="Z482" s="7"/>
      <c r="AA482" s="4" t="s">
        <v>46</v>
      </c>
      <c r="AB482" s="4" t="s">
        <v>47</v>
      </c>
      <c r="AC482" s="4" t="s">
        <v>79</v>
      </c>
      <c r="AD482" s="4" t="s">
        <v>591</v>
      </c>
      <c r="AE482" s="4" t="s">
        <v>48</v>
      </c>
      <c r="AF482" s="4" t="s">
        <v>41</v>
      </c>
      <c r="AG482" s="4" t="s">
        <v>968</v>
      </c>
    </row>
    <row r="483" spans="1:33" ht="16.5" customHeight="1" x14ac:dyDescent="0.2">
      <c r="A483" s="2" t="s">
        <v>31</v>
      </c>
      <c r="B483" s="5" t="s">
        <v>54</v>
      </c>
      <c r="C483" s="5"/>
      <c r="D483" s="5"/>
      <c r="E483" s="6" t="s">
        <v>33</v>
      </c>
      <c r="F483" s="6"/>
      <c r="G483" s="7" t="s">
        <v>965</v>
      </c>
      <c r="H483" s="7"/>
      <c r="I483" s="7"/>
      <c r="J483" s="3" t="s">
        <v>35</v>
      </c>
      <c r="K483" s="4" t="s">
        <v>55</v>
      </c>
      <c r="L483" s="4" t="s">
        <v>37</v>
      </c>
      <c r="N483" s="7" t="s">
        <v>1192</v>
      </c>
      <c r="O483" s="7"/>
      <c r="P483" s="7" t="s">
        <v>1193</v>
      </c>
      <c r="Q483" s="7"/>
      <c r="R483" s="7"/>
      <c r="S483" s="3" t="s">
        <v>40</v>
      </c>
      <c r="T483" s="7" t="s">
        <v>41</v>
      </c>
      <c r="U483" s="7"/>
      <c r="V483" s="4" t="s">
        <v>42</v>
      </c>
      <c r="W483" s="4" t="s">
        <v>76</v>
      </c>
      <c r="X483" s="4" t="s">
        <v>77</v>
      </c>
      <c r="Y483" s="7" t="s">
        <v>60</v>
      </c>
      <c r="Z483" s="7"/>
      <c r="AA483" s="4" t="s">
        <v>46</v>
      </c>
      <c r="AB483" s="4" t="s">
        <v>47</v>
      </c>
      <c r="AC483" s="4" t="s">
        <v>61</v>
      </c>
      <c r="AD483" s="4" t="s">
        <v>62</v>
      </c>
      <c r="AE483" s="4" t="s">
        <v>48</v>
      </c>
      <c r="AF483" s="4" t="s">
        <v>41</v>
      </c>
      <c r="AG483" s="4" t="s">
        <v>968</v>
      </c>
    </row>
    <row r="484" spans="1:33" ht="16.5" customHeight="1" x14ac:dyDescent="0.2">
      <c r="A484" s="2" t="s">
        <v>31</v>
      </c>
      <c r="B484" s="5" t="s">
        <v>54</v>
      </c>
      <c r="C484" s="5"/>
      <c r="D484" s="5"/>
      <c r="E484" s="6" t="s">
        <v>33</v>
      </c>
      <c r="F484" s="6"/>
      <c r="G484" s="7" t="s">
        <v>965</v>
      </c>
      <c r="H484" s="7"/>
      <c r="I484" s="7"/>
      <c r="J484" s="3" t="s">
        <v>35</v>
      </c>
      <c r="K484" s="4" t="s">
        <v>55</v>
      </c>
      <c r="L484" s="4" t="s">
        <v>231</v>
      </c>
      <c r="N484" s="7" t="s">
        <v>1194</v>
      </c>
      <c r="O484" s="7"/>
      <c r="P484" s="7" t="s">
        <v>1195</v>
      </c>
      <c r="Q484" s="7"/>
      <c r="R484" s="7"/>
      <c r="S484" s="3" t="s">
        <v>40</v>
      </c>
      <c r="T484" s="7" t="s">
        <v>41</v>
      </c>
      <c r="U484" s="7"/>
      <c r="V484" s="4" t="s">
        <v>42</v>
      </c>
      <c r="W484" s="4" t="s">
        <v>76</v>
      </c>
      <c r="X484" s="4" t="s">
        <v>77</v>
      </c>
      <c r="Y484" s="7" t="s">
        <v>60</v>
      </c>
      <c r="Z484" s="7"/>
      <c r="AA484" s="4" t="s">
        <v>46</v>
      </c>
      <c r="AB484" s="4" t="s">
        <v>47</v>
      </c>
      <c r="AC484" s="4" t="s">
        <v>61</v>
      </c>
      <c r="AD484" s="4" t="s">
        <v>1196</v>
      </c>
      <c r="AE484" s="4" t="s">
        <v>48</v>
      </c>
      <c r="AF484" s="4" t="s">
        <v>41</v>
      </c>
      <c r="AG484" s="4" t="s">
        <v>968</v>
      </c>
    </row>
    <row r="485" spans="1:33" ht="16.5" customHeight="1" x14ac:dyDescent="0.2">
      <c r="A485" s="2" t="s">
        <v>31</v>
      </c>
      <c r="B485" s="5" t="s">
        <v>54</v>
      </c>
      <c r="C485" s="5"/>
      <c r="D485" s="5"/>
      <c r="E485" s="6" t="s">
        <v>33</v>
      </c>
      <c r="F485" s="6"/>
      <c r="G485" s="7" t="s">
        <v>965</v>
      </c>
      <c r="H485" s="7"/>
      <c r="I485" s="7"/>
      <c r="J485" s="3" t="s">
        <v>35</v>
      </c>
      <c r="K485" s="4" t="s">
        <v>202</v>
      </c>
      <c r="L485" s="4" t="s">
        <v>37</v>
      </c>
      <c r="N485" s="7" t="s">
        <v>1197</v>
      </c>
      <c r="O485" s="7"/>
      <c r="P485" s="7" t="s">
        <v>1198</v>
      </c>
      <c r="Q485" s="7"/>
      <c r="R485" s="7"/>
      <c r="S485" s="3" t="s">
        <v>40</v>
      </c>
      <c r="T485" s="7" t="s">
        <v>41</v>
      </c>
      <c r="U485" s="7"/>
      <c r="V485" s="4" t="s">
        <v>42</v>
      </c>
      <c r="W485" s="4" t="s">
        <v>90</v>
      </c>
      <c r="X485" s="4" t="s">
        <v>91</v>
      </c>
      <c r="Y485" s="7" t="s">
        <v>197</v>
      </c>
      <c r="Z485" s="7"/>
      <c r="AA485" s="4" t="s">
        <v>46</v>
      </c>
      <c r="AB485" s="4" t="s">
        <v>47</v>
      </c>
      <c r="AC485" s="4" t="s">
        <v>136</v>
      </c>
      <c r="AD485" s="4" t="s">
        <v>137</v>
      </c>
      <c r="AE485" s="4" t="s">
        <v>48</v>
      </c>
      <c r="AF485" s="4" t="s">
        <v>41</v>
      </c>
      <c r="AG485" s="4" t="s">
        <v>968</v>
      </c>
    </row>
    <row r="486" spans="1:33" ht="16.5" customHeight="1" x14ac:dyDescent="0.2">
      <c r="A486" s="2" t="s">
        <v>31</v>
      </c>
      <c r="B486" s="5" t="s">
        <v>54</v>
      </c>
      <c r="C486" s="5"/>
      <c r="D486" s="5"/>
      <c r="E486" s="6" t="s">
        <v>33</v>
      </c>
      <c r="F486" s="6"/>
      <c r="G486" s="7" t="s">
        <v>965</v>
      </c>
      <c r="H486" s="7"/>
      <c r="I486" s="7"/>
      <c r="J486" s="3" t="s">
        <v>35</v>
      </c>
      <c r="K486" s="4" t="s">
        <v>202</v>
      </c>
      <c r="L486" s="4" t="s">
        <v>37</v>
      </c>
      <c r="N486" s="7" t="s">
        <v>1197</v>
      </c>
      <c r="O486" s="7"/>
      <c r="P486" s="7" t="s">
        <v>1198</v>
      </c>
      <c r="Q486" s="7"/>
      <c r="R486" s="7"/>
      <c r="S486" s="3" t="s">
        <v>40</v>
      </c>
      <c r="T486" s="7" t="s">
        <v>41</v>
      </c>
      <c r="U486" s="7"/>
      <c r="V486" s="4" t="s">
        <v>51</v>
      </c>
      <c r="W486" s="4" t="s">
        <v>90</v>
      </c>
      <c r="X486" s="4" t="s">
        <v>103</v>
      </c>
      <c r="Y486" s="7" t="s">
        <v>197</v>
      </c>
      <c r="Z486" s="7"/>
      <c r="AA486" s="4" t="s">
        <v>46</v>
      </c>
      <c r="AB486" s="4" t="s">
        <v>47</v>
      </c>
      <c r="AC486" s="4" t="s">
        <v>136</v>
      </c>
      <c r="AD486" s="4" t="s">
        <v>137</v>
      </c>
      <c r="AE486" s="4" t="s">
        <v>48</v>
      </c>
      <c r="AF486" s="4" t="s">
        <v>41</v>
      </c>
      <c r="AG486" s="4" t="s">
        <v>968</v>
      </c>
    </row>
    <row r="487" spans="1:33" ht="16.5" customHeight="1" x14ac:dyDescent="0.2">
      <c r="A487" s="2" t="s">
        <v>31</v>
      </c>
      <c r="B487" s="5" t="s">
        <v>54</v>
      </c>
      <c r="C487" s="5"/>
      <c r="D487" s="5"/>
      <c r="E487" s="6" t="s">
        <v>33</v>
      </c>
      <c r="F487" s="6"/>
      <c r="G487" s="7" t="s">
        <v>965</v>
      </c>
      <c r="H487" s="7"/>
      <c r="I487" s="7"/>
      <c r="J487" s="3" t="s">
        <v>35</v>
      </c>
      <c r="K487" s="4" t="s">
        <v>55</v>
      </c>
      <c r="L487" s="4" t="s">
        <v>37</v>
      </c>
      <c r="N487" s="7" t="s">
        <v>1199</v>
      </c>
      <c r="O487" s="7"/>
      <c r="P487" s="7" t="s">
        <v>1200</v>
      </c>
      <c r="Q487" s="7"/>
      <c r="R487" s="7"/>
      <c r="S487" s="3" t="s">
        <v>40</v>
      </c>
      <c r="T487" s="7" t="s">
        <v>41</v>
      </c>
      <c r="U487" s="7"/>
      <c r="V487" s="4" t="s">
        <v>42</v>
      </c>
      <c r="W487" s="4" t="s">
        <v>90</v>
      </c>
      <c r="X487" s="4" t="s">
        <v>91</v>
      </c>
      <c r="Y487" s="7" t="s">
        <v>60</v>
      </c>
      <c r="Z487" s="7"/>
      <c r="AA487" s="4" t="s">
        <v>46</v>
      </c>
      <c r="AB487" s="4" t="s">
        <v>47</v>
      </c>
      <c r="AC487" s="4" t="s">
        <v>61</v>
      </c>
      <c r="AD487" s="4" t="s">
        <v>62</v>
      </c>
      <c r="AE487" s="4" t="s">
        <v>48</v>
      </c>
      <c r="AF487" s="4" t="s">
        <v>41</v>
      </c>
      <c r="AG487" s="4" t="s">
        <v>968</v>
      </c>
    </row>
    <row r="488" spans="1:33" ht="16.5" customHeight="1" x14ac:dyDescent="0.2">
      <c r="A488" s="2" t="s">
        <v>31</v>
      </c>
      <c r="B488" s="5" t="s">
        <v>54</v>
      </c>
      <c r="C488" s="5"/>
      <c r="D488" s="5"/>
      <c r="E488" s="6" t="s">
        <v>33</v>
      </c>
      <c r="F488" s="6"/>
      <c r="G488" s="7" t="s">
        <v>965</v>
      </c>
      <c r="H488" s="7"/>
      <c r="I488" s="7"/>
      <c r="J488" s="3" t="s">
        <v>35</v>
      </c>
      <c r="K488" s="4" t="s">
        <v>92</v>
      </c>
      <c r="L488" s="4" t="s">
        <v>37</v>
      </c>
      <c r="N488" s="7" t="s">
        <v>1201</v>
      </c>
      <c r="O488" s="7"/>
      <c r="P488" s="7" t="s">
        <v>1202</v>
      </c>
      <c r="Q488" s="7"/>
      <c r="R488" s="7"/>
      <c r="S488" s="3" t="s">
        <v>40</v>
      </c>
      <c r="T488" s="7" t="s">
        <v>41</v>
      </c>
      <c r="U488" s="7"/>
      <c r="V488" s="4" t="s">
        <v>42</v>
      </c>
      <c r="W488" s="4" t="s">
        <v>90</v>
      </c>
      <c r="X488" s="4" t="s">
        <v>91</v>
      </c>
      <c r="Y488" s="7" t="s">
        <v>78</v>
      </c>
      <c r="Z488" s="7"/>
      <c r="AA488" s="4" t="s">
        <v>46</v>
      </c>
      <c r="AB488" s="4" t="s">
        <v>47</v>
      </c>
      <c r="AC488" s="4" t="s">
        <v>79</v>
      </c>
      <c r="AD488" s="4" t="s">
        <v>80</v>
      </c>
      <c r="AE488" s="4" t="s">
        <v>48</v>
      </c>
      <c r="AF488" s="4" t="s">
        <v>41</v>
      </c>
      <c r="AG488" s="4" t="s">
        <v>968</v>
      </c>
    </row>
    <row r="489" spans="1:33" ht="16.5" customHeight="1" x14ac:dyDescent="0.2">
      <c r="A489" s="2" t="s">
        <v>31</v>
      </c>
      <c r="B489" s="5" t="s">
        <v>54</v>
      </c>
      <c r="C489" s="5"/>
      <c r="D489" s="5"/>
      <c r="E489" s="6" t="s">
        <v>33</v>
      </c>
      <c r="F489" s="6"/>
      <c r="G489" s="7" t="s">
        <v>965</v>
      </c>
      <c r="H489" s="7"/>
      <c r="I489" s="7"/>
      <c r="J489" s="3" t="s">
        <v>35</v>
      </c>
      <c r="K489" s="4" t="s">
        <v>92</v>
      </c>
      <c r="L489" s="4" t="s">
        <v>37</v>
      </c>
      <c r="N489" s="7" t="s">
        <v>1203</v>
      </c>
      <c r="O489" s="7"/>
      <c r="P489" s="7" t="s">
        <v>1204</v>
      </c>
      <c r="Q489" s="7"/>
      <c r="R489" s="7"/>
      <c r="S489" s="3" t="s">
        <v>40</v>
      </c>
      <c r="T489" s="7" t="s">
        <v>41</v>
      </c>
      <c r="U489" s="7"/>
      <c r="V489" s="4" t="s">
        <v>42</v>
      </c>
      <c r="W489" s="4" t="s">
        <v>102</v>
      </c>
      <c r="X489" s="4" t="s">
        <v>103</v>
      </c>
      <c r="Y489" s="7" t="s">
        <v>78</v>
      </c>
      <c r="Z489" s="7"/>
      <c r="AA489" s="4" t="s">
        <v>46</v>
      </c>
      <c r="AB489" s="4" t="s">
        <v>47</v>
      </c>
      <c r="AC489" s="4" t="s">
        <v>79</v>
      </c>
      <c r="AD489" s="4" t="s">
        <v>80</v>
      </c>
      <c r="AE489" s="4" t="s">
        <v>48</v>
      </c>
      <c r="AF489" s="4" t="s">
        <v>41</v>
      </c>
      <c r="AG489" s="4" t="s">
        <v>968</v>
      </c>
    </row>
    <row r="490" spans="1:33" ht="16.5" customHeight="1" x14ac:dyDescent="0.2">
      <c r="A490" s="2" t="s">
        <v>31</v>
      </c>
      <c r="B490" s="5" t="s">
        <v>54</v>
      </c>
      <c r="C490" s="5"/>
      <c r="D490" s="5"/>
      <c r="E490" s="6" t="s">
        <v>33</v>
      </c>
      <c r="F490" s="6"/>
      <c r="G490" s="7" t="s">
        <v>965</v>
      </c>
      <c r="H490" s="7"/>
      <c r="I490" s="7"/>
      <c r="J490" s="3" t="s">
        <v>35</v>
      </c>
      <c r="K490" s="4" t="s">
        <v>245</v>
      </c>
      <c r="L490" s="4" t="s">
        <v>93</v>
      </c>
      <c r="N490" s="7" t="s">
        <v>1205</v>
      </c>
      <c r="O490" s="7"/>
      <c r="P490" s="7" t="s">
        <v>1206</v>
      </c>
      <c r="Q490" s="7"/>
      <c r="R490" s="7"/>
      <c r="S490" s="3" t="s">
        <v>40</v>
      </c>
      <c r="T490" s="7" t="s">
        <v>41</v>
      </c>
      <c r="U490" s="7"/>
      <c r="V490" s="4" t="s">
        <v>42</v>
      </c>
      <c r="W490" s="4" t="s">
        <v>102</v>
      </c>
      <c r="X490" s="4" t="s">
        <v>103</v>
      </c>
      <c r="Y490" s="7" t="s">
        <v>78</v>
      </c>
      <c r="Z490" s="7"/>
      <c r="AA490" s="4" t="s">
        <v>46</v>
      </c>
      <c r="AB490" s="4" t="s">
        <v>47</v>
      </c>
      <c r="AC490" s="4" t="s">
        <v>79</v>
      </c>
      <c r="AD490" s="4" t="s">
        <v>96</v>
      </c>
      <c r="AE490" s="4" t="s">
        <v>48</v>
      </c>
      <c r="AF490" s="4" t="s">
        <v>41</v>
      </c>
      <c r="AG490" s="4" t="s">
        <v>968</v>
      </c>
    </row>
    <row r="491" spans="1:33" ht="0.75" customHeight="1" x14ac:dyDescent="0.2"/>
    <row r="492" spans="1:33" ht="12" customHeight="1" x14ac:dyDescent="0.2"/>
    <row r="493" spans="1:33" ht="16.5" customHeight="1" x14ac:dyDescent="0.2">
      <c r="A493" s="2" t="s">
        <v>31</v>
      </c>
      <c r="B493" s="5" t="s">
        <v>54</v>
      </c>
      <c r="C493" s="5"/>
      <c r="D493" s="5"/>
      <c r="E493" s="6" t="s">
        <v>33</v>
      </c>
      <c r="F493" s="6"/>
      <c r="G493" s="7" t="s">
        <v>965</v>
      </c>
      <c r="H493" s="7"/>
      <c r="I493" s="7"/>
      <c r="J493" s="3" t="s">
        <v>35</v>
      </c>
      <c r="K493" s="4" t="s">
        <v>55</v>
      </c>
      <c r="L493" s="4" t="s">
        <v>37</v>
      </c>
      <c r="N493" s="7" t="s">
        <v>1207</v>
      </c>
      <c r="O493" s="7"/>
      <c r="P493" s="7" t="s">
        <v>1208</v>
      </c>
      <c r="Q493" s="7"/>
      <c r="R493" s="7"/>
      <c r="S493" s="3" t="s">
        <v>40</v>
      </c>
      <c r="T493" s="7" t="s">
        <v>41</v>
      </c>
      <c r="U493" s="7"/>
      <c r="V493" s="4" t="s">
        <v>42</v>
      </c>
      <c r="W493" s="4" t="s">
        <v>102</v>
      </c>
      <c r="X493" s="4" t="s">
        <v>103</v>
      </c>
      <c r="Y493" s="7" t="s">
        <v>60</v>
      </c>
      <c r="Z493" s="7"/>
      <c r="AA493" s="4" t="s">
        <v>46</v>
      </c>
      <c r="AB493" s="4" t="s">
        <v>47</v>
      </c>
      <c r="AC493" s="4" t="s">
        <v>61</v>
      </c>
      <c r="AD493" s="4" t="s">
        <v>62</v>
      </c>
      <c r="AE493" s="4" t="s">
        <v>48</v>
      </c>
      <c r="AF493" s="4" t="s">
        <v>41</v>
      </c>
      <c r="AG493" s="4" t="s">
        <v>968</v>
      </c>
    </row>
    <row r="494" spans="1:33" ht="16.5" customHeight="1" x14ac:dyDescent="0.2">
      <c r="A494" s="2" t="s">
        <v>31</v>
      </c>
      <c r="B494" s="5" t="s">
        <v>54</v>
      </c>
      <c r="C494" s="5"/>
      <c r="D494" s="5"/>
      <c r="E494" s="6" t="s">
        <v>33</v>
      </c>
      <c r="F494" s="6"/>
      <c r="G494" s="7" t="s">
        <v>965</v>
      </c>
      <c r="H494" s="7"/>
      <c r="I494" s="7"/>
      <c r="J494" s="3" t="s">
        <v>35</v>
      </c>
      <c r="K494" s="4" t="s">
        <v>143</v>
      </c>
      <c r="L494" s="4" t="s">
        <v>93</v>
      </c>
      <c r="N494" s="7" t="s">
        <v>1209</v>
      </c>
      <c r="O494" s="7"/>
      <c r="P494" s="7" t="s">
        <v>1210</v>
      </c>
      <c r="Q494" s="7"/>
      <c r="R494" s="7"/>
      <c r="S494" s="3" t="s">
        <v>40</v>
      </c>
      <c r="T494" s="7" t="s">
        <v>41</v>
      </c>
      <c r="U494" s="7"/>
      <c r="V494" s="4" t="s">
        <v>42</v>
      </c>
      <c r="W494" s="4" t="s">
        <v>102</v>
      </c>
      <c r="X494" s="4" t="s">
        <v>103</v>
      </c>
      <c r="Y494" s="7" t="s">
        <v>135</v>
      </c>
      <c r="Z494" s="7"/>
      <c r="AA494" s="4" t="s">
        <v>46</v>
      </c>
      <c r="AB494" s="4" t="s">
        <v>47</v>
      </c>
      <c r="AC494" s="4" t="s">
        <v>79</v>
      </c>
      <c r="AD494" s="4" t="s">
        <v>96</v>
      </c>
      <c r="AE494" s="4" t="s">
        <v>48</v>
      </c>
      <c r="AF494" s="4" t="s">
        <v>41</v>
      </c>
      <c r="AG494" s="4" t="s">
        <v>968</v>
      </c>
    </row>
    <row r="495" spans="1:33" ht="16.5" customHeight="1" x14ac:dyDescent="0.2">
      <c r="A495" s="2" t="s">
        <v>31</v>
      </c>
      <c r="B495" s="5" t="s">
        <v>54</v>
      </c>
      <c r="C495" s="5"/>
      <c r="D495" s="5"/>
      <c r="E495" s="6" t="s">
        <v>33</v>
      </c>
      <c r="F495" s="6"/>
      <c r="G495" s="7" t="s">
        <v>965</v>
      </c>
      <c r="H495" s="7"/>
      <c r="I495" s="7"/>
      <c r="J495" s="3" t="s">
        <v>35</v>
      </c>
      <c r="K495" s="4" t="s">
        <v>73</v>
      </c>
      <c r="L495" s="4" t="s">
        <v>93</v>
      </c>
      <c r="N495" s="7" t="s">
        <v>1211</v>
      </c>
      <c r="O495" s="7"/>
      <c r="P495" s="7" t="s">
        <v>1212</v>
      </c>
      <c r="Q495" s="7"/>
      <c r="R495" s="7"/>
      <c r="S495" s="3" t="s">
        <v>40</v>
      </c>
      <c r="T495" s="7" t="s">
        <v>41</v>
      </c>
      <c r="U495" s="7"/>
      <c r="V495" s="4" t="s">
        <v>42</v>
      </c>
      <c r="W495" s="4" t="s">
        <v>107</v>
      </c>
      <c r="X495" s="4" t="s">
        <v>104</v>
      </c>
      <c r="Y495" s="7" t="s">
        <v>78</v>
      </c>
      <c r="Z495" s="7"/>
      <c r="AA495" s="4" t="s">
        <v>46</v>
      </c>
      <c r="AB495" s="4" t="s">
        <v>47</v>
      </c>
      <c r="AC495" s="4" t="s">
        <v>79</v>
      </c>
      <c r="AD495" s="4" t="s">
        <v>96</v>
      </c>
      <c r="AE495" s="4" t="s">
        <v>48</v>
      </c>
      <c r="AF495" s="4" t="s">
        <v>41</v>
      </c>
      <c r="AG495" s="4" t="s">
        <v>968</v>
      </c>
    </row>
    <row r="496" spans="1:33" ht="16.5" customHeight="1" x14ac:dyDescent="0.2">
      <c r="A496" s="2" t="s">
        <v>31</v>
      </c>
      <c r="B496" s="5" t="s">
        <v>54</v>
      </c>
      <c r="C496" s="5"/>
      <c r="D496" s="5"/>
      <c r="E496" s="6" t="s">
        <v>33</v>
      </c>
      <c r="F496" s="6"/>
      <c r="G496" s="7" t="s">
        <v>965</v>
      </c>
      <c r="H496" s="7"/>
      <c r="I496" s="7"/>
      <c r="J496" s="3" t="s">
        <v>35</v>
      </c>
      <c r="K496" s="4" t="s">
        <v>143</v>
      </c>
      <c r="L496" s="4" t="s">
        <v>37</v>
      </c>
      <c r="N496" s="7" t="s">
        <v>1213</v>
      </c>
      <c r="O496" s="7"/>
      <c r="P496" s="7" t="s">
        <v>1214</v>
      </c>
      <c r="Q496" s="7"/>
      <c r="R496" s="7"/>
      <c r="S496" s="3" t="s">
        <v>40</v>
      </c>
      <c r="T496" s="7" t="s">
        <v>41</v>
      </c>
      <c r="U496" s="7"/>
      <c r="V496" s="4" t="s">
        <v>51</v>
      </c>
      <c r="W496" s="4" t="s">
        <v>107</v>
      </c>
      <c r="X496" s="4" t="s">
        <v>386</v>
      </c>
      <c r="Y496" s="7" t="s">
        <v>135</v>
      </c>
      <c r="Z496" s="7"/>
      <c r="AA496" s="4" t="s">
        <v>46</v>
      </c>
      <c r="AB496" s="4" t="s">
        <v>47</v>
      </c>
      <c r="AC496" s="4" t="s">
        <v>79</v>
      </c>
      <c r="AD496" s="4" t="s">
        <v>80</v>
      </c>
      <c r="AE496" s="4" t="s">
        <v>48</v>
      </c>
      <c r="AF496" s="4" t="s">
        <v>41</v>
      </c>
      <c r="AG496" s="4" t="s">
        <v>968</v>
      </c>
    </row>
    <row r="497" spans="1:33" ht="16.5" customHeight="1" x14ac:dyDescent="0.2">
      <c r="A497" s="2" t="s">
        <v>31</v>
      </c>
      <c r="B497" s="5" t="s">
        <v>54</v>
      </c>
      <c r="C497" s="5"/>
      <c r="D497" s="5"/>
      <c r="E497" s="6" t="s">
        <v>33</v>
      </c>
      <c r="F497" s="6"/>
      <c r="G497" s="7" t="s">
        <v>965</v>
      </c>
      <c r="H497" s="7"/>
      <c r="I497" s="7"/>
      <c r="J497" s="3" t="s">
        <v>35</v>
      </c>
      <c r="K497" s="4" t="s">
        <v>92</v>
      </c>
      <c r="L497" s="4" t="s">
        <v>37</v>
      </c>
      <c r="N497" s="7" t="s">
        <v>1215</v>
      </c>
      <c r="O497" s="7"/>
      <c r="P497" s="7" t="s">
        <v>1216</v>
      </c>
      <c r="Q497" s="7"/>
      <c r="R497" s="7"/>
      <c r="S497" s="3" t="s">
        <v>40</v>
      </c>
      <c r="T497" s="7" t="s">
        <v>41</v>
      </c>
      <c r="U497" s="7"/>
      <c r="V497" s="4" t="s">
        <v>42</v>
      </c>
      <c r="W497" s="4" t="s">
        <v>58</v>
      </c>
      <c r="X497" s="4" t="s">
        <v>59</v>
      </c>
      <c r="Y497" s="7" t="s">
        <v>78</v>
      </c>
      <c r="Z497" s="7"/>
      <c r="AA497" s="4" t="s">
        <v>46</v>
      </c>
      <c r="AB497" s="4" t="s">
        <v>47</v>
      </c>
      <c r="AC497" s="4" t="s">
        <v>79</v>
      </c>
      <c r="AD497" s="4" t="s">
        <v>80</v>
      </c>
      <c r="AE497" s="4" t="s">
        <v>48</v>
      </c>
      <c r="AF497" s="4" t="s">
        <v>41</v>
      </c>
      <c r="AG497" s="4" t="s">
        <v>968</v>
      </c>
    </row>
    <row r="498" spans="1:33" ht="16.5" customHeight="1" x14ac:dyDescent="0.2">
      <c r="A498" s="2" t="s">
        <v>31</v>
      </c>
      <c r="B498" s="5" t="s">
        <v>54</v>
      </c>
      <c r="C498" s="5"/>
      <c r="D498" s="5"/>
      <c r="E498" s="6" t="s">
        <v>33</v>
      </c>
      <c r="F498" s="6"/>
      <c r="G498" s="7" t="s">
        <v>965</v>
      </c>
      <c r="H498" s="7"/>
      <c r="I498" s="7"/>
      <c r="J498" s="3" t="s">
        <v>35</v>
      </c>
      <c r="K498" s="4" t="s">
        <v>248</v>
      </c>
      <c r="L498" s="4" t="s">
        <v>37</v>
      </c>
      <c r="N498" s="7" t="s">
        <v>1217</v>
      </c>
      <c r="O498" s="7"/>
      <c r="P498" s="7" t="s">
        <v>1218</v>
      </c>
      <c r="Q498" s="7"/>
      <c r="R498" s="7"/>
      <c r="S498" s="3" t="s">
        <v>40</v>
      </c>
      <c r="T498" s="7" t="s">
        <v>41</v>
      </c>
      <c r="U498" s="7"/>
      <c r="V498" s="4" t="s">
        <v>42</v>
      </c>
      <c r="W498" s="4" t="s">
        <v>58</v>
      </c>
      <c r="X498" s="4" t="s">
        <v>59</v>
      </c>
      <c r="Y498" s="7" t="s">
        <v>60</v>
      </c>
      <c r="Z498" s="7"/>
      <c r="AA498" s="4" t="s">
        <v>46</v>
      </c>
      <c r="AB498" s="4" t="s">
        <v>47</v>
      </c>
      <c r="AC498" s="4" t="s">
        <v>61</v>
      </c>
      <c r="AD498" s="4" t="s">
        <v>62</v>
      </c>
      <c r="AE498" s="4" t="s">
        <v>48</v>
      </c>
      <c r="AF498" s="4" t="s">
        <v>41</v>
      </c>
      <c r="AG498" s="4" t="s">
        <v>968</v>
      </c>
    </row>
    <row r="499" spans="1:33" ht="16.5" customHeight="1" x14ac:dyDescent="0.2">
      <c r="A499" s="2" t="s">
        <v>31</v>
      </c>
      <c r="B499" s="5" t="s">
        <v>54</v>
      </c>
      <c r="C499" s="5"/>
      <c r="D499" s="5"/>
      <c r="E499" s="6" t="s">
        <v>33</v>
      </c>
      <c r="F499" s="6"/>
      <c r="G499" s="7" t="s">
        <v>965</v>
      </c>
      <c r="H499" s="7"/>
      <c r="I499" s="7"/>
      <c r="J499" s="3" t="s">
        <v>35</v>
      </c>
      <c r="K499" s="4" t="s">
        <v>73</v>
      </c>
      <c r="L499" s="4" t="s">
        <v>37</v>
      </c>
      <c r="N499" s="7" t="s">
        <v>1219</v>
      </c>
      <c r="O499" s="7"/>
      <c r="P499" s="7" t="s">
        <v>1220</v>
      </c>
      <c r="Q499" s="7"/>
      <c r="R499" s="7"/>
      <c r="S499" s="3" t="s">
        <v>40</v>
      </c>
      <c r="T499" s="7" t="s">
        <v>41</v>
      </c>
      <c r="U499" s="7"/>
      <c r="V499" s="4" t="s">
        <v>42</v>
      </c>
      <c r="W499" s="4" t="s">
        <v>58</v>
      </c>
      <c r="X499" s="4" t="s">
        <v>59</v>
      </c>
      <c r="Y499" s="7" t="s">
        <v>78</v>
      </c>
      <c r="Z499" s="7"/>
      <c r="AA499" s="4" t="s">
        <v>46</v>
      </c>
      <c r="AB499" s="4" t="s">
        <v>47</v>
      </c>
      <c r="AC499" s="4" t="s">
        <v>79</v>
      </c>
      <c r="AD499" s="4" t="s">
        <v>80</v>
      </c>
      <c r="AE499" s="4" t="s">
        <v>48</v>
      </c>
      <c r="AF499" s="4" t="s">
        <v>41</v>
      </c>
      <c r="AG499" s="4" t="s">
        <v>968</v>
      </c>
    </row>
    <row r="500" spans="1:33" ht="16.5" customHeight="1" x14ac:dyDescent="0.2">
      <c r="A500" s="2" t="s">
        <v>31</v>
      </c>
      <c r="B500" s="5" t="s">
        <v>54</v>
      </c>
      <c r="C500" s="5"/>
      <c r="D500" s="5"/>
      <c r="E500" s="6" t="s">
        <v>33</v>
      </c>
      <c r="F500" s="6"/>
      <c r="G500" s="7" t="s">
        <v>965</v>
      </c>
      <c r="H500" s="7"/>
      <c r="I500" s="7"/>
      <c r="J500" s="3" t="s">
        <v>35</v>
      </c>
      <c r="K500" s="4" t="s">
        <v>73</v>
      </c>
      <c r="L500" s="4" t="s">
        <v>37</v>
      </c>
      <c r="N500" s="7" t="s">
        <v>1219</v>
      </c>
      <c r="O500" s="7"/>
      <c r="P500" s="7" t="s">
        <v>1220</v>
      </c>
      <c r="Q500" s="7"/>
      <c r="R500" s="7"/>
      <c r="S500" s="3" t="s">
        <v>40</v>
      </c>
      <c r="T500" s="7" t="s">
        <v>41</v>
      </c>
      <c r="U500" s="7"/>
      <c r="V500" s="4" t="s">
        <v>51</v>
      </c>
      <c r="W500" s="4" t="s">
        <v>58</v>
      </c>
      <c r="X500" s="4" t="s">
        <v>128</v>
      </c>
      <c r="Y500" s="7" t="s">
        <v>78</v>
      </c>
      <c r="Z500" s="7"/>
      <c r="AA500" s="4" t="s">
        <v>46</v>
      </c>
      <c r="AB500" s="4" t="s">
        <v>47</v>
      </c>
      <c r="AC500" s="4" t="s">
        <v>79</v>
      </c>
      <c r="AD500" s="4" t="s">
        <v>80</v>
      </c>
      <c r="AE500" s="4" t="s">
        <v>48</v>
      </c>
      <c r="AF500" s="4" t="s">
        <v>41</v>
      </c>
      <c r="AG500" s="4" t="s">
        <v>968</v>
      </c>
    </row>
    <row r="501" spans="1:33" ht="16.5" customHeight="1" x14ac:dyDescent="0.2">
      <c r="A501" s="2" t="s">
        <v>31</v>
      </c>
      <c r="B501" s="5" t="s">
        <v>54</v>
      </c>
      <c r="C501" s="5"/>
      <c r="D501" s="5"/>
      <c r="E501" s="6" t="s">
        <v>33</v>
      </c>
      <c r="F501" s="6"/>
      <c r="G501" s="7" t="s">
        <v>965</v>
      </c>
      <c r="H501" s="7"/>
      <c r="I501" s="7"/>
      <c r="J501" s="3" t="s">
        <v>35</v>
      </c>
      <c r="K501" s="4" t="s">
        <v>248</v>
      </c>
      <c r="L501" s="4" t="s">
        <v>443</v>
      </c>
      <c r="N501" s="7" t="s">
        <v>1221</v>
      </c>
      <c r="O501" s="7"/>
      <c r="P501" s="7" t="s">
        <v>1222</v>
      </c>
      <c r="Q501" s="7"/>
      <c r="R501" s="7"/>
      <c r="S501" s="3" t="s">
        <v>40</v>
      </c>
      <c r="T501" s="7" t="s">
        <v>41</v>
      </c>
      <c r="U501" s="7"/>
      <c r="V501" s="4" t="s">
        <v>42</v>
      </c>
      <c r="W501" s="4" t="s">
        <v>58</v>
      </c>
      <c r="X501" s="4" t="s">
        <v>59</v>
      </c>
      <c r="Y501" s="7" t="s">
        <v>60</v>
      </c>
      <c r="Z501" s="7"/>
      <c r="AA501" s="4" t="s">
        <v>46</v>
      </c>
      <c r="AB501" s="4" t="s">
        <v>47</v>
      </c>
      <c r="AC501" s="4" t="s">
        <v>61</v>
      </c>
      <c r="AD501" s="4" t="s">
        <v>1223</v>
      </c>
      <c r="AE501" s="4" t="s">
        <v>48</v>
      </c>
      <c r="AF501" s="4" t="s">
        <v>41</v>
      </c>
      <c r="AG501" s="4" t="s">
        <v>968</v>
      </c>
    </row>
    <row r="502" spans="1:33" ht="16.5" customHeight="1" x14ac:dyDescent="0.2">
      <c r="A502" s="2" t="s">
        <v>31</v>
      </c>
      <c r="B502" s="5" t="s">
        <v>54</v>
      </c>
      <c r="C502" s="5"/>
      <c r="D502" s="5"/>
      <c r="E502" s="6" t="s">
        <v>33</v>
      </c>
      <c r="F502" s="6"/>
      <c r="G502" s="7" t="s">
        <v>965</v>
      </c>
      <c r="H502" s="7"/>
      <c r="I502" s="7"/>
      <c r="J502" s="3" t="s">
        <v>35</v>
      </c>
      <c r="K502" s="4" t="s">
        <v>248</v>
      </c>
      <c r="L502" s="4" t="s">
        <v>443</v>
      </c>
      <c r="N502" s="7" t="s">
        <v>1221</v>
      </c>
      <c r="O502" s="7"/>
      <c r="P502" s="7" t="s">
        <v>1222</v>
      </c>
      <c r="Q502" s="7"/>
      <c r="R502" s="7"/>
      <c r="S502" s="3" t="s">
        <v>40</v>
      </c>
      <c r="T502" s="7" t="s">
        <v>41</v>
      </c>
      <c r="U502" s="7"/>
      <c r="V502" s="4" t="s">
        <v>51</v>
      </c>
      <c r="W502" s="4" t="s">
        <v>58</v>
      </c>
      <c r="X502" s="4" t="s">
        <v>128</v>
      </c>
      <c r="Y502" s="7" t="s">
        <v>60</v>
      </c>
      <c r="Z502" s="7"/>
      <c r="AA502" s="4" t="s">
        <v>46</v>
      </c>
      <c r="AB502" s="4" t="s">
        <v>47</v>
      </c>
      <c r="AC502" s="4" t="s">
        <v>61</v>
      </c>
      <c r="AD502" s="4" t="s">
        <v>1223</v>
      </c>
      <c r="AE502" s="4" t="s">
        <v>48</v>
      </c>
      <c r="AF502" s="4" t="s">
        <v>41</v>
      </c>
      <c r="AG502" s="4" t="s">
        <v>968</v>
      </c>
    </row>
    <row r="503" spans="1:33" ht="16.5" customHeight="1" x14ac:dyDescent="0.2">
      <c r="A503" s="2" t="s">
        <v>31</v>
      </c>
      <c r="B503" s="5" t="s">
        <v>54</v>
      </c>
      <c r="C503" s="5"/>
      <c r="D503" s="5"/>
      <c r="E503" s="6" t="s">
        <v>33</v>
      </c>
      <c r="F503" s="6"/>
      <c r="G503" s="7" t="s">
        <v>965</v>
      </c>
      <c r="H503" s="7"/>
      <c r="I503" s="7"/>
      <c r="J503" s="3" t="s">
        <v>35</v>
      </c>
      <c r="K503" s="4" t="s">
        <v>657</v>
      </c>
      <c r="L503" s="4" t="s">
        <v>37</v>
      </c>
      <c r="N503" s="7" t="s">
        <v>1224</v>
      </c>
      <c r="O503" s="7"/>
      <c r="P503" s="7" t="s">
        <v>1225</v>
      </c>
      <c r="Q503" s="7"/>
      <c r="R503" s="7"/>
      <c r="S503" s="3" t="s">
        <v>40</v>
      </c>
      <c r="T503" s="7" t="s">
        <v>41</v>
      </c>
      <c r="U503" s="7"/>
      <c r="V503" s="4" t="s">
        <v>42</v>
      </c>
      <c r="W503" s="4" t="s">
        <v>58</v>
      </c>
      <c r="X503" s="4" t="s">
        <v>59</v>
      </c>
      <c r="Y503" s="7" t="s">
        <v>197</v>
      </c>
      <c r="Z503" s="7"/>
      <c r="AA503" s="4" t="s">
        <v>46</v>
      </c>
      <c r="AB503" s="4" t="s">
        <v>47</v>
      </c>
      <c r="AC503" s="4" t="s">
        <v>136</v>
      </c>
      <c r="AD503" s="4" t="s">
        <v>137</v>
      </c>
      <c r="AE503" s="4" t="s">
        <v>48</v>
      </c>
      <c r="AF503" s="4" t="s">
        <v>41</v>
      </c>
      <c r="AG503" s="4" t="s">
        <v>968</v>
      </c>
    </row>
    <row r="504" spans="1:33" ht="16.5" customHeight="1" x14ac:dyDescent="0.2">
      <c r="A504" s="2" t="s">
        <v>31</v>
      </c>
      <c r="B504" s="5" t="s">
        <v>54</v>
      </c>
      <c r="C504" s="5"/>
      <c r="D504" s="5"/>
      <c r="E504" s="6" t="s">
        <v>33</v>
      </c>
      <c r="F504" s="6"/>
      <c r="G504" s="7" t="s">
        <v>965</v>
      </c>
      <c r="H504" s="7"/>
      <c r="I504" s="7"/>
      <c r="J504" s="3" t="s">
        <v>35</v>
      </c>
      <c r="K504" s="4" t="s">
        <v>657</v>
      </c>
      <c r="L504" s="4" t="s">
        <v>37</v>
      </c>
      <c r="N504" s="7" t="s">
        <v>1226</v>
      </c>
      <c r="O504" s="7"/>
      <c r="P504" s="7" t="s">
        <v>1227</v>
      </c>
      <c r="Q504" s="7"/>
      <c r="R504" s="7"/>
      <c r="S504" s="3" t="s">
        <v>40</v>
      </c>
      <c r="T504" s="7" t="s">
        <v>41</v>
      </c>
      <c r="U504" s="7"/>
      <c r="V504" s="4" t="s">
        <v>42</v>
      </c>
      <c r="W504" s="4" t="s">
        <v>58</v>
      </c>
      <c r="X504" s="4" t="s">
        <v>59</v>
      </c>
      <c r="Y504" s="7" t="s">
        <v>197</v>
      </c>
      <c r="Z504" s="7"/>
      <c r="AA504" s="4" t="s">
        <v>46</v>
      </c>
      <c r="AB504" s="4" t="s">
        <v>47</v>
      </c>
      <c r="AC504" s="4" t="s">
        <v>136</v>
      </c>
      <c r="AD504" s="4" t="s">
        <v>137</v>
      </c>
      <c r="AE504" s="4" t="s">
        <v>48</v>
      </c>
      <c r="AF504" s="4" t="s">
        <v>41</v>
      </c>
      <c r="AG504" s="4" t="s">
        <v>968</v>
      </c>
    </row>
    <row r="505" spans="1:33" ht="16.5" customHeight="1" x14ac:dyDescent="0.2">
      <c r="A505" s="2" t="s">
        <v>31</v>
      </c>
      <c r="B505" s="5" t="s">
        <v>54</v>
      </c>
      <c r="C505" s="5"/>
      <c r="D505" s="5"/>
      <c r="E505" s="6" t="s">
        <v>33</v>
      </c>
      <c r="F505" s="6"/>
      <c r="G505" s="7" t="s">
        <v>965</v>
      </c>
      <c r="H505" s="7"/>
      <c r="I505" s="7"/>
      <c r="J505" s="3" t="s">
        <v>35</v>
      </c>
      <c r="K505" s="4" t="s">
        <v>248</v>
      </c>
      <c r="L505" s="4" t="s">
        <v>37</v>
      </c>
      <c r="N505" s="7" t="s">
        <v>1228</v>
      </c>
      <c r="O505" s="7"/>
      <c r="P505" s="7" t="s">
        <v>1229</v>
      </c>
      <c r="Q505" s="7"/>
      <c r="R505" s="7"/>
      <c r="S505" s="3" t="s">
        <v>40</v>
      </c>
      <c r="T505" s="7" t="s">
        <v>41</v>
      </c>
      <c r="U505" s="7"/>
      <c r="V505" s="4" t="s">
        <v>42</v>
      </c>
      <c r="W505" s="4" t="s">
        <v>58</v>
      </c>
      <c r="X505" s="4" t="s">
        <v>59</v>
      </c>
      <c r="Y505" s="7" t="s">
        <v>60</v>
      </c>
      <c r="Z505" s="7"/>
      <c r="AA505" s="4" t="s">
        <v>46</v>
      </c>
      <c r="AB505" s="4" t="s">
        <v>47</v>
      </c>
      <c r="AC505" s="4" t="s">
        <v>61</v>
      </c>
      <c r="AD505" s="4" t="s">
        <v>62</v>
      </c>
      <c r="AE505" s="4" t="s">
        <v>48</v>
      </c>
      <c r="AF505" s="4" t="s">
        <v>41</v>
      </c>
      <c r="AG505" s="4" t="s">
        <v>968</v>
      </c>
    </row>
    <row r="506" spans="1:33" ht="16.5" customHeight="1" x14ac:dyDescent="0.2">
      <c r="A506" s="2" t="s">
        <v>31</v>
      </c>
      <c r="B506" s="5" t="s">
        <v>54</v>
      </c>
      <c r="C506" s="5"/>
      <c r="D506" s="5"/>
      <c r="E506" s="6" t="s">
        <v>33</v>
      </c>
      <c r="F506" s="6"/>
      <c r="G506" s="7" t="s">
        <v>965</v>
      </c>
      <c r="H506" s="7"/>
      <c r="I506" s="7"/>
      <c r="J506" s="3" t="s">
        <v>35</v>
      </c>
      <c r="K506" s="4" t="s">
        <v>657</v>
      </c>
      <c r="L506" s="4" t="s">
        <v>37</v>
      </c>
      <c r="N506" s="7" t="s">
        <v>1230</v>
      </c>
      <c r="O506" s="7"/>
      <c r="P506" s="7" t="s">
        <v>1231</v>
      </c>
      <c r="Q506" s="7"/>
      <c r="R506" s="7"/>
      <c r="S506" s="3" t="s">
        <v>40</v>
      </c>
      <c r="T506" s="7" t="s">
        <v>41</v>
      </c>
      <c r="U506" s="7"/>
      <c r="V506" s="4" t="s">
        <v>42</v>
      </c>
      <c r="W506" s="4" t="s">
        <v>58</v>
      </c>
      <c r="X506" s="4" t="s">
        <v>59</v>
      </c>
      <c r="Y506" s="7" t="s">
        <v>197</v>
      </c>
      <c r="Z506" s="7"/>
      <c r="AA506" s="4" t="s">
        <v>46</v>
      </c>
      <c r="AB506" s="4" t="s">
        <v>47</v>
      </c>
      <c r="AC506" s="4" t="s">
        <v>136</v>
      </c>
      <c r="AD506" s="4" t="s">
        <v>137</v>
      </c>
      <c r="AE506" s="4" t="s">
        <v>48</v>
      </c>
      <c r="AF506" s="4" t="s">
        <v>41</v>
      </c>
      <c r="AG506" s="4" t="s">
        <v>968</v>
      </c>
    </row>
    <row r="507" spans="1:33" ht="16.5" customHeight="1" x14ac:dyDescent="0.2">
      <c r="A507" s="2" t="s">
        <v>31</v>
      </c>
      <c r="B507" s="5" t="s">
        <v>54</v>
      </c>
      <c r="C507" s="5"/>
      <c r="D507" s="5"/>
      <c r="E507" s="6" t="s">
        <v>33</v>
      </c>
      <c r="F507" s="6"/>
      <c r="G507" s="7" t="s">
        <v>965</v>
      </c>
      <c r="H507" s="7"/>
      <c r="I507" s="7"/>
      <c r="J507" s="3" t="s">
        <v>35</v>
      </c>
      <c r="K507" s="4" t="s">
        <v>92</v>
      </c>
      <c r="L507" s="4" t="s">
        <v>93</v>
      </c>
      <c r="N507" s="7" t="s">
        <v>1232</v>
      </c>
      <c r="O507" s="7"/>
      <c r="P507" s="7" t="s">
        <v>1233</v>
      </c>
      <c r="Q507" s="7"/>
      <c r="R507" s="7"/>
      <c r="S507" s="3" t="s">
        <v>40</v>
      </c>
      <c r="T507" s="7" t="s">
        <v>41</v>
      </c>
      <c r="U507" s="7"/>
      <c r="V507" s="4" t="s">
        <v>42</v>
      </c>
      <c r="W507" s="4" t="s">
        <v>58</v>
      </c>
      <c r="X507" s="4" t="s">
        <v>59</v>
      </c>
      <c r="Y507" s="7" t="s">
        <v>78</v>
      </c>
      <c r="Z507" s="7"/>
      <c r="AA507" s="4" t="s">
        <v>46</v>
      </c>
      <c r="AB507" s="4" t="s">
        <v>47</v>
      </c>
      <c r="AC507" s="4" t="s">
        <v>79</v>
      </c>
      <c r="AD507" s="4" t="s">
        <v>96</v>
      </c>
      <c r="AE507" s="4" t="s">
        <v>48</v>
      </c>
      <c r="AF507" s="4" t="s">
        <v>41</v>
      </c>
      <c r="AG507" s="4" t="s">
        <v>968</v>
      </c>
    </row>
    <row r="508" spans="1:33" ht="16.5" customHeight="1" x14ac:dyDescent="0.2">
      <c r="A508" s="2" t="s">
        <v>31</v>
      </c>
      <c r="B508" s="5" t="s">
        <v>54</v>
      </c>
      <c r="C508" s="5"/>
      <c r="D508" s="5"/>
      <c r="E508" s="6" t="s">
        <v>33</v>
      </c>
      <c r="F508" s="6"/>
      <c r="G508" s="7" t="s">
        <v>965</v>
      </c>
      <c r="H508" s="7"/>
      <c r="I508" s="7"/>
      <c r="J508" s="3" t="s">
        <v>35</v>
      </c>
      <c r="K508" s="4" t="s">
        <v>73</v>
      </c>
      <c r="L508" s="4" t="s">
        <v>37</v>
      </c>
      <c r="N508" s="7" t="s">
        <v>1234</v>
      </c>
      <c r="O508" s="7"/>
      <c r="P508" s="7" t="s">
        <v>1235</v>
      </c>
      <c r="Q508" s="7"/>
      <c r="R508" s="7"/>
      <c r="S508" s="3" t="s">
        <v>40</v>
      </c>
      <c r="T508" s="7" t="s">
        <v>41</v>
      </c>
      <c r="U508" s="7"/>
      <c r="V508" s="4" t="s">
        <v>42</v>
      </c>
      <c r="W508" s="4" t="s">
        <v>58</v>
      </c>
      <c r="X508" s="4" t="s">
        <v>59</v>
      </c>
      <c r="Y508" s="7" t="s">
        <v>78</v>
      </c>
      <c r="Z508" s="7"/>
      <c r="AA508" s="4" t="s">
        <v>46</v>
      </c>
      <c r="AB508" s="4" t="s">
        <v>47</v>
      </c>
      <c r="AC508" s="4" t="s">
        <v>79</v>
      </c>
      <c r="AD508" s="4" t="s">
        <v>80</v>
      </c>
      <c r="AE508" s="4" t="s">
        <v>48</v>
      </c>
      <c r="AF508" s="4" t="s">
        <v>41</v>
      </c>
      <c r="AG508" s="4" t="s">
        <v>968</v>
      </c>
    </row>
    <row r="509" spans="1:33" ht="16.5" customHeight="1" x14ac:dyDescent="0.2">
      <c r="A509" s="2" t="s">
        <v>31</v>
      </c>
      <c r="B509" s="5" t="s">
        <v>54</v>
      </c>
      <c r="C509" s="5"/>
      <c r="D509" s="5"/>
      <c r="E509" s="6" t="s">
        <v>33</v>
      </c>
      <c r="F509" s="6"/>
      <c r="G509" s="7" t="s">
        <v>965</v>
      </c>
      <c r="H509" s="7"/>
      <c r="I509" s="7"/>
      <c r="J509" s="3" t="s">
        <v>35</v>
      </c>
      <c r="K509" s="4" t="s">
        <v>92</v>
      </c>
      <c r="L509" s="4" t="s">
        <v>93</v>
      </c>
      <c r="N509" s="7" t="s">
        <v>1236</v>
      </c>
      <c r="O509" s="7"/>
      <c r="P509" s="7" t="s">
        <v>1237</v>
      </c>
      <c r="Q509" s="7"/>
      <c r="R509" s="7"/>
      <c r="S509" s="3" t="s">
        <v>40</v>
      </c>
      <c r="T509" s="7" t="s">
        <v>41</v>
      </c>
      <c r="U509" s="7"/>
      <c r="V509" s="4" t="s">
        <v>42</v>
      </c>
      <c r="W509" s="4" t="s">
        <v>58</v>
      </c>
      <c r="X509" s="4" t="s">
        <v>59</v>
      </c>
      <c r="Y509" s="7" t="s">
        <v>78</v>
      </c>
      <c r="Z509" s="7"/>
      <c r="AA509" s="4" t="s">
        <v>46</v>
      </c>
      <c r="AB509" s="4" t="s">
        <v>47</v>
      </c>
      <c r="AC509" s="4" t="s">
        <v>79</v>
      </c>
      <c r="AD509" s="4" t="s">
        <v>96</v>
      </c>
      <c r="AE509" s="4" t="s">
        <v>48</v>
      </c>
      <c r="AF509" s="4" t="s">
        <v>41</v>
      </c>
      <c r="AG509" s="4" t="s">
        <v>968</v>
      </c>
    </row>
    <row r="510" spans="1:33" ht="16.5" customHeight="1" x14ac:dyDescent="0.2">
      <c r="A510" s="2" t="s">
        <v>31</v>
      </c>
      <c r="B510" s="5" t="s">
        <v>54</v>
      </c>
      <c r="C510" s="5"/>
      <c r="D510" s="5"/>
      <c r="E510" s="6" t="s">
        <v>33</v>
      </c>
      <c r="F510" s="6"/>
      <c r="G510" s="7" t="s">
        <v>965</v>
      </c>
      <c r="H510" s="7"/>
      <c r="I510" s="7"/>
      <c r="J510" s="3" t="s">
        <v>35</v>
      </c>
      <c r="K510" s="4" t="s">
        <v>92</v>
      </c>
      <c r="L510" s="4" t="s">
        <v>93</v>
      </c>
      <c r="N510" s="7" t="s">
        <v>1238</v>
      </c>
      <c r="O510" s="7"/>
      <c r="P510" s="7" t="s">
        <v>1239</v>
      </c>
      <c r="Q510" s="7"/>
      <c r="R510" s="7"/>
      <c r="S510" s="3" t="s">
        <v>40</v>
      </c>
      <c r="T510" s="7" t="s">
        <v>41</v>
      </c>
      <c r="U510" s="7"/>
      <c r="V510" s="4" t="s">
        <v>42</v>
      </c>
      <c r="W510" s="4" t="s">
        <v>58</v>
      </c>
      <c r="X510" s="4" t="s">
        <v>59</v>
      </c>
      <c r="Y510" s="7" t="s">
        <v>78</v>
      </c>
      <c r="Z510" s="7"/>
      <c r="AA510" s="4" t="s">
        <v>46</v>
      </c>
      <c r="AB510" s="4" t="s">
        <v>47</v>
      </c>
      <c r="AC510" s="4" t="s">
        <v>79</v>
      </c>
      <c r="AD510" s="4" t="s">
        <v>96</v>
      </c>
      <c r="AE510" s="4" t="s">
        <v>48</v>
      </c>
      <c r="AF510" s="4" t="s">
        <v>41</v>
      </c>
      <c r="AG510" s="4" t="s">
        <v>968</v>
      </c>
    </row>
    <row r="511" spans="1:33" ht="16.5" customHeight="1" x14ac:dyDescent="0.2">
      <c r="A511" s="2" t="s">
        <v>31</v>
      </c>
      <c r="B511" s="5" t="s">
        <v>54</v>
      </c>
      <c r="C511" s="5"/>
      <c r="D511" s="5"/>
      <c r="E511" s="6" t="s">
        <v>33</v>
      </c>
      <c r="F511" s="6"/>
      <c r="G511" s="7" t="s">
        <v>965</v>
      </c>
      <c r="H511" s="7"/>
      <c r="I511" s="7"/>
      <c r="J511" s="3" t="s">
        <v>35</v>
      </c>
      <c r="K511" s="4" t="s">
        <v>657</v>
      </c>
      <c r="L511" s="4" t="s">
        <v>93</v>
      </c>
      <c r="N511" s="7" t="s">
        <v>1240</v>
      </c>
      <c r="O511" s="7"/>
      <c r="P511" s="7" t="s">
        <v>1241</v>
      </c>
      <c r="Q511" s="7"/>
      <c r="R511" s="7"/>
      <c r="S511" s="3" t="s">
        <v>40</v>
      </c>
      <c r="T511" s="7" t="s">
        <v>41</v>
      </c>
      <c r="U511" s="7"/>
      <c r="V511" s="4" t="s">
        <v>42</v>
      </c>
      <c r="W511" s="4" t="s">
        <v>58</v>
      </c>
      <c r="X511" s="4" t="s">
        <v>59</v>
      </c>
      <c r="Y511" s="7" t="s">
        <v>197</v>
      </c>
      <c r="Z511" s="7"/>
      <c r="AA511" s="4" t="s">
        <v>46</v>
      </c>
      <c r="AB511" s="4" t="s">
        <v>47</v>
      </c>
      <c r="AC511" s="4" t="s">
        <v>136</v>
      </c>
      <c r="AD511" s="4" t="s">
        <v>148</v>
      </c>
      <c r="AE511" s="4" t="s">
        <v>48</v>
      </c>
      <c r="AF511" s="4" t="s">
        <v>41</v>
      </c>
      <c r="AG511" s="4" t="s">
        <v>968</v>
      </c>
    </row>
    <row r="512" spans="1:33" ht="16.5" customHeight="1" x14ac:dyDescent="0.2">
      <c r="A512" s="2" t="s">
        <v>31</v>
      </c>
      <c r="B512" s="5" t="s">
        <v>54</v>
      </c>
      <c r="C512" s="5"/>
      <c r="D512" s="5"/>
      <c r="E512" s="6" t="s">
        <v>33</v>
      </c>
      <c r="F512" s="6"/>
      <c r="G512" s="7" t="s">
        <v>965</v>
      </c>
      <c r="H512" s="7"/>
      <c r="I512" s="7"/>
      <c r="J512" s="3" t="s">
        <v>35</v>
      </c>
      <c r="K512" s="4" t="s">
        <v>202</v>
      </c>
      <c r="L512" s="4" t="s">
        <v>280</v>
      </c>
      <c r="N512" s="7" t="s">
        <v>1242</v>
      </c>
      <c r="O512" s="7"/>
      <c r="P512" s="7" t="s">
        <v>1243</v>
      </c>
      <c r="Q512" s="7"/>
      <c r="R512" s="7"/>
      <c r="S512" s="3" t="s">
        <v>40</v>
      </c>
      <c r="T512" s="7" t="s">
        <v>41</v>
      </c>
      <c r="U512" s="7"/>
      <c r="V512" s="4" t="s">
        <v>42</v>
      </c>
      <c r="W512" s="4" t="s">
        <v>58</v>
      </c>
      <c r="X512" s="4" t="s">
        <v>59</v>
      </c>
      <c r="Y512" s="7" t="s">
        <v>197</v>
      </c>
      <c r="Z512" s="7"/>
      <c r="AA512" s="4" t="s">
        <v>46</v>
      </c>
      <c r="AB512" s="4" t="s">
        <v>47</v>
      </c>
      <c r="AC512" s="4" t="s">
        <v>136</v>
      </c>
      <c r="AD512" s="4" t="s">
        <v>324</v>
      </c>
      <c r="AE512" s="4" t="s">
        <v>48</v>
      </c>
      <c r="AF512" s="4" t="s">
        <v>41</v>
      </c>
      <c r="AG512" s="4" t="s">
        <v>968</v>
      </c>
    </row>
    <row r="513" spans="1:33" ht="16.5" customHeight="1" x14ac:dyDescent="0.2">
      <c r="A513" s="2" t="s">
        <v>31</v>
      </c>
      <c r="B513" s="5" t="s">
        <v>54</v>
      </c>
      <c r="C513" s="5"/>
      <c r="D513" s="5"/>
      <c r="E513" s="6" t="s">
        <v>33</v>
      </c>
      <c r="F513" s="6"/>
      <c r="G513" s="7" t="s">
        <v>965</v>
      </c>
      <c r="H513" s="7"/>
      <c r="I513" s="7"/>
      <c r="J513" s="3" t="s">
        <v>35</v>
      </c>
      <c r="K513" s="4" t="s">
        <v>248</v>
      </c>
      <c r="L513" s="4" t="s">
        <v>443</v>
      </c>
      <c r="N513" s="7" t="s">
        <v>1244</v>
      </c>
      <c r="O513" s="7"/>
      <c r="P513" s="7" t="s">
        <v>1245</v>
      </c>
      <c r="Q513" s="7"/>
      <c r="R513" s="7"/>
      <c r="S513" s="3" t="s">
        <v>40</v>
      </c>
      <c r="T513" s="7" t="s">
        <v>41</v>
      </c>
      <c r="U513" s="7"/>
      <c r="V513" s="4" t="s">
        <v>42</v>
      </c>
      <c r="W513" s="4" t="s">
        <v>58</v>
      </c>
      <c r="X513" s="4" t="s">
        <v>59</v>
      </c>
      <c r="Y513" s="7" t="s">
        <v>60</v>
      </c>
      <c r="Z513" s="7"/>
      <c r="AA513" s="4" t="s">
        <v>46</v>
      </c>
      <c r="AB513" s="4" t="s">
        <v>47</v>
      </c>
      <c r="AC513" s="4" t="s">
        <v>61</v>
      </c>
      <c r="AD513" s="4" t="s">
        <v>1223</v>
      </c>
      <c r="AE513" s="4" t="s">
        <v>48</v>
      </c>
      <c r="AF513" s="4" t="s">
        <v>41</v>
      </c>
      <c r="AG513" s="4" t="s">
        <v>968</v>
      </c>
    </row>
    <row r="514" spans="1:33" ht="16.5" customHeight="1" x14ac:dyDescent="0.2">
      <c r="A514" s="2" t="s">
        <v>31</v>
      </c>
      <c r="B514" s="5" t="s">
        <v>54</v>
      </c>
      <c r="C514" s="5"/>
      <c r="D514" s="5"/>
      <c r="E514" s="6" t="s">
        <v>33</v>
      </c>
      <c r="F514" s="6"/>
      <c r="G514" s="7" t="s">
        <v>965</v>
      </c>
      <c r="H514" s="7"/>
      <c r="I514" s="7"/>
      <c r="J514" s="3" t="s">
        <v>35</v>
      </c>
      <c r="K514" s="4" t="s">
        <v>657</v>
      </c>
      <c r="L514" s="4" t="s">
        <v>37</v>
      </c>
      <c r="N514" s="7" t="s">
        <v>1246</v>
      </c>
      <c r="O514" s="7"/>
      <c r="P514" s="7" t="s">
        <v>1247</v>
      </c>
      <c r="Q514" s="7"/>
      <c r="R514" s="7"/>
      <c r="S514" s="3" t="s">
        <v>40</v>
      </c>
      <c r="T514" s="7" t="s">
        <v>41</v>
      </c>
      <c r="U514" s="7"/>
      <c r="V514" s="4" t="s">
        <v>42</v>
      </c>
      <c r="W514" s="4" t="s">
        <v>58</v>
      </c>
      <c r="X514" s="4" t="s">
        <v>59</v>
      </c>
      <c r="Y514" s="7" t="s">
        <v>197</v>
      </c>
      <c r="Z514" s="7"/>
      <c r="AA514" s="4" t="s">
        <v>46</v>
      </c>
      <c r="AB514" s="4" t="s">
        <v>47</v>
      </c>
      <c r="AC514" s="4" t="s">
        <v>136</v>
      </c>
      <c r="AD514" s="4" t="s">
        <v>137</v>
      </c>
      <c r="AE514" s="4" t="s">
        <v>48</v>
      </c>
      <c r="AF514" s="4" t="s">
        <v>41</v>
      </c>
      <c r="AG514" s="4" t="s">
        <v>968</v>
      </c>
    </row>
    <row r="515" spans="1:33" ht="16.5" customHeight="1" x14ac:dyDescent="0.2">
      <c r="A515" s="2" t="s">
        <v>31</v>
      </c>
      <c r="B515" s="5" t="s">
        <v>54</v>
      </c>
      <c r="C515" s="5"/>
      <c r="D515" s="5"/>
      <c r="E515" s="6" t="s">
        <v>33</v>
      </c>
      <c r="F515" s="6"/>
      <c r="G515" s="7" t="s">
        <v>965</v>
      </c>
      <c r="H515" s="7"/>
      <c r="I515" s="7"/>
      <c r="J515" s="3" t="s">
        <v>35</v>
      </c>
      <c r="K515" s="4" t="s">
        <v>657</v>
      </c>
      <c r="L515" s="4" t="s">
        <v>37</v>
      </c>
      <c r="N515" s="7" t="s">
        <v>1248</v>
      </c>
      <c r="O515" s="7"/>
      <c r="P515" s="7" t="s">
        <v>1249</v>
      </c>
      <c r="Q515" s="7"/>
      <c r="R515" s="7"/>
      <c r="S515" s="3" t="s">
        <v>40</v>
      </c>
      <c r="T515" s="7" t="s">
        <v>41</v>
      </c>
      <c r="U515" s="7"/>
      <c r="V515" s="4" t="s">
        <v>42</v>
      </c>
      <c r="W515" s="4" t="s">
        <v>58</v>
      </c>
      <c r="X515" s="4" t="s">
        <v>59</v>
      </c>
      <c r="Y515" s="7" t="s">
        <v>197</v>
      </c>
      <c r="Z515" s="7"/>
      <c r="AA515" s="4" t="s">
        <v>46</v>
      </c>
      <c r="AB515" s="4" t="s">
        <v>47</v>
      </c>
      <c r="AC515" s="4" t="s">
        <v>136</v>
      </c>
      <c r="AD515" s="4" t="s">
        <v>137</v>
      </c>
      <c r="AE515" s="4" t="s">
        <v>48</v>
      </c>
      <c r="AF515" s="4" t="s">
        <v>41</v>
      </c>
      <c r="AG515" s="4" t="s">
        <v>968</v>
      </c>
    </row>
    <row r="516" spans="1:33" ht="16.5" customHeight="1" x14ac:dyDescent="0.2">
      <c r="A516" s="2" t="s">
        <v>31</v>
      </c>
      <c r="B516" s="5" t="s">
        <v>54</v>
      </c>
      <c r="C516" s="5"/>
      <c r="D516" s="5"/>
      <c r="E516" s="6" t="s">
        <v>33</v>
      </c>
      <c r="F516" s="6"/>
      <c r="G516" s="7" t="s">
        <v>965</v>
      </c>
      <c r="H516" s="7"/>
      <c r="I516" s="7"/>
      <c r="J516" s="3" t="s">
        <v>35</v>
      </c>
      <c r="K516" s="4" t="s">
        <v>245</v>
      </c>
      <c r="L516" s="4" t="s">
        <v>37</v>
      </c>
      <c r="N516" s="7" t="s">
        <v>1250</v>
      </c>
      <c r="O516" s="7"/>
      <c r="P516" s="7" t="s">
        <v>1251</v>
      </c>
      <c r="Q516" s="7"/>
      <c r="R516" s="7"/>
      <c r="S516" s="3" t="s">
        <v>40</v>
      </c>
      <c r="T516" s="7" t="s">
        <v>41</v>
      </c>
      <c r="U516" s="7"/>
      <c r="V516" s="4" t="s">
        <v>42</v>
      </c>
      <c r="W516" s="4" t="s">
        <v>58</v>
      </c>
      <c r="X516" s="4" t="s">
        <v>59</v>
      </c>
      <c r="Y516" s="7" t="s">
        <v>78</v>
      </c>
      <c r="Z516" s="7"/>
      <c r="AA516" s="4" t="s">
        <v>46</v>
      </c>
      <c r="AB516" s="4" t="s">
        <v>47</v>
      </c>
      <c r="AC516" s="4" t="s">
        <v>79</v>
      </c>
      <c r="AD516" s="4" t="s">
        <v>80</v>
      </c>
      <c r="AE516" s="4" t="s">
        <v>48</v>
      </c>
      <c r="AF516" s="4" t="s">
        <v>41</v>
      </c>
      <c r="AG516" s="4" t="s">
        <v>968</v>
      </c>
    </row>
    <row r="517" spans="1:33" ht="16.5" customHeight="1" x14ac:dyDescent="0.2">
      <c r="A517" s="2" t="s">
        <v>31</v>
      </c>
      <c r="B517" s="5" t="s">
        <v>54</v>
      </c>
      <c r="C517" s="5"/>
      <c r="D517" s="5"/>
      <c r="E517" s="6" t="s">
        <v>33</v>
      </c>
      <c r="F517" s="6"/>
      <c r="G517" s="7" t="s">
        <v>965</v>
      </c>
      <c r="H517" s="7"/>
      <c r="I517" s="7"/>
      <c r="J517" s="3" t="s">
        <v>35</v>
      </c>
      <c r="K517" s="4" t="s">
        <v>55</v>
      </c>
      <c r="L517" s="4" t="s">
        <v>93</v>
      </c>
      <c r="N517" s="7" t="s">
        <v>1252</v>
      </c>
      <c r="O517" s="7"/>
      <c r="P517" s="7" t="s">
        <v>1253</v>
      </c>
      <c r="Q517" s="7"/>
      <c r="R517" s="7"/>
      <c r="S517" s="3" t="s">
        <v>40</v>
      </c>
      <c r="T517" s="7" t="s">
        <v>41</v>
      </c>
      <c r="U517" s="7"/>
      <c r="V517" s="4" t="s">
        <v>42</v>
      </c>
      <c r="W517" s="4" t="s">
        <v>51</v>
      </c>
      <c r="X517" s="4" t="s">
        <v>128</v>
      </c>
      <c r="Y517" s="7" t="s">
        <v>60</v>
      </c>
      <c r="Z517" s="7"/>
      <c r="AA517" s="4" t="s">
        <v>46</v>
      </c>
      <c r="AB517" s="4" t="s">
        <v>47</v>
      </c>
      <c r="AC517" s="4" t="s">
        <v>61</v>
      </c>
      <c r="AD517" s="4" t="s">
        <v>324</v>
      </c>
      <c r="AE517" s="4" t="s">
        <v>48</v>
      </c>
      <c r="AF517" s="4" t="s">
        <v>41</v>
      </c>
      <c r="AG517" s="4" t="s">
        <v>968</v>
      </c>
    </row>
    <row r="518" spans="1:33" ht="16.5" customHeight="1" x14ac:dyDescent="0.2">
      <c r="A518" s="2" t="s">
        <v>31</v>
      </c>
      <c r="B518" s="5" t="s">
        <v>54</v>
      </c>
      <c r="C518" s="5"/>
      <c r="D518" s="5"/>
      <c r="E518" s="6" t="s">
        <v>33</v>
      </c>
      <c r="F518" s="6"/>
      <c r="G518" s="7" t="s">
        <v>965</v>
      </c>
      <c r="H518" s="7"/>
      <c r="I518" s="7"/>
      <c r="J518" s="3" t="s">
        <v>35</v>
      </c>
      <c r="K518" s="4" t="s">
        <v>143</v>
      </c>
      <c r="L518" s="4" t="s">
        <v>37</v>
      </c>
      <c r="N518" s="7" t="s">
        <v>1254</v>
      </c>
      <c r="O518" s="7"/>
      <c r="P518" s="7" t="s">
        <v>1255</v>
      </c>
      <c r="Q518" s="7"/>
      <c r="R518" s="7"/>
      <c r="S518" s="3" t="s">
        <v>40</v>
      </c>
      <c r="T518" s="7" t="s">
        <v>41</v>
      </c>
      <c r="U518" s="7"/>
      <c r="V518" s="4" t="s">
        <v>42</v>
      </c>
      <c r="W518" s="4" t="s">
        <v>51</v>
      </c>
      <c r="X518" s="4" t="s">
        <v>128</v>
      </c>
      <c r="Y518" s="7" t="s">
        <v>135</v>
      </c>
      <c r="Z518" s="7"/>
      <c r="AA518" s="4" t="s">
        <v>46</v>
      </c>
      <c r="AB518" s="4" t="s">
        <v>47</v>
      </c>
      <c r="AC518" s="4" t="s">
        <v>79</v>
      </c>
      <c r="AD518" s="4" t="s">
        <v>80</v>
      </c>
      <c r="AE518" s="4" t="s">
        <v>48</v>
      </c>
      <c r="AF518" s="4" t="s">
        <v>41</v>
      </c>
      <c r="AG518" s="4" t="s">
        <v>968</v>
      </c>
    </row>
    <row r="519" spans="1:33" ht="16.5" customHeight="1" x14ac:dyDescent="0.2">
      <c r="A519" s="2" t="s">
        <v>31</v>
      </c>
      <c r="B519" s="5" t="s">
        <v>54</v>
      </c>
      <c r="C519" s="5"/>
      <c r="D519" s="5"/>
      <c r="E519" s="6" t="s">
        <v>33</v>
      </c>
      <c r="F519" s="6"/>
      <c r="G519" s="7" t="s">
        <v>965</v>
      </c>
      <c r="H519" s="7"/>
      <c r="I519" s="7"/>
      <c r="J519" s="3" t="s">
        <v>35</v>
      </c>
      <c r="K519" s="4" t="s">
        <v>149</v>
      </c>
      <c r="L519" s="4" t="s">
        <v>37</v>
      </c>
      <c r="N519" s="7" t="s">
        <v>1256</v>
      </c>
      <c r="O519" s="7"/>
      <c r="P519" s="7" t="s">
        <v>1257</v>
      </c>
      <c r="Q519" s="7"/>
      <c r="R519" s="7"/>
      <c r="S519" s="3" t="s">
        <v>40</v>
      </c>
      <c r="T519" s="7" t="s">
        <v>41</v>
      </c>
      <c r="U519" s="7"/>
      <c r="V519" s="4" t="s">
        <v>42</v>
      </c>
      <c r="W519" s="4" t="s">
        <v>51</v>
      </c>
      <c r="X519" s="4" t="s">
        <v>128</v>
      </c>
      <c r="Y519" s="7" t="s">
        <v>78</v>
      </c>
      <c r="Z519" s="7"/>
      <c r="AA519" s="4" t="s">
        <v>46</v>
      </c>
      <c r="AB519" s="4" t="s">
        <v>47</v>
      </c>
      <c r="AC519" s="4" t="s">
        <v>79</v>
      </c>
      <c r="AD519" s="4" t="s">
        <v>80</v>
      </c>
      <c r="AE519" s="4" t="s">
        <v>48</v>
      </c>
      <c r="AF519" s="4" t="s">
        <v>41</v>
      </c>
      <c r="AG519" s="4" t="s">
        <v>968</v>
      </c>
    </row>
    <row r="520" spans="1:33" ht="16.5" customHeight="1" x14ac:dyDescent="0.2">
      <c r="A520" s="2" t="s">
        <v>31</v>
      </c>
      <c r="B520" s="5" t="s">
        <v>54</v>
      </c>
      <c r="C520" s="5"/>
      <c r="D520" s="5"/>
      <c r="E520" s="6" t="s">
        <v>33</v>
      </c>
      <c r="F520" s="6"/>
      <c r="G520" s="7" t="s">
        <v>965</v>
      </c>
      <c r="H520" s="7"/>
      <c r="I520" s="7"/>
      <c r="J520" s="3" t="s">
        <v>35</v>
      </c>
      <c r="K520" s="4" t="s">
        <v>657</v>
      </c>
      <c r="L520" s="4" t="s">
        <v>231</v>
      </c>
      <c r="N520" s="7" t="s">
        <v>1258</v>
      </c>
      <c r="O520" s="7"/>
      <c r="P520" s="7" t="s">
        <v>1259</v>
      </c>
      <c r="Q520" s="7"/>
      <c r="R520" s="7"/>
      <c r="S520" s="3" t="s">
        <v>40</v>
      </c>
      <c r="T520" s="7" t="s">
        <v>41</v>
      </c>
      <c r="U520" s="7"/>
      <c r="V520" s="4" t="s">
        <v>42</v>
      </c>
      <c r="W520" s="4" t="s">
        <v>51</v>
      </c>
      <c r="X520" s="4" t="s">
        <v>128</v>
      </c>
      <c r="Y520" s="7" t="s">
        <v>197</v>
      </c>
      <c r="Z520" s="7"/>
      <c r="AA520" s="4" t="s">
        <v>46</v>
      </c>
      <c r="AB520" s="4" t="s">
        <v>47</v>
      </c>
      <c r="AC520" s="4" t="s">
        <v>136</v>
      </c>
      <c r="AD520" s="4" t="s">
        <v>447</v>
      </c>
      <c r="AE520" s="4" t="s">
        <v>48</v>
      </c>
      <c r="AF520" s="4" t="s">
        <v>41</v>
      </c>
      <c r="AG520" s="4" t="s">
        <v>968</v>
      </c>
    </row>
    <row r="521" spans="1:33" ht="16.5" customHeight="1" x14ac:dyDescent="0.2">
      <c r="A521" s="2" t="s">
        <v>31</v>
      </c>
      <c r="B521" s="5" t="s">
        <v>54</v>
      </c>
      <c r="C521" s="5"/>
      <c r="D521" s="5"/>
      <c r="E521" s="6" t="s">
        <v>33</v>
      </c>
      <c r="F521" s="6"/>
      <c r="G521" s="7" t="s">
        <v>965</v>
      </c>
      <c r="H521" s="7"/>
      <c r="I521" s="7"/>
      <c r="J521" s="3" t="s">
        <v>35</v>
      </c>
      <c r="K521" s="4" t="s">
        <v>97</v>
      </c>
      <c r="L521" s="4" t="s">
        <v>37</v>
      </c>
      <c r="N521" s="7" t="s">
        <v>1260</v>
      </c>
      <c r="O521" s="7"/>
      <c r="P521" s="7" t="s">
        <v>1261</v>
      </c>
      <c r="Q521" s="7"/>
      <c r="R521" s="7"/>
      <c r="S521" s="3" t="s">
        <v>40</v>
      </c>
      <c r="T521" s="7" t="s">
        <v>41</v>
      </c>
      <c r="U521" s="7"/>
      <c r="V521" s="4" t="s">
        <v>42</v>
      </c>
      <c r="W521" s="4" t="s">
        <v>288</v>
      </c>
      <c r="X521" s="4" t="s">
        <v>213</v>
      </c>
      <c r="Y521" s="7" t="s">
        <v>78</v>
      </c>
      <c r="Z521" s="7"/>
      <c r="AA521" s="4" t="s">
        <v>46</v>
      </c>
      <c r="AB521" s="4" t="s">
        <v>47</v>
      </c>
      <c r="AC521" s="4" t="s">
        <v>136</v>
      </c>
      <c r="AD521" s="4" t="s">
        <v>137</v>
      </c>
      <c r="AE521" s="4" t="s">
        <v>48</v>
      </c>
      <c r="AF521" s="4" t="s">
        <v>41</v>
      </c>
      <c r="AG521" s="4" t="s">
        <v>968</v>
      </c>
    </row>
    <row r="522" spans="1:33" ht="16.5" customHeight="1" x14ac:dyDescent="0.2">
      <c r="A522" s="2" t="s">
        <v>31</v>
      </c>
      <c r="B522" s="5" t="s">
        <v>108</v>
      </c>
      <c r="C522" s="5"/>
      <c r="D522" s="5"/>
      <c r="E522" s="6" t="s">
        <v>33</v>
      </c>
      <c r="F522" s="6"/>
      <c r="G522" s="7" t="s">
        <v>965</v>
      </c>
      <c r="H522" s="7"/>
      <c r="I522" s="7"/>
      <c r="J522" s="3" t="s">
        <v>35</v>
      </c>
      <c r="K522" s="4" t="s">
        <v>398</v>
      </c>
      <c r="N522" s="7" t="s">
        <v>1262</v>
      </c>
      <c r="O522" s="7"/>
      <c r="P522" s="7" t="s">
        <v>967</v>
      </c>
      <c r="Q522" s="7"/>
      <c r="R522" s="7"/>
      <c r="S522" s="3" t="s">
        <v>40</v>
      </c>
      <c r="T522" s="7" t="s">
        <v>1263</v>
      </c>
      <c r="U522" s="7"/>
      <c r="V522" s="4" t="s">
        <v>51</v>
      </c>
      <c r="W522" s="4" t="s">
        <v>107</v>
      </c>
      <c r="X522" s="4" t="s">
        <v>386</v>
      </c>
      <c r="Y522" s="7" t="s">
        <v>402</v>
      </c>
      <c r="Z522" s="7"/>
      <c r="AA522" s="4" t="s">
        <v>46</v>
      </c>
      <c r="AB522" s="4" t="s">
        <v>115</v>
      </c>
      <c r="AC522" s="4" t="s">
        <v>403</v>
      </c>
      <c r="AD522" s="4" t="s">
        <v>1264</v>
      </c>
      <c r="AE522" s="4" t="s">
        <v>48</v>
      </c>
      <c r="AF522" s="4" t="s">
        <v>41</v>
      </c>
      <c r="AG522" s="4" t="s">
        <v>968</v>
      </c>
    </row>
    <row r="523" spans="1:33" ht="16.5" customHeight="1" x14ac:dyDescent="0.2">
      <c r="A523" s="2" t="s">
        <v>31</v>
      </c>
      <c r="B523" s="5" t="s">
        <v>32</v>
      </c>
      <c r="C523" s="5"/>
      <c r="D523" s="5"/>
      <c r="E523" s="6" t="s">
        <v>33</v>
      </c>
      <c r="F523" s="6"/>
      <c r="G523" s="7" t="s">
        <v>1265</v>
      </c>
      <c r="H523" s="7"/>
      <c r="I523" s="7"/>
      <c r="J523" s="3" t="s">
        <v>35</v>
      </c>
      <c r="K523" s="4" t="s">
        <v>642</v>
      </c>
      <c r="L523" s="4" t="s">
        <v>37</v>
      </c>
      <c r="N523" s="7" t="s">
        <v>1266</v>
      </c>
      <c r="O523" s="7"/>
      <c r="P523" s="7" t="s">
        <v>1267</v>
      </c>
      <c r="Q523" s="7"/>
      <c r="R523" s="7"/>
      <c r="S523" s="3" t="s">
        <v>40</v>
      </c>
      <c r="T523" s="7" t="s">
        <v>41</v>
      </c>
      <c r="U523" s="7"/>
      <c r="V523" s="4" t="s">
        <v>42</v>
      </c>
      <c r="W523" s="4" t="s">
        <v>107</v>
      </c>
      <c r="X523" s="4" t="s">
        <v>104</v>
      </c>
      <c r="Y523" s="7" t="s">
        <v>45</v>
      </c>
      <c r="Z523" s="7"/>
      <c r="AA523" s="4" t="s">
        <v>46</v>
      </c>
      <c r="AB523" s="4" t="s">
        <v>47</v>
      </c>
      <c r="AD523" s="4" t="s">
        <v>41</v>
      </c>
      <c r="AE523" s="4" t="s">
        <v>48</v>
      </c>
      <c r="AF523" s="4" t="s">
        <v>41</v>
      </c>
      <c r="AG523" s="4" t="s">
        <v>1268</v>
      </c>
    </row>
    <row r="524" spans="1:33" ht="16.5" customHeight="1" x14ac:dyDescent="0.2">
      <c r="A524" s="2" t="s">
        <v>31</v>
      </c>
      <c r="B524" s="5" t="s">
        <v>50</v>
      </c>
      <c r="C524" s="5"/>
      <c r="D524" s="5"/>
      <c r="E524" s="6" t="s">
        <v>33</v>
      </c>
      <c r="F524" s="6"/>
      <c r="G524" s="7" t="s">
        <v>1265</v>
      </c>
      <c r="H524" s="7"/>
      <c r="I524" s="7"/>
      <c r="J524" s="3" t="s">
        <v>35</v>
      </c>
      <c r="K524" s="4" t="s">
        <v>642</v>
      </c>
      <c r="N524" s="7" t="s">
        <v>1266</v>
      </c>
      <c r="O524" s="7"/>
      <c r="P524" s="7" t="s">
        <v>1267</v>
      </c>
      <c r="Q524" s="7"/>
      <c r="R524" s="7"/>
      <c r="S524" s="3" t="s">
        <v>40</v>
      </c>
      <c r="T524" s="7" t="s">
        <v>41</v>
      </c>
      <c r="U524" s="7"/>
      <c r="V524" s="4" t="s">
        <v>51</v>
      </c>
      <c r="W524" s="4" t="s">
        <v>107</v>
      </c>
      <c r="X524" s="4" t="s">
        <v>386</v>
      </c>
      <c r="Y524" s="7" t="s">
        <v>45</v>
      </c>
      <c r="Z524" s="7"/>
      <c r="AA524" s="4" t="s">
        <v>46</v>
      </c>
      <c r="AB524" s="4" t="s">
        <v>47</v>
      </c>
      <c r="AD524" s="4" t="s">
        <v>1269</v>
      </c>
      <c r="AE524" s="4" t="s">
        <v>48</v>
      </c>
      <c r="AF524" s="4" t="s">
        <v>41</v>
      </c>
      <c r="AG524" s="4" t="s">
        <v>1268</v>
      </c>
    </row>
    <row r="525" spans="1:33" ht="16.5" customHeight="1" x14ac:dyDescent="0.2">
      <c r="A525" s="2" t="s">
        <v>31</v>
      </c>
      <c r="B525" s="5" t="s">
        <v>1270</v>
      </c>
      <c r="C525" s="5"/>
      <c r="D525" s="5"/>
      <c r="E525" s="6" t="s">
        <v>33</v>
      </c>
      <c r="F525" s="6"/>
      <c r="G525" s="7" t="s">
        <v>1265</v>
      </c>
      <c r="H525" s="7"/>
      <c r="I525" s="7"/>
      <c r="J525" s="3" t="s">
        <v>35</v>
      </c>
      <c r="K525" s="4" t="s">
        <v>642</v>
      </c>
      <c r="L525" s="4" t="s">
        <v>37</v>
      </c>
      <c r="N525" s="7" t="s">
        <v>1271</v>
      </c>
      <c r="O525" s="7"/>
      <c r="P525" s="7" t="s">
        <v>1272</v>
      </c>
      <c r="Q525" s="7"/>
      <c r="R525" s="7"/>
      <c r="S525" s="3" t="s">
        <v>40</v>
      </c>
      <c r="T525" s="7" t="s">
        <v>41</v>
      </c>
      <c r="U525" s="7"/>
      <c r="V525" s="4" t="s">
        <v>42</v>
      </c>
      <c r="W525" s="4" t="s">
        <v>51</v>
      </c>
      <c r="X525" s="4" t="s">
        <v>128</v>
      </c>
      <c r="Y525" s="7" t="s">
        <v>45</v>
      </c>
      <c r="Z525" s="7"/>
      <c r="AA525" s="4" t="s">
        <v>46</v>
      </c>
      <c r="AB525" s="4" t="s">
        <v>47</v>
      </c>
      <c r="AD525" s="4" t="s">
        <v>1273</v>
      </c>
      <c r="AE525" s="4" t="s">
        <v>48</v>
      </c>
      <c r="AF525" s="4" t="s">
        <v>41</v>
      </c>
      <c r="AG525" s="4" t="s">
        <v>1268</v>
      </c>
    </row>
    <row r="526" spans="1:33" ht="16.5" customHeight="1" x14ac:dyDescent="0.2">
      <c r="A526" s="2" t="s">
        <v>31</v>
      </c>
      <c r="B526" s="5" t="s">
        <v>50</v>
      </c>
      <c r="C526" s="5"/>
      <c r="D526" s="5"/>
      <c r="E526" s="6" t="s">
        <v>33</v>
      </c>
      <c r="F526" s="6"/>
      <c r="G526" s="7" t="s">
        <v>1265</v>
      </c>
      <c r="H526" s="7"/>
      <c r="I526" s="7"/>
      <c r="J526" s="3" t="s">
        <v>35</v>
      </c>
      <c r="K526" s="4" t="s">
        <v>661</v>
      </c>
      <c r="N526" s="7" t="s">
        <v>1274</v>
      </c>
      <c r="O526" s="7"/>
      <c r="P526" s="7" t="s">
        <v>1275</v>
      </c>
      <c r="Q526" s="7"/>
      <c r="R526" s="7"/>
      <c r="S526" s="3" t="s">
        <v>40</v>
      </c>
      <c r="T526" s="7" t="s">
        <v>41</v>
      </c>
      <c r="U526" s="7"/>
      <c r="V526" s="4" t="s">
        <v>51</v>
      </c>
      <c r="W526" s="4" t="s">
        <v>107</v>
      </c>
      <c r="X526" s="4" t="s">
        <v>386</v>
      </c>
      <c r="Y526" s="7" t="s">
        <v>664</v>
      </c>
      <c r="Z526" s="7"/>
      <c r="AA526" s="4" t="s">
        <v>46</v>
      </c>
      <c r="AB526" s="4" t="s">
        <v>47</v>
      </c>
      <c r="AD526" s="4" t="s">
        <v>96</v>
      </c>
      <c r="AE526" s="4" t="s">
        <v>48</v>
      </c>
      <c r="AF526" s="4" t="s">
        <v>41</v>
      </c>
      <c r="AG526" s="4" t="s">
        <v>1268</v>
      </c>
    </row>
    <row r="527" spans="1:33" ht="16.5" customHeight="1" x14ac:dyDescent="0.2">
      <c r="A527" s="2" t="s">
        <v>31</v>
      </c>
      <c r="B527" s="5" t="s">
        <v>54</v>
      </c>
      <c r="C527" s="5"/>
      <c r="D527" s="5"/>
      <c r="E527" s="6" t="s">
        <v>33</v>
      </c>
      <c r="F527" s="6"/>
      <c r="G527" s="7" t="s">
        <v>1265</v>
      </c>
      <c r="H527" s="7"/>
      <c r="I527" s="7"/>
      <c r="J527" s="3" t="s">
        <v>35</v>
      </c>
      <c r="K527" s="4" t="s">
        <v>55</v>
      </c>
      <c r="L527" s="4" t="s">
        <v>37</v>
      </c>
      <c r="N527" s="7" t="s">
        <v>1276</v>
      </c>
      <c r="O527" s="7"/>
      <c r="P527" s="7" t="s">
        <v>1277</v>
      </c>
      <c r="Q527" s="7"/>
      <c r="R527" s="7"/>
      <c r="S527" s="3" t="s">
        <v>40</v>
      </c>
      <c r="T527" s="7" t="s">
        <v>41</v>
      </c>
      <c r="U527" s="7"/>
      <c r="V527" s="4" t="s">
        <v>51</v>
      </c>
      <c r="W527" s="4" t="s">
        <v>570</v>
      </c>
      <c r="X527" s="4" t="s">
        <v>761</v>
      </c>
      <c r="Y527" s="7" t="s">
        <v>60</v>
      </c>
      <c r="Z527" s="7"/>
      <c r="AA527" s="4" t="s">
        <v>46</v>
      </c>
      <c r="AB527" s="4" t="s">
        <v>47</v>
      </c>
      <c r="AC527" s="4" t="s">
        <v>72</v>
      </c>
      <c r="AD527" s="4" t="s">
        <v>41</v>
      </c>
      <c r="AE527" s="4" t="s">
        <v>48</v>
      </c>
      <c r="AF527" s="4" t="s">
        <v>41</v>
      </c>
      <c r="AG527" s="4" t="s">
        <v>1268</v>
      </c>
    </row>
    <row r="528" spans="1:33" ht="16.5" customHeight="1" x14ac:dyDescent="0.2">
      <c r="A528" s="2" t="s">
        <v>31</v>
      </c>
      <c r="B528" s="5" t="s">
        <v>54</v>
      </c>
      <c r="C528" s="5"/>
      <c r="D528" s="5"/>
      <c r="E528" s="6" t="s">
        <v>33</v>
      </c>
      <c r="F528" s="6"/>
      <c r="G528" s="7" t="s">
        <v>1265</v>
      </c>
      <c r="H528" s="7"/>
      <c r="I528" s="7"/>
      <c r="J528" s="3" t="s">
        <v>35</v>
      </c>
      <c r="K528" s="4" t="s">
        <v>143</v>
      </c>
      <c r="L528" s="4" t="s">
        <v>93</v>
      </c>
      <c r="N528" s="7" t="s">
        <v>1278</v>
      </c>
      <c r="O528" s="7"/>
      <c r="P528" s="7" t="s">
        <v>1279</v>
      </c>
      <c r="Q528" s="7"/>
      <c r="R528" s="7"/>
      <c r="S528" s="3" t="s">
        <v>40</v>
      </c>
      <c r="T528" s="7" t="s">
        <v>41</v>
      </c>
      <c r="U528" s="7"/>
      <c r="V528" s="4" t="s">
        <v>42</v>
      </c>
      <c r="W528" s="4" t="s">
        <v>181</v>
      </c>
      <c r="X528" s="4" t="s">
        <v>182</v>
      </c>
      <c r="Y528" s="7" t="s">
        <v>135</v>
      </c>
      <c r="Z528" s="7"/>
      <c r="AA528" s="4" t="s">
        <v>46</v>
      </c>
      <c r="AB528" s="4" t="s">
        <v>47</v>
      </c>
      <c r="AC528" s="4" t="s">
        <v>79</v>
      </c>
      <c r="AD528" s="4" t="s">
        <v>96</v>
      </c>
      <c r="AE528" s="4" t="s">
        <v>48</v>
      </c>
      <c r="AF528" s="4" t="s">
        <v>41</v>
      </c>
      <c r="AG528" s="4" t="s">
        <v>1268</v>
      </c>
    </row>
    <row r="529" spans="1:33" ht="16.5" customHeight="1" x14ac:dyDescent="0.2">
      <c r="A529" s="2" t="s">
        <v>31</v>
      </c>
      <c r="B529" s="5" t="s">
        <v>54</v>
      </c>
      <c r="C529" s="5"/>
      <c r="D529" s="5"/>
      <c r="E529" s="6" t="s">
        <v>33</v>
      </c>
      <c r="F529" s="6"/>
      <c r="G529" s="7" t="s">
        <v>1265</v>
      </c>
      <c r="H529" s="7"/>
      <c r="I529" s="7"/>
      <c r="J529" s="3" t="s">
        <v>35</v>
      </c>
      <c r="K529" s="4" t="s">
        <v>143</v>
      </c>
      <c r="L529" s="4" t="s">
        <v>93</v>
      </c>
      <c r="N529" s="7" t="s">
        <v>1278</v>
      </c>
      <c r="O529" s="7"/>
      <c r="P529" s="7" t="s">
        <v>1279</v>
      </c>
      <c r="Q529" s="7"/>
      <c r="R529" s="7"/>
      <c r="S529" s="3" t="s">
        <v>40</v>
      </c>
      <c r="T529" s="7" t="s">
        <v>41</v>
      </c>
      <c r="U529" s="7"/>
      <c r="V529" s="4" t="s">
        <v>51</v>
      </c>
      <c r="W529" s="4" t="s">
        <v>181</v>
      </c>
      <c r="X529" s="4" t="s">
        <v>69</v>
      </c>
      <c r="Y529" s="7" t="s">
        <v>135</v>
      </c>
      <c r="Z529" s="7"/>
      <c r="AA529" s="4" t="s">
        <v>46</v>
      </c>
      <c r="AB529" s="4" t="s">
        <v>47</v>
      </c>
      <c r="AC529" s="4" t="s">
        <v>79</v>
      </c>
      <c r="AD529" s="4" t="s">
        <v>96</v>
      </c>
      <c r="AE529" s="4" t="s">
        <v>48</v>
      </c>
      <c r="AF529" s="4" t="s">
        <v>41</v>
      </c>
      <c r="AG529" s="4" t="s">
        <v>1268</v>
      </c>
    </row>
    <row r="530" spans="1:33" ht="16.5" customHeight="1" x14ac:dyDescent="0.2">
      <c r="A530" s="2" t="s">
        <v>31</v>
      </c>
      <c r="B530" s="5" t="s">
        <v>54</v>
      </c>
      <c r="C530" s="5"/>
      <c r="D530" s="5"/>
      <c r="E530" s="6" t="s">
        <v>33</v>
      </c>
      <c r="F530" s="6"/>
      <c r="G530" s="7" t="s">
        <v>1265</v>
      </c>
      <c r="H530" s="7"/>
      <c r="I530" s="7"/>
      <c r="J530" s="3" t="s">
        <v>35</v>
      </c>
      <c r="K530" s="4" t="s">
        <v>657</v>
      </c>
      <c r="L530" s="4" t="s">
        <v>37</v>
      </c>
      <c r="N530" s="7" t="s">
        <v>1280</v>
      </c>
      <c r="O530" s="7"/>
      <c r="P530" s="7" t="s">
        <v>1281</v>
      </c>
      <c r="Q530" s="7"/>
      <c r="R530" s="7"/>
      <c r="S530" s="3" t="s">
        <v>40</v>
      </c>
      <c r="T530" s="7" t="s">
        <v>41</v>
      </c>
      <c r="U530" s="7"/>
      <c r="V530" s="4" t="s">
        <v>42</v>
      </c>
      <c r="W530" s="4" t="s">
        <v>58</v>
      </c>
      <c r="X530" s="4" t="s">
        <v>59</v>
      </c>
      <c r="Y530" s="7" t="s">
        <v>197</v>
      </c>
      <c r="Z530" s="7"/>
      <c r="AA530" s="4" t="s">
        <v>46</v>
      </c>
      <c r="AB530" s="4" t="s">
        <v>47</v>
      </c>
      <c r="AC530" s="4" t="s">
        <v>136</v>
      </c>
      <c r="AD530" s="4" t="s">
        <v>137</v>
      </c>
      <c r="AE530" s="4" t="s">
        <v>48</v>
      </c>
      <c r="AF530" s="4" t="s">
        <v>41</v>
      </c>
      <c r="AG530" s="4" t="s">
        <v>1268</v>
      </c>
    </row>
    <row r="531" spans="1:33" ht="16.5" customHeight="1" x14ac:dyDescent="0.2">
      <c r="A531" s="2" t="s">
        <v>31</v>
      </c>
      <c r="B531" s="5" t="s">
        <v>108</v>
      </c>
      <c r="C531" s="5"/>
      <c r="D531" s="5"/>
      <c r="E531" s="6" t="s">
        <v>33</v>
      </c>
      <c r="F531" s="6"/>
      <c r="G531" s="7" t="s">
        <v>1265</v>
      </c>
      <c r="H531" s="7"/>
      <c r="I531" s="7"/>
      <c r="J531" s="3" t="s">
        <v>35</v>
      </c>
      <c r="K531" s="4" t="s">
        <v>928</v>
      </c>
      <c r="N531" s="7" t="s">
        <v>1282</v>
      </c>
      <c r="O531" s="7"/>
      <c r="P531" s="7" t="s">
        <v>1275</v>
      </c>
      <c r="Q531" s="7"/>
      <c r="R531" s="7"/>
      <c r="S531" s="3" t="s">
        <v>40</v>
      </c>
      <c r="T531" s="7" t="s">
        <v>1283</v>
      </c>
      <c r="U531" s="7"/>
      <c r="V531" s="4" t="s">
        <v>42</v>
      </c>
      <c r="W531" s="4" t="s">
        <v>107</v>
      </c>
      <c r="X531" s="4" t="s">
        <v>104</v>
      </c>
      <c r="Y531" s="7" t="s">
        <v>402</v>
      </c>
      <c r="Z531" s="7"/>
      <c r="AA531" s="4" t="s">
        <v>46</v>
      </c>
      <c r="AB531" s="4" t="s">
        <v>115</v>
      </c>
      <c r="AC531" s="4" t="s">
        <v>403</v>
      </c>
      <c r="AD531" s="4" t="s">
        <v>1284</v>
      </c>
      <c r="AE531" s="4" t="s">
        <v>48</v>
      </c>
      <c r="AF531" s="4" t="s">
        <v>41</v>
      </c>
      <c r="AG531" s="4" t="s">
        <v>1268</v>
      </c>
    </row>
    <row r="532" spans="1:33" ht="16.5" customHeight="1" x14ac:dyDescent="0.2">
      <c r="A532" s="2" t="s">
        <v>31</v>
      </c>
      <c r="B532" s="5" t="s">
        <v>108</v>
      </c>
      <c r="C532" s="5"/>
      <c r="D532" s="5"/>
      <c r="E532" s="6" t="s">
        <v>33</v>
      </c>
      <c r="F532" s="6"/>
      <c r="G532" s="7" t="s">
        <v>1265</v>
      </c>
      <c r="H532" s="7"/>
      <c r="I532" s="7"/>
      <c r="J532" s="3" t="s">
        <v>35</v>
      </c>
      <c r="K532" s="4" t="s">
        <v>1285</v>
      </c>
      <c r="N532" s="7" t="s">
        <v>1286</v>
      </c>
      <c r="O532" s="7"/>
      <c r="P532" s="7" t="s">
        <v>1287</v>
      </c>
      <c r="Q532" s="7"/>
      <c r="R532" s="7"/>
      <c r="S532" s="3" t="s">
        <v>40</v>
      </c>
      <c r="T532" s="7" t="s">
        <v>1288</v>
      </c>
      <c r="U532" s="7"/>
      <c r="V532" s="4" t="s">
        <v>51</v>
      </c>
      <c r="W532" s="4" t="s">
        <v>58</v>
      </c>
      <c r="X532" s="4" t="s">
        <v>128</v>
      </c>
      <c r="Y532" s="7" t="s">
        <v>937</v>
      </c>
      <c r="Z532" s="7"/>
      <c r="AA532" s="4" t="s">
        <v>46</v>
      </c>
      <c r="AB532" s="4" t="s">
        <v>115</v>
      </c>
      <c r="AC532" s="4" t="s">
        <v>938</v>
      </c>
      <c r="AD532" s="4" t="s">
        <v>1289</v>
      </c>
      <c r="AE532" s="4" t="s">
        <v>48</v>
      </c>
      <c r="AF532" s="4" t="s">
        <v>41</v>
      </c>
      <c r="AG532" s="4" t="s">
        <v>1268</v>
      </c>
    </row>
    <row r="533" spans="1:33" ht="16.5" customHeight="1" x14ac:dyDescent="0.2">
      <c r="A533" s="2" t="s">
        <v>31</v>
      </c>
      <c r="B533" s="5" t="s">
        <v>108</v>
      </c>
      <c r="C533" s="5"/>
      <c r="D533" s="5"/>
      <c r="E533" s="6" t="s">
        <v>33</v>
      </c>
      <c r="F533" s="6"/>
      <c r="G533" s="7" t="s">
        <v>1265</v>
      </c>
      <c r="H533" s="7"/>
      <c r="I533" s="7"/>
      <c r="J533" s="3" t="s">
        <v>35</v>
      </c>
      <c r="K533" s="4" t="s">
        <v>398</v>
      </c>
      <c r="N533" s="7" t="s">
        <v>1290</v>
      </c>
      <c r="O533" s="7"/>
      <c r="P533" s="7" t="s">
        <v>1291</v>
      </c>
      <c r="Q533" s="7"/>
      <c r="R533" s="7"/>
      <c r="S533" s="3" t="s">
        <v>40</v>
      </c>
      <c r="T533" s="7" t="s">
        <v>401</v>
      </c>
      <c r="U533" s="7"/>
      <c r="V533" s="4" t="s">
        <v>58</v>
      </c>
      <c r="W533" s="4" t="s">
        <v>107</v>
      </c>
      <c r="X533" s="4" t="s">
        <v>59</v>
      </c>
      <c r="Y533" s="7" t="s">
        <v>402</v>
      </c>
      <c r="Z533" s="7"/>
      <c r="AA533" s="4" t="s">
        <v>46</v>
      </c>
      <c r="AB533" s="4" t="s">
        <v>115</v>
      </c>
      <c r="AC533" s="4" t="s">
        <v>403</v>
      </c>
      <c r="AD533" s="4" t="s">
        <v>404</v>
      </c>
      <c r="AE533" s="4" t="s">
        <v>48</v>
      </c>
      <c r="AF533" s="4" t="s">
        <v>41</v>
      </c>
      <c r="AG533" s="4" t="s">
        <v>1268</v>
      </c>
    </row>
    <row r="534" spans="1:33" ht="16.5" customHeight="1" x14ac:dyDescent="0.2">
      <c r="A534" s="2" t="s">
        <v>31</v>
      </c>
      <c r="B534" s="5" t="s">
        <v>108</v>
      </c>
      <c r="C534" s="5"/>
      <c r="D534" s="5"/>
      <c r="E534" s="6" t="s">
        <v>33</v>
      </c>
      <c r="F534" s="6"/>
      <c r="G534" s="7" t="s">
        <v>1265</v>
      </c>
      <c r="H534" s="7"/>
      <c r="I534" s="7"/>
      <c r="J534" s="3" t="s">
        <v>35</v>
      </c>
      <c r="K534" s="4" t="s">
        <v>398</v>
      </c>
      <c r="N534" s="7" t="s">
        <v>1290</v>
      </c>
      <c r="O534" s="7"/>
      <c r="P534" s="7" t="s">
        <v>1291</v>
      </c>
      <c r="Q534" s="7"/>
      <c r="R534" s="7"/>
      <c r="S534" s="3" t="s">
        <v>40</v>
      </c>
      <c r="T534" s="7" t="s">
        <v>401</v>
      </c>
      <c r="U534" s="7"/>
      <c r="V534" s="4" t="s">
        <v>172</v>
      </c>
      <c r="W534" s="4" t="s">
        <v>107</v>
      </c>
      <c r="X534" s="4" t="s">
        <v>128</v>
      </c>
      <c r="Y534" s="7" t="s">
        <v>402</v>
      </c>
      <c r="Z534" s="7"/>
      <c r="AA534" s="4" t="s">
        <v>46</v>
      </c>
      <c r="AB534" s="4" t="s">
        <v>115</v>
      </c>
      <c r="AC534" s="4" t="s">
        <v>403</v>
      </c>
      <c r="AD534" s="4" t="s">
        <v>404</v>
      </c>
      <c r="AE534" s="4" t="s">
        <v>48</v>
      </c>
      <c r="AF534" s="4" t="s">
        <v>41</v>
      </c>
      <c r="AG534" s="4" t="s">
        <v>1268</v>
      </c>
    </row>
    <row r="535" spans="1:33" ht="16.5" customHeight="1" x14ac:dyDescent="0.2">
      <c r="A535" s="2" t="s">
        <v>31</v>
      </c>
      <c r="B535" s="5" t="s">
        <v>108</v>
      </c>
      <c r="C535" s="5"/>
      <c r="D535" s="5"/>
      <c r="E535" s="6" t="s">
        <v>33</v>
      </c>
      <c r="F535" s="6"/>
      <c r="G535" s="7" t="s">
        <v>1265</v>
      </c>
      <c r="H535" s="7"/>
      <c r="I535" s="7"/>
      <c r="J535" s="3" t="s">
        <v>35</v>
      </c>
      <c r="K535" s="4" t="s">
        <v>1285</v>
      </c>
      <c r="N535" s="7" t="s">
        <v>1290</v>
      </c>
      <c r="O535" s="7"/>
      <c r="P535" s="7" t="s">
        <v>1291</v>
      </c>
      <c r="Q535" s="7"/>
      <c r="R535" s="7"/>
      <c r="S535" s="3" t="s">
        <v>40</v>
      </c>
      <c r="T535" s="7" t="s">
        <v>1292</v>
      </c>
      <c r="U535" s="7"/>
      <c r="V535" s="4" t="s">
        <v>51</v>
      </c>
      <c r="W535" s="4" t="s">
        <v>58</v>
      </c>
      <c r="X535" s="4" t="s">
        <v>128</v>
      </c>
      <c r="Y535" s="7" t="s">
        <v>937</v>
      </c>
      <c r="Z535" s="7"/>
      <c r="AA535" s="4" t="s">
        <v>46</v>
      </c>
      <c r="AB535" s="4" t="s">
        <v>115</v>
      </c>
      <c r="AC535" s="4" t="s">
        <v>938</v>
      </c>
      <c r="AD535" s="4" t="s">
        <v>1293</v>
      </c>
      <c r="AE535" s="4" t="s">
        <v>48</v>
      </c>
      <c r="AF535" s="4" t="s">
        <v>41</v>
      </c>
      <c r="AG535" s="4" t="s">
        <v>1268</v>
      </c>
    </row>
    <row r="536" spans="1:33" ht="16.5" customHeight="1" x14ac:dyDescent="0.2">
      <c r="A536" s="2" t="s">
        <v>31</v>
      </c>
      <c r="B536" s="5" t="s">
        <v>108</v>
      </c>
      <c r="C536" s="5"/>
      <c r="D536" s="5"/>
      <c r="E536" s="6" t="s">
        <v>33</v>
      </c>
      <c r="F536" s="6"/>
      <c r="G536" s="7" t="s">
        <v>1265</v>
      </c>
      <c r="H536" s="7"/>
      <c r="I536" s="7"/>
      <c r="J536" s="3" t="s">
        <v>35</v>
      </c>
      <c r="K536" s="4" t="s">
        <v>398</v>
      </c>
      <c r="N536" s="7" t="s">
        <v>1294</v>
      </c>
      <c r="O536" s="7"/>
      <c r="P536" s="7" t="s">
        <v>1295</v>
      </c>
      <c r="Q536" s="7"/>
      <c r="R536" s="7"/>
      <c r="S536" s="3" t="s">
        <v>40</v>
      </c>
      <c r="T536" s="7" t="s">
        <v>1296</v>
      </c>
      <c r="U536" s="7"/>
      <c r="V536" s="4" t="s">
        <v>51</v>
      </c>
      <c r="W536" s="4" t="s">
        <v>58</v>
      </c>
      <c r="X536" s="4" t="s">
        <v>128</v>
      </c>
      <c r="Y536" s="7" t="s">
        <v>402</v>
      </c>
      <c r="Z536" s="7"/>
      <c r="AA536" s="4" t="s">
        <v>46</v>
      </c>
      <c r="AB536" s="4" t="s">
        <v>115</v>
      </c>
      <c r="AC536" s="4" t="s">
        <v>403</v>
      </c>
      <c r="AD536" s="4" t="s">
        <v>1297</v>
      </c>
      <c r="AE536" s="4" t="s">
        <v>48</v>
      </c>
      <c r="AF536" s="4" t="s">
        <v>41</v>
      </c>
      <c r="AG536" s="4" t="s">
        <v>1268</v>
      </c>
    </row>
    <row r="537" spans="1:33" ht="16.5" customHeight="1" x14ac:dyDescent="0.2">
      <c r="A537" s="2" t="s">
        <v>31</v>
      </c>
      <c r="B537" s="5" t="s">
        <v>108</v>
      </c>
      <c r="C537" s="5"/>
      <c r="D537" s="5"/>
      <c r="E537" s="6" t="s">
        <v>33</v>
      </c>
      <c r="F537" s="6"/>
      <c r="G537" s="7" t="s">
        <v>1265</v>
      </c>
      <c r="H537" s="7"/>
      <c r="I537" s="7"/>
      <c r="J537" s="3" t="s">
        <v>35</v>
      </c>
      <c r="K537" s="4" t="s">
        <v>933</v>
      </c>
      <c r="N537" s="7" t="s">
        <v>1298</v>
      </c>
      <c r="O537" s="7"/>
      <c r="P537" s="7" t="s">
        <v>1299</v>
      </c>
      <c r="Q537" s="7"/>
      <c r="R537" s="7"/>
      <c r="S537" s="3" t="s">
        <v>40</v>
      </c>
      <c r="T537" s="7" t="s">
        <v>1300</v>
      </c>
      <c r="U537" s="7"/>
      <c r="V537" s="4" t="s">
        <v>51</v>
      </c>
      <c r="W537" s="4" t="s">
        <v>58</v>
      </c>
      <c r="X537" s="4" t="s">
        <v>128</v>
      </c>
      <c r="Y537" s="7" t="s">
        <v>937</v>
      </c>
      <c r="Z537" s="7"/>
      <c r="AA537" s="4" t="s">
        <v>46</v>
      </c>
      <c r="AB537" s="4" t="s">
        <v>115</v>
      </c>
      <c r="AC537" s="4" t="s">
        <v>938</v>
      </c>
      <c r="AD537" s="4" t="s">
        <v>1301</v>
      </c>
      <c r="AE537" s="4" t="s">
        <v>48</v>
      </c>
      <c r="AF537" s="4" t="s">
        <v>41</v>
      </c>
      <c r="AG537" s="4" t="s">
        <v>1268</v>
      </c>
    </row>
    <row r="538" spans="1:33" ht="16.5" customHeight="1" x14ac:dyDescent="0.2">
      <c r="A538" s="2" t="s">
        <v>31</v>
      </c>
      <c r="B538" s="5" t="s">
        <v>108</v>
      </c>
      <c r="C538" s="5"/>
      <c r="D538" s="5"/>
      <c r="E538" s="6" t="s">
        <v>33</v>
      </c>
      <c r="F538" s="6"/>
      <c r="G538" s="7" t="s">
        <v>1265</v>
      </c>
      <c r="H538" s="7"/>
      <c r="I538" s="7"/>
      <c r="J538" s="3" t="s">
        <v>35</v>
      </c>
      <c r="K538" s="4" t="s">
        <v>1285</v>
      </c>
      <c r="N538" s="7" t="s">
        <v>1302</v>
      </c>
      <c r="O538" s="7"/>
      <c r="P538" s="7" t="s">
        <v>1303</v>
      </c>
      <c r="Q538" s="7"/>
      <c r="R538" s="7"/>
      <c r="S538" s="3" t="s">
        <v>40</v>
      </c>
      <c r="T538" s="7" t="s">
        <v>1304</v>
      </c>
      <c r="U538" s="7"/>
      <c r="V538" s="4" t="s">
        <v>1305</v>
      </c>
      <c r="W538" s="4" t="s">
        <v>58</v>
      </c>
      <c r="X538" s="4" t="s">
        <v>91</v>
      </c>
      <c r="Y538" s="7" t="s">
        <v>961</v>
      </c>
      <c r="Z538" s="7"/>
      <c r="AA538" s="4" t="s">
        <v>46</v>
      </c>
      <c r="AB538" s="4" t="s">
        <v>115</v>
      </c>
      <c r="AC538" s="4" t="s">
        <v>962</v>
      </c>
      <c r="AD538" s="4" t="s">
        <v>1306</v>
      </c>
      <c r="AE538" s="4" t="s">
        <v>48</v>
      </c>
      <c r="AF538" s="4" t="s">
        <v>41</v>
      </c>
      <c r="AG538" s="4" t="s">
        <v>1268</v>
      </c>
    </row>
    <row r="539" spans="1:33" ht="16.5" customHeight="1" x14ac:dyDescent="0.2">
      <c r="A539" s="2" t="s">
        <v>31</v>
      </c>
      <c r="B539" s="5" t="s">
        <v>108</v>
      </c>
      <c r="C539" s="5"/>
      <c r="D539" s="5"/>
      <c r="E539" s="6" t="s">
        <v>33</v>
      </c>
      <c r="F539" s="6"/>
      <c r="G539" s="7" t="s">
        <v>1265</v>
      </c>
      <c r="H539" s="7"/>
      <c r="I539" s="7"/>
      <c r="J539" s="3" t="s">
        <v>35</v>
      </c>
      <c r="K539" s="4" t="s">
        <v>1285</v>
      </c>
      <c r="N539" s="7" t="s">
        <v>1302</v>
      </c>
      <c r="O539" s="7"/>
      <c r="P539" s="7" t="s">
        <v>1303</v>
      </c>
      <c r="Q539" s="7"/>
      <c r="R539" s="7"/>
      <c r="S539" s="3" t="s">
        <v>40</v>
      </c>
      <c r="T539" s="7" t="s">
        <v>1304</v>
      </c>
      <c r="U539" s="7"/>
      <c r="V539" s="4" t="s">
        <v>1305</v>
      </c>
      <c r="W539" s="4" t="s">
        <v>58</v>
      </c>
      <c r="X539" s="4" t="s">
        <v>91</v>
      </c>
      <c r="Y539" s="7" t="s">
        <v>961</v>
      </c>
      <c r="Z539" s="7"/>
      <c r="AA539" s="4" t="s">
        <v>46</v>
      </c>
      <c r="AB539" s="4" t="s">
        <v>115</v>
      </c>
      <c r="AC539" s="4" t="s">
        <v>962</v>
      </c>
      <c r="AD539" s="4" t="s">
        <v>1306</v>
      </c>
      <c r="AE539" s="4" t="s">
        <v>48</v>
      </c>
      <c r="AF539" s="4" t="s">
        <v>41</v>
      </c>
      <c r="AG539" s="4" t="s">
        <v>1268</v>
      </c>
    </row>
    <row r="540" spans="1:33" ht="16.5" customHeight="1" x14ac:dyDescent="0.2">
      <c r="A540" s="2" t="s">
        <v>31</v>
      </c>
      <c r="B540" s="5" t="s">
        <v>108</v>
      </c>
      <c r="C540" s="5"/>
      <c r="D540" s="5"/>
      <c r="E540" s="6" t="s">
        <v>33</v>
      </c>
      <c r="F540" s="6"/>
      <c r="G540" s="7" t="s">
        <v>1265</v>
      </c>
      <c r="H540" s="7"/>
      <c r="I540" s="7"/>
      <c r="J540" s="3" t="s">
        <v>35</v>
      </c>
      <c r="K540" s="4" t="s">
        <v>1285</v>
      </c>
      <c r="N540" s="7" t="s">
        <v>1302</v>
      </c>
      <c r="O540" s="7"/>
      <c r="P540" s="7" t="s">
        <v>1303</v>
      </c>
      <c r="Q540" s="7"/>
      <c r="R540" s="7"/>
      <c r="S540" s="3" t="s">
        <v>40</v>
      </c>
      <c r="T540" s="7" t="s">
        <v>1307</v>
      </c>
      <c r="U540" s="7"/>
      <c r="V540" s="4" t="s">
        <v>1305</v>
      </c>
      <c r="W540" s="4" t="s">
        <v>58</v>
      </c>
      <c r="X540" s="4" t="s">
        <v>91</v>
      </c>
      <c r="Y540" s="7" t="s">
        <v>961</v>
      </c>
      <c r="Z540" s="7"/>
      <c r="AA540" s="4" t="s">
        <v>46</v>
      </c>
      <c r="AB540" s="4" t="s">
        <v>115</v>
      </c>
      <c r="AC540" s="4" t="s">
        <v>962</v>
      </c>
      <c r="AD540" s="4" t="s">
        <v>1308</v>
      </c>
      <c r="AE540" s="4" t="s">
        <v>48</v>
      </c>
      <c r="AF540" s="4" t="s">
        <v>41</v>
      </c>
      <c r="AG540" s="4" t="s">
        <v>1268</v>
      </c>
    </row>
    <row r="541" spans="1:33" ht="16.5" customHeight="1" x14ac:dyDescent="0.2">
      <c r="A541" s="2" t="s">
        <v>31</v>
      </c>
      <c r="B541" s="5" t="s">
        <v>108</v>
      </c>
      <c r="C541" s="5"/>
      <c r="D541" s="5"/>
      <c r="E541" s="6" t="s">
        <v>33</v>
      </c>
      <c r="F541" s="6"/>
      <c r="G541" s="7" t="s">
        <v>1265</v>
      </c>
      <c r="H541" s="7"/>
      <c r="I541" s="7"/>
      <c r="J541" s="3" t="s">
        <v>35</v>
      </c>
      <c r="K541" s="4" t="s">
        <v>1285</v>
      </c>
      <c r="N541" s="7" t="s">
        <v>1302</v>
      </c>
      <c r="O541" s="7"/>
      <c r="P541" s="7" t="s">
        <v>1303</v>
      </c>
      <c r="Q541" s="7"/>
      <c r="R541" s="7"/>
      <c r="S541" s="3" t="s">
        <v>40</v>
      </c>
      <c r="T541" s="7" t="s">
        <v>1304</v>
      </c>
      <c r="U541" s="7"/>
      <c r="V541" s="4" t="s">
        <v>1309</v>
      </c>
      <c r="W541" s="4" t="s">
        <v>58</v>
      </c>
      <c r="X541" s="4" t="s">
        <v>103</v>
      </c>
      <c r="Y541" s="7" t="s">
        <v>961</v>
      </c>
      <c r="Z541" s="7"/>
      <c r="AA541" s="4" t="s">
        <v>46</v>
      </c>
      <c r="AB541" s="4" t="s">
        <v>115</v>
      </c>
      <c r="AC541" s="4" t="s">
        <v>962</v>
      </c>
      <c r="AD541" s="4" t="s">
        <v>1306</v>
      </c>
      <c r="AE541" s="4" t="s">
        <v>48</v>
      </c>
      <c r="AF541" s="4" t="s">
        <v>41</v>
      </c>
      <c r="AG541" s="4" t="s">
        <v>1268</v>
      </c>
    </row>
    <row r="542" spans="1:33" ht="16.5" customHeight="1" x14ac:dyDescent="0.2">
      <c r="A542" s="2" t="s">
        <v>31</v>
      </c>
      <c r="B542" s="5" t="s">
        <v>108</v>
      </c>
      <c r="C542" s="5"/>
      <c r="D542" s="5"/>
      <c r="E542" s="6" t="s">
        <v>33</v>
      </c>
      <c r="F542" s="6"/>
      <c r="G542" s="7" t="s">
        <v>1265</v>
      </c>
      <c r="H542" s="7"/>
      <c r="I542" s="7"/>
      <c r="J542" s="3" t="s">
        <v>35</v>
      </c>
      <c r="K542" s="4" t="s">
        <v>1285</v>
      </c>
      <c r="N542" s="7" t="s">
        <v>1302</v>
      </c>
      <c r="O542" s="7"/>
      <c r="P542" s="7" t="s">
        <v>1303</v>
      </c>
      <c r="Q542" s="7"/>
      <c r="R542" s="7"/>
      <c r="S542" s="3" t="s">
        <v>40</v>
      </c>
      <c r="T542" s="7" t="s">
        <v>1304</v>
      </c>
      <c r="U542" s="7"/>
      <c r="V542" s="4" t="s">
        <v>1309</v>
      </c>
      <c r="W542" s="4" t="s">
        <v>58</v>
      </c>
      <c r="X542" s="4" t="s">
        <v>103</v>
      </c>
      <c r="Y542" s="7" t="s">
        <v>961</v>
      </c>
      <c r="Z542" s="7"/>
      <c r="AA542" s="4" t="s">
        <v>46</v>
      </c>
      <c r="AB542" s="4" t="s">
        <v>115</v>
      </c>
      <c r="AC542" s="4" t="s">
        <v>962</v>
      </c>
      <c r="AD542" s="4" t="s">
        <v>1306</v>
      </c>
      <c r="AE542" s="4" t="s">
        <v>48</v>
      </c>
      <c r="AF542" s="4" t="s">
        <v>41</v>
      </c>
      <c r="AG542" s="4" t="s">
        <v>1268</v>
      </c>
    </row>
    <row r="543" spans="1:33" ht="16.5" customHeight="1" x14ac:dyDescent="0.2">
      <c r="A543" s="2" t="s">
        <v>31</v>
      </c>
      <c r="B543" s="5" t="s">
        <v>108</v>
      </c>
      <c r="C543" s="5"/>
      <c r="D543" s="5"/>
      <c r="E543" s="6" t="s">
        <v>33</v>
      </c>
      <c r="F543" s="6"/>
      <c r="G543" s="7" t="s">
        <v>1265</v>
      </c>
      <c r="H543" s="7"/>
      <c r="I543" s="7"/>
      <c r="J543" s="3" t="s">
        <v>35</v>
      </c>
      <c r="K543" s="4" t="s">
        <v>1285</v>
      </c>
      <c r="N543" s="7" t="s">
        <v>1302</v>
      </c>
      <c r="O543" s="7"/>
      <c r="P543" s="7" t="s">
        <v>1303</v>
      </c>
      <c r="Q543" s="7"/>
      <c r="R543" s="7"/>
      <c r="S543" s="3" t="s">
        <v>40</v>
      </c>
      <c r="T543" s="7" t="s">
        <v>1307</v>
      </c>
      <c r="U543" s="7"/>
      <c r="V543" s="4" t="s">
        <v>1309</v>
      </c>
      <c r="W543" s="4" t="s">
        <v>58</v>
      </c>
      <c r="X543" s="4" t="s">
        <v>103</v>
      </c>
      <c r="Y543" s="7" t="s">
        <v>961</v>
      </c>
      <c r="Z543" s="7"/>
      <c r="AA543" s="4" t="s">
        <v>46</v>
      </c>
      <c r="AB543" s="4" t="s">
        <v>115</v>
      </c>
      <c r="AC543" s="4" t="s">
        <v>962</v>
      </c>
      <c r="AD543" s="4" t="s">
        <v>1308</v>
      </c>
      <c r="AE543" s="4" t="s">
        <v>48</v>
      </c>
      <c r="AF543" s="4" t="s">
        <v>41</v>
      </c>
      <c r="AG543" s="4" t="s">
        <v>1268</v>
      </c>
    </row>
    <row r="544" spans="1:33" ht="16.5" customHeight="1" x14ac:dyDescent="0.2">
      <c r="A544" s="2" t="s">
        <v>31</v>
      </c>
      <c r="B544" s="5" t="s">
        <v>108</v>
      </c>
      <c r="C544" s="5"/>
      <c r="D544" s="5"/>
      <c r="E544" s="6" t="s">
        <v>33</v>
      </c>
      <c r="F544" s="6"/>
      <c r="G544" s="7" t="s">
        <v>1265</v>
      </c>
      <c r="H544" s="7"/>
      <c r="I544" s="7"/>
      <c r="J544" s="3" t="s">
        <v>35</v>
      </c>
      <c r="K544" s="4" t="s">
        <v>1285</v>
      </c>
      <c r="N544" s="7" t="s">
        <v>1302</v>
      </c>
      <c r="O544" s="7"/>
      <c r="P544" s="7" t="s">
        <v>1303</v>
      </c>
      <c r="Q544" s="7"/>
      <c r="R544" s="7"/>
      <c r="S544" s="3" t="s">
        <v>40</v>
      </c>
      <c r="T544" s="7" t="s">
        <v>1304</v>
      </c>
      <c r="U544" s="7"/>
      <c r="V544" s="4" t="s">
        <v>1310</v>
      </c>
      <c r="W544" s="4" t="s">
        <v>58</v>
      </c>
      <c r="X544" s="4" t="s">
        <v>104</v>
      </c>
      <c r="Y544" s="7" t="s">
        <v>961</v>
      </c>
      <c r="Z544" s="7"/>
      <c r="AA544" s="4" t="s">
        <v>46</v>
      </c>
      <c r="AB544" s="4" t="s">
        <v>115</v>
      </c>
      <c r="AC544" s="4" t="s">
        <v>962</v>
      </c>
      <c r="AD544" s="4" t="s">
        <v>1306</v>
      </c>
      <c r="AE544" s="4" t="s">
        <v>48</v>
      </c>
      <c r="AF544" s="4" t="s">
        <v>41</v>
      </c>
      <c r="AG544" s="4" t="s">
        <v>1268</v>
      </c>
    </row>
    <row r="545" spans="1:33" ht="16.5" customHeight="1" x14ac:dyDescent="0.2">
      <c r="A545" s="2" t="s">
        <v>31</v>
      </c>
      <c r="B545" s="5" t="s">
        <v>108</v>
      </c>
      <c r="C545" s="5"/>
      <c r="D545" s="5"/>
      <c r="E545" s="6" t="s">
        <v>33</v>
      </c>
      <c r="F545" s="6"/>
      <c r="G545" s="7" t="s">
        <v>1265</v>
      </c>
      <c r="H545" s="7"/>
      <c r="I545" s="7"/>
      <c r="J545" s="3" t="s">
        <v>35</v>
      </c>
      <c r="K545" s="4" t="s">
        <v>1285</v>
      </c>
      <c r="N545" s="7" t="s">
        <v>1302</v>
      </c>
      <c r="O545" s="7"/>
      <c r="P545" s="7" t="s">
        <v>1303</v>
      </c>
      <c r="Q545" s="7"/>
      <c r="R545" s="7"/>
      <c r="S545" s="3" t="s">
        <v>40</v>
      </c>
      <c r="T545" s="7" t="s">
        <v>1304</v>
      </c>
      <c r="U545" s="7"/>
      <c r="V545" s="4" t="s">
        <v>1310</v>
      </c>
      <c r="W545" s="4" t="s">
        <v>58</v>
      </c>
      <c r="X545" s="4" t="s">
        <v>104</v>
      </c>
      <c r="Y545" s="7" t="s">
        <v>961</v>
      </c>
      <c r="Z545" s="7"/>
      <c r="AA545" s="4" t="s">
        <v>46</v>
      </c>
      <c r="AB545" s="4" t="s">
        <v>115</v>
      </c>
      <c r="AC545" s="4" t="s">
        <v>962</v>
      </c>
      <c r="AD545" s="4" t="s">
        <v>1306</v>
      </c>
      <c r="AE545" s="4" t="s">
        <v>48</v>
      </c>
      <c r="AF545" s="4" t="s">
        <v>41</v>
      </c>
      <c r="AG545" s="4" t="s">
        <v>1268</v>
      </c>
    </row>
    <row r="546" spans="1:33" ht="16.5" customHeight="1" x14ac:dyDescent="0.2">
      <c r="A546" s="2" t="s">
        <v>31</v>
      </c>
      <c r="B546" s="5" t="s">
        <v>108</v>
      </c>
      <c r="C546" s="5"/>
      <c r="D546" s="5"/>
      <c r="E546" s="6" t="s">
        <v>33</v>
      </c>
      <c r="F546" s="6"/>
      <c r="G546" s="7" t="s">
        <v>1265</v>
      </c>
      <c r="H546" s="7"/>
      <c r="I546" s="7"/>
      <c r="J546" s="3" t="s">
        <v>35</v>
      </c>
      <c r="K546" s="4" t="s">
        <v>1285</v>
      </c>
      <c r="N546" s="7" t="s">
        <v>1302</v>
      </c>
      <c r="O546" s="7"/>
      <c r="P546" s="7" t="s">
        <v>1303</v>
      </c>
      <c r="Q546" s="7"/>
      <c r="R546" s="7"/>
      <c r="S546" s="3" t="s">
        <v>40</v>
      </c>
      <c r="T546" s="7" t="s">
        <v>1307</v>
      </c>
      <c r="U546" s="7"/>
      <c r="V546" s="4" t="s">
        <v>1310</v>
      </c>
      <c r="W546" s="4" t="s">
        <v>58</v>
      </c>
      <c r="X546" s="4" t="s">
        <v>104</v>
      </c>
      <c r="Y546" s="7" t="s">
        <v>961</v>
      </c>
      <c r="Z546" s="7"/>
      <c r="AA546" s="4" t="s">
        <v>46</v>
      </c>
      <c r="AB546" s="4" t="s">
        <v>115</v>
      </c>
      <c r="AC546" s="4" t="s">
        <v>962</v>
      </c>
      <c r="AD546" s="4" t="s">
        <v>1308</v>
      </c>
      <c r="AE546" s="4" t="s">
        <v>48</v>
      </c>
      <c r="AF546" s="4" t="s">
        <v>41</v>
      </c>
      <c r="AG546" s="4" t="s">
        <v>1268</v>
      </c>
    </row>
    <row r="547" spans="1:33" ht="16.5" customHeight="1" x14ac:dyDescent="0.2">
      <c r="A547" s="2" t="s">
        <v>31</v>
      </c>
      <c r="B547" s="5" t="s">
        <v>108</v>
      </c>
      <c r="C547" s="5"/>
      <c r="D547" s="5"/>
      <c r="E547" s="6" t="s">
        <v>33</v>
      </c>
      <c r="F547" s="6"/>
      <c r="G547" s="7" t="s">
        <v>1265</v>
      </c>
      <c r="H547" s="7"/>
      <c r="I547" s="7"/>
      <c r="J547" s="3" t="s">
        <v>35</v>
      </c>
      <c r="K547" s="4" t="s">
        <v>1285</v>
      </c>
      <c r="N547" s="7" t="s">
        <v>1302</v>
      </c>
      <c r="O547" s="7"/>
      <c r="P547" s="7" t="s">
        <v>1303</v>
      </c>
      <c r="Q547" s="7"/>
      <c r="R547" s="7"/>
      <c r="S547" s="3" t="s">
        <v>40</v>
      </c>
      <c r="T547" s="7" t="s">
        <v>1304</v>
      </c>
      <c r="U547" s="7"/>
      <c r="V547" s="4" t="s">
        <v>950</v>
      </c>
      <c r="W547" s="4" t="s">
        <v>58</v>
      </c>
      <c r="X547" s="4" t="s">
        <v>386</v>
      </c>
      <c r="Y547" s="7" t="s">
        <v>961</v>
      </c>
      <c r="Z547" s="7"/>
      <c r="AA547" s="4" t="s">
        <v>46</v>
      </c>
      <c r="AB547" s="4" t="s">
        <v>115</v>
      </c>
      <c r="AC547" s="4" t="s">
        <v>962</v>
      </c>
      <c r="AD547" s="4" t="s">
        <v>1306</v>
      </c>
      <c r="AE547" s="4" t="s">
        <v>48</v>
      </c>
      <c r="AF547" s="4" t="s">
        <v>41</v>
      </c>
      <c r="AG547" s="4" t="s">
        <v>1268</v>
      </c>
    </row>
    <row r="548" spans="1:33" ht="16.5" customHeight="1" x14ac:dyDescent="0.2">
      <c r="A548" s="2" t="s">
        <v>31</v>
      </c>
      <c r="B548" s="5" t="s">
        <v>108</v>
      </c>
      <c r="C548" s="5"/>
      <c r="D548" s="5"/>
      <c r="E548" s="6" t="s">
        <v>33</v>
      </c>
      <c r="F548" s="6"/>
      <c r="G548" s="7" t="s">
        <v>1265</v>
      </c>
      <c r="H548" s="7"/>
      <c r="I548" s="7"/>
      <c r="J548" s="3" t="s">
        <v>35</v>
      </c>
      <c r="K548" s="4" t="s">
        <v>1285</v>
      </c>
      <c r="N548" s="7" t="s">
        <v>1302</v>
      </c>
      <c r="O548" s="7"/>
      <c r="P548" s="7" t="s">
        <v>1303</v>
      </c>
      <c r="Q548" s="7"/>
      <c r="R548" s="7"/>
      <c r="S548" s="3" t="s">
        <v>40</v>
      </c>
      <c r="T548" s="7" t="s">
        <v>1304</v>
      </c>
      <c r="U548" s="7"/>
      <c r="V548" s="4" t="s">
        <v>42</v>
      </c>
      <c r="W548" s="4" t="s">
        <v>58</v>
      </c>
      <c r="X548" s="4" t="s">
        <v>59</v>
      </c>
      <c r="Y548" s="7" t="s">
        <v>961</v>
      </c>
      <c r="Z548" s="7"/>
      <c r="AA548" s="4" t="s">
        <v>46</v>
      </c>
      <c r="AB548" s="4" t="s">
        <v>115</v>
      </c>
      <c r="AC548" s="4" t="s">
        <v>962</v>
      </c>
      <c r="AD548" s="4" t="s">
        <v>1306</v>
      </c>
      <c r="AE548" s="4" t="s">
        <v>48</v>
      </c>
      <c r="AF548" s="4" t="s">
        <v>41</v>
      </c>
      <c r="AG548" s="4" t="s">
        <v>1268</v>
      </c>
    </row>
    <row r="549" spans="1:33" ht="16.5" customHeight="1" x14ac:dyDescent="0.2">
      <c r="A549" s="2" t="s">
        <v>31</v>
      </c>
      <c r="B549" s="5" t="s">
        <v>108</v>
      </c>
      <c r="C549" s="5"/>
      <c r="D549" s="5"/>
      <c r="E549" s="6" t="s">
        <v>33</v>
      </c>
      <c r="F549" s="6"/>
      <c r="G549" s="7" t="s">
        <v>1265</v>
      </c>
      <c r="H549" s="7"/>
      <c r="I549" s="7"/>
      <c r="J549" s="3" t="s">
        <v>35</v>
      </c>
      <c r="K549" s="4" t="s">
        <v>1285</v>
      </c>
      <c r="N549" s="7" t="s">
        <v>1302</v>
      </c>
      <c r="O549" s="7"/>
      <c r="P549" s="7" t="s">
        <v>1303</v>
      </c>
      <c r="Q549" s="7"/>
      <c r="R549" s="7"/>
      <c r="S549" s="3" t="s">
        <v>40</v>
      </c>
      <c r="T549" s="7" t="s">
        <v>1304</v>
      </c>
      <c r="U549" s="7"/>
      <c r="V549" s="4" t="s">
        <v>51</v>
      </c>
      <c r="W549" s="4" t="s">
        <v>58</v>
      </c>
      <c r="X549" s="4" t="s">
        <v>128</v>
      </c>
      <c r="Y549" s="7" t="s">
        <v>961</v>
      </c>
      <c r="Z549" s="7"/>
      <c r="AA549" s="4" t="s">
        <v>46</v>
      </c>
      <c r="AB549" s="4" t="s">
        <v>115</v>
      </c>
      <c r="AC549" s="4" t="s">
        <v>962</v>
      </c>
      <c r="AD549" s="4" t="s">
        <v>1306</v>
      </c>
      <c r="AE549" s="4" t="s">
        <v>48</v>
      </c>
      <c r="AF549" s="4" t="s">
        <v>41</v>
      </c>
      <c r="AG549" s="4" t="s">
        <v>1268</v>
      </c>
    </row>
    <row r="550" spans="1:33" ht="16.5" customHeight="1" x14ac:dyDescent="0.2">
      <c r="A550" s="2" t="s">
        <v>31</v>
      </c>
      <c r="B550" s="5" t="s">
        <v>32</v>
      </c>
      <c r="C550" s="5"/>
      <c r="D550" s="5"/>
      <c r="E550" s="6" t="s">
        <v>33</v>
      </c>
      <c r="F550" s="6"/>
      <c r="G550" s="7" t="s">
        <v>1311</v>
      </c>
      <c r="H550" s="7"/>
      <c r="I550" s="7"/>
      <c r="J550" s="3" t="s">
        <v>35</v>
      </c>
      <c r="K550" s="4" t="s">
        <v>1312</v>
      </c>
      <c r="L550" s="4" t="s">
        <v>37</v>
      </c>
      <c r="N550" s="7" t="s">
        <v>1313</v>
      </c>
      <c r="O550" s="7"/>
      <c r="P550" s="7" t="s">
        <v>1314</v>
      </c>
      <c r="Q550" s="7"/>
      <c r="R550" s="7"/>
      <c r="S550" s="3" t="s">
        <v>40</v>
      </c>
      <c r="T550" s="7" t="s">
        <v>1315</v>
      </c>
      <c r="U550" s="7"/>
      <c r="V550" s="4" t="s">
        <v>42</v>
      </c>
      <c r="W550" s="4" t="s">
        <v>58</v>
      </c>
      <c r="X550" s="4" t="s">
        <v>59</v>
      </c>
      <c r="Y550" s="7" t="s">
        <v>672</v>
      </c>
      <c r="Z550" s="7"/>
      <c r="AA550" s="4" t="s">
        <v>46</v>
      </c>
      <c r="AB550" s="4" t="s">
        <v>47</v>
      </c>
      <c r="AD550" s="4" t="s">
        <v>41</v>
      </c>
      <c r="AE550" s="4" t="s">
        <v>48</v>
      </c>
      <c r="AF550" s="4" t="s">
        <v>41</v>
      </c>
      <c r="AG550" s="4" t="s">
        <v>1316</v>
      </c>
    </row>
    <row r="551" spans="1:33" ht="16.5" customHeight="1" x14ac:dyDescent="0.2">
      <c r="A551" s="2" t="s">
        <v>31</v>
      </c>
      <c r="B551" s="5" t="s">
        <v>54</v>
      </c>
      <c r="C551" s="5"/>
      <c r="D551" s="5"/>
      <c r="E551" s="6" t="s">
        <v>33</v>
      </c>
      <c r="F551" s="6"/>
      <c r="G551" s="7" t="s">
        <v>1311</v>
      </c>
      <c r="H551" s="7"/>
      <c r="I551" s="7"/>
      <c r="J551" s="3" t="s">
        <v>35</v>
      </c>
      <c r="K551" s="4" t="s">
        <v>97</v>
      </c>
      <c r="L551" s="4" t="s">
        <v>37</v>
      </c>
      <c r="N551" s="7" t="s">
        <v>1317</v>
      </c>
      <c r="O551" s="7"/>
      <c r="P551" s="7" t="s">
        <v>1318</v>
      </c>
      <c r="Q551" s="7"/>
      <c r="R551" s="7"/>
      <c r="S551" s="3" t="s">
        <v>40</v>
      </c>
      <c r="T551" s="7" t="s">
        <v>41</v>
      </c>
      <c r="U551" s="7"/>
      <c r="V551" s="4" t="s">
        <v>42</v>
      </c>
      <c r="W551" s="4" t="s">
        <v>239</v>
      </c>
      <c r="X551" s="4" t="s">
        <v>240</v>
      </c>
      <c r="Y551" s="7" t="s">
        <v>78</v>
      </c>
      <c r="Z551" s="7"/>
      <c r="AA551" s="4" t="s">
        <v>46</v>
      </c>
      <c r="AB551" s="4" t="s">
        <v>47</v>
      </c>
      <c r="AC551" s="4" t="s">
        <v>136</v>
      </c>
      <c r="AD551" s="4" t="s">
        <v>137</v>
      </c>
      <c r="AE551" s="4" t="s">
        <v>48</v>
      </c>
      <c r="AF551" s="4" t="s">
        <v>41</v>
      </c>
      <c r="AG551" s="4" t="s">
        <v>1316</v>
      </c>
    </row>
    <row r="552" spans="1:33" ht="16.5" customHeight="1" x14ac:dyDescent="0.2">
      <c r="A552" s="2" t="s">
        <v>31</v>
      </c>
      <c r="B552" s="5" t="s">
        <v>54</v>
      </c>
      <c r="C552" s="5"/>
      <c r="D552" s="5"/>
      <c r="E552" s="6" t="s">
        <v>33</v>
      </c>
      <c r="F552" s="6"/>
      <c r="G552" s="7" t="s">
        <v>1311</v>
      </c>
      <c r="H552" s="7"/>
      <c r="I552" s="7"/>
      <c r="J552" s="3" t="s">
        <v>35</v>
      </c>
      <c r="K552" s="4" t="s">
        <v>149</v>
      </c>
      <c r="L552" s="4" t="s">
        <v>37</v>
      </c>
      <c r="N552" s="7" t="s">
        <v>1319</v>
      </c>
      <c r="O552" s="7"/>
      <c r="P552" s="7" t="s">
        <v>1320</v>
      </c>
      <c r="Q552" s="7"/>
      <c r="R552" s="7"/>
      <c r="S552" s="3" t="s">
        <v>40</v>
      </c>
      <c r="T552" s="7" t="s">
        <v>41</v>
      </c>
      <c r="U552" s="7"/>
      <c r="V552" s="4" t="s">
        <v>42</v>
      </c>
      <c r="W552" s="4" t="s">
        <v>518</v>
      </c>
      <c r="X552" s="4" t="s">
        <v>519</v>
      </c>
      <c r="Y552" s="7" t="s">
        <v>78</v>
      </c>
      <c r="Z552" s="7"/>
      <c r="AA552" s="4" t="s">
        <v>46</v>
      </c>
      <c r="AB552" s="4" t="s">
        <v>47</v>
      </c>
      <c r="AC552" s="4" t="s">
        <v>136</v>
      </c>
      <c r="AD552" s="4" t="s">
        <v>137</v>
      </c>
      <c r="AE552" s="4" t="s">
        <v>48</v>
      </c>
      <c r="AF552" s="4" t="s">
        <v>41</v>
      </c>
      <c r="AG552" s="4" t="s">
        <v>1316</v>
      </c>
    </row>
    <row r="553" spans="1:33" ht="16.5" customHeight="1" x14ac:dyDescent="0.2">
      <c r="A553" s="2" t="s">
        <v>31</v>
      </c>
      <c r="B553" s="5" t="s">
        <v>54</v>
      </c>
      <c r="C553" s="5"/>
      <c r="D553" s="5"/>
      <c r="E553" s="6" t="s">
        <v>33</v>
      </c>
      <c r="F553" s="6"/>
      <c r="G553" s="7" t="s">
        <v>1311</v>
      </c>
      <c r="H553" s="7"/>
      <c r="I553" s="7"/>
      <c r="J553" s="3" t="s">
        <v>35</v>
      </c>
      <c r="K553" s="4" t="s">
        <v>73</v>
      </c>
      <c r="L553" s="4" t="s">
        <v>37</v>
      </c>
      <c r="N553" s="7" t="s">
        <v>1321</v>
      </c>
      <c r="O553" s="7"/>
      <c r="P553" s="7" t="s">
        <v>1322</v>
      </c>
      <c r="Q553" s="7"/>
      <c r="R553" s="7"/>
      <c r="S553" s="3" t="s">
        <v>40</v>
      </c>
      <c r="T553" s="7" t="s">
        <v>41</v>
      </c>
      <c r="U553" s="7"/>
      <c r="V553" s="4" t="s">
        <v>42</v>
      </c>
      <c r="W553" s="4" t="s">
        <v>181</v>
      </c>
      <c r="X553" s="4" t="s">
        <v>182</v>
      </c>
      <c r="Y553" s="7" t="s">
        <v>78</v>
      </c>
      <c r="Z553" s="7"/>
      <c r="AA553" s="4" t="s">
        <v>46</v>
      </c>
      <c r="AB553" s="4" t="s">
        <v>47</v>
      </c>
      <c r="AC553" s="4" t="s">
        <v>79</v>
      </c>
      <c r="AD553" s="4" t="s">
        <v>80</v>
      </c>
      <c r="AE553" s="4" t="s">
        <v>48</v>
      </c>
      <c r="AF553" s="4" t="s">
        <v>41</v>
      </c>
      <c r="AG553" s="4" t="s">
        <v>1316</v>
      </c>
    </row>
    <row r="554" spans="1:33" ht="16.5" customHeight="1" x14ac:dyDescent="0.2">
      <c r="A554" s="2" t="s">
        <v>31</v>
      </c>
      <c r="B554" s="5" t="s">
        <v>54</v>
      </c>
      <c r="C554" s="5"/>
      <c r="D554" s="5"/>
      <c r="E554" s="6" t="s">
        <v>33</v>
      </c>
      <c r="F554" s="6"/>
      <c r="G554" s="7" t="s">
        <v>1311</v>
      </c>
      <c r="H554" s="7"/>
      <c r="I554" s="7"/>
      <c r="J554" s="3" t="s">
        <v>35</v>
      </c>
      <c r="K554" s="4" t="s">
        <v>97</v>
      </c>
      <c r="L554" s="4" t="s">
        <v>37</v>
      </c>
      <c r="N554" s="7" t="s">
        <v>1323</v>
      </c>
      <c r="O554" s="7"/>
      <c r="P554" s="7" t="s">
        <v>1324</v>
      </c>
      <c r="Q554" s="7"/>
      <c r="R554" s="7"/>
      <c r="S554" s="3" t="s">
        <v>40</v>
      </c>
      <c r="T554" s="7" t="s">
        <v>41</v>
      </c>
      <c r="U554" s="7"/>
      <c r="V554" s="4" t="s">
        <v>42</v>
      </c>
      <c r="W554" s="4" t="s">
        <v>212</v>
      </c>
      <c r="X554" s="4" t="s">
        <v>1087</v>
      </c>
      <c r="Y554" s="7" t="s">
        <v>78</v>
      </c>
      <c r="Z554" s="7"/>
      <c r="AA554" s="4" t="s">
        <v>46</v>
      </c>
      <c r="AB554" s="4" t="s">
        <v>47</v>
      </c>
      <c r="AC554" s="4" t="s">
        <v>136</v>
      </c>
      <c r="AD554" s="4" t="s">
        <v>137</v>
      </c>
      <c r="AE554" s="4" t="s">
        <v>48</v>
      </c>
      <c r="AF554" s="4" t="s">
        <v>41</v>
      </c>
      <c r="AG554" s="4" t="s">
        <v>1316</v>
      </c>
    </row>
    <row r="555" spans="1:33" ht="16.5" customHeight="1" x14ac:dyDescent="0.2">
      <c r="A555" s="2" t="s">
        <v>31</v>
      </c>
      <c r="B555" s="5" t="s">
        <v>54</v>
      </c>
      <c r="C555" s="5"/>
      <c r="D555" s="5"/>
      <c r="E555" s="6" t="s">
        <v>33</v>
      </c>
      <c r="F555" s="6"/>
      <c r="G555" s="7" t="s">
        <v>1311</v>
      </c>
      <c r="H555" s="7"/>
      <c r="I555" s="7"/>
      <c r="J555" s="3" t="s">
        <v>35</v>
      </c>
      <c r="K555" s="4" t="s">
        <v>73</v>
      </c>
      <c r="L555" s="4" t="s">
        <v>37</v>
      </c>
      <c r="N555" s="7" t="s">
        <v>1325</v>
      </c>
      <c r="O555" s="7"/>
      <c r="P555" s="7" t="s">
        <v>1326</v>
      </c>
      <c r="Q555" s="7"/>
      <c r="R555" s="7"/>
      <c r="S555" s="3" t="s">
        <v>40</v>
      </c>
      <c r="T555" s="7" t="s">
        <v>41</v>
      </c>
      <c r="U555" s="7"/>
      <c r="V555" s="4" t="s">
        <v>42</v>
      </c>
      <c r="W555" s="4" t="s">
        <v>58</v>
      </c>
      <c r="X555" s="4" t="s">
        <v>59</v>
      </c>
      <c r="Y555" s="7" t="s">
        <v>78</v>
      </c>
      <c r="Z555" s="7"/>
      <c r="AA555" s="4" t="s">
        <v>46</v>
      </c>
      <c r="AB555" s="4" t="s">
        <v>47</v>
      </c>
      <c r="AC555" s="4" t="s">
        <v>79</v>
      </c>
      <c r="AD555" s="4" t="s">
        <v>80</v>
      </c>
      <c r="AE555" s="4" t="s">
        <v>48</v>
      </c>
      <c r="AF555" s="4" t="s">
        <v>41</v>
      </c>
      <c r="AG555" s="4" t="s">
        <v>1316</v>
      </c>
    </row>
    <row r="556" spans="1:33" ht="16.5" customHeight="1" x14ac:dyDescent="0.2">
      <c r="A556" s="2" t="s">
        <v>31</v>
      </c>
      <c r="B556" s="5" t="s">
        <v>54</v>
      </c>
      <c r="C556" s="5"/>
      <c r="D556" s="5"/>
      <c r="E556" s="6" t="s">
        <v>33</v>
      </c>
      <c r="F556" s="6"/>
      <c r="G556" s="7" t="s">
        <v>1311</v>
      </c>
      <c r="H556" s="7"/>
      <c r="I556" s="7"/>
      <c r="J556" s="3" t="s">
        <v>35</v>
      </c>
      <c r="K556" s="4" t="s">
        <v>73</v>
      </c>
      <c r="L556" s="4" t="s">
        <v>37</v>
      </c>
      <c r="N556" s="7" t="s">
        <v>1325</v>
      </c>
      <c r="O556" s="7"/>
      <c r="P556" s="7" t="s">
        <v>1326</v>
      </c>
      <c r="Q556" s="7"/>
      <c r="R556" s="7"/>
      <c r="S556" s="3" t="s">
        <v>40</v>
      </c>
      <c r="T556" s="7" t="s">
        <v>41</v>
      </c>
      <c r="U556" s="7"/>
      <c r="V556" s="4" t="s">
        <v>51</v>
      </c>
      <c r="W556" s="4" t="s">
        <v>58</v>
      </c>
      <c r="X556" s="4" t="s">
        <v>128</v>
      </c>
      <c r="Y556" s="7" t="s">
        <v>78</v>
      </c>
      <c r="Z556" s="7"/>
      <c r="AA556" s="4" t="s">
        <v>46</v>
      </c>
      <c r="AB556" s="4" t="s">
        <v>47</v>
      </c>
      <c r="AC556" s="4" t="s">
        <v>79</v>
      </c>
      <c r="AD556" s="4" t="s">
        <v>80</v>
      </c>
      <c r="AE556" s="4" t="s">
        <v>48</v>
      </c>
      <c r="AF556" s="4" t="s">
        <v>41</v>
      </c>
      <c r="AG556" s="4" t="s">
        <v>1316</v>
      </c>
    </row>
    <row r="557" spans="1:33" ht="16.5" customHeight="1" x14ac:dyDescent="0.2">
      <c r="A557" s="2" t="s">
        <v>31</v>
      </c>
      <c r="B557" s="5" t="s">
        <v>54</v>
      </c>
      <c r="C557" s="5"/>
      <c r="D557" s="5"/>
      <c r="E557" s="6" t="s">
        <v>33</v>
      </c>
      <c r="F557" s="6"/>
      <c r="G557" s="7" t="s">
        <v>1311</v>
      </c>
      <c r="H557" s="7"/>
      <c r="I557" s="7"/>
      <c r="J557" s="3" t="s">
        <v>35</v>
      </c>
      <c r="K557" s="4" t="s">
        <v>73</v>
      </c>
      <c r="L557" s="4" t="s">
        <v>443</v>
      </c>
      <c r="N557" s="7" t="s">
        <v>1327</v>
      </c>
      <c r="O557" s="7"/>
      <c r="P557" s="7" t="s">
        <v>1328</v>
      </c>
      <c r="Q557" s="7"/>
      <c r="R557" s="7"/>
      <c r="S557" s="3" t="s">
        <v>40</v>
      </c>
      <c r="T557" s="7" t="s">
        <v>41</v>
      </c>
      <c r="U557" s="7"/>
      <c r="V557" s="4" t="s">
        <v>42</v>
      </c>
      <c r="W557" s="4" t="s">
        <v>527</v>
      </c>
      <c r="X557" s="4" t="s">
        <v>528</v>
      </c>
      <c r="Y557" s="7" t="s">
        <v>78</v>
      </c>
      <c r="Z557" s="7"/>
      <c r="AA557" s="4" t="s">
        <v>46</v>
      </c>
      <c r="AB557" s="4" t="s">
        <v>47</v>
      </c>
      <c r="AC557" s="4" t="s">
        <v>136</v>
      </c>
      <c r="AD557" s="4" t="s">
        <v>464</v>
      </c>
      <c r="AE557" s="4" t="s">
        <v>48</v>
      </c>
      <c r="AF557" s="4" t="s">
        <v>41</v>
      </c>
      <c r="AG557" s="4" t="s">
        <v>1316</v>
      </c>
    </row>
    <row r="558" spans="1:33" ht="16.5" customHeight="1" x14ac:dyDescent="0.2">
      <c r="A558" s="2" t="s">
        <v>31</v>
      </c>
      <c r="B558" s="5" t="s">
        <v>54</v>
      </c>
      <c r="C558" s="5"/>
      <c r="D558" s="5"/>
      <c r="E558" s="6" t="s">
        <v>33</v>
      </c>
      <c r="F558" s="6"/>
      <c r="G558" s="7" t="s">
        <v>1311</v>
      </c>
      <c r="H558" s="7"/>
      <c r="I558" s="7"/>
      <c r="J558" s="3" t="s">
        <v>35</v>
      </c>
      <c r="K558" s="4" t="s">
        <v>97</v>
      </c>
      <c r="L558" s="4" t="s">
        <v>37</v>
      </c>
      <c r="N558" s="7" t="s">
        <v>1329</v>
      </c>
      <c r="O558" s="7"/>
      <c r="P558" s="7" t="s">
        <v>1330</v>
      </c>
      <c r="Q558" s="7"/>
      <c r="R558" s="7"/>
      <c r="S558" s="3" t="s">
        <v>40</v>
      </c>
      <c r="T558" s="7" t="s">
        <v>41</v>
      </c>
      <c r="U558" s="7"/>
      <c r="V558" s="4" t="s">
        <v>42</v>
      </c>
      <c r="W558" s="4" t="s">
        <v>154</v>
      </c>
      <c r="X558" s="4" t="s">
        <v>155</v>
      </c>
      <c r="Y558" s="7" t="s">
        <v>78</v>
      </c>
      <c r="Z558" s="7"/>
      <c r="AA558" s="4" t="s">
        <v>46</v>
      </c>
      <c r="AB558" s="4" t="s">
        <v>47</v>
      </c>
      <c r="AC558" s="4" t="s">
        <v>136</v>
      </c>
      <c r="AD558" s="4" t="s">
        <v>137</v>
      </c>
      <c r="AE558" s="4" t="s">
        <v>48</v>
      </c>
      <c r="AF558" s="4" t="s">
        <v>41</v>
      </c>
      <c r="AG558" s="4" t="s">
        <v>1316</v>
      </c>
    </row>
    <row r="559" spans="1:33" ht="16.5" customHeight="1" x14ac:dyDescent="0.2">
      <c r="A559" s="2" t="s">
        <v>31</v>
      </c>
      <c r="B559" s="5" t="s">
        <v>54</v>
      </c>
      <c r="C559" s="5"/>
      <c r="D559" s="5"/>
      <c r="E559" s="6" t="s">
        <v>33</v>
      </c>
      <c r="F559" s="6"/>
      <c r="G559" s="7" t="s">
        <v>1311</v>
      </c>
      <c r="H559" s="7"/>
      <c r="I559" s="7"/>
      <c r="J559" s="3" t="s">
        <v>35</v>
      </c>
      <c r="K559" s="4" t="s">
        <v>73</v>
      </c>
      <c r="L559" s="4" t="s">
        <v>443</v>
      </c>
      <c r="N559" s="7" t="s">
        <v>1331</v>
      </c>
      <c r="O559" s="7"/>
      <c r="P559" s="7" t="s">
        <v>1332</v>
      </c>
      <c r="Q559" s="7"/>
      <c r="R559" s="7"/>
      <c r="S559" s="3" t="s">
        <v>40</v>
      </c>
      <c r="T559" s="7" t="s">
        <v>41</v>
      </c>
      <c r="U559" s="7"/>
      <c r="V559" s="4" t="s">
        <v>42</v>
      </c>
      <c r="W559" s="4" t="s">
        <v>58</v>
      </c>
      <c r="X559" s="4" t="s">
        <v>59</v>
      </c>
      <c r="Y559" s="7" t="s">
        <v>78</v>
      </c>
      <c r="Z559" s="7"/>
      <c r="AA559" s="4" t="s">
        <v>46</v>
      </c>
      <c r="AB559" s="4" t="s">
        <v>47</v>
      </c>
      <c r="AC559" s="4" t="s">
        <v>79</v>
      </c>
      <c r="AD559" s="4" t="s">
        <v>447</v>
      </c>
      <c r="AE559" s="4" t="s">
        <v>48</v>
      </c>
      <c r="AF559" s="4" t="s">
        <v>41</v>
      </c>
      <c r="AG559" s="4" t="s">
        <v>1316</v>
      </c>
    </row>
    <row r="560" spans="1:33" ht="16.5" customHeight="1" x14ac:dyDescent="0.2">
      <c r="A560" s="2" t="s">
        <v>31</v>
      </c>
      <c r="B560" s="5" t="s">
        <v>54</v>
      </c>
      <c r="C560" s="5"/>
      <c r="D560" s="5"/>
      <c r="E560" s="6" t="s">
        <v>33</v>
      </c>
      <c r="F560" s="6"/>
      <c r="G560" s="7" t="s">
        <v>1311</v>
      </c>
      <c r="H560" s="7"/>
      <c r="I560" s="7"/>
      <c r="J560" s="3" t="s">
        <v>35</v>
      </c>
      <c r="K560" s="4" t="s">
        <v>73</v>
      </c>
      <c r="L560" s="4" t="s">
        <v>443</v>
      </c>
      <c r="N560" s="7" t="s">
        <v>1331</v>
      </c>
      <c r="O560" s="7"/>
      <c r="P560" s="7" t="s">
        <v>1332</v>
      </c>
      <c r="Q560" s="7"/>
      <c r="R560" s="7"/>
      <c r="S560" s="3" t="s">
        <v>40</v>
      </c>
      <c r="T560" s="7" t="s">
        <v>41</v>
      </c>
      <c r="U560" s="7"/>
      <c r="V560" s="4" t="s">
        <v>51</v>
      </c>
      <c r="W560" s="4" t="s">
        <v>58</v>
      </c>
      <c r="X560" s="4" t="s">
        <v>128</v>
      </c>
      <c r="Y560" s="7" t="s">
        <v>78</v>
      </c>
      <c r="Z560" s="7"/>
      <c r="AA560" s="4" t="s">
        <v>46</v>
      </c>
      <c r="AB560" s="4" t="s">
        <v>47</v>
      </c>
      <c r="AC560" s="4" t="s">
        <v>79</v>
      </c>
      <c r="AD560" s="4" t="s">
        <v>447</v>
      </c>
      <c r="AE560" s="4" t="s">
        <v>48</v>
      </c>
      <c r="AF560" s="4" t="s">
        <v>41</v>
      </c>
      <c r="AG560" s="4" t="s">
        <v>1316</v>
      </c>
    </row>
    <row r="561" spans="1:33" ht="16.5" customHeight="1" x14ac:dyDescent="0.2">
      <c r="A561" s="2" t="s">
        <v>31</v>
      </c>
      <c r="B561" s="5" t="s">
        <v>54</v>
      </c>
      <c r="C561" s="5"/>
      <c r="D561" s="5"/>
      <c r="E561" s="6" t="s">
        <v>33</v>
      </c>
      <c r="F561" s="6"/>
      <c r="G561" s="7" t="s">
        <v>1311</v>
      </c>
      <c r="H561" s="7"/>
      <c r="I561" s="7"/>
      <c r="J561" s="3" t="s">
        <v>35</v>
      </c>
      <c r="K561" s="4" t="s">
        <v>97</v>
      </c>
      <c r="L561" s="4" t="s">
        <v>37</v>
      </c>
      <c r="N561" s="7" t="s">
        <v>1333</v>
      </c>
      <c r="O561" s="7"/>
      <c r="P561" s="7" t="s">
        <v>1334</v>
      </c>
      <c r="Q561" s="7"/>
      <c r="R561" s="7"/>
      <c r="S561" s="3" t="s">
        <v>40</v>
      </c>
      <c r="T561" s="7" t="s">
        <v>41</v>
      </c>
      <c r="U561" s="7"/>
      <c r="V561" s="4" t="s">
        <v>42</v>
      </c>
      <c r="W561" s="4" t="s">
        <v>469</v>
      </c>
      <c r="X561" s="4" t="s">
        <v>470</v>
      </c>
      <c r="Y561" s="7" t="s">
        <v>78</v>
      </c>
      <c r="Z561" s="7"/>
      <c r="AA561" s="4" t="s">
        <v>46</v>
      </c>
      <c r="AB561" s="4" t="s">
        <v>47</v>
      </c>
      <c r="AC561" s="4" t="s">
        <v>136</v>
      </c>
      <c r="AD561" s="4" t="s">
        <v>137</v>
      </c>
      <c r="AE561" s="4" t="s">
        <v>48</v>
      </c>
      <c r="AF561" s="4" t="s">
        <v>41</v>
      </c>
      <c r="AG561" s="4" t="s">
        <v>1316</v>
      </c>
    </row>
    <row r="562" spans="1:33" ht="16.5" customHeight="1" x14ac:dyDescent="0.2">
      <c r="A562" s="2" t="s">
        <v>31</v>
      </c>
      <c r="B562" s="5" t="s">
        <v>54</v>
      </c>
      <c r="C562" s="5"/>
      <c r="D562" s="5"/>
      <c r="E562" s="6" t="s">
        <v>33</v>
      </c>
      <c r="F562" s="6"/>
      <c r="G562" s="7" t="s">
        <v>1311</v>
      </c>
      <c r="H562" s="7"/>
      <c r="I562" s="7"/>
      <c r="J562" s="3" t="s">
        <v>35</v>
      </c>
      <c r="K562" s="4" t="s">
        <v>149</v>
      </c>
      <c r="L562" s="4" t="s">
        <v>93</v>
      </c>
      <c r="N562" s="7" t="s">
        <v>1335</v>
      </c>
      <c r="O562" s="7"/>
      <c r="P562" s="7" t="s">
        <v>1336</v>
      </c>
      <c r="Q562" s="7"/>
      <c r="R562" s="7"/>
      <c r="S562" s="3" t="s">
        <v>40</v>
      </c>
      <c r="T562" s="7" t="s">
        <v>41</v>
      </c>
      <c r="U562" s="7"/>
      <c r="V562" s="4" t="s">
        <v>42</v>
      </c>
      <c r="W562" s="4" t="s">
        <v>234</v>
      </c>
      <c r="X562" s="4" t="s">
        <v>235</v>
      </c>
      <c r="Y562" s="7" t="s">
        <v>78</v>
      </c>
      <c r="Z562" s="7"/>
      <c r="AA562" s="4" t="s">
        <v>46</v>
      </c>
      <c r="AB562" s="4" t="s">
        <v>47</v>
      </c>
      <c r="AC562" s="4" t="s">
        <v>136</v>
      </c>
      <c r="AD562" s="4" t="s">
        <v>148</v>
      </c>
      <c r="AE562" s="4" t="s">
        <v>48</v>
      </c>
      <c r="AF562" s="4" t="s">
        <v>41</v>
      </c>
      <c r="AG562" s="4" t="s">
        <v>1316</v>
      </c>
    </row>
    <row r="563" spans="1:33" ht="16.5" customHeight="1" x14ac:dyDescent="0.2">
      <c r="A563" s="2" t="s">
        <v>31</v>
      </c>
      <c r="B563" s="5" t="s">
        <v>54</v>
      </c>
      <c r="C563" s="5"/>
      <c r="D563" s="5"/>
      <c r="E563" s="6" t="s">
        <v>33</v>
      </c>
      <c r="F563" s="6"/>
      <c r="G563" s="7" t="s">
        <v>1311</v>
      </c>
      <c r="H563" s="7"/>
      <c r="I563" s="7"/>
      <c r="J563" s="3" t="s">
        <v>35</v>
      </c>
      <c r="K563" s="4" t="s">
        <v>73</v>
      </c>
      <c r="L563" s="4" t="s">
        <v>37</v>
      </c>
      <c r="N563" s="7" t="s">
        <v>1337</v>
      </c>
      <c r="O563" s="7"/>
      <c r="P563" s="7" t="s">
        <v>1338</v>
      </c>
      <c r="Q563" s="7"/>
      <c r="R563" s="7"/>
      <c r="S563" s="3" t="s">
        <v>40</v>
      </c>
      <c r="T563" s="7" t="s">
        <v>41</v>
      </c>
      <c r="U563" s="7"/>
      <c r="V563" s="4" t="s">
        <v>42</v>
      </c>
      <c r="W563" s="4" t="s">
        <v>355</v>
      </c>
      <c r="X563" s="4" t="s">
        <v>344</v>
      </c>
      <c r="Y563" s="7" t="s">
        <v>78</v>
      </c>
      <c r="Z563" s="7"/>
      <c r="AA563" s="4" t="s">
        <v>46</v>
      </c>
      <c r="AB563" s="4" t="s">
        <v>47</v>
      </c>
      <c r="AC563" s="4" t="s">
        <v>136</v>
      </c>
      <c r="AD563" s="4" t="s">
        <v>137</v>
      </c>
      <c r="AE563" s="4" t="s">
        <v>48</v>
      </c>
      <c r="AF563" s="4" t="s">
        <v>41</v>
      </c>
      <c r="AG563" s="4" t="s">
        <v>1316</v>
      </c>
    </row>
    <row r="564" spans="1:33" ht="16.5" customHeight="1" x14ac:dyDescent="0.2">
      <c r="A564" s="2" t="s">
        <v>31</v>
      </c>
      <c r="B564" s="5" t="s">
        <v>54</v>
      </c>
      <c r="C564" s="5"/>
      <c r="D564" s="5"/>
      <c r="E564" s="6" t="s">
        <v>33</v>
      </c>
      <c r="F564" s="6"/>
      <c r="G564" s="7" t="s">
        <v>1311</v>
      </c>
      <c r="H564" s="7"/>
      <c r="I564" s="7"/>
      <c r="J564" s="3" t="s">
        <v>35</v>
      </c>
      <c r="K564" s="4" t="s">
        <v>73</v>
      </c>
      <c r="L564" s="4" t="s">
        <v>37</v>
      </c>
      <c r="N564" s="7" t="s">
        <v>1339</v>
      </c>
      <c r="O564" s="7"/>
      <c r="P564" s="7" t="s">
        <v>1340</v>
      </c>
      <c r="Q564" s="7"/>
      <c r="R564" s="7"/>
      <c r="S564" s="3" t="s">
        <v>40</v>
      </c>
      <c r="T564" s="7" t="s">
        <v>41</v>
      </c>
      <c r="U564" s="7"/>
      <c r="V564" s="4" t="s">
        <v>42</v>
      </c>
      <c r="W564" s="4" t="s">
        <v>51</v>
      </c>
      <c r="X564" s="4" t="s">
        <v>128</v>
      </c>
      <c r="Y564" s="7" t="s">
        <v>78</v>
      </c>
      <c r="Z564" s="7"/>
      <c r="AA564" s="4" t="s">
        <v>46</v>
      </c>
      <c r="AB564" s="4" t="s">
        <v>47</v>
      </c>
      <c r="AC564" s="4" t="s">
        <v>79</v>
      </c>
      <c r="AD564" s="4" t="s">
        <v>80</v>
      </c>
      <c r="AE564" s="4" t="s">
        <v>48</v>
      </c>
      <c r="AF564" s="4" t="s">
        <v>41</v>
      </c>
      <c r="AG564" s="4" t="s">
        <v>1316</v>
      </c>
    </row>
    <row r="565" spans="1:33" ht="16.5" customHeight="1" x14ac:dyDescent="0.2">
      <c r="A565" s="2" t="s">
        <v>31</v>
      </c>
      <c r="B565" s="5" t="s">
        <v>54</v>
      </c>
      <c r="C565" s="5"/>
      <c r="D565" s="5"/>
      <c r="E565" s="6" t="s">
        <v>33</v>
      </c>
      <c r="F565" s="6"/>
      <c r="G565" s="7" t="s">
        <v>1311</v>
      </c>
      <c r="H565" s="7"/>
      <c r="I565" s="7"/>
      <c r="J565" s="3" t="s">
        <v>35</v>
      </c>
      <c r="K565" s="4" t="s">
        <v>149</v>
      </c>
      <c r="L565" s="4" t="s">
        <v>37</v>
      </c>
      <c r="N565" s="7" t="s">
        <v>1341</v>
      </c>
      <c r="O565" s="7"/>
      <c r="P565" s="7" t="s">
        <v>1342</v>
      </c>
      <c r="Q565" s="7"/>
      <c r="R565" s="7"/>
      <c r="S565" s="3" t="s">
        <v>40</v>
      </c>
      <c r="T565" s="7" t="s">
        <v>41</v>
      </c>
      <c r="U565" s="7"/>
      <c r="V565" s="4" t="s">
        <v>42</v>
      </c>
      <c r="W565" s="4" t="s">
        <v>1343</v>
      </c>
      <c r="X565" s="4" t="s">
        <v>1344</v>
      </c>
      <c r="Y565" s="7" t="s">
        <v>78</v>
      </c>
      <c r="Z565" s="7"/>
      <c r="AA565" s="4" t="s">
        <v>46</v>
      </c>
      <c r="AB565" s="4" t="s">
        <v>47</v>
      </c>
      <c r="AC565" s="4" t="s">
        <v>136</v>
      </c>
      <c r="AD565" s="4" t="s">
        <v>137</v>
      </c>
      <c r="AE565" s="4" t="s">
        <v>48</v>
      </c>
      <c r="AF565" s="4" t="s">
        <v>41</v>
      </c>
      <c r="AG565" s="4" t="s">
        <v>1316</v>
      </c>
    </row>
    <row r="566" spans="1:33" ht="16.5" customHeight="1" x14ac:dyDescent="0.2">
      <c r="A566" s="2" t="s">
        <v>31</v>
      </c>
      <c r="B566" s="5" t="s">
        <v>54</v>
      </c>
      <c r="C566" s="5"/>
      <c r="D566" s="5"/>
      <c r="E566" s="6" t="s">
        <v>33</v>
      </c>
      <c r="F566" s="6"/>
      <c r="G566" s="7" t="s">
        <v>1311</v>
      </c>
      <c r="H566" s="7"/>
      <c r="I566" s="7"/>
      <c r="J566" s="3" t="s">
        <v>35</v>
      </c>
      <c r="K566" s="4" t="s">
        <v>73</v>
      </c>
      <c r="L566" s="4" t="s">
        <v>37</v>
      </c>
      <c r="N566" s="7" t="s">
        <v>1345</v>
      </c>
      <c r="O566" s="7"/>
      <c r="P566" s="7" t="s">
        <v>1346</v>
      </c>
      <c r="Q566" s="7"/>
      <c r="R566" s="7"/>
      <c r="S566" s="3" t="s">
        <v>40</v>
      </c>
      <c r="T566" s="7" t="s">
        <v>41</v>
      </c>
      <c r="U566" s="7"/>
      <c r="V566" s="4" t="s">
        <v>42</v>
      </c>
      <c r="W566" s="4" t="s">
        <v>158</v>
      </c>
      <c r="X566" s="4" t="s">
        <v>159</v>
      </c>
      <c r="Y566" s="7" t="s">
        <v>78</v>
      </c>
      <c r="Z566" s="7"/>
      <c r="AA566" s="4" t="s">
        <v>46</v>
      </c>
      <c r="AB566" s="4" t="s">
        <v>47</v>
      </c>
      <c r="AC566" s="4" t="s">
        <v>136</v>
      </c>
      <c r="AD566" s="4" t="s">
        <v>137</v>
      </c>
      <c r="AE566" s="4" t="s">
        <v>48</v>
      </c>
      <c r="AF566" s="4" t="s">
        <v>41</v>
      </c>
      <c r="AG566" s="4" t="s">
        <v>1316</v>
      </c>
    </row>
    <row r="567" spans="1:33" ht="16.5" customHeight="1" x14ac:dyDescent="0.2">
      <c r="A567" s="2" t="s">
        <v>31</v>
      </c>
      <c r="B567" s="5" t="s">
        <v>54</v>
      </c>
      <c r="C567" s="5"/>
      <c r="D567" s="5"/>
      <c r="E567" s="6" t="s">
        <v>33</v>
      </c>
      <c r="F567" s="6"/>
      <c r="G567" s="7" t="s">
        <v>1311</v>
      </c>
      <c r="H567" s="7"/>
      <c r="I567" s="7"/>
      <c r="J567" s="3" t="s">
        <v>35</v>
      </c>
      <c r="K567" s="4" t="s">
        <v>267</v>
      </c>
      <c r="L567" s="4" t="s">
        <v>280</v>
      </c>
      <c r="N567" s="7" t="s">
        <v>1347</v>
      </c>
      <c r="O567" s="7"/>
      <c r="P567" s="7" t="s">
        <v>1348</v>
      </c>
      <c r="Q567" s="7"/>
      <c r="R567" s="7"/>
      <c r="S567" s="3" t="s">
        <v>40</v>
      </c>
      <c r="T567" s="7" t="s">
        <v>41</v>
      </c>
      <c r="U567" s="7"/>
      <c r="V567" s="4" t="s">
        <v>42</v>
      </c>
      <c r="W567" s="4" t="s">
        <v>355</v>
      </c>
      <c r="X567" s="4" t="s">
        <v>344</v>
      </c>
      <c r="Y567" s="7" t="s">
        <v>78</v>
      </c>
      <c r="Z567" s="7"/>
      <c r="AA567" s="4" t="s">
        <v>46</v>
      </c>
      <c r="AB567" s="4" t="s">
        <v>47</v>
      </c>
      <c r="AC567" s="4" t="s">
        <v>136</v>
      </c>
      <c r="AD567" s="4" t="s">
        <v>324</v>
      </c>
      <c r="AE567" s="4" t="s">
        <v>48</v>
      </c>
      <c r="AF567" s="4" t="s">
        <v>41</v>
      </c>
      <c r="AG567" s="4" t="s">
        <v>1316</v>
      </c>
    </row>
    <row r="568" spans="1:33" ht="16.5" customHeight="1" x14ac:dyDescent="0.2">
      <c r="A568" s="2" t="s">
        <v>31</v>
      </c>
      <c r="B568" s="5" t="s">
        <v>54</v>
      </c>
      <c r="C568" s="5"/>
      <c r="D568" s="5"/>
      <c r="E568" s="6" t="s">
        <v>33</v>
      </c>
      <c r="F568" s="6"/>
      <c r="G568" s="7" t="s">
        <v>1311</v>
      </c>
      <c r="H568" s="7"/>
      <c r="I568" s="7"/>
      <c r="J568" s="3" t="s">
        <v>35</v>
      </c>
      <c r="K568" s="4" t="s">
        <v>267</v>
      </c>
      <c r="L568" s="4" t="s">
        <v>280</v>
      </c>
      <c r="N568" s="7" t="s">
        <v>1347</v>
      </c>
      <c r="O568" s="7"/>
      <c r="P568" s="7" t="s">
        <v>1348</v>
      </c>
      <c r="Q568" s="7"/>
      <c r="R568" s="7"/>
      <c r="S568" s="3" t="s">
        <v>40</v>
      </c>
      <c r="T568" s="7" t="s">
        <v>41</v>
      </c>
      <c r="U568" s="7"/>
      <c r="V568" s="4" t="s">
        <v>51</v>
      </c>
      <c r="W568" s="4" t="s">
        <v>355</v>
      </c>
      <c r="X568" s="4" t="s">
        <v>361</v>
      </c>
      <c r="Y568" s="7" t="s">
        <v>78</v>
      </c>
      <c r="Z568" s="7"/>
      <c r="AA568" s="4" t="s">
        <v>46</v>
      </c>
      <c r="AB568" s="4" t="s">
        <v>47</v>
      </c>
      <c r="AC568" s="4" t="s">
        <v>79</v>
      </c>
      <c r="AD568" s="4" t="s">
        <v>285</v>
      </c>
      <c r="AE568" s="4" t="s">
        <v>48</v>
      </c>
      <c r="AF568" s="4" t="s">
        <v>41</v>
      </c>
      <c r="AG568" s="4" t="s">
        <v>1316</v>
      </c>
    </row>
    <row r="569" spans="1:33" ht="16.5" customHeight="1" x14ac:dyDescent="0.2">
      <c r="A569" s="2" t="s">
        <v>31</v>
      </c>
      <c r="B569" s="5" t="s">
        <v>54</v>
      </c>
      <c r="C569" s="5"/>
      <c r="D569" s="5"/>
      <c r="E569" s="6" t="s">
        <v>33</v>
      </c>
      <c r="F569" s="6"/>
      <c r="G569" s="7" t="s">
        <v>1311</v>
      </c>
      <c r="H569" s="7"/>
      <c r="I569" s="7"/>
      <c r="J569" s="3" t="s">
        <v>35</v>
      </c>
      <c r="K569" s="4" t="s">
        <v>267</v>
      </c>
      <c r="L569" s="4" t="s">
        <v>93</v>
      </c>
      <c r="N569" s="7" t="s">
        <v>1349</v>
      </c>
      <c r="O569" s="7"/>
      <c r="P569" s="7" t="s">
        <v>1350</v>
      </c>
      <c r="Q569" s="7"/>
      <c r="R569" s="7"/>
      <c r="S569" s="3" t="s">
        <v>40</v>
      </c>
      <c r="T569" s="7" t="s">
        <v>41</v>
      </c>
      <c r="U569" s="7"/>
      <c r="V569" s="4" t="s">
        <v>42</v>
      </c>
      <c r="W569" s="4" t="s">
        <v>58</v>
      </c>
      <c r="X569" s="4" t="s">
        <v>59</v>
      </c>
      <c r="Y569" s="7" t="s">
        <v>78</v>
      </c>
      <c r="Z569" s="7"/>
      <c r="AA569" s="4" t="s">
        <v>46</v>
      </c>
      <c r="AB569" s="4" t="s">
        <v>47</v>
      </c>
      <c r="AC569" s="4" t="s">
        <v>79</v>
      </c>
      <c r="AD569" s="4" t="s">
        <v>96</v>
      </c>
      <c r="AE569" s="4" t="s">
        <v>48</v>
      </c>
      <c r="AF569" s="4" t="s">
        <v>41</v>
      </c>
      <c r="AG569" s="4" t="s">
        <v>1316</v>
      </c>
    </row>
    <row r="570" spans="1:33" ht="16.5" customHeight="1" x14ac:dyDescent="0.2">
      <c r="A570" s="2" t="s">
        <v>31</v>
      </c>
      <c r="B570" s="5" t="s">
        <v>54</v>
      </c>
      <c r="C570" s="5"/>
      <c r="D570" s="5"/>
      <c r="E570" s="6" t="s">
        <v>33</v>
      </c>
      <c r="F570" s="6"/>
      <c r="G570" s="7" t="s">
        <v>1311</v>
      </c>
      <c r="H570" s="7"/>
      <c r="I570" s="7"/>
      <c r="J570" s="3" t="s">
        <v>35</v>
      </c>
      <c r="K570" s="4" t="s">
        <v>97</v>
      </c>
      <c r="L570" s="4" t="s">
        <v>443</v>
      </c>
      <c r="N570" s="7" t="s">
        <v>1351</v>
      </c>
      <c r="O570" s="7"/>
      <c r="P570" s="7" t="s">
        <v>1352</v>
      </c>
      <c r="Q570" s="7"/>
      <c r="R570" s="7"/>
      <c r="S570" s="3" t="s">
        <v>40</v>
      </c>
      <c r="T570" s="7" t="s">
        <v>41</v>
      </c>
      <c r="U570" s="7"/>
      <c r="V570" s="4" t="s">
        <v>42</v>
      </c>
      <c r="W570" s="4" t="s">
        <v>168</v>
      </c>
      <c r="X570" s="4" t="s">
        <v>169</v>
      </c>
      <c r="Y570" s="7" t="s">
        <v>78</v>
      </c>
      <c r="Z570" s="7"/>
      <c r="AA570" s="4" t="s">
        <v>46</v>
      </c>
      <c r="AB570" s="4" t="s">
        <v>47</v>
      </c>
      <c r="AC570" s="4" t="s">
        <v>136</v>
      </c>
      <c r="AD570" s="4" t="s">
        <v>464</v>
      </c>
      <c r="AE570" s="4" t="s">
        <v>48</v>
      </c>
      <c r="AF570" s="4" t="s">
        <v>41</v>
      </c>
      <c r="AG570" s="4" t="s">
        <v>1316</v>
      </c>
    </row>
    <row r="571" spans="1:33" ht="16.5" customHeight="1" x14ac:dyDescent="0.2">
      <c r="A571" s="2" t="s">
        <v>31</v>
      </c>
      <c r="B571" s="5" t="s">
        <v>54</v>
      </c>
      <c r="C571" s="5"/>
      <c r="D571" s="5"/>
      <c r="E571" s="6" t="s">
        <v>33</v>
      </c>
      <c r="F571" s="6"/>
      <c r="G571" s="7" t="s">
        <v>1311</v>
      </c>
      <c r="H571" s="7"/>
      <c r="I571" s="7"/>
      <c r="J571" s="3" t="s">
        <v>35</v>
      </c>
      <c r="K571" s="4" t="s">
        <v>73</v>
      </c>
      <c r="L571" s="4" t="s">
        <v>37</v>
      </c>
      <c r="N571" s="7" t="s">
        <v>1353</v>
      </c>
      <c r="O571" s="7"/>
      <c r="P571" s="7" t="s">
        <v>1354</v>
      </c>
      <c r="Q571" s="7"/>
      <c r="R571" s="7"/>
      <c r="S571" s="3" t="s">
        <v>40</v>
      </c>
      <c r="T571" s="7" t="s">
        <v>41</v>
      </c>
      <c r="U571" s="7"/>
      <c r="V571" s="4" t="s">
        <v>42</v>
      </c>
      <c r="W571" s="4" t="s">
        <v>168</v>
      </c>
      <c r="X571" s="4" t="s">
        <v>169</v>
      </c>
      <c r="Y571" s="7" t="s">
        <v>78</v>
      </c>
      <c r="Z571" s="7"/>
      <c r="AA571" s="4" t="s">
        <v>46</v>
      </c>
      <c r="AB571" s="4" t="s">
        <v>47</v>
      </c>
      <c r="AC571" s="4" t="s">
        <v>72</v>
      </c>
      <c r="AD571" s="4" t="s">
        <v>41</v>
      </c>
      <c r="AE571" s="4" t="s">
        <v>48</v>
      </c>
      <c r="AF571" s="4" t="s">
        <v>41</v>
      </c>
      <c r="AG571" s="4" t="s">
        <v>1316</v>
      </c>
    </row>
    <row r="572" spans="1:33" ht="0.75" customHeight="1" x14ac:dyDescent="0.2"/>
    <row r="573" spans="1:33" ht="12" customHeight="1" x14ac:dyDescent="0.2"/>
    <row r="574" spans="1:33" ht="16.5" customHeight="1" x14ac:dyDescent="0.2">
      <c r="A574" s="2" t="s">
        <v>31</v>
      </c>
      <c r="B574" s="5" t="s">
        <v>54</v>
      </c>
      <c r="C574" s="5"/>
      <c r="D574" s="5"/>
      <c r="E574" s="6" t="s">
        <v>33</v>
      </c>
      <c r="F574" s="6"/>
      <c r="G574" s="7" t="s">
        <v>1311</v>
      </c>
      <c r="H574" s="7"/>
      <c r="I574" s="7"/>
      <c r="J574" s="3" t="s">
        <v>35</v>
      </c>
      <c r="K574" s="4" t="s">
        <v>149</v>
      </c>
      <c r="L574" s="4" t="s">
        <v>443</v>
      </c>
      <c r="N574" s="7" t="s">
        <v>1355</v>
      </c>
      <c r="O574" s="7"/>
      <c r="P574" s="7" t="s">
        <v>1356</v>
      </c>
      <c r="Q574" s="7"/>
      <c r="R574" s="7"/>
      <c r="S574" s="3" t="s">
        <v>40</v>
      </c>
      <c r="T574" s="7" t="s">
        <v>41</v>
      </c>
      <c r="U574" s="7"/>
      <c r="V574" s="4" t="s">
        <v>42</v>
      </c>
      <c r="W574" s="4" t="s">
        <v>217</v>
      </c>
      <c r="X574" s="4" t="s">
        <v>218</v>
      </c>
      <c r="Y574" s="7" t="s">
        <v>78</v>
      </c>
      <c r="Z574" s="7"/>
      <c r="AA574" s="4" t="s">
        <v>46</v>
      </c>
      <c r="AB574" s="4" t="s">
        <v>47</v>
      </c>
      <c r="AC574" s="4" t="s">
        <v>136</v>
      </c>
      <c r="AD574" s="4" t="s">
        <v>464</v>
      </c>
      <c r="AE574" s="4" t="s">
        <v>48</v>
      </c>
      <c r="AF574" s="4" t="s">
        <v>41</v>
      </c>
      <c r="AG574" s="4" t="s">
        <v>1316</v>
      </c>
    </row>
    <row r="575" spans="1:33" ht="16.5" customHeight="1" x14ac:dyDescent="0.2">
      <c r="A575" s="2" t="s">
        <v>31</v>
      </c>
      <c r="B575" s="5" t="s">
        <v>54</v>
      </c>
      <c r="C575" s="5"/>
      <c r="D575" s="5"/>
      <c r="E575" s="6" t="s">
        <v>33</v>
      </c>
      <c r="F575" s="6"/>
      <c r="G575" s="7" t="s">
        <v>1311</v>
      </c>
      <c r="H575" s="7"/>
      <c r="I575" s="7"/>
      <c r="J575" s="3" t="s">
        <v>35</v>
      </c>
      <c r="K575" s="4" t="s">
        <v>73</v>
      </c>
      <c r="L575" s="4" t="s">
        <v>37</v>
      </c>
      <c r="N575" s="7" t="s">
        <v>1357</v>
      </c>
      <c r="O575" s="7"/>
      <c r="P575" s="7" t="s">
        <v>1358</v>
      </c>
      <c r="Q575" s="7"/>
      <c r="R575" s="7"/>
      <c r="S575" s="3" t="s">
        <v>40</v>
      </c>
      <c r="T575" s="7" t="s">
        <v>41</v>
      </c>
      <c r="U575" s="7"/>
      <c r="V575" s="4" t="s">
        <v>42</v>
      </c>
      <c r="W575" s="4" t="s">
        <v>178</v>
      </c>
      <c r="X575" s="4" t="s">
        <v>171</v>
      </c>
      <c r="Y575" s="7" t="s">
        <v>78</v>
      </c>
      <c r="Z575" s="7"/>
      <c r="AA575" s="4" t="s">
        <v>46</v>
      </c>
      <c r="AB575" s="4" t="s">
        <v>47</v>
      </c>
      <c r="AC575" s="4" t="s">
        <v>136</v>
      </c>
      <c r="AD575" s="4" t="s">
        <v>137</v>
      </c>
      <c r="AE575" s="4" t="s">
        <v>48</v>
      </c>
      <c r="AF575" s="4" t="s">
        <v>41</v>
      </c>
      <c r="AG575" s="4" t="s">
        <v>1316</v>
      </c>
    </row>
    <row r="576" spans="1:33" ht="16.5" customHeight="1" x14ac:dyDescent="0.2">
      <c r="A576" s="2" t="s">
        <v>31</v>
      </c>
      <c r="B576" s="5" t="s">
        <v>54</v>
      </c>
      <c r="C576" s="5"/>
      <c r="D576" s="5"/>
      <c r="E576" s="6" t="s">
        <v>33</v>
      </c>
      <c r="F576" s="6"/>
      <c r="G576" s="7" t="s">
        <v>1311</v>
      </c>
      <c r="H576" s="7"/>
      <c r="I576" s="7"/>
      <c r="J576" s="3" t="s">
        <v>35</v>
      </c>
      <c r="K576" s="4" t="s">
        <v>149</v>
      </c>
      <c r="L576" s="4" t="s">
        <v>93</v>
      </c>
      <c r="N576" s="7" t="s">
        <v>1359</v>
      </c>
      <c r="O576" s="7"/>
      <c r="P576" s="7" t="s">
        <v>1360</v>
      </c>
      <c r="Q576" s="7"/>
      <c r="R576" s="7"/>
      <c r="S576" s="3" t="s">
        <v>40</v>
      </c>
      <c r="T576" s="7" t="s">
        <v>41</v>
      </c>
      <c r="U576" s="7"/>
      <c r="V576" s="4" t="s">
        <v>42</v>
      </c>
      <c r="W576" s="4" t="s">
        <v>527</v>
      </c>
      <c r="X576" s="4" t="s">
        <v>528</v>
      </c>
      <c r="Y576" s="7" t="s">
        <v>78</v>
      </c>
      <c r="Z576" s="7"/>
      <c r="AA576" s="4" t="s">
        <v>46</v>
      </c>
      <c r="AB576" s="4" t="s">
        <v>47</v>
      </c>
      <c r="AC576" s="4" t="s">
        <v>136</v>
      </c>
      <c r="AD576" s="4" t="s">
        <v>148</v>
      </c>
      <c r="AE576" s="4" t="s">
        <v>48</v>
      </c>
      <c r="AF576" s="4" t="s">
        <v>41</v>
      </c>
      <c r="AG576" s="4" t="s">
        <v>1316</v>
      </c>
    </row>
    <row r="577" spans="1:33" ht="16.5" customHeight="1" x14ac:dyDescent="0.2">
      <c r="A577" s="2" t="s">
        <v>31</v>
      </c>
      <c r="B577" s="5" t="s">
        <v>54</v>
      </c>
      <c r="C577" s="5"/>
      <c r="D577" s="5"/>
      <c r="E577" s="6" t="s">
        <v>33</v>
      </c>
      <c r="F577" s="6"/>
      <c r="G577" s="7" t="s">
        <v>1311</v>
      </c>
      <c r="H577" s="7"/>
      <c r="I577" s="7"/>
      <c r="J577" s="3" t="s">
        <v>35</v>
      </c>
      <c r="K577" s="4" t="s">
        <v>73</v>
      </c>
      <c r="L577" s="4" t="s">
        <v>37</v>
      </c>
      <c r="N577" s="7" t="s">
        <v>1361</v>
      </c>
      <c r="O577" s="7"/>
      <c r="P577" s="7" t="s">
        <v>1362</v>
      </c>
      <c r="Q577" s="7"/>
      <c r="R577" s="7"/>
      <c r="S577" s="3" t="s">
        <v>40</v>
      </c>
      <c r="T577" s="7" t="s">
        <v>41</v>
      </c>
      <c r="U577" s="7"/>
      <c r="V577" s="4" t="s">
        <v>42</v>
      </c>
      <c r="W577" s="4" t="s">
        <v>58</v>
      </c>
      <c r="X577" s="4" t="s">
        <v>59</v>
      </c>
      <c r="Y577" s="7" t="s">
        <v>78</v>
      </c>
      <c r="Z577" s="7"/>
      <c r="AA577" s="4" t="s">
        <v>46</v>
      </c>
      <c r="AB577" s="4" t="s">
        <v>47</v>
      </c>
      <c r="AC577" s="4" t="s">
        <v>79</v>
      </c>
      <c r="AD577" s="4" t="s">
        <v>80</v>
      </c>
      <c r="AE577" s="4" t="s">
        <v>48</v>
      </c>
      <c r="AF577" s="4" t="s">
        <v>41</v>
      </c>
      <c r="AG577" s="4" t="s">
        <v>1316</v>
      </c>
    </row>
    <row r="578" spans="1:33" ht="16.5" customHeight="1" x14ac:dyDescent="0.2">
      <c r="A578" s="2" t="s">
        <v>31</v>
      </c>
      <c r="B578" s="5" t="s">
        <v>54</v>
      </c>
      <c r="C578" s="5"/>
      <c r="D578" s="5"/>
      <c r="E578" s="6" t="s">
        <v>33</v>
      </c>
      <c r="F578" s="6"/>
      <c r="G578" s="7" t="s">
        <v>1311</v>
      </c>
      <c r="H578" s="7"/>
      <c r="I578" s="7"/>
      <c r="J578" s="3" t="s">
        <v>35</v>
      </c>
      <c r="K578" s="4" t="s">
        <v>73</v>
      </c>
      <c r="L578" s="4" t="s">
        <v>37</v>
      </c>
      <c r="N578" s="7" t="s">
        <v>1363</v>
      </c>
      <c r="O578" s="7"/>
      <c r="P578" s="7" t="s">
        <v>1364</v>
      </c>
      <c r="Q578" s="7"/>
      <c r="R578" s="7"/>
      <c r="S578" s="3" t="s">
        <v>40</v>
      </c>
      <c r="T578" s="7" t="s">
        <v>41</v>
      </c>
      <c r="U578" s="7"/>
      <c r="V578" s="4" t="s">
        <v>42</v>
      </c>
      <c r="W578" s="4" t="s">
        <v>58</v>
      </c>
      <c r="X578" s="4" t="s">
        <v>59</v>
      </c>
      <c r="Y578" s="7" t="s">
        <v>78</v>
      </c>
      <c r="Z578" s="7"/>
      <c r="AA578" s="4" t="s">
        <v>46</v>
      </c>
      <c r="AB578" s="4" t="s">
        <v>47</v>
      </c>
      <c r="AC578" s="4" t="s">
        <v>79</v>
      </c>
      <c r="AD578" s="4" t="s">
        <v>80</v>
      </c>
      <c r="AE578" s="4" t="s">
        <v>48</v>
      </c>
      <c r="AF578" s="4" t="s">
        <v>41</v>
      </c>
      <c r="AG578" s="4" t="s">
        <v>1316</v>
      </c>
    </row>
    <row r="579" spans="1:33" ht="16.5" customHeight="1" x14ac:dyDescent="0.2">
      <c r="A579" s="2" t="s">
        <v>31</v>
      </c>
      <c r="B579" s="5" t="s">
        <v>54</v>
      </c>
      <c r="C579" s="5"/>
      <c r="D579" s="5"/>
      <c r="E579" s="6" t="s">
        <v>33</v>
      </c>
      <c r="F579" s="6"/>
      <c r="G579" s="7" t="s">
        <v>1311</v>
      </c>
      <c r="H579" s="7"/>
      <c r="I579" s="7"/>
      <c r="J579" s="3" t="s">
        <v>35</v>
      </c>
      <c r="K579" s="4" t="s">
        <v>73</v>
      </c>
      <c r="L579" s="4" t="s">
        <v>37</v>
      </c>
      <c r="N579" s="7" t="s">
        <v>1365</v>
      </c>
      <c r="O579" s="7"/>
      <c r="P579" s="7" t="s">
        <v>1366</v>
      </c>
      <c r="Q579" s="7"/>
      <c r="R579" s="7"/>
      <c r="S579" s="3" t="s">
        <v>40</v>
      </c>
      <c r="T579" s="7" t="s">
        <v>41</v>
      </c>
      <c r="U579" s="7"/>
      <c r="V579" s="4" t="s">
        <v>42</v>
      </c>
      <c r="W579" s="4" t="s">
        <v>527</v>
      </c>
      <c r="X579" s="4" t="s">
        <v>528</v>
      </c>
      <c r="Y579" s="7" t="s">
        <v>78</v>
      </c>
      <c r="Z579" s="7"/>
      <c r="AA579" s="4" t="s">
        <v>46</v>
      </c>
      <c r="AB579" s="4" t="s">
        <v>47</v>
      </c>
      <c r="AC579" s="4" t="s">
        <v>72</v>
      </c>
      <c r="AD579" s="4" t="s">
        <v>41</v>
      </c>
      <c r="AE579" s="4" t="s">
        <v>48</v>
      </c>
      <c r="AF579" s="4" t="s">
        <v>41</v>
      </c>
      <c r="AG579" s="4" t="s">
        <v>1316</v>
      </c>
    </row>
    <row r="580" spans="1:33" ht="16.5" customHeight="1" x14ac:dyDescent="0.2">
      <c r="A580" s="2" t="s">
        <v>31</v>
      </c>
      <c r="B580" s="5" t="s">
        <v>54</v>
      </c>
      <c r="C580" s="5"/>
      <c r="D580" s="5"/>
      <c r="E580" s="6" t="s">
        <v>33</v>
      </c>
      <c r="F580" s="6"/>
      <c r="G580" s="7" t="s">
        <v>1311</v>
      </c>
      <c r="H580" s="7"/>
      <c r="I580" s="7"/>
      <c r="J580" s="3" t="s">
        <v>35</v>
      </c>
      <c r="K580" s="4" t="s">
        <v>73</v>
      </c>
      <c r="L580" s="4" t="s">
        <v>37</v>
      </c>
      <c r="N580" s="7" t="s">
        <v>1367</v>
      </c>
      <c r="O580" s="7"/>
      <c r="P580" s="7" t="s">
        <v>1368</v>
      </c>
      <c r="Q580" s="7"/>
      <c r="R580" s="7"/>
      <c r="S580" s="3" t="s">
        <v>40</v>
      </c>
      <c r="T580" s="7" t="s">
        <v>41</v>
      </c>
      <c r="U580" s="7"/>
      <c r="V580" s="4" t="s">
        <v>51</v>
      </c>
      <c r="W580" s="4" t="s">
        <v>58</v>
      </c>
      <c r="X580" s="4" t="s">
        <v>128</v>
      </c>
      <c r="Y580" s="7" t="s">
        <v>78</v>
      </c>
      <c r="Z580" s="7"/>
      <c r="AA580" s="4" t="s">
        <v>46</v>
      </c>
      <c r="AB580" s="4" t="s">
        <v>47</v>
      </c>
      <c r="AC580" s="4" t="s">
        <v>79</v>
      </c>
      <c r="AD580" s="4" t="s">
        <v>80</v>
      </c>
      <c r="AE580" s="4" t="s">
        <v>48</v>
      </c>
      <c r="AF580" s="4" t="s">
        <v>41</v>
      </c>
      <c r="AG580" s="4" t="s">
        <v>1316</v>
      </c>
    </row>
    <row r="581" spans="1:33" ht="16.5" customHeight="1" x14ac:dyDescent="0.2">
      <c r="A581" s="2" t="s">
        <v>31</v>
      </c>
      <c r="B581" s="5" t="s">
        <v>54</v>
      </c>
      <c r="C581" s="5"/>
      <c r="D581" s="5"/>
      <c r="E581" s="6" t="s">
        <v>33</v>
      </c>
      <c r="F581" s="6"/>
      <c r="G581" s="7" t="s">
        <v>1311</v>
      </c>
      <c r="H581" s="7"/>
      <c r="I581" s="7"/>
      <c r="J581" s="3" t="s">
        <v>35</v>
      </c>
      <c r="K581" s="4" t="s">
        <v>118</v>
      </c>
      <c r="L581" s="4" t="s">
        <v>280</v>
      </c>
      <c r="N581" s="7" t="s">
        <v>1369</v>
      </c>
      <c r="O581" s="7"/>
      <c r="P581" s="7" t="s">
        <v>1370</v>
      </c>
      <c r="Q581" s="7"/>
      <c r="R581" s="7"/>
      <c r="S581" s="3" t="s">
        <v>40</v>
      </c>
      <c r="T581" s="7" t="s">
        <v>41</v>
      </c>
      <c r="U581" s="7"/>
      <c r="V581" s="4" t="s">
        <v>42</v>
      </c>
      <c r="W581" s="4" t="s">
        <v>234</v>
      </c>
      <c r="X581" s="4" t="s">
        <v>235</v>
      </c>
      <c r="Y581" s="7" t="s">
        <v>60</v>
      </c>
      <c r="Z581" s="7"/>
      <c r="AA581" s="4" t="s">
        <v>46</v>
      </c>
      <c r="AB581" s="4" t="s">
        <v>47</v>
      </c>
      <c r="AC581" s="4" t="s">
        <v>79</v>
      </c>
      <c r="AD581" s="4" t="s">
        <v>285</v>
      </c>
      <c r="AE581" s="4" t="s">
        <v>48</v>
      </c>
      <c r="AF581" s="4" t="s">
        <v>41</v>
      </c>
      <c r="AG581" s="4" t="s">
        <v>1316</v>
      </c>
    </row>
    <row r="582" spans="1:33" ht="16.5" customHeight="1" x14ac:dyDescent="0.2">
      <c r="A582" s="2" t="s">
        <v>31</v>
      </c>
      <c r="B582" s="5" t="s">
        <v>54</v>
      </c>
      <c r="C582" s="5"/>
      <c r="D582" s="5"/>
      <c r="E582" s="6" t="s">
        <v>33</v>
      </c>
      <c r="F582" s="6"/>
      <c r="G582" s="7" t="s">
        <v>1311</v>
      </c>
      <c r="H582" s="7"/>
      <c r="I582" s="7"/>
      <c r="J582" s="3" t="s">
        <v>35</v>
      </c>
      <c r="K582" s="4" t="s">
        <v>97</v>
      </c>
      <c r="L582" s="4" t="s">
        <v>443</v>
      </c>
      <c r="N582" s="7" t="s">
        <v>1371</v>
      </c>
      <c r="O582" s="7"/>
      <c r="P582" s="7" t="s">
        <v>1372</v>
      </c>
      <c r="Q582" s="7"/>
      <c r="R582" s="7"/>
      <c r="S582" s="3" t="s">
        <v>40</v>
      </c>
      <c r="T582" s="7" t="s">
        <v>41</v>
      </c>
      <c r="U582" s="7"/>
      <c r="V582" s="4" t="s">
        <v>42</v>
      </c>
      <c r="W582" s="4" t="s">
        <v>1006</v>
      </c>
      <c r="X582" s="4" t="s">
        <v>1007</v>
      </c>
      <c r="Y582" s="7" t="s">
        <v>78</v>
      </c>
      <c r="Z582" s="7"/>
      <c r="AA582" s="4" t="s">
        <v>46</v>
      </c>
      <c r="AB582" s="4" t="s">
        <v>47</v>
      </c>
      <c r="AC582" s="4" t="s">
        <v>72</v>
      </c>
      <c r="AD582" s="4" t="s">
        <v>41</v>
      </c>
      <c r="AE582" s="4" t="s">
        <v>48</v>
      </c>
      <c r="AF582" s="4" t="s">
        <v>41</v>
      </c>
      <c r="AG582" s="4" t="s">
        <v>1316</v>
      </c>
    </row>
    <row r="583" spans="1:33" ht="16.5" customHeight="1" x14ac:dyDescent="0.2">
      <c r="A583" s="2" t="s">
        <v>31</v>
      </c>
      <c r="B583" s="5" t="s">
        <v>54</v>
      </c>
      <c r="C583" s="5"/>
      <c r="D583" s="5"/>
      <c r="E583" s="6" t="s">
        <v>33</v>
      </c>
      <c r="F583" s="6"/>
      <c r="G583" s="7" t="s">
        <v>1311</v>
      </c>
      <c r="H583" s="7"/>
      <c r="I583" s="7"/>
      <c r="J583" s="3" t="s">
        <v>35</v>
      </c>
      <c r="K583" s="4" t="s">
        <v>143</v>
      </c>
      <c r="L583" s="4" t="s">
        <v>93</v>
      </c>
      <c r="N583" s="7" t="s">
        <v>1373</v>
      </c>
      <c r="O583" s="7"/>
      <c r="P583" s="7" t="s">
        <v>1374</v>
      </c>
      <c r="Q583" s="7"/>
      <c r="R583" s="7"/>
      <c r="S583" s="3" t="s">
        <v>40</v>
      </c>
      <c r="T583" s="7" t="s">
        <v>41</v>
      </c>
      <c r="U583" s="7"/>
      <c r="V583" s="4" t="s">
        <v>42</v>
      </c>
      <c r="W583" s="4" t="s">
        <v>257</v>
      </c>
      <c r="X583" s="4" t="s">
        <v>258</v>
      </c>
      <c r="Y583" s="7" t="s">
        <v>135</v>
      </c>
      <c r="Z583" s="7"/>
      <c r="AA583" s="4" t="s">
        <v>46</v>
      </c>
      <c r="AB583" s="4" t="s">
        <v>47</v>
      </c>
      <c r="AC583" s="4" t="s">
        <v>136</v>
      </c>
      <c r="AD583" s="4" t="s">
        <v>148</v>
      </c>
      <c r="AE583" s="4" t="s">
        <v>48</v>
      </c>
      <c r="AF583" s="4" t="s">
        <v>41</v>
      </c>
      <c r="AG583" s="4" t="s">
        <v>1316</v>
      </c>
    </row>
    <row r="584" spans="1:33" ht="16.5" customHeight="1" x14ac:dyDescent="0.2">
      <c r="A584" s="2" t="s">
        <v>31</v>
      </c>
      <c r="B584" s="5" t="s">
        <v>54</v>
      </c>
      <c r="C584" s="5"/>
      <c r="D584" s="5"/>
      <c r="E584" s="6" t="s">
        <v>33</v>
      </c>
      <c r="F584" s="6"/>
      <c r="G584" s="7" t="s">
        <v>1311</v>
      </c>
      <c r="H584" s="7"/>
      <c r="I584" s="7"/>
      <c r="J584" s="3" t="s">
        <v>35</v>
      </c>
      <c r="K584" s="4" t="s">
        <v>73</v>
      </c>
      <c r="L584" s="4" t="s">
        <v>37</v>
      </c>
      <c r="N584" s="7" t="s">
        <v>1375</v>
      </c>
      <c r="O584" s="7"/>
      <c r="P584" s="7" t="s">
        <v>1376</v>
      </c>
      <c r="Q584" s="7"/>
      <c r="R584" s="7"/>
      <c r="S584" s="3" t="s">
        <v>40</v>
      </c>
      <c r="T584" s="7" t="s">
        <v>41</v>
      </c>
      <c r="U584" s="7"/>
      <c r="V584" s="4" t="s">
        <v>42</v>
      </c>
      <c r="W584" s="4" t="s">
        <v>355</v>
      </c>
      <c r="X584" s="4" t="s">
        <v>344</v>
      </c>
      <c r="Y584" s="7" t="s">
        <v>78</v>
      </c>
      <c r="Z584" s="7"/>
      <c r="AA584" s="4" t="s">
        <v>46</v>
      </c>
      <c r="AB584" s="4" t="s">
        <v>47</v>
      </c>
      <c r="AC584" s="4" t="s">
        <v>136</v>
      </c>
      <c r="AD584" s="4" t="s">
        <v>137</v>
      </c>
      <c r="AE584" s="4" t="s">
        <v>48</v>
      </c>
      <c r="AF584" s="4" t="s">
        <v>41</v>
      </c>
      <c r="AG584" s="4" t="s">
        <v>1316</v>
      </c>
    </row>
    <row r="585" spans="1:33" ht="16.5" customHeight="1" x14ac:dyDescent="0.2">
      <c r="A585" s="2" t="s">
        <v>31</v>
      </c>
      <c r="B585" s="5" t="s">
        <v>54</v>
      </c>
      <c r="C585" s="5"/>
      <c r="D585" s="5"/>
      <c r="E585" s="6" t="s">
        <v>33</v>
      </c>
      <c r="F585" s="6"/>
      <c r="G585" s="7" t="s">
        <v>1311</v>
      </c>
      <c r="H585" s="7"/>
      <c r="I585" s="7"/>
      <c r="J585" s="3" t="s">
        <v>35</v>
      </c>
      <c r="K585" s="4" t="s">
        <v>73</v>
      </c>
      <c r="L585" s="4" t="s">
        <v>37</v>
      </c>
      <c r="N585" s="7" t="s">
        <v>1375</v>
      </c>
      <c r="O585" s="7"/>
      <c r="P585" s="7" t="s">
        <v>1376</v>
      </c>
      <c r="Q585" s="7"/>
      <c r="R585" s="7"/>
      <c r="S585" s="3" t="s">
        <v>40</v>
      </c>
      <c r="T585" s="7" t="s">
        <v>41</v>
      </c>
      <c r="U585" s="7"/>
      <c r="V585" s="4" t="s">
        <v>51</v>
      </c>
      <c r="W585" s="4" t="s">
        <v>355</v>
      </c>
      <c r="X585" s="4" t="s">
        <v>361</v>
      </c>
      <c r="Y585" s="7" t="s">
        <v>78</v>
      </c>
      <c r="Z585" s="7"/>
      <c r="AA585" s="4" t="s">
        <v>46</v>
      </c>
      <c r="AB585" s="4" t="s">
        <v>47</v>
      </c>
      <c r="AC585" s="4" t="s">
        <v>79</v>
      </c>
      <c r="AD585" s="4" t="s">
        <v>80</v>
      </c>
      <c r="AE585" s="4" t="s">
        <v>48</v>
      </c>
      <c r="AF585" s="4" t="s">
        <v>41</v>
      </c>
      <c r="AG585" s="4" t="s">
        <v>1316</v>
      </c>
    </row>
    <row r="586" spans="1:33" ht="16.5" customHeight="1" x14ac:dyDescent="0.2">
      <c r="A586" s="2" t="s">
        <v>31</v>
      </c>
      <c r="B586" s="5" t="s">
        <v>54</v>
      </c>
      <c r="C586" s="5"/>
      <c r="D586" s="5"/>
      <c r="E586" s="6" t="s">
        <v>33</v>
      </c>
      <c r="F586" s="6"/>
      <c r="G586" s="7" t="s">
        <v>1311</v>
      </c>
      <c r="H586" s="7"/>
      <c r="I586" s="7"/>
      <c r="J586" s="3" t="s">
        <v>35</v>
      </c>
      <c r="K586" s="4" t="s">
        <v>73</v>
      </c>
      <c r="L586" s="4" t="s">
        <v>37</v>
      </c>
      <c r="N586" s="7" t="s">
        <v>1377</v>
      </c>
      <c r="O586" s="7"/>
      <c r="P586" s="7" t="s">
        <v>1378</v>
      </c>
      <c r="Q586" s="7"/>
      <c r="R586" s="7"/>
      <c r="S586" s="3" t="s">
        <v>40</v>
      </c>
      <c r="T586" s="7" t="s">
        <v>41</v>
      </c>
      <c r="U586" s="7"/>
      <c r="V586" s="4" t="s">
        <v>42</v>
      </c>
      <c r="W586" s="4" t="s">
        <v>200</v>
      </c>
      <c r="X586" s="4" t="s">
        <v>201</v>
      </c>
      <c r="Y586" s="7" t="s">
        <v>78</v>
      </c>
      <c r="Z586" s="7"/>
      <c r="AA586" s="4" t="s">
        <v>46</v>
      </c>
      <c r="AB586" s="4" t="s">
        <v>47</v>
      </c>
      <c r="AC586" s="4" t="s">
        <v>136</v>
      </c>
      <c r="AD586" s="4" t="s">
        <v>137</v>
      </c>
      <c r="AE586" s="4" t="s">
        <v>48</v>
      </c>
      <c r="AF586" s="4" t="s">
        <v>41</v>
      </c>
      <c r="AG586" s="4" t="s">
        <v>1316</v>
      </c>
    </row>
    <row r="587" spans="1:33" ht="16.5" customHeight="1" x14ac:dyDescent="0.2">
      <c r="A587" s="2" t="s">
        <v>31</v>
      </c>
      <c r="B587" s="5" t="s">
        <v>54</v>
      </c>
      <c r="C587" s="5"/>
      <c r="D587" s="5"/>
      <c r="E587" s="6" t="s">
        <v>33</v>
      </c>
      <c r="F587" s="6"/>
      <c r="G587" s="7" t="s">
        <v>1311</v>
      </c>
      <c r="H587" s="7"/>
      <c r="I587" s="7"/>
      <c r="J587" s="3" t="s">
        <v>35</v>
      </c>
      <c r="K587" s="4" t="s">
        <v>55</v>
      </c>
      <c r="L587" s="4" t="s">
        <v>37</v>
      </c>
      <c r="N587" s="7" t="s">
        <v>1379</v>
      </c>
      <c r="O587" s="7"/>
      <c r="P587" s="7" t="s">
        <v>1380</v>
      </c>
      <c r="Q587" s="7"/>
      <c r="R587" s="7"/>
      <c r="S587" s="3" t="s">
        <v>40</v>
      </c>
      <c r="T587" s="7" t="s">
        <v>41</v>
      </c>
      <c r="U587" s="7"/>
      <c r="V587" s="4" t="s">
        <v>51</v>
      </c>
      <c r="W587" s="4" t="s">
        <v>58</v>
      </c>
      <c r="X587" s="4" t="s">
        <v>128</v>
      </c>
      <c r="Y587" s="7" t="s">
        <v>60</v>
      </c>
      <c r="Z587" s="7"/>
      <c r="AA587" s="4" t="s">
        <v>46</v>
      </c>
      <c r="AB587" s="4" t="s">
        <v>47</v>
      </c>
      <c r="AC587" s="4" t="s">
        <v>61</v>
      </c>
      <c r="AD587" s="4" t="s">
        <v>62</v>
      </c>
      <c r="AE587" s="4" t="s">
        <v>48</v>
      </c>
      <c r="AF587" s="4" t="s">
        <v>41</v>
      </c>
      <c r="AG587" s="4" t="s">
        <v>1316</v>
      </c>
    </row>
    <row r="588" spans="1:33" ht="16.5" customHeight="1" x14ac:dyDescent="0.2">
      <c r="A588" s="2" t="s">
        <v>31</v>
      </c>
      <c r="B588" s="5" t="s">
        <v>54</v>
      </c>
      <c r="C588" s="5"/>
      <c r="D588" s="5"/>
      <c r="E588" s="6" t="s">
        <v>33</v>
      </c>
      <c r="F588" s="6"/>
      <c r="G588" s="7" t="s">
        <v>1311</v>
      </c>
      <c r="H588" s="7"/>
      <c r="I588" s="7"/>
      <c r="J588" s="3" t="s">
        <v>35</v>
      </c>
      <c r="K588" s="4" t="s">
        <v>149</v>
      </c>
      <c r="L588" s="4" t="s">
        <v>37</v>
      </c>
      <c r="N588" s="7" t="s">
        <v>1381</v>
      </c>
      <c r="O588" s="7"/>
      <c r="P588" s="7" t="s">
        <v>1382</v>
      </c>
      <c r="Q588" s="7"/>
      <c r="R588" s="7"/>
      <c r="S588" s="3" t="s">
        <v>40</v>
      </c>
      <c r="T588" s="7" t="s">
        <v>41</v>
      </c>
      <c r="U588" s="7"/>
      <c r="V588" s="4" t="s">
        <v>42</v>
      </c>
      <c r="W588" s="4" t="s">
        <v>158</v>
      </c>
      <c r="X588" s="4" t="s">
        <v>159</v>
      </c>
      <c r="Y588" s="7" t="s">
        <v>78</v>
      </c>
      <c r="Z588" s="7"/>
      <c r="AA588" s="4" t="s">
        <v>46</v>
      </c>
      <c r="AB588" s="4" t="s">
        <v>47</v>
      </c>
      <c r="AC588" s="4" t="s">
        <v>136</v>
      </c>
      <c r="AD588" s="4" t="s">
        <v>137</v>
      </c>
      <c r="AE588" s="4" t="s">
        <v>48</v>
      </c>
      <c r="AF588" s="4" t="s">
        <v>41</v>
      </c>
      <c r="AG588" s="4" t="s">
        <v>1316</v>
      </c>
    </row>
    <row r="589" spans="1:33" ht="16.5" customHeight="1" x14ac:dyDescent="0.2">
      <c r="A589" s="2" t="s">
        <v>31</v>
      </c>
      <c r="B589" s="5" t="s">
        <v>54</v>
      </c>
      <c r="C589" s="5"/>
      <c r="D589" s="5"/>
      <c r="E589" s="6" t="s">
        <v>33</v>
      </c>
      <c r="F589" s="6"/>
      <c r="G589" s="7" t="s">
        <v>1311</v>
      </c>
      <c r="H589" s="7"/>
      <c r="I589" s="7"/>
      <c r="J589" s="3" t="s">
        <v>35</v>
      </c>
      <c r="K589" s="4" t="s">
        <v>73</v>
      </c>
      <c r="L589" s="4" t="s">
        <v>37</v>
      </c>
      <c r="N589" s="7" t="s">
        <v>1383</v>
      </c>
      <c r="O589" s="7"/>
      <c r="P589" s="7" t="s">
        <v>1384</v>
      </c>
      <c r="Q589" s="7"/>
      <c r="R589" s="7"/>
      <c r="S589" s="3" t="s">
        <v>40</v>
      </c>
      <c r="T589" s="7" t="s">
        <v>41</v>
      </c>
      <c r="U589" s="7"/>
      <c r="V589" s="4" t="s">
        <v>42</v>
      </c>
      <c r="W589" s="4" t="s">
        <v>355</v>
      </c>
      <c r="X589" s="4" t="s">
        <v>344</v>
      </c>
      <c r="Y589" s="7" t="s">
        <v>78</v>
      </c>
      <c r="Z589" s="7"/>
      <c r="AA589" s="4" t="s">
        <v>46</v>
      </c>
      <c r="AB589" s="4" t="s">
        <v>47</v>
      </c>
      <c r="AC589" s="4" t="s">
        <v>136</v>
      </c>
      <c r="AD589" s="4" t="s">
        <v>137</v>
      </c>
      <c r="AE589" s="4" t="s">
        <v>48</v>
      </c>
      <c r="AF589" s="4" t="s">
        <v>41</v>
      </c>
      <c r="AG589" s="4" t="s">
        <v>1316</v>
      </c>
    </row>
    <row r="590" spans="1:33" ht="16.5" customHeight="1" x14ac:dyDescent="0.2">
      <c r="A590" s="2" t="s">
        <v>31</v>
      </c>
      <c r="B590" s="5" t="s">
        <v>54</v>
      </c>
      <c r="C590" s="5"/>
      <c r="D590" s="5"/>
      <c r="E590" s="6" t="s">
        <v>33</v>
      </c>
      <c r="F590" s="6"/>
      <c r="G590" s="7" t="s">
        <v>1311</v>
      </c>
      <c r="H590" s="7"/>
      <c r="I590" s="7"/>
      <c r="J590" s="3" t="s">
        <v>35</v>
      </c>
      <c r="K590" s="4" t="s">
        <v>73</v>
      </c>
      <c r="L590" s="4" t="s">
        <v>37</v>
      </c>
      <c r="N590" s="7" t="s">
        <v>1385</v>
      </c>
      <c r="O590" s="7"/>
      <c r="P590" s="7" t="s">
        <v>1386</v>
      </c>
      <c r="Q590" s="7"/>
      <c r="R590" s="7"/>
      <c r="S590" s="3" t="s">
        <v>40</v>
      </c>
      <c r="T590" s="7" t="s">
        <v>41</v>
      </c>
      <c r="U590" s="7"/>
      <c r="V590" s="4" t="s">
        <v>42</v>
      </c>
      <c r="W590" s="4" t="s">
        <v>234</v>
      </c>
      <c r="X590" s="4" t="s">
        <v>235</v>
      </c>
      <c r="Y590" s="7" t="s">
        <v>78</v>
      </c>
      <c r="Z590" s="7"/>
      <c r="AA590" s="4" t="s">
        <v>46</v>
      </c>
      <c r="AB590" s="4" t="s">
        <v>47</v>
      </c>
      <c r="AC590" s="4" t="s">
        <v>136</v>
      </c>
      <c r="AD590" s="4" t="s">
        <v>137</v>
      </c>
      <c r="AE590" s="4" t="s">
        <v>48</v>
      </c>
      <c r="AF590" s="4" t="s">
        <v>41</v>
      </c>
      <c r="AG590" s="4" t="s">
        <v>1316</v>
      </c>
    </row>
    <row r="591" spans="1:33" ht="16.5" customHeight="1" x14ac:dyDescent="0.2">
      <c r="A591" s="2" t="s">
        <v>31</v>
      </c>
      <c r="B591" s="5" t="s">
        <v>54</v>
      </c>
      <c r="C591" s="5"/>
      <c r="D591" s="5"/>
      <c r="E591" s="6" t="s">
        <v>33</v>
      </c>
      <c r="F591" s="6"/>
      <c r="G591" s="7" t="s">
        <v>1311</v>
      </c>
      <c r="H591" s="7"/>
      <c r="I591" s="7"/>
      <c r="J591" s="3" t="s">
        <v>35</v>
      </c>
      <c r="K591" s="4" t="s">
        <v>267</v>
      </c>
      <c r="L591" s="4" t="s">
        <v>93</v>
      </c>
      <c r="N591" s="7" t="s">
        <v>1387</v>
      </c>
      <c r="O591" s="7"/>
      <c r="P591" s="7" t="s">
        <v>1388</v>
      </c>
      <c r="Q591" s="7"/>
      <c r="R591" s="7"/>
      <c r="S591" s="3" t="s">
        <v>40</v>
      </c>
      <c r="T591" s="7" t="s">
        <v>41</v>
      </c>
      <c r="U591" s="7"/>
      <c r="V591" s="4" t="s">
        <v>42</v>
      </c>
      <c r="W591" s="4" t="s">
        <v>737</v>
      </c>
      <c r="X591" s="4" t="s">
        <v>738</v>
      </c>
      <c r="Y591" s="7" t="s">
        <v>78</v>
      </c>
      <c r="Z591" s="7"/>
      <c r="AA591" s="4" t="s">
        <v>46</v>
      </c>
      <c r="AB591" s="4" t="s">
        <v>47</v>
      </c>
      <c r="AC591" s="4" t="s">
        <v>72</v>
      </c>
      <c r="AD591" s="4" t="s">
        <v>41</v>
      </c>
      <c r="AE591" s="4" t="s">
        <v>48</v>
      </c>
      <c r="AF591" s="4" t="s">
        <v>41</v>
      </c>
      <c r="AG591" s="4" t="s">
        <v>1316</v>
      </c>
    </row>
    <row r="592" spans="1:33" ht="16.5" customHeight="1" x14ac:dyDescent="0.2">
      <c r="A592" s="2" t="s">
        <v>31</v>
      </c>
      <c r="B592" s="5" t="s">
        <v>54</v>
      </c>
      <c r="C592" s="5"/>
      <c r="D592" s="5"/>
      <c r="E592" s="6" t="s">
        <v>33</v>
      </c>
      <c r="F592" s="6"/>
      <c r="G592" s="7" t="s">
        <v>1311</v>
      </c>
      <c r="H592" s="7"/>
      <c r="I592" s="7"/>
      <c r="J592" s="3" t="s">
        <v>35</v>
      </c>
      <c r="K592" s="4" t="s">
        <v>97</v>
      </c>
      <c r="L592" s="4" t="s">
        <v>37</v>
      </c>
      <c r="N592" s="7" t="s">
        <v>1389</v>
      </c>
      <c r="O592" s="7"/>
      <c r="P592" s="7" t="s">
        <v>1390</v>
      </c>
      <c r="Q592" s="7"/>
      <c r="R592" s="7"/>
      <c r="S592" s="3" t="s">
        <v>40</v>
      </c>
      <c r="T592" s="7" t="s">
        <v>41</v>
      </c>
      <c r="U592" s="7"/>
      <c r="V592" s="4" t="s">
        <v>42</v>
      </c>
      <c r="W592" s="4" t="s">
        <v>107</v>
      </c>
      <c r="X592" s="4" t="s">
        <v>104</v>
      </c>
      <c r="Y592" s="7" t="s">
        <v>78</v>
      </c>
      <c r="Z592" s="7"/>
      <c r="AA592" s="4" t="s">
        <v>46</v>
      </c>
      <c r="AB592" s="4" t="s">
        <v>47</v>
      </c>
      <c r="AC592" s="4" t="s">
        <v>79</v>
      </c>
      <c r="AD592" s="4" t="s">
        <v>80</v>
      </c>
      <c r="AE592" s="4" t="s">
        <v>48</v>
      </c>
      <c r="AF592" s="4" t="s">
        <v>41</v>
      </c>
      <c r="AG592" s="4" t="s">
        <v>1316</v>
      </c>
    </row>
    <row r="593" spans="1:33" ht="16.5" customHeight="1" x14ac:dyDescent="0.2">
      <c r="A593" s="2" t="s">
        <v>31</v>
      </c>
      <c r="B593" s="5" t="s">
        <v>54</v>
      </c>
      <c r="C593" s="5"/>
      <c r="D593" s="5"/>
      <c r="E593" s="6" t="s">
        <v>33</v>
      </c>
      <c r="F593" s="6"/>
      <c r="G593" s="7" t="s">
        <v>1311</v>
      </c>
      <c r="H593" s="7"/>
      <c r="I593" s="7"/>
      <c r="J593" s="3" t="s">
        <v>35</v>
      </c>
      <c r="K593" s="4" t="s">
        <v>92</v>
      </c>
      <c r="L593" s="4" t="s">
        <v>37</v>
      </c>
      <c r="N593" s="7" t="s">
        <v>1391</v>
      </c>
      <c r="O593" s="7"/>
      <c r="P593" s="7" t="s">
        <v>1392</v>
      </c>
      <c r="Q593" s="7"/>
      <c r="R593" s="7"/>
      <c r="S593" s="3" t="s">
        <v>40</v>
      </c>
      <c r="T593" s="7" t="s">
        <v>41</v>
      </c>
      <c r="U593" s="7"/>
      <c r="V593" s="4" t="s">
        <v>51</v>
      </c>
      <c r="W593" s="4" t="s">
        <v>58</v>
      </c>
      <c r="X593" s="4" t="s">
        <v>128</v>
      </c>
      <c r="Y593" s="7" t="s">
        <v>78</v>
      </c>
      <c r="Z593" s="7"/>
      <c r="AA593" s="4" t="s">
        <v>46</v>
      </c>
      <c r="AB593" s="4" t="s">
        <v>47</v>
      </c>
      <c r="AC593" s="4" t="s">
        <v>79</v>
      </c>
      <c r="AD593" s="4" t="s">
        <v>80</v>
      </c>
      <c r="AE593" s="4" t="s">
        <v>48</v>
      </c>
      <c r="AF593" s="4" t="s">
        <v>41</v>
      </c>
      <c r="AG593" s="4" t="s">
        <v>1316</v>
      </c>
    </row>
    <row r="594" spans="1:33" ht="16.5" customHeight="1" x14ac:dyDescent="0.2">
      <c r="A594" s="2" t="s">
        <v>31</v>
      </c>
      <c r="B594" s="5" t="s">
        <v>54</v>
      </c>
      <c r="C594" s="5"/>
      <c r="D594" s="5"/>
      <c r="E594" s="6" t="s">
        <v>33</v>
      </c>
      <c r="F594" s="6"/>
      <c r="G594" s="7" t="s">
        <v>1311</v>
      </c>
      <c r="H594" s="7"/>
      <c r="I594" s="7"/>
      <c r="J594" s="3" t="s">
        <v>35</v>
      </c>
      <c r="K594" s="4" t="s">
        <v>97</v>
      </c>
      <c r="L594" s="4" t="s">
        <v>280</v>
      </c>
      <c r="N594" s="7" t="s">
        <v>1393</v>
      </c>
      <c r="O594" s="7"/>
      <c r="P594" s="7" t="s">
        <v>1394</v>
      </c>
      <c r="Q594" s="7"/>
      <c r="R594" s="7"/>
      <c r="S594" s="3" t="s">
        <v>40</v>
      </c>
      <c r="T594" s="7" t="s">
        <v>41</v>
      </c>
      <c r="U594" s="7"/>
      <c r="V594" s="4" t="s">
        <v>42</v>
      </c>
      <c r="W594" s="4" t="s">
        <v>181</v>
      </c>
      <c r="X594" s="4" t="s">
        <v>182</v>
      </c>
      <c r="Y594" s="7" t="s">
        <v>78</v>
      </c>
      <c r="Z594" s="7"/>
      <c r="AA594" s="4" t="s">
        <v>46</v>
      </c>
      <c r="AB594" s="4" t="s">
        <v>47</v>
      </c>
      <c r="AC594" s="4" t="s">
        <v>79</v>
      </c>
      <c r="AD594" s="4" t="s">
        <v>285</v>
      </c>
      <c r="AE594" s="4" t="s">
        <v>48</v>
      </c>
      <c r="AF594" s="4" t="s">
        <v>41</v>
      </c>
      <c r="AG594" s="4" t="s">
        <v>1316</v>
      </c>
    </row>
    <row r="595" spans="1:33" ht="16.5" customHeight="1" x14ac:dyDescent="0.2">
      <c r="A595" s="2" t="s">
        <v>31</v>
      </c>
      <c r="B595" s="5" t="s">
        <v>54</v>
      </c>
      <c r="C595" s="5"/>
      <c r="D595" s="5"/>
      <c r="E595" s="6" t="s">
        <v>33</v>
      </c>
      <c r="F595" s="6"/>
      <c r="G595" s="7" t="s">
        <v>1311</v>
      </c>
      <c r="H595" s="7"/>
      <c r="I595" s="7"/>
      <c r="J595" s="3" t="s">
        <v>35</v>
      </c>
      <c r="K595" s="4" t="s">
        <v>97</v>
      </c>
      <c r="L595" s="4" t="s">
        <v>37</v>
      </c>
      <c r="N595" s="7" t="s">
        <v>1395</v>
      </c>
      <c r="O595" s="7"/>
      <c r="P595" s="7" t="s">
        <v>1396</v>
      </c>
      <c r="Q595" s="7"/>
      <c r="R595" s="7"/>
      <c r="S595" s="3" t="s">
        <v>40</v>
      </c>
      <c r="T595" s="7" t="s">
        <v>41</v>
      </c>
      <c r="U595" s="7"/>
      <c r="V595" s="4" t="s">
        <v>42</v>
      </c>
      <c r="W595" s="4" t="s">
        <v>181</v>
      </c>
      <c r="X595" s="4" t="s">
        <v>182</v>
      </c>
      <c r="Y595" s="7" t="s">
        <v>78</v>
      </c>
      <c r="Z595" s="7"/>
      <c r="AA595" s="4" t="s">
        <v>46</v>
      </c>
      <c r="AB595" s="4" t="s">
        <v>47</v>
      </c>
      <c r="AC595" s="4" t="s">
        <v>79</v>
      </c>
      <c r="AD595" s="4" t="s">
        <v>80</v>
      </c>
      <c r="AE595" s="4" t="s">
        <v>48</v>
      </c>
      <c r="AF595" s="4" t="s">
        <v>41</v>
      </c>
      <c r="AG595" s="4" t="s">
        <v>1316</v>
      </c>
    </row>
    <row r="596" spans="1:33" ht="16.5" customHeight="1" x14ac:dyDescent="0.2">
      <c r="A596" s="2" t="s">
        <v>31</v>
      </c>
      <c r="B596" s="5" t="s">
        <v>54</v>
      </c>
      <c r="C596" s="5"/>
      <c r="D596" s="5"/>
      <c r="E596" s="6" t="s">
        <v>33</v>
      </c>
      <c r="F596" s="6"/>
      <c r="G596" s="7" t="s">
        <v>1311</v>
      </c>
      <c r="H596" s="7"/>
      <c r="I596" s="7"/>
      <c r="J596" s="3" t="s">
        <v>35</v>
      </c>
      <c r="K596" s="4" t="s">
        <v>73</v>
      </c>
      <c r="L596" s="4" t="s">
        <v>37</v>
      </c>
      <c r="N596" s="7" t="s">
        <v>1397</v>
      </c>
      <c r="O596" s="7"/>
      <c r="P596" s="7" t="s">
        <v>1398</v>
      </c>
      <c r="Q596" s="7"/>
      <c r="R596" s="7"/>
      <c r="S596" s="3" t="s">
        <v>40</v>
      </c>
      <c r="T596" s="7" t="s">
        <v>41</v>
      </c>
      <c r="U596" s="7"/>
      <c r="V596" s="4" t="s">
        <v>51</v>
      </c>
      <c r="W596" s="4" t="s">
        <v>58</v>
      </c>
      <c r="X596" s="4" t="s">
        <v>128</v>
      </c>
      <c r="Y596" s="7" t="s">
        <v>78</v>
      </c>
      <c r="Z596" s="7"/>
      <c r="AA596" s="4" t="s">
        <v>46</v>
      </c>
      <c r="AB596" s="4" t="s">
        <v>47</v>
      </c>
      <c r="AC596" s="4" t="s">
        <v>79</v>
      </c>
      <c r="AD596" s="4" t="s">
        <v>80</v>
      </c>
      <c r="AE596" s="4" t="s">
        <v>48</v>
      </c>
      <c r="AF596" s="4" t="s">
        <v>41</v>
      </c>
      <c r="AG596" s="4" t="s">
        <v>1316</v>
      </c>
    </row>
    <row r="597" spans="1:33" ht="16.5" customHeight="1" x14ac:dyDescent="0.2">
      <c r="A597" s="2" t="s">
        <v>31</v>
      </c>
      <c r="B597" s="5" t="s">
        <v>54</v>
      </c>
      <c r="C597" s="5"/>
      <c r="D597" s="5"/>
      <c r="E597" s="6" t="s">
        <v>33</v>
      </c>
      <c r="F597" s="6"/>
      <c r="G597" s="7" t="s">
        <v>1311</v>
      </c>
      <c r="H597" s="7"/>
      <c r="I597" s="7"/>
      <c r="J597" s="3" t="s">
        <v>35</v>
      </c>
      <c r="K597" s="4" t="s">
        <v>73</v>
      </c>
      <c r="L597" s="4" t="s">
        <v>37</v>
      </c>
      <c r="N597" s="7" t="s">
        <v>1399</v>
      </c>
      <c r="O597" s="7"/>
      <c r="P597" s="7" t="s">
        <v>1400</v>
      </c>
      <c r="Q597" s="7"/>
      <c r="R597" s="7"/>
      <c r="S597" s="3" t="s">
        <v>40</v>
      </c>
      <c r="T597" s="7" t="s">
        <v>41</v>
      </c>
      <c r="U597" s="7"/>
      <c r="V597" s="4" t="s">
        <v>42</v>
      </c>
      <c r="W597" s="4" t="s">
        <v>1401</v>
      </c>
      <c r="X597" s="4" t="s">
        <v>1402</v>
      </c>
      <c r="Y597" s="7" t="s">
        <v>78</v>
      </c>
      <c r="Z597" s="7"/>
      <c r="AA597" s="4" t="s">
        <v>46</v>
      </c>
      <c r="AB597" s="4" t="s">
        <v>47</v>
      </c>
      <c r="AC597" s="4" t="s">
        <v>136</v>
      </c>
      <c r="AD597" s="4" t="s">
        <v>137</v>
      </c>
      <c r="AE597" s="4" t="s">
        <v>48</v>
      </c>
      <c r="AF597" s="4" t="s">
        <v>41</v>
      </c>
      <c r="AG597" s="4" t="s">
        <v>1316</v>
      </c>
    </row>
    <row r="598" spans="1:33" ht="16.5" customHeight="1" x14ac:dyDescent="0.2">
      <c r="A598" s="2" t="s">
        <v>31</v>
      </c>
      <c r="B598" s="5" t="s">
        <v>108</v>
      </c>
      <c r="C598" s="5"/>
      <c r="D598" s="5"/>
      <c r="E598" s="6" t="s">
        <v>33</v>
      </c>
      <c r="F598" s="6"/>
      <c r="G598" s="7" t="s">
        <v>1311</v>
      </c>
      <c r="H598" s="7"/>
      <c r="I598" s="7"/>
      <c r="J598" s="3" t="s">
        <v>109</v>
      </c>
      <c r="K598" s="4" t="s">
        <v>110</v>
      </c>
      <c r="N598" s="7" t="s">
        <v>1399</v>
      </c>
      <c r="O598" s="7"/>
      <c r="P598" s="7" t="s">
        <v>1400</v>
      </c>
      <c r="Q598" s="7"/>
      <c r="R598" s="7"/>
      <c r="S598" s="3" t="s">
        <v>40</v>
      </c>
      <c r="T598" s="7" t="s">
        <v>1403</v>
      </c>
      <c r="U598" s="7"/>
      <c r="V598" s="4" t="s">
        <v>42</v>
      </c>
      <c r="W598" s="4" t="s">
        <v>51</v>
      </c>
      <c r="X598" s="4" t="s">
        <v>201</v>
      </c>
      <c r="Y598" s="7" t="s">
        <v>114</v>
      </c>
      <c r="Z598" s="7"/>
      <c r="AA598" s="4" t="s">
        <v>46</v>
      </c>
      <c r="AB598" s="4" t="s">
        <v>115</v>
      </c>
      <c r="AC598" s="4" t="s">
        <v>243</v>
      </c>
      <c r="AD598" s="4" t="s">
        <v>1404</v>
      </c>
      <c r="AE598" s="4" t="s">
        <v>48</v>
      </c>
      <c r="AF598" s="4" t="s">
        <v>41</v>
      </c>
      <c r="AG598" s="4" t="s">
        <v>1316</v>
      </c>
    </row>
    <row r="599" spans="1:33" ht="16.5" customHeight="1" x14ac:dyDescent="0.2">
      <c r="A599" s="2" t="s">
        <v>31</v>
      </c>
      <c r="B599" s="5" t="s">
        <v>54</v>
      </c>
      <c r="C599" s="5"/>
      <c r="D599" s="5"/>
      <c r="E599" s="6" t="s">
        <v>33</v>
      </c>
      <c r="F599" s="6"/>
      <c r="G599" s="7" t="s">
        <v>1311</v>
      </c>
      <c r="H599" s="7"/>
      <c r="I599" s="7"/>
      <c r="J599" s="3" t="s">
        <v>35</v>
      </c>
      <c r="K599" s="4" t="s">
        <v>73</v>
      </c>
      <c r="L599" s="4" t="s">
        <v>37</v>
      </c>
      <c r="N599" s="7" t="s">
        <v>1405</v>
      </c>
      <c r="O599" s="7"/>
      <c r="P599" s="7" t="s">
        <v>1406</v>
      </c>
      <c r="Q599" s="7"/>
      <c r="R599" s="7"/>
      <c r="S599" s="3" t="s">
        <v>40</v>
      </c>
      <c r="T599" s="7" t="s">
        <v>41</v>
      </c>
      <c r="U599" s="7"/>
      <c r="V599" s="4" t="s">
        <v>42</v>
      </c>
      <c r="W599" s="4" t="s">
        <v>527</v>
      </c>
      <c r="X599" s="4" t="s">
        <v>528</v>
      </c>
      <c r="Y599" s="7" t="s">
        <v>78</v>
      </c>
      <c r="Z599" s="7"/>
      <c r="AA599" s="4" t="s">
        <v>46</v>
      </c>
      <c r="AB599" s="4" t="s">
        <v>47</v>
      </c>
      <c r="AC599" s="4" t="s">
        <v>72</v>
      </c>
      <c r="AD599" s="4" t="s">
        <v>41</v>
      </c>
      <c r="AE599" s="4" t="s">
        <v>48</v>
      </c>
      <c r="AF599" s="4" t="s">
        <v>41</v>
      </c>
      <c r="AG599" s="4" t="s">
        <v>1316</v>
      </c>
    </row>
    <row r="600" spans="1:33" ht="16.5" customHeight="1" x14ac:dyDescent="0.2">
      <c r="A600" s="2" t="s">
        <v>31</v>
      </c>
      <c r="B600" s="5" t="s">
        <v>54</v>
      </c>
      <c r="C600" s="5"/>
      <c r="D600" s="5"/>
      <c r="E600" s="6" t="s">
        <v>33</v>
      </c>
      <c r="F600" s="6"/>
      <c r="G600" s="7" t="s">
        <v>1311</v>
      </c>
      <c r="H600" s="7"/>
      <c r="I600" s="7"/>
      <c r="J600" s="3" t="s">
        <v>35</v>
      </c>
      <c r="K600" s="4" t="s">
        <v>149</v>
      </c>
      <c r="L600" s="4" t="s">
        <v>37</v>
      </c>
      <c r="N600" s="7" t="s">
        <v>1407</v>
      </c>
      <c r="O600" s="7"/>
      <c r="P600" s="7" t="s">
        <v>1408</v>
      </c>
      <c r="Q600" s="7"/>
      <c r="R600" s="7"/>
      <c r="S600" s="3" t="s">
        <v>40</v>
      </c>
      <c r="T600" s="7" t="s">
        <v>41</v>
      </c>
      <c r="U600" s="7"/>
      <c r="V600" s="4" t="s">
        <v>42</v>
      </c>
      <c r="W600" s="4" t="s">
        <v>1409</v>
      </c>
      <c r="X600" s="4" t="s">
        <v>1410</v>
      </c>
      <c r="Y600" s="7" t="s">
        <v>78</v>
      </c>
      <c r="Z600" s="7"/>
      <c r="AA600" s="4" t="s">
        <v>46</v>
      </c>
      <c r="AB600" s="4" t="s">
        <v>47</v>
      </c>
      <c r="AC600" s="4" t="s">
        <v>136</v>
      </c>
      <c r="AD600" s="4" t="s">
        <v>137</v>
      </c>
      <c r="AE600" s="4" t="s">
        <v>48</v>
      </c>
      <c r="AF600" s="4" t="s">
        <v>41</v>
      </c>
      <c r="AG600" s="4" t="s">
        <v>1316</v>
      </c>
    </row>
    <row r="601" spans="1:33" ht="16.5" customHeight="1" x14ac:dyDescent="0.2">
      <c r="A601" s="2" t="s">
        <v>31</v>
      </c>
      <c r="B601" s="5" t="s">
        <v>54</v>
      </c>
      <c r="C601" s="5"/>
      <c r="D601" s="5"/>
      <c r="E601" s="6" t="s">
        <v>33</v>
      </c>
      <c r="F601" s="6"/>
      <c r="G601" s="7" t="s">
        <v>1311</v>
      </c>
      <c r="H601" s="7"/>
      <c r="I601" s="7"/>
      <c r="J601" s="3" t="s">
        <v>35</v>
      </c>
      <c r="K601" s="4" t="s">
        <v>149</v>
      </c>
      <c r="L601" s="4" t="s">
        <v>37</v>
      </c>
      <c r="N601" s="7" t="s">
        <v>1411</v>
      </c>
      <c r="O601" s="7"/>
      <c r="P601" s="7" t="s">
        <v>1412</v>
      </c>
      <c r="Q601" s="7"/>
      <c r="R601" s="7"/>
      <c r="S601" s="3" t="s">
        <v>40</v>
      </c>
      <c r="T601" s="7" t="s">
        <v>41</v>
      </c>
      <c r="U601" s="7"/>
      <c r="V601" s="4" t="s">
        <v>51</v>
      </c>
      <c r="W601" s="4" t="s">
        <v>283</v>
      </c>
      <c r="X601" s="4" t="s">
        <v>1087</v>
      </c>
      <c r="Y601" s="7" t="s">
        <v>78</v>
      </c>
      <c r="Z601" s="7"/>
      <c r="AA601" s="4" t="s">
        <v>46</v>
      </c>
      <c r="AB601" s="4" t="s">
        <v>47</v>
      </c>
      <c r="AC601" s="4" t="s">
        <v>136</v>
      </c>
      <c r="AD601" s="4" t="s">
        <v>137</v>
      </c>
      <c r="AE601" s="4" t="s">
        <v>48</v>
      </c>
      <c r="AF601" s="4" t="s">
        <v>41</v>
      </c>
      <c r="AG601" s="4" t="s">
        <v>1316</v>
      </c>
    </row>
    <row r="602" spans="1:33" ht="16.5" customHeight="1" x14ac:dyDescent="0.2">
      <c r="A602" s="2" t="s">
        <v>31</v>
      </c>
      <c r="B602" s="5" t="s">
        <v>54</v>
      </c>
      <c r="C602" s="5"/>
      <c r="D602" s="5"/>
      <c r="E602" s="6" t="s">
        <v>33</v>
      </c>
      <c r="F602" s="6"/>
      <c r="G602" s="7" t="s">
        <v>1311</v>
      </c>
      <c r="H602" s="7"/>
      <c r="I602" s="7"/>
      <c r="J602" s="3" t="s">
        <v>35</v>
      </c>
      <c r="K602" s="4" t="s">
        <v>97</v>
      </c>
      <c r="L602" s="4" t="s">
        <v>37</v>
      </c>
      <c r="N602" s="7" t="s">
        <v>1413</v>
      </c>
      <c r="O602" s="7"/>
      <c r="P602" s="7" t="s">
        <v>1414</v>
      </c>
      <c r="Q602" s="7"/>
      <c r="R602" s="7"/>
      <c r="S602" s="3" t="s">
        <v>40</v>
      </c>
      <c r="T602" s="7" t="s">
        <v>41</v>
      </c>
      <c r="U602" s="7"/>
      <c r="V602" s="4" t="s">
        <v>51</v>
      </c>
      <c r="W602" s="4" t="s">
        <v>58</v>
      </c>
      <c r="X602" s="4" t="s">
        <v>128</v>
      </c>
      <c r="Y602" s="7" t="s">
        <v>78</v>
      </c>
      <c r="Z602" s="7"/>
      <c r="AA602" s="4" t="s">
        <v>46</v>
      </c>
      <c r="AB602" s="4" t="s">
        <v>47</v>
      </c>
      <c r="AC602" s="4" t="s">
        <v>79</v>
      </c>
      <c r="AD602" s="4" t="s">
        <v>80</v>
      </c>
      <c r="AE602" s="4" t="s">
        <v>48</v>
      </c>
      <c r="AF602" s="4" t="s">
        <v>41</v>
      </c>
      <c r="AG602" s="4" t="s">
        <v>1316</v>
      </c>
    </row>
    <row r="603" spans="1:33" ht="16.5" customHeight="1" x14ac:dyDescent="0.2">
      <c r="A603" s="2" t="s">
        <v>31</v>
      </c>
      <c r="B603" s="5" t="s">
        <v>54</v>
      </c>
      <c r="C603" s="5"/>
      <c r="D603" s="5"/>
      <c r="E603" s="6" t="s">
        <v>33</v>
      </c>
      <c r="F603" s="6"/>
      <c r="G603" s="7" t="s">
        <v>1311</v>
      </c>
      <c r="H603" s="7"/>
      <c r="I603" s="7"/>
      <c r="J603" s="3" t="s">
        <v>35</v>
      </c>
      <c r="K603" s="4" t="s">
        <v>73</v>
      </c>
      <c r="L603" s="4" t="s">
        <v>37</v>
      </c>
      <c r="N603" s="7" t="s">
        <v>1415</v>
      </c>
      <c r="O603" s="7"/>
      <c r="P603" s="7" t="s">
        <v>1416</v>
      </c>
      <c r="Q603" s="7"/>
      <c r="R603" s="7"/>
      <c r="S603" s="3" t="s">
        <v>40</v>
      </c>
      <c r="T603" s="7" t="s">
        <v>41</v>
      </c>
      <c r="U603" s="7"/>
      <c r="V603" s="4" t="s">
        <v>42</v>
      </c>
      <c r="W603" s="4" t="s">
        <v>58</v>
      </c>
      <c r="X603" s="4" t="s">
        <v>59</v>
      </c>
      <c r="Y603" s="7" t="s">
        <v>78</v>
      </c>
      <c r="Z603" s="7"/>
      <c r="AA603" s="4" t="s">
        <v>46</v>
      </c>
      <c r="AB603" s="4" t="s">
        <v>47</v>
      </c>
      <c r="AC603" s="4" t="s">
        <v>79</v>
      </c>
      <c r="AD603" s="4" t="s">
        <v>80</v>
      </c>
      <c r="AE603" s="4" t="s">
        <v>48</v>
      </c>
      <c r="AF603" s="4" t="s">
        <v>41</v>
      </c>
      <c r="AG603" s="4" t="s">
        <v>1316</v>
      </c>
    </row>
    <row r="604" spans="1:33" ht="16.5" customHeight="1" x14ac:dyDescent="0.2">
      <c r="A604" s="2" t="s">
        <v>31</v>
      </c>
      <c r="B604" s="5" t="s">
        <v>54</v>
      </c>
      <c r="C604" s="5"/>
      <c r="D604" s="5"/>
      <c r="E604" s="6" t="s">
        <v>33</v>
      </c>
      <c r="F604" s="6"/>
      <c r="G604" s="7" t="s">
        <v>1311</v>
      </c>
      <c r="H604" s="7"/>
      <c r="I604" s="7"/>
      <c r="J604" s="3" t="s">
        <v>35</v>
      </c>
      <c r="K604" s="4" t="s">
        <v>73</v>
      </c>
      <c r="L604" s="4" t="s">
        <v>37</v>
      </c>
      <c r="N604" s="7" t="s">
        <v>1417</v>
      </c>
      <c r="O604" s="7"/>
      <c r="P604" s="7" t="s">
        <v>1418</v>
      </c>
      <c r="Q604" s="7"/>
      <c r="R604" s="7"/>
      <c r="S604" s="3" t="s">
        <v>40</v>
      </c>
      <c r="T604" s="7" t="s">
        <v>41</v>
      </c>
      <c r="U604" s="7"/>
      <c r="V604" s="4" t="s">
        <v>42</v>
      </c>
      <c r="W604" s="4" t="s">
        <v>527</v>
      </c>
      <c r="X604" s="4" t="s">
        <v>528</v>
      </c>
      <c r="Y604" s="7" t="s">
        <v>78</v>
      </c>
      <c r="Z604" s="7"/>
      <c r="AA604" s="4" t="s">
        <v>46</v>
      </c>
      <c r="AB604" s="4" t="s">
        <v>47</v>
      </c>
      <c r="AC604" s="4" t="s">
        <v>136</v>
      </c>
      <c r="AD604" s="4" t="s">
        <v>137</v>
      </c>
      <c r="AE604" s="4" t="s">
        <v>48</v>
      </c>
      <c r="AF604" s="4" t="s">
        <v>41</v>
      </c>
      <c r="AG604" s="4" t="s">
        <v>1316</v>
      </c>
    </row>
    <row r="605" spans="1:33" ht="16.5" customHeight="1" x14ac:dyDescent="0.2">
      <c r="A605" s="2" t="s">
        <v>31</v>
      </c>
      <c r="B605" s="5" t="s">
        <v>54</v>
      </c>
      <c r="C605" s="5"/>
      <c r="D605" s="5"/>
      <c r="E605" s="6" t="s">
        <v>33</v>
      </c>
      <c r="F605" s="6"/>
      <c r="G605" s="7" t="s">
        <v>1311</v>
      </c>
      <c r="H605" s="7"/>
      <c r="I605" s="7"/>
      <c r="J605" s="3" t="s">
        <v>35</v>
      </c>
      <c r="K605" s="4" t="s">
        <v>73</v>
      </c>
      <c r="L605" s="4" t="s">
        <v>280</v>
      </c>
      <c r="N605" s="7" t="s">
        <v>1419</v>
      </c>
      <c r="O605" s="7"/>
      <c r="P605" s="7" t="s">
        <v>1420</v>
      </c>
      <c r="Q605" s="7"/>
      <c r="R605" s="7"/>
      <c r="S605" s="3" t="s">
        <v>40</v>
      </c>
      <c r="T605" s="7" t="s">
        <v>41</v>
      </c>
      <c r="U605" s="7"/>
      <c r="V605" s="4" t="s">
        <v>42</v>
      </c>
      <c r="W605" s="4" t="s">
        <v>207</v>
      </c>
      <c r="X605" s="4" t="s">
        <v>208</v>
      </c>
      <c r="Y605" s="7" t="s">
        <v>78</v>
      </c>
      <c r="Z605" s="7"/>
      <c r="AA605" s="4" t="s">
        <v>46</v>
      </c>
      <c r="AB605" s="4" t="s">
        <v>47</v>
      </c>
      <c r="AC605" s="4" t="s">
        <v>136</v>
      </c>
      <c r="AD605" s="4" t="s">
        <v>324</v>
      </c>
      <c r="AE605" s="4" t="s">
        <v>48</v>
      </c>
      <c r="AF605" s="4" t="s">
        <v>41</v>
      </c>
      <c r="AG605" s="4" t="s">
        <v>1316</v>
      </c>
    </row>
    <row r="606" spans="1:33" ht="16.5" customHeight="1" x14ac:dyDescent="0.2">
      <c r="A606" s="2" t="s">
        <v>31</v>
      </c>
      <c r="B606" s="5" t="s">
        <v>54</v>
      </c>
      <c r="C606" s="5"/>
      <c r="D606" s="5"/>
      <c r="E606" s="6" t="s">
        <v>33</v>
      </c>
      <c r="F606" s="6"/>
      <c r="G606" s="7" t="s">
        <v>1311</v>
      </c>
      <c r="H606" s="7"/>
      <c r="I606" s="7"/>
      <c r="J606" s="3" t="s">
        <v>35</v>
      </c>
      <c r="K606" s="4" t="s">
        <v>97</v>
      </c>
      <c r="L606" s="4" t="s">
        <v>37</v>
      </c>
      <c r="N606" s="7" t="s">
        <v>1421</v>
      </c>
      <c r="O606" s="7"/>
      <c r="P606" s="7" t="s">
        <v>1422</v>
      </c>
      <c r="Q606" s="7"/>
      <c r="R606" s="7"/>
      <c r="S606" s="3" t="s">
        <v>40</v>
      </c>
      <c r="T606" s="7" t="s">
        <v>41</v>
      </c>
      <c r="U606" s="7"/>
      <c r="V606" s="4" t="s">
        <v>51</v>
      </c>
      <c r="W606" s="4" t="s">
        <v>312</v>
      </c>
      <c r="X606" s="4" t="s">
        <v>77</v>
      </c>
      <c r="Y606" s="7" t="s">
        <v>78</v>
      </c>
      <c r="Z606" s="7"/>
      <c r="AA606" s="4" t="s">
        <v>46</v>
      </c>
      <c r="AB606" s="4" t="s">
        <v>47</v>
      </c>
      <c r="AC606" s="4" t="s">
        <v>79</v>
      </c>
      <c r="AD606" s="4" t="s">
        <v>80</v>
      </c>
      <c r="AE606" s="4" t="s">
        <v>48</v>
      </c>
      <c r="AF606" s="4" t="s">
        <v>41</v>
      </c>
      <c r="AG606" s="4" t="s">
        <v>1316</v>
      </c>
    </row>
    <row r="607" spans="1:33" ht="16.5" customHeight="1" x14ac:dyDescent="0.2">
      <c r="A607" s="2" t="s">
        <v>31</v>
      </c>
      <c r="B607" s="5" t="s">
        <v>54</v>
      </c>
      <c r="C607" s="5"/>
      <c r="D607" s="5"/>
      <c r="E607" s="6" t="s">
        <v>33</v>
      </c>
      <c r="F607" s="6"/>
      <c r="G607" s="7" t="s">
        <v>1311</v>
      </c>
      <c r="H607" s="7"/>
      <c r="I607" s="7"/>
      <c r="J607" s="3" t="s">
        <v>35</v>
      </c>
      <c r="K607" s="4" t="s">
        <v>97</v>
      </c>
      <c r="L607" s="4" t="s">
        <v>37</v>
      </c>
      <c r="N607" s="7" t="s">
        <v>1421</v>
      </c>
      <c r="O607" s="7"/>
      <c r="P607" s="7" t="s">
        <v>1422</v>
      </c>
      <c r="Q607" s="7"/>
      <c r="R607" s="7"/>
      <c r="S607" s="3" t="s">
        <v>40</v>
      </c>
      <c r="T607" s="7" t="s">
        <v>41</v>
      </c>
      <c r="U607" s="7"/>
      <c r="V607" s="4" t="s">
        <v>58</v>
      </c>
      <c r="W607" s="4" t="s">
        <v>312</v>
      </c>
      <c r="X607" s="4" t="s">
        <v>91</v>
      </c>
      <c r="Y607" s="7" t="s">
        <v>78</v>
      </c>
      <c r="Z607" s="7"/>
      <c r="AA607" s="4" t="s">
        <v>46</v>
      </c>
      <c r="AB607" s="4" t="s">
        <v>47</v>
      </c>
      <c r="AC607" s="4" t="s">
        <v>79</v>
      </c>
      <c r="AD607" s="4" t="s">
        <v>80</v>
      </c>
      <c r="AE607" s="4" t="s">
        <v>48</v>
      </c>
      <c r="AF607" s="4" t="s">
        <v>41</v>
      </c>
      <c r="AG607" s="4" t="s">
        <v>1316</v>
      </c>
    </row>
    <row r="608" spans="1:33" ht="16.5" customHeight="1" x14ac:dyDescent="0.2">
      <c r="A608" s="2" t="s">
        <v>31</v>
      </c>
      <c r="B608" s="5" t="s">
        <v>54</v>
      </c>
      <c r="C608" s="5"/>
      <c r="D608" s="5"/>
      <c r="E608" s="6" t="s">
        <v>33</v>
      </c>
      <c r="F608" s="6"/>
      <c r="G608" s="7" t="s">
        <v>1311</v>
      </c>
      <c r="H608" s="7"/>
      <c r="I608" s="7"/>
      <c r="J608" s="3" t="s">
        <v>35</v>
      </c>
      <c r="K608" s="4" t="s">
        <v>97</v>
      </c>
      <c r="L608" s="4" t="s">
        <v>37</v>
      </c>
      <c r="N608" s="7" t="s">
        <v>1421</v>
      </c>
      <c r="O608" s="7"/>
      <c r="P608" s="7" t="s">
        <v>1422</v>
      </c>
      <c r="Q608" s="7"/>
      <c r="R608" s="7"/>
      <c r="S608" s="3" t="s">
        <v>40</v>
      </c>
      <c r="T608" s="7" t="s">
        <v>41</v>
      </c>
      <c r="U608" s="7"/>
      <c r="V608" s="4" t="s">
        <v>172</v>
      </c>
      <c r="W608" s="4" t="s">
        <v>312</v>
      </c>
      <c r="X608" s="4" t="s">
        <v>103</v>
      </c>
      <c r="Y608" s="7" t="s">
        <v>78</v>
      </c>
      <c r="Z608" s="7"/>
      <c r="AA608" s="4" t="s">
        <v>46</v>
      </c>
      <c r="AB608" s="4" t="s">
        <v>47</v>
      </c>
      <c r="AC608" s="4" t="s">
        <v>259</v>
      </c>
      <c r="AD608" s="4" t="s">
        <v>260</v>
      </c>
      <c r="AE608" s="4" t="s">
        <v>48</v>
      </c>
      <c r="AF608" s="4" t="s">
        <v>41</v>
      </c>
      <c r="AG608" s="4" t="s">
        <v>1316</v>
      </c>
    </row>
    <row r="609" spans="1:33" ht="16.5" customHeight="1" x14ac:dyDescent="0.2">
      <c r="A609" s="2" t="s">
        <v>31</v>
      </c>
      <c r="B609" s="5" t="s">
        <v>54</v>
      </c>
      <c r="C609" s="5"/>
      <c r="D609" s="5"/>
      <c r="E609" s="6" t="s">
        <v>33</v>
      </c>
      <c r="F609" s="6"/>
      <c r="G609" s="7" t="s">
        <v>1311</v>
      </c>
      <c r="H609" s="7"/>
      <c r="I609" s="7"/>
      <c r="J609" s="3" t="s">
        <v>35</v>
      </c>
      <c r="K609" s="4" t="s">
        <v>97</v>
      </c>
      <c r="L609" s="4" t="s">
        <v>37</v>
      </c>
      <c r="N609" s="7" t="s">
        <v>1423</v>
      </c>
      <c r="O609" s="7"/>
      <c r="P609" s="7" t="s">
        <v>1424</v>
      </c>
      <c r="Q609" s="7"/>
      <c r="R609" s="7"/>
      <c r="S609" s="3" t="s">
        <v>40</v>
      </c>
      <c r="T609" s="7" t="s">
        <v>41</v>
      </c>
      <c r="U609" s="7"/>
      <c r="V609" s="4" t="s">
        <v>42</v>
      </c>
      <c r="W609" s="4" t="s">
        <v>217</v>
      </c>
      <c r="X609" s="4" t="s">
        <v>218</v>
      </c>
      <c r="Y609" s="7" t="s">
        <v>78</v>
      </c>
      <c r="Z609" s="7"/>
      <c r="AA609" s="4" t="s">
        <v>46</v>
      </c>
      <c r="AB609" s="4" t="s">
        <v>47</v>
      </c>
      <c r="AC609" s="4" t="s">
        <v>136</v>
      </c>
      <c r="AD609" s="4" t="s">
        <v>137</v>
      </c>
      <c r="AE609" s="4" t="s">
        <v>48</v>
      </c>
      <c r="AF609" s="4" t="s">
        <v>41</v>
      </c>
      <c r="AG609" s="4" t="s">
        <v>1316</v>
      </c>
    </row>
    <row r="610" spans="1:33" ht="16.5" customHeight="1" x14ac:dyDescent="0.2">
      <c r="A610" s="2" t="s">
        <v>31</v>
      </c>
      <c r="B610" s="5" t="s">
        <v>54</v>
      </c>
      <c r="C610" s="5"/>
      <c r="D610" s="5"/>
      <c r="E610" s="6" t="s">
        <v>33</v>
      </c>
      <c r="F610" s="6"/>
      <c r="G610" s="7" t="s">
        <v>1311</v>
      </c>
      <c r="H610" s="7"/>
      <c r="I610" s="7"/>
      <c r="J610" s="3" t="s">
        <v>35</v>
      </c>
      <c r="K610" s="4" t="s">
        <v>97</v>
      </c>
      <c r="L610" s="4" t="s">
        <v>93</v>
      </c>
      <c r="N610" s="7" t="s">
        <v>1425</v>
      </c>
      <c r="O610" s="7"/>
      <c r="P610" s="7" t="s">
        <v>1426</v>
      </c>
      <c r="Q610" s="7"/>
      <c r="R610" s="7"/>
      <c r="S610" s="3" t="s">
        <v>40</v>
      </c>
      <c r="T610" s="7" t="s">
        <v>41</v>
      </c>
      <c r="U610" s="7"/>
      <c r="V610" s="4" t="s">
        <v>42</v>
      </c>
      <c r="W610" s="4" t="s">
        <v>1427</v>
      </c>
      <c r="X610" s="4" t="s">
        <v>1428</v>
      </c>
      <c r="Y610" s="7" t="s">
        <v>78</v>
      </c>
      <c r="Z610" s="7"/>
      <c r="AA610" s="4" t="s">
        <v>46</v>
      </c>
      <c r="AB610" s="4" t="s">
        <v>47</v>
      </c>
      <c r="AC610" s="4" t="s">
        <v>72</v>
      </c>
      <c r="AD610" s="4" t="s">
        <v>41</v>
      </c>
      <c r="AE610" s="4" t="s">
        <v>48</v>
      </c>
      <c r="AF610" s="4" t="s">
        <v>41</v>
      </c>
      <c r="AG610" s="4" t="s">
        <v>1316</v>
      </c>
    </row>
    <row r="611" spans="1:33" ht="16.5" customHeight="1" x14ac:dyDescent="0.2">
      <c r="A611" s="2" t="s">
        <v>31</v>
      </c>
      <c r="B611" s="5" t="s">
        <v>54</v>
      </c>
      <c r="C611" s="5"/>
      <c r="D611" s="5"/>
      <c r="E611" s="6" t="s">
        <v>33</v>
      </c>
      <c r="F611" s="6"/>
      <c r="G611" s="7" t="s">
        <v>1311</v>
      </c>
      <c r="H611" s="7"/>
      <c r="I611" s="7"/>
      <c r="J611" s="3" t="s">
        <v>35</v>
      </c>
      <c r="K611" s="4" t="s">
        <v>92</v>
      </c>
      <c r="L611" s="4" t="s">
        <v>37</v>
      </c>
      <c r="N611" s="7" t="s">
        <v>1429</v>
      </c>
      <c r="O611" s="7"/>
      <c r="P611" s="7" t="s">
        <v>1430</v>
      </c>
      <c r="Q611" s="7"/>
      <c r="R611" s="7"/>
      <c r="S611" s="3" t="s">
        <v>40</v>
      </c>
      <c r="T611" s="7" t="s">
        <v>41</v>
      </c>
      <c r="U611" s="7"/>
      <c r="V611" s="4" t="s">
        <v>42</v>
      </c>
      <c r="W611" s="4" t="s">
        <v>312</v>
      </c>
      <c r="X611" s="4" t="s">
        <v>313</v>
      </c>
      <c r="Y611" s="7" t="s">
        <v>78</v>
      </c>
      <c r="Z611" s="7"/>
      <c r="AA611" s="4" t="s">
        <v>46</v>
      </c>
      <c r="AB611" s="4" t="s">
        <v>47</v>
      </c>
      <c r="AC611" s="4" t="s">
        <v>79</v>
      </c>
      <c r="AD611" s="4" t="s">
        <v>80</v>
      </c>
      <c r="AE611" s="4" t="s">
        <v>48</v>
      </c>
      <c r="AF611" s="4" t="s">
        <v>41</v>
      </c>
      <c r="AG611" s="4" t="s">
        <v>1316</v>
      </c>
    </row>
    <row r="612" spans="1:33" ht="16.5" customHeight="1" x14ac:dyDescent="0.2">
      <c r="A612" s="2" t="s">
        <v>31</v>
      </c>
      <c r="B612" s="5" t="s">
        <v>54</v>
      </c>
      <c r="C612" s="5"/>
      <c r="D612" s="5"/>
      <c r="E612" s="6" t="s">
        <v>33</v>
      </c>
      <c r="F612" s="6"/>
      <c r="G612" s="7" t="s">
        <v>1311</v>
      </c>
      <c r="H612" s="7"/>
      <c r="I612" s="7"/>
      <c r="J612" s="3" t="s">
        <v>35</v>
      </c>
      <c r="K612" s="4" t="s">
        <v>97</v>
      </c>
      <c r="L612" s="4" t="s">
        <v>443</v>
      </c>
      <c r="N612" s="7" t="s">
        <v>1431</v>
      </c>
      <c r="O612" s="7"/>
      <c r="P612" s="7" t="s">
        <v>1432</v>
      </c>
      <c r="Q612" s="7"/>
      <c r="R612" s="7"/>
      <c r="S612" s="3" t="s">
        <v>40</v>
      </c>
      <c r="T612" s="7" t="s">
        <v>41</v>
      </c>
      <c r="U612" s="7"/>
      <c r="V612" s="4" t="s">
        <v>42</v>
      </c>
      <c r="W612" s="4" t="s">
        <v>217</v>
      </c>
      <c r="X612" s="4" t="s">
        <v>218</v>
      </c>
      <c r="Y612" s="7" t="s">
        <v>78</v>
      </c>
      <c r="Z612" s="7"/>
      <c r="AA612" s="4" t="s">
        <v>46</v>
      </c>
      <c r="AB612" s="4" t="s">
        <v>47</v>
      </c>
      <c r="AC612" s="4" t="s">
        <v>136</v>
      </c>
      <c r="AD612" s="4" t="s">
        <v>464</v>
      </c>
      <c r="AE612" s="4" t="s">
        <v>48</v>
      </c>
      <c r="AF612" s="4" t="s">
        <v>41</v>
      </c>
      <c r="AG612" s="4" t="s">
        <v>1316</v>
      </c>
    </row>
    <row r="613" spans="1:33" ht="16.5" customHeight="1" x14ac:dyDescent="0.2">
      <c r="A613" s="2" t="s">
        <v>31</v>
      </c>
      <c r="B613" s="5" t="s">
        <v>54</v>
      </c>
      <c r="C613" s="5"/>
      <c r="D613" s="5"/>
      <c r="E613" s="6" t="s">
        <v>33</v>
      </c>
      <c r="F613" s="6"/>
      <c r="G613" s="7" t="s">
        <v>1311</v>
      </c>
      <c r="H613" s="7"/>
      <c r="I613" s="7"/>
      <c r="J613" s="3" t="s">
        <v>35</v>
      </c>
      <c r="K613" s="4" t="s">
        <v>97</v>
      </c>
      <c r="L613" s="4" t="s">
        <v>37</v>
      </c>
      <c r="N613" s="7" t="s">
        <v>1433</v>
      </c>
      <c r="O613" s="7"/>
      <c r="P613" s="7" t="s">
        <v>1434</v>
      </c>
      <c r="Q613" s="7"/>
      <c r="R613" s="7"/>
      <c r="S613" s="3" t="s">
        <v>40</v>
      </c>
      <c r="T613" s="7" t="s">
        <v>41</v>
      </c>
      <c r="U613" s="7"/>
      <c r="V613" s="4" t="s">
        <v>51</v>
      </c>
      <c r="W613" s="4" t="s">
        <v>217</v>
      </c>
      <c r="X613" s="4" t="s">
        <v>1435</v>
      </c>
      <c r="Y613" s="7" t="s">
        <v>78</v>
      </c>
      <c r="Z613" s="7"/>
      <c r="AA613" s="4" t="s">
        <v>46</v>
      </c>
      <c r="AB613" s="4" t="s">
        <v>47</v>
      </c>
      <c r="AC613" s="4" t="s">
        <v>136</v>
      </c>
      <c r="AD613" s="4" t="s">
        <v>137</v>
      </c>
      <c r="AE613" s="4" t="s">
        <v>48</v>
      </c>
      <c r="AF613" s="4" t="s">
        <v>41</v>
      </c>
      <c r="AG613" s="4" t="s">
        <v>1316</v>
      </c>
    </row>
    <row r="614" spans="1:33" ht="16.5" customHeight="1" x14ac:dyDescent="0.2">
      <c r="A614" s="2" t="s">
        <v>31</v>
      </c>
      <c r="B614" s="5" t="s">
        <v>54</v>
      </c>
      <c r="C614" s="5"/>
      <c r="D614" s="5"/>
      <c r="E614" s="6" t="s">
        <v>33</v>
      </c>
      <c r="F614" s="6"/>
      <c r="G614" s="7" t="s">
        <v>1311</v>
      </c>
      <c r="H614" s="7"/>
      <c r="I614" s="7"/>
      <c r="J614" s="3" t="s">
        <v>35</v>
      </c>
      <c r="K614" s="4" t="s">
        <v>97</v>
      </c>
      <c r="L614" s="4" t="s">
        <v>37</v>
      </c>
      <c r="N614" s="7" t="s">
        <v>1436</v>
      </c>
      <c r="O614" s="7"/>
      <c r="P614" s="7" t="s">
        <v>1437</v>
      </c>
      <c r="Q614" s="7"/>
      <c r="R614" s="7"/>
      <c r="S614" s="3" t="s">
        <v>40</v>
      </c>
      <c r="T614" s="7" t="s">
        <v>41</v>
      </c>
      <c r="U614" s="7"/>
      <c r="V614" s="4" t="s">
        <v>42</v>
      </c>
      <c r="W614" s="4" t="s">
        <v>579</v>
      </c>
      <c r="X614" s="4" t="s">
        <v>580</v>
      </c>
      <c r="Y614" s="7" t="s">
        <v>78</v>
      </c>
      <c r="Z614" s="7"/>
      <c r="AA614" s="4" t="s">
        <v>46</v>
      </c>
      <c r="AB614" s="4" t="s">
        <v>47</v>
      </c>
      <c r="AC614" s="4" t="s">
        <v>136</v>
      </c>
      <c r="AD614" s="4" t="s">
        <v>137</v>
      </c>
      <c r="AE614" s="4" t="s">
        <v>48</v>
      </c>
      <c r="AF614" s="4" t="s">
        <v>41</v>
      </c>
      <c r="AG614" s="4" t="s">
        <v>1316</v>
      </c>
    </row>
    <row r="615" spans="1:33" ht="16.5" customHeight="1" x14ac:dyDescent="0.2">
      <c r="A615" s="2" t="s">
        <v>31</v>
      </c>
      <c r="B615" s="5" t="s">
        <v>54</v>
      </c>
      <c r="C615" s="5"/>
      <c r="D615" s="5"/>
      <c r="E615" s="6" t="s">
        <v>33</v>
      </c>
      <c r="F615" s="6"/>
      <c r="G615" s="7" t="s">
        <v>1311</v>
      </c>
      <c r="H615" s="7"/>
      <c r="I615" s="7"/>
      <c r="J615" s="3" t="s">
        <v>35</v>
      </c>
      <c r="K615" s="4" t="s">
        <v>97</v>
      </c>
      <c r="L615" s="4" t="s">
        <v>93</v>
      </c>
      <c r="N615" s="7" t="s">
        <v>1438</v>
      </c>
      <c r="O615" s="7"/>
      <c r="P615" s="7" t="s">
        <v>1439</v>
      </c>
      <c r="Q615" s="7"/>
      <c r="R615" s="7"/>
      <c r="S615" s="3" t="s">
        <v>40</v>
      </c>
      <c r="T615" s="7" t="s">
        <v>41</v>
      </c>
      <c r="U615" s="7"/>
      <c r="V615" s="4" t="s">
        <v>42</v>
      </c>
      <c r="W615" s="4" t="s">
        <v>234</v>
      </c>
      <c r="X615" s="4" t="s">
        <v>235</v>
      </c>
      <c r="Y615" s="7" t="s">
        <v>78</v>
      </c>
      <c r="Z615" s="7"/>
      <c r="AA615" s="4" t="s">
        <v>46</v>
      </c>
      <c r="AB615" s="4" t="s">
        <v>47</v>
      </c>
      <c r="AC615" s="4" t="s">
        <v>72</v>
      </c>
      <c r="AD615" s="4" t="s">
        <v>41</v>
      </c>
      <c r="AE615" s="4" t="s">
        <v>48</v>
      </c>
      <c r="AF615" s="4" t="s">
        <v>41</v>
      </c>
      <c r="AG615" s="4" t="s">
        <v>1316</v>
      </c>
    </row>
    <row r="616" spans="1:33" ht="16.5" customHeight="1" x14ac:dyDescent="0.2">
      <c r="A616" s="2" t="s">
        <v>31</v>
      </c>
      <c r="B616" s="5" t="s">
        <v>54</v>
      </c>
      <c r="C616" s="5"/>
      <c r="D616" s="5"/>
      <c r="E616" s="6" t="s">
        <v>33</v>
      </c>
      <c r="F616" s="6"/>
      <c r="G616" s="7" t="s">
        <v>1311</v>
      </c>
      <c r="H616" s="7"/>
      <c r="I616" s="7"/>
      <c r="J616" s="3" t="s">
        <v>35</v>
      </c>
      <c r="K616" s="4" t="s">
        <v>97</v>
      </c>
      <c r="L616" s="4" t="s">
        <v>37</v>
      </c>
      <c r="N616" s="7" t="s">
        <v>1440</v>
      </c>
      <c r="O616" s="7"/>
      <c r="P616" s="7" t="s">
        <v>1441</v>
      </c>
      <c r="Q616" s="7"/>
      <c r="R616" s="7"/>
      <c r="S616" s="3" t="s">
        <v>40</v>
      </c>
      <c r="T616" s="7" t="s">
        <v>41</v>
      </c>
      <c r="U616" s="7"/>
      <c r="V616" s="4" t="s">
        <v>42</v>
      </c>
      <c r="W616" s="4" t="s">
        <v>579</v>
      </c>
      <c r="X616" s="4" t="s">
        <v>580</v>
      </c>
      <c r="Y616" s="7" t="s">
        <v>78</v>
      </c>
      <c r="Z616" s="7"/>
      <c r="AA616" s="4" t="s">
        <v>46</v>
      </c>
      <c r="AB616" s="4" t="s">
        <v>47</v>
      </c>
      <c r="AC616" s="4" t="s">
        <v>136</v>
      </c>
      <c r="AD616" s="4" t="s">
        <v>137</v>
      </c>
      <c r="AE616" s="4" t="s">
        <v>48</v>
      </c>
      <c r="AF616" s="4" t="s">
        <v>41</v>
      </c>
      <c r="AG616" s="4" t="s">
        <v>1316</v>
      </c>
    </row>
    <row r="617" spans="1:33" ht="16.5" customHeight="1" x14ac:dyDescent="0.2">
      <c r="A617" s="2" t="s">
        <v>31</v>
      </c>
      <c r="B617" s="5" t="s">
        <v>54</v>
      </c>
      <c r="C617" s="5"/>
      <c r="D617" s="5"/>
      <c r="E617" s="6" t="s">
        <v>33</v>
      </c>
      <c r="F617" s="6"/>
      <c r="G617" s="7" t="s">
        <v>1311</v>
      </c>
      <c r="H617" s="7"/>
      <c r="I617" s="7"/>
      <c r="J617" s="3" t="s">
        <v>35</v>
      </c>
      <c r="K617" s="4" t="s">
        <v>97</v>
      </c>
      <c r="L617" s="4" t="s">
        <v>37</v>
      </c>
      <c r="N617" s="7" t="s">
        <v>1442</v>
      </c>
      <c r="O617" s="7"/>
      <c r="P617" s="7" t="s">
        <v>1443</v>
      </c>
      <c r="Q617" s="7"/>
      <c r="R617" s="7"/>
      <c r="S617" s="3" t="s">
        <v>40</v>
      </c>
      <c r="T617" s="7" t="s">
        <v>41</v>
      </c>
      <c r="U617" s="7"/>
      <c r="V617" s="4" t="s">
        <v>42</v>
      </c>
      <c r="W617" s="4" t="s">
        <v>229</v>
      </c>
      <c r="X617" s="4" t="s">
        <v>446</v>
      </c>
      <c r="Y617" s="7" t="s">
        <v>78</v>
      </c>
      <c r="Z617" s="7"/>
      <c r="AA617" s="4" t="s">
        <v>46</v>
      </c>
      <c r="AB617" s="4" t="s">
        <v>47</v>
      </c>
      <c r="AC617" s="4" t="s">
        <v>136</v>
      </c>
      <c r="AD617" s="4" t="s">
        <v>137</v>
      </c>
      <c r="AE617" s="4" t="s">
        <v>48</v>
      </c>
      <c r="AF617" s="4" t="s">
        <v>41</v>
      </c>
      <c r="AG617" s="4" t="s">
        <v>1316</v>
      </c>
    </row>
    <row r="618" spans="1:33" ht="16.5" customHeight="1" x14ac:dyDescent="0.2">
      <c r="A618" s="2" t="s">
        <v>31</v>
      </c>
      <c r="B618" s="5" t="s">
        <v>54</v>
      </c>
      <c r="C618" s="5"/>
      <c r="D618" s="5"/>
      <c r="E618" s="6" t="s">
        <v>33</v>
      </c>
      <c r="F618" s="6"/>
      <c r="G618" s="7" t="s">
        <v>1311</v>
      </c>
      <c r="H618" s="7"/>
      <c r="I618" s="7"/>
      <c r="J618" s="3" t="s">
        <v>35</v>
      </c>
      <c r="K618" s="4" t="s">
        <v>97</v>
      </c>
      <c r="L618" s="4" t="s">
        <v>37</v>
      </c>
      <c r="N618" s="7" t="s">
        <v>1442</v>
      </c>
      <c r="O618" s="7"/>
      <c r="P618" s="7" t="s">
        <v>1443</v>
      </c>
      <c r="Q618" s="7"/>
      <c r="R618" s="7"/>
      <c r="S618" s="3" t="s">
        <v>40</v>
      </c>
      <c r="T618" s="7" t="s">
        <v>41</v>
      </c>
      <c r="U618" s="7"/>
      <c r="V618" s="4" t="s">
        <v>51</v>
      </c>
      <c r="W618" s="4" t="s">
        <v>229</v>
      </c>
      <c r="X618" s="4" t="s">
        <v>230</v>
      </c>
      <c r="Y618" s="7" t="s">
        <v>78</v>
      </c>
      <c r="Z618" s="7"/>
      <c r="AA618" s="4" t="s">
        <v>46</v>
      </c>
      <c r="AB618" s="4" t="s">
        <v>47</v>
      </c>
      <c r="AC618" s="4" t="s">
        <v>136</v>
      </c>
      <c r="AD618" s="4" t="s">
        <v>137</v>
      </c>
      <c r="AE618" s="4" t="s">
        <v>48</v>
      </c>
      <c r="AF618" s="4" t="s">
        <v>41</v>
      </c>
      <c r="AG618" s="4" t="s">
        <v>1316</v>
      </c>
    </row>
    <row r="619" spans="1:33" ht="16.5" customHeight="1" x14ac:dyDescent="0.2">
      <c r="A619" s="2" t="s">
        <v>31</v>
      </c>
      <c r="B619" s="5" t="s">
        <v>54</v>
      </c>
      <c r="C619" s="5"/>
      <c r="D619" s="5"/>
      <c r="E619" s="6" t="s">
        <v>33</v>
      </c>
      <c r="F619" s="6"/>
      <c r="G619" s="7" t="s">
        <v>1311</v>
      </c>
      <c r="H619" s="7"/>
      <c r="I619" s="7"/>
      <c r="J619" s="3" t="s">
        <v>35</v>
      </c>
      <c r="K619" s="4" t="s">
        <v>73</v>
      </c>
      <c r="L619" s="4" t="s">
        <v>37</v>
      </c>
      <c r="N619" s="7" t="s">
        <v>1444</v>
      </c>
      <c r="O619" s="7"/>
      <c r="P619" s="7" t="s">
        <v>1445</v>
      </c>
      <c r="Q619" s="7"/>
      <c r="R619" s="7"/>
      <c r="S619" s="3" t="s">
        <v>40</v>
      </c>
      <c r="T619" s="7" t="s">
        <v>41</v>
      </c>
      <c r="U619" s="7"/>
      <c r="V619" s="4" t="s">
        <v>42</v>
      </c>
      <c r="W619" s="4" t="s">
        <v>229</v>
      </c>
      <c r="X619" s="4" t="s">
        <v>446</v>
      </c>
      <c r="Y619" s="7" t="s">
        <v>78</v>
      </c>
      <c r="Z619" s="7"/>
      <c r="AA619" s="4" t="s">
        <v>46</v>
      </c>
      <c r="AB619" s="4" t="s">
        <v>47</v>
      </c>
      <c r="AC619" s="4" t="s">
        <v>136</v>
      </c>
      <c r="AD619" s="4" t="s">
        <v>137</v>
      </c>
      <c r="AE619" s="4" t="s">
        <v>48</v>
      </c>
      <c r="AF619" s="4" t="s">
        <v>41</v>
      </c>
      <c r="AG619" s="4" t="s">
        <v>1316</v>
      </c>
    </row>
    <row r="620" spans="1:33" ht="16.5" customHeight="1" x14ac:dyDescent="0.2">
      <c r="A620" s="2" t="s">
        <v>31</v>
      </c>
      <c r="B620" s="5" t="s">
        <v>54</v>
      </c>
      <c r="C620" s="5"/>
      <c r="D620" s="5"/>
      <c r="E620" s="6" t="s">
        <v>33</v>
      </c>
      <c r="F620" s="6"/>
      <c r="G620" s="7" t="s">
        <v>1311</v>
      </c>
      <c r="H620" s="7"/>
      <c r="I620" s="7"/>
      <c r="J620" s="3" t="s">
        <v>35</v>
      </c>
      <c r="K620" s="4" t="s">
        <v>73</v>
      </c>
      <c r="L620" s="4" t="s">
        <v>37</v>
      </c>
      <c r="N620" s="7" t="s">
        <v>1446</v>
      </c>
      <c r="O620" s="7"/>
      <c r="P620" s="7" t="s">
        <v>1447</v>
      </c>
      <c r="Q620" s="7"/>
      <c r="R620" s="7"/>
      <c r="S620" s="3" t="s">
        <v>40</v>
      </c>
      <c r="T620" s="7" t="s">
        <v>41</v>
      </c>
      <c r="U620" s="7"/>
      <c r="V620" s="4" t="s">
        <v>42</v>
      </c>
      <c r="W620" s="4" t="s">
        <v>229</v>
      </c>
      <c r="X620" s="4" t="s">
        <v>446</v>
      </c>
      <c r="Y620" s="7" t="s">
        <v>78</v>
      </c>
      <c r="Z620" s="7"/>
      <c r="AA620" s="4" t="s">
        <v>46</v>
      </c>
      <c r="AB620" s="4" t="s">
        <v>47</v>
      </c>
      <c r="AC620" s="4" t="s">
        <v>136</v>
      </c>
      <c r="AD620" s="4" t="s">
        <v>137</v>
      </c>
      <c r="AE620" s="4" t="s">
        <v>48</v>
      </c>
      <c r="AF620" s="4" t="s">
        <v>41</v>
      </c>
      <c r="AG620" s="4" t="s">
        <v>1316</v>
      </c>
    </row>
    <row r="621" spans="1:33" ht="16.5" customHeight="1" x14ac:dyDescent="0.2">
      <c r="A621" s="2" t="s">
        <v>31</v>
      </c>
      <c r="B621" s="5" t="s">
        <v>54</v>
      </c>
      <c r="C621" s="5"/>
      <c r="D621" s="5"/>
      <c r="E621" s="6" t="s">
        <v>33</v>
      </c>
      <c r="F621" s="6"/>
      <c r="G621" s="7" t="s">
        <v>1311</v>
      </c>
      <c r="H621" s="7"/>
      <c r="I621" s="7"/>
      <c r="J621" s="3" t="s">
        <v>35</v>
      </c>
      <c r="K621" s="4" t="s">
        <v>73</v>
      </c>
      <c r="L621" s="4" t="s">
        <v>37</v>
      </c>
      <c r="N621" s="7" t="s">
        <v>1446</v>
      </c>
      <c r="O621" s="7"/>
      <c r="P621" s="7" t="s">
        <v>1447</v>
      </c>
      <c r="Q621" s="7"/>
      <c r="R621" s="7"/>
      <c r="S621" s="3" t="s">
        <v>40</v>
      </c>
      <c r="T621" s="7" t="s">
        <v>41</v>
      </c>
      <c r="U621" s="7"/>
      <c r="V621" s="4" t="s">
        <v>51</v>
      </c>
      <c r="W621" s="4" t="s">
        <v>229</v>
      </c>
      <c r="X621" s="4" t="s">
        <v>230</v>
      </c>
      <c r="Y621" s="7" t="s">
        <v>78</v>
      </c>
      <c r="Z621" s="7"/>
      <c r="AA621" s="4" t="s">
        <v>46</v>
      </c>
      <c r="AB621" s="4" t="s">
        <v>47</v>
      </c>
      <c r="AC621" s="4" t="s">
        <v>136</v>
      </c>
      <c r="AD621" s="4" t="s">
        <v>137</v>
      </c>
      <c r="AE621" s="4" t="s">
        <v>48</v>
      </c>
      <c r="AF621" s="4" t="s">
        <v>41</v>
      </c>
      <c r="AG621" s="4" t="s">
        <v>1316</v>
      </c>
    </row>
    <row r="622" spans="1:33" ht="16.5" customHeight="1" x14ac:dyDescent="0.2">
      <c r="A622" s="2" t="s">
        <v>31</v>
      </c>
      <c r="B622" s="5" t="s">
        <v>54</v>
      </c>
      <c r="C622" s="5"/>
      <c r="D622" s="5"/>
      <c r="E622" s="6" t="s">
        <v>33</v>
      </c>
      <c r="F622" s="6"/>
      <c r="G622" s="7" t="s">
        <v>1311</v>
      </c>
      <c r="H622" s="7"/>
      <c r="I622" s="7"/>
      <c r="J622" s="3" t="s">
        <v>35</v>
      </c>
      <c r="K622" s="4" t="s">
        <v>73</v>
      </c>
      <c r="L622" s="4" t="s">
        <v>37</v>
      </c>
      <c r="N622" s="7" t="s">
        <v>1448</v>
      </c>
      <c r="O622" s="7"/>
      <c r="P622" s="7" t="s">
        <v>1449</v>
      </c>
      <c r="Q622" s="7"/>
      <c r="R622" s="7"/>
      <c r="S622" s="3" t="s">
        <v>40</v>
      </c>
      <c r="T622" s="7" t="s">
        <v>41</v>
      </c>
      <c r="U622" s="7"/>
      <c r="V622" s="4" t="s">
        <v>42</v>
      </c>
      <c r="W622" s="4" t="s">
        <v>229</v>
      </c>
      <c r="X622" s="4" t="s">
        <v>446</v>
      </c>
      <c r="Y622" s="7" t="s">
        <v>78</v>
      </c>
      <c r="Z622" s="7"/>
      <c r="AA622" s="4" t="s">
        <v>46</v>
      </c>
      <c r="AB622" s="4" t="s">
        <v>47</v>
      </c>
      <c r="AC622" s="4" t="s">
        <v>136</v>
      </c>
      <c r="AD622" s="4" t="s">
        <v>137</v>
      </c>
      <c r="AE622" s="4" t="s">
        <v>48</v>
      </c>
      <c r="AF622" s="4" t="s">
        <v>41</v>
      </c>
      <c r="AG622" s="4" t="s">
        <v>1316</v>
      </c>
    </row>
    <row r="623" spans="1:33" ht="16.5" customHeight="1" x14ac:dyDescent="0.2">
      <c r="A623" s="2" t="s">
        <v>31</v>
      </c>
      <c r="B623" s="5" t="s">
        <v>54</v>
      </c>
      <c r="C623" s="5"/>
      <c r="D623" s="5"/>
      <c r="E623" s="6" t="s">
        <v>33</v>
      </c>
      <c r="F623" s="6"/>
      <c r="G623" s="7" t="s">
        <v>1311</v>
      </c>
      <c r="H623" s="7"/>
      <c r="I623" s="7"/>
      <c r="J623" s="3" t="s">
        <v>35</v>
      </c>
      <c r="K623" s="4" t="s">
        <v>149</v>
      </c>
      <c r="L623" s="4" t="s">
        <v>37</v>
      </c>
      <c r="N623" s="7" t="s">
        <v>1450</v>
      </c>
      <c r="O623" s="7"/>
      <c r="P623" s="7" t="s">
        <v>1451</v>
      </c>
      <c r="Q623" s="7"/>
      <c r="R623" s="7"/>
      <c r="S623" s="3" t="s">
        <v>40</v>
      </c>
      <c r="T623" s="7" t="s">
        <v>41</v>
      </c>
      <c r="U623" s="7"/>
      <c r="V623" s="4" t="s">
        <v>42</v>
      </c>
      <c r="W623" s="4" t="s">
        <v>229</v>
      </c>
      <c r="X623" s="4" t="s">
        <v>446</v>
      </c>
      <c r="Y623" s="7" t="s">
        <v>78</v>
      </c>
      <c r="Z623" s="7"/>
      <c r="AA623" s="4" t="s">
        <v>46</v>
      </c>
      <c r="AB623" s="4" t="s">
        <v>47</v>
      </c>
      <c r="AC623" s="4" t="s">
        <v>136</v>
      </c>
      <c r="AD623" s="4" t="s">
        <v>137</v>
      </c>
      <c r="AE623" s="4" t="s">
        <v>48</v>
      </c>
      <c r="AF623" s="4" t="s">
        <v>41</v>
      </c>
      <c r="AG623" s="4" t="s">
        <v>1316</v>
      </c>
    </row>
    <row r="624" spans="1:33" ht="16.5" customHeight="1" x14ac:dyDescent="0.2">
      <c r="A624" s="2" t="s">
        <v>31</v>
      </c>
      <c r="B624" s="5" t="s">
        <v>54</v>
      </c>
      <c r="C624" s="5"/>
      <c r="D624" s="5"/>
      <c r="E624" s="6" t="s">
        <v>33</v>
      </c>
      <c r="F624" s="6"/>
      <c r="G624" s="7" t="s">
        <v>1311</v>
      </c>
      <c r="H624" s="7"/>
      <c r="I624" s="7"/>
      <c r="J624" s="3" t="s">
        <v>35</v>
      </c>
      <c r="K624" s="4" t="s">
        <v>149</v>
      </c>
      <c r="L624" s="4" t="s">
        <v>37</v>
      </c>
      <c r="N624" s="7" t="s">
        <v>1452</v>
      </c>
      <c r="O624" s="7"/>
      <c r="P624" s="7" t="s">
        <v>1453</v>
      </c>
      <c r="Q624" s="7"/>
      <c r="R624" s="7"/>
      <c r="S624" s="3" t="s">
        <v>40</v>
      </c>
      <c r="T624" s="7" t="s">
        <v>41</v>
      </c>
      <c r="U624" s="7"/>
      <c r="V624" s="4" t="s">
        <v>42</v>
      </c>
      <c r="W624" s="4" t="s">
        <v>229</v>
      </c>
      <c r="X624" s="4" t="s">
        <v>446</v>
      </c>
      <c r="Y624" s="7" t="s">
        <v>78</v>
      </c>
      <c r="Z624" s="7"/>
      <c r="AA624" s="4" t="s">
        <v>46</v>
      </c>
      <c r="AB624" s="4" t="s">
        <v>47</v>
      </c>
      <c r="AC624" s="4" t="s">
        <v>136</v>
      </c>
      <c r="AD624" s="4" t="s">
        <v>137</v>
      </c>
      <c r="AE624" s="4" t="s">
        <v>48</v>
      </c>
      <c r="AF624" s="4" t="s">
        <v>41</v>
      </c>
      <c r="AG624" s="4" t="s">
        <v>1316</v>
      </c>
    </row>
    <row r="625" spans="1:33" ht="16.5" customHeight="1" x14ac:dyDescent="0.2">
      <c r="A625" s="2" t="s">
        <v>31</v>
      </c>
      <c r="B625" s="5" t="s">
        <v>54</v>
      </c>
      <c r="C625" s="5"/>
      <c r="D625" s="5"/>
      <c r="E625" s="6" t="s">
        <v>33</v>
      </c>
      <c r="F625" s="6"/>
      <c r="G625" s="7" t="s">
        <v>1311</v>
      </c>
      <c r="H625" s="7"/>
      <c r="I625" s="7"/>
      <c r="J625" s="3" t="s">
        <v>35</v>
      </c>
      <c r="K625" s="4" t="s">
        <v>92</v>
      </c>
      <c r="L625" s="4" t="s">
        <v>280</v>
      </c>
      <c r="N625" s="7" t="s">
        <v>1454</v>
      </c>
      <c r="O625" s="7"/>
      <c r="P625" s="7" t="s">
        <v>1455</v>
      </c>
      <c r="Q625" s="7"/>
      <c r="R625" s="7"/>
      <c r="S625" s="3" t="s">
        <v>40</v>
      </c>
      <c r="T625" s="7" t="s">
        <v>41</v>
      </c>
      <c r="U625" s="7"/>
      <c r="V625" s="4" t="s">
        <v>51</v>
      </c>
      <c r="W625" s="4" t="s">
        <v>58</v>
      </c>
      <c r="X625" s="4" t="s">
        <v>128</v>
      </c>
      <c r="Y625" s="7" t="s">
        <v>78</v>
      </c>
      <c r="Z625" s="7"/>
      <c r="AA625" s="4" t="s">
        <v>46</v>
      </c>
      <c r="AB625" s="4" t="s">
        <v>47</v>
      </c>
      <c r="AC625" s="4" t="s">
        <v>79</v>
      </c>
      <c r="AD625" s="4" t="s">
        <v>285</v>
      </c>
      <c r="AE625" s="4" t="s">
        <v>48</v>
      </c>
      <c r="AF625" s="4" t="s">
        <v>41</v>
      </c>
      <c r="AG625" s="4" t="s">
        <v>1316</v>
      </c>
    </row>
    <row r="626" spans="1:33" ht="16.5" customHeight="1" x14ac:dyDescent="0.2">
      <c r="A626" s="2" t="s">
        <v>31</v>
      </c>
      <c r="B626" s="5" t="s">
        <v>54</v>
      </c>
      <c r="C626" s="5"/>
      <c r="D626" s="5"/>
      <c r="E626" s="6" t="s">
        <v>33</v>
      </c>
      <c r="F626" s="6"/>
      <c r="G626" s="7" t="s">
        <v>1311</v>
      </c>
      <c r="H626" s="7"/>
      <c r="I626" s="7"/>
      <c r="J626" s="3" t="s">
        <v>35</v>
      </c>
      <c r="K626" s="4" t="s">
        <v>97</v>
      </c>
      <c r="L626" s="4" t="s">
        <v>280</v>
      </c>
      <c r="N626" s="7" t="s">
        <v>1456</v>
      </c>
      <c r="O626" s="7"/>
      <c r="P626" s="7" t="s">
        <v>1457</v>
      </c>
      <c r="Q626" s="7"/>
      <c r="R626" s="7"/>
      <c r="S626" s="3" t="s">
        <v>40</v>
      </c>
      <c r="T626" s="7" t="s">
        <v>41</v>
      </c>
      <c r="U626" s="7"/>
      <c r="V626" s="4" t="s">
        <v>42</v>
      </c>
      <c r="W626" s="4" t="s">
        <v>1427</v>
      </c>
      <c r="X626" s="4" t="s">
        <v>1428</v>
      </c>
      <c r="Y626" s="7" t="s">
        <v>78</v>
      </c>
      <c r="Z626" s="7"/>
      <c r="AA626" s="4" t="s">
        <v>46</v>
      </c>
      <c r="AB626" s="4" t="s">
        <v>47</v>
      </c>
      <c r="AC626" s="4" t="s">
        <v>136</v>
      </c>
      <c r="AD626" s="4" t="s">
        <v>324</v>
      </c>
      <c r="AE626" s="4" t="s">
        <v>48</v>
      </c>
      <c r="AF626" s="4" t="s">
        <v>41</v>
      </c>
      <c r="AG626" s="4" t="s">
        <v>1316</v>
      </c>
    </row>
    <row r="627" spans="1:33" ht="16.5" customHeight="1" x14ac:dyDescent="0.2">
      <c r="A627" s="2" t="s">
        <v>31</v>
      </c>
      <c r="B627" s="5" t="s">
        <v>54</v>
      </c>
      <c r="C627" s="5"/>
      <c r="D627" s="5"/>
      <c r="E627" s="6" t="s">
        <v>33</v>
      </c>
      <c r="F627" s="6"/>
      <c r="G627" s="7" t="s">
        <v>1311</v>
      </c>
      <c r="H627" s="7"/>
      <c r="I627" s="7"/>
      <c r="J627" s="3" t="s">
        <v>35</v>
      </c>
      <c r="K627" s="4" t="s">
        <v>149</v>
      </c>
      <c r="L627" s="4" t="s">
        <v>37</v>
      </c>
      <c r="N627" s="7" t="s">
        <v>1458</v>
      </c>
      <c r="O627" s="7"/>
      <c r="P627" s="7" t="s">
        <v>1459</v>
      </c>
      <c r="Q627" s="7"/>
      <c r="R627" s="7"/>
      <c r="S627" s="3" t="s">
        <v>40</v>
      </c>
      <c r="T627" s="7" t="s">
        <v>41</v>
      </c>
      <c r="U627" s="7"/>
      <c r="V627" s="4" t="s">
        <v>42</v>
      </c>
      <c r="W627" s="4" t="s">
        <v>1460</v>
      </c>
      <c r="X627" s="4" t="s">
        <v>1461</v>
      </c>
      <c r="Y627" s="7" t="s">
        <v>78</v>
      </c>
      <c r="Z627" s="7"/>
      <c r="AA627" s="4" t="s">
        <v>46</v>
      </c>
      <c r="AB627" s="4" t="s">
        <v>47</v>
      </c>
      <c r="AC627" s="4" t="s">
        <v>136</v>
      </c>
      <c r="AD627" s="4" t="s">
        <v>137</v>
      </c>
      <c r="AE627" s="4" t="s">
        <v>48</v>
      </c>
      <c r="AF627" s="4" t="s">
        <v>41</v>
      </c>
      <c r="AG627" s="4" t="s">
        <v>1316</v>
      </c>
    </row>
    <row r="628" spans="1:33" ht="16.5" customHeight="1" x14ac:dyDescent="0.2">
      <c r="A628" s="2" t="s">
        <v>31</v>
      </c>
      <c r="B628" s="5" t="s">
        <v>54</v>
      </c>
      <c r="C628" s="5"/>
      <c r="D628" s="5"/>
      <c r="E628" s="6" t="s">
        <v>33</v>
      </c>
      <c r="F628" s="6"/>
      <c r="G628" s="7" t="s">
        <v>1311</v>
      </c>
      <c r="H628" s="7"/>
      <c r="I628" s="7"/>
      <c r="J628" s="3" t="s">
        <v>35</v>
      </c>
      <c r="K628" s="4" t="s">
        <v>73</v>
      </c>
      <c r="L628" s="4" t="s">
        <v>93</v>
      </c>
      <c r="N628" s="7" t="s">
        <v>1462</v>
      </c>
      <c r="O628" s="7"/>
      <c r="P628" s="7" t="s">
        <v>1463</v>
      </c>
      <c r="Q628" s="7"/>
      <c r="R628" s="7"/>
      <c r="S628" s="3" t="s">
        <v>40</v>
      </c>
      <c r="T628" s="7" t="s">
        <v>41</v>
      </c>
      <c r="U628" s="7"/>
      <c r="V628" s="4" t="s">
        <v>42</v>
      </c>
      <c r="W628" s="4" t="s">
        <v>1464</v>
      </c>
      <c r="X628" s="4" t="s">
        <v>1465</v>
      </c>
      <c r="Y628" s="7" t="s">
        <v>78</v>
      </c>
      <c r="Z628" s="7"/>
      <c r="AA628" s="4" t="s">
        <v>46</v>
      </c>
      <c r="AB628" s="4" t="s">
        <v>47</v>
      </c>
      <c r="AC628" s="4" t="s">
        <v>136</v>
      </c>
      <c r="AD628" s="4" t="s">
        <v>148</v>
      </c>
      <c r="AE628" s="4" t="s">
        <v>48</v>
      </c>
      <c r="AF628" s="4" t="s">
        <v>41</v>
      </c>
      <c r="AG628" s="4" t="s">
        <v>1316</v>
      </c>
    </row>
    <row r="629" spans="1:33" ht="16.5" customHeight="1" x14ac:dyDescent="0.2">
      <c r="A629" s="2" t="s">
        <v>31</v>
      </c>
      <c r="B629" s="5" t="s">
        <v>54</v>
      </c>
      <c r="C629" s="5"/>
      <c r="D629" s="5"/>
      <c r="E629" s="6" t="s">
        <v>33</v>
      </c>
      <c r="F629" s="6"/>
      <c r="G629" s="7" t="s">
        <v>1311</v>
      </c>
      <c r="H629" s="7"/>
      <c r="I629" s="7"/>
      <c r="J629" s="3" t="s">
        <v>35</v>
      </c>
      <c r="K629" s="4" t="s">
        <v>97</v>
      </c>
      <c r="L629" s="4" t="s">
        <v>37</v>
      </c>
      <c r="N629" s="7" t="s">
        <v>1466</v>
      </c>
      <c r="O629" s="7"/>
      <c r="P629" s="7" t="s">
        <v>1467</v>
      </c>
      <c r="Q629" s="7"/>
      <c r="R629" s="7"/>
      <c r="S629" s="3" t="s">
        <v>40</v>
      </c>
      <c r="T629" s="7" t="s">
        <v>41</v>
      </c>
      <c r="U629" s="7"/>
      <c r="V629" s="4" t="s">
        <v>42</v>
      </c>
      <c r="W629" s="4" t="s">
        <v>355</v>
      </c>
      <c r="X629" s="4" t="s">
        <v>344</v>
      </c>
      <c r="Y629" s="7" t="s">
        <v>78</v>
      </c>
      <c r="Z629" s="7"/>
      <c r="AA629" s="4" t="s">
        <v>46</v>
      </c>
      <c r="AB629" s="4" t="s">
        <v>47</v>
      </c>
      <c r="AC629" s="4" t="s">
        <v>136</v>
      </c>
      <c r="AD629" s="4" t="s">
        <v>137</v>
      </c>
      <c r="AE629" s="4" t="s">
        <v>48</v>
      </c>
      <c r="AF629" s="4" t="s">
        <v>41</v>
      </c>
      <c r="AG629" s="4" t="s">
        <v>1316</v>
      </c>
    </row>
    <row r="630" spans="1:33" ht="16.5" customHeight="1" x14ac:dyDescent="0.2">
      <c r="A630" s="2" t="s">
        <v>31</v>
      </c>
      <c r="B630" s="5" t="s">
        <v>54</v>
      </c>
      <c r="C630" s="5"/>
      <c r="D630" s="5"/>
      <c r="E630" s="6" t="s">
        <v>33</v>
      </c>
      <c r="F630" s="6"/>
      <c r="G630" s="7" t="s">
        <v>1311</v>
      </c>
      <c r="H630" s="7"/>
      <c r="I630" s="7"/>
      <c r="J630" s="3" t="s">
        <v>35</v>
      </c>
      <c r="K630" s="4" t="s">
        <v>97</v>
      </c>
      <c r="L630" s="4" t="s">
        <v>37</v>
      </c>
      <c r="N630" s="7" t="s">
        <v>1468</v>
      </c>
      <c r="O630" s="7"/>
      <c r="P630" s="7" t="s">
        <v>1469</v>
      </c>
      <c r="Q630" s="7"/>
      <c r="R630" s="7"/>
      <c r="S630" s="3" t="s">
        <v>40</v>
      </c>
      <c r="T630" s="7" t="s">
        <v>41</v>
      </c>
      <c r="U630" s="7"/>
      <c r="V630" s="4" t="s">
        <v>42</v>
      </c>
      <c r="W630" s="4" t="s">
        <v>102</v>
      </c>
      <c r="X630" s="4" t="s">
        <v>103</v>
      </c>
      <c r="Y630" s="7" t="s">
        <v>78</v>
      </c>
      <c r="Z630" s="7"/>
      <c r="AA630" s="4" t="s">
        <v>46</v>
      </c>
      <c r="AB630" s="4" t="s">
        <v>47</v>
      </c>
      <c r="AC630" s="4" t="s">
        <v>79</v>
      </c>
      <c r="AD630" s="4" t="s">
        <v>80</v>
      </c>
      <c r="AE630" s="4" t="s">
        <v>48</v>
      </c>
      <c r="AF630" s="4" t="s">
        <v>41</v>
      </c>
      <c r="AG630" s="4" t="s">
        <v>1316</v>
      </c>
    </row>
    <row r="631" spans="1:33" ht="16.5" customHeight="1" x14ac:dyDescent="0.2">
      <c r="A631" s="2" t="s">
        <v>31</v>
      </c>
      <c r="B631" s="5" t="s">
        <v>54</v>
      </c>
      <c r="C631" s="5"/>
      <c r="D631" s="5"/>
      <c r="E631" s="6" t="s">
        <v>33</v>
      </c>
      <c r="F631" s="6"/>
      <c r="G631" s="7" t="s">
        <v>1311</v>
      </c>
      <c r="H631" s="7"/>
      <c r="I631" s="7"/>
      <c r="J631" s="3" t="s">
        <v>35</v>
      </c>
      <c r="K631" s="4" t="s">
        <v>73</v>
      </c>
      <c r="L631" s="4" t="s">
        <v>37</v>
      </c>
      <c r="N631" s="7" t="s">
        <v>1470</v>
      </c>
      <c r="O631" s="7"/>
      <c r="P631" s="7" t="s">
        <v>1471</v>
      </c>
      <c r="Q631" s="7"/>
      <c r="R631" s="7"/>
      <c r="S631" s="3" t="s">
        <v>40</v>
      </c>
      <c r="T631" s="7" t="s">
        <v>41</v>
      </c>
      <c r="U631" s="7"/>
      <c r="V631" s="4" t="s">
        <v>42</v>
      </c>
      <c r="W631" s="4" t="s">
        <v>58</v>
      </c>
      <c r="X631" s="4" t="s">
        <v>59</v>
      </c>
      <c r="Y631" s="7" t="s">
        <v>78</v>
      </c>
      <c r="Z631" s="7"/>
      <c r="AA631" s="4" t="s">
        <v>46</v>
      </c>
      <c r="AB631" s="4" t="s">
        <v>47</v>
      </c>
      <c r="AC631" s="4" t="s">
        <v>79</v>
      </c>
      <c r="AD631" s="4" t="s">
        <v>80</v>
      </c>
      <c r="AE631" s="4" t="s">
        <v>48</v>
      </c>
      <c r="AF631" s="4" t="s">
        <v>41</v>
      </c>
      <c r="AG631" s="4" t="s">
        <v>1316</v>
      </c>
    </row>
    <row r="632" spans="1:33" ht="16.5" customHeight="1" x14ac:dyDescent="0.2">
      <c r="A632" s="2" t="s">
        <v>31</v>
      </c>
      <c r="B632" s="5" t="s">
        <v>54</v>
      </c>
      <c r="C632" s="5"/>
      <c r="D632" s="5"/>
      <c r="E632" s="6" t="s">
        <v>33</v>
      </c>
      <c r="F632" s="6"/>
      <c r="G632" s="7" t="s">
        <v>1311</v>
      </c>
      <c r="H632" s="7"/>
      <c r="I632" s="7"/>
      <c r="J632" s="3" t="s">
        <v>35</v>
      </c>
      <c r="K632" s="4" t="s">
        <v>245</v>
      </c>
      <c r="L632" s="4" t="s">
        <v>93</v>
      </c>
      <c r="N632" s="7" t="s">
        <v>1472</v>
      </c>
      <c r="O632" s="7"/>
      <c r="P632" s="7" t="s">
        <v>1473</v>
      </c>
      <c r="Q632" s="7"/>
      <c r="R632" s="7"/>
      <c r="S632" s="3" t="s">
        <v>40</v>
      </c>
      <c r="T632" s="7" t="s">
        <v>41</v>
      </c>
      <c r="U632" s="7"/>
      <c r="V632" s="4" t="s">
        <v>42</v>
      </c>
      <c r="W632" s="4" t="s">
        <v>58</v>
      </c>
      <c r="X632" s="4" t="s">
        <v>59</v>
      </c>
      <c r="Y632" s="7" t="s">
        <v>78</v>
      </c>
      <c r="Z632" s="7"/>
      <c r="AA632" s="4" t="s">
        <v>46</v>
      </c>
      <c r="AB632" s="4" t="s">
        <v>47</v>
      </c>
      <c r="AC632" s="4" t="s">
        <v>79</v>
      </c>
      <c r="AD632" s="4" t="s">
        <v>96</v>
      </c>
      <c r="AE632" s="4" t="s">
        <v>48</v>
      </c>
      <c r="AF632" s="4" t="s">
        <v>41</v>
      </c>
      <c r="AG632" s="4" t="s">
        <v>1316</v>
      </c>
    </row>
    <row r="633" spans="1:33" ht="16.5" customHeight="1" x14ac:dyDescent="0.2">
      <c r="A633" s="2" t="s">
        <v>31</v>
      </c>
      <c r="B633" s="5" t="s">
        <v>54</v>
      </c>
      <c r="C633" s="5"/>
      <c r="D633" s="5"/>
      <c r="E633" s="6" t="s">
        <v>33</v>
      </c>
      <c r="F633" s="6"/>
      <c r="G633" s="7" t="s">
        <v>1311</v>
      </c>
      <c r="H633" s="7"/>
      <c r="I633" s="7"/>
      <c r="J633" s="3" t="s">
        <v>35</v>
      </c>
      <c r="K633" s="4" t="s">
        <v>149</v>
      </c>
      <c r="L633" s="4" t="s">
        <v>37</v>
      </c>
      <c r="N633" s="7" t="s">
        <v>1474</v>
      </c>
      <c r="O633" s="7"/>
      <c r="P633" s="7" t="s">
        <v>1475</v>
      </c>
      <c r="Q633" s="7"/>
      <c r="R633" s="7"/>
      <c r="S633" s="3" t="s">
        <v>40</v>
      </c>
      <c r="T633" s="7" t="s">
        <v>41</v>
      </c>
      <c r="U633" s="7"/>
      <c r="V633" s="4" t="s">
        <v>42</v>
      </c>
      <c r="W633" s="4" t="s">
        <v>986</v>
      </c>
      <c r="X633" s="4" t="s">
        <v>987</v>
      </c>
      <c r="Y633" s="7" t="s">
        <v>78</v>
      </c>
      <c r="Z633" s="7"/>
      <c r="AA633" s="4" t="s">
        <v>46</v>
      </c>
      <c r="AB633" s="4" t="s">
        <v>47</v>
      </c>
      <c r="AC633" s="4" t="s">
        <v>136</v>
      </c>
      <c r="AD633" s="4" t="s">
        <v>137</v>
      </c>
      <c r="AE633" s="4" t="s">
        <v>48</v>
      </c>
      <c r="AF633" s="4" t="s">
        <v>41</v>
      </c>
      <c r="AG633" s="4" t="s">
        <v>1316</v>
      </c>
    </row>
    <row r="634" spans="1:33" ht="16.5" customHeight="1" x14ac:dyDescent="0.2">
      <c r="A634" s="2" t="s">
        <v>31</v>
      </c>
      <c r="B634" s="5" t="s">
        <v>54</v>
      </c>
      <c r="C634" s="5"/>
      <c r="D634" s="5"/>
      <c r="E634" s="6" t="s">
        <v>33</v>
      </c>
      <c r="F634" s="6"/>
      <c r="G634" s="7" t="s">
        <v>1311</v>
      </c>
      <c r="H634" s="7"/>
      <c r="I634" s="7"/>
      <c r="J634" s="3" t="s">
        <v>35</v>
      </c>
      <c r="K634" s="4" t="s">
        <v>149</v>
      </c>
      <c r="L634" s="4" t="s">
        <v>37</v>
      </c>
      <c r="N634" s="7" t="s">
        <v>1476</v>
      </c>
      <c r="O634" s="7"/>
      <c r="P634" s="7" t="s">
        <v>1477</v>
      </c>
      <c r="Q634" s="7"/>
      <c r="R634" s="7"/>
      <c r="S634" s="3" t="s">
        <v>40</v>
      </c>
      <c r="T634" s="7" t="s">
        <v>41</v>
      </c>
      <c r="U634" s="7"/>
      <c r="V634" s="4" t="s">
        <v>42</v>
      </c>
      <c r="W634" s="4" t="s">
        <v>986</v>
      </c>
      <c r="X634" s="4" t="s">
        <v>987</v>
      </c>
      <c r="Y634" s="7" t="s">
        <v>78</v>
      </c>
      <c r="Z634" s="7"/>
      <c r="AA634" s="4" t="s">
        <v>46</v>
      </c>
      <c r="AB634" s="4" t="s">
        <v>47</v>
      </c>
      <c r="AC634" s="4" t="s">
        <v>136</v>
      </c>
      <c r="AD634" s="4" t="s">
        <v>137</v>
      </c>
      <c r="AE634" s="4" t="s">
        <v>48</v>
      </c>
      <c r="AF634" s="4" t="s">
        <v>41</v>
      </c>
      <c r="AG634" s="4" t="s">
        <v>1316</v>
      </c>
    </row>
    <row r="635" spans="1:33" ht="16.5" customHeight="1" x14ac:dyDescent="0.2">
      <c r="A635" s="2" t="s">
        <v>31</v>
      </c>
      <c r="B635" s="5" t="s">
        <v>54</v>
      </c>
      <c r="C635" s="5"/>
      <c r="D635" s="5"/>
      <c r="E635" s="6" t="s">
        <v>33</v>
      </c>
      <c r="F635" s="6"/>
      <c r="G635" s="7" t="s">
        <v>1311</v>
      </c>
      <c r="H635" s="7"/>
      <c r="I635" s="7"/>
      <c r="J635" s="3" t="s">
        <v>35</v>
      </c>
      <c r="K635" s="4" t="s">
        <v>55</v>
      </c>
      <c r="L635" s="4" t="s">
        <v>588</v>
      </c>
      <c r="N635" s="7" t="s">
        <v>1478</v>
      </c>
      <c r="O635" s="7"/>
      <c r="P635" s="7" t="s">
        <v>1479</v>
      </c>
      <c r="Q635" s="7"/>
      <c r="R635" s="7"/>
      <c r="S635" s="3" t="s">
        <v>40</v>
      </c>
      <c r="T635" s="7" t="s">
        <v>41</v>
      </c>
      <c r="U635" s="7"/>
      <c r="V635" s="4" t="s">
        <v>51</v>
      </c>
      <c r="W635" s="4" t="s">
        <v>263</v>
      </c>
      <c r="X635" s="4" t="s">
        <v>208</v>
      </c>
      <c r="Y635" s="7" t="s">
        <v>60</v>
      </c>
      <c r="Z635" s="7"/>
      <c r="AA635" s="4" t="s">
        <v>46</v>
      </c>
      <c r="AB635" s="4" t="s">
        <v>47</v>
      </c>
      <c r="AC635" s="4" t="s">
        <v>79</v>
      </c>
      <c r="AD635" s="4" t="s">
        <v>591</v>
      </c>
      <c r="AE635" s="4" t="s">
        <v>48</v>
      </c>
      <c r="AF635" s="4" t="s">
        <v>41</v>
      </c>
      <c r="AG635" s="4" t="s">
        <v>1316</v>
      </c>
    </row>
    <row r="636" spans="1:33" ht="16.5" customHeight="1" x14ac:dyDescent="0.2">
      <c r="A636" s="2" t="s">
        <v>31</v>
      </c>
      <c r="B636" s="5" t="s">
        <v>54</v>
      </c>
      <c r="C636" s="5"/>
      <c r="D636" s="5"/>
      <c r="E636" s="6" t="s">
        <v>33</v>
      </c>
      <c r="F636" s="6"/>
      <c r="G636" s="7" t="s">
        <v>1311</v>
      </c>
      <c r="H636" s="7"/>
      <c r="I636" s="7"/>
      <c r="J636" s="3" t="s">
        <v>35</v>
      </c>
      <c r="K636" s="4" t="s">
        <v>97</v>
      </c>
      <c r="L636" s="4" t="s">
        <v>443</v>
      </c>
      <c r="N636" s="7" t="s">
        <v>1480</v>
      </c>
      <c r="O636" s="7"/>
      <c r="P636" s="7" t="s">
        <v>1481</v>
      </c>
      <c r="Q636" s="7"/>
      <c r="R636" s="7"/>
      <c r="S636" s="3" t="s">
        <v>40</v>
      </c>
      <c r="T636" s="7" t="s">
        <v>41</v>
      </c>
      <c r="U636" s="7"/>
      <c r="V636" s="4" t="s">
        <v>42</v>
      </c>
      <c r="W636" s="4" t="s">
        <v>278</v>
      </c>
      <c r="X636" s="4" t="s">
        <v>279</v>
      </c>
      <c r="Y636" s="7" t="s">
        <v>78</v>
      </c>
      <c r="Z636" s="7"/>
      <c r="AA636" s="4" t="s">
        <v>46</v>
      </c>
      <c r="AB636" s="4" t="s">
        <v>47</v>
      </c>
      <c r="AC636" s="4" t="s">
        <v>136</v>
      </c>
      <c r="AD636" s="4" t="s">
        <v>464</v>
      </c>
      <c r="AE636" s="4" t="s">
        <v>48</v>
      </c>
      <c r="AF636" s="4" t="s">
        <v>41</v>
      </c>
      <c r="AG636" s="4" t="s">
        <v>1316</v>
      </c>
    </row>
    <row r="637" spans="1:33" ht="16.5" customHeight="1" x14ac:dyDescent="0.2">
      <c r="A637" s="2" t="s">
        <v>31</v>
      </c>
      <c r="B637" s="5" t="s">
        <v>54</v>
      </c>
      <c r="C637" s="5"/>
      <c r="D637" s="5"/>
      <c r="E637" s="6" t="s">
        <v>33</v>
      </c>
      <c r="F637" s="6"/>
      <c r="G637" s="7" t="s">
        <v>1311</v>
      </c>
      <c r="H637" s="7"/>
      <c r="I637" s="7"/>
      <c r="J637" s="3" t="s">
        <v>35</v>
      </c>
      <c r="K637" s="4" t="s">
        <v>73</v>
      </c>
      <c r="L637" s="4" t="s">
        <v>37</v>
      </c>
      <c r="N637" s="7" t="s">
        <v>1482</v>
      </c>
      <c r="O637" s="7"/>
      <c r="P637" s="7" t="s">
        <v>1483</v>
      </c>
      <c r="Q637" s="7"/>
      <c r="R637" s="7"/>
      <c r="S637" s="3" t="s">
        <v>40</v>
      </c>
      <c r="T637" s="7" t="s">
        <v>41</v>
      </c>
      <c r="U637" s="7"/>
      <c r="V637" s="4" t="s">
        <v>51</v>
      </c>
      <c r="W637" s="4" t="s">
        <v>58</v>
      </c>
      <c r="X637" s="4" t="s">
        <v>128</v>
      </c>
      <c r="Y637" s="7" t="s">
        <v>78</v>
      </c>
      <c r="Z637" s="7"/>
      <c r="AA637" s="4" t="s">
        <v>46</v>
      </c>
      <c r="AB637" s="4" t="s">
        <v>47</v>
      </c>
      <c r="AC637" s="4" t="s">
        <v>79</v>
      </c>
      <c r="AD637" s="4" t="s">
        <v>80</v>
      </c>
      <c r="AE637" s="4" t="s">
        <v>48</v>
      </c>
      <c r="AF637" s="4" t="s">
        <v>41</v>
      </c>
      <c r="AG637" s="4" t="s">
        <v>1316</v>
      </c>
    </row>
    <row r="638" spans="1:33" ht="16.5" customHeight="1" x14ac:dyDescent="0.2">
      <c r="A638" s="2" t="s">
        <v>31</v>
      </c>
      <c r="B638" s="5" t="s">
        <v>54</v>
      </c>
      <c r="C638" s="5"/>
      <c r="D638" s="5"/>
      <c r="E638" s="6" t="s">
        <v>33</v>
      </c>
      <c r="F638" s="6"/>
      <c r="G638" s="7" t="s">
        <v>1311</v>
      </c>
      <c r="H638" s="7"/>
      <c r="I638" s="7"/>
      <c r="J638" s="3" t="s">
        <v>35</v>
      </c>
      <c r="K638" s="4" t="s">
        <v>73</v>
      </c>
      <c r="L638" s="4" t="s">
        <v>37</v>
      </c>
      <c r="N638" s="7" t="s">
        <v>1484</v>
      </c>
      <c r="O638" s="7"/>
      <c r="P638" s="7" t="s">
        <v>1485</v>
      </c>
      <c r="Q638" s="7"/>
      <c r="R638" s="7"/>
      <c r="S638" s="3" t="s">
        <v>40</v>
      </c>
      <c r="T638" s="7" t="s">
        <v>41</v>
      </c>
      <c r="U638" s="7"/>
      <c r="V638" s="4" t="s">
        <v>51</v>
      </c>
      <c r="W638" s="4" t="s">
        <v>283</v>
      </c>
      <c r="X638" s="4" t="s">
        <v>1087</v>
      </c>
      <c r="Y638" s="7" t="s">
        <v>78</v>
      </c>
      <c r="Z638" s="7"/>
      <c r="AA638" s="4" t="s">
        <v>46</v>
      </c>
      <c r="AB638" s="4" t="s">
        <v>47</v>
      </c>
      <c r="AC638" s="4" t="s">
        <v>136</v>
      </c>
      <c r="AD638" s="4" t="s">
        <v>137</v>
      </c>
      <c r="AE638" s="4" t="s">
        <v>48</v>
      </c>
      <c r="AF638" s="4" t="s">
        <v>41</v>
      </c>
      <c r="AG638" s="4" t="s">
        <v>1316</v>
      </c>
    </row>
    <row r="639" spans="1:33" ht="16.5" customHeight="1" x14ac:dyDescent="0.2">
      <c r="A639" s="2" t="s">
        <v>31</v>
      </c>
      <c r="B639" s="5" t="s">
        <v>54</v>
      </c>
      <c r="C639" s="5"/>
      <c r="D639" s="5"/>
      <c r="E639" s="6" t="s">
        <v>33</v>
      </c>
      <c r="F639" s="6"/>
      <c r="G639" s="7" t="s">
        <v>1311</v>
      </c>
      <c r="H639" s="7"/>
      <c r="I639" s="7"/>
      <c r="J639" s="3" t="s">
        <v>35</v>
      </c>
      <c r="K639" s="4" t="s">
        <v>149</v>
      </c>
      <c r="L639" s="4" t="s">
        <v>93</v>
      </c>
      <c r="N639" s="7" t="s">
        <v>1486</v>
      </c>
      <c r="O639" s="7"/>
      <c r="P639" s="7" t="s">
        <v>1487</v>
      </c>
      <c r="Q639" s="7"/>
      <c r="R639" s="7"/>
      <c r="S639" s="3" t="s">
        <v>40</v>
      </c>
      <c r="T639" s="7" t="s">
        <v>41</v>
      </c>
      <c r="U639" s="7"/>
      <c r="V639" s="4" t="s">
        <v>42</v>
      </c>
      <c r="W639" s="4" t="s">
        <v>212</v>
      </c>
      <c r="X639" s="4" t="s">
        <v>1087</v>
      </c>
      <c r="Y639" s="7" t="s">
        <v>78</v>
      </c>
      <c r="Z639" s="7"/>
      <c r="AA639" s="4" t="s">
        <v>46</v>
      </c>
      <c r="AB639" s="4" t="s">
        <v>47</v>
      </c>
      <c r="AC639" s="4" t="s">
        <v>136</v>
      </c>
      <c r="AD639" s="4" t="s">
        <v>148</v>
      </c>
      <c r="AE639" s="4" t="s">
        <v>48</v>
      </c>
      <c r="AF639" s="4" t="s">
        <v>41</v>
      </c>
      <c r="AG639" s="4" t="s">
        <v>1316</v>
      </c>
    </row>
    <row r="640" spans="1:33" ht="16.5" customHeight="1" x14ac:dyDescent="0.2">
      <c r="A640" s="2" t="s">
        <v>31</v>
      </c>
      <c r="B640" s="5" t="s">
        <v>54</v>
      </c>
      <c r="C640" s="5"/>
      <c r="D640" s="5"/>
      <c r="E640" s="6" t="s">
        <v>33</v>
      </c>
      <c r="F640" s="6"/>
      <c r="G640" s="7" t="s">
        <v>1311</v>
      </c>
      <c r="H640" s="7"/>
      <c r="I640" s="7"/>
      <c r="J640" s="3" t="s">
        <v>35</v>
      </c>
      <c r="K640" s="4" t="s">
        <v>73</v>
      </c>
      <c r="L640" s="4" t="s">
        <v>37</v>
      </c>
      <c r="N640" s="7" t="s">
        <v>1488</v>
      </c>
      <c r="O640" s="7"/>
      <c r="P640" s="7" t="s">
        <v>1489</v>
      </c>
      <c r="Q640" s="7"/>
      <c r="R640" s="7"/>
      <c r="S640" s="3" t="s">
        <v>40</v>
      </c>
      <c r="T640" s="7" t="s">
        <v>41</v>
      </c>
      <c r="U640" s="7"/>
      <c r="V640" s="4" t="s">
        <v>42</v>
      </c>
      <c r="W640" s="4" t="s">
        <v>288</v>
      </c>
      <c r="X640" s="4" t="s">
        <v>213</v>
      </c>
      <c r="Y640" s="7" t="s">
        <v>78</v>
      </c>
      <c r="Z640" s="7"/>
      <c r="AA640" s="4" t="s">
        <v>46</v>
      </c>
      <c r="AB640" s="4" t="s">
        <v>47</v>
      </c>
      <c r="AC640" s="4" t="s">
        <v>136</v>
      </c>
      <c r="AD640" s="4" t="s">
        <v>137</v>
      </c>
      <c r="AE640" s="4" t="s">
        <v>48</v>
      </c>
      <c r="AF640" s="4" t="s">
        <v>41</v>
      </c>
      <c r="AG640" s="4" t="s">
        <v>1316</v>
      </c>
    </row>
    <row r="641" spans="1:33" ht="16.5" customHeight="1" x14ac:dyDescent="0.2">
      <c r="A641" s="2" t="s">
        <v>31</v>
      </c>
      <c r="B641" s="5" t="s">
        <v>54</v>
      </c>
      <c r="C641" s="5"/>
      <c r="D641" s="5"/>
      <c r="E641" s="6" t="s">
        <v>33</v>
      </c>
      <c r="F641" s="6"/>
      <c r="G641" s="7" t="s">
        <v>1311</v>
      </c>
      <c r="H641" s="7"/>
      <c r="I641" s="7"/>
      <c r="J641" s="3" t="s">
        <v>35</v>
      </c>
      <c r="K641" s="4" t="s">
        <v>97</v>
      </c>
      <c r="L641" s="4" t="s">
        <v>37</v>
      </c>
      <c r="N641" s="7" t="s">
        <v>1490</v>
      </c>
      <c r="O641" s="7"/>
      <c r="P641" s="7" t="s">
        <v>1491</v>
      </c>
      <c r="Q641" s="7"/>
      <c r="R641" s="7"/>
      <c r="S641" s="3" t="s">
        <v>40</v>
      </c>
      <c r="T641" s="7" t="s">
        <v>41</v>
      </c>
      <c r="U641" s="7"/>
      <c r="V641" s="4" t="s">
        <v>42</v>
      </c>
      <c r="W641" s="4" t="s">
        <v>200</v>
      </c>
      <c r="X641" s="4" t="s">
        <v>201</v>
      </c>
      <c r="Y641" s="7" t="s">
        <v>78</v>
      </c>
      <c r="Z641" s="7"/>
      <c r="AA641" s="4" t="s">
        <v>46</v>
      </c>
      <c r="AB641" s="4" t="s">
        <v>47</v>
      </c>
      <c r="AC641" s="4" t="s">
        <v>136</v>
      </c>
      <c r="AD641" s="4" t="s">
        <v>137</v>
      </c>
      <c r="AE641" s="4" t="s">
        <v>48</v>
      </c>
      <c r="AF641" s="4" t="s">
        <v>41</v>
      </c>
      <c r="AG641" s="4" t="s">
        <v>1316</v>
      </c>
    </row>
    <row r="642" spans="1:33" ht="16.5" customHeight="1" x14ac:dyDescent="0.2">
      <c r="A642" s="2" t="s">
        <v>31</v>
      </c>
      <c r="B642" s="5" t="s">
        <v>54</v>
      </c>
      <c r="C642" s="5"/>
      <c r="D642" s="5"/>
      <c r="E642" s="6" t="s">
        <v>33</v>
      </c>
      <c r="F642" s="6"/>
      <c r="G642" s="7" t="s">
        <v>1311</v>
      </c>
      <c r="H642" s="7"/>
      <c r="I642" s="7"/>
      <c r="J642" s="3" t="s">
        <v>35</v>
      </c>
      <c r="K642" s="4" t="s">
        <v>149</v>
      </c>
      <c r="L642" s="4" t="s">
        <v>37</v>
      </c>
      <c r="N642" s="7" t="s">
        <v>1492</v>
      </c>
      <c r="O642" s="7"/>
      <c r="P642" s="7" t="s">
        <v>1493</v>
      </c>
      <c r="Q642" s="7"/>
      <c r="R642" s="7"/>
      <c r="S642" s="3" t="s">
        <v>40</v>
      </c>
      <c r="T642" s="7" t="s">
        <v>41</v>
      </c>
      <c r="U642" s="7"/>
      <c r="V642" s="4" t="s">
        <v>42</v>
      </c>
      <c r="W642" s="4" t="s">
        <v>291</v>
      </c>
      <c r="X642" s="4" t="s">
        <v>292</v>
      </c>
      <c r="Y642" s="7" t="s">
        <v>78</v>
      </c>
      <c r="Z642" s="7"/>
      <c r="AA642" s="4" t="s">
        <v>46</v>
      </c>
      <c r="AB642" s="4" t="s">
        <v>47</v>
      </c>
      <c r="AC642" s="4" t="s">
        <v>136</v>
      </c>
      <c r="AD642" s="4" t="s">
        <v>137</v>
      </c>
      <c r="AE642" s="4" t="s">
        <v>48</v>
      </c>
      <c r="AF642" s="4" t="s">
        <v>41</v>
      </c>
      <c r="AG642" s="4" t="s">
        <v>1316</v>
      </c>
    </row>
    <row r="643" spans="1:33" ht="16.5" customHeight="1" x14ac:dyDescent="0.2">
      <c r="A643" s="2" t="s">
        <v>31</v>
      </c>
      <c r="B643" s="5" t="s">
        <v>54</v>
      </c>
      <c r="C643" s="5"/>
      <c r="D643" s="5"/>
      <c r="E643" s="6" t="s">
        <v>33</v>
      </c>
      <c r="F643" s="6"/>
      <c r="G643" s="7" t="s">
        <v>1311</v>
      </c>
      <c r="H643" s="7"/>
      <c r="I643" s="7"/>
      <c r="J643" s="3" t="s">
        <v>35</v>
      </c>
      <c r="K643" s="4" t="s">
        <v>149</v>
      </c>
      <c r="L643" s="4" t="s">
        <v>93</v>
      </c>
      <c r="N643" s="7" t="s">
        <v>1494</v>
      </c>
      <c r="O643" s="7"/>
      <c r="P643" s="7" t="s">
        <v>1495</v>
      </c>
      <c r="Q643" s="7"/>
      <c r="R643" s="7"/>
      <c r="S643" s="3" t="s">
        <v>40</v>
      </c>
      <c r="T643" s="7" t="s">
        <v>41</v>
      </c>
      <c r="U643" s="7"/>
      <c r="V643" s="4" t="s">
        <v>51</v>
      </c>
      <c r="W643" s="4" t="s">
        <v>200</v>
      </c>
      <c r="X643" s="4" t="s">
        <v>789</v>
      </c>
      <c r="Y643" s="7" t="s">
        <v>78</v>
      </c>
      <c r="Z643" s="7"/>
      <c r="AA643" s="4" t="s">
        <v>46</v>
      </c>
      <c r="AB643" s="4" t="s">
        <v>47</v>
      </c>
      <c r="AC643" s="4" t="s">
        <v>136</v>
      </c>
      <c r="AD643" s="4" t="s">
        <v>148</v>
      </c>
      <c r="AE643" s="4" t="s">
        <v>48</v>
      </c>
      <c r="AF643" s="4" t="s">
        <v>41</v>
      </c>
      <c r="AG643" s="4" t="s">
        <v>1316</v>
      </c>
    </row>
    <row r="644" spans="1:33" ht="16.5" customHeight="1" x14ac:dyDescent="0.2">
      <c r="A644" s="2" t="s">
        <v>31</v>
      </c>
      <c r="B644" s="5" t="s">
        <v>54</v>
      </c>
      <c r="C644" s="5"/>
      <c r="D644" s="5"/>
      <c r="E644" s="6" t="s">
        <v>33</v>
      </c>
      <c r="F644" s="6"/>
      <c r="G644" s="7" t="s">
        <v>1311</v>
      </c>
      <c r="H644" s="7"/>
      <c r="I644" s="7"/>
      <c r="J644" s="3" t="s">
        <v>35</v>
      </c>
      <c r="K644" s="4" t="s">
        <v>149</v>
      </c>
      <c r="L644" s="4" t="s">
        <v>37</v>
      </c>
      <c r="N644" s="7" t="s">
        <v>1496</v>
      </c>
      <c r="O644" s="7"/>
      <c r="P644" s="7" t="s">
        <v>1497</v>
      </c>
      <c r="Q644" s="7"/>
      <c r="R644" s="7"/>
      <c r="S644" s="3" t="s">
        <v>40</v>
      </c>
      <c r="T644" s="7" t="s">
        <v>41</v>
      </c>
      <c r="U644" s="7"/>
      <c r="V644" s="4" t="s">
        <v>42</v>
      </c>
      <c r="W644" s="4" t="s">
        <v>825</v>
      </c>
      <c r="X644" s="4" t="s">
        <v>430</v>
      </c>
      <c r="Y644" s="7" t="s">
        <v>78</v>
      </c>
      <c r="Z644" s="7"/>
      <c r="AA644" s="4" t="s">
        <v>46</v>
      </c>
      <c r="AB644" s="4" t="s">
        <v>47</v>
      </c>
      <c r="AC644" s="4" t="s">
        <v>136</v>
      </c>
      <c r="AD644" s="4" t="s">
        <v>137</v>
      </c>
      <c r="AE644" s="4" t="s">
        <v>48</v>
      </c>
      <c r="AF644" s="4" t="s">
        <v>41</v>
      </c>
      <c r="AG644" s="4" t="s">
        <v>1316</v>
      </c>
    </row>
    <row r="645" spans="1:33" ht="16.5" customHeight="1" x14ac:dyDescent="0.2">
      <c r="A645" s="2" t="s">
        <v>31</v>
      </c>
      <c r="B645" s="5" t="s">
        <v>54</v>
      </c>
      <c r="C645" s="5"/>
      <c r="D645" s="5"/>
      <c r="E645" s="6" t="s">
        <v>33</v>
      </c>
      <c r="F645" s="6"/>
      <c r="G645" s="7" t="s">
        <v>1311</v>
      </c>
      <c r="H645" s="7"/>
      <c r="I645" s="7"/>
      <c r="J645" s="3" t="s">
        <v>35</v>
      </c>
      <c r="K645" s="4" t="s">
        <v>149</v>
      </c>
      <c r="L645" s="4" t="s">
        <v>37</v>
      </c>
      <c r="N645" s="7" t="s">
        <v>1498</v>
      </c>
      <c r="O645" s="7"/>
      <c r="P645" s="7" t="s">
        <v>1499</v>
      </c>
      <c r="Q645" s="7"/>
      <c r="R645" s="7"/>
      <c r="S645" s="3" t="s">
        <v>40</v>
      </c>
      <c r="T645" s="7" t="s">
        <v>41</v>
      </c>
      <c r="U645" s="7"/>
      <c r="V645" s="4" t="s">
        <v>42</v>
      </c>
      <c r="W645" s="4" t="s">
        <v>825</v>
      </c>
      <c r="X645" s="4" t="s">
        <v>430</v>
      </c>
      <c r="Y645" s="7" t="s">
        <v>78</v>
      </c>
      <c r="Z645" s="7"/>
      <c r="AA645" s="4" t="s">
        <v>46</v>
      </c>
      <c r="AB645" s="4" t="s">
        <v>47</v>
      </c>
      <c r="AC645" s="4" t="s">
        <v>136</v>
      </c>
      <c r="AD645" s="4" t="s">
        <v>137</v>
      </c>
      <c r="AE645" s="4" t="s">
        <v>48</v>
      </c>
      <c r="AF645" s="4" t="s">
        <v>41</v>
      </c>
      <c r="AG645" s="4" t="s">
        <v>1316</v>
      </c>
    </row>
    <row r="646" spans="1:33" ht="16.5" customHeight="1" x14ac:dyDescent="0.2">
      <c r="A646" s="2" t="s">
        <v>31</v>
      </c>
      <c r="B646" s="5" t="s">
        <v>54</v>
      </c>
      <c r="C646" s="5"/>
      <c r="D646" s="5"/>
      <c r="E646" s="6" t="s">
        <v>33</v>
      </c>
      <c r="F646" s="6"/>
      <c r="G646" s="7" t="s">
        <v>1311</v>
      </c>
      <c r="H646" s="7"/>
      <c r="I646" s="7"/>
      <c r="J646" s="3" t="s">
        <v>35</v>
      </c>
      <c r="K646" s="4" t="s">
        <v>149</v>
      </c>
      <c r="L646" s="4" t="s">
        <v>93</v>
      </c>
      <c r="N646" s="7" t="s">
        <v>1500</v>
      </c>
      <c r="O646" s="7"/>
      <c r="P646" s="7" t="s">
        <v>1501</v>
      </c>
      <c r="Q646" s="7"/>
      <c r="R646" s="7"/>
      <c r="S646" s="3" t="s">
        <v>40</v>
      </c>
      <c r="T646" s="7" t="s">
        <v>41</v>
      </c>
      <c r="U646" s="7"/>
      <c r="V646" s="4" t="s">
        <v>42</v>
      </c>
      <c r="W646" s="4" t="s">
        <v>604</v>
      </c>
      <c r="X646" s="4" t="s">
        <v>605</v>
      </c>
      <c r="Y646" s="7" t="s">
        <v>78</v>
      </c>
      <c r="Z646" s="7"/>
      <c r="AA646" s="4" t="s">
        <v>46</v>
      </c>
      <c r="AB646" s="4" t="s">
        <v>47</v>
      </c>
      <c r="AC646" s="4" t="s">
        <v>136</v>
      </c>
      <c r="AD646" s="4" t="s">
        <v>148</v>
      </c>
      <c r="AE646" s="4" t="s">
        <v>48</v>
      </c>
      <c r="AF646" s="4" t="s">
        <v>41</v>
      </c>
      <c r="AG646" s="4" t="s">
        <v>1316</v>
      </c>
    </row>
    <row r="647" spans="1:33" ht="16.5" customHeight="1" x14ac:dyDescent="0.2">
      <c r="A647" s="2" t="s">
        <v>31</v>
      </c>
      <c r="B647" s="5" t="s">
        <v>54</v>
      </c>
      <c r="C647" s="5"/>
      <c r="D647" s="5"/>
      <c r="E647" s="6" t="s">
        <v>33</v>
      </c>
      <c r="F647" s="6"/>
      <c r="G647" s="7" t="s">
        <v>1311</v>
      </c>
      <c r="H647" s="7"/>
      <c r="I647" s="7"/>
      <c r="J647" s="3" t="s">
        <v>35</v>
      </c>
      <c r="K647" s="4" t="s">
        <v>92</v>
      </c>
      <c r="L647" s="4" t="s">
        <v>37</v>
      </c>
      <c r="N647" s="7" t="s">
        <v>1502</v>
      </c>
      <c r="O647" s="7"/>
      <c r="P647" s="7" t="s">
        <v>1503</v>
      </c>
      <c r="Q647" s="7"/>
      <c r="R647" s="7"/>
      <c r="S647" s="3" t="s">
        <v>40</v>
      </c>
      <c r="T647" s="7" t="s">
        <v>41</v>
      </c>
      <c r="U647" s="7"/>
      <c r="V647" s="4" t="s">
        <v>51</v>
      </c>
      <c r="W647" s="4" t="s">
        <v>305</v>
      </c>
      <c r="X647" s="4" t="s">
        <v>306</v>
      </c>
      <c r="Y647" s="7" t="s">
        <v>78</v>
      </c>
      <c r="Z647" s="7"/>
      <c r="AA647" s="4" t="s">
        <v>46</v>
      </c>
      <c r="AB647" s="4" t="s">
        <v>47</v>
      </c>
      <c r="AC647" s="4" t="s">
        <v>136</v>
      </c>
      <c r="AD647" s="4" t="s">
        <v>137</v>
      </c>
      <c r="AE647" s="4" t="s">
        <v>48</v>
      </c>
      <c r="AF647" s="4" t="s">
        <v>41</v>
      </c>
      <c r="AG647" s="4" t="s">
        <v>1316</v>
      </c>
    </row>
    <row r="648" spans="1:33" ht="16.5" customHeight="1" x14ac:dyDescent="0.2">
      <c r="A648" s="2" t="s">
        <v>31</v>
      </c>
      <c r="B648" s="5" t="s">
        <v>54</v>
      </c>
      <c r="C648" s="5"/>
      <c r="D648" s="5"/>
      <c r="E648" s="6" t="s">
        <v>33</v>
      </c>
      <c r="F648" s="6"/>
      <c r="G648" s="7" t="s">
        <v>1311</v>
      </c>
      <c r="H648" s="7"/>
      <c r="I648" s="7"/>
      <c r="J648" s="3" t="s">
        <v>35</v>
      </c>
      <c r="K648" s="4" t="s">
        <v>97</v>
      </c>
      <c r="L648" s="4" t="s">
        <v>93</v>
      </c>
      <c r="N648" s="7" t="s">
        <v>1504</v>
      </c>
      <c r="O648" s="7"/>
      <c r="P648" s="7" t="s">
        <v>1505</v>
      </c>
      <c r="Q648" s="7"/>
      <c r="R648" s="7"/>
      <c r="S648" s="3" t="s">
        <v>40</v>
      </c>
      <c r="T648" s="7" t="s">
        <v>41</v>
      </c>
      <c r="U648" s="7"/>
      <c r="V648" s="4" t="s">
        <v>42</v>
      </c>
      <c r="W648" s="4" t="s">
        <v>309</v>
      </c>
      <c r="X648" s="4" t="s">
        <v>306</v>
      </c>
      <c r="Y648" s="7" t="s">
        <v>78</v>
      </c>
      <c r="Z648" s="7"/>
      <c r="AA648" s="4" t="s">
        <v>46</v>
      </c>
      <c r="AB648" s="4" t="s">
        <v>47</v>
      </c>
      <c r="AC648" s="4" t="s">
        <v>136</v>
      </c>
      <c r="AD648" s="4" t="s">
        <v>148</v>
      </c>
      <c r="AE648" s="4" t="s">
        <v>48</v>
      </c>
      <c r="AF648" s="4" t="s">
        <v>41</v>
      </c>
      <c r="AG648" s="4" t="s">
        <v>1316</v>
      </c>
    </row>
    <row r="649" spans="1:33" ht="16.5" customHeight="1" x14ac:dyDescent="0.2">
      <c r="A649" s="2" t="s">
        <v>31</v>
      </c>
      <c r="B649" s="5" t="s">
        <v>54</v>
      </c>
      <c r="C649" s="5"/>
      <c r="D649" s="5"/>
      <c r="E649" s="6" t="s">
        <v>33</v>
      </c>
      <c r="F649" s="6"/>
      <c r="G649" s="7" t="s">
        <v>1311</v>
      </c>
      <c r="H649" s="7"/>
      <c r="I649" s="7"/>
      <c r="J649" s="3" t="s">
        <v>35</v>
      </c>
      <c r="K649" s="4" t="s">
        <v>73</v>
      </c>
      <c r="L649" s="4" t="s">
        <v>37</v>
      </c>
      <c r="N649" s="7" t="s">
        <v>1506</v>
      </c>
      <c r="O649" s="7"/>
      <c r="P649" s="7" t="s">
        <v>1507</v>
      </c>
      <c r="Q649" s="7"/>
      <c r="R649" s="7"/>
      <c r="S649" s="3" t="s">
        <v>40</v>
      </c>
      <c r="T649" s="7" t="s">
        <v>41</v>
      </c>
      <c r="U649" s="7"/>
      <c r="V649" s="4" t="s">
        <v>42</v>
      </c>
      <c r="W649" s="4" t="s">
        <v>43</v>
      </c>
      <c r="X649" s="4" t="s">
        <v>44</v>
      </c>
      <c r="Y649" s="7" t="s">
        <v>78</v>
      </c>
      <c r="Z649" s="7"/>
      <c r="AA649" s="4" t="s">
        <v>46</v>
      </c>
      <c r="AB649" s="4" t="s">
        <v>47</v>
      </c>
      <c r="AC649" s="4" t="s">
        <v>136</v>
      </c>
      <c r="AD649" s="4" t="s">
        <v>137</v>
      </c>
      <c r="AE649" s="4" t="s">
        <v>48</v>
      </c>
      <c r="AF649" s="4" t="s">
        <v>41</v>
      </c>
      <c r="AG649" s="4" t="s">
        <v>1316</v>
      </c>
    </row>
    <row r="650" spans="1:33" ht="16.5" customHeight="1" x14ac:dyDescent="0.2">
      <c r="A650" s="2" t="s">
        <v>31</v>
      </c>
      <c r="B650" s="5" t="s">
        <v>54</v>
      </c>
      <c r="C650" s="5"/>
      <c r="D650" s="5"/>
      <c r="E650" s="6" t="s">
        <v>33</v>
      </c>
      <c r="F650" s="6"/>
      <c r="G650" s="7" t="s">
        <v>1311</v>
      </c>
      <c r="H650" s="7"/>
      <c r="I650" s="7"/>
      <c r="J650" s="3" t="s">
        <v>35</v>
      </c>
      <c r="K650" s="4" t="s">
        <v>73</v>
      </c>
      <c r="L650" s="4" t="s">
        <v>37</v>
      </c>
      <c r="N650" s="7" t="s">
        <v>1508</v>
      </c>
      <c r="O650" s="7"/>
      <c r="P650" s="7" t="s">
        <v>1509</v>
      </c>
      <c r="Q650" s="7"/>
      <c r="R650" s="7"/>
      <c r="S650" s="3" t="s">
        <v>40</v>
      </c>
      <c r="T650" s="7" t="s">
        <v>41</v>
      </c>
      <c r="U650" s="7"/>
      <c r="V650" s="4" t="s">
        <v>42</v>
      </c>
      <c r="W650" s="4" t="s">
        <v>43</v>
      </c>
      <c r="X650" s="4" t="s">
        <v>44</v>
      </c>
      <c r="Y650" s="7" t="s">
        <v>78</v>
      </c>
      <c r="Z650" s="7"/>
      <c r="AA650" s="4" t="s">
        <v>46</v>
      </c>
      <c r="AB650" s="4" t="s">
        <v>47</v>
      </c>
      <c r="AC650" s="4" t="s">
        <v>72</v>
      </c>
      <c r="AD650" s="4" t="s">
        <v>41</v>
      </c>
      <c r="AE650" s="4" t="s">
        <v>48</v>
      </c>
      <c r="AF650" s="4" t="s">
        <v>41</v>
      </c>
      <c r="AG650" s="4" t="s">
        <v>1316</v>
      </c>
    </row>
    <row r="651" spans="1:33" ht="16.5" customHeight="1" x14ac:dyDescent="0.2">
      <c r="A651" s="2" t="s">
        <v>31</v>
      </c>
      <c r="B651" s="5" t="s">
        <v>54</v>
      </c>
      <c r="C651" s="5"/>
      <c r="D651" s="5"/>
      <c r="E651" s="6" t="s">
        <v>33</v>
      </c>
      <c r="F651" s="6"/>
      <c r="G651" s="7" t="s">
        <v>1311</v>
      </c>
      <c r="H651" s="7"/>
      <c r="I651" s="7"/>
      <c r="J651" s="3" t="s">
        <v>35</v>
      </c>
      <c r="K651" s="4" t="s">
        <v>149</v>
      </c>
      <c r="L651" s="4" t="s">
        <v>37</v>
      </c>
      <c r="N651" s="7" t="s">
        <v>1510</v>
      </c>
      <c r="O651" s="7"/>
      <c r="P651" s="7" t="s">
        <v>1511</v>
      </c>
      <c r="Q651" s="7"/>
      <c r="R651" s="7"/>
      <c r="S651" s="3" t="s">
        <v>40</v>
      </c>
      <c r="T651" s="7" t="s">
        <v>41</v>
      </c>
      <c r="U651" s="7"/>
      <c r="V651" s="4" t="s">
        <v>42</v>
      </c>
      <c r="W651" s="4" t="s">
        <v>43</v>
      </c>
      <c r="X651" s="4" t="s">
        <v>44</v>
      </c>
      <c r="Y651" s="7" t="s">
        <v>78</v>
      </c>
      <c r="Z651" s="7"/>
      <c r="AA651" s="4" t="s">
        <v>46</v>
      </c>
      <c r="AB651" s="4" t="s">
        <v>47</v>
      </c>
      <c r="AC651" s="4" t="s">
        <v>136</v>
      </c>
      <c r="AD651" s="4" t="s">
        <v>137</v>
      </c>
      <c r="AE651" s="4" t="s">
        <v>48</v>
      </c>
      <c r="AF651" s="4" t="s">
        <v>41</v>
      </c>
      <c r="AG651" s="4" t="s">
        <v>1316</v>
      </c>
    </row>
    <row r="652" spans="1:33" ht="16.5" customHeight="1" x14ac:dyDescent="0.2">
      <c r="A652" s="2" t="s">
        <v>31</v>
      </c>
      <c r="B652" s="5" t="s">
        <v>54</v>
      </c>
      <c r="C652" s="5"/>
      <c r="D652" s="5"/>
      <c r="E652" s="6" t="s">
        <v>33</v>
      </c>
      <c r="F652" s="6"/>
      <c r="G652" s="7" t="s">
        <v>1311</v>
      </c>
      <c r="H652" s="7"/>
      <c r="I652" s="7"/>
      <c r="J652" s="3" t="s">
        <v>35</v>
      </c>
      <c r="K652" s="4" t="s">
        <v>97</v>
      </c>
      <c r="L652" s="4" t="s">
        <v>93</v>
      </c>
      <c r="N652" s="7" t="s">
        <v>1512</v>
      </c>
      <c r="O652" s="7"/>
      <c r="P652" s="7" t="s">
        <v>1513</v>
      </c>
      <c r="Q652" s="7"/>
      <c r="R652" s="7"/>
      <c r="S652" s="3" t="s">
        <v>40</v>
      </c>
      <c r="T652" s="7" t="s">
        <v>41</v>
      </c>
      <c r="U652" s="7"/>
      <c r="V652" s="4" t="s">
        <v>42</v>
      </c>
      <c r="W652" s="4" t="s">
        <v>43</v>
      </c>
      <c r="X652" s="4" t="s">
        <v>44</v>
      </c>
      <c r="Y652" s="7" t="s">
        <v>78</v>
      </c>
      <c r="Z652" s="7"/>
      <c r="AA652" s="4" t="s">
        <v>46</v>
      </c>
      <c r="AB652" s="4" t="s">
        <v>47</v>
      </c>
      <c r="AC652" s="4" t="s">
        <v>136</v>
      </c>
      <c r="AD652" s="4" t="s">
        <v>148</v>
      </c>
      <c r="AE652" s="4" t="s">
        <v>48</v>
      </c>
      <c r="AF652" s="4" t="s">
        <v>41</v>
      </c>
      <c r="AG652" s="4" t="s">
        <v>1316</v>
      </c>
    </row>
    <row r="653" spans="1:33" ht="0.75" customHeight="1" x14ac:dyDescent="0.2"/>
    <row r="654" spans="1:33" ht="12" customHeight="1" x14ac:dyDescent="0.2"/>
    <row r="655" spans="1:33" ht="16.5" customHeight="1" x14ac:dyDescent="0.2">
      <c r="A655" s="2" t="s">
        <v>31</v>
      </c>
      <c r="B655" s="5" t="s">
        <v>54</v>
      </c>
      <c r="C655" s="5"/>
      <c r="D655" s="5"/>
      <c r="E655" s="6" t="s">
        <v>33</v>
      </c>
      <c r="F655" s="6"/>
      <c r="G655" s="7" t="s">
        <v>1311</v>
      </c>
      <c r="H655" s="7"/>
      <c r="I655" s="7"/>
      <c r="J655" s="3" t="s">
        <v>35</v>
      </c>
      <c r="K655" s="4" t="s">
        <v>97</v>
      </c>
      <c r="L655" s="4" t="s">
        <v>37</v>
      </c>
      <c r="N655" s="7" t="s">
        <v>1514</v>
      </c>
      <c r="O655" s="7"/>
      <c r="P655" s="7" t="s">
        <v>1515</v>
      </c>
      <c r="Q655" s="7"/>
      <c r="R655" s="7"/>
      <c r="S655" s="3" t="s">
        <v>40</v>
      </c>
      <c r="T655" s="7" t="s">
        <v>41</v>
      </c>
      <c r="U655" s="7"/>
      <c r="V655" s="4" t="s">
        <v>42</v>
      </c>
      <c r="W655" s="4" t="s">
        <v>43</v>
      </c>
      <c r="X655" s="4" t="s">
        <v>44</v>
      </c>
      <c r="Y655" s="7" t="s">
        <v>78</v>
      </c>
      <c r="Z655" s="7"/>
      <c r="AA655" s="4" t="s">
        <v>46</v>
      </c>
      <c r="AB655" s="4" t="s">
        <v>47</v>
      </c>
      <c r="AC655" s="4" t="s">
        <v>136</v>
      </c>
      <c r="AD655" s="4" t="s">
        <v>137</v>
      </c>
      <c r="AE655" s="4" t="s">
        <v>48</v>
      </c>
      <c r="AF655" s="4" t="s">
        <v>41</v>
      </c>
      <c r="AG655" s="4" t="s">
        <v>1316</v>
      </c>
    </row>
    <row r="656" spans="1:33" ht="16.5" customHeight="1" x14ac:dyDescent="0.2">
      <c r="A656" s="2" t="s">
        <v>31</v>
      </c>
      <c r="B656" s="5" t="s">
        <v>54</v>
      </c>
      <c r="C656" s="5"/>
      <c r="D656" s="5"/>
      <c r="E656" s="6" t="s">
        <v>33</v>
      </c>
      <c r="F656" s="6"/>
      <c r="G656" s="7" t="s">
        <v>1311</v>
      </c>
      <c r="H656" s="7"/>
      <c r="I656" s="7"/>
      <c r="J656" s="3" t="s">
        <v>35</v>
      </c>
      <c r="K656" s="4" t="s">
        <v>97</v>
      </c>
      <c r="L656" s="4" t="s">
        <v>37</v>
      </c>
      <c r="N656" s="7" t="s">
        <v>1516</v>
      </c>
      <c r="O656" s="7"/>
      <c r="P656" s="7" t="s">
        <v>1517</v>
      </c>
      <c r="Q656" s="7"/>
      <c r="R656" s="7"/>
      <c r="S656" s="3" t="s">
        <v>40</v>
      </c>
      <c r="T656" s="7" t="s">
        <v>41</v>
      </c>
      <c r="U656" s="7"/>
      <c r="V656" s="4" t="s">
        <v>42</v>
      </c>
      <c r="W656" s="4" t="s">
        <v>43</v>
      </c>
      <c r="X656" s="4" t="s">
        <v>44</v>
      </c>
      <c r="Y656" s="7" t="s">
        <v>78</v>
      </c>
      <c r="Z656" s="7"/>
      <c r="AA656" s="4" t="s">
        <v>46</v>
      </c>
      <c r="AB656" s="4" t="s">
        <v>47</v>
      </c>
      <c r="AC656" s="4" t="s">
        <v>136</v>
      </c>
      <c r="AD656" s="4" t="s">
        <v>137</v>
      </c>
      <c r="AE656" s="4" t="s">
        <v>48</v>
      </c>
      <c r="AF656" s="4" t="s">
        <v>41</v>
      </c>
      <c r="AG656" s="4" t="s">
        <v>1316</v>
      </c>
    </row>
    <row r="657" spans="1:33" ht="16.5" customHeight="1" x14ac:dyDescent="0.2">
      <c r="A657" s="2" t="s">
        <v>31</v>
      </c>
      <c r="B657" s="5" t="s">
        <v>54</v>
      </c>
      <c r="C657" s="5"/>
      <c r="D657" s="5"/>
      <c r="E657" s="6" t="s">
        <v>33</v>
      </c>
      <c r="F657" s="6"/>
      <c r="G657" s="7" t="s">
        <v>1311</v>
      </c>
      <c r="H657" s="7"/>
      <c r="I657" s="7"/>
      <c r="J657" s="3" t="s">
        <v>35</v>
      </c>
      <c r="K657" s="4" t="s">
        <v>97</v>
      </c>
      <c r="L657" s="4" t="s">
        <v>37</v>
      </c>
      <c r="N657" s="7" t="s">
        <v>1516</v>
      </c>
      <c r="O657" s="7"/>
      <c r="P657" s="7" t="s">
        <v>1517</v>
      </c>
      <c r="Q657" s="7"/>
      <c r="R657" s="7"/>
      <c r="S657" s="3" t="s">
        <v>40</v>
      </c>
      <c r="T657" s="7" t="s">
        <v>41</v>
      </c>
      <c r="U657" s="7"/>
      <c r="V657" s="4" t="s">
        <v>51</v>
      </c>
      <c r="W657" s="4" t="s">
        <v>43</v>
      </c>
      <c r="X657" s="4" t="s">
        <v>52</v>
      </c>
      <c r="Y657" s="7" t="s">
        <v>78</v>
      </c>
      <c r="Z657" s="7"/>
      <c r="AA657" s="4" t="s">
        <v>46</v>
      </c>
      <c r="AB657" s="4" t="s">
        <v>47</v>
      </c>
      <c r="AC657" s="4" t="s">
        <v>136</v>
      </c>
      <c r="AD657" s="4" t="s">
        <v>137</v>
      </c>
      <c r="AE657" s="4" t="s">
        <v>48</v>
      </c>
      <c r="AF657" s="4" t="s">
        <v>41</v>
      </c>
      <c r="AG657" s="4" t="s">
        <v>1316</v>
      </c>
    </row>
    <row r="658" spans="1:33" ht="16.5" customHeight="1" x14ac:dyDescent="0.2">
      <c r="A658" s="2" t="s">
        <v>31</v>
      </c>
      <c r="B658" s="5" t="s">
        <v>54</v>
      </c>
      <c r="C658" s="5"/>
      <c r="D658" s="5"/>
      <c r="E658" s="6" t="s">
        <v>33</v>
      </c>
      <c r="F658" s="6"/>
      <c r="G658" s="7" t="s">
        <v>1311</v>
      </c>
      <c r="H658" s="7"/>
      <c r="I658" s="7"/>
      <c r="J658" s="3" t="s">
        <v>35</v>
      </c>
      <c r="K658" s="4" t="s">
        <v>73</v>
      </c>
      <c r="L658" s="4" t="s">
        <v>37</v>
      </c>
      <c r="N658" s="7" t="s">
        <v>1518</v>
      </c>
      <c r="O658" s="7"/>
      <c r="P658" s="7" t="s">
        <v>1519</v>
      </c>
      <c r="Q658" s="7"/>
      <c r="R658" s="7"/>
      <c r="S658" s="3" t="s">
        <v>40</v>
      </c>
      <c r="T658" s="7" t="s">
        <v>41</v>
      </c>
      <c r="U658" s="7"/>
      <c r="V658" s="4" t="s">
        <v>42</v>
      </c>
      <c r="W658" s="4" t="s">
        <v>43</v>
      </c>
      <c r="X658" s="4" t="s">
        <v>44</v>
      </c>
      <c r="Y658" s="7" t="s">
        <v>78</v>
      </c>
      <c r="Z658" s="7"/>
      <c r="AA658" s="4" t="s">
        <v>46</v>
      </c>
      <c r="AB658" s="4" t="s">
        <v>47</v>
      </c>
      <c r="AC658" s="4" t="s">
        <v>136</v>
      </c>
      <c r="AD658" s="4" t="s">
        <v>137</v>
      </c>
      <c r="AE658" s="4" t="s">
        <v>48</v>
      </c>
      <c r="AF658" s="4" t="s">
        <v>41</v>
      </c>
      <c r="AG658" s="4" t="s">
        <v>1316</v>
      </c>
    </row>
    <row r="659" spans="1:33" ht="16.5" customHeight="1" x14ac:dyDescent="0.2">
      <c r="A659" s="2" t="s">
        <v>31</v>
      </c>
      <c r="B659" s="5" t="s">
        <v>54</v>
      </c>
      <c r="C659" s="5"/>
      <c r="D659" s="5"/>
      <c r="E659" s="6" t="s">
        <v>33</v>
      </c>
      <c r="F659" s="6"/>
      <c r="G659" s="7" t="s">
        <v>1311</v>
      </c>
      <c r="H659" s="7"/>
      <c r="I659" s="7"/>
      <c r="J659" s="3" t="s">
        <v>35</v>
      </c>
      <c r="K659" s="4" t="s">
        <v>97</v>
      </c>
      <c r="L659" s="4" t="s">
        <v>37</v>
      </c>
      <c r="N659" s="7" t="s">
        <v>1520</v>
      </c>
      <c r="O659" s="7"/>
      <c r="P659" s="7" t="s">
        <v>1521</v>
      </c>
      <c r="Q659" s="7"/>
      <c r="R659" s="7"/>
      <c r="S659" s="3" t="s">
        <v>40</v>
      </c>
      <c r="T659" s="7" t="s">
        <v>41</v>
      </c>
      <c r="U659" s="7"/>
      <c r="V659" s="4" t="s">
        <v>42</v>
      </c>
      <c r="W659" s="4" t="s">
        <v>43</v>
      </c>
      <c r="X659" s="4" t="s">
        <v>44</v>
      </c>
      <c r="Y659" s="7" t="s">
        <v>78</v>
      </c>
      <c r="Z659" s="7"/>
      <c r="AA659" s="4" t="s">
        <v>46</v>
      </c>
      <c r="AB659" s="4" t="s">
        <v>47</v>
      </c>
      <c r="AC659" s="4" t="s">
        <v>136</v>
      </c>
      <c r="AD659" s="4" t="s">
        <v>137</v>
      </c>
      <c r="AE659" s="4" t="s">
        <v>48</v>
      </c>
      <c r="AF659" s="4" t="s">
        <v>41</v>
      </c>
      <c r="AG659" s="4" t="s">
        <v>1316</v>
      </c>
    </row>
    <row r="660" spans="1:33" ht="16.5" customHeight="1" x14ac:dyDescent="0.2">
      <c r="A660" s="2" t="s">
        <v>31</v>
      </c>
      <c r="B660" s="5" t="s">
        <v>54</v>
      </c>
      <c r="C660" s="5"/>
      <c r="D660" s="5"/>
      <c r="E660" s="6" t="s">
        <v>33</v>
      </c>
      <c r="F660" s="6"/>
      <c r="G660" s="7" t="s">
        <v>1311</v>
      </c>
      <c r="H660" s="7"/>
      <c r="I660" s="7"/>
      <c r="J660" s="3" t="s">
        <v>35</v>
      </c>
      <c r="K660" s="4" t="s">
        <v>73</v>
      </c>
      <c r="L660" s="4" t="s">
        <v>37</v>
      </c>
      <c r="N660" s="7" t="s">
        <v>1522</v>
      </c>
      <c r="O660" s="7"/>
      <c r="P660" s="7" t="s">
        <v>1523</v>
      </c>
      <c r="Q660" s="7"/>
      <c r="R660" s="7"/>
      <c r="S660" s="3" t="s">
        <v>40</v>
      </c>
      <c r="T660" s="7" t="s">
        <v>41</v>
      </c>
      <c r="U660" s="7"/>
      <c r="V660" s="4" t="s">
        <v>42</v>
      </c>
      <c r="W660" s="4" t="s">
        <v>43</v>
      </c>
      <c r="X660" s="4" t="s">
        <v>44</v>
      </c>
      <c r="Y660" s="7" t="s">
        <v>78</v>
      </c>
      <c r="Z660" s="7"/>
      <c r="AA660" s="4" t="s">
        <v>46</v>
      </c>
      <c r="AB660" s="4" t="s">
        <v>47</v>
      </c>
      <c r="AC660" s="4" t="s">
        <v>136</v>
      </c>
      <c r="AD660" s="4" t="s">
        <v>137</v>
      </c>
      <c r="AE660" s="4" t="s">
        <v>48</v>
      </c>
      <c r="AF660" s="4" t="s">
        <v>41</v>
      </c>
      <c r="AG660" s="4" t="s">
        <v>1316</v>
      </c>
    </row>
    <row r="661" spans="1:33" ht="16.5" customHeight="1" x14ac:dyDescent="0.2">
      <c r="A661" s="2" t="s">
        <v>31</v>
      </c>
      <c r="B661" s="5" t="s">
        <v>54</v>
      </c>
      <c r="C661" s="5"/>
      <c r="D661" s="5"/>
      <c r="E661" s="6" t="s">
        <v>33</v>
      </c>
      <c r="F661" s="6"/>
      <c r="G661" s="7" t="s">
        <v>1311</v>
      </c>
      <c r="H661" s="7"/>
      <c r="I661" s="7"/>
      <c r="J661" s="3" t="s">
        <v>35</v>
      </c>
      <c r="K661" s="4" t="s">
        <v>73</v>
      </c>
      <c r="L661" s="4" t="s">
        <v>37</v>
      </c>
      <c r="N661" s="7" t="s">
        <v>1524</v>
      </c>
      <c r="O661" s="7"/>
      <c r="P661" s="7" t="s">
        <v>1525</v>
      </c>
      <c r="Q661" s="7"/>
      <c r="R661" s="7"/>
      <c r="S661" s="3" t="s">
        <v>40</v>
      </c>
      <c r="T661" s="7" t="s">
        <v>41</v>
      </c>
      <c r="U661" s="7"/>
      <c r="V661" s="4" t="s">
        <v>42</v>
      </c>
      <c r="W661" s="4" t="s">
        <v>323</v>
      </c>
      <c r="X661" s="4" t="s">
        <v>52</v>
      </c>
      <c r="Y661" s="7" t="s">
        <v>78</v>
      </c>
      <c r="Z661" s="7"/>
      <c r="AA661" s="4" t="s">
        <v>46</v>
      </c>
      <c r="AB661" s="4" t="s">
        <v>47</v>
      </c>
      <c r="AC661" s="4" t="s">
        <v>136</v>
      </c>
      <c r="AD661" s="4" t="s">
        <v>137</v>
      </c>
      <c r="AE661" s="4" t="s">
        <v>48</v>
      </c>
      <c r="AF661" s="4" t="s">
        <v>41</v>
      </c>
      <c r="AG661" s="4" t="s">
        <v>1316</v>
      </c>
    </row>
    <row r="662" spans="1:33" ht="16.5" customHeight="1" x14ac:dyDescent="0.2">
      <c r="A662" s="2" t="s">
        <v>31</v>
      </c>
      <c r="B662" s="5" t="s">
        <v>54</v>
      </c>
      <c r="C662" s="5"/>
      <c r="D662" s="5"/>
      <c r="E662" s="6" t="s">
        <v>33</v>
      </c>
      <c r="F662" s="6"/>
      <c r="G662" s="7" t="s">
        <v>1311</v>
      </c>
      <c r="H662" s="7"/>
      <c r="I662" s="7"/>
      <c r="J662" s="3" t="s">
        <v>35</v>
      </c>
      <c r="K662" s="4" t="s">
        <v>97</v>
      </c>
      <c r="L662" s="4" t="s">
        <v>37</v>
      </c>
      <c r="N662" s="7" t="s">
        <v>1526</v>
      </c>
      <c r="O662" s="7"/>
      <c r="P662" s="7" t="s">
        <v>1527</v>
      </c>
      <c r="Q662" s="7"/>
      <c r="R662" s="7"/>
      <c r="S662" s="3" t="s">
        <v>40</v>
      </c>
      <c r="T662" s="7" t="s">
        <v>41</v>
      </c>
      <c r="U662" s="7"/>
      <c r="V662" s="4" t="s">
        <v>42</v>
      </c>
      <c r="W662" s="4" t="s">
        <v>329</v>
      </c>
      <c r="X662" s="4" t="s">
        <v>330</v>
      </c>
      <c r="Y662" s="7" t="s">
        <v>78</v>
      </c>
      <c r="Z662" s="7"/>
      <c r="AA662" s="4" t="s">
        <v>46</v>
      </c>
      <c r="AB662" s="4" t="s">
        <v>47</v>
      </c>
      <c r="AC662" s="4" t="s">
        <v>136</v>
      </c>
      <c r="AD662" s="4" t="s">
        <v>137</v>
      </c>
      <c r="AE662" s="4" t="s">
        <v>48</v>
      </c>
      <c r="AF662" s="4" t="s">
        <v>41</v>
      </c>
      <c r="AG662" s="4" t="s">
        <v>1316</v>
      </c>
    </row>
    <row r="663" spans="1:33" ht="16.5" customHeight="1" x14ac:dyDescent="0.2">
      <c r="A663" s="2" t="s">
        <v>31</v>
      </c>
      <c r="B663" s="5" t="s">
        <v>54</v>
      </c>
      <c r="C663" s="5"/>
      <c r="D663" s="5"/>
      <c r="E663" s="6" t="s">
        <v>33</v>
      </c>
      <c r="F663" s="6"/>
      <c r="G663" s="7" t="s">
        <v>1311</v>
      </c>
      <c r="H663" s="7"/>
      <c r="I663" s="7"/>
      <c r="J663" s="3" t="s">
        <v>35</v>
      </c>
      <c r="K663" s="4" t="s">
        <v>55</v>
      </c>
      <c r="L663" s="4" t="s">
        <v>280</v>
      </c>
      <c r="N663" s="7" t="s">
        <v>1528</v>
      </c>
      <c r="O663" s="7"/>
      <c r="P663" s="7" t="s">
        <v>1529</v>
      </c>
      <c r="Q663" s="7"/>
      <c r="R663" s="7"/>
      <c r="S663" s="3" t="s">
        <v>40</v>
      </c>
      <c r="T663" s="7" t="s">
        <v>41</v>
      </c>
      <c r="U663" s="7"/>
      <c r="V663" s="4" t="s">
        <v>42</v>
      </c>
      <c r="W663" s="4" t="s">
        <v>301</v>
      </c>
      <c r="X663" s="4" t="s">
        <v>302</v>
      </c>
      <c r="Y663" s="7" t="s">
        <v>60</v>
      </c>
      <c r="Z663" s="7"/>
      <c r="AA663" s="4" t="s">
        <v>46</v>
      </c>
      <c r="AB663" s="4" t="s">
        <v>47</v>
      </c>
      <c r="AC663" s="4" t="s">
        <v>72</v>
      </c>
      <c r="AD663" s="4" t="s">
        <v>41</v>
      </c>
      <c r="AE663" s="4" t="s">
        <v>48</v>
      </c>
      <c r="AF663" s="4" t="s">
        <v>41</v>
      </c>
      <c r="AG663" s="4" t="s">
        <v>1316</v>
      </c>
    </row>
    <row r="664" spans="1:33" ht="16.5" customHeight="1" x14ac:dyDescent="0.2">
      <c r="A664" s="2" t="s">
        <v>31</v>
      </c>
      <c r="B664" s="5" t="s">
        <v>108</v>
      </c>
      <c r="C664" s="5"/>
      <c r="D664" s="5"/>
      <c r="E664" s="6" t="s">
        <v>33</v>
      </c>
      <c r="F664" s="6"/>
      <c r="G664" s="7" t="s">
        <v>1311</v>
      </c>
      <c r="H664" s="7"/>
      <c r="I664" s="7"/>
      <c r="J664" s="3" t="s">
        <v>109</v>
      </c>
      <c r="K664" s="4" t="s">
        <v>558</v>
      </c>
      <c r="N664" s="7" t="s">
        <v>1528</v>
      </c>
      <c r="O664" s="7"/>
      <c r="P664" s="7" t="s">
        <v>1529</v>
      </c>
      <c r="Q664" s="7"/>
      <c r="R664" s="7"/>
      <c r="S664" s="3" t="s">
        <v>40</v>
      </c>
      <c r="T664" s="7" t="s">
        <v>1530</v>
      </c>
      <c r="U664" s="7"/>
      <c r="V664" s="4" t="s">
        <v>42</v>
      </c>
      <c r="W664" s="4" t="s">
        <v>58</v>
      </c>
      <c r="X664" s="4" t="s">
        <v>991</v>
      </c>
      <c r="Y664" s="7" t="s">
        <v>114</v>
      </c>
      <c r="Z664" s="7"/>
      <c r="AA664" s="4" t="s">
        <v>46</v>
      </c>
      <c r="AB664" s="4" t="s">
        <v>115</v>
      </c>
      <c r="AC664" s="4" t="s">
        <v>48</v>
      </c>
      <c r="AD664" s="4" t="s">
        <v>41</v>
      </c>
      <c r="AE664" s="4" t="s">
        <v>48</v>
      </c>
      <c r="AF664" s="4" t="s">
        <v>41</v>
      </c>
      <c r="AG664" s="4" t="s">
        <v>1316</v>
      </c>
    </row>
    <row r="665" spans="1:33" ht="16.5" customHeight="1" x14ac:dyDescent="0.2">
      <c r="A665" s="2" t="s">
        <v>31</v>
      </c>
      <c r="B665" s="5" t="s">
        <v>54</v>
      </c>
      <c r="C665" s="5"/>
      <c r="D665" s="5"/>
      <c r="E665" s="6" t="s">
        <v>33</v>
      </c>
      <c r="F665" s="6"/>
      <c r="G665" s="7" t="s">
        <v>1311</v>
      </c>
      <c r="H665" s="7"/>
      <c r="I665" s="7"/>
      <c r="J665" s="3" t="s">
        <v>35</v>
      </c>
      <c r="K665" s="4" t="s">
        <v>55</v>
      </c>
      <c r="L665" s="4" t="s">
        <v>37</v>
      </c>
      <c r="N665" s="7" t="s">
        <v>1531</v>
      </c>
      <c r="O665" s="7"/>
      <c r="P665" s="7" t="s">
        <v>1532</v>
      </c>
      <c r="Q665" s="7"/>
      <c r="R665" s="7"/>
      <c r="S665" s="3" t="s">
        <v>40</v>
      </c>
      <c r="T665" s="7" t="s">
        <v>41</v>
      </c>
      <c r="U665" s="7"/>
      <c r="V665" s="4" t="s">
        <v>42</v>
      </c>
      <c r="W665" s="4" t="s">
        <v>270</v>
      </c>
      <c r="X665" s="4" t="s">
        <v>271</v>
      </c>
      <c r="Y665" s="7" t="s">
        <v>60</v>
      </c>
      <c r="Z665" s="7"/>
      <c r="AA665" s="4" t="s">
        <v>46</v>
      </c>
      <c r="AB665" s="4" t="s">
        <v>47</v>
      </c>
      <c r="AC665" s="4" t="s">
        <v>79</v>
      </c>
      <c r="AD665" s="4" t="s">
        <v>80</v>
      </c>
      <c r="AE665" s="4" t="s">
        <v>48</v>
      </c>
      <c r="AF665" s="4" t="s">
        <v>41</v>
      </c>
      <c r="AG665" s="4" t="s">
        <v>1316</v>
      </c>
    </row>
    <row r="666" spans="1:33" ht="16.5" customHeight="1" x14ac:dyDescent="0.2">
      <c r="A666" s="2" t="s">
        <v>31</v>
      </c>
      <c r="B666" s="5" t="s">
        <v>54</v>
      </c>
      <c r="C666" s="5"/>
      <c r="D666" s="5"/>
      <c r="E666" s="6" t="s">
        <v>33</v>
      </c>
      <c r="F666" s="6"/>
      <c r="G666" s="7" t="s">
        <v>1311</v>
      </c>
      <c r="H666" s="7"/>
      <c r="I666" s="7"/>
      <c r="J666" s="3" t="s">
        <v>35</v>
      </c>
      <c r="K666" s="4" t="s">
        <v>97</v>
      </c>
      <c r="L666" s="4" t="s">
        <v>37</v>
      </c>
      <c r="N666" s="7" t="s">
        <v>1533</v>
      </c>
      <c r="O666" s="7"/>
      <c r="P666" s="7" t="s">
        <v>1534</v>
      </c>
      <c r="Q666" s="7"/>
      <c r="R666" s="7"/>
      <c r="S666" s="3" t="s">
        <v>40</v>
      </c>
      <c r="T666" s="7" t="s">
        <v>41</v>
      </c>
      <c r="U666" s="7"/>
      <c r="V666" s="4" t="s">
        <v>51</v>
      </c>
      <c r="W666" s="4" t="s">
        <v>270</v>
      </c>
      <c r="X666" s="4" t="s">
        <v>574</v>
      </c>
      <c r="Y666" s="7" t="s">
        <v>78</v>
      </c>
      <c r="Z666" s="7"/>
      <c r="AA666" s="4" t="s">
        <v>46</v>
      </c>
      <c r="AB666" s="4" t="s">
        <v>47</v>
      </c>
      <c r="AC666" s="4" t="s">
        <v>136</v>
      </c>
      <c r="AD666" s="4" t="s">
        <v>137</v>
      </c>
      <c r="AE666" s="4" t="s">
        <v>48</v>
      </c>
      <c r="AF666" s="4" t="s">
        <v>41</v>
      </c>
      <c r="AG666" s="4" t="s">
        <v>1316</v>
      </c>
    </row>
    <row r="667" spans="1:33" ht="16.5" customHeight="1" x14ac:dyDescent="0.2">
      <c r="A667" s="2" t="s">
        <v>31</v>
      </c>
      <c r="B667" s="5" t="s">
        <v>54</v>
      </c>
      <c r="C667" s="5"/>
      <c r="D667" s="5"/>
      <c r="E667" s="6" t="s">
        <v>33</v>
      </c>
      <c r="F667" s="6"/>
      <c r="G667" s="7" t="s">
        <v>1311</v>
      </c>
      <c r="H667" s="7"/>
      <c r="I667" s="7"/>
      <c r="J667" s="3" t="s">
        <v>35</v>
      </c>
      <c r="K667" s="4" t="s">
        <v>149</v>
      </c>
      <c r="L667" s="4" t="s">
        <v>280</v>
      </c>
      <c r="N667" s="7" t="s">
        <v>1535</v>
      </c>
      <c r="O667" s="7"/>
      <c r="P667" s="7" t="s">
        <v>1536</v>
      </c>
      <c r="Q667" s="7"/>
      <c r="R667" s="7"/>
      <c r="S667" s="3" t="s">
        <v>40</v>
      </c>
      <c r="T667" s="7" t="s">
        <v>41</v>
      </c>
      <c r="U667" s="7"/>
      <c r="V667" s="4" t="s">
        <v>42</v>
      </c>
      <c r="W667" s="4" t="s">
        <v>270</v>
      </c>
      <c r="X667" s="4" t="s">
        <v>271</v>
      </c>
      <c r="Y667" s="7" t="s">
        <v>78</v>
      </c>
      <c r="Z667" s="7"/>
      <c r="AA667" s="4" t="s">
        <v>46</v>
      </c>
      <c r="AB667" s="4" t="s">
        <v>47</v>
      </c>
      <c r="AC667" s="4" t="s">
        <v>136</v>
      </c>
      <c r="AD667" s="4" t="s">
        <v>324</v>
      </c>
      <c r="AE667" s="4" t="s">
        <v>48</v>
      </c>
      <c r="AF667" s="4" t="s">
        <v>41</v>
      </c>
      <c r="AG667" s="4" t="s">
        <v>1316</v>
      </c>
    </row>
    <row r="668" spans="1:33" ht="16.5" customHeight="1" x14ac:dyDescent="0.2">
      <c r="A668" s="2" t="s">
        <v>31</v>
      </c>
      <c r="B668" s="5" t="s">
        <v>54</v>
      </c>
      <c r="C668" s="5"/>
      <c r="D668" s="5"/>
      <c r="E668" s="6" t="s">
        <v>33</v>
      </c>
      <c r="F668" s="6"/>
      <c r="G668" s="7" t="s">
        <v>1311</v>
      </c>
      <c r="H668" s="7"/>
      <c r="I668" s="7"/>
      <c r="J668" s="3" t="s">
        <v>35</v>
      </c>
      <c r="K668" s="4" t="s">
        <v>267</v>
      </c>
      <c r="L668" s="4" t="s">
        <v>93</v>
      </c>
      <c r="N668" s="7" t="s">
        <v>1537</v>
      </c>
      <c r="O668" s="7"/>
      <c r="P668" s="7" t="s">
        <v>1538</v>
      </c>
      <c r="Q668" s="7"/>
      <c r="R668" s="7"/>
      <c r="S668" s="3" t="s">
        <v>40</v>
      </c>
      <c r="T668" s="7" t="s">
        <v>41</v>
      </c>
      <c r="U668" s="7"/>
      <c r="V668" s="4" t="s">
        <v>42</v>
      </c>
      <c r="W668" s="4" t="s">
        <v>850</v>
      </c>
      <c r="X668" s="4" t="s">
        <v>574</v>
      </c>
      <c r="Y668" s="7" t="s">
        <v>78</v>
      </c>
      <c r="Z668" s="7"/>
      <c r="AA668" s="4" t="s">
        <v>46</v>
      </c>
      <c r="AB668" s="4" t="s">
        <v>47</v>
      </c>
      <c r="AC668" s="4" t="s">
        <v>136</v>
      </c>
      <c r="AD668" s="4" t="s">
        <v>148</v>
      </c>
      <c r="AE668" s="4" t="s">
        <v>48</v>
      </c>
      <c r="AF668" s="4" t="s">
        <v>41</v>
      </c>
      <c r="AG668" s="4" t="s">
        <v>1316</v>
      </c>
    </row>
    <row r="669" spans="1:33" ht="16.5" customHeight="1" x14ac:dyDescent="0.2">
      <c r="A669" s="2" t="s">
        <v>31</v>
      </c>
      <c r="B669" s="5" t="s">
        <v>54</v>
      </c>
      <c r="C669" s="5"/>
      <c r="D669" s="5"/>
      <c r="E669" s="6" t="s">
        <v>33</v>
      </c>
      <c r="F669" s="6"/>
      <c r="G669" s="7" t="s">
        <v>1311</v>
      </c>
      <c r="H669" s="7"/>
      <c r="I669" s="7"/>
      <c r="J669" s="3" t="s">
        <v>35</v>
      </c>
      <c r="K669" s="4" t="s">
        <v>149</v>
      </c>
      <c r="L669" s="4" t="s">
        <v>37</v>
      </c>
      <c r="N669" s="7" t="s">
        <v>1539</v>
      </c>
      <c r="O669" s="7"/>
      <c r="P669" s="7" t="s">
        <v>1540</v>
      </c>
      <c r="Q669" s="7"/>
      <c r="R669" s="7"/>
      <c r="S669" s="3" t="s">
        <v>40</v>
      </c>
      <c r="T669" s="7" t="s">
        <v>41</v>
      </c>
      <c r="U669" s="7"/>
      <c r="V669" s="4" t="s">
        <v>42</v>
      </c>
      <c r="W669" s="4" t="s">
        <v>333</v>
      </c>
      <c r="X669" s="4" t="s">
        <v>334</v>
      </c>
      <c r="Y669" s="7" t="s">
        <v>78</v>
      </c>
      <c r="Z669" s="7"/>
      <c r="AA669" s="4" t="s">
        <v>46</v>
      </c>
      <c r="AB669" s="4" t="s">
        <v>47</v>
      </c>
      <c r="AC669" s="4" t="s">
        <v>136</v>
      </c>
      <c r="AD669" s="4" t="s">
        <v>137</v>
      </c>
      <c r="AE669" s="4" t="s">
        <v>48</v>
      </c>
      <c r="AF669" s="4" t="s">
        <v>41</v>
      </c>
      <c r="AG669" s="4" t="s">
        <v>1316</v>
      </c>
    </row>
    <row r="670" spans="1:33" ht="16.5" customHeight="1" x14ac:dyDescent="0.2">
      <c r="A670" s="2" t="s">
        <v>31</v>
      </c>
      <c r="B670" s="5" t="s">
        <v>54</v>
      </c>
      <c r="C670" s="5"/>
      <c r="D670" s="5"/>
      <c r="E670" s="6" t="s">
        <v>33</v>
      </c>
      <c r="F670" s="6"/>
      <c r="G670" s="7" t="s">
        <v>1311</v>
      </c>
      <c r="H670" s="7"/>
      <c r="I670" s="7"/>
      <c r="J670" s="3" t="s">
        <v>35</v>
      </c>
      <c r="K670" s="4" t="s">
        <v>73</v>
      </c>
      <c r="L670" s="4" t="s">
        <v>37</v>
      </c>
      <c r="N670" s="7" t="s">
        <v>1541</v>
      </c>
      <c r="O670" s="7"/>
      <c r="P670" s="7" t="s">
        <v>1542</v>
      </c>
      <c r="Q670" s="7"/>
      <c r="R670" s="7"/>
      <c r="S670" s="3" t="s">
        <v>40</v>
      </c>
      <c r="T670" s="7" t="s">
        <v>41</v>
      </c>
      <c r="U670" s="7"/>
      <c r="V670" s="4" t="s">
        <v>42</v>
      </c>
      <c r="W670" s="4" t="s">
        <v>859</v>
      </c>
      <c r="X670" s="4" t="s">
        <v>341</v>
      </c>
      <c r="Y670" s="7" t="s">
        <v>78</v>
      </c>
      <c r="Z670" s="7"/>
      <c r="AA670" s="4" t="s">
        <v>46</v>
      </c>
      <c r="AB670" s="4" t="s">
        <v>47</v>
      </c>
      <c r="AC670" s="4" t="s">
        <v>136</v>
      </c>
      <c r="AD670" s="4" t="s">
        <v>137</v>
      </c>
      <c r="AE670" s="4" t="s">
        <v>48</v>
      </c>
      <c r="AF670" s="4" t="s">
        <v>41</v>
      </c>
      <c r="AG670" s="4" t="s">
        <v>1316</v>
      </c>
    </row>
    <row r="671" spans="1:33" ht="16.5" customHeight="1" x14ac:dyDescent="0.2">
      <c r="A671" s="2" t="s">
        <v>31</v>
      </c>
      <c r="B671" s="5" t="s">
        <v>54</v>
      </c>
      <c r="C671" s="5"/>
      <c r="D671" s="5"/>
      <c r="E671" s="6" t="s">
        <v>33</v>
      </c>
      <c r="F671" s="6"/>
      <c r="G671" s="7" t="s">
        <v>1311</v>
      </c>
      <c r="H671" s="7"/>
      <c r="I671" s="7"/>
      <c r="J671" s="3" t="s">
        <v>35</v>
      </c>
      <c r="K671" s="4" t="s">
        <v>73</v>
      </c>
      <c r="L671" s="4" t="s">
        <v>37</v>
      </c>
      <c r="N671" s="7" t="s">
        <v>1543</v>
      </c>
      <c r="O671" s="7"/>
      <c r="P671" s="7" t="s">
        <v>1544</v>
      </c>
      <c r="Q671" s="7"/>
      <c r="R671" s="7"/>
      <c r="S671" s="3" t="s">
        <v>40</v>
      </c>
      <c r="T671" s="7" t="s">
        <v>41</v>
      </c>
      <c r="U671" s="7"/>
      <c r="V671" s="4" t="s">
        <v>42</v>
      </c>
      <c r="W671" s="4" t="s">
        <v>859</v>
      </c>
      <c r="X671" s="4" t="s">
        <v>341</v>
      </c>
      <c r="Y671" s="7" t="s">
        <v>78</v>
      </c>
      <c r="Z671" s="7"/>
      <c r="AA671" s="4" t="s">
        <v>46</v>
      </c>
      <c r="AB671" s="4" t="s">
        <v>47</v>
      </c>
      <c r="AC671" s="4" t="s">
        <v>136</v>
      </c>
      <c r="AD671" s="4" t="s">
        <v>137</v>
      </c>
      <c r="AE671" s="4" t="s">
        <v>48</v>
      </c>
      <c r="AF671" s="4" t="s">
        <v>41</v>
      </c>
      <c r="AG671" s="4" t="s">
        <v>1316</v>
      </c>
    </row>
    <row r="672" spans="1:33" ht="16.5" customHeight="1" x14ac:dyDescent="0.2">
      <c r="A672" s="2" t="s">
        <v>31</v>
      </c>
      <c r="B672" s="5" t="s">
        <v>54</v>
      </c>
      <c r="C672" s="5"/>
      <c r="D672" s="5"/>
      <c r="E672" s="6" t="s">
        <v>33</v>
      </c>
      <c r="F672" s="6"/>
      <c r="G672" s="7" t="s">
        <v>1311</v>
      </c>
      <c r="H672" s="7"/>
      <c r="I672" s="7"/>
      <c r="J672" s="3" t="s">
        <v>35</v>
      </c>
      <c r="K672" s="4" t="s">
        <v>97</v>
      </c>
      <c r="L672" s="4" t="s">
        <v>280</v>
      </c>
      <c r="N672" s="7" t="s">
        <v>1545</v>
      </c>
      <c r="O672" s="7"/>
      <c r="P672" s="7" t="s">
        <v>1546</v>
      </c>
      <c r="Q672" s="7"/>
      <c r="R672" s="7"/>
      <c r="S672" s="3" t="s">
        <v>40</v>
      </c>
      <c r="T672" s="7" t="s">
        <v>41</v>
      </c>
      <c r="U672" s="7"/>
      <c r="V672" s="4" t="s">
        <v>42</v>
      </c>
      <c r="W672" s="4" t="s">
        <v>859</v>
      </c>
      <c r="X672" s="4" t="s">
        <v>341</v>
      </c>
      <c r="Y672" s="7" t="s">
        <v>78</v>
      </c>
      <c r="Z672" s="7"/>
      <c r="AA672" s="4" t="s">
        <v>46</v>
      </c>
      <c r="AB672" s="4" t="s">
        <v>47</v>
      </c>
      <c r="AC672" s="4" t="s">
        <v>136</v>
      </c>
      <c r="AD672" s="4" t="s">
        <v>324</v>
      </c>
      <c r="AE672" s="4" t="s">
        <v>48</v>
      </c>
      <c r="AF672" s="4" t="s">
        <v>41</v>
      </c>
      <c r="AG672" s="4" t="s">
        <v>1316</v>
      </c>
    </row>
    <row r="673" spans="1:33" ht="16.5" customHeight="1" x14ac:dyDescent="0.2">
      <c r="A673" s="2" t="s">
        <v>31</v>
      </c>
      <c r="B673" s="5" t="s">
        <v>54</v>
      </c>
      <c r="C673" s="5"/>
      <c r="D673" s="5"/>
      <c r="E673" s="6" t="s">
        <v>33</v>
      </c>
      <c r="F673" s="6"/>
      <c r="G673" s="7" t="s">
        <v>1311</v>
      </c>
      <c r="H673" s="7"/>
      <c r="I673" s="7"/>
      <c r="J673" s="3" t="s">
        <v>35</v>
      </c>
      <c r="K673" s="4" t="s">
        <v>73</v>
      </c>
      <c r="L673" s="4" t="s">
        <v>280</v>
      </c>
      <c r="N673" s="7" t="s">
        <v>1547</v>
      </c>
      <c r="O673" s="7"/>
      <c r="P673" s="7" t="s">
        <v>1548</v>
      </c>
      <c r="Q673" s="7"/>
      <c r="R673" s="7"/>
      <c r="S673" s="3" t="s">
        <v>40</v>
      </c>
      <c r="T673" s="7" t="s">
        <v>41</v>
      </c>
      <c r="U673" s="7"/>
      <c r="V673" s="4" t="s">
        <v>42</v>
      </c>
      <c r="W673" s="4" t="s">
        <v>859</v>
      </c>
      <c r="X673" s="4" t="s">
        <v>341</v>
      </c>
      <c r="Y673" s="7" t="s">
        <v>78</v>
      </c>
      <c r="Z673" s="7"/>
      <c r="AA673" s="4" t="s">
        <v>46</v>
      </c>
      <c r="AB673" s="4" t="s">
        <v>47</v>
      </c>
      <c r="AC673" s="4" t="s">
        <v>72</v>
      </c>
      <c r="AD673" s="4" t="s">
        <v>41</v>
      </c>
      <c r="AE673" s="4" t="s">
        <v>48</v>
      </c>
      <c r="AF673" s="4" t="s">
        <v>41</v>
      </c>
      <c r="AG673" s="4" t="s">
        <v>1316</v>
      </c>
    </row>
    <row r="674" spans="1:33" ht="16.5" customHeight="1" x14ac:dyDescent="0.2">
      <c r="A674" s="2" t="s">
        <v>31</v>
      </c>
      <c r="B674" s="5" t="s">
        <v>54</v>
      </c>
      <c r="C674" s="5"/>
      <c r="D674" s="5"/>
      <c r="E674" s="6" t="s">
        <v>33</v>
      </c>
      <c r="F674" s="6"/>
      <c r="G674" s="7" t="s">
        <v>1311</v>
      </c>
      <c r="H674" s="7"/>
      <c r="I674" s="7"/>
      <c r="J674" s="3" t="s">
        <v>35</v>
      </c>
      <c r="K674" s="4" t="s">
        <v>73</v>
      </c>
      <c r="L674" s="4" t="s">
        <v>37</v>
      </c>
      <c r="N674" s="7" t="s">
        <v>1549</v>
      </c>
      <c r="O674" s="7"/>
      <c r="P674" s="7" t="s">
        <v>1550</v>
      </c>
      <c r="Q674" s="7"/>
      <c r="R674" s="7"/>
      <c r="S674" s="3" t="s">
        <v>40</v>
      </c>
      <c r="T674" s="7" t="s">
        <v>41</v>
      </c>
      <c r="U674" s="7"/>
      <c r="V674" s="4" t="s">
        <v>42</v>
      </c>
      <c r="W674" s="4" t="s">
        <v>859</v>
      </c>
      <c r="X674" s="4" t="s">
        <v>341</v>
      </c>
      <c r="Y674" s="7" t="s">
        <v>78</v>
      </c>
      <c r="Z674" s="7"/>
      <c r="AA674" s="4" t="s">
        <v>46</v>
      </c>
      <c r="AB674" s="4" t="s">
        <v>47</v>
      </c>
      <c r="AC674" s="4" t="s">
        <v>136</v>
      </c>
      <c r="AD674" s="4" t="s">
        <v>137</v>
      </c>
      <c r="AE674" s="4" t="s">
        <v>48</v>
      </c>
      <c r="AF674" s="4" t="s">
        <v>41</v>
      </c>
      <c r="AG674" s="4" t="s">
        <v>1316</v>
      </c>
    </row>
    <row r="675" spans="1:33" ht="16.5" customHeight="1" x14ac:dyDescent="0.2">
      <c r="A675" s="2" t="s">
        <v>31</v>
      </c>
      <c r="B675" s="5" t="s">
        <v>54</v>
      </c>
      <c r="C675" s="5"/>
      <c r="D675" s="5"/>
      <c r="E675" s="6" t="s">
        <v>33</v>
      </c>
      <c r="F675" s="6"/>
      <c r="G675" s="7" t="s">
        <v>1311</v>
      </c>
      <c r="H675" s="7"/>
      <c r="I675" s="7"/>
      <c r="J675" s="3" t="s">
        <v>35</v>
      </c>
      <c r="K675" s="4" t="s">
        <v>73</v>
      </c>
      <c r="L675" s="4" t="s">
        <v>37</v>
      </c>
      <c r="N675" s="7" t="s">
        <v>1551</v>
      </c>
      <c r="O675" s="7"/>
      <c r="P675" s="7" t="s">
        <v>1552</v>
      </c>
      <c r="Q675" s="7"/>
      <c r="R675" s="7"/>
      <c r="S675" s="3" t="s">
        <v>40</v>
      </c>
      <c r="T675" s="7" t="s">
        <v>41</v>
      </c>
      <c r="U675" s="7"/>
      <c r="V675" s="4" t="s">
        <v>42</v>
      </c>
      <c r="W675" s="4" t="s">
        <v>570</v>
      </c>
      <c r="X675" s="4" t="s">
        <v>571</v>
      </c>
      <c r="Y675" s="7" t="s">
        <v>78</v>
      </c>
      <c r="Z675" s="7"/>
      <c r="AA675" s="4" t="s">
        <v>46</v>
      </c>
      <c r="AB675" s="4" t="s">
        <v>47</v>
      </c>
      <c r="AC675" s="4" t="s">
        <v>136</v>
      </c>
      <c r="AD675" s="4" t="s">
        <v>137</v>
      </c>
      <c r="AE675" s="4" t="s">
        <v>48</v>
      </c>
      <c r="AF675" s="4" t="s">
        <v>41</v>
      </c>
      <c r="AG675" s="4" t="s">
        <v>1316</v>
      </c>
    </row>
    <row r="676" spans="1:33" ht="16.5" customHeight="1" x14ac:dyDescent="0.2">
      <c r="A676" s="2" t="s">
        <v>31</v>
      </c>
      <c r="B676" s="5" t="s">
        <v>54</v>
      </c>
      <c r="C676" s="5"/>
      <c r="D676" s="5"/>
      <c r="E676" s="6" t="s">
        <v>33</v>
      </c>
      <c r="F676" s="6"/>
      <c r="G676" s="7" t="s">
        <v>1311</v>
      </c>
      <c r="H676" s="7"/>
      <c r="I676" s="7"/>
      <c r="J676" s="3" t="s">
        <v>35</v>
      </c>
      <c r="K676" s="4" t="s">
        <v>73</v>
      </c>
      <c r="L676" s="4" t="s">
        <v>37</v>
      </c>
      <c r="N676" s="7" t="s">
        <v>1551</v>
      </c>
      <c r="O676" s="7"/>
      <c r="P676" s="7" t="s">
        <v>1552</v>
      </c>
      <c r="Q676" s="7"/>
      <c r="R676" s="7"/>
      <c r="S676" s="3" t="s">
        <v>40</v>
      </c>
      <c r="T676" s="7" t="s">
        <v>41</v>
      </c>
      <c r="U676" s="7"/>
      <c r="V676" s="4" t="s">
        <v>51</v>
      </c>
      <c r="W676" s="4" t="s">
        <v>570</v>
      </c>
      <c r="X676" s="4" t="s">
        <v>761</v>
      </c>
      <c r="Y676" s="7" t="s">
        <v>78</v>
      </c>
      <c r="Z676" s="7"/>
      <c r="AA676" s="4" t="s">
        <v>46</v>
      </c>
      <c r="AB676" s="4" t="s">
        <v>47</v>
      </c>
      <c r="AC676" s="4" t="s">
        <v>136</v>
      </c>
      <c r="AD676" s="4" t="s">
        <v>137</v>
      </c>
      <c r="AE676" s="4" t="s">
        <v>48</v>
      </c>
      <c r="AF676" s="4" t="s">
        <v>41</v>
      </c>
      <c r="AG676" s="4" t="s">
        <v>1316</v>
      </c>
    </row>
    <row r="677" spans="1:33" ht="16.5" customHeight="1" x14ac:dyDescent="0.2">
      <c r="A677" s="2" t="s">
        <v>31</v>
      </c>
      <c r="B677" s="5" t="s">
        <v>54</v>
      </c>
      <c r="C677" s="5"/>
      <c r="D677" s="5"/>
      <c r="E677" s="6" t="s">
        <v>33</v>
      </c>
      <c r="F677" s="6"/>
      <c r="G677" s="7" t="s">
        <v>1311</v>
      </c>
      <c r="H677" s="7"/>
      <c r="I677" s="7"/>
      <c r="J677" s="3" t="s">
        <v>35</v>
      </c>
      <c r="K677" s="4" t="s">
        <v>97</v>
      </c>
      <c r="L677" s="4" t="s">
        <v>93</v>
      </c>
      <c r="N677" s="7" t="s">
        <v>1553</v>
      </c>
      <c r="O677" s="7"/>
      <c r="P677" s="7" t="s">
        <v>1554</v>
      </c>
      <c r="Q677" s="7"/>
      <c r="R677" s="7"/>
      <c r="S677" s="3" t="s">
        <v>40</v>
      </c>
      <c r="T677" s="7" t="s">
        <v>41</v>
      </c>
      <c r="U677" s="7"/>
      <c r="V677" s="4" t="s">
        <v>42</v>
      </c>
      <c r="W677" s="4" t="s">
        <v>234</v>
      </c>
      <c r="X677" s="4" t="s">
        <v>235</v>
      </c>
      <c r="Y677" s="7" t="s">
        <v>78</v>
      </c>
      <c r="Z677" s="7"/>
      <c r="AA677" s="4" t="s">
        <v>46</v>
      </c>
      <c r="AB677" s="4" t="s">
        <v>47</v>
      </c>
      <c r="AC677" s="4" t="s">
        <v>72</v>
      </c>
      <c r="AD677" s="4" t="s">
        <v>41</v>
      </c>
      <c r="AE677" s="4" t="s">
        <v>48</v>
      </c>
      <c r="AF677" s="4" t="s">
        <v>41</v>
      </c>
      <c r="AG677" s="4" t="s">
        <v>1316</v>
      </c>
    </row>
    <row r="678" spans="1:33" ht="16.5" customHeight="1" x14ac:dyDescent="0.2">
      <c r="A678" s="2" t="s">
        <v>31</v>
      </c>
      <c r="B678" s="5" t="s">
        <v>54</v>
      </c>
      <c r="C678" s="5"/>
      <c r="D678" s="5"/>
      <c r="E678" s="6" t="s">
        <v>33</v>
      </c>
      <c r="F678" s="6"/>
      <c r="G678" s="7" t="s">
        <v>1311</v>
      </c>
      <c r="H678" s="7"/>
      <c r="I678" s="7"/>
      <c r="J678" s="3" t="s">
        <v>35</v>
      </c>
      <c r="K678" s="4" t="s">
        <v>73</v>
      </c>
      <c r="L678" s="4" t="s">
        <v>37</v>
      </c>
      <c r="N678" s="7" t="s">
        <v>1555</v>
      </c>
      <c r="O678" s="7"/>
      <c r="P678" s="7" t="s">
        <v>1556</v>
      </c>
      <c r="Q678" s="7"/>
      <c r="R678" s="7"/>
      <c r="S678" s="3" t="s">
        <v>40</v>
      </c>
      <c r="T678" s="7" t="s">
        <v>41</v>
      </c>
      <c r="U678" s="7"/>
      <c r="V678" s="4" t="s">
        <v>42</v>
      </c>
      <c r="W678" s="4" t="s">
        <v>234</v>
      </c>
      <c r="X678" s="4" t="s">
        <v>235</v>
      </c>
      <c r="Y678" s="7" t="s">
        <v>78</v>
      </c>
      <c r="Z678" s="7"/>
      <c r="AA678" s="4" t="s">
        <v>46</v>
      </c>
      <c r="AB678" s="4" t="s">
        <v>47</v>
      </c>
      <c r="AC678" s="4" t="s">
        <v>136</v>
      </c>
      <c r="AD678" s="4" t="s">
        <v>137</v>
      </c>
      <c r="AE678" s="4" t="s">
        <v>48</v>
      </c>
      <c r="AF678" s="4" t="s">
        <v>41</v>
      </c>
      <c r="AG678" s="4" t="s">
        <v>1316</v>
      </c>
    </row>
    <row r="679" spans="1:33" ht="16.5" customHeight="1" x14ac:dyDescent="0.2">
      <c r="A679" s="2" t="s">
        <v>31</v>
      </c>
      <c r="B679" s="5" t="s">
        <v>54</v>
      </c>
      <c r="C679" s="5"/>
      <c r="D679" s="5"/>
      <c r="E679" s="6" t="s">
        <v>33</v>
      </c>
      <c r="F679" s="6"/>
      <c r="G679" s="7" t="s">
        <v>1311</v>
      </c>
      <c r="H679" s="7"/>
      <c r="I679" s="7"/>
      <c r="J679" s="3" t="s">
        <v>35</v>
      </c>
      <c r="K679" s="4" t="s">
        <v>73</v>
      </c>
      <c r="L679" s="4" t="s">
        <v>1557</v>
      </c>
      <c r="N679" s="7" t="s">
        <v>1558</v>
      </c>
      <c r="O679" s="7"/>
      <c r="P679" s="7" t="s">
        <v>1559</v>
      </c>
      <c r="Q679" s="7"/>
      <c r="R679" s="7"/>
      <c r="S679" s="3" t="s">
        <v>40</v>
      </c>
      <c r="T679" s="7" t="s">
        <v>41</v>
      </c>
      <c r="U679" s="7"/>
      <c r="V679" s="4" t="s">
        <v>51</v>
      </c>
      <c r="W679" s="4" t="s">
        <v>107</v>
      </c>
      <c r="X679" s="4" t="s">
        <v>386</v>
      </c>
      <c r="Y679" s="7" t="s">
        <v>78</v>
      </c>
      <c r="Z679" s="7"/>
      <c r="AA679" s="4" t="s">
        <v>46</v>
      </c>
      <c r="AB679" s="4" t="s">
        <v>47</v>
      </c>
      <c r="AC679" s="4" t="s">
        <v>79</v>
      </c>
      <c r="AD679" s="4" t="s">
        <v>1560</v>
      </c>
      <c r="AE679" s="4" t="s">
        <v>48</v>
      </c>
      <c r="AF679" s="4" t="s">
        <v>41</v>
      </c>
      <c r="AG679" s="4" t="s">
        <v>1316</v>
      </c>
    </row>
    <row r="680" spans="1:33" ht="16.5" customHeight="1" x14ac:dyDescent="0.2">
      <c r="A680" s="2" t="s">
        <v>31</v>
      </c>
      <c r="B680" s="5" t="s">
        <v>54</v>
      </c>
      <c r="C680" s="5"/>
      <c r="D680" s="5"/>
      <c r="E680" s="6" t="s">
        <v>33</v>
      </c>
      <c r="F680" s="6"/>
      <c r="G680" s="7" t="s">
        <v>1311</v>
      </c>
      <c r="H680" s="7"/>
      <c r="I680" s="7"/>
      <c r="J680" s="3" t="s">
        <v>35</v>
      </c>
      <c r="K680" s="4" t="s">
        <v>73</v>
      </c>
      <c r="L680" s="4" t="s">
        <v>37</v>
      </c>
      <c r="N680" s="7" t="s">
        <v>1561</v>
      </c>
      <c r="O680" s="7"/>
      <c r="P680" s="7" t="s">
        <v>1562</v>
      </c>
      <c r="Q680" s="7"/>
      <c r="R680" s="7"/>
      <c r="S680" s="3" t="s">
        <v>40</v>
      </c>
      <c r="T680" s="7" t="s">
        <v>41</v>
      </c>
      <c r="U680" s="7"/>
      <c r="V680" s="4" t="s">
        <v>42</v>
      </c>
      <c r="W680" s="4" t="s">
        <v>234</v>
      </c>
      <c r="X680" s="4" t="s">
        <v>235</v>
      </c>
      <c r="Y680" s="7" t="s">
        <v>78</v>
      </c>
      <c r="Z680" s="7"/>
      <c r="AA680" s="4" t="s">
        <v>46</v>
      </c>
      <c r="AB680" s="4" t="s">
        <v>47</v>
      </c>
      <c r="AC680" s="4" t="s">
        <v>136</v>
      </c>
      <c r="AD680" s="4" t="s">
        <v>137</v>
      </c>
      <c r="AE680" s="4" t="s">
        <v>48</v>
      </c>
      <c r="AF680" s="4" t="s">
        <v>41</v>
      </c>
      <c r="AG680" s="4" t="s">
        <v>1316</v>
      </c>
    </row>
    <row r="681" spans="1:33" ht="16.5" customHeight="1" x14ac:dyDescent="0.2">
      <c r="A681" s="2" t="s">
        <v>31</v>
      </c>
      <c r="B681" s="5" t="s">
        <v>54</v>
      </c>
      <c r="C681" s="5"/>
      <c r="D681" s="5"/>
      <c r="E681" s="6" t="s">
        <v>33</v>
      </c>
      <c r="F681" s="6"/>
      <c r="G681" s="7" t="s">
        <v>1311</v>
      </c>
      <c r="H681" s="7"/>
      <c r="I681" s="7"/>
      <c r="J681" s="3" t="s">
        <v>35</v>
      </c>
      <c r="K681" s="4" t="s">
        <v>97</v>
      </c>
      <c r="L681" s="4" t="s">
        <v>93</v>
      </c>
      <c r="N681" s="7" t="s">
        <v>1563</v>
      </c>
      <c r="O681" s="7"/>
      <c r="P681" s="7" t="s">
        <v>1564</v>
      </c>
      <c r="Q681" s="7"/>
      <c r="R681" s="7"/>
      <c r="S681" s="3" t="s">
        <v>40</v>
      </c>
      <c r="T681" s="7" t="s">
        <v>41</v>
      </c>
      <c r="U681" s="7"/>
      <c r="V681" s="4" t="s">
        <v>42</v>
      </c>
      <c r="W681" s="4" t="s">
        <v>760</v>
      </c>
      <c r="X681" s="4" t="s">
        <v>761</v>
      </c>
      <c r="Y681" s="7" t="s">
        <v>78</v>
      </c>
      <c r="Z681" s="7"/>
      <c r="AA681" s="4" t="s">
        <v>46</v>
      </c>
      <c r="AB681" s="4" t="s">
        <v>47</v>
      </c>
      <c r="AC681" s="4" t="s">
        <v>136</v>
      </c>
      <c r="AD681" s="4" t="s">
        <v>148</v>
      </c>
      <c r="AE681" s="4" t="s">
        <v>48</v>
      </c>
      <c r="AF681" s="4" t="s">
        <v>41</v>
      </c>
      <c r="AG681" s="4" t="s">
        <v>1316</v>
      </c>
    </row>
    <row r="682" spans="1:33" ht="16.5" customHeight="1" x14ac:dyDescent="0.2">
      <c r="A682" s="2" t="s">
        <v>31</v>
      </c>
      <c r="B682" s="5" t="s">
        <v>54</v>
      </c>
      <c r="C682" s="5"/>
      <c r="D682" s="5"/>
      <c r="E682" s="6" t="s">
        <v>33</v>
      </c>
      <c r="F682" s="6"/>
      <c r="G682" s="7" t="s">
        <v>1311</v>
      </c>
      <c r="H682" s="7"/>
      <c r="I682" s="7"/>
      <c r="J682" s="3" t="s">
        <v>35</v>
      </c>
      <c r="K682" s="4" t="s">
        <v>73</v>
      </c>
      <c r="L682" s="4" t="s">
        <v>37</v>
      </c>
      <c r="N682" s="7" t="s">
        <v>1565</v>
      </c>
      <c r="O682" s="7"/>
      <c r="P682" s="7" t="s">
        <v>1566</v>
      </c>
      <c r="Q682" s="7"/>
      <c r="R682" s="7"/>
      <c r="S682" s="3" t="s">
        <v>40</v>
      </c>
      <c r="T682" s="7" t="s">
        <v>41</v>
      </c>
      <c r="U682" s="7"/>
      <c r="V682" s="4" t="s">
        <v>42</v>
      </c>
      <c r="W682" s="4" t="s">
        <v>234</v>
      </c>
      <c r="X682" s="4" t="s">
        <v>235</v>
      </c>
      <c r="Y682" s="7" t="s">
        <v>78</v>
      </c>
      <c r="Z682" s="7"/>
      <c r="AA682" s="4" t="s">
        <v>46</v>
      </c>
      <c r="AB682" s="4" t="s">
        <v>47</v>
      </c>
      <c r="AC682" s="4" t="s">
        <v>136</v>
      </c>
      <c r="AD682" s="4" t="s">
        <v>137</v>
      </c>
      <c r="AE682" s="4" t="s">
        <v>48</v>
      </c>
      <c r="AF682" s="4" t="s">
        <v>41</v>
      </c>
      <c r="AG682" s="4" t="s">
        <v>1316</v>
      </c>
    </row>
    <row r="683" spans="1:33" ht="16.5" customHeight="1" x14ac:dyDescent="0.2">
      <c r="A683" s="2" t="s">
        <v>31</v>
      </c>
      <c r="B683" s="5" t="s">
        <v>54</v>
      </c>
      <c r="C683" s="5"/>
      <c r="D683" s="5"/>
      <c r="E683" s="6" t="s">
        <v>33</v>
      </c>
      <c r="F683" s="6"/>
      <c r="G683" s="7" t="s">
        <v>1311</v>
      </c>
      <c r="H683" s="7"/>
      <c r="I683" s="7"/>
      <c r="J683" s="3" t="s">
        <v>35</v>
      </c>
      <c r="K683" s="4" t="s">
        <v>73</v>
      </c>
      <c r="L683" s="4" t="s">
        <v>37</v>
      </c>
      <c r="N683" s="7" t="s">
        <v>1567</v>
      </c>
      <c r="O683" s="7"/>
      <c r="P683" s="7" t="s">
        <v>1568</v>
      </c>
      <c r="Q683" s="7"/>
      <c r="R683" s="7"/>
      <c r="S683" s="3" t="s">
        <v>40</v>
      </c>
      <c r="T683" s="7" t="s">
        <v>41</v>
      </c>
      <c r="U683" s="7"/>
      <c r="V683" s="4" t="s">
        <v>42</v>
      </c>
      <c r="W683" s="4" t="s">
        <v>234</v>
      </c>
      <c r="X683" s="4" t="s">
        <v>235</v>
      </c>
      <c r="Y683" s="7" t="s">
        <v>78</v>
      </c>
      <c r="Z683" s="7"/>
      <c r="AA683" s="4" t="s">
        <v>46</v>
      </c>
      <c r="AB683" s="4" t="s">
        <v>47</v>
      </c>
      <c r="AC683" s="4" t="s">
        <v>136</v>
      </c>
      <c r="AD683" s="4" t="s">
        <v>137</v>
      </c>
      <c r="AE683" s="4" t="s">
        <v>48</v>
      </c>
      <c r="AF683" s="4" t="s">
        <v>41</v>
      </c>
      <c r="AG683" s="4" t="s">
        <v>1316</v>
      </c>
    </row>
    <row r="684" spans="1:33" ht="16.5" customHeight="1" x14ac:dyDescent="0.2">
      <c r="A684" s="2" t="s">
        <v>31</v>
      </c>
      <c r="B684" s="5" t="s">
        <v>54</v>
      </c>
      <c r="C684" s="5"/>
      <c r="D684" s="5"/>
      <c r="E684" s="6" t="s">
        <v>33</v>
      </c>
      <c r="F684" s="6"/>
      <c r="G684" s="7" t="s">
        <v>1311</v>
      </c>
      <c r="H684" s="7"/>
      <c r="I684" s="7"/>
      <c r="J684" s="3" t="s">
        <v>35</v>
      </c>
      <c r="K684" s="4" t="s">
        <v>97</v>
      </c>
      <c r="L684" s="4" t="s">
        <v>37</v>
      </c>
      <c r="N684" s="7" t="s">
        <v>1569</v>
      </c>
      <c r="O684" s="7"/>
      <c r="P684" s="7" t="s">
        <v>1570</v>
      </c>
      <c r="Q684" s="7"/>
      <c r="R684" s="7"/>
      <c r="S684" s="3" t="s">
        <v>40</v>
      </c>
      <c r="T684" s="7" t="s">
        <v>41</v>
      </c>
      <c r="U684" s="7"/>
      <c r="V684" s="4" t="s">
        <v>42</v>
      </c>
      <c r="W684" s="4" t="s">
        <v>234</v>
      </c>
      <c r="X684" s="4" t="s">
        <v>235</v>
      </c>
      <c r="Y684" s="7" t="s">
        <v>78</v>
      </c>
      <c r="Z684" s="7"/>
      <c r="AA684" s="4" t="s">
        <v>46</v>
      </c>
      <c r="AB684" s="4" t="s">
        <v>47</v>
      </c>
      <c r="AC684" s="4" t="s">
        <v>136</v>
      </c>
      <c r="AD684" s="4" t="s">
        <v>137</v>
      </c>
      <c r="AE684" s="4" t="s">
        <v>48</v>
      </c>
      <c r="AF684" s="4" t="s">
        <v>41</v>
      </c>
      <c r="AG684" s="4" t="s">
        <v>1316</v>
      </c>
    </row>
    <row r="685" spans="1:33" ht="16.5" customHeight="1" x14ac:dyDescent="0.2">
      <c r="A685" s="2" t="s">
        <v>31</v>
      </c>
      <c r="B685" s="5" t="s">
        <v>54</v>
      </c>
      <c r="C685" s="5"/>
      <c r="D685" s="5"/>
      <c r="E685" s="6" t="s">
        <v>33</v>
      </c>
      <c r="F685" s="6"/>
      <c r="G685" s="7" t="s">
        <v>1311</v>
      </c>
      <c r="H685" s="7"/>
      <c r="I685" s="7"/>
      <c r="J685" s="3" t="s">
        <v>35</v>
      </c>
      <c r="K685" s="4" t="s">
        <v>73</v>
      </c>
      <c r="L685" s="4" t="s">
        <v>37</v>
      </c>
      <c r="N685" s="7" t="s">
        <v>1571</v>
      </c>
      <c r="O685" s="7"/>
      <c r="P685" s="7" t="s">
        <v>1572</v>
      </c>
      <c r="Q685" s="7"/>
      <c r="R685" s="7"/>
      <c r="S685" s="3" t="s">
        <v>40</v>
      </c>
      <c r="T685" s="7" t="s">
        <v>41</v>
      </c>
      <c r="U685" s="7"/>
      <c r="V685" s="4" t="s">
        <v>42</v>
      </c>
      <c r="W685" s="4" t="s">
        <v>234</v>
      </c>
      <c r="X685" s="4" t="s">
        <v>235</v>
      </c>
      <c r="Y685" s="7" t="s">
        <v>78</v>
      </c>
      <c r="Z685" s="7"/>
      <c r="AA685" s="4" t="s">
        <v>46</v>
      </c>
      <c r="AB685" s="4" t="s">
        <v>47</v>
      </c>
      <c r="AC685" s="4" t="s">
        <v>136</v>
      </c>
      <c r="AD685" s="4" t="s">
        <v>137</v>
      </c>
      <c r="AE685" s="4" t="s">
        <v>48</v>
      </c>
      <c r="AF685" s="4" t="s">
        <v>41</v>
      </c>
      <c r="AG685" s="4" t="s">
        <v>1316</v>
      </c>
    </row>
    <row r="686" spans="1:33" ht="16.5" customHeight="1" x14ac:dyDescent="0.2">
      <c r="A686" s="2" t="s">
        <v>31</v>
      </c>
      <c r="B686" s="5" t="s">
        <v>54</v>
      </c>
      <c r="C686" s="5"/>
      <c r="D686" s="5"/>
      <c r="E686" s="6" t="s">
        <v>33</v>
      </c>
      <c r="F686" s="6"/>
      <c r="G686" s="7" t="s">
        <v>1311</v>
      </c>
      <c r="H686" s="7"/>
      <c r="I686" s="7"/>
      <c r="J686" s="3" t="s">
        <v>35</v>
      </c>
      <c r="K686" s="4" t="s">
        <v>73</v>
      </c>
      <c r="L686" s="4" t="s">
        <v>37</v>
      </c>
      <c r="N686" s="7" t="s">
        <v>1573</v>
      </c>
      <c r="O686" s="7"/>
      <c r="P686" s="7" t="s">
        <v>1574</v>
      </c>
      <c r="Q686" s="7"/>
      <c r="R686" s="7"/>
      <c r="S686" s="3" t="s">
        <v>40</v>
      </c>
      <c r="T686" s="7" t="s">
        <v>41</v>
      </c>
      <c r="U686" s="7"/>
      <c r="V686" s="4" t="s">
        <v>42</v>
      </c>
      <c r="W686" s="4" t="s">
        <v>234</v>
      </c>
      <c r="X686" s="4" t="s">
        <v>235</v>
      </c>
      <c r="Y686" s="7" t="s">
        <v>78</v>
      </c>
      <c r="Z686" s="7"/>
      <c r="AA686" s="4" t="s">
        <v>46</v>
      </c>
      <c r="AB686" s="4" t="s">
        <v>47</v>
      </c>
      <c r="AC686" s="4" t="s">
        <v>136</v>
      </c>
      <c r="AD686" s="4" t="s">
        <v>137</v>
      </c>
      <c r="AE686" s="4" t="s">
        <v>48</v>
      </c>
      <c r="AF686" s="4" t="s">
        <v>41</v>
      </c>
      <c r="AG686" s="4" t="s">
        <v>1316</v>
      </c>
    </row>
    <row r="687" spans="1:33" ht="16.5" customHeight="1" x14ac:dyDescent="0.2">
      <c r="A687" s="2" t="s">
        <v>31</v>
      </c>
      <c r="B687" s="5" t="s">
        <v>54</v>
      </c>
      <c r="C687" s="5"/>
      <c r="D687" s="5"/>
      <c r="E687" s="6" t="s">
        <v>33</v>
      </c>
      <c r="F687" s="6"/>
      <c r="G687" s="7" t="s">
        <v>1311</v>
      </c>
      <c r="H687" s="7"/>
      <c r="I687" s="7"/>
      <c r="J687" s="3" t="s">
        <v>35</v>
      </c>
      <c r="K687" s="4" t="s">
        <v>73</v>
      </c>
      <c r="L687" s="4" t="s">
        <v>37</v>
      </c>
      <c r="N687" s="7" t="s">
        <v>1573</v>
      </c>
      <c r="O687" s="7"/>
      <c r="P687" s="7" t="s">
        <v>1574</v>
      </c>
      <c r="Q687" s="7"/>
      <c r="R687" s="7"/>
      <c r="S687" s="3" t="s">
        <v>40</v>
      </c>
      <c r="T687" s="7" t="s">
        <v>41</v>
      </c>
      <c r="U687" s="7"/>
      <c r="V687" s="4" t="s">
        <v>51</v>
      </c>
      <c r="W687" s="4" t="s">
        <v>234</v>
      </c>
      <c r="X687" s="4" t="s">
        <v>344</v>
      </c>
      <c r="Y687" s="7" t="s">
        <v>78</v>
      </c>
      <c r="Z687" s="7"/>
      <c r="AA687" s="4" t="s">
        <v>46</v>
      </c>
      <c r="AB687" s="4" t="s">
        <v>47</v>
      </c>
      <c r="AC687" s="4" t="s">
        <v>136</v>
      </c>
      <c r="AD687" s="4" t="s">
        <v>137</v>
      </c>
      <c r="AE687" s="4" t="s">
        <v>48</v>
      </c>
      <c r="AF687" s="4" t="s">
        <v>41</v>
      </c>
      <c r="AG687" s="4" t="s">
        <v>1316</v>
      </c>
    </row>
    <row r="688" spans="1:33" ht="16.5" customHeight="1" x14ac:dyDescent="0.2">
      <c r="A688" s="2" t="s">
        <v>31</v>
      </c>
      <c r="B688" s="5" t="s">
        <v>54</v>
      </c>
      <c r="C688" s="5"/>
      <c r="D688" s="5"/>
      <c r="E688" s="6" t="s">
        <v>33</v>
      </c>
      <c r="F688" s="6"/>
      <c r="G688" s="7" t="s">
        <v>1311</v>
      </c>
      <c r="H688" s="7"/>
      <c r="I688" s="7"/>
      <c r="J688" s="3" t="s">
        <v>35</v>
      </c>
      <c r="K688" s="4" t="s">
        <v>73</v>
      </c>
      <c r="L688" s="4" t="s">
        <v>443</v>
      </c>
      <c r="N688" s="7" t="s">
        <v>1575</v>
      </c>
      <c r="O688" s="7"/>
      <c r="P688" s="7" t="s">
        <v>1576</v>
      </c>
      <c r="Q688" s="7"/>
      <c r="R688" s="7"/>
      <c r="S688" s="3" t="s">
        <v>40</v>
      </c>
      <c r="T688" s="7" t="s">
        <v>41</v>
      </c>
      <c r="U688" s="7"/>
      <c r="V688" s="4" t="s">
        <v>42</v>
      </c>
      <c r="W688" s="4" t="s">
        <v>234</v>
      </c>
      <c r="X688" s="4" t="s">
        <v>235</v>
      </c>
      <c r="Y688" s="7" t="s">
        <v>78</v>
      </c>
      <c r="Z688" s="7"/>
      <c r="AA688" s="4" t="s">
        <v>46</v>
      </c>
      <c r="AB688" s="4" t="s">
        <v>47</v>
      </c>
      <c r="AC688" s="4" t="s">
        <v>136</v>
      </c>
      <c r="AD688" s="4" t="s">
        <v>464</v>
      </c>
      <c r="AE688" s="4" t="s">
        <v>48</v>
      </c>
      <c r="AF688" s="4" t="s">
        <v>41</v>
      </c>
      <c r="AG688" s="4" t="s">
        <v>1316</v>
      </c>
    </row>
    <row r="689" spans="1:33" ht="16.5" customHeight="1" x14ac:dyDescent="0.2">
      <c r="A689" s="2" t="s">
        <v>31</v>
      </c>
      <c r="B689" s="5" t="s">
        <v>54</v>
      </c>
      <c r="C689" s="5"/>
      <c r="D689" s="5"/>
      <c r="E689" s="6" t="s">
        <v>33</v>
      </c>
      <c r="F689" s="6"/>
      <c r="G689" s="7" t="s">
        <v>1311</v>
      </c>
      <c r="H689" s="7"/>
      <c r="I689" s="7"/>
      <c r="J689" s="3" t="s">
        <v>35</v>
      </c>
      <c r="K689" s="4" t="s">
        <v>73</v>
      </c>
      <c r="L689" s="4" t="s">
        <v>37</v>
      </c>
      <c r="N689" s="7" t="s">
        <v>1577</v>
      </c>
      <c r="O689" s="7"/>
      <c r="P689" s="7" t="s">
        <v>1578</v>
      </c>
      <c r="Q689" s="7"/>
      <c r="R689" s="7"/>
      <c r="S689" s="3" t="s">
        <v>40</v>
      </c>
      <c r="T689" s="7" t="s">
        <v>41</v>
      </c>
      <c r="U689" s="7"/>
      <c r="V689" s="4" t="s">
        <v>42</v>
      </c>
      <c r="W689" s="4" t="s">
        <v>234</v>
      </c>
      <c r="X689" s="4" t="s">
        <v>235</v>
      </c>
      <c r="Y689" s="7" t="s">
        <v>78</v>
      </c>
      <c r="Z689" s="7"/>
      <c r="AA689" s="4" t="s">
        <v>46</v>
      </c>
      <c r="AB689" s="4" t="s">
        <v>47</v>
      </c>
      <c r="AC689" s="4" t="s">
        <v>136</v>
      </c>
      <c r="AD689" s="4" t="s">
        <v>137</v>
      </c>
      <c r="AE689" s="4" t="s">
        <v>48</v>
      </c>
      <c r="AF689" s="4" t="s">
        <v>41</v>
      </c>
      <c r="AG689" s="4" t="s">
        <v>1316</v>
      </c>
    </row>
    <row r="690" spans="1:33" ht="16.5" customHeight="1" x14ac:dyDescent="0.2">
      <c r="A690" s="2" t="s">
        <v>31</v>
      </c>
      <c r="B690" s="5" t="s">
        <v>54</v>
      </c>
      <c r="C690" s="5"/>
      <c r="D690" s="5"/>
      <c r="E690" s="6" t="s">
        <v>33</v>
      </c>
      <c r="F690" s="6"/>
      <c r="G690" s="7" t="s">
        <v>1311</v>
      </c>
      <c r="H690" s="7"/>
      <c r="I690" s="7"/>
      <c r="J690" s="3" t="s">
        <v>35</v>
      </c>
      <c r="K690" s="4" t="s">
        <v>73</v>
      </c>
      <c r="L690" s="4" t="s">
        <v>37</v>
      </c>
      <c r="N690" s="7" t="s">
        <v>1579</v>
      </c>
      <c r="O690" s="7"/>
      <c r="P690" s="7" t="s">
        <v>1580</v>
      </c>
      <c r="Q690" s="7"/>
      <c r="R690" s="7"/>
      <c r="S690" s="3" t="s">
        <v>40</v>
      </c>
      <c r="T690" s="7" t="s">
        <v>41</v>
      </c>
      <c r="U690" s="7"/>
      <c r="V690" s="4" t="s">
        <v>42</v>
      </c>
      <c r="W690" s="4" t="s">
        <v>234</v>
      </c>
      <c r="X690" s="4" t="s">
        <v>235</v>
      </c>
      <c r="Y690" s="7" t="s">
        <v>78</v>
      </c>
      <c r="Z690" s="7"/>
      <c r="AA690" s="4" t="s">
        <v>46</v>
      </c>
      <c r="AB690" s="4" t="s">
        <v>47</v>
      </c>
      <c r="AC690" s="4" t="s">
        <v>136</v>
      </c>
      <c r="AD690" s="4" t="s">
        <v>137</v>
      </c>
      <c r="AE690" s="4" t="s">
        <v>48</v>
      </c>
      <c r="AF690" s="4" t="s">
        <v>41</v>
      </c>
      <c r="AG690" s="4" t="s">
        <v>1316</v>
      </c>
    </row>
    <row r="691" spans="1:33" ht="16.5" customHeight="1" x14ac:dyDescent="0.2">
      <c r="A691" s="2" t="s">
        <v>31</v>
      </c>
      <c r="B691" s="5" t="s">
        <v>54</v>
      </c>
      <c r="C691" s="5"/>
      <c r="D691" s="5"/>
      <c r="E691" s="6" t="s">
        <v>33</v>
      </c>
      <c r="F691" s="6"/>
      <c r="G691" s="7" t="s">
        <v>1311</v>
      </c>
      <c r="H691" s="7"/>
      <c r="I691" s="7"/>
      <c r="J691" s="3" t="s">
        <v>35</v>
      </c>
      <c r="K691" s="4" t="s">
        <v>97</v>
      </c>
      <c r="L691" s="4" t="s">
        <v>443</v>
      </c>
      <c r="N691" s="7" t="s">
        <v>1581</v>
      </c>
      <c r="O691" s="7"/>
      <c r="P691" s="7" t="s">
        <v>1582</v>
      </c>
      <c r="Q691" s="7"/>
      <c r="R691" s="7"/>
      <c r="S691" s="3" t="s">
        <v>40</v>
      </c>
      <c r="T691" s="7" t="s">
        <v>41</v>
      </c>
      <c r="U691" s="7"/>
      <c r="V691" s="4" t="s">
        <v>42</v>
      </c>
      <c r="W691" s="4" t="s">
        <v>234</v>
      </c>
      <c r="X691" s="4" t="s">
        <v>235</v>
      </c>
      <c r="Y691" s="7" t="s">
        <v>78</v>
      </c>
      <c r="Z691" s="7"/>
      <c r="AA691" s="4" t="s">
        <v>46</v>
      </c>
      <c r="AB691" s="4" t="s">
        <v>47</v>
      </c>
      <c r="AC691" s="4" t="s">
        <v>136</v>
      </c>
      <c r="AD691" s="4" t="s">
        <v>464</v>
      </c>
      <c r="AE691" s="4" t="s">
        <v>48</v>
      </c>
      <c r="AF691" s="4" t="s">
        <v>41</v>
      </c>
      <c r="AG691" s="4" t="s">
        <v>1316</v>
      </c>
    </row>
    <row r="692" spans="1:33" ht="16.5" customHeight="1" x14ac:dyDescent="0.2">
      <c r="A692" s="2" t="s">
        <v>31</v>
      </c>
      <c r="B692" s="5" t="s">
        <v>54</v>
      </c>
      <c r="C692" s="5"/>
      <c r="D692" s="5"/>
      <c r="E692" s="6" t="s">
        <v>33</v>
      </c>
      <c r="F692" s="6"/>
      <c r="G692" s="7" t="s">
        <v>1311</v>
      </c>
      <c r="H692" s="7"/>
      <c r="I692" s="7"/>
      <c r="J692" s="3" t="s">
        <v>35</v>
      </c>
      <c r="K692" s="4" t="s">
        <v>97</v>
      </c>
      <c r="L692" s="4" t="s">
        <v>443</v>
      </c>
      <c r="N692" s="7" t="s">
        <v>1581</v>
      </c>
      <c r="O692" s="7"/>
      <c r="P692" s="7" t="s">
        <v>1582</v>
      </c>
      <c r="Q692" s="7"/>
      <c r="R692" s="7"/>
      <c r="S692" s="3" t="s">
        <v>40</v>
      </c>
      <c r="T692" s="7" t="s">
        <v>41</v>
      </c>
      <c r="U692" s="7"/>
      <c r="V692" s="4" t="s">
        <v>51</v>
      </c>
      <c r="W692" s="4" t="s">
        <v>234</v>
      </c>
      <c r="X692" s="4" t="s">
        <v>344</v>
      </c>
      <c r="Y692" s="7" t="s">
        <v>78</v>
      </c>
      <c r="Z692" s="7"/>
      <c r="AA692" s="4" t="s">
        <v>46</v>
      </c>
      <c r="AB692" s="4" t="s">
        <v>47</v>
      </c>
      <c r="AC692" s="4" t="s">
        <v>136</v>
      </c>
      <c r="AD692" s="4" t="s">
        <v>464</v>
      </c>
      <c r="AE692" s="4" t="s">
        <v>48</v>
      </c>
      <c r="AF692" s="4" t="s">
        <v>41</v>
      </c>
      <c r="AG692" s="4" t="s">
        <v>1316</v>
      </c>
    </row>
    <row r="693" spans="1:33" ht="16.5" customHeight="1" x14ac:dyDescent="0.2">
      <c r="A693" s="2" t="s">
        <v>31</v>
      </c>
      <c r="B693" s="5" t="s">
        <v>54</v>
      </c>
      <c r="C693" s="5"/>
      <c r="D693" s="5"/>
      <c r="E693" s="6" t="s">
        <v>33</v>
      </c>
      <c r="F693" s="6"/>
      <c r="G693" s="7" t="s">
        <v>1311</v>
      </c>
      <c r="H693" s="7"/>
      <c r="I693" s="7"/>
      <c r="J693" s="3" t="s">
        <v>35</v>
      </c>
      <c r="K693" s="4" t="s">
        <v>73</v>
      </c>
      <c r="L693" s="4" t="s">
        <v>37</v>
      </c>
      <c r="N693" s="7" t="s">
        <v>1583</v>
      </c>
      <c r="O693" s="7"/>
      <c r="P693" s="7" t="s">
        <v>1584</v>
      </c>
      <c r="Q693" s="7"/>
      <c r="R693" s="7"/>
      <c r="S693" s="3" t="s">
        <v>40</v>
      </c>
      <c r="T693" s="7" t="s">
        <v>41</v>
      </c>
      <c r="U693" s="7"/>
      <c r="V693" s="4" t="s">
        <v>42</v>
      </c>
      <c r="W693" s="4" t="s">
        <v>234</v>
      </c>
      <c r="X693" s="4" t="s">
        <v>235</v>
      </c>
      <c r="Y693" s="7" t="s">
        <v>78</v>
      </c>
      <c r="Z693" s="7"/>
      <c r="AA693" s="4" t="s">
        <v>46</v>
      </c>
      <c r="AB693" s="4" t="s">
        <v>47</v>
      </c>
      <c r="AC693" s="4" t="s">
        <v>136</v>
      </c>
      <c r="AD693" s="4" t="s">
        <v>137</v>
      </c>
      <c r="AE693" s="4" t="s">
        <v>48</v>
      </c>
      <c r="AF693" s="4" t="s">
        <v>41</v>
      </c>
      <c r="AG693" s="4" t="s">
        <v>1316</v>
      </c>
    </row>
    <row r="694" spans="1:33" ht="16.5" customHeight="1" x14ac:dyDescent="0.2">
      <c r="A694" s="2" t="s">
        <v>31</v>
      </c>
      <c r="B694" s="5" t="s">
        <v>54</v>
      </c>
      <c r="C694" s="5"/>
      <c r="D694" s="5"/>
      <c r="E694" s="6" t="s">
        <v>33</v>
      </c>
      <c r="F694" s="6"/>
      <c r="G694" s="7" t="s">
        <v>1311</v>
      </c>
      <c r="H694" s="7"/>
      <c r="I694" s="7"/>
      <c r="J694" s="3" t="s">
        <v>35</v>
      </c>
      <c r="K694" s="4" t="s">
        <v>73</v>
      </c>
      <c r="L694" s="4" t="s">
        <v>37</v>
      </c>
      <c r="N694" s="7" t="s">
        <v>1585</v>
      </c>
      <c r="O694" s="7"/>
      <c r="P694" s="7" t="s">
        <v>1586</v>
      </c>
      <c r="Q694" s="7"/>
      <c r="R694" s="7"/>
      <c r="S694" s="3" t="s">
        <v>40</v>
      </c>
      <c r="T694" s="7" t="s">
        <v>41</v>
      </c>
      <c r="U694" s="7"/>
      <c r="V694" s="4" t="s">
        <v>42</v>
      </c>
      <c r="W694" s="4" t="s">
        <v>355</v>
      </c>
      <c r="X694" s="4" t="s">
        <v>344</v>
      </c>
      <c r="Y694" s="7" t="s">
        <v>78</v>
      </c>
      <c r="Z694" s="7"/>
      <c r="AA694" s="4" t="s">
        <v>46</v>
      </c>
      <c r="AB694" s="4" t="s">
        <v>47</v>
      </c>
      <c r="AC694" s="4" t="s">
        <v>136</v>
      </c>
      <c r="AD694" s="4" t="s">
        <v>137</v>
      </c>
      <c r="AE694" s="4" t="s">
        <v>48</v>
      </c>
      <c r="AF694" s="4" t="s">
        <v>41</v>
      </c>
      <c r="AG694" s="4" t="s">
        <v>1316</v>
      </c>
    </row>
    <row r="695" spans="1:33" ht="16.5" customHeight="1" x14ac:dyDescent="0.2">
      <c r="A695" s="2" t="s">
        <v>31</v>
      </c>
      <c r="B695" s="5" t="s">
        <v>54</v>
      </c>
      <c r="C695" s="5"/>
      <c r="D695" s="5"/>
      <c r="E695" s="6" t="s">
        <v>33</v>
      </c>
      <c r="F695" s="6"/>
      <c r="G695" s="7" t="s">
        <v>1311</v>
      </c>
      <c r="H695" s="7"/>
      <c r="I695" s="7"/>
      <c r="J695" s="3" t="s">
        <v>35</v>
      </c>
      <c r="K695" s="4" t="s">
        <v>73</v>
      </c>
      <c r="L695" s="4" t="s">
        <v>37</v>
      </c>
      <c r="N695" s="7" t="s">
        <v>1587</v>
      </c>
      <c r="O695" s="7"/>
      <c r="P695" s="7" t="s">
        <v>1588</v>
      </c>
      <c r="Q695" s="7"/>
      <c r="R695" s="7"/>
      <c r="S695" s="3" t="s">
        <v>40</v>
      </c>
      <c r="T695" s="7" t="s">
        <v>41</v>
      </c>
      <c r="U695" s="7"/>
      <c r="V695" s="4" t="s">
        <v>42</v>
      </c>
      <c r="W695" s="4" t="s">
        <v>234</v>
      </c>
      <c r="X695" s="4" t="s">
        <v>235</v>
      </c>
      <c r="Y695" s="7" t="s">
        <v>78</v>
      </c>
      <c r="Z695" s="7"/>
      <c r="AA695" s="4" t="s">
        <v>46</v>
      </c>
      <c r="AB695" s="4" t="s">
        <v>47</v>
      </c>
      <c r="AC695" s="4" t="s">
        <v>136</v>
      </c>
      <c r="AD695" s="4" t="s">
        <v>137</v>
      </c>
      <c r="AE695" s="4" t="s">
        <v>48</v>
      </c>
      <c r="AF695" s="4" t="s">
        <v>41</v>
      </c>
      <c r="AG695" s="4" t="s">
        <v>1316</v>
      </c>
    </row>
    <row r="696" spans="1:33" ht="16.5" customHeight="1" x14ac:dyDescent="0.2">
      <c r="A696" s="2" t="s">
        <v>31</v>
      </c>
      <c r="B696" s="5" t="s">
        <v>54</v>
      </c>
      <c r="C696" s="5"/>
      <c r="D696" s="5"/>
      <c r="E696" s="6" t="s">
        <v>33</v>
      </c>
      <c r="F696" s="6"/>
      <c r="G696" s="7" t="s">
        <v>1311</v>
      </c>
      <c r="H696" s="7"/>
      <c r="I696" s="7"/>
      <c r="J696" s="3" t="s">
        <v>35</v>
      </c>
      <c r="K696" s="4" t="s">
        <v>73</v>
      </c>
      <c r="L696" s="4" t="s">
        <v>37</v>
      </c>
      <c r="N696" s="7" t="s">
        <v>1589</v>
      </c>
      <c r="O696" s="7"/>
      <c r="P696" s="7" t="s">
        <v>1590</v>
      </c>
      <c r="Q696" s="7"/>
      <c r="R696" s="7"/>
      <c r="S696" s="3" t="s">
        <v>40</v>
      </c>
      <c r="T696" s="7" t="s">
        <v>41</v>
      </c>
      <c r="U696" s="7"/>
      <c r="V696" s="4" t="s">
        <v>42</v>
      </c>
      <c r="W696" s="4" t="s">
        <v>355</v>
      </c>
      <c r="X696" s="4" t="s">
        <v>344</v>
      </c>
      <c r="Y696" s="7" t="s">
        <v>78</v>
      </c>
      <c r="Z696" s="7"/>
      <c r="AA696" s="4" t="s">
        <v>46</v>
      </c>
      <c r="AB696" s="4" t="s">
        <v>47</v>
      </c>
      <c r="AC696" s="4" t="s">
        <v>136</v>
      </c>
      <c r="AD696" s="4" t="s">
        <v>137</v>
      </c>
      <c r="AE696" s="4" t="s">
        <v>48</v>
      </c>
      <c r="AF696" s="4" t="s">
        <v>41</v>
      </c>
      <c r="AG696" s="4" t="s">
        <v>1316</v>
      </c>
    </row>
    <row r="697" spans="1:33" ht="16.5" customHeight="1" x14ac:dyDescent="0.2">
      <c r="A697" s="2" t="s">
        <v>31</v>
      </c>
      <c r="B697" s="5" t="s">
        <v>54</v>
      </c>
      <c r="C697" s="5"/>
      <c r="D697" s="5"/>
      <c r="E697" s="6" t="s">
        <v>33</v>
      </c>
      <c r="F697" s="6"/>
      <c r="G697" s="7" t="s">
        <v>1311</v>
      </c>
      <c r="H697" s="7"/>
      <c r="I697" s="7"/>
      <c r="J697" s="3" t="s">
        <v>35</v>
      </c>
      <c r="K697" s="4" t="s">
        <v>73</v>
      </c>
      <c r="L697" s="4" t="s">
        <v>280</v>
      </c>
      <c r="N697" s="7" t="s">
        <v>1591</v>
      </c>
      <c r="O697" s="7"/>
      <c r="P697" s="7" t="s">
        <v>1592</v>
      </c>
      <c r="Q697" s="7"/>
      <c r="R697" s="7"/>
      <c r="S697" s="3" t="s">
        <v>40</v>
      </c>
      <c r="T697" s="7" t="s">
        <v>41</v>
      </c>
      <c r="U697" s="7"/>
      <c r="V697" s="4" t="s">
        <v>42</v>
      </c>
      <c r="W697" s="4" t="s">
        <v>355</v>
      </c>
      <c r="X697" s="4" t="s">
        <v>344</v>
      </c>
      <c r="Y697" s="7" t="s">
        <v>78</v>
      </c>
      <c r="Z697" s="7"/>
      <c r="AA697" s="4" t="s">
        <v>46</v>
      </c>
      <c r="AB697" s="4" t="s">
        <v>47</v>
      </c>
      <c r="AC697" s="4" t="s">
        <v>136</v>
      </c>
      <c r="AD697" s="4" t="s">
        <v>324</v>
      </c>
      <c r="AE697" s="4" t="s">
        <v>48</v>
      </c>
      <c r="AF697" s="4" t="s">
        <v>41</v>
      </c>
      <c r="AG697" s="4" t="s">
        <v>1316</v>
      </c>
    </row>
    <row r="698" spans="1:33" ht="16.5" customHeight="1" x14ac:dyDescent="0.2">
      <c r="A698" s="2" t="s">
        <v>31</v>
      </c>
      <c r="B698" s="5" t="s">
        <v>54</v>
      </c>
      <c r="C698" s="5"/>
      <c r="D698" s="5"/>
      <c r="E698" s="6" t="s">
        <v>33</v>
      </c>
      <c r="F698" s="6"/>
      <c r="G698" s="7" t="s">
        <v>1311</v>
      </c>
      <c r="H698" s="7"/>
      <c r="I698" s="7"/>
      <c r="J698" s="3" t="s">
        <v>35</v>
      </c>
      <c r="K698" s="4" t="s">
        <v>92</v>
      </c>
      <c r="L698" s="4" t="s">
        <v>37</v>
      </c>
      <c r="N698" s="7" t="s">
        <v>1593</v>
      </c>
      <c r="O698" s="7"/>
      <c r="P698" s="7" t="s">
        <v>1594</v>
      </c>
      <c r="Q698" s="7"/>
      <c r="R698" s="7"/>
      <c r="S698" s="3" t="s">
        <v>40</v>
      </c>
      <c r="T698" s="7" t="s">
        <v>41</v>
      </c>
      <c r="U698" s="7"/>
      <c r="V698" s="4" t="s">
        <v>42</v>
      </c>
      <c r="W698" s="4" t="s">
        <v>355</v>
      </c>
      <c r="X698" s="4" t="s">
        <v>344</v>
      </c>
      <c r="Y698" s="7" t="s">
        <v>78</v>
      </c>
      <c r="Z698" s="7"/>
      <c r="AA698" s="4" t="s">
        <v>46</v>
      </c>
      <c r="AB698" s="4" t="s">
        <v>47</v>
      </c>
      <c r="AC698" s="4" t="s">
        <v>136</v>
      </c>
      <c r="AD698" s="4" t="s">
        <v>137</v>
      </c>
      <c r="AE698" s="4" t="s">
        <v>48</v>
      </c>
      <c r="AF698" s="4" t="s">
        <v>41</v>
      </c>
      <c r="AG698" s="4" t="s">
        <v>1316</v>
      </c>
    </row>
    <row r="699" spans="1:33" ht="16.5" customHeight="1" x14ac:dyDescent="0.2">
      <c r="A699" s="2" t="s">
        <v>31</v>
      </c>
      <c r="B699" s="5" t="s">
        <v>54</v>
      </c>
      <c r="C699" s="5"/>
      <c r="D699" s="5"/>
      <c r="E699" s="6" t="s">
        <v>33</v>
      </c>
      <c r="F699" s="6"/>
      <c r="G699" s="7" t="s">
        <v>1311</v>
      </c>
      <c r="H699" s="7"/>
      <c r="I699" s="7"/>
      <c r="J699" s="3" t="s">
        <v>35</v>
      </c>
      <c r="K699" s="4" t="s">
        <v>149</v>
      </c>
      <c r="L699" s="4" t="s">
        <v>280</v>
      </c>
      <c r="N699" s="7" t="s">
        <v>1595</v>
      </c>
      <c r="O699" s="7"/>
      <c r="P699" s="7" t="s">
        <v>1596</v>
      </c>
      <c r="Q699" s="7"/>
      <c r="R699" s="7"/>
      <c r="S699" s="3" t="s">
        <v>40</v>
      </c>
      <c r="T699" s="7" t="s">
        <v>41</v>
      </c>
      <c r="U699" s="7"/>
      <c r="V699" s="4" t="s">
        <v>42</v>
      </c>
      <c r="W699" s="4" t="s">
        <v>355</v>
      </c>
      <c r="X699" s="4" t="s">
        <v>344</v>
      </c>
      <c r="Y699" s="7" t="s">
        <v>78</v>
      </c>
      <c r="Z699" s="7"/>
      <c r="AA699" s="4" t="s">
        <v>46</v>
      </c>
      <c r="AB699" s="4" t="s">
        <v>47</v>
      </c>
      <c r="AC699" s="4" t="s">
        <v>136</v>
      </c>
      <c r="AD699" s="4" t="s">
        <v>324</v>
      </c>
      <c r="AE699" s="4" t="s">
        <v>48</v>
      </c>
      <c r="AF699" s="4" t="s">
        <v>41</v>
      </c>
      <c r="AG699" s="4" t="s">
        <v>1316</v>
      </c>
    </row>
    <row r="700" spans="1:33" ht="16.5" customHeight="1" x14ac:dyDescent="0.2">
      <c r="A700" s="2" t="s">
        <v>31</v>
      </c>
      <c r="B700" s="5" t="s">
        <v>54</v>
      </c>
      <c r="C700" s="5"/>
      <c r="D700" s="5"/>
      <c r="E700" s="6" t="s">
        <v>33</v>
      </c>
      <c r="F700" s="6"/>
      <c r="G700" s="7" t="s">
        <v>1311</v>
      </c>
      <c r="H700" s="7"/>
      <c r="I700" s="7"/>
      <c r="J700" s="3" t="s">
        <v>35</v>
      </c>
      <c r="K700" s="4" t="s">
        <v>73</v>
      </c>
      <c r="L700" s="4" t="s">
        <v>37</v>
      </c>
      <c r="N700" s="7" t="s">
        <v>1597</v>
      </c>
      <c r="O700" s="7"/>
      <c r="P700" s="7" t="s">
        <v>1598</v>
      </c>
      <c r="Q700" s="7"/>
      <c r="R700" s="7"/>
      <c r="S700" s="3" t="s">
        <v>40</v>
      </c>
      <c r="T700" s="7" t="s">
        <v>41</v>
      </c>
      <c r="U700" s="7"/>
      <c r="V700" s="4" t="s">
        <v>42</v>
      </c>
      <c r="W700" s="4" t="s">
        <v>301</v>
      </c>
      <c r="X700" s="4" t="s">
        <v>302</v>
      </c>
      <c r="Y700" s="7" t="s">
        <v>78</v>
      </c>
      <c r="Z700" s="7"/>
      <c r="AA700" s="4" t="s">
        <v>46</v>
      </c>
      <c r="AB700" s="4" t="s">
        <v>47</v>
      </c>
      <c r="AC700" s="4" t="s">
        <v>79</v>
      </c>
      <c r="AD700" s="4" t="s">
        <v>80</v>
      </c>
      <c r="AE700" s="4" t="s">
        <v>48</v>
      </c>
      <c r="AF700" s="4" t="s">
        <v>41</v>
      </c>
      <c r="AG700" s="4" t="s">
        <v>1316</v>
      </c>
    </row>
    <row r="701" spans="1:33" ht="16.5" customHeight="1" x14ac:dyDescent="0.2">
      <c r="A701" s="2" t="s">
        <v>31</v>
      </c>
      <c r="B701" s="5" t="s">
        <v>54</v>
      </c>
      <c r="C701" s="5"/>
      <c r="D701" s="5"/>
      <c r="E701" s="6" t="s">
        <v>33</v>
      </c>
      <c r="F701" s="6"/>
      <c r="G701" s="7" t="s">
        <v>1311</v>
      </c>
      <c r="H701" s="7"/>
      <c r="I701" s="7"/>
      <c r="J701" s="3" t="s">
        <v>35</v>
      </c>
      <c r="K701" s="4" t="s">
        <v>73</v>
      </c>
      <c r="L701" s="4" t="s">
        <v>37</v>
      </c>
      <c r="N701" s="7" t="s">
        <v>1599</v>
      </c>
      <c r="O701" s="7"/>
      <c r="P701" s="7" t="s">
        <v>1600</v>
      </c>
      <c r="Q701" s="7"/>
      <c r="R701" s="7"/>
      <c r="S701" s="3" t="s">
        <v>40</v>
      </c>
      <c r="T701" s="7" t="s">
        <v>41</v>
      </c>
      <c r="U701" s="7"/>
      <c r="V701" s="4" t="s">
        <v>42</v>
      </c>
      <c r="W701" s="4" t="s">
        <v>301</v>
      </c>
      <c r="X701" s="4" t="s">
        <v>302</v>
      </c>
      <c r="Y701" s="7" t="s">
        <v>78</v>
      </c>
      <c r="Z701" s="7"/>
      <c r="AA701" s="4" t="s">
        <v>46</v>
      </c>
      <c r="AB701" s="4" t="s">
        <v>47</v>
      </c>
      <c r="AC701" s="4" t="s">
        <v>79</v>
      </c>
      <c r="AD701" s="4" t="s">
        <v>80</v>
      </c>
      <c r="AE701" s="4" t="s">
        <v>48</v>
      </c>
      <c r="AF701" s="4" t="s">
        <v>41</v>
      </c>
      <c r="AG701" s="4" t="s">
        <v>1316</v>
      </c>
    </row>
    <row r="702" spans="1:33" ht="16.5" customHeight="1" x14ac:dyDescent="0.2">
      <c r="A702" s="2" t="s">
        <v>31</v>
      </c>
      <c r="B702" s="5" t="s">
        <v>54</v>
      </c>
      <c r="C702" s="5"/>
      <c r="D702" s="5"/>
      <c r="E702" s="6" t="s">
        <v>33</v>
      </c>
      <c r="F702" s="6"/>
      <c r="G702" s="7" t="s">
        <v>1311</v>
      </c>
      <c r="H702" s="7"/>
      <c r="I702" s="7"/>
      <c r="J702" s="3" t="s">
        <v>35</v>
      </c>
      <c r="K702" s="4" t="s">
        <v>73</v>
      </c>
      <c r="L702" s="4" t="s">
        <v>93</v>
      </c>
      <c r="N702" s="7" t="s">
        <v>1601</v>
      </c>
      <c r="O702" s="7"/>
      <c r="P702" s="7" t="s">
        <v>1602</v>
      </c>
      <c r="Q702" s="7"/>
      <c r="R702" s="7"/>
      <c r="S702" s="3" t="s">
        <v>40</v>
      </c>
      <c r="T702" s="7" t="s">
        <v>41</v>
      </c>
      <c r="U702" s="7"/>
      <c r="V702" s="4" t="s">
        <v>42</v>
      </c>
      <c r="W702" s="4" t="s">
        <v>181</v>
      </c>
      <c r="X702" s="4" t="s">
        <v>182</v>
      </c>
      <c r="Y702" s="7" t="s">
        <v>78</v>
      </c>
      <c r="Z702" s="7"/>
      <c r="AA702" s="4" t="s">
        <v>46</v>
      </c>
      <c r="AB702" s="4" t="s">
        <v>47</v>
      </c>
      <c r="AC702" s="4" t="s">
        <v>79</v>
      </c>
      <c r="AD702" s="4" t="s">
        <v>96</v>
      </c>
      <c r="AE702" s="4" t="s">
        <v>48</v>
      </c>
      <c r="AF702" s="4" t="s">
        <v>41</v>
      </c>
      <c r="AG702" s="4" t="s">
        <v>1316</v>
      </c>
    </row>
    <row r="703" spans="1:33" ht="16.5" customHeight="1" x14ac:dyDescent="0.2">
      <c r="A703" s="2" t="s">
        <v>31</v>
      </c>
      <c r="B703" s="5" t="s">
        <v>54</v>
      </c>
      <c r="C703" s="5"/>
      <c r="D703" s="5"/>
      <c r="E703" s="6" t="s">
        <v>33</v>
      </c>
      <c r="F703" s="6"/>
      <c r="G703" s="7" t="s">
        <v>1311</v>
      </c>
      <c r="H703" s="7"/>
      <c r="I703" s="7"/>
      <c r="J703" s="3" t="s">
        <v>35</v>
      </c>
      <c r="K703" s="4" t="s">
        <v>97</v>
      </c>
      <c r="L703" s="4" t="s">
        <v>93</v>
      </c>
      <c r="N703" s="7" t="s">
        <v>1603</v>
      </c>
      <c r="O703" s="7"/>
      <c r="P703" s="7" t="s">
        <v>1604</v>
      </c>
      <c r="Q703" s="7"/>
      <c r="R703" s="7"/>
      <c r="S703" s="3" t="s">
        <v>40</v>
      </c>
      <c r="T703" s="7" t="s">
        <v>41</v>
      </c>
      <c r="U703" s="7"/>
      <c r="V703" s="4" t="s">
        <v>42</v>
      </c>
      <c r="W703" s="4" t="s">
        <v>181</v>
      </c>
      <c r="X703" s="4" t="s">
        <v>182</v>
      </c>
      <c r="Y703" s="7" t="s">
        <v>78</v>
      </c>
      <c r="Z703" s="7"/>
      <c r="AA703" s="4" t="s">
        <v>46</v>
      </c>
      <c r="AB703" s="4" t="s">
        <v>47</v>
      </c>
      <c r="AC703" s="4" t="s">
        <v>79</v>
      </c>
      <c r="AD703" s="4" t="s">
        <v>96</v>
      </c>
      <c r="AE703" s="4" t="s">
        <v>48</v>
      </c>
      <c r="AF703" s="4" t="s">
        <v>41</v>
      </c>
      <c r="AG703" s="4" t="s">
        <v>1316</v>
      </c>
    </row>
    <row r="704" spans="1:33" ht="16.5" customHeight="1" x14ac:dyDescent="0.2">
      <c r="A704" s="2" t="s">
        <v>31</v>
      </c>
      <c r="B704" s="5" t="s">
        <v>54</v>
      </c>
      <c r="C704" s="5"/>
      <c r="D704" s="5"/>
      <c r="E704" s="6" t="s">
        <v>33</v>
      </c>
      <c r="F704" s="6"/>
      <c r="G704" s="7" t="s">
        <v>1311</v>
      </c>
      <c r="H704" s="7"/>
      <c r="I704" s="7"/>
      <c r="J704" s="3" t="s">
        <v>35</v>
      </c>
      <c r="K704" s="4" t="s">
        <v>97</v>
      </c>
      <c r="L704" s="4" t="s">
        <v>443</v>
      </c>
      <c r="N704" s="7" t="s">
        <v>1605</v>
      </c>
      <c r="O704" s="7"/>
      <c r="P704" s="7" t="s">
        <v>1606</v>
      </c>
      <c r="Q704" s="7"/>
      <c r="R704" s="7"/>
      <c r="S704" s="3" t="s">
        <v>40</v>
      </c>
      <c r="T704" s="7" t="s">
        <v>41</v>
      </c>
      <c r="U704" s="7"/>
      <c r="V704" s="4" t="s">
        <v>42</v>
      </c>
      <c r="W704" s="4" t="s">
        <v>301</v>
      </c>
      <c r="X704" s="4" t="s">
        <v>302</v>
      </c>
      <c r="Y704" s="7" t="s">
        <v>78</v>
      </c>
      <c r="Z704" s="7"/>
      <c r="AA704" s="4" t="s">
        <v>46</v>
      </c>
      <c r="AB704" s="4" t="s">
        <v>47</v>
      </c>
      <c r="AC704" s="4" t="s">
        <v>79</v>
      </c>
      <c r="AD704" s="4" t="s">
        <v>447</v>
      </c>
      <c r="AE704" s="4" t="s">
        <v>48</v>
      </c>
      <c r="AF704" s="4" t="s">
        <v>41</v>
      </c>
      <c r="AG704" s="4" t="s">
        <v>1316</v>
      </c>
    </row>
    <row r="705" spans="1:33" ht="16.5" customHeight="1" x14ac:dyDescent="0.2">
      <c r="A705" s="2" t="s">
        <v>31</v>
      </c>
      <c r="B705" s="5" t="s">
        <v>54</v>
      </c>
      <c r="C705" s="5"/>
      <c r="D705" s="5"/>
      <c r="E705" s="6" t="s">
        <v>33</v>
      </c>
      <c r="F705" s="6"/>
      <c r="G705" s="7" t="s">
        <v>1311</v>
      </c>
      <c r="H705" s="7"/>
      <c r="I705" s="7"/>
      <c r="J705" s="3" t="s">
        <v>35</v>
      </c>
      <c r="K705" s="4" t="s">
        <v>97</v>
      </c>
      <c r="L705" s="4" t="s">
        <v>37</v>
      </c>
      <c r="N705" s="7" t="s">
        <v>1607</v>
      </c>
      <c r="O705" s="7"/>
      <c r="P705" s="7" t="s">
        <v>1608</v>
      </c>
      <c r="Q705" s="7"/>
      <c r="R705" s="7"/>
      <c r="S705" s="3" t="s">
        <v>40</v>
      </c>
      <c r="T705" s="7" t="s">
        <v>41</v>
      </c>
      <c r="U705" s="7"/>
      <c r="V705" s="4" t="s">
        <v>42</v>
      </c>
      <c r="W705" s="4" t="s">
        <v>172</v>
      </c>
      <c r="X705" s="4" t="s">
        <v>386</v>
      </c>
      <c r="Y705" s="7" t="s">
        <v>78</v>
      </c>
      <c r="Z705" s="7"/>
      <c r="AA705" s="4" t="s">
        <v>46</v>
      </c>
      <c r="AB705" s="4" t="s">
        <v>47</v>
      </c>
      <c r="AC705" s="4" t="s">
        <v>79</v>
      </c>
      <c r="AD705" s="4" t="s">
        <v>80</v>
      </c>
      <c r="AE705" s="4" t="s">
        <v>48</v>
      </c>
      <c r="AF705" s="4" t="s">
        <v>41</v>
      </c>
      <c r="AG705" s="4" t="s">
        <v>1316</v>
      </c>
    </row>
    <row r="706" spans="1:33" ht="16.5" customHeight="1" x14ac:dyDescent="0.2">
      <c r="A706" s="2" t="s">
        <v>31</v>
      </c>
      <c r="B706" s="5" t="s">
        <v>54</v>
      </c>
      <c r="C706" s="5"/>
      <c r="D706" s="5"/>
      <c r="E706" s="6" t="s">
        <v>33</v>
      </c>
      <c r="F706" s="6"/>
      <c r="G706" s="7" t="s">
        <v>1311</v>
      </c>
      <c r="H706" s="7"/>
      <c r="I706" s="7"/>
      <c r="J706" s="3" t="s">
        <v>35</v>
      </c>
      <c r="K706" s="4" t="s">
        <v>73</v>
      </c>
      <c r="L706" s="4" t="s">
        <v>37</v>
      </c>
      <c r="N706" s="7" t="s">
        <v>1609</v>
      </c>
      <c r="O706" s="7"/>
      <c r="P706" s="7" t="s">
        <v>1610</v>
      </c>
      <c r="Q706" s="7"/>
      <c r="R706" s="7"/>
      <c r="S706" s="3" t="s">
        <v>40</v>
      </c>
      <c r="T706" s="7" t="s">
        <v>41</v>
      </c>
      <c r="U706" s="7"/>
      <c r="V706" s="4" t="s">
        <v>42</v>
      </c>
      <c r="W706" s="4" t="s">
        <v>181</v>
      </c>
      <c r="X706" s="4" t="s">
        <v>182</v>
      </c>
      <c r="Y706" s="7" t="s">
        <v>78</v>
      </c>
      <c r="Z706" s="7"/>
      <c r="AA706" s="4" t="s">
        <v>46</v>
      </c>
      <c r="AB706" s="4" t="s">
        <v>47</v>
      </c>
      <c r="AC706" s="4" t="s">
        <v>79</v>
      </c>
      <c r="AD706" s="4" t="s">
        <v>80</v>
      </c>
      <c r="AE706" s="4" t="s">
        <v>48</v>
      </c>
      <c r="AF706" s="4" t="s">
        <v>41</v>
      </c>
      <c r="AG706" s="4" t="s">
        <v>1316</v>
      </c>
    </row>
    <row r="707" spans="1:33" ht="16.5" customHeight="1" x14ac:dyDescent="0.2">
      <c r="A707" s="2" t="s">
        <v>31</v>
      </c>
      <c r="B707" s="5" t="s">
        <v>54</v>
      </c>
      <c r="C707" s="5"/>
      <c r="D707" s="5"/>
      <c r="E707" s="6" t="s">
        <v>33</v>
      </c>
      <c r="F707" s="6"/>
      <c r="G707" s="7" t="s">
        <v>1311</v>
      </c>
      <c r="H707" s="7"/>
      <c r="I707" s="7"/>
      <c r="J707" s="3" t="s">
        <v>35</v>
      </c>
      <c r="K707" s="4" t="s">
        <v>97</v>
      </c>
      <c r="L707" s="4" t="s">
        <v>93</v>
      </c>
      <c r="N707" s="7" t="s">
        <v>1611</v>
      </c>
      <c r="O707" s="7"/>
      <c r="P707" s="7" t="s">
        <v>1612</v>
      </c>
      <c r="Q707" s="7"/>
      <c r="R707" s="7"/>
      <c r="S707" s="3" t="s">
        <v>40</v>
      </c>
      <c r="T707" s="7" t="s">
        <v>41</v>
      </c>
      <c r="U707" s="7"/>
      <c r="V707" s="4" t="s">
        <v>42</v>
      </c>
      <c r="W707" s="4" t="s">
        <v>68</v>
      </c>
      <c r="X707" s="4" t="s">
        <v>69</v>
      </c>
      <c r="Y707" s="7" t="s">
        <v>78</v>
      </c>
      <c r="Z707" s="7"/>
      <c r="AA707" s="4" t="s">
        <v>46</v>
      </c>
      <c r="AB707" s="4" t="s">
        <v>47</v>
      </c>
      <c r="AC707" s="4" t="s">
        <v>79</v>
      </c>
      <c r="AD707" s="4" t="s">
        <v>96</v>
      </c>
      <c r="AE707" s="4" t="s">
        <v>48</v>
      </c>
      <c r="AF707" s="4" t="s">
        <v>41</v>
      </c>
      <c r="AG707" s="4" t="s">
        <v>1316</v>
      </c>
    </row>
    <row r="708" spans="1:33" ht="16.5" customHeight="1" x14ac:dyDescent="0.2">
      <c r="A708" s="2" t="s">
        <v>31</v>
      </c>
      <c r="B708" s="5" t="s">
        <v>54</v>
      </c>
      <c r="C708" s="5"/>
      <c r="D708" s="5"/>
      <c r="E708" s="6" t="s">
        <v>33</v>
      </c>
      <c r="F708" s="6"/>
      <c r="G708" s="7" t="s">
        <v>1311</v>
      </c>
      <c r="H708" s="7"/>
      <c r="I708" s="7"/>
      <c r="J708" s="3" t="s">
        <v>35</v>
      </c>
      <c r="K708" s="4" t="s">
        <v>73</v>
      </c>
      <c r="L708" s="4" t="s">
        <v>37</v>
      </c>
      <c r="N708" s="7" t="s">
        <v>1613</v>
      </c>
      <c r="O708" s="7"/>
      <c r="P708" s="7" t="s">
        <v>1614</v>
      </c>
      <c r="Q708" s="7"/>
      <c r="R708" s="7"/>
      <c r="S708" s="3" t="s">
        <v>40</v>
      </c>
      <c r="T708" s="7" t="s">
        <v>41</v>
      </c>
      <c r="U708" s="7"/>
      <c r="V708" s="4" t="s">
        <v>42</v>
      </c>
      <c r="W708" s="4" t="s">
        <v>68</v>
      </c>
      <c r="X708" s="4" t="s">
        <v>69</v>
      </c>
      <c r="Y708" s="7" t="s">
        <v>78</v>
      </c>
      <c r="Z708" s="7"/>
      <c r="AA708" s="4" t="s">
        <v>46</v>
      </c>
      <c r="AB708" s="4" t="s">
        <v>47</v>
      </c>
      <c r="AC708" s="4" t="s">
        <v>79</v>
      </c>
      <c r="AD708" s="4" t="s">
        <v>80</v>
      </c>
      <c r="AE708" s="4" t="s">
        <v>48</v>
      </c>
      <c r="AF708" s="4" t="s">
        <v>41</v>
      </c>
      <c r="AG708" s="4" t="s">
        <v>1316</v>
      </c>
    </row>
    <row r="709" spans="1:33" ht="16.5" customHeight="1" x14ac:dyDescent="0.2">
      <c r="A709" s="2" t="s">
        <v>31</v>
      </c>
      <c r="B709" s="5" t="s">
        <v>54</v>
      </c>
      <c r="C709" s="5"/>
      <c r="D709" s="5"/>
      <c r="E709" s="6" t="s">
        <v>33</v>
      </c>
      <c r="F709" s="6"/>
      <c r="G709" s="7" t="s">
        <v>1311</v>
      </c>
      <c r="H709" s="7"/>
      <c r="I709" s="7"/>
      <c r="J709" s="3" t="s">
        <v>35</v>
      </c>
      <c r="K709" s="4" t="s">
        <v>81</v>
      </c>
      <c r="L709" s="4" t="s">
        <v>37</v>
      </c>
      <c r="N709" s="7" t="s">
        <v>1615</v>
      </c>
      <c r="O709" s="7"/>
      <c r="P709" s="7" t="s">
        <v>1616</v>
      </c>
      <c r="Q709" s="7"/>
      <c r="R709" s="7"/>
      <c r="S709" s="3" t="s">
        <v>40</v>
      </c>
      <c r="T709" s="7" t="s">
        <v>41</v>
      </c>
      <c r="U709" s="7"/>
      <c r="V709" s="4" t="s">
        <v>42</v>
      </c>
      <c r="W709" s="4" t="s">
        <v>68</v>
      </c>
      <c r="X709" s="4" t="s">
        <v>69</v>
      </c>
      <c r="Y709" s="7" t="s">
        <v>78</v>
      </c>
      <c r="Z709" s="7"/>
      <c r="AA709" s="4" t="s">
        <v>46</v>
      </c>
      <c r="AB709" s="4" t="s">
        <v>47</v>
      </c>
      <c r="AC709" s="4" t="s">
        <v>79</v>
      </c>
      <c r="AD709" s="4" t="s">
        <v>80</v>
      </c>
      <c r="AE709" s="4" t="s">
        <v>48</v>
      </c>
      <c r="AF709" s="4" t="s">
        <v>41</v>
      </c>
      <c r="AG709" s="4" t="s">
        <v>1316</v>
      </c>
    </row>
    <row r="710" spans="1:33" ht="16.5" customHeight="1" x14ac:dyDescent="0.2">
      <c r="A710" s="2" t="s">
        <v>31</v>
      </c>
      <c r="B710" s="5" t="s">
        <v>54</v>
      </c>
      <c r="C710" s="5"/>
      <c r="D710" s="5"/>
      <c r="E710" s="6" t="s">
        <v>33</v>
      </c>
      <c r="F710" s="6"/>
      <c r="G710" s="7" t="s">
        <v>1311</v>
      </c>
      <c r="H710" s="7"/>
      <c r="I710" s="7"/>
      <c r="J710" s="3" t="s">
        <v>35</v>
      </c>
      <c r="K710" s="4" t="s">
        <v>73</v>
      </c>
      <c r="L710" s="4" t="s">
        <v>37</v>
      </c>
      <c r="N710" s="7" t="s">
        <v>1617</v>
      </c>
      <c r="O710" s="7"/>
      <c r="P710" s="7" t="s">
        <v>1618</v>
      </c>
      <c r="Q710" s="7"/>
      <c r="R710" s="7"/>
      <c r="S710" s="3" t="s">
        <v>40</v>
      </c>
      <c r="T710" s="7" t="s">
        <v>41</v>
      </c>
      <c r="U710" s="7"/>
      <c r="V710" s="4" t="s">
        <v>42</v>
      </c>
      <c r="W710" s="4" t="s">
        <v>312</v>
      </c>
      <c r="X710" s="4" t="s">
        <v>313</v>
      </c>
      <c r="Y710" s="7" t="s">
        <v>78</v>
      </c>
      <c r="Z710" s="7"/>
      <c r="AA710" s="4" t="s">
        <v>46</v>
      </c>
      <c r="AB710" s="4" t="s">
        <v>47</v>
      </c>
      <c r="AC710" s="4" t="s">
        <v>79</v>
      </c>
      <c r="AD710" s="4" t="s">
        <v>80</v>
      </c>
      <c r="AE710" s="4" t="s">
        <v>48</v>
      </c>
      <c r="AF710" s="4" t="s">
        <v>41</v>
      </c>
      <c r="AG710" s="4" t="s">
        <v>1316</v>
      </c>
    </row>
    <row r="711" spans="1:33" ht="16.5" customHeight="1" x14ac:dyDescent="0.2">
      <c r="A711" s="2" t="s">
        <v>31</v>
      </c>
      <c r="B711" s="5" t="s">
        <v>54</v>
      </c>
      <c r="C711" s="5"/>
      <c r="D711" s="5"/>
      <c r="E711" s="6" t="s">
        <v>33</v>
      </c>
      <c r="F711" s="6"/>
      <c r="G711" s="7" t="s">
        <v>1311</v>
      </c>
      <c r="H711" s="7"/>
      <c r="I711" s="7"/>
      <c r="J711" s="3" t="s">
        <v>35</v>
      </c>
      <c r="K711" s="4" t="s">
        <v>97</v>
      </c>
      <c r="L711" s="4" t="s">
        <v>37</v>
      </c>
      <c r="N711" s="7" t="s">
        <v>1619</v>
      </c>
      <c r="O711" s="7"/>
      <c r="P711" s="7" t="s">
        <v>1620</v>
      </c>
      <c r="Q711" s="7"/>
      <c r="R711" s="7"/>
      <c r="S711" s="3" t="s">
        <v>40</v>
      </c>
      <c r="T711" s="7" t="s">
        <v>41</v>
      </c>
      <c r="U711" s="7"/>
      <c r="V711" s="4" t="s">
        <v>42</v>
      </c>
      <c r="W711" s="4" t="s">
        <v>312</v>
      </c>
      <c r="X711" s="4" t="s">
        <v>313</v>
      </c>
      <c r="Y711" s="7" t="s">
        <v>78</v>
      </c>
      <c r="Z711" s="7"/>
      <c r="AA711" s="4" t="s">
        <v>46</v>
      </c>
      <c r="AB711" s="4" t="s">
        <v>47</v>
      </c>
      <c r="AC711" s="4" t="s">
        <v>79</v>
      </c>
      <c r="AD711" s="4" t="s">
        <v>80</v>
      </c>
      <c r="AE711" s="4" t="s">
        <v>48</v>
      </c>
      <c r="AF711" s="4" t="s">
        <v>41</v>
      </c>
      <c r="AG711" s="4" t="s">
        <v>1316</v>
      </c>
    </row>
    <row r="712" spans="1:33" ht="16.5" customHeight="1" x14ac:dyDescent="0.2">
      <c r="A712" s="2" t="s">
        <v>31</v>
      </c>
      <c r="B712" s="5" t="s">
        <v>54</v>
      </c>
      <c r="C712" s="5"/>
      <c r="D712" s="5"/>
      <c r="E712" s="6" t="s">
        <v>33</v>
      </c>
      <c r="F712" s="6"/>
      <c r="G712" s="7" t="s">
        <v>1311</v>
      </c>
      <c r="H712" s="7"/>
      <c r="I712" s="7"/>
      <c r="J712" s="3" t="s">
        <v>35</v>
      </c>
      <c r="K712" s="4" t="s">
        <v>73</v>
      </c>
      <c r="L712" s="4" t="s">
        <v>37</v>
      </c>
      <c r="N712" s="7" t="s">
        <v>1621</v>
      </c>
      <c r="O712" s="7"/>
      <c r="P712" s="7" t="s">
        <v>1622</v>
      </c>
      <c r="Q712" s="7"/>
      <c r="R712" s="7"/>
      <c r="S712" s="3" t="s">
        <v>40</v>
      </c>
      <c r="T712" s="7" t="s">
        <v>41</v>
      </c>
      <c r="U712" s="7"/>
      <c r="V712" s="4" t="s">
        <v>42</v>
      </c>
      <c r="W712" s="4" t="s">
        <v>312</v>
      </c>
      <c r="X712" s="4" t="s">
        <v>313</v>
      </c>
      <c r="Y712" s="7" t="s">
        <v>78</v>
      </c>
      <c r="Z712" s="7"/>
      <c r="AA712" s="4" t="s">
        <v>46</v>
      </c>
      <c r="AB712" s="4" t="s">
        <v>47</v>
      </c>
      <c r="AC712" s="4" t="s">
        <v>79</v>
      </c>
      <c r="AD712" s="4" t="s">
        <v>80</v>
      </c>
      <c r="AE712" s="4" t="s">
        <v>48</v>
      </c>
      <c r="AF712" s="4" t="s">
        <v>41</v>
      </c>
      <c r="AG712" s="4" t="s">
        <v>1316</v>
      </c>
    </row>
    <row r="713" spans="1:33" ht="16.5" customHeight="1" x14ac:dyDescent="0.2">
      <c r="A713" s="2" t="s">
        <v>31</v>
      </c>
      <c r="B713" s="5" t="s">
        <v>54</v>
      </c>
      <c r="C713" s="5"/>
      <c r="D713" s="5"/>
      <c r="E713" s="6" t="s">
        <v>33</v>
      </c>
      <c r="F713" s="6"/>
      <c r="G713" s="7" t="s">
        <v>1311</v>
      </c>
      <c r="H713" s="7"/>
      <c r="I713" s="7"/>
      <c r="J713" s="3" t="s">
        <v>35</v>
      </c>
      <c r="K713" s="4" t="s">
        <v>97</v>
      </c>
      <c r="L713" s="4" t="s">
        <v>37</v>
      </c>
      <c r="N713" s="7" t="s">
        <v>1623</v>
      </c>
      <c r="O713" s="7"/>
      <c r="P713" s="7" t="s">
        <v>1624</v>
      </c>
      <c r="Q713" s="7"/>
      <c r="R713" s="7"/>
      <c r="S713" s="3" t="s">
        <v>40</v>
      </c>
      <c r="T713" s="7" t="s">
        <v>41</v>
      </c>
      <c r="U713" s="7"/>
      <c r="V713" s="4" t="s">
        <v>42</v>
      </c>
      <c r="W713" s="4" t="s">
        <v>76</v>
      </c>
      <c r="X713" s="4" t="s">
        <v>77</v>
      </c>
      <c r="Y713" s="7" t="s">
        <v>78</v>
      </c>
      <c r="Z713" s="7"/>
      <c r="AA713" s="4" t="s">
        <v>46</v>
      </c>
      <c r="AB713" s="4" t="s">
        <v>47</v>
      </c>
      <c r="AC713" s="4" t="s">
        <v>79</v>
      </c>
      <c r="AD713" s="4" t="s">
        <v>80</v>
      </c>
      <c r="AE713" s="4" t="s">
        <v>48</v>
      </c>
      <c r="AF713" s="4" t="s">
        <v>41</v>
      </c>
      <c r="AG713" s="4" t="s">
        <v>1316</v>
      </c>
    </row>
    <row r="714" spans="1:33" ht="16.5" customHeight="1" x14ac:dyDescent="0.2">
      <c r="A714" s="2" t="s">
        <v>31</v>
      </c>
      <c r="B714" s="5" t="s">
        <v>54</v>
      </c>
      <c r="C714" s="5"/>
      <c r="D714" s="5"/>
      <c r="E714" s="6" t="s">
        <v>33</v>
      </c>
      <c r="F714" s="6"/>
      <c r="G714" s="7" t="s">
        <v>1311</v>
      </c>
      <c r="H714" s="7"/>
      <c r="I714" s="7"/>
      <c r="J714" s="3" t="s">
        <v>35</v>
      </c>
      <c r="K714" s="4" t="s">
        <v>73</v>
      </c>
      <c r="L714" s="4" t="s">
        <v>37</v>
      </c>
      <c r="N714" s="7" t="s">
        <v>1625</v>
      </c>
      <c r="O714" s="7"/>
      <c r="P714" s="7" t="s">
        <v>1626</v>
      </c>
      <c r="Q714" s="7"/>
      <c r="R714" s="7"/>
      <c r="S714" s="3" t="s">
        <v>40</v>
      </c>
      <c r="T714" s="7" t="s">
        <v>41</v>
      </c>
      <c r="U714" s="7"/>
      <c r="V714" s="4" t="s">
        <v>42</v>
      </c>
      <c r="W714" s="4" t="s">
        <v>90</v>
      </c>
      <c r="X714" s="4" t="s">
        <v>91</v>
      </c>
      <c r="Y714" s="7" t="s">
        <v>78</v>
      </c>
      <c r="Z714" s="7"/>
      <c r="AA714" s="4" t="s">
        <v>46</v>
      </c>
      <c r="AB714" s="4" t="s">
        <v>47</v>
      </c>
      <c r="AC714" s="4" t="s">
        <v>79</v>
      </c>
      <c r="AD714" s="4" t="s">
        <v>80</v>
      </c>
      <c r="AE714" s="4" t="s">
        <v>48</v>
      </c>
      <c r="AF714" s="4" t="s">
        <v>41</v>
      </c>
      <c r="AG714" s="4" t="s">
        <v>1316</v>
      </c>
    </row>
    <row r="715" spans="1:33" ht="16.5" customHeight="1" x14ac:dyDescent="0.2">
      <c r="A715" s="2" t="s">
        <v>31</v>
      </c>
      <c r="B715" s="5" t="s">
        <v>54</v>
      </c>
      <c r="C715" s="5"/>
      <c r="D715" s="5"/>
      <c r="E715" s="6" t="s">
        <v>33</v>
      </c>
      <c r="F715" s="6"/>
      <c r="G715" s="7" t="s">
        <v>1311</v>
      </c>
      <c r="H715" s="7"/>
      <c r="I715" s="7"/>
      <c r="J715" s="3" t="s">
        <v>35</v>
      </c>
      <c r="K715" s="4" t="s">
        <v>73</v>
      </c>
      <c r="L715" s="4" t="s">
        <v>37</v>
      </c>
      <c r="N715" s="7" t="s">
        <v>1627</v>
      </c>
      <c r="O715" s="7"/>
      <c r="P715" s="7" t="s">
        <v>1628</v>
      </c>
      <c r="Q715" s="7"/>
      <c r="R715" s="7"/>
      <c r="S715" s="3" t="s">
        <v>40</v>
      </c>
      <c r="T715" s="7" t="s">
        <v>41</v>
      </c>
      <c r="U715" s="7"/>
      <c r="V715" s="4" t="s">
        <v>42</v>
      </c>
      <c r="W715" s="4" t="s">
        <v>102</v>
      </c>
      <c r="X715" s="4" t="s">
        <v>103</v>
      </c>
      <c r="Y715" s="7" t="s">
        <v>78</v>
      </c>
      <c r="Z715" s="7"/>
      <c r="AA715" s="4" t="s">
        <v>46</v>
      </c>
      <c r="AB715" s="4" t="s">
        <v>47</v>
      </c>
      <c r="AC715" s="4" t="s">
        <v>79</v>
      </c>
      <c r="AD715" s="4" t="s">
        <v>80</v>
      </c>
      <c r="AE715" s="4" t="s">
        <v>48</v>
      </c>
      <c r="AF715" s="4" t="s">
        <v>41</v>
      </c>
      <c r="AG715" s="4" t="s">
        <v>1316</v>
      </c>
    </row>
    <row r="716" spans="1:33" ht="16.5" customHeight="1" x14ac:dyDescent="0.2">
      <c r="A716" s="2" t="s">
        <v>31</v>
      </c>
      <c r="B716" s="5" t="s">
        <v>54</v>
      </c>
      <c r="C716" s="5"/>
      <c r="D716" s="5"/>
      <c r="E716" s="6" t="s">
        <v>33</v>
      </c>
      <c r="F716" s="6"/>
      <c r="G716" s="7" t="s">
        <v>1311</v>
      </c>
      <c r="H716" s="7"/>
      <c r="I716" s="7"/>
      <c r="J716" s="3" t="s">
        <v>35</v>
      </c>
      <c r="K716" s="4" t="s">
        <v>73</v>
      </c>
      <c r="L716" s="4" t="s">
        <v>37</v>
      </c>
      <c r="N716" s="7" t="s">
        <v>1629</v>
      </c>
      <c r="O716" s="7"/>
      <c r="P716" s="7" t="s">
        <v>1630</v>
      </c>
      <c r="Q716" s="7"/>
      <c r="R716" s="7"/>
      <c r="S716" s="3" t="s">
        <v>40</v>
      </c>
      <c r="T716" s="7" t="s">
        <v>41</v>
      </c>
      <c r="U716" s="7"/>
      <c r="V716" s="4" t="s">
        <v>42</v>
      </c>
      <c r="W716" s="4" t="s">
        <v>58</v>
      </c>
      <c r="X716" s="4" t="s">
        <v>59</v>
      </c>
      <c r="Y716" s="7" t="s">
        <v>78</v>
      </c>
      <c r="Z716" s="7"/>
      <c r="AA716" s="4" t="s">
        <v>46</v>
      </c>
      <c r="AB716" s="4" t="s">
        <v>47</v>
      </c>
      <c r="AC716" s="4" t="s">
        <v>79</v>
      </c>
      <c r="AD716" s="4" t="s">
        <v>80</v>
      </c>
      <c r="AE716" s="4" t="s">
        <v>48</v>
      </c>
      <c r="AF716" s="4" t="s">
        <v>41</v>
      </c>
      <c r="AG716" s="4" t="s">
        <v>1316</v>
      </c>
    </row>
    <row r="717" spans="1:33" ht="16.5" customHeight="1" x14ac:dyDescent="0.2">
      <c r="A717" s="2" t="s">
        <v>31</v>
      </c>
      <c r="B717" s="5" t="s">
        <v>54</v>
      </c>
      <c r="C717" s="5"/>
      <c r="D717" s="5"/>
      <c r="E717" s="6" t="s">
        <v>33</v>
      </c>
      <c r="F717" s="6"/>
      <c r="G717" s="7" t="s">
        <v>1311</v>
      </c>
      <c r="H717" s="7"/>
      <c r="I717" s="7"/>
      <c r="J717" s="3" t="s">
        <v>35</v>
      </c>
      <c r="K717" s="4" t="s">
        <v>73</v>
      </c>
      <c r="L717" s="4" t="s">
        <v>37</v>
      </c>
      <c r="N717" s="7" t="s">
        <v>1631</v>
      </c>
      <c r="O717" s="7"/>
      <c r="P717" s="7" t="s">
        <v>1632</v>
      </c>
      <c r="Q717" s="7"/>
      <c r="R717" s="7"/>
      <c r="S717" s="3" t="s">
        <v>40</v>
      </c>
      <c r="T717" s="7" t="s">
        <v>41</v>
      </c>
      <c r="U717" s="7"/>
      <c r="V717" s="4" t="s">
        <v>42</v>
      </c>
      <c r="W717" s="4" t="s">
        <v>58</v>
      </c>
      <c r="X717" s="4" t="s">
        <v>59</v>
      </c>
      <c r="Y717" s="7" t="s">
        <v>78</v>
      </c>
      <c r="Z717" s="7"/>
      <c r="AA717" s="4" t="s">
        <v>46</v>
      </c>
      <c r="AB717" s="4" t="s">
        <v>47</v>
      </c>
      <c r="AC717" s="4" t="s">
        <v>79</v>
      </c>
      <c r="AD717" s="4" t="s">
        <v>80</v>
      </c>
      <c r="AE717" s="4" t="s">
        <v>48</v>
      </c>
      <c r="AF717" s="4" t="s">
        <v>41</v>
      </c>
      <c r="AG717" s="4" t="s">
        <v>1316</v>
      </c>
    </row>
    <row r="718" spans="1:33" ht="16.5" customHeight="1" x14ac:dyDescent="0.2">
      <c r="A718" s="2" t="s">
        <v>31</v>
      </c>
      <c r="B718" s="5" t="s">
        <v>54</v>
      </c>
      <c r="C718" s="5"/>
      <c r="D718" s="5"/>
      <c r="E718" s="6" t="s">
        <v>33</v>
      </c>
      <c r="F718" s="6"/>
      <c r="G718" s="7" t="s">
        <v>1311</v>
      </c>
      <c r="H718" s="7"/>
      <c r="I718" s="7"/>
      <c r="J718" s="3" t="s">
        <v>35</v>
      </c>
      <c r="K718" s="4" t="s">
        <v>73</v>
      </c>
      <c r="L718" s="4" t="s">
        <v>280</v>
      </c>
      <c r="N718" s="7" t="s">
        <v>1633</v>
      </c>
      <c r="O718" s="7"/>
      <c r="P718" s="7" t="s">
        <v>1634</v>
      </c>
      <c r="Q718" s="7"/>
      <c r="R718" s="7"/>
      <c r="S718" s="3" t="s">
        <v>40</v>
      </c>
      <c r="T718" s="7" t="s">
        <v>41</v>
      </c>
      <c r="U718" s="7"/>
      <c r="V718" s="4" t="s">
        <v>42</v>
      </c>
      <c r="W718" s="4" t="s">
        <v>58</v>
      </c>
      <c r="X718" s="4" t="s">
        <v>59</v>
      </c>
      <c r="Y718" s="7" t="s">
        <v>78</v>
      </c>
      <c r="Z718" s="7"/>
      <c r="AA718" s="4" t="s">
        <v>46</v>
      </c>
      <c r="AB718" s="4" t="s">
        <v>47</v>
      </c>
      <c r="AC718" s="4" t="s">
        <v>79</v>
      </c>
      <c r="AD718" s="4" t="s">
        <v>285</v>
      </c>
      <c r="AE718" s="4" t="s">
        <v>48</v>
      </c>
      <c r="AF718" s="4" t="s">
        <v>41</v>
      </c>
      <c r="AG718" s="4" t="s">
        <v>1316</v>
      </c>
    </row>
    <row r="719" spans="1:33" ht="16.5" customHeight="1" x14ac:dyDescent="0.2">
      <c r="A719" s="2" t="s">
        <v>31</v>
      </c>
      <c r="B719" s="5" t="s">
        <v>54</v>
      </c>
      <c r="C719" s="5"/>
      <c r="D719" s="5"/>
      <c r="E719" s="6" t="s">
        <v>33</v>
      </c>
      <c r="F719" s="6"/>
      <c r="G719" s="7" t="s">
        <v>1311</v>
      </c>
      <c r="H719" s="7"/>
      <c r="I719" s="7"/>
      <c r="J719" s="3" t="s">
        <v>35</v>
      </c>
      <c r="K719" s="4" t="s">
        <v>123</v>
      </c>
      <c r="L719" s="4" t="s">
        <v>37</v>
      </c>
      <c r="N719" s="7" t="s">
        <v>1635</v>
      </c>
      <c r="O719" s="7"/>
      <c r="P719" s="7" t="s">
        <v>1636</v>
      </c>
      <c r="Q719" s="7"/>
      <c r="R719" s="7"/>
      <c r="S719" s="3" t="s">
        <v>40</v>
      </c>
      <c r="T719" s="7" t="s">
        <v>41</v>
      </c>
      <c r="U719" s="7"/>
      <c r="V719" s="4" t="s">
        <v>42</v>
      </c>
      <c r="W719" s="4" t="s">
        <v>58</v>
      </c>
      <c r="X719" s="4" t="s">
        <v>59</v>
      </c>
      <c r="Y719" s="7" t="s">
        <v>60</v>
      </c>
      <c r="Z719" s="7"/>
      <c r="AA719" s="4" t="s">
        <v>46</v>
      </c>
      <c r="AB719" s="4" t="s">
        <v>47</v>
      </c>
      <c r="AC719" s="4" t="s">
        <v>61</v>
      </c>
      <c r="AD719" s="4" t="s">
        <v>62</v>
      </c>
      <c r="AE719" s="4" t="s">
        <v>48</v>
      </c>
      <c r="AF719" s="4" t="s">
        <v>41</v>
      </c>
      <c r="AG719" s="4" t="s">
        <v>1316</v>
      </c>
    </row>
    <row r="720" spans="1:33" ht="16.5" customHeight="1" x14ac:dyDescent="0.2">
      <c r="A720" s="2" t="s">
        <v>31</v>
      </c>
      <c r="B720" s="5" t="s">
        <v>54</v>
      </c>
      <c r="C720" s="5"/>
      <c r="D720" s="5"/>
      <c r="E720" s="6" t="s">
        <v>33</v>
      </c>
      <c r="F720" s="6"/>
      <c r="G720" s="7" t="s">
        <v>1311</v>
      </c>
      <c r="H720" s="7"/>
      <c r="I720" s="7"/>
      <c r="J720" s="3" t="s">
        <v>35</v>
      </c>
      <c r="K720" s="4" t="s">
        <v>73</v>
      </c>
      <c r="L720" s="4" t="s">
        <v>37</v>
      </c>
      <c r="N720" s="7" t="s">
        <v>1637</v>
      </c>
      <c r="O720" s="7"/>
      <c r="P720" s="7" t="s">
        <v>1638</v>
      </c>
      <c r="Q720" s="7"/>
      <c r="R720" s="7"/>
      <c r="S720" s="3" t="s">
        <v>40</v>
      </c>
      <c r="T720" s="7" t="s">
        <v>41</v>
      </c>
      <c r="U720" s="7"/>
      <c r="V720" s="4" t="s">
        <v>42</v>
      </c>
      <c r="W720" s="4" t="s">
        <v>58</v>
      </c>
      <c r="X720" s="4" t="s">
        <v>59</v>
      </c>
      <c r="Y720" s="7" t="s">
        <v>78</v>
      </c>
      <c r="Z720" s="7"/>
      <c r="AA720" s="4" t="s">
        <v>46</v>
      </c>
      <c r="AB720" s="4" t="s">
        <v>47</v>
      </c>
      <c r="AC720" s="4" t="s">
        <v>79</v>
      </c>
      <c r="AD720" s="4" t="s">
        <v>80</v>
      </c>
      <c r="AE720" s="4" t="s">
        <v>48</v>
      </c>
      <c r="AF720" s="4" t="s">
        <v>41</v>
      </c>
      <c r="AG720" s="4" t="s">
        <v>1316</v>
      </c>
    </row>
    <row r="721" spans="1:33" ht="16.5" customHeight="1" x14ac:dyDescent="0.2">
      <c r="A721" s="2" t="s">
        <v>31</v>
      </c>
      <c r="B721" s="5" t="s">
        <v>54</v>
      </c>
      <c r="C721" s="5"/>
      <c r="D721" s="5"/>
      <c r="E721" s="6" t="s">
        <v>33</v>
      </c>
      <c r="F721" s="6"/>
      <c r="G721" s="7" t="s">
        <v>1311</v>
      </c>
      <c r="H721" s="7"/>
      <c r="I721" s="7"/>
      <c r="J721" s="3" t="s">
        <v>35</v>
      </c>
      <c r="K721" s="4" t="s">
        <v>73</v>
      </c>
      <c r="L721" s="4" t="s">
        <v>37</v>
      </c>
      <c r="N721" s="7" t="s">
        <v>1637</v>
      </c>
      <c r="O721" s="7"/>
      <c r="P721" s="7" t="s">
        <v>1638</v>
      </c>
      <c r="Q721" s="7"/>
      <c r="R721" s="7"/>
      <c r="S721" s="3" t="s">
        <v>40</v>
      </c>
      <c r="T721" s="7" t="s">
        <v>41</v>
      </c>
      <c r="U721" s="7"/>
      <c r="V721" s="4" t="s">
        <v>51</v>
      </c>
      <c r="W721" s="4" t="s">
        <v>58</v>
      </c>
      <c r="X721" s="4" t="s">
        <v>128</v>
      </c>
      <c r="Y721" s="7" t="s">
        <v>78</v>
      </c>
      <c r="Z721" s="7"/>
      <c r="AA721" s="4" t="s">
        <v>46</v>
      </c>
      <c r="AB721" s="4" t="s">
        <v>47</v>
      </c>
      <c r="AC721" s="4" t="s">
        <v>79</v>
      </c>
      <c r="AD721" s="4" t="s">
        <v>80</v>
      </c>
      <c r="AE721" s="4" t="s">
        <v>48</v>
      </c>
      <c r="AF721" s="4" t="s">
        <v>41</v>
      </c>
      <c r="AG721" s="4" t="s">
        <v>1316</v>
      </c>
    </row>
    <row r="722" spans="1:33" ht="16.5" customHeight="1" x14ac:dyDescent="0.2">
      <c r="A722" s="2" t="s">
        <v>31</v>
      </c>
      <c r="B722" s="5" t="s">
        <v>54</v>
      </c>
      <c r="C722" s="5"/>
      <c r="D722" s="5"/>
      <c r="E722" s="6" t="s">
        <v>33</v>
      </c>
      <c r="F722" s="6"/>
      <c r="G722" s="7" t="s">
        <v>1311</v>
      </c>
      <c r="H722" s="7"/>
      <c r="I722" s="7"/>
      <c r="J722" s="3" t="s">
        <v>35</v>
      </c>
      <c r="K722" s="4" t="s">
        <v>657</v>
      </c>
      <c r="L722" s="4" t="s">
        <v>37</v>
      </c>
      <c r="N722" s="7" t="s">
        <v>1639</v>
      </c>
      <c r="O722" s="7"/>
      <c r="P722" s="7" t="s">
        <v>1640</v>
      </c>
      <c r="Q722" s="7"/>
      <c r="R722" s="7"/>
      <c r="S722" s="3" t="s">
        <v>40</v>
      </c>
      <c r="T722" s="7" t="s">
        <v>41</v>
      </c>
      <c r="U722" s="7"/>
      <c r="V722" s="4" t="s">
        <v>42</v>
      </c>
      <c r="W722" s="4" t="s">
        <v>172</v>
      </c>
      <c r="X722" s="4" t="s">
        <v>386</v>
      </c>
      <c r="Y722" s="7" t="s">
        <v>197</v>
      </c>
      <c r="Z722" s="7"/>
      <c r="AA722" s="4" t="s">
        <v>46</v>
      </c>
      <c r="AB722" s="4" t="s">
        <v>47</v>
      </c>
      <c r="AC722" s="4" t="s">
        <v>136</v>
      </c>
      <c r="AD722" s="4" t="s">
        <v>137</v>
      </c>
      <c r="AE722" s="4" t="s">
        <v>48</v>
      </c>
      <c r="AF722" s="4" t="s">
        <v>41</v>
      </c>
      <c r="AG722" s="4" t="s">
        <v>1316</v>
      </c>
    </row>
    <row r="723" spans="1:33" ht="16.5" customHeight="1" x14ac:dyDescent="0.2">
      <c r="A723" s="2" t="s">
        <v>31</v>
      </c>
      <c r="B723" s="5" t="s">
        <v>54</v>
      </c>
      <c r="C723" s="5"/>
      <c r="D723" s="5"/>
      <c r="E723" s="6" t="s">
        <v>33</v>
      </c>
      <c r="F723" s="6"/>
      <c r="G723" s="7" t="s">
        <v>1311</v>
      </c>
      <c r="H723" s="7"/>
      <c r="I723" s="7"/>
      <c r="J723" s="3" t="s">
        <v>35</v>
      </c>
      <c r="K723" s="4" t="s">
        <v>657</v>
      </c>
      <c r="L723" s="4" t="s">
        <v>37</v>
      </c>
      <c r="N723" s="7" t="s">
        <v>1639</v>
      </c>
      <c r="O723" s="7"/>
      <c r="P723" s="7" t="s">
        <v>1640</v>
      </c>
      <c r="Q723" s="7"/>
      <c r="R723" s="7"/>
      <c r="S723" s="3" t="s">
        <v>40</v>
      </c>
      <c r="T723" s="7" t="s">
        <v>41</v>
      </c>
      <c r="U723" s="7"/>
      <c r="V723" s="4" t="s">
        <v>51</v>
      </c>
      <c r="W723" s="4" t="s">
        <v>172</v>
      </c>
      <c r="X723" s="4" t="s">
        <v>59</v>
      </c>
      <c r="Y723" s="7" t="s">
        <v>197</v>
      </c>
      <c r="Z723" s="7"/>
      <c r="AA723" s="4" t="s">
        <v>46</v>
      </c>
      <c r="AB723" s="4" t="s">
        <v>47</v>
      </c>
      <c r="AC723" s="4" t="s">
        <v>136</v>
      </c>
      <c r="AD723" s="4" t="s">
        <v>137</v>
      </c>
      <c r="AE723" s="4" t="s">
        <v>48</v>
      </c>
      <c r="AF723" s="4" t="s">
        <v>41</v>
      </c>
      <c r="AG723" s="4" t="s">
        <v>1316</v>
      </c>
    </row>
    <row r="724" spans="1:33" ht="16.5" customHeight="1" x14ac:dyDescent="0.2">
      <c r="A724" s="2" t="s">
        <v>31</v>
      </c>
      <c r="B724" s="5" t="s">
        <v>54</v>
      </c>
      <c r="C724" s="5"/>
      <c r="D724" s="5"/>
      <c r="E724" s="6" t="s">
        <v>33</v>
      </c>
      <c r="F724" s="6"/>
      <c r="G724" s="7" t="s">
        <v>1311</v>
      </c>
      <c r="H724" s="7"/>
      <c r="I724" s="7"/>
      <c r="J724" s="3" t="s">
        <v>35</v>
      </c>
      <c r="K724" s="4" t="s">
        <v>73</v>
      </c>
      <c r="L724" s="4" t="s">
        <v>37</v>
      </c>
      <c r="N724" s="7" t="s">
        <v>1641</v>
      </c>
      <c r="O724" s="7"/>
      <c r="P724" s="7" t="s">
        <v>1642</v>
      </c>
      <c r="Q724" s="7"/>
      <c r="R724" s="7"/>
      <c r="S724" s="3" t="s">
        <v>40</v>
      </c>
      <c r="T724" s="7" t="s">
        <v>41</v>
      </c>
      <c r="U724" s="7"/>
      <c r="V724" s="4" t="s">
        <v>42</v>
      </c>
      <c r="W724" s="4" t="s">
        <v>172</v>
      </c>
      <c r="X724" s="4" t="s">
        <v>386</v>
      </c>
      <c r="Y724" s="7" t="s">
        <v>78</v>
      </c>
      <c r="Z724" s="7"/>
      <c r="AA724" s="4" t="s">
        <v>46</v>
      </c>
      <c r="AB724" s="4" t="s">
        <v>47</v>
      </c>
      <c r="AC724" s="4" t="s">
        <v>79</v>
      </c>
      <c r="AD724" s="4" t="s">
        <v>80</v>
      </c>
      <c r="AE724" s="4" t="s">
        <v>48</v>
      </c>
      <c r="AF724" s="4" t="s">
        <v>41</v>
      </c>
      <c r="AG724" s="4" t="s">
        <v>1316</v>
      </c>
    </row>
    <row r="725" spans="1:33" ht="16.5" customHeight="1" x14ac:dyDescent="0.2">
      <c r="A725" s="2" t="s">
        <v>31</v>
      </c>
      <c r="B725" s="5" t="s">
        <v>54</v>
      </c>
      <c r="C725" s="5"/>
      <c r="D725" s="5"/>
      <c r="E725" s="6" t="s">
        <v>33</v>
      </c>
      <c r="F725" s="6"/>
      <c r="G725" s="7" t="s">
        <v>1311</v>
      </c>
      <c r="H725" s="7"/>
      <c r="I725" s="7"/>
      <c r="J725" s="3" t="s">
        <v>35</v>
      </c>
      <c r="K725" s="4" t="s">
        <v>73</v>
      </c>
      <c r="L725" s="4" t="s">
        <v>37</v>
      </c>
      <c r="N725" s="7" t="s">
        <v>1641</v>
      </c>
      <c r="O725" s="7"/>
      <c r="P725" s="7" t="s">
        <v>1642</v>
      </c>
      <c r="Q725" s="7"/>
      <c r="R725" s="7"/>
      <c r="S725" s="3" t="s">
        <v>40</v>
      </c>
      <c r="T725" s="7" t="s">
        <v>41</v>
      </c>
      <c r="U725" s="7"/>
      <c r="V725" s="4" t="s">
        <v>51</v>
      </c>
      <c r="W725" s="4" t="s">
        <v>172</v>
      </c>
      <c r="X725" s="4" t="s">
        <v>59</v>
      </c>
      <c r="Y725" s="7" t="s">
        <v>78</v>
      </c>
      <c r="Z725" s="7"/>
      <c r="AA725" s="4" t="s">
        <v>46</v>
      </c>
      <c r="AB725" s="4" t="s">
        <v>47</v>
      </c>
      <c r="AC725" s="4" t="s">
        <v>79</v>
      </c>
      <c r="AD725" s="4" t="s">
        <v>80</v>
      </c>
      <c r="AE725" s="4" t="s">
        <v>48</v>
      </c>
      <c r="AF725" s="4" t="s">
        <v>41</v>
      </c>
      <c r="AG725" s="4" t="s">
        <v>1316</v>
      </c>
    </row>
    <row r="726" spans="1:33" ht="16.5" customHeight="1" x14ac:dyDescent="0.2">
      <c r="A726" s="2" t="s">
        <v>31</v>
      </c>
      <c r="B726" s="5" t="s">
        <v>54</v>
      </c>
      <c r="C726" s="5"/>
      <c r="D726" s="5"/>
      <c r="E726" s="6" t="s">
        <v>33</v>
      </c>
      <c r="F726" s="6"/>
      <c r="G726" s="7" t="s">
        <v>1311</v>
      </c>
      <c r="H726" s="7"/>
      <c r="I726" s="7"/>
      <c r="J726" s="3" t="s">
        <v>35</v>
      </c>
      <c r="K726" s="4" t="s">
        <v>97</v>
      </c>
      <c r="L726" s="4" t="s">
        <v>37</v>
      </c>
      <c r="N726" s="7" t="s">
        <v>1643</v>
      </c>
      <c r="O726" s="7"/>
      <c r="P726" s="7" t="s">
        <v>1644</v>
      </c>
      <c r="Q726" s="7"/>
      <c r="R726" s="7"/>
      <c r="S726" s="3" t="s">
        <v>40</v>
      </c>
      <c r="T726" s="7" t="s">
        <v>41</v>
      </c>
      <c r="U726" s="7"/>
      <c r="V726" s="4" t="s">
        <v>51</v>
      </c>
      <c r="W726" s="4" t="s">
        <v>107</v>
      </c>
      <c r="X726" s="4" t="s">
        <v>386</v>
      </c>
      <c r="Y726" s="7" t="s">
        <v>78</v>
      </c>
      <c r="Z726" s="7"/>
      <c r="AA726" s="4" t="s">
        <v>46</v>
      </c>
      <c r="AB726" s="4" t="s">
        <v>47</v>
      </c>
      <c r="AC726" s="4" t="s">
        <v>79</v>
      </c>
      <c r="AD726" s="4" t="s">
        <v>80</v>
      </c>
      <c r="AE726" s="4" t="s">
        <v>48</v>
      </c>
      <c r="AF726" s="4" t="s">
        <v>41</v>
      </c>
      <c r="AG726" s="4" t="s">
        <v>1316</v>
      </c>
    </row>
    <row r="727" spans="1:33" ht="16.5" customHeight="1" x14ac:dyDescent="0.2">
      <c r="A727" s="2" t="s">
        <v>31</v>
      </c>
      <c r="B727" s="5" t="s">
        <v>54</v>
      </c>
      <c r="C727" s="5"/>
      <c r="D727" s="5"/>
      <c r="E727" s="6" t="s">
        <v>33</v>
      </c>
      <c r="F727" s="6"/>
      <c r="G727" s="7" t="s">
        <v>1311</v>
      </c>
      <c r="H727" s="7"/>
      <c r="I727" s="7"/>
      <c r="J727" s="3" t="s">
        <v>35</v>
      </c>
      <c r="K727" s="4" t="s">
        <v>73</v>
      </c>
      <c r="L727" s="4" t="s">
        <v>37</v>
      </c>
      <c r="N727" s="7" t="s">
        <v>1645</v>
      </c>
      <c r="O727" s="7"/>
      <c r="P727" s="7" t="s">
        <v>1646</v>
      </c>
      <c r="Q727" s="7"/>
      <c r="R727" s="7"/>
      <c r="S727" s="3" t="s">
        <v>40</v>
      </c>
      <c r="T727" s="7" t="s">
        <v>41</v>
      </c>
      <c r="U727" s="7"/>
      <c r="V727" s="4" t="s">
        <v>42</v>
      </c>
      <c r="W727" s="4" t="s">
        <v>58</v>
      </c>
      <c r="X727" s="4" t="s">
        <v>59</v>
      </c>
      <c r="Y727" s="7" t="s">
        <v>78</v>
      </c>
      <c r="Z727" s="7"/>
      <c r="AA727" s="4" t="s">
        <v>46</v>
      </c>
      <c r="AB727" s="4" t="s">
        <v>47</v>
      </c>
      <c r="AC727" s="4" t="s">
        <v>79</v>
      </c>
      <c r="AD727" s="4" t="s">
        <v>80</v>
      </c>
      <c r="AE727" s="4" t="s">
        <v>48</v>
      </c>
      <c r="AF727" s="4" t="s">
        <v>41</v>
      </c>
      <c r="AG727" s="4" t="s">
        <v>1316</v>
      </c>
    </row>
    <row r="728" spans="1:33" ht="16.5" customHeight="1" x14ac:dyDescent="0.2">
      <c r="A728" s="2" t="s">
        <v>31</v>
      </c>
      <c r="B728" s="5" t="s">
        <v>54</v>
      </c>
      <c r="C728" s="5"/>
      <c r="D728" s="5"/>
      <c r="E728" s="6" t="s">
        <v>33</v>
      </c>
      <c r="F728" s="6"/>
      <c r="G728" s="7" t="s">
        <v>1311</v>
      </c>
      <c r="H728" s="7"/>
      <c r="I728" s="7"/>
      <c r="J728" s="3" t="s">
        <v>35</v>
      </c>
      <c r="K728" s="4" t="s">
        <v>97</v>
      </c>
      <c r="L728" s="4" t="s">
        <v>37</v>
      </c>
      <c r="N728" s="7" t="s">
        <v>1647</v>
      </c>
      <c r="O728" s="7"/>
      <c r="P728" s="7" t="s">
        <v>1648</v>
      </c>
      <c r="Q728" s="7"/>
      <c r="R728" s="7"/>
      <c r="S728" s="3" t="s">
        <v>40</v>
      </c>
      <c r="T728" s="7" t="s">
        <v>41</v>
      </c>
      <c r="U728" s="7"/>
      <c r="V728" s="4" t="s">
        <v>42</v>
      </c>
      <c r="W728" s="4" t="s">
        <v>58</v>
      </c>
      <c r="X728" s="4" t="s">
        <v>59</v>
      </c>
      <c r="Y728" s="7" t="s">
        <v>78</v>
      </c>
      <c r="Z728" s="7"/>
      <c r="AA728" s="4" t="s">
        <v>46</v>
      </c>
      <c r="AB728" s="4" t="s">
        <v>47</v>
      </c>
      <c r="AC728" s="4" t="s">
        <v>79</v>
      </c>
      <c r="AD728" s="4" t="s">
        <v>80</v>
      </c>
      <c r="AE728" s="4" t="s">
        <v>48</v>
      </c>
      <c r="AF728" s="4" t="s">
        <v>41</v>
      </c>
      <c r="AG728" s="4" t="s">
        <v>1316</v>
      </c>
    </row>
    <row r="729" spans="1:33" ht="16.5" customHeight="1" x14ac:dyDescent="0.2">
      <c r="A729" s="2" t="s">
        <v>31</v>
      </c>
      <c r="B729" s="5" t="s">
        <v>54</v>
      </c>
      <c r="C729" s="5"/>
      <c r="D729" s="5"/>
      <c r="E729" s="6" t="s">
        <v>33</v>
      </c>
      <c r="F729" s="6"/>
      <c r="G729" s="7" t="s">
        <v>1311</v>
      </c>
      <c r="H729" s="7"/>
      <c r="I729" s="7"/>
      <c r="J729" s="3" t="s">
        <v>35</v>
      </c>
      <c r="K729" s="4" t="s">
        <v>73</v>
      </c>
      <c r="L729" s="4" t="s">
        <v>93</v>
      </c>
      <c r="N729" s="7" t="s">
        <v>1649</v>
      </c>
      <c r="O729" s="7"/>
      <c r="P729" s="7" t="s">
        <v>1650</v>
      </c>
      <c r="Q729" s="7"/>
      <c r="R729" s="7"/>
      <c r="S729" s="3" t="s">
        <v>40</v>
      </c>
      <c r="T729" s="7" t="s">
        <v>41</v>
      </c>
      <c r="U729" s="7"/>
      <c r="V729" s="4" t="s">
        <v>42</v>
      </c>
      <c r="W729" s="4" t="s">
        <v>58</v>
      </c>
      <c r="X729" s="4" t="s">
        <v>59</v>
      </c>
      <c r="Y729" s="7" t="s">
        <v>78</v>
      </c>
      <c r="Z729" s="7"/>
      <c r="AA729" s="4" t="s">
        <v>46</v>
      </c>
      <c r="AB729" s="4" t="s">
        <v>47</v>
      </c>
      <c r="AC729" s="4" t="s">
        <v>79</v>
      </c>
      <c r="AD729" s="4" t="s">
        <v>96</v>
      </c>
      <c r="AE729" s="4" t="s">
        <v>48</v>
      </c>
      <c r="AF729" s="4" t="s">
        <v>41</v>
      </c>
      <c r="AG729" s="4" t="s">
        <v>1316</v>
      </c>
    </row>
    <row r="730" spans="1:33" ht="16.5" customHeight="1" x14ac:dyDescent="0.2">
      <c r="A730" s="2" t="s">
        <v>31</v>
      </c>
      <c r="B730" s="5" t="s">
        <v>54</v>
      </c>
      <c r="C730" s="5"/>
      <c r="D730" s="5"/>
      <c r="E730" s="6" t="s">
        <v>33</v>
      </c>
      <c r="F730" s="6"/>
      <c r="G730" s="7" t="s">
        <v>1311</v>
      </c>
      <c r="H730" s="7"/>
      <c r="I730" s="7"/>
      <c r="J730" s="3" t="s">
        <v>35</v>
      </c>
      <c r="K730" s="4" t="s">
        <v>73</v>
      </c>
      <c r="L730" s="4" t="s">
        <v>37</v>
      </c>
      <c r="N730" s="7" t="s">
        <v>1651</v>
      </c>
      <c r="O730" s="7"/>
      <c r="P730" s="7" t="s">
        <v>1652</v>
      </c>
      <c r="Q730" s="7"/>
      <c r="R730" s="7"/>
      <c r="S730" s="3" t="s">
        <v>40</v>
      </c>
      <c r="T730" s="7" t="s">
        <v>41</v>
      </c>
      <c r="U730" s="7"/>
      <c r="V730" s="4" t="s">
        <v>42</v>
      </c>
      <c r="W730" s="4" t="s">
        <v>58</v>
      </c>
      <c r="X730" s="4" t="s">
        <v>59</v>
      </c>
      <c r="Y730" s="7" t="s">
        <v>78</v>
      </c>
      <c r="Z730" s="7"/>
      <c r="AA730" s="4" t="s">
        <v>46</v>
      </c>
      <c r="AB730" s="4" t="s">
        <v>47</v>
      </c>
      <c r="AC730" s="4" t="s">
        <v>79</v>
      </c>
      <c r="AD730" s="4" t="s">
        <v>80</v>
      </c>
      <c r="AE730" s="4" t="s">
        <v>48</v>
      </c>
      <c r="AF730" s="4" t="s">
        <v>41</v>
      </c>
      <c r="AG730" s="4" t="s">
        <v>1316</v>
      </c>
    </row>
    <row r="731" spans="1:33" ht="16.5" customHeight="1" x14ac:dyDescent="0.2">
      <c r="A731" s="2" t="s">
        <v>31</v>
      </c>
      <c r="B731" s="5" t="s">
        <v>54</v>
      </c>
      <c r="C731" s="5"/>
      <c r="D731" s="5"/>
      <c r="E731" s="6" t="s">
        <v>33</v>
      </c>
      <c r="F731" s="6"/>
      <c r="G731" s="7" t="s">
        <v>1311</v>
      </c>
      <c r="H731" s="7"/>
      <c r="I731" s="7"/>
      <c r="J731" s="3" t="s">
        <v>35</v>
      </c>
      <c r="K731" s="4" t="s">
        <v>248</v>
      </c>
      <c r="L731" s="4" t="s">
        <v>231</v>
      </c>
      <c r="N731" s="7" t="s">
        <v>1653</v>
      </c>
      <c r="O731" s="7"/>
      <c r="P731" s="7" t="s">
        <v>1654</v>
      </c>
      <c r="Q731" s="7"/>
      <c r="R731" s="7"/>
      <c r="S731" s="3" t="s">
        <v>40</v>
      </c>
      <c r="T731" s="7" t="s">
        <v>41</v>
      </c>
      <c r="U731" s="7"/>
      <c r="V731" s="4" t="s">
        <v>42</v>
      </c>
      <c r="W731" s="4" t="s">
        <v>58</v>
      </c>
      <c r="X731" s="4" t="s">
        <v>59</v>
      </c>
      <c r="Y731" s="7" t="s">
        <v>60</v>
      </c>
      <c r="Z731" s="7"/>
      <c r="AA731" s="4" t="s">
        <v>46</v>
      </c>
      <c r="AB731" s="4" t="s">
        <v>47</v>
      </c>
      <c r="AC731" s="4" t="s">
        <v>61</v>
      </c>
      <c r="AD731" s="4" t="s">
        <v>1196</v>
      </c>
      <c r="AE731" s="4" t="s">
        <v>48</v>
      </c>
      <c r="AF731" s="4" t="s">
        <v>41</v>
      </c>
      <c r="AG731" s="4" t="s">
        <v>1316</v>
      </c>
    </row>
    <row r="732" spans="1:33" ht="16.5" customHeight="1" x14ac:dyDescent="0.2">
      <c r="A732" s="2" t="s">
        <v>31</v>
      </c>
      <c r="B732" s="5" t="s">
        <v>54</v>
      </c>
      <c r="C732" s="5"/>
      <c r="D732" s="5"/>
      <c r="E732" s="6" t="s">
        <v>33</v>
      </c>
      <c r="F732" s="6"/>
      <c r="G732" s="7" t="s">
        <v>1311</v>
      </c>
      <c r="H732" s="7"/>
      <c r="I732" s="7"/>
      <c r="J732" s="3" t="s">
        <v>35</v>
      </c>
      <c r="K732" s="4" t="s">
        <v>73</v>
      </c>
      <c r="L732" s="4" t="s">
        <v>37</v>
      </c>
      <c r="N732" s="7" t="s">
        <v>1655</v>
      </c>
      <c r="O732" s="7"/>
      <c r="P732" s="7" t="s">
        <v>1656</v>
      </c>
      <c r="Q732" s="7"/>
      <c r="R732" s="7"/>
      <c r="S732" s="3" t="s">
        <v>40</v>
      </c>
      <c r="T732" s="7" t="s">
        <v>41</v>
      </c>
      <c r="U732" s="7"/>
      <c r="V732" s="4" t="s">
        <v>42</v>
      </c>
      <c r="W732" s="4" t="s">
        <v>58</v>
      </c>
      <c r="X732" s="4" t="s">
        <v>59</v>
      </c>
      <c r="Y732" s="7" t="s">
        <v>78</v>
      </c>
      <c r="Z732" s="7"/>
      <c r="AA732" s="4" t="s">
        <v>46</v>
      </c>
      <c r="AB732" s="4" t="s">
        <v>47</v>
      </c>
      <c r="AC732" s="4" t="s">
        <v>79</v>
      </c>
      <c r="AD732" s="4" t="s">
        <v>80</v>
      </c>
      <c r="AE732" s="4" t="s">
        <v>48</v>
      </c>
      <c r="AF732" s="4" t="s">
        <v>41</v>
      </c>
      <c r="AG732" s="4" t="s">
        <v>1316</v>
      </c>
    </row>
    <row r="733" spans="1:33" ht="16.5" customHeight="1" x14ac:dyDescent="0.2">
      <c r="A733" s="2" t="s">
        <v>31</v>
      </c>
      <c r="B733" s="5" t="s">
        <v>54</v>
      </c>
      <c r="C733" s="5"/>
      <c r="D733" s="5"/>
      <c r="E733" s="6" t="s">
        <v>33</v>
      </c>
      <c r="F733" s="6"/>
      <c r="G733" s="7" t="s">
        <v>1311</v>
      </c>
      <c r="H733" s="7"/>
      <c r="I733" s="7"/>
      <c r="J733" s="3" t="s">
        <v>35</v>
      </c>
      <c r="K733" s="4" t="s">
        <v>73</v>
      </c>
      <c r="L733" s="4" t="s">
        <v>37</v>
      </c>
      <c r="N733" s="7" t="s">
        <v>1657</v>
      </c>
      <c r="O733" s="7"/>
      <c r="P733" s="7" t="s">
        <v>1658</v>
      </c>
      <c r="Q733" s="7"/>
      <c r="R733" s="7"/>
      <c r="S733" s="3" t="s">
        <v>40</v>
      </c>
      <c r="T733" s="7" t="s">
        <v>41</v>
      </c>
      <c r="U733" s="7"/>
      <c r="V733" s="4" t="s">
        <v>42</v>
      </c>
      <c r="W733" s="4" t="s">
        <v>58</v>
      </c>
      <c r="X733" s="4" t="s">
        <v>59</v>
      </c>
      <c r="Y733" s="7" t="s">
        <v>78</v>
      </c>
      <c r="Z733" s="7"/>
      <c r="AA733" s="4" t="s">
        <v>46</v>
      </c>
      <c r="AB733" s="4" t="s">
        <v>47</v>
      </c>
      <c r="AC733" s="4" t="s">
        <v>79</v>
      </c>
      <c r="AD733" s="4" t="s">
        <v>80</v>
      </c>
      <c r="AE733" s="4" t="s">
        <v>48</v>
      </c>
      <c r="AF733" s="4" t="s">
        <v>41</v>
      </c>
      <c r="AG733" s="4" t="s">
        <v>1316</v>
      </c>
    </row>
    <row r="734" spans="1:33" ht="0.75" customHeight="1" x14ac:dyDescent="0.2"/>
    <row r="735" spans="1:33" ht="12" customHeight="1" x14ac:dyDescent="0.2"/>
    <row r="736" spans="1:33" ht="16.5" customHeight="1" x14ac:dyDescent="0.2">
      <c r="A736" s="2" t="s">
        <v>31</v>
      </c>
      <c r="B736" s="5" t="s">
        <v>54</v>
      </c>
      <c r="C736" s="5"/>
      <c r="D736" s="5"/>
      <c r="E736" s="6" t="s">
        <v>33</v>
      </c>
      <c r="F736" s="6"/>
      <c r="G736" s="7" t="s">
        <v>1311</v>
      </c>
      <c r="H736" s="7"/>
      <c r="I736" s="7"/>
      <c r="J736" s="3" t="s">
        <v>35</v>
      </c>
      <c r="K736" s="4" t="s">
        <v>73</v>
      </c>
      <c r="L736" s="4" t="s">
        <v>37</v>
      </c>
      <c r="N736" s="7" t="s">
        <v>1659</v>
      </c>
      <c r="O736" s="7"/>
      <c r="P736" s="7" t="s">
        <v>1660</v>
      </c>
      <c r="Q736" s="7"/>
      <c r="R736" s="7"/>
      <c r="S736" s="3" t="s">
        <v>40</v>
      </c>
      <c r="T736" s="7" t="s">
        <v>41</v>
      </c>
      <c r="U736" s="7"/>
      <c r="V736" s="4" t="s">
        <v>42</v>
      </c>
      <c r="W736" s="4" t="s">
        <v>58</v>
      </c>
      <c r="X736" s="4" t="s">
        <v>59</v>
      </c>
      <c r="Y736" s="7" t="s">
        <v>78</v>
      </c>
      <c r="Z736" s="7"/>
      <c r="AA736" s="4" t="s">
        <v>46</v>
      </c>
      <c r="AB736" s="4" t="s">
        <v>47</v>
      </c>
      <c r="AC736" s="4" t="s">
        <v>79</v>
      </c>
      <c r="AD736" s="4" t="s">
        <v>80</v>
      </c>
      <c r="AE736" s="4" t="s">
        <v>48</v>
      </c>
      <c r="AF736" s="4" t="s">
        <v>41</v>
      </c>
      <c r="AG736" s="4" t="s">
        <v>1316</v>
      </c>
    </row>
    <row r="737" spans="1:33" ht="16.5" customHeight="1" x14ac:dyDescent="0.2">
      <c r="A737" s="2" t="s">
        <v>31</v>
      </c>
      <c r="B737" s="5" t="s">
        <v>54</v>
      </c>
      <c r="C737" s="5"/>
      <c r="D737" s="5"/>
      <c r="E737" s="6" t="s">
        <v>33</v>
      </c>
      <c r="F737" s="6"/>
      <c r="G737" s="7" t="s">
        <v>1311</v>
      </c>
      <c r="H737" s="7"/>
      <c r="I737" s="7"/>
      <c r="J737" s="3" t="s">
        <v>35</v>
      </c>
      <c r="K737" s="4" t="s">
        <v>73</v>
      </c>
      <c r="L737" s="4" t="s">
        <v>37</v>
      </c>
      <c r="N737" s="7" t="s">
        <v>1661</v>
      </c>
      <c r="O737" s="7"/>
      <c r="P737" s="7" t="s">
        <v>1662</v>
      </c>
      <c r="Q737" s="7"/>
      <c r="R737" s="7"/>
      <c r="S737" s="3" t="s">
        <v>40</v>
      </c>
      <c r="T737" s="7" t="s">
        <v>41</v>
      </c>
      <c r="U737" s="7"/>
      <c r="V737" s="4" t="s">
        <v>42</v>
      </c>
      <c r="W737" s="4" t="s">
        <v>58</v>
      </c>
      <c r="X737" s="4" t="s">
        <v>59</v>
      </c>
      <c r="Y737" s="7" t="s">
        <v>78</v>
      </c>
      <c r="Z737" s="7"/>
      <c r="AA737" s="4" t="s">
        <v>46</v>
      </c>
      <c r="AB737" s="4" t="s">
        <v>47</v>
      </c>
      <c r="AC737" s="4" t="s">
        <v>79</v>
      </c>
      <c r="AD737" s="4" t="s">
        <v>80</v>
      </c>
      <c r="AE737" s="4" t="s">
        <v>48</v>
      </c>
      <c r="AF737" s="4" t="s">
        <v>41</v>
      </c>
      <c r="AG737" s="4" t="s">
        <v>1316</v>
      </c>
    </row>
    <row r="738" spans="1:33" ht="16.5" customHeight="1" x14ac:dyDescent="0.2">
      <c r="A738" s="2" t="s">
        <v>31</v>
      </c>
      <c r="B738" s="5" t="s">
        <v>54</v>
      </c>
      <c r="C738" s="5"/>
      <c r="D738" s="5"/>
      <c r="E738" s="6" t="s">
        <v>33</v>
      </c>
      <c r="F738" s="6"/>
      <c r="G738" s="7" t="s">
        <v>1311</v>
      </c>
      <c r="H738" s="7"/>
      <c r="I738" s="7"/>
      <c r="J738" s="3" t="s">
        <v>35</v>
      </c>
      <c r="K738" s="4" t="s">
        <v>73</v>
      </c>
      <c r="L738" s="4" t="s">
        <v>37</v>
      </c>
      <c r="N738" s="7" t="s">
        <v>1663</v>
      </c>
      <c r="O738" s="7"/>
      <c r="P738" s="7" t="s">
        <v>1664</v>
      </c>
      <c r="Q738" s="7"/>
      <c r="R738" s="7"/>
      <c r="S738" s="3" t="s">
        <v>40</v>
      </c>
      <c r="T738" s="7" t="s">
        <v>41</v>
      </c>
      <c r="U738" s="7"/>
      <c r="V738" s="4" t="s">
        <v>42</v>
      </c>
      <c r="W738" s="4" t="s">
        <v>58</v>
      </c>
      <c r="X738" s="4" t="s">
        <v>59</v>
      </c>
      <c r="Y738" s="7" t="s">
        <v>78</v>
      </c>
      <c r="Z738" s="7"/>
      <c r="AA738" s="4" t="s">
        <v>46</v>
      </c>
      <c r="AB738" s="4" t="s">
        <v>47</v>
      </c>
      <c r="AC738" s="4" t="s">
        <v>79</v>
      </c>
      <c r="AD738" s="4" t="s">
        <v>80</v>
      </c>
      <c r="AE738" s="4" t="s">
        <v>48</v>
      </c>
      <c r="AF738" s="4" t="s">
        <v>41</v>
      </c>
      <c r="AG738" s="4" t="s">
        <v>1316</v>
      </c>
    </row>
    <row r="739" spans="1:33" ht="16.5" customHeight="1" x14ac:dyDescent="0.2">
      <c r="A739" s="2" t="s">
        <v>31</v>
      </c>
      <c r="B739" s="5" t="s">
        <v>54</v>
      </c>
      <c r="C739" s="5"/>
      <c r="D739" s="5"/>
      <c r="E739" s="6" t="s">
        <v>33</v>
      </c>
      <c r="F739" s="6"/>
      <c r="G739" s="7" t="s">
        <v>1311</v>
      </c>
      <c r="H739" s="7"/>
      <c r="I739" s="7"/>
      <c r="J739" s="3" t="s">
        <v>35</v>
      </c>
      <c r="K739" s="4" t="s">
        <v>97</v>
      </c>
      <c r="L739" s="4" t="s">
        <v>93</v>
      </c>
      <c r="N739" s="7" t="s">
        <v>1665</v>
      </c>
      <c r="O739" s="7"/>
      <c r="P739" s="7" t="s">
        <v>1666</v>
      </c>
      <c r="Q739" s="7"/>
      <c r="R739" s="7"/>
      <c r="S739" s="3" t="s">
        <v>40</v>
      </c>
      <c r="T739" s="7" t="s">
        <v>41</v>
      </c>
      <c r="U739" s="7"/>
      <c r="V739" s="4" t="s">
        <v>42</v>
      </c>
      <c r="W739" s="4" t="s">
        <v>58</v>
      </c>
      <c r="X739" s="4" t="s">
        <v>59</v>
      </c>
      <c r="Y739" s="7" t="s">
        <v>78</v>
      </c>
      <c r="Z739" s="7"/>
      <c r="AA739" s="4" t="s">
        <v>46</v>
      </c>
      <c r="AB739" s="4" t="s">
        <v>47</v>
      </c>
      <c r="AC739" s="4" t="s">
        <v>79</v>
      </c>
      <c r="AD739" s="4" t="s">
        <v>96</v>
      </c>
      <c r="AE739" s="4" t="s">
        <v>48</v>
      </c>
      <c r="AF739" s="4" t="s">
        <v>41</v>
      </c>
      <c r="AG739" s="4" t="s">
        <v>1316</v>
      </c>
    </row>
    <row r="740" spans="1:33" ht="16.5" customHeight="1" x14ac:dyDescent="0.2">
      <c r="A740" s="2" t="s">
        <v>31</v>
      </c>
      <c r="B740" s="5" t="s">
        <v>54</v>
      </c>
      <c r="C740" s="5"/>
      <c r="D740" s="5"/>
      <c r="E740" s="6" t="s">
        <v>33</v>
      </c>
      <c r="F740" s="6"/>
      <c r="G740" s="7" t="s">
        <v>1311</v>
      </c>
      <c r="H740" s="7"/>
      <c r="I740" s="7"/>
      <c r="J740" s="3" t="s">
        <v>35</v>
      </c>
      <c r="K740" s="4" t="s">
        <v>73</v>
      </c>
      <c r="L740" s="4" t="s">
        <v>37</v>
      </c>
      <c r="N740" s="7" t="s">
        <v>1667</v>
      </c>
      <c r="O740" s="7"/>
      <c r="P740" s="7" t="s">
        <v>1668</v>
      </c>
      <c r="Q740" s="7"/>
      <c r="R740" s="7"/>
      <c r="S740" s="3" t="s">
        <v>40</v>
      </c>
      <c r="T740" s="7" t="s">
        <v>41</v>
      </c>
      <c r="U740" s="7"/>
      <c r="V740" s="4" t="s">
        <v>42</v>
      </c>
      <c r="W740" s="4" t="s">
        <v>58</v>
      </c>
      <c r="X740" s="4" t="s">
        <v>59</v>
      </c>
      <c r="Y740" s="7" t="s">
        <v>78</v>
      </c>
      <c r="Z740" s="7"/>
      <c r="AA740" s="4" t="s">
        <v>46</v>
      </c>
      <c r="AB740" s="4" t="s">
        <v>47</v>
      </c>
      <c r="AC740" s="4" t="s">
        <v>79</v>
      </c>
      <c r="AD740" s="4" t="s">
        <v>80</v>
      </c>
      <c r="AE740" s="4" t="s">
        <v>48</v>
      </c>
      <c r="AF740" s="4" t="s">
        <v>41</v>
      </c>
      <c r="AG740" s="4" t="s">
        <v>1316</v>
      </c>
    </row>
    <row r="741" spans="1:33" ht="16.5" customHeight="1" x14ac:dyDescent="0.2">
      <c r="A741" s="2" t="s">
        <v>31</v>
      </c>
      <c r="B741" s="5" t="s">
        <v>54</v>
      </c>
      <c r="C741" s="5"/>
      <c r="D741" s="5"/>
      <c r="E741" s="6" t="s">
        <v>33</v>
      </c>
      <c r="F741" s="6"/>
      <c r="G741" s="7" t="s">
        <v>1311</v>
      </c>
      <c r="H741" s="7"/>
      <c r="I741" s="7"/>
      <c r="J741" s="3" t="s">
        <v>35</v>
      </c>
      <c r="K741" s="4" t="s">
        <v>73</v>
      </c>
      <c r="L741" s="4" t="s">
        <v>37</v>
      </c>
      <c r="N741" s="7" t="s">
        <v>1669</v>
      </c>
      <c r="O741" s="7"/>
      <c r="P741" s="7" t="s">
        <v>1670</v>
      </c>
      <c r="Q741" s="7"/>
      <c r="R741" s="7"/>
      <c r="S741" s="3" t="s">
        <v>40</v>
      </c>
      <c r="T741" s="7" t="s">
        <v>41</v>
      </c>
      <c r="U741" s="7"/>
      <c r="V741" s="4" t="s">
        <v>42</v>
      </c>
      <c r="W741" s="4" t="s">
        <v>58</v>
      </c>
      <c r="X741" s="4" t="s">
        <v>59</v>
      </c>
      <c r="Y741" s="7" t="s">
        <v>78</v>
      </c>
      <c r="Z741" s="7"/>
      <c r="AA741" s="4" t="s">
        <v>46</v>
      </c>
      <c r="AB741" s="4" t="s">
        <v>47</v>
      </c>
      <c r="AC741" s="4" t="s">
        <v>79</v>
      </c>
      <c r="AD741" s="4" t="s">
        <v>80</v>
      </c>
      <c r="AE741" s="4" t="s">
        <v>48</v>
      </c>
      <c r="AF741" s="4" t="s">
        <v>41</v>
      </c>
      <c r="AG741" s="4" t="s">
        <v>1316</v>
      </c>
    </row>
    <row r="742" spans="1:33" ht="16.5" customHeight="1" x14ac:dyDescent="0.2">
      <c r="A742" s="2" t="s">
        <v>31</v>
      </c>
      <c r="B742" s="5" t="s">
        <v>54</v>
      </c>
      <c r="C742" s="5"/>
      <c r="D742" s="5"/>
      <c r="E742" s="6" t="s">
        <v>33</v>
      </c>
      <c r="F742" s="6"/>
      <c r="G742" s="7" t="s">
        <v>1311</v>
      </c>
      <c r="H742" s="7"/>
      <c r="I742" s="7"/>
      <c r="J742" s="3" t="s">
        <v>35</v>
      </c>
      <c r="K742" s="4" t="s">
        <v>73</v>
      </c>
      <c r="L742" s="4" t="s">
        <v>93</v>
      </c>
      <c r="N742" s="7" t="s">
        <v>1671</v>
      </c>
      <c r="O742" s="7"/>
      <c r="P742" s="7" t="s">
        <v>1672</v>
      </c>
      <c r="Q742" s="7"/>
      <c r="R742" s="7"/>
      <c r="S742" s="3" t="s">
        <v>40</v>
      </c>
      <c r="T742" s="7" t="s">
        <v>41</v>
      </c>
      <c r="U742" s="7"/>
      <c r="V742" s="4" t="s">
        <v>42</v>
      </c>
      <c r="W742" s="4" t="s">
        <v>58</v>
      </c>
      <c r="X742" s="4" t="s">
        <v>59</v>
      </c>
      <c r="Y742" s="7" t="s">
        <v>78</v>
      </c>
      <c r="Z742" s="7"/>
      <c r="AA742" s="4" t="s">
        <v>46</v>
      </c>
      <c r="AB742" s="4" t="s">
        <v>47</v>
      </c>
      <c r="AC742" s="4" t="s">
        <v>79</v>
      </c>
      <c r="AD742" s="4" t="s">
        <v>96</v>
      </c>
      <c r="AE742" s="4" t="s">
        <v>48</v>
      </c>
      <c r="AF742" s="4" t="s">
        <v>41</v>
      </c>
      <c r="AG742" s="4" t="s">
        <v>1316</v>
      </c>
    </row>
    <row r="743" spans="1:33" ht="16.5" customHeight="1" x14ac:dyDescent="0.2">
      <c r="A743" s="2" t="s">
        <v>31</v>
      </c>
      <c r="B743" s="5" t="s">
        <v>54</v>
      </c>
      <c r="C743" s="5"/>
      <c r="D743" s="5"/>
      <c r="E743" s="6" t="s">
        <v>33</v>
      </c>
      <c r="F743" s="6"/>
      <c r="G743" s="7" t="s">
        <v>1311</v>
      </c>
      <c r="H743" s="7"/>
      <c r="I743" s="7"/>
      <c r="J743" s="3" t="s">
        <v>35</v>
      </c>
      <c r="K743" s="4" t="s">
        <v>81</v>
      </c>
      <c r="L743" s="4" t="s">
        <v>37</v>
      </c>
      <c r="N743" s="7" t="s">
        <v>1673</v>
      </c>
      <c r="O743" s="7"/>
      <c r="P743" s="7" t="s">
        <v>1674</v>
      </c>
      <c r="Q743" s="7"/>
      <c r="R743" s="7"/>
      <c r="S743" s="3" t="s">
        <v>40</v>
      </c>
      <c r="T743" s="7" t="s">
        <v>41</v>
      </c>
      <c r="U743" s="7"/>
      <c r="V743" s="4" t="s">
        <v>42</v>
      </c>
      <c r="W743" s="4" t="s">
        <v>172</v>
      </c>
      <c r="X743" s="4" t="s">
        <v>386</v>
      </c>
      <c r="Y743" s="7" t="s">
        <v>78</v>
      </c>
      <c r="Z743" s="7"/>
      <c r="AA743" s="4" t="s">
        <v>46</v>
      </c>
      <c r="AB743" s="4" t="s">
        <v>47</v>
      </c>
      <c r="AC743" s="4" t="s">
        <v>79</v>
      </c>
      <c r="AD743" s="4" t="s">
        <v>80</v>
      </c>
      <c r="AE743" s="4" t="s">
        <v>48</v>
      </c>
      <c r="AF743" s="4" t="s">
        <v>41</v>
      </c>
      <c r="AG743" s="4" t="s">
        <v>1316</v>
      </c>
    </row>
    <row r="744" spans="1:33" ht="16.5" customHeight="1" x14ac:dyDescent="0.2">
      <c r="A744" s="2" t="s">
        <v>31</v>
      </c>
      <c r="B744" s="5" t="s">
        <v>54</v>
      </c>
      <c r="C744" s="5"/>
      <c r="D744" s="5"/>
      <c r="E744" s="6" t="s">
        <v>33</v>
      </c>
      <c r="F744" s="6"/>
      <c r="G744" s="7" t="s">
        <v>1311</v>
      </c>
      <c r="H744" s="7"/>
      <c r="I744" s="7"/>
      <c r="J744" s="3" t="s">
        <v>35</v>
      </c>
      <c r="K744" s="4" t="s">
        <v>73</v>
      </c>
      <c r="L744" s="4" t="s">
        <v>37</v>
      </c>
      <c r="N744" s="7" t="s">
        <v>1675</v>
      </c>
      <c r="O744" s="7"/>
      <c r="P744" s="7" t="s">
        <v>1676</v>
      </c>
      <c r="Q744" s="7"/>
      <c r="R744" s="7"/>
      <c r="S744" s="3" t="s">
        <v>40</v>
      </c>
      <c r="T744" s="7" t="s">
        <v>41</v>
      </c>
      <c r="U744" s="7"/>
      <c r="V744" s="4" t="s">
        <v>42</v>
      </c>
      <c r="W744" s="4" t="s">
        <v>58</v>
      </c>
      <c r="X744" s="4" t="s">
        <v>59</v>
      </c>
      <c r="Y744" s="7" t="s">
        <v>78</v>
      </c>
      <c r="Z744" s="7"/>
      <c r="AA744" s="4" t="s">
        <v>46</v>
      </c>
      <c r="AB744" s="4" t="s">
        <v>47</v>
      </c>
      <c r="AC744" s="4" t="s">
        <v>79</v>
      </c>
      <c r="AD744" s="4" t="s">
        <v>80</v>
      </c>
      <c r="AE744" s="4" t="s">
        <v>48</v>
      </c>
      <c r="AF744" s="4" t="s">
        <v>41</v>
      </c>
      <c r="AG744" s="4" t="s">
        <v>1316</v>
      </c>
    </row>
    <row r="745" spans="1:33" ht="16.5" customHeight="1" x14ac:dyDescent="0.2">
      <c r="A745" s="2" t="s">
        <v>31</v>
      </c>
      <c r="B745" s="5" t="s">
        <v>54</v>
      </c>
      <c r="C745" s="5"/>
      <c r="D745" s="5"/>
      <c r="E745" s="6" t="s">
        <v>33</v>
      </c>
      <c r="F745" s="6"/>
      <c r="G745" s="7" t="s">
        <v>1311</v>
      </c>
      <c r="H745" s="7"/>
      <c r="I745" s="7"/>
      <c r="J745" s="3" t="s">
        <v>35</v>
      </c>
      <c r="K745" s="4" t="s">
        <v>73</v>
      </c>
      <c r="L745" s="4" t="s">
        <v>37</v>
      </c>
      <c r="N745" s="7" t="s">
        <v>1677</v>
      </c>
      <c r="O745" s="7"/>
      <c r="P745" s="7" t="s">
        <v>1678</v>
      </c>
      <c r="Q745" s="7"/>
      <c r="R745" s="7"/>
      <c r="S745" s="3" t="s">
        <v>40</v>
      </c>
      <c r="T745" s="7" t="s">
        <v>41</v>
      </c>
      <c r="U745" s="7"/>
      <c r="V745" s="4" t="s">
        <v>42</v>
      </c>
      <c r="W745" s="4" t="s">
        <v>58</v>
      </c>
      <c r="X745" s="4" t="s">
        <v>59</v>
      </c>
      <c r="Y745" s="7" t="s">
        <v>78</v>
      </c>
      <c r="Z745" s="7"/>
      <c r="AA745" s="4" t="s">
        <v>46</v>
      </c>
      <c r="AB745" s="4" t="s">
        <v>47</v>
      </c>
      <c r="AC745" s="4" t="s">
        <v>79</v>
      </c>
      <c r="AD745" s="4" t="s">
        <v>80</v>
      </c>
      <c r="AE745" s="4" t="s">
        <v>48</v>
      </c>
      <c r="AF745" s="4" t="s">
        <v>41</v>
      </c>
      <c r="AG745" s="4" t="s">
        <v>1316</v>
      </c>
    </row>
    <row r="746" spans="1:33" ht="16.5" customHeight="1" x14ac:dyDescent="0.2">
      <c r="A746" s="2" t="s">
        <v>31</v>
      </c>
      <c r="B746" s="5" t="s">
        <v>54</v>
      </c>
      <c r="C746" s="5"/>
      <c r="D746" s="5"/>
      <c r="E746" s="6" t="s">
        <v>33</v>
      </c>
      <c r="F746" s="6"/>
      <c r="G746" s="7" t="s">
        <v>1311</v>
      </c>
      <c r="H746" s="7"/>
      <c r="I746" s="7"/>
      <c r="J746" s="3" t="s">
        <v>35</v>
      </c>
      <c r="K746" s="4" t="s">
        <v>73</v>
      </c>
      <c r="L746" s="4" t="s">
        <v>37</v>
      </c>
      <c r="N746" s="7" t="s">
        <v>1679</v>
      </c>
      <c r="O746" s="7"/>
      <c r="P746" s="7" t="s">
        <v>1680</v>
      </c>
      <c r="Q746" s="7"/>
      <c r="R746" s="7"/>
      <c r="S746" s="3" t="s">
        <v>40</v>
      </c>
      <c r="T746" s="7" t="s">
        <v>41</v>
      </c>
      <c r="U746" s="7"/>
      <c r="V746" s="4" t="s">
        <v>42</v>
      </c>
      <c r="W746" s="4" t="s">
        <v>58</v>
      </c>
      <c r="X746" s="4" t="s">
        <v>59</v>
      </c>
      <c r="Y746" s="7" t="s">
        <v>78</v>
      </c>
      <c r="Z746" s="7"/>
      <c r="AA746" s="4" t="s">
        <v>46</v>
      </c>
      <c r="AB746" s="4" t="s">
        <v>47</v>
      </c>
      <c r="AC746" s="4" t="s">
        <v>79</v>
      </c>
      <c r="AD746" s="4" t="s">
        <v>80</v>
      </c>
      <c r="AE746" s="4" t="s">
        <v>48</v>
      </c>
      <c r="AF746" s="4" t="s">
        <v>41</v>
      </c>
      <c r="AG746" s="4" t="s">
        <v>1316</v>
      </c>
    </row>
    <row r="747" spans="1:33" ht="16.5" customHeight="1" x14ac:dyDescent="0.2">
      <c r="A747" s="2" t="s">
        <v>31</v>
      </c>
      <c r="B747" s="5" t="s">
        <v>54</v>
      </c>
      <c r="C747" s="5"/>
      <c r="D747" s="5"/>
      <c r="E747" s="6" t="s">
        <v>33</v>
      </c>
      <c r="F747" s="6"/>
      <c r="G747" s="7" t="s">
        <v>1311</v>
      </c>
      <c r="H747" s="7"/>
      <c r="I747" s="7"/>
      <c r="J747" s="3" t="s">
        <v>35</v>
      </c>
      <c r="K747" s="4" t="s">
        <v>73</v>
      </c>
      <c r="L747" s="4" t="s">
        <v>231</v>
      </c>
      <c r="N747" s="7" t="s">
        <v>1681</v>
      </c>
      <c r="O747" s="7"/>
      <c r="P747" s="7" t="s">
        <v>1682</v>
      </c>
      <c r="Q747" s="7"/>
      <c r="R747" s="7"/>
      <c r="S747" s="3" t="s">
        <v>40</v>
      </c>
      <c r="T747" s="7" t="s">
        <v>41</v>
      </c>
      <c r="U747" s="7"/>
      <c r="V747" s="4" t="s">
        <v>42</v>
      </c>
      <c r="W747" s="4" t="s">
        <v>58</v>
      </c>
      <c r="X747" s="4" t="s">
        <v>59</v>
      </c>
      <c r="Y747" s="7" t="s">
        <v>78</v>
      </c>
      <c r="Z747" s="7"/>
      <c r="AA747" s="4" t="s">
        <v>46</v>
      </c>
      <c r="AB747" s="4" t="s">
        <v>47</v>
      </c>
      <c r="AC747" s="4" t="s">
        <v>79</v>
      </c>
      <c r="AD747" s="4" t="s">
        <v>236</v>
      </c>
      <c r="AE747" s="4" t="s">
        <v>48</v>
      </c>
      <c r="AF747" s="4" t="s">
        <v>41</v>
      </c>
      <c r="AG747" s="4" t="s">
        <v>1316</v>
      </c>
    </row>
    <row r="748" spans="1:33" ht="16.5" customHeight="1" x14ac:dyDescent="0.2">
      <c r="A748" s="2" t="s">
        <v>31</v>
      </c>
      <c r="B748" s="5" t="s">
        <v>54</v>
      </c>
      <c r="C748" s="5"/>
      <c r="D748" s="5"/>
      <c r="E748" s="6" t="s">
        <v>33</v>
      </c>
      <c r="F748" s="6"/>
      <c r="G748" s="7" t="s">
        <v>1311</v>
      </c>
      <c r="H748" s="7"/>
      <c r="I748" s="7"/>
      <c r="J748" s="3" t="s">
        <v>35</v>
      </c>
      <c r="K748" s="4" t="s">
        <v>73</v>
      </c>
      <c r="L748" s="4" t="s">
        <v>280</v>
      </c>
      <c r="N748" s="7" t="s">
        <v>1683</v>
      </c>
      <c r="O748" s="7"/>
      <c r="P748" s="7" t="s">
        <v>1684</v>
      </c>
      <c r="Q748" s="7"/>
      <c r="R748" s="7"/>
      <c r="S748" s="3" t="s">
        <v>40</v>
      </c>
      <c r="T748" s="7" t="s">
        <v>41</v>
      </c>
      <c r="U748" s="7"/>
      <c r="V748" s="4" t="s">
        <v>42</v>
      </c>
      <c r="W748" s="4" t="s">
        <v>58</v>
      </c>
      <c r="X748" s="4" t="s">
        <v>59</v>
      </c>
      <c r="Y748" s="7" t="s">
        <v>78</v>
      </c>
      <c r="Z748" s="7"/>
      <c r="AA748" s="4" t="s">
        <v>46</v>
      </c>
      <c r="AB748" s="4" t="s">
        <v>47</v>
      </c>
      <c r="AC748" s="4" t="s">
        <v>79</v>
      </c>
      <c r="AD748" s="4" t="s">
        <v>285</v>
      </c>
      <c r="AE748" s="4" t="s">
        <v>48</v>
      </c>
      <c r="AF748" s="4" t="s">
        <v>41</v>
      </c>
      <c r="AG748" s="4" t="s">
        <v>1316</v>
      </c>
    </row>
    <row r="749" spans="1:33" ht="16.5" customHeight="1" x14ac:dyDescent="0.2">
      <c r="A749" s="2" t="s">
        <v>31</v>
      </c>
      <c r="B749" s="5" t="s">
        <v>54</v>
      </c>
      <c r="C749" s="5"/>
      <c r="D749" s="5"/>
      <c r="E749" s="6" t="s">
        <v>33</v>
      </c>
      <c r="F749" s="6"/>
      <c r="G749" s="7" t="s">
        <v>1311</v>
      </c>
      <c r="H749" s="7"/>
      <c r="I749" s="7"/>
      <c r="J749" s="3" t="s">
        <v>35</v>
      </c>
      <c r="K749" s="4" t="s">
        <v>73</v>
      </c>
      <c r="L749" s="4" t="s">
        <v>280</v>
      </c>
      <c r="N749" s="7" t="s">
        <v>1685</v>
      </c>
      <c r="O749" s="7"/>
      <c r="P749" s="7" t="s">
        <v>1686</v>
      </c>
      <c r="Q749" s="7"/>
      <c r="R749" s="7"/>
      <c r="S749" s="3" t="s">
        <v>40</v>
      </c>
      <c r="T749" s="7" t="s">
        <v>41</v>
      </c>
      <c r="U749" s="7"/>
      <c r="V749" s="4" t="s">
        <v>42</v>
      </c>
      <c r="W749" s="4" t="s">
        <v>58</v>
      </c>
      <c r="X749" s="4" t="s">
        <v>59</v>
      </c>
      <c r="Y749" s="7" t="s">
        <v>78</v>
      </c>
      <c r="Z749" s="7"/>
      <c r="AA749" s="4" t="s">
        <v>46</v>
      </c>
      <c r="AB749" s="4" t="s">
        <v>47</v>
      </c>
      <c r="AC749" s="4" t="s">
        <v>79</v>
      </c>
      <c r="AD749" s="4" t="s">
        <v>285</v>
      </c>
      <c r="AE749" s="4" t="s">
        <v>48</v>
      </c>
      <c r="AF749" s="4" t="s">
        <v>41</v>
      </c>
      <c r="AG749" s="4" t="s">
        <v>1316</v>
      </c>
    </row>
    <row r="750" spans="1:33" ht="16.5" customHeight="1" x14ac:dyDescent="0.2">
      <c r="A750" s="2" t="s">
        <v>31</v>
      </c>
      <c r="B750" s="5" t="s">
        <v>54</v>
      </c>
      <c r="C750" s="5"/>
      <c r="D750" s="5"/>
      <c r="E750" s="6" t="s">
        <v>33</v>
      </c>
      <c r="F750" s="6"/>
      <c r="G750" s="7" t="s">
        <v>1311</v>
      </c>
      <c r="H750" s="7"/>
      <c r="I750" s="7"/>
      <c r="J750" s="3" t="s">
        <v>35</v>
      </c>
      <c r="K750" s="4" t="s">
        <v>73</v>
      </c>
      <c r="L750" s="4" t="s">
        <v>37</v>
      </c>
      <c r="N750" s="7" t="s">
        <v>1687</v>
      </c>
      <c r="O750" s="7"/>
      <c r="P750" s="7" t="s">
        <v>1688</v>
      </c>
      <c r="Q750" s="7"/>
      <c r="R750" s="7"/>
      <c r="S750" s="3" t="s">
        <v>40</v>
      </c>
      <c r="T750" s="7" t="s">
        <v>41</v>
      </c>
      <c r="U750" s="7"/>
      <c r="V750" s="4" t="s">
        <v>42</v>
      </c>
      <c r="W750" s="4" t="s">
        <v>58</v>
      </c>
      <c r="X750" s="4" t="s">
        <v>59</v>
      </c>
      <c r="Y750" s="7" t="s">
        <v>78</v>
      </c>
      <c r="Z750" s="7"/>
      <c r="AA750" s="4" t="s">
        <v>46</v>
      </c>
      <c r="AB750" s="4" t="s">
        <v>47</v>
      </c>
      <c r="AC750" s="4" t="s">
        <v>79</v>
      </c>
      <c r="AD750" s="4" t="s">
        <v>80</v>
      </c>
      <c r="AE750" s="4" t="s">
        <v>48</v>
      </c>
      <c r="AF750" s="4" t="s">
        <v>41</v>
      </c>
      <c r="AG750" s="4" t="s">
        <v>1316</v>
      </c>
    </row>
    <row r="751" spans="1:33" ht="16.5" customHeight="1" x14ac:dyDescent="0.2">
      <c r="A751" s="2" t="s">
        <v>31</v>
      </c>
      <c r="B751" s="5" t="s">
        <v>54</v>
      </c>
      <c r="C751" s="5"/>
      <c r="D751" s="5"/>
      <c r="E751" s="6" t="s">
        <v>33</v>
      </c>
      <c r="F751" s="6"/>
      <c r="G751" s="7" t="s">
        <v>1311</v>
      </c>
      <c r="H751" s="7"/>
      <c r="I751" s="7"/>
      <c r="J751" s="3" t="s">
        <v>35</v>
      </c>
      <c r="K751" s="4" t="s">
        <v>73</v>
      </c>
      <c r="L751" s="4" t="s">
        <v>93</v>
      </c>
      <c r="N751" s="7" t="s">
        <v>1689</v>
      </c>
      <c r="O751" s="7"/>
      <c r="P751" s="7" t="s">
        <v>1690</v>
      </c>
      <c r="Q751" s="7"/>
      <c r="R751" s="7"/>
      <c r="S751" s="3" t="s">
        <v>40</v>
      </c>
      <c r="T751" s="7" t="s">
        <v>41</v>
      </c>
      <c r="U751" s="7"/>
      <c r="V751" s="4" t="s">
        <v>42</v>
      </c>
      <c r="W751" s="4" t="s">
        <v>58</v>
      </c>
      <c r="X751" s="4" t="s">
        <v>59</v>
      </c>
      <c r="Y751" s="7" t="s">
        <v>78</v>
      </c>
      <c r="Z751" s="7"/>
      <c r="AA751" s="4" t="s">
        <v>46</v>
      </c>
      <c r="AB751" s="4" t="s">
        <v>47</v>
      </c>
      <c r="AC751" s="4" t="s">
        <v>79</v>
      </c>
      <c r="AD751" s="4" t="s">
        <v>96</v>
      </c>
      <c r="AE751" s="4" t="s">
        <v>48</v>
      </c>
      <c r="AF751" s="4" t="s">
        <v>41</v>
      </c>
      <c r="AG751" s="4" t="s">
        <v>1316</v>
      </c>
    </row>
    <row r="752" spans="1:33" ht="16.5" customHeight="1" x14ac:dyDescent="0.2">
      <c r="A752" s="2" t="s">
        <v>31</v>
      </c>
      <c r="B752" s="5" t="s">
        <v>54</v>
      </c>
      <c r="C752" s="5"/>
      <c r="D752" s="5"/>
      <c r="E752" s="6" t="s">
        <v>33</v>
      </c>
      <c r="F752" s="6"/>
      <c r="G752" s="7" t="s">
        <v>1311</v>
      </c>
      <c r="H752" s="7"/>
      <c r="I752" s="7"/>
      <c r="J752" s="3" t="s">
        <v>35</v>
      </c>
      <c r="K752" s="4" t="s">
        <v>73</v>
      </c>
      <c r="L752" s="4" t="s">
        <v>37</v>
      </c>
      <c r="N752" s="7" t="s">
        <v>1691</v>
      </c>
      <c r="O752" s="7"/>
      <c r="P752" s="7" t="s">
        <v>1692</v>
      </c>
      <c r="Q752" s="7"/>
      <c r="R752" s="7"/>
      <c r="S752" s="3" t="s">
        <v>40</v>
      </c>
      <c r="T752" s="7" t="s">
        <v>41</v>
      </c>
      <c r="U752" s="7"/>
      <c r="V752" s="4" t="s">
        <v>42</v>
      </c>
      <c r="W752" s="4" t="s">
        <v>58</v>
      </c>
      <c r="X752" s="4" t="s">
        <v>59</v>
      </c>
      <c r="Y752" s="7" t="s">
        <v>78</v>
      </c>
      <c r="Z752" s="7"/>
      <c r="AA752" s="4" t="s">
        <v>46</v>
      </c>
      <c r="AB752" s="4" t="s">
        <v>47</v>
      </c>
      <c r="AC752" s="4" t="s">
        <v>79</v>
      </c>
      <c r="AD752" s="4" t="s">
        <v>80</v>
      </c>
      <c r="AE752" s="4" t="s">
        <v>48</v>
      </c>
      <c r="AF752" s="4" t="s">
        <v>41</v>
      </c>
      <c r="AG752" s="4" t="s">
        <v>1316</v>
      </c>
    </row>
    <row r="753" spans="1:33" ht="16.5" customHeight="1" x14ac:dyDescent="0.2">
      <c r="A753" s="2" t="s">
        <v>31</v>
      </c>
      <c r="B753" s="5" t="s">
        <v>54</v>
      </c>
      <c r="C753" s="5"/>
      <c r="D753" s="5"/>
      <c r="E753" s="6" t="s">
        <v>33</v>
      </c>
      <c r="F753" s="6"/>
      <c r="G753" s="7" t="s">
        <v>1311</v>
      </c>
      <c r="H753" s="7"/>
      <c r="I753" s="7"/>
      <c r="J753" s="3" t="s">
        <v>35</v>
      </c>
      <c r="K753" s="4" t="s">
        <v>73</v>
      </c>
      <c r="L753" s="4" t="s">
        <v>37</v>
      </c>
      <c r="N753" s="7" t="s">
        <v>1691</v>
      </c>
      <c r="O753" s="7"/>
      <c r="P753" s="7" t="s">
        <v>1692</v>
      </c>
      <c r="Q753" s="7"/>
      <c r="R753" s="7"/>
      <c r="S753" s="3" t="s">
        <v>40</v>
      </c>
      <c r="T753" s="7" t="s">
        <v>41</v>
      </c>
      <c r="U753" s="7"/>
      <c r="V753" s="4" t="s">
        <v>51</v>
      </c>
      <c r="W753" s="4" t="s">
        <v>58</v>
      </c>
      <c r="X753" s="4" t="s">
        <v>128</v>
      </c>
      <c r="Y753" s="7" t="s">
        <v>78</v>
      </c>
      <c r="Z753" s="7"/>
      <c r="AA753" s="4" t="s">
        <v>46</v>
      </c>
      <c r="AB753" s="4" t="s">
        <v>47</v>
      </c>
      <c r="AC753" s="4" t="s">
        <v>79</v>
      </c>
      <c r="AD753" s="4" t="s">
        <v>80</v>
      </c>
      <c r="AE753" s="4" t="s">
        <v>48</v>
      </c>
      <c r="AF753" s="4" t="s">
        <v>41</v>
      </c>
      <c r="AG753" s="4" t="s">
        <v>1316</v>
      </c>
    </row>
    <row r="754" spans="1:33" ht="16.5" customHeight="1" x14ac:dyDescent="0.2">
      <c r="A754" s="2" t="s">
        <v>31</v>
      </c>
      <c r="B754" s="5" t="s">
        <v>54</v>
      </c>
      <c r="C754" s="5"/>
      <c r="D754" s="5"/>
      <c r="E754" s="6" t="s">
        <v>33</v>
      </c>
      <c r="F754" s="6"/>
      <c r="G754" s="7" t="s">
        <v>1311</v>
      </c>
      <c r="H754" s="7"/>
      <c r="I754" s="7"/>
      <c r="J754" s="3" t="s">
        <v>35</v>
      </c>
      <c r="K754" s="4" t="s">
        <v>73</v>
      </c>
      <c r="L754" s="4" t="s">
        <v>37</v>
      </c>
      <c r="N754" s="7" t="s">
        <v>1693</v>
      </c>
      <c r="O754" s="7"/>
      <c r="P754" s="7" t="s">
        <v>1694</v>
      </c>
      <c r="Q754" s="7"/>
      <c r="R754" s="7"/>
      <c r="S754" s="3" t="s">
        <v>40</v>
      </c>
      <c r="T754" s="7" t="s">
        <v>41</v>
      </c>
      <c r="U754" s="7"/>
      <c r="V754" s="4" t="s">
        <v>51</v>
      </c>
      <c r="W754" s="4" t="s">
        <v>58</v>
      </c>
      <c r="X754" s="4" t="s">
        <v>128</v>
      </c>
      <c r="Y754" s="7" t="s">
        <v>78</v>
      </c>
      <c r="Z754" s="7"/>
      <c r="AA754" s="4" t="s">
        <v>46</v>
      </c>
      <c r="AB754" s="4" t="s">
        <v>47</v>
      </c>
      <c r="AC754" s="4" t="s">
        <v>79</v>
      </c>
      <c r="AD754" s="4" t="s">
        <v>80</v>
      </c>
      <c r="AE754" s="4" t="s">
        <v>48</v>
      </c>
      <c r="AF754" s="4" t="s">
        <v>41</v>
      </c>
      <c r="AG754" s="4" t="s">
        <v>1316</v>
      </c>
    </row>
    <row r="755" spans="1:33" ht="16.5" customHeight="1" x14ac:dyDescent="0.2">
      <c r="A755" s="2" t="s">
        <v>31</v>
      </c>
      <c r="B755" s="5" t="s">
        <v>54</v>
      </c>
      <c r="C755" s="5"/>
      <c r="D755" s="5"/>
      <c r="E755" s="6" t="s">
        <v>33</v>
      </c>
      <c r="F755" s="6"/>
      <c r="G755" s="7" t="s">
        <v>1311</v>
      </c>
      <c r="H755" s="7"/>
      <c r="I755" s="7"/>
      <c r="J755" s="3" t="s">
        <v>35</v>
      </c>
      <c r="K755" s="4" t="s">
        <v>97</v>
      </c>
      <c r="L755" s="4" t="s">
        <v>37</v>
      </c>
      <c r="N755" s="7" t="s">
        <v>1695</v>
      </c>
      <c r="O755" s="7"/>
      <c r="P755" s="7" t="s">
        <v>1696</v>
      </c>
      <c r="Q755" s="7"/>
      <c r="R755" s="7"/>
      <c r="S755" s="3" t="s">
        <v>40</v>
      </c>
      <c r="T755" s="7" t="s">
        <v>41</v>
      </c>
      <c r="U755" s="7"/>
      <c r="V755" s="4" t="s">
        <v>51</v>
      </c>
      <c r="W755" s="4" t="s">
        <v>58</v>
      </c>
      <c r="X755" s="4" t="s">
        <v>128</v>
      </c>
      <c r="Y755" s="7" t="s">
        <v>78</v>
      </c>
      <c r="Z755" s="7"/>
      <c r="AA755" s="4" t="s">
        <v>46</v>
      </c>
      <c r="AB755" s="4" t="s">
        <v>47</v>
      </c>
      <c r="AC755" s="4" t="s">
        <v>79</v>
      </c>
      <c r="AD755" s="4" t="s">
        <v>80</v>
      </c>
      <c r="AE755" s="4" t="s">
        <v>48</v>
      </c>
      <c r="AF755" s="4" t="s">
        <v>41</v>
      </c>
      <c r="AG755" s="4" t="s">
        <v>1316</v>
      </c>
    </row>
    <row r="756" spans="1:33" ht="16.5" customHeight="1" x14ac:dyDescent="0.2">
      <c r="A756" s="2" t="s">
        <v>31</v>
      </c>
      <c r="B756" s="5" t="s">
        <v>54</v>
      </c>
      <c r="C756" s="5"/>
      <c r="D756" s="5"/>
      <c r="E756" s="6" t="s">
        <v>33</v>
      </c>
      <c r="F756" s="6"/>
      <c r="G756" s="7" t="s">
        <v>1311</v>
      </c>
      <c r="H756" s="7"/>
      <c r="I756" s="7"/>
      <c r="J756" s="3" t="s">
        <v>35</v>
      </c>
      <c r="K756" s="4" t="s">
        <v>73</v>
      </c>
      <c r="L756" s="4" t="s">
        <v>37</v>
      </c>
      <c r="N756" s="7" t="s">
        <v>1697</v>
      </c>
      <c r="O756" s="7"/>
      <c r="P756" s="7" t="s">
        <v>1698</v>
      </c>
      <c r="Q756" s="7"/>
      <c r="R756" s="7"/>
      <c r="S756" s="3" t="s">
        <v>40</v>
      </c>
      <c r="T756" s="7" t="s">
        <v>41</v>
      </c>
      <c r="U756" s="7"/>
      <c r="V756" s="4" t="s">
        <v>42</v>
      </c>
      <c r="W756" s="4" t="s">
        <v>58</v>
      </c>
      <c r="X756" s="4" t="s">
        <v>59</v>
      </c>
      <c r="Y756" s="7" t="s">
        <v>78</v>
      </c>
      <c r="Z756" s="7"/>
      <c r="AA756" s="4" t="s">
        <v>46</v>
      </c>
      <c r="AB756" s="4" t="s">
        <v>47</v>
      </c>
      <c r="AC756" s="4" t="s">
        <v>79</v>
      </c>
      <c r="AD756" s="4" t="s">
        <v>80</v>
      </c>
      <c r="AE756" s="4" t="s">
        <v>48</v>
      </c>
      <c r="AF756" s="4" t="s">
        <v>41</v>
      </c>
      <c r="AG756" s="4" t="s">
        <v>1316</v>
      </c>
    </row>
    <row r="757" spans="1:33" ht="16.5" customHeight="1" x14ac:dyDescent="0.2">
      <c r="A757" s="2" t="s">
        <v>31</v>
      </c>
      <c r="B757" s="5" t="s">
        <v>54</v>
      </c>
      <c r="C757" s="5"/>
      <c r="D757" s="5"/>
      <c r="E757" s="6" t="s">
        <v>33</v>
      </c>
      <c r="F757" s="6"/>
      <c r="G757" s="7" t="s">
        <v>1311</v>
      </c>
      <c r="H757" s="7"/>
      <c r="I757" s="7"/>
      <c r="J757" s="3" t="s">
        <v>35</v>
      </c>
      <c r="K757" s="4" t="s">
        <v>73</v>
      </c>
      <c r="L757" s="4" t="s">
        <v>37</v>
      </c>
      <c r="N757" s="7" t="s">
        <v>1697</v>
      </c>
      <c r="O757" s="7"/>
      <c r="P757" s="7" t="s">
        <v>1698</v>
      </c>
      <c r="Q757" s="7"/>
      <c r="R757" s="7"/>
      <c r="S757" s="3" t="s">
        <v>40</v>
      </c>
      <c r="T757" s="7" t="s">
        <v>41</v>
      </c>
      <c r="U757" s="7"/>
      <c r="V757" s="4" t="s">
        <v>51</v>
      </c>
      <c r="W757" s="4" t="s">
        <v>58</v>
      </c>
      <c r="X757" s="4" t="s">
        <v>128</v>
      </c>
      <c r="Y757" s="7" t="s">
        <v>78</v>
      </c>
      <c r="Z757" s="7"/>
      <c r="AA757" s="4" t="s">
        <v>46</v>
      </c>
      <c r="AB757" s="4" t="s">
        <v>47</v>
      </c>
      <c r="AC757" s="4" t="s">
        <v>79</v>
      </c>
      <c r="AD757" s="4" t="s">
        <v>80</v>
      </c>
      <c r="AE757" s="4" t="s">
        <v>48</v>
      </c>
      <c r="AF757" s="4" t="s">
        <v>41</v>
      </c>
      <c r="AG757" s="4" t="s">
        <v>1316</v>
      </c>
    </row>
    <row r="758" spans="1:33" ht="16.5" customHeight="1" x14ac:dyDescent="0.2">
      <c r="A758" s="2" t="s">
        <v>31</v>
      </c>
      <c r="B758" s="5" t="s">
        <v>54</v>
      </c>
      <c r="C758" s="5"/>
      <c r="D758" s="5"/>
      <c r="E758" s="6" t="s">
        <v>33</v>
      </c>
      <c r="F758" s="6"/>
      <c r="G758" s="7" t="s">
        <v>1311</v>
      </c>
      <c r="H758" s="7"/>
      <c r="I758" s="7"/>
      <c r="J758" s="3" t="s">
        <v>35</v>
      </c>
      <c r="K758" s="4" t="s">
        <v>73</v>
      </c>
      <c r="L758" s="4" t="s">
        <v>37</v>
      </c>
      <c r="N758" s="7" t="s">
        <v>1699</v>
      </c>
      <c r="O758" s="7"/>
      <c r="P758" s="7" t="s">
        <v>1700</v>
      </c>
      <c r="Q758" s="7"/>
      <c r="R758" s="7"/>
      <c r="S758" s="3" t="s">
        <v>40</v>
      </c>
      <c r="T758" s="7" t="s">
        <v>41</v>
      </c>
      <c r="U758" s="7"/>
      <c r="V758" s="4" t="s">
        <v>51</v>
      </c>
      <c r="W758" s="4" t="s">
        <v>58</v>
      </c>
      <c r="X758" s="4" t="s">
        <v>128</v>
      </c>
      <c r="Y758" s="7" t="s">
        <v>78</v>
      </c>
      <c r="Z758" s="7"/>
      <c r="AA758" s="4" t="s">
        <v>46</v>
      </c>
      <c r="AB758" s="4" t="s">
        <v>47</v>
      </c>
      <c r="AC758" s="4" t="s">
        <v>79</v>
      </c>
      <c r="AD758" s="4" t="s">
        <v>80</v>
      </c>
      <c r="AE758" s="4" t="s">
        <v>48</v>
      </c>
      <c r="AF758" s="4" t="s">
        <v>41</v>
      </c>
      <c r="AG758" s="4" t="s">
        <v>1316</v>
      </c>
    </row>
    <row r="759" spans="1:33" ht="16.5" customHeight="1" x14ac:dyDescent="0.2">
      <c r="A759" s="2" t="s">
        <v>31</v>
      </c>
      <c r="B759" s="5" t="s">
        <v>54</v>
      </c>
      <c r="C759" s="5"/>
      <c r="D759" s="5"/>
      <c r="E759" s="6" t="s">
        <v>33</v>
      </c>
      <c r="F759" s="6"/>
      <c r="G759" s="7" t="s">
        <v>1311</v>
      </c>
      <c r="H759" s="7"/>
      <c r="I759" s="7"/>
      <c r="J759" s="3" t="s">
        <v>35</v>
      </c>
      <c r="K759" s="4" t="s">
        <v>245</v>
      </c>
      <c r="L759" s="4" t="s">
        <v>93</v>
      </c>
      <c r="N759" s="7" t="s">
        <v>1701</v>
      </c>
      <c r="O759" s="7"/>
      <c r="P759" s="7" t="s">
        <v>1702</v>
      </c>
      <c r="Q759" s="7"/>
      <c r="R759" s="7"/>
      <c r="S759" s="3" t="s">
        <v>40</v>
      </c>
      <c r="T759" s="7" t="s">
        <v>41</v>
      </c>
      <c r="U759" s="7"/>
      <c r="V759" s="4" t="s">
        <v>42</v>
      </c>
      <c r="W759" s="4" t="s">
        <v>51</v>
      </c>
      <c r="X759" s="4" t="s">
        <v>128</v>
      </c>
      <c r="Y759" s="7" t="s">
        <v>78</v>
      </c>
      <c r="Z759" s="7"/>
      <c r="AA759" s="4" t="s">
        <v>46</v>
      </c>
      <c r="AB759" s="4" t="s">
        <v>47</v>
      </c>
      <c r="AC759" s="4" t="s">
        <v>79</v>
      </c>
      <c r="AD759" s="4" t="s">
        <v>96</v>
      </c>
      <c r="AE759" s="4" t="s">
        <v>48</v>
      </c>
      <c r="AF759" s="4" t="s">
        <v>41</v>
      </c>
      <c r="AG759" s="4" t="s">
        <v>1316</v>
      </c>
    </row>
    <row r="760" spans="1:33" ht="16.5" customHeight="1" x14ac:dyDescent="0.2">
      <c r="A760" s="2" t="s">
        <v>31</v>
      </c>
      <c r="B760" s="5" t="s">
        <v>54</v>
      </c>
      <c r="C760" s="5"/>
      <c r="D760" s="5"/>
      <c r="E760" s="6" t="s">
        <v>33</v>
      </c>
      <c r="F760" s="6"/>
      <c r="G760" s="7" t="s">
        <v>1311</v>
      </c>
      <c r="H760" s="7"/>
      <c r="I760" s="7"/>
      <c r="J760" s="3" t="s">
        <v>35</v>
      </c>
      <c r="K760" s="4" t="s">
        <v>73</v>
      </c>
      <c r="L760" s="4" t="s">
        <v>443</v>
      </c>
      <c r="N760" s="7" t="s">
        <v>1703</v>
      </c>
      <c r="O760" s="7"/>
      <c r="P760" s="7" t="s">
        <v>1704</v>
      </c>
      <c r="Q760" s="7"/>
      <c r="R760" s="7"/>
      <c r="S760" s="3" t="s">
        <v>40</v>
      </c>
      <c r="T760" s="7" t="s">
        <v>41</v>
      </c>
      <c r="U760" s="7"/>
      <c r="V760" s="4" t="s">
        <v>42</v>
      </c>
      <c r="W760" s="4" t="s">
        <v>51</v>
      </c>
      <c r="X760" s="4" t="s">
        <v>128</v>
      </c>
      <c r="Y760" s="7" t="s">
        <v>78</v>
      </c>
      <c r="Z760" s="7"/>
      <c r="AA760" s="4" t="s">
        <v>46</v>
      </c>
      <c r="AB760" s="4" t="s">
        <v>47</v>
      </c>
      <c r="AC760" s="4" t="s">
        <v>79</v>
      </c>
      <c r="AD760" s="4" t="s">
        <v>447</v>
      </c>
      <c r="AE760" s="4" t="s">
        <v>48</v>
      </c>
      <c r="AF760" s="4" t="s">
        <v>41</v>
      </c>
      <c r="AG760" s="4" t="s">
        <v>1316</v>
      </c>
    </row>
    <row r="761" spans="1:33" ht="16.5" customHeight="1" x14ac:dyDescent="0.2">
      <c r="A761" s="2" t="s">
        <v>31</v>
      </c>
      <c r="B761" s="5" t="s">
        <v>108</v>
      </c>
      <c r="C761" s="5"/>
      <c r="D761" s="5"/>
      <c r="E761" s="6" t="s">
        <v>33</v>
      </c>
      <c r="F761" s="6"/>
      <c r="G761" s="7" t="s">
        <v>1311</v>
      </c>
      <c r="H761" s="7"/>
      <c r="I761" s="7"/>
      <c r="J761" s="3" t="s">
        <v>35</v>
      </c>
      <c r="K761" s="4" t="s">
        <v>1285</v>
      </c>
      <c r="N761" s="7" t="s">
        <v>1705</v>
      </c>
      <c r="O761" s="7"/>
      <c r="P761" s="7" t="s">
        <v>1706</v>
      </c>
      <c r="Q761" s="7"/>
      <c r="R761" s="7"/>
      <c r="S761" s="3" t="s">
        <v>40</v>
      </c>
      <c r="T761" s="7" t="s">
        <v>1707</v>
      </c>
      <c r="U761" s="7"/>
      <c r="V761" s="4" t="s">
        <v>51</v>
      </c>
      <c r="W761" s="4" t="s">
        <v>107</v>
      </c>
      <c r="X761" s="4" t="s">
        <v>386</v>
      </c>
      <c r="Y761" s="7" t="s">
        <v>937</v>
      </c>
      <c r="Z761" s="7"/>
      <c r="AA761" s="4" t="s">
        <v>46</v>
      </c>
      <c r="AB761" s="4" t="s">
        <v>115</v>
      </c>
      <c r="AC761" s="4" t="s">
        <v>938</v>
      </c>
      <c r="AD761" s="4" t="s">
        <v>1708</v>
      </c>
      <c r="AE761" s="4" t="s">
        <v>48</v>
      </c>
      <c r="AF761" s="4" t="s">
        <v>41</v>
      </c>
      <c r="AG761" s="4" t="s">
        <v>1316</v>
      </c>
    </row>
    <row r="762" spans="1:33" ht="16.5" customHeight="1" x14ac:dyDescent="0.2">
      <c r="A762" s="2" t="s">
        <v>31</v>
      </c>
      <c r="B762" s="5" t="s">
        <v>108</v>
      </c>
      <c r="C762" s="5"/>
      <c r="D762" s="5"/>
      <c r="E762" s="6" t="s">
        <v>33</v>
      </c>
      <c r="F762" s="6"/>
      <c r="G762" s="7" t="s">
        <v>1311</v>
      </c>
      <c r="H762" s="7"/>
      <c r="I762" s="7"/>
      <c r="J762" s="3" t="s">
        <v>35</v>
      </c>
      <c r="K762" s="4" t="s">
        <v>1285</v>
      </c>
      <c r="N762" s="7" t="s">
        <v>1709</v>
      </c>
      <c r="O762" s="7"/>
      <c r="P762" s="7" t="s">
        <v>1710</v>
      </c>
      <c r="Q762" s="7"/>
      <c r="R762" s="7"/>
      <c r="S762" s="3" t="s">
        <v>40</v>
      </c>
      <c r="T762" s="7" t="s">
        <v>1711</v>
      </c>
      <c r="U762" s="7"/>
      <c r="V762" s="4" t="s">
        <v>51</v>
      </c>
      <c r="W762" s="4" t="s">
        <v>107</v>
      </c>
      <c r="X762" s="4" t="s">
        <v>386</v>
      </c>
      <c r="Y762" s="7" t="s">
        <v>937</v>
      </c>
      <c r="Z762" s="7"/>
      <c r="AA762" s="4" t="s">
        <v>46</v>
      </c>
      <c r="AB762" s="4" t="s">
        <v>115</v>
      </c>
      <c r="AC762" s="4" t="s">
        <v>938</v>
      </c>
      <c r="AD762" s="4" t="s">
        <v>1712</v>
      </c>
      <c r="AE762" s="4" t="s">
        <v>48</v>
      </c>
      <c r="AF762" s="4" t="s">
        <v>41</v>
      </c>
      <c r="AG762" s="4" t="s">
        <v>1316</v>
      </c>
    </row>
    <row r="763" spans="1:33" ht="16.5" customHeight="1" x14ac:dyDescent="0.2">
      <c r="A763" s="2" t="s">
        <v>31</v>
      </c>
      <c r="B763" s="5" t="s">
        <v>108</v>
      </c>
      <c r="C763" s="5"/>
      <c r="D763" s="5"/>
      <c r="E763" s="6" t="s">
        <v>33</v>
      </c>
      <c r="F763" s="6"/>
      <c r="G763" s="7" t="s">
        <v>1311</v>
      </c>
      <c r="H763" s="7"/>
      <c r="I763" s="7"/>
      <c r="J763" s="3" t="s">
        <v>35</v>
      </c>
      <c r="K763" s="4" t="s">
        <v>1285</v>
      </c>
      <c r="N763" s="7" t="s">
        <v>1709</v>
      </c>
      <c r="O763" s="7"/>
      <c r="P763" s="7" t="s">
        <v>1710</v>
      </c>
      <c r="Q763" s="7"/>
      <c r="R763" s="7"/>
      <c r="S763" s="3" t="s">
        <v>40</v>
      </c>
      <c r="T763" s="7" t="s">
        <v>1711</v>
      </c>
      <c r="U763" s="7"/>
      <c r="V763" s="4" t="s">
        <v>58</v>
      </c>
      <c r="W763" s="4" t="s">
        <v>107</v>
      </c>
      <c r="X763" s="4" t="s">
        <v>59</v>
      </c>
      <c r="Y763" s="7" t="s">
        <v>937</v>
      </c>
      <c r="Z763" s="7"/>
      <c r="AA763" s="4" t="s">
        <v>46</v>
      </c>
      <c r="AB763" s="4" t="s">
        <v>115</v>
      </c>
      <c r="AC763" s="4" t="s">
        <v>938</v>
      </c>
      <c r="AD763" s="4" t="s">
        <v>1712</v>
      </c>
      <c r="AE763" s="4" t="s">
        <v>48</v>
      </c>
      <c r="AF763" s="4" t="s">
        <v>41</v>
      </c>
      <c r="AG763" s="4" t="s">
        <v>1316</v>
      </c>
    </row>
    <row r="764" spans="1:33" ht="16.5" customHeight="1" x14ac:dyDescent="0.2">
      <c r="A764" s="2" t="s">
        <v>31</v>
      </c>
      <c r="B764" s="5" t="s">
        <v>108</v>
      </c>
      <c r="C764" s="5"/>
      <c r="D764" s="5"/>
      <c r="E764" s="6" t="s">
        <v>33</v>
      </c>
      <c r="F764" s="6"/>
      <c r="G764" s="7" t="s">
        <v>1311</v>
      </c>
      <c r="H764" s="7"/>
      <c r="I764" s="7"/>
      <c r="J764" s="3" t="s">
        <v>35</v>
      </c>
      <c r="K764" s="4" t="s">
        <v>1285</v>
      </c>
      <c r="N764" s="7" t="s">
        <v>1709</v>
      </c>
      <c r="O764" s="7"/>
      <c r="P764" s="7" t="s">
        <v>1710</v>
      </c>
      <c r="Q764" s="7"/>
      <c r="R764" s="7"/>
      <c r="S764" s="3" t="s">
        <v>40</v>
      </c>
      <c r="T764" s="7" t="s">
        <v>1711</v>
      </c>
      <c r="U764" s="7"/>
      <c r="V764" s="4" t="s">
        <v>172</v>
      </c>
      <c r="W764" s="4" t="s">
        <v>107</v>
      </c>
      <c r="X764" s="4" t="s">
        <v>128</v>
      </c>
      <c r="Y764" s="7" t="s">
        <v>937</v>
      </c>
      <c r="Z764" s="7"/>
      <c r="AA764" s="4" t="s">
        <v>46</v>
      </c>
      <c r="AB764" s="4" t="s">
        <v>115</v>
      </c>
      <c r="AC764" s="4" t="s">
        <v>938</v>
      </c>
      <c r="AD764" s="4" t="s">
        <v>1712</v>
      </c>
      <c r="AE764" s="4" t="s">
        <v>48</v>
      </c>
      <c r="AF764" s="4" t="s">
        <v>41</v>
      </c>
      <c r="AG764" s="4" t="s">
        <v>1316</v>
      </c>
    </row>
    <row r="765" spans="1:33" ht="16.5" customHeight="1" x14ac:dyDescent="0.2">
      <c r="A765" s="2" t="s">
        <v>31</v>
      </c>
      <c r="B765" s="5" t="s">
        <v>108</v>
      </c>
      <c r="C765" s="5"/>
      <c r="D765" s="5"/>
      <c r="E765" s="6" t="s">
        <v>33</v>
      </c>
      <c r="F765" s="6"/>
      <c r="G765" s="7" t="s">
        <v>1311</v>
      </c>
      <c r="H765" s="7"/>
      <c r="I765" s="7"/>
      <c r="J765" s="3" t="s">
        <v>35</v>
      </c>
      <c r="K765" s="4" t="s">
        <v>1285</v>
      </c>
      <c r="N765" s="7" t="s">
        <v>1713</v>
      </c>
      <c r="O765" s="7"/>
      <c r="P765" s="7" t="s">
        <v>1714</v>
      </c>
      <c r="Q765" s="7"/>
      <c r="R765" s="7"/>
      <c r="S765" s="3" t="s">
        <v>40</v>
      </c>
      <c r="T765" s="7" t="s">
        <v>1715</v>
      </c>
      <c r="U765" s="7"/>
      <c r="V765" s="4" t="s">
        <v>42</v>
      </c>
      <c r="W765" s="4" t="s">
        <v>312</v>
      </c>
      <c r="X765" s="4" t="s">
        <v>313</v>
      </c>
      <c r="Y765" s="7" t="s">
        <v>937</v>
      </c>
      <c r="Z765" s="7"/>
      <c r="AA765" s="4" t="s">
        <v>46</v>
      </c>
      <c r="AB765" s="4" t="s">
        <v>115</v>
      </c>
      <c r="AC765" s="4" t="s">
        <v>938</v>
      </c>
      <c r="AD765" s="4" t="s">
        <v>1716</v>
      </c>
      <c r="AE765" s="4" t="s">
        <v>48</v>
      </c>
      <c r="AF765" s="4" t="s">
        <v>41</v>
      </c>
      <c r="AG765" s="4" t="s">
        <v>1316</v>
      </c>
    </row>
    <row r="766" spans="1:33" ht="16.5" customHeight="1" x14ac:dyDescent="0.2">
      <c r="A766" s="2" t="s">
        <v>31</v>
      </c>
      <c r="B766" s="5" t="s">
        <v>108</v>
      </c>
      <c r="C766" s="5"/>
      <c r="D766" s="5"/>
      <c r="E766" s="6" t="s">
        <v>33</v>
      </c>
      <c r="F766" s="6"/>
      <c r="G766" s="7" t="s">
        <v>1311</v>
      </c>
      <c r="H766" s="7"/>
      <c r="I766" s="7"/>
      <c r="J766" s="3" t="s">
        <v>35</v>
      </c>
      <c r="K766" s="4" t="s">
        <v>933</v>
      </c>
      <c r="N766" s="7" t="s">
        <v>1717</v>
      </c>
      <c r="O766" s="7"/>
      <c r="P766" s="7" t="s">
        <v>1718</v>
      </c>
      <c r="Q766" s="7"/>
      <c r="R766" s="7"/>
      <c r="S766" s="3" t="s">
        <v>40</v>
      </c>
      <c r="T766" s="7" t="s">
        <v>1719</v>
      </c>
      <c r="U766" s="7"/>
      <c r="V766" s="4" t="s">
        <v>51</v>
      </c>
      <c r="W766" s="4" t="s">
        <v>312</v>
      </c>
      <c r="X766" s="4" t="s">
        <v>77</v>
      </c>
      <c r="Y766" s="7" t="s">
        <v>961</v>
      </c>
      <c r="Z766" s="7"/>
      <c r="AA766" s="4" t="s">
        <v>46</v>
      </c>
      <c r="AB766" s="4" t="s">
        <v>115</v>
      </c>
      <c r="AC766" s="4" t="s">
        <v>962</v>
      </c>
      <c r="AD766" s="4" t="s">
        <v>1720</v>
      </c>
      <c r="AE766" s="4" t="s">
        <v>48</v>
      </c>
      <c r="AF766" s="4" t="s">
        <v>41</v>
      </c>
      <c r="AG766" s="4" t="s">
        <v>1316</v>
      </c>
    </row>
    <row r="767" spans="1:33" ht="16.5" customHeight="1" x14ac:dyDescent="0.2">
      <c r="A767" s="2" t="s">
        <v>31</v>
      </c>
      <c r="B767" s="5" t="s">
        <v>108</v>
      </c>
      <c r="C767" s="5"/>
      <c r="D767" s="5"/>
      <c r="E767" s="6" t="s">
        <v>33</v>
      </c>
      <c r="F767" s="6"/>
      <c r="G767" s="7" t="s">
        <v>1311</v>
      </c>
      <c r="H767" s="7"/>
      <c r="I767" s="7"/>
      <c r="J767" s="3" t="s">
        <v>35</v>
      </c>
      <c r="K767" s="4" t="s">
        <v>1721</v>
      </c>
      <c r="N767" s="7" t="s">
        <v>1722</v>
      </c>
      <c r="O767" s="7"/>
      <c r="P767" s="7" t="s">
        <v>1723</v>
      </c>
      <c r="Q767" s="7"/>
      <c r="R767" s="7"/>
      <c r="S767" s="3" t="s">
        <v>40</v>
      </c>
      <c r="T767" s="7" t="s">
        <v>1724</v>
      </c>
      <c r="U767" s="7"/>
      <c r="V767" s="4" t="s">
        <v>51</v>
      </c>
      <c r="W767" s="4" t="s">
        <v>312</v>
      </c>
      <c r="X767" s="4" t="s">
        <v>77</v>
      </c>
      <c r="Y767" s="7" t="s">
        <v>402</v>
      </c>
      <c r="Z767" s="7"/>
      <c r="AA767" s="4" t="s">
        <v>46</v>
      </c>
      <c r="AB767" s="4" t="s">
        <v>115</v>
      </c>
      <c r="AC767" s="4" t="s">
        <v>403</v>
      </c>
      <c r="AD767" s="4" t="s">
        <v>1725</v>
      </c>
      <c r="AE767" s="4" t="s">
        <v>48</v>
      </c>
      <c r="AF767" s="4" t="s">
        <v>41</v>
      </c>
      <c r="AG767" s="4" t="s">
        <v>1316</v>
      </c>
    </row>
    <row r="768" spans="1:33" ht="16.5" customHeight="1" x14ac:dyDescent="0.2">
      <c r="A768" s="2" t="s">
        <v>31</v>
      </c>
      <c r="B768" s="5" t="s">
        <v>108</v>
      </c>
      <c r="C768" s="5"/>
      <c r="D768" s="5"/>
      <c r="E768" s="6" t="s">
        <v>33</v>
      </c>
      <c r="F768" s="6"/>
      <c r="G768" s="7" t="s">
        <v>1311</v>
      </c>
      <c r="H768" s="7"/>
      <c r="I768" s="7"/>
      <c r="J768" s="3" t="s">
        <v>35</v>
      </c>
      <c r="K768" s="4" t="s">
        <v>1285</v>
      </c>
      <c r="N768" s="7" t="s">
        <v>1726</v>
      </c>
      <c r="O768" s="7"/>
      <c r="P768" s="7" t="s">
        <v>1727</v>
      </c>
      <c r="Q768" s="7"/>
      <c r="R768" s="7"/>
      <c r="S768" s="3" t="s">
        <v>40</v>
      </c>
      <c r="T768" s="7" t="s">
        <v>1292</v>
      </c>
      <c r="U768" s="7"/>
      <c r="V768" s="4" t="s">
        <v>1310</v>
      </c>
      <c r="W768" s="4" t="s">
        <v>76</v>
      </c>
      <c r="X768" s="4" t="s">
        <v>69</v>
      </c>
      <c r="Y768" s="7" t="s">
        <v>937</v>
      </c>
      <c r="Z768" s="7"/>
      <c r="AA768" s="4" t="s">
        <v>46</v>
      </c>
      <c r="AB768" s="4" t="s">
        <v>115</v>
      </c>
      <c r="AC768" s="4" t="s">
        <v>938</v>
      </c>
      <c r="AD768" s="4" t="s">
        <v>1293</v>
      </c>
      <c r="AE768" s="4" t="s">
        <v>48</v>
      </c>
      <c r="AF768" s="4" t="s">
        <v>41</v>
      </c>
      <c r="AG768" s="4" t="s">
        <v>1316</v>
      </c>
    </row>
    <row r="769" spans="1:33" ht="16.5" customHeight="1" x14ac:dyDescent="0.2">
      <c r="A769" s="2" t="s">
        <v>31</v>
      </c>
      <c r="B769" s="5" t="s">
        <v>108</v>
      </c>
      <c r="C769" s="5"/>
      <c r="D769" s="5"/>
      <c r="E769" s="6" t="s">
        <v>33</v>
      </c>
      <c r="F769" s="6"/>
      <c r="G769" s="7" t="s">
        <v>1311</v>
      </c>
      <c r="H769" s="7"/>
      <c r="I769" s="7"/>
      <c r="J769" s="3" t="s">
        <v>35</v>
      </c>
      <c r="K769" s="4" t="s">
        <v>1285</v>
      </c>
      <c r="N769" s="7" t="s">
        <v>1726</v>
      </c>
      <c r="O769" s="7"/>
      <c r="P769" s="7" t="s">
        <v>1727</v>
      </c>
      <c r="Q769" s="7"/>
      <c r="R769" s="7"/>
      <c r="S769" s="3" t="s">
        <v>40</v>
      </c>
      <c r="T769" s="7" t="s">
        <v>1292</v>
      </c>
      <c r="U769" s="7"/>
      <c r="V769" s="4" t="s">
        <v>950</v>
      </c>
      <c r="W769" s="4" t="s">
        <v>76</v>
      </c>
      <c r="X769" s="4" t="s">
        <v>313</v>
      </c>
      <c r="Y769" s="7" t="s">
        <v>937</v>
      </c>
      <c r="Z769" s="7"/>
      <c r="AA769" s="4" t="s">
        <v>46</v>
      </c>
      <c r="AB769" s="4" t="s">
        <v>115</v>
      </c>
      <c r="AC769" s="4" t="s">
        <v>938</v>
      </c>
      <c r="AD769" s="4" t="s">
        <v>1293</v>
      </c>
      <c r="AE769" s="4" t="s">
        <v>48</v>
      </c>
      <c r="AF769" s="4" t="s">
        <v>41</v>
      </c>
      <c r="AG769" s="4" t="s">
        <v>1316</v>
      </c>
    </row>
    <row r="770" spans="1:33" ht="16.5" customHeight="1" x14ac:dyDescent="0.2">
      <c r="A770" s="2" t="s">
        <v>31</v>
      </c>
      <c r="B770" s="5" t="s">
        <v>108</v>
      </c>
      <c r="C770" s="5"/>
      <c r="D770" s="5"/>
      <c r="E770" s="6" t="s">
        <v>33</v>
      </c>
      <c r="F770" s="6"/>
      <c r="G770" s="7" t="s">
        <v>1311</v>
      </c>
      <c r="H770" s="7"/>
      <c r="I770" s="7"/>
      <c r="J770" s="3" t="s">
        <v>35</v>
      </c>
      <c r="K770" s="4" t="s">
        <v>1285</v>
      </c>
      <c r="N770" s="7" t="s">
        <v>1726</v>
      </c>
      <c r="O770" s="7"/>
      <c r="P770" s="7" t="s">
        <v>1727</v>
      </c>
      <c r="Q770" s="7"/>
      <c r="R770" s="7"/>
      <c r="S770" s="3" t="s">
        <v>40</v>
      </c>
      <c r="T770" s="7" t="s">
        <v>1292</v>
      </c>
      <c r="U770" s="7"/>
      <c r="V770" s="4" t="s">
        <v>42</v>
      </c>
      <c r="W770" s="4" t="s">
        <v>76</v>
      </c>
      <c r="X770" s="4" t="s">
        <v>77</v>
      </c>
      <c r="Y770" s="7" t="s">
        <v>937</v>
      </c>
      <c r="Z770" s="7"/>
      <c r="AA770" s="4" t="s">
        <v>46</v>
      </c>
      <c r="AB770" s="4" t="s">
        <v>115</v>
      </c>
      <c r="AC770" s="4" t="s">
        <v>938</v>
      </c>
      <c r="AD770" s="4" t="s">
        <v>1293</v>
      </c>
      <c r="AE770" s="4" t="s">
        <v>48</v>
      </c>
      <c r="AF770" s="4" t="s">
        <v>41</v>
      </c>
      <c r="AG770" s="4" t="s">
        <v>1316</v>
      </c>
    </row>
    <row r="771" spans="1:33" ht="16.5" customHeight="1" x14ac:dyDescent="0.2">
      <c r="A771" s="2" t="s">
        <v>31</v>
      </c>
      <c r="B771" s="5" t="s">
        <v>108</v>
      </c>
      <c r="C771" s="5"/>
      <c r="D771" s="5"/>
      <c r="E771" s="6" t="s">
        <v>33</v>
      </c>
      <c r="F771" s="6"/>
      <c r="G771" s="7" t="s">
        <v>1311</v>
      </c>
      <c r="H771" s="7"/>
      <c r="I771" s="7"/>
      <c r="J771" s="3" t="s">
        <v>35</v>
      </c>
      <c r="K771" s="4" t="s">
        <v>1285</v>
      </c>
      <c r="N771" s="7" t="s">
        <v>1728</v>
      </c>
      <c r="O771" s="7"/>
      <c r="P771" s="7" t="s">
        <v>1729</v>
      </c>
      <c r="Q771" s="7"/>
      <c r="R771" s="7"/>
      <c r="S771" s="3" t="s">
        <v>40</v>
      </c>
      <c r="T771" s="7" t="s">
        <v>1715</v>
      </c>
      <c r="U771" s="7"/>
      <c r="V771" s="4" t="s">
        <v>1730</v>
      </c>
      <c r="W771" s="4" t="s">
        <v>1731</v>
      </c>
      <c r="X771" s="4" t="s">
        <v>59</v>
      </c>
      <c r="Y771" s="7" t="s">
        <v>937</v>
      </c>
      <c r="Z771" s="7"/>
      <c r="AA771" s="4" t="s">
        <v>46</v>
      </c>
      <c r="AB771" s="4" t="s">
        <v>115</v>
      </c>
      <c r="AC771" s="4" t="s">
        <v>938</v>
      </c>
      <c r="AD771" s="4" t="s">
        <v>1716</v>
      </c>
      <c r="AE771" s="4" t="s">
        <v>48</v>
      </c>
      <c r="AF771" s="4" t="s">
        <v>41</v>
      </c>
      <c r="AG771" s="4" t="s">
        <v>1316</v>
      </c>
    </row>
    <row r="772" spans="1:33" ht="16.5" customHeight="1" x14ac:dyDescent="0.2">
      <c r="A772" s="2" t="s">
        <v>31</v>
      </c>
      <c r="B772" s="5" t="s">
        <v>108</v>
      </c>
      <c r="C772" s="5"/>
      <c r="D772" s="5"/>
      <c r="E772" s="6" t="s">
        <v>33</v>
      </c>
      <c r="F772" s="6"/>
      <c r="G772" s="7" t="s">
        <v>1311</v>
      </c>
      <c r="H772" s="7"/>
      <c r="I772" s="7"/>
      <c r="J772" s="3" t="s">
        <v>35</v>
      </c>
      <c r="K772" s="4" t="s">
        <v>1285</v>
      </c>
      <c r="N772" s="7" t="s">
        <v>1728</v>
      </c>
      <c r="O772" s="7"/>
      <c r="P772" s="7" t="s">
        <v>1729</v>
      </c>
      <c r="Q772" s="7"/>
      <c r="R772" s="7"/>
      <c r="S772" s="3" t="s">
        <v>40</v>
      </c>
      <c r="T772" s="7" t="s">
        <v>1715</v>
      </c>
      <c r="U772" s="7"/>
      <c r="V772" s="4" t="s">
        <v>1732</v>
      </c>
      <c r="W772" s="4" t="s">
        <v>1731</v>
      </c>
      <c r="X772" s="4" t="s">
        <v>128</v>
      </c>
      <c r="Y772" s="7" t="s">
        <v>937</v>
      </c>
      <c r="Z772" s="7"/>
      <c r="AA772" s="4" t="s">
        <v>46</v>
      </c>
      <c r="AB772" s="4" t="s">
        <v>115</v>
      </c>
      <c r="AC772" s="4" t="s">
        <v>938</v>
      </c>
      <c r="AD772" s="4" t="s">
        <v>1716</v>
      </c>
      <c r="AE772" s="4" t="s">
        <v>48</v>
      </c>
      <c r="AF772" s="4" t="s">
        <v>41</v>
      </c>
      <c r="AG772" s="4" t="s">
        <v>1316</v>
      </c>
    </row>
    <row r="773" spans="1:33" ht="16.5" customHeight="1" x14ac:dyDescent="0.2">
      <c r="A773" s="2" t="s">
        <v>31</v>
      </c>
      <c r="B773" s="5" t="s">
        <v>108</v>
      </c>
      <c r="C773" s="5"/>
      <c r="D773" s="5"/>
      <c r="E773" s="6" t="s">
        <v>33</v>
      </c>
      <c r="F773" s="6"/>
      <c r="G773" s="7" t="s">
        <v>1311</v>
      </c>
      <c r="H773" s="7"/>
      <c r="I773" s="7"/>
      <c r="J773" s="3" t="s">
        <v>35</v>
      </c>
      <c r="K773" s="4" t="s">
        <v>1285</v>
      </c>
      <c r="N773" s="7" t="s">
        <v>1733</v>
      </c>
      <c r="O773" s="7"/>
      <c r="P773" s="7" t="s">
        <v>1734</v>
      </c>
      <c r="Q773" s="7"/>
      <c r="R773" s="7"/>
      <c r="S773" s="3" t="s">
        <v>40</v>
      </c>
      <c r="T773" s="7" t="s">
        <v>1735</v>
      </c>
      <c r="U773" s="7"/>
      <c r="V773" s="4" t="s">
        <v>42</v>
      </c>
      <c r="W773" s="4" t="s">
        <v>76</v>
      </c>
      <c r="X773" s="4" t="s">
        <v>77</v>
      </c>
      <c r="Y773" s="7" t="s">
        <v>937</v>
      </c>
      <c r="Z773" s="7"/>
      <c r="AA773" s="4" t="s">
        <v>46</v>
      </c>
      <c r="AB773" s="4" t="s">
        <v>115</v>
      </c>
      <c r="AC773" s="4" t="s">
        <v>938</v>
      </c>
      <c r="AD773" s="4" t="s">
        <v>1736</v>
      </c>
      <c r="AE773" s="4" t="s">
        <v>48</v>
      </c>
      <c r="AF773" s="4" t="s">
        <v>41</v>
      </c>
      <c r="AG773" s="4" t="s">
        <v>1316</v>
      </c>
    </row>
    <row r="774" spans="1:33" ht="16.5" customHeight="1" x14ac:dyDescent="0.2">
      <c r="A774" s="2" t="s">
        <v>31</v>
      </c>
      <c r="B774" s="5" t="s">
        <v>108</v>
      </c>
      <c r="C774" s="5"/>
      <c r="D774" s="5"/>
      <c r="E774" s="6" t="s">
        <v>33</v>
      </c>
      <c r="F774" s="6"/>
      <c r="G774" s="7" t="s">
        <v>1311</v>
      </c>
      <c r="H774" s="7"/>
      <c r="I774" s="7"/>
      <c r="J774" s="3" t="s">
        <v>35</v>
      </c>
      <c r="K774" s="4" t="s">
        <v>1285</v>
      </c>
      <c r="N774" s="7" t="s">
        <v>1737</v>
      </c>
      <c r="O774" s="7"/>
      <c r="P774" s="7" t="s">
        <v>1738</v>
      </c>
      <c r="Q774" s="7"/>
      <c r="R774" s="7"/>
      <c r="S774" s="3" t="s">
        <v>40</v>
      </c>
      <c r="T774" s="7" t="s">
        <v>1739</v>
      </c>
      <c r="U774" s="7"/>
      <c r="V774" s="4" t="s">
        <v>51</v>
      </c>
      <c r="W774" s="4" t="s">
        <v>76</v>
      </c>
      <c r="X774" s="4" t="s">
        <v>91</v>
      </c>
      <c r="Y774" s="7" t="s">
        <v>937</v>
      </c>
      <c r="Z774" s="7"/>
      <c r="AA774" s="4" t="s">
        <v>46</v>
      </c>
      <c r="AB774" s="4" t="s">
        <v>115</v>
      </c>
      <c r="AC774" s="4" t="s">
        <v>938</v>
      </c>
      <c r="AD774" s="4" t="s">
        <v>1740</v>
      </c>
      <c r="AE774" s="4" t="s">
        <v>48</v>
      </c>
      <c r="AF774" s="4" t="s">
        <v>41</v>
      </c>
      <c r="AG774" s="4" t="s">
        <v>1316</v>
      </c>
    </row>
    <row r="775" spans="1:33" ht="16.5" customHeight="1" x14ac:dyDescent="0.2">
      <c r="A775" s="2" t="s">
        <v>31</v>
      </c>
      <c r="B775" s="5" t="s">
        <v>108</v>
      </c>
      <c r="C775" s="5"/>
      <c r="D775" s="5"/>
      <c r="E775" s="6" t="s">
        <v>33</v>
      </c>
      <c r="F775" s="6"/>
      <c r="G775" s="7" t="s">
        <v>1311</v>
      </c>
      <c r="H775" s="7"/>
      <c r="I775" s="7"/>
      <c r="J775" s="3" t="s">
        <v>35</v>
      </c>
      <c r="K775" s="4" t="s">
        <v>1285</v>
      </c>
      <c r="N775" s="7" t="s">
        <v>1741</v>
      </c>
      <c r="O775" s="7"/>
      <c r="P775" s="7" t="s">
        <v>1742</v>
      </c>
      <c r="Q775" s="7"/>
      <c r="R775" s="7"/>
      <c r="S775" s="3" t="s">
        <v>40</v>
      </c>
      <c r="T775" s="7" t="s">
        <v>1743</v>
      </c>
      <c r="U775" s="7"/>
      <c r="V775" s="4" t="s">
        <v>51</v>
      </c>
      <c r="W775" s="4" t="s">
        <v>76</v>
      </c>
      <c r="X775" s="4" t="s">
        <v>91</v>
      </c>
      <c r="Y775" s="7" t="s">
        <v>937</v>
      </c>
      <c r="Z775" s="7"/>
      <c r="AA775" s="4" t="s">
        <v>46</v>
      </c>
      <c r="AB775" s="4" t="s">
        <v>115</v>
      </c>
      <c r="AC775" s="4" t="s">
        <v>938</v>
      </c>
      <c r="AD775" s="4" t="s">
        <v>1744</v>
      </c>
      <c r="AE775" s="4" t="s">
        <v>48</v>
      </c>
      <c r="AF775" s="4" t="s">
        <v>41</v>
      </c>
      <c r="AG775" s="4" t="s">
        <v>1316</v>
      </c>
    </row>
    <row r="776" spans="1:33" ht="16.5" customHeight="1" x14ac:dyDescent="0.2">
      <c r="A776" s="2" t="s">
        <v>31</v>
      </c>
      <c r="B776" s="5" t="s">
        <v>108</v>
      </c>
      <c r="C776" s="5"/>
      <c r="D776" s="5"/>
      <c r="E776" s="6" t="s">
        <v>33</v>
      </c>
      <c r="F776" s="6"/>
      <c r="G776" s="7" t="s">
        <v>1311</v>
      </c>
      <c r="H776" s="7"/>
      <c r="I776" s="7"/>
      <c r="J776" s="3" t="s">
        <v>35</v>
      </c>
      <c r="K776" s="4" t="s">
        <v>1285</v>
      </c>
      <c r="N776" s="7" t="s">
        <v>1745</v>
      </c>
      <c r="O776" s="7"/>
      <c r="P776" s="7" t="s">
        <v>1746</v>
      </c>
      <c r="Q776" s="7"/>
      <c r="R776" s="7"/>
      <c r="S776" s="3" t="s">
        <v>40</v>
      </c>
      <c r="T776" s="7" t="s">
        <v>1715</v>
      </c>
      <c r="U776" s="7"/>
      <c r="V776" s="4" t="s">
        <v>42</v>
      </c>
      <c r="W776" s="4" t="s">
        <v>102</v>
      </c>
      <c r="X776" s="4" t="s">
        <v>103</v>
      </c>
      <c r="Y776" s="7" t="s">
        <v>937</v>
      </c>
      <c r="Z776" s="7"/>
      <c r="AA776" s="4" t="s">
        <v>46</v>
      </c>
      <c r="AB776" s="4" t="s">
        <v>115</v>
      </c>
      <c r="AC776" s="4" t="s">
        <v>938</v>
      </c>
      <c r="AD776" s="4" t="s">
        <v>1716</v>
      </c>
      <c r="AE776" s="4" t="s">
        <v>48</v>
      </c>
      <c r="AF776" s="4" t="s">
        <v>41</v>
      </c>
      <c r="AG776" s="4" t="s">
        <v>1316</v>
      </c>
    </row>
    <row r="777" spans="1:33" ht="16.5" customHeight="1" x14ac:dyDescent="0.2">
      <c r="A777" s="2" t="s">
        <v>31</v>
      </c>
      <c r="B777" s="5" t="s">
        <v>108</v>
      </c>
      <c r="C777" s="5"/>
      <c r="D777" s="5"/>
      <c r="E777" s="6" t="s">
        <v>33</v>
      </c>
      <c r="F777" s="6"/>
      <c r="G777" s="7" t="s">
        <v>1311</v>
      </c>
      <c r="H777" s="7"/>
      <c r="I777" s="7"/>
      <c r="J777" s="3" t="s">
        <v>35</v>
      </c>
      <c r="K777" s="4" t="s">
        <v>1285</v>
      </c>
      <c r="N777" s="7" t="s">
        <v>1747</v>
      </c>
      <c r="O777" s="7"/>
      <c r="P777" s="7" t="s">
        <v>1748</v>
      </c>
      <c r="Q777" s="7"/>
      <c r="R777" s="7"/>
      <c r="S777" s="3" t="s">
        <v>40</v>
      </c>
      <c r="T777" s="7" t="s">
        <v>1749</v>
      </c>
      <c r="U777" s="7"/>
      <c r="V777" s="4" t="s">
        <v>42</v>
      </c>
      <c r="W777" s="4" t="s">
        <v>90</v>
      </c>
      <c r="X777" s="4" t="s">
        <v>91</v>
      </c>
      <c r="Y777" s="7" t="s">
        <v>937</v>
      </c>
      <c r="Z777" s="7"/>
      <c r="AA777" s="4" t="s">
        <v>46</v>
      </c>
      <c r="AB777" s="4" t="s">
        <v>115</v>
      </c>
      <c r="AC777" s="4" t="s">
        <v>938</v>
      </c>
      <c r="AD777" s="4" t="s">
        <v>1750</v>
      </c>
      <c r="AE777" s="4" t="s">
        <v>48</v>
      </c>
      <c r="AF777" s="4" t="s">
        <v>41</v>
      </c>
      <c r="AG777" s="4" t="s">
        <v>1316</v>
      </c>
    </row>
    <row r="778" spans="1:33" ht="16.5" customHeight="1" x14ac:dyDescent="0.2">
      <c r="A778" s="2" t="s">
        <v>31</v>
      </c>
      <c r="B778" s="5" t="s">
        <v>108</v>
      </c>
      <c r="C778" s="5"/>
      <c r="D778" s="5"/>
      <c r="E778" s="6" t="s">
        <v>33</v>
      </c>
      <c r="F778" s="6"/>
      <c r="G778" s="7" t="s">
        <v>1311</v>
      </c>
      <c r="H778" s="7"/>
      <c r="I778" s="7"/>
      <c r="J778" s="3" t="s">
        <v>35</v>
      </c>
      <c r="K778" s="4" t="s">
        <v>1285</v>
      </c>
      <c r="N778" s="7" t="s">
        <v>1747</v>
      </c>
      <c r="O778" s="7"/>
      <c r="P778" s="7" t="s">
        <v>1748</v>
      </c>
      <c r="Q778" s="7"/>
      <c r="R778" s="7"/>
      <c r="S778" s="3" t="s">
        <v>40</v>
      </c>
      <c r="T778" s="7" t="s">
        <v>1749</v>
      </c>
      <c r="U778" s="7"/>
      <c r="V778" s="4" t="s">
        <v>51</v>
      </c>
      <c r="W778" s="4" t="s">
        <v>90</v>
      </c>
      <c r="X778" s="4" t="s">
        <v>103</v>
      </c>
      <c r="Y778" s="7" t="s">
        <v>937</v>
      </c>
      <c r="Z778" s="7"/>
      <c r="AA778" s="4" t="s">
        <v>46</v>
      </c>
      <c r="AB778" s="4" t="s">
        <v>115</v>
      </c>
      <c r="AC778" s="4" t="s">
        <v>938</v>
      </c>
      <c r="AD778" s="4" t="s">
        <v>1750</v>
      </c>
      <c r="AE778" s="4" t="s">
        <v>48</v>
      </c>
      <c r="AF778" s="4" t="s">
        <v>41</v>
      </c>
      <c r="AG778" s="4" t="s">
        <v>1316</v>
      </c>
    </row>
    <row r="779" spans="1:33" ht="16.5" customHeight="1" x14ac:dyDescent="0.2">
      <c r="A779" s="2" t="s">
        <v>31</v>
      </c>
      <c r="B779" s="5" t="s">
        <v>108</v>
      </c>
      <c r="C779" s="5"/>
      <c r="D779" s="5"/>
      <c r="E779" s="6" t="s">
        <v>33</v>
      </c>
      <c r="F779" s="6"/>
      <c r="G779" s="7" t="s">
        <v>1311</v>
      </c>
      <c r="H779" s="7"/>
      <c r="I779" s="7"/>
      <c r="J779" s="3" t="s">
        <v>35</v>
      </c>
      <c r="K779" s="4" t="s">
        <v>1285</v>
      </c>
      <c r="N779" s="7" t="s">
        <v>1751</v>
      </c>
      <c r="O779" s="7"/>
      <c r="P779" s="7" t="s">
        <v>1752</v>
      </c>
      <c r="Q779" s="7"/>
      <c r="R779" s="7"/>
      <c r="S779" s="3" t="s">
        <v>40</v>
      </c>
      <c r="T779" s="7" t="s">
        <v>1715</v>
      </c>
      <c r="U779" s="7"/>
      <c r="V779" s="4" t="s">
        <v>955</v>
      </c>
      <c r="W779" s="4" t="s">
        <v>956</v>
      </c>
      <c r="X779" s="4" t="s">
        <v>386</v>
      </c>
      <c r="Y779" s="7" t="s">
        <v>937</v>
      </c>
      <c r="Z779" s="7"/>
      <c r="AA779" s="4" t="s">
        <v>46</v>
      </c>
      <c r="AB779" s="4" t="s">
        <v>115</v>
      </c>
      <c r="AC779" s="4" t="s">
        <v>938</v>
      </c>
      <c r="AD779" s="4" t="s">
        <v>1716</v>
      </c>
      <c r="AE779" s="4" t="s">
        <v>48</v>
      </c>
      <c r="AF779" s="4" t="s">
        <v>41</v>
      </c>
      <c r="AG779" s="4" t="s">
        <v>1316</v>
      </c>
    </row>
    <row r="780" spans="1:33" ht="16.5" customHeight="1" x14ac:dyDescent="0.2">
      <c r="A780" s="2" t="s">
        <v>31</v>
      </c>
      <c r="B780" s="5" t="s">
        <v>108</v>
      </c>
      <c r="C780" s="5"/>
      <c r="D780" s="5"/>
      <c r="E780" s="6" t="s">
        <v>33</v>
      </c>
      <c r="F780" s="6"/>
      <c r="G780" s="7" t="s">
        <v>1311</v>
      </c>
      <c r="H780" s="7"/>
      <c r="I780" s="7"/>
      <c r="J780" s="3" t="s">
        <v>35</v>
      </c>
      <c r="K780" s="4" t="s">
        <v>398</v>
      </c>
      <c r="N780" s="7" t="s">
        <v>1753</v>
      </c>
      <c r="O780" s="7"/>
      <c r="P780" s="7" t="s">
        <v>1754</v>
      </c>
      <c r="Q780" s="7"/>
      <c r="R780" s="7"/>
      <c r="S780" s="3" t="s">
        <v>40</v>
      </c>
      <c r="T780" s="7" t="s">
        <v>1755</v>
      </c>
      <c r="U780" s="7"/>
      <c r="V780" s="4" t="s">
        <v>51</v>
      </c>
      <c r="W780" s="4" t="s">
        <v>107</v>
      </c>
      <c r="X780" s="4" t="s">
        <v>386</v>
      </c>
      <c r="Y780" s="7" t="s">
        <v>402</v>
      </c>
      <c r="Z780" s="7"/>
      <c r="AA780" s="4" t="s">
        <v>46</v>
      </c>
      <c r="AB780" s="4" t="s">
        <v>115</v>
      </c>
      <c r="AC780" s="4" t="s">
        <v>403</v>
      </c>
      <c r="AD780" s="4" t="s">
        <v>1756</v>
      </c>
      <c r="AE780" s="4" t="s">
        <v>48</v>
      </c>
      <c r="AF780" s="4" t="s">
        <v>41</v>
      </c>
      <c r="AG780" s="4" t="s">
        <v>1316</v>
      </c>
    </row>
    <row r="781" spans="1:33" ht="16.5" customHeight="1" x14ac:dyDescent="0.2">
      <c r="A781" s="2" t="s">
        <v>31</v>
      </c>
      <c r="B781" s="5" t="s">
        <v>108</v>
      </c>
      <c r="C781" s="5"/>
      <c r="D781" s="5"/>
      <c r="E781" s="6" t="s">
        <v>33</v>
      </c>
      <c r="F781" s="6"/>
      <c r="G781" s="7" t="s">
        <v>1311</v>
      </c>
      <c r="H781" s="7"/>
      <c r="I781" s="7"/>
      <c r="J781" s="3" t="s">
        <v>35</v>
      </c>
      <c r="K781" s="4" t="s">
        <v>1285</v>
      </c>
      <c r="N781" s="7" t="s">
        <v>1757</v>
      </c>
      <c r="O781" s="7"/>
      <c r="P781" s="7" t="s">
        <v>1758</v>
      </c>
      <c r="Q781" s="7"/>
      <c r="R781" s="7"/>
      <c r="S781" s="3" t="s">
        <v>40</v>
      </c>
      <c r="T781" s="7" t="s">
        <v>1759</v>
      </c>
      <c r="U781" s="7"/>
      <c r="V781" s="4" t="s">
        <v>42</v>
      </c>
      <c r="W781" s="4" t="s">
        <v>107</v>
      </c>
      <c r="X781" s="4" t="s">
        <v>104</v>
      </c>
      <c r="Y781" s="7" t="s">
        <v>937</v>
      </c>
      <c r="Z781" s="7"/>
      <c r="AA781" s="4" t="s">
        <v>46</v>
      </c>
      <c r="AB781" s="4" t="s">
        <v>115</v>
      </c>
      <c r="AC781" s="4" t="s">
        <v>938</v>
      </c>
      <c r="AD781" s="4" t="s">
        <v>1760</v>
      </c>
      <c r="AE781" s="4" t="s">
        <v>48</v>
      </c>
      <c r="AF781" s="4" t="s">
        <v>41</v>
      </c>
      <c r="AG781" s="4" t="s">
        <v>1316</v>
      </c>
    </row>
    <row r="782" spans="1:33" ht="16.5" customHeight="1" x14ac:dyDescent="0.2">
      <c r="A782" s="2" t="s">
        <v>31</v>
      </c>
      <c r="B782" s="5" t="s">
        <v>108</v>
      </c>
      <c r="C782" s="5"/>
      <c r="D782" s="5"/>
      <c r="E782" s="6" t="s">
        <v>33</v>
      </c>
      <c r="F782" s="6"/>
      <c r="G782" s="7" t="s">
        <v>1311</v>
      </c>
      <c r="H782" s="7"/>
      <c r="I782" s="7"/>
      <c r="J782" s="3" t="s">
        <v>35</v>
      </c>
      <c r="K782" s="4" t="s">
        <v>398</v>
      </c>
      <c r="N782" s="7" t="s">
        <v>1761</v>
      </c>
      <c r="O782" s="7"/>
      <c r="P782" s="7" t="s">
        <v>1762</v>
      </c>
      <c r="Q782" s="7"/>
      <c r="R782" s="7"/>
      <c r="S782" s="3" t="s">
        <v>40</v>
      </c>
      <c r="T782" s="7" t="s">
        <v>1763</v>
      </c>
      <c r="U782" s="7"/>
      <c r="V782" s="4" t="s">
        <v>51</v>
      </c>
      <c r="W782" s="4" t="s">
        <v>107</v>
      </c>
      <c r="X782" s="4" t="s">
        <v>386</v>
      </c>
      <c r="Y782" s="7" t="s">
        <v>402</v>
      </c>
      <c r="Z782" s="7"/>
      <c r="AA782" s="4" t="s">
        <v>46</v>
      </c>
      <c r="AB782" s="4" t="s">
        <v>115</v>
      </c>
      <c r="AC782" s="4" t="s">
        <v>403</v>
      </c>
      <c r="AD782" s="4" t="s">
        <v>1764</v>
      </c>
      <c r="AE782" s="4" t="s">
        <v>48</v>
      </c>
      <c r="AF782" s="4" t="s">
        <v>41</v>
      </c>
      <c r="AG782" s="4" t="s">
        <v>1316</v>
      </c>
    </row>
    <row r="783" spans="1:33" ht="16.5" customHeight="1" x14ac:dyDescent="0.2">
      <c r="A783" s="2" t="s">
        <v>31</v>
      </c>
      <c r="B783" s="5" t="s">
        <v>108</v>
      </c>
      <c r="C783" s="5"/>
      <c r="D783" s="5"/>
      <c r="E783" s="6" t="s">
        <v>33</v>
      </c>
      <c r="F783" s="6"/>
      <c r="G783" s="7" t="s">
        <v>1311</v>
      </c>
      <c r="H783" s="7"/>
      <c r="I783" s="7"/>
      <c r="J783" s="3" t="s">
        <v>35</v>
      </c>
      <c r="K783" s="4" t="s">
        <v>1285</v>
      </c>
      <c r="N783" s="7" t="s">
        <v>1765</v>
      </c>
      <c r="O783" s="7"/>
      <c r="P783" s="7" t="s">
        <v>1766</v>
      </c>
      <c r="Q783" s="7"/>
      <c r="R783" s="7"/>
      <c r="S783" s="3" t="s">
        <v>40</v>
      </c>
      <c r="T783" s="7" t="s">
        <v>1767</v>
      </c>
      <c r="U783" s="7"/>
      <c r="V783" s="4" t="s">
        <v>51</v>
      </c>
      <c r="W783" s="4" t="s">
        <v>107</v>
      </c>
      <c r="X783" s="4" t="s">
        <v>386</v>
      </c>
      <c r="Y783" s="7" t="s">
        <v>937</v>
      </c>
      <c r="Z783" s="7"/>
      <c r="AA783" s="4" t="s">
        <v>46</v>
      </c>
      <c r="AB783" s="4" t="s">
        <v>115</v>
      </c>
      <c r="AC783" s="4" t="s">
        <v>938</v>
      </c>
      <c r="AD783" s="4" t="s">
        <v>1768</v>
      </c>
      <c r="AE783" s="4" t="s">
        <v>48</v>
      </c>
      <c r="AF783" s="4" t="s">
        <v>41</v>
      </c>
      <c r="AG783" s="4" t="s">
        <v>1316</v>
      </c>
    </row>
    <row r="784" spans="1:33" ht="16.5" customHeight="1" x14ac:dyDescent="0.2">
      <c r="A784" s="2" t="s">
        <v>31</v>
      </c>
      <c r="B784" s="5" t="s">
        <v>108</v>
      </c>
      <c r="C784" s="5"/>
      <c r="D784" s="5"/>
      <c r="E784" s="6" t="s">
        <v>33</v>
      </c>
      <c r="F784" s="6"/>
      <c r="G784" s="7" t="s">
        <v>1311</v>
      </c>
      <c r="H784" s="7"/>
      <c r="I784" s="7"/>
      <c r="J784" s="3" t="s">
        <v>35</v>
      </c>
      <c r="K784" s="4" t="s">
        <v>1285</v>
      </c>
      <c r="N784" s="7" t="s">
        <v>1769</v>
      </c>
      <c r="O784" s="7"/>
      <c r="P784" s="7" t="s">
        <v>1770</v>
      </c>
      <c r="Q784" s="7"/>
      <c r="R784" s="7"/>
      <c r="S784" s="3" t="s">
        <v>40</v>
      </c>
      <c r="T784" s="7" t="s">
        <v>1771</v>
      </c>
      <c r="U784" s="7"/>
      <c r="V784" s="4" t="s">
        <v>51</v>
      </c>
      <c r="W784" s="4" t="s">
        <v>107</v>
      </c>
      <c r="X784" s="4" t="s">
        <v>386</v>
      </c>
      <c r="Y784" s="7" t="s">
        <v>937</v>
      </c>
      <c r="Z784" s="7"/>
      <c r="AA784" s="4" t="s">
        <v>46</v>
      </c>
      <c r="AB784" s="4" t="s">
        <v>115</v>
      </c>
      <c r="AC784" s="4" t="s">
        <v>938</v>
      </c>
      <c r="AD784" s="4" t="s">
        <v>1772</v>
      </c>
      <c r="AE784" s="4" t="s">
        <v>48</v>
      </c>
      <c r="AF784" s="4" t="s">
        <v>41</v>
      </c>
      <c r="AG784" s="4" t="s">
        <v>1316</v>
      </c>
    </row>
    <row r="785" spans="1:33" ht="16.5" customHeight="1" x14ac:dyDescent="0.2">
      <c r="A785" s="2" t="s">
        <v>31</v>
      </c>
      <c r="B785" s="5" t="s">
        <v>108</v>
      </c>
      <c r="C785" s="5"/>
      <c r="D785" s="5"/>
      <c r="E785" s="6" t="s">
        <v>33</v>
      </c>
      <c r="F785" s="6"/>
      <c r="G785" s="7" t="s">
        <v>1311</v>
      </c>
      <c r="H785" s="7"/>
      <c r="I785" s="7"/>
      <c r="J785" s="3" t="s">
        <v>35</v>
      </c>
      <c r="K785" s="4" t="s">
        <v>1285</v>
      </c>
      <c r="N785" s="7" t="s">
        <v>1773</v>
      </c>
      <c r="O785" s="7"/>
      <c r="P785" s="7" t="s">
        <v>1774</v>
      </c>
      <c r="Q785" s="7"/>
      <c r="R785" s="7"/>
      <c r="S785" s="3" t="s">
        <v>40</v>
      </c>
      <c r="T785" s="7" t="s">
        <v>1775</v>
      </c>
      <c r="U785" s="7"/>
      <c r="V785" s="4" t="s">
        <v>51</v>
      </c>
      <c r="W785" s="4" t="s">
        <v>58</v>
      </c>
      <c r="X785" s="4" t="s">
        <v>128</v>
      </c>
      <c r="Y785" s="7" t="s">
        <v>937</v>
      </c>
      <c r="Z785" s="7"/>
      <c r="AA785" s="4" t="s">
        <v>46</v>
      </c>
      <c r="AB785" s="4" t="s">
        <v>115</v>
      </c>
      <c r="AC785" s="4" t="s">
        <v>938</v>
      </c>
      <c r="AD785" s="4" t="s">
        <v>1776</v>
      </c>
      <c r="AE785" s="4" t="s">
        <v>48</v>
      </c>
      <c r="AF785" s="4" t="s">
        <v>41</v>
      </c>
      <c r="AG785" s="4" t="s">
        <v>1316</v>
      </c>
    </row>
    <row r="786" spans="1:33" ht="16.5" customHeight="1" x14ac:dyDescent="0.2">
      <c r="A786" s="2" t="s">
        <v>31</v>
      </c>
      <c r="B786" s="5" t="s">
        <v>108</v>
      </c>
      <c r="C786" s="5"/>
      <c r="D786" s="5"/>
      <c r="E786" s="6" t="s">
        <v>33</v>
      </c>
      <c r="F786" s="6"/>
      <c r="G786" s="7" t="s">
        <v>1311</v>
      </c>
      <c r="H786" s="7"/>
      <c r="I786" s="7"/>
      <c r="J786" s="3" t="s">
        <v>35</v>
      </c>
      <c r="K786" s="4" t="s">
        <v>1285</v>
      </c>
      <c r="N786" s="7" t="s">
        <v>1777</v>
      </c>
      <c r="O786" s="7"/>
      <c r="P786" s="7" t="s">
        <v>1778</v>
      </c>
      <c r="Q786" s="7"/>
      <c r="R786" s="7"/>
      <c r="S786" s="3" t="s">
        <v>40</v>
      </c>
      <c r="T786" s="7" t="s">
        <v>1715</v>
      </c>
      <c r="U786" s="7"/>
      <c r="V786" s="4" t="s">
        <v>42</v>
      </c>
      <c r="W786" s="4" t="s">
        <v>172</v>
      </c>
      <c r="X786" s="4" t="s">
        <v>386</v>
      </c>
      <c r="Y786" s="7" t="s">
        <v>937</v>
      </c>
      <c r="Z786" s="7"/>
      <c r="AA786" s="4" t="s">
        <v>46</v>
      </c>
      <c r="AB786" s="4" t="s">
        <v>115</v>
      </c>
      <c r="AC786" s="4" t="s">
        <v>938</v>
      </c>
      <c r="AD786" s="4" t="s">
        <v>1716</v>
      </c>
      <c r="AE786" s="4" t="s">
        <v>48</v>
      </c>
      <c r="AF786" s="4" t="s">
        <v>41</v>
      </c>
      <c r="AG786" s="4" t="s">
        <v>1316</v>
      </c>
    </row>
    <row r="787" spans="1:33" ht="16.5" customHeight="1" x14ac:dyDescent="0.2">
      <c r="A787" s="2" t="s">
        <v>31</v>
      </c>
      <c r="B787" s="5" t="s">
        <v>108</v>
      </c>
      <c r="C787" s="5"/>
      <c r="D787" s="5"/>
      <c r="E787" s="6" t="s">
        <v>33</v>
      </c>
      <c r="F787" s="6"/>
      <c r="G787" s="7" t="s">
        <v>1311</v>
      </c>
      <c r="H787" s="7"/>
      <c r="I787" s="7"/>
      <c r="J787" s="3" t="s">
        <v>35</v>
      </c>
      <c r="K787" s="4" t="s">
        <v>1285</v>
      </c>
      <c r="N787" s="7" t="s">
        <v>1779</v>
      </c>
      <c r="O787" s="7"/>
      <c r="P787" s="7" t="s">
        <v>1780</v>
      </c>
      <c r="Q787" s="7"/>
      <c r="R787" s="7"/>
      <c r="S787" s="3" t="s">
        <v>40</v>
      </c>
      <c r="T787" s="7" t="s">
        <v>1781</v>
      </c>
      <c r="U787" s="7"/>
      <c r="V787" s="4" t="s">
        <v>51</v>
      </c>
      <c r="W787" s="4" t="s">
        <v>107</v>
      </c>
      <c r="X787" s="4" t="s">
        <v>386</v>
      </c>
      <c r="Y787" s="7" t="s">
        <v>937</v>
      </c>
      <c r="Z787" s="7"/>
      <c r="AA787" s="4" t="s">
        <v>46</v>
      </c>
      <c r="AB787" s="4" t="s">
        <v>115</v>
      </c>
      <c r="AC787" s="4" t="s">
        <v>938</v>
      </c>
      <c r="AD787" s="4" t="s">
        <v>1782</v>
      </c>
      <c r="AE787" s="4" t="s">
        <v>48</v>
      </c>
      <c r="AF787" s="4" t="s">
        <v>41</v>
      </c>
      <c r="AG787" s="4" t="s">
        <v>1316</v>
      </c>
    </row>
    <row r="788" spans="1:33" ht="16.5" customHeight="1" x14ac:dyDescent="0.2">
      <c r="A788" s="2" t="s">
        <v>31</v>
      </c>
      <c r="B788" s="5" t="s">
        <v>108</v>
      </c>
      <c r="C788" s="5"/>
      <c r="D788" s="5"/>
      <c r="E788" s="6" t="s">
        <v>33</v>
      </c>
      <c r="F788" s="6"/>
      <c r="G788" s="7" t="s">
        <v>1311</v>
      </c>
      <c r="H788" s="7"/>
      <c r="I788" s="7"/>
      <c r="J788" s="3" t="s">
        <v>35</v>
      </c>
      <c r="K788" s="4" t="s">
        <v>398</v>
      </c>
      <c r="N788" s="7" t="s">
        <v>1783</v>
      </c>
      <c r="O788" s="7"/>
      <c r="P788" s="7" t="s">
        <v>1784</v>
      </c>
      <c r="Q788" s="7"/>
      <c r="R788" s="7"/>
      <c r="S788" s="3" t="s">
        <v>40</v>
      </c>
      <c r="T788" s="7" t="s">
        <v>1785</v>
      </c>
      <c r="U788" s="7"/>
      <c r="V788" s="4" t="s">
        <v>51</v>
      </c>
      <c r="W788" s="4" t="s">
        <v>58</v>
      </c>
      <c r="X788" s="4" t="s">
        <v>128</v>
      </c>
      <c r="Y788" s="7" t="s">
        <v>402</v>
      </c>
      <c r="Z788" s="7"/>
      <c r="AA788" s="4" t="s">
        <v>46</v>
      </c>
      <c r="AB788" s="4" t="s">
        <v>115</v>
      </c>
      <c r="AC788" s="4" t="s">
        <v>403</v>
      </c>
      <c r="AD788" s="4" t="s">
        <v>1786</v>
      </c>
      <c r="AE788" s="4" t="s">
        <v>48</v>
      </c>
      <c r="AF788" s="4" t="s">
        <v>41</v>
      </c>
      <c r="AG788" s="4" t="s">
        <v>1316</v>
      </c>
    </row>
    <row r="789" spans="1:33" ht="16.5" customHeight="1" x14ac:dyDescent="0.2">
      <c r="A789" s="2" t="s">
        <v>31</v>
      </c>
      <c r="B789" s="5" t="s">
        <v>108</v>
      </c>
      <c r="C789" s="5"/>
      <c r="D789" s="5"/>
      <c r="E789" s="6" t="s">
        <v>33</v>
      </c>
      <c r="F789" s="6"/>
      <c r="G789" s="7" t="s">
        <v>1311</v>
      </c>
      <c r="H789" s="7"/>
      <c r="I789" s="7"/>
      <c r="J789" s="3" t="s">
        <v>35</v>
      </c>
      <c r="K789" s="4" t="s">
        <v>1285</v>
      </c>
      <c r="N789" s="7" t="s">
        <v>1787</v>
      </c>
      <c r="O789" s="7"/>
      <c r="P789" s="7" t="s">
        <v>1788</v>
      </c>
      <c r="Q789" s="7"/>
      <c r="R789" s="7"/>
      <c r="S789" s="3" t="s">
        <v>40</v>
      </c>
      <c r="T789" s="7" t="s">
        <v>1715</v>
      </c>
      <c r="U789" s="7"/>
      <c r="V789" s="4" t="s">
        <v>42</v>
      </c>
      <c r="W789" s="4" t="s">
        <v>107</v>
      </c>
      <c r="X789" s="4" t="s">
        <v>104</v>
      </c>
      <c r="Y789" s="7" t="s">
        <v>937</v>
      </c>
      <c r="Z789" s="7"/>
      <c r="AA789" s="4" t="s">
        <v>46</v>
      </c>
      <c r="AB789" s="4" t="s">
        <v>115</v>
      </c>
      <c r="AC789" s="4" t="s">
        <v>938</v>
      </c>
      <c r="AD789" s="4" t="s">
        <v>1716</v>
      </c>
      <c r="AE789" s="4" t="s">
        <v>48</v>
      </c>
      <c r="AF789" s="4" t="s">
        <v>41</v>
      </c>
      <c r="AG789" s="4" t="s">
        <v>1316</v>
      </c>
    </row>
    <row r="790" spans="1:33" ht="16.5" customHeight="1" x14ac:dyDescent="0.2">
      <c r="A790" s="2" t="s">
        <v>31</v>
      </c>
      <c r="B790" s="5" t="s">
        <v>108</v>
      </c>
      <c r="C790" s="5"/>
      <c r="D790" s="5"/>
      <c r="E790" s="6" t="s">
        <v>33</v>
      </c>
      <c r="F790" s="6"/>
      <c r="G790" s="7" t="s">
        <v>1311</v>
      </c>
      <c r="H790" s="7"/>
      <c r="I790" s="7"/>
      <c r="J790" s="3" t="s">
        <v>35</v>
      </c>
      <c r="K790" s="4" t="s">
        <v>1285</v>
      </c>
      <c r="N790" s="7" t="s">
        <v>1787</v>
      </c>
      <c r="O790" s="7"/>
      <c r="P790" s="7" t="s">
        <v>1788</v>
      </c>
      <c r="Q790" s="7"/>
      <c r="R790" s="7"/>
      <c r="S790" s="3" t="s">
        <v>40</v>
      </c>
      <c r="T790" s="7" t="s">
        <v>1715</v>
      </c>
      <c r="U790" s="7"/>
      <c r="V790" s="4" t="s">
        <v>51</v>
      </c>
      <c r="W790" s="4" t="s">
        <v>107</v>
      </c>
      <c r="X790" s="4" t="s">
        <v>386</v>
      </c>
      <c r="Y790" s="7" t="s">
        <v>937</v>
      </c>
      <c r="Z790" s="7"/>
      <c r="AA790" s="4" t="s">
        <v>46</v>
      </c>
      <c r="AB790" s="4" t="s">
        <v>115</v>
      </c>
      <c r="AC790" s="4" t="s">
        <v>938</v>
      </c>
      <c r="AD790" s="4" t="s">
        <v>1716</v>
      </c>
      <c r="AE790" s="4" t="s">
        <v>48</v>
      </c>
      <c r="AF790" s="4" t="s">
        <v>41</v>
      </c>
      <c r="AG790" s="4" t="s">
        <v>1316</v>
      </c>
    </row>
    <row r="791" spans="1:33" ht="16.5" customHeight="1" x14ac:dyDescent="0.2">
      <c r="A791" s="2" t="s">
        <v>31</v>
      </c>
      <c r="B791" s="5" t="s">
        <v>108</v>
      </c>
      <c r="C791" s="5"/>
      <c r="D791" s="5"/>
      <c r="E791" s="6" t="s">
        <v>33</v>
      </c>
      <c r="F791" s="6"/>
      <c r="G791" s="7" t="s">
        <v>1311</v>
      </c>
      <c r="H791" s="7"/>
      <c r="I791" s="7"/>
      <c r="J791" s="3" t="s">
        <v>35</v>
      </c>
      <c r="K791" s="4" t="s">
        <v>1285</v>
      </c>
      <c r="N791" s="7" t="s">
        <v>1787</v>
      </c>
      <c r="O791" s="7"/>
      <c r="P791" s="7" t="s">
        <v>1788</v>
      </c>
      <c r="Q791" s="7"/>
      <c r="R791" s="7"/>
      <c r="S791" s="3" t="s">
        <v>40</v>
      </c>
      <c r="T791" s="7" t="s">
        <v>1789</v>
      </c>
      <c r="U791" s="7"/>
      <c r="V791" s="4" t="s">
        <v>51</v>
      </c>
      <c r="W791" s="4" t="s">
        <v>107</v>
      </c>
      <c r="X791" s="4" t="s">
        <v>386</v>
      </c>
      <c r="Y791" s="7" t="s">
        <v>937</v>
      </c>
      <c r="Z791" s="7"/>
      <c r="AA791" s="4" t="s">
        <v>46</v>
      </c>
      <c r="AB791" s="4" t="s">
        <v>115</v>
      </c>
      <c r="AC791" s="4" t="s">
        <v>938</v>
      </c>
      <c r="AD791" s="4" t="s">
        <v>1790</v>
      </c>
      <c r="AE791" s="4" t="s">
        <v>48</v>
      </c>
      <c r="AF791" s="4" t="s">
        <v>41</v>
      </c>
      <c r="AG791" s="4" t="s">
        <v>1316</v>
      </c>
    </row>
    <row r="792" spans="1:33" ht="16.5" customHeight="1" x14ac:dyDescent="0.2">
      <c r="A792" s="2" t="s">
        <v>31</v>
      </c>
      <c r="B792" s="5" t="s">
        <v>108</v>
      </c>
      <c r="C792" s="5"/>
      <c r="D792" s="5"/>
      <c r="E792" s="6" t="s">
        <v>33</v>
      </c>
      <c r="F792" s="6"/>
      <c r="G792" s="7" t="s">
        <v>1311</v>
      </c>
      <c r="H792" s="7"/>
      <c r="I792" s="7"/>
      <c r="J792" s="3" t="s">
        <v>35</v>
      </c>
      <c r="K792" s="4" t="s">
        <v>1285</v>
      </c>
      <c r="N792" s="7" t="s">
        <v>1787</v>
      </c>
      <c r="O792" s="7"/>
      <c r="P792" s="7" t="s">
        <v>1788</v>
      </c>
      <c r="Q792" s="7"/>
      <c r="R792" s="7"/>
      <c r="S792" s="3" t="s">
        <v>40</v>
      </c>
      <c r="T792" s="7" t="s">
        <v>1715</v>
      </c>
      <c r="U792" s="7"/>
      <c r="V792" s="4" t="s">
        <v>51</v>
      </c>
      <c r="W792" s="4" t="s">
        <v>107</v>
      </c>
      <c r="X792" s="4" t="s">
        <v>386</v>
      </c>
      <c r="Y792" s="7" t="s">
        <v>937</v>
      </c>
      <c r="Z792" s="7"/>
      <c r="AA792" s="4" t="s">
        <v>46</v>
      </c>
      <c r="AB792" s="4" t="s">
        <v>115</v>
      </c>
      <c r="AC792" s="4" t="s">
        <v>938</v>
      </c>
      <c r="AD792" s="4" t="s">
        <v>1716</v>
      </c>
      <c r="AE792" s="4" t="s">
        <v>48</v>
      </c>
      <c r="AF792" s="4" t="s">
        <v>41</v>
      </c>
      <c r="AG792" s="4" t="s">
        <v>1316</v>
      </c>
    </row>
    <row r="793" spans="1:33" ht="16.5" customHeight="1" x14ac:dyDescent="0.2">
      <c r="A793" s="2" t="s">
        <v>31</v>
      </c>
      <c r="B793" s="5" t="s">
        <v>108</v>
      </c>
      <c r="C793" s="5"/>
      <c r="D793" s="5"/>
      <c r="E793" s="6" t="s">
        <v>33</v>
      </c>
      <c r="F793" s="6"/>
      <c r="G793" s="7" t="s">
        <v>1311</v>
      </c>
      <c r="H793" s="7"/>
      <c r="I793" s="7"/>
      <c r="J793" s="3" t="s">
        <v>35</v>
      </c>
      <c r="K793" s="4" t="s">
        <v>1285</v>
      </c>
      <c r="N793" s="7" t="s">
        <v>1787</v>
      </c>
      <c r="O793" s="7"/>
      <c r="P793" s="7" t="s">
        <v>1788</v>
      </c>
      <c r="Q793" s="7"/>
      <c r="R793" s="7"/>
      <c r="S793" s="3" t="s">
        <v>40</v>
      </c>
      <c r="T793" s="7" t="s">
        <v>1715</v>
      </c>
      <c r="U793" s="7"/>
      <c r="V793" s="4" t="s">
        <v>58</v>
      </c>
      <c r="W793" s="4" t="s">
        <v>107</v>
      </c>
      <c r="X793" s="4" t="s">
        <v>59</v>
      </c>
      <c r="Y793" s="7" t="s">
        <v>937</v>
      </c>
      <c r="Z793" s="7"/>
      <c r="AA793" s="4" t="s">
        <v>46</v>
      </c>
      <c r="AB793" s="4" t="s">
        <v>115</v>
      </c>
      <c r="AC793" s="4" t="s">
        <v>938</v>
      </c>
      <c r="AD793" s="4" t="s">
        <v>1716</v>
      </c>
      <c r="AE793" s="4" t="s">
        <v>48</v>
      </c>
      <c r="AF793" s="4" t="s">
        <v>41</v>
      </c>
      <c r="AG793" s="4" t="s">
        <v>1316</v>
      </c>
    </row>
    <row r="794" spans="1:33" ht="16.5" customHeight="1" x14ac:dyDescent="0.2">
      <c r="A794" s="2" t="s">
        <v>31</v>
      </c>
      <c r="B794" s="5" t="s">
        <v>108</v>
      </c>
      <c r="C794" s="5"/>
      <c r="D794" s="5"/>
      <c r="E794" s="6" t="s">
        <v>33</v>
      </c>
      <c r="F794" s="6"/>
      <c r="G794" s="7" t="s">
        <v>1311</v>
      </c>
      <c r="H794" s="7"/>
      <c r="I794" s="7"/>
      <c r="J794" s="3" t="s">
        <v>35</v>
      </c>
      <c r="K794" s="4" t="s">
        <v>1285</v>
      </c>
      <c r="N794" s="7" t="s">
        <v>1787</v>
      </c>
      <c r="O794" s="7"/>
      <c r="P794" s="7" t="s">
        <v>1788</v>
      </c>
      <c r="Q794" s="7"/>
      <c r="R794" s="7"/>
      <c r="S794" s="3" t="s">
        <v>40</v>
      </c>
      <c r="T794" s="7" t="s">
        <v>1715</v>
      </c>
      <c r="U794" s="7"/>
      <c r="V794" s="4" t="s">
        <v>58</v>
      </c>
      <c r="W794" s="4" t="s">
        <v>107</v>
      </c>
      <c r="X794" s="4" t="s">
        <v>59</v>
      </c>
      <c r="Y794" s="7" t="s">
        <v>937</v>
      </c>
      <c r="Z794" s="7"/>
      <c r="AA794" s="4" t="s">
        <v>46</v>
      </c>
      <c r="AB794" s="4" t="s">
        <v>115</v>
      </c>
      <c r="AC794" s="4" t="s">
        <v>938</v>
      </c>
      <c r="AD794" s="4" t="s">
        <v>1716</v>
      </c>
      <c r="AE794" s="4" t="s">
        <v>48</v>
      </c>
      <c r="AF794" s="4" t="s">
        <v>41</v>
      </c>
      <c r="AG794" s="4" t="s">
        <v>1316</v>
      </c>
    </row>
    <row r="795" spans="1:33" ht="16.5" customHeight="1" x14ac:dyDescent="0.2">
      <c r="A795" s="2" t="s">
        <v>31</v>
      </c>
      <c r="B795" s="5" t="s">
        <v>108</v>
      </c>
      <c r="C795" s="5"/>
      <c r="D795" s="5"/>
      <c r="E795" s="6" t="s">
        <v>33</v>
      </c>
      <c r="F795" s="6"/>
      <c r="G795" s="7" t="s">
        <v>1311</v>
      </c>
      <c r="H795" s="7"/>
      <c r="I795" s="7"/>
      <c r="J795" s="3" t="s">
        <v>35</v>
      </c>
      <c r="K795" s="4" t="s">
        <v>1285</v>
      </c>
      <c r="N795" s="7" t="s">
        <v>1787</v>
      </c>
      <c r="O795" s="7"/>
      <c r="P795" s="7" t="s">
        <v>1788</v>
      </c>
      <c r="Q795" s="7"/>
      <c r="R795" s="7"/>
      <c r="S795" s="3" t="s">
        <v>40</v>
      </c>
      <c r="T795" s="7" t="s">
        <v>1715</v>
      </c>
      <c r="U795" s="7"/>
      <c r="V795" s="4" t="s">
        <v>172</v>
      </c>
      <c r="W795" s="4" t="s">
        <v>107</v>
      </c>
      <c r="X795" s="4" t="s">
        <v>128</v>
      </c>
      <c r="Y795" s="7" t="s">
        <v>937</v>
      </c>
      <c r="Z795" s="7"/>
      <c r="AA795" s="4" t="s">
        <v>46</v>
      </c>
      <c r="AB795" s="4" t="s">
        <v>115</v>
      </c>
      <c r="AC795" s="4" t="s">
        <v>938</v>
      </c>
      <c r="AD795" s="4" t="s">
        <v>1716</v>
      </c>
      <c r="AE795" s="4" t="s">
        <v>48</v>
      </c>
      <c r="AF795" s="4" t="s">
        <v>41</v>
      </c>
      <c r="AG795" s="4" t="s">
        <v>1316</v>
      </c>
    </row>
    <row r="796" spans="1:33" ht="16.5" customHeight="1" x14ac:dyDescent="0.2">
      <c r="A796" s="2" t="s">
        <v>31</v>
      </c>
      <c r="B796" s="5" t="s">
        <v>108</v>
      </c>
      <c r="C796" s="5"/>
      <c r="D796" s="5"/>
      <c r="E796" s="6" t="s">
        <v>33</v>
      </c>
      <c r="F796" s="6"/>
      <c r="G796" s="7" t="s">
        <v>1311</v>
      </c>
      <c r="H796" s="7"/>
      <c r="I796" s="7"/>
      <c r="J796" s="3" t="s">
        <v>35</v>
      </c>
      <c r="K796" s="4" t="s">
        <v>398</v>
      </c>
      <c r="N796" s="7" t="s">
        <v>1791</v>
      </c>
      <c r="O796" s="7"/>
      <c r="P796" s="7" t="s">
        <v>1792</v>
      </c>
      <c r="Q796" s="7"/>
      <c r="R796" s="7"/>
      <c r="S796" s="3" t="s">
        <v>40</v>
      </c>
      <c r="T796" s="7" t="s">
        <v>1793</v>
      </c>
      <c r="U796" s="7"/>
      <c r="V796" s="4" t="s">
        <v>51</v>
      </c>
      <c r="W796" s="4" t="s">
        <v>58</v>
      </c>
      <c r="X796" s="4" t="s">
        <v>128</v>
      </c>
      <c r="Y796" s="7" t="s">
        <v>402</v>
      </c>
      <c r="Z796" s="7"/>
      <c r="AA796" s="4" t="s">
        <v>46</v>
      </c>
      <c r="AB796" s="4" t="s">
        <v>115</v>
      </c>
      <c r="AC796" s="4" t="s">
        <v>403</v>
      </c>
      <c r="AD796" s="4" t="s">
        <v>1794</v>
      </c>
      <c r="AE796" s="4" t="s">
        <v>48</v>
      </c>
      <c r="AF796" s="4" t="s">
        <v>41</v>
      </c>
      <c r="AG796" s="4" t="s">
        <v>1316</v>
      </c>
    </row>
    <row r="797" spans="1:33" ht="16.5" customHeight="1" x14ac:dyDescent="0.2">
      <c r="A797" s="2" t="s">
        <v>31</v>
      </c>
      <c r="B797" s="5" t="s">
        <v>108</v>
      </c>
      <c r="C797" s="5"/>
      <c r="D797" s="5"/>
      <c r="E797" s="6" t="s">
        <v>33</v>
      </c>
      <c r="F797" s="6"/>
      <c r="G797" s="7" t="s">
        <v>1311</v>
      </c>
      <c r="H797" s="7"/>
      <c r="I797" s="7"/>
      <c r="J797" s="3" t="s">
        <v>35</v>
      </c>
      <c r="K797" s="4" t="s">
        <v>398</v>
      </c>
      <c r="N797" s="7" t="s">
        <v>1795</v>
      </c>
      <c r="O797" s="7"/>
      <c r="P797" s="7" t="s">
        <v>1796</v>
      </c>
      <c r="Q797" s="7"/>
      <c r="R797" s="7"/>
      <c r="S797" s="3" t="s">
        <v>40</v>
      </c>
      <c r="T797" s="7" t="s">
        <v>1797</v>
      </c>
      <c r="U797" s="7"/>
      <c r="V797" s="4" t="s">
        <v>42</v>
      </c>
      <c r="W797" s="4" t="s">
        <v>58</v>
      </c>
      <c r="X797" s="4" t="s">
        <v>59</v>
      </c>
      <c r="Y797" s="7" t="s">
        <v>915</v>
      </c>
      <c r="Z797" s="7"/>
      <c r="AA797" s="4" t="s">
        <v>46</v>
      </c>
      <c r="AB797" s="4" t="s">
        <v>115</v>
      </c>
      <c r="AC797" s="4" t="s">
        <v>916</v>
      </c>
      <c r="AD797" s="4" t="s">
        <v>1798</v>
      </c>
      <c r="AE797" s="4" t="s">
        <v>48</v>
      </c>
      <c r="AF797" s="4" t="s">
        <v>41</v>
      </c>
      <c r="AG797" s="4" t="s">
        <v>1316</v>
      </c>
    </row>
    <row r="798" spans="1:33" ht="16.5" customHeight="1" x14ac:dyDescent="0.2">
      <c r="A798" s="2" t="s">
        <v>31</v>
      </c>
      <c r="B798" s="5" t="s">
        <v>108</v>
      </c>
      <c r="C798" s="5"/>
      <c r="D798" s="5"/>
      <c r="E798" s="6" t="s">
        <v>33</v>
      </c>
      <c r="F798" s="6"/>
      <c r="G798" s="7" t="s">
        <v>1311</v>
      </c>
      <c r="H798" s="7"/>
      <c r="I798" s="7"/>
      <c r="J798" s="3" t="s">
        <v>35</v>
      </c>
      <c r="K798" s="4" t="s">
        <v>398</v>
      </c>
      <c r="N798" s="7" t="s">
        <v>1795</v>
      </c>
      <c r="O798" s="7"/>
      <c r="P798" s="7" t="s">
        <v>1796</v>
      </c>
      <c r="Q798" s="7"/>
      <c r="R798" s="7"/>
      <c r="S798" s="3" t="s">
        <v>40</v>
      </c>
      <c r="T798" s="7" t="s">
        <v>1797</v>
      </c>
      <c r="U798" s="7"/>
      <c r="V798" s="4" t="s">
        <v>51</v>
      </c>
      <c r="W798" s="4" t="s">
        <v>58</v>
      </c>
      <c r="X798" s="4" t="s">
        <v>128</v>
      </c>
      <c r="Y798" s="7" t="s">
        <v>915</v>
      </c>
      <c r="Z798" s="7"/>
      <c r="AA798" s="4" t="s">
        <v>46</v>
      </c>
      <c r="AB798" s="4" t="s">
        <v>115</v>
      </c>
      <c r="AC798" s="4" t="s">
        <v>916</v>
      </c>
      <c r="AD798" s="4" t="s">
        <v>1798</v>
      </c>
      <c r="AE798" s="4" t="s">
        <v>48</v>
      </c>
      <c r="AF798" s="4" t="s">
        <v>41</v>
      </c>
      <c r="AG798" s="4" t="s">
        <v>1316</v>
      </c>
    </row>
    <row r="799" spans="1:33" ht="16.5" customHeight="1" x14ac:dyDescent="0.2">
      <c r="A799" s="2" t="s">
        <v>31</v>
      </c>
      <c r="B799" s="5" t="s">
        <v>108</v>
      </c>
      <c r="C799" s="5"/>
      <c r="D799" s="5"/>
      <c r="E799" s="6" t="s">
        <v>33</v>
      </c>
      <c r="F799" s="6"/>
      <c r="G799" s="7" t="s">
        <v>1311</v>
      </c>
      <c r="H799" s="7"/>
      <c r="I799" s="7"/>
      <c r="J799" s="3" t="s">
        <v>35</v>
      </c>
      <c r="K799" s="4" t="s">
        <v>1285</v>
      </c>
      <c r="N799" s="7" t="s">
        <v>1799</v>
      </c>
      <c r="O799" s="7"/>
      <c r="P799" s="7" t="s">
        <v>1800</v>
      </c>
      <c r="Q799" s="7"/>
      <c r="R799" s="7"/>
      <c r="S799" s="3" t="s">
        <v>40</v>
      </c>
      <c r="T799" s="7" t="s">
        <v>1801</v>
      </c>
      <c r="U799" s="7"/>
      <c r="V799" s="4" t="s">
        <v>42</v>
      </c>
      <c r="W799" s="4" t="s">
        <v>172</v>
      </c>
      <c r="X799" s="4" t="s">
        <v>386</v>
      </c>
      <c r="Y799" s="7" t="s">
        <v>937</v>
      </c>
      <c r="Z799" s="7"/>
      <c r="AA799" s="4" t="s">
        <v>46</v>
      </c>
      <c r="AB799" s="4" t="s">
        <v>115</v>
      </c>
      <c r="AC799" s="4" t="s">
        <v>938</v>
      </c>
      <c r="AD799" s="4" t="s">
        <v>1802</v>
      </c>
      <c r="AE799" s="4" t="s">
        <v>48</v>
      </c>
      <c r="AF799" s="4" t="s">
        <v>41</v>
      </c>
      <c r="AG799" s="4" t="s">
        <v>1316</v>
      </c>
    </row>
    <row r="800" spans="1:33" ht="16.5" customHeight="1" x14ac:dyDescent="0.2">
      <c r="A800" s="2" t="s">
        <v>31</v>
      </c>
      <c r="B800" s="5" t="s">
        <v>108</v>
      </c>
      <c r="C800" s="5"/>
      <c r="D800" s="5"/>
      <c r="E800" s="6" t="s">
        <v>33</v>
      </c>
      <c r="F800" s="6"/>
      <c r="G800" s="7" t="s">
        <v>1311</v>
      </c>
      <c r="H800" s="7"/>
      <c r="I800" s="7"/>
      <c r="J800" s="3" t="s">
        <v>35</v>
      </c>
      <c r="K800" s="4" t="s">
        <v>1285</v>
      </c>
      <c r="N800" s="7" t="s">
        <v>1803</v>
      </c>
      <c r="O800" s="7"/>
      <c r="P800" s="7" t="s">
        <v>1804</v>
      </c>
      <c r="Q800" s="7"/>
      <c r="R800" s="7"/>
      <c r="S800" s="3" t="s">
        <v>40</v>
      </c>
      <c r="T800" s="7" t="s">
        <v>1805</v>
      </c>
      <c r="U800" s="7"/>
      <c r="V800" s="4" t="s">
        <v>42</v>
      </c>
      <c r="W800" s="4" t="s">
        <v>58</v>
      </c>
      <c r="X800" s="4" t="s">
        <v>59</v>
      </c>
      <c r="Y800" s="7" t="s">
        <v>937</v>
      </c>
      <c r="Z800" s="7"/>
      <c r="AA800" s="4" t="s">
        <v>46</v>
      </c>
      <c r="AB800" s="4" t="s">
        <v>115</v>
      </c>
      <c r="AC800" s="4" t="s">
        <v>938</v>
      </c>
      <c r="AD800" s="4" t="s">
        <v>1806</v>
      </c>
      <c r="AE800" s="4" t="s">
        <v>48</v>
      </c>
      <c r="AF800" s="4" t="s">
        <v>41</v>
      </c>
      <c r="AG800" s="4" t="s">
        <v>1316</v>
      </c>
    </row>
    <row r="801" spans="1:33" ht="16.5" customHeight="1" x14ac:dyDescent="0.2">
      <c r="A801" s="2" t="s">
        <v>31</v>
      </c>
      <c r="B801" s="5" t="s">
        <v>108</v>
      </c>
      <c r="C801" s="5"/>
      <c r="D801" s="5"/>
      <c r="E801" s="6" t="s">
        <v>33</v>
      </c>
      <c r="F801" s="6"/>
      <c r="G801" s="7" t="s">
        <v>1311</v>
      </c>
      <c r="H801" s="7"/>
      <c r="I801" s="7"/>
      <c r="J801" s="3" t="s">
        <v>35</v>
      </c>
      <c r="K801" s="4" t="s">
        <v>1285</v>
      </c>
      <c r="N801" s="7" t="s">
        <v>1803</v>
      </c>
      <c r="O801" s="7"/>
      <c r="P801" s="7" t="s">
        <v>1804</v>
      </c>
      <c r="Q801" s="7"/>
      <c r="R801" s="7"/>
      <c r="S801" s="3" t="s">
        <v>40</v>
      </c>
      <c r="T801" s="7" t="s">
        <v>1805</v>
      </c>
      <c r="U801" s="7"/>
      <c r="V801" s="4" t="s">
        <v>51</v>
      </c>
      <c r="W801" s="4" t="s">
        <v>58</v>
      </c>
      <c r="X801" s="4" t="s">
        <v>128</v>
      </c>
      <c r="Y801" s="7" t="s">
        <v>937</v>
      </c>
      <c r="Z801" s="7"/>
      <c r="AA801" s="4" t="s">
        <v>46</v>
      </c>
      <c r="AB801" s="4" t="s">
        <v>115</v>
      </c>
      <c r="AC801" s="4" t="s">
        <v>938</v>
      </c>
      <c r="AD801" s="4" t="s">
        <v>1806</v>
      </c>
      <c r="AE801" s="4" t="s">
        <v>48</v>
      </c>
      <c r="AF801" s="4" t="s">
        <v>41</v>
      </c>
      <c r="AG801" s="4" t="s">
        <v>1316</v>
      </c>
    </row>
    <row r="802" spans="1:33" ht="16.5" customHeight="1" x14ac:dyDescent="0.2">
      <c r="A802" s="2" t="s">
        <v>31</v>
      </c>
      <c r="B802" s="5" t="s">
        <v>108</v>
      </c>
      <c r="C802" s="5"/>
      <c r="D802" s="5"/>
      <c r="E802" s="6" t="s">
        <v>33</v>
      </c>
      <c r="F802" s="6"/>
      <c r="G802" s="7" t="s">
        <v>1311</v>
      </c>
      <c r="H802" s="7"/>
      <c r="I802" s="7"/>
      <c r="J802" s="3" t="s">
        <v>35</v>
      </c>
      <c r="K802" s="4" t="s">
        <v>1285</v>
      </c>
      <c r="N802" s="7" t="s">
        <v>1807</v>
      </c>
      <c r="O802" s="7"/>
      <c r="P802" s="7" t="s">
        <v>1808</v>
      </c>
      <c r="Q802" s="7"/>
      <c r="R802" s="7"/>
      <c r="S802" s="3" t="s">
        <v>40</v>
      </c>
      <c r="T802" s="7" t="s">
        <v>1809</v>
      </c>
      <c r="U802" s="7"/>
      <c r="V802" s="4" t="s">
        <v>51</v>
      </c>
      <c r="W802" s="4" t="s">
        <v>58</v>
      </c>
      <c r="X802" s="4" t="s">
        <v>128</v>
      </c>
      <c r="Y802" s="7" t="s">
        <v>937</v>
      </c>
      <c r="Z802" s="7"/>
      <c r="AA802" s="4" t="s">
        <v>46</v>
      </c>
      <c r="AB802" s="4" t="s">
        <v>115</v>
      </c>
      <c r="AC802" s="4" t="s">
        <v>938</v>
      </c>
      <c r="AD802" s="4" t="s">
        <v>1810</v>
      </c>
      <c r="AE802" s="4" t="s">
        <v>48</v>
      </c>
      <c r="AF802" s="4" t="s">
        <v>41</v>
      </c>
      <c r="AG802" s="4" t="s">
        <v>1316</v>
      </c>
    </row>
    <row r="803" spans="1:33" ht="16.5" customHeight="1" x14ac:dyDescent="0.2">
      <c r="A803" s="2" t="s">
        <v>31</v>
      </c>
      <c r="B803" s="5" t="s">
        <v>108</v>
      </c>
      <c r="C803" s="5"/>
      <c r="D803" s="5"/>
      <c r="E803" s="6" t="s">
        <v>33</v>
      </c>
      <c r="F803" s="6"/>
      <c r="G803" s="7" t="s">
        <v>1311</v>
      </c>
      <c r="H803" s="7"/>
      <c r="I803" s="7"/>
      <c r="J803" s="3" t="s">
        <v>35</v>
      </c>
      <c r="K803" s="4" t="s">
        <v>1285</v>
      </c>
      <c r="N803" s="7" t="s">
        <v>1811</v>
      </c>
      <c r="O803" s="7"/>
      <c r="P803" s="7" t="s">
        <v>1812</v>
      </c>
      <c r="Q803" s="7"/>
      <c r="R803" s="7"/>
      <c r="S803" s="3" t="s">
        <v>40</v>
      </c>
      <c r="T803" s="7" t="s">
        <v>1801</v>
      </c>
      <c r="U803" s="7"/>
      <c r="V803" s="4" t="s">
        <v>42</v>
      </c>
      <c r="W803" s="4" t="s">
        <v>58</v>
      </c>
      <c r="X803" s="4" t="s">
        <v>59</v>
      </c>
      <c r="Y803" s="7" t="s">
        <v>937</v>
      </c>
      <c r="Z803" s="7"/>
      <c r="AA803" s="4" t="s">
        <v>46</v>
      </c>
      <c r="AB803" s="4" t="s">
        <v>115</v>
      </c>
      <c r="AC803" s="4" t="s">
        <v>938</v>
      </c>
      <c r="AD803" s="4" t="s">
        <v>1802</v>
      </c>
      <c r="AE803" s="4" t="s">
        <v>48</v>
      </c>
      <c r="AF803" s="4" t="s">
        <v>41</v>
      </c>
      <c r="AG803" s="4" t="s">
        <v>1316</v>
      </c>
    </row>
    <row r="804" spans="1:33" ht="16.5" customHeight="1" x14ac:dyDescent="0.2">
      <c r="A804" s="2" t="s">
        <v>31</v>
      </c>
      <c r="B804" s="5" t="s">
        <v>108</v>
      </c>
      <c r="C804" s="5"/>
      <c r="D804" s="5"/>
      <c r="E804" s="6" t="s">
        <v>33</v>
      </c>
      <c r="F804" s="6"/>
      <c r="G804" s="7" t="s">
        <v>1311</v>
      </c>
      <c r="H804" s="7"/>
      <c r="I804" s="7"/>
      <c r="J804" s="3" t="s">
        <v>35</v>
      </c>
      <c r="K804" s="4" t="s">
        <v>1285</v>
      </c>
      <c r="N804" s="7" t="s">
        <v>1813</v>
      </c>
      <c r="O804" s="7"/>
      <c r="P804" s="7" t="s">
        <v>1814</v>
      </c>
      <c r="Q804" s="7"/>
      <c r="R804" s="7"/>
      <c r="S804" s="3" t="s">
        <v>40</v>
      </c>
      <c r="T804" s="7" t="s">
        <v>1735</v>
      </c>
      <c r="U804" s="7"/>
      <c r="V804" s="4" t="s">
        <v>51</v>
      </c>
      <c r="W804" s="4" t="s">
        <v>58</v>
      </c>
      <c r="X804" s="4" t="s">
        <v>128</v>
      </c>
      <c r="Y804" s="7" t="s">
        <v>937</v>
      </c>
      <c r="Z804" s="7"/>
      <c r="AA804" s="4" t="s">
        <v>46</v>
      </c>
      <c r="AB804" s="4" t="s">
        <v>115</v>
      </c>
      <c r="AC804" s="4" t="s">
        <v>938</v>
      </c>
      <c r="AD804" s="4" t="s">
        <v>1736</v>
      </c>
      <c r="AE804" s="4" t="s">
        <v>48</v>
      </c>
      <c r="AF804" s="4" t="s">
        <v>41</v>
      </c>
      <c r="AG804" s="4" t="s">
        <v>1316</v>
      </c>
    </row>
    <row r="805" spans="1:33" ht="16.5" customHeight="1" x14ac:dyDescent="0.2">
      <c r="A805" s="2" t="s">
        <v>31</v>
      </c>
      <c r="B805" s="5" t="s">
        <v>108</v>
      </c>
      <c r="C805" s="5"/>
      <c r="D805" s="5"/>
      <c r="E805" s="6" t="s">
        <v>33</v>
      </c>
      <c r="F805" s="6"/>
      <c r="G805" s="7" t="s">
        <v>1311</v>
      </c>
      <c r="H805" s="7"/>
      <c r="I805" s="7"/>
      <c r="J805" s="3" t="s">
        <v>35</v>
      </c>
      <c r="K805" s="4" t="s">
        <v>1285</v>
      </c>
      <c r="N805" s="7" t="s">
        <v>1815</v>
      </c>
      <c r="O805" s="7"/>
      <c r="P805" s="7" t="s">
        <v>1816</v>
      </c>
      <c r="Q805" s="7"/>
      <c r="R805" s="7"/>
      <c r="S805" s="3" t="s">
        <v>40</v>
      </c>
      <c r="T805" s="7" t="s">
        <v>1817</v>
      </c>
      <c r="U805" s="7"/>
      <c r="V805" s="4" t="s">
        <v>51</v>
      </c>
      <c r="W805" s="4" t="s">
        <v>58</v>
      </c>
      <c r="X805" s="4" t="s">
        <v>128</v>
      </c>
      <c r="Y805" s="7" t="s">
        <v>937</v>
      </c>
      <c r="Z805" s="7"/>
      <c r="AA805" s="4" t="s">
        <v>46</v>
      </c>
      <c r="AB805" s="4" t="s">
        <v>115</v>
      </c>
      <c r="AC805" s="4" t="s">
        <v>938</v>
      </c>
      <c r="AD805" s="4" t="s">
        <v>1818</v>
      </c>
      <c r="AE805" s="4" t="s">
        <v>48</v>
      </c>
      <c r="AF805" s="4" t="s">
        <v>41</v>
      </c>
      <c r="AG805" s="4" t="s">
        <v>1316</v>
      </c>
    </row>
    <row r="806" spans="1:33" ht="16.5" customHeight="1" x14ac:dyDescent="0.2">
      <c r="A806" s="2" t="s">
        <v>31</v>
      </c>
      <c r="B806" s="5" t="s">
        <v>108</v>
      </c>
      <c r="C806" s="5"/>
      <c r="D806" s="5"/>
      <c r="E806" s="6" t="s">
        <v>33</v>
      </c>
      <c r="F806" s="6"/>
      <c r="G806" s="7" t="s">
        <v>1311</v>
      </c>
      <c r="H806" s="7"/>
      <c r="I806" s="7"/>
      <c r="J806" s="3" t="s">
        <v>35</v>
      </c>
      <c r="K806" s="4" t="s">
        <v>1285</v>
      </c>
      <c r="N806" s="7" t="s">
        <v>1819</v>
      </c>
      <c r="O806" s="7"/>
      <c r="P806" s="7" t="s">
        <v>1820</v>
      </c>
      <c r="Q806" s="7"/>
      <c r="R806" s="7"/>
      <c r="S806" s="3" t="s">
        <v>40</v>
      </c>
      <c r="T806" s="7" t="s">
        <v>1821</v>
      </c>
      <c r="U806" s="7"/>
      <c r="V806" s="4" t="s">
        <v>51</v>
      </c>
      <c r="W806" s="4" t="s">
        <v>58</v>
      </c>
      <c r="X806" s="4" t="s">
        <v>128</v>
      </c>
      <c r="Y806" s="7" t="s">
        <v>937</v>
      </c>
      <c r="Z806" s="7"/>
      <c r="AA806" s="4" t="s">
        <v>46</v>
      </c>
      <c r="AB806" s="4" t="s">
        <v>115</v>
      </c>
      <c r="AC806" s="4" t="s">
        <v>938</v>
      </c>
      <c r="AD806" s="4" t="s">
        <v>1822</v>
      </c>
      <c r="AE806" s="4" t="s">
        <v>48</v>
      </c>
      <c r="AF806" s="4" t="s">
        <v>41</v>
      </c>
      <c r="AG806" s="4" t="s">
        <v>1316</v>
      </c>
    </row>
    <row r="807" spans="1:33" ht="16.5" customHeight="1" x14ac:dyDescent="0.2">
      <c r="A807" s="2" t="s">
        <v>31</v>
      </c>
      <c r="B807" s="5" t="s">
        <v>108</v>
      </c>
      <c r="C807" s="5"/>
      <c r="D807" s="5"/>
      <c r="E807" s="6" t="s">
        <v>33</v>
      </c>
      <c r="F807" s="6"/>
      <c r="G807" s="7" t="s">
        <v>1311</v>
      </c>
      <c r="H807" s="7"/>
      <c r="I807" s="7"/>
      <c r="J807" s="3" t="s">
        <v>35</v>
      </c>
      <c r="K807" s="4" t="s">
        <v>1285</v>
      </c>
      <c r="N807" s="7" t="s">
        <v>1823</v>
      </c>
      <c r="O807" s="7"/>
      <c r="P807" s="7" t="s">
        <v>1824</v>
      </c>
      <c r="Q807" s="7"/>
      <c r="R807" s="7"/>
      <c r="S807" s="3" t="s">
        <v>40</v>
      </c>
      <c r="T807" s="7" t="s">
        <v>1825</v>
      </c>
      <c r="U807" s="7"/>
      <c r="V807" s="4" t="s">
        <v>950</v>
      </c>
      <c r="W807" s="4" t="s">
        <v>58</v>
      </c>
      <c r="X807" s="4" t="s">
        <v>386</v>
      </c>
      <c r="Y807" s="7" t="s">
        <v>937</v>
      </c>
      <c r="Z807" s="7"/>
      <c r="AA807" s="4" t="s">
        <v>46</v>
      </c>
      <c r="AB807" s="4" t="s">
        <v>115</v>
      </c>
      <c r="AC807" s="4" t="s">
        <v>938</v>
      </c>
      <c r="AD807" s="4" t="s">
        <v>1826</v>
      </c>
      <c r="AE807" s="4" t="s">
        <v>48</v>
      </c>
      <c r="AF807" s="4" t="s">
        <v>41</v>
      </c>
      <c r="AG807" s="4" t="s">
        <v>1316</v>
      </c>
    </row>
    <row r="808" spans="1:33" ht="16.5" customHeight="1" x14ac:dyDescent="0.2">
      <c r="A808" s="2" t="s">
        <v>31</v>
      </c>
      <c r="B808" s="5" t="s">
        <v>108</v>
      </c>
      <c r="C808" s="5"/>
      <c r="D808" s="5"/>
      <c r="E808" s="6" t="s">
        <v>33</v>
      </c>
      <c r="F808" s="6"/>
      <c r="G808" s="7" t="s">
        <v>1311</v>
      </c>
      <c r="H808" s="7"/>
      <c r="I808" s="7"/>
      <c r="J808" s="3" t="s">
        <v>35</v>
      </c>
      <c r="K808" s="4" t="s">
        <v>1285</v>
      </c>
      <c r="N808" s="7" t="s">
        <v>1823</v>
      </c>
      <c r="O808" s="7"/>
      <c r="P808" s="7" t="s">
        <v>1824</v>
      </c>
      <c r="Q808" s="7"/>
      <c r="R808" s="7"/>
      <c r="S808" s="3" t="s">
        <v>40</v>
      </c>
      <c r="T808" s="7" t="s">
        <v>1825</v>
      </c>
      <c r="U808" s="7"/>
      <c r="V808" s="4" t="s">
        <v>42</v>
      </c>
      <c r="W808" s="4" t="s">
        <v>58</v>
      </c>
      <c r="X808" s="4" t="s">
        <v>59</v>
      </c>
      <c r="Y808" s="7" t="s">
        <v>937</v>
      </c>
      <c r="Z808" s="7"/>
      <c r="AA808" s="4" t="s">
        <v>46</v>
      </c>
      <c r="AB808" s="4" t="s">
        <v>115</v>
      </c>
      <c r="AC808" s="4" t="s">
        <v>938</v>
      </c>
      <c r="AD808" s="4" t="s">
        <v>1826</v>
      </c>
      <c r="AE808" s="4" t="s">
        <v>48</v>
      </c>
      <c r="AF808" s="4" t="s">
        <v>41</v>
      </c>
      <c r="AG808" s="4" t="s">
        <v>1316</v>
      </c>
    </row>
    <row r="809" spans="1:33" ht="16.5" customHeight="1" x14ac:dyDescent="0.2">
      <c r="A809" s="2" t="s">
        <v>31</v>
      </c>
      <c r="B809" s="5" t="s">
        <v>108</v>
      </c>
      <c r="C809" s="5"/>
      <c r="D809" s="5"/>
      <c r="E809" s="6" t="s">
        <v>33</v>
      </c>
      <c r="F809" s="6"/>
      <c r="G809" s="7" t="s">
        <v>1311</v>
      </c>
      <c r="H809" s="7"/>
      <c r="I809" s="7"/>
      <c r="J809" s="3" t="s">
        <v>35</v>
      </c>
      <c r="K809" s="4" t="s">
        <v>1285</v>
      </c>
      <c r="N809" s="7" t="s">
        <v>1823</v>
      </c>
      <c r="O809" s="7"/>
      <c r="P809" s="7" t="s">
        <v>1824</v>
      </c>
      <c r="Q809" s="7"/>
      <c r="R809" s="7"/>
      <c r="S809" s="3" t="s">
        <v>40</v>
      </c>
      <c r="T809" s="7" t="s">
        <v>1825</v>
      </c>
      <c r="U809" s="7"/>
      <c r="V809" s="4" t="s">
        <v>51</v>
      </c>
      <c r="W809" s="4" t="s">
        <v>58</v>
      </c>
      <c r="X809" s="4" t="s">
        <v>128</v>
      </c>
      <c r="Y809" s="7" t="s">
        <v>937</v>
      </c>
      <c r="Z809" s="7"/>
      <c r="AA809" s="4" t="s">
        <v>46</v>
      </c>
      <c r="AB809" s="4" t="s">
        <v>115</v>
      </c>
      <c r="AC809" s="4" t="s">
        <v>938</v>
      </c>
      <c r="AD809" s="4" t="s">
        <v>1826</v>
      </c>
      <c r="AE809" s="4" t="s">
        <v>48</v>
      </c>
      <c r="AF809" s="4" t="s">
        <v>41</v>
      </c>
      <c r="AG809" s="4" t="s">
        <v>1316</v>
      </c>
    </row>
    <row r="810" spans="1:33" ht="16.5" customHeight="1" x14ac:dyDescent="0.2">
      <c r="A810" s="2" t="s">
        <v>31</v>
      </c>
      <c r="B810" s="5" t="s">
        <v>108</v>
      </c>
      <c r="C810" s="5"/>
      <c r="D810" s="5"/>
      <c r="E810" s="6" t="s">
        <v>33</v>
      </c>
      <c r="F810" s="6"/>
      <c r="G810" s="7" t="s">
        <v>1311</v>
      </c>
      <c r="H810" s="7"/>
      <c r="I810" s="7"/>
      <c r="J810" s="3" t="s">
        <v>35</v>
      </c>
      <c r="K810" s="4" t="s">
        <v>1285</v>
      </c>
      <c r="N810" s="7" t="s">
        <v>1827</v>
      </c>
      <c r="O810" s="7"/>
      <c r="P810" s="7" t="s">
        <v>1828</v>
      </c>
      <c r="Q810" s="7"/>
      <c r="R810" s="7"/>
      <c r="S810" s="3" t="s">
        <v>40</v>
      </c>
      <c r="T810" s="7" t="s">
        <v>1829</v>
      </c>
      <c r="U810" s="7"/>
      <c r="V810" s="4" t="s">
        <v>42</v>
      </c>
      <c r="W810" s="4" t="s">
        <v>58</v>
      </c>
      <c r="X810" s="4" t="s">
        <v>59</v>
      </c>
      <c r="Y810" s="7" t="s">
        <v>937</v>
      </c>
      <c r="Z810" s="7"/>
      <c r="AA810" s="4" t="s">
        <v>46</v>
      </c>
      <c r="AB810" s="4" t="s">
        <v>115</v>
      </c>
      <c r="AC810" s="4" t="s">
        <v>938</v>
      </c>
      <c r="AD810" s="4" t="s">
        <v>1830</v>
      </c>
      <c r="AE810" s="4" t="s">
        <v>48</v>
      </c>
      <c r="AF810" s="4" t="s">
        <v>41</v>
      </c>
      <c r="AG810" s="4" t="s">
        <v>1316</v>
      </c>
    </row>
    <row r="811" spans="1:33" ht="16.5" customHeight="1" x14ac:dyDescent="0.2">
      <c r="A811" s="2" t="s">
        <v>31</v>
      </c>
      <c r="B811" s="5" t="s">
        <v>108</v>
      </c>
      <c r="C811" s="5"/>
      <c r="D811" s="5"/>
      <c r="E811" s="6" t="s">
        <v>33</v>
      </c>
      <c r="F811" s="6"/>
      <c r="G811" s="7" t="s">
        <v>1311</v>
      </c>
      <c r="H811" s="7"/>
      <c r="I811" s="7"/>
      <c r="J811" s="3" t="s">
        <v>35</v>
      </c>
      <c r="K811" s="4" t="s">
        <v>1285</v>
      </c>
      <c r="N811" s="7" t="s">
        <v>1827</v>
      </c>
      <c r="O811" s="7"/>
      <c r="P811" s="7" t="s">
        <v>1828</v>
      </c>
      <c r="Q811" s="7"/>
      <c r="R811" s="7"/>
      <c r="S811" s="3" t="s">
        <v>40</v>
      </c>
      <c r="T811" s="7" t="s">
        <v>1801</v>
      </c>
      <c r="U811" s="7"/>
      <c r="V811" s="4" t="s">
        <v>42</v>
      </c>
      <c r="W811" s="4" t="s">
        <v>58</v>
      </c>
      <c r="X811" s="4" t="s">
        <v>59</v>
      </c>
      <c r="Y811" s="7" t="s">
        <v>937</v>
      </c>
      <c r="Z811" s="7"/>
      <c r="AA811" s="4" t="s">
        <v>46</v>
      </c>
      <c r="AB811" s="4" t="s">
        <v>115</v>
      </c>
      <c r="AC811" s="4" t="s">
        <v>938</v>
      </c>
      <c r="AD811" s="4" t="s">
        <v>1802</v>
      </c>
      <c r="AE811" s="4" t="s">
        <v>48</v>
      </c>
      <c r="AF811" s="4" t="s">
        <v>41</v>
      </c>
      <c r="AG811" s="4" t="s">
        <v>1316</v>
      </c>
    </row>
    <row r="812" spans="1:33" ht="16.5" customHeight="1" x14ac:dyDescent="0.2">
      <c r="A812" s="2" t="s">
        <v>31</v>
      </c>
      <c r="B812" s="5" t="s">
        <v>108</v>
      </c>
      <c r="C812" s="5"/>
      <c r="D812" s="5"/>
      <c r="E812" s="6" t="s">
        <v>33</v>
      </c>
      <c r="F812" s="6"/>
      <c r="G812" s="7" t="s">
        <v>1311</v>
      </c>
      <c r="H812" s="7"/>
      <c r="I812" s="7"/>
      <c r="J812" s="3" t="s">
        <v>35</v>
      </c>
      <c r="K812" s="4" t="s">
        <v>1285</v>
      </c>
      <c r="N812" s="7" t="s">
        <v>1827</v>
      </c>
      <c r="O812" s="7"/>
      <c r="P812" s="7" t="s">
        <v>1828</v>
      </c>
      <c r="Q812" s="7"/>
      <c r="R812" s="7"/>
      <c r="S812" s="3" t="s">
        <v>40</v>
      </c>
      <c r="T812" s="7" t="s">
        <v>1801</v>
      </c>
      <c r="U812" s="7"/>
      <c r="V812" s="4" t="s">
        <v>42</v>
      </c>
      <c r="W812" s="4" t="s">
        <v>58</v>
      </c>
      <c r="X812" s="4" t="s">
        <v>59</v>
      </c>
      <c r="Y812" s="7" t="s">
        <v>937</v>
      </c>
      <c r="Z812" s="7"/>
      <c r="AA812" s="4" t="s">
        <v>46</v>
      </c>
      <c r="AB812" s="4" t="s">
        <v>115</v>
      </c>
      <c r="AC812" s="4" t="s">
        <v>938</v>
      </c>
      <c r="AD812" s="4" t="s">
        <v>1802</v>
      </c>
      <c r="AE812" s="4" t="s">
        <v>48</v>
      </c>
      <c r="AF812" s="4" t="s">
        <v>41</v>
      </c>
      <c r="AG812" s="4" t="s">
        <v>1316</v>
      </c>
    </row>
    <row r="813" spans="1:33" ht="16.5" customHeight="1" x14ac:dyDescent="0.2">
      <c r="A813" s="2" t="s">
        <v>31</v>
      </c>
      <c r="B813" s="5" t="s">
        <v>108</v>
      </c>
      <c r="C813" s="5"/>
      <c r="D813" s="5"/>
      <c r="E813" s="6" t="s">
        <v>33</v>
      </c>
      <c r="F813" s="6"/>
      <c r="G813" s="7" t="s">
        <v>1311</v>
      </c>
      <c r="H813" s="7"/>
      <c r="I813" s="7"/>
      <c r="J813" s="3" t="s">
        <v>35</v>
      </c>
      <c r="K813" s="4" t="s">
        <v>1285</v>
      </c>
      <c r="N813" s="7" t="s">
        <v>1831</v>
      </c>
      <c r="O813" s="7"/>
      <c r="P813" s="7" t="s">
        <v>1832</v>
      </c>
      <c r="Q813" s="7"/>
      <c r="R813" s="7"/>
      <c r="S813" s="3" t="s">
        <v>40</v>
      </c>
      <c r="T813" s="7" t="s">
        <v>1833</v>
      </c>
      <c r="U813" s="7"/>
      <c r="V813" s="4" t="s">
        <v>42</v>
      </c>
      <c r="W813" s="4" t="s">
        <v>58</v>
      </c>
      <c r="X813" s="4" t="s">
        <v>59</v>
      </c>
      <c r="Y813" s="7" t="s">
        <v>937</v>
      </c>
      <c r="Z813" s="7"/>
      <c r="AA813" s="4" t="s">
        <v>46</v>
      </c>
      <c r="AB813" s="4" t="s">
        <v>115</v>
      </c>
      <c r="AC813" s="4" t="s">
        <v>938</v>
      </c>
      <c r="AD813" s="4" t="s">
        <v>1834</v>
      </c>
      <c r="AE813" s="4" t="s">
        <v>48</v>
      </c>
      <c r="AF813" s="4" t="s">
        <v>41</v>
      </c>
      <c r="AG813" s="4" t="s">
        <v>1316</v>
      </c>
    </row>
    <row r="814" spans="1:33" ht="16.5" customHeight="1" x14ac:dyDescent="0.2">
      <c r="A814" s="2" t="s">
        <v>31</v>
      </c>
      <c r="B814" s="5" t="s">
        <v>108</v>
      </c>
      <c r="C814" s="5"/>
      <c r="D814" s="5"/>
      <c r="E814" s="6" t="s">
        <v>33</v>
      </c>
      <c r="F814" s="6"/>
      <c r="G814" s="7" t="s">
        <v>1311</v>
      </c>
      <c r="H814" s="7"/>
      <c r="I814" s="7"/>
      <c r="J814" s="3" t="s">
        <v>35</v>
      </c>
      <c r="K814" s="4" t="s">
        <v>1285</v>
      </c>
      <c r="N814" s="7" t="s">
        <v>1831</v>
      </c>
      <c r="O814" s="7"/>
      <c r="P814" s="7" t="s">
        <v>1832</v>
      </c>
      <c r="Q814" s="7"/>
      <c r="R814" s="7"/>
      <c r="S814" s="3" t="s">
        <v>40</v>
      </c>
      <c r="T814" s="7" t="s">
        <v>1835</v>
      </c>
      <c r="U814" s="7"/>
      <c r="V814" s="4" t="s">
        <v>42</v>
      </c>
      <c r="W814" s="4" t="s">
        <v>58</v>
      </c>
      <c r="X814" s="4" t="s">
        <v>59</v>
      </c>
      <c r="Y814" s="7" t="s">
        <v>937</v>
      </c>
      <c r="Z814" s="7"/>
      <c r="AA814" s="4" t="s">
        <v>46</v>
      </c>
      <c r="AB814" s="4" t="s">
        <v>115</v>
      </c>
      <c r="AC814" s="4" t="s">
        <v>938</v>
      </c>
      <c r="AD814" s="4" t="s">
        <v>1836</v>
      </c>
      <c r="AE814" s="4" t="s">
        <v>48</v>
      </c>
      <c r="AF814" s="4" t="s">
        <v>41</v>
      </c>
      <c r="AG814" s="4" t="s">
        <v>1316</v>
      </c>
    </row>
    <row r="815" spans="1:33" ht="0.75" customHeight="1" x14ac:dyDescent="0.2"/>
    <row r="816" spans="1:33" ht="12" customHeight="1" x14ac:dyDescent="0.2"/>
    <row r="817" spans="1:33" ht="16.5" customHeight="1" x14ac:dyDescent="0.2">
      <c r="A817" s="2" t="s">
        <v>31</v>
      </c>
      <c r="B817" s="5" t="s">
        <v>108</v>
      </c>
      <c r="C817" s="5"/>
      <c r="D817" s="5"/>
      <c r="E817" s="6" t="s">
        <v>33</v>
      </c>
      <c r="F817" s="6"/>
      <c r="G817" s="7" t="s">
        <v>1311</v>
      </c>
      <c r="H817" s="7"/>
      <c r="I817" s="7"/>
      <c r="J817" s="3" t="s">
        <v>35</v>
      </c>
      <c r="K817" s="4" t="s">
        <v>1285</v>
      </c>
      <c r="N817" s="7" t="s">
        <v>1831</v>
      </c>
      <c r="O817" s="7"/>
      <c r="P817" s="7" t="s">
        <v>1832</v>
      </c>
      <c r="Q817" s="7"/>
      <c r="R817" s="7"/>
      <c r="S817" s="3" t="s">
        <v>40</v>
      </c>
      <c r="T817" s="7" t="s">
        <v>1833</v>
      </c>
      <c r="U817" s="7"/>
      <c r="V817" s="4" t="s">
        <v>42</v>
      </c>
      <c r="W817" s="4" t="s">
        <v>58</v>
      </c>
      <c r="X817" s="4" t="s">
        <v>59</v>
      </c>
      <c r="Y817" s="7" t="s">
        <v>937</v>
      </c>
      <c r="Z817" s="7"/>
      <c r="AA817" s="4" t="s">
        <v>46</v>
      </c>
      <c r="AB817" s="4" t="s">
        <v>115</v>
      </c>
      <c r="AC817" s="4" t="s">
        <v>938</v>
      </c>
      <c r="AD817" s="4" t="s">
        <v>1834</v>
      </c>
      <c r="AE817" s="4" t="s">
        <v>48</v>
      </c>
      <c r="AF817" s="4" t="s">
        <v>41</v>
      </c>
      <c r="AG817" s="4" t="s">
        <v>1316</v>
      </c>
    </row>
    <row r="818" spans="1:33" ht="16.5" customHeight="1" x14ac:dyDescent="0.2">
      <c r="A818" s="2" t="s">
        <v>31</v>
      </c>
      <c r="B818" s="5" t="s">
        <v>54</v>
      </c>
      <c r="C818" s="5"/>
      <c r="D818" s="5"/>
      <c r="E818" s="6" t="s">
        <v>33</v>
      </c>
      <c r="F818" s="6"/>
      <c r="G818" s="7" t="s">
        <v>1837</v>
      </c>
      <c r="H818" s="7"/>
      <c r="I818" s="7"/>
      <c r="J818" s="3" t="s">
        <v>35</v>
      </c>
      <c r="K818" s="4" t="s">
        <v>387</v>
      </c>
      <c r="L818" s="4" t="s">
        <v>37</v>
      </c>
      <c r="N818" s="7" t="s">
        <v>1838</v>
      </c>
      <c r="O818" s="7"/>
      <c r="P818" s="7" t="s">
        <v>1839</v>
      </c>
      <c r="Q818" s="7"/>
      <c r="R818" s="7"/>
      <c r="S818" s="3" t="s">
        <v>40</v>
      </c>
      <c r="T818" s="7" t="s">
        <v>41</v>
      </c>
      <c r="U818" s="7"/>
      <c r="V818" s="4" t="s">
        <v>42</v>
      </c>
      <c r="W818" s="4" t="s">
        <v>333</v>
      </c>
      <c r="X818" s="4" t="s">
        <v>334</v>
      </c>
      <c r="Y818" s="7" t="s">
        <v>197</v>
      </c>
      <c r="Z818" s="7"/>
      <c r="AA818" s="4" t="s">
        <v>46</v>
      </c>
      <c r="AB818" s="4" t="s">
        <v>47</v>
      </c>
      <c r="AC818" s="4" t="s">
        <v>259</v>
      </c>
      <c r="AD818" s="4" t="s">
        <v>260</v>
      </c>
      <c r="AE818" s="4" t="s">
        <v>48</v>
      </c>
      <c r="AF818" s="4" t="s">
        <v>41</v>
      </c>
      <c r="AG818" s="4" t="s">
        <v>1840</v>
      </c>
    </row>
    <row r="819" spans="1:33" ht="16.5" customHeight="1" x14ac:dyDescent="0.2">
      <c r="A819" s="2" t="s">
        <v>31</v>
      </c>
      <c r="B819" s="5" t="s">
        <v>54</v>
      </c>
      <c r="C819" s="5"/>
      <c r="D819" s="5"/>
      <c r="E819" s="6" t="s">
        <v>33</v>
      </c>
      <c r="F819" s="6"/>
      <c r="G819" s="7" t="s">
        <v>1837</v>
      </c>
      <c r="H819" s="7"/>
      <c r="I819" s="7"/>
      <c r="J819" s="3" t="s">
        <v>35</v>
      </c>
      <c r="K819" s="4" t="s">
        <v>143</v>
      </c>
      <c r="L819" s="4" t="s">
        <v>37</v>
      </c>
      <c r="N819" s="7" t="s">
        <v>1841</v>
      </c>
      <c r="O819" s="7"/>
      <c r="P819" s="7" t="s">
        <v>1842</v>
      </c>
      <c r="Q819" s="7"/>
      <c r="R819" s="7"/>
      <c r="S819" s="3" t="s">
        <v>40</v>
      </c>
      <c r="T819" s="7" t="s">
        <v>41</v>
      </c>
      <c r="U819" s="7"/>
      <c r="V819" s="4" t="s">
        <v>42</v>
      </c>
      <c r="W819" s="4" t="s">
        <v>542</v>
      </c>
      <c r="X819" s="4" t="s">
        <v>543</v>
      </c>
      <c r="Y819" s="7" t="s">
        <v>135</v>
      </c>
      <c r="Z819" s="7"/>
      <c r="AA819" s="4" t="s">
        <v>46</v>
      </c>
      <c r="AB819" s="4" t="s">
        <v>47</v>
      </c>
      <c r="AC819" s="4" t="s">
        <v>136</v>
      </c>
      <c r="AD819" s="4" t="s">
        <v>137</v>
      </c>
      <c r="AE819" s="4" t="s">
        <v>48</v>
      </c>
      <c r="AF819" s="4" t="s">
        <v>41</v>
      </c>
      <c r="AG819" s="4" t="s">
        <v>1840</v>
      </c>
    </row>
    <row r="820" spans="1:33" ht="16.5" customHeight="1" x14ac:dyDescent="0.2">
      <c r="A820" s="2" t="s">
        <v>31</v>
      </c>
      <c r="B820" s="5" t="s">
        <v>54</v>
      </c>
      <c r="C820" s="5"/>
      <c r="D820" s="5"/>
      <c r="E820" s="6" t="s">
        <v>33</v>
      </c>
      <c r="F820" s="6"/>
      <c r="G820" s="7" t="s">
        <v>1837</v>
      </c>
      <c r="H820" s="7"/>
      <c r="I820" s="7"/>
      <c r="J820" s="3" t="s">
        <v>35</v>
      </c>
      <c r="K820" s="4" t="s">
        <v>143</v>
      </c>
      <c r="L820" s="4" t="s">
        <v>37</v>
      </c>
      <c r="N820" s="7" t="s">
        <v>1843</v>
      </c>
      <c r="O820" s="7"/>
      <c r="P820" s="7" t="s">
        <v>1844</v>
      </c>
      <c r="Q820" s="7"/>
      <c r="R820" s="7"/>
      <c r="S820" s="3" t="s">
        <v>40</v>
      </c>
      <c r="T820" s="7" t="s">
        <v>41</v>
      </c>
      <c r="U820" s="7"/>
      <c r="V820" s="4" t="s">
        <v>42</v>
      </c>
      <c r="W820" s="4" t="s">
        <v>417</v>
      </c>
      <c r="X820" s="4" t="s">
        <v>418</v>
      </c>
      <c r="Y820" s="7" t="s">
        <v>135</v>
      </c>
      <c r="Z820" s="7"/>
      <c r="AA820" s="4" t="s">
        <v>46</v>
      </c>
      <c r="AB820" s="4" t="s">
        <v>47</v>
      </c>
      <c r="AC820" s="4" t="s">
        <v>136</v>
      </c>
      <c r="AD820" s="4" t="s">
        <v>137</v>
      </c>
      <c r="AE820" s="4" t="s">
        <v>48</v>
      </c>
      <c r="AF820" s="4" t="s">
        <v>41</v>
      </c>
      <c r="AG820" s="4" t="s">
        <v>1840</v>
      </c>
    </row>
    <row r="821" spans="1:33" ht="16.5" customHeight="1" x14ac:dyDescent="0.2">
      <c r="A821" s="2" t="s">
        <v>31</v>
      </c>
      <c r="B821" s="5" t="s">
        <v>54</v>
      </c>
      <c r="C821" s="5"/>
      <c r="D821" s="5"/>
      <c r="E821" s="6" t="s">
        <v>33</v>
      </c>
      <c r="F821" s="6"/>
      <c r="G821" s="7" t="s">
        <v>1837</v>
      </c>
      <c r="H821" s="7"/>
      <c r="I821" s="7"/>
      <c r="J821" s="3" t="s">
        <v>35</v>
      </c>
      <c r="K821" s="4" t="s">
        <v>143</v>
      </c>
      <c r="L821" s="4" t="s">
        <v>37</v>
      </c>
      <c r="N821" s="7" t="s">
        <v>1845</v>
      </c>
      <c r="O821" s="7"/>
      <c r="P821" s="7" t="s">
        <v>1846</v>
      </c>
      <c r="Q821" s="7"/>
      <c r="R821" s="7"/>
      <c r="S821" s="3" t="s">
        <v>40</v>
      </c>
      <c r="T821" s="7" t="s">
        <v>41</v>
      </c>
      <c r="U821" s="7"/>
      <c r="V821" s="4" t="s">
        <v>42</v>
      </c>
      <c r="W821" s="4" t="s">
        <v>181</v>
      </c>
      <c r="X821" s="4" t="s">
        <v>182</v>
      </c>
      <c r="Y821" s="7" t="s">
        <v>135</v>
      </c>
      <c r="Z821" s="7"/>
      <c r="AA821" s="4" t="s">
        <v>46</v>
      </c>
      <c r="AB821" s="4" t="s">
        <v>47</v>
      </c>
      <c r="AC821" s="4" t="s">
        <v>79</v>
      </c>
      <c r="AD821" s="4" t="s">
        <v>80</v>
      </c>
      <c r="AE821" s="4" t="s">
        <v>48</v>
      </c>
      <c r="AF821" s="4" t="s">
        <v>41</v>
      </c>
      <c r="AG821" s="4" t="s">
        <v>1840</v>
      </c>
    </row>
    <row r="822" spans="1:33" ht="16.5" customHeight="1" x14ac:dyDescent="0.2">
      <c r="A822" s="2" t="s">
        <v>31</v>
      </c>
      <c r="B822" s="5" t="s">
        <v>54</v>
      </c>
      <c r="C822" s="5"/>
      <c r="D822" s="5"/>
      <c r="E822" s="6" t="s">
        <v>33</v>
      </c>
      <c r="F822" s="6"/>
      <c r="G822" s="7" t="s">
        <v>1837</v>
      </c>
      <c r="H822" s="7"/>
      <c r="I822" s="7"/>
      <c r="J822" s="3" t="s">
        <v>35</v>
      </c>
      <c r="K822" s="4" t="s">
        <v>143</v>
      </c>
      <c r="L822" s="4" t="s">
        <v>37</v>
      </c>
      <c r="N822" s="7" t="s">
        <v>1847</v>
      </c>
      <c r="O822" s="7"/>
      <c r="P822" s="7" t="s">
        <v>1848</v>
      </c>
      <c r="Q822" s="7"/>
      <c r="R822" s="7"/>
      <c r="S822" s="3" t="s">
        <v>40</v>
      </c>
      <c r="T822" s="7" t="s">
        <v>41</v>
      </c>
      <c r="U822" s="7"/>
      <c r="V822" s="4" t="s">
        <v>42</v>
      </c>
      <c r="W822" s="4" t="s">
        <v>51</v>
      </c>
      <c r="X822" s="4" t="s">
        <v>128</v>
      </c>
      <c r="Y822" s="7" t="s">
        <v>135</v>
      </c>
      <c r="Z822" s="7"/>
      <c r="AA822" s="4" t="s">
        <v>46</v>
      </c>
      <c r="AB822" s="4" t="s">
        <v>47</v>
      </c>
      <c r="AC822" s="4" t="s">
        <v>79</v>
      </c>
      <c r="AD822" s="4" t="s">
        <v>80</v>
      </c>
      <c r="AE822" s="4" t="s">
        <v>48</v>
      </c>
      <c r="AF822" s="4" t="s">
        <v>41</v>
      </c>
      <c r="AG822" s="4" t="s">
        <v>1840</v>
      </c>
    </row>
    <row r="823" spans="1:33" ht="16.5" customHeight="1" x14ac:dyDescent="0.2">
      <c r="A823" s="2" t="s">
        <v>31</v>
      </c>
      <c r="B823" s="5" t="s">
        <v>54</v>
      </c>
      <c r="C823" s="5"/>
      <c r="D823" s="5"/>
      <c r="E823" s="6" t="s">
        <v>33</v>
      </c>
      <c r="F823" s="6"/>
      <c r="G823" s="7" t="s">
        <v>1837</v>
      </c>
      <c r="H823" s="7"/>
      <c r="I823" s="7"/>
      <c r="J823" s="3" t="s">
        <v>35</v>
      </c>
      <c r="K823" s="4" t="s">
        <v>657</v>
      </c>
      <c r="L823" s="4" t="s">
        <v>443</v>
      </c>
      <c r="N823" s="7" t="s">
        <v>1849</v>
      </c>
      <c r="O823" s="7"/>
      <c r="P823" s="7" t="s">
        <v>1850</v>
      </c>
      <c r="Q823" s="7"/>
      <c r="R823" s="7"/>
      <c r="S823" s="3" t="s">
        <v>40</v>
      </c>
      <c r="T823" s="7" t="s">
        <v>41</v>
      </c>
      <c r="U823" s="7"/>
      <c r="V823" s="4" t="s">
        <v>42</v>
      </c>
      <c r="W823" s="4" t="s">
        <v>58</v>
      </c>
      <c r="X823" s="4" t="s">
        <v>59</v>
      </c>
      <c r="Y823" s="7" t="s">
        <v>197</v>
      </c>
      <c r="Z823" s="7"/>
      <c r="AA823" s="4" t="s">
        <v>46</v>
      </c>
      <c r="AB823" s="4" t="s">
        <v>47</v>
      </c>
      <c r="AC823" s="4" t="s">
        <v>136</v>
      </c>
      <c r="AD823" s="4" t="s">
        <v>464</v>
      </c>
      <c r="AE823" s="4" t="s">
        <v>48</v>
      </c>
      <c r="AF823" s="4" t="s">
        <v>41</v>
      </c>
      <c r="AG823" s="4" t="s">
        <v>1840</v>
      </c>
    </row>
    <row r="824" spans="1:33" ht="16.5" customHeight="1" x14ac:dyDescent="0.2">
      <c r="A824" s="2" t="s">
        <v>31</v>
      </c>
      <c r="B824" s="5" t="s">
        <v>54</v>
      </c>
      <c r="C824" s="5"/>
      <c r="D824" s="5"/>
      <c r="E824" s="6" t="s">
        <v>33</v>
      </c>
      <c r="F824" s="6"/>
      <c r="G824" s="7" t="s">
        <v>1837</v>
      </c>
      <c r="H824" s="7"/>
      <c r="I824" s="7"/>
      <c r="J824" s="3" t="s">
        <v>35</v>
      </c>
      <c r="K824" s="4" t="s">
        <v>409</v>
      </c>
      <c r="L824" s="4" t="s">
        <v>37</v>
      </c>
      <c r="N824" s="7" t="s">
        <v>1851</v>
      </c>
      <c r="O824" s="7"/>
      <c r="P824" s="7" t="s">
        <v>1852</v>
      </c>
      <c r="Q824" s="7"/>
      <c r="R824" s="7"/>
      <c r="S824" s="3" t="s">
        <v>40</v>
      </c>
      <c r="T824" s="7" t="s">
        <v>41</v>
      </c>
      <c r="U824" s="7"/>
      <c r="V824" s="4" t="s">
        <v>42</v>
      </c>
      <c r="W824" s="4" t="s">
        <v>154</v>
      </c>
      <c r="X824" s="4" t="s">
        <v>155</v>
      </c>
      <c r="Y824" s="7" t="s">
        <v>60</v>
      </c>
      <c r="Z824" s="7"/>
      <c r="AA824" s="4" t="s">
        <v>46</v>
      </c>
      <c r="AB824" s="4" t="s">
        <v>47</v>
      </c>
      <c r="AC824" s="4" t="s">
        <v>79</v>
      </c>
      <c r="AD824" s="4" t="s">
        <v>80</v>
      </c>
      <c r="AE824" s="4" t="s">
        <v>48</v>
      </c>
      <c r="AF824" s="4" t="s">
        <v>41</v>
      </c>
      <c r="AG824" s="4" t="s">
        <v>1840</v>
      </c>
    </row>
    <row r="825" spans="1:33" ht="16.5" customHeight="1" x14ac:dyDescent="0.2">
      <c r="A825" s="2" t="s">
        <v>31</v>
      </c>
      <c r="B825" s="5" t="s">
        <v>54</v>
      </c>
      <c r="C825" s="5"/>
      <c r="D825" s="5"/>
      <c r="E825" s="6" t="s">
        <v>33</v>
      </c>
      <c r="F825" s="6"/>
      <c r="G825" s="7" t="s">
        <v>1837</v>
      </c>
      <c r="H825" s="7"/>
      <c r="I825" s="7"/>
      <c r="J825" s="3" t="s">
        <v>35</v>
      </c>
      <c r="K825" s="4" t="s">
        <v>409</v>
      </c>
      <c r="L825" s="4" t="s">
        <v>37</v>
      </c>
      <c r="N825" s="7" t="s">
        <v>1853</v>
      </c>
      <c r="O825" s="7"/>
      <c r="P825" s="7" t="s">
        <v>1854</v>
      </c>
      <c r="Q825" s="7"/>
      <c r="R825" s="7"/>
      <c r="S825" s="3" t="s">
        <v>40</v>
      </c>
      <c r="T825" s="7" t="s">
        <v>41</v>
      </c>
      <c r="U825" s="7"/>
      <c r="V825" s="4" t="s">
        <v>51</v>
      </c>
      <c r="W825" s="4" t="s">
        <v>760</v>
      </c>
      <c r="X825" s="4" t="s">
        <v>235</v>
      </c>
      <c r="Y825" s="7" t="s">
        <v>60</v>
      </c>
      <c r="Z825" s="7"/>
      <c r="AA825" s="4" t="s">
        <v>46</v>
      </c>
      <c r="AB825" s="4" t="s">
        <v>47</v>
      </c>
      <c r="AC825" s="4" t="s">
        <v>79</v>
      </c>
      <c r="AD825" s="4" t="s">
        <v>80</v>
      </c>
      <c r="AE825" s="4" t="s">
        <v>48</v>
      </c>
      <c r="AF825" s="4" t="s">
        <v>41</v>
      </c>
      <c r="AG825" s="4" t="s">
        <v>1840</v>
      </c>
    </row>
    <row r="826" spans="1:33" ht="16.5" customHeight="1" x14ac:dyDescent="0.2">
      <c r="A826" s="2" t="s">
        <v>31</v>
      </c>
      <c r="B826" s="5" t="s">
        <v>54</v>
      </c>
      <c r="C826" s="5"/>
      <c r="D826" s="5"/>
      <c r="E826" s="6" t="s">
        <v>33</v>
      </c>
      <c r="F826" s="6"/>
      <c r="G826" s="7" t="s">
        <v>1837</v>
      </c>
      <c r="H826" s="7"/>
      <c r="I826" s="7"/>
      <c r="J826" s="3" t="s">
        <v>35</v>
      </c>
      <c r="K826" s="4" t="s">
        <v>202</v>
      </c>
      <c r="L826" s="4" t="s">
        <v>37</v>
      </c>
      <c r="N826" s="7" t="s">
        <v>1855</v>
      </c>
      <c r="O826" s="7"/>
      <c r="P826" s="7" t="s">
        <v>1856</v>
      </c>
      <c r="Q826" s="7"/>
      <c r="R826" s="7"/>
      <c r="S826" s="3" t="s">
        <v>40</v>
      </c>
      <c r="T826" s="7" t="s">
        <v>41</v>
      </c>
      <c r="U826" s="7"/>
      <c r="V826" s="4" t="s">
        <v>42</v>
      </c>
      <c r="W826" s="4" t="s">
        <v>43</v>
      </c>
      <c r="X826" s="4" t="s">
        <v>44</v>
      </c>
      <c r="Y826" s="7" t="s">
        <v>197</v>
      </c>
      <c r="Z826" s="7"/>
      <c r="AA826" s="4" t="s">
        <v>46</v>
      </c>
      <c r="AB826" s="4" t="s">
        <v>47</v>
      </c>
      <c r="AC826" s="4" t="s">
        <v>259</v>
      </c>
      <c r="AD826" s="4" t="s">
        <v>260</v>
      </c>
      <c r="AE826" s="4" t="s">
        <v>48</v>
      </c>
      <c r="AF826" s="4" t="s">
        <v>41</v>
      </c>
      <c r="AG826" s="4" t="s">
        <v>1840</v>
      </c>
    </row>
    <row r="827" spans="1:33" ht="16.5" customHeight="1" x14ac:dyDescent="0.2">
      <c r="A827" s="2" t="s">
        <v>31</v>
      </c>
      <c r="B827" s="5" t="s">
        <v>54</v>
      </c>
      <c r="C827" s="5"/>
      <c r="D827" s="5"/>
      <c r="E827" s="6" t="s">
        <v>33</v>
      </c>
      <c r="F827" s="6"/>
      <c r="G827" s="7" t="s">
        <v>1837</v>
      </c>
      <c r="H827" s="7"/>
      <c r="I827" s="7"/>
      <c r="J827" s="3" t="s">
        <v>35</v>
      </c>
      <c r="K827" s="4" t="s">
        <v>130</v>
      </c>
      <c r="L827" s="4" t="s">
        <v>37</v>
      </c>
      <c r="N827" s="7" t="s">
        <v>1857</v>
      </c>
      <c r="O827" s="7"/>
      <c r="P827" s="7" t="s">
        <v>1858</v>
      </c>
      <c r="Q827" s="7"/>
      <c r="R827" s="7"/>
      <c r="S827" s="3" t="s">
        <v>40</v>
      </c>
      <c r="T827" s="7" t="s">
        <v>41</v>
      </c>
      <c r="U827" s="7"/>
      <c r="V827" s="4" t="s">
        <v>42</v>
      </c>
      <c r="W827" s="4" t="s">
        <v>181</v>
      </c>
      <c r="X827" s="4" t="s">
        <v>182</v>
      </c>
      <c r="Y827" s="7" t="s">
        <v>135</v>
      </c>
      <c r="Z827" s="7"/>
      <c r="AA827" s="4" t="s">
        <v>46</v>
      </c>
      <c r="AB827" s="4" t="s">
        <v>47</v>
      </c>
      <c r="AC827" s="4" t="s">
        <v>79</v>
      </c>
      <c r="AD827" s="4" t="s">
        <v>80</v>
      </c>
      <c r="AE827" s="4" t="s">
        <v>48</v>
      </c>
      <c r="AF827" s="4" t="s">
        <v>41</v>
      </c>
      <c r="AG827" s="4" t="s">
        <v>1840</v>
      </c>
    </row>
    <row r="828" spans="1:33" ht="16.5" customHeight="1" x14ac:dyDescent="0.2">
      <c r="A828" s="2" t="s">
        <v>31</v>
      </c>
      <c r="B828" s="5" t="s">
        <v>54</v>
      </c>
      <c r="C828" s="5"/>
      <c r="D828" s="5"/>
      <c r="E828" s="6" t="s">
        <v>33</v>
      </c>
      <c r="F828" s="6"/>
      <c r="G828" s="7" t="s">
        <v>1837</v>
      </c>
      <c r="H828" s="7"/>
      <c r="I828" s="7"/>
      <c r="J828" s="3" t="s">
        <v>35</v>
      </c>
      <c r="K828" s="4" t="s">
        <v>149</v>
      </c>
      <c r="L828" s="4" t="s">
        <v>1557</v>
      </c>
      <c r="N828" s="7" t="s">
        <v>1859</v>
      </c>
      <c r="O828" s="7"/>
      <c r="P828" s="7" t="s">
        <v>1860</v>
      </c>
      <c r="Q828" s="7"/>
      <c r="R828" s="7"/>
      <c r="S828" s="3" t="s">
        <v>40</v>
      </c>
      <c r="T828" s="7" t="s">
        <v>41</v>
      </c>
      <c r="U828" s="7"/>
      <c r="V828" s="4" t="s">
        <v>51</v>
      </c>
      <c r="W828" s="4" t="s">
        <v>428</v>
      </c>
      <c r="X828" s="4" t="s">
        <v>430</v>
      </c>
      <c r="Y828" s="7" t="s">
        <v>78</v>
      </c>
      <c r="Z828" s="7"/>
      <c r="AA828" s="4" t="s">
        <v>46</v>
      </c>
      <c r="AB828" s="4" t="s">
        <v>47</v>
      </c>
      <c r="AC828" s="4" t="s">
        <v>136</v>
      </c>
      <c r="AD828" s="4" t="s">
        <v>1861</v>
      </c>
      <c r="AE828" s="4" t="s">
        <v>48</v>
      </c>
      <c r="AF828" s="4" t="s">
        <v>41</v>
      </c>
      <c r="AG828" s="4" t="s">
        <v>1840</v>
      </c>
    </row>
    <row r="829" spans="1:33" ht="16.5" customHeight="1" x14ac:dyDescent="0.2">
      <c r="A829" s="2" t="s">
        <v>31</v>
      </c>
      <c r="B829" s="5" t="s">
        <v>54</v>
      </c>
      <c r="C829" s="5"/>
      <c r="D829" s="5"/>
      <c r="E829" s="6" t="s">
        <v>33</v>
      </c>
      <c r="F829" s="6"/>
      <c r="G829" s="7" t="s">
        <v>1837</v>
      </c>
      <c r="H829" s="7"/>
      <c r="I829" s="7"/>
      <c r="J829" s="3" t="s">
        <v>35</v>
      </c>
      <c r="K829" s="4" t="s">
        <v>143</v>
      </c>
      <c r="L829" s="4" t="s">
        <v>37</v>
      </c>
      <c r="N829" s="7" t="s">
        <v>1862</v>
      </c>
      <c r="O829" s="7"/>
      <c r="P829" s="7" t="s">
        <v>1863</v>
      </c>
      <c r="Q829" s="7"/>
      <c r="R829" s="7"/>
      <c r="S829" s="3" t="s">
        <v>40</v>
      </c>
      <c r="T829" s="7" t="s">
        <v>41</v>
      </c>
      <c r="U829" s="7"/>
      <c r="V829" s="4" t="s">
        <v>42</v>
      </c>
      <c r="W829" s="4" t="s">
        <v>229</v>
      </c>
      <c r="X829" s="4" t="s">
        <v>446</v>
      </c>
      <c r="Y829" s="7" t="s">
        <v>135</v>
      </c>
      <c r="Z829" s="7"/>
      <c r="AA829" s="4" t="s">
        <v>46</v>
      </c>
      <c r="AB829" s="4" t="s">
        <v>47</v>
      </c>
      <c r="AC829" s="4" t="s">
        <v>136</v>
      </c>
      <c r="AD829" s="4" t="s">
        <v>137</v>
      </c>
      <c r="AE829" s="4" t="s">
        <v>48</v>
      </c>
      <c r="AF829" s="4" t="s">
        <v>41</v>
      </c>
      <c r="AG829" s="4" t="s">
        <v>1840</v>
      </c>
    </row>
    <row r="830" spans="1:33" ht="16.5" customHeight="1" x14ac:dyDescent="0.2">
      <c r="A830" s="2" t="s">
        <v>31</v>
      </c>
      <c r="B830" s="5" t="s">
        <v>54</v>
      </c>
      <c r="C830" s="5"/>
      <c r="D830" s="5"/>
      <c r="E830" s="6" t="s">
        <v>33</v>
      </c>
      <c r="F830" s="6"/>
      <c r="G830" s="7" t="s">
        <v>1837</v>
      </c>
      <c r="H830" s="7"/>
      <c r="I830" s="7"/>
      <c r="J830" s="3" t="s">
        <v>35</v>
      </c>
      <c r="K830" s="4" t="s">
        <v>130</v>
      </c>
      <c r="L830" s="4" t="s">
        <v>37</v>
      </c>
      <c r="N830" s="7" t="s">
        <v>1864</v>
      </c>
      <c r="O830" s="7"/>
      <c r="P830" s="7" t="s">
        <v>1865</v>
      </c>
      <c r="Q830" s="7"/>
      <c r="R830" s="7"/>
      <c r="S830" s="3" t="s">
        <v>40</v>
      </c>
      <c r="T830" s="7" t="s">
        <v>41</v>
      </c>
      <c r="U830" s="7"/>
      <c r="V830" s="4" t="s">
        <v>42</v>
      </c>
      <c r="W830" s="4" t="s">
        <v>154</v>
      </c>
      <c r="X830" s="4" t="s">
        <v>155</v>
      </c>
      <c r="Y830" s="7" t="s">
        <v>135</v>
      </c>
      <c r="Z830" s="7"/>
      <c r="AA830" s="4" t="s">
        <v>46</v>
      </c>
      <c r="AB830" s="4" t="s">
        <v>47</v>
      </c>
      <c r="AC830" s="4" t="s">
        <v>136</v>
      </c>
      <c r="AD830" s="4" t="s">
        <v>137</v>
      </c>
      <c r="AE830" s="4" t="s">
        <v>48</v>
      </c>
      <c r="AF830" s="4" t="s">
        <v>41</v>
      </c>
      <c r="AG830" s="4" t="s">
        <v>1840</v>
      </c>
    </row>
    <row r="831" spans="1:33" ht="16.5" customHeight="1" x14ac:dyDescent="0.2">
      <c r="A831" s="2" t="s">
        <v>31</v>
      </c>
      <c r="B831" s="5" t="s">
        <v>54</v>
      </c>
      <c r="C831" s="5"/>
      <c r="D831" s="5"/>
      <c r="E831" s="6" t="s">
        <v>33</v>
      </c>
      <c r="F831" s="6"/>
      <c r="G831" s="7" t="s">
        <v>1837</v>
      </c>
      <c r="H831" s="7"/>
      <c r="I831" s="7"/>
      <c r="J831" s="3" t="s">
        <v>35</v>
      </c>
      <c r="K831" s="4" t="s">
        <v>92</v>
      </c>
      <c r="L831" s="4" t="s">
        <v>37</v>
      </c>
      <c r="N831" s="7" t="s">
        <v>1866</v>
      </c>
      <c r="O831" s="7"/>
      <c r="P831" s="7" t="s">
        <v>1867</v>
      </c>
      <c r="Q831" s="7"/>
      <c r="R831" s="7"/>
      <c r="S831" s="3" t="s">
        <v>40</v>
      </c>
      <c r="T831" s="7" t="s">
        <v>41</v>
      </c>
      <c r="U831" s="7"/>
      <c r="V831" s="4" t="s">
        <v>42</v>
      </c>
      <c r="W831" s="4" t="s">
        <v>154</v>
      </c>
      <c r="X831" s="4" t="s">
        <v>155</v>
      </c>
      <c r="Y831" s="7" t="s">
        <v>78</v>
      </c>
      <c r="Z831" s="7"/>
      <c r="AA831" s="4" t="s">
        <v>46</v>
      </c>
      <c r="AB831" s="4" t="s">
        <v>47</v>
      </c>
      <c r="AC831" s="4" t="s">
        <v>136</v>
      </c>
      <c r="AD831" s="4" t="s">
        <v>137</v>
      </c>
      <c r="AE831" s="4" t="s">
        <v>48</v>
      </c>
      <c r="AF831" s="4" t="s">
        <v>41</v>
      </c>
      <c r="AG831" s="4" t="s">
        <v>1840</v>
      </c>
    </row>
    <row r="832" spans="1:33" ht="16.5" customHeight="1" x14ac:dyDescent="0.2">
      <c r="A832" s="2" t="s">
        <v>31</v>
      </c>
      <c r="B832" s="5" t="s">
        <v>54</v>
      </c>
      <c r="C832" s="5"/>
      <c r="D832" s="5"/>
      <c r="E832" s="6" t="s">
        <v>33</v>
      </c>
      <c r="F832" s="6"/>
      <c r="G832" s="7" t="s">
        <v>1837</v>
      </c>
      <c r="H832" s="7"/>
      <c r="I832" s="7"/>
      <c r="J832" s="3" t="s">
        <v>35</v>
      </c>
      <c r="K832" s="4" t="s">
        <v>130</v>
      </c>
      <c r="L832" s="4" t="s">
        <v>37</v>
      </c>
      <c r="N832" s="7" t="s">
        <v>1868</v>
      </c>
      <c r="O832" s="7"/>
      <c r="P832" s="7" t="s">
        <v>1869</v>
      </c>
      <c r="Q832" s="7"/>
      <c r="R832" s="7"/>
      <c r="S832" s="3" t="s">
        <v>40</v>
      </c>
      <c r="T832" s="7" t="s">
        <v>41</v>
      </c>
      <c r="U832" s="7"/>
      <c r="V832" s="4" t="s">
        <v>42</v>
      </c>
      <c r="W832" s="4" t="s">
        <v>1870</v>
      </c>
      <c r="X832" s="4" t="s">
        <v>1871</v>
      </c>
      <c r="Y832" s="7" t="s">
        <v>135</v>
      </c>
      <c r="Z832" s="7"/>
      <c r="AA832" s="4" t="s">
        <v>46</v>
      </c>
      <c r="AB832" s="4" t="s">
        <v>47</v>
      </c>
      <c r="AC832" s="4" t="s">
        <v>136</v>
      </c>
      <c r="AD832" s="4" t="s">
        <v>137</v>
      </c>
      <c r="AE832" s="4" t="s">
        <v>48</v>
      </c>
      <c r="AF832" s="4" t="s">
        <v>41</v>
      </c>
      <c r="AG832" s="4" t="s">
        <v>1840</v>
      </c>
    </row>
    <row r="833" spans="1:33" ht="16.5" customHeight="1" x14ac:dyDescent="0.2">
      <c r="A833" s="2" t="s">
        <v>31</v>
      </c>
      <c r="B833" s="5" t="s">
        <v>54</v>
      </c>
      <c r="C833" s="5"/>
      <c r="D833" s="5"/>
      <c r="E833" s="6" t="s">
        <v>33</v>
      </c>
      <c r="F833" s="6"/>
      <c r="G833" s="7" t="s">
        <v>1837</v>
      </c>
      <c r="H833" s="7"/>
      <c r="I833" s="7"/>
      <c r="J833" s="3" t="s">
        <v>35</v>
      </c>
      <c r="K833" s="4" t="s">
        <v>149</v>
      </c>
      <c r="L833" s="4" t="s">
        <v>37</v>
      </c>
      <c r="N833" s="7" t="s">
        <v>1872</v>
      </c>
      <c r="O833" s="7"/>
      <c r="P833" s="7" t="s">
        <v>1873</v>
      </c>
      <c r="Q833" s="7"/>
      <c r="R833" s="7"/>
      <c r="S833" s="3" t="s">
        <v>40</v>
      </c>
      <c r="T833" s="7" t="s">
        <v>41</v>
      </c>
      <c r="U833" s="7"/>
      <c r="V833" s="4" t="s">
        <v>42</v>
      </c>
      <c r="W833" s="4" t="s">
        <v>263</v>
      </c>
      <c r="X833" s="4" t="s">
        <v>264</v>
      </c>
      <c r="Y833" s="7" t="s">
        <v>78</v>
      </c>
      <c r="Z833" s="7"/>
      <c r="AA833" s="4" t="s">
        <v>46</v>
      </c>
      <c r="AB833" s="4" t="s">
        <v>47</v>
      </c>
      <c r="AC833" s="4" t="s">
        <v>136</v>
      </c>
      <c r="AD833" s="4" t="s">
        <v>137</v>
      </c>
      <c r="AE833" s="4" t="s">
        <v>48</v>
      </c>
      <c r="AF833" s="4" t="s">
        <v>41</v>
      </c>
      <c r="AG833" s="4" t="s">
        <v>1840</v>
      </c>
    </row>
    <row r="834" spans="1:33" ht="16.5" customHeight="1" x14ac:dyDescent="0.2">
      <c r="A834" s="2" t="s">
        <v>31</v>
      </c>
      <c r="B834" s="5" t="s">
        <v>54</v>
      </c>
      <c r="C834" s="5"/>
      <c r="D834" s="5"/>
      <c r="E834" s="6" t="s">
        <v>33</v>
      </c>
      <c r="F834" s="6"/>
      <c r="G834" s="7" t="s">
        <v>1837</v>
      </c>
      <c r="H834" s="7"/>
      <c r="I834" s="7"/>
      <c r="J834" s="3" t="s">
        <v>35</v>
      </c>
      <c r="K834" s="4" t="s">
        <v>245</v>
      </c>
      <c r="L834" s="4" t="s">
        <v>588</v>
      </c>
      <c r="N834" s="7" t="s">
        <v>1874</v>
      </c>
      <c r="O834" s="7"/>
      <c r="P834" s="7" t="s">
        <v>1875</v>
      </c>
      <c r="Q834" s="7"/>
      <c r="R834" s="7"/>
      <c r="S834" s="3" t="s">
        <v>40</v>
      </c>
      <c r="T834" s="7" t="s">
        <v>41</v>
      </c>
      <c r="U834" s="7"/>
      <c r="V834" s="4" t="s">
        <v>51</v>
      </c>
      <c r="W834" s="4" t="s">
        <v>301</v>
      </c>
      <c r="X834" s="4" t="s">
        <v>182</v>
      </c>
      <c r="Y834" s="7" t="s">
        <v>78</v>
      </c>
      <c r="Z834" s="7"/>
      <c r="AA834" s="4" t="s">
        <v>46</v>
      </c>
      <c r="AB834" s="4" t="s">
        <v>47</v>
      </c>
      <c r="AC834" s="4" t="s">
        <v>79</v>
      </c>
      <c r="AD834" s="4" t="s">
        <v>591</v>
      </c>
      <c r="AE834" s="4" t="s">
        <v>48</v>
      </c>
      <c r="AF834" s="4" t="s">
        <v>41</v>
      </c>
      <c r="AG834" s="4" t="s">
        <v>1840</v>
      </c>
    </row>
    <row r="835" spans="1:33" ht="16.5" customHeight="1" x14ac:dyDescent="0.2">
      <c r="A835" s="2" t="s">
        <v>31</v>
      </c>
      <c r="B835" s="5" t="s">
        <v>54</v>
      </c>
      <c r="C835" s="5"/>
      <c r="D835" s="5"/>
      <c r="E835" s="6" t="s">
        <v>33</v>
      </c>
      <c r="F835" s="6"/>
      <c r="G835" s="7" t="s">
        <v>1837</v>
      </c>
      <c r="H835" s="7"/>
      <c r="I835" s="7"/>
      <c r="J835" s="3" t="s">
        <v>35</v>
      </c>
      <c r="K835" s="4" t="s">
        <v>149</v>
      </c>
      <c r="L835" s="4" t="s">
        <v>93</v>
      </c>
      <c r="N835" s="7" t="s">
        <v>1876</v>
      </c>
      <c r="O835" s="7"/>
      <c r="P835" s="7" t="s">
        <v>1877</v>
      </c>
      <c r="Q835" s="7"/>
      <c r="R835" s="7"/>
      <c r="S835" s="3" t="s">
        <v>40</v>
      </c>
      <c r="T835" s="7" t="s">
        <v>41</v>
      </c>
      <c r="U835" s="7"/>
      <c r="V835" s="4" t="s">
        <v>42</v>
      </c>
      <c r="W835" s="4" t="s">
        <v>58</v>
      </c>
      <c r="X835" s="4" t="s">
        <v>59</v>
      </c>
      <c r="Y835" s="7" t="s">
        <v>78</v>
      </c>
      <c r="Z835" s="7"/>
      <c r="AA835" s="4" t="s">
        <v>46</v>
      </c>
      <c r="AB835" s="4" t="s">
        <v>47</v>
      </c>
      <c r="AC835" s="4" t="s">
        <v>79</v>
      </c>
      <c r="AD835" s="4" t="s">
        <v>96</v>
      </c>
      <c r="AE835" s="4" t="s">
        <v>48</v>
      </c>
      <c r="AF835" s="4" t="s">
        <v>41</v>
      </c>
      <c r="AG835" s="4" t="s">
        <v>1840</v>
      </c>
    </row>
    <row r="836" spans="1:33" ht="16.5" customHeight="1" x14ac:dyDescent="0.2">
      <c r="A836" s="2" t="s">
        <v>31</v>
      </c>
      <c r="B836" s="5" t="s">
        <v>54</v>
      </c>
      <c r="C836" s="5"/>
      <c r="D836" s="5"/>
      <c r="E836" s="6" t="s">
        <v>33</v>
      </c>
      <c r="F836" s="6"/>
      <c r="G836" s="7" t="s">
        <v>1837</v>
      </c>
      <c r="H836" s="7"/>
      <c r="I836" s="7"/>
      <c r="J836" s="3" t="s">
        <v>35</v>
      </c>
      <c r="K836" s="4" t="s">
        <v>97</v>
      </c>
      <c r="L836" s="4" t="s">
        <v>37</v>
      </c>
      <c r="N836" s="7" t="s">
        <v>1878</v>
      </c>
      <c r="O836" s="7"/>
      <c r="P836" s="7" t="s">
        <v>1879</v>
      </c>
      <c r="Q836" s="7"/>
      <c r="R836" s="7"/>
      <c r="S836" s="3" t="s">
        <v>40</v>
      </c>
      <c r="T836" s="7" t="s">
        <v>41</v>
      </c>
      <c r="U836" s="7"/>
      <c r="V836" s="4" t="s">
        <v>42</v>
      </c>
      <c r="W836" s="4" t="s">
        <v>1106</v>
      </c>
      <c r="X836" s="4" t="s">
        <v>1107</v>
      </c>
      <c r="Y836" s="7" t="s">
        <v>78</v>
      </c>
      <c r="Z836" s="7"/>
      <c r="AA836" s="4" t="s">
        <v>46</v>
      </c>
      <c r="AB836" s="4" t="s">
        <v>47</v>
      </c>
      <c r="AC836" s="4" t="s">
        <v>136</v>
      </c>
      <c r="AD836" s="4" t="s">
        <v>137</v>
      </c>
      <c r="AE836" s="4" t="s">
        <v>48</v>
      </c>
      <c r="AF836" s="4" t="s">
        <v>41</v>
      </c>
      <c r="AG836" s="4" t="s">
        <v>1840</v>
      </c>
    </row>
    <row r="837" spans="1:33" ht="16.5" customHeight="1" x14ac:dyDescent="0.2">
      <c r="A837" s="2" t="s">
        <v>31</v>
      </c>
      <c r="B837" s="5" t="s">
        <v>54</v>
      </c>
      <c r="C837" s="5"/>
      <c r="D837" s="5"/>
      <c r="E837" s="6" t="s">
        <v>33</v>
      </c>
      <c r="F837" s="6"/>
      <c r="G837" s="7" t="s">
        <v>1837</v>
      </c>
      <c r="H837" s="7"/>
      <c r="I837" s="7"/>
      <c r="J837" s="3" t="s">
        <v>35</v>
      </c>
      <c r="K837" s="4" t="s">
        <v>143</v>
      </c>
      <c r="L837" s="4" t="s">
        <v>231</v>
      </c>
      <c r="N837" s="7" t="s">
        <v>1880</v>
      </c>
      <c r="O837" s="7"/>
      <c r="P837" s="7" t="s">
        <v>1881</v>
      </c>
      <c r="Q837" s="7"/>
      <c r="R837" s="7"/>
      <c r="S837" s="3" t="s">
        <v>40</v>
      </c>
      <c r="T837" s="7" t="s">
        <v>41</v>
      </c>
      <c r="U837" s="7"/>
      <c r="V837" s="4" t="s">
        <v>42</v>
      </c>
      <c r="W837" s="4" t="s">
        <v>323</v>
      </c>
      <c r="X837" s="4" t="s">
        <v>52</v>
      </c>
      <c r="Y837" s="7" t="s">
        <v>135</v>
      </c>
      <c r="Z837" s="7"/>
      <c r="AA837" s="4" t="s">
        <v>46</v>
      </c>
      <c r="AB837" s="4" t="s">
        <v>47</v>
      </c>
      <c r="AC837" s="4" t="s">
        <v>136</v>
      </c>
      <c r="AD837" s="4" t="s">
        <v>447</v>
      </c>
      <c r="AE837" s="4" t="s">
        <v>48</v>
      </c>
      <c r="AF837" s="4" t="s">
        <v>41</v>
      </c>
      <c r="AG837" s="4" t="s">
        <v>1840</v>
      </c>
    </row>
    <row r="838" spans="1:33" ht="16.5" customHeight="1" x14ac:dyDescent="0.2">
      <c r="A838" s="2" t="s">
        <v>31</v>
      </c>
      <c r="B838" s="5" t="s">
        <v>54</v>
      </c>
      <c r="C838" s="5"/>
      <c r="D838" s="5"/>
      <c r="E838" s="6" t="s">
        <v>33</v>
      </c>
      <c r="F838" s="6"/>
      <c r="G838" s="7" t="s">
        <v>1837</v>
      </c>
      <c r="H838" s="7"/>
      <c r="I838" s="7"/>
      <c r="J838" s="3" t="s">
        <v>35</v>
      </c>
      <c r="K838" s="4" t="s">
        <v>143</v>
      </c>
      <c r="L838" s="4" t="s">
        <v>443</v>
      </c>
      <c r="N838" s="7" t="s">
        <v>1882</v>
      </c>
      <c r="O838" s="7"/>
      <c r="P838" s="7" t="s">
        <v>1883</v>
      </c>
      <c r="Q838" s="7"/>
      <c r="R838" s="7"/>
      <c r="S838" s="3" t="s">
        <v>40</v>
      </c>
      <c r="T838" s="7" t="s">
        <v>41</v>
      </c>
      <c r="U838" s="7"/>
      <c r="V838" s="4" t="s">
        <v>42</v>
      </c>
      <c r="W838" s="4" t="s">
        <v>146</v>
      </c>
      <c r="X838" s="4" t="s">
        <v>147</v>
      </c>
      <c r="Y838" s="7" t="s">
        <v>135</v>
      </c>
      <c r="Z838" s="7"/>
      <c r="AA838" s="4" t="s">
        <v>46</v>
      </c>
      <c r="AB838" s="4" t="s">
        <v>47</v>
      </c>
      <c r="AC838" s="4" t="s">
        <v>136</v>
      </c>
      <c r="AD838" s="4" t="s">
        <v>464</v>
      </c>
      <c r="AE838" s="4" t="s">
        <v>48</v>
      </c>
      <c r="AF838" s="4" t="s">
        <v>41</v>
      </c>
      <c r="AG838" s="4" t="s">
        <v>1840</v>
      </c>
    </row>
    <row r="839" spans="1:33" ht="16.5" customHeight="1" x14ac:dyDescent="0.2">
      <c r="A839" s="2" t="s">
        <v>31</v>
      </c>
      <c r="B839" s="5" t="s">
        <v>54</v>
      </c>
      <c r="C839" s="5"/>
      <c r="D839" s="5"/>
      <c r="E839" s="6" t="s">
        <v>33</v>
      </c>
      <c r="F839" s="6"/>
      <c r="G839" s="7" t="s">
        <v>1837</v>
      </c>
      <c r="H839" s="7"/>
      <c r="I839" s="7"/>
      <c r="J839" s="3" t="s">
        <v>35</v>
      </c>
      <c r="K839" s="4" t="s">
        <v>248</v>
      </c>
      <c r="L839" s="4" t="s">
        <v>37</v>
      </c>
      <c r="N839" s="7" t="s">
        <v>1884</v>
      </c>
      <c r="O839" s="7"/>
      <c r="P839" s="7" t="s">
        <v>1885</v>
      </c>
      <c r="Q839" s="7"/>
      <c r="R839" s="7"/>
      <c r="S839" s="3" t="s">
        <v>40</v>
      </c>
      <c r="T839" s="7" t="s">
        <v>41</v>
      </c>
      <c r="U839" s="7"/>
      <c r="V839" s="4" t="s">
        <v>42</v>
      </c>
      <c r="W839" s="4" t="s">
        <v>58</v>
      </c>
      <c r="X839" s="4" t="s">
        <v>59</v>
      </c>
      <c r="Y839" s="7" t="s">
        <v>60</v>
      </c>
      <c r="Z839" s="7"/>
      <c r="AA839" s="4" t="s">
        <v>46</v>
      </c>
      <c r="AB839" s="4" t="s">
        <v>47</v>
      </c>
      <c r="AC839" s="4" t="s">
        <v>61</v>
      </c>
      <c r="AD839" s="4" t="s">
        <v>62</v>
      </c>
      <c r="AE839" s="4" t="s">
        <v>48</v>
      </c>
      <c r="AF839" s="4" t="s">
        <v>41</v>
      </c>
      <c r="AG839" s="4" t="s">
        <v>1840</v>
      </c>
    </row>
    <row r="840" spans="1:33" ht="16.5" customHeight="1" x14ac:dyDescent="0.2">
      <c r="A840" s="2" t="s">
        <v>31</v>
      </c>
      <c r="B840" s="5" t="s">
        <v>54</v>
      </c>
      <c r="C840" s="5"/>
      <c r="D840" s="5"/>
      <c r="E840" s="6" t="s">
        <v>33</v>
      </c>
      <c r="F840" s="6"/>
      <c r="G840" s="7" t="s">
        <v>1837</v>
      </c>
      <c r="H840" s="7"/>
      <c r="I840" s="7"/>
      <c r="J840" s="3" t="s">
        <v>35</v>
      </c>
      <c r="K840" s="4" t="s">
        <v>81</v>
      </c>
      <c r="L840" s="4" t="s">
        <v>37</v>
      </c>
      <c r="N840" s="7" t="s">
        <v>1886</v>
      </c>
      <c r="O840" s="7"/>
      <c r="P840" s="7" t="s">
        <v>1887</v>
      </c>
      <c r="Q840" s="7"/>
      <c r="R840" s="7"/>
      <c r="S840" s="3" t="s">
        <v>40</v>
      </c>
      <c r="T840" s="7" t="s">
        <v>41</v>
      </c>
      <c r="U840" s="7"/>
      <c r="V840" s="4" t="s">
        <v>51</v>
      </c>
      <c r="W840" s="4" t="s">
        <v>107</v>
      </c>
      <c r="X840" s="4" t="s">
        <v>386</v>
      </c>
      <c r="Y840" s="7" t="s">
        <v>78</v>
      </c>
      <c r="Z840" s="7"/>
      <c r="AA840" s="4" t="s">
        <v>46</v>
      </c>
      <c r="AB840" s="4" t="s">
        <v>47</v>
      </c>
      <c r="AC840" s="4" t="s">
        <v>79</v>
      </c>
      <c r="AD840" s="4" t="s">
        <v>80</v>
      </c>
      <c r="AE840" s="4" t="s">
        <v>48</v>
      </c>
      <c r="AF840" s="4" t="s">
        <v>41</v>
      </c>
      <c r="AG840" s="4" t="s">
        <v>1840</v>
      </c>
    </row>
    <row r="841" spans="1:33" ht="16.5" customHeight="1" x14ac:dyDescent="0.2">
      <c r="A841" s="2" t="s">
        <v>31</v>
      </c>
      <c r="B841" s="5" t="s">
        <v>54</v>
      </c>
      <c r="C841" s="5"/>
      <c r="D841" s="5"/>
      <c r="E841" s="6" t="s">
        <v>33</v>
      </c>
      <c r="F841" s="6"/>
      <c r="G841" s="7" t="s">
        <v>1837</v>
      </c>
      <c r="H841" s="7"/>
      <c r="I841" s="7"/>
      <c r="J841" s="3" t="s">
        <v>35</v>
      </c>
      <c r="K841" s="4" t="s">
        <v>143</v>
      </c>
      <c r="L841" s="4" t="s">
        <v>93</v>
      </c>
      <c r="N841" s="7" t="s">
        <v>1888</v>
      </c>
      <c r="O841" s="7"/>
      <c r="P841" s="7" t="s">
        <v>1889</v>
      </c>
      <c r="Q841" s="7"/>
      <c r="R841" s="7"/>
      <c r="S841" s="3" t="s">
        <v>40</v>
      </c>
      <c r="T841" s="7" t="s">
        <v>41</v>
      </c>
      <c r="U841" s="7"/>
      <c r="V841" s="4" t="s">
        <v>42</v>
      </c>
      <c r="W841" s="4" t="s">
        <v>234</v>
      </c>
      <c r="X841" s="4" t="s">
        <v>235</v>
      </c>
      <c r="Y841" s="7" t="s">
        <v>135</v>
      </c>
      <c r="Z841" s="7"/>
      <c r="AA841" s="4" t="s">
        <v>46</v>
      </c>
      <c r="AB841" s="4" t="s">
        <v>47</v>
      </c>
      <c r="AC841" s="4" t="s">
        <v>136</v>
      </c>
      <c r="AD841" s="4" t="s">
        <v>148</v>
      </c>
      <c r="AE841" s="4" t="s">
        <v>48</v>
      </c>
      <c r="AF841" s="4" t="s">
        <v>41</v>
      </c>
      <c r="AG841" s="4" t="s">
        <v>1840</v>
      </c>
    </row>
    <row r="842" spans="1:33" ht="16.5" customHeight="1" x14ac:dyDescent="0.2">
      <c r="A842" s="2" t="s">
        <v>31</v>
      </c>
      <c r="B842" s="5" t="s">
        <v>54</v>
      </c>
      <c r="C842" s="5"/>
      <c r="D842" s="5"/>
      <c r="E842" s="6" t="s">
        <v>33</v>
      </c>
      <c r="F842" s="6"/>
      <c r="G842" s="7" t="s">
        <v>1837</v>
      </c>
      <c r="H842" s="7"/>
      <c r="I842" s="7"/>
      <c r="J842" s="3" t="s">
        <v>35</v>
      </c>
      <c r="K842" s="4" t="s">
        <v>118</v>
      </c>
      <c r="L842" s="4" t="s">
        <v>37</v>
      </c>
      <c r="N842" s="7" t="s">
        <v>1890</v>
      </c>
      <c r="O842" s="7"/>
      <c r="P842" s="7" t="s">
        <v>1891</v>
      </c>
      <c r="Q842" s="7"/>
      <c r="R842" s="7"/>
      <c r="S842" s="3" t="s">
        <v>40</v>
      </c>
      <c r="T842" s="7" t="s">
        <v>41</v>
      </c>
      <c r="U842" s="7"/>
      <c r="V842" s="4" t="s">
        <v>42</v>
      </c>
      <c r="W842" s="4" t="s">
        <v>234</v>
      </c>
      <c r="X842" s="4" t="s">
        <v>235</v>
      </c>
      <c r="Y842" s="7" t="s">
        <v>60</v>
      </c>
      <c r="Z842" s="7"/>
      <c r="AA842" s="4" t="s">
        <v>46</v>
      </c>
      <c r="AB842" s="4" t="s">
        <v>47</v>
      </c>
      <c r="AC842" s="4" t="s">
        <v>79</v>
      </c>
      <c r="AD842" s="4" t="s">
        <v>80</v>
      </c>
      <c r="AE842" s="4" t="s">
        <v>48</v>
      </c>
      <c r="AF842" s="4" t="s">
        <v>41</v>
      </c>
      <c r="AG842" s="4" t="s">
        <v>1840</v>
      </c>
    </row>
    <row r="843" spans="1:33" ht="16.5" customHeight="1" x14ac:dyDescent="0.2">
      <c r="A843" s="2" t="s">
        <v>31</v>
      </c>
      <c r="B843" s="5" t="s">
        <v>54</v>
      </c>
      <c r="C843" s="5"/>
      <c r="D843" s="5"/>
      <c r="E843" s="6" t="s">
        <v>33</v>
      </c>
      <c r="F843" s="6"/>
      <c r="G843" s="7" t="s">
        <v>1837</v>
      </c>
      <c r="H843" s="7"/>
      <c r="I843" s="7"/>
      <c r="J843" s="3" t="s">
        <v>35</v>
      </c>
      <c r="K843" s="4" t="s">
        <v>202</v>
      </c>
      <c r="L843" s="4" t="s">
        <v>37</v>
      </c>
      <c r="N843" s="7" t="s">
        <v>1892</v>
      </c>
      <c r="O843" s="7"/>
      <c r="P843" s="7" t="s">
        <v>1893</v>
      </c>
      <c r="Q843" s="7"/>
      <c r="R843" s="7"/>
      <c r="S843" s="3" t="s">
        <v>40</v>
      </c>
      <c r="T843" s="7" t="s">
        <v>41</v>
      </c>
      <c r="U843" s="7"/>
      <c r="V843" s="4" t="s">
        <v>51</v>
      </c>
      <c r="W843" s="4" t="s">
        <v>355</v>
      </c>
      <c r="X843" s="4" t="s">
        <v>361</v>
      </c>
      <c r="Y843" s="7" t="s">
        <v>197</v>
      </c>
      <c r="Z843" s="7"/>
      <c r="AA843" s="4" t="s">
        <v>46</v>
      </c>
      <c r="AB843" s="4" t="s">
        <v>47</v>
      </c>
      <c r="AC843" s="4" t="s">
        <v>136</v>
      </c>
      <c r="AD843" s="4" t="s">
        <v>137</v>
      </c>
      <c r="AE843" s="4" t="s">
        <v>48</v>
      </c>
      <c r="AF843" s="4" t="s">
        <v>41</v>
      </c>
      <c r="AG843" s="4" t="s">
        <v>1840</v>
      </c>
    </row>
    <row r="844" spans="1:33" ht="16.5" customHeight="1" x14ac:dyDescent="0.2">
      <c r="A844" s="2" t="s">
        <v>31</v>
      </c>
      <c r="B844" s="5" t="s">
        <v>54</v>
      </c>
      <c r="C844" s="5"/>
      <c r="D844" s="5"/>
      <c r="E844" s="6" t="s">
        <v>33</v>
      </c>
      <c r="F844" s="6"/>
      <c r="G844" s="7" t="s">
        <v>1837</v>
      </c>
      <c r="H844" s="7"/>
      <c r="I844" s="7"/>
      <c r="J844" s="3" t="s">
        <v>35</v>
      </c>
      <c r="K844" s="4" t="s">
        <v>409</v>
      </c>
      <c r="L844" s="4" t="s">
        <v>37</v>
      </c>
      <c r="N844" s="7" t="s">
        <v>1894</v>
      </c>
      <c r="O844" s="7"/>
      <c r="P844" s="7" t="s">
        <v>1895</v>
      </c>
      <c r="Q844" s="7"/>
      <c r="R844" s="7"/>
      <c r="S844" s="3" t="s">
        <v>40</v>
      </c>
      <c r="T844" s="7" t="s">
        <v>41</v>
      </c>
      <c r="U844" s="7"/>
      <c r="V844" s="4" t="s">
        <v>42</v>
      </c>
      <c r="W844" s="4" t="s">
        <v>355</v>
      </c>
      <c r="X844" s="4" t="s">
        <v>344</v>
      </c>
      <c r="Y844" s="7" t="s">
        <v>60</v>
      </c>
      <c r="Z844" s="7"/>
      <c r="AA844" s="4" t="s">
        <v>46</v>
      </c>
      <c r="AB844" s="4" t="s">
        <v>47</v>
      </c>
      <c r="AC844" s="4" t="s">
        <v>79</v>
      </c>
      <c r="AD844" s="4" t="s">
        <v>80</v>
      </c>
      <c r="AE844" s="4" t="s">
        <v>48</v>
      </c>
      <c r="AF844" s="4" t="s">
        <v>41</v>
      </c>
      <c r="AG844" s="4" t="s">
        <v>1840</v>
      </c>
    </row>
    <row r="845" spans="1:33" ht="16.5" customHeight="1" x14ac:dyDescent="0.2">
      <c r="A845" s="2" t="s">
        <v>31</v>
      </c>
      <c r="B845" s="5" t="s">
        <v>54</v>
      </c>
      <c r="C845" s="5"/>
      <c r="D845" s="5"/>
      <c r="E845" s="6" t="s">
        <v>33</v>
      </c>
      <c r="F845" s="6"/>
      <c r="G845" s="7" t="s">
        <v>1837</v>
      </c>
      <c r="H845" s="7"/>
      <c r="I845" s="7"/>
      <c r="J845" s="3" t="s">
        <v>35</v>
      </c>
      <c r="K845" s="4" t="s">
        <v>202</v>
      </c>
      <c r="L845" s="4" t="s">
        <v>37</v>
      </c>
      <c r="N845" s="7" t="s">
        <v>1896</v>
      </c>
      <c r="O845" s="7"/>
      <c r="P845" s="7" t="s">
        <v>1897</v>
      </c>
      <c r="Q845" s="7"/>
      <c r="R845" s="7"/>
      <c r="S845" s="3" t="s">
        <v>40</v>
      </c>
      <c r="T845" s="7" t="s">
        <v>41</v>
      </c>
      <c r="U845" s="7"/>
      <c r="V845" s="4" t="s">
        <v>42</v>
      </c>
      <c r="W845" s="4" t="s">
        <v>51</v>
      </c>
      <c r="X845" s="4" t="s">
        <v>128</v>
      </c>
      <c r="Y845" s="7" t="s">
        <v>197</v>
      </c>
      <c r="Z845" s="7"/>
      <c r="AA845" s="4" t="s">
        <v>46</v>
      </c>
      <c r="AB845" s="4" t="s">
        <v>47</v>
      </c>
      <c r="AC845" s="4" t="s">
        <v>72</v>
      </c>
      <c r="AD845" s="4" t="s">
        <v>41</v>
      </c>
      <c r="AE845" s="4" t="s">
        <v>48</v>
      </c>
      <c r="AF845" s="4" t="s">
        <v>41</v>
      </c>
      <c r="AG845" s="4" t="s">
        <v>1840</v>
      </c>
    </row>
    <row r="846" spans="1:33" ht="16.5" customHeight="1" x14ac:dyDescent="0.2">
      <c r="A846" s="2" t="s">
        <v>31</v>
      </c>
      <c r="B846" s="5" t="s">
        <v>54</v>
      </c>
      <c r="C846" s="5"/>
      <c r="D846" s="5"/>
      <c r="E846" s="6" t="s">
        <v>33</v>
      </c>
      <c r="F846" s="6"/>
      <c r="G846" s="7" t="s">
        <v>1837</v>
      </c>
      <c r="H846" s="7"/>
      <c r="I846" s="7"/>
      <c r="J846" s="3" t="s">
        <v>35</v>
      </c>
      <c r="K846" s="4" t="s">
        <v>81</v>
      </c>
      <c r="L846" s="4" t="s">
        <v>37</v>
      </c>
      <c r="N846" s="7" t="s">
        <v>1898</v>
      </c>
      <c r="O846" s="7"/>
      <c r="P846" s="7" t="s">
        <v>1899</v>
      </c>
      <c r="Q846" s="7"/>
      <c r="R846" s="7"/>
      <c r="S846" s="3" t="s">
        <v>40</v>
      </c>
      <c r="T846" s="7" t="s">
        <v>41</v>
      </c>
      <c r="U846" s="7"/>
      <c r="V846" s="4" t="s">
        <v>42</v>
      </c>
      <c r="W846" s="4" t="s">
        <v>355</v>
      </c>
      <c r="X846" s="4" t="s">
        <v>344</v>
      </c>
      <c r="Y846" s="7" t="s">
        <v>78</v>
      </c>
      <c r="Z846" s="7"/>
      <c r="AA846" s="4" t="s">
        <v>46</v>
      </c>
      <c r="AB846" s="4" t="s">
        <v>47</v>
      </c>
      <c r="AC846" s="4" t="s">
        <v>136</v>
      </c>
      <c r="AD846" s="4" t="s">
        <v>137</v>
      </c>
      <c r="AE846" s="4" t="s">
        <v>48</v>
      </c>
      <c r="AF846" s="4" t="s">
        <v>41</v>
      </c>
      <c r="AG846" s="4" t="s">
        <v>1840</v>
      </c>
    </row>
    <row r="847" spans="1:33" ht="16.5" customHeight="1" x14ac:dyDescent="0.2">
      <c r="A847" s="2" t="s">
        <v>31</v>
      </c>
      <c r="B847" s="5" t="s">
        <v>54</v>
      </c>
      <c r="C847" s="5"/>
      <c r="D847" s="5"/>
      <c r="E847" s="6" t="s">
        <v>33</v>
      </c>
      <c r="F847" s="6"/>
      <c r="G847" s="7" t="s">
        <v>1837</v>
      </c>
      <c r="H847" s="7"/>
      <c r="I847" s="7"/>
      <c r="J847" s="3" t="s">
        <v>35</v>
      </c>
      <c r="K847" s="4" t="s">
        <v>149</v>
      </c>
      <c r="L847" s="4" t="s">
        <v>37</v>
      </c>
      <c r="N847" s="7" t="s">
        <v>1900</v>
      </c>
      <c r="O847" s="7"/>
      <c r="P847" s="7" t="s">
        <v>1901</v>
      </c>
      <c r="Q847" s="7"/>
      <c r="R847" s="7"/>
      <c r="S847" s="3" t="s">
        <v>40</v>
      </c>
      <c r="T847" s="7" t="s">
        <v>41</v>
      </c>
      <c r="U847" s="7"/>
      <c r="V847" s="4" t="s">
        <v>42</v>
      </c>
      <c r="W847" s="4" t="s">
        <v>360</v>
      </c>
      <c r="X847" s="4" t="s">
        <v>361</v>
      </c>
      <c r="Y847" s="7" t="s">
        <v>78</v>
      </c>
      <c r="Z847" s="7"/>
      <c r="AA847" s="4" t="s">
        <v>46</v>
      </c>
      <c r="AB847" s="4" t="s">
        <v>47</v>
      </c>
      <c r="AC847" s="4" t="s">
        <v>79</v>
      </c>
      <c r="AD847" s="4" t="s">
        <v>80</v>
      </c>
      <c r="AE847" s="4" t="s">
        <v>48</v>
      </c>
      <c r="AF847" s="4" t="s">
        <v>41</v>
      </c>
      <c r="AG847" s="4" t="s">
        <v>1840</v>
      </c>
    </row>
    <row r="848" spans="1:33" ht="16.5" customHeight="1" x14ac:dyDescent="0.2">
      <c r="A848" s="2" t="s">
        <v>31</v>
      </c>
      <c r="B848" s="5" t="s">
        <v>54</v>
      </c>
      <c r="C848" s="5"/>
      <c r="D848" s="5"/>
      <c r="E848" s="6" t="s">
        <v>33</v>
      </c>
      <c r="F848" s="6"/>
      <c r="G848" s="7" t="s">
        <v>1837</v>
      </c>
      <c r="H848" s="7"/>
      <c r="I848" s="7"/>
      <c r="J848" s="3" t="s">
        <v>35</v>
      </c>
      <c r="K848" s="4" t="s">
        <v>149</v>
      </c>
      <c r="L848" s="4" t="s">
        <v>37</v>
      </c>
      <c r="N848" s="7" t="s">
        <v>1902</v>
      </c>
      <c r="O848" s="7"/>
      <c r="P848" s="7" t="s">
        <v>1903</v>
      </c>
      <c r="Q848" s="7"/>
      <c r="R848" s="7"/>
      <c r="S848" s="3" t="s">
        <v>40</v>
      </c>
      <c r="T848" s="7" t="s">
        <v>41</v>
      </c>
      <c r="U848" s="7"/>
      <c r="V848" s="4" t="s">
        <v>42</v>
      </c>
      <c r="W848" s="4" t="s">
        <v>360</v>
      </c>
      <c r="X848" s="4" t="s">
        <v>361</v>
      </c>
      <c r="Y848" s="7" t="s">
        <v>78</v>
      </c>
      <c r="Z848" s="7"/>
      <c r="AA848" s="4" t="s">
        <v>46</v>
      </c>
      <c r="AB848" s="4" t="s">
        <v>47</v>
      </c>
      <c r="AC848" s="4" t="s">
        <v>79</v>
      </c>
      <c r="AD848" s="4" t="s">
        <v>80</v>
      </c>
      <c r="AE848" s="4" t="s">
        <v>48</v>
      </c>
      <c r="AF848" s="4" t="s">
        <v>41</v>
      </c>
      <c r="AG848" s="4" t="s">
        <v>1840</v>
      </c>
    </row>
    <row r="849" spans="1:33" ht="16.5" customHeight="1" x14ac:dyDescent="0.2">
      <c r="A849" s="2" t="s">
        <v>31</v>
      </c>
      <c r="B849" s="5" t="s">
        <v>54</v>
      </c>
      <c r="C849" s="5"/>
      <c r="D849" s="5"/>
      <c r="E849" s="6" t="s">
        <v>33</v>
      </c>
      <c r="F849" s="6"/>
      <c r="G849" s="7" t="s">
        <v>1837</v>
      </c>
      <c r="H849" s="7"/>
      <c r="I849" s="7"/>
      <c r="J849" s="3" t="s">
        <v>35</v>
      </c>
      <c r="K849" s="4" t="s">
        <v>149</v>
      </c>
      <c r="L849" s="4" t="s">
        <v>37</v>
      </c>
      <c r="N849" s="7" t="s">
        <v>1902</v>
      </c>
      <c r="O849" s="7"/>
      <c r="P849" s="7" t="s">
        <v>1903</v>
      </c>
      <c r="Q849" s="7"/>
      <c r="R849" s="7"/>
      <c r="S849" s="3" t="s">
        <v>40</v>
      </c>
      <c r="T849" s="7" t="s">
        <v>41</v>
      </c>
      <c r="U849" s="7"/>
      <c r="V849" s="4" t="s">
        <v>51</v>
      </c>
      <c r="W849" s="4" t="s">
        <v>360</v>
      </c>
      <c r="X849" s="4" t="s">
        <v>302</v>
      </c>
      <c r="Y849" s="7" t="s">
        <v>78</v>
      </c>
      <c r="Z849" s="7"/>
      <c r="AA849" s="4" t="s">
        <v>46</v>
      </c>
      <c r="AB849" s="4" t="s">
        <v>47</v>
      </c>
      <c r="AC849" s="4" t="s">
        <v>79</v>
      </c>
      <c r="AD849" s="4" t="s">
        <v>80</v>
      </c>
      <c r="AE849" s="4" t="s">
        <v>48</v>
      </c>
      <c r="AF849" s="4" t="s">
        <v>41</v>
      </c>
      <c r="AG849" s="4" t="s">
        <v>1840</v>
      </c>
    </row>
    <row r="850" spans="1:33" ht="16.5" customHeight="1" x14ac:dyDescent="0.2">
      <c r="A850" s="2" t="s">
        <v>31</v>
      </c>
      <c r="B850" s="5" t="s">
        <v>54</v>
      </c>
      <c r="C850" s="5"/>
      <c r="D850" s="5"/>
      <c r="E850" s="6" t="s">
        <v>33</v>
      </c>
      <c r="F850" s="6"/>
      <c r="G850" s="7" t="s">
        <v>1837</v>
      </c>
      <c r="H850" s="7"/>
      <c r="I850" s="7"/>
      <c r="J850" s="3" t="s">
        <v>35</v>
      </c>
      <c r="K850" s="4" t="s">
        <v>55</v>
      </c>
      <c r="L850" s="4" t="s">
        <v>37</v>
      </c>
      <c r="N850" s="7" t="s">
        <v>1904</v>
      </c>
      <c r="O850" s="7"/>
      <c r="P850" s="7" t="s">
        <v>1905</v>
      </c>
      <c r="Q850" s="7"/>
      <c r="R850" s="7"/>
      <c r="S850" s="3" t="s">
        <v>40</v>
      </c>
      <c r="T850" s="7" t="s">
        <v>41</v>
      </c>
      <c r="U850" s="7"/>
      <c r="V850" s="4" t="s">
        <v>42</v>
      </c>
      <c r="W850" s="4" t="s">
        <v>181</v>
      </c>
      <c r="X850" s="4" t="s">
        <v>182</v>
      </c>
      <c r="Y850" s="7" t="s">
        <v>60</v>
      </c>
      <c r="Z850" s="7"/>
      <c r="AA850" s="4" t="s">
        <v>46</v>
      </c>
      <c r="AB850" s="4" t="s">
        <v>47</v>
      </c>
      <c r="AC850" s="4" t="s">
        <v>61</v>
      </c>
      <c r="AD850" s="4" t="s">
        <v>62</v>
      </c>
      <c r="AE850" s="4" t="s">
        <v>48</v>
      </c>
      <c r="AF850" s="4" t="s">
        <v>41</v>
      </c>
      <c r="AG850" s="4" t="s">
        <v>1840</v>
      </c>
    </row>
    <row r="851" spans="1:33" ht="16.5" customHeight="1" x14ac:dyDescent="0.2">
      <c r="A851" s="2" t="s">
        <v>31</v>
      </c>
      <c r="B851" s="5" t="s">
        <v>54</v>
      </c>
      <c r="C851" s="5"/>
      <c r="D851" s="5"/>
      <c r="E851" s="6" t="s">
        <v>33</v>
      </c>
      <c r="F851" s="6"/>
      <c r="G851" s="7" t="s">
        <v>1837</v>
      </c>
      <c r="H851" s="7"/>
      <c r="I851" s="7"/>
      <c r="J851" s="3" t="s">
        <v>35</v>
      </c>
      <c r="K851" s="4" t="s">
        <v>1906</v>
      </c>
      <c r="L851" s="4" t="s">
        <v>37</v>
      </c>
      <c r="N851" s="7" t="s">
        <v>1907</v>
      </c>
      <c r="O851" s="7"/>
      <c r="P851" s="7" t="s">
        <v>1908</v>
      </c>
      <c r="Q851" s="7"/>
      <c r="R851" s="7"/>
      <c r="S851" s="3" t="s">
        <v>40</v>
      </c>
      <c r="T851" s="7" t="s">
        <v>41</v>
      </c>
      <c r="U851" s="7"/>
      <c r="V851" s="4" t="s">
        <v>42</v>
      </c>
      <c r="W851" s="4" t="s">
        <v>312</v>
      </c>
      <c r="X851" s="4" t="s">
        <v>313</v>
      </c>
      <c r="Y851" s="7" t="s">
        <v>197</v>
      </c>
      <c r="Z851" s="7"/>
      <c r="AA851" s="4" t="s">
        <v>46</v>
      </c>
      <c r="AB851" s="4" t="s">
        <v>47</v>
      </c>
      <c r="AC851" s="4" t="s">
        <v>136</v>
      </c>
      <c r="AD851" s="4" t="s">
        <v>137</v>
      </c>
      <c r="AE851" s="4" t="s">
        <v>48</v>
      </c>
      <c r="AF851" s="4" t="s">
        <v>41</v>
      </c>
      <c r="AG851" s="4" t="s">
        <v>1840</v>
      </c>
    </row>
    <row r="852" spans="1:33" ht="16.5" customHeight="1" x14ac:dyDescent="0.2">
      <c r="A852" s="2" t="s">
        <v>31</v>
      </c>
      <c r="B852" s="5" t="s">
        <v>54</v>
      </c>
      <c r="C852" s="5"/>
      <c r="D852" s="5"/>
      <c r="E852" s="6" t="s">
        <v>33</v>
      </c>
      <c r="F852" s="6"/>
      <c r="G852" s="7" t="s">
        <v>1837</v>
      </c>
      <c r="H852" s="7"/>
      <c r="I852" s="7"/>
      <c r="J852" s="3" t="s">
        <v>35</v>
      </c>
      <c r="K852" s="4" t="s">
        <v>73</v>
      </c>
      <c r="L852" s="4" t="s">
        <v>37</v>
      </c>
      <c r="N852" s="7" t="s">
        <v>1909</v>
      </c>
      <c r="O852" s="7"/>
      <c r="P852" s="7" t="s">
        <v>1910</v>
      </c>
      <c r="Q852" s="7"/>
      <c r="R852" s="7"/>
      <c r="S852" s="3" t="s">
        <v>40</v>
      </c>
      <c r="T852" s="7" t="s">
        <v>41</v>
      </c>
      <c r="U852" s="7"/>
      <c r="V852" s="4" t="s">
        <v>42</v>
      </c>
      <c r="W852" s="4" t="s">
        <v>58</v>
      </c>
      <c r="X852" s="4" t="s">
        <v>59</v>
      </c>
      <c r="Y852" s="7" t="s">
        <v>78</v>
      </c>
      <c r="Z852" s="7"/>
      <c r="AA852" s="4" t="s">
        <v>46</v>
      </c>
      <c r="AB852" s="4" t="s">
        <v>47</v>
      </c>
      <c r="AC852" s="4" t="s">
        <v>79</v>
      </c>
      <c r="AD852" s="4" t="s">
        <v>80</v>
      </c>
      <c r="AE852" s="4" t="s">
        <v>48</v>
      </c>
      <c r="AF852" s="4" t="s">
        <v>41</v>
      </c>
      <c r="AG852" s="4" t="s">
        <v>1840</v>
      </c>
    </row>
    <row r="853" spans="1:33" ht="16.5" customHeight="1" x14ac:dyDescent="0.2">
      <c r="A853" s="2" t="s">
        <v>31</v>
      </c>
      <c r="B853" s="5" t="s">
        <v>54</v>
      </c>
      <c r="C853" s="5"/>
      <c r="D853" s="5"/>
      <c r="E853" s="6" t="s">
        <v>33</v>
      </c>
      <c r="F853" s="6"/>
      <c r="G853" s="7" t="s">
        <v>1837</v>
      </c>
      <c r="H853" s="7"/>
      <c r="I853" s="7"/>
      <c r="J853" s="3" t="s">
        <v>35</v>
      </c>
      <c r="K853" s="4" t="s">
        <v>73</v>
      </c>
      <c r="L853" s="4" t="s">
        <v>37</v>
      </c>
      <c r="N853" s="7" t="s">
        <v>1911</v>
      </c>
      <c r="O853" s="7"/>
      <c r="P853" s="7" t="s">
        <v>1912</v>
      </c>
      <c r="Q853" s="7"/>
      <c r="R853" s="7"/>
      <c r="S853" s="3" t="s">
        <v>40</v>
      </c>
      <c r="T853" s="7" t="s">
        <v>41</v>
      </c>
      <c r="U853" s="7"/>
      <c r="V853" s="4" t="s">
        <v>42</v>
      </c>
      <c r="W853" s="4" t="s">
        <v>58</v>
      </c>
      <c r="X853" s="4" t="s">
        <v>59</v>
      </c>
      <c r="Y853" s="7" t="s">
        <v>78</v>
      </c>
      <c r="Z853" s="7"/>
      <c r="AA853" s="4" t="s">
        <v>46</v>
      </c>
      <c r="AB853" s="4" t="s">
        <v>47</v>
      </c>
      <c r="AC853" s="4" t="s">
        <v>79</v>
      </c>
      <c r="AD853" s="4" t="s">
        <v>80</v>
      </c>
      <c r="AE853" s="4" t="s">
        <v>48</v>
      </c>
      <c r="AF853" s="4" t="s">
        <v>41</v>
      </c>
      <c r="AG853" s="4" t="s">
        <v>1840</v>
      </c>
    </row>
    <row r="854" spans="1:33" ht="16.5" customHeight="1" x14ac:dyDescent="0.2">
      <c r="A854" s="2" t="s">
        <v>31</v>
      </c>
      <c r="B854" s="5" t="s">
        <v>54</v>
      </c>
      <c r="C854" s="5"/>
      <c r="D854" s="5"/>
      <c r="E854" s="6" t="s">
        <v>33</v>
      </c>
      <c r="F854" s="6"/>
      <c r="G854" s="7" t="s">
        <v>1837</v>
      </c>
      <c r="H854" s="7"/>
      <c r="I854" s="7"/>
      <c r="J854" s="3" t="s">
        <v>35</v>
      </c>
      <c r="K854" s="4" t="s">
        <v>73</v>
      </c>
      <c r="L854" s="4" t="s">
        <v>37</v>
      </c>
      <c r="N854" s="7" t="s">
        <v>1913</v>
      </c>
      <c r="O854" s="7"/>
      <c r="P854" s="7" t="s">
        <v>1914</v>
      </c>
      <c r="Q854" s="7"/>
      <c r="R854" s="7"/>
      <c r="S854" s="3" t="s">
        <v>40</v>
      </c>
      <c r="T854" s="7" t="s">
        <v>41</v>
      </c>
      <c r="U854" s="7"/>
      <c r="V854" s="4" t="s">
        <v>42</v>
      </c>
      <c r="W854" s="4" t="s">
        <v>58</v>
      </c>
      <c r="X854" s="4" t="s">
        <v>59</v>
      </c>
      <c r="Y854" s="7" t="s">
        <v>78</v>
      </c>
      <c r="Z854" s="7"/>
      <c r="AA854" s="4" t="s">
        <v>46</v>
      </c>
      <c r="AB854" s="4" t="s">
        <v>47</v>
      </c>
      <c r="AC854" s="4" t="s">
        <v>79</v>
      </c>
      <c r="AD854" s="4" t="s">
        <v>80</v>
      </c>
      <c r="AE854" s="4" t="s">
        <v>48</v>
      </c>
      <c r="AF854" s="4" t="s">
        <v>41</v>
      </c>
      <c r="AG854" s="4" t="s">
        <v>1840</v>
      </c>
    </row>
    <row r="855" spans="1:33" ht="16.5" customHeight="1" x14ac:dyDescent="0.2">
      <c r="A855" s="2" t="s">
        <v>31</v>
      </c>
      <c r="B855" s="5" t="s">
        <v>54</v>
      </c>
      <c r="C855" s="5"/>
      <c r="D855" s="5"/>
      <c r="E855" s="6" t="s">
        <v>33</v>
      </c>
      <c r="F855" s="6"/>
      <c r="G855" s="7" t="s">
        <v>1837</v>
      </c>
      <c r="H855" s="7"/>
      <c r="I855" s="7"/>
      <c r="J855" s="3" t="s">
        <v>35</v>
      </c>
      <c r="K855" s="4" t="s">
        <v>130</v>
      </c>
      <c r="L855" s="4" t="s">
        <v>93</v>
      </c>
      <c r="N855" s="7" t="s">
        <v>1915</v>
      </c>
      <c r="O855" s="7"/>
      <c r="P855" s="7" t="s">
        <v>1916</v>
      </c>
      <c r="Q855" s="7"/>
      <c r="R855" s="7"/>
      <c r="S855" s="3" t="s">
        <v>40</v>
      </c>
      <c r="T855" s="7" t="s">
        <v>41</v>
      </c>
      <c r="U855" s="7"/>
      <c r="V855" s="4" t="s">
        <v>42</v>
      </c>
      <c r="W855" s="4" t="s">
        <v>51</v>
      </c>
      <c r="X855" s="4" t="s">
        <v>128</v>
      </c>
      <c r="Y855" s="7" t="s">
        <v>135</v>
      </c>
      <c r="Z855" s="7"/>
      <c r="AA855" s="4" t="s">
        <v>46</v>
      </c>
      <c r="AB855" s="4" t="s">
        <v>47</v>
      </c>
      <c r="AC855" s="4" t="s">
        <v>79</v>
      </c>
      <c r="AD855" s="4" t="s">
        <v>96</v>
      </c>
      <c r="AE855" s="4" t="s">
        <v>48</v>
      </c>
      <c r="AF855" s="4" t="s">
        <v>41</v>
      </c>
      <c r="AG855" s="4" t="s">
        <v>1840</v>
      </c>
    </row>
    <row r="856" spans="1:33" ht="16.5" customHeight="1" x14ac:dyDescent="0.2">
      <c r="A856" s="2" t="s">
        <v>31</v>
      </c>
      <c r="B856" s="5" t="s">
        <v>54</v>
      </c>
      <c r="C856" s="5"/>
      <c r="D856" s="5"/>
      <c r="E856" s="6" t="s">
        <v>33</v>
      </c>
      <c r="F856" s="6"/>
      <c r="G856" s="7" t="s">
        <v>1837</v>
      </c>
      <c r="H856" s="7"/>
      <c r="I856" s="7"/>
      <c r="J856" s="3" t="s">
        <v>35</v>
      </c>
      <c r="K856" s="4" t="s">
        <v>192</v>
      </c>
      <c r="L856" s="4" t="s">
        <v>37</v>
      </c>
      <c r="N856" s="7" t="s">
        <v>1917</v>
      </c>
      <c r="O856" s="7"/>
      <c r="P856" s="7" t="s">
        <v>1918</v>
      </c>
      <c r="Q856" s="7"/>
      <c r="R856" s="7"/>
      <c r="S856" s="3" t="s">
        <v>40</v>
      </c>
      <c r="T856" s="7" t="s">
        <v>41</v>
      </c>
      <c r="U856" s="7"/>
      <c r="V856" s="4" t="s">
        <v>42</v>
      </c>
      <c r="W856" s="4" t="s">
        <v>51</v>
      </c>
      <c r="X856" s="4" t="s">
        <v>128</v>
      </c>
      <c r="Y856" s="7" t="s">
        <v>197</v>
      </c>
      <c r="Z856" s="7"/>
      <c r="AA856" s="4" t="s">
        <v>46</v>
      </c>
      <c r="AB856" s="4" t="s">
        <v>47</v>
      </c>
      <c r="AC856" s="4" t="s">
        <v>136</v>
      </c>
      <c r="AD856" s="4" t="s">
        <v>137</v>
      </c>
      <c r="AE856" s="4" t="s">
        <v>48</v>
      </c>
      <c r="AF856" s="4" t="s">
        <v>41</v>
      </c>
      <c r="AG856" s="4" t="s">
        <v>1840</v>
      </c>
    </row>
    <row r="857" spans="1:33" ht="16.5" customHeight="1" x14ac:dyDescent="0.2">
      <c r="A857" s="2" t="s">
        <v>31</v>
      </c>
      <c r="B857" s="5" t="s">
        <v>54</v>
      </c>
      <c r="C857" s="5"/>
      <c r="D857" s="5"/>
      <c r="E857" s="6" t="s">
        <v>33</v>
      </c>
      <c r="F857" s="6"/>
      <c r="G857" s="7" t="s">
        <v>1837</v>
      </c>
      <c r="H857" s="7"/>
      <c r="I857" s="7"/>
      <c r="J857" s="3" t="s">
        <v>35</v>
      </c>
      <c r="K857" s="4" t="s">
        <v>248</v>
      </c>
      <c r="L857" s="4" t="s">
        <v>443</v>
      </c>
      <c r="N857" s="7" t="s">
        <v>1919</v>
      </c>
      <c r="O857" s="7"/>
      <c r="P857" s="7" t="s">
        <v>1920</v>
      </c>
      <c r="Q857" s="7"/>
      <c r="R857" s="7"/>
      <c r="S857" s="3" t="s">
        <v>40</v>
      </c>
      <c r="T857" s="7" t="s">
        <v>41</v>
      </c>
      <c r="U857" s="7"/>
      <c r="V857" s="4" t="s">
        <v>42</v>
      </c>
      <c r="W857" s="4" t="s">
        <v>51</v>
      </c>
      <c r="X857" s="4" t="s">
        <v>128</v>
      </c>
      <c r="Y857" s="7" t="s">
        <v>60</v>
      </c>
      <c r="Z857" s="7"/>
      <c r="AA857" s="4" t="s">
        <v>46</v>
      </c>
      <c r="AB857" s="4" t="s">
        <v>47</v>
      </c>
      <c r="AC857" s="4" t="s">
        <v>61</v>
      </c>
      <c r="AD857" s="4" t="s">
        <v>1223</v>
      </c>
      <c r="AE857" s="4" t="s">
        <v>48</v>
      </c>
      <c r="AF857" s="4" t="s">
        <v>41</v>
      </c>
      <c r="AG857" s="4" t="s">
        <v>1840</v>
      </c>
    </row>
    <row r="858" spans="1:33" ht="16.5" customHeight="1" x14ac:dyDescent="0.2">
      <c r="A858" s="2" t="s">
        <v>31</v>
      </c>
      <c r="B858" s="5" t="s">
        <v>108</v>
      </c>
      <c r="C858" s="5"/>
      <c r="D858" s="5"/>
      <c r="E858" s="6" t="s">
        <v>33</v>
      </c>
      <c r="F858" s="6"/>
      <c r="G858" s="7" t="s">
        <v>1837</v>
      </c>
      <c r="H858" s="7"/>
      <c r="I858" s="7"/>
      <c r="J858" s="3" t="s">
        <v>35</v>
      </c>
      <c r="K858" s="4" t="s">
        <v>1285</v>
      </c>
      <c r="N858" s="7" t="s">
        <v>1921</v>
      </c>
      <c r="O858" s="7"/>
      <c r="P858" s="7" t="s">
        <v>1922</v>
      </c>
      <c r="Q858" s="7"/>
      <c r="R858" s="7"/>
      <c r="S858" s="3" t="s">
        <v>40</v>
      </c>
      <c r="T858" s="7" t="s">
        <v>1923</v>
      </c>
      <c r="U858" s="7"/>
      <c r="V858" s="4" t="s">
        <v>51</v>
      </c>
      <c r="W858" s="4" t="s">
        <v>76</v>
      </c>
      <c r="X858" s="4" t="s">
        <v>91</v>
      </c>
      <c r="Y858" s="7" t="s">
        <v>937</v>
      </c>
      <c r="Z858" s="7"/>
      <c r="AA858" s="4" t="s">
        <v>46</v>
      </c>
      <c r="AB858" s="4" t="s">
        <v>115</v>
      </c>
      <c r="AC858" s="4" t="s">
        <v>938</v>
      </c>
      <c r="AD858" s="4" t="s">
        <v>1924</v>
      </c>
      <c r="AE858" s="4" t="s">
        <v>48</v>
      </c>
      <c r="AF858" s="4" t="s">
        <v>41</v>
      </c>
      <c r="AG858" s="4" t="s">
        <v>1840</v>
      </c>
    </row>
    <row r="859" spans="1:33" ht="16.5" customHeight="1" x14ac:dyDescent="0.2">
      <c r="A859" s="2" t="s">
        <v>31</v>
      </c>
      <c r="B859" s="5" t="s">
        <v>32</v>
      </c>
      <c r="C859" s="5"/>
      <c r="D859" s="5"/>
      <c r="E859" s="6" t="s">
        <v>33</v>
      </c>
      <c r="F859" s="6"/>
      <c r="G859" s="7" t="s">
        <v>1925</v>
      </c>
      <c r="H859" s="7"/>
      <c r="I859" s="7"/>
      <c r="J859" s="3" t="s">
        <v>35</v>
      </c>
      <c r="K859" s="4" t="s">
        <v>1926</v>
      </c>
      <c r="L859" s="4" t="s">
        <v>37</v>
      </c>
      <c r="N859" s="7" t="s">
        <v>1927</v>
      </c>
      <c r="O859" s="7"/>
      <c r="P859" s="7" t="s">
        <v>1928</v>
      </c>
      <c r="Q859" s="7"/>
      <c r="R859" s="7"/>
      <c r="S859" s="3" t="s">
        <v>40</v>
      </c>
      <c r="T859" s="7" t="s">
        <v>41</v>
      </c>
      <c r="U859" s="7"/>
      <c r="V859" s="4" t="s">
        <v>42</v>
      </c>
      <c r="W859" s="4" t="s">
        <v>58</v>
      </c>
      <c r="X859" s="4" t="s">
        <v>59</v>
      </c>
      <c r="Y859" s="7" t="s">
        <v>1929</v>
      </c>
      <c r="Z859" s="7"/>
      <c r="AA859" s="4" t="s">
        <v>46</v>
      </c>
      <c r="AB859" s="4" t="s">
        <v>47</v>
      </c>
      <c r="AD859" s="4" t="s">
        <v>41</v>
      </c>
      <c r="AE859" s="4" t="s">
        <v>48</v>
      </c>
      <c r="AF859" s="4" t="s">
        <v>41</v>
      </c>
      <c r="AG859" s="4" t="s">
        <v>1930</v>
      </c>
    </row>
    <row r="860" spans="1:33" ht="16.5" customHeight="1" x14ac:dyDescent="0.2">
      <c r="A860" s="2" t="s">
        <v>31</v>
      </c>
      <c r="B860" s="5" t="s">
        <v>54</v>
      </c>
      <c r="C860" s="5"/>
      <c r="D860" s="5"/>
      <c r="E860" s="6" t="s">
        <v>33</v>
      </c>
      <c r="F860" s="6"/>
      <c r="G860" s="7" t="s">
        <v>1925</v>
      </c>
      <c r="H860" s="7"/>
      <c r="I860" s="7"/>
      <c r="J860" s="3" t="s">
        <v>35</v>
      </c>
      <c r="K860" s="4" t="s">
        <v>130</v>
      </c>
      <c r="L860" s="4" t="s">
        <v>37</v>
      </c>
      <c r="N860" s="7" t="s">
        <v>1931</v>
      </c>
      <c r="O860" s="7"/>
      <c r="P860" s="7" t="s">
        <v>1932</v>
      </c>
      <c r="Q860" s="7"/>
      <c r="R860" s="7"/>
      <c r="S860" s="3" t="s">
        <v>40</v>
      </c>
      <c r="T860" s="7" t="s">
        <v>41</v>
      </c>
      <c r="U860" s="7"/>
      <c r="V860" s="4" t="s">
        <v>42</v>
      </c>
      <c r="W860" s="4" t="s">
        <v>158</v>
      </c>
      <c r="X860" s="4" t="s">
        <v>159</v>
      </c>
      <c r="Y860" s="7" t="s">
        <v>135</v>
      </c>
      <c r="Z860" s="7"/>
      <c r="AA860" s="4" t="s">
        <v>46</v>
      </c>
      <c r="AB860" s="4" t="s">
        <v>47</v>
      </c>
      <c r="AC860" s="4" t="s">
        <v>136</v>
      </c>
      <c r="AD860" s="4" t="s">
        <v>137</v>
      </c>
      <c r="AE860" s="4" t="s">
        <v>48</v>
      </c>
      <c r="AF860" s="4" t="s">
        <v>41</v>
      </c>
      <c r="AG860" s="4" t="s">
        <v>1930</v>
      </c>
    </row>
    <row r="861" spans="1:33" ht="16.5" customHeight="1" x14ac:dyDescent="0.2">
      <c r="A861" s="2" t="s">
        <v>31</v>
      </c>
      <c r="B861" s="5" t="s">
        <v>54</v>
      </c>
      <c r="C861" s="5"/>
      <c r="D861" s="5"/>
      <c r="E861" s="6" t="s">
        <v>33</v>
      </c>
      <c r="F861" s="6"/>
      <c r="G861" s="7" t="s">
        <v>1925</v>
      </c>
      <c r="H861" s="7"/>
      <c r="I861" s="7"/>
      <c r="J861" s="3" t="s">
        <v>35</v>
      </c>
      <c r="K861" s="4" t="s">
        <v>130</v>
      </c>
      <c r="L861" s="4" t="s">
        <v>37</v>
      </c>
      <c r="N861" s="7" t="s">
        <v>1931</v>
      </c>
      <c r="O861" s="7"/>
      <c r="P861" s="7" t="s">
        <v>1932</v>
      </c>
      <c r="Q861" s="7"/>
      <c r="R861" s="7"/>
      <c r="S861" s="3" t="s">
        <v>40</v>
      </c>
      <c r="T861" s="7" t="s">
        <v>41</v>
      </c>
      <c r="U861" s="7"/>
      <c r="V861" s="4" t="s">
        <v>51</v>
      </c>
      <c r="W861" s="4" t="s">
        <v>158</v>
      </c>
      <c r="X861" s="4" t="s">
        <v>682</v>
      </c>
      <c r="Y861" s="7" t="s">
        <v>135</v>
      </c>
      <c r="Z861" s="7"/>
      <c r="AA861" s="4" t="s">
        <v>46</v>
      </c>
      <c r="AB861" s="4" t="s">
        <v>47</v>
      </c>
      <c r="AC861" s="4" t="s">
        <v>136</v>
      </c>
      <c r="AD861" s="4" t="s">
        <v>137</v>
      </c>
      <c r="AE861" s="4" t="s">
        <v>48</v>
      </c>
      <c r="AF861" s="4" t="s">
        <v>41</v>
      </c>
      <c r="AG861" s="4" t="s">
        <v>1930</v>
      </c>
    </row>
    <row r="862" spans="1:33" ht="16.5" customHeight="1" x14ac:dyDescent="0.2">
      <c r="A862" s="2" t="s">
        <v>31</v>
      </c>
      <c r="B862" s="5" t="s">
        <v>54</v>
      </c>
      <c r="C862" s="5"/>
      <c r="D862" s="5"/>
      <c r="E862" s="6" t="s">
        <v>33</v>
      </c>
      <c r="F862" s="6"/>
      <c r="G862" s="7" t="s">
        <v>1925</v>
      </c>
      <c r="H862" s="7"/>
      <c r="I862" s="7"/>
      <c r="J862" s="3" t="s">
        <v>35</v>
      </c>
      <c r="K862" s="4" t="s">
        <v>248</v>
      </c>
      <c r="L862" s="4" t="s">
        <v>443</v>
      </c>
      <c r="N862" s="7" t="s">
        <v>1933</v>
      </c>
      <c r="O862" s="7"/>
      <c r="P862" s="7" t="s">
        <v>1934</v>
      </c>
      <c r="Q862" s="7"/>
      <c r="R862" s="7"/>
      <c r="S862" s="3" t="s">
        <v>40</v>
      </c>
      <c r="T862" s="7" t="s">
        <v>41</v>
      </c>
      <c r="U862" s="7"/>
      <c r="V862" s="4" t="s">
        <v>42</v>
      </c>
      <c r="W862" s="4" t="s">
        <v>58</v>
      </c>
      <c r="X862" s="4" t="s">
        <v>59</v>
      </c>
      <c r="Y862" s="7" t="s">
        <v>60</v>
      </c>
      <c r="Z862" s="7"/>
      <c r="AA862" s="4" t="s">
        <v>46</v>
      </c>
      <c r="AB862" s="4" t="s">
        <v>47</v>
      </c>
      <c r="AC862" s="4" t="s">
        <v>61</v>
      </c>
      <c r="AD862" s="4" t="s">
        <v>1223</v>
      </c>
      <c r="AE862" s="4" t="s">
        <v>48</v>
      </c>
      <c r="AF862" s="4" t="s">
        <v>41</v>
      </c>
      <c r="AG862" s="4" t="s">
        <v>1930</v>
      </c>
    </row>
    <row r="863" spans="1:33" ht="16.5" customHeight="1" x14ac:dyDescent="0.2">
      <c r="A863" s="2" t="s">
        <v>31</v>
      </c>
      <c r="B863" s="5" t="s">
        <v>54</v>
      </c>
      <c r="C863" s="5"/>
      <c r="D863" s="5"/>
      <c r="E863" s="6" t="s">
        <v>33</v>
      </c>
      <c r="F863" s="6"/>
      <c r="G863" s="7" t="s">
        <v>1925</v>
      </c>
      <c r="H863" s="7"/>
      <c r="I863" s="7"/>
      <c r="J863" s="3" t="s">
        <v>35</v>
      </c>
      <c r="K863" s="4" t="s">
        <v>149</v>
      </c>
      <c r="L863" s="4" t="s">
        <v>37</v>
      </c>
      <c r="N863" s="7" t="s">
        <v>1935</v>
      </c>
      <c r="O863" s="7"/>
      <c r="P863" s="7" t="s">
        <v>1936</v>
      </c>
      <c r="Q863" s="7"/>
      <c r="R863" s="7"/>
      <c r="S863" s="3" t="s">
        <v>40</v>
      </c>
      <c r="T863" s="7" t="s">
        <v>41</v>
      </c>
      <c r="U863" s="7"/>
      <c r="V863" s="4" t="s">
        <v>42</v>
      </c>
      <c r="W863" s="4" t="s">
        <v>229</v>
      </c>
      <c r="X863" s="4" t="s">
        <v>446</v>
      </c>
      <c r="Y863" s="7" t="s">
        <v>78</v>
      </c>
      <c r="Z863" s="7"/>
      <c r="AA863" s="4" t="s">
        <v>46</v>
      </c>
      <c r="AB863" s="4" t="s">
        <v>47</v>
      </c>
      <c r="AC863" s="4" t="s">
        <v>136</v>
      </c>
      <c r="AD863" s="4" t="s">
        <v>137</v>
      </c>
      <c r="AE863" s="4" t="s">
        <v>48</v>
      </c>
      <c r="AF863" s="4" t="s">
        <v>41</v>
      </c>
      <c r="AG863" s="4" t="s">
        <v>1930</v>
      </c>
    </row>
    <row r="864" spans="1:33" ht="16.5" customHeight="1" x14ac:dyDescent="0.2">
      <c r="A864" s="2" t="s">
        <v>31</v>
      </c>
      <c r="B864" s="5" t="s">
        <v>108</v>
      </c>
      <c r="C864" s="5"/>
      <c r="D864" s="5"/>
      <c r="E864" s="6" t="s">
        <v>33</v>
      </c>
      <c r="F864" s="6"/>
      <c r="G864" s="7" t="s">
        <v>1925</v>
      </c>
      <c r="H864" s="7"/>
      <c r="I864" s="7"/>
      <c r="J864" s="3" t="s">
        <v>109</v>
      </c>
      <c r="K864" s="4" t="s">
        <v>558</v>
      </c>
      <c r="N864" s="7" t="s">
        <v>1935</v>
      </c>
      <c r="O864" s="7"/>
      <c r="P864" s="7" t="s">
        <v>1936</v>
      </c>
      <c r="Q864" s="7"/>
      <c r="R864" s="7"/>
      <c r="S864" s="3" t="s">
        <v>40</v>
      </c>
      <c r="T864" s="7" t="s">
        <v>751</v>
      </c>
      <c r="U864" s="7"/>
      <c r="V864" s="4" t="s">
        <v>42</v>
      </c>
      <c r="W864" s="4" t="s">
        <v>58</v>
      </c>
      <c r="X864" s="4" t="s">
        <v>201</v>
      </c>
      <c r="Y864" s="7" t="s">
        <v>114</v>
      </c>
      <c r="Z864" s="7"/>
      <c r="AA864" s="4" t="s">
        <v>46</v>
      </c>
      <c r="AB864" s="4" t="s">
        <v>115</v>
      </c>
      <c r="AC864" s="4" t="s">
        <v>243</v>
      </c>
      <c r="AD864" s="4" t="s">
        <v>752</v>
      </c>
      <c r="AE864" s="4" t="s">
        <v>48</v>
      </c>
      <c r="AF864" s="4" t="s">
        <v>41</v>
      </c>
      <c r="AG864" s="4" t="s">
        <v>1930</v>
      </c>
    </row>
    <row r="865" spans="1:33" ht="16.5" customHeight="1" x14ac:dyDescent="0.2">
      <c r="A865" s="2" t="s">
        <v>31</v>
      </c>
      <c r="B865" s="5" t="s">
        <v>54</v>
      </c>
      <c r="C865" s="5"/>
      <c r="D865" s="5"/>
      <c r="E865" s="6" t="s">
        <v>33</v>
      </c>
      <c r="F865" s="6"/>
      <c r="G865" s="7" t="s">
        <v>1925</v>
      </c>
      <c r="H865" s="7"/>
      <c r="I865" s="7"/>
      <c r="J865" s="3" t="s">
        <v>35</v>
      </c>
      <c r="K865" s="4" t="s">
        <v>149</v>
      </c>
      <c r="L865" s="4" t="s">
        <v>37</v>
      </c>
      <c r="N865" s="7" t="s">
        <v>1937</v>
      </c>
      <c r="O865" s="7"/>
      <c r="P865" s="7" t="s">
        <v>1938</v>
      </c>
      <c r="Q865" s="7"/>
      <c r="R865" s="7"/>
      <c r="S865" s="3" t="s">
        <v>40</v>
      </c>
      <c r="T865" s="7" t="s">
        <v>41</v>
      </c>
      <c r="U865" s="7"/>
      <c r="V865" s="4" t="s">
        <v>42</v>
      </c>
      <c r="W865" s="4" t="s">
        <v>312</v>
      </c>
      <c r="X865" s="4" t="s">
        <v>313</v>
      </c>
      <c r="Y865" s="7" t="s">
        <v>78</v>
      </c>
      <c r="Z865" s="7"/>
      <c r="AA865" s="4" t="s">
        <v>46</v>
      </c>
      <c r="AB865" s="4" t="s">
        <v>47</v>
      </c>
      <c r="AC865" s="4" t="s">
        <v>79</v>
      </c>
      <c r="AD865" s="4" t="s">
        <v>80</v>
      </c>
      <c r="AE865" s="4" t="s">
        <v>48</v>
      </c>
      <c r="AF865" s="4" t="s">
        <v>41</v>
      </c>
      <c r="AG865" s="4" t="s">
        <v>1930</v>
      </c>
    </row>
    <row r="866" spans="1:33" ht="16.5" customHeight="1" x14ac:dyDescent="0.2">
      <c r="A866" s="2" t="s">
        <v>31</v>
      </c>
      <c r="B866" s="5" t="s">
        <v>54</v>
      </c>
      <c r="C866" s="5"/>
      <c r="D866" s="5"/>
      <c r="E866" s="6" t="s">
        <v>33</v>
      </c>
      <c r="F866" s="6"/>
      <c r="G866" s="7" t="s">
        <v>1925</v>
      </c>
      <c r="H866" s="7"/>
      <c r="I866" s="7"/>
      <c r="J866" s="3" t="s">
        <v>35</v>
      </c>
      <c r="K866" s="4" t="s">
        <v>92</v>
      </c>
      <c r="L866" s="4" t="s">
        <v>37</v>
      </c>
      <c r="N866" s="7" t="s">
        <v>1939</v>
      </c>
      <c r="O866" s="7"/>
      <c r="P866" s="7" t="s">
        <v>1940</v>
      </c>
      <c r="Q866" s="7"/>
      <c r="R866" s="7"/>
      <c r="S866" s="3" t="s">
        <v>40</v>
      </c>
      <c r="T866" s="7" t="s">
        <v>41</v>
      </c>
      <c r="U866" s="7"/>
      <c r="V866" s="4" t="s">
        <v>42</v>
      </c>
      <c r="W866" s="4" t="s">
        <v>1460</v>
      </c>
      <c r="X866" s="4" t="s">
        <v>1461</v>
      </c>
      <c r="Y866" s="7" t="s">
        <v>78</v>
      </c>
      <c r="Z866" s="7"/>
      <c r="AA866" s="4" t="s">
        <v>46</v>
      </c>
      <c r="AB866" s="4" t="s">
        <v>47</v>
      </c>
      <c r="AC866" s="4" t="s">
        <v>136</v>
      </c>
      <c r="AD866" s="4" t="s">
        <v>137</v>
      </c>
      <c r="AE866" s="4" t="s">
        <v>48</v>
      </c>
      <c r="AF866" s="4" t="s">
        <v>41</v>
      </c>
      <c r="AG866" s="4" t="s">
        <v>1930</v>
      </c>
    </row>
    <row r="867" spans="1:33" ht="16.5" customHeight="1" x14ac:dyDescent="0.2">
      <c r="A867" s="2" t="s">
        <v>31</v>
      </c>
      <c r="B867" s="5" t="s">
        <v>54</v>
      </c>
      <c r="C867" s="5"/>
      <c r="D867" s="5"/>
      <c r="E867" s="6" t="s">
        <v>33</v>
      </c>
      <c r="F867" s="6"/>
      <c r="G867" s="7" t="s">
        <v>1925</v>
      </c>
      <c r="H867" s="7"/>
      <c r="I867" s="7"/>
      <c r="J867" s="3" t="s">
        <v>35</v>
      </c>
      <c r="K867" s="4" t="s">
        <v>118</v>
      </c>
      <c r="L867" s="4" t="s">
        <v>37</v>
      </c>
      <c r="N867" s="7" t="s">
        <v>1941</v>
      </c>
      <c r="O867" s="7"/>
      <c r="P867" s="7" t="s">
        <v>1942</v>
      </c>
      <c r="Q867" s="7"/>
      <c r="R867" s="7"/>
      <c r="S867" s="3" t="s">
        <v>40</v>
      </c>
      <c r="T867" s="7" t="s">
        <v>41</v>
      </c>
      <c r="U867" s="7"/>
      <c r="V867" s="4" t="s">
        <v>42</v>
      </c>
      <c r="W867" s="4" t="s">
        <v>43</v>
      </c>
      <c r="X867" s="4" t="s">
        <v>44</v>
      </c>
      <c r="Y867" s="7" t="s">
        <v>60</v>
      </c>
      <c r="Z867" s="7"/>
      <c r="AA867" s="4" t="s">
        <v>46</v>
      </c>
      <c r="AB867" s="4" t="s">
        <v>47</v>
      </c>
      <c r="AC867" s="4" t="s">
        <v>79</v>
      </c>
      <c r="AD867" s="4" t="s">
        <v>80</v>
      </c>
      <c r="AE867" s="4" t="s">
        <v>48</v>
      </c>
      <c r="AF867" s="4" t="s">
        <v>41</v>
      </c>
      <c r="AG867" s="4" t="s">
        <v>1930</v>
      </c>
    </row>
    <row r="868" spans="1:33" ht="16.5" customHeight="1" x14ac:dyDescent="0.2">
      <c r="A868" s="2" t="s">
        <v>31</v>
      </c>
      <c r="B868" s="5" t="s">
        <v>108</v>
      </c>
      <c r="C868" s="5"/>
      <c r="D868" s="5"/>
      <c r="E868" s="6" t="s">
        <v>33</v>
      </c>
      <c r="F868" s="6"/>
      <c r="G868" s="7" t="s">
        <v>1925</v>
      </c>
      <c r="H868" s="7"/>
      <c r="I868" s="7"/>
      <c r="J868" s="3" t="s">
        <v>109</v>
      </c>
      <c r="K868" s="4" t="s">
        <v>423</v>
      </c>
      <c r="N868" s="7" t="s">
        <v>1941</v>
      </c>
      <c r="O868" s="7"/>
      <c r="P868" s="7" t="s">
        <v>1942</v>
      </c>
      <c r="Q868" s="7"/>
      <c r="R868" s="7"/>
      <c r="S868" s="3" t="s">
        <v>40</v>
      </c>
      <c r="T868" s="7" t="s">
        <v>424</v>
      </c>
      <c r="U868" s="7"/>
      <c r="V868" s="4" t="s">
        <v>42</v>
      </c>
      <c r="W868" s="4" t="s">
        <v>58</v>
      </c>
      <c r="X868" s="4" t="s">
        <v>1943</v>
      </c>
      <c r="Y868" s="7" t="s">
        <v>114</v>
      </c>
      <c r="Z868" s="7"/>
      <c r="AA868" s="4" t="s">
        <v>46</v>
      </c>
      <c r="AB868" s="4" t="s">
        <v>115</v>
      </c>
      <c r="AC868" s="4" t="s">
        <v>243</v>
      </c>
      <c r="AD868" s="4" t="s">
        <v>425</v>
      </c>
      <c r="AE868" s="4" t="s">
        <v>48</v>
      </c>
      <c r="AF868" s="4" t="s">
        <v>41</v>
      </c>
      <c r="AG868" s="4" t="s">
        <v>1930</v>
      </c>
    </row>
    <row r="869" spans="1:33" ht="16.5" customHeight="1" x14ac:dyDescent="0.2">
      <c r="A869" s="2" t="s">
        <v>31</v>
      </c>
      <c r="B869" s="5" t="s">
        <v>54</v>
      </c>
      <c r="C869" s="5"/>
      <c r="D869" s="5"/>
      <c r="E869" s="6" t="s">
        <v>33</v>
      </c>
      <c r="F869" s="6"/>
      <c r="G869" s="7" t="s">
        <v>1925</v>
      </c>
      <c r="H869" s="7"/>
      <c r="I869" s="7"/>
      <c r="J869" s="3" t="s">
        <v>35</v>
      </c>
      <c r="K869" s="4" t="s">
        <v>55</v>
      </c>
      <c r="L869" s="4" t="s">
        <v>37</v>
      </c>
      <c r="N869" s="7" t="s">
        <v>1944</v>
      </c>
      <c r="O869" s="7"/>
      <c r="P869" s="7" t="s">
        <v>1945</v>
      </c>
      <c r="Q869" s="7"/>
      <c r="R869" s="7"/>
      <c r="S869" s="3" t="s">
        <v>40</v>
      </c>
      <c r="T869" s="7" t="s">
        <v>41</v>
      </c>
      <c r="U869" s="7"/>
      <c r="V869" s="4" t="s">
        <v>42</v>
      </c>
      <c r="W869" s="4" t="s">
        <v>983</v>
      </c>
      <c r="X869" s="4" t="s">
        <v>537</v>
      </c>
      <c r="Y869" s="7" t="s">
        <v>60</v>
      </c>
      <c r="Z869" s="7"/>
      <c r="AA869" s="4" t="s">
        <v>46</v>
      </c>
      <c r="AB869" s="4" t="s">
        <v>47</v>
      </c>
      <c r="AC869" s="4" t="s">
        <v>79</v>
      </c>
      <c r="AD869" s="4" t="s">
        <v>80</v>
      </c>
      <c r="AE869" s="4" t="s">
        <v>48</v>
      </c>
      <c r="AF869" s="4" t="s">
        <v>41</v>
      </c>
      <c r="AG869" s="4" t="s">
        <v>1930</v>
      </c>
    </row>
    <row r="870" spans="1:33" ht="16.5" customHeight="1" x14ac:dyDescent="0.2">
      <c r="A870" s="2" t="s">
        <v>31</v>
      </c>
      <c r="B870" s="5" t="s">
        <v>54</v>
      </c>
      <c r="C870" s="5"/>
      <c r="D870" s="5"/>
      <c r="E870" s="6" t="s">
        <v>33</v>
      </c>
      <c r="F870" s="6"/>
      <c r="G870" s="7" t="s">
        <v>1925</v>
      </c>
      <c r="H870" s="7"/>
      <c r="I870" s="7"/>
      <c r="J870" s="3" t="s">
        <v>35</v>
      </c>
      <c r="K870" s="4" t="s">
        <v>73</v>
      </c>
      <c r="L870" s="4" t="s">
        <v>37</v>
      </c>
      <c r="N870" s="7" t="s">
        <v>1946</v>
      </c>
      <c r="O870" s="7"/>
      <c r="P870" s="7" t="s">
        <v>1947</v>
      </c>
      <c r="Q870" s="7"/>
      <c r="R870" s="7"/>
      <c r="S870" s="3" t="s">
        <v>40</v>
      </c>
      <c r="T870" s="7" t="s">
        <v>41</v>
      </c>
      <c r="U870" s="7"/>
      <c r="V870" s="4" t="s">
        <v>42</v>
      </c>
      <c r="W870" s="4" t="s">
        <v>234</v>
      </c>
      <c r="X870" s="4" t="s">
        <v>235</v>
      </c>
      <c r="Y870" s="7" t="s">
        <v>78</v>
      </c>
      <c r="Z870" s="7"/>
      <c r="AA870" s="4" t="s">
        <v>46</v>
      </c>
      <c r="AB870" s="4" t="s">
        <v>47</v>
      </c>
      <c r="AC870" s="4" t="s">
        <v>136</v>
      </c>
      <c r="AD870" s="4" t="s">
        <v>137</v>
      </c>
      <c r="AE870" s="4" t="s">
        <v>48</v>
      </c>
      <c r="AF870" s="4" t="s">
        <v>41</v>
      </c>
      <c r="AG870" s="4" t="s">
        <v>1930</v>
      </c>
    </row>
    <row r="871" spans="1:33" ht="16.5" customHeight="1" x14ac:dyDescent="0.2">
      <c r="A871" s="2" t="s">
        <v>31</v>
      </c>
      <c r="B871" s="5" t="s">
        <v>54</v>
      </c>
      <c r="C871" s="5"/>
      <c r="D871" s="5"/>
      <c r="E871" s="6" t="s">
        <v>33</v>
      </c>
      <c r="F871" s="6"/>
      <c r="G871" s="7" t="s">
        <v>1925</v>
      </c>
      <c r="H871" s="7"/>
      <c r="I871" s="7"/>
      <c r="J871" s="3" t="s">
        <v>35</v>
      </c>
      <c r="K871" s="4" t="s">
        <v>55</v>
      </c>
      <c r="L871" s="4" t="s">
        <v>37</v>
      </c>
      <c r="N871" s="7" t="s">
        <v>1948</v>
      </c>
      <c r="O871" s="7"/>
      <c r="P871" s="7" t="s">
        <v>1949</v>
      </c>
      <c r="Q871" s="7"/>
      <c r="R871" s="7"/>
      <c r="S871" s="3" t="s">
        <v>40</v>
      </c>
      <c r="T871" s="7" t="s">
        <v>41</v>
      </c>
      <c r="U871" s="7"/>
      <c r="V871" s="4" t="s">
        <v>42</v>
      </c>
      <c r="W871" s="4" t="s">
        <v>542</v>
      </c>
      <c r="X871" s="4" t="s">
        <v>543</v>
      </c>
      <c r="Y871" s="7" t="s">
        <v>60</v>
      </c>
      <c r="Z871" s="7"/>
      <c r="AA871" s="4" t="s">
        <v>46</v>
      </c>
      <c r="AB871" s="4" t="s">
        <v>47</v>
      </c>
      <c r="AC871" s="4" t="s">
        <v>79</v>
      </c>
      <c r="AD871" s="4" t="s">
        <v>80</v>
      </c>
      <c r="AE871" s="4" t="s">
        <v>48</v>
      </c>
      <c r="AF871" s="4" t="s">
        <v>41</v>
      </c>
      <c r="AG871" s="4" t="s">
        <v>1930</v>
      </c>
    </row>
    <row r="872" spans="1:33" ht="16.5" customHeight="1" x14ac:dyDescent="0.2">
      <c r="A872" s="2" t="s">
        <v>31</v>
      </c>
      <c r="B872" s="5" t="s">
        <v>54</v>
      </c>
      <c r="C872" s="5"/>
      <c r="D872" s="5"/>
      <c r="E872" s="6" t="s">
        <v>33</v>
      </c>
      <c r="F872" s="6"/>
      <c r="G872" s="7" t="s">
        <v>1925</v>
      </c>
      <c r="H872" s="7"/>
      <c r="I872" s="7"/>
      <c r="J872" s="3" t="s">
        <v>35</v>
      </c>
      <c r="K872" s="4" t="s">
        <v>316</v>
      </c>
      <c r="L872" s="4" t="s">
        <v>37</v>
      </c>
      <c r="N872" s="7" t="s">
        <v>1950</v>
      </c>
      <c r="O872" s="7"/>
      <c r="P872" s="7" t="s">
        <v>1951</v>
      </c>
      <c r="Q872" s="7"/>
      <c r="R872" s="7"/>
      <c r="S872" s="3" t="s">
        <v>40</v>
      </c>
      <c r="T872" s="7" t="s">
        <v>41</v>
      </c>
      <c r="U872" s="7"/>
      <c r="V872" s="4" t="s">
        <v>42</v>
      </c>
      <c r="W872" s="4" t="s">
        <v>158</v>
      </c>
      <c r="X872" s="4" t="s">
        <v>159</v>
      </c>
      <c r="Y872" s="7" t="s">
        <v>60</v>
      </c>
      <c r="Z872" s="7"/>
      <c r="AA872" s="4" t="s">
        <v>46</v>
      </c>
      <c r="AB872" s="4" t="s">
        <v>47</v>
      </c>
      <c r="AC872" s="4" t="s">
        <v>79</v>
      </c>
      <c r="AD872" s="4" t="s">
        <v>80</v>
      </c>
      <c r="AE872" s="4" t="s">
        <v>48</v>
      </c>
      <c r="AF872" s="4" t="s">
        <v>41</v>
      </c>
      <c r="AG872" s="4" t="s">
        <v>1930</v>
      </c>
    </row>
    <row r="873" spans="1:33" ht="16.5" customHeight="1" x14ac:dyDescent="0.2">
      <c r="A873" s="2" t="s">
        <v>31</v>
      </c>
      <c r="B873" s="5" t="s">
        <v>54</v>
      </c>
      <c r="C873" s="5"/>
      <c r="D873" s="5"/>
      <c r="E873" s="6" t="s">
        <v>33</v>
      </c>
      <c r="F873" s="6"/>
      <c r="G873" s="7" t="s">
        <v>1925</v>
      </c>
      <c r="H873" s="7"/>
      <c r="I873" s="7"/>
      <c r="J873" s="3" t="s">
        <v>35</v>
      </c>
      <c r="K873" s="4" t="s">
        <v>414</v>
      </c>
      <c r="L873" s="4" t="s">
        <v>37</v>
      </c>
      <c r="N873" s="7" t="s">
        <v>1952</v>
      </c>
      <c r="O873" s="7"/>
      <c r="P873" s="7" t="s">
        <v>1953</v>
      </c>
      <c r="Q873" s="7"/>
      <c r="R873" s="7"/>
      <c r="S873" s="3" t="s">
        <v>40</v>
      </c>
      <c r="T873" s="7" t="s">
        <v>41</v>
      </c>
      <c r="U873" s="7"/>
      <c r="V873" s="4" t="s">
        <v>42</v>
      </c>
      <c r="W873" s="4" t="s">
        <v>58</v>
      </c>
      <c r="X873" s="4" t="s">
        <v>59</v>
      </c>
      <c r="Y873" s="7" t="s">
        <v>197</v>
      </c>
      <c r="Z873" s="7"/>
      <c r="AA873" s="4" t="s">
        <v>46</v>
      </c>
      <c r="AB873" s="4" t="s">
        <v>47</v>
      </c>
      <c r="AC873" s="4" t="s">
        <v>136</v>
      </c>
      <c r="AD873" s="4" t="s">
        <v>137</v>
      </c>
      <c r="AE873" s="4" t="s">
        <v>48</v>
      </c>
      <c r="AF873" s="4" t="s">
        <v>41</v>
      </c>
      <c r="AG873" s="4" t="s">
        <v>1930</v>
      </c>
    </row>
    <row r="874" spans="1:33" ht="16.5" customHeight="1" x14ac:dyDescent="0.2">
      <c r="A874" s="2" t="s">
        <v>31</v>
      </c>
      <c r="B874" s="5" t="s">
        <v>54</v>
      </c>
      <c r="C874" s="5"/>
      <c r="D874" s="5"/>
      <c r="E874" s="6" t="s">
        <v>33</v>
      </c>
      <c r="F874" s="6"/>
      <c r="G874" s="7" t="s">
        <v>1925</v>
      </c>
      <c r="H874" s="7"/>
      <c r="I874" s="7"/>
      <c r="J874" s="3" t="s">
        <v>35</v>
      </c>
      <c r="K874" s="4" t="s">
        <v>143</v>
      </c>
      <c r="L874" s="4" t="s">
        <v>37</v>
      </c>
      <c r="N874" s="7" t="s">
        <v>1954</v>
      </c>
      <c r="O874" s="7"/>
      <c r="P874" s="7" t="s">
        <v>1955</v>
      </c>
      <c r="Q874" s="7"/>
      <c r="R874" s="7"/>
      <c r="S874" s="3" t="s">
        <v>40</v>
      </c>
      <c r="T874" s="7" t="s">
        <v>41</v>
      </c>
      <c r="U874" s="7"/>
      <c r="V874" s="4" t="s">
        <v>42</v>
      </c>
      <c r="W874" s="4" t="s">
        <v>527</v>
      </c>
      <c r="X874" s="4" t="s">
        <v>528</v>
      </c>
      <c r="Y874" s="7" t="s">
        <v>135</v>
      </c>
      <c r="Z874" s="7"/>
      <c r="AA874" s="4" t="s">
        <v>46</v>
      </c>
      <c r="AB874" s="4" t="s">
        <v>47</v>
      </c>
      <c r="AC874" s="4" t="s">
        <v>136</v>
      </c>
      <c r="AD874" s="4" t="s">
        <v>137</v>
      </c>
      <c r="AE874" s="4" t="s">
        <v>48</v>
      </c>
      <c r="AF874" s="4" t="s">
        <v>41</v>
      </c>
      <c r="AG874" s="4" t="s">
        <v>1930</v>
      </c>
    </row>
    <row r="875" spans="1:33" ht="16.5" customHeight="1" x14ac:dyDescent="0.2">
      <c r="A875" s="2" t="s">
        <v>31</v>
      </c>
      <c r="B875" s="5" t="s">
        <v>54</v>
      </c>
      <c r="C875" s="5"/>
      <c r="D875" s="5"/>
      <c r="E875" s="6" t="s">
        <v>33</v>
      </c>
      <c r="F875" s="6"/>
      <c r="G875" s="7" t="s">
        <v>1925</v>
      </c>
      <c r="H875" s="7"/>
      <c r="I875" s="7"/>
      <c r="J875" s="3" t="s">
        <v>35</v>
      </c>
      <c r="K875" s="4" t="s">
        <v>92</v>
      </c>
      <c r="L875" s="4" t="s">
        <v>37</v>
      </c>
      <c r="N875" s="7" t="s">
        <v>1956</v>
      </c>
      <c r="O875" s="7"/>
      <c r="P875" s="7" t="s">
        <v>1957</v>
      </c>
      <c r="Q875" s="7"/>
      <c r="R875" s="7"/>
      <c r="S875" s="3" t="s">
        <v>40</v>
      </c>
      <c r="T875" s="7" t="s">
        <v>41</v>
      </c>
      <c r="U875" s="7"/>
      <c r="V875" s="4" t="s">
        <v>42</v>
      </c>
      <c r="W875" s="4" t="s">
        <v>58</v>
      </c>
      <c r="X875" s="4" t="s">
        <v>59</v>
      </c>
      <c r="Y875" s="7" t="s">
        <v>78</v>
      </c>
      <c r="Z875" s="7"/>
      <c r="AA875" s="4" t="s">
        <v>46</v>
      </c>
      <c r="AB875" s="4" t="s">
        <v>47</v>
      </c>
      <c r="AC875" s="4" t="s">
        <v>79</v>
      </c>
      <c r="AD875" s="4" t="s">
        <v>80</v>
      </c>
      <c r="AE875" s="4" t="s">
        <v>48</v>
      </c>
      <c r="AF875" s="4" t="s">
        <v>41</v>
      </c>
      <c r="AG875" s="4" t="s">
        <v>1930</v>
      </c>
    </row>
    <row r="876" spans="1:33" ht="16.5" customHeight="1" x14ac:dyDescent="0.2">
      <c r="A876" s="2" t="s">
        <v>31</v>
      </c>
      <c r="B876" s="5" t="s">
        <v>54</v>
      </c>
      <c r="C876" s="5"/>
      <c r="D876" s="5"/>
      <c r="E876" s="6" t="s">
        <v>33</v>
      </c>
      <c r="F876" s="6"/>
      <c r="G876" s="7" t="s">
        <v>1925</v>
      </c>
      <c r="H876" s="7"/>
      <c r="I876" s="7"/>
      <c r="J876" s="3" t="s">
        <v>35</v>
      </c>
      <c r="K876" s="4" t="s">
        <v>55</v>
      </c>
      <c r="L876" s="4" t="s">
        <v>37</v>
      </c>
      <c r="N876" s="7" t="s">
        <v>1958</v>
      </c>
      <c r="O876" s="7"/>
      <c r="P876" s="7" t="s">
        <v>1959</v>
      </c>
      <c r="Q876" s="7"/>
      <c r="R876" s="7"/>
      <c r="S876" s="3" t="s">
        <v>40</v>
      </c>
      <c r="T876" s="7" t="s">
        <v>41</v>
      </c>
      <c r="U876" s="7"/>
      <c r="V876" s="4" t="s">
        <v>42</v>
      </c>
      <c r="W876" s="4" t="s">
        <v>229</v>
      </c>
      <c r="X876" s="4" t="s">
        <v>446</v>
      </c>
      <c r="Y876" s="7" t="s">
        <v>60</v>
      </c>
      <c r="Z876" s="7"/>
      <c r="AA876" s="4" t="s">
        <v>46</v>
      </c>
      <c r="AB876" s="4" t="s">
        <v>47</v>
      </c>
      <c r="AC876" s="4" t="s">
        <v>79</v>
      </c>
      <c r="AD876" s="4" t="s">
        <v>80</v>
      </c>
      <c r="AE876" s="4" t="s">
        <v>48</v>
      </c>
      <c r="AF876" s="4" t="s">
        <v>41</v>
      </c>
      <c r="AG876" s="4" t="s">
        <v>1930</v>
      </c>
    </row>
    <row r="877" spans="1:33" ht="16.5" customHeight="1" x14ac:dyDescent="0.2">
      <c r="A877" s="2" t="s">
        <v>31</v>
      </c>
      <c r="B877" s="5" t="s">
        <v>54</v>
      </c>
      <c r="C877" s="5"/>
      <c r="D877" s="5"/>
      <c r="E877" s="6" t="s">
        <v>33</v>
      </c>
      <c r="F877" s="6"/>
      <c r="G877" s="7" t="s">
        <v>1925</v>
      </c>
      <c r="H877" s="7"/>
      <c r="I877" s="7"/>
      <c r="J877" s="3" t="s">
        <v>35</v>
      </c>
      <c r="K877" s="4" t="s">
        <v>55</v>
      </c>
      <c r="L877" s="4" t="s">
        <v>93</v>
      </c>
      <c r="N877" s="7" t="s">
        <v>1960</v>
      </c>
      <c r="O877" s="7"/>
      <c r="P877" s="7" t="s">
        <v>1961</v>
      </c>
      <c r="Q877" s="7"/>
      <c r="R877" s="7"/>
      <c r="S877" s="3" t="s">
        <v>40</v>
      </c>
      <c r="T877" s="7" t="s">
        <v>41</v>
      </c>
      <c r="U877" s="7"/>
      <c r="V877" s="4" t="s">
        <v>42</v>
      </c>
      <c r="W877" s="4" t="s">
        <v>43</v>
      </c>
      <c r="X877" s="4" t="s">
        <v>44</v>
      </c>
      <c r="Y877" s="7" t="s">
        <v>60</v>
      </c>
      <c r="Z877" s="7"/>
      <c r="AA877" s="4" t="s">
        <v>46</v>
      </c>
      <c r="AB877" s="4" t="s">
        <v>47</v>
      </c>
      <c r="AC877" s="4" t="s">
        <v>79</v>
      </c>
      <c r="AD877" s="4" t="s">
        <v>96</v>
      </c>
      <c r="AE877" s="4" t="s">
        <v>48</v>
      </c>
      <c r="AF877" s="4" t="s">
        <v>41</v>
      </c>
      <c r="AG877" s="4" t="s">
        <v>1930</v>
      </c>
    </row>
    <row r="878" spans="1:33" ht="16.5" customHeight="1" x14ac:dyDescent="0.2">
      <c r="A878" s="2" t="s">
        <v>31</v>
      </c>
      <c r="B878" s="5" t="s">
        <v>54</v>
      </c>
      <c r="C878" s="5"/>
      <c r="D878" s="5"/>
      <c r="E878" s="6" t="s">
        <v>33</v>
      </c>
      <c r="F878" s="6"/>
      <c r="G878" s="7" t="s">
        <v>1925</v>
      </c>
      <c r="H878" s="7"/>
      <c r="I878" s="7"/>
      <c r="J878" s="3" t="s">
        <v>35</v>
      </c>
      <c r="K878" s="4" t="s">
        <v>130</v>
      </c>
      <c r="L878" s="4" t="s">
        <v>93</v>
      </c>
      <c r="N878" s="7" t="s">
        <v>1962</v>
      </c>
      <c r="O878" s="7"/>
      <c r="P878" s="7" t="s">
        <v>1963</v>
      </c>
      <c r="Q878" s="7"/>
      <c r="R878" s="7"/>
      <c r="S878" s="3" t="s">
        <v>40</v>
      </c>
      <c r="T878" s="7" t="s">
        <v>41</v>
      </c>
      <c r="U878" s="7"/>
      <c r="V878" s="4" t="s">
        <v>42</v>
      </c>
      <c r="W878" s="4" t="s">
        <v>651</v>
      </c>
      <c r="X878" s="4" t="s">
        <v>766</v>
      </c>
      <c r="Y878" s="7" t="s">
        <v>135</v>
      </c>
      <c r="Z878" s="7"/>
      <c r="AA878" s="4" t="s">
        <v>46</v>
      </c>
      <c r="AB878" s="4" t="s">
        <v>47</v>
      </c>
      <c r="AC878" s="4" t="s">
        <v>136</v>
      </c>
      <c r="AD878" s="4" t="s">
        <v>148</v>
      </c>
      <c r="AE878" s="4" t="s">
        <v>48</v>
      </c>
      <c r="AF878" s="4" t="s">
        <v>41</v>
      </c>
      <c r="AG878" s="4" t="s">
        <v>1930</v>
      </c>
    </row>
    <row r="879" spans="1:33" ht="16.5" customHeight="1" x14ac:dyDescent="0.2">
      <c r="A879" s="2" t="s">
        <v>31</v>
      </c>
      <c r="B879" s="5" t="s">
        <v>54</v>
      </c>
      <c r="C879" s="5"/>
      <c r="D879" s="5"/>
      <c r="E879" s="6" t="s">
        <v>33</v>
      </c>
      <c r="F879" s="6"/>
      <c r="G879" s="7" t="s">
        <v>1925</v>
      </c>
      <c r="H879" s="7"/>
      <c r="I879" s="7"/>
      <c r="J879" s="3" t="s">
        <v>35</v>
      </c>
      <c r="K879" s="4" t="s">
        <v>248</v>
      </c>
      <c r="L879" s="4" t="s">
        <v>37</v>
      </c>
      <c r="N879" s="7" t="s">
        <v>1964</v>
      </c>
      <c r="O879" s="7"/>
      <c r="P879" s="7" t="s">
        <v>1965</v>
      </c>
      <c r="Q879" s="7"/>
      <c r="R879" s="7"/>
      <c r="S879" s="3" t="s">
        <v>40</v>
      </c>
      <c r="T879" s="7" t="s">
        <v>41</v>
      </c>
      <c r="U879" s="7"/>
      <c r="V879" s="4" t="s">
        <v>42</v>
      </c>
      <c r="W879" s="4" t="s">
        <v>51</v>
      </c>
      <c r="X879" s="4" t="s">
        <v>128</v>
      </c>
      <c r="Y879" s="7" t="s">
        <v>60</v>
      </c>
      <c r="Z879" s="7"/>
      <c r="AA879" s="4" t="s">
        <v>46</v>
      </c>
      <c r="AB879" s="4" t="s">
        <v>47</v>
      </c>
      <c r="AC879" s="4" t="s">
        <v>61</v>
      </c>
      <c r="AD879" s="4" t="s">
        <v>62</v>
      </c>
      <c r="AE879" s="4" t="s">
        <v>48</v>
      </c>
      <c r="AF879" s="4" t="s">
        <v>41</v>
      </c>
      <c r="AG879" s="4" t="s">
        <v>1930</v>
      </c>
    </row>
    <row r="880" spans="1:33" ht="16.5" customHeight="1" x14ac:dyDescent="0.2">
      <c r="A880" s="2" t="s">
        <v>31</v>
      </c>
      <c r="B880" s="5" t="s">
        <v>54</v>
      </c>
      <c r="C880" s="5"/>
      <c r="D880" s="5"/>
      <c r="E880" s="6" t="s">
        <v>33</v>
      </c>
      <c r="F880" s="6"/>
      <c r="G880" s="7" t="s">
        <v>1925</v>
      </c>
      <c r="H880" s="7"/>
      <c r="I880" s="7"/>
      <c r="J880" s="3" t="s">
        <v>35</v>
      </c>
      <c r="K880" s="4" t="s">
        <v>97</v>
      </c>
      <c r="L880" s="4" t="s">
        <v>37</v>
      </c>
      <c r="N880" s="7" t="s">
        <v>1966</v>
      </c>
      <c r="O880" s="7"/>
      <c r="P880" s="7" t="s">
        <v>1967</v>
      </c>
      <c r="Q880" s="7"/>
      <c r="R880" s="7"/>
      <c r="S880" s="3" t="s">
        <v>40</v>
      </c>
      <c r="T880" s="7" t="s">
        <v>41</v>
      </c>
      <c r="U880" s="7"/>
      <c r="V880" s="4" t="s">
        <v>42</v>
      </c>
      <c r="W880" s="4" t="s">
        <v>278</v>
      </c>
      <c r="X880" s="4" t="s">
        <v>279</v>
      </c>
      <c r="Y880" s="7" t="s">
        <v>78</v>
      </c>
      <c r="Z880" s="7"/>
      <c r="AA880" s="4" t="s">
        <v>46</v>
      </c>
      <c r="AB880" s="4" t="s">
        <v>47</v>
      </c>
      <c r="AC880" s="4" t="s">
        <v>136</v>
      </c>
      <c r="AD880" s="4" t="s">
        <v>137</v>
      </c>
      <c r="AE880" s="4" t="s">
        <v>48</v>
      </c>
      <c r="AF880" s="4" t="s">
        <v>41</v>
      </c>
      <c r="AG880" s="4" t="s">
        <v>1930</v>
      </c>
    </row>
    <row r="881" spans="1:33" ht="16.5" customHeight="1" x14ac:dyDescent="0.2">
      <c r="A881" s="2" t="s">
        <v>31</v>
      </c>
      <c r="B881" s="5" t="s">
        <v>54</v>
      </c>
      <c r="C881" s="5"/>
      <c r="D881" s="5"/>
      <c r="E881" s="6" t="s">
        <v>33</v>
      </c>
      <c r="F881" s="6"/>
      <c r="G881" s="7" t="s">
        <v>1925</v>
      </c>
      <c r="H881" s="7"/>
      <c r="I881" s="7"/>
      <c r="J881" s="3" t="s">
        <v>35</v>
      </c>
      <c r="K881" s="4" t="s">
        <v>143</v>
      </c>
      <c r="L881" s="4" t="s">
        <v>443</v>
      </c>
      <c r="N881" s="7" t="s">
        <v>1968</v>
      </c>
      <c r="O881" s="7"/>
      <c r="P881" s="7" t="s">
        <v>1969</v>
      </c>
      <c r="Q881" s="7"/>
      <c r="R881" s="7"/>
      <c r="S881" s="3" t="s">
        <v>40</v>
      </c>
      <c r="T881" s="7" t="s">
        <v>41</v>
      </c>
      <c r="U881" s="7"/>
      <c r="V881" s="4" t="s">
        <v>42</v>
      </c>
      <c r="W881" s="4" t="s">
        <v>200</v>
      </c>
      <c r="X881" s="4" t="s">
        <v>201</v>
      </c>
      <c r="Y881" s="7" t="s">
        <v>135</v>
      </c>
      <c r="Z881" s="7"/>
      <c r="AA881" s="4" t="s">
        <v>46</v>
      </c>
      <c r="AB881" s="4" t="s">
        <v>47</v>
      </c>
      <c r="AC881" s="4" t="s">
        <v>136</v>
      </c>
      <c r="AD881" s="4" t="s">
        <v>464</v>
      </c>
      <c r="AE881" s="4" t="s">
        <v>48</v>
      </c>
      <c r="AF881" s="4" t="s">
        <v>41</v>
      </c>
      <c r="AG881" s="4" t="s">
        <v>1930</v>
      </c>
    </row>
    <row r="882" spans="1:33" ht="16.5" customHeight="1" x14ac:dyDescent="0.2">
      <c r="A882" s="2" t="s">
        <v>31</v>
      </c>
      <c r="B882" s="5" t="s">
        <v>54</v>
      </c>
      <c r="C882" s="5"/>
      <c r="D882" s="5"/>
      <c r="E882" s="6" t="s">
        <v>33</v>
      </c>
      <c r="F882" s="6"/>
      <c r="G882" s="7" t="s">
        <v>1925</v>
      </c>
      <c r="H882" s="7"/>
      <c r="I882" s="7"/>
      <c r="J882" s="3" t="s">
        <v>35</v>
      </c>
      <c r="K882" s="4" t="s">
        <v>97</v>
      </c>
      <c r="L882" s="4" t="s">
        <v>280</v>
      </c>
      <c r="N882" s="7" t="s">
        <v>1970</v>
      </c>
      <c r="O882" s="7"/>
      <c r="P882" s="7" t="s">
        <v>1971</v>
      </c>
      <c r="Q882" s="7"/>
      <c r="R882" s="7"/>
      <c r="S882" s="3" t="s">
        <v>40</v>
      </c>
      <c r="T882" s="7" t="s">
        <v>41</v>
      </c>
      <c r="U882" s="7"/>
      <c r="V882" s="4" t="s">
        <v>42</v>
      </c>
      <c r="W882" s="4" t="s">
        <v>1972</v>
      </c>
      <c r="X882" s="4" t="s">
        <v>1973</v>
      </c>
      <c r="Y882" s="7" t="s">
        <v>78</v>
      </c>
      <c r="Z882" s="7"/>
      <c r="AA882" s="4" t="s">
        <v>46</v>
      </c>
      <c r="AB882" s="4" t="s">
        <v>47</v>
      </c>
      <c r="AC882" s="4" t="s">
        <v>136</v>
      </c>
      <c r="AD882" s="4" t="s">
        <v>324</v>
      </c>
      <c r="AE882" s="4" t="s">
        <v>48</v>
      </c>
      <c r="AF882" s="4" t="s">
        <v>41</v>
      </c>
      <c r="AG882" s="4" t="s">
        <v>1930</v>
      </c>
    </row>
    <row r="883" spans="1:33" ht="16.5" customHeight="1" x14ac:dyDescent="0.2">
      <c r="A883" s="2" t="s">
        <v>31</v>
      </c>
      <c r="B883" s="5" t="s">
        <v>108</v>
      </c>
      <c r="C883" s="5"/>
      <c r="D883" s="5"/>
      <c r="E883" s="6" t="s">
        <v>33</v>
      </c>
      <c r="F883" s="6"/>
      <c r="G883" s="7" t="s">
        <v>1925</v>
      </c>
      <c r="H883" s="7"/>
      <c r="I883" s="7"/>
      <c r="J883" s="3" t="s">
        <v>109</v>
      </c>
      <c r="K883" s="4" t="s">
        <v>505</v>
      </c>
      <c r="N883" s="7" t="s">
        <v>1970</v>
      </c>
      <c r="O883" s="7"/>
      <c r="P883" s="7" t="s">
        <v>1971</v>
      </c>
      <c r="Q883" s="7"/>
      <c r="R883" s="7"/>
      <c r="S883" s="3" t="s">
        <v>40</v>
      </c>
      <c r="T883" s="7" t="s">
        <v>1974</v>
      </c>
      <c r="U883" s="7"/>
      <c r="V883" s="4" t="s">
        <v>42</v>
      </c>
      <c r="W883" s="4" t="s">
        <v>58</v>
      </c>
      <c r="X883" s="4" t="s">
        <v>1973</v>
      </c>
      <c r="Y883" s="7" t="s">
        <v>114</v>
      </c>
      <c r="Z883" s="7"/>
      <c r="AA883" s="4" t="s">
        <v>46</v>
      </c>
      <c r="AB883" s="4" t="s">
        <v>115</v>
      </c>
      <c r="AC883" s="4" t="s">
        <v>243</v>
      </c>
      <c r="AD883" s="4" t="s">
        <v>1975</v>
      </c>
      <c r="AE883" s="4" t="s">
        <v>48</v>
      </c>
      <c r="AF883" s="4" t="s">
        <v>41</v>
      </c>
      <c r="AG883" s="4" t="s">
        <v>1930</v>
      </c>
    </row>
    <row r="884" spans="1:33" ht="16.5" customHeight="1" x14ac:dyDescent="0.2">
      <c r="A884" s="2" t="s">
        <v>31</v>
      </c>
      <c r="B884" s="5" t="s">
        <v>54</v>
      </c>
      <c r="C884" s="5"/>
      <c r="D884" s="5"/>
      <c r="E884" s="6" t="s">
        <v>33</v>
      </c>
      <c r="F884" s="6"/>
      <c r="G884" s="7" t="s">
        <v>1925</v>
      </c>
      <c r="H884" s="7"/>
      <c r="I884" s="7"/>
      <c r="J884" s="3" t="s">
        <v>35</v>
      </c>
      <c r="K884" s="4" t="s">
        <v>92</v>
      </c>
      <c r="L884" s="4" t="s">
        <v>93</v>
      </c>
      <c r="N884" s="7" t="s">
        <v>1976</v>
      </c>
      <c r="O884" s="7"/>
      <c r="P884" s="7" t="s">
        <v>1977</v>
      </c>
      <c r="Q884" s="7"/>
      <c r="R884" s="7"/>
      <c r="S884" s="3" t="s">
        <v>40</v>
      </c>
      <c r="T884" s="7" t="s">
        <v>41</v>
      </c>
      <c r="U884" s="7"/>
      <c r="V884" s="4" t="s">
        <v>42</v>
      </c>
      <c r="W884" s="4" t="s">
        <v>58</v>
      </c>
      <c r="X884" s="4" t="s">
        <v>59</v>
      </c>
      <c r="Y884" s="7" t="s">
        <v>78</v>
      </c>
      <c r="Z884" s="7"/>
      <c r="AA884" s="4" t="s">
        <v>46</v>
      </c>
      <c r="AB884" s="4" t="s">
        <v>47</v>
      </c>
      <c r="AC884" s="4" t="s">
        <v>79</v>
      </c>
      <c r="AD884" s="4" t="s">
        <v>96</v>
      </c>
      <c r="AE884" s="4" t="s">
        <v>48</v>
      </c>
      <c r="AF884" s="4" t="s">
        <v>41</v>
      </c>
      <c r="AG884" s="4" t="s">
        <v>1930</v>
      </c>
    </row>
    <row r="885" spans="1:33" ht="16.5" customHeight="1" x14ac:dyDescent="0.2">
      <c r="A885" s="2" t="s">
        <v>31</v>
      </c>
      <c r="B885" s="5" t="s">
        <v>54</v>
      </c>
      <c r="C885" s="5"/>
      <c r="D885" s="5"/>
      <c r="E885" s="6" t="s">
        <v>33</v>
      </c>
      <c r="F885" s="6"/>
      <c r="G885" s="7" t="s">
        <v>1925</v>
      </c>
      <c r="H885" s="7"/>
      <c r="I885" s="7"/>
      <c r="J885" s="3" t="s">
        <v>35</v>
      </c>
      <c r="K885" s="4" t="s">
        <v>92</v>
      </c>
      <c r="L885" s="4" t="s">
        <v>93</v>
      </c>
      <c r="N885" s="7" t="s">
        <v>1976</v>
      </c>
      <c r="O885" s="7"/>
      <c r="P885" s="7" t="s">
        <v>1977</v>
      </c>
      <c r="Q885" s="7"/>
      <c r="R885" s="7"/>
      <c r="S885" s="3" t="s">
        <v>40</v>
      </c>
      <c r="T885" s="7" t="s">
        <v>41</v>
      </c>
      <c r="U885" s="7"/>
      <c r="V885" s="4" t="s">
        <v>51</v>
      </c>
      <c r="W885" s="4" t="s">
        <v>58</v>
      </c>
      <c r="X885" s="4" t="s">
        <v>128</v>
      </c>
      <c r="Y885" s="7" t="s">
        <v>78</v>
      </c>
      <c r="Z885" s="7"/>
      <c r="AA885" s="4" t="s">
        <v>46</v>
      </c>
      <c r="AB885" s="4" t="s">
        <v>47</v>
      </c>
      <c r="AC885" s="4" t="s">
        <v>79</v>
      </c>
      <c r="AD885" s="4" t="s">
        <v>96</v>
      </c>
      <c r="AE885" s="4" t="s">
        <v>48</v>
      </c>
      <c r="AF885" s="4" t="s">
        <v>41</v>
      </c>
      <c r="AG885" s="4" t="s">
        <v>1930</v>
      </c>
    </row>
    <row r="886" spans="1:33" ht="16.5" customHeight="1" x14ac:dyDescent="0.2">
      <c r="A886" s="2" t="s">
        <v>31</v>
      </c>
      <c r="B886" s="5" t="s">
        <v>54</v>
      </c>
      <c r="C886" s="5"/>
      <c r="D886" s="5"/>
      <c r="E886" s="6" t="s">
        <v>33</v>
      </c>
      <c r="F886" s="6"/>
      <c r="G886" s="7" t="s">
        <v>1925</v>
      </c>
      <c r="H886" s="7"/>
      <c r="I886" s="7"/>
      <c r="J886" s="3" t="s">
        <v>35</v>
      </c>
      <c r="K886" s="4" t="s">
        <v>183</v>
      </c>
      <c r="L886" s="4" t="s">
        <v>37</v>
      </c>
      <c r="N886" s="7" t="s">
        <v>1978</v>
      </c>
      <c r="O886" s="7"/>
      <c r="P886" s="7" t="s">
        <v>1979</v>
      </c>
      <c r="Q886" s="7"/>
      <c r="R886" s="7"/>
      <c r="S886" s="3" t="s">
        <v>40</v>
      </c>
      <c r="T886" s="7" t="s">
        <v>41</v>
      </c>
      <c r="U886" s="7"/>
      <c r="V886" s="4" t="s">
        <v>42</v>
      </c>
      <c r="W886" s="4" t="s">
        <v>229</v>
      </c>
      <c r="X886" s="4" t="s">
        <v>446</v>
      </c>
      <c r="Y886" s="7" t="s">
        <v>60</v>
      </c>
      <c r="Z886" s="7"/>
      <c r="AA886" s="4" t="s">
        <v>46</v>
      </c>
      <c r="AB886" s="4" t="s">
        <v>47</v>
      </c>
      <c r="AC886" s="4" t="s">
        <v>79</v>
      </c>
      <c r="AD886" s="4" t="s">
        <v>80</v>
      </c>
      <c r="AE886" s="4" t="s">
        <v>48</v>
      </c>
      <c r="AF886" s="4" t="s">
        <v>41</v>
      </c>
      <c r="AG886" s="4" t="s">
        <v>1930</v>
      </c>
    </row>
    <row r="887" spans="1:33" ht="16.5" customHeight="1" x14ac:dyDescent="0.2">
      <c r="A887" s="2" t="s">
        <v>31</v>
      </c>
      <c r="B887" s="5" t="s">
        <v>54</v>
      </c>
      <c r="C887" s="5"/>
      <c r="D887" s="5"/>
      <c r="E887" s="6" t="s">
        <v>33</v>
      </c>
      <c r="F887" s="6"/>
      <c r="G887" s="7" t="s">
        <v>1925</v>
      </c>
      <c r="H887" s="7"/>
      <c r="I887" s="7"/>
      <c r="J887" s="3" t="s">
        <v>35</v>
      </c>
      <c r="K887" s="4" t="s">
        <v>149</v>
      </c>
      <c r="L887" s="4" t="s">
        <v>280</v>
      </c>
      <c r="N887" s="7" t="s">
        <v>1980</v>
      </c>
      <c r="O887" s="7"/>
      <c r="P887" s="7" t="s">
        <v>1981</v>
      </c>
      <c r="Q887" s="7"/>
      <c r="R887" s="7"/>
      <c r="S887" s="3" t="s">
        <v>40</v>
      </c>
      <c r="T887" s="7" t="s">
        <v>41</v>
      </c>
      <c r="U887" s="7"/>
      <c r="V887" s="4" t="s">
        <v>42</v>
      </c>
      <c r="W887" s="4" t="s">
        <v>229</v>
      </c>
      <c r="X887" s="4" t="s">
        <v>446</v>
      </c>
      <c r="Y887" s="7" t="s">
        <v>78</v>
      </c>
      <c r="Z887" s="7"/>
      <c r="AA887" s="4" t="s">
        <v>46</v>
      </c>
      <c r="AB887" s="4" t="s">
        <v>47</v>
      </c>
      <c r="AC887" s="4" t="s">
        <v>136</v>
      </c>
      <c r="AD887" s="4" t="s">
        <v>324</v>
      </c>
      <c r="AE887" s="4" t="s">
        <v>48</v>
      </c>
      <c r="AF887" s="4" t="s">
        <v>41</v>
      </c>
      <c r="AG887" s="4" t="s">
        <v>1930</v>
      </c>
    </row>
    <row r="888" spans="1:33" ht="16.5" customHeight="1" x14ac:dyDescent="0.2">
      <c r="A888" s="2" t="s">
        <v>31</v>
      </c>
      <c r="B888" s="5" t="s">
        <v>54</v>
      </c>
      <c r="C888" s="5"/>
      <c r="D888" s="5"/>
      <c r="E888" s="6" t="s">
        <v>33</v>
      </c>
      <c r="F888" s="6"/>
      <c r="G888" s="7" t="s">
        <v>1925</v>
      </c>
      <c r="H888" s="7"/>
      <c r="I888" s="7"/>
      <c r="J888" s="3" t="s">
        <v>35</v>
      </c>
      <c r="K888" s="4" t="s">
        <v>149</v>
      </c>
      <c r="L888" s="4" t="s">
        <v>93</v>
      </c>
      <c r="N888" s="7" t="s">
        <v>1982</v>
      </c>
      <c r="O888" s="7"/>
      <c r="P888" s="7" t="s">
        <v>1983</v>
      </c>
      <c r="Q888" s="7"/>
      <c r="R888" s="7"/>
      <c r="S888" s="3" t="s">
        <v>40</v>
      </c>
      <c r="T888" s="7" t="s">
        <v>41</v>
      </c>
      <c r="U888" s="7"/>
      <c r="V888" s="4" t="s">
        <v>42</v>
      </c>
      <c r="W888" s="4" t="s">
        <v>58</v>
      </c>
      <c r="X888" s="4" t="s">
        <v>59</v>
      </c>
      <c r="Y888" s="7" t="s">
        <v>78</v>
      </c>
      <c r="Z888" s="7"/>
      <c r="AA888" s="4" t="s">
        <v>46</v>
      </c>
      <c r="AB888" s="4" t="s">
        <v>47</v>
      </c>
      <c r="AC888" s="4" t="s">
        <v>72</v>
      </c>
      <c r="AD888" s="4" t="s">
        <v>41</v>
      </c>
      <c r="AE888" s="4" t="s">
        <v>48</v>
      </c>
      <c r="AF888" s="4" t="s">
        <v>41</v>
      </c>
      <c r="AG888" s="4" t="s">
        <v>1930</v>
      </c>
    </row>
    <row r="889" spans="1:33" ht="16.5" customHeight="1" x14ac:dyDescent="0.2">
      <c r="A889" s="2" t="s">
        <v>31</v>
      </c>
      <c r="B889" s="5" t="s">
        <v>54</v>
      </c>
      <c r="C889" s="5"/>
      <c r="D889" s="5"/>
      <c r="E889" s="6" t="s">
        <v>33</v>
      </c>
      <c r="F889" s="6"/>
      <c r="G889" s="7" t="s">
        <v>1925</v>
      </c>
      <c r="H889" s="7"/>
      <c r="I889" s="7"/>
      <c r="J889" s="3" t="s">
        <v>35</v>
      </c>
      <c r="K889" s="4" t="s">
        <v>130</v>
      </c>
      <c r="L889" s="4" t="s">
        <v>37</v>
      </c>
      <c r="N889" s="7" t="s">
        <v>1984</v>
      </c>
      <c r="O889" s="7"/>
      <c r="P889" s="7" t="s">
        <v>1985</v>
      </c>
      <c r="Q889" s="7"/>
      <c r="R889" s="7"/>
      <c r="S889" s="3" t="s">
        <v>40</v>
      </c>
      <c r="T889" s="7" t="s">
        <v>41</v>
      </c>
      <c r="U889" s="7"/>
      <c r="V889" s="4" t="s">
        <v>42</v>
      </c>
      <c r="W889" s="4" t="s">
        <v>990</v>
      </c>
      <c r="X889" s="4" t="s">
        <v>991</v>
      </c>
      <c r="Y889" s="7" t="s">
        <v>135</v>
      </c>
      <c r="Z889" s="7"/>
      <c r="AA889" s="4" t="s">
        <v>46</v>
      </c>
      <c r="AB889" s="4" t="s">
        <v>47</v>
      </c>
      <c r="AC889" s="4" t="s">
        <v>136</v>
      </c>
      <c r="AD889" s="4" t="s">
        <v>137</v>
      </c>
      <c r="AE889" s="4" t="s">
        <v>48</v>
      </c>
      <c r="AF889" s="4" t="s">
        <v>41</v>
      </c>
      <c r="AG889" s="4" t="s">
        <v>1930</v>
      </c>
    </row>
    <row r="890" spans="1:33" ht="16.5" customHeight="1" x14ac:dyDescent="0.2">
      <c r="A890" s="2" t="s">
        <v>31</v>
      </c>
      <c r="B890" s="5" t="s">
        <v>54</v>
      </c>
      <c r="C890" s="5"/>
      <c r="D890" s="5"/>
      <c r="E890" s="6" t="s">
        <v>33</v>
      </c>
      <c r="F890" s="6"/>
      <c r="G890" s="7" t="s">
        <v>1925</v>
      </c>
      <c r="H890" s="7"/>
      <c r="I890" s="7"/>
      <c r="J890" s="3" t="s">
        <v>35</v>
      </c>
      <c r="K890" s="4" t="s">
        <v>92</v>
      </c>
      <c r="L890" s="4" t="s">
        <v>37</v>
      </c>
      <c r="N890" s="7" t="s">
        <v>1986</v>
      </c>
      <c r="O890" s="7"/>
      <c r="P890" s="7" t="s">
        <v>1987</v>
      </c>
      <c r="Q890" s="7"/>
      <c r="R890" s="7"/>
      <c r="S890" s="3" t="s">
        <v>40</v>
      </c>
      <c r="T890" s="7" t="s">
        <v>41</v>
      </c>
      <c r="U890" s="7"/>
      <c r="V890" s="4" t="s">
        <v>42</v>
      </c>
      <c r="W890" s="4" t="s">
        <v>986</v>
      </c>
      <c r="X890" s="4" t="s">
        <v>987</v>
      </c>
      <c r="Y890" s="7" t="s">
        <v>78</v>
      </c>
      <c r="Z890" s="7"/>
      <c r="AA890" s="4" t="s">
        <v>46</v>
      </c>
      <c r="AB890" s="4" t="s">
        <v>47</v>
      </c>
      <c r="AC890" s="4" t="s">
        <v>136</v>
      </c>
      <c r="AD890" s="4" t="s">
        <v>137</v>
      </c>
      <c r="AE890" s="4" t="s">
        <v>48</v>
      </c>
      <c r="AF890" s="4" t="s">
        <v>41</v>
      </c>
      <c r="AG890" s="4" t="s">
        <v>1930</v>
      </c>
    </row>
    <row r="891" spans="1:33" ht="16.5" customHeight="1" x14ac:dyDescent="0.2">
      <c r="A891" s="2" t="s">
        <v>31</v>
      </c>
      <c r="B891" s="5" t="s">
        <v>54</v>
      </c>
      <c r="C891" s="5"/>
      <c r="D891" s="5"/>
      <c r="E891" s="6" t="s">
        <v>33</v>
      </c>
      <c r="F891" s="6"/>
      <c r="G891" s="7" t="s">
        <v>1925</v>
      </c>
      <c r="H891" s="7"/>
      <c r="I891" s="7"/>
      <c r="J891" s="3" t="s">
        <v>35</v>
      </c>
      <c r="K891" s="4" t="s">
        <v>143</v>
      </c>
      <c r="L891" s="4" t="s">
        <v>37</v>
      </c>
      <c r="N891" s="7" t="s">
        <v>1988</v>
      </c>
      <c r="O891" s="7"/>
      <c r="P891" s="7" t="s">
        <v>1989</v>
      </c>
      <c r="Q891" s="7"/>
      <c r="R891" s="7"/>
      <c r="S891" s="3" t="s">
        <v>40</v>
      </c>
      <c r="T891" s="7" t="s">
        <v>41</v>
      </c>
      <c r="U891" s="7"/>
      <c r="V891" s="4" t="s">
        <v>42</v>
      </c>
      <c r="W891" s="4" t="s">
        <v>217</v>
      </c>
      <c r="X891" s="4" t="s">
        <v>218</v>
      </c>
      <c r="Y891" s="7" t="s">
        <v>135</v>
      </c>
      <c r="Z891" s="7"/>
      <c r="AA891" s="4" t="s">
        <v>46</v>
      </c>
      <c r="AB891" s="4" t="s">
        <v>47</v>
      </c>
      <c r="AC891" s="4" t="s">
        <v>136</v>
      </c>
      <c r="AD891" s="4" t="s">
        <v>137</v>
      </c>
      <c r="AE891" s="4" t="s">
        <v>48</v>
      </c>
      <c r="AF891" s="4" t="s">
        <v>41</v>
      </c>
      <c r="AG891" s="4" t="s">
        <v>1930</v>
      </c>
    </row>
    <row r="892" spans="1:33" ht="16.5" customHeight="1" x14ac:dyDescent="0.2">
      <c r="A892" s="2" t="s">
        <v>31</v>
      </c>
      <c r="B892" s="5" t="s">
        <v>54</v>
      </c>
      <c r="C892" s="5"/>
      <c r="D892" s="5"/>
      <c r="E892" s="6" t="s">
        <v>33</v>
      </c>
      <c r="F892" s="6"/>
      <c r="G892" s="7" t="s">
        <v>1925</v>
      </c>
      <c r="H892" s="7"/>
      <c r="I892" s="7"/>
      <c r="J892" s="3" t="s">
        <v>35</v>
      </c>
      <c r="K892" s="4" t="s">
        <v>620</v>
      </c>
      <c r="L892" s="4" t="s">
        <v>37</v>
      </c>
      <c r="N892" s="7" t="s">
        <v>1990</v>
      </c>
      <c r="O892" s="7"/>
      <c r="P892" s="7" t="s">
        <v>1991</v>
      </c>
      <c r="Q892" s="7"/>
      <c r="R892" s="7"/>
      <c r="S892" s="3" t="s">
        <v>40</v>
      </c>
      <c r="T892" s="7" t="s">
        <v>41</v>
      </c>
      <c r="U892" s="7"/>
      <c r="V892" s="4" t="s">
        <v>42</v>
      </c>
      <c r="W892" s="4" t="s">
        <v>217</v>
      </c>
      <c r="X892" s="4" t="s">
        <v>218</v>
      </c>
      <c r="Y892" s="7" t="s">
        <v>78</v>
      </c>
      <c r="Z892" s="7"/>
      <c r="AA892" s="4" t="s">
        <v>46</v>
      </c>
      <c r="AB892" s="4" t="s">
        <v>47</v>
      </c>
      <c r="AC892" s="4" t="s">
        <v>136</v>
      </c>
      <c r="AD892" s="4" t="s">
        <v>137</v>
      </c>
      <c r="AE892" s="4" t="s">
        <v>48</v>
      </c>
      <c r="AF892" s="4" t="s">
        <v>41</v>
      </c>
      <c r="AG892" s="4" t="s">
        <v>1930</v>
      </c>
    </row>
    <row r="893" spans="1:33" ht="16.5" customHeight="1" x14ac:dyDescent="0.2">
      <c r="A893" s="2" t="s">
        <v>31</v>
      </c>
      <c r="B893" s="5" t="s">
        <v>54</v>
      </c>
      <c r="C893" s="5"/>
      <c r="D893" s="5"/>
      <c r="E893" s="6" t="s">
        <v>33</v>
      </c>
      <c r="F893" s="6"/>
      <c r="G893" s="7" t="s">
        <v>1925</v>
      </c>
      <c r="H893" s="7"/>
      <c r="I893" s="7"/>
      <c r="J893" s="3" t="s">
        <v>35</v>
      </c>
      <c r="K893" s="4" t="s">
        <v>409</v>
      </c>
      <c r="L893" s="4" t="s">
        <v>37</v>
      </c>
      <c r="N893" s="7" t="s">
        <v>1992</v>
      </c>
      <c r="O893" s="7"/>
      <c r="P893" s="7" t="s">
        <v>1993</v>
      </c>
      <c r="Q893" s="7"/>
      <c r="R893" s="7"/>
      <c r="S893" s="3" t="s">
        <v>40</v>
      </c>
      <c r="T893" s="7" t="s">
        <v>41</v>
      </c>
      <c r="U893" s="7"/>
      <c r="V893" s="4" t="s">
        <v>42</v>
      </c>
      <c r="W893" s="4" t="s">
        <v>229</v>
      </c>
      <c r="X893" s="4" t="s">
        <v>446</v>
      </c>
      <c r="Y893" s="7" t="s">
        <v>60</v>
      </c>
      <c r="Z893" s="7"/>
      <c r="AA893" s="4" t="s">
        <v>46</v>
      </c>
      <c r="AB893" s="4" t="s">
        <v>47</v>
      </c>
      <c r="AC893" s="4" t="s">
        <v>79</v>
      </c>
      <c r="AD893" s="4" t="s">
        <v>80</v>
      </c>
      <c r="AE893" s="4" t="s">
        <v>48</v>
      </c>
      <c r="AF893" s="4" t="s">
        <v>41</v>
      </c>
      <c r="AG893" s="4" t="s">
        <v>1930</v>
      </c>
    </row>
    <row r="894" spans="1:33" ht="16.5" customHeight="1" x14ac:dyDescent="0.2">
      <c r="A894" s="2" t="s">
        <v>31</v>
      </c>
      <c r="B894" s="5" t="s">
        <v>54</v>
      </c>
      <c r="C894" s="5"/>
      <c r="D894" s="5"/>
      <c r="E894" s="6" t="s">
        <v>33</v>
      </c>
      <c r="F894" s="6"/>
      <c r="G894" s="7" t="s">
        <v>1925</v>
      </c>
      <c r="H894" s="7"/>
      <c r="I894" s="7"/>
      <c r="J894" s="3" t="s">
        <v>35</v>
      </c>
      <c r="K894" s="4" t="s">
        <v>409</v>
      </c>
      <c r="L894" s="4" t="s">
        <v>93</v>
      </c>
      <c r="N894" s="7" t="s">
        <v>1994</v>
      </c>
      <c r="O894" s="7"/>
      <c r="P894" s="7" t="s">
        <v>1995</v>
      </c>
      <c r="Q894" s="7"/>
      <c r="R894" s="7"/>
      <c r="S894" s="3" t="s">
        <v>40</v>
      </c>
      <c r="T894" s="7" t="s">
        <v>41</v>
      </c>
      <c r="U894" s="7"/>
      <c r="V894" s="4" t="s">
        <v>51</v>
      </c>
      <c r="W894" s="4" t="s">
        <v>154</v>
      </c>
      <c r="X894" s="4" t="s">
        <v>258</v>
      </c>
      <c r="Y894" s="7" t="s">
        <v>60</v>
      </c>
      <c r="Z894" s="7"/>
      <c r="AA894" s="4" t="s">
        <v>46</v>
      </c>
      <c r="AB894" s="4" t="s">
        <v>47</v>
      </c>
      <c r="AC894" s="4" t="s">
        <v>79</v>
      </c>
      <c r="AD894" s="4" t="s">
        <v>96</v>
      </c>
      <c r="AE894" s="4" t="s">
        <v>48</v>
      </c>
      <c r="AF894" s="4" t="s">
        <v>41</v>
      </c>
      <c r="AG894" s="4" t="s">
        <v>1930</v>
      </c>
    </row>
    <row r="895" spans="1:33" ht="16.5" customHeight="1" x14ac:dyDescent="0.2">
      <c r="A895" s="2" t="s">
        <v>31</v>
      </c>
      <c r="B895" s="5" t="s">
        <v>54</v>
      </c>
      <c r="C895" s="5"/>
      <c r="D895" s="5"/>
      <c r="E895" s="6" t="s">
        <v>33</v>
      </c>
      <c r="F895" s="6"/>
      <c r="G895" s="7" t="s">
        <v>1925</v>
      </c>
      <c r="H895" s="7"/>
      <c r="I895" s="7"/>
      <c r="J895" s="3" t="s">
        <v>35</v>
      </c>
      <c r="K895" s="4" t="s">
        <v>149</v>
      </c>
      <c r="L895" s="4" t="s">
        <v>588</v>
      </c>
      <c r="N895" s="7" t="s">
        <v>1996</v>
      </c>
      <c r="O895" s="7"/>
      <c r="P895" s="7" t="s">
        <v>1997</v>
      </c>
      <c r="Q895" s="7"/>
      <c r="R895" s="7"/>
      <c r="S895" s="3" t="s">
        <v>40</v>
      </c>
      <c r="T895" s="7" t="s">
        <v>41</v>
      </c>
      <c r="U895" s="7"/>
      <c r="V895" s="4" t="s">
        <v>51</v>
      </c>
      <c r="W895" s="4" t="s">
        <v>1870</v>
      </c>
      <c r="X895" s="4" t="s">
        <v>987</v>
      </c>
      <c r="Y895" s="7" t="s">
        <v>78</v>
      </c>
      <c r="Z895" s="7"/>
      <c r="AA895" s="4" t="s">
        <v>46</v>
      </c>
      <c r="AB895" s="4" t="s">
        <v>47</v>
      </c>
      <c r="AC895" s="4" t="s">
        <v>136</v>
      </c>
      <c r="AD895" s="4" t="s">
        <v>1998</v>
      </c>
      <c r="AE895" s="4" t="s">
        <v>48</v>
      </c>
      <c r="AF895" s="4" t="s">
        <v>41</v>
      </c>
      <c r="AG895" s="4" t="s">
        <v>1930</v>
      </c>
    </row>
    <row r="896" spans="1:33" ht="0.75" customHeight="1" x14ac:dyDescent="0.2"/>
    <row r="897" spans="1:33" ht="12" customHeight="1" x14ac:dyDescent="0.2"/>
    <row r="898" spans="1:33" ht="16.5" customHeight="1" x14ac:dyDescent="0.2">
      <c r="A898" s="2" t="s">
        <v>31</v>
      </c>
      <c r="B898" s="5" t="s">
        <v>54</v>
      </c>
      <c r="C898" s="5"/>
      <c r="D898" s="5"/>
      <c r="E898" s="6" t="s">
        <v>33</v>
      </c>
      <c r="F898" s="6"/>
      <c r="G898" s="7" t="s">
        <v>1925</v>
      </c>
      <c r="H898" s="7"/>
      <c r="I898" s="7"/>
      <c r="J898" s="3" t="s">
        <v>35</v>
      </c>
      <c r="K898" s="4" t="s">
        <v>97</v>
      </c>
      <c r="L898" s="4" t="s">
        <v>37</v>
      </c>
      <c r="N898" s="7" t="s">
        <v>1999</v>
      </c>
      <c r="O898" s="7"/>
      <c r="P898" s="7" t="s">
        <v>2000</v>
      </c>
      <c r="Q898" s="7"/>
      <c r="R898" s="7"/>
      <c r="S898" s="3" t="s">
        <v>40</v>
      </c>
      <c r="T898" s="7" t="s">
        <v>41</v>
      </c>
      <c r="U898" s="7"/>
      <c r="V898" s="4" t="s">
        <v>42</v>
      </c>
      <c r="W898" s="4" t="s">
        <v>818</v>
      </c>
      <c r="X898" s="4" t="s">
        <v>789</v>
      </c>
      <c r="Y898" s="7" t="s">
        <v>78</v>
      </c>
      <c r="Z898" s="7"/>
      <c r="AA898" s="4" t="s">
        <v>46</v>
      </c>
      <c r="AB898" s="4" t="s">
        <v>47</v>
      </c>
      <c r="AC898" s="4" t="s">
        <v>136</v>
      </c>
      <c r="AD898" s="4" t="s">
        <v>137</v>
      </c>
      <c r="AE898" s="4" t="s">
        <v>48</v>
      </c>
      <c r="AF898" s="4" t="s">
        <v>41</v>
      </c>
      <c r="AG898" s="4" t="s">
        <v>1930</v>
      </c>
    </row>
    <row r="899" spans="1:33" ht="16.5" customHeight="1" x14ac:dyDescent="0.2">
      <c r="A899" s="2" t="s">
        <v>31</v>
      </c>
      <c r="B899" s="5" t="s">
        <v>54</v>
      </c>
      <c r="C899" s="5"/>
      <c r="D899" s="5"/>
      <c r="E899" s="6" t="s">
        <v>33</v>
      </c>
      <c r="F899" s="6"/>
      <c r="G899" s="7" t="s">
        <v>1925</v>
      </c>
      <c r="H899" s="7"/>
      <c r="I899" s="7"/>
      <c r="J899" s="3" t="s">
        <v>35</v>
      </c>
      <c r="K899" s="4" t="s">
        <v>149</v>
      </c>
      <c r="L899" s="4" t="s">
        <v>37</v>
      </c>
      <c r="N899" s="7" t="s">
        <v>2001</v>
      </c>
      <c r="O899" s="7"/>
      <c r="P899" s="7" t="s">
        <v>2002</v>
      </c>
      <c r="Q899" s="7"/>
      <c r="R899" s="7"/>
      <c r="S899" s="3" t="s">
        <v>40</v>
      </c>
      <c r="T899" s="7" t="s">
        <v>41</v>
      </c>
      <c r="U899" s="7"/>
      <c r="V899" s="4" t="s">
        <v>42</v>
      </c>
      <c r="W899" s="4" t="s">
        <v>200</v>
      </c>
      <c r="X899" s="4" t="s">
        <v>201</v>
      </c>
      <c r="Y899" s="7" t="s">
        <v>78</v>
      </c>
      <c r="Z899" s="7"/>
      <c r="AA899" s="4" t="s">
        <v>46</v>
      </c>
      <c r="AB899" s="4" t="s">
        <v>47</v>
      </c>
      <c r="AC899" s="4" t="s">
        <v>136</v>
      </c>
      <c r="AD899" s="4" t="s">
        <v>137</v>
      </c>
      <c r="AE899" s="4" t="s">
        <v>48</v>
      </c>
      <c r="AF899" s="4" t="s">
        <v>41</v>
      </c>
      <c r="AG899" s="4" t="s">
        <v>1930</v>
      </c>
    </row>
    <row r="900" spans="1:33" ht="16.5" customHeight="1" x14ac:dyDescent="0.2">
      <c r="A900" s="2" t="s">
        <v>31</v>
      </c>
      <c r="B900" s="5" t="s">
        <v>54</v>
      </c>
      <c r="C900" s="5"/>
      <c r="D900" s="5"/>
      <c r="E900" s="6" t="s">
        <v>33</v>
      </c>
      <c r="F900" s="6"/>
      <c r="G900" s="7" t="s">
        <v>1925</v>
      </c>
      <c r="H900" s="7"/>
      <c r="I900" s="7"/>
      <c r="J900" s="3" t="s">
        <v>35</v>
      </c>
      <c r="K900" s="4" t="s">
        <v>55</v>
      </c>
      <c r="L900" s="4" t="s">
        <v>37</v>
      </c>
      <c r="N900" s="7" t="s">
        <v>2003</v>
      </c>
      <c r="O900" s="7"/>
      <c r="P900" s="7" t="s">
        <v>2004</v>
      </c>
      <c r="Q900" s="7"/>
      <c r="R900" s="7"/>
      <c r="S900" s="3" t="s">
        <v>40</v>
      </c>
      <c r="T900" s="7" t="s">
        <v>41</v>
      </c>
      <c r="U900" s="7"/>
      <c r="V900" s="4" t="s">
        <v>42</v>
      </c>
      <c r="W900" s="4" t="s">
        <v>604</v>
      </c>
      <c r="X900" s="4" t="s">
        <v>605</v>
      </c>
      <c r="Y900" s="7" t="s">
        <v>60</v>
      </c>
      <c r="Z900" s="7"/>
      <c r="AA900" s="4" t="s">
        <v>46</v>
      </c>
      <c r="AB900" s="4" t="s">
        <v>47</v>
      </c>
      <c r="AC900" s="4" t="s">
        <v>79</v>
      </c>
      <c r="AD900" s="4" t="s">
        <v>80</v>
      </c>
      <c r="AE900" s="4" t="s">
        <v>48</v>
      </c>
      <c r="AF900" s="4" t="s">
        <v>41</v>
      </c>
      <c r="AG900" s="4" t="s">
        <v>1930</v>
      </c>
    </row>
    <row r="901" spans="1:33" ht="16.5" customHeight="1" x14ac:dyDescent="0.2">
      <c r="A901" s="2" t="s">
        <v>31</v>
      </c>
      <c r="B901" s="5" t="s">
        <v>54</v>
      </c>
      <c r="C901" s="5"/>
      <c r="D901" s="5"/>
      <c r="E901" s="6" t="s">
        <v>33</v>
      </c>
      <c r="F901" s="6"/>
      <c r="G901" s="7" t="s">
        <v>1925</v>
      </c>
      <c r="H901" s="7"/>
      <c r="I901" s="7"/>
      <c r="J901" s="3" t="s">
        <v>35</v>
      </c>
      <c r="K901" s="4" t="s">
        <v>149</v>
      </c>
      <c r="L901" s="4" t="s">
        <v>37</v>
      </c>
      <c r="N901" s="7" t="s">
        <v>2005</v>
      </c>
      <c r="O901" s="7"/>
      <c r="P901" s="7" t="s">
        <v>2006</v>
      </c>
      <c r="Q901" s="7"/>
      <c r="R901" s="7"/>
      <c r="S901" s="3" t="s">
        <v>40</v>
      </c>
      <c r="T901" s="7" t="s">
        <v>41</v>
      </c>
      <c r="U901" s="7"/>
      <c r="V901" s="4" t="s">
        <v>42</v>
      </c>
      <c r="W901" s="4" t="s">
        <v>43</v>
      </c>
      <c r="X901" s="4" t="s">
        <v>44</v>
      </c>
      <c r="Y901" s="7" t="s">
        <v>78</v>
      </c>
      <c r="Z901" s="7"/>
      <c r="AA901" s="4" t="s">
        <v>46</v>
      </c>
      <c r="AB901" s="4" t="s">
        <v>47</v>
      </c>
      <c r="AC901" s="4" t="s">
        <v>136</v>
      </c>
      <c r="AD901" s="4" t="s">
        <v>137</v>
      </c>
      <c r="AE901" s="4" t="s">
        <v>48</v>
      </c>
      <c r="AF901" s="4" t="s">
        <v>41</v>
      </c>
      <c r="AG901" s="4" t="s">
        <v>1930</v>
      </c>
    </row>
    <row r="902" spans="1:33" ht="16.5" customHeight="1" x14ac:dyDescent="0.2">
      <c r="A902" s="2" t="s">
        <v>31</v>
      </c>
      <c r="B902" s="5" t="s">
        <v>54</v>
      </c>
      <c r="C902" s="5"/>
      <c r="D902" s="5"/>
      <c r="E902" s="6" t="s">
        <v>33</v>
      </c>
      <c r="F902" s="6"/>
      <c r="G902" s="7" t="s">
        <v>1925</v>
      </c>
      <c r="H902" s="7"/>
      <c r="I902" s="7"/>
      <c r="J902" s="3" t="s">
        <v>35</v>
      </c>
      <c r="K902" s="4" t="s">
        <v>55</v>
      </c>
      <c r="L902" s="4" t="s">
        <v>37</v>
      </c>
      <c r="N902" s="7" t="s">
        <v>2007</v>
      </c>
      <c r="O902" s="7"/>
      <c r="P902" s="7" t="s">
        <v>2008</v>
      </c>
      <c r="Q902" s="7"/>
      <c r="R902" s="7"/>
      <c r="S902" s="3" t="s">
        <v>40</v>
      </c>
      <c r="T902" s="7" t="s">
        <v>41</v>
      </c>
      <c r="U902" s="7"/>
      <c r="V902" s="4" t="s">
        <v>42</v>
      </c>
      <c r="W902" s="4" t="s">
        <v>43</v>
      </c>
      <c r="X902" s="4" t="s">
        <v>44</v>
      </c>
      <c r="Y902" s="7" t="s">
        <v>60</v>
      </c>
      <c r="Z902" s="7"/>
      <c r="AA902" s="4" t="s">
        <v>46</v>
      </c>
      <c r="AB902" s="4" t="s">
        <v>47</v>
      </c>
      <c r="AC902" s="4" t="s">
        <v>79</v>
      </c>
      <c r="AD902" s="4" t="s">
        <v>80</v>
      </c>
      <c r="AE902" s="4" t="s">
        <v>48</v>
      </c>
      <c r="AF902" s="4" t="s">
        <v>41</v>
      </c>
      <c r="AG902" s="4" t="s">
        <v>1930</v>
      </c>
    </row>
    <row r="903" spans="1:33" ht="16.5" customHeight="1" x14ac:dyDescent="0.2">
      <c r="A903" s="2" t="s">
        <v>31</v>
      </c>
      <c r="B903" s="5" t="s">
        <v>54</v>
      </c>
      <c r="C903" s="5"/>
      <c r="D903" s="5"/>
      <c r="E903" s="6" t="s">
        <v>33</v>
      </c>
      <c r="F903" s="6"/>
      <c r="G903" s="7" t="s">
        <v>1925</v>
      </c>
      <c r="H903" s="7"/>
      <c r="I903" s="7"/>
      <c r="J903" s="3" t="s">
        <v>35</v>
      </c>
      <c r="K903" s="4" t="s">
        <v>202</v>
      </c>
      <c r="L903" s="4" t="s">
        <v>37</v>
      </c>
      <c r="N903" s="7" t="s">
        <v>2009</v>
      </c>
      <c r="O903" s="7"/>
      <c r="P903" s="7" t="s">
        <v>2010</v>
      </c>
      <c r="Q903" s="7"/>
      <c r="R903" s="7"/>
      <c r="S903" s="3" t="s">
        <v>40</v>
      </c>
      <c r="T903" s="7" t="s">
        <v>41</v>
      </c>
      <c r="U903" s="7"/>
      <c r="V903" s="4" t="s">
        <v>42</v>
      </c>
      <c r="W903" s="4" t="s">
        <v>43</v>
      </c>
      <c r="X903" s="4" t="s">
        <v>44</v>
      </c>
      <c r="Y903" s="7" t="s">
        <v>197</v>
      </c>
      <c r="Z903" s="7"/>
      <c r="AA903" s="4" t="s">
        <v>46</v>
      </c>
      <c r="AB903" s="4" t="s">
        <v>47</v>
      </c>
      <c r="AC903" s="4" t="s">
        <v>259</v>
      </c>
      <c r="AD903" s="4" t="s">
        <v>260</v>
      </c>
      <c r="AE903" s="4" t="s">
        <v>48</v>
      </c>
      <c r="AF903" s="4" t="s">
        <v>41</v>
      </c>
      <c r="AG903" s="4" t="s">
        <v>1930</v>
      </c>
    </row>
    <row r="904" spans="1:33" ht="16.5" customHeight="1" x14ac:dyDescent="0.2">
      <c r="A904" s="2" t="s">
        <v>31</v>
      </c>
      <c r="B904" s="5" t="s">
        <v>54</v>
      </c>
      <c r="C904" s="5"/>
      <c r="D904" s="5"/>
      <c r="E904" s="6" t="s">
        <v>33</v>
      </c>
      <c r="F904" s="6"/>
      <c r="G904" s="7" t="s">
        <v>1925</v>
      </c>
      <c r="H904" s="7"/>
      <c r="I904" s="7"/>
      <c r="J904" s="3" t="s">
        <v>35</v>
      </c>
      <c r="K904" s="4" t="s">
        <v>55</v>
      </c>
      <c r="L904" s="4" t="s">
        <v>37</v>
      </c>
      <c r="N904" s="7" t="s">
        <v>2011</v>
      </c>
      <c r="O904" s="7"/>
      <c r="P904" s="7" t="s">
        <v>2012</v>
      </c>
      <c r="Q904" s="7"/>
      <c r="R904" s="7"/>
      <c r="S904" s="3" t="s">
        <v>40</v>
      </c>
      <c r="T904" s="7" t="s">
        <v>41</v>
      </c>
      <c r="U904" s="7"/>
      <c r="V904" s="4" t="s">
        <v>42</v>
      </c>
      <c r="W904" s="4" t="s">
        <v>43</v>
      </c>
      <c r="X904" s="4" t="s">
        <v>44</v>
      </c>
      <c r="Y904" s="7" t="s">
        <v>60</v>
      </c>
      <c r="Z904" s="7"/>
      <c r="AA904" s="4" t="s">
        <v>46</v>
      </c>
      <c r="AB904" s="4" t="s">
        <v>47</v>
      </c>
      <c r="AC904" s="4" t="s">
        <v>79</v>
      </c>
      <c r="AD904" s="4" t="s">
        <v>80</v>
      </c>
      <c r="AE904" s="4" t="s">
        <v>48</v>
      </c>
      <c r="AF904" s="4" t="s">
        <v>41</v>
      </c>
      <c r="AG904" s="4" t="s">
        <v>1930</v>
      </c>
    </row>
    <row r="905" spans="1:33" ht="16.5" customHeight="1" x14ac:dyDescent="0.2">
      <c r="A905" s="2" t="s">
        <v>31</v>
      </c>
      <c r="B905" s="5" t="s">
        <v>54</v>
      </c>
      <c r="C905" s="5"/>
      <c r="D905" s="5"/>
      <c r="E905" s="6" t="s">
        <v>33</v>
      </c>
      <c r="F905" s="6"/>
      <c r="G905" s="7" t="s">
        <v>1925</v>
      </c>
      <c r="H905" s="7"/>
      <c r="I905" s="7"/>
      <c r="J905" s="3" t="s">
        <v>35</v>
      </c>
      <c r="K905" s="4" t="s">
        <v>55</v>
      </c>
      <c r="L905" s="4" t="s">
        <v>37</v>
      </c>
      <c r="N905" s="7" t="s">
        <v>2013</v>
      </c>
      <c r="O905" s="7"/>
      <c r="P905" s="7" t="s">
        <v>2014</v>
      </c>
      <c r="Q905" s="7"/>
      <c r="R905" s="7"/>
      <c r="S905" s="3" t="s">
        <v>40</v>
      </c>
      <c r="T905" s="7" t="s">
        <v>41</v>
      </c>
      <c r="U905" s="7"/>
      <c r="V905" s="4" t="s">
        <v>42</v>
      </c>
      <c r="W905" s="4" t="s">
        <v>990</v>
      </c>
      <c r="X905" s="4" t="s">
        <v>991</v>
      </c>
      <c r="Y905" s="7" t="s">
        <v>60</v>
      </c>
      <c r="Z905" s="7"/>
      <c r="AA905" s="4" t="s">
        <v>46</v>
      </c>
      <c r="AB905" s="4" t="s">
        <v>47</v>
      </c>
      <c r="AC905" s="4" t="s">
        <v>79</v>
      </c>
      <c r="AD905" s="4" t="s">
        <v>80</v>
      </c>
      <c r="AE905" s="4" t="s">
        <v>48</v>
      </c>
      <c r="AF905" s="4" t="s">
        <v>41</v>
      </c>
      <c r="AG905" s="4" t="s">
        <v>1930</v>
      </c>
    </row>
    <row r="906" spans="1:33" ht="16.5" customHeight="1" x14ac:dyDescent="0.2">
      <c r="A906" s="2" t="s">
        <v>31</v>
      </c>
      <c r="B906" s="5" t="s">
        <v>54</v>
      </c>
      <c r="C906" s="5"/>
      <c r="D906" s="5"/>
      <c r="E906" s="6" t="s">
        <v>33</v>
      </c>
      <c r="F906" s="6"/>
      <c r="G906" s="7" t="s">
        <v>1925</v>
      </c>
      <c r="H906" s="7"/>
      <c r="I906" s="7"/>
      <c r="J906" s="3" t="s">
        <v>35</v>
      </c>
      <c r="K906" s="4" t="s">
        <v>267</v>
      </c>
      <c r="L906" s="4" t="s">
        <v>37</v>
      </c>
      <c r="N906" s="7" t="s">
        <v>2015</v>
      </c>
      <c r="O906" s="7"/>
      <c r="P906" s="7" t="s">
        <v>2016</v>
      </c>
      <c r="Q906" s="7"/>
      <c r="R906" s="7"/>
      <c r="S906" s="3" t="s">
        <v>40</v>
      </c>
      <c r="T906" s="7" t="s">
        <v>41</v>
      </c>
      <c r="U906" s="7"/>
      <c r="V906" s="4" t="s">
        <v>42</v>
      </c>
      <c r="W906" s="4" t="s">
        <v>333</v>
      </c>
      <c r="X906" s="4" t="s">
        <v>334</v>
      </c>
      <c r="Y906" s="7" t="s">
        <v>78</v>
      </c>
      <c r="Z906" s="7"/>
      <c r="AA906" s="4" t="s">
        <v>46</v>
      </c>
      <c r="AB906" s="4" t="s">
        <v>47</v>
      </c>
      <c r="AC906" s="4" t="s">
        <v>136</v>
      </c>
      <c r="AD906" s="4" t="s">
        <v>137</v>
      </c>
      <c r="AE906" s="4" t="s">
        <v>48</v>
      </c>
      <c r="AF906" s="4" t="s">
        <v>41</v>
      </c>
      <c r="AG906" s="4" t="s">
        <v>1930</v>
      </c>
    </row>
    <row r="907" spans="1:33" ht="16.5" customHeight="1" x14ac:dyDescent="0.2">
      <c r="A907" s="2" t="s">
        <v>31</v>
      </c>
      <c r="B907" s="5" t="s">
        <v>54</v>
      </c>
      <c r="C907" s="5"/>
      <c r="D907" s="5"/>
      <c r="E907" s="6" t="s">
        <v>33</v>
      </c>
      <c r="F907" s="6"/>
      <c r="G907" s="7" t="s">
        <v>1925</v>
      </c>
      <c r="H907" s="7"/>
      <c r="I907" s="7"/>
      <c r="J907" s="3" t="s">
        <v>35</v>
      </c>
      <c r="K907" s="4" t="s">
        <v>267</v>
      </c>
      <c r="L907" s="4" t="s">
        <v>37</v>
      </c>
      <c r="N907" s="7" t="s">
        <v>2015</v>
      </c>
      <c r="O907" s="7"/>
      <c r="P907" s="7" t="s">
        <v>2016</v>
      </c>
      <c r="Q907" s="7"/>
      <c r="R907" s="7"/>
      <c r="S907" s="3" t="s">
        <v>40</v>
      </c>
      <c r="T907" s="7" t="s">
        <v>41</v>
      </c>
      <c r="U907" s="7"/>
      <c r="V907" s="4" t="s">
        <v>51</v>
      </c>
      <c r="W907" s="4" t="s">
        <v>333</v>
      </c>
      <c r="X907" s="4" t="s">
        <v>338</v>
      </c>
      <c r="Y907" s="7" t="s">
        <v>78</v>
      </c>
      <c r="Z907" s="7"/>
      <c r="AA907" s="4" t="s">
        <v>46</v>
      </c>
      <c r="AB907" s="4" t="s">
        <v>47</v>
      </c>
      <c r="AC907" s="4" t="s">
        <v>136</v>
      </c>
      <c r="AD907" s="4" t="s">
        <v>137</v>
      </c>
      <c r="AE907" s="4" t="s">
        <v>48</v>
      </c>
      <c r="AF907" s="4" t="s">
        <v>41</v>
      </c>
      <c r="AG907" s="4" t="s">
        <v>1930</v>
      </c>
    </row>
    <row r="908" spans="1:33" ht="16.5" customHeight="1" x14ac:dyDescent="0.2">
      <c r="A908" s="2" t="s">
        <v>31</v>
      </c>
      <c r="B908" s="5" t="s">
        <v>54</v>
      </c>
      <c r="C908" s="5"/>
      <c r="D908" s="5"/>
      <c r="E908" s="6" t="s">
        <v>33</v>
      </c>
      <c r="F908" s="6"/>
      <c r="G908" s="7" t="s">
        <v>1925</v>
      </c>
      <c r="H908" s="7"/>
      <c r="I908" s="7"/>
      <c r="J908" s="3" t="s">
        <v>35</v>
      </c>
      <c r="K908" s="4" t="s">
        <v>143</v>
      </c>
      <c r="L908" s="4" t="s">
        <v>37</v>
      </c>
      <c r="N908" s="7" t="s">
        <v>2017</v>
      </c>
      <c r="O908" s="7"/>
      <c r="P908" s="7" t="s">
        <v>2018</v>
      </c>
      <c r="Q908" s="7"/>
      <c r="R908" s="7"/>
      <c r="S908" s="3" t="s">
        <v>40</v>
      </c>
      <c r="T908" s="7" t="s">
        <v>41</v>
      </c>
      <c r="U908" s="7"/>
      <c r="V908" s="4" t="s">
        <v>42</v>
      </c>
      <c r="W908" s="4" t="s">
        <v>859</v>
      </c>
      <c r="X908" s="4" t="s">
        <v>341</v>
      </c>
      <c r="Y908" s="7" t="s">
        <v>135</v>
      </c>
      <c r="Z908" s="7"/>
      <c r="AA908" s="4" t="s">
        <v>46</v>
      </c>
      <c r="AB908" s="4" t="s">
        <v>47</v>
      </c>
      <c r="AC908" s="4" t="s">
        <v>136</v>
      </c>
      <c r="AD908" s="4" t="s">
        <v>137</v>
      </c>
      <c r="AE908" s="4" t="s">
        <v>48</v>
      </c>
      <c r="AF908" s="4" t="s">
        <v>41</v>
      </c>
      <c r="AG908" s="4" t="s">
        <v>1930</v>
      </c>
    </row>
    <row r="909" spans="1:33" ht="16.5" customHeight="1" x14ac:dyDescent="0.2">
      <c r="A909" s="2" t="s">
        <v>31</v>
      </c>
      <c r="B909" s="5" t="s">
        <v>54</v>
      </c>
      <c r="C909" s="5"/>
      <c r="D909" s="5"/>
      <c r="E909" s="6" t="s">
        <v>33</v>
      </c>
      <c r="F909" s="6"/>
      <c r="G909" s="7" t="s">
        <v>1925</v>
      </c>
      <c r="H909" s="7"/>
      <c r="I909" s="7"/>
      <c r="J909" s="3" t="s">
        <v>35</v>
      </c>
      <c r="K909" s="4" t="s">
        <v>73</v>
      </c>
      <c r="L909" s="4" t="s">
        <v>93</v>
      </c>
      <c r="N909" s="7" t="s">
        <v>2019</v>
      </c>
      <c r="O909" s="7"/>
      <c r="P909" s="7" t="s">
        <v>2020</v>
      </c>
      <c r="Q909" s="7"/>
      <c r="R909" s="7"/>
      <c r="S909" s="3" t="s">
        <v>40</v>
      </c>
      <c r="T909" s="7" t="s">
        <v>41</v>
      </c>
      <c r="U909" s="7"/>
      <c r="V909" s="4" t="s">
        <v>42</v>
      </c>
      <c r="W909" s="4" t="s">
        <v>234</v>
      </c>
      <c r="X909" s="4" t="s">
        <v>235</v>
      </c>
      <c r="Y909" s="7" t="s">
        <v>78</v>
      </c>
      <c r="Z909" s="7"/>
      <c r="AA909" s="4" t="s">
        <v>46</v>
      </c>
      <c r="AB909" s="4" t="s">
        <v>47</v>
      </c>
      <c r="AC909" s="4" t="s">
        <v>136</v>
      </c>
      <c r="AD909" s="4" t="s">
        <v>148</v>
      </c>
      <c r="AE909" s="4" t="s">
        <v>48</v>
      </c>
      <c r="AF909" s="4" t="s">
        <v>41</v>
      </c>
      <c r="AG909" s="4" t="s">
        <v>1930</v>
      </c>
    </row>
    <row r="910" spans="1:33" ht="16.5" customHeight="1" x14ac:dyDescent="0.2">
      <c r="A910" s="2" t="s">
        <v>31</v>
      </c>
      <c r="B910" s="5" t="s">
        <v>54</v>
      </c>
      <c r="C910" s="5"/>
      <c r="D910" s="5"/>
      <c r="E910" s="6" t="s">
        <v>33</v>
      </c>
      <c r="F910" s="6"/>
      <c r="G910" s="7" t="s">
        <v>1925</v>
      </c>
      <c r="H910" s="7"/>
      <c r="I910" s="7"/>
      <c r="J910" s="3" t="s">
        <v>35</v>
      </c>
      <c r="K910" s="4" t="s">
        <v>55</v>
      </c>
      <c r="L910" s="4" t="s">
        <v>280</v>
      </c>
      <c r="N910" s="7" t="s">
        <v>2021</v>
      </c>
      <c r="O910" s="7"/>
      <c r="P910" s="7" t="s">
        <v>2022</v>
      </c>
      <c r="Q910" s="7"/>
      <c r="R910" s="7"/>
      <c r="S910" s="3" t="s">
        <v>40</v>
      </c>
      <c r="T910" s="7" t="s">
        <v>41</v>
      </c>
      <c r="U910" s="7"/>
      <c r="V910" s="4" t="s">
        <v>42</v>
      </c>
      <c r="W910" s="4" t="s">
        <v>234</v>
      </c>
      <c r="X910" s="4" t="s">
        <v>235</v>
      </c>
      <c r="Y910" s="7" t="s">
        <v>60</v>
      </c>
      <c r="Z910" s="7"/>
      <c r="AA910" s="4" t="s">
        <v>46</v>
      </c>
      <c r="AB910" s="4" t="s">
        <v>47</v>
      </c>
      <c r="AC910" s="4" t="s">
        <v>79</v>
      </c>
      <c r="AD910" s="4" t="s">
        <v>285</v>
      </c>
      <c r="AE910" s="4" t="s">
        <v>48</v>
      </c>
      <c r="AF910" s="4" t="s">
        <v>41</v>
      </c>
      <c r="AG910" s="4" t="s">
        <v>1930</v>
      </c>
    </row>
    <row r="911" spans="1:33" ht="16.5" customHeight="1" x14ac:dyDescent="0.2">
      <c r="A911" s="2" t="s">
        <v>31</v>
      </c>
      <c r="B911" s="5" t="s">
        <v>54</v>
      </c>
      <c r="C911" s="5"/>
      <c r="D911" s="5"/>
      <c r="E911" s="6" t="s">
        <v>33</v>
      </c>
      <c r="F911" s="6"/>
      <c r="G911" s="7" t="s">
        <v>1925</v>
      </c>
      <c r="H911" s="7"/>
      <c r="I911" s="7"/>
      <c r="J911" s="3" t="s">
        <v>35</v>
      </c>
      <c r="K911" s="4" t="s">
        <v>130</v>
      </c>
      <c r="L911" s="4" t="s">
        <v>37</v>
      </c>
      <c r="N911" s="7" t="s">
        <v>2023</v>
      </c>
      <c r="O911" s="7"/>
      <c r="P911" s="7" t="s">
        <v>2024</v>
      </c>
      <c r="Q911" s="7"/>
      <c r="R911" s="7"/>
      <c r="S911" s="3" t="s">
        <v>40</v>
      </c>
      <c r="T911" s="7" t="s">
        <v>41</v>
      </c>
      <c r="U911" s="7"/>
      <c r="V911" s="4" t="s">
        <v>42</v>
      </c>
      <c r="W911" s="4" t="s">
        <v>234</v>
      </c>
      <c r="X911" s="4" t="s">
        <v>235</v>
      </c>
      <c r="Y911" s="7" t="s">
        <v>135</v>
      </c>
      <c r="Z911" s="7"/>
      <c r="AA911" s="4" t="s">
        <v>46</v>
      </c>
      <c r="AB911" s="4" t="s">
        <v>47</v>
      </c>
      <c r="AC911" s="4" t="s">
        <v>136</v>
      </c>
      <c r="AD911" s="4" t="s">
        <v>137</v>
      </c>
      <c r="AE911" s="4" t="s">
        <v>48</v>
      </c>
      <c r="AF911" s="4" t="s">
        <v>41</v>
      </c>
      <c r="AG911" s="4" t="s">
        <v>1930</v>
      </c>
    </row>
    <row r="912" spans="1:33" ht="16.5" customHeight="1" x14ac:dyDescent="0.2">
      <c r="A912" s="2" t="s">
        <v>31</v>
      </c>
      <c r="B912" s="5" t="s">
        <v>54</v>
      </c>
      <c r="C912" s="5"/>
      <c r="D912" s="5"/>
      <c r="E912" s="6" t="s">
        <v>33</v>
      </c>
      <c r="F912" s="6"/>
      <c r="G912" s="7" t="s">
        <v>1925</v>
      </c>
      <c r="H912" s="7"/>
      <c r="I912" s="7"/>
      <c r="J912" s="3" t="s">
        <v>35</v>
      </c>
      <c r="K912" s="4" t="s">
        <v>81</v>
      </c>
      <c r="L912" s="4" t="s">
        <v>37</v>
      </c>
      <c r="N912" s="7" t="s">
        <v>2025</v>
      </c>
      <c r="O912" s="7"/>
      <c r="P912" s="7" t="s">
        <v>2026</v>
      </c>
      <c r="Q912" s="7"/>
      <c r="R912" s="7"/>
      <c r="S912" s="3" t="s">
        <v>40</v>
      </c>
      <c r="T912" s="7" t="s">
        <v>41</v>
      </c>
      <c r="U912" s="7"/>
      <c r="V912" s="4" t="s">
        <v>42</v>
      </c>
      <c r="W912" s="4" t="s">
        <v>360</v>
      </c>
      <c r="X912" s="4" t="s">
        <v>361</v>
      </c>
      <c r="Y912" s="7" t="s">
        <v>78</v>
      </c>
      <c r="Z912" s="7"/>
      <c r="AA912" s="4" t="s">
        <v>46</v>
      </c>
      <c r="AB912" s="4" t="s">
        <v>47</v>
      </c>
      <c r="AC912" s="4" t="s">
        <v>79</v>
      </c>
      <c r="AD912" s="4" t="s">
        <v>80</v>
      </c>
      <c r="AE912" s="4" t="s">
        <v>48</v>
      </c>
      <c r="AF912" s="4" t="s">
        <v>41</v>
      </c>
      <c r="AG912" s="4" t="s">
        <v>1930</v>
      </c>
    </row>
    <row r="913" spans="1:33" ht="16.5" customHeight="1" x14ac:dyDescent="0.2">
      <c r="A913" s="2" t="s">
        <v>31</v>
      </c>
      <c r="B913" s="5" t="s">
        <v>54</v>
      </c>
      <c r="C913" s="5"/>
      <c r="D913" s="5"/>
      <c r="E913" s="6" t="s">
        <v>33</v>
      </c>
      <c r="F913" s="6"/>
      <c r="G913" s="7" t="s">
        <v>1925</v>
      </c>
      <c r="H913" s="7"/>
      <c r="I913" s="7"/>
      <c r="J913" s="3" t="s">
        <v>35</v>
      </c>
      <c r="K913" s="4" t="s">
        <v>81</v>
      </c>
      <c r="L913" s="4" t="s">
        <v>37</v>
      </c>
      <c r="N913" s="7" t="s">
        <v>2027</v>
      </c>
      <c r="O913" s="7"/>
      <c r="P913" s="7" t="s">
        <v>2028</v>
      </c>
      <c r="Q913" s="7"/>
      <c r="R913" s="7"/>
      <c r="S913" s="3" t="s">
        <v>40</v>
      </c>
      <c r="T913" s="7" t="s">
        <v>41</v>
      </c>
      <c r="U913" s="7"/>
      <c r="V913" s="4" t="s">
        <v>42</v>
      </c>
      <c r="W913" s="4" t="s">
        <v>360</v>
      </c>
      <c r="X913" s="4" t="s">
        <v>361</v>
      </c>
      <c r="Y913" s="7" t="s">
        <v>78</v>
      </c>
      <c r="Z913" s="7"/>
      <c r="AA913" s="4" t="s">
        <v>46</v>
      </c>
      <c r="AB913" s="4" t="s">
        <v>47</v>
      </c>
      <c r="AC913" s="4" t="s">
        <v>79</v>
      </c>
      <c r="AD913" s="4" t="s">
        <v>80</v>
      </c>
      <c r="AE913" s="4" t="s">
        <v>48</v>
      </c>
      <c r="AF913" s="4" t="s">
        <v>41</v>
      </c>
      <c r="AG913" s="4" t="s">
        <v>1930</v>
      </c>
    </row>
    <row r="914" spans="1:33" ht="16.5" customHeight="1" x14ac:dyDescent="0.2">
      <c r="A914" s="2" t="s">
        <v>31</v>
      </c>
      <c r="B914" s="5" t="s">
        <v>54</v>
      </c>
      <c r="C914" s="5"/>
      <c r="D914" s="5"/>
      <c r="E914" s="6" t="s">
        <v>33</v>
      </c>
      <c r="F914" s="6"/>
      <c r="G914" s="7" t="s">
        <v>1925</v>
      </c>
      <c r="H914" s="7"/>
      <c r="I914" s="7"/>
      <c r="J914" s="3" t="s">
        <v>35</v>
      </c>
      <c r="K914" s="4" t="s">
        <v>143</v>
      </c>
      <c r="L914" s="4" t="s">
        <v>93</v>
      </c>
      <c r="N914" s="7" t="s">
        <v>2029</v>
      </c>
      <c r="O914" s="7"/>
      <c r="P914" s="7" t="s">
        <v>2030</v>
      </c>
      <c r="Q914" s="7"/>
      <c r="R914" s="7"/>
      <c r="S914" s="3" t="s">
        <v>40</v>
      </c>
      <c r="T914" s="7" t="s">
        <v>41</v>
      </c>
      <c r="U914" s="7"/>
      <c r="V914" s="4" t="s">
        <v>42</v>
      </c>
      <c r="W914" s="4" t="s">
        <v>181</v>
      </c>
      <c r="X914" s="4" t="s">
        <v>182</v>
      </c>
      <c r="Y914" s="7" t="s">
        <v>135</v>
      </c>
      <c r="Z914" s="7"/>
      <c r="AA914" s="4" t="s">
        <v>46</v>
      </c>
      <c r="AB914" s="4" t="s">
        <v>47</v>
      </c>
      <c r="AC914" s="4" t="s">
        <v>79</v>
      </c>
      <c r="AD914" s="4" t="s">
        <v>96</v>
      </c>
      <c r="AE914" s="4" t="s">
        <v>48</v>
      </c>
      <c r="AF914" s="4" t="s">
        <v>41</v>
      </c>
      <c r="AG914" s="4" t="s">
        <v>1930</v>
      </c>
    </row>
    <row r="915" spans="1:33" ht="16.5" customHeight="1" x14ac:dyDescent="0.2">
      <c r="A915" s="2" t="s">
        <v>31</v>
      </c>
      <c r="B915" s="5" t="s">
        <v>54</v>
      </c>
      <c r="C915" s="5"/>
      <c r="D915" s="5"/>
      <c r="E915" s="6" t="s">
        <v>33</v>
      </c>
      <c r="F915" s="6"/>
      <c r="G915" s="7" t="s">
        <v>1925</v>
      </c>
      <c r="H915" s="7"/>
      <c r="I915" s="7"/>
      <c r="J915" s="3" t="s">
        <v>35</v>
      </c>
      <c r="K915" s="4" t="s">
        <v>118</v>
      </c>
      <c r="L915" s="4" t="s">
        <v>37</v>
      </c>
      <c r="N915" s="7" t="s">
        <v>2031</v>
      </c>
      <c r="O915" s="7"/>
      <c r="P915" s="7" t="s">
        <v>2032</v>
      </c>
      <c r="Q915" s="7"/>
      <c r="R915" s="7"/>
      <c r="S915" s="3" t="s">
        <v>40</v>
      </c>
      <c r="T915" s="7" t="s">
        <v>41</v>
      </c>
      <c r="U915" s="7"/>
      <c r="V915" s="4" t="s">
        <v>42</v>
      </c>
      <c r="W915" s="4" t="s">
        <v>90</v>
      </c>
      <c r="X915" s="4" t="s">
        <v>91</v>
      </c>
      <c r="Y915" s="7" t="s">
        <v>60</v>
      </c>
      <c r="Z915" s="7"/>
      <c r="AA915" s="4" t="s">
        <v>46</v>
      </c>
      <c r="AB915" s="4" t="s">
        <v>47</v>
      </c>
      <c r="AC915" s="4" t="s">
        <v>61</v>
      </c>
      <c r="AD915" s="4" t="s">
        <v>62</v>
      </c>
      <c r="AE915" s="4" t="s">
        <v>48</v>
      </c>
      <c r="AF915" s="4" t="s">
        <v>41</v>
      </c>
      <c r="AG915" s="4" t="s">
        <v>1930</v>
      </c>
    </row>
    <row r="916" spans="1:33" ht="16.5" customHeight="1" x14ac:dyDescent="0.2">
      <c r="A916" s="2" t="s">
        <v>31</v>
      </c>
      <c r="B916" s="5" t="s">
        <v>54</v>
      </c>
      <c r="C916" s="5"/>
      <c r="D916" s="5"/>
      <c r="E916" s="6" t="s">
        <v>33</v>
      </c>
      <c r="F916" s="6"/>
      <c r="G916" s="7" t="s">
        <v>1925</v>
      </c>
      <c r="H916" s="7"/>
      <c r="I916" s="7"/>
      <c r="J916" s="3" t="s">
        <v>35</v>
      </c>
      <c r="K916" s="4" t="s">
        <v>92</v>
      </c>
      <c r="L916" s="4" t="s">
        <v>37</v>
      </c>
      <c r="N916" s="7" t="s">
        <v>2033</v>
      </c>
      <c r="O916" s="7"/>
      <c r="P916" s="7" t="s">
        <v>2034</v>
      </c>
      <c r="Q916" s="7"/>
      <c r="R916" s="7"/>
      <c r="S916" s="3" t="s">
        <v>40</v>
      </c>
      <c r="T916" s="7" t="s">
        <v>41</v>
      </c>
      <c r="U916" s="7"/>
      <c r="V916" s="4" t="s">
        <v>42</v>
      </c>
      <c r="W916" s="4" t="s">
        <v>58</v>
      </c>
      <c r="X916" s="4" t="s">
        <v>59</v>
      </c>
      <c r="Y916" s="7" t="s">
        <v>78</v>
      </c>
      <c r="Z916" s="7"/>
      <c r="AA916" s="4" t="s">
        <v>46</v>
      </c>
      <c r="AB916" s="4" t="s">
        <v>47</v>
      </c>
      <c r="AC916" s="4" t="s">
        <v>79</v>
      </c>
      <c r="AD916" s="4" t="s">
        <v>80</v>
      </c>
      <c r="AE916" s="4" t="s">
        <v>48</v>
      </c>
      <c r="AF916" s="4" t="s">
        <v>41</v>
      </c>
      <c r="AG916" s="4" t="s">
        <v>1930</v>
      </c>
    </row>
    <row r="917" spans="1:33" ht="16.5" customHeight="1" x14ac:dyDescent="0.2">
      <c r="A917" s="2" t="s">
        <v>31</v>
      </c>
      <c r="B917" s="5" t="s">
        <v>54</v>
      </c>
      <c r="C917" s="5"/>
      <c r="D917" s="5"/>
      <c r="E917" s="6" t="s">
        <v>33</v>
      </c>
      <c r="F917" s="6"/>
      <c r="G917" s="7" t="s">
        <v>1925</v>
      </c>
      <c r="H917" s="7"/>
      <c r="I917" s="7"/>
      <c r="J917" s="3" t="s">
        <v>35</v>
      </c>
      <c r="K917" s="4" t="s">
        <v>118</v>
      </c>
      <c r="L917" s="4" t="s">
        <v>37</v>
      </c>
      <c r="N917" s="7" t="s">
        <v>2035</v>
      </c>
      <c r="O917" s="7"/>
      <c r="P917" s="7" t="s">
        <v>2036</v>
      </c>
      <c r="Q917" s="7"/>
      <c r="R917" s="7"/>
      <c r="S917" s="3" t="s">
        <v>40</v>
      </c>
      <c r="T917" s="7" t="s">
        <v>41</v>
      </c>
      <c r="U917" s="7"/>
      <c r="V917" s="4" t="s">
        <v>42</v>
      </c>
      <c r="W917" s="4" t="s">
        <v>58</v>
      </c>
      <c r="X917" s="4" t="s">
        <v>59</v>
      </c>
      <c r="Y917" s="7" t="s">
        <v>60</v>
      </c>
      <c r="Z917" s="7"/>
      <c r="AA917" s="4" t="s">
        <v>46</v>
      </c>
      <c r="AB917" s="4" t="s">
        <v>47</v>
      </c>
      <c r="AC917" s="4" t="s">
        <v>61</v>
      </c>
      <c r="AD917" s="4" t="s">
        <v>62</v>
      </c>
      <c r="AE917" s="4" t="s">
        <v>48</v>
      </c>
      <c r="AF917" s="4" t="s">
        <v>41</v>
      </c>
      <c r="AG917" s="4" t="s">
        <v>1930</v>
      </c>
    </row>
    <row r="918" spans="1:33" ht="16.5" customHeight="1" x14ac:dyDescent="0.2">
      <c r="A918" s="2" t="s">
        <v>31</v>
      </c>
      <c r="B918" s="5" t="s">
        <v>54</v>
      </c>
      <c r="C918" s="5"/>
      <c r="D918" s="5"/>
      <c r="E918" s="6" t="s">
        <v>33</v>
      </c>
      <c r="F918" s="6"/>
      <c r="G918" s="7" t="s">
        <v>1925</v>
      </c>
      <c r="H918" s="7"/>
      <c r="I918" s="7"/>
      <c r="J918" s="3" t="s">
        <v>35</v>
      </c>
      <c r="K918" s="4" t="s">
        <v>387</v>
      </c>
      <c r="L918" s="4" t="s">
        <v>37</v>
      </c>
      <c r="N918" s="7" t="s">
        <v>2037</v>
      </c>
      <c r="O918" s="7"/>
      <c r="P918" s="7" t="s">
        <v>2038</v>
      </c>
      <c r="Q918" s="7"/>
      <c r="R918" s="7"/>
      <c r="S918" s="3" t="s">
        <v>40</v>
      </c>
      <c r="T918" s="7" t="s">
        <v>41</v>
      </c>
      <c r="U918" s="7"/>
      <c r="V918" s="4" t="s">
        <v>42</v>
      </c>
      <c r="W918" s="4" t="s">
        <v>58</v>
      </c>
      <c r="X918" s="4" t="s">
        <v>59</v>
      </c>
      <c r="Y918" s="7" t="s">
        <v>197</v>
      </c>
      <c r="Z918" s="7"/>
      <c r="AA918" s="4" t="s">
        <v>46</v>
      </c>
      <c r="AB918" s="4" t="s">
        <v>47</v>
      </c>
      <c r="AC918" s="4" t="s">
        <v>136</v>
      </c>
      <c r="AD918" s="4" t="s">
        <v>137</v>
      </c>
      <c r="AE918" s="4" t="s">
        <v>48</v>
      </c>
      <c r="AF918" s="4" t="s">
        <v>41</v>
      </c>
      <c r="AG918" s="4" t="s">
        <v>1930</v>
      </c>
    </row>
    <row r="919" spans="1:33" ht="16.5" customHeight="1" x14ac:dyDescent="0.2">
      <c r="A919" s="2" t="s">
        <v>31</v>
      </c>
      <c r="B919" s="5" t="s">
        <v>54</v>
      </c>
      <c r="C919" s="5"/>
      <c r="D919" s="5"/>
      <c r="E919" s="6" t="s">
        <v>33</v>
      </c>
      <c r="F919" s="6"/>
      <c r="G919" s="7" t="s">
        <v>1925</v>
      </c>
      <c r="H919" s="7"/>
      <c r="I919" s="7"/>
      <c r="J919" s="3" t="s">
        <v>35</v>
      </c>
      <c r="K919" s="4" t="s">
        <v>73</v>
      </c>
      <c r="L919" s="4" t="s">
        <v>37</v>
      </c>
      <c r="N919" s="7" t="s">
        <v>2039</v>
      </c>
      <c r="O919" s="7"/>
      <c r="P919" s="7" t="s">
        <v>2040</v>
      </c>
      <c r="Q919" s="7"/>
      <c r="R919" s="7"/>
      <c r="S919" s="3" t="s">
        <v>40</v>
      </c>
      <c r="T919" s="7" t="s">
        <v>41</v>
      </c>
      <c r="U919" s="7"/>
      <c r="V919" s="4" t="s">
        <v>42</v>
      </c>
      <c r="W919" s="4" t="s">
        <v>58</v>
      </c>
      <c r="X919" s="4" t="s">
        <v>59</v>
      </c>
      <c r="Y919" s="7" t="s">
        <v>78</v>
      </c>
      <c r="Z919" s="7"/>
      <c r="AA919" s="4" t="s">
        <v>46</v>
      </c>
      <c r="AB919" s="4" t="s">
        <v>47</v>
      </c>
      <c r="AC919" s="4" t="s">
        <v>79</v>
      </c>
      <c r="AD919" s="4" t="s">
        <v>80</v>
      </c>
      <c r="AE919" s="4" t="s">
        <v>48</v>
      </c>
      <c r="AF919" s="4" t="s">
        <v>41</v>
      </c>
      <c r="AG919" s="4" t="s">
        <v>1930</v>
      </c>
    </row>
    <row r="920" spans="1:33" ht="16.5" customHeight="1" x14ac:dyDescent="0.2">
      <c r="A920" s="2" t="s">
        <v>31</v>
      </c>
      <c r="B920" s="5" t="s">
        <v>54</v>
      </c>
      <c r="C920" s="5"/>
      <c r="D920" s="5"/>
      <c r="E920" s="6" t="s">
        <v>33</v>
      </c>
      <c r="F920" s="6"/>
      <c r="G920" s="7" t="s">
        <v>1925</v>
      </c>
      <c r="H920" s="7"/>
      <c r="I920" s="7"/>
      <c r="J920" s="3" t="s">
        <v>35</v>
      </c>
      <c r="K920" s="4" t="s">
        <v>118</v>
      </c>
      <c r="L920" s="4" t="s">
        <v>93</v>
      </c>
      <c r="N920" s="7" t="s">
        <v>2041</v>
      </c>
      <c r="O920" s="7"/>
      <c r="P920" s="7" t="s">
        <v>2042</v>
      </c>
      <c r="Q920" s="7"/>
      <c r="R920" s="7"/>
      <c r="S920" s="3" t="s">
        <v>40</v>
      </c>
      <c r="T920" s="7" t="s">
        <v>41</v>
      </c>
      <c r="U920" s="7"/>
      <c r="V920" s="4" t="s">
        <v>42</v>
      </c>
      <c r="W920" s="4" t="s">
        <v>51</v>
      </c>
      <c r="X920" s="4" t="s">
        <v>128</v>
      </c>
      <c r="Y920" s="7" t="s">
        <v>60</v>
      </c>
      <c r="Z920" s="7"/>
      <c r="AA920" s="4" t="s">
        <v>46</v>
      </c>
      <c r="AB920" s="4" t="s">
        <v>47</v>
      </c>
      <c r="AC920" s="4" t="s">
        <v>61</v>
      </c>
      <c r="AD920" s="4" t="s">
        <v>324</v>
      </c>
      <c r="AE920" s="4" t="s">
        <v>48</v>
      </c>
      <c r="AF920" s="4" t="s">
        <v>41</v>
      </c>
      <c r="AG920" s="4" t="s">
        <v>1930</v>
      </c>
    </row>
    <row r="921" spans="1:33" ht="16.5" customHeight="1" x14ac:dyDescent="0.2">
      <c r="A921" s="2" t="s">
        <v>31</v>
      </c>
      <c r="B921" s="5" t="s">
        <v>54</v>
      </c>
      <c r="C921" s="5"/>
      <c r="D921" s="5"/>
      <c r="E921" s="6" t="s">
        <v>33</v>
      </c>
      <c r="F921" s="6"/>
      <c r="G921" s="7" t="s">
        <v>1925</v>
      </c>
      <c r="H921" s="7"/>
      <c r="I921" s="7"/>
      <c r="J921" s="3" t="s">
        <v>35</v>
      </c>
      <c r="K921" s="4" t="s">
        <v>118</v>
      </c>
      <c r="L921" s="4" t="s">
        <v>93</v>
      </c>
      <c r="N921" s="7" t="s">
        <v>2041</v>
      </c>
      <c r="O921" s="7"/>
      <c r="P921" s="7" t="s">
        <v>2042</v>
      </c>
      <c r="Q921" s="7"/>
      <c r="R921" s="7"/>
      <c r="S921" s="3" t="s">
        <v>40</v>
      </c>
      <c r="T921" s="7" t="s">
        <v>41</v>
      </c>
      <c r="U921" s="7"/>
      <c r="V921" s="4" t="s">
        <v>42</v>
      </c>
      <c r="W921" s="4" t="s">
        <v>51</v>
      </c>
      <c r="X921" s="4" t="s">
        <v>128</v>
      </c>
      <c r="Y921" s="7" t="s">
        <v>60</v>
      </c>
      <c r="Z921" s="7"/>
      <c r="AA921" s="4" t="s">
        <v>46</v>
      </c>
      <c r="AB921" s="4" t="s">
        <v>47</v>
      </c>
      <c r="AC921" s="4" t="s">
        <v>61</v>
      </c>
      <c r="AD921" s="4" t="s">
        <v>324</v>
      </c>
      <c r="AE921" s="4" t="s">
        <v>48</v>
      </c>
      <c r="AF921" s="4" t="s">
        <v>41</v>
      </c>
      <c r="AG921" s="4" t="s">
        <v>1930</v>
      </c>
    </row>
    <row r="922" spans="1:33" ht="16.5" customHeight="1" x14ac:dyDescent="0.2">
      <c r="A922" s="2" t="s">
        <v>31</v>
      </c>
      <c r="B922" s="5" t="s">
        <v>54</v>
      </c>
      <c r="C922" s="5"/>
      <c r="D922" s="5"/>
      <c r="E922" s="6" t="s">
        <v>33</v>
      </c>
      <c r="F922" s="6"/>
      <c r="G922" s="7" t="s">
        <v>1925</v>
      </c>
      <c r="H922" s="7"/>
      <c r="I922" s="7"/>
      <c r="J922" s="3" t="s">
        <v>35</v>
      </c>
      <c r="K922" s="4" t="s">
        <v>118</v>
      </c>
      <c r="L922" s="4" t="s">
        <v>588</v>
      </c>
      <c r="N922" s="7" t="s">
        <v>2041</v>
      </c>
      <c r="O922" s="7"/>
      <c r="P922" s="7" t="s">
        <v>2042</v>
      </c>
      <c r="Q922" s="7"/>
      <c r="R922" s="7"/>
      <c r="S922" s="3" t="s">
        <v>40</v>
      </c>
      <c r="T922" s="7" t="s">
        <v>41</v>
      </c>
      <c r="U922" s="7"/>
      <c r="V922" s="4" t="s">
        <v>42</v>
      </c>
      <c r="W922" s="4" t="s">
        <v>51</v>
      </c>
      <c r="X922" s="4" t="s">
        <v>128</v>
      </c>
      <c r="Y922" s="7" t="s">
        <v>60</v>
      </c>
      <c r="Z922" s="7"/>
      <c r="AA922" s="4" t="s">
        <v>46</v>
      </c>
      <c r="AB922" s="4" t="s">
        <v>47</v>
      </c>
      <c r="AC922" s="4" t="s">
        <v>61</v>
      </c>
      <c r="AD922" s="4" t="s">
        <v>2043</v>
      </c>
      <c r="AE922" s="4" t="s">
        <v>48</v>
      </c>
      <c r="AF922" s="4" t="s">
        <v>41</v>
      </c>
      <c r="AG922" s="4" t="s">
        <v>1930</v>
      </c>
    </row>
    <row r="923" spans="1:33" ht="16.5" customHeight="1" x14ac:dyDescent="0.2">
      <c r="A923" s="2" t="s">
        <v>31</v>
      </c>
      <c r="B923" s="5" t="s">
        <v>108</v>
      </c>
      <c r="C923" s="5"/>
      <c r="D923" s="5"/>
      <c r="E923" s="6" t="s">
        <v>33</v>
      </c>
      <c r="F923" s="6"/>
      <c r="G923" s="7" t="s">
        <v>1925</v>
      </c>
      <c r="H923" s="7"/>
      <c r="I923" s="7"/>
      <c r="J923" s="3" t="s">
        <v>35</v>
      </c>
      <c r="K923" s="4" t="s">
        <v>398</v>
      </c>
      <c r="N923" s="7" t="s">
        <v>2044</v>
      </c>
      <c r="O923" s="7"/>
      <c r="P923" s="7" t="s">
        <v>2045</v>
      </c>
      <c r="Q923" s="7"/>
      <c r="R923" s="7"/>
      <c r="S923" s="3" t="s">
        <v>40</v>
      </c>
      <c r="T923" s="7" t="s">
        <v>2046</v>
      </c>
      <c r="U923" s="7"/>
      <c r="V923" s="4" t="s">
        <v>42</v>
      </c>
      <c r="W923" s="4" t="s">
        <v>58</v>
      </c>
      <c r="X923" s="4" t="s">
        <v>59</v>
      </c>
      <c r="Y923" s="7" t="s">
        <v>402</v>
      </c>
      <c r="Z923" s="7"/>
      <c r="AA923" s="4" t="s">
        <v>46</v>
      </c>
      <c r="AB923" s="4" t="s">
        <v>115</v>
      </c>
      <c r="AC923" s="4" t="s">
        <v>403</v>
      </c>
      <c r="AD923" s="4" t="s">
        <v>2047</v>
      </c>
      <c r="AE923" s="4" t="s">
        <v>48</v>
      </c>
      <c r="AF923" s="4" t="s">
        <v>41</v>
      </c>
      <c r="AG923" s="4" t="s">
        <v>1930</v>
      </c>
    </row>
    <row r="924" spans="1:33" ht="16.5" customHeight="1" x14ac:dyDescent="0.2">
      <c r="A924" s="2" t="s">
        <v>31</v>
      </c>
      <c r="B924" s="5" t="s">
        <v>108</v>
      </c>
      <c r="C924" s="5"/>
      <c r="D924" s="5"/>
      <c r="E924" s="6" t="s">
        <v>33</v>
      </c>
      <c r="F924" s="6"/>
      <c r="G924" s="7" t="s">
        <v>1925</v>
      </c>
      <c r="H924" s="7"/>
      <c r="I924" s="7"/>
      <c r="J924" s="3" t="s">
        <v>35</v>
      </c>
      <c r="K924" s="4" t="s">
        <v>398</v>
      </c>
      <c r="N924" s="7" t="s">
        <v>2044</v>
      </c>
      <c r="O924" s="7"/>
      <c r="P924" s="7" t="s">
        <v>2045</v>
      </c>
      <c r="Q924" s="7"/>
      <c r="R924" s="7"/>
      <c r="S924" s="3" t="s">
        <v>40</v>
      </c>
      <c r="T924" s="7" t="s">
        <v>2048</v>
      </c>
      <c r="U924" s="7"/>
      <c r="V924" s="4" t="s">
        <v>51</v>
      </c>
      <c r="W924" s="4" t="s">
        <v>58</v>
      </c>
      <c r="X924" s="4" t="s">
        <v>128</v>
      </c>
      <c r="Y924" s="7" t="s">
        <v>402</v>
      </c>
      <c r="Z924" s="7"/>
      <c r="AA924" s="4" t="s">
        <v>46</v>
      </c>
      <c r="AB924" s="4" t="s">
        <v>115</v>
      </c>
      <c r="AC924" s="4" t="s">
        <v>403</v>
      </c>
      <c r="AD924" s="4" t="s">
        <v>2049</v>
      </c>
      <c r="AE924" s="4" t="s">
        <v>48</v>
      </c>
      <c r="AF924" s="4" t="s">
        <v>41</v>
      </c>
      <c r="AG924" s="4" t="s">
        <v>1930</v>
      </c>
    </row>
    <row r="925" spans="1:33" ht="16.5" customHeight="1" x14ac:dyDescent="0.2">
      <c r="A925" s="2" t="s">
        <v>31</v>
      </c>
      <c r="B925" s="5" t="s">
        <v>108</v>
      </c>
      <c r="C925" s="5"/>
      <c r="D925" s="5"/>
      <c r="E925" s="6" t="s">
        <v>33</v>
      </c>
      <c r="F925" s="6"/>
      <c r="G925" s="7" t="s">
        <v>1925</v>
      </c>
      <c r="H925" s="7"/>
      <c r="I925" s="7"/>
      <c r="J925" s="3" t="s">
        <v>35</v>
      </c>
      <c r="K925" s="4" t="s">
        <v>398</v>
      </c>
      <c r="N925" s="7" t="s">
        <v>2044</v>
      </c>
      <c r="O925" s="7"/>
      <c r="P925" s="7" t="s">
        <v>2045</v>
      </c>
      <c r="Q925" s="7"/>
      <c r="R925" s="7"/>
      <c r="S925" s="3" t="s">
        <v>40</v>
      </c>
      <c r="T925" s="7" t="s">
        <v>2046</v>
      </c>
      <c r="U925" s="7"/>
      <c r="V925" s="4" t="s">
        <v>51</v>
      </c>
      <c r="W925" s="4" t="s">
        <v>58</v>
      </c>
      <c r="X925" s="4" t="s">
        <v>128</v>
      </c>
      <c r="Y925" s="7" t="s">
        <v>402</v>
      </c>
      <c r="Z925" s="7"/>
      <c r="AA925" s="4" t="s">
        <v>46</v>
      </c>
      <c r="AB925" s="4" t="s">
        <v>115</v>
      </c>
      <c r="AC925" s="4" t="s">
        <v>403</v>
      </c>
      <c r="AD925" s="4" t="s">
        <v>2047</v>
      </c>
      <c r="AE925" s="4" t="s">
        <v>48</v>
      </c>
      <c r="AF925" s="4" t="s">
        <v>41</v>
      </c>
      <c r="AG925" s="4" t="s">
        <v>1930</v>
      </c>
    </row>
    <row r="926" spans="1:33" ht="16.5" customHeight="1" x14ac:dyDescent="0.2">
      <c r="A926" s="2" t="s">
        <v>31</v>
      </c>
      <c r="B926" s="5" t="s">
        <v>108</v>
      </c>
      <c r="C926" s="5"/>
      <c r="D926" s="5"/>
      <c r="E926" s="6" t="s">
        <v>33</v>
      </c>
      <c r="F926" s="6"/>
      <c r="G926" s="7" t="s">
        <v>1925</v>
      </c>
      <c r="H926" s="7"/>
      <c r="I926" s="7"/>
      <c r="J926" s="3" t="s">
        <v>35</v>
      </c>
      <c r="K926" s="4" t="s">
        <v>398</v>
      </c>
      <c r="N926" s="7" t="s">
        <v>2050</v>
      </c>
      <c r="O926" s="7"/>
      <c r="P926" s="7" t="s">
        <v>2051</v>
      </c>
      <c r="Q926" s="7"/>
      <c r="R926" s="7"/>
      <c r="S926" s="3" t="s">
        <v>40</v>
      </c>
      <c r="T926" s="7" t="s">
        <v>945</v>
      </c>
      <c r="U926" s="7"/>
      <c r="V926" s="4" t="s">
        <v>950</v>
      </c>
      <c r="W926" s="4" t="s">
        <v>58</v>
      </c>
      <c r="X926" s="4" t="s">
        <v>386</v>
      </c>
      <c r="Y926" s="7" t="s">
        <v>402</v>
      </c>
      <c r="Z926" s="7"/>
      <c r="AA926" s="4" t="s">
        <v>46</v>
      </c>
      <c r="AB926" s="4" t="s">
        <v>115</v>
      </c>
      <c r="AC926" s="4" t="s">
        <v>403</v>
      </c>
      <c r="AD926" s="4" t="s">
        <v>946</v>
      </c>
      <c r="AE926" s="4" t="s">
        <v>48</v>
      </c>
      <c r="AF926" s="4" t="s">
        <v>41</v>
      </c>
      <c r="AG926" s="4" t="s">
        <v>1930</v>
      </c>
    </row>
    <row r="927" spans="1:33" ht="16.5" customHeight="1" x14ac:dyDescent="0.2">
      <c r="A927" s="2" t="s">
        <v>31</v>
      </c>
      <c r="B927" s="5" t="s">
        <v>108</v>
      </c>
      <c r="C927" s="5"/>
      <c r="D927" s="5"/>
      <c r="E927" s="6" t="s">
        <v>33</v>
      </c>
      <c r="F927" s="6"/>
      <c r="G927" s="7" t="s">
        <v>1925</v>
      </c>
      <c r="H927" s="7"/>
      <c r="I927" s="7"/>
      <c r="J927" s="3" t="s">
        <v>35</v>
      </c>
      <c r="K927" s="4" t="s">
        <v>398</v>
      </c>
      <c r="N927" s="7" t="s">
        <v>2050</v>
      </c>
      <c r="O927" s="7"/>
      <c r="P927" s="7" t="s">
        <v>2051</v>
      </c>
      <c r="Q927" s="7"/>
      <c r="R927" s="7"/>
      <c r="S927" s="3" t="s">
        <v>40</v>
      </c>
      <c r="T927" s="7" t="s">
        <v>945</v>
      </c>
      <c r="U927" s="7"/>
      <c r="V927" s="4" t="s">
        <v>42</v>
      </c>
      <c r="W927" s="4" t="s">
        <v>58</v>
      </c>
      <c r="X927" s="4" t="s">
        <v>59</v>
      </c>
      <c r="Y927" s="7" t="s">
        <v>402</v>
      </c>
      <c r="Z927" s="7"/>
      <c r="AA927" s="4" t="s">
        <v>46</v>
      </c>
      <c r="AB927" s="4" t="s">
        <v>115</v>
      </c>
      <c r="AC927" s="4" t="s">
        <v>403</v>
      </c>
      <c r="AD927" s="4" t="s">
        <v>946</v>
      </c>
      <c r="AE927" s="4" t="s">
        <v>48</v>
      </c>
      <c r="AF927" s="4" t="s">
        <v>41</v>
      </c>
      <c r="AG927" s="4" t="s">
        <v>1930</v>
      </c>
    </row>
    <row r="928" spans="1:33" ht="16.5" customHeight="1" x14ac:dyDescent="0.2">
      <c r="A928" s="2" t="s">
        <v>31</v>
      </c>
      <c r="B928" s="5" t="s">
        <v>108</v>
      </c>
      <c r="C928" s="5"/>
      <c r="D928" s="5"/>
      <c r="E928" s="6" t="s">
        <v>33</v>
      </c>
      <c r="F928" s="6"/>
      <c r="G928" s="7" t="s">
        <v>1925</v>
      </c>
      <c r="H928" s="7"/>
      <c r="I928" s="7"/>
      <c r="J928" s="3" t="s">
        <v>35</v>
      </c>
      <c r="K928" s="4" t="s">
        <v>398</v>
      </c>
      <c r="N928" s="7" t="s">
        <v>2050</v>
      </c>
      <c r="O928" s="7"/>
      <c r="P928" s="7" t="s">
        <v>2051</v>
      </c>
      <c r="Q928" s="7"/>
      <c r="R928" s="7"/>
      <c r="S928" s="3" t="s">
        <v>40</v>
      </c>
      <c r="T928" s="7" t="s">
        <v>945</v>
      </c>
      <c r="U928" s="7"/>
      <c r="V928" s="4" t="s">
        <v>51</v>
      </c>
      <c r="W928" s="4" t="s">
        <v>58</v>
      </c>
      <c r="X928" s="4" t="s">
        <v>128</v>
      </c>
      <c r="Y928" s="7" t="s">
        <v>402</v>
      </c>
      <c r="Z928" s="7"/>
      <c r="AA928" s="4" t="s">
        <v>46</v>
      </c>
      <c r="AB928" s="4" t="s">
        <v>115</v>
      </c>
      <c r="AC928" s="4" t="s">
        <v>403</v>
      </c>
      <c r="AD928" s="4" t="s">
        <v>946</v>
      </c>
      <c r="AE928" s="4" t="s">
        <v>48</v>
      </c>
      <c r="AF928" s="4" t="s">
        <v>41</v>
      </c>
      <c r="AG928" s="4" t="s">
        <v>1930</v>
      </c>
    </row>
    <row r="929" spans="1:33" ht="16.5" customHeight="1" x14ac:dyDescent="0.2">
      <c r="A929" s="2" t="s">
        <v>31</v>
      </c>
      <c r="B929" s="5" t="s">
        <v>1270</v>
      </c>
      <c r="C929" s="5"/>
      <c r="D929" s="5"/>
      <c r="E929" s="6" t="s">
        <v>33</v>
      </c>
      <c r="F929" s="6"/>
      <c r="G929" s="7" t="s">
        <v>2052</v>
      </c>
      <c r="H929" s="7"/>
      <c r="I929" s="7"/>
      <c r="J929" s="3" t="s">
        <v>35</v>
      </c>
      <c r="K929" s="4" t="s">
        <v>661</v>
      </c>
      <c r="L929" s="4" t="s">
        <v>37</v>
      </c>
      <c r="N929" s="7" t="s">
        <v>2053</v>
      </c>
      <c r="O929" s="7"/>
      <c r="P929" s="7" t="s">
        <v>2054</v>
      </c>
      <c r="Q929" s="7"/>
      <c r="R929" s="7"/>
      <c r="S929" s="3" t="s">
        <v>40</v>
      </c>
      <c r="T929" s="7" t="s">
        <v>41</v>
      </c>
      <c r="U929" s="7"/>
      <c r="V929" s="4" t="s">
        <v>950</v>
      </c>
      <c r="W929" s="4" t="s">
        <v>42</v>
      </c>
      <c r="X929" s="4" t="s">
        <v>128</v>
      </c>
      <c r="Y929" s="7" t="s">
        <v>664</v>
      </c>
      <c r="Z929" s="7"/>
      <c r="AA929" s="4" t="s">
        <v>46</v>
      </c>
      <c r="AB929" s="4" t="s">
        <v>47</v>
      </c>
      <c r="AD929" s="4" t="s">
        <v>2055</v>
      </c>
      <c r="AE929" s="4" t="s">
        <v>48</v>
      </c>
      <c r="AF929" s="4" t="s">
        <v>41</v>
      </c>
      <c r="AG929" s="4" t="s">
        <v>2056</v>
      </c>
    </row>
    <row r="930" spans="1:33" ht="16.5" customHeight="1" x14ac:dyDescent="0.2">
      <c r="A930" s="2" t="s">
        <v>31</v>
      </c>
      <c r="B930" s="5" t="s">
        <v>54</v>
      </c>
      <c r="C930" s="5"/>
      <c r="D930" s="5"/>
      <c r="E930" s="6" t="s">
        <v>33</v>
      </c>
      <c r="F930" s="6"/>
      <c r="G930" s="7" t="s">
        <v>2052</v>
      </c>
      <c r="H930" s="7"/>
      <c r="I930" s="7"/>
      <c r="J930" s="3" t="s">
        <v>35</v>
      </c>
      <c r="K930" s="4" t="s">
        <v>1906</v>
      </c>
      <c r="L930" s="4" t="s">
        <v>93</v>
      </c>
      <c r="N930" s="7" t="s">
        <v>2057</v>
      </c>
      <c r="O930" s="7"/>
      <c r="P930" s="7" t="s">
        <v>2058</v>
      </c>
      <c r="Q930" s="7"/>
      <c r="R930" s="7"/>
      <c r="S930" s="3" t="s">
        <v>40</v>
      </c>
      <c r="T930" s="7" t="s">
        <v>41</v>
      </c>
      <c r="U930" s="7"/>
      <c r="V930" s="4" t="s">
        <v>42</v>
      </c>
      <c r="W930" s="4" t="s">
        <v>234</v>
      </c>
      <c r="X930" s="4" t="s">
        <v>235</v>
      </c>
      <c r="Y930" s="7" t="s">
        <v>197</v>
      </c>
      <c r="Z930" s="7"/>
      <c r="AA930" s="4" t="s">
        <v>46</v>
      </c>
      <c r="AB930" s="4" t="s">
        <v>47</v>
      </c>
      <c r="AC930" s="4" t="s">
        <v>259</v>
      </c>
      <c r="AD930" s="4" t="s">
        <v>62</v>
      </c>
      <c r="AE930" s="4" t="s">
        <v>48</v>
      </c>
      <c r="AF930" s="4" t="s">
        <v>41</v>
      </c>
      <c r="AG930" s="4" t="s">
        <v>2056</v>
      </c>
    </row>
    <row r="931" spans="1:33" ht="16.5" customHeight="1" x14ac:dyDescent="0.2">
      <c r="A931" s="2" t="s">
        <v>31</v>
      </c>
      <c r="B931" s="5" t="s">
        <v>54</v>
      </c>
      <c r="C931" s="5"/>
      <c r="D931" s="5"/>
      <c r="E931" s="6" t="s">
        <v>33</v>
      </c>
      <c r="F931" s="6"/>
      <c r="G931" s="7" t="s">
        <v>2052</v>
      </c>
      <c r="H931" s="7"/>
      <c r="I931" s="7"/>
      <c r="J931" s="3" t="s">
        <v>35</v>
      </c>
      <c r="K931" s="4" t="s">
        <v>149</v>
      </c>
      <c r="L931" s="4" t="s">
        <v>588</v>
      </c>
      <c r="N931" s="7" t="s">
        <v>2059</v>
      </c>
      <c r="O931" s="7"/>
      <c r="P931" s="7" t="s">
        <v>2060</v>
      </c>
      <c r="Q931" s="7"/>
      <c r="R931" s="7"/>
      <c r="S931" s="3" t="s">
        <v>40</v>
      </c>
      <c r="T931" s="7" t="s">
        <v>41</v>
      </c>
      <c r="U931" s="7"/>
      <c r="V931" s="4" t="s">
        <v>51</v>
      </c>
      <c r="W931" s="4" t="s">
        <v>43</v>
      </c>
      <c r="X931" s="4" t="s">
        <v>52</v>
      </c>
      <c r="Y931" s="7" t="s">
        <v>78</v>
      </c>
      <c r="Z931" s="7"/>
      <c r="AA931" s="4" t="s">
        <v>46</v>
      </c>
      <c r="AB931" s="4" t="s">
        <v>47</v>
      </c>
      <c r="AC931" s="4" t="s">
        <v>136</v>
      </c>
      <c r="AD931" s="4" t="s">
        <v>1998</v>
      </c>
      <c r="AE931" s="4" t="s">
        <v>48</v>
      </c>
      <c r="AF931" s="4" t="s">
        <v>41</v>
      </c>
      <c r="AG931" s="4" t="s">
        <v>2056</v>
      </c>
    </row>
    <row r="932" spans="1:33" ht="16.5" customHeight="1" x14ac:dyDescent="0.2">
      <c r="A932" s="2" t="s">
        <v>31</v>
      </c>
      <c r="B932" s="5" t="s">
        <v>54</v>
      </c>
      <c r="C932" s="5"/>
      <c r="D932" s="5"/>
      <c r="E932" s="6" t="s">
        <v>33</v>
      </c>
      <c r="F932" s="6"/>
      <c r="G932" s="7" t="s">
        <v>2052</v>
      </c>
      <c r="H932" s="7"/>
      <c r="I932" s="7"/>
      <c r="J932" s="3" t="s">
        <v>35</v>
      </c>
      <c r="K932" s="4" t="s">
        <v>409</v>
      </c>
      <c r="L932" s="4" t="s">
        <v>37</v>
      </c>
      <c r="N932" s="7" t="s">
        <v>2061</v>
      </c>
      <c r="O932" s="7"/>
      <c r="P932" s="7" t="s">
        <v>2062</v>
      </c>
      <c r="Q932" s="7"/>
      <c r="R932" s="7"/>
      <c r="S932" s="3" t="s">
        <v>40</v>
      </c>
      <c r="T932" s="7" t="s">
        <v>41</v>
      </c>
      <c r="U932" s="7"/>
      <c r="V932" s="4" t="s">
        <v>42</v>
      </c>
      <c r="W932" s="4" t="s">
        <v>527</v>
      </c>
      <c r="X932" s="4" t="s">
        <v>528</v>
      </c>
      <c r="Y932" s="7" t="s">
        <v>60</v>
      </c>
      <c r="Z932" s="7"/>
      <c r="AA932" s="4" t="s">
        <v>46</v>
      </c>
      <c r="AB932" s="4" t="s">
        <v>47</v>
      </c>
      <c r="AC932" s="4" t="s">
        <v>79</v>
      </c>
      <c r="AD932" s="4" t="s">
        <v>80</v>
      </c>
      <c r="AE932" s="4" t="s">
        <v>48</v>
      </c>
      <c r="AF932" s="4" t="s">
        <v>41</v>
      </c>
      <c r="AG932" s="4" t="s">
        <v>2056</v>
      </c>
    </row>
    <row r="933" spans="1:33" ht="16.5" customHeight="1" x14ac:dyDescent="0.2">
      <c r="A933" s="2" t="s">
        <v>31</v>
      </c>
      <c r="B933" s="5" t="s">
        <v>54</v>
      </c>
      <c r="C933" s="5"/>
      <c r="D933" s="5"/>
      <c r="E933" s="6" t="s">
        <v>33</v>
      </c>
      <c r="F933" s="6"/>
      <c r="G933" s="7" t="s">
        <v>2052</v>
      </c>
      <c r="H933" s="7"/>
      <c r="I933" s="7"/>
      <c r="J933" s="3" t="s">
        <v>35</v>
      </c>
      <c r="K933" s="4" t="s">
        <v>248</v>
      </c>
      <c r="L933" s="4" t="s">
        <v>93</v>
      </c>
      <c r="N933" s="7" t="s">
        <v>2063</v>
      </c>
      <c r="O933" s="7"/>
      <c r="P933" s="7" t="s">
        <v>2064</v>
      </c>
      <c r="Q933" s="7"/>
      <c r="R933" s="7"/>
      <c r="S933" s="3" t="s">
        <v>40</v>
      </c>
      <c r="T933" s="7" t="s">
        <v>41</v>
      </c>
      <c r="U933" s="7"/>
      <c r="V933" s="4" t="s">
        <v>42</v>
      </c>
      <c r="W933" s="4" t="s">
        <v>58</v>
      </c>
      <c r="X933" s="4" t="s">
        <v>59</v>
      </c>
      <c r="Y933" s="7" t="s">
        <v>60</v>
      </c>
      <c r="Z933" s="7"/>
      <c r="AA933" s="4" t="s">
        <v>46</v>
      </c>
      <c r="AB933" s="4" t="s">
        <v>47</v>
      </c>
      <c r="AC933" s="4" t="s">
        <v>61</v>
      </c>
      <c r="AD933" s="4" t="s">
        <v>324</v>
      </c>
      <c r="AE933" s="4" t="s">
        <v>48</v>
      </c>
      <c r="AF933" s="4" t="s">
        <v>41</v>
      </c>
      <c r="AG933" s="4" t="s">
        <v>2056</v>
      </c>
    </row>
    <row r="934" spans="1:33" ht="16.5" customHeight="1" x14ac:dyDescent="0.2">
      <c r="A934" s="2" t="s">
        <v>31</v>
      </c>
      <c r="B934" s="5" t="s">
        <v>54</v>
      </c>
      <c r="C934" s="5"/>
      <c r="D934" s="5"/>
      <c r="E934" s="6" t="s">
        <v>33</v>
      </c>
      <c r="F934" s="6"/>
      <c r="G934" s="7" t="s">
        <v>2052</v>
      </c>
      <c r="H934" s="7"/>
      <c r="I934" s="7"/>
      <c r="J934" s="3" t="s">
        <v>35</v>
      </c>
      <c r="K934" s="4" t="s">
        <v>202</v>
      </c>
      <c r="L934" s="4" t="s">
        <v>37</v>
      </c>
      <c r="N934" s="7" t="s">
        <v>2065</v>
      </c>
      <c r="O934" s="7"/>
      <c r="P934" s="7" t="s">
        <v>2066</v>
      </c>
      <c r="Q934" s="7"/>
      <c r="R934" s="7"/>
      <c r="S934" s="3" t="s">
        <v>40</v>
      </c>
      <c r="T934" s="7" t="s">
        <v>41</v>
      </c>
      <c r="U934" s="7"/>
      <c r="V934" s="4" t="s">
        <v>42</v>
      </c>
      <c r="W934" s="4" t="s">
        <v>51</v>
      </c>
      <c r="X934" s="4" t="s">
        <v>128</v>
      </c>
      <c r="Y934" s="7" t="s">
        <v>197</v>
      </c>
      <c r="Z934" s="7"/>
      <c r="AA934" s="4" t="s">
        <v>46</v>
      </c>
      <c r="AB934" s="4" t="s">
        <v>47</v>
      </c>
      <c r="AC934" s="4" t="s">
        <v>136</v>
      </c>
      <c r="AD934" s="4" t="s">
        <v>137</v>
      </c>
      <c r="AE934" s="4" t="s">
        <v>48</v>
      </c>
      <c r="AF934" s="4" t="s">
        <v>41</v>
      </c>
      <c r="AG934" s="4" t="s">
        <v>2056</v>
      </c>
    </row>
    <row r="935" spans="1:33" ht="16.5" customHeight="1" x14ac:dyDescent="0.2">
      <c r="A935" s="2" t="s">
        <v>31</v>
      </c>
      <c r="B935" s="5" t="s">
        <v>54</v>
      </c>
      <c r="C935" s="5"/>
      <c r="D935" s="5"/>
      <c r="E935" s="6" t="s">
        <v>33</v>
      </c>
      <c r="F935" s="6"/>
      <c r="G935" s="7" t="s">
        <v>2052</v>
      </c>
      <c r="H935" s="7"/>
      <c r="I935" s="7"/>
      <c r="J935" s="3" t="s">
        <v>35</v>
      </c>
      <c r="K935" s="4" t="s">
        <v>149</v>
      </c>
      <c r="L935" s="4" t="s">
        <v>37</v>
      </c>
      <c r="N935" s="7" t="s">
        <v>2067</v>
      </c>
      <c r="O935" s="7"/>
      <c r="P935" s="7" t="s">
        <v>2068</v>
      </c>
      <c r="Q935" s="7"/>
      <c r="R935" s="7"/>
      <c r="S935" s="3" t="s">
        <v>40</v>
      </c>
      <c r="T935" s="7" t="s">
        <v>41</v>
      </c>
      <c r="U935" s="7"/>
      <c r="V935" s="4" t="s">
        <v>42</v>
      </c>
      <c r="W935" s="4" t="s">
        <v>158</v>
      </c>
      <c r="X935" s="4" t="s">
        <v>159</v>
      </c>
      <c r="Y935" s="7" t="s">
        <v>78</v>
      </c>
      <c r="Z935" s="7"/>
      <c r="AA935" s="4" t="s">
        <v>46</v>
      </c>
      <c r="AB935" s="4" t="s">
        <v>47</v>
      </c>
      <c r="AC935" s="4" t="s">
        <v>136</v>
      </c>
      <c r="AD935" s="4" t="s">
        <v>137</v>
      </c>
      <c r="AE935" s="4" t="s">
        <v>48</v>
      </c>
      <c r="AF935" s="4" t="s">
        <v>41</v>
      </c>
      <c r="AG935" s="4" t="s">
        <v>2056</v>
      </c>
    </row>
    <row r="936" spans="1:33" ht="16.5" customHeight="1" x14ac:dyDescent="0.2">
      <c r="A936" s="2" t="s">
        <v>31</v>
      </c>
      <c r="B936" s="5" t="s">
        <v>54</v>
      </c>
      <c r="C936" s="5"/>
      <c r="D936" s="5"/>
      <c r="E936" s="6" t="s">
        <v>33</v>
      </c>
      <c r="F936" s="6"/>
      <c r="G936" s="7" t="s">
        <v>2052</v>
      </c>
      <c r="H936" s="7"/>
      <c r="I936" s="7"/>
      <c r="J936" s="3" t="s">
        <v>35</v>
      </c>
      <c r="K936" s="4" t="s">
        <v>245</v>
      </c>
      <c r="L936" s="4" t="s">
        <v>280</v>
      </c>
      <c r="N936" s="7" t="s">
        <v>2069</v>
      </c>
      <c r="O936" s="7"/>
      <c r="P936" s="7" t="s">
        <v>2070</v>
      </c>
      <c r="Q936" s="7"/>
      <c r="R936" s="7"/>
      <c r="S936" s="3" t="s">
        <v>40</v>
      </c>
      <c r="T936" s="7" t="s">
        <v>41</v>
      </c>
      <c r="U936" s="7"/>
      <c r="V936" s="4" t="s">
        <v>51</v>
      </c>
      <c r="W936" s="4" t="s">
        <v>234</v>
      </c>
      <c r="X936" s="4" t="s">
        <v>344</v>
      </c>
      <c r="Y936" s="7" t="s">
        <v>78</v>
      </c>
      <c r="Z936" s="7"/>
      <c r="AA936" s="4" t="s">
        <v>46</v>
      </c>
      <c r="AB936" s="4" t="s">
        <v>47</v>
      </c>
      <c r="AC936" s="4" t="s">
        <v>136</v>
      </c>
      <c r="AD936" s="4" t="s">
        <v>324</v>
      </c>
      <c r="AE936" s="4" t="s">
        <v>48</v>
      </c>
      <c r="AF936" s="4" t="s">
        <v>41</v>
      </c>
      <c r="AG936" s="4" t="s">
        <v>2056</v>
      </c>
    </row>
    <row r="937" spans="1:33" ht="16.5" customHeight="1" x14ac:dyDescent="0.2">
      <c r="A937" s="2" t="s">
        <v>31</v>
      </c>
      <c r="B937" s="5" t="s">
        <v>54</v>
      </c>
      <c r="C937" s="5"/>
      <c r="D937" s="5"/>
      <c r="E937" s="6" t="s">
        <v>33</v>
      </c>
      <c r="F937" s="6"/>
      <c r="G937" s="7" t="s">
        <v>2052</v>
      </c>
      <c r="H937" s="7"/>
      <c r="I937" s="7"/>
      <c r="J937" s="3" t="s">
        <v>35</v>
      </c>
      <c r="K937" s="4" t="s">
        <v>55</v>
      </c>
      <c r="L937" s="4" t="s">
        <v>37</v>
      </c>
      <c r="N937" s="7" t="s">
        <v>2071</v>
      </c>
      <c r="O937" s="7"/>
      <c r="P937" s="7" t="s">
        <v>2072</v>
      </c>
      <c r="Q937" s="7"/>
      <c r="R937" s="7"/>
      <c r="S937" s="3" t="s">
        <v>40</v>
      </c>
      <c r="T937" s="7" t="s">
        <v>41</v>
      </c>
      <c r="U937" s="7"/>
      <c r="V937" s="4" t="s">
        <v>51</v>
      </c>
      <c r="W937" s="4" t="s">
        <v>168</v>
      </c>
      <c r="X937" s="4" t="s">
        <v>170</v>
      </c>
      <c r="Y937" s="7" t="s">
        <v>60</v>
      </c>
      <c r="Z937" s="7"/>
      <c r="AA937" s="4" t="s">
        <v>46</v>
      </c>
      <c r="AB937" s="4" t="s">
        <v>47</v>
      </c>
      <c r="AC937" s="4" t="s">
        <v>79</v>
      </c>
      <c r="AD937" s="4" t="s">
        <v>80</v>
      </c>
      <c r="AE937" s="4" t="s">
        <v>48</v>
      </c>
      <c r="AF937" s="4" t="s">
        <v>41</v>
      </c>
      <c r="AG937" s="4" t="s">
        <v>2056</v>
      </c>
    </row>
    <row r="938" spans="1:33" ht="16.5" customHeight="1" x14ac:dyDescent="0.2">
      <c r="A938" s="2" t="s">
        <v>31</v>
      </c>
      <c r="B938" s="5" t="s">
        <v>54</v>
      </c>
      <c r="C938" s="5"/>
      <c r="D938" s="5"/>
      <c r="E938" s="6" t="s">
        <v>33</v>
      </c>
      <c r="F938" s="6"/>
      <c r="G938" s="7" t="s">
        <v>2052</v>
      </c>
      <c r="H938" s="7"/>
      <c r="I938" s="7"/>
      <c r="J938" s="3" t="s">
        <v>35</v>
      </c>
      <c r="K938" s="4" t="s">
        <v>202</v>
      </c>
      <c r="L938" s="4" t="s">
        <v>93</v>
      </c>
      <c r="N938" s="7" t="s">
        <v>2073</v>
      </c>
      <c r="O938" s="7"/>
      <c r="P938" s="7" t="s">
        <v>2074</v>
      </c>
      <c r="Q938" s="7"/>
      <c r="R938" s="7"/>
      <c r="S938" s="3" t="s">
        <v>40</v>
      </c>
      <c r="T938" s="7" t="s">
        <v>41</v>
      </c>
      <c r="U938" s="7"/>
      <c r="V938" s="4" t="s">
        <v>42</v>
      </c>
      <c r="W938" s="4" t="s">
        <v>58</v>
      </c>
      <c r="X938" s="4" t="s">
        <v>59</v>
      </c>
      <c r="Y938" s="7" t="s">
        <v>197</v>
      </c>
      <c r="Z938" s="7"/>
      <c r="AA938" s="4" t="s">
        <v>46</v>
      </c>
      <c r="AB938" s="4" t="s">
        <v>47</v>
      </c>
      <c r="AC938" s="4" t="s">
        <v>136</v>
      </c>
      <c r="AD938" s="4" t="s">
        <v>148</v>
      </c>
      <c r="AE938" s="4" t="s">
        <v>48</v>
      </c>
      <c r="AF938" s="4" t="s">
        <v>41</v>
      </c>
      <c r="AG938" s="4" t="s">
        <v>2056</v>
      </c>
    </row>
    <row r="939" spans="1:33" ht="16.5" customHeight="1" x14ac:dyDescent="0.2">
      <c r="A939" s="2" t="s">
        <v>31</v>
      </c>
      <c r="B939" s="5" t="s">
        <v>54</v>
      </c>
      <c r="C939" s="5"/>
      <c r="D939" s="5"/>
      <c r="E939" s="6" t="s">
        <v>33</v>
      </c>
      <c r="F939" s="6"/>
      <c r="G939" s="7" t="s">
        <v>2052</v>
      </c>
      <c r="H939" s="7"/>
      <c r="I939" s="7"/>
      <c r="J939" s="3" t="s">
        <v>35</v>
      </c>
      <c r="K939" s="4" t="s">
        <v>409</v>
      </c>
      <c r="L939" s="4" t="s">
        <v>37</v>
      </c>
      <c r="N939" s="7" t="s">
        <v>2075</v>
      </c>
      <c r="O939" s="7"/>
      <c r="P939" s="7" t="s">
        <v>2076</v>
      </c>
      <c r="Q939" s="7"/>
      <c r="R939" s="7"/>
      <c r="S939" s="3" t="s">
        <v>40</v>
      </c>
      <c r="T939" s="7" t="s">
        <v>41</v>
      </c>
      <c r="U939" s="7"/>
      <c r="V939" s="4" t="s">
        <v>42</v>
      </c>
      <c r="W939" s="4" t="s">
        <v>217</v>
      </c>
      <c r="X939" s="4" t="s">
        <v>218</v>
      </c>
      <c r="Y939" s="7" t="s">
        <v>60</v>
      </c>
      <c r="Z939" s="7"/>
      <c r="AA939" s="4" t="s">
        <v>46</v>
      </c>
      <c r="AB939" s="4" t="s">
        <v>47</v>
      </c>
      <c r="AC939" s="4" t="s">
        <v>79</v>
      </c>
      <c r="AD939" s="4" t="s">
        <v>80</v>
      </c>
      <c r="AE939" s="4" t="s">
        <v>48</v>
      </c>
      <c r="AF939" s="4" t="s">
        <v>41</v>
      </c>
      <c r="AG939" s="4" t="s">
        <v>2056</v>
      </c>
    </row>
    <row r="940" spans="1:33" ht="16.5" customHeight="1" x14ac:dyDescent="0.2">
      <c r="A940" s="2" t="s">
        <v>31</v>
      </c>
      <c r="B940" s="5" t="s">
        <v>54</v>
      </c>
      <c r="C940" s="5"/>
      <c r="D940" s="5"/>
      <c r="E940" s="6" t="s">
        <v>33</v>
      </c>
      <c r="F940" s="6"/>
      <c r="G940" s="7" t="s">
        <v>2052</v>
      </c>
      <c r="H940" s="7"/>
      <c r="I940" s="7"/>
      <c r="J940" s="3" t="s">
        <v>35</v>
      </c>
      <c r="K940" s="4" t="s">
        <v>409</v>
      </c>
      <c r="L940" s="4" t="s">
        <v>37</v>
      </c>
      <c r="N940" s="7" t="s">
        <v>2077</v>
      </c>
      <c r="O940" s="7"/>
      <c r="P940" s="7" t="s">
        <v>2078</v>
      </c>
      <c r="Q940" s="7"/>
      <c r="R940" s="7"/>
      <c r="S940" s="3" t="s">
        <v>40</v>
      </c>
      <c r="T940" s="7" t="s">
        <v>41</v>
      </c>
      <c r="U940" s="7"/>
      <c r="V940" s="4" t="s">
        <v>42</v>
      </c>
      <c r="W940" s="4" t="s">
        <v>2079</v>
      </c>
      <c r="X940" s="4" t="s">
        <v>2080</v>
      </c>
      <c r="Y940" s="7" t="s">
        <v>60</v>
      </c>
      <c r="Z940" s="7"/>
      <c r="AA940" s="4" t="s">
        <v>46</v>
      </c>
      <c r="AB940" s="4" t="s">
        <v>47</v>
      </c>
      <c r="AC940" s="4" t="s">
        <v>72</v>
      </c>
      <c r="AD940" s="4" t="s">
        <v>41</v>
      </c>
      <c r="AE940" s="4" t="s">
        <v>48</v>
      </c>
      <c r="AF940" s="4" t="s">
        <v>41</v>
      </c>
      <c r="AG940" s="4" t="s">
        <v>2056</v>
      </c>
    </row>
    <row r="941" spans="1:33" ht="16.5" customHeight="1" x14ac:dyDescent="0.2">
      <c r="A941" s="2" t="s">
        <v>31</v>
      </c>
      <c r="B941" s="5" t="s">
        <v>54</v>
      </c>
      <c r="C941" s="5"/>
      <c r="D941" s="5"/>
      <c r="E941" s="6" t="s">
        <v>33</v>
      </c>
      <c r="F941" s="6"/>
      <c r="G941" s="7" t="s">
        <v>2052</v>
      </c>
      <c r="H941" s="7"/>
      <c r="I941" s="7"/>
      <c r="J941" s="3" t="s">
        <v>35</v>
      </c>
      <c r="K941" s="4" t="s">
        <v>409</v>
      </c>
      <c r="L941" s="4" t="s">
        <v>280</v>
      </c>
      <c r="N941" s="7" t="s">
        <v>2081</v>
      </c>
      <c r="O941" s="7"/>
      <c r="P941" s="7" t="s">
        <v>2082</v>
      </c>
      <c r="Q941" s="7"/>
      <c r="R941" s="7"/>
      <c r="S941" s="3" t="s">
        <v>40</v>
      </c>
      <c r="T941" s="7" t="s">
        <v>41</v>
      </c>
      <c r="U941" s="7"/>
      <c r="V941" s="4" t="s">
        <v>42</v>
      </c>
      <c r="W941" s="4" t="s">
        <v>527</v>
      </c>
      <c r="X941" s="4" t="s">
        <v>528</v>
      </c>
      <c r="Y941" s="7" t="s">
        <v>60</v>
      </c>
      <c r="Z941" s="7"/>
      <c r="AA941" s="4" t="s">
        <v>46</v>
      </c>
      <c r="AB941" s="4" t="s">
        <v>47</v>
      </c>
      <c r="AC941" s="4" t="s">
        <v>79</v>
      </c>
      <c r="AD941" s="4" t="s">
        <v>285</v>
      </c>
      <c r="AE941" s="4" t="s">
        <v>48</v>
      </c>
      <c r="AF941" s="4" t="s">
        <v>41</v>
      </c>
      <c r="AG941" s="4" t="s">
        <v>2056</v>
      </c>
    </row>
    <row r="942" spans="1:33" ht="16.5" customHeight="1" x14ac:dyDescent="0.2">
      <c r="A942" s="2" t="s">
        <v>31</v>
      </c>
      <c r="B942" s="5" t="s">
        <v>54</v>
      </c>
      <c r="C942" s="5"/>
      <c r="D942" s="5"/>
      <c r="E942" s="6" t="s">
        <v>33</v>
      </c>
      <c r="F942" s="6"/>
      <c r="G942" s="7" t="s">
        <v>2052</v>
      </c>
      <c r="H942" s="7"/>
      <c r="I942" s="7"/>
      <c r="J942" s="3" t="s">
        <v>35</v>
      </c>
      <c r="K942" s="4" t="s">
        <v>248</v>
      </c>
      <c r="L942" s="4" t="s">
        <v>37</v>
      </c>
      <c r="N942" s="7" t="s">
        <v>2083</v>
      </c>
      <c r="O942" s="7"/>
      <c r="P942" s="7" t="s">
        <v>2084</v>
      </c>
      <c r="Q942" s="7"/>
      <c r="R942" s="7"/>
      <c r="S942" s="3" t="s">
        <v>40</v>
      </c>
      <c r="T942" s="7" t="s">
        <v>41</v>
      </c>
      <c r="U942" s="7"/>
      <c r="V942" s="4" t="s">
        <v>42</v>
      </c>
      <c r="W942" s="4" t="s">
        <v>51</v>
      </c>
      <c r="X942" s="4" t="s">
        <v>128</v>
      </c>
      <c r="Y942" s="7" t="s">
        <v>60</v>
      </c>
      <c r="Z942" s="7"/>
      <c r="AA942" s="4" t="s">
        <v>46</v>
      </c>
      <c r="AB942" s="4" t="s">
        <v>47</v>
      </c>
      <c r="AC942" s="4" t="s">
        <v>61</v>
      </c>
      <c r="AD942" s="4" t="s">
        <v>62</v>
      </c>
      <c r="AE942" s="4" t="s">
        <v>48</v>
      </c>
      <c r="AF942" s="4" t="s">
        <v>41</v>
      </c>
      <c r="AG942" s="4" t="s">
        <v>2056</v>
      </c>
    </row>
    <row r="943" spans="1:33" ht="16.5" customHeight="1" x14ac:dyDescent="0.2">
      <c r="A943" s="2" t="s">
        <v>31</v>
      </c>
      <c r="B943" s="5" t="s">
        <v>54</v>
      </c>
      <c r="C943" s="5"/>
      <c r="D943" s="5"/>
      <c r="E943" s="6" t="s">
        <v>33</v>
      </c>
      <c r="F943" s="6"/>
      <c r="G943" s="7" t="s">
        <v>2052</v>
      </c>
      <c r="H943" s="7"/>
      <c r="I943" s="7"/>
      <c r="J943" s="3" t="s">
        <v>35</v>
      </c>
      <c r="K943" s="4" t="s">
        <v>130</v>
      </c>
      <c r="L943" s="4" t="s">
        <v>37</v>
      </c>
      <c r="N943" s="7" t="s">
        <v>2085</v>
      </c>
      <c r="O943" s="7"/>
      <c r="P943" s="7" t="s">
        <v>2086</v>
      </c>
      <c r="Q943" s="7"/>
      <c r="R943" s="7"/>
      <c r="S943" s="3" t="s">
        <v>40</v>
      </c>
      <c r="T943" s="7" t="s">
        <v>41</v>
      </c>
      <c r="U943" s="7"/>
      <c r="V943" s="4" t="s">
        <v>42</v>
      </c>
      <c r="W943" s="4" t="s">
        <v>229</v>
      </c>
      <c r="X943" s="4" t="s">
        <v>446</v>
      </c>
      <c r="Y943" s="7" t="s">
        <v>135</v>
      </c>
      <c r="Z943" s="7"/>
      <c r="AA943" s="4" t="s">
        <v>46</v>
      </c>
      <c r="AB943" s="4" t="s">
        <v>47</v>
      </c>
      <c r="AC943" s="4" t="s">
        <v>136</v>
      </c>
      <c r="AD943" s="4" t="s">
        <v>137</v>
      </c>
      <c r="AE943" s="4" t="s">
        <v>48</v>
      </c>
      <c r="AF943" s="4" t="s">
        <v>41</v>
      </c>
      <c r="AG943" s="4" t="s">
        <v>2056</v>
      </c>
    </row>
    <row r="944" spans="1:33" ht="16.5" customHeight="1" x14ac:dyDescent="0.2">
      <c r="A944" s="2" t="s">
        <v>31</v>
      </c>
      <c r="B944" s="5" t="s">
        <v>54</v>
      </c>
      <c r="C944" s="5"/>
      <c r="D944" s="5"/>
      <c r="E944" s="6" t="s">
        <v>33</v>
      </c>
      <c r="F944" s="6"/>
      <c r="G944" s="7" t="s">
        <v>2052</v>
      </c>
      <c r="H944" s="7"/>
      <c r="I944" s="7"/>
      <c r="J944" s="3" t="s">
        <v>35</v>
      </c>
      <c r="K944" s="4" t="s">
        <v>92</v>
      </c>
      <c r="L944" s="4" t="s">
        <v>37</v>
      </c>
      <c r="N944" s="7" t="s">
        <v>2087</v>
      </c>
      <c r="O944" s="7"/>
      <c r="P944" s="7" t="s">
        <v>2088</v>
      </c>
      <c r="Q944" s="7"/>
      <c r="R944" s="7"/>
      <c r="S944" s="3" t="s">
        <v>40</v>
      </c>
      <c r="T944" s="7" t="s">
        <v>41</v>
      </c>
      <c r="U944" s="7"/>
      <c r="V944" s="4" t="s">
        <v>42</v>
      </c>
      <c r="W944" s="4" t="s">
        <v>146</v>
      </c>
      <c r="X944" s="4" t="s">
        <v>147</v>
      </c>
      <c r="Y944" s="7" t="s">
        <v>78</v>
      </c>
      <c r="Z944" s="7"/>
      <c r="AA944" s="4" t="s">
        <v>46</v>
      </c>
      <c r="AB944" s="4" t="s">
        <v>47</v>
      </c>
      <c r="AC944" s="4" t="s">
        <v>136</v>
      </c>
      <c r="AD944" s="4" t="s">
        <v>137</v>
      </c>
      <c r="AE944" s="4" t="s">
        <v>48</v>
      </c>
      <c r="AF944" s="4" t="s">
        <v>41</v>
      </c>
      <c r="AG944" s="4" t="s">
        <v>2056</v>
      </c>
    </row>
    <row r="945" spans="1:33" ht="16.5" customHeight="1" x14ac:dyDescent="0.2">
      <c r="A945" s="2" t="s">
        <v>31</v>
      </c>
      <c r="B945" s="5" t="s">
        <v>54</v>
      </c>
      <c r="C945" s="5"/>
      <c r="D945" s="5"/>
      <c r="E945" s="6" t="s">
        <v>33</v>
      </c>
      <c r="F945" s="6"/>
      <c r="G945" s="7" t="s">
        <v>2052</v>
      </c>
      <c r="H945" s="7"/>
      <c r="I945" s="7"/>
      <c r="J945" s="3" t="s">
        <v>35</v>
      </c>
      <c r="K945" s="4" t="s">
        <v>73</v>
      </c>
      <c r="L945" s="4" t="s">
        <v>93</v>
      </c>
      <c r="N945" s="7" t="s">
        <v>2089</v>
      </c>
      <c r="O945" s="7"/>
      <c r="P945" s="7" t="s">
        <v>2090</v>
      </c>
      <c r="Q945" s="7"/>
      <c r="R945" s="7"/>
      <c r="S945" s="3" t="s">
        <v>40</v>
      </c>
      <c r="T945" s="7" t="s">
        <v>41</v>
      </c>
      <c r="U945" s="7"/>
      <c r="V945" s="4" t="s">
        <v>42</v>
      </c>
      <c r="W945" s="4" t="s">
        <v>772</v>
      </c>
      <c r="X945" s="4" t="s">
        <v>230</v>
      </c>
      <c r="Y945" s="7" t="s">
        <v>78</v>
      </c>
      <c r="Z945" s="7"/>
      <c r="AA945" s="4" t="s">
        <v>46</v>
      </c>
      <c r="AB945" s="4" t="s">
        <v>47</v>
      </c>
      <c r="AC945" s="4" t="s">
        <v>136</v>
      </c>
      <c r="AD945" s="4" t="s">
        <v>148</v>
      </c>
      <c r="AE945" s="4" t="s">
        <v>48</v>
      </c>
      <c r="AF945" s="4" t="s">
        <v>41</v>
      </c>
      <c r="AG945" s="4" t="s">
        <v>2056</v>
      </c>
    </row>
    <row r="946" spans="1:33" ht="16.5" customHeight="1" x14ac:dyDescent="0.2">
      <c r="A946" s="2" t="s">
        <v>31</v>
      </c>
      <c r="B946" s="5" t="s">
        <v>54</v>
      </c>
      <c r="C946" s="5"/>
      <c r="D946" s="5"/>
      <c r="E946" s="6" t="s">
        <v>33</v>
      </c>
      <c r="F946" s="6"/>
      <c r="G946" s="7" t="s">
        <v>2052</v>
      </c>
      <c r="H946" s="7"/>
      <c r="I946" s="7"/>
      <c r="J946" s="3" t="s">
        <v>35</v>
      </c>
      <c r="K946" s="4" t="s">
        <v>143</v>
      </c>
      <c r="L946" s="4" t="s">
        <v>37</v>
      </c>
      <c r="N946" s="7" t="s">
        <v>2091</v>
      </c>
      <c r="O946" s="7"/>
      <c r="P946" s="7" t="s">
        <v>2092</v>
      </c>
      <c r="Q946" s="7"/>
      <c r="R946" s="7"/>
      <c r="S946" s="3" t="s">
        <v>40</v>
      </c>
      <c r="T946" s="7" t="s">
        <v>41</v>
      </c>
      <c r="U946" s="7"/>
      <c r="V946" s="4" t="s">
        <v>42</v>
      </c>
      <c r="W946" s="4" t="s">
        <v>337</v>
      </c>
      <c r="X946" s="4" t="s">
        <v>338</v>
      </c>
      <c r="Y946" s="7" t="s">
        <v>135</v>
      </c>
      <c r="Z946" s="7"/>
      <c r="AA946" s="4" t="s">
        <v>46</v>
      </c>
      <c r="AB946" s="4" t="s">
        <v>47</v>
      </c>
      <c r="AC946" s="4" t="s">
        <v>136</v>
      </c>
      <c r="AD946" s="4" t="s">
        <v>137</v>
      </c>
      <c r="AE946" s="4" t="s">
        <v>48</v>
      </c>
      <c r="AF946" s="4" t="s">
        <v>41</v>
      </c>
      <c r="AG946" s="4" t="s">
        <v>2056</v>
      </c>
    </row>
    <row r="947" spans="1:33" ht="16.5" customHeight="1" x14ac:dyDescent="0.2">
      <c r="A947" s="2" t="s">
        <v>31</v>
      </c>
      <c r="B947" s="5" t="s">
        <v>54</v>
      </c>
      <c r="C947" s="5"/>
      <c r="D947" s="5"/>
      <c r="E947" s="6" t="s">
        <v>33</v>
      </c>
      <c r="F947" s="6"/>
      <c r="G947" s="7" t="s">
        <v>2052</v>
      </c>
      <c r="H947" s="7"/>
      <c r="I947" s="7"/>
      <c r="J947" s="3" t="s">
        <v>35</v>
      </c>
      <c r="K947" s="4" t="s">
        <v>143</v>
      </c>
      <c r="L947" s="4" t="s">
        <v>37</v>
      </c>
      <c r="N947" s="7" t="s">
        <v>2093</v>
      </c>
      <c r="O947" s="7"/>
      <c r="P947" s="7" t="s">
        <v>2094</v>
      </c>
      <c r="Q947" s="7"/>
      <c r="R947" s="7"/>
      <c r="S947" s="3" t="s">
        <v>40</v>
      </c>
      <c r="T947" s="7" t="s">
        <v>41</v>
      </c>
      <c r="U947" s="7"/>
      <c r="V947" s="4" t="s">
        <v>42</v>
      </c>
      <c r="W947" s="4" t="s">
        <v>564</v>
      </c>
      <c r="X947" s="4" t="s">
        <v>565</v>
      </c>
      <c r="Y947" s="7" t="s">
        <v>135</v>
      </c>
      <c r="Z947" s="7"/>
      <c r="AA947" s="4" t="s">
        <v>46</v>
      </c>
      <c r="AB947" s="4" t="s">
        <v>47</v>
      </c>
      <c r="AC947" s="4" t="s">
        <v>136</v>
      </c>
      <c r="AD947" s="4" t="s">
        <v>137</v>
      </c>
      <c r="AE947" s="4" t="s">
        <v>48</v>
      </c>
      <c r="AF947" s="4" t="s">
        <v>41</v>
      </c>
      <c r="AG947" s="4" t="s">
        <v>2056</v>
      </c>
    </row>
    <row r="948" spans="1:33" ht="16.5" customHeight="1" x14ac:dyDescent="0.2">
      <c r="A948" s="2" t="s">
        <v>31</v>
      </c>
      <c r="B948" s="5" t="s">
        <v>54</v>
      </c>
      <c r="C948" s="5"/>
      <c r="D948" s="5"/>
      <c r="E948" s="6" t="s">
        <v>33</v>
      </c>
      <c r="F948" s="6"/>
      <c r="G948" s="7" t="s">
        <v>2052</v>
      </c>
      <c r="H948" s="7"/>
      <c r="I948" s="7"/>
      <c r="J948" s="3" t="s">
        <v>35</v>
      </c>
      <c r="K948" s="4" t="s">
        <v>149</v>
      </c>
      <c r="L948" s="4" t="s">
        <v>37</v>
      </c>
      <c r="N948" s="7" t="s">
        <v>2095</v>
      </c>
      <c r="O948" s="7"/>
      <c r="P948" s="7" t="s">
        <v>2096</v>
      </c>
      <c r="Q948" s="7"/>
      <c r="R948" s="7"/>
      <c r="S948" s="3" t="s">
        <v>40</v>
      </c>
      <c r="T948" s="7" t="s">
        <v>41</v>
      </c>
      <c r="U948" s="7"/>
      <c r="V948" s="4" t="s">
        <v>42</v>
      </c>
      <c r="W948" s="4" t="s">
        <v>154</v>
      </c>
      <c r="X948" s="4" t="s">
        <v>155</v>
      </c>
      <c r="Y948" s="7" t="s">
        <v>78</v>
      </c>
      <c r="Z948" s="7"/>
      <c r="AA948" s="4" t="s">
        <v>46</v>
      </c>
      <c r="AB948" s="4" t="s">
        <v>47</v>
      </c>
      <c r="AC948" s="4" t="s">
        <v>136</v>
      </c>
      <c r="AD948" s="4" t="s">
        <v>137</v>
      </c>
      <c r="AE948" s="4" t="s">
        <v>48</v>
      </c>
      <c r="AF948" s="4" t="s">
        <v>41</v>
      </c>
      <c r="AG948" s="4" t="s">
        <v>2056</v>
      </c>
    </row>
    <row r="949" spans="1:33" ht="16.5" customHeight="1" x14ac:dyDescent="0.2">
      <c r="A949" s="2" t="s">
        <v>31</v>
      </c>
      <c r="B949" s="5" t="s">
        <v>108</v>
      </c>
      <c r="C949" s="5"/>
      <c r="D949" s="5"/>
      <c r="E949" s="6" t="s">
        <v>33</v>
      </c>
      <c r="F949" s="6"/>
      <c r="G949" s="7" t="s">
        <v>2052</v>
      </c>
      <c r="H949" s="7"/>
      <c r="I949" s="7"/>
      <c r="J949" s="3" t="s">
        <v>109</v>
      </c>
      <c r="K949" s="4" t="s">
        <v>558</v>
      </c>
      <c r="N949" s="7" t="s">
        <v>2095</v>
      </c>
      <c r="O949" s="7"/>
      <c r="P949" s="7" t="s">
        <v>2096</v>
      </c>
      <c r="Q949" s="7"/>
      <c r="R949" s="7"/>
      <c r="S949" s="3" t="s">
        <v>40</v>
      </c>
      <c r="T949" s="7" t="s">
        <v>424</v>
      </c>
      <c r="U949" s="7"/>
      <c r="V949" s="4" t="s">
        <v>42</v>
      </c>
      <c r="W949" s="4" t="s">
        <v>51</v>
      </c>
      <c r="X949" s="4" t="s">
        <v>155</v>
      </c>
      <c r="Y949" s="7" t="s">
        <v>114</v>
      </c>
      <c r="Z949" s="7"/>
      <c r="AA949" s="4" t="s">
        <v>46</v>
      </c>
      <c r="AB949" s="4" t="s">
        <v>115</v>
      </c>
      <c r="AC949" s="4" t="s">
        <v>243</v>
      </c>
      <c r="AD949" s="4" t="s">
        <v>425</v>
      </c>
      <c r="AE949" s="4" t="s">
        <v>48</v>
      </c>
      <c r="AF949" s="4" t="s">
        <v>41</v>
      </c>
      <c r="AG949" s="4" t="s">
        <v>2056</v>
      </c>
    </row>
    <row r="950" spans="1:33" ht="16.5" customHeight="1" x14ac:dyDescent="0.2">
      <c r="A950" s="2" t="s">
        <v>31</v>
      </c>
      <c r="B950" s="5" t="s">
        <v>54</v>
      </c>
      <c r="C950" s="5"/>
      <c r="D950" s="5"/>
      <c r="E950" s="6" t="s">
        <v>33</v>
      </c>
      <c r="F950" s="6"/>
      <c r="G950" s="7" t="s">
        <v>2052</v>
      </c>
      <c r="H950" s="7"/>
      <c r="I950" s="7"/>
      <c r="J950" s="3" t="s">
        <v>35</v>
      </c>
      <c r="K950" s="4" t="s">
        <v>55</v>
      </c>
      <c r="L950" s="4" t="s">
        <v>37</v>
      </c>
      <c r="N950" s="7" t="s">
        <v>2097</v>
      </c>
      <c r="O950" s="7"/>
      <c r="P950" s="7" t="s">
        <v>2098</v>
      </c>
      <c r="Q950" s="7"/>
      <c r="R950" s="7"/>
      <c r="S950" s="3" t="s">
        <v>40</v>
      </c>
      <c r="T950" s="7" t="s">
        <v>41</v>
      </c>
      <c r="U950" s="7"/>
      <c r="V950" s="4" t="s">
        <v>51</v>
      </c>
      <c r="W950" s="4" t="s">
        <v>68</v>
      </c>
      <c r="X950" s="4" t="s">
        <v>313</v>
      </c>
      <c r="Y950" s="7" t="s">
        <v>60</v>
      </c>
      <c r="Z950" s="7"/>
      <c r="AA950" s="4" t="s">
        <v>46</v>
      </c>
      <c r="AB950" s="4" t="s">
        <v>47</v>
      </c>
      <c r="AC950" s="4" t="s">
        <v>61</v>
      </c>
      <c r="AD950" s="4" t="s">
        <v>62</v>
      </c>
      <c r="AE950" s="4" t="s">
        <v>48</v>
      </c>
      <c r="AF950" s="4" t="s">
        <v>41</v>
      </c>
      <c r="AG950" s="4" t="s">
        <v>2056</v>
      </c>
    </row>
    <row r="951" spans="1:33" ht="16.5" customHeight="1" x14ac:dyDescent="0.2">
      <c r="A951" s="2" t="s">
        <v>31</v>
      </c>
      <c r="B951" s="5" t="s">
        <v>54</v>
      </c>
      <c r="C951" s="5"/>
      <c r="D951" s="5"/>
      <c r="E951" s="6" t="s">
        <v>33</v>
      </c>
      <c r="F951" s="6"/>
      <c r="G951" s="7" t="s">
        <v>2052</v>
      </c>
      <c r="H951" s="7"/>
      <c r="I951" s="7"/>
      <c r="J951" s="3" t="s">
        <v>35</v>
      </c>
      <c r="K951" s="4" t="s">
        <v>92</v>
      </c>
      <c r="L951" s="4" t="s">
        <v>231</v>
      </c>
      <c r="N951" s="7" t="s">
        <v>2099</v>
      </c>
      <c r="O951" s="7"/>
      <c r="P951" s="7" t="s">
        <v>2100</v>
      </c>
      <c r="Q951" s="7"/>
      <c r="R951" s="7"/>
      <c r="S951" s="3" t="s">
        <v>40</v>
      </c>
      <c r="T951" s="7" t="s">
        <v>41</v>
      </c>
      <c r="U951" s="7"/>
      <c r="V951" s="4" t="s">
        <v>42</v>
      </c>
      <c r="W951" s="4" t="s">
        <v>58</v>
      </c>
      <c r="X951" s="4" t="s">
        <v>59</v>
      </c>
      <c r="Y951" s="7" t="s">
        <v>78</v>
      </c>
      <c r="Z951" s="7"/>
      <c r="AA951" s="4" t="s">
        <v>46</v>
      </c>
      <c r="AB951" s="4" t="s">
        <v>47</v>
      </c>
      <c r="AC951" s="4" t="s">
        <v>72</v>
      </c>
      <c r="AD951" s="4" t="s">
        <v>41</v>
      </c>
      <c r="AE951" s="4" t="s">
        <v>48</v>
      </c>
      <c r="AF951" s="4" t="s">
        <v>41</v>
      </c>
      <c r="AG951" s="4" t="s">
        <v>2056</v>
      </c>
    </row>
    <row r="952" spans="1:33" ht="16.5" customHeight="1" x14ac:dyDescent="0.2">
      <c r="A952" s="2" t="s">
        <v>31</v>
      </c>
      <c r="B952" s="5" t="s">
        <v>54</v>
      </c>
      <c r="C952" s="5"/>
      <c r="D952" s="5"/>
      <c r="E952" s="6" t="s">
        <v>33</v>
      </c>
      <c r="F952" s="6"/>
      <c r="G952" s="7" t="s">
        <v>2052</v>
      </c>
      <c r="H952" s="7"/>
      <c r="I952" s="7"/>
      <c r="J952" s="3" t="s">
        <v>35</v>
      </c>
      <c r="K952" s="4" t="s">
        <v>143</v>
      </c>
      <c r="L952" s="4" t="s">
        <v>37</v>
      </c>
      <c r="N952" s="7" t="s">
        <v>2101</v>
      </c>
      <c r="O952" s="7"/>
      <c r="P952" s="7" t="s">
        <v>2102</v>
      </c>
      <c r="Q952" s="7"/>
      <c r="R952" s="7"/>
      <c r="S952" s="3" t="s">
        <v>40</v>
      </c>
      <c r="T952" s="7" t="s">
        <v>41</v>
      </c>
      <c r="U952" s="7"/>
      <c r="V952" s="4" t="s">
        <v>42</v>
      </c>
      <c r="W952" s="4" t="s">
        <v>986</v>
      </c>
      <c r="X952" s="4" t="s">
        <v>987</v>
      </c>
      <c r="Y952" s="7" t="s">
        <v>135</v>
      </c>
      <c r="Z952" s="7"/>
      <c r="AA952" s="4" t="s">
        <v>46</v>
      </c>
      <c r="AB952" s="4" t="s">
        <v>47</v>
      </c>
      <c r="AC952" s="4" t="s">
        <v>136</v>
      </c>
      <c r="AD952" s="4" t="s">
        <v>137</v>
      </c>
      <c r="AE952" s="4" t="s">
        <v>48</v>
      </c>
      <c r="AF952" s="4" t="s">
        <v>41</v>
      </c>
      <c r="AG952" s="4" t="s">
        <v>2056</v>
      </c>
    </row>
    <row r="953" spans="1:33" ht="16.5" customHeight="1" x14ac:dyDescent="0.2">
      <c r="A953" s="2" t="s">
        <v>31</v>
      </c>
      <c r="B953" s="5" t="s">
        <v>54</v>
      </c>
      <c r="C953" s="5"/>
      <c r="D953" s="5"/>
      <c r="E953" s="6" t="s">
        <v>33</v>
      </c>
      <c r="F953" s="6"/>
      <c r="G953" s="7" t="s">
        <v>2052</v>
      </c>
      <c r="H953" s="7"/>
      <c r="I953" s="7"/>
      <c r="J953" s="3" t="s">
        <v>35</v>
      </c>
      <c r="K953" s="4" t="s">
        <v>97</v>
      </c>
      <c r="L953" s="4" t="s">
        <v>37</v>
      </c>
      <c r="N953" s="7" t="s">
        <v>2103</v>
      </c>
      <c r="O953" s="7"/>
      <c r="P953" s="7" t="s">
        <v>2104</v>
      </c>
      <c r="Q953" s="7"/>
      <c r="R953" s="7"/>
      <c r="S953" s="3" t="s">
        <v>40</v>
      </c>
      <c r="T953" s="7" t="s">
        <v>41</v>
      </c>
      <c r="U953" s="7"/>
      <c r="V953" s="4" t="s">
        <v>42</v>
      </c>
      <c r="W953" s="4" t="s">
        <v>207</v>
      </c>
      <c r="X953" s="4" t="s">
        <v>208</v>
      </c>
      <c r="Y953" s="7" t="s">
        <v>78</v>
      </c>
      <c r="Z953" s="7"/>
      <c r="AA953" s="4" t="s">
        <v>46</v>
      </c>
      <c r="AB953" s="4" t="s">
        <v>47</v>
      </c>
      <c r="AC953" s="4" t="s">
        <v>136</v>
      </c>
      <c r="AD953" s="4" t="s">
        <v>137</v>
      </c>
      <c r="AE953" s="4" t="s">
        <v>48</v>
      </c>
      <c r="AF953" s="4" t="s">
        <v>41</v>
      </c>
      <c r="AG953" s="4" t="s">
        <v>2056</v>
      </c>
    </row>
    <row r="954" spans="1:33" ht="16.5" customHeight="1" x14ac:dyDescent="0.2">
      <c r="A954" s="2" t="s">
        <v>31</v>
      </c>
      <c r="B954" s="5" t="s">
        <v>54</v>
      </c>
      <c r="C954" s="5"/>
      <c r="D954" s="5"/>
      <c r="E954" s="6" t="s">
        <v>33</v>
      </c>
      <c r="F954" s="6"/>
      <c r="G954" s="7" t="s">
        <v>2052</v>
      </c>
      <c r="H954" s="7"/>
      <c r="I954" s="7"/>
      <c r="J954" s="3" t="s">
        <v>35</v>
      </c>
      <c r="K954" s="4" t="s">
        <v>118</v>
      </c>
      <c r="L954" s="4" t="s">
        <v>93</v>
      </c>
      <c r="N954" s="7" t="s">
        <v>2105</v>
      </c>
      <c r="O954" s="7"/>
      <c r="P954" s="7" t="s">
        <v>2106</v>
      </c>
      <c r="Q954" s="7"/>
      <c r="R954" s="7"/>
      <c r="S954" s="3" t="s">
        <v>40</v>
      </c>
      <c r="T954" s="7" t="s">
        <v>41</v>
      </c>
      <c r="U954" s="7"/>
      <c r="V954" s="4" t="s">
        <v>42</v>
      </c>
      <c r="W954" s="4" t="s">
        <v>58</v>
      </c>
      <c r="X954" s="4" t="s">
        <v>59</v>
      </c>
      <c r="Y954" s="7" t="s">
        <v>60</v>
      </c>
      <c r="Z954" s="7"/>
      <c r="AA954" s="4" t="s">
        <v>46</v>
      </c>
      <c r="AB954" s="4" t="s">
        <v>47</v>
      </c>
      <c r="AC954" s="4" t="s">
        <v>61</v>
      </c>
      <c r="AD954" s="4" t="s">
        <v>324</v>
      </c>
      <c r="AE954" s="4" t="s">
        <v>48</v>
      </c>
      <c r="AF954" s="4" t="s">
        <v>41</v>
      </c>
      <c r="AG954" s="4" t="s">
        <v>2056</v>
      </c>
    </row>
    <row r="955" spans="1:33" ht="16.5" customHeight="1" x14ac:dyDescent="0.2">
      <c r="A955" s="2" t="s">
        <v>31</v>
      </c>
      <c r="B955" s="5" t="s">
        <v>54</v>
      </c>
      <c r="C955" s="5"/>
      <c r="D955" s="5"/>
      <c r="E955" s="6" t="s">
        <v>33</v>
      </c>
      <c r="F955" s="6"/>
      <c r="G955" s="7" t="s">
        <v>2052</v>
      </c>
      <c r="H955" s="7"/>
      <c r="I955" s="7"/>
      <c r="J955" s="3" t="s">
        <v>35</v>
      </c>
      <c r="K955" s="4" t="s">
        <v>143</v>
      </c>
      <c r="L955" s="4" t="s">
        <v>93</v>
      </c>
      <c r="N955" s="7" t="s">
        <v>2107</v>
      </c>
      <c r="O955" s="7"/>
      <c r="P955" s="7" t="s">
        <v>2108</v>
      </c>
      <c r="Q955" s="7"/>
      <c r="R955" s="7"/>
      <c r="S955" s="3" t="s">
        <v>40</v>
      </c>
      <c r="T955" s="7" t="s">
        <v>41</v>
      </c>
      <c r="U955" s="7"/>
      <c r="V955" s="4" t="s">
        <v>42</v>
      </c>
      <c r="W955" s="4" t="s">
        <v>818</v>
      </c>
      <c r="X955" s="4" t="s">
        <v>789</v>
      </c>
      <c r="Y955" s="7" t="s">
        <v>135</v>
      </c>
      <c r="Z955" s="7"/>
      <c r="AA955" s="4" t="s">
        <v>46</v>
      </c>
      <c r="AB955" s="4" t="s">
        <v>47</v>
      </c>
      <c r="AC955" s="4" t="s">
        <v>136</v>
      </c>
      <c r="AD955" s="4" t="s">
        <v>148</v>
      </c>
      <c r="AE955" s="4" t="s">
        <v>48</v>
      </c>
      <c r="AF955" s="4" t="s">
        <v>41</v>
      </c>
      <c r="AG955" s="4" t="s">
        <v>2056</v>
      </c>
    </row>
    <row r="956" spans="1:33" ht="16.5" customHeight="1" x14ac:dyDescent="0.2">
      <c r="A956" s="2" t="s">
        <v>31</v>
      </c>
      <c r="B956" s="5" t="s">
        <v>54</v>
      </c>
      <c r="C956" s="5"/>
      <c r="D956" s="5"/>
      <c r="E956" s="6" t="s">
        <v>33</v>
      </c>
      <c r="F956" s="6"/>
      <c r="G956" s="7" t="s">
        <v>2052</v>
      </c>
      <c r="H956" s="7"/>
      <c r="I956" s="7"/>
      <c r="J956" s="3" t="s">
        <v>35</v>
      </c>
      <c r="K956" s="4" t="s">
        <v>143</v>
      </c>
      <c r="L956" s="4" t="s">
        <v>37</v>
      </c>
      <c r="N956" s="7" t="s">
        <v>2109</v>
      </c>
      <c r="O956" s="7"/>
      <c r="P956" s="7" t="s">
        <v>2110</v>
      </c>
      <c r="Q956" s="7"/>
      <c r="R956" s="7"/>
      <c r="S956" s="3" t="s">
        <v>40</v>
      </c>
      <c r="T956" s="7" t="s">
        <v>41</v>
      </c>
      <c r="U956" s="7"/>
      <c r="V956" s="4" t="s">
        <v>42</v>
      </c>
      <c r="W956" s="4" t="s">
        <v>428</v>
      </c>
      <c r="X956" s="4" t="s">
        <v>429</v>
      </c>
      <c r="Y956" s="7" t="s">
        <v>135</v>
      </c>
      <c r="Z956" s="7"/>
      <c r="AA956" s="4" t="s">
        <v>46</v>
      </c>
      <c r="AB956" s="4" t="s">
        <v>47</v>
      </c>
      <c r="AC956" s="4" t="s">
        <v>136</v>
      </c>
      <c r="AD956" s="4" t="s">
        <v>137</v>
      </c>
      <c r="AE956" s="4" t="s">
        <v>48</v>
      </c>
      <c r="AF956" s="4" t="s">
        <v>41</v>
      </c>
      <c r="AG956" s="4" t="s">
        <v>2056</v>
      </c>
    </row>
    <row r="957" spans="1:33" ht="16.5" customHeight="1" x14ac:dyDescent="0.2">
      <c r="A957" s="2" t="s">
        <v>31</v>
      </c>
      <c r="B957" s="5" t="s">
        <v>54</v>
      </c>
      <c r="C957" s="5"/>
      <c r="D957" s="5"/>
      <c r="E957" s="6" t="s">
        <v>33</v>
      </c>
      <c r="F957" s="6"/>
      <c r="G957" s="7" t="s">
        <v>2052</v>
      </c>
      <c r="H957" s="7"/>
      <c r="I957" s="7"/>
      <c r="J957" s="3" t="s">
        <v>35</v>
      </c>
      <c r="K957" s="4" t="s">
        <v>143</v>
      </c>
      <c r="L957" s="4" t="s">
        <v>588</v>
      </c>
      <c r="N957" s="7" t="s">
        <v>2109</v>
      </c>
      <c r="O957" s="7"/>
      <c r="P957" s="7" t="s">
        <v>2110</v>
      </c>
      <c r="Q957" s="7"/>
      <c r="R957" s="7"/>
      <c r="S957" s="3" t="s">
        <v>40</v>
      </c>
      <c r="T957" s="7" t="s">
        <v>41</v>
      </c>
      <c r="U957" s="7"/>
      <c r="V957" s="4" t="s">
        <v>42</v>
      </c>
      <c r="W957" s="4" t="s">
        <v>428</v>
      </c>
      <c r="X957" s="4" t="s">
        <v>429</v>
      </c>
      <c r="Y957" s="7" t="s">
        <v>135</v>
      </c>
      <c r="Z957" s="7"/>
      <c r="AA957" s="4" t="s">
        <v>46</v>
      </c>
      <c r="AB957" s="4" t="s">
        <v>47</v>
      </c>
      <c r="AC957" s="4" t="s">
        <v>136</v>
      </c>
      <c r="AD957" s="4" t="s">
        <v>1998</v>
      </c>
      <c r="AE957" s="4" t="s">
        <v>48</v>
      </c>
      <c r="AF957" s="4" t="s">
        <v>41</v>
      </c>
      <c r="AG957" s="4" t="s">
        <v>2056</v>
      </c>
    </row>
    <row r="958" spans="1:33" ht="16.5" customHeight="1" x14ac:dyDescent="0.2">
      <c r="A958" s="2" t="s">
        <v>31</v>
      </c>
      <c r="B958" s="5" t="s">
        <v>54</v>
      </c>
      <c r="C958" s="5"/>
      <c r="D958" s="5"/>
      <c r="E958" s="6" t="s">
        <v>33</v>
      </c>
      <c r="F958" s="6"/>
      <c r="G958" s="7" t="s">
        <v>2052</v>
      </c>
      <c r="H958" s="7"/>
      <c r="I958" s="7"/>
      <c r="J958" s="3" t="s">
        <v>35</v>
      </c>
      <c r="K958" s="4" t="s">
        <v>143</v>
      </c>
      <c r="L958" s="4" t="s">
        <v>231</v>
      </c>
      <c r="N958" s="7" t="s">
        <v>2111</v>
      </c>
      <c r="O958" s="7"/>
      <c r="P958" s="7" t="s">
        <v>2112</v>
      </c>
      <c r="Q958" s="7"/>
      <c r="R958" s="7"/>
      <c r="S958" s="3" t="s">
        <v>40</v>
      </c>
      <c r="T958" s="7" t="s">
        <v>41</v>
      </c>
      <c r="U958" s="7"/>
      <c r="V958" s="4" t="s">
        <v>42</v>
      </c>
      <c r="W958" s="4" t="s">
        <v>309</v>
      </c>
      <c r="X958" s="4" t="s">
        <v>306</v>
      </c>
      <c r="Y958" s="7" t="s">
        <v>135</v>
      </c>
      <c r="Z958" s="7"/>
      <c r="AA958" s="4" t="s">
        <v>46</v>
      </c>
      <c r="AB958" s="4" t="s">
        <v>47</v>
      </c>
      <c r="AC958" s="4" t="s">
        <v>136</v>
      </c>
      <c r="AD958" s="4" t="s">
        <v>447</v>
      </c>
      <c r="AE958" s="4" t="s">
        <v>48</v>
      </c>
      <c r="AF958" s="4" t="s">
        <v>41</v>
      </c>
      <c r="AG958" s="4" t="s">
        <v>2056</v>
      </c>
    </row>
    <row r="959" spans="1:33" ht="16.5" customHeight="1" x14ac:dyDescent="0.2">
      <c r="A959" s="2" t="s">
        <v>31</v>
      </c>
      <c r="B959" s="5" t="s">
        <v>54</v>
      </c>
      <c r="C959" s="5"/>
      <c r="D959" s="5"/>
      <c r="E959" s="6" t="s">
        <v>33</v>
      </c>
      <c r="F959" s="6"/>
      <c r="G959" s="7" t="s">
        <v>2052</v>
      </c>
      <c r="H959" s="7"/>
      <c r="I959" s="7"/>
      <c r="J959" s="3" t="s">
        <v>35</v>
      </c>
      <c r="K959" s="4" t="s">
        <v>245</v>
      </c>
      <c r="L959" s="4" t="s">
        <v>37</v>
      </c>
      <c r="N959" s="7" t="s">
        <v>2113</v>
      </c>
      <c r="O959" s="7"/>
      <c r="P959" s="7" t="s">
        <v>2114</v>
      </c>
      <c r="Q959" s="7"/>
      <c r="R959" s="7"/>
      <c r="S959" s="3" t="s">
        <v>40</v>
      </c>
      <c r="T959" s="7" t="s">
        <v>41</v>
      </c>
      <c r="U959" s="7"/>
      <c r="V959" s="4" t="s">
        <v>42</v>
      </c>
      <c r="W959" s="4" t="s">
        <v>43</v>
      </c>
      <c r="X959" s="4" t="s">
        <v>44</v>
      </c>
      <c r="Y959" s="7" t="s">
        <v>78</v>
      </c>
      <c r="Z959" s="7"/>
      <c r="AA959" s="4" t="s">
        <v>46</v>
      </c>
      <c r="AB959" s="4" t="s">
        <v>47</v>
      </c>
      <c r="AC959" s="4" t="s">
        <v>136</v>
      </c>
      <c r="AD959" s="4" t="s">
        <v>137</v>
      </c>
      <c r="AE959" s="4" t="s">
        <v>48</v>
      </c>
      <c r="AF959" s="4" t="s">
        <v>41</v>
      </c>
      <c r="AG959" s="4" t="s">
        <v>2056</v>
      </c>
    </row>
    <row r="960" spans="1:33" ht="16.5" customHeight="1" x14ac:dyDescent="0.2">
      <c r="A960" s="2" t="s">
        <v>31</v>
      </c>
      <c r="B960" s="5" t="s">
        <v>54</v>
      </c>
      <c r="C960" s="5"/>
      <c r="D960" s="5"/>
      <c r="E960" s="6" t="s">
        <v>33</v>
      </c>
      <c r="F960" s="6"/>
      <c r="G960" s="7" t="s">
        <v>2052</v>
      </c>
      <c r="H960" s="7"/>
      <c r="I960" s="7"/>
      <c r="J960" s="3" t="s">
        <v>35</v>
      </c>
      <c r="K960" s="4" t="s">
        <v>248</v>
      </c>
      <c r="L960" s="4" t="s">
        <v>588</v>
      </c>
      <c r="N960" s="7" t="s">
        <v>2115</v>
      </c>
      <c r="O960" s="7"/>
      <c r="P960" s="7" t="s">
        <v>2116</v>
      </c>
      <c r="Q960" s="7"/>
      <c r="R960" s="7"/>
      <c r="S960" s="3" t="s">
        <v>40</v>
      </c>
      <c r="T960" s="7" t="s">
        <v>41</v>
      </c>
      <c r="U960" s="7"/>
      <c r="V960" s="4" t="s">
        <v>51</v>
      </c>
      <c r="W960" s="4" t="s">
        <v>43</v>
      </c>
      <c r="X960" s="4" t="s">
        <v>52</v>
      </c>
      <c r="Y960" s="7" t="s">
        <v>60</v>
      </c>
      <c r="Z960" s="7"/>
      <c r="AA960" s="4" t="s">
        <v>46</v>
      </c>
      <c r="AB960" s="4" t="s">
        <v>47</v>
      </c>
      <c r="AC960" s="4" t="s">
        <v>79</v>
      </c>
      <c r="AD960" s="4" t="s">
        <v>591</v>
      </c>
      <c r="AE960" s="4" t="s">
        <v>48</v>
      </c>
      <c r="AF960" s="4" t="s">
        <v>41</v>
      </c>
      <c r="AG960" s="4" t="s">
        <v>2056</v>
      </c>
    </row>
    <row r="961" spans="1:33" ht="16.5" customHeight="1" x14ac:dyDescent="0.2">
      <c r="A961" s="2" t="s">
        <v>31</v>
      </c>
      <c r="B961" s="5" t="s">
        <v>54</v>
      </c>
      <c r="C961" s="5"/>
      <c r="D961" s="5"/>
      <c r="E961" s="6" t="s">
        <v>33</v>
      </c>
      <c r="F961" s="6"/>
      <c r="G961" s="7" t="s">
        <v>2052</v>
      </c>
      <c r="H961" s="7"/>
      <c r="I961" s="7"/>
      <c r="J961" s="3" t="s">
        <v>35</v>
      </c>
      <c r="K961" s="4" t="s">
        <v>245</v>
      </c>
      <c r="L961" s="4" t="s">
        <v>37</v>
      </c>
      <c r="N961" s="7" t="s">
        <v>2117</v>
      </c>
      <c r="O961" s="7"/>
      <c r="P961" s="7" t="s">
        <v>2118</v>
      </c>
      <c r="Q961" s="7"/>
      <c r="R961" s="7"/>
      <c r="S961" s="3" t="s">
        <v>40</v>
      </c>
      <c r="T961" s="7" t="s">
        <v>41</v>
      </c>
      <c r="U961" s="7"/>
      <c r="V961" s="4" t="s">
        <v>42</v>
      </c>
      <c r="W961" s="4" t="s">
        <v>43</v>
      </c>
      <c r="X961" s="4" t="s">
        <v>44</v>
      </c>
      <c r="Y961" s="7" t="s">
        <v>78</v>
      </c>
      <c r="Z961" s="7"/>
      <c r="AA961" s="4" t="s">
        <v>46</v>
      </c>
      <c r="AB961" s="4" t="s">
        <v>47</v>
      </c>
      <c r="AC961" s="4" t="s">
        <v>136</v>
      </c>
      <c r="AD961" s="4" t="s">
        <v>137</v>
      </c>
      <c r="AE961" s="4" t="s">
        <v>48</v>
      </c>
      <c r="AF961" s="4" t="s">
        <v>41</v>
      </c>
      <c r="AG961" s="4" t="s">
        <v>2056</v>
      </c>
    </row>
    <row r="962" spans="1:33" ht="16.5" customHeight="1" x14ac:dyDescent="0.2">
      <c r="A962" s="2" t="s">
        <v>31</v>
      </c>
      <c r="B962" s="5" t="s">
        <v>54</v>
      </c>
      <c r="C962" s="5"/>
      <c r="D962" s="5"/>
      <c r="E962" s="6" t="s">
        <v>33</v>
      </c>
      <c r="F962" s="6"/>
      <c r="G962" s="7" t="s">
        <v>2052</v>
      </c>
      <c r="H962" s="7"/>
      <c r="I962" s="7"/>
      <c r="J962" s="3" t="s">
        <v>35</v>
      </c>
      <c r="K962" s="4" t="s">
        <v>55</v>
      </c>
      <c r="L962" s="4" t="s">
        <v>37</v>
      </c>
      <c r="N962" s="7" t="s">
        <v>2119</v>
      </c>
      <c r="O962" s="7"/>
      <c r="P962" s="7" t="s">
        <v>2120</v>
      </c>
      <c r="Q962" s="7"/>
      <c r="R962" s="7"/>
      <c r="S962" s="3" t="s">
        <v>40</v>
      </c>
      <c r="T962" s="7" t="s">
        <v>41</v>
      </c>
      <c r="U962" s="7"/>
      <c r="V962" s="4" t="s">
        <v>42</v>
      </c>
      <c r="W962" s="4" t="s">
        <v>329</v>
      </c>
      <c r="X962" s="4" t="s">
        <v>330</v>
      </c>
      <c r="Y962" s="7" t="s">
        <v>60</v>
      </c>
      <c r="Z962" s="7"/>
      <c r="AA962" s="4" t="s">
        <v>46</v>
      </c>
      <c r="AB962" s="4" t="s">
        <v>47</v>
      </c>
      <c r="AC962" s="4" t="s">
        <v>79</v>
      </c>
      <c r="AD962" s="4" t="s">
        <v>80</v>
      </c>
      <c r="AE962" s="4" t="s">
        <v>48</v>
      </c>
      <c r="AF962" s="4" t="s">
        <v>41</v>
      </c>
      <c r="AG962" s="4" t="s">
        <v>2056</v>
      </c>
    </row>
    <row r="963" spans="1:33" ht="16.5" customHeight="1" x14ac:dyDescent="0.2">
      <c r="A963" s="2" t="s">
        <v>31</v>
      </c>
      <c r="B963" s="5" t="s">
        <v>54</v>
      </c>
      <c r="C963" s="5"/>
      <c r="D963" s="5"/>
      <c r="E963" s="6" t="s">
        <v>33</v>
      </c>
      <c r="F963" s="6"/>
      <c r="G963" s="7" t="s">
        <v>2052</v>
      </c>
      <c r="H963" s="7"/>
      <c r="I963" s="7"/>
      <c r="J963" s="3" t="s">
        <v>35</v>
      </c>
      <c r="K963" s="4" t="s">
        <v>149</v>
      </c>
      <c r="L963" s="4" t="s">
        <v>37</v>
      </c>
      <c r="N963" s="7" t="s">
        <v>2121</v>
      </c>
      <c r="O963" s="7"/>
      <c r="P963" s="7" t="s">
        <v>2122</v>
      </c>
      <c r="Q963" s="7"/>
      <c r="R963" s="7"/>
      <c r="S963" s="3" t="s">
        <v>40</v>
      </c>
      <c r="T963" s="7" t="s">
        <v>41</v>
      </c>
      <c r="U963" s="7"/>
      <c r="V963" s="4" t="s">
        <v>42</v>
      </c>
      <c r="W963" s="4" t="s">
        <v>329</v>
      </c>
      <c r="X963" s="4" t="s">
        <v>330</v>
      </c>
      <c r="Y963" s="7" t="s">
        <v>78</v>
      </c>
      <c r="Z963" s="7"/>
      <c r="AA963" s="4" t="s">
        <v>46</v>
      </c>
      <c r="AB963" s="4" t="s">
        <v>47</v>
      </c>
      <c r="AC963" s="4" t="s">
        <v>136</v>
      </c>
      <c r="AD963" s="4" t="s">
        <v>137</v>
      </c>
      <c r="AE963" s="4" t="s">
        <v>48</v>
      </c>
      <c r="AF963" s="4" t="s">
        <v>41</v>
      </c>
      <c r="AG963" s="4" t="s">
        <v>2056</v>
      </c>
    </row>
    <row r="964" spans="1:33" ht="16.5" customHeight="1" x14ac:dyDescent="0.2">
      <c r="A964" s="2" t="s">
        <v>31</v>
      </c>
      <c r="B964" s="5" t="s">
        <v>54</v>
      </c>
      <c r="C964" s="5"/>
      <c r="D964" s="5"/>
      <c r="E964" s="6" t="s">
        <v>33</v>
      </c>
      <c r="F964" s="6"/>
      <c r="G964" s="7" t="s">
        <v>2052</v>
      </c>
      <c r="H964" s="7"/>
      <c r="I964" s="7"/>
      <c r="J964" s="3" t="s">
        <v>35</v>
      </c>
      <c r="K964" s="4" t="s">
        <v>143</v>
      </c>
      <c r="L964" s="4" t="s">
        <v>37</v>
      </c>
      <c r="N964" s="7" t="s">
        <v>2123</v>
      </c>
      <c r="O964" s="7"/>
      <c r="P964" s="7" t="s">
        <v>2124</v>
      </c>
      <c r="Q964" s="7"/>
      <c r="R964" s="7"/>
      <c r="S964" s="3" t="s">
        <v>40</v>
      </c>
      <c r="T964" s="7" t="s">
        <v>41</v>
      </c>
      <c r="U964" s="7"/>
      <c r="V964" s="4" t="s">
        <v>42</v>
      </c>
      <c r="W964" s="4" t="s">
        <v>850</v>
      </c>
      <c r="X964" s="4" t="s">
        <v>574</v>
      </c>
      <c r="Y964" s="7" t="s">
        <v>135</v>
      </c>
      <c r="Z964" s="7"/>
      <c r="AA964" s="4" t="s">
        <v>46</v>
      </c>
      <c r="AB964" s="4" t="s">
        <v>47</v>
      </c>
      <c r="AC964" s="4" t="s">
        <v>136</v>
      </c>
      <c r="AD964" s="4" t="s">
        <v>137</v>
      </c>
      <c r="AE964" s="4" t="s">
        <v>48</v>
      </c>
      <c r="AF964" s="4" t="s">
        <v>41</v>
      </c>
      <c r="AG964" s="4" t="s">
        <v>2056</v>
      </c>
    </row>
    <row r="965" spans="1:33" ht="16.5" customHeight="1" x14ac:dyDescent="0.2">
      <c r="A965" s="2" t="s">
        <v>31</v>
      </c>
      <c r="B965" s="5" t="s">
        <v>54</v>
      </c>
      <c r="C965" s="5"/>
      <c r="D965" s="5"/>
      <c r="E965" s="6" t="s">
        <v>33</v>
      </c>
      <c r="F965" s="6"/>
      <c r="G965" s="7" t="s">
        <v>2052</v>
      </c>
      <c r="H965" s="7"/>
      <c r="I965" s="7"/>
      <c r="J965" s="3" t="s">
        <v>35</v>
      </c>
      <c r="K965" s="4" t="s">
        <v>143</v>
      </c>
      <c r="L965" s="4" t="s">
        <v>37</v>
      </c>
      <c r="N965" s="7" t="s">
        <v>2125</v>
      </c>
      <c r="O965" s="7"/>
      <c r="P965" s="7" t="s">
        <v>2126</v>
      </c>
      <c r="Q965" s="7"/>
      <c r="R965" s="7"/>
      <c r="S965" s="3" t="s">
        <v>40</v>
      </c>
      <c r="T965" s="7" t="s">
        <v>41</v>
      </c>
      <c r="U965" s="7"/>
      <c r="V965" s="4" t="s">
        <v>42</v>
      </c>
      <c r="W965" s="4" t="s">
        <v>146</v>
      </c>
      <c r="X965" s="4" t="s">
        <v>147</v>
      </c>
      <c r="Y965" s="7" t="s">
        <v>135</v>
      </c>
      <c r="Z965" s="7"/>
      <c r="AA965" s="4" t="s">
        <v>46</v>
      </c>
      <c r="AB965" s="4" t="s">
        <v>47</v>
      </c>
      <c r="AC965" s="4" t="s">
        <v>136</v>
      </c>
      <c r="AD965" s="4" t="s">
        <v>137</v>
      </c>
      <c r="AE965" s="4" t="s">
        <v>48</v>
      </c>
      <c r="AF965" s="4" t="s">
        <v>41</v>
      </c>
      <c r="AG965" s="4" t="s">
        <v>2056</v>
      </c>
    </row>
    <row r="966" spans="1:33" ht="16.5" customHeight="1" x14ac:dyDescent="0.2">
      <c r="A966" s="2" t="s">
        <v>31</v>
      </c>
      <c r="B966" s="5" t="s">
        <v>54</v>
      </c>
      <c r="C966" s="5"/>
      <c r="D966" s="5"/>
      <c r="E966" s="6" t="s">
        <v>33</v>
      </c>
      <c r="F966" s="6"/>
      <c r="G966" s="7" t="s">
        <v>2052</v>
      </c>
      <c r="H966" s="7"/>
      <c r="I966" s="7"/>
      <c r="J966" s="3" t="s">
        <v>35</v>
      </c>
      <c r="K966" s="4" t="s">
        <v>143</v>
      </c>
      <c r="L966" s="4" t="s">
        <v>37</v>
      </c>
      <c r="N966" s="7" t="s">
        <v>2127</v>
      </c>
      <c r="O966" s="7"/>
      <c r="P966" s="7" t="s">
        <v>2128</v>
      </c>
      <c r="Q966" s="7"/>
      <c r="R966" s="7"/>
      <c r="S966" s="3" t="s">
        <v>40</v>
      </c>
      <c r="T966" s="7" t="s">
        <v>41</v>
      </c>
      <c r="U966" s="7"/>
      <c r="V966" s="4" t="s">
        <v>42</v>
      </c>
      <c r="W966" s="4" t="s">
        <v>859</v>
      </c>
      <c r="X966" s="4" t="s">
        <v>341</v>
      </c>
      <c r="Y966" s="7" t="s">
        <v>135</v>
      </c>
      <c r="Z966" s="7"/>
      <c r="AA966" s="4" t="s">
        <v>46</v>
      </c>
      <c r="AB966" s="4" t="s">
        <v>47</v>
      </c>
      <c r="AC966" s="4" t="s">
        <v>136</v>
      </c>
      <c r="AD966" s="4" t="s">
        <v>137</v>
      </c>
      <c r="AE966" s="4" t="s">
        <v>48</v>
      </c>
      <c r="AF966" s="4" t="s">
        <v>41</v>
      </c>
      <c r="AG966" s="4" t="s">
        <v>2056</v>
      </c>
    </row>
    <row r="967" spans="1:33" ht="16.5" customHeight="1" x14ac:dyDescent="0.2">
      <c r="A967" s="2" t="s">
        <v>31</v>
      </c>
      <c r="B967" s="5" t="s">
        <v>54</v>
      </c>
      <c r="C967" s="5"/>
      <c r="D967" s="5"/>
      <c r="E967" s="6" t="s">
        <v>33</v>
      </c>
      <c r="F967" s="6"/>
      <c r="G967" s="7" t="s">
        <v>2052</v>
      </c>
      <c r="H967" s="7"/>
      <c r="I967" s="7"/>
      <c r="J967" s="3" t="s">
        <v>35</v>
      </c>
      <c r="K967" s="4" t="s">
        <v>149</v>
      </c>
      <c r="L967" s="4" t="s">
        <v>37</v>
      </c>
      <c r="N967" s="7" t="s">
        <v>2129</v>
      </c>
      <c r="O967" s="7"/>
      <c r="P967" s="7" t="s">
        <v>2130</v>
      </c>
      <c r="Q967" s="7"/>
      <c r="R967" s="7"/>
      <c r="S967" s="3" t="s">
        <v>40</v>
      </c>
      <c r="T967" s="7" t="s">
        <v>41</v>
      </c>
      <c r="U967" s="7"/>
      <c r="V967" s="4" t="s">
        <v>42</v>
      </c>
      <c r="W967" s="4" t="s">
        <v>234</v>
      </c>
      <c r="X967" s="4" t="s">
        <v>235</v>
      </c>
      <c r="Y967" s="7" t="s">
        <v>78</v>
      </c>
      <c r="Z967" s="7"/>
      <c r="AA967" s="4" t="s">
        <v>46</v>
      </c>
      <c r="AB967" s="4" t="s">
        <v>47</v>
      </c>
      <c r="AC967" s="4" t="s">
        <v>136</v>
      </c>
      <c r="AD967" s="4" t="s">
        <v>137</v>
      </c>
      <c r="AE967" s="4" t="s">
        <v>48</v>
      </c>
      <c r="AF967" s="4" t="s">
        <v>41</v>
      </c>
      <c r="AG967" s="4" t="s">
        <v>2056</v>
      </c>
    </row>
    <row r="968" spans="1:33" ht="16.5" customHeight="1" x14ac:dyDescent="0.2">
      <c r="A968" s="2" t="s">
        <v>31</v>
      </c>
      <c r="B968" s="5" t="s">
        <v>54</v>
      </c>
      <c r="C968" s="5"/>
      <c r="D968" s="5"/>
      <c r="E968" s="6" t="s">
        <v>33</v>
      </c>
      <c r="F968" s="6"/>
      <c r="G968" s="7" t="s">
        <v>2052</v>
      </c>
      <c r="H968" s="7"/>
      <c r="I968" s="7"/>
      <c r="J968" s="3" t="s">
        <v>35</v>
      </c>
      <c r="K968" s="4" t="s">
        <v>409</v>
      </c>
      <c r="L968" s="4" t="s">
        <v>37</v>
      </c>
      <c r="N968" s="7" t="s">
        <v>2131</v>
      </c>
      <c r="O968" s="7"/>
      <c r="P968" s="7" t="s">
        <v>2132</v>
      </c>
      <c r="Q968" s="7"/>
      <c r="R968" s="7"/>
      <c r="S968" s="3" t="s">
        <v>40</v>
      </c>
      <c r="T968" s="7" t="s">
        <v>41</v>
      </c>
      <c r="U968" s="7"/>
      <c r="V968" s="4" t="s">
        <v>42</v>
      </c>
      <c r="W968" s="4" t="s">
        <v>234</v>
      </c>
      <c r="X968" s="4" t="s">
        <v>235</v>
      </c>
      <c r="Y968" s="7" t="s">
        <v>60</v>
      </c>
      <c r="Z968" s="7"/>
      <c r="AA968" s="4" t="s">
        <v>46</v>
      </c>
      <c r="AB968" s="4" t="s">
        <v>47</v>
      </c>
      <c r="AC968" s="4" t="s">
        <v>79</v>
      </c>
      <c r="AD968" s="4" t="s">
        <v>80</v>
      </c>
      <c r="AE968" s="4" t="s">
        <v>48</v>
      </c>
      <c r="AF968" s="4" t="s">
        <v>41</v>
      </c>
      <c r="AG968" s="4" t="s">
        <v>2056</v>
      </c>
    </row>
    <row r="969" spans="1:33" ht="16.5" customHeight="1" x14ac:dyDescent="0.2">
      <c r="A969" s="2" t="s">
        <v>31</v>
      </c>
      <c r="B969" s="5" t="s">
        <v>54</v>
      </c>
      <c r="C969" s="5"/>
      <c r="D969" s="5"/>
      <c r="E969" s="6" t="s">
        <v>33</v>
      </c>
      <c r="F969" s="6"/>
      <c r="G969" s="7" t="s">
        <v>2052</v>
      </c>
      <c r="H969" s="7"/>
      <c r="I969" s="7"/>
      <c r="J969" s="3" t="s">
        <v>35</v>
      </c>
      <c r="K969" s="4" t="s">
        <v>248</v>
      </c>
      <c r="L969" s="4" t="s">
        <v>37</v>
      </c>
      <c r="N969" s="7" t="s">
        <v>2133</v>
      </c>
      <c r="O969" s="7"/>
      <c r="P969" s="7" t="s">
        <v>2134</v>
      </c>
      <c r="Q969" s="7"/>
      <c r="R969" s="7"/>
      <c r="S969" s="3" t="s">
        <v>40</v>
      </c>
      <c r="T969" s="7" t="s">
        <v>41</v>
      </c>
      <c r="U969" s="7"/>
      <c r="V969" s="4" t="s">
        <v>42</v>
      </c>
      <c r="W969" s="4" t="s">
        <v>58</v>
      </c>
      <c r="X969" s="4" t="s">
        <v>59</v>
      </c>
      <c r="Y969" s="7" t="s">
        <v>60</v>
      </c>
      <c r="Z969" s="7"/>
      <c r="AA969" s="4" t="s">
        <v>46</v>
      </c>
      <c r="AB969" s="4" t="s">
        <v>47</v>
      </c>
      <c r="AC969" s="4" t="s">
        <v>72</v>
      </c>
      <c r="AD969" s="4" t="s">
        <v>41</v>
      </c>
      <c r="AE969" s="4" t="s">
        <v>48</v>
      </c>
      <c r="AF969" s="4" t="s">
        <v>41</v>
      </c>
      <c r="AG969" s="4" t="s">
        <v>2056</v>
      </c>
    </row>
    <row r="970" spans="1:33" ht="16.5" customHeight="1" x14ac:dyDescent="0.2">
      <c r="A970" s="2" t="s">
        <v>31</v>
      </c>
      <c r="B970" s="5" t="s">
        <v>54</v>
      </c>
      <c r="C970" s="5"/>
      <c r="D970" s="5"/>
      <c r="E970" s="6" t="s">
        <v>33</v>
      </c>
      <c r="F970" s="6"/>
      <c r="G970" s="7" t="s">
        <v>2052</v>
      </c>
      <c r="H970" s="7"/>
      <c r="I970" s="7"/>
      <c r="J970" s="3" t="s">
        <v>35</v>
      </c>
      <c r="K970" s="4" t="s">
        <v>409</v>
      </c>
      <c r="L970" s="4" t="s">
        <v>37</v>
      </c>
      <c r="N970" s="7" t="s">
        <v>2135</v>
      </c>
      <c r="O970" s="7"/>
      <c r="P970" s="7" t="s">
        <v>2136</v>
      </c>
      <c r="Q970" s="7"/>
      <c r="R970" s="7"/>
      <c r="S970" s="3" t="s">
        <v>40</v>
      </c>
      <c r="T970" s="7" t="s">
        <v>41</v>
      </c>
      <c r="U970" s="7"/>
      <c r="V970" s="4" t="s">
        <v>51</v>
      </c>
      <c r="W970" s="4" t="s">
        <v>90</v>
      </c>
      <c r="X970" s="4" t="s">
        <v>103</v>
      </c>
      <c r="Y970" s="7" t="s">
        <v>60</v>
      </c>
      <c r="Z970" s="7"/>
      <c r="AA970" s="4" t="s">
        <v>46</v>
      </c>
      <c r="AB970" s="4" t="s">
        <v>47</v>
      </c>
      <c r="AC970" s="4" t="s">
        <v>61</v>
      </c>
      <c r="AD970" s="4" t="s">
        <v>62</v>
      </c>
      <c r="AE970" s="4" t="s">
        <v>48</v>
      </c>
      <c r="AF970" s="4" t="s">
        <v>41</v>
      </c>
      <c r="AG970" s="4" t="s">
        <v>2056</v>
      </c>
    </row>
    <row r="971" spans="1:33" ht="16.5" customHeight="1" x14ac:dyDescent="0.2">
      <c r="A971" s="2" t="s">
        <v>31</v>
      </c>
      <c r="B971" s="5" t="s">
        <v>54</v>
      </c>
      <c r="C971" s="5"/>
      <c r="D971" s="5"/>
      <c r="E971" s="6" t="s">
        <v>33</v>
      </c>
      <c r="F971" s="6"/>
      <c r="G971" s="7" t="s">
        <v>2052</v>
      </c>
      <c r="H971" s="7"/>
      <c r="I971" s="7"/>
      <c r="J971" s="3" t="s">
        <v>35</v>
      </c>
      <c r="K971" s="4" t="s">
        <v>414</v>
      </c>
      <c r="L971" s="4" t="s">
        <v>37</v>
      </c>
      <c r="N971" s="7" t="s">
        <v>2135</v>
      </c>
      <c r="O971" s="7"/>
      <c r="P971" s="7" t="s">
        <v>2136</v>
      </c>
      <c r="Q971" s="7"/>
      <c r="R971" s="7"/>
      <c r="S971" s="3" t="s">
        <v>40</v>
      </c>
      <c r="T971" s="7" t="s">
        <v>41</v>
      </c>
      <c r="U971" s="7"/>
      <c r="V971" s="4" t="s">
        <v>42</v>
      </c>
      <c r="W971" s="4" t="s">
        <v>90</v>
      </c>
      <c r="X971" s="4" t="s">
        <v>91</v>
      </c>
      <c r="Y971" s="7" t="s">
        <v>197</v>
      </c>
      <c r="Z971" s="7"/>
      <c r="AA971" s="4" t="s">
        <v>46</v>
      </c>
      <c r="AB971" s="4" t="s">
        <v>47</v>
      </c>
      <c r="AC971" s="4" t="s">
        <v>136</v>
      </c>
      <c r="AD971" s="4" t="s">
        <v>137</v>
      </c>
      <c r="AE971" s="4" t="s">
        <v>48</v>
      </c>
      <c r="AF971" s="4" t="s">
        <v>41</v>
      </c>
      <c r="AG971" s="4" t="s">
        <v>2056</v>
      </c>
    </row>
    <row r="972" spans="1:33" ht="16.5" customHeight="1" x14ac:dyDescent="0.2">
      <c r="A972" s="2" t="s">
        <v>31</v>
      </c>
      <c r="B972" s="5" t="s">
        <v>54</v>
      </c>
      <c r="C972" s="5"/>
      <c r="D972" s="5"/>
      <c r="E972" s="6" t="s">
        <v>33</v>
      </c>
      <c r="F972" s="6"/>
      <c r="G972" s="7" t="s">
        <v>2052</v>
      </c>
      <c r="H972" s="7"/>
      <c r="I972" s="7"/>
      <c r="J972" s="3" t="s">
        <v>35</v>
      </c>
      <c r="K972" s="4" t="s">
        <v>92</v>
      </c>
      <c r="L972" s="4" t="s">
        <v>37</v>
      </c>
      <c r="N972" s="7" t="s">
        <v>2137</v>
      </c>
      <c r="O972" s="7"/>
      <c r="P972" s="7" t="s">
        <v>2138</v>
      </c>
      <c r="Q972" s="7"/>
      <c r="R972" s="7"/>
      <c r="S972" s="3" t="s">
        <v>40</v>
      </c>
      <c r="T972" s="7" t="s">
        <v>41</v>
      </c>
      <c r="U972" s="7"/>
      <c r="V972" s="4" t="s">
        <v>42</v>
      </c>
      <c r="W972" s="4" t="s">
        <v>90</v>
      </c>
      <c r="X972" s="4" t="s">
        <v>91</v>
      </c>
      <c r="Y972" s="7" t="s">
        <v>78</v>
      </c>
      <c r="Z972" s="7"/>
      <c r="AA972" s="4" t="s">
        <v>46</v>
      </c>
      <c r="AB972" s="4" t="s">
        <v>47</v>
      </c>
      <c r="AC972" s="4" t="s">
        <v>79</v>
      </c>
      <c r="AD972" s="4" t="s">
        <v>80</v>
      </c>
      <c r="AE972" s="4" t="s">
        <v>48</v>
      </c>
      <c r="AF972" s="4" t="s">
        <v>41</v>
      </c>
      <c r="AG972" s="4" t="s">
        <v>2056</v>
      </c>
    </row>
    <row r="973" spans="1:33" ht="16.5" customHeight="1" x14ac:dyDescent="0.2">
      <c r="A973" s="2" t="s">
        <v>31</v>
      </c>
      <c r="B973" s="5" t="s">
        <v>54</v>
      </c>
      <c r="C973" s="5"/>
      <c r="D973" s="5"/>
      <c r="E973" s="6" t="s">
        <v>33</v>
      </c>
      <c r="F973" s="6"/>
      <c r="G973" s="7" t="s">
        <v>2052</v>
      </c>
      <c r="H973" s="7"/>
      <c r="I973" s="7"/>
      <c r="J973" s="3" t="s">
        <v>35</v>
      </c>
      <c r="K973" s="4" t="s">
        <v>73</v>
      </c>
      <c r="L973" s="4" t="s">
        <v>37</v>
      </c>
      <c r="N973" s="7" t="s">
        <v>2139</v>
      </c>
      <c r="O973" s="7"/>
      <c r="P973" s="7" t="s">
        <v>2140</v>
      </c>
      <c r="Q973" s="7"/>
      <c r="R973" s="7"/>
      <c r="S973" s="3" t="s">
        <v>40</v>
      </c>
      <c r="T973" s="7" t="s">
        <v>41</v>
      </c>
      <c r="U973" s="7"/>
      <c r="V973" s="4" t="s">
        <v>42</v>
      </c>
      <c r="W973" s="4" t="s">
        <v>90</v>
      </c>
      <c r="X973" s="4" t="s">
        <v>91</v>
      </c>
      <c r="Y973" s="7" t="s">
        <v>78</v>
      </c>
      <c r="Z973" s="7"/>
      <c r="AA973" s="4" t="s">
        <v>46</v>
      </c>
      <c r="AB973" s="4" t="s">
        <v>47</v>
      </c>
      <c r="AC973" s="4" t="s">
        <v>79</v>
      </c>
      <c r="AD973" s="4" t="s">
        <v>80</v>
      </c>
      <c r="AE973" s="4" t="s">
        <v>48</v>
      </c>
      <c r="AF973" s="4" t="s">
        <v>41</v>
      </c>
      <c r="AG973" s="4" t="s">
        <v>2056</v>
      </c>
    </row>
    <row r="974" spans="1:33" ht="16.5" customHeight="1" x14ac:dyDescent="0.2">
      <c r="A974" s="2" t="s">
        <v>31</v>
      </c>
      <c r="B974" s="5" t="s">
        <v>54</v>
      </c>
      <c r="C974" s="5"/>
      <c r="D974" s="5"/>
      <c r="E974" s="6" t="s">
        <v>33</v>
      </c>
      <c r="F974" s="6"/>
      <c r="G974" s="7" t="s">
        <v>2052</v>
      </c>
      <c r="H974" s="7"/>
      <c r="I974" s="7"/>
      <c r="J974" s="3" t="s">
        <v>35</v>
      </c>
      <c r="K974" s="4" t="s">
        <v>657</v>
      </c>
      <c r="L974" s="4" t="s">
        <v>37</v>
      </c>
      <c r="N974" s="7" t="s">
        <v>2141</v>
      </c>
      <c r="O974" s="7"/>
      <c r="P974" s="7" t="s">
        <v>2142</v>
      </c>
      <c r="Q974" s="7"/>
      <c r="R974" s="7"/>
      <c r="S974" s="3" t="s">
        <v>40</v>
      </c>
      <c r="T974" s="7" t="s">
        <v>41</v>
      </c>
      <c r="U974" s="7"/>
      <c r="V974" s="4" t="s">
        <v>42</v>
      </c>
      <c r="W974" s="4" t="s">
        <v>58</v>
      </c>
      <c r="X974" s="4" t="s">
        <v>59</v>
      </c>
      <c r="Y974" s="7" t="s">
        <v>197</v>
      </c>
      <c r="Z974" s="7"/>
      <c r="AA974" s="4" t="s">
        <v>46</v>
      </c>
      <c r="AB974" s="4" t="s">
        <v>47</v>
      </c>
      <c r="AC974" s="4" t="s">
        <v>136</v>
      </c>
      <c r="AD974" s="4" t="s">
        <v>137</v>
      </c>
      <c r="AE974" s="4" t="s">
        <v>48</v>
      </c>
      <c r="AF974" s="4" t="s">
        <v>41</v>
      </c>
      <c r="AG974" s="4" t="s">
        <v>2056</v>
      </c>
    </row>
    <row r="975" spans="1:33" ht="16.5" customHeight="1" x14ac:dyDescent="0.2">
      <c r="A975" s="2" t="s">
        <v>31</v>
      </c>
      <c r="B975" s="5" t="s">
        <v>54</v>
      </c>
      <c r="C975" s="5"/>
      <c r="D975" s="5"/>
      <c r="E975" s="6" t="s">
        <v>33</v>
      </c>
      <c r="F975" s="6"/>
      <c r="G975" s="7" t="s">
        <v>2052</v>
      </c>
      <c r="H975" s="7"/>
      <c r="I975" s="7"/>
      <c r="J975" s="3" t="s">
        <v>35</v>
      </c>
      <c r="K975" s="4" t="s">
        <v>248</v>
      </c>
      <c r="L975" s="4" t="s">
        <v>37</v>
      </c>
      <c r="N975" s="7" t="s">
        <v>2143</v>
      </c>
      <c r="O975" s="7"/>
      <c r="P975" s="7" t="s">
        <v>2144</v>
      </c>
      <c r="Q975" s="7"/>
      <c r="R975" s="7"/>
      <c r="S975" s="3" t="s">
        <v>40</v>
      </c>
      <c r="T975" s="7" t="s">
        <v>41</v>
      </c>
      <c r="U975" s="7"/>
      <c r="V975" s="4" t="s">
        <v>42</v>
      </c>
      <c r="W975" s="4" t="s">
        <v>58</v>
      </c>
      <c r="X975" s="4" t="s">
        <v>59</v>
      </c>
      <c r="Y975" s="7" t="s">
        <v>60</v>
      </c>
      <c r="Z975" s="7"/>
      <c r="AA975" s="4" t="s">
        <v>46</v>
      </c>
      <c r="AB975" s="4" t="s">
        <v>47</v>
      </c>
      <c r="AC975" s="4" t="s">
        <v>61</v>
      </c>
      <c r="AD975" s="4" t="s">
        <v>62</v>
      </c>
      <c r="AE975" s="4" t="s">
        <v>48</v>
      </c>
      <c r="AF975" s="4" t="s">
        <v>41</v>
      </c>
      <c r="AG975" s="4" t="s">
        <v>2056</v>
      </c>
    </row>
    <row r="976" spans="1:33" ht="16.5" customHeight="1" x14ac:dyDescent="0.2">
      <c r="A976" s="2" t="s">
        <v>31</v>
      </c>
      <c r="B976" s="5" t="s">
        <v>54</v>
      </c>
      <c r="C976" s="5"/>
      <c r="D976" s="5"/>
      <c r="E976" s="6" t="s">
        <v>33</v>
      </c>
      <c r="F976" s="6"/>
      <c r="G976" s="7" t="s">
        <v>2052</v>
      </c>
      <c r="H976" s="7"/>
      <c r="I976" s="7"/>
      <c r="J976" s="3" t="s">
        <v>35</v>
      </c>
      <c r="K976" s="4" t="s">
        <v>657</v>
      </c>
      <c r="L976" s="4" t="s">
        <v>93</v>
      </c>
      <c r="N976" s="7" t="s">
        <v>2145</v>
      </c>
      <c r="O976" s="7"/>
      <c r="P976" s="7" t="s">
        <v>2146</v>
      </c>
      <c r="Q976" s="7"/>
      <c r="R976" s="7"/>
      <c r="S976" s="3" t="s">
        <v>40</v>
      </c>
      <c r="T976" s="7" t="s">
        <v>41</v>
      </c>
      <c r="U976" s="7"/>
      <c r="V976" s="4" t="s">
        <v>42</v>
      </c>
      <c r="W976" s="4" t="s">
        <v>58</v>
      </c>
      <c r="X976" s="4" t="s">
        <v>59</v>
      </c>
      <c r="Y976" s="7" t="s">
        <v>197</v>
      </c>
      <c r="Z976" s="7"/>
      <c r="AA976" s="4" t="s">
        <v>46</v>
      </c>
      <c r="AB976" s="4" t="s">
        <v>47</v>
      </c>
      <c r="AC976" s="4" t="s">
        <v>136</v>
      </c>
      <c r="AD976" s="4" t="s">
        <v>148</v>
      </c>
      <c r="AE976" s="4" t="s">
        <v>48</v>
      </c>
      <c r="AF976" s="4" t="s">
        <v>41</v>
      </c>
      <c r="AG976" s="4" t="s">
        <v>2056</v>
      </c>
    </row>
    <row r="977" spans="1:33" ht="0.75" customHeight="1" x14ac:dyDescent="0.2"/>
    <row r="978" spans="1:33" ht="12" customHeight="1" x14ac:dyDescent="0.2"/>
    <row r="979" spans="1:33" ht="16.5" customHeight="1" x14ac:dyDescent="0.2">
      <c r="A979" s="2" t="s">
        <v>31</v>
      </c>
      <c r="B979" s="5" t="s">
        <v>54</v>
      </c>
      <c r="C979" s="5"/>
      <c r="D979" s="5"/>
      <c r="E979" s="6" t="s">
        <v>33</v>
      </c>
      <c r="F979" s="6"/>
      <c r="G979" s="7" t="s">
        <v>2052</v>
      </c>
      <c r="H979" s="7"/>
      <c r="I979" s="7"/>
      <c r="J979" s="3" t="s">
        <v>35</v>
      </c>
      <c r="K979" s="4" t="s">
        <v>414</v>
      </c>
      <c r="L979" s="4" t="s">
        <v>37</v>
      </c>
      <c r="N979" s="7" t="s">
        <v>2147</v>
      </c>
      <c r="O979" s="7"/>
      <c r="P979" s="7" t="s">
        <v>2148</v>
      </c>
      <c r="Q979" s="7"/>
      <c r="R979" s="7"/>
      <c r="S979" s="3" t="s">
        <v>40</v>
      </c>
      <c r="T979" s="7" t="s">
        <v>41</v>
      </c>
      <c r="U979" s="7"/>
      <c r="V979" s="4" t="s">
        <v>42</v>
      </c>
      <c r="W979" s="4" t="s">
        <v>51</v>
      </c>
      <c r="X979" s="4" t="s">
        <v>128</v>
      </c>
      <c r="Y979" s="7" t="s">
        <v>197</v>
      </c>
      <c r="Z979" s="7"/>
      <c r="AA979" s="4" t="s">
        <v>46</v>
      </c>
      <c r="AB979" s="4" t="s">
        <v>47</v>
      </c>
      <c r="AC979" s="4" t="s">
        <v>136</v>
      </c>
      <c r="AD979" s="4" t="s">
        <v>137</v>
      </c>
      <c r="AE979" s="4" t="s">
        <v>48</v>
      </c>
      <c r="AF979" s="4" t="s">
        <v>41</v>
      </c>
      <c r="AG979" s="4" t="s">
        <v>2056</v>
      </c>
    </row>
    <row r="980" spans="1:33" ht="16.5" customHeight="1" x14ac:dyDescent="0.2">
      <c r="A980" s="2" t="s">
        <v>31</v>
      </c>
      <c r="B980" s="5" t="s">
        <v>54</v>
      </c>
      <c r="C980" s="5"/>
      <c r="D980" s="5"/>
      <c r="E980" s="6" t="s">
        <v>33</v>
      </c>
      <c r="F980" s="6"/>
      <c r="G980" s="7" t="s">
        <v>2052</v>
      </c>
      <c r="H980" s="7"/>
      <c r="I980" s="7"/>
      <c r="J980" s="3" t="s">
        <v>35</v>
      </c>
      <c r="K980" s="4" t="s">
        <v>657</v>
      </c>
      <c r="L980" s="4" t="s">
        <v>37</v>
      </c>
      <c r="N980" s="7" t="s">
        <v>2149</v>
      </c>
      <c r="O980" s="7"/>
      <c r="P980" s="7" t="s">
        <v>2150</v>
      </c>
      <c r="Q980" s="7"/>
      <c r="R980" s="7"/>
      <c r="S980" s="3" t="s">
        <v>40</v>
      </c>
      <c r="T980" s="7" t="s">
        <v>41</v>
      </c>
      <c r="U980" s="7"/>
      <c r="V980" s="4" t="s">
        <v>42</v>
      </c>
      <c r="W980" s="4" t="s">
        <v>51</v>
      </c>
      <c r="X980" s="4" t="s">
        <v>128</v>
      </c>
      <c r="Y980" s="7" t="s">
        <v>197</v>
      </c>
      <c r="Z980" s="7"/>
      <c r="AA980" s="4" t="s">
        <v>46</v>
      </c>
      <c r="AB980" s="4" t="s">
        <v>47</v>
      </c>
      <c r="AC980" s="4" t="s">
        <v>136</v>
      </c>
      <c r="AD980" s="4" t="s">
        <v>137</v>
      </c>
      <c r="AE980" s="4" t="s">
        <v>48</v>
      </c>
      <c r="AF980" s="4" t="s">
        <v>41</v>
      </c>
      <c r="AG980" s="4" t="s">
        <v>2056</v>
      </c>
    </row>
    <row r="981" spans="1:33" ht="16.5" customHeight="1" x14ac:dyDescent="0.2">
      <c r="A981" s="2" t="s">
        <v>31</v>
      </c>
      <c r="B981" s="5" t="s">
        <v>54</v>
      </c>
      <c r="C981" s="5"/>
      <c r="D981" s="5"/>
      <c r="E981" s="6" t="s">
        <v>33</v>
      </c>
      <c r="F981" s="6"/>
      <c r="G981" s="7" t="s">
        <v>2052</v>
      </c>
      <c r="H981" s="7"/>
      <c r="I981" s="7"/>
      <c r="J981" s="3" t="s">
        <v>35</v>
      </c>
      <c r="K981" s="4" t="s">
        <v>248</v>
      </c>
      <c r="L981" s="4" t="s">
        <v>37</v>
      </c>
      <c r="N981" s="7" t="s">
        <v>2151</v>
      </c>
      <c r="O981" s="7"/>
      <c r="P981" s="7" t="s">
        <v>2152</v>
      </c>
      <c r="Q981" s="7"/>
      <c r="R981" s="7"/>
      <c r="S981" s="3" t="s">
        <v>40</v>
      </c>
      <c r="T981" s="7" t="s">
        <v>41</v>
      </c>
      <c r="U981" s="7"/>
      <c r="V981" s="4" t="s">
        <v>42</v>
      </c>
      <c r="W981" s="4" t="s">
        <v>51</v>
      </c>
      <c r="X981" s="4" t="s">
        <v>128</v>
      </c>
      <c r="Y981" s="7" t="s">
        <v>60</v>
      </c>
      <c r="Z981" s="7"/>
      <c r="AA981" s="4" t="s">
        <v>46</v>
      </c>
      <c r="AB981" s="4" t="s">
        <v>47</v>
      </c>
      <c r="AC981" s="4" t="s">
        <v>61</v>
      </c>
      <c r="AD981" s="4" t="s">
        <v>62</v>
      </c>
      <c r="AE981" s="4" t="s">
        <v>48</v>
      </c>
      <c r="AF981" s="4" t="s">
        <v>41</v>
      </c>
      <c r="AG981" s="4" t="s">
        <v>2056</v>
      </c>
    </row>
    <row r="982" spans="1:33" ht="16.5" customHeight="1" x14ac:dyDescent="0.2">
      <c r="A982" s="2" t="s">
        <v>31</v>
      </c>
      <c r="B982" s="5" t="s">
        <v>54</v>
      </c>
      <c r="C982" s="5"/>
      <c r="D982" s="5"/>
      <c r="E982" s="6" t="s">
        <v>33</v>
      </c>
      <c r="F982" s="6"/>
      <c r="G982" s="7" t="s">
        <v>2052</v>
      </c>
      <c r="H982" s="7"/>
      <c r="I982" s="7"/>
      <c r="J982" s="3" t="s">
        <v>35</v>
      </c>
      <c r="K982" s="4" t="s">
        <v>414</v>
      </c>
      <c r="L982" s="4" t="s">
        <v>37</v>
      </c>
      <c r="N982" s="7" t="s">
        <v>2153</v>
      </c>
      <c r="O982" s="7"/>
      <c r="P982" s="7" t="s">
        <v>2154</v>
      </c>
      <c r="Q982" s="7"/>
      <c r="R982" s="7"/>
      <c r="S982" s="3" t="s">
        <v>40</v>
      </c>
      <c r="T982" s="7" t="s">
        <v>41</v>
      </c>
      <c r="U982" s="7"/>
      <c r="V982" s="4" t="s">
        <v>42</v>
      </c>
      <c r="W982" s="4" t="s">
        <v>51</v>
      </c>
      <c r="X982" s="4" t="s">
        <v>128</v>
      </c>
      <c r="Y982" s="7" t="s">
        <v>197</v>
      </c>
      <c r="Z982" s="7"/>
      <c r="AA982" s="4" t="s">
        <v>46</v>
      </c>
      <c r="AB982" s="4" t="s">
        <v>47</v>
      </c>
      <c r="AC982" s="4" t="s">
        <v>136</v>
      </c>
      <c r="AD982" s="4" t="s">
        <v>137</v>
      </c>
      <c r="AE982" s="4" t="s">
        <v>48</v>
      </c>
      <c r="AF982" s="4" t="s">
        <v>41</v>
      </c>
      <c r="AG982" s="4" t="s">
        <v>2056</v>
      </c>
    </row>
    <row r="983" spans="1:33" ht="16.5" customHeight="1" x14ac:dyDescent="0.2">
      <c r="A983" s="2" t="s">
        <v>31</v>
      </c>
      <c r="B983" s="5" t="s">
        <v>108</v>
      </c>
      <c r="C983" s="5"/>
      <c r="D983" s="5"/>
      <c r="E983" s="6" t="s">
        <v>33</v>
      </c>
      <c r="F983" s="6"/>
      <c r="G983" s="7" t="s">
        <v>2052</v>
      </c>
      <c r="H983" s="7"/>
      <c r="I983" s="7"/>
      <c r="J983" s="3" t="s">
        <v>35</v>
      </c>
      <c r="K983" s="4" t="s">
        <v>398</v>
      </c>
      <c r="N983" s="7" t="s">
        <v>2155</v>
      </c>
      <c r="O983" s="7"/>
      <c r="P983" s="7" t="s">
        <v>2156</v>
      </c>
      <c r="Q983" s="7"/>
      <c r="R983" s="7"/>
      <c r="S983" s="3" t="s">
        <v>40</v>
      </c>
      <c r="T983" s="7" t="s">
        <v>401</v>
      </c>
      <c r="U983" s="7"/>
      <c r="V983" s="4" t="s">
        <v>51</v>
      </c>
      <c r="W983" s="4" t="s">
        <v>76</v>
      </c>
      <c r="X983" s="4" t="s">
        <v>91</v>
      </c>
      <c r="Y983" s="7" t="s">
        <v>402</v>
      </c>
      <c r="Z983" s="7"/>
      <c r="AA983" s="4" t="s">
        <v>46</v>
      </c>
      <c r="AB983" s="4" t="s">
        <v>115</v>
      </c>
      <c r="AC983" s="4" t="s">
        <v>403</v>
      </c>
      <c r="AD983" s="4" t="s">
        <v>404</v>
      </c>
      <c r="AE983" s="4" t="s">
        <v>48</v>
      </c>
      <c r="AF983" s="4" t="s">
        <v>41</v>
      </c>
      <c r="AG983" s="4" t="s">
        <v>2056</v>
      </c>
    </row>
    <row r="984" spans="1:33" ht="16.5" customHeight="1" x14ac:dyDescent="0.2">
      <c r="A984" s="2" t="s">
        <v>31</v>
      </c>
      <c r="B984" s="5" t="s">
        <v>108</v>
      </c>
      <c r="C984" s="5"/>
      <c r="D984" s="5"/>
      <c r="E984" s="6" t="s">
        <v>33</v>
      </c>
      <c r="F984" s="6"/>
      <c r="G984" s="7" t="s">
        <v>2052</v>
      </c>
      <c r="H984" s="7"/>
      <c r="I984" s="7"/>
      <c r="J984" s="3" t="s">
        <v>35</v>
      </c>
      <c r="K984" s="4" t="s">
        <v>398</v>
      </c>
      <c r="N984" s="7" t="s">
        <v>2157</v>
      </c>
      <c r="O984" s="7"/>
      <c r="P984" s="7" t="s">
        <v>2158</v>
      </c>
      <c r="Q984" s="7"/>
      <c r="R984" s="7"/>
      <c r="S984" s="3" t="s">
        <v>40</v>
      </c>
      <c r="T984" s="7" t="s">
        <v>2159</v>
      </c>
      <c r="U984" s="7"/>
      <c r="V984" s="4" t="s">
        <v>51</v>
      </c>
      <c r="W984" s="4" t="s">
        <v>58</v>
      </c>
      <c r="X984" s="4" t="s">
        <v>128</v>
      </c>
      <c r="Y984" s="7" t="s">
        <v>402</v>
      </c>
      <c r="Z984" s="7"/>
      <c r="AA984" s="4" t="s">
        <v>46</v>
      </c>
      <c r="AB984" s="4" t="s">
        <v>115</v>
      </c>
      <c r="AC984" s="4" t="s">
        <v>403</v>
      </c>
      <c r="AD984" s="4" t="s">
        <v>2160</v>
      </c>
      <c r="AE984" s="4" t="s">
        <v>48</v>
      </c>
      <c r="AF984" s="4" t="s">
        <v>41</v>
      </c>
      <c r="AG984" s="4" t="s">
        <v>2056</v>
      </c>
    </row>
    <row r="985" spans="1:33" ht="16.5" customHeight="1" x14ac:dyDescent="0.2">
      <c r="A985" s="2" t="s">
        <v>31</v>
      </c>
      <c r="B985" s="5" t="s">
        <v>32</v>
      </c>
      <c r="C985" s="5"/>
      <c r="D985" s="5"/>
      <c r="E985" s="6" t="s">
        <v>33</v>
      </c>
      <c r="F985" s="6"/>
      <c r="G985" s="7" t="s">
        <v>2161</v>
      </c>
      <c r="H985" s="7"/>
      <c r="I985" s="7"/>
      <c r="J985" s="3" t="s">
        <v>35</v>
      </c>
      <c r="K985" s="4" t="s">
        <v>1926</v>
      </c>
      <c r="L985" s="4" t="s">
        <v>37</v>
      </c>
      <c r="N985" s="7" t="s">
        <v>2162</v>
      </c>
      <c r="O985" s="7"/>
      <c r="P985" s="7" t="s">
        <v>2163</v>
      </c>
      <c r="Q985" s="7"/>
      <c r="R985" s="7"/>
      <c r="S985" s="3" t="s">
        <v>40</v>
      </c>
      <c r="T985" s="7" t="s">
        <v>41</v>
      </c>
      <c r="U985" s="7"/>
      <c r="V985" s="4" t="s">
        <v>42</v>
      </c>
      <c r="W985" s="4" t="s">
        <v>76</v>
      </c>
      <c r="X985" s="4" t="s">
        <v>77</v>
      </c>
      <c r="Y985" s="7" t="s">
        <v>1929</v>
      </c>
      <c r="Z985" s="7"/>
      <c r="AA985" s="4" t="s">
        <v>46</v>
      </c>
      <c r="AB985" s="4" t="s">
        <v>47</v>
      </c>
      <c r="AD985" s="4" t="s">
        <v>41</v>
      </c>
      <c r="AE985" s="4" t="s">
        <v>48</v>
      </c>
      <c r="AF985" s="4" t="s">
        <v>41</v>
      </c>
      <c r="AG985" s="4" t="s">
        <v>2164</v>
      </c>
    </row>
    <row r="986" spans="1:33" ht="16.5" customHeight="1" x14ac:dyDescent="0.2">
      <c r="A986" s="2" t="s">
        <v>31</v>
      </c>
      <c r="B986" s="5" t="s">
        <v>50</v>
      </c>
      <c r="C986" s="5"/>
      <c r="D986" s="5"/>
      <c r="E986" s="6" t="s">
        <v>33</v>
      </c>
      <c r="F986" s="6"/>
      <c r="G986" s="7" t="s">
        <v>2161</v>
      </c>
      <c r="H986" s="7"/>
      <c r="I986" s="7"/>
      <c r="J986" s="3" t="s">
        <v>35</v>
      </c>
      <c r="K986" s="4" t="s">
        <v>1926</v>
      </c>
      <c r="N986" s="7" t="s">
        <v>2162</v>
      </c>
      <c r="O986" s="7"/>
      <c r="P986" s="7" t="s">
        <v>2163</v>
      </c>
      <c r="Q986" s="7"/>
      <c r="R986" s="7"/>
      <c r="S986" s="3" t="s">
        <v>40</v>
      </c>
      <c r="T986" s="7" t="s">
        <v>41</v>
      </c>
      <c r="U986" s="7"/>
      <c r="V986" s="4" t="s">
        <v>51</v>
      </c>
      <c r="W986" s="4" t="s">
        <v>76</v>
      </c>
      <c r="X986" s="4" t="s">
        <v>91</v>
      </c>
      <c r="Y986" s="7" t="s">
        <v>1929</v>
      </c>
      <c r="Z986" s="7"/>
      <c r="AA986" s="4" t="s">
        <v>46</v>
      </c>
      <c r="AB986" s="4" t="s">
        <v>47</v>
      </c>
      <c r="AD986" s="4" t="s">
        <v>1269</v>
      </c>
      <c r="AE986" s="4" t="s">
        <v>48</v>
      </c>
      <c r="AF986" s="4" t="s">
        <v>41</v>
      </c>
      <c r="AG986" s="4" t="s">
        <v>2164</v>
      </c>
    </row>
    <row r="987" spans="1:33" ht="16.5" customHeight="1" x14ac:dyDescent="0.2">
      <c r="A987" s="2" t="s">
        <v>31</v>
      </c>
      <c r="B987" s="5" t="s">
        <v>50</v>
      </c>
      <c r="C987" s="5"/>
      <c r="D987" s="5"/>
      <c r="E987" s="6" t="s">
        <v>33</v>
      </c>
      <c r="F987" s="6"/>
      <c r="G987" s="7" t="s">
        <v>2161</v>
      </c>
      <c r="H987" s="7"/>
      <c r="I987" s="7"/>
      <c r="J987" s="3" t="s">
        <v>35</v>
      </c>
      <c r="K987" s="4" t="s">
        <v>661</v>
      </c>
      <c r="N987" s="7" t="s">
        <v>2165</v>
      </c>
      <c r="O987" s="7"/>
      <c r="P987" s="7" t="s">
        <v>2166</v>
      </c>
      <c r="Q987" s="7"/>
      <c r="R987" s="7"/>
      <c r="S987" s="3" t="s">
        <v>40</v>
      </c>
      <c r="T987" s="7" t="s">
        <v>41</v>
      </c>
      <c r="U987" s="7"/>
      <c r="V987" s="4" t="s">
        <v>51</v>
      </c>
      <c r="W987" s="4" t="s">
        <v>68</v>
      </c>
      <c r="X987" s="4" t="s">
        <v>313</v>
      </c>
      <c r="Y987" s="7" t="s">
        <v>664</v>
      </c>
      <c r="Z987" s="7"/>
      <c r="AA987" s="4" t="s">
        <v>46</v>
      </c>
      <c r="AB987" s="4" t="s">
        <v>47</v>
      </c>
      <c r="AD987" s="4" t="s">
        <v>96</v>
      </c>
      <c r="AE987" s="4" t="s">
        <v>48</v>
      </c>
      <c r="AF987" s="4" t="s">
        <v>41</v>
      </c>
      <c r="AG987" s="4" t="s">
        <v>2164</v>
      </c>
    </row>
    <row r="988" spans="1:33" ht="16.5" customHeight="1" x14ac:dyDescent="0.2">
      <c r="A988" s="2" t="s">
        <v>31</v>
      </c>
      <c r="B988" s="5" t="s">
        <v>54</v>
      </c>
      <c r="C988" s="5"/>
      <c r="D988" s="5"/>
      <c r="E988" s="6" t="s">
        <v>33</v>
      </c>
      <c r="F988" s="6"/>
      <c r="G988" s="7" t="s">
        <v>2161</v>
      </c>
      <c r="H988" s="7"/>
      <c r="I988" s="7"/>
      <c r="J988" s="3" t="s">
        <v>35</v>
      </c>
      <c r="K988" s="4" t="s">
        <v>245</v>
      </c>
      <c r="L988" s="4" t="s">
        <v>37</v>
      </c>
      <c r="N988" s="7" t="s">
        <v>2167</v>
      </c>
      <c r="O988" s="7"/>
      <c r="P988" s="7" t="s">
        <v>2168</v>
      </c>
      <c r="Q988" s="7"/>
      <c r="R988" s="7"/>
      <c r="S988" s="3" t="s">
        <v>40</v>
      </c>
      <c r="T988" s="7" t="s">
        <v>41</v>
      </c>
      <c r="U988" s="7"/>
      <c r="V988" s="4" t="s">
        <v>42</v>
      </c>
      <c r="W988" s="4" t="s">
        <v>730</v>
      </c>
      <c r="X988" s="4" t="s">
        <v>682</v>
      </c>
      <c r="Y988" s="7" t="s">
        <v>78</v>
      </c>
      <c r="Z988" s="7"/>
      <c r="AA988" s="4" t="s">
        <v>46</v>
      </c>
      <c r="AB988" s="4" t="s">
        <v>47</v>
      </c>
      <c r="AC988" s="4" t="s">
        <v>136</v>
      </c>
      <c r="AD988" s="4" t="s">
        <v>137</v>
      </c>
      <c r="AE988" s="4" t="s">
        <v>48</v>
      </c>
      <c r="AF988" s="4" t="s">
        <v>41</v>
      </c>
      <c r="AG988" s="4" t="s">
        <v>2164</v>
      </c>
    </row>
    <row r="989" spans="1:33" ht="16.5" customHeight="1" x14ac:dyDescent="0.2">
      <c r="A989" s="2" t="s">
        <v>31</v>
      </c>
      <c r="B989" s="5" t="s">
        <v>54</v>
      </c>
      <c r="C989" s="5"/>
      <c r="D989" s="5"/>
      <c r="E989" s="6" t="s">
        <v>33</v>
      </c>
      <c r="F989" s="6"/>
      <c r="G989" s="7" t="s">
        <v>2161</v>
      </c>
      <c r="H989" s="7"/>
      <c r="I989" s="7"/>
      <c r="J989" s="3" t="s">
        <v>35</v>
      </c>
      <c r="K989" s="4" t="s">
        <v>118</v>
      </c>
      <c r="L989" s="4" t="s">
        <v>280</v>
      </c>
      <c r="N989" s="7" t="s">
        <v>2169</v>
      </c>
      <c r="O989" s="7"/>
      <c r="P989" s="7" t="s">
        <v>2170</v>
      </c>
      <c r="Q989" s="7"/>
      <c r="R989" s="7"/>
      <c r="S989" s="3" t="s">
        <v>40</v>
      </c>
      <c r="T989" s="7" t="s">
        <v>41</v>
      </c>
      <c r="U989" s="7"/>
      <c r="V989" s="4" t="s">
        <v>42</v>
      </c>
      <c r="W989" s="4" t="s">
        <v>186</v>
      </c>
      <c r="X989" s="4" t="s">
        <v>187</v>
      </c>
      <c r="Y989" s="7" t="s">
        <v>60</v>
      </c>
      <c r="Z989" s="7"/>
      <c r="AA989" s="4" t="s">
        <v>46</v>
      </c>
      <c r="AB989" s="4" t="s">
        <v>47</v>
      </c>
      <c r="AC989" s="4" t="s">
        <v>79</v>
      </c>
      <c r="AD989" s="4" t="s">
        <v>285</v>
      </c>
      <c r="AE989" s="4" t="s">
        <v>48</v>
      </c>
      <c r="AF989" s="4" t="s">
        <v>41</v>
      </c>
      <c r="AG989" s="4" t="s">
        <v>2164</v>
      </c>
    </row>
    <row r="990" spans="1:33" ht="16.5" customHeight="1" x14ac:dyDescent="0.2">
      <c r="A990" s="2" t="s">
        <v>31</v>
      </c>
      <c r="B990" s="5" t="s">
        <v>54</v>
      </c>
      <c r="C990" s="5"/>
      <c r="D990" s="5"/>
      <c r="E990" s="6" t="s">
        <v>33</v>
      </c>
      <c r="F990" s="6"/>
      <c r="G990" s="7" t="s">
        <v>2161</v>
      </c>
      <c r="H990" s="7"/>
      <c r="I990" s="7"/>
      <c r="J990" s="3" t="s">
        <v>35</v>
      </c>
      <c r="K990" s="4" t="s">
        <v>118</v>
      </c>
      <c r="L990" s="4" t="s">
        <v>280</v>
      </c>
      <c r="N990" s="7" t="s">
        <v>2169</v>
      </c>
      <c r="O990" s="7"/>
      <c r="P990" s="7" t="s">
        <v>2170</v>
      </c>
      <c r="Q990" s="7"/>
      <c r="R990" s="7"/>
      <c r="S990" s="3" t="s">
        <v>40</v>
      </c>
      <c r="T990" s="7" t="s">
        <v>41</v>
      </c>
      <c r="U990" s="7"/>
      <c r="V990" s="4" t="s">
        <v>51</v>
      </c>
      <c r="W990" s="4" t="s">
        <v>186</v>
      </c>
      <c r="X990" s="4" t="s">
        <v>1943</v>
      </c>
      <c r="Y990" s="7" t="s">
        <v>60</v>
      </c>
      <c r="Z990" s="7"/>
      <c r="AA990" s="4" t="s">
        <v>46</v>
      </c>
      <c r="AB990" s="4" t="s">
        <v>47</v>
      </c>
      <c r="AC990" s="4" t="s">
        <v>79</v>
      </c>
      <c r="AD990" s="4" t="s">
        <v>285</v>
      </c>
      <c r="AE990" s="4" t="s">
        <v>48</v>
      </c>
      <c r="AF990" s="4" t="s">
        <v>41</v>
      </c>
      <c r="AG990" s="4" t="s">
        <v>2164</v>
      </c>
    </row>
    <row r="991" spans="1:33" ht="16.5" customHeight="1" x14ac:dyDescent="0.2">
      <c r="A991" s="2" t="s">
        <v>31</v>
      </c>
      <c r="B991" s="5" t="s">
        <v>54</v>
      </c>
      <c r="C991" s="5"/>
      <c r="D991" s="5"/>
      <c r="E991" s="6" t="s">
        <v>33</v>
      </c>
      <c r="F991" s="6"/>
      <c r="G991" s="7" t="s">
        <v>2161</v>
      </c>
      <c r="H991" s="7"/>
      <c r="I991" s="7"/>
      <c r="J991" s="3" t="s">
        <v>35</v>
      </c>
      <c r="K991" s="4" t="s">
        <v>81</v>
      </c>
      <c r="L991" s="4" t="s">
        <v>37</v>
      </c>
      <c r="N991" s="7" t="s">
        <v>2171</v>
      </c>
      <c r="O991" s="7"/>
      <c r="P991" s="7" t="s">
        <v>2172</v>
      </c>
      <c r="Q991" s="7"/>
      <c r="R991" s="7"/>
      <c r="S991" s="3" t="s">
        <v>40</v>
      </c>
      <c r="T991" s="7" t="s">
        <v>41</v>
      </c>
      <c r="U991" s="7"/>
      <c r="V991" s="4" t="s">
        <v>42</v>
      </c>
      <c r="W991" s="4" t="s">
        <v>58</v>
      </c>
      <c r="X991" s="4" t="s">
        <v>59</v>
      </c>
      <c r="Y991" s="7" t="s">
        <v>78</v>
      </c>
      <c r="Z991" s="7"/>
      <c r="AA991" s="4" t="s">
        <v>46</v>
      </c>
      <c r="AB991" s="4" t="s">
        <v>47</v>
      </c>
      <c r="AC991" s="4" t="s">
        <v>79</v>
      </c>
      <c r="AD991" s="4" t="s">
        <v>80</v>
      </c>
      <c r="AE991" s="4" t="s">
        <v>48</v>
      </c>
      <c r="AF991" s="4" t="s">
        <v>41</v>
      </c>
      <c r="AG991" s="4" t="s">
        <v>2164</v>
      </c>
    </row>
    <row r="992" spans="1:33" ht="16.5" customHeight="1" x14ac:dyDescent="0.2">
      <c r="A992" s="2" t="s">
        <v>31</v>
      </c>
      <c r="B992" s="5" t="s">
        <v>54</v>
      </c>
      <c r="C992" s="5"/>
      <c r="D992" s="5"/>
      <c r="E992" s="6" t="s">
        <v>33</v>
      </c>
      <c r="F992" s="6"/>
      <c r="G992" s="7" t="s">
        <v>2161</v>
      </c>
      <c r="H992" s="7"/>
      <c r="I992" s="7"/>
      <c r="J992" s="3" t="s">
        <v>35</v>
      </c>
      <c r="K992" s="4" t="s">
        <v>245</v>
      </c>
      <c r="L992" s="4" t="s">
        <v>37</v>
      </c>
      <c r="N992" s="7" t="s">
        <v>2173</v>
      </c>
      <c r="O992" s="7"/>
      <c r="P992" s="7" t="s">
        <v>2174</v>
      </c>
      <c r="Q992" s="7"/>
      <c r="R992" s="7"/>
      <c r="S992" s="3" t="s">
        <v>40</v>
      </c>
      <c r="T992" s="7" t="s">
        <v>41</v>
      </c>
      <c r="U992" s="7"/>
      <c r="V992" s="4" t="s">
        <v>42</v>
      </c>
      <c r="W992" s="4" t="s">
        <v>58</v>
      </c>
      <c r="X992" s="4" t="s">
        <v>59</v>
      </c>
      <c r="Y992" s="7" t="s">
        <v>78</v>
      </c>
      <c r="Z992" s="7"/>
      <c r="AA992" s="4" t="s">
        <v>46</v>
      </c>
      <c r="AB992" s="4" t="s">
        <v>47</v>
      </c>
      <c r="AC992" s="4" t="s">
        <v>79</v>
      </c>
      <c r="AD992" s="4" t="s">
        <v>80</v>
      </c>
      <c r="AE992" s="4" t="s">
        <v>48</v>
      </c>
      <c r="AF992" s="4" t="s">
        <v>41</v>
      </c>
      <c r="AG992" s="4" t="s">
        <v>2164</v>
      </c>
    </row>
    <row r="993" spans="1:33" ht="16.5" customHeight="1" x14ac:dyDescent="0.2">
      <c r="A993" s="2" t="s">
        <v>31</v>
      </c>
      <c r="B993" s="5" t="s">
        <v>54</v>
      </c>
      <c r="C993" s="5"/>
      <c r="D993" s="5"/>
      <c r="E993" s="6" t="s">
        <v>33</v>
      </c>
      <c r="F993" s="6"/>
      <c r="G993" s="7" t="s">
        <v>2161</v>
      </c>
      <c r="H993" s="7"/>
      <c r="I993" s="7"/>
      <c r="J993" s="3" t="s">
        <v>35</v>
      </c>
      <c r="K993" s="4" t="s">
        <v>130</v>
      </c>
      <c r="L993" s="4" t="s">
        <v>37</v>
      </c>
      <c r="N993" s="7" t="s">
        <v>2175</v>
      </c>
      <c r="O993" s="7"/>
      <c r="P993" s="7" t="s">
        <v>2176</v>
      </c>
      <c r="Q993" s="7"/>
      <c r="R993" s="7"/>
      <c r="S993" s="3" t="s">
        <v>40</v>
      </c>
      <c r="T993" s="7" t="s">
        <v>41</v>
      </c>
      <c r="U993" s="7"/>
      <c r="V993" s="4" t="s">
        <v>42</v>
      </c>
      <c r="W993" s="4" t="s">
        <v>542</v>
      </c>
      <c r="X993" s="4" t="s">
        <v>543</v>
      </c>
      <c r="Y993" s="7" t="s">
        <v>135</v>
      </c>
      <c r="Z993" s="7"/>
      <c r="AA993" s="4" t="s">
        <v>46</v>
      </c>
      <c r="AB993" s="4" t="s">
        <v>47</v>
      </c>
      <c r="AC993" s="4" t="s">
        <v>136</v>
      </c>
      <c r="AD993" s="4" t="s">
        <v>137</v>
      </c>
      <c r="AE993" s="4" t="s">
        <v>48</v>
      </c>
      <c r="AF993" s="4" t="s">
        <v>41</v>
      </c>
      <c r="AG993" s="4" t="s">
        <v>2164</v>
      </c>
    </row>
    <row r="994" spans="1:33" ht="16.5" customHeight="1" x14ac:dyDescent="0.2">
      <c r="A994" s="2" t="s">
        <v>31</v>
      </c>
      <c r="B994" s="5" t="s">
        <v>108</v>
      </c>
      <c r="C994" s="5"/>
      <c r="D994" s="5"/>
      <c r="E994" s="6" t="s">
        <v>33</v>
      </c>
      <c r="F994" s="6"/>
      <c r="G994" s="7" t="s">
        <v>2161</v>
      </c>
      <c r="H994" s="7"/>
      <c r="I994" s="7"/>
      <c r="J994" s="3" t="s">
        <v>109</v>
      </c>
      <c r="K994" s="4" t="s">
        <v>505</v>
      </c>
      <c r="N994" s="7" t="s">
        <v>2175</v>
      </c>
      <c r="O994" s="7"/>
      <c r="P994" s="7" t="s">
        <v>2176</v>
      </c>
      <c r="Q994" s="7"/>
      <c r="R994" s="7"/>
      <c r="S994" s="3" t="s">
        <v>40</v>
      </c>
      <c r="T994" s="7" t="s">
        <v>553</v>
      </c>
      <c r="U994" s="7"/>
      <c r="V994" s="4" t="s">
        <v>42</v>
      </c>
      <c r="W994" s="4" t="s">
        <v>58</v>
      </c>
      <c r="X994" s="4" t="s">
        <v>302</v>
      </c>
      <c r="Y994" s="7" t="s">
        <v>114</v>
      </c>
      <c r="Z994" s="7"/>
      <c r="AA994" s="4" t="s">
        <v>46</v>
      </c>
      <c r="AB994" s="4" t="s">
        <v>115</v>
      </c>
      <c r="AC994" s="4" t="s">
        <v>116</v>
      </c>
      <c r="AD994" s="4" t="s">
        <v>2177</v>
      </c>
      <c r="AE994" s="4" t="s">
        <v>48</v>
      </c>
      <c r="AF994" s="4" t="s">
        <v>41</v>
      </c>
      <c r="AG994" s="4" t="s">
        <v>2164</v>
      </c>
    </row>
    <row r="995" spans="1:33" ht="16.5" customHeight="1" x14ac:dyDescent="0.2">
      <c r="A995" s="2" t="s">
        <v>31</v>
      </c>
      <c r="B995" s="5" t="s">
        <v>54</v>
      </c>
      <c r="C995" s="5"/>
      <c r="D995" s="5"/>
      <c r="E995" s="6" t="s">
        <v>33</v>
      </c>
      <c r="F995" s="6"/>
      <c r="G995" s="7" t="s">
        <v>2161</v>
      </c>
      <c r="H995" s="7"/>
      <c r="I995" s="7"/>
      <c r="J995" s="3" t="s">
        <v>35</v>
      </c>
      <c r="K995" s="4" t="s">
        <v>409</v>
      </c>
      <c r="L995" s="4" t="s">
        <v>37</v>
      </c>
      <c r="N995" s="7" t="s">
        <v>2178</v>
      </c>
      <c r="O995" s="7"/>
      <c r="P995" s="7" t="s">
        <v>2179</v>
      </c>
      <c r="Q995" s="7"/>
      <c r="R995" s="7"/>
      <c r="S995" s="3" t="s">
        <v>40</v>
      </c>
      <c r="T995" s="7" t="s">
        <v>41</v>
      </c>
      <c r="U995" s="7"/>
      <c r="V995" s="4" t="s">
        <v>42</v>
      </c>
      <c r="W995" s="4" t="s">
        <v>333</v>
      </c>
      <c r="X995" s="4" t="s">
        <v>334</v>
      </c>
      <c r="Y995" s="7" t="s">
        <v>60</v>
      </c>
      <c r="Z995" s="7"/>
      <c r="AA995" s="4" t="s">
        <v>46</v>
      </c>
      <c r="AB995" s="4" t="s">
        <v>47</v>
      </c>
      <c r="AC995" s="4" t="s">
        <v>79</v>
      </c>
      <c r="AD995" s="4" t="s">
        <v>80</v>
      </c>
      <c r="AE995" s="4" t="s">
        <v>48</v>
      </c>
      <c r="AF995" s="4" t="s">
        <v>41</v>
      </c>
      <c r="AG995" s="4" t="s">
        <v>2164</v>
      </c>
    </row>
    <row r="996" spans="1:33" ht="16.5" customHeight="1" x14ac:dyDescent="0.2">
      <c r="A996" s="2" t="s">
        <v>31</v>
      </c>
      <c r="B996" s="5" t="s">
        <v>54</v>
      </c>
      <c r="C996" s="5"/>
      <c r="D996" s="5"/>
      <c r="E996" s="6" t="s">
        <v>33</v>
      </c>
      <c r="F996" s="6"/>
      <c r="G996" s="7" t="s">
        <v>2161</v>
      </c>
      <c r="H996" s="7"/>
      <c r="I996" s="7"/>
      <c r="J996" s="3" t="s">
        <v>35</v>
      </c>
      <c r="K996" s="4" t="s">
        <v>73</v>
      </c>
      <c r="L996" s="4" t="s">
        <v>37</v>
      </c>
      <c r="N996" s="7" t="s">
        <v>2180</v>
      </c>
      <c r="O996" s="7"/>
      <c r="P996" s="7" t="s">
        <v>2181</v>
      </c>
      <c r="Q996" s="7"/>
      <c r="R996" s="7"/>
      <c r="S996" s="3" t="s">
        <v>40</v>
      </c>
      <c r="T996" s="7" t="s">
        <v>41</v>
      </c>
      <c r="U996" s="7"/>
      <c r="V996" s="4" t="s">
        <v>42</v>
      </c>
      <c r="W996" s="4" t="s">
        <v>58</v>
      </c>
      <c r="X996" s="4" t="s">
        <v>59</v>
      </c>
      <c r="Y996" s="7" t="s">
        <v>78</v>
      </c>
      <c r="Z996" s="7"/>
      <c r="AA996" s="4" t="s">
        <v>46</v>
      </c>
      <c r="AB996" s="4" t="s">
        <v>47</v>
      </c>
      <c r="AC996" s="4" t="s">
        <v>79</v>
      </c>
      <c r="AD996" s="4" t="s">
        <v>80</v>
      </c>
      <c r="AE996" s="4" t="s">
        <v>48</v>
      </c>
      <c r="AF996" s="4" t="s">
        <v>41</v>
      </c>
      <c r="AG996" s="4" t="s">
        <v>2164</v>
      </c>
    </row>
    <row r="997" spans="1:33" ht="16.5" customHeight="1" x14ac:dyDescent="0.2">
      <c r="A997" s="2" t="s">
        <v>31</v>
      </c>
      <c r="B997" s="5" t="s">
        <v>54</v>
      </c>
      <c r="C997" s="5"/>
      <c r="D997" s="5"/>
      <c r="E997" s="6" t="s">
        <v>33</v>
      </c>
      <c r="F997" s="6"/>
      <c r="G997" s="7" t="s">
        <v>2161</v>
      </c>
      <c r="H997" s="7"/>
      <c r="I997" s="7"/>
      <c r="J997" s="3" t="s">
        <v>35</v>
      </c>
      <c r="K997" s="4" t="s">
        <v>97</v>
      </c>
      <c r="L997" s="4" t="s">
        <v>37</v>
      </c>
      <c r="N997" s="7" t="s">
        <v>2182</v>
      </c>
      <c r="O997" s="7"/>
      <c r="P997" s="7" t="s">
        <v>2183</v>
      </c>
      <c r="Q997" s="7"/>
      <c r="R997" s="7"/>
      <c r="S997" s="3" t="s">
        <v>40</v>
      </c>
      <c r="T997" s="7" t="s">
        <v>41</v>
      </c>
      <c r="U997" s="7"/>
      <c r="V997" s="4" t="s">
        <v>42</v>
      </c>
      <c r="W997" s="4" t="s">
        <v>234</v>
      </c>
      <c r="X997" s="4" t="s">
        <v>235</v>
      </c>
      <c r="Y997" s="7" t="s">
        <v>78</v>
      </c>
      <c r="Z997" s="7"/>
      <c r="AA997" s="4" t="s">
        <v>46</v>
      </c>
      <c r="AB997" s="4" t="s">
        <v>47</v>
      </c>
      <c r="AC997" s="4" t="s">
        <v>72</v>
      </c>
      <c r="AD997" s="4" t="s">
        <v>41</v>
      </c>
      <c r="AE997" s="4" t="s">
        <v>48</v>
      </c>
      <c r="AF997" s="4" t="s">
        <v>41</v>
      </c>
      <c r="AG997" s="4" t="s">
        <v>2164</v>
      </c>
    </row>
    <row r="998" spans="1:33" ht="16.5" customHeight="1" x14ac:dyDescent="0.2">
      <c r="A998" s="2" t="s">
        <v>31</v>
      </c>
      <c r="B998" s="5" t="s">
        <v>54</v>
      </c>
      <c r="C998" s="5"/>
      <c r="D998" s="5"/>
      <c r="E998" s="6" t="s">
        <v>33</v>
      </c>
      <c r="F998" s="6"/>
      <c r="G998" s="7" t="s">
        <v>2161</v>
      </c>
      <c r="H998" s="7"/>
      <c r="I998" s="7"/>
      <c r="J998" s="3" t="s">
        <v>35</v>
      </c>
      <c r="K998" s="4" t="s">
        <v>97</v>
      </c>
      <c r="L998" s="4" t="s">
        <v>37</v>
      </c>
      <c r="N998" s="7" t="s">
        <v>2184</v>
      </c>
      <c r="O998" s="7"/>
      <c r="P998" s="7" t="s">
        <v>2185</v>
      </c>
      <c r="Q998" s="7"/>
      <c r="R998" s="7"/>
      <c r="S998" s="3" t="s">
        <v>40</v>
      </c>
      <c r="T998" s="7" t="s">
        <v>41</v>
      </c>
      <c r="U998" s="7"/>
      <c r="V998" s="4" t="s">
        <v>42</v>
      </c>
      <c r="W998" s="4" t="s">
        <v>212</v>
      </c>
      <c r="X998" s="4" t="s">
        <v>1087</v>
      </c>
      <c r="Y998" s="7" t="s">
        <v>78</v>
      </c>
      <c r="Z998" s="7"/>
      <c r="AA998" s="4" t="s">
        <v>46</v>
      </c>
      <c r="AB998" s="4" t="s">
        <v>47</v>
      </c>
      <c r="AC998" s="4" t="s">
        <v>136</v>
      </c>
      <c r="AD998" s="4" t="s">
        <v>137</v>
      </c>
      <c r="AE998" s="4" t="s">
        <v>48</v>
      </c>
      <c r="AF998" s="4" t="s">
        <v>41</v>
      </c>
      <c r="AG998" s="4" t="s">
        <v>2164</v>
      </c>
    </row>
    <row r="999" spans="1:33" ht="16.5" customHeight="1" x14ac:dyDescent="0.2">
      <c r="A999" s="2" t="s">
        <v>31</v>
      </c>
      <c r="B999" s="5" t="s">
        <v>54</v>
      </c>
      <c r="C999" s="5"/>
      <c r="D999" s="5"/>
      <c r="E999" s="6" t="s">
        <v>33</v>
      </c>
      <c r="F999" s="6"/>
      <c r="G999" s="7" t="s">
        <v>2161</v>
      </c>
      <c r="H999" s="7"/>
      <c r="I999" s="7"/>
      <c r="J999" s="3" t="s">
        <v>35</v>
      </c>
      <c r="K999" s="4" t="s">
        <v>409</v>
      </c>
      <c r="L999" s="4" t="s">
        <v>231</v>
      </c>
      <c r="N999" s="7" t="s">
        <v>2186</v>
      </c>
      <c r="O999" s="7"/>
      <c r="P999" s="7" t="s">
        <v>2187</v>
      </c>
      <c r="Q999" s="7"/>
      <c r="R999" s="7"/>
      <c r="S999" s="3" t="s">
        <v>40</v>
      </c>
      <c r="T999" s="7" t="s">
        <v>41</v>
      </c>
      <c r="U999" s="7"/>
      <c r="V999" s="4" t="s">
        <v>42</v>
      </c>
      <c r="W999" s="4" t="s">
        <v>154</v>
      </c>
      <c r="X999" s="4" t="s">
        <v>155</v>
      </c>
      <c r="Y999" s="7" t="s">
        <v>60</v>
      </c>
      <c r="Z999" s="7"/>
      <c r="AA999" s="4" t="s">
        <v>46</v>
      </c>
      <c r="AB999" s="4" t="s">
        <v>47</v>
      </c>
      <c r="AC999" s="4" t="s">
        <v>79</v>
      </c>
      <c r="AD999" s="4" t="s">
        <v>236</v>
      </c>
      <c r="AE999" s="4" t="s">
        <v>48</v>
      </c>
      <c r="AF999" s="4" t="s">
        <v>41</v>
      </c>
      <c r="AG999" s="4" t="s">
        <v>2164</v>
      </c>
    </row>
    <row r="1000" spans="1:33" ht="16.5" customHeight="1" x14ac:dyDescent="0.2">
      <c r="A1000" s="2" t="s">
        <v>31</v>
      </c>
      <c r="B1000" s="5" t="s">
        <v>54</v>
      </c>
      <c r="C1000" s="5"/>
      <c r="D1000" s="5"/>
      <c r="E1000" s="6" t="s">
        <v>33</v>
      </c>
      <c r="F1000" s="6"/>
      <c r="G1000" s="7" t="s">
        <v>2161</v>
      </c>
      <c r="H1000" s="7"/>
      <c r="I1000" s="7"/>
      <c r="J1000" s="3" t="s">
        <v>35</v>
      </c>
      <c r="K1000" s="4" t="s">
        <v>73</v>
      </c>
      <c r="L1000" s="4" t="s">
        <v>37</v>
      </c>
      <c r="N1000" s="7" t="s">
        <v>2188</v>
      </c>
      <c r="O1000" s="7"/>
      <c r="P1000" s="7" t="s">
        <v>2189</v>
      </c>
      <c r="Q1000" s="7"/>
      <c r="R1000" s="7"/>
      <c r="S1000" s="3" t="s">
        <v>40</v>
      </c>
      <c r="T1000" s="7" t="s">
        <v>41</v>
      </c>
      <c r="U1000" s="7"/>
      <c r="V1000" s="4" t="s">
        <v>51</v>
      </c>
      <c r="W1000" s="4" t="s">
        <v>2190</v>
      </c>
      <c r="X1000" s="4" t="s">
        <v>2191</v>
      </c>
      <c r="Y1000" s="7" t="s">
        <v>78</v>
      </c>
      <c r="Z1000" s="7"/>
      <c r="AA1000" s="4" t="s">
        <v>46</v>
      </c>
      <c r="AB1000" s="4" t="s">
        <v>47</v>
      </c>
      <c r="AC1000" s="4" t="s">
        <v>72</v>
      </c>
      <c r="AD1000" s="4" t="s">
        <v>41</v>
      </c>
      <c r="AE1000" s="4" t="s">
        <v>48</v>
      </c>
      <c r="AF1000" s="4" t="s">
        <v>41</v>
      </c>
      <c r="AG1000" s="4" t="s">
        <v>2164</v>
      </c>
    </row>
    <row r="1001" spans="1:33" ht="16.5" customHeight="1" x14ac:dyDescent="0.2">
      <c r="A1001" s="2" t="s">
        <v>31</v>
      </c>
      <c r="B1001" s="5" t="s">
        <v>54</v>
      </c>
      <c r="C1001" s="5"/>
      <c r="D1001" s="5"/>
      <c r="E1001" s="6" t="s">
        <v>33</v>
      </c>
      <c r="F1001" s="6"/>
      <c r="G1001" s="7" t="s">
        <v>2161</v>
      </c>
      <c r="H1001" s="7"/>
      <c r="I1001" s="7"/>
      <c r="J1001" s="3" t="s">
        <v>35</v>
      </c>
      <c r="K1001" s="4" t="s">
        <v>92</v>
      </c>
      <c r="L1001" s="4" t="s">
        <v>37</v>
      </c>
      <c r="N1001" s="7" t="s">
        <v>2192</v>
      </c>
      <c r="O1001" s="7"/>
      <c r="P1001" s="7" t="s">
        <v>2193</v>
      </c>
      <c r="Q1001" s="7"/>
      <c r="R1001" s="7"/>
      <c r="S1001" s="3" t="s">
        <v>40</v>
      </c>
      <c r="T1001" s="7" t="s">
        <v>41</v>
      </c>
      <c r="U1001" s="7"/>
      <c r="V1001" s="4" t="s">
        <v>42</v>
      </c>
      <c r="W1001" s="4" t="s">
        <v>2194</v>
      </c>
      <c r="X1001" s="4" t="s">
        <v>2195</v>
      </c>
      <c r="Y1001" s="7" t="s">
        <v>78</v>
      </c>
      <c r="Z1001" s="7"/>
      <c r="AA1001" s="4" t="s">
        <v>46</v>
      </c>
      <c r="AB1001" s="4" t="s">
        <v>47</v>
      </c>
      <c r="AC1001" s="4" t="s">
        <v>136</v>
      </c>
      <c r="AD1001" s="4" t="s">
        <v>137</v>
      </c>
      <c r="AE1001" s="4" t="s">
        <v>48</v>
      </c>
      <c r="AF1001" s="4" t="s">
        <v>41</v>
      </c>
      <c r="AG1001" s="4" t="s">
        <v>2164</v>
      </c>
    </row>
    <row r="1002" spans="1:33" ht="16.5" customHeight="1" x14ac:dyDescent="0.2">
      <c r="A1002" s="2" t="s">
        <v>31</v>
      </c>
      <c r="B1002" s="5" t="s">
        <v>54</v>
      </c>
      <c r="C1002" s="5"/>
      <c r="D1002" s="5"/>
      <c r="E1002" s="6" t="s">
        <v>33</v>
      </c>
      <c r="F1002" s="6"/>
      <c r="G1002" s="7" t="s">
        <v>2161</v>
      </c>
      <c r="H1002" s="7"/>
      <c r="I1002" s="7"/>
      <c r="J1002" s="3" t="s">
        <v>35</v>
      </c>
      <c r="K1002" s="4" t="s">
        <v>409</v>
      </c>
      <c r="L1002" s="4" t="s">
        <v>37</v>
      </c>
      <c r="N1002" s="7" t="s">
        <v>2196</v>
      </c>
      <c r="O1002" s="7"/>
      <c r="P1002" s="7" t="s">
        <v>2197</v>
      </c>
      <c r="Q1002" s="7"/>
      <c r="R1002" s="7"/>
      <c r="S1002" s="3" t="s">
        <v>40</v>
      </c>
      <c r="T1002" s="7" t="s">
        <v>41</v>
      </c>
      <c r="U1002" s="7"/>
      <c r="V1002" s="4" t="s">
        <v>42</v>
      </c>
      <c r="W1002" s="4" t="s">
        <v>51</v>
      </c>
      <c r="X1002" s="4" t="s">
        <v>128</v>
      </c>
      <c r="Y1002" s="7" t="s">
        <v>60</v>
      </c>
      <c r="Z1002" s="7"/>
      <c r="AA1002" s="4" t="s">
        <v>46</v>
      </c>
      <c r="AB1002" s="4" t="s">
        <v>47</v>
      </c>
      <c r="AC1002" s="4" t="s">
        <v>72</v>
      </c>
      <c r="AD1002" s="4" t="s">
        <v>41</v>
      </c>
      <c r="AE1002" s="4" t="s">
        <v>48</v>
      </c>
      <c r="AF1002" s="4" t="s">
        <v>41</v>
      </c>
      <c r="AG1002" s="4" t="s">
        <v>2164</v>
      </c>
    </row>
    <row r="1003" spans="1:33" ht="16.5" customHeight="1" x14ac:dyDescent="0.2">
      <c r="A1003" s="2" t="s">
        <v>31</v>
      </c>
      <c r="B1003" s="5" t="s">
        <v>54</v>
      </c>
      <c r="C1003" s="5"/>
      <c r="D1003" s="5"/>
      <c r="E1003" s="6" t="s">
        <v>33</v>
      </c>
      <c r="F1003" s="6"/>
      <c r="G1003" s="7" t="s">
        <v>2161</v>
      </c>
      <c r="H1003" s="7"/>
      <c r="I1003" s="7"/>
      <c r="J1003" s="3" t="s">
        <v>35</v>
      </c>
      <c r="K1003" s="4" t="s">
        <v>248</v>
      </c>
      <c r="L1003" s="4" t="s">
        <v>37</v>
      </c>
      <c r="N1003" s="7" t="s">
        <v>2198</v>
      </c>
      <c r="O1003" s="7"/>
      <c r="P1003" s="7" t="s">
        <v>2199</v>
      </c>
      <c r="Q1003" s="7"/>
      <c r="R1003" s="7"/>
      <c r="S1003" s="3" t="s">
        <v>40</v>
      </c>
      <c r="T1003" s="7" t="s">
        <v>41</v>
      </c>
      <c r="U1003" s="7"/>
      <c r="V1003" s="4" t="s">
        <v>42</v>
      </c>
      <c r="W1003" s="4" t="s">
        <v>527</v>
      </c>
      <c r="X1003" s="4" t="s">
        <v>528</v>
      </c>
      <c r="Y1003" s="7" t="s">
        <v>60</v>
      </c>
      <c r="Z1003" s="7"/>
      <c r="AA1003" s="4" t="s">
        <v>46</v>
      </c>
      <c r="AB1003" s="4" t="s">
        <v>47</v>
      </c>
      <c r="AC1003" s="4" t="s">
        <v>79</v>
      </c>
      <c r="AD1003" s="4" t="s">
        <v>80</v>
      </c>
      <c r="AE1003" s="4" t="s">
        <v>48</v>
      </c>
      <c r="AF1003" s="4" t="s">
        <v>41</v>
      </c>
      <c r="AG1003" s="4" t="s">
        <v>2164</v>
      </c>
    </row>
    <row r="1004" spans="1:33" ht="16.5" customHeight="1" x14ac:dyDescent="0.2">
      <c r="A1004" s="2" t="s">
        <v>31</v>
      </c>
      <c r="B1004" s="5" t="s">
        <v>54</v>
      </c>
      <c r="C1004" s="5"/>
      <c r="D1004" s="5"/>
      <c r="E1004" s="6" t="s">
        <v>33</v>
      </c>
      <c r="F1004" s="6"/>
      <c r="G1004" s="7" t="s">
        <v>2161</v>
      </c>
      <c r="H1004" s="7"/>
      <c r="I1004" s="7"/>
      <c r="J1004" s="3" t="s">
        <v>35</v>
      </c>
      <c r="K1004" s="4" t="s">
        <v>387</v>
      </c>
      <c r="L1004" s="4" t="s">
        <v>37</v>
      </c>
      <c r="N1004" s="7" t="s">
        <v>2200</v>
      </c>
      <c r="O1004" s="7"/>
      <c r="P1004" s="7" t="s">
        <v>2201</v>
      </c>
      <c r="Q1004" s="7"/>
      <c r="R1004" s="7"/>
      <c r="S1004" s="3" t="s">
        <v>40</v>
      </c>
      <c r="T1004" s="7" t="s">
        <v>41</v>
      </c>
      <c r="U1004" s="7"/>
      <c r="V1004" s="4" t="s">
        <v>42</v>
      </c>
      <c r="W1004" s="4" t="s">
        <v>58</v>
      </c>
      <c r="X1004" s="4" t="s">
        <v>59</v>
      </c>
      <c r="Y1004" s="7" t="s">
        <v>197</v>
      </c>
      <c r="Z1004" s="7"/>
      <c r="AA1004" s="4" t="s">
        <v>46</v>
      </c>
      <c r="AB1004" s="4" t="s">
        <v>47</v>
      </c>
      <c r="AC1004" s="4" t="s">
        <v>136</v>
      </c>
      <c r="AD1004" s="4" t="s">
        <v>137</v>
      </c>
      <c r="AE1004" s="4" t="s">
        <v>48</v>
      </c>
      <c r="AF1004" s="4" t="s">
        <v>41</v>
      </c>
      <c r="AG1004" s="4" t="s">
        <v>2164</v>
      </c>
    </row>
    <row r="1005" spans="1:33" ht="16.5" customHeight="1" x14ac:dyDescent="0.2">
      <c r="A1005" s="2" t="s">
        <v>31</v>
      </c>
      <c r="B1005" s="5" t="s">
        <v>54</v>
      </c>
      <c r="C1005" s="5"/>
      <c r="D1005" s="5"/>
      <c r="E1005" s="6" t="s">
        <v>33</v>
      </c>
      <c r="F1005" s="6"/>
      <c r="G1005" s="7" t="s">
        <v>2161</v>
      </c>
      <c r="H1005" s="7"/>
      <c r="I1005" s="7"/>
      <c r="J1005" s="3" t="s">
        <v>35</v>
      </c>
      <c r="K1005" s="4" t="s">
        <v>143</v>
      </c>
      <c r="L1005" s="4" t="s">
        <v>37</v>
      </c>
      <c r="N1005" s="7" t="s">
        <v>2202</v>
      </c>
      <c r="O1005" s="7"/>
      <c r="P1005" s="7" t="s">
        <v>2203</v>
      </c>
      <c r="Q1005" s="7"/>
      <c r="R1005" s="7"/>
      <c r="S1005" s="3" t="s">
        <v>40</v>
      </c>
      <c r="T1005" s="7" t="s">
        <v>41</v>
      </c>
      <c r="U1005" s="7"/>
      <c r="V1005" s="4" t="s">
        <v>42</v>
      </c>
      <c r="W1005" s="4" t="s">
        <v>2204</v>
      </c>
      <c r="X1005" s="4" t="s">
        <v>2205</v>
      </c>
      <c r="Y1005" s="7" t="s">
        <v>135</v>
      </c>
      <c r="Z1005" s="7"/>
      <c r="AA1005" s="4" t="s">
        <v>46</v>
      </c>
      <c r="AB1005" s="4" t="s">
        <v>47</v>
      </c>
      <c r="AC1005" s="4" t="s">
        <v>136</v>
      </c>
      <c r="AD1005" s="4" t="s">
        <v>137</v>
      </c>
      <c r="AE1005" s="4" t="s">
        <v>48</v>
      </c>
      <c r="AF1005" s="4" t="s">
        <v>41</v>
      </c>
      <c r="AG1005" s="4" t="s">
        <v>2164</v>
      </c>
    </row>
    <row r="1006" spans="1:33" ht="16.5" customHeight="1" x14ac:dyDescent="0.2">
      <c r="A1006" s="2" t="s">
        <v>31</v>
      </c>
      <c r="B1006" s="5" t="s">
        <v>54</v>
      </c>
      <c r="C1006" s="5"/>
      <c r="D1006" s="5"/>
      <c r="E1006" s="6" t="s">
        <v>33</v>
      </c>
      <c r="F1006" s="6"/>
      <c r="G1006" s="7" t="s">
        <v>2161</v>
      </c>
      <c r="H1006" s="7"/>
      <c r="I1006" s="7"/>
      <c r="J1006" s="3" t="s">
        <v>35</v>
      </c>
      <c r="K1006" s="4" t="s">
        <v>409</v>
      </c>
      <c r="L1006" s="4" t="s">
        <v>37</v>
      </c>
      <c r="N1006" s="7" t="s">
        <v>2206</v>
      </c>
      <c r="O1006" s="7"/>
      <c r="P1006" s="7" t="s">
        <v>2207</v>
      </c>
      <c r="Q1006" s="7"/>
      <c r="R1006" s="7"/>
      <c r="S1006" s="3" t="s">
        <v>40</v>
      </c>
      <c r="T1006" s="7" t="s">
        <v>41</v>
      </c>
      <c r="U1006" s="7"/>
      <c r="V1006" s="4" t="s">
        <v>42</v>
      </c>
      <c r="W1006" s="4" t="s">
        <v>217</v>
      </c>
      <c r="X1006" s="4" t="s">
        <v>218</v>
      </c>
      <c r="Y1006" s="7" t="s">
        <v>60</v>
      </c>
      <c r="Z1006" s="7"/>
      <c r="AA1006" s="4" t="s">
        <v>46</v>
      </c>
      <c r="AB1006" s="4" t="s">
        <v>47</v>
      </c>
      <c r="AC1006" s="4" t="s">
        <v>79</v>
      </c>
      <c r="AD1006" s="4" t="s">
        <v>80</v>
      </c>
      <c r="AE1006" s="4" t="s">
        <v>48</v>
      </c>
      <c r="AF1006" s="4" t="s">
        <v>41</v>
      </c>
      <c r="AG1006" s="4" t="s">
        <v>2164</v>
      </c>
    </row>
    <row r="1007" spans="1:33" ht="16.5" customHeight="1" x14ac:dyDescent="0.2">
      <c r="A1007" s="2" t="s">
        <v>31</v>
      </c>
      <c r="B1007" s="5" t="s">
        <v>54</v>
      </c>
      <c r="C1007" s="5"/>
      <c r="D1007" s="5"/>
      <c r="E1007" s="6" t="s">
        <v>33</v>
      </c>
      <c r="F1007" s="6"/>
      <c r="G1007" s="7" t="s">
        <v>2161</v>
      </c>
      <c r="H1007" s="7"/>
      <c r="I1007" s="7"/>
      <c r="J1007" s="3" t="s">
        <v>35</v>
      </c>
      <c r="K1007" s="4" t="s">
        <v>387</v>
      </c>
      <c r="L1007" s="4" t="s">
        <v>93</v>
      </c>
      <c r="N1007" s="7" t="s">
        <v>2208</v>
      </c>
      <c r="O1007" s="7"/>
      <c r="P1007" s="7" t="s">
        <v>2209</v>
      </c>
      <c r="Q1007" s="7"/>
      <c r="R1007" s="7"/>
      <c r="S1007" s="3" t="s">
        <v>40</v>
      </c>
      <c r="T1007" s="7" t="s">
        <v>41</v>
      </c>
      <c r="U1007" s="7"/>
      <c r="V1007" s="4" t="s">
        <v>42</v>
      </c>
      <c r="W1007" s="4" t="s">
        <v>58</v>
      </c>
      <c r="X1007" s="4" t="s">
        <v>59</v>
      </c>
      <c r="Y1007" s="7" t="s">
        <v>197</v>
      </c>
      <c r="Z1007" s="7"/>
      <c r="AA1007" s="4" t="s">
        <v>46</v>
      </c>
      <c r="AB1007" s="4" t="s">
        <v>47</v>
      </c>
      <c r="AC1007" s="4" t="s">
        <v>136</v>
      </c>
      <c r="AD1007" s="4" t="s">
        <v>148</v>
      </c>
      <c r="AE1007" s="4" t="s">
        <v>48</v>
      </c>
      <c r="AF1007" s="4" t="s">
        <v>41</v>
      </c>
      <c r="AG1007" s="4" t="s">
        <v>2164</v>
      </c>
    </row>
    <row r="1008" spans="1:33" ht="16.5" customHeight="1" x14ac:dyDescent="0.2">
      <c r="A1008" s="2" t="s">
        <v>31</v>
      </c>
      <c r="B1008" s="5" t="s">
        <v>54</v>
      </c>
      <c r="C1008" s="5"/>
      <c r="D1008" s="5"/>
      <c r="E1008" s="6" t="s">
        <v>33</v>
      </c>
      <c r="F1008" s="6"/>
      <c r="G1008" s="7" t="s">
        <v>2161</v>
      </c>
      <c r="H1008" s="7"/>
      <c r="I1008" s="7"/>
      <c r="J1008" s="3" t="s">
        <v>35</v>
      </c>
      <c r="K1008" s="4" t="s">
        <v>409</v>
      </c>
      <c r="L1008" s="4" t="s">
        <v>37</v>
      </c>
      <c r="N1008" s="7" t="s">
        <v>2210</v>
      </c>
      <c r="O1008" s="7"/>
      <c r="P1008" s="7" t="s">
        <v>2211</v>
      </c>
      <c r="Q1008" s="7"/>
      <c r="R1008" s="7"/>
      <c r="S1008" s="3" t="s">
        <v>40</v>
      </c>
      <c r="T1008" s="7" t="s">
        <v>41</v>
      </c>
      <c r="U1008" s="7"/>
      <c r="V1008" s="4" t="s">
        <v>42</v>
      </c>
      <c r="W1008" s="4" t="s">
        <v>217</v>
      </c>
      <c r="X1008" s="4" t="s">
        <v>218</v>
      </c>
      <c r="Y1008" s="7" t="s">
        <v>60</v>
      </c>
      <c r="Z1008" s="7"/>
      <c r="AA1008" s="4" t="s">
        <v>46</v>
      </c>
      <c r="AB1008" s="4" t="s">
        <v>47</v>
      </c>
      <c r="AC1008" s="4" t="s">
        <v>79</v>
      </c>
      <c r="AD1008" s="4" t="s">
        <v>80</v>
      </c>
      <c r="AE1008" s="4" t="s">
        <v>48</v>
      </c>
      <c r="AF1008" s="4" t="s">
        <v>41</v>
      </c>
      <c r="AG1008" s="4" t="s">
        <v>2164</v>
      </c>
    </row>
    <row r="1009" spans="1:33" ht="16.5" customHeight="1" x14ac:dyDescent="0.2">
      <c r="A1009" s="2" t="s">
        <v>31</v>
      </c>
      <c r="B1009" s="5" t="s">
        <v>54</v>
      </c>
      <c r="C1009" s="5"/>
      <c r="D1009" s="5"/>
      <c r="E1009" s="6" t="s">
        <v>33</v>
      </c>
      <c r="F1009" s="6"/>
      <c r="G1009" s="7" t="s">
        <v>2161</v>
      </c>
      <c r="H1009" s="7"/>
      <c r="I1009" s="7"/>
      <c r="J1009" s="3" t="s">
        <v>35</v>
      </c>
      <c r="K1009" s="4" t="s">
        <v>143</v>
      </c>
      <c r="L1009" s="4" t="s">
        <v>231</v>
      </c>
      <c r="N1009" s="7" t="s">
        <v>2212</v>
      </c>
      <c r="O1009" s="7"/>
      <c r="P1009" s="7" t="s">
        <v>2213</v>
      </c>
      <c r="Q1009" s="7"/>
      <c r="R1009" s="7"/>
      <c r="S1009" s="3" t="s">
        <v>40</v>
      </c>
      <c r="T1009" s="7" t="s">
        <v>41</v>
      </c>
      <c r="U1009" s="7"/>
      <c r="V1009" s="4" t="s">
        <v>42</v>
      </c>
      <c r="W1009" s="4" t="s">
        <v>217</v>
      </c>
      <c r="X1009" s="4" t="s">
        <v>218</v>
      </c>
      <c r="Y1009" s="7" t="s">
        <v>135</v>
      </c>
      <c r="Z1009" s="7"/>
      <c r="AA1009" s="4" t="s">
        <v>46</v>
      </c>
      <c r="AB1009" s="4" t="s">
        <v>47</v>
      </c>
      <c r="AC1009" s="4" t="s">
        <v>136</v>
      </c>
      <c r="AD1009" s="4" t="s">
        <v>447</v>
      </c>
      <c r="AE1009" s="4" t="s">
        <v>48</v>
      </c>
      <c r="AF1009" s="4" t="s">
        <v>41</v>
      </c>
      <c r="AG1009" s="4" t="s">
        <v>2164</v>
      </c>
    </row>
    <row r="1010" spans="1:33" ht="16.5" customHeight="1" x14ac:dyDescent="0.2">
      <c r="A1010" s="2" t="s">
        <v>31</v>
      </c>
      <c r="B1010" s="5" t="s">
        <v>54</v>
      </c>
      <c r="C1010" s="5"/>
      <c r="D1010" s="5"/>
      <c r="E1010" s="6" t="s">
        <v>33</v>
      </c>
      <c r="F1010" s="6"/>
      <c r="G1010" s="7" t="s">
        <v>2161</v>
      </c>
      <c r="H1010" s="7"/>
      <c r="I1010" s="7"/>
      <c r="J1010" s="3" t="s">
        <v>35</v>
      </c>
      <c r="K1010" s="4" t="s">
        <v>55</v>
      </c>
      <c r="L1010" s="4" t="s">
        <v>37</v>
      </c>
      <c r="N1010" s="7" t="s">
        <v>2214</v>
      </c>
      <c r="O1010" s="7"/>
      <c r="P1010" s="7" t="s">
        <v>2215</v>
      </c>
      <c r="Q1010" s="7"/>
      <c r="R1010" s="7"/>
      <c r="S1010" s="3" t="s">
        <v>40</v>
      </c>
      <c r="T1010" s="7" t="s">
        <v>41</v>
      </c>
      <c r="U1010" s="7"/>
      <c r="V1010" s="4" t="s">
        <v>42</v>
      </c>
      <c r="W1010" s="4" t="s">
        <v>229</v>
      </c>
      <c r="X1010" s="4" t="s">
        <v>446</v>
      </c>
      <c r="Y1010" s="7" t="s">
        <v>60</v>
      </c>
      <c r="Z1010" s="7"/>
      <c r="AA1010" s="4" t="s">
        <v>46</v>
      </c>
      <c r="AB1010" s="4" t="s">
        <v>47</v>
      </c>
      <c r="AC1010" s="4" t="s">
        <v>72</v>
      </c>
      <c r="AD1010" s="4" t="s">
        <v>41</v>
      </c>
      <c r="AE1010" s="4" t="s">
        <v>48</v>
      </c>
      <c r="AF1010" s="4" t="s">
        <v>41</v>
      </c>
      <c r="AG1010" s="4" t="s">
        <v>2164</v>
      </c>
    </row>
    <row r="1011" spans="1:33" ht="16.5" customHeight="1" x14ac:dyDescent="0.2">
      <c r="A1011" s="2" t="s">
        <v>31</v>
      </c>
      <c r="B1011" s="5" t="s">
        <v>54</v>
      </c>
      <c r="C1011" s="5"/>
      <c r="D1011" s="5"/>
      <c r="E1011" s="6" t="s">
        <v>33</v>
      </c>
      <c r="F1011" s="6"/>
      <c r="G1011" s="7" t="s">
        <v>2161</v>
      </c>
      <c r="H1011" s="7"/>
      <c r="I1011" s="7"/>
      <c r="J1011" s="3" t="s">
        <v>35</v>
      </c>
      <c r="K1011" s="4" t="s">
        <v>97</v>
      </c>
      <c r="L1011" s="4" t="s">
        <v>37</v>
      </c>
      <c r="N1011" s="7" t="s">
        <v>2216</v>
      </c>
      <c r="O1011" s="7"/>
      <c r="P1011" s="7" t="s">
        <v>2217</v>
      </c>
      <c r="Q1011" s="7"/>
      <c r="R1011" s="7"/>
      <c r="S1011" s="3" t="s">
        <v>40</v>
      </c>
      <c r="T1011" s="7" t="s">
        <v>41</v>
      </c>
      <c r="U1011" s="7"/>
      <c r="V1011" s="4" t="s">
        <v>42</v>
      </c>
      <c r="W1011" s="4" t="s">
        <v>229</v>
      </c>
      <c r="X1011" s="4" t="s">
        <v>446</v>
      </c>
      <c r="Y1011" s="7" t="s">
        <v>78</v>
      </c>
      <c r="Z1011" s="7"/>
      <c r="AA1011" s="4" t="s">
        <v>46</v>
      </c>
      <c r="AB1011" s="4" t="s">
        <v>47</v>
      </c>
      <c r="AC1011" s="4" t="s">
        <v>136</v>
      </c>
      <c r="AD1011" s="4" t="s">
        <v>137</v>
      </c>
      <c r="AE1011" s="4" t="s">
        <v>48</v>
      </c>
      <c r="AF1011" s="4" t="s">
        <v>41</v>
      </c>
      <c r="AG1011" s="4" t="s">
        <v>2164</v>
      </c>
    </row>
    <row r="1012" spans="1:33" ht="16.5" customHeight="1" x14ac:dyDescent="0.2">
      <c r="A1012" s="2" t="s">
        <v>31</v>
      </c>
      <c r="B1012" s="5" t="s">
        <v>54</v>
      </c>
      <c r="C1012" s="5"/>
      <c r="D1012" s="5"/>
      <c r="E1012" s="6" t="s">
        <v>33</v>
      </c>
      <c r="F1012" s="6"/>
      <c r="G1012" s="7" t="s">
        <v>2161</v>
      </c>
      <c r="H1012" s="7"/>
      <c r="I1012" s="7"/>
      <c r="J1012" s="3" t="s">
        <v>35</v>
      </c>
      <c r="K1012" s="4" t="s">
        <v>248</v>
      </c>
      <c r="L1012" s="4" t="s">
        <v>37</v>
      </c>
      <c r="N1012" s="7" t="s">
        <v>2218</v>
      </c>
      <c r="O1012" s="7"/>
      <c r="P1012" s="7" t="s">
        <v>2219</v>
      </c>
      <c r="Q1012" s="7"/>
      <c r="R1012" s="7"/>
      <c r="S1012" s="3" t="s">
        <v>40</v>
      </c>
      <c r="T1012" s="7" t="s">
        <v>41</v>
      </c>
      <c r="U1012" s="7"/>
      <c r="V1012" s="4" t="s">
        <v>42</v>
      </c>
      <c r="W1012" s="4" t="s">
        <v>229</v>
      </c>
      <c r="X1012" s="4" t="s">
        <v>446</v>
      </c>
      <c r="Y1012" s="7" t="s">
        <v>60</v>
      </c>
      <c r="Z1012" s="7"/>
      <c r="AA1012" s="4" t="s">
        <v>46</v>
      </c>
      <c r="AB1012" s="4" t="s">
        <v>47</v>
      </c>
      <c r="AC1012" s="4" t="s">
        <v>79</v>
      </c>
      <c r="AD1012" s="4" t="s">
        <v>80</v>
      </c>
      <c r="AE1012" s="4" t="s">
        <v>48</v>
      </c>
      <c r="AF1012" s="4" t="s">
        <v>41</v>
      </c>
      <c r="AG1012" s="4" t="s">
        <v>2164</v>
      </c>
    </row>
    <row r="1013" spans="1:33" ht="16.5" customHeight="1" x14ac:dyDescent="0.2">
      <c r="A1013" s="2" t="s">
        <v>31</v>
      </c>
      <c r="B1013" s="5" t="s">
        <v>54</v>
      </c>
      <c r="C1013" s="5"/>
      <c r="D1013" s="5"/>
      <c r="E1013" s="6" t="s">
        <v>33</v>
      </c>
      <c r="F1013" s="6"/>
      <c r="G1013" s="7" t="s">
        <v>2161</v>
      </c>
      <c r="H1013" s="7"/>
      <c r="I1013" s="7"/>
      <c r="J1013" s="3" t="s">
        <v>35</v>
      </c>
      <c r="K1013" s="4" t="s">
        <v>202</v>
      </c>
      <c r="L1013" s="4" t="s">
        <v>37</v>
      </c>
      <c r="N1013" s="7" t="s">
        <v>2220</v>
      </c>
      <c r="O1013" s="7"/>
      <c r="P1013" s="7" t="s">
        <v>2221</v>
      </c>
      <c r="Q1013" s="7"/>
      <c r="R1013" s="7"/>
      <c r="S1013" s="3" t="s">
        <v>40</v>
      </c>
      <c r="T1013" s="7" t="s">
        <v>41</v>
      </c>
      <c r="U1013" s="7"/>
      <c r="V1013" s="4" t="s">
        <v>42</v>
      </c>
      <c r="W1013" s="4" t="s">
        <v>58</v>
      </c>
      <c r="X1013" s="4" t="s">
        <v>59</v>
      </c>
      <c r="Y1013" s="7" t="s">
        <v>197</v>
      </c>
      <c r="Z1013" s="7"/>
      <c r="AA1013" s="4" t="s">
        <v>46</v>
      </c>
      <c r="AB1013" s="4" t="s">
        <v>47</v>
      </c>
      <c r="AC1013" s="4" t="s">
        <v>136</v>
      </c>
      <c r="AD1013" s="4" t="s">
        <v>137</v>
      </c>
      <c r="AE1013" s="4" t="s">
        <v>48</v>
      </c>
      <c r="AF1013" s="4" t="s">
        <v>41</v>
      </c>
      <c r="AG1013" s="4" t="s">
        <v>2164</v>
      </c>
    </row>
    <row r="1014" spans="1:33" ht="16.5" customHeight="1" x14ac:dyDescent="0.2">
      <c r="A1014" s="2" t="s">
        <v>31</v>
      </c>
      <c r="B1014" s="5" t="s">
        <v>54</v>
      </c>
      <c r="C1014" s="5"/>
      <c r="D1014" s="5"/>
      <c r="E1014" s="6" t="s">
        <v>33</v>
      </c>
      <c r="F1014" s="6"/>
      <c r="G1014" s="7" t="s">
        <v>2161</v>
      </c>
      <c r="H1014" s="7"/>
      <c r="I1014" s="7"/>
      <c r="J1014" s="3" t="s">
        <v>35</v>
      </c>
      <c r="K1014" s="4" t="s">
        <v>92</v>
      </c>
      <c r="L1014" s="4" t="s">
        <v>93</v>
      </c>
      <c r="N1014" s="7" t="s">
        <v>2222</v>
      </c>
      <c r="O1014" s="7"/>
      <c r="P1014" s="7" t="s">
        <v>2223</v>
      </c>
      <c r="Q1014" s="7"/>
      <c r="R1014" s="7"/>
      <c r="S1014" s="3" t="s">
        <v>40</v>
      </c>
      <c r="T1014" s="7" t="s">
        <v>41</v>
      </c>
      <c r="U1014" s="7"/>
      <c r="V1014" s="4" t="s">
        <v>42</v>
      </c>
      <c r="W1014" s="4" t="s">
        <v>355</v>
      </c>
      <c r="X1014" s="4" t="s">
        <v>344</v>
      </c>
      <c r="Y1014" s="7" t="s">
        <v>78</v>
      </c>
      <c r="Z1014" s="7"/>
      <c r="AA1014" s="4" t="s">
        <v>46</v>
      </c>
      <c r="AB1014" s="4" t="s">
        <v>47</v>
      </c>
      <c r="AC1014" s="4" t="s">
        <v>136</v>
      </c>
      <c r="AD1014" s="4" t="s">
        <v>148</v>
      </c>
      <c r="AE1014" s="4" t="s">
        <v>48</v>
      </c>
      <c r="AF1014" s="4" t="s">
        <v>41</v>
      </c>
      <c r="AG1014" s="4" t="s">
        <v>2164</v>
      </c>
    </row>
    <row r="1015" spans="1:33" ht="16.5" customHeight="1" x14ac:dyDescent="0.2">
      <c r="A1015" s="2" t="s">
        <v>31</v>
      </c>
      <c r="B1015" s="5" t="s">
        <v>54</v>
      </c>
      <c r="C1015" s="5"/>
      <c r="D1015" s="5"/>
      <c r="E1015" s="6" t="s">
        <v>33</v>
      </c>
      <c r="F1015" s="6"/>
      <c r="G1015" s="7" t="s">
        <v>2161</v>
      </c>
      <c r="H1015" s="7"/>
      <c r="I1015" s="7"/>
      <c r="J1015" s="3" t="s">
        <v>35</v>
      </c>
      <c r="K1015" s="4" t="s">
        <v>92</v>
      </c>
      <c r="L1015" s="4" t="s">
        <v>93</v>
      </c>
      <c r="N1015" s="7" t="s">
        <v>2222</v>
      </c>
      <c r="O1015" s="7"/>
      <c r="P1015" s="7" t="s">
        <v>2223</v>
      </c>
      <c r="Q1015" s="7"/>
      <c r="R1015" s="7"/>
      <c r="S1015" s="3" t="s">
        <v>40</v>
      </c>
      <c r="T1015" s="7" t="s">
        <v>41</v>
      </c>
      <c r="U1015" s="7"/>
      <c r="V1015" s="4" t="s">
        <v>51</v>
      </c>
      <c r="W1015" s="4" t="s">
        <v>355</v>
      </c>
      <c r="X1015" s="4" t="s">
        <v>361</v>
      </c>
      <c r="Y1015" s="7" t="s">
        <v>78</v>
      </c>
      <c r="Z1015" s="7"/>
      <c r="AA1015" s="4" t="s">
        <v>46</v>
      </c>
      <c r="AB1015" s="4" t="s">
        <v>47</v>
      </c>
      <c r="AC1015" s="4" t="s">
        <v>79</v>
      </c>
      <c r="AD1015" s="4" t="s">
        <v>96</v>
      </c>
      <c r="AE1015" s="4" t="s">
        <v>48</v>
      </c>
      <c r="AF1015" s="4" t="s">
        <v>41</v>
      </c>
      <c r="AG1015" s="4" t="s">
        <v>2164</v>
      </c>
    </row>
    <row r="1016" spans="1:33" ht="16.5" customHeight="1" x14ac:dyDescent="0.2">
      <c r="A1016" s="2" t="s">
        <v>31</v>
      </c>
      <c r="B1016" s="5" t="s">
        <v>54</v>
      </c>
      <c r="C1016" s="5"/>
      <c r="D1016" s="5"/>
      <c r="E1016" s="6" t="s">
        <v>33</v>
      </c>
      <c r="F1016" s="6"/>
      <c r="G1016" s="7" t="s">
        <v>2161</v>
      </c>
      <c r="H1016" s="7"/>
      <c r="I1016" s="7"/>
      <c r="J1016" s="3" t="s">
        <v>35</v>
      </c>
      <c r="K1016" s="4" t="s">
        <v>143</v>
      </c>
      <c r="L1016" s="4" t="s">
        <v>37</v>
      </c>
      <c r="N1016" s="7" t="s">
        <v>2224</v>
      </c>
      <c r="O1016" s="7"/>
      <c r="P1016" s="7" t="s">
        <v>2225</v>
      </c>
      <c r="Q1016" s="7"/>
      <c r="R1016" s="7"/>
      <c r="S1016" s="3" t="s">
        <v>40</v>
      </c>
      <c r="T1016" s="7" t="s">
        <v>41</v>
      </c>
      <c r="U1016" s="7"/>
      <c r="V1016" s="4" t="s">
        <v>42</v>
      </c>
      <c r="W1016" s="4" t="s">
        <v>1464</v>
      </c>
      <c r="X1016" s="4" t="s">
        <v>1465</v>
      </c>
      <c r="Y1016" s="7" t="s">
        <v>135</v>
      </c>
      <c r="Z1016" s="7"/>
      <c r="AA1016" s="4" t="s">
        <v>46</v>
      </c>
      <c r="AB1016" s="4" t="s">
        <v>47</v>
      </c>
      <c r="AC1016" s="4" t="s">
        <v>136</v>
      </c>
      <c r="AD1016" s="4" t="s">
        <v>137</v>
      </c>
      <c r="AE1016" s="4" t="s">
        <v>48</v>
      </c>
      <c r="AF1016" s="4" t="s">
        <v>41</v>
      </c>
      <c r="AG1016" s="4" t="s">
        <v>2164</v>
      </c>
    </row>
    <row r="1017" spans="1:33" ht="16.5" customHeight="1" x14ac:dyDescent="0.2">
      <c r="A1017" s="2" t="s">
        <v>31</v>
      </c>
      <c r="B1017" s="5" t="s">
        <v>54</v>
      </c>
      <c r="C1017" s="5"/>
      <c r="D1017" s="5"/>
      <c r="E1017" s="6" t="s">
        <v>33</v>
      </c>
      <c r="F1017" s="6"/>
      <c r="G1017" s="7" t="s">
        <v>2161</v>
      </c>
      <c r="H1017" s="7"/>
      <c r="I1017" s="7"/>
      <c r="J1017" s="3" t="s">
        <v>35</v>
      </c>
      <c r="K1017" s="4" t="s">
        <v>149</v>
      </c>
      <c r="L1017" s="4" t="s">
        <v>37</v>
      </c>
      <c r="N1017" s="7" t="s">
        <v>2226</v>
      </c>
      <c r="O1017" s="7"/>
      <c r="P1017" s="7" t="s">
        <v>2227</v>
      </c>
      <c r="Q1017" s="7"/>
      <c r="R1017" s="7"/>
      <c r="S1017" s="3" t="s">
        <v>40</v>
      </c>
      <c r="T1017" s="7" t="s">
        <v>41</v>
      </c>
      <c r="U1017" s="7"/>
      <c r="V1017" s="4" t="s">
        <v>42</v>
      </c>
      <c r="W1017" s="4" t="s">
        <v>154</v>
      </c>
      <c r="X1017" s="4" t="s">
        <v>155</v>
      </c>
      <c r="Y1017" s="7" t="s">
        <v>78</v>
      </c>
      <c r="Z1017" s="7"/>
      <c r="AA1017" s="4" t="s">
        <v>46</v>
      </c>
      <c r="AB1017" s="4" t="s">
        <v>47</v>
      </c>
      <c r="AC1017" s="4" t="s">
        <v>136</v>
      </c>
      <c r="AD1017" s="4" t="s">
        <v>137</v>
      </c>
      <c r="AE1017" s="4" t="s">
        <v>48</v>
      </c>
      <c r="AF1017" s="4" t="s">
        <v>41</v>
      </c>
      <c r="AG1017" s="4" t="s">
        <v>2164</v>
      </c>
    </row>
    <row r="1018" spans="1:33" ht="16.5" customHeight="1" x14ac:dyDescent="0.2">
      <c r="A1018" s="2" t="s">
        <v>31</v>
      </c>
      <c r="B1018" s="5" t="s">
        <v>54</v>
      </c>
      <c r="C1018" s="5"/>
      <c r="D1018" s="5"/>
      <c r="E1018" s="6" t="s">
        <v>33</v>
      </c>
      <c r="F1018" s="6"/>
      <c r="G1018" s="7" t="s">
        <v>2161</v>
      </c>
      <c r="H1018" s="7"/>
      <c r="I1018" s="7"/>
      <c r="J1018" s="3" t="s">
        <v>35</v>
      </c>
      <c r="K1018" s="4" t="s">
        <v>248</v>
      </c>
      <c r="L1018" s="4" t="s">
        <v>93</v>
      </c>
      <c r="N1018" s="7" t="s">
        <v>2228</v>
      </c>
      <c r="O1018" s="7"/>
      <c r="P1018" s="7" t="s">
        <v>2229</v>
      </c>
      <c r="Q1018" s="7"/>
      <c r="R1018" s="7"/>
      <c r="S1018" s="3" t="s">
        <v>40</v>
      </c>
      <c r="T1018" s="7" t="s">
        <v>41</v>
      </c>
      <c r="U1018" s="7"/>
      <c r="V1018" s="4" t="s">
        <v>42</v>
      </c>
      <c r="W1018" s="4" t="s">
        <v>162</v>
      </c>
      <c r="X1018" s="4" t="s">
        <v>163</v>
      </c>
      <c r="Y1018" s="7" t="s">
        <v>60</v>
      </c>
      <c r="Z1018" s="7"/>
      <c r="AA1018" s="4" t="s">
        <v>46</v>
      </c>
      <c r="AB1018" s="4" t="s">
        <v>47</v>
      </c>
      <c r="AC1018" s="4" t="s">
        <v>79</v>
      </c>
      <c r="AD1018" s="4" t="s">
        <v>96</v>
      </c>
      <c r="AE1018" s="4" t="s">
        <v>48</v>
      </c>
      <c r="AF1018" s="4" t="s">
        <v>41</v>
      </c>
      <c r="AG1018" s="4" t="s">
        <v>2164</v>
      </c>
    </row>
    <row r="1019" spans="1:33" ht="16.5" customHeight="1" x14ac:dyDescent="0.2">
      <c r="A1019" s="2" t="s">
        <v>31</v>
      </c>
      <c r="B1019" s="5" t="s">
        <v>54</v>
      </c>
      <c r="C1019" s="5"/>
      <c r="D1019" s="5"/>
      <c r="E1019" s="6" t="s">
        <v>33</v>
      </c>
      <c r="F1019" s="6"/>
      <c r="G1019" s="7" t="s">
        <v>2161</v>
      </c>
      <c r="H1019" s="7"/>
      <c r="I1019" s="7"/>
      <c r="J1019" s="3" t="s">
        <v>35</v>
      </c>
      <c r="K1019" s="4" t="s">
        <v>620</v>
      </c>
      <c r="L1019" s="4" t="s">
        <v>37</v>
      </c>
      <c r="N1019" s="7" t="s">
        <v>2230</v>
      </c>
      <c r="O1019" s="7"/>
      <c r="P1019" s="7" t="s">
        <v>2231</v>
      </c>
      <c r="Q1019" s="7"/>
      <c r="R1019" s="7"/>
      <c r="S1019" s="3" t="s">
        <v>40</v>
      </c>
      <c r="T1019" s="7" t="s">
        <v>41</v>
      </c>
      <c r="U1019" s="7"/>
      <c r="V1019" s="4" t="s">
        <v>42</v>
      </c>
      <c r="W1019" s="4" t="s">
        <v>154</v>
      </c>
      <c r="X1019" s="4" t="s">
        <v>155</v>
      </c>
      <c r="Y1019" s="7" t="s">
        <v>78</v>
      </c>
      <c r="Z1019" s="7"/>
      <c r="AA1019" s="4" t="s">
        <v>46</v>
      </c>
      <c r="AB1019" s="4" t="s">
        <v>47</v>
      </c>
      <c r="AC1019" s="4" t="s">
        <v>136</v>
      </c>
      <c r="AD1019" s="4" t="s">
        <v>137</v>
      </c>
      <c r="AE1019" s="4" t="s">
        <v>48</v>
      </c>
      <c r="AF1019" s="4" t="s">
        <v>41</v>
      </c>
      <c r="AG1019" s="4" t="s">
        <v>2164</v>
      </c>
    </row>
    <row r="1020" spans="1:33" ht="16.5" customHeight="1" x14ac:dyDescent="0.2">
      <c r="A1020" s="2" t="s">
        <v>31</v>
      </c>
      <c r="B1020" s="5" t="s">
        <v>54</v>
      </c>
      <c r="C1020" s="5"/>
      <c r="D1020" s="5"/>
      <c r="E1020" s="6" t="s">
        <v>33</v>
      </c>
      <c r="F1020" s="6"/>
      <c r="G1020" s="7" t="s">
        <v>2161</v>
      </c>
      <c r="H1020" s="7"/>
      <c r="I1020" s="7"/>
      <c r="J1020" s="3" t="s">
        <v>35</v>
      </c>
      <c r="K1020" s="4" t="s">
        <v>149</v>
      </c>
      <c r="L1020" s="4" t="s">
        <v>37</v>
      </c>
      <c r="N1020" s="7" t="s">
        <v>2232</v>
      </c>
      <c r="O1020" s="7"/>
      <c r="P1020" s="7" t="s">
        <v>2233</v>
      </c>
      <c r="Q1020" s="7"/>
      <c r="R1020" s="7"/>
      <c r="S1020" s="3" t="s">
        <v>40</v>
      </c>
      <c r="T1020" s="7" t="s">
        <v>41</v>
      </c>
      <c r="U1020" s="7"/>
      <c r="V1020" s="4" t="s">
        <v>42</v>
      </c>
      <c r="W1020" s="4" t="s">
        <v>154</v>
      </c>
      <c r="X1020" s="4" t="s">
        <v>155</v>
      </c>
      <c r="Y1020" s="7" t="s">
        <v>78</v>
      </c>
      <c r="Z1020" s="7"/>
      <c r="AA1020" s="4" t="s">
        <v>46</v>
      </c>
      <c r="AB1020" s="4" t="s">
        <v>47</v>
      </c>
      <c r="AC1020" s="4" t="s">
        <v>136</v>
      </c>
      <c r="AD1020" s="4" t="s">
        <v>137</v>
      </c>
      <c r="AE1020" s="4" t="s">
        <v>48</v>
      </c>
      <c r="AF1020" s="4" t="s">
        <v>41</v>
      </c>
      <c r="AG1020" s="4" t="s">
        <v>2164</v>
      </c>
    </row>
    <row r="1021" spans="1:33" ht="16.5" customHeight="1" x14ac:dyDescent="0.2">
      <c r="A1021" s="2" t="s">
        <v>31</v>
      </c>
      <c r="B1021" s="5" t="s">
        <v>54</v>
      </c>
      <c r="C1021" s="5"/>
      <c r="D1021" s="5"/>
      <c r="E1021" s="6" t="s">
        <v>33</v>
      </c>
      <c r="F1021" s="6"/>
      <c r="G1021" s="7" t="s">
        <v>2161</v>
      </c>
      <c r="H1021" s="7"/>
      <c r="I1021" s="7"/>
      <c r="J1021" s="3" t="s">
        <v>35</v>
      </c>
      <c r="K1021" s="4" t="s">
        <v>55</v>
      </c>
      <c r="L1021" s="4" t="s">
        <v>37</v>
      </c>
      <c r="N1021" s="7" t="s">
        <v>2234</v>
      </c>
      <c r="O1021" s="7"/>
      <c r="P1021" s="7" t="s">
        <v>2235</v>
      </c>
      <c r="Q1021" s="7"/>
      <c r="R1021" s="7"/>
      <c r="S1021" s="3" t="s">
        <v>40</v>
      </c>
      <c r="T1021" s="7" t="s">
        <v>41</v>
      </c>
      <c r="U1021" s="7"/>
      <c r="V1021" s="4" t="s">
        <v>42</v>
      </c>
      <c r="W1021" s="4" t="s">
        <v>181</v>
      </c>
      <c r="X1021" s="4" t="s">
        <v>182</v>
      </c>
      <c r="Y1021" s="7" t="s">
        <v>60</v>
      </c>
      <c r="Z1021" s="7"/>
      <c r="AA1021" s="4" t="s">
        <v>46</v>
      </c>
      <c r="AB1021" s="4" t="s">
        <v>47</v>
      </c>
      <c r="AC1021" s="4" t="s">
        <v>61</v>
      </c>
      <c r="AD1021" s="4" t="s">
        <v>62</v>
      </c>
      <c r="AE1021" s="4" t="s">
        <v>48</v>
      </c>
      <c r="AF1021" s="4" t="s">
        <v>41</v>
      </c>
      <c r="AG1021" s="4" t="s">
        <v>2164</v>
      </c>
    </row>
    <row r="1022" spans="1:33" ht="16.5" customHeight="1" x14ac:dyDescent="0.2">
      <c r="A1022" s="2" t="s">
        <v>31</v>
      </c>
      <c r="B1022" s="5" t="s">
        <v>54</v>
      </c>
      <c r="C1022" s="5"/>
      <c r="D1022" s="5"/>
      <c r="E1022" s="6" t="s">
        <v>33</v>
      </c>
      <c r="F1022" s="6"/>
      <c r="G1022" s="7" t="s">
        <v>2161</v>
      </c>
      <c r="H1022" s="7"/>
      <c r="I1022" s="7"/>
      <c r="J1022" s="3" t="s">
        <v>35</v>
      </c>
      <c r="K1022" s="4" t="s">
        <v>143</v>
      </c>
      <c r="L1022" s="4" t="s">
        <v>37</v>
      </c>
      <c r="N1022" s="7" t="s">
        <v>2236</v>
      </c>
      <c r="O1022" s="7"/>
      <c r="P1022" s="7" t="s">
        <v>2237</v>
      </c>
      <c r="Q1022" s="7"/>
      <c r="R1022" s="7"/>
      <c r="S1022" s="3" t="s">
        <v>40</v>
      </c>
      <c r="T1022" s="7" t="s">
        <v>41</v>
      </c>
      <c r="U1022" s="7"/>
      <c r="V1022" s="4" t="s">
        <v>42</v>
      </c>
      <c r="W1022" s="4" t="s">
        <v>263</v>
      </c>
      <c r="X1022" s="4" t="s">
        <v>264</v>
      </c>
      <c r="Y1022" s="7" t="s">
        <v>135</v>
      </c>
      <c r="Z1022" s="7"/>
      <c r="AA1022" s="4" t="s">
        <v>46</v>
      </c>
      <c r="AB1022" s="4" t="s">
        <v>47</v>
      </c>
      <c r="AC1022" s="4" t="s">
        <v>136</v>
      </c>
      <c r="AD1022" s="4" t="s">
        <v>137</v>
      </c>
      <c r="AE1022" s="4" t="s">
        <v>48</v>
      </c>
      <c r="AF1022" s="4" t="s">
        <v>41</v>
      </c>
      <c r="AG1022" s="4" t="s">
        <v>2164</v>
      </c>
    </row>
    <row r="1023" spans="1:33" ht="16.5" customHeight="1" x14ac:dyDescent="0.2">
      <c r="A1023" s="2" t="s">
        <v>31</v>
      </c>
      <c r="B1023" s="5" t="s">
        <v>54</v>
      </c>
      <c r="C1023" s="5"/>
      <c r="D1023" s="5"/>
      <c r="E1023" s="6" t="s">
        <v>33</v>
      </c>
      <c r="F1023" s="6"/>
      <c r="G1023" s="7" t="s">
        <v>2161</v>
      </c>
      <c r="H1023" s="7"/>
      <c r="I1023" s="7"/>
      <c r="J1023" s="3" t="s">
        <v>35</v>
      </c>
      <c r="K1023" s="4" t="s">
        <v>118</v>
      </c>
      <c r="L1023" s="4" t="s">
        <v>93</v>
      </c>
      <c r="N1023" s="7" t="s">
        <v>2238</v>
      </c>
      <c r="O1023" s="7"/>
      <c r="P1023" s="7" t="s">
        <v>2239</v>
      </c>
      <c r="Q1023" s="7"/>
      <c r="R1023" s="7"/>
      <c r="S1023" s="3" t="s">
        <v>40</v>
      </c>
      <c r="T1023" s="7" t="s">
        <v>41</v>
      </c>
      <c r="U1023" s="7"/>
      <c r="V1023" s="4" t="s">
        <v>42</v>
      </c>
      <c r="W1023" s="4" t="s">
        <v>234</v>
      </c>
      <c r="X1023" s="4" t="s">
        <v>235</v>
      </c>
      <c r="Y1023" s="7" t="s">
        <v>60</v>
      </c>
      <c r="Z1023" s="7"/>
      <c r="AA1023" s="4" t="s">
        <v>46</v>
      </c>
      <c r="AB1023" s="4" t="s">
        <v>47</v>
      </c>
      <c r="AC1023" s="4" t="s">
        <v>79</v>
      </c>
      <c r="AD1023" s="4" t="s">
        <v>96</v>
      </c>
      <c r="AE1023" s="4" t="s">
        <v>48</v>
      </c>
      <c r="AF1023" s="4" t="s">
        <v>41</v>
      </c>
      <c r="AG1023" s="4" t="s">
        <v>2164</v>
      </c>
    </row>
    <row r="1024" spans="1:33" ht="16.5" customHeight="1" x14ac:dyDescent="0.2">
      <c r="A1024" s="2" t="s">
        <v>31</v>
      </c>
      <c r="B1024" s="5" t="s">
        <v>54</v>
      </c>
      <c r="C1024" s="5"/>
      <c r="D1024" s="5"/>
      <c r="E1024" s="6" t="s">
        <v>33</v>
      </c>
      <c r="F1024" s="6"/>
      <c r="G1024" s="7" t="s">
        <v>2161</v>
      </c>
      <c r="H1024" s="7"/>
      <c r="I1024" s="7"/>
      <c r="J1024" s="3" t="s">
        <v>35</v>
      </c>
      <c r="K1024" s="4" t="s">
        <v>409</v>
      </c>
      <c r="L1024" s="4" t="s">
        <v>37</v>
      </c>
      <c r="N1024" s="7" t="s">
        <v>2240</v>
      </c>
      <c r="O1024" s="7"/>
      <c r="P1024" s="7" t="s">
        <v>2241</v>
      </c>
      <c r="Q1024" s="7"/>
      <c r="R1024" s="7"/>
      <c r="S1024" s="3" t="s">
        <v>40</v>
      </c>
      <c r="T1024" s="7" t="s">
        <v>41</v>
      </c>
      <c r="U1024" s="7"/>
      <c r="V1024" s="4" t="s">
        <v>42</v>
      </c>
      <c r="W1024" s="4" t="s">
        <v>608</v>
      </c>
      <c r="X1024" s="4" t="s">
        <v>609</v>
      </c>
      <c r="Y1024" s="7" t="s">
        <v>60</v>
      </c>
      <c r="Z1024" s="7"/>
      <c r="AA1024" s="4" t="s">
        <v>46</v>
      </c>
      <c r="AB1024" s="4" t="s">
        <v>47</v>
      </c>
      <c r="AC1024" s="4" t="s">
        <v>79</v>
      </c>
      <c r="AD1024" s="4" t="s">
        <v>80</v>
      </c>
      <c r="AE1024" s="4" t="s">
        <v>48</v>
      </c>
      <c r="AF1024" s="4" t="s">
        <v>41</v>
      </c>
      <c r="AG1024" s="4" t="s">
        <v>2164</v>
      </c>
    </row>
    <row r="1025" spans="1:33" ht="16.5" customHeight="1" x14ac:dyDescent="0.2">
      <c r="A1025" s="2" t="s">
        <v>31</v>
      </c>
      <c r="B1025" s="5" t="s">
        <v>54</v>
      </c>
      <c r="C1025" s="5"/>
      <c r="D1025" s="5"/>
      <c r="E1025" s="6" t="s">
        <v>33</v>
      </c>
      <c r="F1025" s="6"/>
      <c r="G1025" s="7" t="s">
        <v>2161</v>
      </c>
      <c r="H1025" s="7"/>
      <c r="I1025" s="7"/>
      <c r="J1025" s="3" t="s">
        <v>35</v>
      </c>
      <c r="K1025" s="4" t="s">
        <v>409</v>
      </c>
      <c r="L1025" s="4" t="s">
        <v>37</v>
      </c>
      <c r="N1025" s="7" t="s">
        <v>2242</v>
      </c>
      <c r="O1025" s="7"/>
      <c r="P1025" s="7" t="s">
        <v>2243</v>
      </c>
      <c r="Q1025" s="7"/>
      <c r="R1025" s="7"/>
      <c r="S1025" s="3" t="s">
        <v>40</v>
      </c>
      <c r="T1025" s="7" t="s">
        <v>41</v>
      </c>
      <c r="U1025" s="7"/>
      <c r="V1025" s="4" t="s">
        <v>42</v>
      </c>
      <c r="W1025" s="4" t="s">
        <v>608</v>
      </c>
      <c r="X1025" s="4" t="s">
        <v>609</v>
      </c>
      <c r="Y1025" s="7" t="s">
        <v>60</v>
      </c>
      <c r="Z1025" s="7"/>
      <c r="AA1025" s="4" t="s">
        <v>46</v>
      </c>
      <c r="AB1025" s="4" t="s">
        <v>47</v>
      </c>
      <c r="AC1025" s="4" t="s">
        <v>79</v>
      </c>
      <c r="AD1025" s="4" t="s">
        <v>80</v>
      </c>
      <c r="AE1025" s="4" t="s">
        <v>48</v>
      </c>
      <c r="AF1025" s="4" t="s">
        <v>41</v>
      </c>
      <c r="AG1025" s="4" t="s">
        <v>2164</v>
      </c>
    </row>
    <row r="1026" spans="1:33" ht="16.5" customHeight="1" x14ac:dyDescent="0.2">
      <c r="A1026" s="2" t="s">
        <v>31</v>
      </c>
      <c r="B1026" s="5" t="s">
        <v>54</v>
      </c>
      <c r="C1026" s="5"/>
      <c r="D1026" s="5"/>
      <c r="E1026" s="6" t="s">
        <v>33</v>
      </c>
      <c r="F1026" s="6"/>
      <c r="G1026" s="7" t="s">
        <v>2161</v>
      </c>
      <c r="H1026" s="7"/>
      <c r="I1026" s="7"/>
      <c r="J1026" s="3" t="s">
        <v>35</v>
      </c>
      <c r="K1026" s="4" t="s">
        <v>267</v>
      </c>
      <c r="L1026" s="4" t="s">
        <v>37</v>
      </c>
      <c r="N1026" s="7" t="s">
        <v>2244</v>
      </c>
      <c r="O1026" s="7"/>
      <c r="P1026" s="7" t="s">
        <v>2245</v>
      </c>
      <c r="Q1026" s="7"/>
      <c r="R1026" s="7"/>
      <c r="S1026" s="3" t="s">
        <v>40</v>
      </c>
      <c r="T1026" s="7" t="s">
        <v>41</v>
      </c>
      <c r="U1026" s="7"/>
      <c r="V1026" s="4" t="s">
        <v>42</v>
      </c>
      <c r="W1026" s="4" t="s">
        <v>305</v>
      </c>
      <c r="X1026" s="4" t="s">
        <v>2246</v>
      </c>
      <c r="Y1026" s="7" t="s">
        <v>78</v>
      </c>
      <c r="Z1026" s="7"/>
      <c r="AA1026" s="4" t="s">
        <v>46</v>
      </c>
      <c r="AB1026" s="4" t="s">
        <v>47</v>
      </c>
      <c r="AC1026" s="4" t="s">
        <v>136</v>
      </c>
      <c r="AD1026" s="4" t="s">
        <v>137</v>
      </c>
      <c r="AE1026" s="4" t="s">
        <v>48</v>
      </c>
      <c r="AF1026" s="4" t="s">
        <v>41</v>
      </c>
      <c r="AG1026" s="4" t="s">
        <v>2164</v>
      </c>
    </row>
    <row r="1027" spans="1:33" ht="16.5" customHeight="1" x14ac:dyDescent="0.2">
      <c r="A1027" s="2" t="s">
        <v>31</v>
      </c>
      <c r="B1027" s="5" t="s">
        <v>54</v>
      </c>
      <c r="C1027" s="5"/>
      <c r="D1027" s="5"/>
      <c r="E1027" s="6" t="s">
        <v>33</v>
      </c>
      <c r="F1027" s="6"/>
      <c r="G1027" s="7" t="s">
        <v>2161</v>
      </c>
      <c r="H1027" s="7"/>
      <c r="I1027" s="7"/>
      <c r="J1027" s="3" t="s">
        <v>35</v>
      </c>
      <c r="K1027" s="4" t="s">
        <v>245</v>
      </c>
      <c r="L1027" s="4" t="s">
        <v>37</v>
      </c>
      <c r="N1027" s="7" t="s">
        <v>2247</v>
      </c>
      <c r="O1027" s="7"/>
      <c r="P1027" s="7" t="s">
        <v>2248</v>
      </c>
      <c r="Q1027" s="7"/>
      <c r="R1027" s="7"/>
      <c r="S1027" s="3" t="s">
        <v>40</v>
      </c>
      <c r="T1027" s="7" t="s">
        <v>41</v>
      </c>
      <c r="U1027" s="7"/>
      <c r="V1027" s="4" t="s">
        <v>42</v>
      </c>
      <c r="W1027" s="4" t="s">
        <v>305</v>
      </c>
      <c r="X1027" s="4" t="s">
        <v>2246</v>
      </c>
      <c r="Y1027" s="7" t="s">
        <v>78</v>
      </c>
      <c r="Z1027" s="7"/>
      <c r="AA1027" s="4" t="s">
        <v>46</v>
      </c>
      <c r="AB1027" s="4" t="s">
        <v>47</v>
      </c>
      <c r="AC1027" s="4" t="s">
        <v>136</v>
      </c>
      <c r="AD1027" s="4" t="s">
        <v>137</v>
      </c>
      <c r="AE1027" s="4" t="s">
        <v>48</v>
      </c>
      <c r="AF1027" s="4" t="s">
        <v>41</v>
      </c>
      <c r="AG1027" s="4" t="s">
        <v>2164</v>
      </c>
    </row>
    <row r="1028" spans="1:33" ht="16.5" customHeight="1" x14ac:dyDescent="0.2">
      <c r="A1028" s="2" t="s">
        <v>31</v>
      </c>
      <c r="B1028" s="5" t="s">
        <v>54</v>
      </c>
      <c r="C1028" s="5"/>
      <c r="D1028" s="5"/>
      <c r="E1028" s="6" t="s">
        <v>33</v>
      </c>
      <c r="F1028" s="6"/>
      <c r="G1028" s="7" t="s">
        <v>2161</v>
      </c>
      <c r="H1028" s="7"/>
      <c r="I1028" s="7"/>
      <c r="J1028" s="3" t="s">
        <v>35</v>
      </c>
      <c r="K1028" s="4" t="s">
        <v>409</v>
      </c>
      <c r="L1028" s="4" t="s">
        <v>1557</v>
      </c>
      <c r="N1028" s="7" t="s">
        <v>2249</v>
      </c>
      <c r="O1028" s="7"/>
      <c r="P1028" s="7" t="s">
        <v>2250</v>
      </c>
      <c r="Q1028" s="7"/>
      <c r="R1028" s="7"/>
      <c r="S1028" s="3" t="s">
        <v>40</v>
      </c>
      <c r="T1028" s="7" t="s">
        <v>41</v>
      </c>
      <c r="U1028" s="7"/>
      <c r="V1028" s="4" t="s">
        <v>42</v>
      </c>
      <c r="W1028" s="4" t="s">
        <v>309</v>
      </c>
      <c r="X1028" s="4" t="s">
        <v>306</v>
      </c>
      <c r="Y1028" s="7" t="s">
        <v>60</v>
      </c>
      <c r="Z1028" s="7"/>
      <c r="AA1028" s="4" t="s">
        <v>46</v>
      </c>
      <c r="AB1028" s="4" t="s">
        <v>47</v>
      </c>
      <c r="AC1028" s="4" t="s">
        <v>79</v>
      </c>
      <c r="AD1028" s="4" t="s">
        <v>1560</v>
      </c>
      <c r="AE1028" s="4" t="s">
        <v>48</v>
      </c>
      <c r="AF1028" s="4" t="s">
        <v>41</v>
      </c>
      <c r="AG1028" s="4" t="s">
        <v>2164</v>
      </c>
    </row>
    <row r="1029" spans="1:33" ht="16.5" customHeight="1" x14ac:dyDescent="0.2">
      <c r="A1029" s="2" t="s">
        <v>31</v>
      </c>
      <c r="B1029" s="5" t="s">
        <v>54</v>
      </c>
      <c r="C1029" s="5"/>
      <c r="D1029" s="5"/>
      <c r="E1029" s="6" t="s">
        <v>33</v>
      </c>
      <c r="F1029" s="6"/>
      <c r="G1029" s="7" t="s">
        <v>2161</v>
      </c>
      <c r="H1029" s="7"/>
      <c r="I1029" s="7"/>
      <c r="J1029" s="3" t="s">
        <v>35</v>
      </c>
      <c r="K1029" s="4" t="s">
        <v>409</v>
      </c>
      <c r="L1029" s="4" t="s">
        <v>93</v>
      </c>
      <c r="N1029" s="7" t="s">
        <v>2249</v>
      </c>
      <c r="O1029" s="7"/>
      <c r="P1029" s="7" t="s">
        <v>2250</v>
      </c>
      <c r="Q1029" s="7"/>
      <c r="R1029" s="7"/>
      <c r="S1029" s="3" t="s">
        <v>40</v>
      </c>
      <c r="T1029" s="7" t="s">
        <v>41</v>
      </c>
      <c r="U1029" s="7"/>
      <c r="V1029" s="4" t="s">
        <v>42</v>
      </c>
      <c r="W1029" s="4" t="s">
        <v>309</v>
      </c>
      <c r="X1029" s="4" t="s">
        <v>306</v>
      </c>
      <c r="Y1029" s="7" t="s">
        <v>60</v>
      </c>
      <c r="Z1029" s="7"/>
      <c r="AA1029" s="4" t="s">
        <v>46</v>
      </c>
      <c r="AB1029" s="4" t="s">
        <v>47</v>
      </c>
      <c r="AC1029" s="4" t="s">
        <v>79</v>
      </c>
      <c r="AD1029" s="4" t="s">
        <v>96</v>
      </c>
      <c r="AE1029" s="4" t="s">
        <v>48</v>
      </c>
      <c r="AF1029" s="4" t="s">
        <v>41</v>
      </c>
      <c r="AG1029" s="4" t="s">
        <v>2164</v>
      </c>
    </row>
    <row r="1030" spans="1:33" ht="16.5" customHeight="1" x14ac:dyDescent="0.2">
      <c r="A1030" s="2" t="s">
        <v>31</v>
      </c>
      <c r="B1030" s="5" t="s">
        <v>54</v>
      </c>
      <c r="C1030" s="5"/>
      <c r="D1030" s="5"/>
      <c r="E1030" s="6" t="s">
        <v>33</v>
      </c>
      <c r="F1030" s="6"/>
      <c r="G1030" s="7" t="s">
        <v>2161</v>
      </c>
      <c r="H1030" s="7"/>
      <c r="I1030" s="7"/>
      <c r="J1030" s="3" t="s">
        <v>35</v>
      </c>
      <c r="K1030" s="4" t="s">
        <v>245</v>
      </c>
      <c r="L1030" s="4" t="s">
        <v>93</v>
      </c>
      <c r="N1030" s="7" t="s">
        <v>2251</v>
      </c>
      <c r="O1030" s="7"/>
      <c r="P1030" s="7" t="s">
        <v>2252</v>
      </c>
      <c r="Q1030" s="7"/>
      <c r="R1030" s="7"/>
      <c r="S1030" s="3" t="s">
        <v>40</v>
      </c>
      <c r="T1030" s="7" t="s">
        <v>41</v>
      </c>
      <c r="U1030" s="7"/>
      <c r="V1030" s="4" t="s">
        <v>42</v>
      </c>
      <c r="W1030" s="4" t="s">
        <v>309</v>
      </c>
      <c r="X1030" s="4" t="s">
        <v>306</v>
      </c>
      <c r="Y1030" s="7" t="s">
        <v>78</v>
      </c>
      <c r="Z1030" s="7"/>
      <c r="AA1030" s="4" t="s">
        <v>46</v>
      </c>
      <c r="AB1030" s="4" t="s">
        <v>47</v>
      </c>
      <c r="AC1030" s="4" t="s">
        <v>136</v>
      </c>
      <c r="AD1030" s="4" t="s">
        <v>148</v>
      </c>
      <c r="AE1030" s="4" t="s">
        <v>48</v>
      </c>
      <c r="AF1030" s="4" t="s">
        <v>41</v>
      </c>
      <c r="AG1030" s="4" t="s">
        <v>2164</v>
      </c>
    </row>
    <row r="1031" spans="1:33" ht="16.5" customHeight="1" x14ac:dyDescent="0.2">
      <c r="A1031" s="2" t="s">
        <v>31</v>
      </c>
      <c r="B1031" s="5" t="s">
        <v>54</v>
      </c>
      <c r="C1031" s="5"/>
      <c r="D1031" s="5"/>
      <c r="E1031" s="6" t="s">
        <v>33</v>
      </c>
      <c r="F1031" s="6"/>
      <c r="G1031" s="7" t="s">
        <v>2161</v>
      </c>
      <c r="H1031" s="7"/>
      <c r="I1031" s="7"/>
      <c r="J1031" s="3" t="s">
        <v>35</v>
      </c>
      <c r="K1031" s="4" t="s">
        <v>73</v>
      </c>
      <c r="L1031" s="4" t="s">
        <v>37</v>
      </c>
      <c r="N1031" s="7" t="s">
        <v>2253</v>
      </c>
      <c r="O1031" s="7"/>
      <c r="P1031" s="7" t="s">
        <v>2254</v>
      </c>
      <c r="Q1031" s="7"/>
      <c r="R1031" s="7"/>
      <c r="S1031" s="3" t="s">
        <v>40</v>
      </c>
      <c r="T1031" s="7" t="s">
        <v>41</v>
      </c>
      <c r="U1031" s="7"/>
      <c r="V1031" s="4" t="s">
        <v>42</v>
      </c>
      <c r="W1031" s="4" t="s">
        <v>323</v>
      </c>
      <c r="X1031" s="4" t="s">
        <v>52</v>
      </c>
      <c r="Y1031" s="7" t="s">
        <v>78</v>
      </c>
      <c r="Z1031" s="7"/>
      <c r="AA1031" s="4" t="s">
        <v>46</v>
      </c>
      <c r="AB1031" s="4" t="s">
        <v>47</v>
      </c>
      <c r="AC1031" s="4" t="s">
        <v>72</v>
      </c>
      <c r="AD1031" s="4" t="s">
        <v>41</v>
      </c>
      <c r="AE1031" s="4" t="s">
        <v>48</v>
      </c>
      <c r="AF1031" s="4" t="s">
        <v>41</v>
      </c>
      <c r="AG1031" s="4" t="s">
        <v>2164</v>
      </c>
    </row>
    <row r="1032" spans="1:33" ht="16.5" customHeight="1" x14ac:dyDescent="0.2">
      <c r="A1032" s="2" t="s">
        <v>31</v>
      </c>
      <c r="B1032" s="5" t="s">
        <v>54</v>
      </c>
      <c r="C1032" s="5"/>
      <c r="D1032" s="5"/>
      <c r="E1032" s="6" t="s">
        <v>33</v>
      </c>
      <c r="F1032" s="6"/>
      <c r="G1032" s="7" t="s">
        <v>2161</v>
      </c>
      <c r="H1032" s="7"/>
      <c r="I1032" s="7"/>
      <c r="J1032" s="3" t="s">
        <v>35</v>
      </c>
      <c r="K1032" s="4" t="s">
        <v>245</v>
      </c>
      <c r="L1032" s="4" t="s">
        <v>93</v>
      </c>
      <c r="N1032" s="7" t="s">
        <v>2255</v>
      </c>
      <c r="O1032" s="7"/>
      <c r="P1032" s="7" t="s">
        <v>2256</v>
      </c>
      <c r="Q1032" s="7"/>
      <c r="R1032" s="7"/>
      <c r="S1032" s="3" t="s">
        <v>40</v>
      </c>
      <c r="T1032" s="7" t="s">
        <v>41</v>
      </c>
      <c r="U1032" s="7"/>
      <c r="V1032" s="4" t="s">
        <v>42</v>
      </c>
      <c r="W1032" s="4" t="s">
        <v>990</v>
      </c>
      <c r="X1032" s="4" t="s">
        <v>991</v>
      </c>
      <c r="Y1032" s="7" t="s">
        <v>78</v>
      </c>
      <c r="Z1032" s="7"/>
      <c r="AA1032" s="4" t="s">
        <v>46</v>
      </c>
      <c r="AB1032" s="4" t="s">
        <v>47</v>
      </c>
      <c r="AC1032" s="4" t="s">
        <v>136</v>
      </c>
      <c r="AD1032" s="4" t="s">
        <v>148</v>
      </c>
      <c r="AE1032" s="4" t="s">
        <v>48</v>
      </c>
      <c r="AF1032" s="4" t="s">
        <v>41</v>
      </c>
      <c r="AG1032" s="4" t="s">
        <v>2164</v>
      </c>
    </row>
    <row r="1033" spans="1:33" ht="16.5" customHeight="1" x14ac:dyDescent="0.2">
      <c r="A1033" s="2" t="s">
        <v>31</v>
      </c>
      <c r="B1033" s="5" t="s">
        <v>54</v>
      </c>
      <c r="C1033" s="5"/>
      <c r="D1033" s="5"/>
      <c r="E1033" s="6" t="s">
        <v>33</v>
      </c>
      <c r="F1033" s="6"/>
      <c r="G1033" s="7" t="s">
        <v>2161</v>
      </c>
      <c r="H1033" s="7"/>
      <c r="I1033" s="7"/>
      <c r="J1033" s="3" t="s">
        <v>35</v>
      </c>
      <c r="K1033" s="4" t="s">
        <v>245</v>
      </c>
      <c r="L1033" s="4" t="s">
        <v>37</v>
      </c>
      <c r="N1033" s="7" t="s">
        <v>2257</v>
      </c>
      <c r="O1033" s="7"/>
      <c r="P1033" s="7" t="s">
        <v>2258</v>
      </c>
      <c r="Q1033" s="7"/>
      <c r="R1033" s="7"/>
      <c r="S1033" s="3" t="s">
        <v>40</v>
      </c>
      <c r="T1033" s="7" t="s">
        <v>41</v>
      </c>
      <c r="U1033" s="7"/>
      <c r="V1033" s="4" t="s">
        <v>42</v>
      </c>
      <c r="W1033" s="4" t="s">
        <v>329</v>
      </c>
      <c r="X1033" s="4" t="s">
        <v>330</v>
      </c>
      <c r="Y1033" s="7" t="s">
        <v>78</v>
      </c>
      <c r="Z1033" s="7"/>
      <c r="AA1033" s="4" t="s">
        <v>46</v>
      </c>
      <c r="AB1033" s="4" t="s">
        <v>47</v>
      </c>
      <c r="AC1033" s="4" t="s">
        <v>136</v>
      </c>
      <c r="AD1033" s="4" t="s">
        <v>137</v>
      </c>
      <c r="AE1033" s="4" t="s">
        <v>48</v>
      </c>
      <c r="AF1033" s="4" t="s">
        <v>41</v>
      </c>
      <c r="AG1033" s="4" t="s">
        <v>2164</v>
      </c>
    </row>
    <row r="1034" spans="1:33" ht="16.5" customHeight="1" x14ac:dyDescent="0.2">
      <c r="A1034" s="2" t="s">
        <v>31</v>
      </c>
      <c r="B1034" s="5" t="s">
        <v>54</v>
      </c>
      <c r="C1034" s="5"/>
      <c r="D1034" s="5"/>
      <c r="E1034" s="6" t="s">
        <v>33</v>
      </c>
      <c r="F1034" s="6"/>
      <c r="G1034" s="7" t="s">
        <v>2161</v>
      </c>
      <c r="H1034" s="7"/>
      <c r="I1034" s="7"/>
      <c r="J1034" s="3" t="s">
        <v>35</v>
      </c>
      <c r="K1034" s="4" t="s">
        <v>245</v>
      </c>
      <c r="L1034" s="4" t="s">
        <v>280</v>
      </c>
      <c r="N1034" s="7" t="s">
        <v>2259</v>
      </c>
      <c r="O1034" s="7"/>
      <c r="P1034" s="7" t="s">
        <v>2260</v>
      </c>
      <c r="Q1034" s="7"/>
      <c r="R1034" s="7"/>
      <c r="S1034" s="3" t="s">
        <v>40</v>
      </c>
      <c r="T1034" s="7" t="s">
        <v>41</v>
      </c>
      <c r="U1034" s="7"/>
      <c r="V1034" s="4" t="s">
        <v>42</v>
      </c>
      <c r="W1034" s="4" t="s">
        <v>270</v>
      </c>
      <c r="X1034" s="4" t="s">
        <v>271</v>
      </c>
      <c r="Y1034" s="7" t="s">
        <v>78</v>
      </c>
      <c r="Z1034" s="7"/>
      <c r="AA1034" s="4" t="s">
        <v>46</v>
      </c>
      <c r="AB1034" s="4" t="s">
        <v>47</v>
      </c>
      <c r="AC1034" s="4" t="s">
        <v>136</v>
      </c>
      <c r="AD1034" s="4" t="s">
        <v>324</v>
      </c>
      <c r="AE1034" s="4" t="s">
        <v>48</v>
      </c>
      <c r="AF1034" s="4" t="s">
        <v>41</v>
      </c>
      <c r="AG1034" s="4" t="s">
        <v>2164</v>
      </c>
    </row>
    <row r="1035" spans="1:33" ht="16.5" customHeight="1" x14ac:dyDescent="0.2">
      <c r="A1035" s="2" t="s">
        <v>31</v>
      </c>
      <c r="B1035" s="5" t="s">
        <v>54</v>
      </c>
      <c r="C1035" s="5"/>
      <c r="D1035" s="5"/>
      <c r="E1035" s="6" t="s">
        <v>33</v>
      </c>
      <c r="F1035" s="6"/>
      <c r="G1035" s="7" t="s">
        <v>2161</v>
      </c>
      <c r="H1035" s="7"/>
      <c r="I1035" s="7"/>
      <c r="J1035" s="3" t="s">
        <v>35</v>
      </c>
      <c r="K1035" s="4" t="s">
        <v>620</v>
      </c>
      <c r="L1035" s="4" t="s">
        <v>37</v>
      </c>
      <c r="N1035" s="7" t="s">
        <v>2261</v>
      </c>
      <c r="O1035" s="7"/>
      <c r="P1035" s="7" t="s">
        <v>2262</v>
      </c>
      <c r="Q1035" s="7"/>
      <c r="R1035" s="7"/>
      <c r="S1035" s="3" t="s">
        <v>40</v>
      </c>
      <c r="T1035" s="7" t="s">
        <v>41</v>
      </c>
      <c r="U1035" s="7"/>
      <c r="V1035" s="4" t="s">
        <v>42</v>
      </c>
      <c r="W1035" s="4" t="s">
        <v>146</v>
      </c>
      <c r="X1035" s="4" t="s">
        <v>147</v>
      </c>
      <c r="Y1035" s="7" t="s">
        <v>78</v>
      </c>
      <c r="Z1035" s="7"/>
      <c r="AA1035" s="4" t="s">
        <v>46</v>
      </c>
      <c r="AB1035" s="4" t="s">
        <v>47</v>
      </c>
      <c r="AC1035" s="4" t="s">
        <v>136</v>
      </c>
      <c r="AD1035" s="4" t="s">
        <v>137</v>
      </c>
      <c r="AE1035" s="4" t="s">
        <v>48</v>
      </c>
      <c r="AF1035" s="4" t="s">
        <v>41</v>
      </c>
      <c r="AG1035" s="4" t="s">
        <v>2164</v>
      </c>
    </row>
    <row r="1036" spans="1:33" ht="16.5" customHeight="1" x14ac:dyDescent="0.2">
      <c r="A1036" s="2" t="s">
        <v>31</v>
      </c>
      <c r="B1036" s="5" t="s">
        <v>54</v>
      </c>
      <c r="C1036" s="5"/>
      <c r="D1036" s="5"/>
      <c r="E1036" s="6" t="s">
        <v>33</v>
      </c>
      <c r="F1036" s="6"/>
      <c r="G1036" s="7" t="s">
        <v>2161</v>
      </c>
      <c r="H1036" s="7"/>
      <c r="I1036" s="7"/>
      <c r="J1036" s="3" t="s">
        <v>35</v>
      </c>
      <c r="K1036" s="4" t="s">
        <v>92</v>
      </c>
      <c r="L1036" s="4" t="s">
        <v>37</v>
      </c>
      <c r="N1036" s="7" t="s">
        <v>2263</v>
      </c>
      <c r="O1036" s="7"/>
      <c r="P1036" s="7" t="s">
        <v>2264</v>
      </c>
      <c r="Q1036" s="7"/>
      <c r="R1036" s="7"/>
      <c r="S1036" s="3" t="s">
        <v>40</v>
      </c>
      <c r="T1036" s="7" t="s">
        <v>41</v>
      </c>
      <c r="U1036" s="7"/>
      <c r="V1036" s="4" t="s">
        <v>42</v>
      </c>
      <c r="W1036" s="4" t="s">
        <v>146</v>
      </c>
      <c r="X1036" s="4" t="s">
        <v>147</v>
      </c>
      <c r="Y1036" s="7" t="s">
        <v>78</v>
      </c>
      <c r="Z1036" s="7"/>
      <c r="AA1036" s="4" t="s">
        <v>46</v>
      </c>
      <c r="AB1036" s="4" t="s">
        <v>47</v>
      </c>
      <c r="AC1036" s="4" t="s">
        <v>136</v>
      </c>
      <c r="AD1036" s="4" t="s">
        <v>137</v>
      </c>
      <c r="AE1036" s="4" t="s">
        <v>48</v>
      </c>
      <c r="AF1036" s="4" t="s">
        <v>41</v>
      </c>
      <c r="AG1036" s="4" t="s">
        <v>2164</v>
      </c>
    </row>
    <row r="1037" spans="1:33" ht="16.5" customHeight="1" x14ac:dyDescent="0.2">
      <c r="A1037" s="2" t="s">
        <v>31</v>
      </c>
      <c r="B1037" s="5" t="s">
        <v>54</v>
      </c>
      <c r="C1037" s="5"/>
      <c r="D1037" s="5"/>
      <c r="E1037" s="6" t="s">
        <v>33</v>
      </c>
      <c r="F1037" s="6"/>
      <c r="G1037" s="7" t="s">
        <v>2161</v>
      </c>
      <c r="H1037" s="7"/>
      <c r="I1037" s="7"/>
      <c r="J1037" s="3" t="s">
        <v>35</v>
      </c>
      <c r="K1037" s="4" t="s">
        <v>149</v>
      </c>
      <c r="L1037" s="4" t="s">
        <v>37</v>
      </c>
      <c r="N1037" s="7" t="s">
        <v>2265</v>
      </c>
      <c r="O1037" s="7"/>
      <c r="P1037" s="7" t="s">
        <v>2266</v>
      </c>
      <c r="Q1037" s="7"/>
      <c r="R1037" s="7"/>
      <c r="S1037" s="3" t="s">
        <v>40</v>
      </c>
      <c r="T1037" s="7" t="s">
        <v>41</v>
      </c>
      <c r="U1037" s="7"/>
      <c r="V1037" s="4" t="s">
        <v>42</v>
      </c>
      <c r="W1037" s="4" t="s">
        <v>859</v>
      </c>
      <c r="X1037" s="4" t="s">
        <v>341</v>
      </c>
      <c r="Y1037" s="7" t="s">
        <v>78</v>
      </c>
      <c r="Z1037" s="7"/>
      <c r="AA1037" s="4" t="s">
        <v>46</v>
      </c>
      <c r="AB1037" s="4" t="s">
        <v>47</v>
      </c>
      <c r="AC1037" s="4" t="s">
        <v>136</v>
      </c>
      <c r="AD1037" s="4" t="s">
        <v>137</v>
      </c>
      <c r="AE1037" s="4" t="s">
        <v>48</v>
      </c>
      <c r="AF1037" s="4" t="s">
        <v>41</v>
      </c>
      <c r="AG1037" s="4" t="s">
        <v>2164</v>
      </c>
    </row>
    <row r="1038" spans="1:33" ht="16.5" customHeight="1" x14ac:dyDescent="0.2">
      <c r="A1038" s="2" t="s">
        <v>31</v>
      </c>
      <c r="B1038" s="5" t="s">
        <v>54</v>
      </c>
      <c r="C1038" s="5"/>
      <c r="D1038" s="5"/>
      <c r="E1038" s="6" t="s">
        <v>33</v>
      </c>
      <c r="F1038" s="6"/>
      <c r="G1038" s="7" t="s">
        <v>2161</v>
      </c>
      <c r="H1038" s="7"/>
      <c r="I1038" s="7"/>
      <c r="J1038" s="3" t="s">
        <v>35</v>
      </c>
      <c r="K1038" s="4" t="s">
        <v>55</v>
      </c>
      <c r="L1038" s="4" t="s">
        <v>37</v>
      </c>
      <c r="N1038" s="7" t="s">
        <v>2267</v>
      </c>
      <c r="O1038" s="7"/>
      <c r="P1038" s="7" t="s">
        <v>2268</v>
      </c>
      <c r="Q1038" s="7"/>
      <c r="R1038" s="7"/>
      <c r="S1038" s="3" t="s">
        <v>40</v>
      </c>
      <c r="T1038" s="7" t="s">
        <v>41</v>
      </c>
      <c r="U1038" s="7"/>
      <c r="V1038" s="4" t="s">
        <v>42</v>
      </c>
      <c r="W1038" s="4" t="s">
        <v>570</v>
      </c>
      <c r="X1038" s="4" t="s">
        <v>571</v>
      </c>
      <c r="Y1038" s="7" t="s">
        <v>60</v>
      </c>
      <c r="Z1038" s="7"/>
      <c r="AA1038" s="4" t="s">
        <v>46</v>
      </c>
      <c r="AB1038" s="4" t="s">
        <v>47</v>
      </c>
      <c r="AC1038" s="4" t="s">
        <v>79</v>
      </c>
      <c r="AD1038" s="4" t="s">
        <v>80</v>
      </c>
      <c r="AE1038" s="4" t="s">
        <v>48</v>
      </c>
      <c r="AF1038" s="4" t="s">
        <v>41</v>
      </c>
      <c r="AG1038" s="4" t="s">
        <v>2164</v>
      </c>
    </row>
    <row r="1039" spans="1:33" ht="16.5" customHeight="1" x14ac:dyDescent="0.2">
      <c r="A1039" s="2" t="s">
        <v>31</v>
      </c>
      <c r="B1039" s="5" t="s">
        <v>54</v>
      </c>
      <c r="C1039" s="5"/>
      <c r="D1039" s="5"/>
      <c r="E1039" s="6" t="s">
        <v>33</v>
      </c>
      <c r="F1039" s="6"/>
      <c r="G1039" s="7" t="s">
        <v>2161</v>
      </c>
      <c r="H1039" s="7"/>
      <c r="I1039" s="7"/>
      <c r="J1039" s="3" t="s">
        <v>35</v>
      </c>
      <c r="K1039" s="4" t="s">
        <v>245</v>
      </c>
      <c r="L1039" s="4" t="s">
        <v>37</v>
      </c>
      <c r="N1039" s="7" t="s">
        <v>2269</v>
      </c>
      <c r="O1039" s="7"/>
      <c r="P1039" s="7" t="s">
        <v>2270</v>
      </c>
      <c r="Q1039" s="7"/>
      <c r="R1039" s="7"/>
      <c r="S1039" s="3" t="s">
        <v>40</v>
      </c>
      <c r="T1039" s="7" t="s">
        <v>41</v>
      </c>
      <c r="U1039" s="7"/>
      <c r="V1039" s="4" t="s">
        <v>42</v>
      </c>
      <c r="W1039" s="4" t="s">
        <v>234</v>
      </c>
      <c r="X1039" s="4" t="s">
        <v>235</v>
      </c>
      <c r="Y1039" s="7" t="s">
        <v>78</v>
      </c>
      <c r="Z1039" s="7"/>
      <c r="AA1039" s="4" t="s">
        <v>46</v>
      </c>
      <c r="AB1039" s="4" t="s">
        <v>47</v>
      </c>
      <c r="AC1039" s="4" t="s">
        <v>136</v>
      </c>
      <c r="AD1039" s="4" t="s">
        <v>137</v>
      </c>
      <c r="AE1039" s="4" t="s">
        <v>48</v>
      </c>
      <c r="AF1039" s="4" t="s">
        <v>41</v>
      </c>
      <c r="AG1039" s="4" t="s">
        <v>2164</v>
      </c>
    </row>
    <row r="1040" spans="1:33" ht="16.5" customHeight="1" x14ac:dyDescent="0.2">
      <c r="A1040" s="2" t="s">
        <v>31</v>
      </c>
      <c r="B1040" s="5" t="s">
        <v>54</v>
      </c>
      <c r="C1040" s="5"/>
      <c r="D1040" s="5"/>
      <c r="E1040" s="6" t="s">
        <v>33</v>
      </c>
      <c r="F1040" s="6"/>
      <c r="G1040" s="7" t="s">
        <v>2161</v>
      </c>
      <c r="H1040" s="7"/>
      <c r="I1040" s="7"/>
      <c r="J1040" s="3" t="s">
        <v>35</v>
      </c>
      <c r="K1040" s="4" t="s">
        <v>409</v>
      </c>
      <c r="L1040" s="4" t="s">
        <v>37</v>
      </c>
      <c r="N1040" s="7" t="s">
        <v>2271</v>
      </c>
      <c r="O1040" s="7"/>
      <c r="P1040" s="7" t="s">
        <v>2272</v>
      </c>
      <c r="Q1040" s="7"/>
      <c r="R1040" s="7"/>
      <c r="S1040" s="3" t="s">
        <v>40</v>
      </c>
      <c r="T1040" s="7" t="s">
        <v>41</v>
      </c>
      <c r="U1040" s="7"/>
      <c r="V1040" s="4" t="s">
        <v>42</v>
      </c>
      <c r="W1040" s="4" t="s">
        <v>234</v>
      </c>
      <c r="X1040" s="4" t="s">
        <v>235</v>
      </c>
      <c r="Y1040" s="7" t="s">
        <v>60</v>
      </c>
      <c r="Z1040" s="7"/>
      <c r="AA1040" s="4" t="s">
        <v>46</v>
      </c>
      <c r="AB1040" s="4" t="s">
        <v>47</v>
      </c>
      <c r="AC1040" s="4" t="s">
        <v>79</v>
      </c>
      <c r="AD1040" s="4" t="s">
        <v>80</v>
      </c>
      <c r="AE1040" s="4" t="s">
        <v>48</v>
      </c>
      <c r="AF1040" s="4" t="s">
        <v>41</v>
      </c>
      <c r="AG1040" s="4" t="s">
        <v>2164</v>
      </c>
    </row>
    <row r="1041" spans="1:33" ht="16.5" customHeight="1" x14ac:dyDescent="0.2">
      <c r="A1041" s="2" t="s">
        <v>31</v>
      </c>
      <c r="B1041" s="5" t="s">
        <v>54</v>
      </c>
      <c r="C1041" s="5"/>
      <c r="D1041" s="5"/>
      <c r="E1041" s="6" t="s">
        <v>33</v>
      </c>
      <c r="F1041" s="6"/>
      <c r="G1041" s="7" t="s">
        <v>2161</v>
      </c>
      <c r="H1041" s="7"/>
      <c r="I1041" s="7"/>
      <c r="J1041" s="3" t="s">
        <v>35</v>
      </c>
      <c r="K1041" s="4" t="s">
        <v>657</v>
      </c>
      <c r="L1041" s="4" t="s">
        <v>93</v>
      </c>
      <c r="N1041" s="7" t="s">
        <v>2273</v>
      </c>
      <c r="O1041" s="7"/>
      <c r="P1041" s="7" t="s">
        <v>2274</v>
      </c>
      <c r="Q1041" s="7"/>
      <c r="R1041" s="7"/>
      <c r="S1041" s="3" t="s">
        <v>40</v>
      </c>
      <c r="T1041" s="7" t="s">
        <v>41</v>
      </c>
      <c r="U1041" s="7"/>
      <c r="V1041" s="4" t="s">
        <v>42</v>
      </c>
      <c r="W1041" s="4" t="s">
        <v>355</v>
      </c>
      <c r="X1041" s="4" t="s">
        <v>344</v>
      </c>
      <c r="Y1041" s="7" t="s">
        <v>197</v>
      </c>
      <c r="Z1041" s="7"/>
      <c r="AA1041" s="4" t="s">
        <v>46</v>
      </c>
      <c r="AB1041" s="4" t="s">
        <v>47</v>
      </c>
      <c r="AC1041" s="4" t="s">
        <v>259</v>
      </c>
      <c r="AD1041" s="4" t="s">
        <v>62</v>
      </c>
      <c r="AE1041" s="4" t="s">
        <v>48</v>
      </c>
      <c r="AF1041" s="4" t="s">
        <v>41</v>
      </c>
      <c r="AG1041" s="4" t="s">
        <v>2164</v>
      </c>
    </row>
    <row r="1042" spans="1:33" ht="16.5" customHeight="1" x14ac:dyDescent="0.2">
      <c r="A1042" s="2" t="s">
        <v>31</v>
      </c>
      <c r="B1042" s="5" t="s">
        <v>54</v>
      </c>
      <c r="C1042" s="5"/>
      <c r="D1042" s="5"/>
      <c r="E1042" s="6" t="s">
        <v>33</v>
      </c>
      <c r="F1042" s="6"/>
      <c r="G1042" s="7" t="s">
        <v>2161</v>
      </c>
      <c r="H1042" s="7"/>
      <c r="I1042" s="7"/>
      <c r="J1042" s="3" t="s">
        <v>35</v>
      </c>
      <c r="K1042" s="4" t="s">
        <v>657</v>
      </c>
      <c r="L1042" s="4" t="s">
        <v>93</v>
      </c>
      <c r="N1042" s="7" t="s">
        <v>2273</v>
      </c>
      <c r="O1042" s="7"/>
      <c r="P1042" s="7" t="s">
        <v>2274</v>
      </c>
      <c r="Q1042" s="7"/>
      <c r="R1042" s="7"/>
      <c r="S1042" s="3" t="s">
        <v>40</v>
      </c>
      <c r="T1042" s="7" t="s">
        <v>41</v>
      </c>
      <c r="U1042" s="7"/>
      <c r="V1042" s="4" t="s">
        <v>51</v>
      </c>
      <c r="W1042" s="4" t="s">
        <v>355</v>
      </c>
      <c r="X1042" s="4" t="s">
        <v>361</v>
      </c>
      <c r="Y1042" s="7" t="s">
        <v>197</v>
      </c>
      <c r="Z1042" s="7"/>
      <c r="AA1042" s="4" t="s">
        <v>46</v>
      </c>
      <c r="AB1042" s="4" t="s">
        <v>47</v>
      </c>
      <c r="AC1042" s="4" t="s">
        <v>136</v>
      </c>
      <c r="AD1042" s="4" t="s">
        <v>148</v>
      </c>
      <c r="AE1042" s="4" t="s">
        <v>48</v>
      </c>
      <c r="AF1042" s="4" t="s">
        <v>41</v>
      </c>
      <c r="AG1042" s="4" t="s">
        <v>2164</v>
      </c>
    </row>
    <row r="1043" spans="1:33" ht="16.5" customHeight="1" x14ac:dyDescent="0.2">
      <c r="A1043" s="2" t="s">
        <v>31</v>
      </c>
      <c r="B1043" s="5" t="s">
        <v>54</v>
      </c>
      <c r="C1043" s="5"/>
      <c r="D1043" s="5"/>
      <c r="E1043" s="6" t="s">
        <v>33</v>
      </c>
      <c r="F1043" s="6"/>
      <c r="G1043" s="7" t="s">
        <v>2161</v>
      </c>
      <c r="H1043" s="7"/>
      <c r="I1043" s="7"/>
      <c r="J1043" s="3" t="s">
        <v>35</v>
      </c>
      <c r="K1043" s="4" t="s">
        <v>81</v>
      </c>
      <c r="L1043" s="4" t="s">
        <v>37</v>
      </c>
      <c r="N1043" s="7" t="s">
        <v>2275</v>
      </c>
      <c r="O1043" s="7"/>
      <c r="P1043" s="7" t="s">
        <v>2276</v>
      </c>
      <c r="Q1043" s="7"/>
      <c r="R1043" s="7"/>
      <c r="S1043" s="3" t="s">
        <v>40</v>
      </c>
      <c r="T1043" s="7" t="s">
        <v>41</v>
      </c>
      <c r="U1043" s="7"/>
      <c r="V1043" s="4" t="s">
        <v>42</v>
      </c>
      <c r="W1043" s="4" t="s">
        <v>355</v>
      </c>
      <c r="X1043" s="4" t="s">
        <v>344</v>
      </c>
      <c r="Y1043" s="7" t="s">
        <v>78</v>
      </c>
      <c r="Z1043" s="7"/>
      <c r="AA1043" s="4" t="s">
        <v>46</v>
      </c>
      <c r="AB1043" s="4" t="s">
        <v>47</v>
      </c>
      <c r="AC1043" s="4" t="s">
        <v>136</v>
      </c>
      <c r="AD1043" s="4" t="s">
        <v>137</v>
      </c>
      <c r="AE1043" s="4" t="s">
        <v>48</v>
      </c>
      <c r="AF1043" s="4" t="s">
        <v>41</v>
      </c>
      <c r="AG1043" s="4" t="s">
        <v>2164</v>
      </c>
    </row>
    <row r="1044" spans="1:33" ht="16.5" customHeight="1" x14ac:dyDescent="0.2">
      <c r="A1044" s="2" t="s">
        <v>31</v>
      </c>
      <c r="B1044" s="5" t="s">
        <v>54</v>
      </c>
      <c r="C1044" s="5"/>
      <c r="D1044" s="5"/>
      <c r="E1044" s="6" t="s">
        <v>33</v>
      </c>
      <c r="F1044" s="6"/>
      <c r="G1044" s="7" t="s">
        <v>2161</v>
      </c>
      <c r="H1044" s="7"/>
      <c r="I1044" s="7"/>
      <c r="J1044" s="3" t="s">
        <v>35</v>
      </c>
      <c r="K1044" s="4" t="s">
        <v>55</v>
      </c>
      <c r="L1044" s="4" t="s">
        <v>588</v>
      </c>
      <c r="N1044" s="7" t="s">
        <v>2277</v>
      </c>
      <c r="O1044" s="7"/>
      <c r="P1044" s="7" t="s">
        <v>2278</v>
      </c>
      <c r="Q1044" s="7"/>
      <c r="R1044" s="7"/>
      <c r="S1044" s="3" t="s">
        <v>40</v>
      </c>
      <c r="T1044" s="7" t="s">
        <v>41</v>
      </c>
      <c r="U1044" s="7"/>
      <c r="V1044" s="4" t="s">
        <v>51</v>
      </c>
      <c r="W1044" s="4" t="s">
        <v>360</v>
      </c>
      <c r="X1044" s="4" t="s">
        <v>302</v>
      </c>
      <c r="Y1044" s="7" t="s">
        <v>60</v>
      </c>
      <c r="Z1044" s="7"/>
      <c r="AA1044" s="4" t="s">
        <v>46</v>
      </c>
      <c r="AB1044" s="4" t="s">
        <v>47</v>
      </c>
      <c r="AC1044" s="4" t="s">
        <v>61</v>
      </c>
      <c r="AD1044" s="4" t="s">
        <v>2043</v>
      </c>
      <c r="AE1044" s="4" t="s">
        <v>48</v>
      </c>
      <c r="AF1044" s="4" t="s">
        <v>41</v>
      </c>
      <c r="AG1044" s="4" t="s">
        <v>2164</v>
      </c>
    </row>
    <row r="1045" spans="1:33" ht="16.5" customHeight="1" x14ac:dyDescent="0.2">
      <c r="A1045" s="2" t="s">
        <v>31</v>
      </c>
      <c r="B1045" s="5" t="s">
        <v>54</v>
      </c>
      <c r="C1045" s="5"/>
      <c r="D1045" s="5"/>
      <c r="E1045" s="6" t="s">
        <v>33</v>
      </c>
      <c r="F1045" s="6"/>
      <c r="G1045" s="7" t="s">
        <v>2161</v>
      </c>
      <c r="H1045" s="7"/>
      <c r="I1045" s="7"/>
      <c r="J1045" s="3" t="s">
        <v>35</v>
      </c>
      <c r="K1045" s="4" t="s">
        <v>55</v>
      </c>
      <c r="L1045" s="4" t="s">
        <v>37</v>
      </c>
      <c r="N1045" s="7" t="s">
        <v>2279</v>
      </c>
      <c r="O1045" s="7"/>
      <c r="P1045" s="7" t="s">
        <v>2280</v>
      </c>
      <c r="Q1045" s="7"/>
      <c r="R1045" s="7"/>
      <c r="S1045" s="3" t="s">
        <v>40</v>
      </c>
      <c r="T1045" s="7" t="s">
        <v>41</v>
      </c>
      <c r="U1045" s="7"/>
      <c r="V1045" s="4" t="s">
        <v>42</v>
      </c>
      <c r="W1045" s="4" t="s">
        <v>360</v>
      </c>
      <c r="X1045" s="4" t="s">
        <v>361</v>
      </c>
      <c r="Y1045" s="7" t="s">
        <v>60</v>
      </c>
      <c r="Z1045" s="7"/>
      <c r="AA1045" s="4" t="s">
        <v>46</v>
      </c>
      <c r="AB1045" s="4" t="s">
        <v>47</v>
      </c>
      <c r="AC1045" s="4" t="s">
        <v>61</v>
      </c>
      <c r="AD1045" s="4" t="s">
        <v>62</v>
      </c>
      <c r="AE1045" s="4" t="s">
        <v>48</v>
      </c>
      <c r="AF1045" s="4" t="s">
        <v>41</v>
      </c>
      <c r="AG1045" s="4" t="s">
        <v>2164</v>
      </c>
    </row>
    <row r="1046" spans="1:33" ht="16.5" customHeight="1" x14ac:dyDescent="0.2">
      <c r="A1046" s="2" t="s">
        <v>31</v>
      </c>
      <c r="B1046" s="5" t="s">
        <v>54</v>
      </c>
      <c r="C1046" s="5"/>
      <c r="D1046" s="5"/>
      <c r="E1046" s="6" t="s">
        <v>33</v>
      </c>
      <c r="F1046" s="6"/>
      <c r="G1046" s="7" t="s">
        <v>2161</v>
      </c>
      <c r="H1046" s="7"/>
      <c r="I1046" s="7"/>
      <c r="J1046" s="3" t="s">
        <v>35</v>
      </c>
      <c r="K1046" s="4" t="s">
        <v>202</v>
      </c>
      <c r="L1046" s="4" t="s">
        <v>37</v>
      </c>
      <c r="N1046" s="7" t="s">
        <v>2281</v>
      </c>
      <c r="O1046" s="7"/>
      <c r="P1046" s="7" t="s">
        <v>2282</v>
      </c>
      <c r="Q1046" s="7"/>
      <c r="R1046" s="7"/>
      <c r="S1046" s="3" t="s">
        <v>40</v>
      </c>
      <c r="T1046" s="7" t="s">
        <v>41</v>
      </c>
      <c r="U1046" s="7"/>
      <c r="V1046" s="4" t="s">
        <v>42</v>
      </c>
      <c r="W1046" s="4" t="s">
        <v>301</v>
      </c>
      <c r="X1046" s="4" t="s">
        <v>302</v>
      </c>
      <c r="Y1046" s="7" t="s">
        <v>197</v>
      </c>
      <c r="Z1046" s="7"/>
      <c r="AA1046" s="4" t="s">
        <v>46</v>
      </c>
      <c r="AB1046" s="4" t="s">
        <v>47</v>
      </c>
      <c r="AC1046" s="4" t="s">
        <v>72</v>
      </c>
      <c r="AD1046" s="4" t="s">
        <v>41</v>
      </c>
      <c r="AE1046" s="4" t="s">
        <v>48</v>
      </c>
      <c r="AF1046" s="4" t="s">
        <v>41</v>
      </c>
      <c r="AG1046" s="4" t="s">
        <v>2164</v>
      </c>
    </row>
    <row r="1047" spans="1:33" ht="16.5" customHeight="1" x14ac:dyDescent="0.2">
      <c r="A1047" s="2" t="s">
        <v>31</v>
      </c>
      <c r="B1047" s="5" t="s">
        <v>54</v>
      </c>
      <c r="C1047" s="5"/>
      <c r="D1047" s="5"/>
      <c r="E1047" s="6" t="s">
        <v>33</v>
      </c>
      <c r="F1047" s="6"/>
      <c r="G1047" s="7" t="s">
        <v>2161</v>
      </c>
      <c r="H1047" s="7"/>
      <c r="I1047" s="7"/>
      <c r="J1047" s="3" t="s">
        <v>35</v>
      </c>
      <c r="K1047" s="4" t="s">
        <v>73</v>
      </c>
      <c r="L1047" s="4" t="s">
        <v>37</v>
      </c>
      <c r="N1047" s="7" t="s">
        <v>2283</v>
      </c>
      <c r="O1047" s="7"/>
      <c r="P1047" s="7" t="s">
        <v>2284</v>
      </c>
      <c r="Q1047" s="7"/>
      <c r="R1047" s="7"/>
      <c r="S1047" s="3" t="s">
        <v>40</v>
      </c>
      <c r="T1047" s="7" t="s">
        <v>41</v>
      </c>
      <c r="U1047" s="7"/>
      <c r="V1047" s="4" t="s">
        <v>42</v>
      </c>
      <c r="W1047" s="4" t="s">
        <v>301</v>
      </c>
      <c r="X1047" s="4" t="s">
        <v>302</v>
      </c>
      <c r="Y1047" s="7" t="s">
        <v>78</v>
      </c>
      <c r="Z1047" s="7"/>
      <c r="AA1047" s="4" t="s">
        <v>46</v>
      </c>
      <c r="AB1047" s="4" t="s">
        <v>47</v>
      </c>
      <c r="AC1047" s="4" t="s">
        <v>79</v>
      </c>
      <c r="AD1047" s="4" t="s">
        <v>80</v>
      </c>
      <c r="AE1047" s="4" t="s">
        <v>48</v>
      </c>
      <c r="AF1047" s="4" t="s">
        <v>41</v>
      </c>
      <c r="AG1047" s="4" t="s">
        <v>2164</v>
      </c>
    </row>
    <row r="1048" spans="1:33" ht="16.5" customHeight="1" x14ac:dyDescent="0.2">
      <c r="A1048" s="2" t="s">
        <v>31</v>
      </c>
      <c r="B1048" s="5" t="s">
        <v>54</v>
      </c>
      <c r="C1048" s="5"/>
      <c r="D1048" s="5"/>
      <c r="E1048" s="6" t="s">
        <v>33</v>
      </c>
      <c r="F1048" s="6"/>
      <c r="G1048" s="7" t="s">
        <v>2161</v>
      </c>
      <c r="H1048" s="7"/>
      <c r="I1048" s="7"/>
      <c r="J1048" s="3" t="s">
        <v>35</v>
      </c>
      <c r="K1048" s="4" t="s">
        <v>143</v>
      </c>
      <c r="L1048" s="4" t="s">
        <v>37</v>
      </c>
      <c r="N1048" s="7" t="s">
        <v>2285</v>
      </c>
      <c r="O1048" s="7"/>
      <c r="P1048" s="7" t="s">
        <v>2286</v>
      </c>
      <c r="Q1048" s="7"/>
      <c r="R1048" s="7"/>
      <c r="S1048" s="3" t="s">
        <v>40</v>
      </c>
      <c r="T1048" s="7" t="s">
        <v>41</v>
      </c>
      <c r="U1048" s="7"/>
      <c r="V1048" s="4" t="s">
        <v>42</v>
      </c>
      <c r="W1048" s="4" t="s">
        <v>68</v>
      </c>
      <c r="X1048" s="4" t="s">
        <v>69</v>
      </c>
      <c r="Y1048" s="7" t="s">
        <v>135</v>
      </c>
      <c r="Z1048" s="7"/>
      <c r="AA1048" s="4" t="s">
        <v>46</v>
      </c>
      <c r="AB1048" s="4" t="s">
        <v>47</v>
      </c>
      <c r="AC1048" s="4" t="s">
        <v>79</v>
      </c>
      <c r="AD1048" s="4" t="s">
        <v>80</v>
      </c>
      <c r="AE1048" s="4" t="s">
        <v>48</v>
      </c>
      <c r="AF1048" s="4" t="s">
        <v>41</v>
      </c>
      <c r="AG1048" s="4" t="s">
        <v>2164</v>
      </c>
    </row>
    <row r="1049" spans="1:33" ht="16.5" customHeight="1" x14ac:dyDescent="0.2">
      <c r="A1049" s="2" t="s">
        <v>31</v>
      </c>
      <c r="B1049" s="5" t="s">
        <v>54</v>
      </c>
      <c r="C1049" s="5"/>
      <c r="D1049" s="5"/>
      <c r="E1049" s="6" t="s">
        <v>33</v>
      </c>
      <c r="F1049" s="6"/>
      <c r="G1049" s="7" t="s">
        <v>2161</v>
      </c>
      <c r="H1049" s="7"/>
      <c r="I1049" s="7"/>
      <c r="J1049" s="3" t="s">
        <v>35</v>
      </c>
      <c r="K1049" s="4" t="s">
        <v>248</v>
      </c>
      <c r="L1049" s="4" t="s">
        <v>93</v>
      </c>
      <c r="N1049" s="7" t="s">
        <v>2287</v>
      </c>
      <c r="O1049" s="7"/>
      <c r="P1049" s="7" t="s">
        <v>2288</v>
      </c>
      <c r="Q1049" s="7"/>
      <c r="R1049" s="7"/>
      <c r="S1049" s="3" t="s">
        <v>40</v>
      </c>
      <c r="T1049" s="7" t="s">
        <v>41</v>
      </c>
      <c r="U1049" s="7"/>
      <c r="V1049" s="4" t="s">
        <v>51</v>
      </c>
      <c r="W1049" s="4" t="s">
        <v>312</v>
      </c>
      <c r="X1049" s="4" t="s">
        <v>77</v>
      </c>
      <c r="Y1049" s="7" t="s">
        <v>60</v>
      </c>
      <c r="Z1049" s="7"/>
      <c r="AA1049" s="4" t="s">
        <v>46</v>
      </c>
      <c r="AB1049" s="4" t="s">
        <v>47</v>
      </c>
      <c r="AC1049" s="4" t="s">
        <v>61</v>
      </c>
      <c r="AD1049" s="4" t="s">
        <v>324</v>
      </c>
      <c r="AE1049" s="4" t="s">
        <v>48</v>
      </c>
      <c r="AF1049" s="4" t="s">
        <v>41</v>
      </c>
      <c r="AG1049" s="4" t="s">
        <v>2164</v>
      </c>
    </row>
    <row r="1050" spans="1:33" ht="16.5" customHeight="1" x14ac:dyDescent="0.2">
      <c r="A1050" s="2" t="s">
        <v>31</v>
      </c>
      <c r="B1050" s="5" t="s">
        <v>54</v>
      </c>
      <c r="C1050" s="5"/>
      <c r="D1050" s="5"/>
      <c r="E1050" s="6" t="s">
        <v>33</v>
      </c>
      <c r="F1050" s="6"/>
      <c r="G1050" s="7" t="s">
        <v>2161</v>
      </c>
      <c r="H1050" s="7"/>
      <c r="I1050" s="7"/>
      <c r="J1050" s="3" t="s">
        <v>35</v>
      </c>
      <c r="K1050" s="4" t="s">
        <v>202</v>
      </c>
      <c r="L1050" s="4" t="s">
        <v>93</v>
      </c>
      <c r="N1050" s="7" t="s">
        <v>2289</v>
      </c>
      <c r="O1050" s="7"/>
      <c r="P1050" s="7" t="s">
        <v>2290</v>
      </c>
      <c r="Q1050" s="7"/>
      <c r="R1050" s="7"/>
      <c r="S1050" s="3" t="s">
        <v>40</v>
      </c>
      <c r="T1050" s="7" t="s">
        <v>41</v>
      </c>
      <c r="U1050" s="7"/>
      <c r="V1050" s="4" t="s">
        <v>42</v>
      </c>
      <c r="W1050" s="4" t="s">
        <v>76</v>
      </c>
      <c r="X1050" s="4" t="s">
        <v>77</v>
      </c>
      <c r="Y1050" s="7" t="s">
        <v>197</v>
      </c>
      <c r="Z1050" s="7"/>
      <c r="AA1050" s="4" t="s">
        <v>46</v>
      </c>
      <c r="AB1050" s="4" t="s">
        <v>47</v>
      </c>
      <c r="AC1050" s="4" t="s">
        <v>72</v>
      </c>
      <c r="AD1050" s="4" t="s">
        <v>41</v>
      </c>
      <c r="AE1050" s="4" t="s">
        <v>48</v>
      </c>
      <c r="AF1050" s="4" t="s">
        <v>41</v>
      </c>
      <c r="AG1050" s="4" t="s">
        <v>2164</v>
      </c>
    </row>
    <row r="1051" spans="1:33" ht="16.5" customHeight="1" x14ac:dyDescent="0.2">
      <c r="A1051" s="2" t="s">
        <v>31</v>
      </c>
      <c r="B1051" s="5" t="s">
        <v>54</v>
      </c>
      <c r="C1051" s="5"/>
      <c r="D1051" s="5"/>
      <c r="E1051" s="6" t="s">
        <v>33</v>
      </c>
      <c r="F1051" s="6"/>
      <c r="G1051" s="7" t="s">
        <v>2161</v>
      </c>
      <c r="H1051" s="7"/>
      <c r="I1051" s="7"/>
      <c r="J1051" s="3" t="s">
        <v>35</v>
      </c>
      <c r="K1051" s="4" t="s">
        <v>202</v>
      </c>
      <c r="L1051" s="4" t="s">
        <v>93</v>
      </c>
      <c r="N1051" s="7" t="s">
        <v>2289</v>
      </c>
      <c r="O1051" s="7"/>
      <c r="P1051" s="7" t="s">
        <v>2290</v>
      </c>
      <c r="Q1051" s="7"/>
      <c r="R1051" s="7"/>
      <c r="S1051" s="3" t="s">
        <v>40</v>
      </c>
      <c r="T1051" s="7" t="s">
        <v>41</v>
      </c>
      <c r="U1051" s="7"/>
      <c r="V1051" s="4" t="s">
        <v>51</v>
      </c>
      <c r="W1051" s="4" t="s">
        <v>76</v>
      </c>
      <c r="X1051" s="4" t="s">
        <v>91</v>
      </c>
      <c r="Y1051" s="7" t="s">
        <v>197</v>
      </c>
      <c r="Z1051" s="7"/>
      <c r="AA1051" s="4" t="s">
        <v>46</v>
      </c>
      <c r="AB1051" s="4" t="s">
        <v>47</v>
      </c>
      <c r="AC1051" s="4" t="s">
        <v>72</v>
      </c>
      <c r="AD1051" s="4" t="s">
        <v>41</v>
      </c>
      <c r="AE1051" s="4" t="s">
        <v>48</v>
      </c>
      <c r="AF1051" s="4" t="s">
        <v>41</v>
      </c>
      <c r="AG1051" s="4" t="s">
        <v>2164</v>
      </c>
    </row>
    <row r="1052" spans="1:33" ht="16.5" customHeight="1" x14ac:dyDescent="0.2">
      <c r="A1052" s="2" t="s">
        <v>31</v>
      </c>
      <c r="B1052" s="5" t="s">
        <v>54</v>
      </c>
      <c r="C1052" s="5"/>
      <c r="D1052" s="5"/>
      <c r="E1052" s="6" t="s">
        <v>33</v>
      </c>
      <c r="F1052" s="6"/>
      <c r="G1052" s="7" t="s">
        <v>2161</v>
      </c>
      <c r="H1052" s="7"/>
      <c r="I1052" s="7"/>
      <c r="J1052" s="3" t="s">
        <v>35</v>
      </c>
      <c r="K1052" s="4" t="s">
        <v>73</v>
      </c>
      <c r="L1052" s="4" t="s">
        <v>37</v>
      </c>
      <c r="N1052" s="7" t="s">
        <v>2291</v>
      </c>
      <c r="O1052" s="7"/>
      <c r="P1052" s="7" t="s">
        <v>2292</v>
      </c>
      <c r="Q1052" s="7"/>
      <c r="R1052" s="7"/>
      <c r="S1052" s="3" t="s">
        <v>40</v>
      </c>
      <c r="T1052" s="7" t="s">
        <v>41</v>
      </c>
      <c r="U1052" s="7"/>
      <c r="V1052" s="4" t="s">
        <v>42</v>
      </c>
      <c r="W1052" s="4" t="s">
        <v>90</v>
      </c>
      <c r="X1052" s="4" t="s">
        <v>91</v>
      </c>
      <c r="Y1052" s="7" t="s">
        <v>78</v>
      </c>
      <c r="Z1052" s="7"/>
      <c r="AA1052" s="4" t="s">
        <v>46</v>
      </c>
      <c r="AB1052" s="4" t="s">
        <v>47</v>
      </c>
      <c r="AC1052" s="4" t="s">
        <v>79</v>
      </c>
      <c r="AD1052" s="4" t="s">
        <v>80</v>
      </c>
      <c r="AE1052" s="4" t="s">
        <v>48</v>
      </c>
      <c r="AF1052" s="4" t="s">
        <v>41</v>
      </c>
      <c r="AG1052" s="4" t="s">
        <v>2164</v>
      </c>
    </row>
    <row r="1053" spans="1:33" ht="16.5" customHeight="1" x14ac:dyDescent="0.2">
      <c r="A1053" s="2" t="s">
        <v>31</v>
      </c>
      <c r="B1053" s="5" t="s">
        <v>54</v>
      </c>
      <c r="C1053" s="5"/>
      <c r="D1053" s="5"/>
      <c r="E1053" s="6" t="s">
        <v>33</v>
      </c>
      <c r="F1053" s="6"/>
      <c r="G1053" s="7" t="s">
        <v>2161</v>
      </c>
      <c r="H1053" s="7"/>
      <c r="I1053" s="7"/>
      <c r="J1053" s="3" t="s">
        <v>35</v>
      </c>
      <c r="K1053" s="4" t="s">
        <v>73</v>
      </c>
      <c r="L1053" s="4" t="s">
        <v>37</v>
      </c>
      <c r="N1053" s="7" t="s">
        <v>2293</v>
      </c>
      <c r="O1053" s="7"/>
      <c r="P1053" s="7" t="s">
        <v>2294</v>
      </c>
      <c r="Q1053" s="7"/>
      <c r="R1053" s="7"/>
      <c r="S1053" s="3" t="s">
        <v>40</v>
      </c>
      <c r="T1053" s="7" t="s">
        <v>41</v>
      </c>
      <c r="U1053" s="7"/>
      <c r="V1053" s="4" t="s">
        <v>42</v>
      </c>
      <c r="W1053" s="4" t="s">
        <v>107</v>
      </c>
      <c r="X1053" s="4" t="s">
        <v>104</v>
      </c>
      <c r="Y1053" s="7" t="s">
        <v>78</v>
      </c>
      <c r="Z1053" s="7"/>
      <c r="AA1053" s="4" t="s">
        <v>46</v>
      </c>
      <c r="AB1053" s="4" t="s">
        <v>47</v>
      </c>
      <c r="AC1053" s="4" t="s">
        <v>79</v>
      </c>
      <c r="AD1053" s="4" t="s">
        <v>80</v>
      </c>
      <c r="AE1053" s="4" t="s">
        <v>48</v>
      </c>
      <c r="AF1053" s="4" t="s">
        <v>41</v>
      </c>
      <c r="AG1053" s="4" t="s">
        <v>2164</v>
      </c>
    </row>
    <row r="1054" spans="1:33" ht="16.5" customHeight="1" x14ac:dyDescent="0.2">
      <c r="A1054" s="2" t="s">
        <v>31</v>
      </c>
      <c r="B1054" s="5" t="s">
        <v>54</v>
      </c>
      <c r="C1054" s="5"/>
      <c r="D1054" s="5"/>
      <c r="E1054" s="6" t="s">
        <v>33</v>
      </c>
      <c r="F1054" s="6"/>
      <c r="G1054" s="7" t="s">
        <v>2161</v>
      </c>
      <c r="H1054" s="7"/>
      <c r="I1054" s="7"/>
      <c r="J1054" s="3" t="s">
        <v>35</v>
      </c>
      <c r="K1054" s="4" t="s">
        <v>245</v>
      </c>
      <c r="L1054" s="4" t="s">
        <v>37</v>
      </c>
      <c r="N1054" s="7" t="s">
        <v>2295</v>
      </c>
      <c r="O1054" s="7"/>
      <c r="P1054" s="7" t="s">
        <v>2296</v>
      </c>
      <c r="Q1054" s="7"/>
      <c r="R1054" s="7"/>
      <c r="S1054" s="3" t="s">
        <v>40</v>
      </c>
      <c r="T1054" s="7" t="s">
        <v>41</v>
      </c>
      <c r="U1054" s="7"/>
      <c r="V1054" s="4" t="s">
        <v>42</v>
      </c>
      <c r="W1054" s="4" t="s">
        <v>107</v>
      </c>
      <c r="X1054" s="4" t="s">
        <v>104</v>
      </c>
      <c r="Y1054" s="7" t="s">
        <v>78</v>
      </c>
      <c r="Z1054" s="7"/>
      <c r="AA1054" s="4" t="s">
        <v>46</v>
      </c>
      <c r="AB1054" s="4" t="s">
        <v>47</v>
      </c>
      <c r="AC1054" s="4" t="s">
        <v>79</v>
      </c>
      <c r="AD1054" s="4" t="s">
        <v>80</v>
      </c>
      <c r="AE1054" s="4" t="s">
        <v>48</v>
      </c>
      <c r="AF1054" s="4" t="s">
        <v>41</v>
      </c>
      <c r="AG1054" s="4" t="s">
        <v>2164</v>
      </c>
    </row>
    <row r="1055" spans="1:33" ht="16.5" customHeight="1" x14ac:dyDescent="0.2">
      <c r="A1055" s="2" t="s">
        <v>31</v>
      </c>
      <c r="B1055" s="5" t="s">
        <v>54</v>
      </c>
      <c r="C1055" s="5"/>
      <c r="D1055" s="5"/>
      <c r="E1055" s="6" t="s">
        <v>33</v>
      </c>
      <c r="F1055" s="6"/>
      <c r="G1055" s="7" t="s">
        <v>2161</v>
      </c>
      <c r="H1055" s="7"/>
      <c r="I1055" s="7"/>
      <c r="J1055" s="3" t="s">
        <v>35</v>
      </c>
      <c r="K1055" s="4" t="s">
        <v>2297</v>
      </c>
      <c r="L1055" s="4" t="s">
        <v>37</v>
      </c>
      <c r="N1055" s="7" t="s">
        <v>2298</v>
      </c>
      <c r="O1055" s="7"/>
      <c r="P1055" s="7" t="s">
        <v>2299</v>
      </c>
      <c r="Q1055" s="7"/>
      <c r="R1055" s="7"/>
      <c r="S1055" s="3" t="s">
        <v>40</v>
      </c>
      <c r="T1055" s="7" t="s">
        <v>41</v>
      </c>
      <c r="U1055" s="7"/>
      <c r="V1055" s="4" t="s">
        <v>42</v>
      </c>
      <c r="W1055" s="4" t="s">
        <v>58</v>
      </c>
      <c r="X1055" s="4" t="s">
        <v>59</v>
      </c>
      <c r="Y1055" s="7" t="s">
        <v>78</v>
      </c>
      <c r="Z1055" s="7"/>
      <c r="AA1055" s="4" t="s">
        <v>46</v>
      </c>
      <c r="AB1055" s="4" t="s">
        <v>47</v>
      </c>
      <c r="AC1055" s="4" t="s">
        <v>79</v>
      </c>
      <c r="AD1055" s="4" t="s">
        <v>80</v>
      </c>
      <c r="AE1055" s="4" t="s">
        <v>48</v>
      </c>
      <c r="AF1055" s="4" t="s">
        <v>41</v>
      </c>
      <c r="AG1055" s="4" t="s">
        <v>2164</v>
      </c>
    </row>
    <row r="1056" spans="1:33" ht="16.5" customHeight="1" x14ac:dyDescent="0.2">
      <c r="A1056" s="2" t="s">
        <v>31</v>
      </c>
      <c r="B1056" s="5" t="s">
        <v>54</v>
      </c>
      <c r="C1056" s="5"/>
      <c r="D1056" s="5"/>
      <c r="E1056" s="6" t="s">
        <v>33</v>
      </c>
      <c r="F1056" s="6"/>
      <c r="G1056" s="7" t="s">
        <v>2161</v>
      </c>
      <c r="H1056" s="7"/>
      <c r="I1056" s="7"/>
      <c r="J1056" s="3" t="s">
        <v>35</v>
      </c>
      <c r="K1056" s="4" t="s">
        <v>414</v>
      </c>
      <c r="L1056" s="4" t="s">
        <v>93</v>
      </c>
      <c r="N1056" s="7" t="s">
        <v>2300</v>
      </c>
      <c r="O1056" s="7"/>
      <c r="P1056" s="7" t="s">
        <v>2301</v>
      </c>
      <c r="Q1056" s="7"/>
      <c r="R1056" s="7"/>
      <c r="S1056" s="3" t="s">
        <v>40</v>
      </c>
      <c r="T1056" s="7" t="s">
        <v>41</v>
      </c>
      <c r="U1056" s="7"/>
      <c r="V1056" s="4" t="s">
        <v>42</v>
      </c>
      <c r="W1056" s="4" t="s">
        <v>58</v>
      </c>
      <c r="X1056" s="4" t="s">
        <v>59</v>
      </c>
      <c r="Y1056" s="7" t="s">
        <v>197</v>
      </c>
      <c r="Z1056" s="7"/>
      <c r="AA1056" s="4" t="s">
        <v>46</v>
      </c>
      <c r="AB1056" s="4" t="s">
        <v>47</v>
      </c>
      <c r="AC1056" s="4" t="s">
        <v>136</v>
      </c>
      <c r="AD1056" s="4" t="s">
        <v>148</v>
      </c>
      <c r="AE1056" s="4" t="s">
        <v>48</v>
      </c>
      <c r="AF1056" s="4" t="s">
        <v>41</v>
      </c>
      <c r="AG1056" s="4" t="s">
        <v>2164</v>
      </c>
    </row>
    <row r="1057" spans="1:33" ht="16.5" customHeight="1" x14ac:dyDescent="0.2">
      <c r="A1057" s="2" t="s">
        <v>31</v>
      </c>
      <c r="B1057" s="5" t="s">
        <v>54</v>
      </c>
      <c r="C1057" s="5"/>
      <c r="D1057" s="5"/>
      <c r="E1057" s="6" t="s">
        <v>33</v>
      </c>
      <c r="F1057" s="6"/>
      <c r="G1057" s="7" t="s">
        <v>2161</v>
      </c>
      <c r="H1057" s="7"/>
      <c r="I1057" s="7"/>
      <c r="J1057" s="3" t="s">
        <v>35</v>
      </c>
      <c r="K1057" s="4" t="s">
        <v>55</v>
      </c>
      <c r="L1057" s="4" t="s">
        <v>37</v>
      </c>
      <c r="N1057" s="7" t="s">
        <v>2302</v>
      </c>
      <c r="O1057" s="7"/>
      <c r="P1057" s="7" t="s">
        <v>2303</v>
      </c>
      <c r="Q1057" s="7"/>
      <c r="R1057" s="7"/>
      <c r="S1057" s="3" t="s">
        <v>40</v>
      </c>
      <c r="T1057" s="7" t="s">
        <v>41</v>
      </c>
      <c r="U1057" s="7"/>
      <c r="V1057" s="4" t="s">
        <v>42</v>
      </c>
      <c r="W1057" s="4" t="s">
        <v>58</v>
      </c>
      <c r="X1057" s="4" t="s">
        <v>59</v>
      </c>
      <c r="Y1057" s="7" t="s">
        <v>60</v>
      </c>
      <c r="Z1057" s="7"/>
      <c r="AA1057" s="4" t="s">
        <v>46</v>
      </c>
      <c r="AB1057" s="4" t="s">
        <v>47</v>
      </c>
      <c r="AC1057" s="4" t="s">
        <v>61</v>
      </c>
      <c r="AD1057" s="4" t="s">
        <v>62</v>
      </c>
      <c r="AE1057" s="4" t="s">
        <v>48</v>
      </c>
      <c r="AF1057" s="4" t="s">
        <v>41</v>
      </c>
      <c r="AG1057" s="4" t="s">
        <v>2164</v>
      </c>
    </row>
    <row r="1058" spans="1:33" ht="0.75" customHeight="1" x14ac:dyDescent="0.2"/>
    <row r="1059" spans="1:33" ht="12" customHeight="1" x14ac:dyDescent="0.2"/>
    <row r="1060" spans="1:33" ht="16.5" customHeight="1" x14ac:dyDescent="0.2">
      <c r="A1060" s="2" t="s">
        <v>31</v>
      </c>
      <c r="B1060" s="5" t="s">
        <v>54</v>
      </c>
      <c r="C1060" s="5"/>
      <c r="D1060" s="5"/>
      <c r="E1060" s="6" t="s">
        <v>33</v>
      </c>
      <c r="F1060" s="6"/>
      <c r="G1060" s="7" t="s">
        <v>2161</v>
      </c>
      <c r="H1060" s="7"/>
      <c r="I1060" s="7"/>
      <c r="J1060" s="3" t="s">
        <v>35</v>
      </c>
      <c r="K1060" s="4" t="s">
        <v>414</v>
      </c>
      <c r="L1060" s="4" t="s">
        <v>37</v>
      </c>
      <c r="N1060" s="7" t="s">
        <v>2304</v>
      </c>
      <c r="O1060" s="7"/>
      <c r="P1060" s="7" t="s">
        <v>2305</v>
      </c>
      <c r="Q1060" s="7"/>
      <c r="R1060" s="7"/>
      <c r="S1060" s="3" t="s">
        <v>40</v>
      </c>
      <c r="T1060" s="7" t="s">
        <v>41</v>
      </c>
      <c r="U1060" s="7"/>
      <c r="V1060" s="4" t="s">
        <v>42</v>
      </c>
      <c r="W1060" s="4" t="s">
        <v>58</v>
      </c>
      <c r="X1060" s="4" t="s">
        <v>59</v>
      </c>
      <c r="Y1060" s="7" t="s">
        <v>197</v>
      </c>
      <c r="Z1060" s="7"/>
      <c r="AA1060" s="4" t="s">
        <v>46</v>
      </c>
      <c r="AB1060" s="4" t="s">
        <v>47</v>
      </c>
      <c r="AC1060" s="4" t="s">
        <v>136</v>
      </c>
      <c r="AD1060" s="4" t="s">
        <v>137</v>
      </c>
      <c r="AE1060" s="4" t="s">
        <v>48</v>
      </c>
      <c r="AF1060" s="4" t="s">
        <v>41</v>
      </c>
      <c r="AG1060" s="4" t="s">
        <v>2164</v>
      </c>
    </row>
    <row r="1061" spans="1:33" ht="16.5" customHeight="1" x14ac:dyDescent="0.2">
      <c r="A1061" s="2" t="s">
        <v>31</v>
      </c>
      <c r="B1061" s="5" t="s">
        <v>54</v>
      </c>
      <c r="C1061" s="5"/>
      <c r="D1061" s="5"/>
      <c r="E1061" s="6" t="s">
        <v>33</v>
      </c>
      <c r="F1061" s="6"/>
      <c r="G1061" s="7" t="s">
        <v>2161</v>
      </c>
      <c r="H1061" s="7"/>
      <c r="I1061" s="7"/>
      <c r="J1061" s="3" t="s">
        <v>35</v>
      </c>
      <c r="K1061" s="4" t="s">
        <v>267</v>
      </c>
      <c r="L1061" s="4" t="s">
        <v>37</v>
      </c>
      <c r="N1061" s="7" t="s">
        <v>2306</v>
      </c>
      <c r="O1061" s="7"/>
      <c r="P1061" s="7" t="s">
        <v>2307</v>
      </c>
      <c r="Q1061" s="7"/>
      <c r="R1061" s="7"/>
      <c r="S1061" s="3" t="s">
        <v>40</v>
      </c>
      <c r="T1061" s="7" t="s">
        <v>41</v>
      </c>
      <c r="U1061" s="7"/>
      <c r="V1061" s="4" t="s">
        <v>42</v>
      </c>
      <c r="W1061" s="4" t="s">
        <v>58</v>
      </c>
      <c r="X1061" s="4" t="s">
        <v>59</v>
      </c>
      <c r="Y1061" s="7" t="s">
        <v>78</v>
      </c>
      <c r="Z1061" s="7"/>
      <c r="AA1061" s="4" t="s">
        <v>46</v>
      </c>
      <c r="AB1061" s="4" t="s">
        <v>47</v>
      </c>
      <c r="AC1061" s="4" t="s">
        <v>79</v>
      </c>
      <c r="AD1061" s="4" t="s">
        <v>80</v>
      </c>
      <c r="AE1061" s="4" t="s">
        <v>48</v>
      </c>
      <c r="AF1061" s="4" t="s">
        <v>41</v>
      </c>
      <c r="AG1061" s="4" t="s">
        <v>2164</v>
      </c>
    </row>
    <row r="1062" spans="1:33" ht="16.5" customHeight="1" x14ac:dyDescent="0.2">
      <c r="A1062" s="2" t="s">
        <v>31</v>
      </c>
      <c r="B1062" s="5" t="s">
        <v>54</v>
      </c>
      <c r="C1062" s="5"/>
      <c r="D1062" s="5"/>
      <c r="E1062" s="6" t="s">
        <v>33</v>
      </c>
      <c r="F1062" s="6"/>
      <c r="G1062" s="7" t="s">
        <v>2161</v>
      </c>
      <c r="H1062" s="7"/>
      <c r="I1062" s="7"/>
      <c r="J1062" s="3" t="s">
        <v>35</v>
      </c>
      <c r="K1062" s="4" t="s">
        <v>414</v>
      </c>
      <c r="L1062" s="4" t="s">
        <v>37</v>
      </c>
      <c r="N1062" s="7" t="s">
        <v>2308</v>
      </c>
      <c r="O1062" s="7"/>
      <c r="P1062" s="7" t="s">
        <v>2309</v>
      </c>
      <c r="Q1062" s="7"/>
      <c r="R1062" s="7"/>
      <c r="S1062" s="3" t="s">
        <v>40</v>
      </c>
      <c r="T1062" s="7" t="s">
        <v>41</v>
      </c>
      <c r="U1062" s="7"/>
      <c r="V1062" s="4" t="s">
        <v>42</v>
      </c>
      <c r="W1062" s="4" t="s">
        <v>58</v>
      </c>
      <c r="X1062" s="4" t="s">
        <v>59</v>
      </c>
      <c r="Y1062" s="7" t="s">
        <v>197</v>
      </c>
      <c r="Z1062" s="7"/>
      <c r="AA1062" s="4" t="s">
        <v>46</v>
      </c>
      <c r="AB1062" s="4" t="s">
        <v>47</v>
      </c>
      <c r="AC1062" s="4" t="s">
        <v>136</v>
      </c>
      <c r="AD1062" s="4" t="s">
        <v>137</v>
      </c>
      <c r="AE1062" s="4" t="s">
        <v>48</v>
      </c>
      <c r="AF1062" s="4" t="s">
        <v>41</v>
      </c>
      <c r="AG1062" s="4" t="s">
        <v>2164</v>
      </c>
    </row>
    <row r="1063" spans="1:33" ht="16.5" customHeight="1" x14ac:dyDescent="0.2">
      <c r="A1063" s="2" t="s">
        <v>31</v>
      </c>
      <c r="B1063" s="5" t="s">
        <v>54</v>
      </c>
      <c r="C1063" s="5"/>
      <c r="D1063" s="5"/>
      <c r="E1063" s="6" t="s">
        <v>33</v>
      </c>
      <c r="F1063" s="6"/>
      <c r="G1063" s="7" t="s">
        <v>2161</v>
      </c>
      <c r="H1063" s="7"/>
      <c r="I1063" s="7"/>
      <c r="J1063" s="3" t="s">
        <v>35</v>
      </c>
      <c r="K1063" s="4" t="s">
        <v>55</v>
      </c>
      <c r="L1063" s="4" t="s">
        <v>37</v>
      </c>
      <c r="N1063" s="7" t="s">
        <v>2310</v>
      </c>
      <c r="O1063" s="7"/>
      <c r="P1063" s="7" t="s">
        <v>2311</v>
      </c>
      <c r="Q1063" s="7"/>
      <c r="R1063" s="7"/>
      <c r="S1063" s="3" t="s">
        <v>40</v>
      </c>
      <c r="T1063" s="7" t="s">
        <v>41</v>
      </c>
      <c r="U1063" s="7"/>
      <c r="V1063" s="4" t="s">
        <v>42</v>
      </c>
      <c r="W1063" s="4" t="s">
        <v>58</v>
      </c>
      <c r="X1063" s="4" t="s">
        <v>59</v>
      </c>
      <c r="Y1063" s="7" t="s">
        <v>60</v>
      </c>
      <c r="Z1063" s="7"/>
      <c r="AA1063" s="4" t="s">
        <v>46</v>
      </c>
      <c r="AB1063" s="4" t="s">
        <v>47</v>
      </c>
      <c r="AC1063" s="4" t="s">
        <v>61</v>
      </c>
      <c r="AD1063" s="4" t="s">
        <v>62</v>
      </c>
      <c r="AE1063" s="4" t="s">
        <v>48</v>
      </c>
      <c r="AF1063" s="4" t="s">
        <v>41</v>
      </c>
      <c r="AG1063" s="4" t="s">
        <v>2164</v>
      </c>
    </row>
    <row r="1064" spans="1:33" ht="16.5" customHeight="1" x14ac:dyDescent="0.2">
      <c r="A1064" s="2" t="s">
        <v>31</v>
      </c>
      <c r="B1064" s="5" t="s">
        <v>54</v>
      </c>
      <c r="C1064" s="5"/>
      <c r="D1064" s="5"/>
      <c r="E1064" s="6" t="s">
        <v>33</v>
      </c>
      <c r="F1064" s="6"/>
      <c r="G1064" s="7" t="s">
        <v>2161</v>
      </c>
      <c r="H1064" s="7"/>
      <c r="I1064" s="7"/>
      <c r="J1064" s="3" t="s">
        <v>35</v>
      </c>
      <c r="K1064" s="4" t="s">
        <v>73</v>
      </c>
      <c r="L1064" s="4" t="s">
        <v>37</v>
      </c>
      <c r="N1064" s="7" t="s">
        <v>2312</v>
      </c>
      <c r="O1064" s="7"/>
      <c r="P1064" s="7" t="s">
        <v>2313</v>
      </c>
      <c r="Q1064" s="7"/>
      <c r="R1064" s="7"/>
      <c r="S1064" s="3" t="s">
        <v>40</v>
      </c>
      <c r="T1064" s="7" t="s">
        <v>41</v>
      </c>
      <c r="U1064" s="7"/>
      <c r="V1064" s="4" t="s">
        <v>42</v>
      </c>
      <c r="W1064" s="4" t="s">
        <v>58</v>
      </c>
      <c r="X1064" s="4" t="s">
        <v>59</v>
      </c>
      <c r="Y1064" s="7" t="s">
        <v>78</v>
      </c>
      <c r="Z1064" s="7"/>
      <c r="AA1064" s="4" t="s">
        <v>46</v>
      </c>
      <c r="AB1064" s="4" t="s">
        <v>47</v>
      </c>
      <c r="AC1064" s="4" t="s">
        <v>79</v>
      </c>
      <c r="AD1064" s="4" t="s">
        <v>80</v>
      </c>
      <c r="AE1064" s="4" t="s">
        <v>48</v>
      </c>
      <c r="AF1064" s="4" t="s">
        <v>41</v>
      </c>
      <c r="AG1064" s="4" t="s">
        <v>2164</v>
      </c>
    </row>
    <row r="1065" spans="1:33" ht="16.5" customHeight="1" x14ac:dyDescent="0.2">
      <c r="A1065" s="2" t="s">
        <v>31</v>
      </c>
      <c r="B1065" s="5" t="s">
        <v>54</v>
      </c>
      <c r="C1065" s="5"/>
      <c r="D1065" s="5"/>
      <c r="E1065" s="6" t="s">
        <v>33</v>
      </c>
      <c r="F1065" s="6"/>
      <c r="G1065" s="7" t="s">
        <v>2161</v>
      </c>
      <c r="H1065" s="7"/>
      <c r="I1065" s="7"/>
      <c r="J1065" s="3" t="s">
        <v>35</v>
      </c>
      <c r="K1065" s="4" t="s">
        <v>245</v>
      </c>
      <c r="L1065" s="4" t="s">
        <v>37</v>
      </c>
      <c r="N1065" s="7" t="s">
        <v>2314</v>
      </c>
      <c r="O1065" s="7"/>
      <c r="P1065" s="7" t="s">
        <v>2315</v>
      </c>
      <c r="Q1065" s="7"/>
      <c r="R1065" s="7"/>
      <c r="S1065" s="3" t="s">
        <v>40</v>
      </c>
      <c r="T1065" s="7" t="s">
        <v>41</v>
      </c>
      <c r="U1065" s="7"/>
      <c r="V1065" s="4" t="s">
        <v>42</v>
      </c>
      <c r="W1065" s="4" t="s">
        <v>51</v>
      </c>
      <c r="X1065" s="4" t="s">
        <v>128</v>
      </c>
      <c r="Y1065" s="7" t="s">
        <v>78</v>
      </c>
      <c r="Z1065" s="7"/>
      <c r="AA1065" s="4" t="s">
        <v>46</v>
      </c>
      <c r="AB1065" s="4" t="s">
        <v>47</v>
      </c>
      <c r="AC1065" s="4" t="s">
        <v>79</v>
      </c>
      <c r="AD1065" s="4" t="s">
        <v>80</v>
      </c>
      <c r="AE1065" s="4" t="s">
        <v>48</v>
      </c>
      <c r="AF1065" s="4" t="s">
        <v>41</v>
      </c>
      <c r="AG1065" s="4" t="s">
        <v>2164</v>
      </c>
    </row>
    <row r="1066" spans="1:33" ht="16.5" customHeight="1" x14ac:dyDescent="0.2">
      <c r="A1066" s="2" t="s">
        <v>31</v>
      </c>
      <c r="B1066" s="5" t="s">
        <v>54</v>
      </c>
      <c r="C1066" s="5"/>
      <c r="D1066" s="5"/>
      <c r="E1066" s="6" t="s">
        <v>33</v>
      </c>
      <c r="F1066" s="6"/>
      <c r="G1066" s="7" t="s">
        <v>2161</v>
      </c>
      <c r="H1066" s="7"/>
      <c r="I1066" s="7"/>
      <c r="J1066" s="3" t="s">
        <v>35</v>
      </c>
      <c r="K1066" s="4" t="s">
        <v>92</v>
      </c>
      <c r="L1066" s="4" t="s">
        <v>37</v>
      </c>
      <c r="N1066" s="7" t="s">
        <v>2316</v>
      </c>
      <c r="O1066" s="7"/>
      <c r="P1066" s="7" t="s">
        <v>2317</v>
      </c>
      <c r="Q1066" s="7"/>
      <c r="R1066" s="7"/>
      <c r="S1066" s="3" t="s">
        <v>40</v>
      </c>
      <c r="T1066" s="7" t="s">
        <v>41</v>
      </c>
      <c r="U1066" s="7"/>
      <c r="V1066" s="4" t="s">
        <v>42</v>
      </c>
      <c r="W1066" s="4" t="s">
        <v>51</v>
      </c>
      <c r="X1066" s="4" t="s">
        <v>128</v>
      </c>
      <c r="Y1066" s="7" t="s">
        <v>78</v>
      </c>
      <c r="Z1066" s="7"/>
      <c r="AA1066" s="4" t="s">
        <v>46</v>
      </c>
      <c r="AB1066" s="4" t="s">
        <v>47</v>
      </c>
      <c r="AC1066" s="4" t="s">
        <v>79</v>
      </c>
      <c r="AD1066" s="4" t="s">
        <v>80</v>
      </c>
      <c r="AE1066" s="4" t="s">
        <v>48</v>
      </c>
      <c r="AF1066" s="4" t="s">
        <v>41</v>
      </c>
      <c r="AG1066" s="4" t="s">
        <v>2164</v>
      </c>
    </row>
    <row r="1067" spans="1:33" ht="16.5" customHeight="1" x14ac:dyDescent="0.2">
      <c r="A1067" s="2" t="s">
        <v>31</v>
      </c>
      <c r="B1067" s="5" t="s">
        <v>54</v>
      </c>
      <c r="C1067" s="5"/>
      <c r="D1067" s="5"/>
      <c r="E1067" s="6" t="s">
        <v>33</v>
      </c>
      <c r="F1067" s="6"/>
      <c r="G1067" s="7" t="s">
        <v>2161</v>
      </c>
      <c r="H1067" s="7"/>
      <c r="I1067" s="7"/>
      <c r="J1067" s="3" t="s">
        <v>35</v>
      </c>
      <c r="K1067" s="4" t="s">
        <v>202</v>
      </c>
      <c r="L1067" s="4" t="s">
        <v>37</v>
      </c>
      <c r="N1067" s="7" t="s">
        <v>2318</v>
      </c>
      <c r="O1067" s="7"/>
      <c r="P1067" s="7" t="s">
        <v>2319</v>
      </c>
      <c r="Q1067" s="7"/>
      <c r="R1067" s="7"/>
      <c r="S1067" s="3" t="s">
        <v>40</v>
      </c>
      <c r="T1067" s="7" t="s">
        <v>41</v>
      </c>
      <c r="U1067" s="7"/>
      <c r="V1067" s="4" t="s">
        <v>42</v>
      </c>
      <c r="W1067" s="4" t="s">
        <v>51</v>
      </c>
      <c r="X1067" s="4" t="s">
        <v>128</v>
      </c>
      <c r="Y1067" s="7" t="s">
        <v>197</v>
      </c>
      <c r="Z1067" s="7"/>
      <c r="AA1067" s="4" t="s">
        <v>46</v>
      </c>
      <c r="AB1067" s="4" t="s">
        <v>47</v>
      </c>
      <c r="AC1067" s="4" t="s">
        <v>136</v>
      </c>
      <c r="AD1067" s="4" t="s">
        <v>137</v>
      </c>
      <c r="AE1067" s="4" t="s">
        <v>48</v>
      </c>
      <c r="AF1067" s="4" t="s">
        <v>41</v>
      </c>
      <c r="AG1067" s="4" t="s">
        <v>2164</v>
      </c>
    </row>
    <row r="1068" spans="1:33" ht="16.5" customHeight="1" x14ac:dyDescent="0.2">
      <c r="A1068" s="2" t="s">
        <v>31</v>
      </c>
      <c r="B1068" s="5" t="s">
        <v>54</v>
      </c>
      <c r="C1068" s="5"/>
      <c r="D1068" s="5"/>
      <c r="E1068" s="6" t="s">
        <v>33</v>
      </c>
      <c r="F1068" s="6"/>
      <c r="G1068" s="7" t="s">
        <v>2161</v>
      </c>
      <c r="H1068" s="7"/>
      <c r="I1068" s="7"/>
      <c r="J1068" s="3" t="s">
        <v>35</v>
      </c>
      <c r="K1068" s="4" t="s">
        <v>387</v>
      </c>
      <c r="L1068" s="4" t="s">
        <v>93</v>
      </c>
      <c r="N1068" s="7" t="s">
        <v>2320</v>
      </c>
      <c r="O1068" s="7"/>
      <c r="P1068" s="7" t="s">
        <v>2321</v>
      </c>
      <c r="Q1068" s="7"/>
      <c r="R1068" s="7"/>
      <c r="S1068" s="3" t="s">
        <v>40</v>
      </c>
      <c r="T1068" s="7" t="s">
        <v>41</v>
      </c>
      <c r="U1068" s="7"/>
      <c r="V1068" s="4" t="s">
        <v>42</v>
      </c>
      <c r="W1068" s="4" t="s">
        <v>51</v>
      </c>
      <c r="X1068" s="4" t="s">
        <v>128</v>
      </c>
      <c r="Y1068" s="7" t="s">
        <v>197</v>
      </c>
      <c r="Z1068" s="7"/>
      <c r="AA1068" s="4" t="s">
        <v>46</v>
      </c>
      <c r="AB1068" s="4" t="s">
        <v>47</v>
      </c>
      <c r="AC1068" s="4" t="s">
        <v>136</v>
      </c>
      <c r="AD1068" s="4" t="s">
        <v>148</v>
      </c>
      <c r="AE1068" s="4" t="s">
        <v>48</v>
      </c>
      <c r="AF1068" s="4" t="s">
        <v>41</v>
      </c>
      <c r="AG1068" s="4" t="s">
        <v>2164</v>
      </c>
    </row>
    <row r="1069" spans="1:33" ht="16.5" customHeight="1" x14ac:dyDescent="0.2">
      <c r="A1069" s="2" t="s">
        <v>31</v>
      </c>
      <c r="B1069" s="5" t="s">
        <v>108</v>
      </c>
      <c r="C1069" s="5"/>
      <c r="D1069" s="5"/>
      <c r="E1069" s="6" t="s">
        <v>33</v>
      </c>
      <c r="F1069" s="6"/>
      <c r="G1069" s="7" t="s">
        <v>2161</v>
      </c>
      <c r="H1069" s="7"/>
      <c r="I1069" s="7"/>
      <c r="J1069" s="3" t="s">
        <v>35</v>
      </c>
      <c r="K1069" s="4" t="s">
        <v>1285</v>
      </c>
      <c r="N1069" s="7" t="s">
        <v>2322</v>
      </c>
      <c r="O1069" s="7"/>
      <c r="P1069" s="7" t="s">
        <v>2166</v>
      </c>
      <c r="Q1069" s="7"/>
      <c r="R1069" s="7"/>
      <c r="S1069" s="3" t="s">
        <v>40</v>
      </c>
      <c r="T1069" s="7" t="s">
        <v>2323</v>
      </c>
      <c r="U1069" s="7"/>
      <c r="V1069" s="4" t="s">
        <v>51</v>
      </c>
      <c r="W1069" s="4" t="s">
        <v>68</v>
      </c>
      <c r="X1069" s="4" t="s">
        <v>313</v>
      </c>
      <c r="Y1069" s="7" t="s">
        <v>937</v>
      </c>
      <c r="Z1069" s="7"/>
      <c r="AA1069" s="4" t="s">
        <v>46</v>
      </c>
      <c r="AB1069" s="4" t="s">
        <v>115</v>
      </c>
      <c r="AC1069" s="4" t="s">
        <v>938</v>
      </c>
      <c r="AD1069" s="4" t="s">
        <v>2324</v>
      </c>
      <c r="AE1069" s="4" t="s">
        <v>48</v>
      </c>
      <c r="AF1069" s="4" t="s">
        <v>41</v>
      </c>
      <c r="AG1069" s="4" t="s">
        <v>2164</v>
      </c>
    </row>
    <row r="1070" spans="1:33" ht="16.5" customHeight="1" x14ac:dyDescent="0.2">
      <c r="A1070" s="2" t="s">
        <v>31</v>
      </c>
      <c r="B1070" s="5" t="s">
        <v>108</v>
      </c>
      <c r="C1070" s="5"/>
      <c r="D1070" s="5"/>
      <c r="E1070" s="6" t="s">
        <v>33</v>
      </c>
      <c r="F1070" s="6"/>
      <c r="G1070" s="7" t="s">
        <v>2161</v>
      </c>
      <c r="H1070" s="7"/>
      <c r="I1070" s="7"/>
      <c r="J1070" s="3" t="s">
        <v>35</v>
      </c>
      <c r="K1070" s="4" t="s">
        <v>1285</v>
      </c>
      <c r="N1070" s="7" t="s">
        <v>2325</v>
      </c>
      <c r="O1070" s="7"/>
      <c r="P1070" s="7" t="s">
        <v>2326</v>
      </c>
      <c r="Q1070" s="7"/>
      <c r="R1070" s="7"/>
      <c r="S1070" s="3" t="s">
        <v>40</v>
      </c>
      <c r="T1070" s="7" t="s">
        <v>2327</v>
      </c>
      <c r="U1070" s="7"/>
      <c r="V1070" s="4" t="s">
        <v>51</v>
      </c>
      <c r="W1070" s="4" t="s">
        <v>172</v>
      </c>
      <c r="X1070" s="4" t="s">
        <v>59</v>
      </c>
      <c r="Y1070" s="7" t="s">
        <v>937</v>
      </c>
      <c r="Z1070" s="7"/>
      <c r="AA1070" s="4" t="s">
        <v>46</v>
      </c>
      <c r="AB1070" s="4" t="s">
        <v>115</v>
      </c>
      <c r="AC1070" s="4" t="s">
        <v>938</v>
      </c>
      <c r="AD1070" s="4" t="s">
        <v>2328</v>
      </c>
      <c r="AE1070" s="4" t="s">
        <v>48</v>
      </c>
      <c r="AF1070" s="4" t="s">
        <v>41</v>
      </c>
      <c r="AG1070" s="4" t="s">
        <v>2164</v>
      </c>
    </row>
    <row r="1071" spans="1:33" ht="16.5" customHeight="1" x14ac:dyDescent="0.2">
      <c r="A1071" s="2" t="s">
        <v>31</v>
      </c>
      <c r="B1071" s="5" t="s">
        <v>108</v>
      </c>
      <c r="C1071" s="5"/>
      <c r="D1071" s="5"/>
      <c r="E1071" s="6" t="s">
        <v>33</v>
      </c>
      <c r="F1071" s="6"/>
      <c r="G1071" s="7" t="s">
        <v>2161</v>
      </c>
      <c r="H1071" s="7"/>
      <c r="I1071" s="7"/>
      <c r="J1071" s="3" t="s">
        <v>35</v>
      </c>
      <c r="K1071" s="4" t="s">
        <v>1285</v>
      </c>
      <c r="N1071" s="7" t="s">
        <v>2329</v>
      </c>
      <c r="O1071" s="7"/>
      <c r="P1071" s="7" t="s">
        <v>2330</v>
      </c>
      <c r="Q1071" s="7"/>
      <c r="R1071" s="7"/>
      <c r="S1071" s="3" t="s">
        <v>40</v>
      </c>
      <c r="T1071" s="7" t="s">
        <v>2327</v>
      </c>
      <c r="U1071" s="7"/>
      <c r="V1071" s="4" t="s">
        <v>51</v>
      </c>
      <c r="W1071" s="4" t="s">
        <v>58</v>
      </c>
      <c r="X1071" s="4" t="s">
        <v>128</v>
      </c>
      <c r="Y1071" s="7" t="s">
        <v>937</v>
      </c>
      <c r="Z1071" s="7"/>
      <c r="AA1071" s="4" t="s">
        <v>46</v>
      </c>
      <c r="AB1071" s="4" t="s">
        <v>115</v>
      </c>
      <c r="AC1071" s="4" t="s">
        <v>938</v>
      </c>
      <c r="AD1071" s="4" t="s">
        <v>2328</v>
      </c>
      <c r="AE1071" s="4" t="s">
        <v>48</v>
      </c>
      <c r="AF1071" s="4" t="s">
        <v>41</v>
      </c>
      <c r="AG1071" s="4" t="s">
        <v>2164</v>
      </c>
    </row>
    <row r="1072" spans="1:33" ht="16.5" customHeight="1" x14ac:dyDescent="0.2">
      <c r="A1072" s="2" t="s">
        <v>31</v>
      </c>
      <c r="B1072" s="5" t="s">
        <v>108</v>
      </c>
      <c r="C1072" s="5"/>
      <c r="D1072" s="5"/>
      <c r="E1072" s="6" t="s">
        <v>33</v>
      </c>
      <c r="F1072" s="6"/>
      <c r="G1072" s="7" t="s">
        <v>2161</v>
      </c>
      <c r="H1072" s="7"/>
      <c r="I1072" s="7"/>
      <c r="J1072" s="3" t="s">
        <v>35</v>
      </c>
      <c r="K1072" s="4" t="s">
        <v>1285</v>
      </c>
      <c r="N1072" s="7" t="s">
        <v>2331</v>
      </c>
      <c r="O1072" s="7"/>
      <c r="P1072" s="7" t="s">
        <v>2332</v>
      </c>
      <c r="Q1072" s="7"/>
      <c r="R1072" s="7"/>
      <c r="S1072" s="3" t="s">
        <v>40</v>
      </c>
      <c r="T1072" s="7" t="s">
        <v>2333</v>
      </c>
      <c r="U1072" s="7"/>
      <c r="V1072" s="4" t="s">
        <v>51</v>
      </c>
      <c r="W1072" s="4" t="s">
        <v>58</v>
      </c>
      <c r="X1072" s="4" t="s">
        <v>128</v>
      </c>
      <c r="Y1072" s="7" t="s">
        <v>937</v>
      </c>
      <c r="Z1072" s="7"/>
      <c r="AA1072" s="4" t="s">
        <v>46</v>
      </c>
      <c r="AB1072" s="4" t="s">
        <v>115</v>
      </c>
      <c r="AC1072" s="4" t="s">
        <v>938</v>
      </c>
      <c r="AD1072" s="4" t="s">
        <v>2334</v>
      </c>
      <c r="AE1072" s="4" t="s">
        <v>48</v>
      </c>
      <c r="AF1072" s="4" t="s">
        <v>41</v>
      </c>
      <c r="AG1072" s="4" t="s">
        <v>2164</v>
      </c>
    </row>
    <row r="1073" spans="1:33" ht="16.5" customHeight="1" x14ac:dyDescent="0.2">
      <c r="A1073" s="2" t="s">
        <v>31</v>
      </c>
      <c r="B1073" s="5" t="s">
        <v>108</v>
      </c>
      <c r="C1073" s="5"/>
      <c r="D1073" s="5"/>
      <c r="E1073" s="6" t="s">
        <v>33</v>
      </c>
      <c r="F1073" s="6"/>
      <c r="G1073" s="7" t="s">
        <v>2161</v>
      </c>
      <c r="H1073" s="7"/>
      <c r="I1073" s="7"/>
      <c r="J1073" s="3" t="s">
        <v>35</v>
      </c>
      <c r="K1073" s="4" t="s">
        <v>398</v>
      </c>
      <c r="N1073" s="7" t="s">
        <v>2335</v>
      </c>
      <c r="O1073" s="7"/>
      <c r="P1073" s="7" t="s">
        <v>2336</v>
      </c>
      <c r="Q1073" s="7"/>
      <c r="R1073" s="7"/>
      <c r="S1073" s="3" t="s">
        <v>40</v>
      </c>
      <c r="T1073" s="7" t="s">
        <v>1263</v>
      </c>
      <c r="U1073" s="7"/>
      <c r="V1073" s="4" t="s">
        <v>51</v>
      </c>
      <c r="W1073" s="4" t="s">
        <v>58</v>
      </c>
      <c r="X1073" s="4" t="s">
        <v>128</v>
      </c>
      <c r="Y1073" s="7" t="s">
        <v>402</v>
      </c>
      <c r="Z1073" s="7"/>
      <c r="AA1073" s="4" t="s">
        <v>46</v>
      </c>
      <c r="AB1073" s="4" t="s">
        <v>115</v>
      </c>
      <c r="AC1073" s="4" t="s">
        <v>403</v>
      </c>
      <c r="AD1073" s="4" t="s">
        <v>1264</v>
      </c>
      <c r="AE1073" s="4" t="s">
        <v>48</v>
      </c>
      <c r="AF1073" s="4" t="s">
        <v>41</v>
      </c>
      <c r="AG1073" s="4" t="s">
        <v>2164</v>
      </c>
    </row>
    <row r="1074" spans="1:33" ht="16.5" customHeight="1" x14ac:dyDescent="0.2">
      <c r="A1074" s="2" t="s">
        <v>31</v>
      </c>
      <c r="B1074" s="5" t="s">
        <v>50</v>
      </c>
      <c r="C1074" s="5"/>
      <c r="D1074" s="5"/>
      <c r="E1074" s="6" t="s">
        <v>33</v>
      </c>
      <c r="F1074" s="6"/>
      <c r="G1074" s="7" t="s">
        <v>2337</v>
      </c>
      <c r="H1074" s="7"/>
      <c r="I1074" s="7"/>
      <c r="J1074" s="3" t="s">
        <v>35</v>
      </c>
      <c r="K1074" s="4" t="s">
        <v>661</v>
      </c>
      <c r="N1074" s="7" t="s">
        <v>2338</v>
      </c>
      <c r="O1074" s="7"/>
      <c r="P1074" s="7" t="s">
        <v>2339</v>
      </c>
      <c r="Q1074" s="7"/>
      <c r="R1074" s="7"/>
      <c r="S1074" s="3" t="s">
        <v>40</v>
      </c>
      <c r="T1074" s="7" t="s">
        <v>41</v>
      </c>
      <c r="U1074" s="7"/>
      <c r="V1074" s="4" t="s">
        <v>51</v>
      </c>
      <c r="W1074" s="4" t="s">
        <v>76</v>
      </c>
      <c r="X1074" s="4" t="s">
        <v>91</v>
      </c>
      <c r="Y1074" s="7" t="s">
        <v>664</v>
      </c>
      <c r="Z1074" s="7"/>
      <c r="AA1074" s="4" t="s">
        <v>46</v>
      </c>
      <c r="AB1074" s="4" t="s">
        <v>47</v>
      </c>
      <c r="AD1074" s="4" t="s">
        <v>96</v>
      </c>
      <c r="AE1074" s="4" t="s">
        <v>48</v>
      </c>
      <c r="AF1074" s="4" t="s">
        <v>41</v>
      </c>
      <c r="AG1074" s="4" t="s">
        <v>2340</v>
      </c>
    </row>
    <row r="1075" spans="1:33" ht="16.5" customHeight="1" x14ac:dyDescent="0.2">
      <c r="A1075" s="2" t="s">
        <v>31</v>
      </c>
      <c r="B1075" s="5" t="s">
        <v>50</v>
      </c>
      <c r="C1075" s="5"/>
      <c r="D1075" s="5"/>
      <c r="E1075" s="6" t="s">
        <v>33</v>
      </c>
      <c r="F1075" s="6"/>
      <c r="G1075" s="7" t="s">
        <v>2337</v>
      </c>
      <c r="H1075" s="7"/>
      <c r="I1075" s="7"/>
      <c r="J1075" s="3" t="s">
        <v>35</v>
      </c>
      <c r="K1075" s="4" t="s">
        <v>661</v>
      </c>
      <c r="N1075" s="7" t="s">
        <v>2341</v>
      </c>
      <c r="O1075" s="7"/>
      <c r="P1075" s="7" t="s">
        <v>2342</v>
      </c>
      <c r="Q1075" s="7"/>
      <c r="R1075" s="7"/>
      <c r="S1075" s="3" t="s">
        <v>40</v>
      </c>
      <c r="T1075" s="7" t="s">
        <v>41</v>
      </c>
      <c r="U1075" s="7"/>
      <c r="V1075" s="4" t="s">
        <v>51</v>
      </c>
      <c r="W1075" s="4" t="s">
        <v>90</v>
      </c>
      <c r="X1075" s="4" t="s">
        <v>103</v>
      </c>
      <c r="Y1075" s="7" t="s">
        <v>664</v>
      </c>
      <c r="Z1075" s="7"/>
      <c r="AA1075" s="4" t="s">
        <v>46</v>
      </c>
      <c r="AB1075" s="4" t="s">
        <v>47</v>
      </c>
      <c r="AD1075" s="4" t="s">
        <v>96</v>
      </c>
      <c r="AE1075" s="4" t="s">
        <v>48</v>
      </c>
      <c r="AF1075" s="4" t="s">
        <v>41</v>
      </c>
      <c r="AG1075" s="4" t="s">
        <v>2340</v>
      </c>
    </row>
    <row r="1076" spans="1:33" ht="16.5" customHeight="1" x14ac:dyDescent="0.2">
      <c r="A1076" s="2" t="s">
        <v>31</v>
      </c>
      <c r="B1076" s="5" t="s">
        <v>54</v>
      </c>
      <c r="C1076" s="5"/>
      <c r="D1076" s="5"/>
      <c r="E1076" s="6" t="s">
        <v>33</v>
      </c>
      <c r="F1076" s="6"/>
      <c r="G1076" s="7" t="s">
        <v>2337</v>
      </c>
      <c r="H1076" s="7"/>
      <c r="I1076" s="7"/>
      <c r="J1076" s="3" t="s">
        <v>35</v>
      </c>
      <c r="K1076" s="4" t="s">
        <v>143</v>
      </c>
      <c r="L1076" s="4" t="s">
        <v>37</v>
      </c>
      <c r="N1076" s="7" t="s">
        <v>2343</v>
      </c>
      <c r="O1076" s="7"/>
      <c r="P1076" s="7" t="s">
        <v>2344</v>
      </c>
      <c r="Q1076" s="7"/>
      <c r="R1076" s="7"/>
      <c r="S1076" s="3" t="s">
        <v>40</v>
      </c>
      <c r="T1076" s="7" t="s">
        <v>41</v>
      </c>
      <c r="U1076" s="7"/>
      <c r="V1076" s="4" t="s">
        <v>42</v>
      </c>
      <c r="W1076" s="4" t="s">
        <v>1972</v>
      </c>
      <c r="X1076" s="4" t="s">
        <v>1973</v>
      </c>
      <c r="Y1076" s="7" t="s">
        <v>135</v>
      </c>
      <c r="Z1076" s="7"/>
      <c r="AA1076" s="4" t="s">
        <v>46</v>
      </c>
      <c r="AB1076" s="4" t="s">
        <v>47</v>
      </c>
      <c r="AC1076" s="4" t="s">
        <v>136</v>
      </c>
      <c r="AD1076" s="4" t="s">
        <v>137</v>
      </c>
      <c r="AE1076" s="4" t="s">
        <v>48</v>
      </c>
      <c r="AF1076" s="4" t="s">
        <v>41</v>
      </c>
      <c r="AG1076" s="4" t="s">
        <v>2340</v>
      </c>
    </row>
    <row r="1077" spans="1:33" ht="16.5" customHeight="1" x14ac:dyDescent="0.2">
      <c r="A1077" s="2" t="s">
        <v>31</v>
      </c>
      <c r="B1077" s="5" t="s">
        <v>54</v>
      </c>
      <c r="C1077" s="5"/>
      <c r="D1077" s="5"/>
      <c r="E1077" s="6" t="s">
        <v>33</v>
      </c>
      <c r="F1077" s="6"/>
      <c r="G1077" s="7" t="s">
        <v>2337</v>
      </c>
      <c r="H1077" s="7"/>
      <c r="I1077" s="7"/>
      <c r="J1077" s="3" t="s">
        <v>35</v>
      </c>
      <c r="K1077" s="4" t="s">
        <v>202</v>
      </c>
      <c r="L1077" s="4" t="s">
        <v>37</v>
      </c>
      <c r="N1077" s="7" t="s">
        <v>2345</v>
      </c>
      <c r="O1077" s="7"/>
      <c r="P1077" s="7" t="s">
        <v>2346</v>
      </c>
      <c r="Q1077" s="7"/>
      <c r="R1077" s="7"/>
      <c r="S1077" s="3" t="s">
        <v>40</v>
      </c>
      <c r="T1077" s="7" t="s">
        <v>41</v>
      </c>
      <c r="U1077" s="7"/>
      <c r="V1077" s="4" t="s">
        <v>42</v>
      </c>
      <c r="W1077" s="4" t="s">
        <v>58</v>
      </c>
      <c r="X1077" s="4" t="s">
        <v>59</v>
      </c>
      <c r="Y1077" s="7" t="s">
        <v>197</v>
      </c>
      <c r="Z1077" s="7"/>
      <c r="AA1077" s="4" t="s">
        <v>46</v>
      </c>
      <c r="AB1077" s="4" t="s">
        <v>47</v>
      </c>
      <c r="AC1077" s="4" t="s">
        <v>136</v>
      </c>
      <c r="AD1077" s="4" t="s">
        <v>137</v>
      </c>
      <c r="AE1077" s="4" t="s">
        <v>48</v>
      </c>
      <c r="AF1077" s="4" t="s">
        <v>41</v>
      </c>
      <c r="AG1077" s="4" t="s">
        <v>2340</v>
      </c>
    </row>
    <row r="1078" spans="1:33" ht="16.5" customHeight="1" x14ac:dyDescent="0.2">
      <c r="A1078" s="2" t="s">
        <v>31</v>
      </c>
      <c r="B1078" s="5" t="s">
        <v>54</v>
      </c>
      <c r="C1078" s="5"/>
      <c r="D1078" s="5"/>
      <c r="E1078" s="6" t="s">
        <v>33</v>
      </c>
      <c r="F1078" s="6"/>
      <c r="G1078" s="7" t="s">
        <v>2337</v>
      </c>
      <c r="H1078" s="7"/>
      <c r="I1078" s="7"/>
      <c r="J1078" s="3" t="s">
        <v>35</v>
      </c>
      <c r="K1078" s="4" t="s">
        <v>92</v>
      </c>
      <c r="L1078" s="4" t="s">
        <v>37</v>
      </c>
      <c r="N1078" s="7" t="s">
        <v>2347</v>
      </c>
      <c r="O1078" s="7"/>
      <c r="P1078" s="7" t="s">
        <v>2348</v>
      </c>
      <c r="Q1078" s="7"/>
      <c r="R1078" s="7"/>
      <c r="S1078" s="3" t="s">
        <v>40</v>
      </c>
      <c r="T1078" s="7" t="s">
        <v>41</v>
      </c>
      <c r="U1078" s="7"/>
      <c r="V1078" s="4" t="s">
        <v>42</v>
      </c>
      <c r="W1078" s="4" t="s">
        <v>355</v>
      </c>
      <c r="X1078" s="4" t="s">
        <v>344</v>
      </c>
      <c r="Y1078" s="7" t="s">
        <v>78</v>
      </c>
      <c r="Z1078" s="7"/>
      <c r="AA1078" s="4" t="s">
        <v>46</v>
      </c>
      <c r="AB1078" s="4" t="s">
        <v>47</v>
      </c>
      <c r="AC1078" s="4" t="s">
        <v>136</v>
      </c>
      <c r="AD1078" s="4" t="s">
        <v>137</v>
      </c>
      <c r="AE1078" s="4" t="s">
        <v>48</v>
      </c>
      <c r="AF1078" s="4" t="s">
        <v>41</v>
      </c>
      <c r="AG1078" s="4" t="s">
        <v>2340</v>
      </c>
    </row>
    <row r="1079" spans="1:33" ht="16.5" customHeight="1" x14ac:dyDescent="0.2">
      <c r="A1079" s="2" t="s">
        <v>31</v>
      </c>
      <c r="B1079" s="5" t="s">
        <v>54</v>
      </c>
      <c r="C1079" s="5"/>
      <c r="D1079" s="5"/>
      <c r="E1079" s="6" t="s">
        <v>33</v>
      </c>
      <c r="F1079" s="6"/>
      <c r="G1079" s="7" t="s">
        <v>2337</v>
      </c>
      <c r="H1079" s="7"/>
      <c r="I1079" s="7"/>
      <c r="J1079" s="3" t="s">
        <v>35</v>
      </c>
      <c r="K1079" s="4" t="s">
        <v>55</v>
      </c>
      <c r="L1079" s="4" t="s">
        <v>37</v>
      </c>
      <c r="N1079" s="7" t="s">
        <v>2349</v>
      </c>
      <c r="O1079" s="7"/>
      <c r="P1079" s="7" t="s">
        <v>2350</v>
      </c>
      <c r="Q1079" s="7"/>
      <c r="R1079" s="7"/>
      <c r="S1079" s="3" t="s">
        <v>40</v>
      </c>
      <c r="T1079" s="7" t="s">
        <v>41</v>
      </c>
      <c r="U1079" s="7"/>
      <c r="V1079" s="4" t="s">
        <v>42</v>
      </c>
      <c r="W1079" s="4" t="s">
        <v>200</v>
      </c>
      <c r="X1079" s="4" t="s">
        <v>201</v>
      </c>
      <c r="Y1079" s="7" t="s">
        <v>60</v>
      </c>
      <c r="Z1079" s="7"/>
      <c r="AA1079" s="4" t="s">
        <v>46</v>
      </c>
      <c r="AB1079" s="4" t="s">
        <v>47</v>
      </c>
      <c r="AC1079" s="4" t="s">
        <v>79</v>
      </c>
      <c r="AD1079" s="4" t="s">
        <v>80</v>
      </c>
      <c r="AE1079" s="4" t="s">
        <v>48</v>
      </c>
      <c r="AF1079" s="4" t="s">
        <v>41</v>
      </c>
      <c r="AG1079" s="4" t="s">
        <v>2340</v>
      </c>
    </row>
    <row r="1080" spans="1:33" ht="16.5" customHeight="1" x14ac:dyDescent="0.2">
      <c r="A1080" s="2" t="s">
        <v>31</v>
      </c>
      <c r="B1080" s="5" t="s">
        <v>54</v>
      </c>
      <c r="C1080" s="5"/>
      <c r="D1080" s="5"/>
      <c r="E1080" s="6" t="s">
        <v>33</v>
      </c>
      <c r="F1080" s="6"/>
      <c r="G1080" s="7" t="s">
        <v>2337</v>
      </c>
      <c r="H1080" s="7"/>
      <c r="I1080" s="7"/>
      <c r="J1080" s="3" t="s">
        <v>35</v>
      </c>
      <c r="K1080" s="4" t="s">
        <v>149</v>
      </c>
      <c r="L1080" s="4" t="s">
        <v>37</v>
      </c>
      <c r="N1080" s="7" t="s">
        <v>2351</v>
      </c>
      <c r="O1080" s="7"/>
      <c r="P1080" s="7" t="s">
        <v>2352</v>
      </c>
      <c r="Q1080" s="7"/>
      <c r="R1080" s="7"/>
      <c r="S1080" s="3" t="s">
        <v>40</v>
      </c>
      <c r="T1080" s="7" t="s">
        <v>41</v>
      </c>
      <c r="U1080" s="7"/>
      <c r="V1080" s="4" t="s">
        <v>42</v>
      </c>
      <c r="W1080" s="4" t="s">
        <v>417</v>
      </c>
      <c r="X1080" s="4" t="s">
        <v>418</v>
      </c>
      <c r="Y1080" s="7" t="s">
        <v>78</v>
      </c>
      <c r="Z1080" s="7"/>
      <c r="AA1080" s="4" t="s">
        <v>46</v>
      </c>
      <c r="AB1080" s="4" t="s">
        <v>47</v>
      </c>
      <c r="AC1080" s="4" t="s">
        <v>136</v>
      </c>
      <c r="AD1080" s="4" t="s">
        <v>137</v>
      </c>
      <c r="AE1080" s="4" t="s">
        <v>48</v>
      </c>
      <c r="AF1080" s="4" t="s">
        <v>41</v>
      </c>
      <c r="AG1080" s="4" t="s">
        <v>2340</v>
      </c>
    </row>
    <row r="1081" spans="1:33" ht="16.5" customHeight="1" x14ac:dyDescent="0.2">
      <c r="A1081" s="2" t="s">
        <v>31</v>
      </c>
      <c r="B1081" s="5" t="s">
        <v>54</v>
      </c>
      <c r="C1081" s="5"/>
      <c r="D1081" s="5"/>
      <c r="E1081" s="6" t="s">
        <v>33</v>
      </c>
      <c r="F1081" s="6"/>
      <c r="G1081" s="7" t="s">
        <v>2337</v>
      </c>
      <c r="H1081" s="7"/>
      <c r="I1081" s="7"/>
      <c r="J1081" s="3" t="s">
        <v>35</v>
      </c>
      <c r="K1081" s="4" t="s">
        <v>149</v>
      </c>
      <c r="L1081" s="4" t="s">
        <v>37</v>
      </c>
      <c r="N1081" s="7" t="s">
        <v>2351</v>
      </c>
      <c r="O1081" s="7"/>
      <c r="P1081" s="7" t="s">
        <v>2352</v>
      </c>
      <c r="Q1081" s="7"/>
      <c r="R1081" s="7"/>
      <c r="S1081" s="3" t="s">
        <v>40</v>
      </c>
      <c r="T1081" s="7" t="s">
        <v>41</v>
      </c>
      <c r="U1081" s="7"/>
      <c r="V1081" s="4" t="s">
        <v>51</v>
      </c>
      <c r="W1081" s="4" t="s">
        <v>417</v>
      </c>
      <c r="X1081" s="4" t="s">
        <v>2353</v>
      </c>
      <c r="Y1081" s="7" t="s">
        <v>78</v>
      </c>
      <c r="Z1081" s="7"/>
      <c r="AA1081" s="4" t="s">
        <v>46</v>
      </c>
      <c r="AB1081" s="4" t="s">
        <v>47</v>
      </c>
      <c r="AC1081" s="4" t="s">
        <v>136</v>
      </c>
      <c r="AD1081" s="4" t="s">
        <v>137</v>
      </c>
      <c r="AE1081" s="4" t="s">
        <v>48</v>
      </c>
      <c r="AF1081" s="4" t="s">
        <v>41</v>
      </c>
      <c r="AG1081" s="4" t="s">
        <v>2340</v>
      </c>
    </row>
    <row r="1082" spans="1:33" ht="16.5" customHeight="1" x14ac:dyDescent="0.2">
      <c r="A1082" s="2" t="s">
        <v>31</v>
      </c>
      <c r="B1082" s="5" t="s">
        <v>54</v>
      </c>
      <c r="C1082" s="5"/>
      <c r="D1082" s="5"/>
      <c r="E1082" s="6" t="s">
        <v>33</v>
      </c>
      <c r="F1082" s="6"/>
      <c r="G1082" s="7" t="s">
        <v>2337</v>
      </c>
      <c r="H1082" s="7"/>
      <c r="I1082" s="7"/>
      <c r="J1082" s="3" t="s">
        <v>35</v>
      </c>
      <c r="K1082" s="4" t="s">
        <v>248</v>
      </c>
      <c r="L1082" s="4" t="s">
        <v>37</v>
      </c>
      <c r="N1082" s="7" t="s">
        <v>2354</v>
      </c>
      <c r="O1082" s="7"/>
      <c r="P1082" s="7" t="s">
        <v>2355</v>
      </c>
      <c r="Q1082" s="7"/>
      <c r="R1082" s="7"/>
      <c r="S1082" s="3" t="s">
        <v>40</v>
      </c>
      <c r="T1082" s="7" t="s">
        <v>41</v>
      </c>
      <c r="U1082" s="7"/>
      <c r="V1082" s="4" t="s">
        <v>42</v>
      </c>
      <c r="W1082" s="4" t="s">
        <v>58</v>
      </c>
      <c r="X1082" s="4" t="s">
        <v>59</v>
      </c>
      <c r="Y1082" s="7" t="s">
        <v>60</v>
      </c>
      <c r="Z1082" s="7"/>
      <c r="AA1082" s="4" t="s">
        <v>46</v>
      </c>
      <c r="AB1082" s="4" t="s">
        <v>47</v>
      </c>
      <c r="AC1082" s="4" t="s">
        <v>61</v>
      </c>
      <c r="AD1082" s="4" t="s">
        <v>62</v>
      </c>
      <c r="AE1082" s="4" t="s">
        <v>48</v>
      </c>
      <c r="AF1082" s="4" t="s">
        <v>41</v>
      </c>
      <c r="AG1082" s="4" t="s">
        <v>2340</v>
      </c>
    </row>
    <row r="1083" spans="1:33" ht="16.5" customHeight="1" x14ac:dyDescent="0.2">
      <c r="A1083" s="2" t="s">
        <v>31</v>
      </c>
      <c r="B1083" s="5" t="s">
        <v>54</v>
      </c>
      <c r="C1083" s="5"/>
      <c r="D1083" s="5"/>
      <c r="E1083" s="6" t="s">
        <v>33</v>
      </c>
      <c r="F1083" s="6"/>
      <c r="G1083" s="7" t="s">
        <v>2337</v>
      </c>
      <c r="H1083" s="7"/>
      <c r="I1083" s="7"/>
      <c r="J1083" s="3" t="s">
        <v>35</v>
      </c>
      <c r="K1083" s="4" t="s">
        <v>92</v>
      </c>
      <c r="L1083" s="4" t="s">
        <v>37</v>
      </c>
      <c r="N1083" s="7" t="s">
        <v>2356</v>
      </c>
      <c r="O1083" s="7"/>
      <c r="P1083" s="7" t="s">
        <v>2357</v>
      </c>
      <c r="Q1083" s="7"/>
      <c r="R1083" s="7"/>
      <c r="S1083" s="3" t="s">
        <v>40</v>
      </c>
      <c r="T1083" s="7" t="s">
        <v>41</v>
      </c>
      <c r="U1083" s="7"/>
      <c r="V1083" s="4" t="s">
        <v>42</v>
      </c>
      <c r="W1083" s="4" t="s">
        <v>360</v>
      </c>
      <c r="X1083" s="4" t="s">
        <v>361</v>
      </c>
      <c r="Y1083" s="7" t="s">
        <v>78</v>
      </c>
      <c r="Z1083" s="7"/>
      <c r="AA1083" s="4" t="s">
        <v>46</v>
      </c>
      <c r="AB1083" s="4" t="s">
        <v>47</v>
      </c>
      <c r="AC1083" s="4" t="s">
        <v>79</v>
      </c>
      <c r="AD1083" s="4" t="s">
        <v>80</v>
      </c>
      <c r="AE1083" s="4" t="s">
        <v>48</v>
      </c>
      <c r="AF1083" s="4" t="s">
        <v>41</v>
      </c>
      <c r="AG1083" s="4" t="s">
        <v>2340</v>
      </c>
    </row>
    <row r="1084" spans="1:33" ht="16.5" customHeight="1" x14ac:dyDescent="0.2">
      <c r="A1084" s="2" t="s">
        <v>31</v>
      </c>
      <c r="B1084" s="5" t="s">
        <v>54</v>
      </c>
      <c r="C1084" s="5"/>
      <c r="D1084" s="5"/>
      <c r="E1084" s="6" t="s">
        <v>33</v>
      </c>
      <c r="F1084" s="6"/>
      <c r="G1084" s="7" t="s">
        <v>2337</v>
      </c>
      <c r="H1084" s="7"/>
      <c r="I1084" s="7"/>
      <c r="J1084" s="3" t="s">
        <v>35</v>
      </c>
      <c r="K1084" s="4" t="s">
        <v>81</v>
      </c>
      <c r="L1084" s="4" t="s">
        <v>37</v>
      </c>
      <c r="N1084" s="7" t="s">
        <v>2358</v>
      </c>
      <c r="O1084" s="7"/>
      <c r="P1084" s="7" t="s">
        <v>2359</v>
      </c>
      <c r="Q1084" s="7"/>
      <c r="R1084" s="7"/>
      <c r="S1084" s="3" t="s">
        <v>40</v>
      </c>
      <c r="T1084" s="7" t="s">
        <v>41</v>
      </c>
      <c r="U1084" s="7"/>
      <c r="V1084" s="4" t="s">
        <v>42</v>
      </c>
      <c r="W1084" s="4" t="s">
        <v>527</v>
      </c>
      <c r="X1084" s="4" t="s">
        <v>528</v>
      </c>
      <c r="Y1084" s="7" t="s">
        <v>78</v>
      </c>
      <c r="Z1084" s="7"/>
      <c r="AA1084" s="4" t="s">
        <v>46</v>
      </c>
      <c r="AB1084" s="4" t="s">
        <v>47</v>
      </c>
      <c r="AC1084" s="4" t="s">
        <v>136</v>
      </c>
      <c r="AD1084" s="4" t="s">
        <v>137</v>
      </c>
      <c r="AE1084" s="4" t="s">
        <v>48</v>
      </c>
      <c r="AF1084" s="4" t="s">
        <v>41</v>
      </c>
      <c r="AG1084" s="4" t="s">
        <v>2340</v>
      </c>
    </row>
    <row r="1085" spans="1:33" ht="16.5" customHeight="1" x14ac:dyDescent="0.2">
      <c r="A1085" s="2" t="s">
        <v>31</v>
      </c>
      <c r="B1085" s="5" t="s">
        <v>54</v>
      </c>
      <c r="C1085" s="5"/>
      <c r="D1085" s="5"/>
      <c r="E1085" s="6" t="s">
        <v>33</v>
      </c>
      <c r="F1085" s="6"/>
      <c r="G1085" s="7" t="s">
        <v>2337</v>
      </c>
      <c r="H1085" s="7"/>
      <c r="I1085" s="7"/>
      <c r="J1085" s="3" t="s">
        <v>35</v>
      </c>
      <c r="K1085" s="4" t="s">
        <v>149</v>
      </c>
      <c r="L1085" s="4" t="s">
        <v>37</v>
      </c>
      <c r="N1085" s="7" t="s">
        <v>2360</v>
      </c>
      <c r="O1085" s="7"/>
      <c r="P1085" s="7" t="s">
        <v>2361</v>
      </c>
      <c r="Q1085" s="7"/>
      <c r="R1085" s="7"/>
      <c r="S1085" s="3" t="s">
        <v>40</v>
      </c>
      <c r="T1085" s="7" t="s">
        <v>41</v>
      </c>
      <c r="U1085" s="7"/>
      <c r="V1085" s="4" t="s">
        <v>42</v>
      </c>
      <c r="W1085" s="4" t="s">
        <v>608</v>
      </c>
      <c r="X1085" s="4" t="s">
        <v>609</v>
      </c>
      <c r="Y1085" s="7" t="s">
        <v>78</v>
      </c>
      <c r="Z1085" s="7"/>
      <c r="AA1085" s="4" t="s">
        <v>46</v>
      </c>
      <c r="AB1085" s="4" t="s">
        <v>47</v>
      </c>
      <c r="AC1085" s="4" t="s">
        <v>136</v>
      </c>
      <c r="AD1085" s="4" t="s">
        <v>137</v>
      </c>
      <c r="AE1085" s="4" t="s">
        <v>48</v>
      </c>
      <c r="AF1085" s="4" t="s">
        <v>41</v>
      </c>
      <c r="AG1085" s="4" t="s">
        <v>2340</v>
      </c>
    </row>
    <row r="1086" spans="1:33" ht="16.5" customHeight="1" x14ac:dyDescent="0.2">
      <c r="A1086" s="2" t="s">
        <v>31</v>
      </c>
      <c r="B1086" s="5" t="s">
        <v>54</v>
      </c>
      <c r="C1086" s="5"/>
      <c r="D1086" s="5"/>
      <c r="E1086" s="6" t="s">
        <v>33</v>
      </c>
      <c r="F1086" s="6"/>
      <c r="G1086" s="7" t="s">
        <v>2337</v>
      </c>
      <c r="H1086" s="7"/>
      <c r="I1086" s="7"/>
      <c r="J1086" s="3" t="s">
        <v>35</v>
      </c>
      <c r="K1086" s="4" t="s">
        <v>130</v>
      </c>
      <c r="L1086" s="4" t="s">
        <v>37</v>
      </c>
      <c r="N1086" s="7" t="s">
        <v>2362</v>
      </c>
      <c r="O1086" s="7"/>
      <c r="P1086" s="7" t="s">
        <v>2363</v>
      </c>
      <c r="Q1086" s="7"/>
      <c r="R1086" s="7"/>
      <c r="S1086" s="3" t="s">
        <v>40</v>
      </c>
      <c r="T1086" s="7" t="s">
        <v>41</v>
      </c>
      <c r="U1086" s="7"/>
      <c r="V1086" s="4" t="s">
        <v>42</v>
      </c>
      <c r="W1086" s="4" t="s">
        <v>301</v>
      </c>
      <c r="X1086" s="4" t="s">
        <v>302</v>
      </c>
      <c r="Y1086" s="7" t="s">
        <v>135</v>
      </c>
      <c r="Z1086" s="7"/>
      <c r="AA1086" s="4" t="s">
        <v>46</v>
      </c>
      <c r="AB1086" s="4" t="s">
        <v>47</v>
      </c>
      <c r="AC1086" s="4" t="s">
        <v>79</v>
      </c>
      <c r="AD1086" s="4" t="s">
        <v>80</v>
      </c>
      <c r="AE1086" s="4" t="s">
        <v>48</v>
      </c>
      <c r="AF1086" s="4" t="s">
        <v>41</v>
      </c>
      <c r="AG1086" s="4" t="s">
        <v>2340</v>
      </c>
    </row>
    <row r="1087" spans="1:33" ht="16.5" customHeight="1" x14ac:dyDescent="0.2">
      <c r="A1087" s="2" t="s">
        <v>31</v>
      </c>
      <c r="B1087" s="5" t="s">
        <v>54</v>
      </c>
      <c r="C1087" s="5"/>
      <c r="D1087" s="5"/>
      <c r="E1087" s="6" t="s">
        <v>33</v>
      </c>
      <c r="F1087" s="6"/>
      <c r="G1087" s="7" t="s">
        <v>2337</v>
      </c>
      <c r="H1087" s="7"/>
      <c r="I1087" s="7"/>
      <c r="J1087" s="3" t="s">
        <v>35</v>
      </c>
      <c r="K1087" s="4" t="s">
        <v>130</v>
      </c>
      <c r="L1087" s="4" t="s">
        <v>37</v>
      </c>
      <c r="N1087" s="7" t="s">
        <v>2364</v>
      </c>
      <c r="O1087" s="7"/>
      <c r="P1087" s="7" t="s">
        <v>2365</v>
      </c>
      <c r="Q1087" s="7"/>
      <c r="R1087" s="7"/>
      <c r="S1087" s="3" t="s">
        <v>40</v>
      </c>
      <c r="T1087" s="7" t="s">
        <v>41</v>
      </c>
      <c r="U1087" s="7"/>
      <c r="V1087" s="4" t="s">
        <v>42</v>
      </c>
      <c r="W1087" s="4" t="s">
        <v>154</v>
      </c>
      <c r="X1087" s="4" t="s">
        <v>155</v>
      </c>
      <c r="Y1087" s="7" t="s">
        <v>135</v>
      </c>
      <c r="Z1087" s="7"/>
      <c r="AA1087" s="4" t="s">
        <v>46</v>
      </c>
      <c r="AB1087" s="4" t="s">
        <v>47</v>
      </c>
      <c r="AC1087" s="4" t="s">
        <v>136</v>
      </c>
      <c r="AD1087" s="4" t="s">
        <v>137</v>
      </c>
      <c r="AE1087" s="4" t="s">
        <v>48</v>
      </c>
      <c r="AF1087" s="4" t="s">
        <v>41</v>
      </c>
      <c r="AG1087" s="4" t="s">
        <v>2340</v>
      </c>
    </row>
    <row r="1088" spans="1:33" ht="16.5" customHeight="1" x14ac:dyDescent="0.2">
      <c r="A1088" s="2" t="s">
        <v>31</v>
      </c>
      <c r="B1088" s="5" t="s">
        <v>54</v>
      </c>
      <c r="C1088" s="5"/>
      <c r="D1088" s="5"/>
      <c r="E1088" s="6" t="s">
        <v>33</v>
      </c>
      <c r="F1088" s="6"/>
      <c r="G1088" s="7" t="s">
        <v>2337</v>
      </c>
      <c r="H1088" s="7"/>
      <c r="I1088" s="7"/>
      <c r="J1088" s="3" t="s">
        <v>35</v>
      </c>
      <c r="K1088" s="4" t="s">
        <v>149</v>
      </c>
      <c r="L1088" s="4" t="s">
        <v>37</v>
      </c>
      <c r="N1088" s="7" t="s">
        <v>2366</v>
      </c>
      <c r="O1088" s="7"/>
      <c r="P1088" s="7" t="s">
        <v>2367</v>
      </c>
      <c r="Q1088" s="7"/>
      <c r="R1088" s="7"/>
      <c r="S1088" s="3" t="s">
        <v>40</v>
      </c>
      <c r="T1088" s="7" t="s">
        <v>41</v>
      </c>
      <c r="U1088" s="7"/>
      <c r="V1088" s="4" t="s">
        <v>42</v>
      </c>
      <c r="W1088" s="4" t="s">
        <v>257</v>
      </c>
      <c r="X1088" s="4" t="s">
        <v>258</v>
      </c>
      <c r="Y1088" s="7" t="s">
        <v>78</v>
      </c>
      <c r="Z1088" s="7"/>
      <c r="AA1088" s="4" t="s">
        <v>46</v>
      </c>
      <c r="AB1088" s="4" t="s">
        <v>47</v>
      </c>
      <c r="AC1088" s="4" t="s">
        <v>136</v>
      </c>
      <c r="AD1088" s="4" t="s">
        <v>137</v>
      </c>
      <c r="AE1088" s="4" t="s">
        <v>48</v>
      </c>
      <c r="AF1088" s="4" t="s">
        <v>41</v>
      </c>
      <c r="AG1088" s="4" t="s">
        <v>2340</v>
      </c>
    </row>
    <row r="1089" spans="1:33" ht="16.5" customHeight="1" x14ac:dyDescent="0.2">
      <c r="A1089" s="2" t="s">
        <v>31</v>
      </c>
      <c r="B1089" s="5" t="s">
        <v>54</v>
      </c>
      <c r="C1089" s="5"/>
      <c r="D1089" s="5"/>
      <c r="E1089" s="6" t="s">
        <v>33</v>
      </c>
      <c r="F1089" s="6"/>
      <c r="G1089" s="7" t="s">
        <v>2337</v>
      </c>
      <c r="H1089" s="7"/>
      <c r="I1089" s="7"/>
      <c r="J1089" s="3" t="s">
        <v>35</v>
      </c>
      <c r="K1089" s="4" t="s">
        <v>73</v>
      </c>
      <c r="L1089" s="4" t="s">
        <v>280</v>
      </c>
      <c r="N1089" s="7" t="s">
        <v>2368</v>
      </c>
      <c r="O1089" s="7"/>
      <c r="P1089" s="7" t="s">
        <v>2369</v>
      </c>
      <c r="Q1089" s="7"/>
      <c r="R1089" s="7"/>
      <c r="S1089" s="3" t="s">
        <v>40</v>
      </c>
      <c r="T1089" s="7" t="s">
        <v>41</v>
      </c>
      <c r="U1089" s="7"/>
      <c r="V1089" s="4" t="s">
        <v>42</v>
      </c>
      <c r="W1089" s="4" t="s">
        <v>469</v>
      </c>
      <c r="X1089" s="4" t="s">
        <v>470</v>
      </c>
      <c r="Y1089" s="7" t="s">
        <v>78</v>
      </c>
      <c r="Z1089" s="7"/>
      <c r="AA1089" s="4" t="s">
        <v>46</v>
      </c>
      <c r="AB1089" s="4" t="s">
        <v>47</v>
      </c>
      <c r="AC1089" s="4" t="s">
        <v>136</v>
      </c>
      <c r="AD1089" s="4" t="s">
        <v>324</v>
      </c>
      <c r="AE1089" s="4" t="s">
        <v>48</v>
      </c>
      <c r="AF1089" s="4" t="s">
        <v>41</v>
      </c>
      <c r="AG1089" s="4" t="s">
        <v>2340</v>
      </c>
    </row>
    <row r="1090" spans="1:33" ht="16.5" customHeight="1" x14ac:dyDescent="0.2">
      <c r="A1090" s="2" t="s">
        <v>31</v>
      </c>
      <c r="B1090" s="5" t="s">
        <v>54</v>
      </c>
      <c r="C1090" s="5"/>
      <c r="D1090" s="5"/>
      <c r="E1090" s="6" t="s">
        <v>33</v>
      </c>
      <c r="F1090" s="6"/>
      <c r="G1090" s="7" t="s">
        <v>2337</v>
      </c>
      <c r="H1090" s="7"/>
      <c r="I1090" s="7"/>
      <c r="J1090" s="3" t="s">
        <v>35</v>
      </c>
      <c r="K1090" s="4" t="s">
        <v>149</v>
      </c>
      <c r="L1090" s="4" t="s">
        <v>37</v>
      </c>
      <c r="N1090" s="7" t="s">
        <v>2370</v>
      </c>
      <c r="O1090" s="7"/>
      <c r="P1090" s="7" t="s">
        <v>2371</v>
      </c>
      <c r="Q1090" s="7"/>
      <c r="R1090" s="7"/>
      <c r="S1090" s="3" t="s">
        <v>40</v>
      </c>
      <c r="T1090" s="7" t="s">
        <v>41</v>
      </c>
      <c r="U1090" s="7"/>
      <c r="V1090" s="4" t="s">
        <v>42</v>
      </c>
      <c r="W1090" s="4" t="s">
        <v>632</v>
      </c>
      <c r="X1090" s="4" t="s">
        <v>633</v>
      </c>
      <c r="Y1090" s="7" t="s">
        <v>78</v>
      </c>
      <c r="Z1090" s="7"/>
      <c r="AA1090" s="4" t="s">
        <v>46</v>
      </c>
      <c r="AB1090" s="4" t="s">
        <v>47</v>
      </c>
      <c r="AC1090" s="4" t="s">
        <v>136</v>
      </c>
      <c r="AD1090" s="4" t="s">
        <v>137</v>
      </c>
      <c r="AE1090" s="4" t="s">
        <v>48</v>
      </c>
      <c r="AF1090" s="4" t="s">
        <v>41</v>
      </c>
      <c r="AG1090" s="4" t="s">
        <v>2340</v>
      </c>
    </row>
    <row r="1091" spans="1:33" ht="16.5" customHeight="1" x14ac:dyDescent="0.2">
      <c r="A1091" s="2" t="s">
        <v>31</v>
      </c>
      <c r="B1091" s="5" t="s">
        <v>54</v>
      </c>
      <c r="C1091" s="5"/>
      <c r="D1091" s="5"/>
      <c r="E1091" s="6" t="s">
        <v>33</v>
      </c>
      <c r="F1091" s="6"/>
      <c r="G1091" s="7" t="s">
        <v>2337</v>
      </c>
      <c r="H1091" s="7"/>
      <c r="I1091" s="7"/>
      <c r="J1091" s="3" t="s">
        <v>35</v>
      </c>
      <c r="K1091" s="4" t="s">
        <v>143</v>
      </c>
      <c r="L1091" s="4" t="s">
        <v>37</v>
      </c>
      <c r="N1091" s="7" t="s">
        <v>2372</v>
      </c>
      <c r="O1091" s="7"/>
      <c r="P1091" s="7" t="s">
        <v>2373</v>
      </c>
      <c r="Q1091" s="7"/>
      <c r="R1091" s="7"/>
      <c r="S1091" s="3" t="s">
        <v>40</v>
      </c>
      <c r="T1091" s="7" t="s">
        <v>41</v>
      </c>
      <c r="U1091" s="7"/>
      <c r="V1091" s="4" t="s">
        <v>42</v>
      </c>
      <c r="W1091" s="4" t="s">
        <v>604</v>
      </c>
      <c r="X1091" s="4" t="s">
        <v>605</v>
      </c>
      <c r="Y1091" s="7" t="s">
        <v>135</v>
      </c>
      <c r="Z1091" s="7"/>
      <c r="AA1091" s="4" t="s">
        <v>46</v>
      </c>
      <c r="AB1091" s="4" t="s">
        <v>47</v>
      </c>
      <c r="AC1091" s="4" t="s">
        <v>136</v>
      </c>
      <c r="AD1091" s="4" t="s">
        <v>137</v>
      </c>
      <c r="AE1091" s="4" t="s">
        <v>48</v>
      </c>
      <c r="AF1091" s="4" t="s">
        <v>41</v>
      </c>
      <c r="AG1091" s="4" t="s">
        <v>2340</v>
      </c>
    </row>
    <row r="1092" spans="1:33" ht="16.5" customHeight="1" x14ac:dyDescent="0.2">
      <c r="A1092" s="2" t="s">
        <v>31</v>
      </c>
      <c r="B1092" s="5" t="s">
        <v>54</v>
      </c>
      <c r="C1092" s="5"/>
      <c r="D1092" s="5"/>
      <c r="E1092" s="6" t="s">
        <v>33</v>
      </c>
      <c r="F1092" s="6"/>
      <c r="G1092" s="7" t="s">
        <v>2337</v>
      </c>
      <c r="H1092" s="7"/>
      <c r="I1092" s="7"/>
      <c r="J1092" s="3" t="s">
        <v>35</v>
      </c>
      <c r="K1092" s="4" t="s">
        <v>143</v>
      </c>
      <c r="L1092" s="4" t="s">
        <v>37</v>
      </c>
      <c r="N1092" s="7" t="s">
        <v>2374</v>
      </c>
      <c r="O1092" s="7"/>
      <c r="P1092" s="7" t="s">
        <v>2375</v>
      </c>
      <c r="Q1092" s="7"/>
      <c r="R1092" s="7"/>
      <c r="S1092" s="3" t="s">
        <v>40</v>
      </c>
      <c r="T1092" s="7" t="s">
        <v>41</v>
      </c>
      <c r="U1092" s="7"/>
      <c r="V1092" s="4" t="s">
        <v>42</v>
      </c>
      <c r="W1092" s="4" t="s">
        <v>469</v>
      </c>
      <c r="X1092" s="4" t="s">
        <v>470</v>
      </c>
      <c r="Y1092" s="7" t="s">
        <v>135</v>
      </c>
      <c r="Z1092" s="7"/>
      <c r="AA1092" s="4" t="s">
        <v>46</v>
      </c>
      <c r="AB1092" s="4" t="s">
        <v>47</v>
      </c>
      <c r="AC1092" s="4" t="s">
        <v>136</v>
      </c>
      <c r="AD1092" s="4" t="s">
        <v>137</v>
      </c>
      <c r="AE1092" s="4" t="s">
        <v>48</v>
      </c>
      <c r="AF1092" s="4" t="s">
        <v>41</v>
      </c>
      <c r="AG1092" s="4" t="s">
        <v>2340</v>
      </c>
    </row>
    <row r="1093" spans="1:33" ht="16.5" customHeight="1" x14ac:dyDescent="0.2">
      <c r="A1093" s="2" t="s">
        <v>31</v>
      </c>
      <c r="B1093" s="5" t="s">
        <v>54</v>
      </c>
      <c r="C1093" s="5"/>
      <c r="D1093" s="5"/>
      <c r="E1093" s="6" t="s">
        <v>33</v>
      </c>
      <c r="F1093" s="6"/>
      <c r="G1093" s="7" t="s">
        <v>2337</v>
      </c>
      <c r="H1093" s="7"/>
      <c r="I1093" s="7"/>
      <c r="J1093" s="3" t="s">
        <v>35</v>
      </c>
      <c r="K1093" s="4" t="s">
        <v>248</v>
      </c>
      <c r="L1093" s="4" t="s">
        <v>37</v>
      </c>
      <c r="N1093" s="7" t="s">
        <v>2376</v>
      </c>
      <c r="O1093" s="7"/>
      <c r="P1093" s="7" t="s">
        <v>2377</v>
      </c>
      <c r="Q1093" s="7"/>
      <c r="R1093" s="7"/>
      <c r="S1093" s="3" t="s">
        <v>40</v>
      </c>
      <c r="T1093" s="7" t="s">
        <v>41</v>
      </c>
      <c r="U1093" s="7"/>
      <c r="V1093" s="4" t="s">
        <v>42</v>
      </c>
      <c r="W1093" s="4" t="s">
        <v>43</v>
      </c>
      <c r="X1093" s="4" t="s">
        <v>44</v>
      </c>
      <c r="Y1093" s="7" t="s">
        <v>60</v>
      </c>
      <c r="Z1093" s="7"/>
      <c r="AA1093" s="4" t="s">
        <v>46</v>
      </c>
      <c r="AB1093" s="4" t="s">
        <v>47</v>
      </c>
      <c r="AC1093" s="4" t="s">
        <v>79</v>
      </c>
      <c r="AD1093" s="4" t="s">
        <v>80</v>
      </c>
      <c r="AE1093" s="4" t="s">
        <v>48</v>
      </c>
      <c r="AF1093" s="4" t="s">
        <v>41</v>
      </c>
      <c r="AG1093" s="4" t="s">
        <v>2340</v>
      </c>
    </row>
    <row r="1094" spans="1:33" ht="16.5" customHeight="1" x14ac:dyDescent="0.2">
      <c r="A1094" s="2" t="s">
        <v>31</v>
      </c>
      <c r="B1094" s="5" t="s">
        <v>54</v>
      </c>
      <c r="C1094" s="5"/>
      <c r="D1094" s="5"/>
      <c r="E1094" s="6" t="s">
        <v>33</v>
      </c>
      <c r="F1094" s="6"/>
      <c r="G1094" s="7" t="s">
        <v>2337</v>
      </c>
      <c r="H1094" s="7"/>
      <c r="I1094" s="7"/>
      <c r="J1094" s="3" t="s">
        <v>35</v>
      </c>
      <c r="K1094" s="4" t="s">
        <v>267</v>
      </c>
      <c r="L1094" s="4" t="s">
        <v>37</v>
      </c>
      <c r="N1094" s="7" t="s">
        <v>2378</v>
      </c>
      <c r="O1094" s="7"/>
      <c r="P1094" s="7" t="s">
        <v>2379</v>
      </c>
      <c r="Q1094" s="7"/>
      <c r="R1094" s="7"/>
      <c r="S1094" s="3" t="s">
        <v>40</v>
      </c>
      <c r="T1094" s="7" t="s">
        <v>41</v>
      </c>
      <c r="U1094" s="7"/>
      <c r="V1094" s="4" t="s">
        <v>51</v>
      </c>
      <c r="W1094" s="4" t="s">
        <v>323</v>
      </c>
      <c r="X1094" s="4" t="s">
        <v>330</v>
      </c>
      <c r="Y1094" s="7" t="s">
        <v>78</v>
      </c>
      <c r="Z1094" s="7"/>
      <c r="AA1094" s="4" t="s">
        <v>46</v>
      </c>
      <c r="AB1094" s="4" t="s">
        <v>47</v>
      </c>
      <c r="AC1094" s="4" t="s">
        <v>136</v>
      </c>
      <c r="AD1094" s="4" t="s">
        <v>137</v>
      </c>
      <c r="AE1094" s="4" t="s">
        <v>48</v>
      </c>
      <c r="AF1094" s="4" t="s">
        <v>41</v>
      </c>
      <c r="AG1094" s="4" t="s">
        <v>2340</v>
      </c>
    </row>
    <row r="1095" spans="1:33" ht="16.5" customHeight="1" x14ac:dyDescent="0.2">
      <c r="A1095" s="2" t="s">
        <v>31</v>
      </c>
      <c r="B1095" s="5" t="s">
        <v>54</v>
      </c>
      <c r="C1095" s="5"/>
      <c r="D1095" s="5"/>
      <c r="E1095" s="6" t="s">
        <v>33</v>
      </c>
      <c r="F1095" s="6"/>
      <c r="G1095" s="7" t="s">
        <v>2337</v>
      </c>
      <c r="H1095" s="7"/>
      <c r="I1095" s="7"/>
      <c r="J1095" s="3" t="s">
        <v>35</v>
      </c>
      <c r="K1095" s="4" t="s">
        <v>73</v>
      </c>
      <c r="L1095" s="4" t="s">
        <v>37</v>
      </c>
      <c r="N1095" s="7" t="s">
        <v>2380</v>
      </c>
      <c r="O1095" s="7"/>
      <c r="P1095" s="7" t="s">
        <v>2381</v>
      </c>
      <c r="Q1095" s="7"/>
      <c r="R1095" s="7"/>
      <c r="S1095" s="3" t="s">
        <v>40</v>
      </c>
      <c r="T1095" s="7" t="s">
        <v>41</v>
      </c>
      <c r="U1095" s="7"/>
      <c r="V1095" s="4" t="s">
        <v>42</v>
      </c>
      <c r="W1095" s="4" t="s">
        <v>859</v>
      </c>
      <c r="X1095" s="4" t="s">
        <v>341</v>
      </c>
      <c r="Y1095" s="7" t="s">
        <v>78</v>
      </c>
      <c r="Z1095" s="7"/>
      <c r="AA1095" s="4" t="s">
        <v>46</v>
      </c>
      <c r="AB1095" s="4" t="s">
        <v>47</v>
      </c>
      <c r="AC1095" s="4" t="s">
        <v>136</v>
      </c>
      <c r="AD1095" s="4" t="s">
        <v>137</v>
      </c>
      <c r="AE1095" s="4" t="s">
        <v>48</v>
      </c>
      <c r="AF1095" s="4" t="s">
        <v>41</v>
      </c>
      <c r="AG1095" s="4" t="s">
        <v>2340</v>
      </c>
    </row>
    <row r="1096" spans="1:33" ht="16.5" customHeight="1" x14ac:dyDescent="0.2">
      <c r="A1096" s="2" t="s">
        <v>31</v>
      </c>
      <c r="B1096" s="5" t="s">
        <v>54</v>
      </c>
      <c r="C1096" s="5"/>
      <c r="D1096" s="5"/>
      <c r="E1096" s="6" t="s">
        <v>33</v>
      </c>
      <c r="F1096" s="6"/>
      <c r="G1096" s="7" t="s">
        <v>2337</v>
      </c>
      <c r="H1096" s="7"/>
      <c r="I1096" s="7"/>
      <c r="J1096" s="3" t="s">
        <v>35</v>
      </c>
      <c r="K1096" s="4" t="s">
        <v>118</v>
      </c>
      <c r="L1096" s="4" t="s">
        <v>280</v>
      </c>
      <c r="N1096" s="7" t="s">
        <v>2382</v>
      </c>
      <c r="O1096" s="7"/>
      <c r="P1096" s="7" t="s">
        <v>2383</v>
      </c>
      <c r="Q1096" s="7"/>
      <c r="R1096" s="7"/>
      <c r="S1096" s="3" t="s">
        <v>40</v>
      </c>
      <c r="T1096" s="7" t="s">
        <v>41</v>
      </c>
      <c r="U1096" s="7"/>
      <c r="V1096" s="4" t="s">
        <v>51</v>
      </c>
      <c r="W1096" s="4" t="s">
        <v>859</v>
      </c>
      <c r="X1096" s="4" t="s">
        <v>571</v>
      </c>
      <c r="Y1096" s="7" t="s">
        <v>60</v>
      </c>
      <c r="Z1096" s="7"/>
      <c r="AA1096" s="4" t="s">
        <v>46</v>
      </c>
      <c r="AB1096" s="4" t="s">
        <v>47</v>
      </c>
      <c r="AC1096" s="4" t="s">
        <v>79</v>
      </c>
      <c r="AD1096" s="4" t="s">
        <v>285</v>
      </c>
      <c r="AE1096" s="4" t="s">
        <v>48</v>
      </c>
      <c r="AF1096" s="4" t="s">
        <v>41</v>
      </c>
      <c r="AG1096" s="4" t="s">
        <v>2340</v>
      </c>
    </row>
    <row r="1097" spans="1:33" ht="16.5" customHeight="1" x14ac:dyDescent="0.2">
      <c r="A1097" s="2" t="s">
        <v>31</v>
      </c>
      <c r="B1097" s="5" t="s">
        <v>54</v>
      </c>
      <c r="C1097" s="5"/>
      <c r="D1097" s="5"/>
      <c r="E1097" s="6" t="s">
        <v>33</v>
      </c>
      <c r="F1097" s="6"/>
      <c r="G1097" s="7" t="s">
        <v>2337</v>
      </c>
      <c r="H1097" s="7"/>
      <c r="I1097" s="7"/>
      <c r="J1097" s="3" t="s">
        <v>35</v>
      </c>
      <c r="K1097" s="4" t="s">
        <v>92</v>
      </c>
      <c r="L1097" s="4" t="s">
        <v>93</v>
      </c>
      <c r="N1097" s="7" t="s">
        <v>2384</v>
      </c>
      <c r="O1097" s="7"/>
      <c r="P1097" s="7" t="s">
        <v>2385</v>
      </c>
      <c r="Q1097" s="7"/>
      <c r="R1097" s="7"/>
      <c r="S1097" s="3" t="s">
        <v>40</v>
      </c>
      <c r="T1097" s="7" t="s">
        <v>41</v>
      </c>
      <c r="U1097" s="7"/>
      <c r="V1097" s="4" t="s">
        <v>42</v>
      </c>
      <c r="W1097" s="4" t="s">
        <v>570</v>
      </c>
      <c r="X1097" s="4" t="s">
        <v>571</v>
      </c>
      <c r="Y1097" s="7" t="s">
        <v>78</v>
      </c>
      <c r="Z1097" s="7"/>
      <c r="AA1097" s="4" t="s">
        <v>46</v>
      </c>
      <c r="AB1097" s="4" t="s">
        <v>47</v>
      </c>
      <c r="AC1097" s="4" t="s">
        <v>136</v>
      </c>
      <c r="AD1097" s="4" t="s">
        <v>148</v>
      </c>
      <c r="AE1097" s="4" t="s">
        <v>48</v>
      </c>
      <c r="AF1097" s="4" t="s">
        <v>41</v>
      </c>
      <c r="AG1097" s="4" t="s">
        <v>2340</v>
      </c>
    </row>
    <row r="1098" spans="1:33" ht="16.5" customHeight="1" x14ac:dyDescent="0.2">
      <c r="A1098" s="2" t="s">
        <v>31</v>
      </c>
      <c r="B1098" s="5" t="s">
        <v>54</v>
      </c>
      <c r="C1098" s="5"/>
      <c r="D1098" s="5"/>
      <c r="E1098" s="6" t="s">
        <v>33</v>
      </c>
      <c r="F1098" s="6"/>
      <c r="G1098" s="7" t="s">
        <v>2337</v>
      </c>
      <c r="H1098" s="7"/>
      <c r="I1098" s="7"/>
      <c r="J1098" s="3" t="s">
        <v>35</v>
      </c>
      <c r="K1098" s="4" t="s">
        <v>92</v>
      </c>
      <c r="L1098" s="4" t="s">
        <v>37</v>
      </c>
      <c r="N1098" s="7" t="s">
        <v>2386</v>
      </c>
      <c r="O1098" s="7"/>
      <c r="P1098" s="7" t="s">
        <v>2387</v>
      </c>
      <c r="Q1098" s="7"/>
      <c r="R1098" s="7"/>
      <c r="S1098" s="3" t="s">
        <v>40</v>
      </c>
      <c r="T1098" s="7" t="s">
        <v>41</v>
      </c>
      <c r="U1098" s="7"/>
      <c r="V1098" s="4" t="s">
        <v>42</v>
      </c>
      <c r="W1098" s="4" t="s">
        <v>234</v>
      </c>
      <c r="X1098" s="4" t="s">
        <v>235</v>
      </c>
      <c r="Y1098" s="7" t="s">
        <v>78</v>
      </c>
      <c r="Z1098" s="7"/>
      <c r="AA1098" s="4" t="s">
        <v>46</v>
      </c>
      <c r="AB1098" s="4" t="s">
        <v>47</v>
      </c>
      <c r="AC1098" s="4" t="s">
        <v>136</v>
      </c>
      <c r="AD1098" s="4" t="s">
        <v>137</v>
      </c>
      <c r="AE1098" s="4" t="s">
        <v>48</v>
      </c>
      <c r="AF1098" s="4" t="s">
        <v>41</v>
      </c>
      <c r="AG1098" s="4" t="s">
        <v>2340</v>
      </c>
    </row>
    <row r="1099" spans="1:33" ht="16.5" customHeight="1" x14ac:dyDescent="0.2">
      <c r="A1099" s="2" t="s">
        <v>31</v>
      </c>
      <c r="B1099" s="5" t="s">
        <v>54</v>
      </c>
      <c r="C1099" s="5"/>
      <c r="D1099" s="5"/>
      <c r="E1099" s="6" t="s">
        <v>33</v>
      </c>
      <c r="F1099" s="6"/>
      <c r="G1099" s="7" t="s">
        <v>2337</v>
      </c>
      <c r="H1099" s="7"/>
      <c r="I1099" s="7"/>
      <c r="J1099" s="3" t="s">
        <v>35</v>
      </c>
      <c r="K1099" s="4" t="s">
        <v>267</v>
      </c>
      <c r="L1099" s="4" t="s">
        <v>37</v>
      </c>
      <c r="N1099" s="7" t="s">
        <v>2388</v>
      </c>
      <c r="O1099" s="7"/>
      <c r="P1099" s="7" t="s">
        <v>2389</v>
      </c>
      <c r="Q1099" s="7"/>
      <c r="R1099" s="7"/>
      <c r="S1099" s="3" t="s">
        <v>40</v>
      </c>
      <c r="T1099" s="7" t="s">
        <v>41</v>
      </c>
      <c r="U1099" s="7"/>
      <c r="V1099" s="4" t="s">
        <v>42</v>
      </c>
      <c r="W1099" s="4" t="s">
        <v>355</v>
      </c>
      <c r="X1099" s="4" t="s">
        <v>344</v>
      </c>
      <c r="Y1099" s="7" t="s">
        <v>78</v>
      </c>
      <c r="Z1099" s="7"/>
      <c r="AA1099" s="4" t="s">
        <v>46</v>
      </c>
      <c r="AB1099" s="4" t="s">
        <v>47</v>
      </c>
      <c r="AC1099" s="4" t="s">
        <v>136</v>
      </c>
      <c r="AD1099" s="4" t="s">
        <v>137</v>
      </c>
      <c r="AE1099" s="4" t="s">
        <v>48</v>
      </c>
      <c r="AF1099" s="4" t="s">
        <v>41</v>
      </c>
      <c r="AG1099" s="4" t="s">
        <v>2340</v>
      </c>
    </row>
    <row r="1100" spans="1:33" ht="16.5" customHeight="1" x14ac:dyDescent="0.2">
      <c r="A1100" s="2" t="s">
        <v>31</v>
      </c>
      <c r="B1100" s="5" t="s">
        <v>54</v>
      </c>
      <c r="C1100" s="5"/>
      <c r="D1100" s="5"/>
      <c r="E1100" s="6" t="s">
        <v>33</v>
      </c>
      <c r="F1100" s="6"/>
      <c r="G1100" s="7" t="s">
        <v>2337</v>
      </c>
      <c r="H1100" s="7"/>
      <c r="I1100" s="7"/>
      <c r="J1100" s="3" t="s">
        <v>35</v>
      </c>
      <c r="K1100" s="4" t="s">
        <v>123</v>
      </c>
      <c r="L1100" s="4" t="s">
        <v>37</v>
      </c>
      <c r="N1100" s="7" t="s">
        <v>2390</v>
      </c>
      <c r="O1100" s="7"/>
      <c r="P1100" s="7" t="s">
        <v>2391</v>
      </c>
      <c r="Q1100" s="7"/>
      <c r="R1100" s="7"/>
      <c r="S1100" s="3" t="s">
        <v>40</v>
      </c>
      <c r="T1100" s="7" t="s">
        <v>41</v>
      </c>
      <c r="U1100" s="7"/>
      <c r="V1100" s="4" t="s">
        <v>42</v>
      </c>
      <c r="W1100" s="4" t="s">
        <v>301</v>
      </c>
      <c r="X1100" s="4" t="s">
        <v>302</v>
      </c>
      <c r="Y1100" s="7" t="s">
        <v>60</v>
      </c>
      <c r="Z1100" s="7"/>
      <c r="AA1100" s="4" t="s">
        <v>46</v>
      </c>
      <c r="AB1100" s="4" t="s">
        <v>47</v>
      </c>
      <c r="AC1100" s="4" t="s">
        <v>61</v>
      </c>
      <c r="AD1100" s="4" t="s">
        <v>62</v>
      </c>
      <c r="AE1100" s="4" t="s">
        <v>48</v>
      </c>
      <c r="AF1100" s="4" t="s">
        <v>41</v>
      </c>
      <c r="AG1100" s="4" t="s">
        <v>2340</v>
      </c>
    </row>
    <row r="1101" spans="1:33" ht="16.5" customHeight="1" x14ac:dyDescent="0.2">
      <c r="A1101" s="2" t="s">
        <v>31</v>
      </c>
      <c r="B1101" s="5" t="s">
        <v>54</v>
      </c>
      <c r="C1101" s="5"/>
      <c r="D1101" s="5"/>
      <c r="E1101" s="6" t="s">
        <v>33</v>
      </c>
      <c r="F1101" s="6"/>
      <c r="G1101" s="7" t="s">
        <v>2337</v>
      </c>
      <c r="H1101" s="7"/>
      <c r="I1101" s="7"/>
      <c r="J1101" s="3" t="s">
        <v>35</v>
      </c>
      <c r="K1101" s="4" t="s">
        <v>143</v>
      </c>
      <c r="L1101" s="4" t="s">
        <v>37</v>
      </c>
      <c r="N1101" s="7" t="s">
        <v>2392</v>
      </c>
      <c r="O1101" s="7"/>
      <c r="P1101" s="7" t="s">
        <v>2393</v>
      </c>
      <c r="Q1101" s="7"/>
      <c r="R1101" s="7"/>
      <c r="S1101" s="3" t="s">
        <v>40</v>
      </c>
      <c r="T1101" s="7" t="s">
        <v>41</v>
      </c>
      <c r="U1101" s="7"/>
      <c r="V1101" s="4" t="s">
        <v>42</v>
      </c>
      <c r="W1101" s="4" t="s">
        <v>181</v>
      </c>
      <c r="X1101" s="4" t="s">
        <v>182</v>
      </c>
      <c r="Y1101" s="7" t="s">
        <v>135</v>
      </c>
      <c r="Z1101" s="7"/>
      <c r="AA1101" s="4" t="s">
        <v>46</v>
      </c>
      <c r="AB1101" s="4" t="s">
        <v>47</v>
      </c>
      <c r="AC1101" s="4" t="s">
        <v>79</v>
      </c>
      <c r="AD1101" s="4" t="s">
        <v>80</v>
      </c>
      <c r="AE1101" s="4" t="s">
        <v>48</v>
      </c>
      <c r="AF1101" s="4" t="s">
        <v>41</v>
      </c>
      <c r="AG1101" s="4" t="s">
        <v>2340</v>
      </c>
    </row>
    <row r="1102" spans="1:33" ht="16.5" customHeight="1" x14ac:dyDescent="0.2">
      <c r="A1102" s="2" t="s">
        <v>31</v>
      </c>
      <c r="B1102" s="5" t="s">
        <v>54</v>
      </c>
      <c r="C1102" s="5"/>
      <c r="D1102" s="5"/>
      <c r="E1102" s="6" t="s">
        <v>33</v>
      </c>
      <c r="F1102" s="6"/>
      <c r="G1102" s="7" t="s">
        <v>2337</v>
      </c>
      <c r="H1102" s="7"/>
      <c r="I1102" s="7"/>
      <c r="J1102" s="3" t="s">
        <v>35</v>
      </c>
      <c r="K1102" s="4" t="s">
        <v>387</v>
      </c>
      <c r="L1102" s="4" t="s">
        <v>93</v>
      </c>
      <c r="N1102" s="7" t="s">
        <v>2394</v>
      </c>
      <c r="O1102" s="7"/>
      <c r="P1102" s="7" t="s">
        <v>2395</v>
      </c>
      <c r="Q1102" s="7"/>
      <c r="R1102" s="7"/>
      <c r="S1102" s="3" t="s">
        <v>40</v>
      </c>
      <c r="T1102" s="7" t="s">
        <v>41</v>
      </c>
      <c r="U1102" s="7"/>
      <c r="V1102" s="4" t="s">
        <v>42</v>
      </c>
      <c r="W1102" s="4" t="s">
        <v>58</v>
      </c>
      <c r="X1102" s="4" t="s">
        <v>59</v>
      </c>
      <c r="Y1102" s="7" t="s">
        <v>197</v>
      </c>
      <c r="Z1102" s="7"/>
      <c r="AA1102" s="4" t="s">
        <v>46</v>
      </c>
      <c r="AB1102" s="4" t="s">
        <v>47</v>
      </c>
      <c r="AC1102" s="4" t="s">
        <v>136</v>
      </c>
      <c r="AD1102" s="4" t="s">
        <v>148</v>
      </c>
      <c r="AE1102" s="4" t="s">
        <v>48</v>
      </c>
      <c r="AF1102" s="4" t="s">
        <v>41</v>
      </c>
      <c r="AG1102" s="4" t="s">
        <v>2340</v>
      </c>
    </row>
    <row r="1103" spans="1:33" ht="16.5" customHeight="1" x14ac:dyDescent="0.2">
      <c r="A1103" s="2" t="s">
        <v>31</v>
      </c>
      <c r="B1103" s="5" t="s">
        <v>54</v>
      </c>
      <c r="C1103" s="5"/>
      <c r="D1103" s="5"/>
      <c r="E1103" s="6" t="s">
        <v>33</v>
      </c>
      <c r="F1103" s="6"/>
      <c r="G1103" s="7" t="s">
        <v>2337</v>
      </c>
      <c r="H1103" s="7"/>
      <c r="I1103" s="7"/>
      <c r="J1103" s="3" t="s">
        <v>35</v>
      </c>
      <c r="K1103" s="4" t="s">
        <v>92</v>
      </c>
      <c r="L1103" s="4" t="s">
        <v>37</v>
      </c>
      <c r="N1103" s="7" t="s">
        <v>2396</v>
      </c>
      <c r="O1103" s="7"/>
      <c r="P1103" s="7" t="s">
        <v>2397</v>
      </c>
      <c r="Q1103" s="7"/>
      <c r="R1103" s="7"/>
      <c r="S1103" s="3" t="s">
        <v>40</v>
      </c>
      <c r="T1103" s="7" t="s">
        <v>41</v>
      </c>
      <c r="U1103" s="7"/>
      <c r="V1103" s="4" t="s">
        <v>42</v>
      </c>
      <c r="W1103" s="4" t="s">
        <v>90</v>
      </c>
      <c r="X1103" s="4" t="s">
        <v>91</v>
      </c>
      <c r="Y1103" s="7" t="s">
        <v>78</v>
      </c>
      <c r="Z1103" s="7"/>
      <c r="AA1103" s="4" t="s">
        <v>46</v>
      </c>
      <c r="AB1103" s="4" t="s">
        <v>47</v>
      </c>
      <c r="AC1103" s="4" t="s">
        <v>79</v>
      </c>
      <c r="AD1103" s="4" t="s">
        <v>80</v>
      </c>
      <c r="AE1103" s="4" t="s">
        <v>48</v>
      </c>
      <c r="AF1103" s="4" t="s">
        <v>41</v>
      </c>
      <c r="AG1103" s="4" t="s">
        <v>2340</v>
      </c>
    </row>
    <row r="1104" spans="1:33" ht="16.5" customHeight="1" x14ac:dyDescent="0.2">
      <c r="A1104" s="2" t="s">
        <v>31</v>
      </c>
      <c r="B1104" s="5" t="s">
        <v>54</v>
      </c>
      <c r="C1104" s="5"/>
      <c r="D1104" s="5"/>
      <c r="E1104" s="6" t="s">
        <v>33</v>
      </c>
      <c r="F1104" s="6"/>
      <c r="G1104" s="7" t="s">
        <v>2337</v>
      </c>
      <c r="H1104" s="7"/>
      <c r="I1104" s="7"/>
      <c r="J1104" s="3" t="s">
        <v>35</v>
      </c>
      <c r="K1104" s="4" t="s">
        <v>248</v>
      </c>
      <c r="L1104" s="4" t="s">
        <v>37</v>
      </c>
      <c r="N1104" s="7" t="s">
        <v>2398</v>
      </c>
      <c r="O1104" s="7"/>
      <c r="P1104" s="7" t="s">
        <v>2399</v>
      </c>
      <c r="Q1104" s="7"/>
      <c r="R1104" s="7"/>
      <c r="S1104" s="3" t="s">
        <v>40</v>
      </c>
      <c r="T1104" s="7" t="s">
        <v>41</v>
      </c>
      <c r="U1104" s="7"/>
      <c r="V1104" s="4" t="s">
        <v>42</v>
      </c>
      <c r="W1104" s="4" t="s">
        <v>90</v>
      </c>
      <c r="X1104" s="4" t="s">
        <v>91</v>
      </c>
      <c r="Y1104" s="7" t="s">
        <v>60</v>
      </c>
      <c r="Z1104" s="7"/>
      <c r="AA1104" s="4" t="s">
        <v>46</v>
      </c>
      <c r="AB1104" s="4" t="s">
        <v>47</v>
      </c>
      <c r="AC1104" s="4" t="s">
        <v>61</v>
      </c>
      <c r="AD1104" s="4" t="s">
        <v>62</v>
      </c>
      <c r="AE1104" s="4" t="s">
        <v>48</v>
      </c>
      <c r="AF1104" s="4" t="s">
        <v>41</v>
      </c>
      <c r="AG1104" s="4" t="s">
        <v>2340</v>
      </c>
    </row>
    <row r="1105" spans="1:33" ht="16.5" customHeight="1" x14ac:dyDescent="0.2">
      <c r="A1105" s="2" t="s">
        <v>31</v>
      </c>
      <c r="B1105" s="5" t="s">
        <v>54</v>
      </c>
      <c r="C1105" s="5"/>
      <c r="D1105" s="5"/>
      <c r="E1105" s="6" t="s">
        <v>33</v>
      </c>
      <c r="F1105" s="6"/>
      <c r="G1105" s="7" t="s">
        <v>2337</v>
      </c>
      <c r="H1105" s="7"/>
      <c r="I1105" s="7"/>
      <c r="J1105" s="3" t="s">
        <v>35</v>
      </c>
      <c r="K1105" s="4" t="s">
        <v>55</v>
      </c>
      <c r="L1105" s="4" t="s">
        <v>93</v>
      </c>
      <c r="N1105" s="7" t="s">
        <v>2400</v>
      </c>
      <c r="O1105" s="7"/>
      <c r="P1105" s="7" t="s">
        <v>2401</v>
      </c>
      <c r="Q1105" s="7"/>
      <c r="R1105" s="7"/>
      <c r="S1105" s="3" t="s">
        <v>40</v>
      </c>
      <c r="T1105" s="7" t="s">
        <v>41</v>
      </c>
      <c r="U1105" s="7"/>
      <c r="V1105" s="4" t="s">
        <v>42</v>
      </c>
      <c r="W1105" s="4" t="s">
        <v>58</v>
      </c>
      <c r="X1105" s="4" t="s">
        <v>59</v>
      </c>
      <c r="Y1105" s="7" t="s">
        <v>60</v>
      </c>
      <c r="Z1105" s="7"/>
      <c r="AA1105" s="4" t="s">
        <v>46</v>
      </c>
      <c r="AB1105" s="4" t="s">
        <v>47</v>
      </c>
      <c r="AC1105" s="4" t="s">
        <v>61</v>
      </c>
      <c r="AD1105" s="4" t="s">
        <v>324</v>
      </c>
      <c r="AE1105" s="4" t="s">
        <v>48</v>
      </c>
      <c r="AF1105" s="4" t="s">
        <v>41</v>
      </c>
      <c r="AG1105" s="4" t="s">
        <v>2340</v>
      </c>
    </row>
    <row r="1106" spans="1:33" ht="16.5" customHeight="1" x14ac:dyDescent="0.2">
      <c r="A1106" s="2" t="s">
        <v>31</v>
      </c>
      <c r="B1106" s="5" t="s">
        <v>54</v>
      </c>
      <c r="C1106" s="5"/>
      <c r="D1106" s="5"/>
      <c r="E1106" s="6" t="s">
        <v>33</v>
      </c>
      <c r="F1106" s="6"/>
      <c r="G1106" s="7" t="s">
        <v>2337</v>
      </c>
      <c r="H1106" s="7"/>
      <c r="I1106" s="7"/>
      <c r="J1106" s="3" t="s">
        <v>35</v>
      </c>
      <c r="K1106" s="4" t="s">
        <v>387</v>
      </c>
      <c r="L1106" s="4" t="s">
        <v>280</v>
      </c>
      <c r="N1106" s="7" t="s">
        <v>2402</v>
      </c>
      <c r="O1106" s="7"/>
      <c r="P1106" s="7" t="s">
        <v>2403</v>
      </c>
      <c r="Q1106" s="7"/>
      <c r="R1106" s="7"/>
      <c r="S1106" s="3" t="s">
        <v>40</v>
      </c>
      <c r="T1106" s="7" t="s">
        <v>41</v>
      </c>
      <c r="U1106" s="7"/>
      <c r="V1106" s="4" t="s">
        <v>42</v>
      </c>
      <c r="W1106" s="4" t="s">
        <v>51</v>
      </c>
      <c r="X1106" s="4" t="s">
        <v>128</v>
      </c>
      <c r="Y1106" s="7" t="s">
        <v>197</v>
      </c>
      <c r="Z1106" s="7"/>
      <c r="AA1106" s="4" t="s">
        <v>46</v>
      </c>
      <c r="AB1106" s="4" t="s">
        <v>47</v>
      </c>
      <c r="AC1106" s="4" t="s">
        <v>136</v>
      </c>
      <c r="AD1106" s="4" t="s">
        <v>324</v>
      </c>
      <c r="AE1106" s="4" t="s">
        <v>48</v>
      </c>
      <c r="AF1106" s="4" t="s">
        <v>41</v>
      </c>
      <c r="AG1106" s="4" t="s">
        <v>2340</v>
      </c>
    </row>
    <row r="1107" spans="1:33" ht="16.5" customHeight="1" x14ac:dyDescent="0.2">
      <c r="A1107" s="2" t="s">
        <v>31</v>
      </c>
      <c r="B1107" s="5" t="s">
        <v>108</v>
      </c>
      <c r="C1107" s="5"/>
      <c r="D1107" s="5"/>
      <c r="E1107" s="6" t="s">
        <v>33</v>
      </c>
      <c r="F1107" s="6"/>
      <c r="G1107" s="7" t="s">
        <v>2337</v>
      </c>
      <c r="H1107" s="7"/>
      <c r="I1107" s="7"/>
      <c r="J1107" s="3" t="s">
        <v>35</v>
      </c>
      <c r="K1107" s="4" t="s">
        <v>1285</v>
      </c>
      <c r="N1107" s="7" t="s">
        <v>2404</v>
      </c>
      <c r="O1107" s="7"/>
      <c r="P1107" s="7" t="s">
        <v>2405</v>
      </c>
      <c r="Q1107" s="7"/>
      <c r="R1107" s="7"/>
      <c r="S1107" s="3" t="s">
        <v>40</v>
      </c>
      <c r="T1107" s="7" t="s">
        <v>2406</v>
      </c>
      <c r="U1107" s="7"/>
      <c r="V1107" s="4" t="s">
        <v>42</v>
      </c>
      <c r="W1107" s="4" t="s">
        <v>58</v>
      </c>
      <c r="X1107" s="4" t="s">
        <v>59</v>
      </c>
      <c r="Y1107" s="7" t="s">
        <v>961</v>
      </c>
      <c r="Z1107" s="7"/>
      <c r="AA1107" s="4" t="s">
        <v>46</v>
      </c>
      <c r="AB1107" s="4" t="s">
        <v>115</v>
      </c>
      <c r="AC1107" s="4" t="s">
        <v>962</v>
      </c>
      <c r="AD1107" s="4" t="s">
        <v>2407</v>
      </c>
      <c r="AE1107" s="4" t="s">
        <v>48</v>
      </c>
      <c r="AF1107" s="4" t="s">
        <v>41</v>
      </c>
      <c r="AG1107" s="4" t="s">
        <v>2340</v>
      </c>
    </row>
    <row r="1108" spans="1:33" ht="16.5" customHeight="1" x14ac:dyDescent="0.2">
      <c r="A1108" s="2" t="s">
        <v>31</v>
      </c>
      <c r="B1108" s="5" t="s">
        <v>108</v>
      </c>
      <c r="C1108" s="5"/>
      <c r="D1108" s="5"/>
      <c r="E1108" s="6" t="s">
        <v>33</v>
      </c>
      <c r="F1108" s="6"/>
      <c r="G1108" s="7" t="s">
        <v>2337</v>
      </c>
      <c r="H1108" s="7"/>
      <c r="I1108" s="7"/>
      <c r="J1108" s="3" t="s">
        <v>35</v>
      </c>
      <c r="K1108" s="4" t="s">
        <v>1285</v>
      </c>
      <c r="N1108" s="7" t="s">
        <v>2408</v>
      </c>
      <c r="O1108" s="7"/>
      <c r="P1108" s="7" t="s">
        <v>2409</v>
      </c>
      <c r="Q1108" s="7"/>
      <c r="R1108" s="7"/>
      <c r="S1108" s="3" t="s">
        <v>40</v>
      </c>
      <c r="T1108" s="7" t="s">
        <v>2410</v>
      </c>
      <c r="U1108" s="7"/>
      <c r="V1108" s="4" t="s">
        <v>42</v>
      </c>
      <c r="W1108" s="4" t="s">
        <v>58</v>
      </c>
      <c r="X1108" s="4" t="s">
        <v>59</v>
      </c>
      <c r="Y1108" s="7" t="s">
        <v>937</v>
      </c>
      <c r="Z1108" s="7"/>
      <c r="AA1108" s="4" t="s">
        <v>46</v>
      </c>
      <c r="AB1108" s="4" t="s">
        <v>115</v>
      </c>
      <c r="AC1108" s="4" t="s">
        <v>938</v>
      </c>
      <c r="AD1108" s="4" t="s">
        <v>2411</v>
      </c>
      <c r="AE1108" s="4" t="s">
        <v>48</v>
      </c>
      <c r="AF1108" s="4" t="s">
        <v>41</v>
      </c>
      <c r="AG1108" s="4" t="s">
        <v>2340</v>
      </c>
    </row>
    <row r="1109" spans="1:33" ht="16.5" customHeight="1" x14ac:dyDescent="0.2">
      <c r="A1109" s="2" t="s">
        <v>31</v>
      </c>
      <c r="B1109" s="5" t="s">
        <v>108</v>
      </c>
      <c r="C1109" s="5"/>
      <c r="D1109" s="5"/>
      <c r="E1109" s="6" t="s">
        <v>33</v>
      </c>
      <c r="F1109" s="6"/>
      <c r="G1109" s="7" t="s">
        <v>2337</v>
      </c>
      <c r="H1109" s="7"/>
      <c r="I1109" s="7"/>
      <c r="J1109" s="3" t="s">
        <v>35</v>
      </c>
      <c r="K1109" s="4" t="s">
        <v>2412</v>
      </c>
      <c r="N1109" s="7" t="s">
        <v>2413</v>
      </c>
      <c r="O1109" s="7"/>
      <c r="P1109" s="7" t="s">
        <v>2339</v>
      </c>
      <c r="Q1109" s="7"/>
      <c r="R1109" s="7"/>
      <c r="S1109" s="3" t="s">
        <v>40</v>
      </c>
      <c r="T1109" s="7" t="s">
        <v>2414</v>
      </c>
      <c r="U1109" s="7"/>
      <c r="V1109" s="4" t="s">
        <v>51</v>
      </c>
      <c r="W1109" s="4" t="s">
        <v>76</v>
      </c>
      <c r="X1109" s="4" t="s">
        <v>91</v>
      </c>
      <c r="Y1109" s="7" t="s">
        <v>937</v>
      </c>
      <c r="Z1109" s="7"/>
      <c r="AA1109" s="4" t="s">
        <v>46</v>
      </c>
      <c r="AB1109" s="4" t="s">
        <v>115</v>
      </c>
      <c r="AC1109" s="4" t="s">
        <v>938</v>
      </c>
      <c r="AD1109" s="4" t="s">
        <v>2415</v>
      </c>
      <c r="AE1109" s="4" t="s">
        <v>48</v>
      </c>
      <c r="AF1109" s="4" t="s">
        <v>41</v>
      </c>
      <c r="AG1109" s="4" t="s">
        <v>2340</v>
      </c>
    </row>
    <row r="1110" spans="1:33" ht="16.5" customHeight="1" x14ac:dyDescent="0.2">
      <c r="A1110" s="2" t="s">
        <v>31</v>
      </c>
      <c r="B1110" s="5" t="s">
        <v>108</v>
      </c>
      <c r="C1110" s="5"/>
      <c r="D1110" s="5"/>
      <c r="E1110" s="6" t="s">
        <v>33</v>
      </c>
      <c r="F1110" s="6"/>
      <c r="G1110" s="7" t="s">
        <v>2337</v>
      </c>
      <c r="H1110" s="7"/>
      <c r="I1110" s="7"/>
      <c r="J1110" s="3" t="s">
        <v>35</v>
      </c>
      <c r="K1110" s="4" t="s">
        <v>1285</v>
      </c>
      <c r="N1110" s="7" t="s">
        <v>2416</v>
      </c>
      <c r="O1110" s="7"/>
      <c r="P1110" s="7" t="s">
        <v>2342</v>
      </c>
      <c r="Q1110" s="7"/>
      <c r="R1110" s="7"/>
      <c r="S1110" s="3" t="s">
        <v>40</v>
      </c>
      <c r="T1110" s="7" t="s">
        <v>1715</v>
      </c>
      <c r="U1110" s="7"/>
      <c r="V1110" s="4" t="s">
        <v>51</v>
      </c>
      <c r="W1110" s="4" t="s">
        <v>90</v>
      </c>
      <c r="X1110" s="4" t="s">
        <v>103</v>
      </c>
      <c r="Y1110" s="7" t="s">
        <v>937</v>
      </c>
      <c r="Z1110" s="7"/>
      <c r="AA1110" s="4" t="s">
        <v>46</v>
      </c>
      <c r="AB1110" s="4" t="s">
        <v>115</v>
      </c>
      <c r="AC1110" s="4" t="s">
        <v>938</v>
      </c>
      <c r="AD1110" s="4" t="s">
        <v>1716</v>
      </c>
      <c r="AE1110" s="4" t="s">
        <v>48</v>
      </c>
      <c r="AF1110" s="4" t="s">
        <v>41</v>
      </c>
      <c r="AG1110" s="4" t="s">
        <v>2340</v>
      </c>
    </row>
    <row r="1111" spans="1:33" ht="16.5" customHeight="1" x14ac:dyDescent="0.2">
      <c r="A1111" s="2" t="s">
        <v>31</v>
      </c>
      <c r="B1111" s="5" t="s">
        <v>108</v>
      </c>
      <c r="C1111" s="5"/>
      <c r="D1111" s="5"/>
      <c r="E1111" s="6" t="s">
        <v>33</v>
      </c>
      <c r="F1111" s="6"/>
      <c r="G1111" s="7" t="s">
        <v>2337</v>
      </c>
      <c r="H1111" s="7"/>
      <c r="I1111" s="7"/>
      <c r="J1111" s="3" t="s">
        <v>35</v>
      </c>
      <c r="K1111" s="4" t="s">
        <v>1285</v>
      </c>
      <c r="N1111" s="7" t="s">
        <v>2417</v>
      </c>
      <c r="O1111" s="7"/>
      <c r="P1111" s="7" t="s">
        <v>2418</v>
      </c>
      <c r="Q1111" s="7"/>
      <c r="R1111" s="7"/>
      <c r="S1111" s="3" t="s">
        <v>40</v>
      </c>
      <c r="T1111" s="7" t="s">
        <v>2419</v>
      </c>
      <c r="U1111" s="7"/>
      <c r="V1111" s="4" t="s">
        <v>51</v>
      </c>
      <c r="W1111" s="4" t="s">
        <v>58</v>
      </c>
      <c r="X1111" s="4" t="s">
        <v>128</v>
      </c>
      <c r="Y1111" s="7" t="s">
        <v>961</v>
      </c>
      <c r="Z1111" s="7"/>
      <c r="AA1111" s="4" t="s">
        <v>46</v>
      </c>
      <c r="AB1111" s="4" t="s">
        <v>115</v>
      </c>
      <c r="AC1111" s="4" t="s">
        <v>962</v>
      </c>
      <c r="AD1111" s="4" t="s">
        <v>2420</v>
      </c>
      <c r="AE1111" s="4" t="s">
        <v>48</v>
      </c>
      <c r="AF1111" s="4" t="s">
        <v>41</v>
      </c>
      <c r="AG1111" s="4" t="s">
        <v>2340</v>
      </c>
    </row>
    <row r="1112" spans="1:33" ht="16.5" customHeight="1" x14ac:dyDescent="0.2">
      <c r="A1112" s="2" t="s">
        <v>31</v>
      </c>
      <c r="B1112" s="5" t="s">
        <v>108</v>
      </c>
      <c r="C1112" s="5"/>
      <c r="D1112" s="5"/>
      <c r="E1112" s="6" t="s">
        <v>33</v>
      </c>
      <c r="F1112" s="6"/>
      <c r="G1112" s="7" t="s">
        <v>2337</v>
      </c>
      <c r="H1112" s="7"/>
      <c r="I1112" s="7"/>
      <c r="J1112" s="3" t="s">
        <v>35</v>
      </c>
      <c r="K1112" s="4" t="s">
        <v>1285</v>
      </c>
      <c r="N1112" s="7" t="s">
        <v>2421</v>
      </c>
      <c r="O1112" s="7"/>
      <c r="P1112" s="7" t="s">
        <v>2422</v>
      </c>
      <c r="Q1112" s="7"/>
      <c r="R1112" s="7"/>
      <c r="S1112" s="3" t="s">
        <v>40</v>
      </c>
      <c r="T1112" s="7" t="s">
        <v>2423</v>
      </c>
      <c r="U1112" s="7"/>
      <c r="V1112" s="4" t="s">
        <v>42</v>
      </c>
      <c r="W1112" s="4" t="s">
        <v>58</v>
      </c>
      <c r="X1112" s="4" t="s">
        <v>59</v>
      </c>
      <c r="Y1112" s="7" t="s">
        <v>961</v>
      </c>
      <c r="Z1112" s="7"/>
      <c r="AA1112" s="4" t="s">
        <v>46</v>
      </c>
      <c r="AB1112" s="4" t="s">
        <v>115</v>
      </c>
      <c r="AC1112" s="4" t="s">
        <v>962</v>
      </c>
      <c r="AD1112" s="4" t="s">
        <v>2424</v>
      </c>
      <c r="AE1112" s="4" t="s">
        <v>48</v>
      </c>
      <c r="AF1112" s="4" t="s">
        <v>41</v>
      </c>
      <c r="AG1112" s="4" t="s">
        <v>2340</v>
      </c>
    </row>
    <row r="1113" spans="1:33" ht="16.5" customHeight="1" x14ac:dyDescent="0.2">
      <c r="A1113" s="2" t="s">
        <v>31</v>
      </c>
      <c r="B1113" s="5" t="s">
        <v>108</v>
      </c>
      <c r="C1113" s="5"/>
      <c r="D1113" s="5"/>
      <c r="E1113" s="6" t="s">
        <v>33</v>
      </c>
      <c r="F1113" s="6"/>
      <c r="G1113" s="7" t="s">
        <v>2337</v>
      </c>
      <c r="H1113" s="7"/>
      <c r="I1113" s="7"/>
      <c r="J1113" s="3" t="s">
        <v>35</v>
      </c>
      <c r="K1113" s="4" t="s">
        <v>1285</v>
      </c>
      <c r="N1113" s="7" t="s">
        <v>2421</v>
      </c>
      <c r="O1113" s="7"/>
      <c r="P1113" s="7" t="s">
        <v>2422</v>
      </c>
      <c r="Q1113" s="7"/>
      <c r="R1113" s="7"/>
      <c r="S1113" s="3" t="s">
        <v>40</v>
      </c>
      <c r="T1113" s="7" t="s">
        <v>2423</v>
      </c>
      <c r="U1113" s="7"/>
      <c r="V1113" s="4" t="s">
        <v>51</v>
      </c>
      <c r="W1113" s="4" t="s">
        <v>58</v>
      </c>
      <c r="X1113" s="4" t="s">
        <v>128</v>
      </c>
      <c r="Y1113" s="7" t="s">
        <v>961</v>
      </c>
      <c r="Z1113" s="7"/>
      <c r="AA1113" s="4" t="s">
        <v>46</v>
      </c>
      <c r="AB1113" s="4" t="s">
        <v>115</v>
      </c>
      <c r="AC1113" s="4" t="s">
        <v>962</v>
      </c>
      <c r="AD1113" s="4" t="s">
        <v>2424</v>
      </c>
      <c r="AE1113" s="4" t="s">
        <v>48</v>
      </c>
      <c r="AF1113" s="4" t="s">
        <v>41</v>
      </c>
      <c r="AG1113" s="4" t="s">
        <v>2340</v>
      </c>
    </row>
    <row r="1114" spans="1:33" ht="16.5" customHeight="1" x14ac:dyDescent="0.2">
      <c r="A1114" s="2" t="s">
        <v>31</v>
      </c>
      <c r="B1114" s="5" t="s">
        <v>108</v>
      </c>
      <c r="C1114" s="5"/>
      <c r="D1114" s="5"/>
      <c r="E1114" s="6" t="s">
        <v>33</v>
      </c>
      <c r="F1114" s="6"/>
      <c r="G1114" s="7" t="s">
        <v>2337</v>
      </c>
      <c r="H1114" s="7"/>
      <c r="I1114" s="7"/>
      <c r="J1114" s="3" t="s">
        <v>35</v>
      </c>
      <c r="K1114" s="4" t="s">
        <v>928</v>
      </c>
      <c r="N1114" s="7" t="s">
        <v>2425</v>
      </c>
      <c r="O1114" s="7"/>
      <c r="P1114" s="7" t="s">
        <v>2426</v>
      </c>
      <c r="Q1114" s="7"/>
      <c r="R1114" s="7"/>
      <c r="S1114" s="3" t="s">
        <v>40</v>
      </c>
      <c r="T1114" s="7" t="s">
        <v>2427</v>
      </c>
      <c r="U1114" s="7"/>
      <c r="V1114" s="4" t="s">
        <v>51</v>
      </c>
      <c r="W1114" s="4" t="s">
        <v>58</v>
      </c>
      <c r="X1114" s="4" t="s">
        <v>128</v>
      </c>
      <c r="Y1114" s="7" t="s">
        <v>915</v>
      </c>
      <c r="Z1114" s="7"/>
      <c r="AA1114" s="4" t="s">
        <v>46</v>
      </c>
      <c r="AB1114" s="4" t="s">
        <v>115</v>
      </c>
      <c r="AC1114" s="4" t="s">
        <v>916</v>
      </c>
      <c r="AD1114" s="4" t="s">
        <v>2428</v>
      </c>
      <c r="AE1114" s="4" t="s">
        <v>48</v>
      </c>
      <c r="AF1114" s="4" t="s">
        <v>41</v>
      </c>
      <c r="AG1114" s="4" t="s">
        <v>2340</v>
      </c>
    </row>
    <row r="1115" spans="1:33" ht="16.5" customHeight="1" x14ac:dyDescent="0.2">
      <c r="A1115" s="2" t="s">
        <v>31</v>
      </c>
      <c r="B1115" s="5" t="s">
        <v>108</v>
      </c>
      <c r="C1115" s="5"/>
      <c r="D1115" s="5"/>
      <c r="E1115" s="6" t="s">
        <v>33</v>
      </c>
      <c r="F1115" s="6"/>
      <c r="G1115" s="7" t="s">
        <v>2337</v>
      </c>
      <c r="H1115" s="7"/>
      <c r="I1115" s="7"/>
      <c r="J1115" s="3" t="s">
        <v>35</v>
      </c>
      <c r="K1115" s="4" t="s">
        <v>1285</v>
      </c>
      <c r="N1115" s="7" t="s">
        <v>2429</v>
      </c>
      <c r="O1115" s="7"/>
      <c r="P1115" s="7" t="s">
        <v>2430</v>
      </c>
      <c r="Q1115" s="7"/>
      <c r="R1115" s="7"/>
      <c r="S1115" s="3" t="s">
        <v>40</v>
      </c>
      <c r="T1115" s="7" t="s">
        <v>2431</v>
      </c>
      <c r="U1115" s="7"/>
      <c r="V1115" s="4" t="s">
        <v>51</v>
      </c>
      <c r="W1115" s="4" t="s">
        <v>58</v>
      </c>
      <c r="X1115" s="4" t="s">
        <v>128</v>
      </c>
      <c r="Y1115" s="7" t="s">
        <v>937</v>
      </c>
      <c r="Z1115" s="7"/>
      <c r="AA1115" s="4" t="s">
        <v>46</v>
      </c>
      <c r="AB1115" s="4" t="s">
        <v>115</v>
      </c>
      <c r="AC1115" s="4" t="s">
        <v>938</v>
      </c>
      <c r="AD1115" s="4" t="s">
        <v>2432</v>
      </c>
      <c r="AE1115" s="4" t="s">
        <v>48</v>
      </c>
      <c r="AF1115" s="4" t="s">
        <v>41</v>
      </c>
      <c r="AG1115" s="4" t="s">
        <v>2340</v>
      </c>
    </row>
    <row r="1116" spans="1:33" ht="16.5" customHeight="1" x14ac:dyDescent="0.2">
      <c r="A1116" s="2" t="s">
        <v>31</v>
      </c>
      <c r="B1116" s="5" t="s">
        <v>108</v>
      </c>
      <c r="C1116" s="5"/>
      <c r="D1116" s="5"/>
      <c r="E1116" s="6" t="s">
        <v>33</v>
      </c>
      <c r="F1116" s="6"/>
      <c r="G1116" s="7" t="s">
        <v>2337</v>
      </c>
      <c r="H1116" s="7"/>
      <c r="I1116" s="7"/>
      <c r="J1116" s="3" t="s">
        <v>35</v>
      </c>
      <c r="K1116" s="4" t="s">
        <v>1285</v>
      </c>
      <c r="N1116" s="7" t="s">
        <v>2433</v>
      </c>
      <c r="O1116" s="7"/>
      <c r="P1116" s="7" t="s">
        <v>2434</v>
      </c>
      <c r="Q1116" s="7"/>
      <c r="R1116" s="7"/>
      <c r="S1116" s="3" t="s">
        <v>40</v>
      </c>
      <c r="T1116" s="7" t="s">
        <v>2435</v>
      </c>
      <c r="U1116" s="7"/>
      <c r="V1116" s="4" t="s">
        <v>51</v>
      </c>
      <c r="W1116" s="4" t="s">
        <v>58</v>
      </c>
      <c r="X1116" s="4" t="s">
        <v>128</v>
      </c>
      <c r="Y1116" s="7" t="s">
        <v>937</v>
      </c>
      <c r="Z1116" s="7"/>
      <c r="AA1116" s="4" t="s">
        <v>46</v>
      </c>
      <c r="AB1116" s="4" t="s">
        <v>115</v>
      </c>
      <c r="AC1116" s="4" t="s">
        <v>938</v>
      </c>
      <c r="AD1116" s="4" t="s">
        <v>2436</v>
      </c>
      <c r="AE1116" s="4" t="s">
        <v>48</v>
      </c>
      <c r="AF1116" s="4" t="s">
        <v>41</v>
      </c>
      <c r="AG1116" s="4" t="s">
        <v>2340</v>
      </c>
    </row>
    <row r="1117" spans="1:33" ht="16.5" customHeight="1" x14ac:dyDescent="0.2">
      <c r="A1117" s="2" t="s">
        <v>31</v>
      </c>
      <c r="B1117" s="5" t="s">
        <v>108</v>
      </c>
      <c r="C1117" s="5"/>
      <c r="D1117" s="5"/>
      <c r="E1117" s="6" t="s">
        <v>33</v>
      </c>
      <c r="F1117" s="6"/>
      <c r="G1117" s="7" t="s">
        <v>2337</v>
      </c>
      <c r="H1117" s="7"/>
      <c r="I1117" s="7"/>
      <c r="J1117" s="3" t="s">
        <v>35</v>
      </c>
      <c r="K1117" s="4" t="s">
        <v>1285</v>
      </c>
      <c r="N1117" s="7" t="s">
        <v>2437</v>
      </c>
      <c r="O1117" s="7"/>
      <c r="P1117" s="7" t="s">
        <v>2438</v>
      </c>
      <c r="Q1117" s="7"/>
      <c r="R1117" s="7"/>
      <c r="S1117" s="3" t="s">
        <v>40</v>
      </c>
      <c r="T1117" s="7" t="s">
        <v>2439</v>
      </c>
      <c r="U1117" s="7"/>
      <c r="V1117" s="4" t="s">
        <v>51</v>
      </c>
      <c r="W1117" s="4" t="s">
        <v>58</v>
      </c>
      <c r="X1117" s="4" t="s">
        <v>128</v>
      </c>
      <c r="Y1117" s="7" t="s">
        <v>961</v>
      </c>
      <c r="Z1117" s="7"/>
      <c r="AA1117" s="4" t="s">
        <v>46</v>
      </c>
      <c r="AB1117" s="4" t="s">
        <v>115</v>
      </c>
      <c r="AC1117" s="4" t="s">
        <v>962</v>
      </c>
      <c r="AD1117" s="4" t="s">
        <v>2440</v>
      </c>
      <c r="AE1117" s="4" t="s">
        <v>48</v>
      </c>
      <c r="AF1117" s="4" t="s">
        <v>41</v>
      </c>
      <c r="AG1117" s="4" t="s">
        <v>2340</v>
      </c>
    </row>
    <row r="1118" spans="1:33" ht="16.5" customHeight="1" x14ac:dyDescent="0.2">
      <c r="A1118" s="2" t="s">
        <v>31</v>
      </c>
      <c r="B1118" s="5" t="s">
        <v>108</v>
      </c>
      <c r="C1118" s="5"/>
      <c r="D1118" s="5"/>
      <c r="E1118" s="6" t="s">
        <v>33</v>
      </c>
      <c r="F1118" s="6"/>
      <c r="G1118" s="7" t="s">
        <v>2337</v>
      </c>
      <c r="H1118" s="7"/>
      <c r="I1118" s="7"/>
      <c r="J1118" s="3" t="s">
        <v>35</v>
      </c>
      <c r="K1118" s="4" t="s">
        <v>1285</v>
      </c>
      <c r="N1118" s="7" t="s">
        <v>2441</v>
      </c>
      <c r="O1118" s="7"/>
      <c r="P1118" s="7" t="s">
        <v>2442</v>
      </c>
      <c r="Q1118" s="7"/>
      <c r="R1118" s="7"/>
      <c r="S1118" s="3" t="s">
        <v>40</v>
      </c>
      <c r="T1118" s="7" t="s">
        <v>2443</v>
      </c>
      <c r="U1118" s="7"/>
      <c r="V1118" s="4" t="s">
        <v>51</v>
      </c>
      <c r="W1118" s="4" t="s">
        <v>58</v>
      </c>
      <c r="X1118" s="4" t="s">
        <v>128</v>
      </c>
      <c r="Y1118" s="7" t="s">
        <v>961</v>
      </c>
      <c r="Z1118" s="7"/>
      <c r="AA1118" s="4" t="s">
        <v>46</v>
      </c>
      <c r="AB1118" s="4" t="s">
        <v>115</v>
      </c>
      <c r="AC1118" s="4" t="s">
        <v>962</v>
      </c>
      <c r="AD1118" s="4" t="s">
        <v>2444</v>
      </c>
      <c r="AE1118" s="4" t="s">
        <v>48</v>
      </c>
      <c r="AF1118" s="4" t="s">
        <v>41</v>
      </c>
      <c r="AG1118" s="4" t="s">
        <v>2340</v>
      </c>
    </row>
    <row r="1119" spans="1:33" ht="16.5" customHeight="1" x14ac:dyDescent="0.2">
      <c r="A1119" s="2" t="s">
        <v>31</v>
      </c>
      <c r="B1119" s="5" t="s">
        <v>54</v>
      </c>
      <c r="C1119" s="5"/>
      <c r="D1119" s="5"/>
      <c r="E1119" s="6" t="s">
        <v>33</v>
      </c>
      <c r="F1119" s="6"/>
      <c r="G1119" s="7" t="s">
        <v>2445</v>
      </c>
      <c r="H1119" s="7"/>
      <c r="I1119" s="7"/>
      <c r="J1119" s="3" t="s">
        <v>35</v>
      </c>
      <c r="K1119" s="4" t="s">
        <v>149</v>
      </c>
      <c r="L1119" s="4" t="s">
        <v>37</v>
      </c>
      <c r="N1119" s="7" t="s">
        <v>2446</v>
      </c>
      <c r="O1119" s="7"/>
      <c r="P1119" s="7" t="s">
        <v>2447</v>
      </c>
      <c r="Q1119" s="7"/>
      <c r="R1119" s="7"/>
      <c r="S1119" s="3" t="s">
        <v>40</v>
      </c>
      <c r="T1119" s="7" t="s">
        <v>41</v>
      </c>
      <c r="U1119" s="7"/>
      <c r="V1119" s="4" t="s">
        <v>42</v>
      </c>
      <c r="W1119" s="4" t="s">
        <v>557</v>
      </c>
      <c r="X1119" s="4" t="s">
        <v>170</v>
      </c>
      <c r="Y1119" s="7" t="s">
        <v>78</v>
      </c>
      <c r="Z1119" s="7"/>
      <c r="AA1119" s="4" t="s">
        <v>46</v>
      </c>
      <c r="AB1119" s="4" t="s">
        <v>47</v>
      </c>
      <c r="AC1119" s="4" t="s">
        <v>136</v>
      </c>
      <c r="AD1119" s="4" t="s">
        <v>137</v>
      </c>
      <c r="AE1119" s="4" t="s">
        <v>48</v>
      </c>
      <c r="AF1119" s="4" t="s">
        <v>41</v>
      </c>
      <c r="AG1119" s="4" t="s">
        <v>2448</v>
      </c>
    </row>
    <row r="1120" spans="1:33" ht="16.5" customHeight="1" x14ac:dyDescent="0.2">
      <c r="A1120" s="2" t="s">
        <v>31</v>
      </c>
      <c r="B1120" s="5" t="s">
        <v>54</v>
      </c>
      <c r="C1120" s="5"/>
      <c r="D1120" s="5"/>
      <c r="E1120" s="6" t="s">
        <v>33</v>
      </c>
      <c r="F1120" s="6"/>
      <c r="G1120" s="7" t="s">
        <v>2445</v>
      </c>
      <c r="H1120" s="7"/>
      <c r="I1120" s="7"/>
      <c r="J1120" s="3" t="s">
        <v>35</v>
      </c>
      <c r="K1120" s="4" t="s">
        <v>149</v>
      </c>
      <c r="L1120" s="4" t="s">
        <v>37</v>
      </c>
      <c r="N1120" s="7" t="s">
        <v>2449</v>
      </c>
      <c r="O1120" s="7"/>
      <c r="P1120" s="7" t="s">
        <v>2450</v>
      </c>
      <c r="Q1120" s="7"/>
      <c r="R1120" s="7"/>
      <c r="S1120" s="3" t="s">
        <v>40</v>
      </c>
      <c r="T1120" s="7" t="s">
        <v>41</v>
      </c>
      <c r="U1120" s="7"/>
      <c r="V1120" s="4" t="s">
        <v>42</v>
      </c>
      <c r="W1120" s="4" t="s">
        <v>200</v>
      </c>
      <c r="X1120" s="4" t="s">
        <v>201</v>
      </c>
      <c r="Y1120" s="7" t="s">
        <v>78</v>
      </c>
      <c r="Z1120" s="7"/>
      <c r="AA1120" s="4" t="s">
        <v>46</v>
      </c>
      <c r="AB1120" s="4" t="s">
        <v>47</v>
      </c>
      <c r="AC1120" s="4" t="s">
        <v>136</v>
      </c>
      <c r="AD1120" s="4" t="s">
        <v>137</v>
      </c>
      <c r="AE1120" s="4" t="s">
        <v>48</v>
      </c>
      <c r="AF1120" s="4" t="s">
        <v>41</v>
      </c>
      <c r="AG1120" s="4" t="s">
        <v>2448</v>
      </c>
    </row>
    <row r="1121" spans="1:33" ht="16.5" customHeight="1" x14ac:dyDescent="0.2">
      <c r="A1121" s="2" t="s">
        <v>31</v>
      </c>
      <c r="B1121" s="5" t="s">
        <v>54</v>
      </c>
      <c r="C1121" s="5"/>
      <c r="D1121" s="5"/>
      <c r="E1121" s="6" t="s">
        <v>33</v>
      </c>
      <c r="F1121" s="6"/>
      <c r="G1121" s="7" t="s">
        <v>2445</v>
      </c>
      <c r="H1121" s="7"/>
      <c r="I1121" s="7"/>
      <c r="J1121" s="3" t="s">
        <v>35</v>
      </c>
      <c r="K1121" s="4" t="s">
        <v>149</v>
      </c>
      <c r="L1121" s="4" t="s">
        <v>280</v>
      </c>
      <c r="N1121" s="7" t="s">
        <v>2451</v>
      </c>
      <c r="O1121" s="7"/>
      <c r="P1121" s="7" t="s">
        <v>2452</v>
      </c>
      <c r="Q1121" s="7"/>
      <c r="R1121" s="7"/>
      <c r="S1121" s="3" t="s">
        <v>40</v>
      </c>
      <c r="T1121" s="7" t="s">
        <v>41</v>
      </c>
      <c r="U1121" s="7"/>
      <c r="V1121" s="4" t="s">
        <v>42</v>
      </c>
      <c r="W1121" s="4" t="s">
        <v>274</v>
      </c>
      <c r="X1121" s="4" t="s">
        <v>275</v>
      </c>
      <c r="Y1121" s="7" t="s">
        <v>78</v>
      </c>
      <c r="Z1121" s="7"/>
      <c r="AA1121" s="4" t="s">
        <v>46</v>
      </c>
      <c r="AB1121" s="4" t="s">
        <v>47</v>
      </c>
      <c r="AC1121" s="4" t="s">
        <v>136</v>
      </c>
      <c r="AD1121" s="4" t="s">
        <v>324</v>
      </c>
      <c r="AE1121" s="4" t="s">
        <v>48</v>
      </c>
      <c r="AF1121" s="4" t="s">
        <v>41</v>
      </c>
      <c r="AG1121" s="4" t="s">
        <v>2448</v>
      </c>
    </row>
    <row r="1122" spans="1:33" ht="16.5" customHeight="1" x14ac:dyDescent="0.2">
      <c r="A1122" s="2" t="s">
        <v>31</v>
      </c>
      <c r="B1122" s="5" t="s">
        <v>54</v>
      </c>
      <c r="C1122" s="5"/>
      <c r="D1122" s="5"/>
      <c r="E1122" s="6" t="s">
        <v>33</v>
      </c>
      <c r="F1122" s="6"/>
      <c r="G1122" s="7" t="s">
        <v>2445</v>
      </c>
      <c r="H1122" s="7"/>
      <c r="I1122" s="7"/>
      <c r="J1122" s="3" t="s">
        <v>35</v>
      </c>
      <c r="K1122" s="4" t="s">
        <v>97</v>
      </c>
      <c r="L1122" s="4" t="s">
        <v>37</v>
      </c>
      <c r="N1122" s="7" t="s">
        <v>2453</v>
      </c>
      <c r="O1122" s="7"/>
      <c r="P1122" s="7" t="s">
        <v>2454</v>
      </c>
      <c r="Q1122" s="7"/>
      <c r="R1122" s="7"/>
      <c r="S1122" s="3" t="s">
        <v>40</v>
      </c>
      <c r="T1122" s="7" t="s">
        <v>41</v>
      </c>
      <c r="U1122" s="7"/>
      <c r="V1122" s="4" t="s">
        <v>42</v>
      </c>
      <c r="W1122" s="4" t="s">
        <v>274</v>
      </c>
      <c r="X1122" s="4" t="s">
        <v>275</v>
      </c>
      <c r="Y1122" s="7" t="s">
        <v>78</v>
      </c>
      <c r="Z1122" s="7"/>
      <c r="AA1122" s="4" t="s">
        <v>46</v>
      </c>
      <c r="AB1122" s="4" t="s">
        <v>47</v>
      </c>
      <c r="AC1122" s="4" t="s">
        <v>136</v>
      </c>
      <c r="AD1122" s="4" t="s">
        <v>137</v>
      </c>
      <c r="AE1122" s="4" t="s">
        <v>48</v>
      </c>
      <c r="AF1122" s="4" t="s">
        <v>41</v>
      </c>
      <c r="AG1122" s="4" t="s">
        <v>2448</v>
      </c>
    </row>
    <row r="1123" spans="1:33" ht="16.5" customHeight="1" x14ac:dyDescent="0.2">
      <c r="A1123" s="2" t="s">
        <v>31</v>
      </c>
      <c r="B1123" s="5" t="s">
        <v>54</v>
      </c>
      <c r="C1123" s="5"/>
      <c r="D1123" s="5"/>
      <c r="E1123" s="6" t="s">
        <v>33</v>
      </c>
      <c r="F1123" s="6"/>
      <c r="G1123" s="7" t="s">
        <v>2445</v>
      </c>
      <c r="H1123" s="7"/>
      <c r="I1123" s="7"/>
      <c r="J1123" s="3" t="s">
        <v>35</v>
      </c>
      <c r="K1123" s="4" t="s">
        <v>97</v>
      </c>
      <c r="L1123" s="4" t="s">
        <v>37</v>
      </c>
      <c r="N1123" s="7" t="s">
        <v>2455</v>
      </c>
      <c r="O1123" s="7"/>
      <c r="P1123" s="7" t="s">
        <v>2456</v>
      </c>
      <c r="Q1123" s="7"/>
      <c r="R1123" s="7"/>
      <c r="S1123" s="3" t="s">
        <v>40</v>
      </c>
      <c r="T1123" s="7" t="s">
        <v>41</v>
      </c>
      <c r="U1123" s="7"/>
      <c r="V1123" s="4" t="s">
        <v>42</v>
      </c>
      <c r="W1123" s="4" t="s">
        <v>818</v>
      </c>
      <c r="X1123" s="4" t="s">
        <v>789</v>
      </c>
      <c r="Y1123" s="7" t="s">
        <v>78</v>
      </c>
      <c r="Z1123" s="7"/>
      <c r="AA1123" s="4" t="s">
        <v>46</v>
      </c>
      <c r="AB1123" s="4" t="s">
        <v>47</v>
      </c>
      <c r="AC1123" s="4" t="s">
        <v>136</v>
      </c>
      <c r="AD1123" s="4" t="s">
        <v>137</v>
      </c>
      <c r="AE1123" s="4" t="s">
        <v>48</v>
      </c>
      <c r="AF1123" s="4" t="s">
        <v>41</v>
      </c>
      <c r="AG1123" s="4" t="s">
        <v>2448</v>
      </c>
    </row>
    <row r="1124" spans="1:33" ht="16.5" customHeight="1" x14ac:dyDescent="0.2">
      <c r="A1124" s="2" t="s">
        <v>31</v>
      </c>
      <c r="B1124" s="5" t="s">
        <v>54</v>
      </c>
      <c r="C1124" s="5"/>
      <c r="D1124" s="5"/>
      <c r="E1124" s="6" t="s">
        <v>33</v>
      </c>
      <c r="F1124" s="6"/>
      <c r="G1124" s="7" t="s">
        <v>2445</v>
      </c>
      <c r="H1124" s="7"/>
      <c r="I1124" s="7"/>
      <c r="J1124" s="3" t="s">
        <v>35</v>
      </c>
      <c r="K1124" s="4" t="s">
        <v>149</v>
      </c>
      <c r="L1124" s="4" t="s">
        <v>37</v>
      </c>
      <c r="N1124" s="7" t="s">
        <v>2457</v>
      </c>
      <c r="O1124" s="7"/>
      <c r="P1124" s="7" t="s">
        <v>2458</v>
      </c>
      <c r="Q1124" s="7"/>
      <c r="R1124" s="7"/>
      <c r="S1124" s="3" t="s">
        <v>40</v>
      </c>
      <c r="T1124" s="7" t="s">
        <v>41</v>
      </c>
      <c r="U1124" s="7"/>
      <c r="V1124" s="4" t="s">
        <v>42</v>
      </c>
      <c r="W1124" s="4" t="s">
        <v>825</v>
      </c>
      <c r="X1124" s="4" t="s">
        <v>430</v>
      </c>
      <c r="Y1124" s="7" t="s">
        <v>78</v>
      </c>
      <c r="Z1124" s="7"/>
      <c r="AA1124" s="4" t="s">
        <v>46</v>
      </c>
      <c r="AB1124" s="4" t="s">
        <v>47</v>
      </c>
      <c r="AC1124" s="4" t="s">
        <v>136</v>
      </c>
      <c r="AD1124" s="4" t="s">
        <v>137</v>
      </c>
      <c r="AE1124" s="4" t="s">
        <v>48</v>
      </c>
      <c r="AF1124" s="4" t="s">
        <v>41</v>
      </c>
      <c r="AG1124" s="4" t="s">
        <v>2448</v>
      </c>
    </row>
    <row r="1125" spans="1:33" ht="16.5" customHeight="1" x14ac:dyDescent="0.2">
      <c r="A1125" s="2" t="s">
        <v>31</v>
      </c>
      <c r="B1125" s="5" t="s">
        <v>54</v>
      </c>
      <c r="C1125" s="5"/>
      <c r="D1125" s="5"/>
      <c r="E1125" s="6" t="s">
        <v>33</v>
      </c>
      <c r="F1125" s="6"/>
      <c r="G1125" s="7" t="s">
        <v>2445</v>
      </c>
      <c r="H1125" s="7"/>
      <c r="I1125" s="7"/>
      <c r="J1125" s="3" t="s">
        <v>35</v>
      </c>
      <c r="K1125" s="4" t="s">
        <v>149</v>
      </c>
      <c r="L1125" s="4" t="s">
        <v>37</v>
      </c>
      <c r="N1125" s="7" t="s">
        <v>2459</v>
      </c>
      <c r="O1125" s="7"/>
      <c r="P1125" s="7" t="s">
        <v>2460</v>
      </c>
      <c r="Q1125" s="7"/>
      <c r="R1125" s="7"/>
      <c r="S1125" s="3" t="s">
        <v>40</v>
      </c>
      <c r="T1125" s="7" t="s">
        <v>41</v>
      </c>
      <c r="U1125" s="7"/>
      <c r="V1125" s="4" t="s">
        <v>42</v>
      </c>
      <c r="W1125" s="4" t="s">
        <v>323</v>
      </c>
      <c r="X1125" s="4" t="s">
        <v>52</v>
      </c>
      <c r="Y1125" s="7" t="s">
        <v>78</v>
      </c>
      <c r="Z1125" s="7"/>
      <c r="AA1125" s="4" t="s">
        <v>46</v>
      </c>
      <c r="AB1125" s="4" t="s">
        <v>47</v>
      </c>
      <c r="AC1125" s="4" t="s">
        <v>136</v>
      </c>
      <c r="AD1125" s="4" t="s">
        <v>137</v>
      </c>
      <c r="AE1125" s="4" t="s">
        <v>48</v>
      </c>
      <c r="AF1125" s="4" t="s">
        <v>41</v>
      </c>
      <c r="AG1125" s="4" t="s">
        <v>2448</v>
      </c>
    </row>
    <row r="1126" spans="1:33" ht="16.5" customHeight="1" x14ac:dyDescent="0.2">
      <c r="A1126" s="2" t="s">
        <v>31</v>
      </c>
      <c r="B1126" s="5" t="s">
        <v>54</v>
      </c>
      <c r="C1126" s="5"/>
      <c r="D1126" s="5"/>
      <c r="E1126" s="6" t="s">
        <v>33</v>
      </c>
      <c r="F1126" s="6"/>
      <c r="G1126" s="7" t="s">
        <v>2445</v>
      </c>
      <c r="H1126" s="7"/>
      <c r="I1126" s="7"/>
      <c r="J1126" s="3" t="s">
        <v>35</v>
      </c>
      <c r="K1126" s="4" t="s">
        <v>55</v>
      </c>
      <c r="L1126" s="4" t="s">
        <v>37</v>
      </c>
      <c r="N1126" s="7" t="s">
        <v>2461</v>
      </c>
      <c r="O1126" s="7"/>
      <c r="P1126" s="7" t="s">
        <v>2462</v>
      </c>
      <c r="Q1126" s="7"/>
      <c r="R1126" s="7"/>
      <c r="S1126" s="3" t="s">
        <v>40</v>
      </c>
      <c r="T1126" s="7" t="s">
        <v>41</v>
      </c>
      <c r="U1126" s="7"/>
      <c r="V1126" s="4" t="s">
        <v>42</v>
      </c>
      <c r="W1126" s="4" t="s">
        <v>68</v>
      </c>
      <c r="X1126" s="4" t="s">
        <v>69</v>
      </c>
      <c r="Y1126" s="7" t="s">
        <v>60</v>
      </c>
      <c r="Z1126" s="7"/>
      <c r="AA1126" s="4" t="s">
        <v>46</v>
      </c>
      <c r="AB1126" s="4" t="s">
        <v>47</v>
      </c>
      <c r="AC1126" s="4" t="s">
        <v>61</v>
      </c>
      <c r="AD1126" s="4" t="s">
        <v>62</v>
      </c>
      <c r="AE1126" s="4" t="s">
        <v>48</v>
      </c>
      <c r="AF1126" s="4" t="s">
        <v>41</v>
      </c>
      <c r="AG1126" s="4" t="s">
        <v>2448</v>
      </c>
    </row>
    <row r="1127" spans="1:33" ht="16.5" customHeight="1" x14ac:dyDescent="0.2">
      <c r="A1127" s="2" t="s">
        <v>31</v>
      </c>
      <c r="B1127" s="5" t="s">
        <v>54</v>
      </c>
      <c r="C1127" s="5"/>
      <c r="D1127" s="5"/>
      <c r="E1127" s="6" t="s">
        <v>33</v>
      </c>
      <c r="F1127" s="6"/>
      <c r="G1127" s="7" t="s">
        <v>2445</v>
      </c>
      <c r="H1127" s="7"/>
      <c r="I1127" s="7"/>
      <c r="J1127" s="3" t="s">
        <v>35</v>
      </c>
      <c r="K1127" s="4" t="s">
        <v>192</v>
      </c>
      <c r="L1127" s="4" t="s">
        <v>37</v>
      </c>
      <c r="N1127" s="7" t="s">
        <v>2463</v>
      </c>
      <c r="O1127" s="7"/>
      <c r="P1127" s="7" t="s">
        <v>2464</v>
      </c>
      <c r="Q1127" s="7"/>
      <c r="R1127" s="7"/>
      <c r="S1127" s="3" t="s">
        <v>40</v>
      </c>
      <c r="T1127" s="7" t="s">
        <v>41</v>
      </c>
      <c r="U1127" s="7"/>
      <c r="V1127" s="4" t="s">
        <v>42</v>
      </c>
      <c r="W1127" s="4" t="s">
        <v>68</v>
      </c>
      <c r="X1127" s="4" t="s">
        <v>69</v>
      </c>
      <c r="Y1127" s="7" t="s">
        <v>197</v>
      </c>
      <c r="Z1127" s="7"/>
      <c r="AA1127" s="4" t="s">
        <v>46</v>
      </c>
      <c r="AB1127" s="4" t="s">
        <v>47</v>
      </c>
      <c r="AC1127" s="4" t="s">
        <v>136</v>
      </c>
      <c r="AD1127" s="4" t="s">
        <v>137</v>
      </c>
      <c r="AE1127" s="4" t="s">
        <v>48</v>
      </c>
      <c r="AF1127" s="4" t="s">
        <v>41</v>
      </c>
      <c r="AG1127" s="4" t="s">
        <v>2448</v>
      </c>
    </row>
    <row r="1128" spans="1:33" ht="16.5" customHeight="1" x14ac:dyDescent="0.2">
      <c r="A1128" s="2" t="s">
        <v>31</v>
      </c>
      <c r="B1128" s="5" t="s">
        <v>54</v>
      </c>
      <c r="C1128" s="5"/>
      <c r="D1128" s="5"/>
      <c r="E1128" s="6" t="s">
        <v>33</v>
      </c>
      <c r="F1128" s="6"/>
      <c r="G1128" s="7" t="s">
        <v>2445</v>
      </c>
      <c r="H1128" s="7"/>
      <c r="I1128" s="7"/>
      <c r="J1128" s="3" t="s">
        <v>35</v>
      </c>
      <c r="K1128" s="4" t="s">
        <v>387</v>
      </c>
      <c r="L1128" s="4" t="s">
        <v>37</v>
      </c>
      <c r="N1128" s="7" t="s">
        <v>2465</v>
      </c>
      <c r="O1128" s="7"/>
      <c r="P1128" s="7" t="s">
        <v>2466</v>
      </c>
      <c r="Q1128" s="7"/>
      <c r="R1128" s="7"/>
      <c r="S1128" s="3" t="s">
        <v>40</v>
      </c>
      <c r="T1128" s="7" t="s">
        <v>41</v>
      </c>
      <c r="U1128" s="7"/>
      <c r="V1128" s="4" t="s">
        <v>42</v>
      </c>
      <c r="W1128" s="4" t="s">
        <v>76</v>
      </c>
      <c r="X1128" s="4" t="s">
        <v>77</v>
      </c>
      <c r="Y1128" s="7" t="s">
        <v>197</v>
      </c>
      <c r="Z1128" s="7"/>
      <c r="AA1128" s="4" t="s">
        <v>46</v>
      </c>
      <c r="AB1128" s="4" t="s">
        <v>47</v>
      </c>
      <c r="AC1128" s="4" t="s">
        <v>136</v>
      </c>
      <c r="AD1128" s="4" t="s">
        <v>137</v>
      </c>
      <c r="AE1128" s="4" t="s">
        <v>48</v>
      </c>
      <c r="AF1128" s="4" t="s">
        <v>41</v>
      </c>
      <c r="AG1128" s="4" t="s">
        <v>2448</v>
      </c>
    </row>
    <row r="1129" spans="1:33" ht="16.5" customHeight="1" x14ac:dyDescent="0.2">
      <c r="A1129" s="2" t="s">
        <v>31</v>
      </c>
      <c r="B1129" s="5" t="s">
        <v>54</v>
      </c>
      <c r="C1129" s="5"/>
      <c r="D1129" s="5"/>
      <c r="E1129" s="6" t="s">
        <v>33</v>
      </c>
      <c r="F1129" s="6"/>
      <c r="G1129" s="7" t="s">
        <v>2445</v>
      </c>
      <c r="H1129" s="7"/>
      <c r="I1129" s="7"/>
      <c r="J1129" s="3" t="s">
        <v>35</v>
      </c>
      <c r="K1129" s="4" t="s">
        <v>97</v>
      </c>
      <c r="L1129" s="4" t="s">
        <v>37</v>
      </c>
      <c r="N1129" s="7" t="s">
        <v>2467</v>
      </c>
      <c r="O1129" s="7"/>
      <c r="P1129" s="7" t="s">
        <v>2468</v>
      </c>
      <c r="Q1129" s="7"/>
      <c r="R1129" s="7"/>
      <c r="S1129" s="3" t="s">
        <v>40</v>
      </c>
      <c r="T1129" s="7" t="s">
        <v>41</v>
      </c>
      <c r="U1129" s="7"/>
      <c r="V1129" s="4" t="s">
        <v>42</v>
      </c>
      <c r="W1129" s="4" t="s">
        <v>76</v>
      </c>
      <c r="X1129" s="4" t="s">
        <v>77</v>
      </c>
      <c r="Y1129" s="7" t="s">
        <v>78</v>
      </c>
      <c r="Z1129" s="7"/>
      <c r="AA1129" s="4" t="s">
        <v>46</v>
      </c>
      <c r="AB1129" s="4" t="s">
        <v>47</v>
      </c>
      <c r="AC1129" s="4" t="s">
        <v>79</v>
      </c>
      <c r="AD1129" s="4" t="s">
        <v>80</v>
      </c>
      <c r="AE1129" s="4" t="s">
        <v>48</v>
      </c>
      <c r="AF1129" s="4" t="s">
        <v>41</v>
      </c>
      <c r="AG1129" s="4" t="s">
        <v>2448</v>
      </c>
    </row>
    <row r="1130" spans="1:33" ht="16.5" customHeight="1" x14ac:dyDescent="0.2">
      <c r="A1130" s="2" t="s">
        <v>31</v>
      </c>
      <c r="B1130" s="5" t="s">
        <v>54</v>
      </c>
      <c r="C1130" s="5"/>
      <c r="D1130" s="5"/>
      <c r="E1130" s="6" t="s">
        <v>33</v>
      </c>
      <c r="F1130" s="6"/>
      <c r="G1130" s="7" t="s">
        <v>2445</v>
      </c>
      <c r="H1130" s="7"/>
      <c r="I1130" s="7"/>
      <c r="J1130" s="3" t="s">
        <v>35</v>
      </c>
      <c r="K1130" s="4" t="s">
        <v>97</v>
      </c>
      <c r="L1130" s="4" t="s">
        <v>37</v>
      </c>
      <c r="N1130" s="7" t="s">
        <v>2467</v>
      </c>
      <c r="O1130" s="7"/>
      <c r="P1130" s="7" t="s">
        <v>2468</v>
      </c>
      <c r="Q1130" s="7"/>
      <c r="R1130" s="7"/>
      <c r="S1130" s="3" t="s">
        <v>40</v>
      </c>
      <c r="T1130" s="7" t="s">
        <v>41</v>
      </c>
      <c r="U1130" s="7"/>
      <c r="V1130" s="4" t="s">
        <v>51</v>
      </c>
      <c r="W1130" s="4" t="s">
        <v>76</v>
      </c>
      <c r="X1130" s="4" t="s">
        <v>91</v>
      </c>
      <c r="Y1130" s="7" t="s">
        <v>78</v>
      </c>
      <c r="Z1130" s="7"/>
      <c r="AA1130" s="4" t="s">
        <v>46</v>
      </c>
      <c r="AB1130" s="4" t="s">
        <v>47</v>
      </c>
      <c r="AC1130" s="4" t="s">
        <v>79</v>
      </c>
      <c r="AD1130" s="4" t="s">
        <v>80</v>
      </c>
      <c r="AE1130" s="4" t="s">
        <v>48</v>
      </c>
      <c r="AF1130" s="4" t="s">
        <v>41</v>
      </c>
      <c r="AG1130" s="4" t="s">
        <v>2448</v>
      </c>
    </row>
    <row r="1131" spans="1:33" ht="16.5" customHeight="1" x14ac:dyDescent="0.2">
      <c r="A1131" s="2" t="s">
        <v>31</v>
      </c>
      <c r="B1131" s="5" t="s">
        <v>54</v>
      </c>
      <c r="C1131" s="5"/>
      <c r="D1131" s="5"/>
      <c r="E1131" s="6" t="s">
        <v>33</v>
      </c>
      <c r="F1131" s="6"/>
      <c r="G1131" s="7" t="s">
        <v>2445</v>
      </c>
      <c r="H1131" s="7"/>
      <c r="I1131" s="7"/>
      <c r="J1131" s="3" t="s">
        <v>35</v>
      </c>
      <c r="K1131" s="4" t="s">
        <v>55</v>
      </c>
      <c r="L1131" s="4" t="s">
        <v>93</v>
      </c>
      <c r="N1131" s="7" t="s">
        <v>2469</v>
      </c>
      <c r="O1131" s="7"/>
      <c r="P1131" s="7" t="s">
        <v>2470</v>
      </c>
      <c r="Q1131" s="7"/>
      <c r="R1131" s="7"/>
      <c r="S1131" s="3" t="s">
        <v>40</v>
      </c>
      <c r="T1131" s="7" t="s">
        <v>41</v>
      </c>
      <c r="U1131" s="7"/>
      <c r="V1131" s="4" t="s">
        <v>42</v>
      </c>
      <c r="W1131" s="4" t="s">
        <v>90</v>
      </c>
      <c r="X1131" s="4" t="s">
        <v>91</v>
      </c>
      <c r="Y1131" s="7" t="s">
        <v>60</v>
      </c>
      <c r="Z1131" s="7"/>
      <c r="AA1131" s="4" t="s">
        <v>46</v>
      </c>
      <c r="AB1131" s="4" t="s">
        <v>47</v>
      </c>
      <c r="AC1131" s="4" t="s">
        <v>61</v>
      </c>
      <c r="AD1131" s="4" t="s">
        <v>324</v>
      </c>
      <c r="AE1131" s="4" t="s">
        <v>48</v>
      </c>
      <c r="AF1131" s="4" t="s">
        <v>41</v>
      </c>
      <c r="AG1131" s="4" t="s">
        <v>2448</v>
      </c>
    </row>
    <row r="1132" spans="1:33" ht="16.5" customHeight="1" x14ac:dyDescent="0.2">
      <c r="A1132" s="2" t="s">
        <v>31</v>
      </c>
      <c r="B1132" s="5" t="s">
        <v>54</v>
      </c>
      <c r="C1132" s="5"/>
      <c r="D1132" s="5"/>
      <c r="E1132" s="6" t="s">
        <v>33</v>
      </c>
      <c r="F1132" s="6"/>
      <c r="G1132" s="7" t="s">
        <v>2445</v>
      </c>
      <c r="H1132" s="7"/>
      <c r="I1132" s="7"/>
      <c r="J1132" s="3" t="s">
        <v>35</v>
      </c>
      <c r="K1132" s="4" t="s">
        <v>92</v>
      </c>
      <c r="L1132" s="4" t="s">
        <v>37</v>
      </c>
      <c r="N1132" s="7" t="s">
        <v>2471</v>
      </c>
      <c r="O1132" s="7"/>
      <c r="P1132" s="7" t="s">
        <v>2472</v>
      </c>
      <c r="Q1132" s="7"/>
      <c r="R1132" s="7"/>
      <c r="S1132" s="3" t="s">
        <v>40</v>
      </c>
      <c r="T1132" s="7" t="s">
        <v>41</v>
      </c>
      <c r="U1132" s="7"/>
      <c r="V1132" s="4" t="s">
        <v>42</v>
      </c>
      <c r="W1132" s="4" t="s">
        <v>58</v>
      </c>
      <c r="X1132" s="4" t="s">
        <v>59</v>
      </c>
      <c r="Y1132" s="7" t="s">
        <v>78</v>
      </c>
      <c r="Z1132" s="7"/>
      <c r="AA1132" s="4" t="s">
        <v>46</v>
      </c>
      <c r="AB1132" s="4" t="s">
        <v>47</v>
      </c>
      <c r="AC1132" s="4" t="s">
        <v>79</v>
      </c>
      <c r="AD1132" s="4" t="s">
        <v>80</v>
      </c>
      <c r="AE1132" s="4" t="s">
        <v>48</v>
      </c>
      <c r="AF1132" s="4" t="s">
        <v>41</v>
      </c>
      <c r="AG1132" s="4" t="s">
        <v>2448</v>
      </c>
    </row>
    <row r="1133" spans="1:33" ht="16.5" customHeight="1" x14ac:dyDescent="0.2">
      <c r="A1133" s="2" t="s">
        <v>31</v>
      </c>
      <c r="B1133" s="5" t="s">
        <v>54</v>
      </c>
      <c r="C1133" s="5"/>
      <c r="D1133" s="5"/>
      <c r="E1133" s="6" t="s">
        <v>33</v>
      </c>
      <c r="F1133" s="6"/>
      <c r="G1133" s="7" t="s">
        <v>2445</v>
      </c>
      <c r="H1133" s="7"/>
      <c r="I1133" s="7"/>
      <c r="J1133" s="3" t="s">
        <v>35</v>
      </c>
      <c r="K1133" s="4" t="s">
        <v>92</v>
      </c>
      <c r="L1133" s="4" t="s">
        <v>37</v>
      </c>
      <c r="N1133" s="7" t="s">
        <v>2473</v>
      </c>
      <c r="O1133" s="7"/>
      <c r="P1133" s="7" t="s">
        <v>2474</v>
      </c>
      <c r="Q1133" s="7"/>
      <c r="R1133" s="7"/>
      <c r="S1133" s="3" t="s">
        <v>40</v>
      </c>
      <c r="T1133" s="7" t="s">
        <v>41</v>
      </c>
      <c r="U1133" s="7"/>
      <c r="V1133" s="4" t="s">
        <v>42</v>
      </c>
      <c r="W1133" s="4" t="s">
        <v>58</v>
      </c>
      <c r="X1133" s="4" t="s">
        <v>59</v>
      </c>
      <c r="Y1133" s="7" t="s">
        <v>78</v>
      </c>
      <c r="Z1133" s="7"/>
      <c r="AA1133" s="4" t="s">
        <v>46</v>
      </c>
      <c r="AB1133" s="4" t="s">
        <v>47</v>
      </c>
      <c r="AC1133" s="4" t="s">
        <v>79</v>
      </c>
      <c r="AD1133" s="4" t="s">
        <v>80</v>
      </c>
      <c r="AE1133" s="4" t="s">
        <v>48</v>
      </c>
      <c r="AF1133" s="4" t="s">
        <v>41</v>
      </c>
      <c r="AG1133" s="4" t="s">
        <v>2448</v>
      </c>
    </row>
    <row r="1134" spans="1:33" ht="16.5" customHeight="1" x14ac:dyDescent="0.2">
      <c r="A1134" s="2" t="s">
        <v>31</v>
      </c>
      <c r="B1134" s="5" t="s">
        <v>54</v>
      </c>
      <c r="C1134" s="5"/>
      <c r="D1134" s="5"/>
      <c r="E1134" s="6" t="s">
        <v>33</v>
      </c>
      <c r="F1134" s="6"/>
      <c r="G1134" s="7" t="s">
        <v>2445</v>
      </c>
      <c r="H1134" s="7"/>
      <c r="I1134" s="7"/>
      <c r="J1134" s="3" t="s">
        <v>35</v>
      </c>
      <c r="K1134" s="4" t="s">
        <v>149</v>
      </c>
      <c r="L1134" s="4" t="s">
        <v>37</v>
      </c>
      <c r="N1134" s="7" t="s">
        <v>2475</v>
      </c>
      <c r="O1134" s="7"/>
      <c r="P1134" s="7" t="s">
        <v>2476</v>
      </c>
      <c r="Q1134" s="7"/>
      <c r="R1134" s="7"/>
      <c r="S1134" s="3" t="s">
        <v>40</v>
      </c>
      <c r="T1134" s="7" t="s">
        <v>41</v>
      </c>
      <c r="U1134" s="7"/>
      <c r="V1134" s="4" t="s">
        <v>42</v>
      </c>
      <c r="W1134" s="4" t="s">
        <v>58</v>
      </c>
      <c r="X1134" s="4" t="s">
        <v>59</v>
      </c>
      <c r="Y1134" s="7" t="s">
        <v>78</v>
      </c>
      <c r="Z1134" s="7"/>
      <c r="AA1134" s="4" t="s">
        <v>46</v>
      </c>
      <c r="AB1134" s="4" t="s">
        <v>47</v>
      </c>
      <c r="AC1134" s="4" t="s">
        <v>79</v>
      </c>
      <c r="AD1134" s="4" t="s">
        <v>80</v>
      </c>
      <c r="AE1134" s="4" t="s">
        <v>48</v>
      </c>
      <c r="AF1134" s="4" t="s">
        <v>41</v>
      </c>
      <c r="AG1134" s="4" t="s">
        <v>2448</v>
      </c>
    </row>
    <row r="1135" spans="1:33" ht="16.5" customHeight="1" x14ac:dyDescent="0.2">
      <c r="A1135" s="2" t="s">
        <v>31</v>
      </c>
      <c r="B1135" s="5" t="s">
        <v>646</v>
      </c>
      <c r="C1135" s="5"/>
      <c r="D1135" s="5"/>
      <c r="E1135" s="6" t="s">
        <v>33</v>
      </c>
      <c r="F1135" s="6"/>
      <c r="G1135" s="7" t="s">
        <v>2477</v>
      </c>
      <c r="H1135" s="7"/>
      <c r="I1135" s="7"/>
      <c r="J1135" s="3" t="s">
        <v>35</v>
      </c>
      <c r="K1135" s="4" t="s">
        <v>36</v>
      </c>
      <c r="L1135" s="4" t="s">
        <v>37</v>
      </c>
      <c r="N1135" s="7" t="s">
        <v>2478</v>
      </c>
      <c r="O1135" s="7"/>
      <c r="P1135" s="7" t="s">
        <v>2479</v>
      </c>
      <c r="Q1135" s="7"/>
      <c r="R1135" s="7"/>
      <c r="S1135" s="3" t="s">
        <v>40</v>
      </c>
      <c r="T1135" s="7" t="s">
        <v>2480</v>
      </c>
      <c r="U1135" s="7"/>
      <c r="V1135" s="4" t="s">
        <v>51</v>
      </c>
      <c r="W1135" s="4" t="s">
        <v>58</v>
      </c>
      <c r="X1135" s="4" t="s">
        <v>128</v>
      </c>
      <c r="Y1135" s="7" t="s">
        <v>45</v>
      </c>
      <c r="Z1135" s="7"/>
      <c r="AA1135" s="4" t="s">
        <v>46</v>
      </c>
      <c r="AB1135" s="4" t="s">
        <v>47</v>
      </c>
      <c r="AD1135" s="4" t="s">
        <v>41</v>
      </c>
      <c r="AE1135" s="4" t="s">
        <v>48</v>
      </c>
      <c r="AF1135" s="4" t="s">
        <v>41</v>
      </c>
      <c r="AG1135" s="4" t="s">
        <v>2481</v>
      </c>
    </row>
    <row r="1136" spans="1:33" ht="16.5" customHeight="1" x14ac:dyDescent="0.2">
      <c r="A1136" s="2" t="s">
        <v>31</v>
      </c>
      <c r="B1136" s="5" t="s">
        <v>32</v>
      </c>
      <c r="C1136" s="5"/>
      <c r="D1136" s="5"/>
      <c r="E1136" s="6" t="s">
        <v>33</v>
      </c>
      <c r="F1136" s="6"/>
      <c r="G1136" s="7" t="s">
        <v>2477</v>
      </c>
      <c r="H1136" s="7"/>
      <c r="I1136" s="7"/>
      <c r="J1136" s="3" t="s">
        <v>35</v>
      </c>
      <c r="K1136" s="4" t="s">
        <v>642</v>
      </c>
      <c r="L1136" s="4" t="s">
        <v>37</v>
      </c>
      <c r="N1136" s="7" t="s">
        <v>2482</v>
      </c>
      <c r="O1136" s="7"/>
      <c r="P1136" s="7" t="s">
        <v>2483</v>
      </c>
      <c r="Q1136" s="7"/>
      <c r="R1136" s="7"/>
      <c r="S1136" s="3" t="s">
        <v>40</v>
      </c>
      <c r="T1136" s="7" t="s">
        <v>41</v>
      </c>
      <c r="U1136" s="7"/>
      <c r="V1136" s="4" t="s">
        <v>42</v>
      </c>
      <c r="W1136" s="4" t="s">
        <v>58</v>
      </c>
      <c r="X1136" s="4" t="s">
        <v>59</v>
      </c>
      <c r="Y1136" s="7" t="s">
        <v>45</v>
      </c>
      <c r="Z1136" s="7"/>
      <c r="AA1136" s="4" t="s">
        <v>46</v>
      </c>
      <c r="AB1136" s="4" t="s">
        <v>47</v>
      </c>
      <c r="AD1136" s="4" t="s">
        <v>41</v>
      </c>
      <c r="AE1136" s="4" t="s">
        <v>48</v>
      </c>
      <c r="AF1136" s="4" t="s">
        <v>41</v>
      </c>
      <c r="AG1136" s="4" t="s">
        <v>2481</v>
      </c>
    </row>
    <row r="1137" spans="1:33" ht="16.5" customHeight="1" x14ac:dyDescent="0.2">
      <c r="A1137" s="2" t="s">
        <v>31</v>
      </c>
      <c r="B1137" s="5" t="s">
        <v>50</v>
      </c>
      <c r="C1137" s="5"/>
      <c r="D1137" s="5"/>
      <c r="E1137" s="6" t="s">
        <v>33</v>
      </c>
      <c r="F1137" s="6"/>
      <c r="G1137" s="7" t="s">
        <v>2477</v>
      </c>
      <c r="H1137" s="7"/>
      <c r="I1137" s="7"/>
      <c r="J1137" s="3" t="s">
        <v>35</v>
      </c>
      <c r="K1137" s="4" t="s">
        <v>1312</v>
      </c>
      <c r="N1137" s="7" t="s">
        <v>2484</v>
      </c>
      <c r="O1137" s="7"/>
      <c r="P1137" s="7" t="s">
        <v>2485</v>
      </c>
      <c r="Q1137" s="7"/>
      <c r="R1137" s="7"/>
      <c r="S1137" s="3" t="s">
        <v>40</v>
      </c>
      <c r="T1137" s="7" t="s">
        <v>41</v>
      </c>
      <c r="U1137" s="7"/>
      <c r="V1137" s="4" t="s">
        <v>51</v>
      </c>
      <c r="W1137" s="4" t="s">
        <v>2486</v>
      </c>
      <c r="X1137" s="4" t="s">
        <v>2487</v>
      </c>
      <c r="Y1137" s="7" t="s">
        <v>664</v>
      </c>
      <c r="Z1137" s="7"/>
      <c r="AA1137" s="4" t="s">
        <v>46</v>
      </c>
      <c r="AB1137" s="4" t="s">
        <v>47</v>
      </c>
      <c r="AD1137" s="4" t="s">
        <v>260</v>
      </c>
      <c r="AE1137" s="4" t="s">
        <v>48</v>
      </c>
      <c r="AF1137" s="4" t="s">
        <v>41</v>
      </c>
      <c r="AG1137" s="4" t="s">
        <v>2481</v>
      </c>
    </row>
    <row r="1138" spans="1:33" ht="16.5" customHeight="1" x14ac:dyDescent="0.2">
      <c r="A1138" s="2" t="s">
        <v>31</v>
      </c>
      <c r="B1138" s="5" t="s">
        <v>1270</v>
      </c>
      <c r="C1138" s="5"/>
      <c r="D1138" s="5"/>
      <c r="E1138" s="6" t="s">
        <v>33</v>
      </c>
      <c r="F1138" s="6"/>
      <c r="G1138" s="7" t="s">
        <v>2477</v>
      </c>
      <c r="H1138" s="7"/>
      <c r="I1138" s="7"/>
      <c r="J1138" s="3" t="s">
        <v>35</v>
      </c>
      <c r="K1138" s="4" t="s">
        <v>1312</v>
      </c>
      <c r="L1138" s="4" t="s">
        <v>37</v>
      </c>
      <c r="N1138" s="7" t="s">
        <v>2484</v>
      </c>
      <c r="O1138" s="7"/>
      <c r="P1138" s="7" t="s">
        <v>2485</v>
      </c>
      <c r="Q1138" s="7"/>
      <c r="R1138" s="7"/>
      <c r="S1138" s="3" t="s">
        <v>40</v>
      </c>
      <c r="T1138" s="7" t="s">
        <v>41</v>
      </c>
      <c r="U1138" s="7"/>
      <c r="V1138" s="4" t="s">
        <v>42</v>
      </c>
      <c r="W1138" s="4" t="s">
        <v>51</v>
      </c>
      <c r="X1138" s="4" t="s">
        <v>128</v>
      </c>
      <c r="Y1138" s="7" t="s">
        <v>664</v>
      </c>
      <c r="Z1138" s="7"/>
      <c r="AA1138" s="4" t="s">
        <v>46</v>
      </c>
      <c r="AB1138" s="4" t="s">
        <v>47</v>
      </c>
      <c r="AD1138" s="4" t="s">
        <v>2488</v>
      </c>
      <c r="AE1138" s="4" t="s">
        <v>48</v>
      </c>
      <c r="AF1138" s="4" t="s">
        <v>41</v>
      </c>
      <c r="AG1138" s="4" t="s">
        <v>2481</v>
      </c>
    </row>
    <row r="1139" spans="1:33" ht="0.75" customHeight="1" x14ac:dyDescent="0.2"/>
    <row r="1140" spans="1:33" ht="12" customHeight="1" x14ac:dyDescent="0.2"/>
    <row r="1141" spans="1:33" ht="16.5" customHeight="1" x14ac:dyDescent="0.2">
      <c r="A1141" s="2" t="s">
        <v>31</v>
      </c>
      <c r="B1141" s="5" t="s">
        <v>32</v>
      </c>
      <c r="C1141" s="5"/>
      <c r="D1141" s="5"/>
      <c r="E1141" s="6" t="s">
        <v>33</v>
      </c>
      <c r="F1141" s="6"/>
      <c r="G1141" s="7" t="s">
        <v>2477</v>
      </c>
      <c r="H1141" s="7"/>
      <c r="I1141" s="7"/>
      <c r="J1141" s="3" t="s">
        <v>35</v>
      </c>
      <c r="K1141" s="4" t="s">
        <v>661</v>
      </c>
      <c r="L1141" s="4" t="s">
        <v>37</v>
      </c>
      <c r="N1141" s="7" t="s">
        <v>2489</v>
      </c>
      <c r="O1141" s="7"/>
      <c r="P1141" s="7" t="s">
        <v>2490</v>
      </c>
      <c r="Q1141" s="7"/>
      <c r="R1141" s="7"/>
      <c r="S1141" s="3" t="s">
        <v>40</v>
      </c>
      <c r="T1141" s="7" t="s">
        <v>671</v>
      </c>
      <c r="U1141" s="7"/>
      <c r="V1141" s="4" t="s">
        <v>42</v>
      </c>
      <c r="W1141" s="4" t="s">
        <v>90</v>
      </c>
      <c r="X1141" s="4" t="s">
        <v>91</v>
      </c>
      <c r="Y1141" s="7" t="s">
        <v>664</v>
      </c>
      <c r="Z1141" s="7"/>
      <c r="AA1141" s="4" t="s">
        <v>46</v>
      </c>
      <c r="AB1141" s="4" t="s">
        <v>47</v>
      </c>
      <c r="AD1141" s="4" t="s">
        <v>41</v>
      </c>
      <c r="AE1141" s="4" t="s">
        <v>48</v>
      </c>
      <c r="AF1141" s="4" t="s">
        <v>41</v>
      </c>
      <c r="AG1141" s="4" t="s">
        <v>2481</v>
      </c>
    </row>
    <row r="1142" spans="1:33" ht="16.5" customHeight="1" x14ac:dyDescent="0.2">
      <c r="A1142" s="2" t="s">
        <v>31</v>
      </c>
      <c r="B1142" s="5" t="s">
        <v>50</v>
      </c>
      <c r="C1142" s="5"/>
      <c r="D1142" s="5"/>
      <c r="E1142" s="6" t="s">
        <v>33</v>
      </c>
      <c r="F1142" s="6"/>
      <c r="G1142" s="7" t="s">
        <v>2477</v>
      </c>
      <c r="H1142" s="7"/>
      <c r="I1142" s="7"/>
      <c r="J1142" s="3" t="s">
        <v>35</v>
      </c>
      <c r="K1142" s="4" t="s">
        <v>661</v>
      </c>
      <c r="N1142" s="7" t="s">
        <v>2489</v>
      </c>
      <c r="O1142" s="7"/>
      <c r="P1142" s="7" t="s">
        <v>2490</v>
      </c>
      <c r="Q1142" s="7"/>
      <c r="R1142" s="7"/>
      <c r="S1142" s="3" t="s">
        <v>40</v>
      </c>
      <c r="T1142" s="7" t="s">
        <v>41</v>
      </c>
      <c r="U1142" s="7"/>
      <c r="V1142" s="4" t="s">
        <v>51</v>
      </c>
      <c r="W1142" s="4" t="s">
        <v>90</v>
      </c>
      <c r="X1142" s="4" t="s">
        <v>103</v>
      </c>
      <c r="Y1142" s="7" t="s">
        <v>664</v>
      </c>
      <c r="Z1142" s="7"/>
      <c r="AA1142" s="4" t="s">
        <v>46</v>
      </c>
      <c r="AB1142" s="4" t="s">
        <v>47</v>
      </c>
      <c r="AD1142" s="4" t="s">
        <v>96</v>
      </c>
      <c r="AE1142" s="4" t="s">
        <v>48</v>
      </c>
      <c r="AF1142" s="4" t="s">
        <v>41</v>
      </c>
      <c r="AG1142" s="4" t="s">
        <v>2481</v>
      </c>
    </row>
    <row r="1143" spans="1:33" ht="16.5" customHeight="1" x14ac:dyDescent="0.2">
      <c r="A1143" s="2" t="s">
        <v>31</v>
      </c>
      <c r="B1143" s="5" t="s">
        <v>54</v>
      </c>
      <c r="C1143" s="5"/>
      <c r="D1143" s="5"/>
      <c r="E1143" s="6" t="s">
        <v>33</v>
      </c>
      <c r="F1143" s="6"/>
      <c r="G1143" s="7" t="s">
        <v>2477</v>
      </c>
      <c r="H1143" s="7"/>
      <c r="I1143" s="7"/>
      <c r="J1143" s="3" t="s">
        <v>35</v>
      </c>
      <c r="K1143" s="4" t="s">
        <v>409</v>
      </c>
      <c r="L1143" s="4" t="s">
        <v>37</v>
      </c>
      <c r="N1143" s="7" t="s">
        <v>2491</v>
      </c>
      <c r="O1143" s="7"/>
      <c r="P1143" s="7" t="s">
        <v>2492</v>
      </c>
      <c r="Q1143" s="7"/>
      <c r="R1143" s="7"/>
      <c r="S1143" s="3" t="s">
        <v>40</v>
      </c>
      <c r="T1143" s="7" t="s">
        <v>41</v>
      </c>
      <c r="U1143" s="7"/>
      <c r="V1143" s="4" t="s">
        <v>42</v>
      </c>
      <c r="W1143" s="4" t="s">
        <v>168</v>
      </c>
      <c r="X1143" s="4" t="s">
        <v>169</v>
      </c>
      <c r="Y1143" s="7" t="s">
        <v>60</v>
      </c>
      <c r="Z1143" s="7"/>
      <c r="AA1143" s="4" t="s">
        <v>46</v>
      </c>
      <c r="AB1143" s="4" t="s">
        <v>47</v>
      </c>
      <c r="AC1143" s="4" t="s">
        <v>79</v>
      </c>
      <c r="AD1143" s="4" t="s">
        <v>80</v>
      </c>
      <c r="AE1143" s="4" t="s">
        <v>48</v>
      </c>
      <c r="AF1143" s="4" t="s">
        <v>41</v>
      </c>
      <c r="AG1143" s="4" t="s">
        <v>2481</v>
      </c>
    </row>
    <row r="1144" spans="1:33" ht="16.5" customHeight="1" x14ac:dyDescent="0.2">
      <c r="A1144" s="2" t="s">
        <v>31</v>
      </c>
      <c r="B1144" s="5" t="s">
        <v>54</v>
      </c>
      <c r="C1144" s="5"/>
      <c r="D1144" s="5"/>
      <c r="E1144" s="6" t="s">
        <v>33</v>
      </c>
      <c r="F1144" s="6"/>
      <c r="G1144" s="7" t="s">
        <v>2477</v>
      </c>
      <c r="H1144" s="7"/>
      <c r="I1144" s="7"/>
      <c r="J1144" s="3" t="s">
        <v>35</v>
      </c>
      <c r="K1144" s="4" t="s">
        <v>409</v>
      </c>
      <c r="L1144" s="4" t="s">
        <v>37</v>
      </c>
      <c r="N1144" s="7" t="s">
        <v>2491</v>
      </c>
      <c r="O1144" s="7"/>
      <c r="P1144" s="7" t="s">
        <v>2492</v>
      </c>
      <c r="Q1144" s="7"/>
      <c r="R1144" s="7"/>
      <c r="S1144" s="3" t="s">
        <v>40</v>
      </c>
      <c r="T1144" s="7" t="s">
        <v>41</v>
      </c>
      <c r="U1144" s="7"/>
      <c r="V1144" s="4" t="s">
        <v>51</v>
      </c>
      <c r="W1144" s="4" t="s">
        <v>168</v>
      </c>
      <c r="X1144" s="4" t="s">
        <v>170</v>
      </c>
      <c r="Y1144" s="7" t="s">
        <v>60</v>
      </c>
      <c r="Z1144" s="7"/>
      <c r="AA1144" s="4" t="s">
        <v>46</v>
      </c>
      <c r="AB1144" s="4" t="s">
        <v>47</v>
      </c>
      <c r="AC1144" s="4" t="s">
        <v>79</v>
      </c>
      <c r="AD1144" s="4" t="s">
        <v>80</v>
      </c>
      <c r="AE1144" s="4" t="s">
        <v>48</v>
      </c>
      <c r="AF1144" s="4" t="s">
        <v>41</v>
      </c>
      <c r="AG1144" s="4" t="s">
        <v>2481</v>
      </c>
    </row>
    <row r="1145" spans="1:33" ht="16.5" customHeight="1" x14ac:dyDescent="0.2">
      <c r="A1145" s="2" t="s">
        <v>31</v>
      </c>
      <c r="B1145" s="5" t="s">
        <v>54</v>
      </c>
      <c r="C1145" s="5"/>
      <c r="D1145" s="5"/>
      <c r="E1145" s="6" t="s">
        <v>33</v>
      </c>
      <c r="F1145" s="6"/>
      <c r="G1145" s="7" t="s">
        <v>2477</v>
      </c>
      <c r="H1145" s="7"/>
      <c r="I1145" s="7"/>
      <c r="J1145" s="3" t="s">
        <v>35</v>
      </c>
      <c r="K1145" s="4" t="s">
        <v>267</v>
      </c>
      <c r="L1145" s="4" t="s">
        <v>37</v>
      </c>
      <c r="N1145" s="7" t="s">
        <v>2493</v>
      </c>
      <c r="O1145" s="7"/>
      <c r="P1145" s="7" t="s">
        <v>2494</v>
      </c>
      <c r="Q1145" s="7"/>
      <c r="R1145" s="7"/>
      <c r="S1145" s="3" t="s">
        <v>40</v>
      </c>
      <c r="T1145" s="7" t="s">
        <v>41</v>
      </c>
      <c r="U1145" s="7"/>
      <c r="V1145" s="4" t="s">
        <v>42</v>
      </c>
      <c r="W1145" s="4" t="s">
        <v>90</v>
      </c>
      <c r="X1145" s="4" t="s">
        <v>91</v>
      </c>
      <c r="Y1145" s="7" t="s">
        <v>78</v>
      </c>
      <c r="Z1145" s="7"/>
      <c r="AA1145" s="4" t="s">
        <v>46</v>
      </c>
      <c r="AB1145" s="4" t="s">
        <v>47</v>
      </c>
      <c r="AC1145" s="4" t="s">
        <v>79</v>
      </c>
      <c r="AD1145" s="4" t="s">
        <v>80</v>
      </c>
      <c r="AE1145" s="4" t="s">
        <v>48</v>
      </c>
      <c r="AF1145" s="4" t="s">
        <v>41</v>
      </c>
      <c r="AG1145" s="4" t="s">
        <v>2481</v>
      </c>
    </row>
    <row r="1146" spans="1:33" ht="16.5" customHeight="1" x14ac:dyDescent="0.2">
      <c r="A1146" s="2" t="s">
        <v>31</v>
      </c>
      <c r="B1146" s="5" t="s">
        <v>54</v>
      </c>
      <c r="C1146" s="5"/>
      <c r="D1146" s="5"/>
      <c r="E1146" s="6" t="s">
        <v>33</v>
      </c>
      <c r="F1146" s="6"/>
      <c r="G1146" s="7" t="s">
        <v>2477</v>
      </c>
      <c r="H1146" s="7"/>
      <c r="I1146" s="7"/>
      <c r="J1146" s="3" t="s">
        <v>35</v>
      </c>
      <c r="K1146" s="4" t="s">
        <v>267</v>
      </c>
      <c r="L1146" s="4" t="s">
        <v>37</v>
      </c>
      <c r="N1146" s="7" t="s">
        <v>2495</v>
      </c>
      <c r="O1146" s="7"/>
      <c r="P1146" s="7" t="s">
        <v>2496</v>
      </c>
      <c r="Q1146" s="7"/>
      <c r="R1146" s="7"/>
      <c r="S1146" s="3" t="s">
        <v>40</v>
      </c>
      <c r="T1146" s="7" t="s">
        <v>41</v>
      </c>
      <c r="U1146" s="7"/>
      <c r="V1146" s="4" t="s">
        <v>42</v>
      </c>
      <c r="W1146" s="4" t="s">
        <v>181</v>
      </c>
      <c r="X1146" s="4" t="s">
        <v>182</v>
      </c>
      <c r="Y1146" s="7" t="s">
        <v>78</v>
      </c>
      <c r="Z1146" s="7"/>
      <c r="AA1146" s="4" t="s">
        <v>46</v>
      </c>
      <c r="AB1146" s="4" t="s">
        <v>47</v>
      </c>
      <c r="AC1146" s="4" t="s">
        <v>79</v>
      </c>
      <c r="AD1146" s="4" t="s">
        <v>80</v>
      </c>
      <c r="AE1146" s="4" t="s">
        <v>48</v>
      </c>
      <c r="AF1146" s="4" t="s">
        <v>41</v>
      </c>
      <c r="AG1146" s="4" t="s">
        <v>2481</v>
      </c>
    </row>
    <row r="1147" spans="1:33" ht="16.5" customHeight="1" x14ac:dyDescent="0.2">
      <c r="A1147" s="2" t="s">
        <v>31</v>
      </c>
      <c r="B1147" s="5" t="s">
        <v>54</v>
      </c>
      <c r="C1147" s="5"/>
      <c r="D1147" s="5"/>
      <c r="E1147" s="6" t="s">
        <v>33</v>
      </c>
      <c r="F1147" s="6"/>
      <c r="G1147" s="7" t="s">
        <v>2477</v>
      </c>
      <c r="H1147" s="7"/>
      <c r="I1147" s="7"/>
      <c r="J1147" s="3" t="s">
        <v>35</v>
      </c>
      <c r="K1147" s="4" t="s">
        <v>143</v>
      </c>
      <c r="L1147" s="4" t="s">
        <v>37</v>
      </c>
      <c r="N1147" s="7" t="s">
        <v>2497</v>
      </c>
      <c r="O1147" s="7"/>
      <c r="P1147" s="7" t="s">
        <v>2498</v>
      </c>
      <c r="Q1147" s="7"/>
      <c r="R1147" s="7"/>
      <c r="S1147" s="3" t="s">
        <v>40</v>
      </c>
      <c r="T1147" s="7" t="s">
        <v>41</v>
      </c>
      <c r="U1147" s="7"/>
      <c r="V1147" s="4" t="s">
        <v>42</v>
      </c>
      <c r="W1147" s="4" t="s">
        <v>1427</v>
      </c>
      <c r="X1147" s="4" t="s">
        <v>1428</v>
      </c>
      <c r="Y1147" s="7" t="s">
        <v>135</v>
      </c>
      <c r="Z1147" s="7"/>
      <c r="AA1147" s="4" t="s">
        <v>46</v>
      </c>
      <c r="AB1147" s="4" t="s">
        <v>47</v>
      </c>
      <c r="AC1147" s="4" t="s">
        <v>136</v>
      </c>
      <c r="AD1147" s="4" t="s">
        <v>137</v>
      </c>
      <c r="AE1147" s="4" t="s">
        <v>48</v>
      </c>
      <c r="AF1147" s="4" t="s">
        <v>41</v>
      </c>
      <c r="AG1147" s="4" t="s">
        <v>2481</v>
      </c>
    </row>
    <row r="1148" spans="1:33" ht="16.5" customHeight="1" x14ac:dyDescent="0.2">
      <c r="A1148" s="2" t="s">
        <v>31</v>
      </c>
      <c r="B1148" s="5" t="s">
        <v>54</v>
      </c>
      <c r="C1148" s="5"/>
      <c r="D1148" s="5"/>
      <c r="E1148" s="6" t="s">
        <v>33</v>
      </c>
      <c r="F1148" s="6"/>
      <c r="G1148" s="7" t="s">
        <v>2477</v>
      </c>
      <c r="H1148" s="7"/>
      <c r="I1148" s="7"/>
      <c r="J1148" s="3" t="s">
        <v>35</v>
      </c>
      <c r="K1148" s="4" t="s">
        <v>149</v>
      </c>
      <c r="L1148" s="4" t="s">
        <v>37</v>
      </c>
      <c r="N1148" s="7" t="s">
        <v>2499</v>
      </c>
      <c r="O1148" s="7"/>
      <c r="P1148" s="7" t="s">
        <v>2500</v>
      </c>
      <c r="Q1148" s="7"/>
      <c r="R1148" s="7"/>
      <c r="S1148" s="3" t="s">
        <v>40</v>
      </c>
      <c r="T1148" s="7" t="s">
        <v>41</v>
      </c>
      <c r="U1148" s="7"/>
      <c r="V1148" s="4" t="s">
        <v>42</v>
      </c>
      <c r="W1148" s="4" t="s">
        <v>986</v>
      </c>
      <c r="X1148" s="4" t="s">
        <v>987</v>
      </c>
      <c r="Y1148" s="7" t="s">
        <v>78</v>
      </c>
      <c r="Z1148" s="7"/>
      <c r="AA1148" s="4" t="s">
        <v>46</v>
      </c>
      <c r="AB1148" s="4" t="s">
        <v>47</v>
      </c>
      <c r="AC1148" s="4" t="s">
        <v>136</v>
      </c>
      <c r="AD1148" s="4" t="s">
        <v>137</v>
      </c>
      <c r="AE1148" s="4" t="s">
        <v>48</v>
      </c>
      <c r="AF1148" s="4" t="s">
        <v>41</v>
      </c>
      <c r="AG1148" s="4" t="s">
        <v>2481</v>
      </c>
    </row>
    <row r="1149" spans="1:33" ht="16.5" customHeight="1" x14ac:dyDescent="0.2">
      <c r="A1149" s="2" t="s">
        <v>31</v>
      </c>
      <c r="B1149" s="5" t="s">
        <v>54</v>
      </c>
      <c r="C1149" s="5"/>
      <c r="D1149" s="5"/>
      <c r="E1149" s="6" t="s">
        <v>33</v>
      </c>
      <c r="F1149" s="6"/>
      <c r="G1149" s="7" t="s">
        <v>2477</v>
      </c>
      <c r="H1149" s="7"/>
      <c r="I1149" s="7"/>
      <c r="J1149" s="3" t="s">
        <v>35</v>
      </c>
      <c r="K1149" s="4" t="s">
        <v>149</v>
      </c>
      <c r="L1149" s="4" t="s">
        <v>37</v>
      </c>
      <c r="N1149" s="7" t="s">
        <v>2499</v>
      </c>
      <c r="O1149" s="7"/>
      <c r="P1149" s="7" t="s">
        <v>2500</v>
      </c>
      <c r="Q1149" s="7"/>
      <c r="R1149" s="7"/>
      <c r="S1149" s="3" t="s">
        <v>40</v>
      </c>
      <c r="T1149" s="7" t="s">
        <v>41</v>
      </c>
      <c r="U1149" s="7"/>
      <c r="V1149" s="4" t="s">
        <v>51</v>
      </c>
      <c r="W1149" s="4" t="s">
        <v>986</v>
      </c>
      <c r="X1149" s="4" t="s">
        <v>264</v>
      </c>
      <c r="Y1149" s="7" t="s">
        <v>78</v>
      </c>
      <c r="Z1149" s="7"/>
      <c r="AA1149" s="4" t="s">
        <v>46</v>
      </c>
      <c r="AB1149" s="4" t="s">
        <v>47</v>
      </c>
      <c r="AC1149" s="4" t="s">
        <v>136</v>
      </c>
      <c r="AD1149" s="4" t="s">
        <v>137</v>
      </c>
      <c r="AE1149" s="4" t="s">
        <v>48</v>
      </c>
      <c r="AF1149" s="4" t="s">
        <v>41</v>
      </c>
      <c r="AG1149" s="4" t="s">
        <v>2481</v>
      </c>
    </row>
    <row r="1150" spans="1:33" ht="16.5" customHeight="1" x14ac:dyDescent="0.2">
      <c r="A1150" s="2" t="s">
        <v>31</v>
      </c>
      <c r="B1150" s="5" t="s">
        <v>54</v>
      </c>
      <c r="C1150" s="5"/>
      <c r="D1150" s="5"/>
      <c r="E1150" s="6" t="s">
        <v>33</v>
      </c>
      <c r="F1150" s="6"/>
      <c r="G1150" s="7" t="s">
        <v>2477</v>
      </c>
      <c r="H1150" s="7"/>
      <c r="I1150" s="7"/>
      <c r="J1150" s="3" t="s">
        <v>35</v>
      </c>
      <c r="K1150" s="4" t="s">
        <v>248</v>
      </c>
      <c r="L1150" s="4" t="s">
        <v>280</v>
      </c>
      <c r="N1150" s="7" t="s">
        <v>2501</v>
      </c>
      <c r="O1150" s="7"/>
      <c r="P1150" s="7" t="s">
        <v>2502</v>
      </c>
      <c r="Q1150" s="7"/>
      <c r="R1150" s="7"/>
      <c r="S1150" s="3" t="s">
        <v>40</v>
      </c>
      <c r="T1150" s="7" t="s">
        <v>41</v>
      </c>
      <c r="U1150" s="7"/>
      <c r="V1150" s="4" t="s">
        <v>42</v>
      </c>
      <c r="W1150" s="4" t="s">
        <v>283</v>
      </c>
      <c r="X1150" s="4" t="s">
        <v>284</v>
      </c>
      <c r="Y1150" s="7" t="s">
        <v>60</v>
      </c>
      <c r="Z1150" s="7"/>
      <c r="AA1150" s="4" t="s">
        <v>46</v>
      </c>
      <c r="AB1150" s="4" t="s">
        <v>47</v>
      </c>
      <c r="AC1150" s="4" t="s">
        <v>79</v>
      </c>
      <c r="AD1150" s="4" t="s">
        <v>285</v>
      </c>
      <c r="AE1150" s="4" t="s">
        <v>48</v>
      </c>
      <c r="AF1150" s="4" t="s">
        <v>41</v>
      </c>
      <c r="AG1150" s="4" t="s">
        <v>2481</v>
      </c>
    </row>
    <row r="1151" spans="1:33" ht="16.5" customHeight="1" x14ac:dyDescent="0.2">
      <c r="A1151" s="2" t="s">
        <v>31</v>
      </c>
      <c r="B1151" s="5" t="s">
        <v>54</v>
      </c>
      <c r="C1151" s="5"/>
      <c r="D1151" s="5"/>
      <c r="E1151" s="6" t="s">
        <v>33</v>
      </c>
      <c r="F1151" s="6"/>
      <c r="G1151" s="7" t="s">
        <v>2477</v>
      </c>
      <c r="H1151" s="7"/>
      <c r="I1151" s="7"/>
      <c r="J1151" s="3" t="s">
        <v>35</v>
      </c>
      <c r="K1151" s="4" t="s">
        <v>123</v>
      </c>
      <c r="L1151" s="4" t="s">
        <v>37</v>
      </c>
      <c r="N1151" s="7" t="s">
        <v>2503</v>
      </c>
      <c r="O1151" s="7"/>
      <c r="P1151" s="7" t="s">
        <v>2504</v>
      </c>
      <c r="Q1151" s="7"/>
      <c r="R1151" s="7"/>
      <c r="S1151" s="3" t="s">
        <v>40</v>
      </c>
      <c r="T1151" s="7" t="s">
        <v>41</v>
      </c>
      <c r="U1151" s="7"/>
      <c r="V1151" s="4" t="s">
        <v>42</v>
      </c>
      <c r="W1151" s="4" t="s">
        <v>760</v>
      </c>
      <c r="X1151" s="4" t="s">
        <v>761</v>
      </c>
      <c r="Y1151" s="7" t="s">
        <v>60</v>
      </c>
      <c r="Z1151" s="7"/>
      <c r="AA1151" s="4" t="s">
        <v>46</v>
      </c>
      <c r="AB1151" s="4" t="s">
        <v>47</v>
      </c>
      <c r="AC1151" s="4" t="s">
        <v>79</v>
      </c>
      <c r="AD1151" s="4" t="s">
        <v>80</v>
      </c>
      <c r="AE1151" s="4" t="s">
        <v>48</v>
      </c>
      <c r="AF1151" s="4" t="s">
        <v>41</v>
      </c>
      <c r="AG1151" s="4" t="s">
        <v>2481</v>
      </c>
    </row>
    <row r="1152" spans="1:33" ht="16.5" customHeight="1" x14ac:dyDescent="0.2">
      <c r="A1152" s="2" t="s">
        <v>31</v>
      </c>
      <c r="B1152" s="5" t="s">
        <v>54</v>
      </c>
      <c r="C1152" s="5"/>
      <c r="D1152" s="5"/>
      <c r="E1152" s="6" t="s">
        <v>33</v>
      </c>
      <c r="F1152" s="6"/>
      <c r="G1152" s="7" t="s">
        <v>2477</v>
      </c>
      <c r="H1152" s="7"/>
      <c r="I1152" s="7"/>
      <c r="J1152" s="3" t="s">
        <v>35</v>
      </c>
      <c r="K1152" s="4" t="s">
        <v>73</v>
      </c>
      <c r="L1152" s="4" t="s">
        <v>37</v>
      </c>
      <c r="N1152" s="7" t="s">
        <v>2505</v>
      </c>
      <c r="O1152" s="7"/>
      <c r="P1152" s="7" t="s">
        <v>2506</v>
      </c>
      <c r="Q1152" s="7"/>
      <c r="R1152" s="7"/>
      <c r="S1152" s="3" t="s">
        <v>40</v>
      </c>
      <c r="T1152" s="7" t="s">
        <v>41</v>
      </c>
      <c r="U1152" s="7"/>
      <c r="V1152" s="4" t="s">
        <v>42</v>
      </c>
      <c r="W1152" s="4" t="s">
        <v>90</v>
      </c>
      <c r="X1152" s="4" t="s">
        <v>91</v>
      </c>
      <c r="Y1152" s="7" t="s">
        <v>78</v>
      </c>
      <c r="Z1152" s="7"/>
      <c r="AA1152" s="4" t="s">
        <v>46</v>
      </c>
      <c r="AB1152" s="4" t="s">
        <v>47</v>
      </c>
      <c r="AC1152" s="4" t="s">
        <v>79</v>
      </c>
      <c r="AD1152" s="4" t="s">
        <v>80</v>
      </c>
      <c r="AE1152" s="4" t="s">
        <v>48</v>
      </c>
      <c r="AF1152" s="4" t="s">
        <v>41</v>
      </c>
      <c r="AG1152" s="4" t="s">
        <v>2481</v>
      </c>
    </row>
    <row r="1153" spans="1:33" ht="16.5" customHeight="1" x14ac:dyDescent="0.2">
      <c r="A1153" s="2" t="s">
        <v>31</v>
      </c>
      <c r="B1153" s="5" t="s">
        <v>54</v>
      </c>
      <c r="C1153" s="5"/>
      <c r="D1153" s="5"/>
      <c r="E1153" s="6" t="s">
        <v>33</v>
      </c>
      <c r="F1153" s="6"/>
      <c r="G1153" s="7" t="s">
        <v>2477</v>
      </c>
      <c r="H1153" s="7"/>
      <c r="I1153" s="7"/>
      <c r="J1153" s="3" t="s">
        <v>35</v>
      </c>
      <c r="K1153" s="4" t="s">
        <v>245</v>
      </c>
      <c r="L1153" s="4" t="s">
        <v>37</v>
      </c>
      <c r="N1153" s="7" t="s">
        <v>2507</v>
      </c>
      <c r="O1153" s="7"/>
      <c r="P1153" s="7" t="s">
        <v>2508</v>
      </c>
      <c r="Q1153" s="7"/>
      <c r="R1153" s="7"/>
      <c r="S1153" s="3" t="s">
        <v>40</v>
      </c>
      <c r="T1153" s="7" t="s">
        <v>41</v>
      </c>
      <c r="U1153" s="7"/>
      <c r="V1153" s="4" t="s">
        <v>42</v>
      </c>
      <c r="W1153" s="4" t="s">
        <v>58</v>
      </c>
      <c r="X1153" s="4" t="s">
        <v>59</v>
      </c>
      <c r="Y1153" s="7" t="s">
        <v>78</v>
      </c>
      <c r="Z1153" s="7"/>
      <c r="AA1153" s="4" t="s">
        <v>46</v>
      </c>
      <c r="AB1153" s="4" t="s">
        <v>47</v>
      </c>
      <c r="AC1153" s="4" t="s">
        <v>79</v>
      </c>
      <c r="AD1153" s="4" t="s">
        <v>80</v>
      </c>
      <c r="AE1153" s="4" t="s">
        <v>48</v>
      </c>
      <c r="AF1153" s="4" t="s">
        <v>41</v>
      </c>
      <c r="AG1153" s="4" t="s">
        <v>2481</v>
      </c>
    </row>
    <row r="1154" spans="1:33" ht="16.5" customHeight="1" x14ac:dyDescent="0.2">
      <c r="A1154" s="2" t="s">
        <v>31</v>
      </c>
      <c r="B1154" s="5" t="s">
        <v>108</v>
      </c>
      <c r="C1154" s="5"/>
      <c r="D1154" s="5"/>
      <c r="E1154" s="6" t="s">
        <v>33</v>
      </c>
      <c r="F1154" s="6"/>
      <c r="G1154" s="7" t="s">
        <v>2477</v>
      </c>
      <c r="H1154" s="7"/>
      <c r="I1154" s="7"/>
      <c r="J1154" s="3" t="s">
        <v>35</v>
      </c>
      <c r="K1154" s="4" t="s">
        <v>1285</v>
      </c>
      <c r="N1154" s="7" t="s">
        <v>2509</v>
      </c>
      <c r="O1154" s="7"/>
      <c r="P1154" s="7" t="s">
        <v>2490</v>
      </c>
      <c r="Q1154" s="7"/>
      <c r="R1154" s="7"/>
      <c r="S1154" s="3" t="s">
        <v>40</v>
      </c>
      <c r="T1154" s="7" t="s">
        <v>2510</v>
      </c>
      <c r="U1154" s="7"/>
      <c r="V1154" s="4" t="s">
        <v>51</v>
      </c>
      <c r="W1154" s="4" t="s">
        <v>90</v>
      </c>
      <c r="X1154" s="4" t="s">
        <v>103</v>
      </c>
      <c r="Y1154" s="7" t="s">
        <v>937</v>
      </c>
      <c r="Z1154" s="7"/>
      <c r="AA1154" s="4" t="s">
        <v>46</v>
      </c>
      <c r="AB1154" s="4" t="s">
        <v>115</v>
      </c>
      <c r="AC1154" s="4" t="s">
        <v>938</v>
      </c>
      <c r="AD1154" s="4" t="s">
        <v>2511</v>
      </c>
      <c r="AE1154" s="4" t="s">
        <v>48</v>
      </c>
      <c r="AF1154" s="4" t="s">
        <v>41</v>
      </c>
      <c r="AG1154" s="4" t="s">
        <v>2481</v>
      </c>
    </row>
    <row r="1155" spans="1:33" ht="16.5" customHeight="1" x14ac:dyDescent="0.2">
      <c r="A1155" s="2" t="s">
        <v>31</v>
      </c>
      <c r="B1155" s="5" t="s">
        <v>108</v>
      </c>
      <c r="C1155" s="5"/>
      <c r="D1155" s="5"/>
      <c r="E1155" s="6" t="s">
        <v>33</v>
      </c>
      <c r="F1155" s="6"/>
      <c r="G1155" s="7" t="s">
        <v>2477</v>
      </c>
      <c r="H1155" s="7"/>
      <c r="I1155" s="7"/>
      <c r="J1155" s="3" t="s">
        <v>35</v>
      </c>
      <c r="K1155" s="4" t="s">
        <v>2512</v>
      </c>
      <c r="N1155" s="7" t="s">
        <v>2513</v>
      </c>
      <c r="O1155" s="7"/>
      <c r="P1155" s="7" t="s">
        <v>2514</v>
      </c>
      <c r="Q1155" s="7"/>
      <c r="R1155" s="7"/>
      <c r="S1155" s="3" t="s">
        <v>40</v>
      </c>
      <c r="T1155" s="7" t="s">
        <v>2515</v>
      </c>
      <c r="U1155" s="7"/>
      <c r="V1155" s="4" t="s">
        <v>42</v>
      </c>
      <c r="W1155" s="4" t="s">
        <v>172</v>
      </c>
      <c r="X1155" s="4" t="s">
        <v>386</v>
      </c>
      <c r="Y1155" s="7" t="s">
        <v>402</v>
      </c>
      <c r="Z1155" s="7"/>
      <c r="AA1155" s="4" t="s">
        <v>46</v>
      </c>
      <c r="AB1155" s="4" t="s">
        <v>115</v>
      </c>
      <c r="AC1155" s="4" t="s">
        <v>403</v>
      </c>
      <c r="AD1155" s="4" t="s">
        <v>2516</v>
      </c>
      <c r="AE1155" s="4" t="s">
        <v>48</v>
      </c>
      <c r="AF1155" s="4" t="s">
        <v>41</v>
      </c>
      <c r="AG1155" s="4" t="s">
        <v>2481</v>
      </c>
    </row>
    <row r="1156" spans="1:33" ht="16.5" customHeight="1" x14ac:dyDescent="0.2">
      <c r="A1156" s="2" t="s">
        <v>31</v>
      </c>
      <c r="B1156" s="5" t="s">
        <v>54</v>
      </c>
      <c r="C1156" s="5"/>
      <c r="D1156" s="5"/>
      <c r="E1156" s="6" t="s">
        <v>33</v>
      </c>
      <c r="F1156" s="6"/>
      <c r="G1156" s="7" t="s">
        <v>2517</v>
      </c>
      <c r="H1156" s="7"/>
      <c r="I1156" s="7"/>
      <c r="J1156" s="3" t="s">
        <v>35</v>
      </c>
      <c r="K1156" s="4" t="s">
        <v>657</v>
      </c>
      <c r="L1156" s="4" t="s">
        <v>37</v>
      </c>
      <c r="N1156" s="7" t="s">
        <v>2518</v>
      </c>
      <c r="O1156" s="7"/>
      <c r="P1156" s="7" t="s">
        <v>2519</v>
      </c>
      <c r="Q1156" s="7"/>
      <c r="R1156" s="7"/>
      <c r="S1156" s="3" t="s">
        <v>40</v>
      </c>
      <c r="T1156" s="7" t="s">
        <v>41</v>
      </c>
      <c r="U1156" s="7"/>
      <c r="V1156" s="4" t="s">
        <v>42</v>
      </c>
      <c r="W1156" s="4" t="s">
        <v>527</v>
      </c>
      <c r="X1156" s="4" t="s">
        <v>528</v>
      </c>
      <c r="Y1156" s="7" t="s">
        <v>197</v>
      </c>
      <c r="Z1156" s="7"/>
      <c r="AA1156" s="4" t="s">
        <v>46</v>
      </c>
      <c r="AB1156" s="4" t="s">
        <v>47</v>
      </c>
      <c r="AC1156" s="4" t="s">
        <v>259</v>
      </c>
      <c r="AD1156" s="4" t="s">
        <v>260</v>
      </c>
      <c r="AE1156" s="4" t="s">
        <v>48</v>
      </c>
      <c r="AF1156" s="4" t="s">
        <v>41</v>
      </c>
      <c r="AG1156" s="4" t="s">
        <v>2520</v>
      </c>
    </row>
    <row r="1157" spans="1:33" ht="16.5" customHeight="1" x14ac:dyDescent="0.2">
      <c r="A1157" s="2" t="s">
        <v>31</v>
      </c>
      <c r="B1157" s="5" t="s">
        <v>54</v>
      </c>
      <c r="C1157" s="5"/>
      <c r="D1157" s="5"/>
      <c r="E1157" s="6" t="s">
        <v>33</v>
      </c>
      <c r="F1157" s="6"/>
      <c r="G1157" s="7" t="s">
        <v>2517</v>
      </c>
      <c r="H1157" s="7"/>
      <c r="I1157" s="7"/>
      <c r="J1157" s="3" t="s">
        <v>35</v>
      </c>
      <c r="K1157" s="4" t="s">
        <v>248</v>
      </c>
      <c r="L1157" s="4" t="s">
        <v>37</v>
      </c>
      <c r="N1157" s="7" t="s">
        <v>2521</v>
      </c>
      <c r="O1157" s="7"/>
      <c r="P1157" s="7" t="s">
        <v>2522</v>
      </c>
      <c r="Q1157" s="7"/>
      <c r="R1157" s="7"/>
      <c r="S1157" s="3" t="s">
        <v>40</v>
      </c>
      <c r="T1157" s="7" t="s">
        <v>41</v>
      </c>
      <c r="U1157" s="7"/>
      <c r="V1157" s="4" t="s">
        <v>42</v>
      </c>
      <c r="W1157" s="4" t="s">
        <v>43</v>
      </c>
      <c r="X1157" s="4" t="s">
        <v>44</v>
      </c>
      <c r="Y1157" s="7" t="s">
        <v>60</v>
      </c>
      <c r="Z1157" s="7"/>
      <c r="AA1157" s="4" t="s">
        <v>46</v>
      </c>
      <c r="AB1157" s="4" t="s">
        <v>47</v>
      </c>
      <c r="AC1157" s="4" t="s">
        <v>79</v>
      </c>
      <c r="AD1157" s="4" t="s">
        <v>80</v>
      </c>
      <c r="AE1157" s="4" t="s">
        <v>48</v>
      </c>
      <c r="AF1157" s="4" t="s">
        <v>41</v>
      </c>
      <c r="AG1157" s="4" t="s">
        <v>2520</v>
      </c>
    </row>
    <row r="1158" spans="1:33" ht="16.5" customHeight="1" x14ac:dyDescent="0.2">
      <c r="A1158" s="2" t="s">
        <v>31</v>
      </c>
      <c r="B1158" s="5" t="s">
        <v>54</v>
      </c>
      <c r="C1158" s="5"/>
      <c r="D1158" s="5"/>
      <c r="E1158" s="6" t="s">
        <v>33</v>
      </c>
      <c r="F1158" s="6"/>
      <c r="G1158" s="7" t="s">
        <v>2517</v>
      </c>
      <c r="H1158" s="7"/>
      <c r="I1158" s="7"/>
      <c r="J1158" s="3" t="s">
        <v>35</v>
      </c>
      <c r="K1158" s="4" t="s">
        <v>73</v>
      </c>
      <c r="L1158" s="4" t="s">
        <v>37</v>
      </c>
      <c r="N1158" s="7" t="s">
        <v>2523</v>
      </c>
      <c r="O1158" s="7"/>
      <c r="P1158" s="7" t="s">
        <v>2524</v>
      </c>
      <c r="Q1158" s="7"/>
      <c r="R1158" s="7"/>
      <c r="S1158" s="3" t="s">
        <v>40</v>
      </c>
      <c r="T1158" s="7" t="s">
        <v>41</v>
      </c>
      <c r="U1158" s="7"/>
      <c r="V1158" s="4" t="s">
        <v>42</v>
      </c>
      <c r="W1158" s="4" t="s">
        <v>181</v>
      </c>
      <c r="X1158" s="4" t="s">
        <v>182</v>
      </c>
      <c r="Y1158" s="7" t="s">
        <v>78</v>
      </c>
      <c r="Z1158" s="7"/>
      <c r="AA1158" s="4" t="s">
        <v>46</v>
      </c>
      <c r="AB1158" s="4" t="s">
        <v>47</v>
      </c>
      <c r="AC1158" s="4" t="s">
        <v>79</v>
      </c>
      <c r="AD1158" s="4" t="s">
        <v>80</v>
      </c>
      <c r="AE1158" s="4" t="s">
        <v>48</v>
      </c>
      <c r="AF1158" s="4" t="s">
        <v>41</v>
      </c>
      <c r="AG1158" s="4" t="s">
        <v>2520</v>
      </c>
    </row>
    <row r="1159" spans="1:33" ht="16.5" customHeight="1" x14ac:dyDescent="0.2">
      <c r="A1159" s="2" t="s">
        <v>31</v>
      </c>
      <c r="B1159" s="5" t="s">
        <v>54</v>
      </c>
      <c r="C1159" s="5"/>
      <c r="D1159" s="5"/>
      <c r="E1159" s="6" t="s">
        <v>33</v>
      </c>
      <c r="F1159" s="6"/>
      <c r="G1159" s="7" t="s">
        <v>2517</v>
      </c>
      <c r="H1159" s="7"/>
      <c r="I1159" s="7"/>
      <c r="J1159" s="3" t="s">
        <v>35</v>
      </c>
      <c r="K1159" s="4" t="s">
        <v>130</v>
      </c>
      <c r="L1159" s="4" t="s">
        <v>37</v>
      </c>
      <c r="N1159" s="7" t="s">
        <v>2525</v>
      </c>
      <c r="O1159" s="7"/>
      <c r="P1159" s="7" t="s">
        <v>2526</v>
      </c>
      <c r="Q1159" s="7"/>
      <c r="R1159" s="7"/>
      <c r="S1159" s="3" t="s">
        <v>40</v>
      </c>
      <c r="T1159" s="7" t="s">
        <v>41</v>
      </c>
      <c r="U1159" s="7"/>
      <c r="V1159" s="4" t="s">
        <v>42</v>
      </c>
      <c r="W1159" s="4" t="s">
        <v>68</v>
      </c>
      <c r="X1159" s="4" t="s">
        <v>69</v>
      </c>
      <c r="Y1159" s="7" t="s">
        <v>135</v>
      </c>
      <c r="Z1159" s="7"/>
      <c r="AA1159" s="4" t="s">
        <v>46</v>
      </c>
      <c r="AB1159" s="4" t="s">
        <v>47</v>
      </c>
      <c r="AC1159" s="4" t="s">
        <v>79</v>
      </c>
      <c r="AD1159" s="4" t="s">
        <v>80</v>
      </c>
      <c r="AE1159" s="4" t="s">
        <v>48</v>
      </c>
      <c r="AF1159" s="4" t="s">
        <v>41</v>
      </c>
      <c r="AG1159" s="4" t="s">
        <v>2520</v>
      </c>
    </row>
    <row r="1160" spans="1:33" ht="16.5" customHeight="1" x14ac:dyDescent="0.2">
      <c r="A1160" s="2" t="s">
        <v>31</v>
      </c>
      <c r="B1160" s="5" t="s">
        <v>54</v>
      </c>
      <c r="C1160" s="5"/>
      <c r="D1160" s="5"/>
      <c r="E1160" s="6" t="s">
        <v>33</v>
      </c>
      <c r="F1160" s="6"/>
      <c r="G1160" s="7" t="s">
        <v>2517</v>
      </c>
      <c r="H1160" s="7"/>
      <c r="I1160" s="7"/>
      <c r="J1160" s="3" t="s">
        <v>35</v>
      </c>
      <c r="K1160" s="4" t="s">
        <v>73</v>
      </c>
      <c r="L1160" s="4" t="s">
        <v>37</v>
      </c>
      <c r="N1160" s="7" t="s">
        <v>2527</v>
      </c>
      <c r="O1160" s="7"/>
      <c r="P1160" s="7" t="s">
        <v>2528</v>
      </c>
      <c r="Q1160" s="7"/>
      <c r="R1160" s="7"/>
      <c r="S1160" s="3" t="s">
        <v>40</v>
      </c>
      <c r="T1160" s="7" t="s">
        <v>41</v>
      </c>
      <c r="U1160" s="7"/>
      <c r="V1160" s="4" t="s">
        <v>42</v>
      </c>
      <c r="W1160" s="4" t="s">
        <v>312</v>
      </c>
      <c r="X1160" s="4" t="s">
        <v>313</v>
      </c>
      <c r="Y1160" s="7" t="s">
        <v>78</v>
      </c>
      <c r="Z1160" s="7"/>
      <c r="AA1160" s="4" t="s">
        <v>46</v>
      </c>
      <c r="AB1160" s="4" t="s">
        <v>47</v>
      </c>
      <c r="AC1160" s="4" t="s">
        <v>79</v>
      </c>
      <c r="AD1160" s="4" t="s">
        <v>80</v>
      </c>
      <c r="AE1160" s="4" t="s">
        <v>48</v>
      </c>
      <c r="AF1160" s="4" t="s">
        <v>41</v>
      </c>
      <c r="AG1160" s="4" t="s">
        <v>2520</v>
      </c>
    </row>
    <row r="1161" spans="1:33" ht="16.5" customHeight="1" x14ac:dyDescent="0.2">
      <c r="A1161" s="2" t="s">
        <v>31</v>
      </c>
      <c r="B1161" s="5" t="s">
        <v>54</v>
      </c>
      <c r="C1161" s="5"/>
      <c r="D1161" s="5"/>
      <c r="E1161" s="6" t="s">
        <v>33</v>
      </c>
      <c r="F1161" s="6"/>
      <c r="G1161" s="7" t="s">
        <v>2517</v>
      </c>
      <c r="H1161" s="7"/>
      <c r="I1161" s="7"/>
      <c r="J1161" s="3" t="s">
        <v>35</v>
      </c>
      <c r="K1161" s="4" t="s">
        <v>97</v>
      </c>
      <c r="L1161" s="4" t="s">
        <v>37</v>
      </c>
      <c r="N1161" s="7" t="s">
        <v>2529</v>
      </c>
      <c r="O1161" s="7"/>
      <c r="P1161" s="7" t="s">
        <v>2530</v>
      </c>
      <c r="Q1161" s="7"/>
      <c r="R1161" s="7"/>
      <c r="S1161" s="3" t="s">
        <v>40</v>
      </c>
      <c r="T1161" s="7" t="s">
        <v>41</v>
      </c>
      <c r="U1161" s="7"/>
      <c r="V1161" s="4" t="s">
        <v>42</v>
      </c>
      <c r="W1161" s="4" t="s">
        <v>58</v>
      </c>
      <c r="X1161" s="4" t="s">
        <v>59</v>
      </c>
      <c r="Y1161" s="7" t="s">
        <v>78</v>
      </c>
      <c r="Z1161" s="7"/>
      <c r="AA1161" s="4" t="s">
        <v>46</v>
      </c>
      <c r="AB1161" s="4" t="s">
        <v>47</v>
      </c>
      <c r="AC1161" s="4" t="s">
        <v>79</v>
      </c>
      <c r="AD1161" s="4" t="s">
        <v>80</v>
      </c>
      <c r="AE1161" s="4" t="s">
        <v>48</v>
      </c>
      <c r="AF1161" s="4" t="s">
        <v>41</v>
      </c>
      <c r="AG1161" s="4" t="s">
        <v>2520</v>
      </c>
    </row>
    <row r="1162" spans="1:33" ht="16.5" customHeight="1" x14ac:dyDescent="0.2">
      <c r="A1162" s="2" t="s">
        <v>31</v>
      </c>
      <c r="B1162" s="5" t="s">
        <v>54</v>
      </c>
      <c r="C1162" s="5"/>
      <c r="D1162" s="5"/>
      <c r="E1162" s="6" t="s">
        <v>33</v>
      </c>
      <c r="F1162" s="6"/>
      <c r="G1162" s="7" t="s">
        <v>2517</v>
      </c>
      <c r="H1162" s="7"/>
      <c r="I1162" s="7"/>
      <c r="J1162" s="3" t="s">
        <v>35</v>
      </c>
      <c r="K1162" s="4" t="s">
        <v>97</v>
      </c>
      <c r="L1162" s="4" t="s">
        <v>37</v>
      </c>
      <c r="N1162" s="7" t="s">
        <v>2529</v>
      </c>
      <c r="O1162" s="7"/>
      <c r="P1162" s="7" t="s">
        <v>2530</v>
      </c>
      <c r="Q1162" s="7"/>
      <c r="R1162" s="7"/>
      <c r="S1162" s="3" t="s">
        <v>40</v>
      </c>
      <c r="T1162" s="7" t="s">
        <v>41</v>
      </c>
      <c r="U1162" s="7"/>
      <c r="V1162" s="4" t="s">
        <v>51</v>
      </c>
      <c r="W1162" s="4" t="s">
        <v>58</v>
      </c>
      <c r="X1162" s="4" t="s">
        <v>128</v>
      </c>
      <c r="Y1162" s="7" t="s">
        <v>78</v>
      </c>
      <c r="Z1162" s="7"/>
      <c r="AA1162" s="4" t="s">
        <v>46</v>
      </c>
      <c r="AB1162" s="4" t="s">
        <v>47</v>
      </c>
      <c r="AC1162" s="4" t="s">
        <v>79</v>
      </c>
      <c r="AD1162" s="4" t="s">
        <v>80</v>
      </c>
      <c r="AE1162" s="4" t="s">
        <v>48</v>
      </c>
      <c r="AF1162" s="4" t="s">
        <v>41</v>
      </c>
      <c r="AG1162" s="4" t="s">
        <v>2520</v>
      </c>
    </row>
    <row r="1163" spans="1:33" ht="16.5" customHeight="1" x14ac:dyDescent="0.2">
      <c r="A1163" s="2" t="s">
        <v>31</v>
      </c>
      <c r="B1163" s="5" t="s">
        <v>54</v>
      </c>
      <c r="C1163" s="5"/>
      <c r="D1163" s="5"/>
      <c r="E1163" s="6" t="s">
        <v>33</v>
      </c>
      <c r="F1163" s="6"/>
      <c r="G1163" s="7" t="s">
        <v>2517</v>
      </c>
      <c r="H1163" s="7"/>
      <c r="I1163" s="7"/>
      <c r="J1163" s="3" t="s">
        <v>35</v>
      </c>
      <c r="K1163" s="4" t="s">
        <v>55</v>
      </c>
      <c r="L1163" s="4" t="s">
        <v>37</v>
      </c>
      <c r="N1163" s="7" t="s">
        <v>2531</v>
      </c>
      <c r="O1163" s="7"/>
      <c r="P1163" s="7" t="s">
        <v>2532</v>
      </c>
      <c r="Q1163" s="7"/>
      <c r="R1163" s="7"/>
      <c r="S1163" s="3" t="s">
        <v>40</v>
      </c>
      <c r="T1163" s="7" t="s">
        <v>41</v>
      </c>
      <c r="U1163" s="7"/>
      <c r="V1163" s="4" t="s">
        <v>42</v>
      </c>
      <c r="W1163" s="4" t="s">
        <v>58</v>
      </c>
      <c r="X1163" s="4" t="s">
        <v>59</v>
      </c>
      <c r="Y1163" s="7" t="s">
        <v>60</v>
      </c>
      <c r="Z1163" s="7"/>
      <c r="AA1163" s="4" t="s">
        <v>46</v>
      </c>
      <c r="AB1163" s="4" t="s">
        <v>47</v>
      </c>
      <c r="AC1163" s="4" t="s">
        <v>61</v>
      </c>
      <c r="AD1163" s="4" t="s">
        <v>62</v>
      </c>
      <c r="AE1163" s="4" t="s">
        <v>48</v>
      </c>
      <c r="AF1163" s="4" t="s">
        <v>41</v>
      </c>
      <c r="AG1163" s="4" t="s">
        <v>2520</v>
      </c>
    </row>
    <row r="1164" spans="1:33" ht="16.5" customHeight="1" x14ac:dyDescent="0.2">
      <c r="A1164" s="2" t="s">
        <v>31</v>
      </c>
      <c r="B1164" s="5" t="s">
        <v>54</v>
      </c>
      <c r="C1164" s="5"/>
      <c r="D1164" s="5"/>
      <c r="E1164" s="6" t="s">
        <v>33</v>
      </c>
      <c r="F1164" s="6"/>
      <c r="G1164" s="7" t="s">
        <v>2517</v>
      </c>
      <c r="H1164" s="7"/>
      <c r="I1164" s="7"/>
      <c r="J1164" s="3" t="s">
        <v>35</v>
      </c>
      <c r="K1164" s="4" t="s">
        <v>202</v>
      </c>
      <c r="L1164" s="4" t="s">
        <v>37</v>
      </c>
      <c r="N1164" s="7" t="s">
        <v>2533</v>
      </c>
      <c r="O1164" s="7"/>
      <c r="P1164" s="7" t="s">
        <v>2534</v>
      </c>
      <c r="Q1164" s="7"/>
      <c r="R1164" s="7"/>
      <c r="S1164" s="3" t="s">
        <v>40</v>
      </c>
      <c r="T1164" s="7" t="s">
        <v>41</v>
      </c>
      <c r="U1164" s="7"/>
      <c r="V1164" s="4" t="s">
        <v>42</v>
      </c>
      <c r="W1164" s="4" t="s">
        <v>58</v>
      </c>
      <c r="X1164" s="4" t="s">
        <v>59</v>
      </c>
      <c r="Y1164" s="7" t="s">
        <v>197</v>
      </c>
      <c r="Z1164" s="7"/>
      <c r="AA1164" s="4" t="s">
        <v>46</v>
      </c>
      <c r="AB1164" s="4" t="s">
        <v>47</v>
      </c>
      <c r="AC1164" s="4" t="s">
        <v>136</v>
      </c>
      <c r="AD1164" s="4" t="s">
        <v>137</v>
      </c>
      <c r="AE1164" s="4" t="s">
        <v>48</v>
      </c>
      <c r="AF1164" s="4" t="s">
        <v>41</v>
      </c>
      <c r="AG1164" s="4" t="s">
        <v>2520</v>
      </c>
    </row>
    <row r="1165" spans="1:33" ht="16.5" customHeight="1" x14ac:dyDescent="0.2">
      <c r="A1165" s="2" t="s">
        <v>31</v>
      </c>
      <c r="B1165" s="5" t="s">
        <v>54</v>
      </c>
      <c r="C1165" s="5"/>
      <c r="D1165" s="5"/>
      <c r="E1165" s="6" t="s">
        <v>33</v>
      </c>
      <c r="F1165" s="6"/>
      <c r="G1165" s="7" t="s">
        <v>2517</v>
      </c>
      <c r="H1165" s="7"/>
      <c r="I1165" s="7"/>
      <c r="J1165" s="3" t="s">
        <v>35</v>
      </c>
      <c r="K1165" s="4" t="s">
        <v>657</v>
      </c>
      <c r="L1165" s="4" t="s">
        <v>37</v>
      </c>
      <c r="N1165" s="7" t="s">
        <v>2535</v>
      </c>
      <c r="O1165" s="7"/>
      <c r="P1165" s="7" t="s">
        <v>2536</v>
      </c>
      <c r="Q1165" s="7"/>
      <c r="R1165" s="7"/>
      <c r="S1165" s="3" t="s">
        <v>40</v>
      </c>
      <c r="T1165" s="7" t="s">
        <v>41</v>
      </c>
      <c r="U1165" s="7"/>
      <c r="V1165" s="4" t="s">
        <v>42</v>
      </c>
      <c r="W1165" s="4" t="s">
        <v>58</v>
      </c>
      <c r="X1165" s="4" t="s">
        <v>59</v>
      </c>
      <c r="Y1165" s="7" t="s">
        <v>197</v>
      </c>
      <c r="Z1165" s="7"/>
      <c r="AA1165" s="4" t="s">
        <v>46</v>
      </c>
      <c r="AB1165" s="4" t="s">
        <v>47</v>
      </c>
      <c r="AC1165" s="4" t="s">
        <v>136</v>
      </c>
      <c r="AD1165" s="4" t="s">
        <v>137</v>
      </c>
      <c r="AE1165" s="4" t="s">
        <v>48</v>
      </c>
      <c r="AF1165" s="4" t="s">
        <v>41</v>
      </c>
      <c r="AG1165" s="4" t="s">
        <v>2520</v>
      </c>
    </row>
    <row r="1166" spans="1:33" ht="16.5" customHeight="1" x14ac:dyDescent="0.2">
      <c r="A1166" s="2" t="s">
        <v>31</v>
      </c>
      <c r="B1166" s="5" t="s">
        <v>54</v>
      </c>
      <c r="C1166" s="5"/>
      <c r="D1166" s="5"/>
      <c r="E1166" s="6" t="s">
        <v>33</v>
      </c>
      <c r="F1166" s="6"/>
      <c r="G1166" s="7" t="s">
        <v>2517</v>
      </c>
      <c r="H1166" s="7"/>
      <c r="I1166" s="7"/>
      <c r="J1166" s="3" t="s">
        <v>35</v>
      </c>
      <c r="K1166" s="4" t="s">
        <v>657</v>
      </c>
      <c r="L1166" s="4" t="s">
        <v>37</v>
      </c>
      <c r="N1166" s="7" t="s">
        <v>2537</v>
      </c>
      <c r="O1166" s="7"/>
      <c r="P1166" s="7" t="s">
        <v>2538</v>
      </c>
      <c r="Q1166" s="7"/>
      <c r="R1166" s="7"/>
      <c r="S1166" s="3" t="s">
        <v>40</v>
      </c>
      <c r="T1166" s="7" t="s">
        <v>41</v>
      </c>
      <c r="U1166" s="7"/>
      <c r="V1166" s="4" t="s">
        <v>42</v>
      </c>
      <c r="W1166" s="4" t="s">
        <v>58</v>
      </c>
      <c r="X1166" s="4" t="s">
        <v>59</v>
      </c>
      <c r="Y1166" s="7" t="s">
        <v>197</v>
      </c>
      <c r="Z1166" s="7"/>
      <c r="AA1166" s="4" t="s">
        <v>46</v>
      </c>
      <c r="AB1166" s="4" t="s">
        <v>47</v>
      </c>
      <c r="AC1166" s="4" t="s">
        <v>136</v>
      </c>
      <c r="AD1166" s="4" t="s">
        <v>137</v>
      </c>
      <c r="AE1166" s="4" t="s">
        <v>48</v>
      </c>
      <c r="AF1166" s="4" t="s">
        <v>41</v>
      </c>
      <c r="AG1166" s="4" t="s">
        <v>2520</v>
      </c>
    </row>
    <row r="1167" spans="1:33" ht="16.5" customHeight="1" x14ac:dyDescent="0.2">
      <c r="A1167" s="2" t="s">
        <v>31</v>
      </c>
      <c r="B1167" s="5" t="s">
        <v>54</v>
      </c>
      <c r="C1167" s="5"/>
      <c r="D1167" s="5"/>
      <c r="E1167" s="6" t="s">
        <v>33</v>
      </c>
      <c r="F1167" s="6"/>
      <c r="G1167" s="7" t="s">
        <v>2517</v>
      </c>
      <c r="H1167" s="7"/>
      <c r="I1167" s="7"/>
      <c r="J1167" s="3" t="s">
        <v>35</v>
      </c>
      <c r="K1167" s="4" t="s">
        <v>657</v>
      </c>
      <c r="L1167" s="4" t="s">
        <v>280</v>
      </c>
      <c r="N1167" s="7" t="s">
        <v>2539</v>
      </c>
      <c r="O1167" s="7"/>
      <c r="P1167" s="7" t="s">
        <v>2540</v>
      </c>
      <c r="Q1167" s="7"/>
      <c r="R1167" s="7"/>
      <c r="S1167" s="3" t="s">
        <v>40</v>
      </c>
      <c r="T1167" s="7" t="s">
        <v>41</v>
      </c>
      <c r="U1167" s="7"/>
      <c r="V1167" s="4" t="s">
        <v>42</v>
      </c>
      <c r="W1167" s="4" t="s">
        <v>51</v>
      </c>
      <c r="X1167" s="4" t="s">
        <v>128</v>
      </c>
      <c r="Y1167" s="7" t="s">
        <v>197</v>
      </c>
      <c r="Z1167" s="7"/>
      <c r="AA1167" s="4" t="s">
        <v>46</v>
      </c>
      <c r="AB1167" s="4" t="s">
        <v>47</v>
      </c>
      <c r="AC1167" s="4" t="s">
        <v>136</v>
      </c>
      <c r="AD1167" s="4" t="s">
        <v>324</v>
      </c>
      <c r="AE1167" s="4" t="s">
        <v>48</v>
      </c>
      <c r="AF1167" s="4" t="s">
        <v>41</v>
      </c>
      <c r="AG1167" s="4" t="s">
        <v>2520</v>
      </c>
    </row>
    <row r="1168" spans="1:33" ht="16.5" customHeight="1" x14ac:dyDescent="0.2">
      <c r="A1168" s="2" t="s">
        <v>31</v>
      </c>
      <c r="B1168" s="5" t="s">
        <v>50</v>
      </c>
      <c r="C1168" s="5"/>
      <c r="D1168" s="5"/>
      <c r="E1168" s="6" t="s">
        <v>33</v>
      </c>
      <c r="F1168" s="6"/>
      <c r="G1168" s="7" t="s">
        <v>2541</v>
      </c>
      <c r="H1168" s="7"/>
      <c r="I1168" s="7"/>
      <c r="J1168" s="3" t="s">
        <v>35</v>
      </c>
      <c r="K1168" s="4" t="s">
        <v>661</v>
      </c>
      <c r="N1168" s="7" t="s">
        <v>2542</v>
      </c>
      <c r="O1168" s="7"/>
      <c r="P1168" s="7" t="s">
        <v>2543</v>
      </c>
      <c r="Q1168" s="7"/>
      <c r="R1168" s="7"/>
      <c r="S1168" s="3" t="s">
        <v>40</v>
      </c>
      <c r="T1168" s="7" t="s">
        <v>41</v>
      </c>
      <c r="U1168" s="7"/>
      <c r="V1168" s="4" t="s">
        <v>51</v>
      </c>
      <c r="W1168" s="4" t="s">
        <v>2544</v>
      </c>
      <c r="X1168" s="4" t="s">
        <v>2545</v>
      </c>
      <c r="Y1168" s="7" t="s">
        <v>664</v>
      </c>
      <c r="Z1168" s="7"/>
      <c r="AA1168" s="4" t="s">
        <v>46</v>
      </c>
      <c r="AB1168" s="4" t="s">
        <v>47</v>
      </c>
      <c r="AD1168" s="4" t="s">
        <v>2546</v>
      </c>
      <c r="AE1168" s="4" t="s">
        <v>48</v>
      </c>
      <c r="AF1168" s="4" t="s">
        <v>41</v>
      </c>
      <c r="AG1168" s="4" t="s">
        <v>2547</v>
      </c>
    </row>
    <row r="1169" spans="1:33" ht="16.5" customHeight="1" x14ac:dyDescent="0.2">
      <c r="A1169" s="2" t="s">
        <v>31</v>
      </c>
      <c r="B1169" s="5" t="s">
        <v>646</v>
      </c>
      <c r="C1169" s="5"/>
      <c r="D1169" s="5"/>
      <c r="E1169" s="6" t="s">
        <v>33</v>
      </c>
      <c r="F1169" s="6"/>
      <c r="G1169" s="7" t="s">
        <v>2541</v>
      </c>
      <c r="H1169" s="7"/>
      <c r="I1169" s="7"/>
      <c r="J1169" s="3" t="s">
        <v>35</v>
      </c>
      <c r="K1169" s="4" t="s">
        <v>661</v>
      </c>
      <c r="L1169" s="4" t="s">
        <v>37</v>
      </c>
      <c r="N1169" s="7" t="s">
        <v>2542</v>
      </c>
      <c r="O1169" s="7"/>
      <c r="P1169" s="7" t="s">
        <v>2543</v>
      </c>
      <c r="Q1169" s="7"/>
      <c r="R1169" s="7"/>
      <c r="S1169" s="3" t="s">
        <v>40</v>
      </c>
      <c r="T1169" s="7" t="s">
        <v>671</v>
      </c>
      <c r="U1169" s="7"/>
      <c r="V1169" s="4" t="s">
        <v>51</v>
      </c>
      <c r="W1169" s="4" t="s">
        <v>58</v>
      </c>
      <c r="X1169" s="4" t="s">
        <v>128</v>
      </c>
      <c r="Y1169" s="7" t="s">
        <v>672</v>
      </c>
      <c r="Z1169" s="7"/>
      <c r="AA1169" s="4" t="s">
        <v>46</v>
      </c>
      <c r="AB1169" s="4" t="s">
        <v>47</v>
      </c>
      <c r="AD1169" s="4" t="s">
        <v>80</v>
      </c>
      <c r="AE1169" s="4" t="s">
        <v>48</v>
      </c>
      <c r="AF1169" s="4" t="s">
        <v>41</v>
      </c>
      <c r="AG1169" s="4" t="s">
        <v>2547</v>
      </c>
    </row>
    <row r="1170" spans="1:33" ht="16.5" customHeight="1" x14ac:dyDescent="0.2">
      <c r="A1170" s="2" t="s">
        <v>31</v>
      </c>
      <c r="B1170" s="5" t="s">
        <v>50</v>
      </c>
      <c r="C1170" s="5"/>
      <c r="D1170" s="5"/>
      <c r="E1170" s="6" t="s">
        <v>33</v>
      </c>
      <c r="F1170" s="6"/>
      <c r="G1170" s="7" t="s">
        <v>2541</v>
      </c>
      <c r="H1170" s="7"/>
      <c r="I1170" s="7"/>
      <c r="J1170" s="3" t="s">
        <v>35</v>
      </c>
      <c r="K1170" s="4" t="s">
        <v>661</v>
      </c>
      <c r="N1170" s="7" t="s">
        <v>2548</v>
      </c>
      <c r="O1170" s="7"/>
      <c r="P1170" s="7" t="s">
        <v>2549</v>
      </c>
      <c r="Q1170" s="7"/>
      <c r="R1170" s="7"/>
      <c r="S1170" s="3" t="s">
        <v>40</v>
      </c>
      <c r="T1170" s="7" t="s">
        <v>41</v>
      </c>
      <c r="U1170" s="7"/>
      <c r="V1170" s="4" t="s">
        <v>51</v>
      </c>
      <c r="W1170" s="4" t="s">
        <v>68</v>
      </c>
      <c r="X1170" s="4" t="s">
        <v>313</v>
      </c>
      <c r="Y1170" s="7" t="s">
        <v>664</v>
      </c>
      <c r="Z1170" s="7"/>
      <c r="AA1170" s="4" t="s">
        <v>46</v>
      </c>
      <c r="AB1170" s="4" t="s">
        <v>47</v>
      </c>
      <c r="AD1170" s="4" t="s">
        <v>96</v>
      </c>
      <c r="AE1170" s="4" t="s">
        <v>48</v>
      </c>
      <c r="AF1170" s="4" t="s">
        <v>41</v>
      </c>
      <c r="AG1170" s="4" t="s">
        <v>2547</v>
      </c>
    </row>
    <row r="1171" spans="1:33" ht="16.5" customHeight="1" x14ac:dyDescent="0.2">
      <c r="A1171" s="2" t="s">
        <v>31</v>
      </c>
      <c r="B1171" s="5" t="s">
        <v>50</v>
      </c>
      <c r="C1171" s="5"/>
      <c r="D1171" s="5"/>
      <c r="E1171" s="6" t="s">
        <v>33</v>
      </c>
      <c r="F1171" s="6"/>
      <c r="G1171" s="7" t="s">
        <v>2541</v>
      </c>
      <c r="H1171" s="7"/>
      <c r="I1171" s="7"/>
      <c r="J1171" s="3" t="s">
        <v>35</v>
      </c>
      <c r="K1171" s="4" t="s">
        <v>661</v>
      </c>
      <c r="N1171" s="7" t="s">
        <v>2550</v>
      </c>
      <c r="O1171" s="7"/>
      <c r="P1171" s="7" t="s">
        <v>2551</v>
      </c>
      <c r="Q1171" s="7"/>
      <c r="R1171" s="7"/>
      <c r="S1171" s="3" t="s">
        <v>40</v>
      </c>
      <c r="T1171" s="7" t="s">
        <v>41</v>
      </c>
      <c r="U1171" s="7"/>
      <c r="V1171" s="4" t="s">
        <v>51</v>
      </c>
      <c r="W1171" s="4" t="s">
        <v>76</v>
      </c>
      <c r="X1171" s="4" t="s">
        <v>91</v>
      </c>
      <c r="Y1171" s="7" t="s">
        <v>664</v>
      </c>
      <c r="Z1171" s="7"/>
      <c r="AA1171" s="4" t="s">
        <v>46</v>
      </c>
      <c r="AB1171" s="4" t="s">
        <v>47</v>
      </c>
      <c r="AD1171" s="4" t="s">
        <v>96</v>
      </c>
      <c r="AE1171" s="4" t="s">
        <v>48</v>
      </c>
      <c r="AF1171" s="4" t="s">
        <v>41</v>
      </c>
      <c r="AG1171" s="4" t="s">
        <v>2547</v>
      </c>
    </row>
    <row r="1172" spans="1:33" ht="16.5" customHeight="1" x14ac:dyDescent="0.2">
      <c r="A1172" s="2" t="s">
        <v>31</v>
      </c>
      <c r="B1172" s="5" t="s">
        <v>54</v>
      </c>
      <c r="C1172" s="5"/>
      <c r="D1172" s="5"/>
      <c r="E1172" s="6" t="s">
        <v>33</v>
      </c>
      <c r="F1172" s="6"/>
      <c r="G1172" s="7" t="s">
        <v>2541</v>
      </c>
      <c r="H1172" s="7"/>
      <c r="I1172" s="7"/>
      <c r="J1172" s="3" t="s">
        <v>35</v>
      </c>
      <c r="K1172" s="4" t="s">
        <v>118</v>
      </c>
      <c r="L1172" s="4" t="s">
        <v>93</v>
      </c>
      <c r="N1172" s="7" t="s">
        <v>2552</v>
      </c>
      <c r="O1172" s="7"/>
      <c r="P1172" s="7" t="s">
        <v>2553</v>
      </c>
      <c r="Q1172" s="7"/>
      <c r="R1172" s="7"/>
      <c r="S1172" s="3" t="s">
        <v>40</v>
      </c>
      <c r="T1172" s="7" t="s">
        <v>41</v>
      </c>
      <c r="U1172" s="7"/>
      <c r="V1172" s="4" t="s">
        <v>42</v>
      </c>
      <c r="W1172" s="4" t="s">
        <v>90</v>
      </c>
      <c r="X1172" s="4" t="s">
        <v>91</v>
      </c>
      <c r="Y1172" s="7" t="s">
        <v>60</v>
      </c>
      <c r="Z1172" s="7"/>
      <c r="AA1172" s="4" t="s">
        <v>46</v>
      </c>
      <c r="AB1172" s="4" t="s">
        <v>47</v>
      </c>
      <c r="AC1172" s="4" t="s">
        <v>61</v>
      </c>
      <c r="AD1172" s="4" t="s">
        <v>324</v>
      </c>
      <c r="AE1172" s="4" t="s">
        <v>48</v>
      </c>
      <c r="AF1172" s="4" t="s">
        <v>41</v>
      </c>
      <c r="AG1172" s="4" t="s">
        <v>2547</v>
      </c>
    </row>
    <row r="1173" spans="1:33" ht="16.5" customHeight="1" x14ac:dyDescent="0.2">
      <c r="A1173" s="2" t="s">
        <v>31</v>
      </c>
      <c r="B1173" s="5" t="s">
        <v>54</v>
      </c>
      <c r="C1173" s="5"/>
      <c r="D1173" s="5"/>
      <c r="E1173" s="6" t="s">
        <v>33</v>
      </c>
      <c r="F1173" s="6"/>
      <c r="G1173" s="7" t="s">
        <v>2541</v>
      </c>
      <c r="H1173" s="7"/>
      <c r="I1173" s="7"/>
      <c r="J1173" s="3" t="s">
        <v>35</v>
      </c>
      <c r="K1173" s="4" t="s">
        <v>245</v>
      </c>
      <c r="L1173" s="4" t="s">
        <v>37</v>
      </c>
      <c r="N1173" s="7" t="s">
        <v>2554</v>
      </c>
      <c r="O1173" s="7"/>
      <c r="P1173" s="7" t="s">
        <v>2555</v>
      </c>
      <c r="Q1173" s="7"/>
      <c r="R1173" s="7"/>
      <c r="S1173" s="3" t="s">
        <v>40</v>
      </c>
      <c r="T1173" s="7" t="s">
        <v>41</v>
      </c>
      <c r="U1173" s="7"/>
      <c r="V1173" s="4" t="s">
        <v>51</v>
      </c>
      <c r="W1173" s="4" t="s">
        <v>229</v>
      </c>
      <c r="X1173" s="4" t="s">
        <v>230</v>
      </c>
      <c r="Y1173" s="7" t="s">
        <v>78</v>
      </c>
      <c r="Z1173" s="7"/>
      <c r="AA1173" s="4" t="s">
        <v>46</v>
      </c>
      <c r="AB1173" s="4" t="s">
        <v>47</v>
      </c>
      <c r="AC1173" s="4" t="s">
        <v>136</v>
      </c>
      <c r="AD1173" s="4" t="s">
        <v>137</v>
      </c>
      <c r="AE1173" s="4" t="s">
        <v>48</v>
      </c>
      <c r="AF1173" s="4" t="s">
        <v>41</v>
      </c>
      <c r="AG1173" s="4" t="s">
        <v>2547</v>
      </c>
    </row>
    <row r="1174" spans="1:33" ht="16.5" customHeight="1" x14ac:dyDescent="0.2">
      <c r="A1174" s="2" t="s">
        <v>31</v>
      </c>
      <c r="B1174" s="5" t="s">
        <v>54</v>
      </c>
      <c r="C1174" s="5"/>
      <c r="D1174" s="5"/>
      <c r="E1174" s="6" t="s">
        <v>33</v>
      </c>
      <c r="F1174" s="6"/>
      <c r="G1174" s="7" t="s">
        <v>2541</v>
      </c>
      <c r="H1174" s="7"/>
      <c r="I1174" s="7"/>
      <c r="J1174" s="3" t="s">
        <v>35</v>
      </c>
      <c r="K1174" s="4" t="s">
        <v>192</v>
      </c>
      <c r="L1174" s="4" t="s">
        <v>443</v>
      </c>
      <c r="N1174" s="7" t="s">
        <v>2556</v>
      </c>
      <c r="O1174" s="7"/>
      <c r="P1174" s="7" t="s">
        <v>2557</v>
      </c>
      <c r="Q1174" s="7"/>
      <c r="R1174" s="7"/>
      <c r="S1174" s="3" t="s">
        <v>40</v>
      </c>
      <c r="T1174" s="7" t="s">
        <v>41</v>
      </c>
      <c r="U1174" s="7"/>
      <c r="V1174" s="4" t="s">
        <v>42</v>
      </c>
      <c r="W1174" s="4" t="s">
        <v>162</v>
      </c>
      <c r="X1174" s="4" t="s">
        <v>163</v>
      </c>
      <c r="Y1174" s="7" t="s">
        <v>197</v>
      </c>
      <c r="Z1174" s="7"/>
      <c r="AA1174" s="4" t="s">
        <v>46</v>
      </c>
      <c r="AB1174" s="4" t="s">
        <v>47</v>
      </c>
      <c r="AC1174" s="4" t="s">
        <v>259</v>
      </c>
      <c r="AD1174" s="4" t="s">
        <v>324</v>
      </c>
      <c r="AE1174" s="4" t="s">
        <v>48</v>
      </c>
      <c r="AF1174" s="4" t="s">
        <v>41</v>
      </c>
      <c r="AG1174" s="4" t="s">
        <v>2547</v>
      </c>
    </row>
    <row r="1175" spans="1:33" ht="16.5" customHeight="1" x14ac:dyDescent="0.2">
      <c r="A1175" s="2" t="s">
        <v>31</v>
      </c>
      <c r="B1175" s="5" t="s">
        <v>54</v>
      </c>
      <c r="C1175" s="5"/>
      <c r="D1175" s="5"/>
      <c r="E1175" s="6" t="s">
        <v>33</v>
      </c>
      <c r="F1175" s="6"/>
      <c r="G1175" s="7" t="s">
        <v>2541</v>
      </c>
      <c r="H1175" s="7"/>
      <c r="I1175" s="7"/>
      <c r="J1175" s="3" t="s">
        <v>35</v>
      </c>
      <c r="K1175" s="4" t="s">
        <v>387</v>
      </c>
      <c r="L1175" s="4" t="s">
        <v>93</v>
      </c>
      <c r="N1175" s="7" t="s">
        <v>2558</v>
      </c>
      <c r="O1175" s="7"/>
      <c r="P1175" s="7" t="s">
        <v>2559</v>
      </c>
      <c r="Q1175" s="7"/>
      <c r="R1175" s="7"/>
      <c r="S1175" s="3" t="s">
        <v>40</v>
      </c>
      <c r="T1175" s="7" t="s">
        <v>41</v>
      </c>
      <c r="U1175" s="7"/>
      <c r="V1175" s="4" t="s">
        <v>42</v>
      </c>
      <c r="W1175" s="4" t="s">
        <v>51</v>
      </c>
      <c r="X1175" s="4" t="s">
        <v>128</v>
      </c>
      <c r="Y1175" s="7" t="s">
        <v>197</v>
      </c>
      <c r="Z1175" s="7"/>
      <c r="AA1175" s="4" t="s">
        <v>46</v>
      </c>
      <c r="AB1175" s="4" t="s">
        <v>47</v>
      </c>
      <c r="AC1175" s="4" t="s">
        <v>136</v>
      </c>
      <c r="AD1175" s="4" t="s">
        <v>148</v>
      </c>
      <c r="AE1175" s="4" t="s">
        <v>48</v>
      </c>
      <c r="AF1175" s="4" t="s">
        <v>41</v>
      </c>
      <c r="AG1175" s="4" t="s">
        <v>2547</v>
      </c>
    </row>
    <row r="1176" spans="1:33" ht="16.5" customHeight="1" x14ac:dyDescent="0.2">
      <c r="A1176" s="2" t="s">
        <v>31</v>
      </c>
      <c r="B1176" s="5" t="s">
        <v>54</v>
      </c>
      <c r="C1176" s="5"/>
      <c r="D1176" s="5"/>
      <c r="E1176" s="6" t="s">
        <v>33</v>
      </c>
      <c r="F1176" s="6"/>
      <c r="G1176" s="7" t="s">
        <v>2541</v>
      </c>
      <c r="H1176" s="7"/>
      <c r="I1176" s="7"/>
      <c r="J1176" s="3" t="s">
        <v>35</v>
      </c>
      <c r="K1176" s="4" t="s">
        <v>409</v>
      </c>
      <c r="L1176" s="4" t="s">
        <v>588</v>
      </c>
      <c r="N1176" s="7" t="s">
        <v>2560</v>
      </c>
      <c r="O1176" s="7"/>
      <c r="P1176" s="7" t="s">
        <v>2561</v>
      </c>
      <c r="Q1176" s="7"/>
      <c r="R1176" s="7"/>
      <c r="S1176" s="3" t="s">
        <v>40</v>
      </c>
      <c r="T1176" s="7" t="s">
        <v>41</v>
      </c>
      <c r="U1176" s="7"/>
      <c r="V1176" s="4" t="s">
        <v>51</v>
      </c>
      <c r="W1176" s="4" t="s">
        <v>43</v>
      </c>
      <c r="X1176" s="4" t="s">
        <v>52</v>
      </c>
      <c r="Y1176" s="7" t="s">
        <v>60</v>
      </c>
      <c r="Z1176" s="7"/>
      <c r="AA1176" s="4" t="s">
        <v>46</v>
      </c>
      <c r="AB1176" s="4" t="s">
        <v>47</v>
      </c>
      <c r="AC1176" s="4" t="s">
        <v>79</v>
      </c>
      <c r="AD1176" s="4" t="s">
        <v>591</v>
      </c>
      <c r="AE1176" s="4" t="s">
        <v>48</v>
      </c>
      <c r="AF1176" s="4" t="s">
        <v>41</v>
      </c>
      <c r="AG1176" s="4" t="s">
        <v>2547</v>
      </c>
    </row>
    <row r="1177" spans="1:33" ht="16.5" customHeight="1" x14ac:dyDescent="0.2">
      <c r="A1177" s="2" t="s">
        <v>31</v>
      </c>
      <c r="B1177" s="5" t="s">
        <v>54</v>
      </c>
      <c r="C1177" s="5"/>
      <c r="D1177" s="5"/>
      <c r="E1177" s="6" t="s">
        <v>33</v>
      </c>
      <c r="F1177" s="6"/>
      <c r="G1177" s="7" t="s">
        <v>2541</v>
      </c>
      <c r="H1177" s="7"/>
      <c r="I1177" s="7"/>
      <c r="J1177" s="3" t="s">
        <v>35</v>
      </c>
      <c r="K1177" s="4" t="s">
        <v>414</v>
      </c>
      <c r="L1177" s="4" t="s">
        <v>37</v>
      </c>
      <c r="N1177" s="7" t="s">
        <v>2562</v>
      </c>
      <c r="O1177" s="7"/>
      <c r="P1177" s="7" t="s">
        <v>2563</v>
      </c>
      <c r="Q1177" s="7"/>
      <c r="R1177" s="7"/>
      <c r="S1177" s="3" t="s">
        <v>40</v>
      </c>
      <c r="T1177" s="7" t="s">
        <v>41</v>
      </c>
      <c r="U1177" s="7"/>
      <c r="V1177" s="4" t="s">
        <v>42</v>
      </c>
      <c r="W1177" s="4" t="s">
        <v>234</v>
      </c>
      <c r="X1177" s="4" t="s">
        <v>235</v>
      </c>
      <c r="Y1177" s="7" t="s">
        <v>197</v>
      </c>
      <c r="Z1177" s="7"/>
      <c r="AA1177" s="4" t="s">
        <v>46</v>
      </c>
      <c r="AB1177" s="4" t="s">
        <v>47</v>
      </c>
      <c r="AC1177" s="4" t="s">
        <v>259</v>
      </c>
      <c r="AD1177" s="4" t="s">
        <v>260</v>
      </c>
      <c r="AE1177" s="4" t="s">
        <v>48</v>
      </c>
      <c r="AF1177" s="4" t="s">
        <v>41</v>
      </c>
      <c r="AG1177" s="4" t="s">
        <v>2547</v>
      </c>
    </row>
    <row r="1178" spans="1:33" ht="16.5" customHeight="1" x14ac:dyDescent="0.2">
      <c r="A1178" s="2" t="s">
        <v>31</v>
      </c>
      <c r="B1178" s="5" t="s">
        <v>54</v>
      </c>
      <c r="C1178" s="5"/>
      <c r="D1178" s="5"/>
      <c r="E1178" s="6" t="s">
        <v>33</v>
      </c>
      <c r="F1178" s="6"/>
      <c r="G1178" s="7" t="s">
        <v>2541</v>
      </c>
      <c r="H1178" s="7"/>
      <c r="I1178" s="7"/>
      <c r="J1178" s="3" t="s">
        <v>35</v>
      </c>
      <c r="K1178" s="4" t="s">
        <v>414</v>
      </c>
      <c r="L1178" s="4" t="s">
        <v>37</v>
      </c>
      <c r="N1178" s="7" t="s">
        <v>2562</v>
      </c>
      <c r="O1178" s="7"/>
      <c r="P1178" s="7" t="s">
        <v>2563</v>
      </c>
      <c r="Q1178" s="7"/>
      <c r="R1178" s="7"/>
      <c r="S1178" s="3" t="s">
        <v>40</v>
      </c>
      <c r="T1178" s="7" t="s">
        <v>41</v>
      </c>
      <c r="U1178" s="7"/>
      <c r="V1178" s="4" t="s">
        <v>51</v>
      </c>
      <c r="W1178" s="4" t="s">
        <v>234</v>
      </c>
      <c r="X1178" s="4" t="s">
        <v>344</v>
      </c>
      <c r="Y1178" s="7" t="s">
        <v>197</v>
      </c>
      <c r="Z1178" s="7"/>
      <c r="AA1178" s="4" t="s">
        <v>46</v>
      </c>
      <c r="AB1178" s="4" t="s">
        <v>47</v>
      </c>
      <c r="AC1178" s="4" t="s">
        <v>259</v>
      </c>
      <c r="AD1178" s="4" t="s">
        <v>260</v>
      </c>
      <c r="AE1178" s="4" t="s">
        <v>48</v>
      </c>
      <c r="AF1178" s="4" t="s">
        <v>41</v>
      </c>
      <c r="AG1178" s="4" t="s">
        <v>2547</v>
      </c>
    </row>
    <row r="1179" spans="1:33" ht="16.5" customHeight="1" x14ac:dyDescent="0.2">
      <c r="A1179" s="2" t="s">
        <v>31</v>
      </c>
      <c r="B1179" s="5" t="s">
        <v>54</v>
      </c>
      <c r="C1179" s="5"/>
      <c r="D1179" s="5"/>
      <c r="E1179" s="6" t="s">
        <v>33</v>
      </c>
      <c r="F1179" s="6"/>
      <c r="G1179" s="7" t="s">
        <v>2541</v>
      </c>
      <c r="H1179" s="7"/>
      <c r="I1179" s="7"/>
      <c r="J1179" s="3" t="s">
        <v>35</v>
      </c>
      <c r="K1179" s="4" t="s">
        <v>123</v>
      </c>
      <c r="L1179" s="4" t="s">
        <v>37</v>
      </c>
      <c r="N1179" s="7" t="s">
        <v>2564</v>
      </c>
      <c r="O1179" s="7"/>
      <c r="P1179" s="7" t="s">
        <v>2565</v>
      </c>
      <c r="Q1179" s="7"/>
      <c r="R1179" s="7"/>
      <c r="S1179" s="3" t="s">
        <v>40</v>
      </c>
      <c r="T1179" s="7" t="s">
        <v>41</v>
      </c>
      <c r="U1179" s="7"/>
      <c r="V1179" s="4" t="s">
        <v>42</v>
      </c>
      <c r="W1179" s="4" t="s">
        <v>168</v>
      </c>
      <c r="X1179" s="4" t="s">
        <v>169</v>
      </c>
      <c r="Y1179" s="7" t="s">
        <v>60</v>
      </c>
      <c r="Z1179" s="7"/>
      <c r="AA1179" s="4" t="s">
        <v>46</v>
      </c>
      <c r="AB1179" s="4" t="s">
        <v>47</v>
      </c>
      <c r="AC1179" s="4" t="s">
        <v>72</v>
      </c>
      <c r="AD1179" s="4" t="s">
        <v>41</v>
      </c>
      <c r="AE1179" s="4" t="s">
        <v>48</v>
      </c>
      <c r="AF1179" s="4" t="s">
        <v>41</v>
      </c>
      <c r="AG1179" s="4" t="s">
        <v>2547</v>
      </c>
    </row>
    <row r="1180" spans="1:33" ht="16.5" customHeight="1" x14ac:dyDescent="0.2">
      <c r="A1180" s="2" t="s">
        <v>31</v>
      </c>
      <c r="B1180" s="5" t="s">
        <v>54</v>
      </c>
      <c r="C1180" s="5"/>
      <c r="D1180" s="5"/>
      <c r="E1180" s="6" t="s">
        <v>33</v>
      </c>
      <c r="F1180" s="6"/>
      <c r="G1180" s="7" t="s">
        <v>2541</v>
      </c>
      <c r="H1180" s="7"/>
      <c r="I1180" s="7"/>
      <c r="J1180" s="3" t="s">
        <v>35</v>
      </c>
      <c r="K1180" s="4" t="s">
        <v>118</v>
      </c>
      <c r="L1180" s="4" t="s">
        <v>37</v>
      </c>
      <c r="N1180" s="7" t="s">
        <v>2566</v>
      </c>
      <c r="O1180" s="7"/>
      <c r="P1180" s="7" t="s">
        <v>2567</v>
      </c>
      <c r="Q1180" s="7"/>
      <c r="R1180" s="7"/>
      <c r="S1180" s="3" t="s">
        <v>40</v>
      </c>
      <c r="T1180" s="7" t="s">
        <v>41</v>
      </c>
      <c r="U1180" s="7"/>
      <c r="V1180" s="4" t="s">
        <v>42</v>
      </c>
      <c r="W1180" s="4" t="s">
        <v>58</v>
      </c>
      <c r="X1180" s="4" t="s">
        <v>59</v>
      </c>
      <c r="Y1180" s="7" t="s">
        <v>60</v>
      </c>
      <c r="Z1180" s="7"/>
      <c r="AA1180" s="4" t="s">
        <v>46</v>
      </c>
      <c r="AB1180" s="4" t="s">
        <v>47</v>
      </c>
      <c r="AC1180" s="4" t="s">
        <v>61</v>
      </c>
      <c r="AD1180" s="4" t="s">
        <v>62</v>
      </c>
      <c r="AE1180" s="4" t="s">
        <v>48</v>
      </c>
      <c r="AF1180" s="4" t="s">
        <v>41</v>
      </c>
      <c r="AG1180" s="4" t="s">
        <v>2547</v>
      </c>
    </row>
    <row r="1181" spans="1:33" ht="16.5" customHeight="1" x14ac:dyDescent="0.2">
      <c r="A1181" s="2" t="s">
        <v>31</v>
      </c>
      <c r="B1181" s="5" t="s">
        <v>54</v>
      </c>
      <c r="C1181" s="5"/>
      <c r="D1181" s="5"/>
      <c r="E1181" s="6" t="s">
        <v>33</v>
      </c>
      <c r="F1181" s="6"/>
      <c r="G1181" s="7" t="s">
        <v>2541</v>
      </c>
      <c r="H1181" s="7"/>
      <c r="I1181" s="7"/>
      <c r="J1181" s="3" t="s">
        <v>35</v>
      </c>
      <c r="K1181" s="4" t="s">
        <v>248</v>
      </c>
      <c r="L1181" s="4" t="s">
        <v>93</v>
      </c>
      <c r="N1181" s="7" t="s">
        <v>2568</v>
      </c>
      <c r="O1181" s="7"/>
      <c r="P1181" s="7" t="s">
        <v>2569</v>
      </c>
      <c r="Q1181" s="7"/>
      <c r="R1181" s="7"/>
      <c r="S1181" s="3" t="s">
        <v>40</v>
      </c>
      <c r="T1181" s="7" t="s">
        <v>41</v>
      </c>
      <c r="U1181" s="7"/>
      <c r="V1181" s="4" t="s">
        <v>42</v>
      </c>
      <c r="W1181" s="4" t="s">
        <v>195</v>
      </c>
      <c r="X1181" s="4" t="s">
        <v>2570</v>
      </c>
      <c r="Y1181" s="7" t="s">
        <v>60</v>
      </c>
      <c r="Z1181" s="7"/>
      <c r="AA1181" s="4" t="s">
        <v>46</v>
      </c>
      <c r="AB1181" s="4" t="s">
        <v>47</v>
      </c>
      <c r="AC1181" s="4" t="s">
        <v>72</v>
      </c>
      <c r="AD1181" s="4" t="s">
        <v>41</v>
      </c>
      <c r="AE1181" s="4" t="s">
        <v>48</v>
      </c>
      <c r="AF1181" s="4" t="s">
        <v>41</v>
      </c>
      <c r="AG1181" s="4" t="s">
        <v>2547</v>
      </c>
    </row>
    <row r="1182" spans="1:33" ht="16.5" customHeight="1" x14ac:dyDescent="0.2">
      <c r="A1182" s="2" t="s">
        <v>31</v>
      </c>
      <c r="B1182" s="5" t="s">
        <v>54</v>
      </c>
      <c r="C1182" s="5"/>
      <c r="D1182" s="5"/>
      <c r="E1182" s="6" t="s">
        <v>33</v>
      </c>
      <c r="F1182" s="6"/>
      <c r="G1182" s="7" t="s">
        <v>2541</v>
      </c>
      <c r="H1182" s="7"/>
      <c r="I1182" s="7"/>
      <c r="J1182" s="3" t="s">
        <v>35</v>
      </c>
      <c r="K1182" s="4" t="s">
        <v>248</v>
      </c>
      <c r="L1182" s="4" t="s">
        <v>93</v>
      </c>
      <c r="N1182" s="7" t="s">
        <v>2568</v>
      </c>
      <c r="O1182" s="7"/>
      <c r="P1182" s="7" t="s">
        <v>2569</v>
      </c>
      <c r="Q1182" s="7"/>
      <c r="R1182" s="7"/>
      <c r="S1182" s="3" t="s">
        <v>40</v>
      </c>
      <c r="T1182" s="7" t="s">
        <v>41</v>
      </c>
      <c r="U1182" s="7"/>
      <c r="V1182" s="4" t="s">
        <v>51</v>
      </c>
      <c r="W1182" s="4" t="s">
        <v>195</v>
      </c>
      <c r="X1182" s="4" t="s">
        <v>196</v>
      </c>
      <c r="Y1182" s="7" t="s">
        <v>60</v>
      </c>
      <c r="Z1182" s="7"/>
      <c r="AA1182" s="4" t="s">
        <v>46</v>
      </c>
      <c r="AB1182" s="4" t="s">
        <v>47</v>
      </c>
      <c r="AC1182" s="4" t="s">
        <v>72</v>
      </c>
      <c r="AD1182" s="4" t="s">
        <v>41</v>
      </c>
      <c r="AE1182" s="4" t="s">
        <v>48</v>
      </c>
      <c r="AF1182" s="4" t="s">
        <v>41</v>
      </c>
      <c r="AG1182" s="4" t="s">
        <v>2547</v>
      </c>
    </row>
    <row r="1183" spans="1:33" ht="16.5" customHeight="1" x14ac:dyDescent="0.2">
      <c r="A1183" s="2" t="s">
        <v>31</v>
      </c>
      <c r="B1183" s="5" t="s">
        <v>54</v>
      </c>
      <c r="C1183" s="5"/>
      <c r="D1183" s="5"/>
      <c r="E1183" s="6" t="s">
        <v>33</v>
      </c>
      <c r="F1183" s="6"/>
      <c r="G1183" s="7" t="s">
        <v>2541</v>
      </c>
      <c r="H1183" s="7"/>
      <c r="I1183" s="7"/>
      <c r="J1183" s="3" t="s">
        <v>35</v>
      </c>
      <c r="K1183" s="4" t="s">
        <v>55</v>
      </c>
      <c r="L1183" s="4" t="s">
        <v>37</v>
      </c>
      <c r="N1183" s="7" t="s">
        <v>2571</v>
      </c>
      <c r="O1183" s="7"/>
      <c r="P1183" s="7" t="s">
        <v>2572</v>
      </c>
      <c r="Q1183" s="7"/>
      <c r="R1183" s="7"/>
      <c r="S1183" s="3" t="s">
        <v>40</v>
      </c>
      <c r="T1183" s="7" t="s">
        <v>41</v>
      </c>
      <c r="U1183" s="7"/>
      <c r="V1183" s="4" t="s">
        <v>42</v>
      </c>
      <c r="W1183" s="4" t="s">
        <v>58</v>
      </c>
      <c r="X1183" s="4" t="s">
        <v>59</v>
      </c>
      <c r="Y1183" s="7" t="s">
        <v>60</v>
      </c>
      <c r="Z1183" s="7"/>
      <c r="AA1183" s="4" t="s">
        <v>46</v>
      </c>
      <c r="AB1183" s="4" t="s">
        <v>47</v>
      </c>
      <c r="AC1183" s="4" t="s">
        <v>61</v>
      </c>
      <c r="AD1183" s="4" t="s">
        <v>62</v>
      </c>
      <c r="AE1183" s="4" t="s">
        <v>48</v>
      </c>
      <c r="AF1183" s="4" t="s">
        <v>41</v>
      </c>
      <c r="AG1183" s="4" t="s">
        <v>2547</v>
      </c>
    </row>
    <row r="1184" spans="1:33" ht="16.5" customHeight="1" x14ac:dyDescent="0.2">
      <c r="A1184" s="2" t="s">
        <v>31</v>
      </c>
      <c r="B1184" s="5" t="s">
        <v>54</v>
      </c>
      <c r="C1184" s="5"/>
      <c r="D1184" s="5"/>
      <c r="E1184" s="6" t="s">
        <v>33</v>
      </c>
      <c r="F1184" s="6"/>
      <c r="G1184" s="7" t="s">
        <v>2541</v>
      </c>
      <c r="H1184" s="7"/>
      <c r="I1184" s="7"/>
      <c r="J1184" s="3" t="s">
        <v>35</v>
      </c>
      <c r="K1184" s="4" t="s">
        <v>55</v>
      </c>
      <c r="L1184" s="4" t="s">
        <v>37</v>
      </c>
      <c r="N1184" s="7" t="s">
        <v>2571</v>
      </c>
      <c r="O1184" s="7"/>
      <c r="P1184" s="7" t="s">
        <v>2572</v>
      </c>
      <c r="Q1184" s="7"/>
      <c r="R1184" s="7"/>
      <c r="S1184" s="3" t="s">
        <v>40</v>
      </c>
      <c r="T1184" s="7" t="s">
        <v>41</v>
      </c>
      <c r="U1184" s="7"/>
      <c r="V1184" s="4" t="s">
        <v>51</v>
      </c>
      <c r="W1184" s="4" t="s">
        <v>58</v>
      </c>
      <c r="X1184" s="4" t="s">
        <v>128</v>
      </c>
      <c r="Y1184" s="7" t="s">
        <v>60</v>
      </c>
      <c r="Z1184" s="7"/>
      <c r="AA1184" s="4" t="s">
        <v>46</v>
      </c>
      <c r="AB1184" s="4" t="s">
        <v>47</v>
      </c>
      <c r="AC1184" s="4" t="s">
        <v>61</v>
      </c>
      <c r="AD1184" s="4" t="s">
        <v>62</v>
      </c>
      <c r="AE1184" s="4" t="s">
        <v>48</v>
      </c>
      <c r="AF1184" s="4" t="s">
        <v>41</v>
      </c>
      <c r="AG1184" s="4" t="s">
        <v>2547</v>
      </c>
    </row>
    <row r="1185" spans="1:33" ht="16.5" customHeight="1" x14ac:dyDescent="0.2">
      <c r="A1185" s="2" t="s">
        <v>31</v>
      </c>
      <c r="B1185" s="5" t="s">
        <v>54</v>
      </c>
      <c r="C1185" s="5"/>
      <c r="D1185" s="5"/>
      <c r="E1185" s="6" t="s">
        <v>33</v>
      </c>
      <c r="F1185" s="6"/>
      <c r="G1185" s="7" t="s">
        <v>2541</v>
      </c>
      <c r="H1185" s="7"/>
      <c r="I1185" s="7"/>
      <c r="J1185" s="3" t="s">
        <v>35</v>
      </c>
      <c r="K1185" s="4" t="s">
        <v>414</v>
      </c>
      <c r="L1185" s="4" t="s">
        <v>37</v>
      </c>
      <c r="N1185" s="7" t="s">
        <v>2573</v>
      </c>
      <c r="O1185" s="7"/>
      <c r="P1185" s="7" t="s">
        <v>2574</v>
      </c>
      <c r="Q1185" s="7"/>
      <c r="R1185" s="7"/>
      <c r="S1185" s="3" t="s">
        <v>40</v>
      </c>
      <c r="T1185" s="7" t="s">
        <v>41</v>
      </c>
      <c r="U1185" s="7"/>
      <c r="V1185" s="4" t="s">
        <v>42</v>
      </c>
      <c r="W1185" s="4" t="s">
        <v>58</v>
      </c>
      <c r="X1185" s="4" t="s">
        <v>59</v>
      </c>
      <c r="Y1185" s="7" t="s">
        <v>197</v>
      </c>
      <c r="Z1185" s="7"/>
      <c r="AA1185" s="4" t="s">
        <v>46</v>
      </c>
      <c r="AB1185" s="4" t="s">
        <v>47</v>
      </c>
      <c r="AC1185" s="4" t="s">
        <v>136</v>
      </c>
      <c r="AD1185" s="4" t="s">
        <v>137</v>
      </c>
      <c r="AE1185" s="4" t="s">
        <v>48</v>
      </c>
      <c r="AF1185" s="4" t="s">
        <v>41</v>
      </c>
      <c r="AG1185" s="4" t="s">
        <v>2547</v>
      </c>
    </row>
    <row r="1186" spans="1:33" ht="16.5" customHeight="1" x14ac:dyDescent="0.2">
      <c r="A1186" s="2" t="s">
        <v>31</v>
      </c>
      <c r="B1186" s="5" t="s">
        <v>54</v>
      </c>
      <c r="C1186" s="5"/>
      <c r="D1186" s="5"/>
      <c r="E1186" s="6" t="s">
        <v>33</v>
      </c>
      <c r="F1186" s="6"/>
      <c r="G1186" s="7" t="s">
        <v>2541</v>
      </c>
      <c r="H1186" s="7"/>
      <c r="I1186" s="7"/>
      <c r="J1186" s="3" t="s">
        <v>35</v>
      </c>
      <c r="K1186" s="4" t="s">
        <v>267</v>
      </c>
      <c r="L1186" s="4" t="s">
        <v>37</v>
      </c>
      <c r="N1186" s="7" t="s">
        <v>2575</v>
      </c>
      <c r="O1186" s="7"/>
      <c r="P1186" s="7" t="s">
        <v>2576</v>
      </c>
      <c r="Q1186" s="7"/>
      <c r="R1186" s="7"/>
      <c r="S1186" s="3" t="s">
        <v>40</v>
      </c>
      <c r="T1186" s="7" t="s">
        <v>41</v>
      </c>
      <c r="U1186" s="7"/>
      <c r="V1186" s="4" t="s">
        <v>42</v>
      </c>
      <c r="W1186" s="4" t="s">
        <v>172</v>
      </c>
      <c r="X1186" s="4" t="s">
        <v>386</v>
      </c>
      <c r="Y1186" s="7" t="s">
        <v>78</v>
      </c>
      <c r="Z1186" s="7"/>
      <c r="AA1186" s="4" t="s">
        <v>46</v>
      </c>
      <c r="AB1186" s="4" t="s">
        <v>47</v>
      </c>
      <c r="AC1186" s="4" t="s">
        <v>79</v>
      </c>
      <c r="AD1186" s="4" t="s">
        <v>80</v>
      </c>
      <c r="AE1186" s="4" t="s">
        <v>48</v>
      </c>
      <c r="AF1186" s="4" t="s">
        <v>41</v>
      </c>
      <c r="AG1186" s="4" t="s">
        <v>2547</v>
      </c>
    </row>
    <row r="1187" spans="1:33" ht="16.5" customHeight="1" x14ac:dyDescent="0.2">
      <c r="A1187" s="2" t="s">
        <v>31</v>
      </c>
      <c r="B1187" s="5" t="s">
        <v>54</v>
      </c>
      <c r="C1187" s="5"/>
      <c r="D1187" s="5"/>
      <c r="E1187" s="6" t="s">
        <v>33</v>
      </c>
      <c r="F1187" s="6"/>
      <c r="G1187" s="7" t="s">
        <v>2541</v>
      </c>
      <c r="H1187" s="7"/>
      <c r="I1187" s="7"/>
      <c r="J1187" s="3" t="s">
        <v>35</v>
      </c>
      <c r="K1187" s="4" t="s">
        <v>267</v>
      </c>
      <c r="L1187" s="4" t="s">
        <v>37</v>
      </c>
      <c r="N1187" s="7" t="s">
        <v>2575</v>
      </c>
      <c r="O1187" s="7"/>
      <c r="P1187" s="7" t="s">
        <v>2576</v>
      </c>
      <c r="Q1187" s="7"/>
      <c r="R1187" s="7"/>
      <c r="S1187" s="3" t="s">
        <v>40</v>
      </c>
      <c r="T1187" s="7" t="s">
        <v>41</v>
      </c>
      <c r="U1187" s="7"/>
      <c r="V1187" s="4" t="s">
        <v>51</v>
      </c>
      <c r="W1187" s="4" t="s">
        <v>172</v>
      </c>
      <c r="X1187" s="4" t="s">
        <v>59</v>
      </c>
      <c r="Y1187" s="7" t="s">
        <v>78</v>
      </c>
      <c r="Z1187" s="7"/>
      <c r="AA1187" s="4" t="s">
        <v>46</v>
      </c>
      <c r="AB1187" s="4" t="s">
        <v>47</v>
      </c>
      <c r="AC1187" s="4" t="s">
        <v>79</v>
      </c>
      <c r="AD1187" s="4" t="s">
        <v>80</v>
      </c>
      <c r="AE1187" s="4" t="s">
        <v>48</v>
      </c>
      <c r="AF1187" s="4" t="s">
        <v>41</v>
      </c>
      <c r="AG1187" s="4" t="s">
        <v>2547</v>
      </c>
    </row>
    <row r="1188" spans="1:33" ht="16.5" customHeight="1" x14ac:dyDescent="0.2">
      <c r="A1188" s="2" t="s">
        <v>31</v>
      </c>
      <c r="B1188" s="5" t="s">
        <v>54</v>
      </c>
      <c r="C1188" s="5"/>
      <c r="D1188" s="5"/>
      <c r="E1188" s="6" t="s">
        <v>33</v>
      </c>
      <c r="F1188" s="6"/>
      <c r="G1188" s="7" t="s">
        <v>2541</v>
      </c>
      <c r="H1188" s="7"/>
      <c r="I1188" s="7"/>
      <c r="J1188" s="3" t="s">
        <v>35</v>
      </c>
      <c r="K1188" s="4" t="s">
        <v>118</v>
      </c>
      <c r="L1188" s="4" t="s">
        <v>588</v>
      </c>
      <c r="N1188" s="7" t="s">
        <v>2577</v>
      </c>
      <c r="O1188" s="7"/>
      <c r="P1188" s="7" t="s">
        <v>2578</v>
      </c>
      <c r="Q1188" s="7"/>
      <c r="R1188" s="7"/>
      <c r="S1188" s="3" t="s">
        <v>40</v>
      </c>
      <c r="T1188" s="7" t="s">
        <v>41</v>
      </c>
      <c r="U1188" s="7"/>
      <c r="V1188" s="4" t="s">
        <v>51</v>
      </c>
      <c r="W1188" s="4" t="s">
        <v>229</v>
      </c>
      <c r="X1188" s="4" t="s">
        <v>230</v>
      </c>
      <c r="Y1188" s="7" t="s">
        <v>60</v>
      </c>
      <c r="Z1188" s="7"/>
      <c r="AA1188" s="4" t="s">
        <v>46</v>
      </c>
      <c r="AB1188" s="4" t="s">
        <v>47</v>
      </c>
      <c r="AC1188" s="4" t="s">
        <v>79</v>
      </c>
      <c r="AD1188" s="4" t="s">
        <v>591</v>
      </c>
      <c r="AE1188" s="4" t="s">
        <v>48</v>
      </c>
      <c r="AF1188" s="4" t="s">
        <v>41</v>
      </c>
      <c r="AG1188" s="4" t="s">
        <v>2547</v>
      </c>
    </row>
    <row r="1189" spans="1:33" ht="16.5" customHeight="1" x14ac:dyDescent="0.2">
      <c r="A1189" s="2" t="s">
        <v>31</v>
      </c>
      <c r="B1189" s="5" t="s">
        <v>54</v>
      </c>
      <c r="C1189" s="5"/>
      <c r="D1189" s="5"/>
      <c r="E1189" s="6" t="s">
        <v>33</v>
      </c>
      <c r="F1189" s="6"/>
      <c r="G1189" s="7" t="s">
        <v>2541</v>
      </c>
      <c r="H1189" s="7"/>
      <c r="I1189" s="7"/>
      <c r="J1189" s="3" t="s">
        <v>35</v>
      </c>
      <c r="K1189" s="4" t="s">
        <v>118</v>
      </c>
      <c r="L1189" s="4" t="s">
        <v>37</v>
      </c>
      <c r="N1189" s="7" t="s">
        <v>2577</v>
      </c>
      <c r="O1189" s="7"/>
      <c r="P1189" s="7" t="s">
        <v>2578</v>
      </c>
      <c r="Q1189" s="7"/>
      <c r="R1189" s="7"/>
      <c r="S1189" s="3" t="s">
        <v>40</v>
      </c>
      <c r="T1189" s="7" t="s">
        <v>41</v>
      </c>
      <c r="U1189" s="7"/>
      <c r="V1189" s="4" t="s">
        <v>51</v>
      </c>
      <c r="W1189" s="4" t="s">
        <v>229</v>
      </c>
      <c r="X1189" s="4" t="s">
        <v>230</v>
      </c>
      <c r="Y1189" s="7" t="s">
        <v>60</v>
      </c>
      <c r="Z1189" s="7"/>
      <c r="AA1189" s="4" t="s">
        <v>46</v>
      </c>
      <c r="AB1189" s="4" t="s">
        <v>47</v>
      </c>
      <c r="AC1189" s="4" t="s">
        <v>79</v>
      </c>
      <c r="AD1189" s="4" t="s">
        <v>80</v>
      </c>
      <c r="AE1189" s="4" t="s">
        <v>48</v>
      </c>
      <c r="AF1189" s="4" t="s">
        <v>41</v>
      </c>
      <c r="AG1189" s="4" t="s">
        <v>2547</v>
      </c>
    </row>
    <row r="1190" spans="1:33" ht="16.5" customHeight="1" x14ac:dyDescent="0.2">
      <c r="A1190" s="2" t="s">
        <v>31</v>
      </c>
      <c r="B1190" s="5" t="s">
        <v>54</v>
      </c>
      <c r="C1190" s="5"/>
      <c r="D1190" s="5"/>
      <c r="E1190" s="6" t="s">
        <v>33</v>
      </c>
      <c r="F1190" s="6"/>
      <c r="G1190" s="7" t="s">
        <v>2541</v>
      </c>
      <c r="H1190" s="7"/>
      <c r="I1190" s="7"/>
      <c r="J1190" s="3" t="s">
        <v>35</v>
      </c>
      <c r="K1190" s="4" t="s">
        <v>149</v>
      </c>
      <c r="L1190" s="4" t="s">
        <v>443</v>
      </c>
      <c r="N1190" s="7" t="s">
        <v>2579</v>
      </c>
      <c r="O1190" s="7"/>
      <c r="P1190" s="7" t="s">
        <v>2580</v>
      </c>
      <c r="Q1190" s="7"/>
      <c r="R1190" s="7"/>
      <c r="S1190" s="3" t="s">
        <v>40</v>
      </c>
      <c r="T1190" s="7" t="s">
        <v>41</v>
      </c>
      <c r="U1190" s="7"/>
      <c r="V1190" s="4" t="s">
        <v>42</v>
      </c>
      <c r="W1190" s="4" t="s">
        <v>154</v>
      </c>
      <c r="X1190" s="4" t="s">
        <v>155</v>
      </c>
      <c r="Y1190" s="7" t="s">
        <v>78</v>
      </c>
      <c r="Z1190" s="7"/>
      <c r="AA1190" s="4" t="s">
        <v>46</v>
      </c>
      <c r="AB1190" s="4" t="s">
        <v>47</v>
      </c>
      <c r="AC1190" s="4" t="s">
        <v>136</v>
      </c>
      <c r="AD1190" s="4" t="s">
        <v>464</v>
      </c>
      <c r="AE1190" s="4" t="s">
        <v>48</v>
      </c>
      <c r="AF1190" s="4" t="s">
        <v>41</v>
      </c>
      <c r="AG1190" s="4" t="s">
        <v>2547</v>
      </c>
    </row>
    <row r="1191" spans="1:33" ht="16.5" customHeight="1" x14ac:dyDescent="0.2">
      <c r="A1191" s="2" t="s">
        <v>31</v>
      </c>
      <c r="B1191" s="5" t="s">
        <v>54</v>
      </c>
      <c r="C1191" s="5"/>
      <c r="D1191" s="5"/>
      <c r="E1191" s="6" t="s">
        <v>33</v>
      </c>
      <c r="F1191" s="6"/>
      <c r="G1191" s="7" t="s">
        <v>2541</v>
      </c>
      <c r="H1191" s="7"/>
      <c r="I1191" s="7"/>
      <c r="J1191" s="3" t="s">
        <v>35</v>
      </c>
      <c r="K1191" s="4" t="s">
        <v>149</v>
      </c>
      <c r="L1191" s="4" t="s">
        <v>37</v>
      </c>
      <c r="N1191" s="7" t="s">
        <v>2581</v>
      </c>
      <c r="O1191" s="7"/>
      <c r="P1191" s="7" t="s">
        <v>2582</v>
      </c>
      <c r="Q1191" s="7"/>
      <c r="R1191" s="7"/>
      <c r="S1191" s="3" t="s">
        <v>40</v>
      </c>
      <c r="T1191" s="7" t="s">
        <v>41</v>
      </c>
      <c r="U1191" s="7"/>
      <c r="V1191" s="4" t="s">
        <v>51</v>
      </c>
      <c r="W1191" s="4" t="s">
        <v>154</v>
      </c>
      <c r="X1191" s="4" t="s">
        <v>258</v>
      </c>
      <c r="Y1191" s="7" t="s">
        <v>78</v>
      </c>
      <c r="Z1191" s="7"/>
      <c r="AA1191" s="4" t="s">
        <v>46</v>
      </c>
      <c r="AB1191" s="4" t="s">
        <v>47</v>
      </c>
      <c r="AC1191" s="4" t="s">
        <v>136</v>
      </c>
      <c r="AD1191" s="4" t="s">
        <v>137</v>
      </c>
      <c r="AE1191" s="4" t="s">
        <v>48</v>
      </c>
      <c r="AF1191" s="4" t="s">
        <v>41</v>
      </c>
      <c r="AG1191" s="4" t="s">
        <v>2547</v>
      </c>
    </row>
    <row r="1192" spans="1:33" ht="16.5" customHeight="1" x14ac:dyDescent="0.2">
      <c r="A1192" s="2" t="s">
        <v>31</v>
      </c>
      <c r="B1192" s="5" t="s">
        <v>54</v>
      </c>
      <c r="C1192" s="5"/>
      <c r="D1192" s="5"/>
      <c r="E1192" s="6" t="s">
        <v>33</v>
      </c>
      <c r="F1192" s="6"/>
      <c r="G1192" s="7" t="s">
        <v>2541</v>
      </c>
      <c r="H1192" s="7"/>
      <c r="I1192" s="7"/>
      <c r="J1192" s="3" t="s">
        <v>35</v>
      </c>
      <c r="K1192" s="4" t="s">
        <v>387</v>
      </c>
      <c r="L1192" s="4" t="s">
        <v>93</v>
      </c>
      <c r="N1192" s="7" t="s">
        <v>2583</v>
      </c>
      <c r="O1192" s="7"/>
      <c r="P1192" s="7" t="s">
        <v>2584</v>
      </c>
      <c r="Q1192" s="7"/>
      <c r="R1192" s="7"/>
      <c r="S1192" s="3" t="s">
        <v>40</v>
      </c>
      <c r="T1192" s="7" t="s">
        <v>41</v>
      </c>
      <c r="U1192" s="7"/>
      <c r="V1192" s="4" t="s">
        <v>42</v>
      </c>
      <c r="W1192" s="4" t="s">
        <v>207</v>
      </c>
      <c r="X1192" s="4" t="s">
        <v>208</v>
      </c>
      <c r="Y1192" s="7" t="s">
        <v>197</v>
      </c>
      <c r="Z1192" s="7"/>
      <c r="AA1192" s="4" t="s">
        <v>46</v>
      </c>
      <c r="AB1192" s="4" t="s">
        <v>47</v>
      </c>
      <c r="AC1192" s="4" t="s">
        <v>72</v>
      </c>
      <c r="AD1192" s="4" t="s">
        <v>41</v>
      </c>
      <c r="AE1192" s="4" t="s">
        <v>48</v>
      </c>
      <c r="AF1192" s="4" t="s">
        <v>41</v>
      </c>
      <c r="AG1192" s="4" t="s">
        <v>2547</v>
      </c>
    </row>
    <row r="1193" spans="1:33" ht="16.5" customHeight="1" x14ac:dyDescent="0.2">
      <c r="A1193" s="2" t="s">
        <v>31</v>
      </c>
      <c r="B1193" s="5" t="s">
        <v>108</v>
      </c>
      <c r="C1193" s="5"/>
      <c r="D1193" s="5"/>
      <c r="E1193" s="6" t="s">
        <v>33</v>
      </c>
      <c r="F1193" s="6"/>
      <c r="G1193" s="7" t="s">
        <v>2541</v>
      </c>
      <c r="H1193" s="7"/>
      <c r="I1193" s="7"/>
      <c r="J1193" s="3" t="s">
        <v>109</v>
      </c>
      <c r="K1193" s="4" t="s">
        <v>558</v>
      </c>
      <c r="N1193" s="7" t="s">
        <v>2583</v>
      </c>
      <c r="O1193" s="7"/>
      <c r="P1193" s="7" t="s">
        <v>2584</v>
      </c>
      <c r="Q1193" s="7"/>
      <c r="R1193" s="7"/>
      <c r="S1193" s="3" t="s">
        <v>40</v>
      </c>
      <c r="T1193" s="7" t="s">
        <v>2585</v>
      </c>
      <c r="U1193" s="7"/>
      <c r="V1193" s="4" t="s">
        <v>42</v>
      </c>
      <c r="W1193" s="4" t="s">
        <v>58</v>
      </c>
      <c r="X1193" s="4" t="s">
        <v>208</v>
      </c>
      <c r="Y1193" s="7" t="s">
        <v>114</v>
      </c>
      <c r="Z1193" s="7"/>
      <c r="AA1193" s="4" t="s">
        <v>46</v>
      </c>
      <c r="AB1193" s="4" t="s">
        <v>115</v>
      </c>
      <c r="AC1193" s="4" t="s">
        <v>48</v>
      </c>
      <c r="AD1193" s="4" t="s">
        <v>41</v>
      </c>
      <c r="AE1193" s="4" t="s">
        <v>48</v>
      </c>
      <c r="AF1193" s="4" t="s">
        <v>41</v>
      </c>
      <c r="AG1193" s="4" t="s">
        <v>2547</v>
      </c>
    </row>
    <row r="1194" spans="1:33" ht="16.5" customHeight="1" x14ac:dyDescent="0.2">
      <c r="A1194" s="2" t="s">
        <v>31</v>
      </c>
      <c r="B1194" s="5" t="s">
        <v>54</v>
      </c>
      <c r="C1194" s="5"/>
      <c r="D1194" s="5"/>
      <c r="E1194" s="6" t="s">
        <v>33</v>
      </c>
      <c r="F1194" s="6"/>
      <c r="G1194" s="7" t="s">
        <v>2541</v>
      </c>
      <c r="H1194" s="7"/>
      <c r="I1194" s="7"/>
      <c r="J1194" s="3" t="s">
        <v>35</v>
      </c>
      <c r="K1194" s="4" t="s">
        <v>118</v>
      </c>
      <c r="L1194" s="4" t="s">
        <v>37</v>
      </c>
      <c r="N1194" s="7" t="s">
        <v>2586</v>
      </c>
      <c r="O1194" s="7"/>
      <c r="P1194" s="7" t="s">
        <v>2587</v>
      </c>
      <c r="Q1194" s="7"/>
      <c r="R1194" s="7"/>
      <c r="S1194" s="3" t="s">
        <v>40</v>
      </c>
      <c r="T1194" s="7" t="s">
        <v>41</v>
      </c>
      <c r="U1194" s="7"/>
      <c r="V1194" s="4" t="s">
        <v>42</v>
      </c>
      <c r="W1194" s="4" t="s">
        <v>234</v>
      </c>
      <c r="X1194" s="4" t="s">
        <v>235</v>
      </c>
      <c r="Y1194" s="7" t="s">
        <v>60</v>
      </c>
      <c r="Z1194" s="7"/>
      <c r="AA1194" s="4" t="s">
        <v>46</v>
      </c>
      <c r="AB1194" s="4" t="s">
        <v>47</v>
      </c>
      <c r="AC1194" s="4" t="s">
        <v>79</v>
      </c>
      <c r="AD1194" s="4" t="s">
        <v>80</v>
      </c>
      <c r="AE1194" s="4" t="s">
        <v>48</v>
      </c>
      <c r="AF1194" s="4" t="s">
        <v>41</v>
      </c>
      <c r="AG1194" s="4" t="s">
        <v>2547</v>
      </c>
    </row>
    <row r="1195" spans="1:33" ht="16.5" customHeight="1" x14ac:dyDescent="0.2">
      <c r="A1195" s="2" t="s">
        <v>31</v>
      </c>
      <c r="B1195" s="5" t="s">
        <v>54</v>
      </c>
      <c r="C1195" s="5"/>
      <c r="D1195" s="5"/>
      <c r="E1195" s="6" t="s">
        <v>33</v>
      </c>
      <c r="F1195" s="6"/>
      <c r="G1195" s="7" t="s">
        <v>2541</v>
      </c>
      <c r="H1195" s="7"/>
      <c r="I1195" s="7"/>
      <c r="J1195" s="3" t="s">
        <v>35</v>
      </c>
      <c r="K1195" s="4" t="s">
        <v>55</v>
      </c>
      <c r="L1195" s="4" t="s">
        <v>37</v>
      </c>
      <c r="N1195" s="7" t="s">
        <v>2588</v>
      </c>
      <c r="O1195" s="7"/>
      <c r="P1195" s="7" t="s">
        <v>2589</v>
      </c>
      <c r="Q1195" s="7"/>
      <c r="R1195" s="7"/>
      <c r="S1195" s="3" t="s">
        <v>40</v>
      </c>
      <c r="T1195" s="7" t="s">
        <v>41</v>
      </c>
      <c r="U1195" s="7"/>
      <c r="V1195" s="4" t="s">
        <v>42</v>
      </c>
      <c r="W1195" s="4" t="s">
        <v>428</v>
      </c>
      <c r="X1195" s="4" t="s">
        <v>429</v>
      </c>
      <c r="Y1195" s="7" t="s">
        <v>60</v>
      </c>
      <c r="Z1195" s="7"/>
      <c r="AA1195" s="4" t="s">
        <v>46</v>
      </c>
      <c r="AB1195" s="4" t="s">
        <v>47</v>
      </c>
      <c r="AC1195" s="4" t="s">
        <v>79</v>
      </c>
      <c r="AD1195" s="4" t="s">
        <v>80</v>
      </c>
      <c r="AE1195" s="4" t="s">
        <v>48</v>
      </c>
      <c r="AF1195" s="4" t="s">
        <v>41</v>
      </c>
      <c r="AG1195" s="4" t="s">
        <v>2547</v>
      </c>
    </row>
    <row r="1196" spans="1:33" ht="16.5" customHeight="1" x14ac:dyDescent="0.2">
      <c r="A1196" s="2" t="s">
        <v>31</v>
      </c>
      <c r="B1196" s="5" t="s">
        <v>54</v>
      </c>
      <c r="C1196" s="5"/>
      <c r="D1196" s="5"/>
      <c r="E1196" s="6" t="s">
        <v>33</v>
      </c>
      <c r="F1196" s="6"/>
      <c r="G1196" s="7" t="s">
        <v>2541</v>
      </c>
      <c r="H1196" s="7"/>
      <c r="I1196" s="7"/>
      <c r="J1196" s="3" t="s">
        <v>35</v>
      </c>
      <c r="K1196" s="4" t="s">
        <v>143</v>
      </c>
      <c r="L1196" s="4" t="s">
        <v>37</v>
      </c>
      <c r="N1196" s="7" t="s">
        <v>2590</v>
      </c>
      <c r="O1196" s="7"/>
      <c r="P1196" s="7" t="s">
        <v>2591</v>
      </c>
      <c r="Q1196" s="7"/>
      <c r="R1196" s="7"/>
      <c r="S1196" s="3" t="s">
        <v>40</v>
      </c>
      <c r="T1196" s="7" t="s">
        <v>41</v>
      </c>
      <c r="U1196" s="7"/>
      <c r="V1196" s="4" t="s">
        <v>42</v>
      </c>
      <c r="W1196" s="4" t="s">
        <v>2592</v>
      </c>
      <c r="X1196" s="4" t="s">
        <v>633</v>
      </c>
      <c r="Y1196" s="7" t="s">
        <v>135</v>
      </c>
      <c r="Z1196" s="7"/>
      <c r="AA1196" s="4" t="s">
        <v>46</v>
      </c>
      <c r="AB1196" s="4" t="s">
        <v>47</v>
      </c>
      <c r="AC1196" s="4" t="s">
        <v>136</v>
      </c>
      <c r="AD1196" s="4" t="s">
        <v>137</v>
      </c>
      <c r="AE1196" s="4" t="s">
        <v>48</v>
      </c>
      <c r="AF1196" s="4" t="s">
        <v>41</v>
      </c>
      <c r="AG1196" s="4" t="s">
        <v>2547</v>
      </c>
    </row>
    <row r="1197" spans="1:33" ht="16.5" customHeight="1" x14ac:dyDescent="0.2">
      <c r="A1197" s="2" t="s">
        <v>31</v>
      </c>
      <c r="B1197" s="5" t="s">
        <v>54</v>
      </c>
      <c r="C1197" s="5"/>
      <c r="D1197" s="5"/>
      <c r="E1197" s="6" t="s">
        <v>33</v>
      </c>
      <c r="F1197" s="6"/>
      <c r="G1197" s="7" t="s">
        <v>2541</v>
      </c>
      <c r="H1197" s="7"/>
      <c r="I1197" s="7"/>
      <c r="J1197" s="3" t="s">
        <v>35</v>
      </c>
      <c r="K1197" s="4" t="s">
        <v>409</v>
      </c>
      <c r="L1197" s="4" t="s">
        <v>37</v>
      </c>
      <c r="N1197" s="7" t="s">
        <v>2593</v>
      </c>
      <c r="O1197" s="7"/>
      <c r="P1197" s="7" t="s">
        <v>2594</v>
      </c>
      <c r="Q1197" s="7"/>
      <c r="R1197" s="7"/>
      <c r="S1197" s="3" t="s">
        <v>40</v>
      </c>
      <c r="T1197" s="7" t="s">
        <v>41</v>
      </c>
      <c r="U1197" s="7"/>
      <c r="V1197" s="4" t="s">
        <v>42</v>
      </c>
      <c r="W1197" s="4" t="s">
        <v>43</v>
      </c>
      <c r="X1197" s="4" t="s">
        <v>44</v>
      </c>
      <c r="Y1197" s="7" t="s">
        <v>60</v>
      </c>
      <c r="Z1197" s="7"/>
      <c r="AA1197" s="4" t="s">
        <v>46</v>
      </c>
      <c r="AB1197" s="4" t="s">
        <v>47</v>
      </c>
      <c r="AC1197" s="4" t="s">
        <v>79</v>
      </c>
      <c r="AD1197" s="4" t="s">
        <v>80</v>
      </c>
      <c r="AE1197" s="4" t="s">
        <v>48</v>
      </c>
      <c r="AF1197" s="4" t="s">
        <v>41</v>
      </c>
      <c r="AG1197" s="4" t="s">
        <v>2547</v>
      </c>
    </row>
    <row r="1198" spans="1:33" ht="16.5" customHeight="1" x14ac:dyDescent="0.2">
      <c r="A1198" s="2" t="s">
        <v>31</v>
      </c>
      <c r="B1198" s="5" t="s">
        <v>54</v>
      </c>
      <c r="C1198" s="5"/>
      <c r="D1198" s="5"/>
      <c r="E1198" s="6" t="s">
        <v>33</v>
      </c>
      <c r="F1198" s="6"/>
      <c r="G1198" s="7" t="s">
        <v>2541</v>
      </c>
      <c r="H1198" s="7"/>
      <c r="I1198" s="7"/>
      <c r="J1198" s="3" t="s">
        <v>35</v>
      </c>
      <c r="K1198" s="4" t="s">
        <v>409</v>
      </c>
      <c r="L1198" s="4" t="s">
        <v>37</v>
      </c>
      <c r="N1198" s="7" t="s">
        <v>2595</v>
      </c>
      <c r="O1198" s="7"/>
      <c r="P1198" s="7" t="s">
        <v>2596</v>
      </c>
      <c r="Q1198" s="7"/>
      <c r="R1198" s="7"/>
      <c r="S1198" s="3" t="s">
        <v>40</v>
      </c>
      <c r="T1198" s="7" t="s">
        <v>41</v>
      </c>
      <c r="U1198" s="7"/>
      <c r="V1198" s="4" t="s">
        <v>42</v>
      </c>
      <c r="W1198" s="4" t="s">
        <v>43</v>
      </c>
      <c r="X1198" s="4" t="s">
        <v>44</v>
      </c>
      <c r="Y1198" s="7" t="s">
        <v>60</v>
      </c>
      <c r="Z1198" s="7"/>
      <c r="AA1198" s="4" t="s">
        <v>46</v>
      </c>
      <c r="AB1198" s="4" t="s">
        <v>47</v>
      </c>
      <c r="AC1198" s="4" t="s">
        <v>79</v>
      </c>
      <c r="AD1198" s="4" t="s">
        <v>80</v>
      </c>
      <c r="AE1198" s="4" t="s">
        <v>48</v>
      </c>
      <c r="AF1198" s="4" t="s">
        <v>41</v>
      </c>
      <c r="AG1198" s="4" t="s">
        <v>2547</v>
      </c>
    </row>
    <row r="1199" spans="1:33" ht="16.5" customHeight="1" x14ac:dyDescent="0.2">
      <c r="A1199" s="2" t="s">
        <v>31</v>
      </c>
      <c r="B1199" s="5" t="s">
        <v>54</v>
      </c>
      <c r="C1199" s="5"/>
      <c r="D1199" s="5"/>
      <c r="E1199" s="6" t="s">
        <v>33</v>
      </c>
      <c r="F1199" s="6"/>
      <c r="G1199" s="7" t="s">
        <v>2541</v>
      </c>
      <c r="H1199" s="7"/>
      <c r="I1199" s="7"/>
      <c r="J1199" s="3" t="s">
        <v>35</v>
      </c>
      <c r="K1199" s="4" t="s">
        <v>414</v>
      </c>
      <c r="L1199" s="4" t="s">
        <v>93</v>
      </c>
      <c r="N1199" s="7" t="s">
        <v>2597</v>
      </c>
      <c r="O1199" s="7"/>
      <c r="P1199" s="7" t="s">
        <v>2598</v>
      </c>
      <c r="Q1199" s="7"/>
      <c r="R1199" s="7"/>
      <c r="S1199" s="3" t="s">
        <v>40</v>
      </c>
      <c r="T1199" s="7" t="s">
        <v>41</v>
      </c>
      <c r="U1199" s="7"/>
      <c r="V1199" s="4" t="s">
        <v>42</v>
      </c>
      <c r="W1199" s="4" t="s">
        <v>43</v>
      </c>
      <c r="X1199" s="4" t="s">
        <v>44</v>
      </c>
      <c r="Y1199" s="7" t="s">
        <v>197</v>
      </c>
      <c r="Z1199" s="7"/>
      <c r="AA1199" s="4" t="s">
        <v>46</v>
      </c>
      <c r="AB1199" s="4" t="s">
        <v>47</v>
      </c>
      <c r="AC1199" s="4" t="s">
        <v>259</v>
      </c>
      <c r="AD1199" s="4" t="s">
        <v>62</v>
      </c>
      <c r="AE1199" s="4" t="s">
        <v>48</v>
      </c>
      <c r="AF1199" s="4" t="s">
        <v>41</v>
      </c>
      <c r="AG1199" s="4" t="s">
        <v>2547</v>
      </c>
    </row>
    <row r="1200" spans="1:33" ht="16.5" customHeight="1" x14ac:dyDescent="0.2">
      <c r="A1200" s="2" t="s">
        <v>31</v>
      </c>
      <c r="B1200" s="5" t="s">
        <v>108</v>
      </c>
      <c r="C1200" s="5"/>
      <c r="D1200" s="5"/>
      <c r="E1200" s="6" t="s">
        <v>33</v>
      </c>
      <c r="F1200" s="6"/>
      <c r="G1200" s="7" t="s">
        <v>2541</v>
      </c>
      <c r="H1200" s="7"/>
      <c r="I1200" s="7"/>
      <c r="J1200" s="3" t="s">
        <v>109</v>
      </c>
      <c r="K1200" s="4" t="s">
        <v>505</v>
      </c>
      <c r="N1200" s="7" t="s">
        <v>2599</v>
      </c>
      <c r="O1200" s="7"/>
      <c r="P1200" s="7" t="s">
        <v>2600</v>
      </c>
      <c r="Q1200" s="7"/>
      <c r="R1200" s="7"/>
      <c r="S1200" s="3" t="s">
        <v>40</v>
      </c>
      <c r="T1200" s="7" t="s">
        <v>553</v>
      </c>
      <c r="U1200" s="7"/>
      <c r="V1200" s="4" t="s">
        <v>42</v>
      </c>
      <c r="W1200" s="4" t="s">
        <v>58</v>
      </c>
      <c r="X1200" s="4" t="s">
        <v>59</v>
      </c>
      <c r="Y1200" s="7" t="s">
        <v>114</v>
      </c>
      <c r="Z1200" s="7"/>
      <c r="AA1200" s="4" t="s">
        <v>46</v>
      </c>
      <c r="AB1200" s="4" t="s">
        <v>115</v>
      </c>
      <c r="AC1200" s="4" t="s">
        <v>116</v>
      </c>
      <c r="AD1200" s="4" t="s">
        <v>2177</v>
      </c>
      <c r="AE1200" s="4" t="s">
        <v>48</v>
      </c>
      <c r="AF1200" s="4" t="s">
        <v>41</v>
      </c>
      <c r="AG1200" s="4" t="s">
        <v>2547</v>
      </c>
    </row>
    <row r="1201" spans="1:33" ht="16.5" customHeight="1" x14ac:dyDescent="0.2">
      <c r="A1201" s="2" t="s">
        <v>31</v>
      </c>
      <c r="B1201" s="5" t="s">
        <v>54</v>
      </c>
      <c r="C1201" s="5"/>
      <c r="D1201" s="5"/>
      <c r="E1201" s="6" t="s">
        <v>33</v>
      </c>
      <c r="F1201" s="6"/>
      <c r="G1201" s="7" t="s">
        <v>2541</v>
      </c>
      <c r="H1201" s="7"/>
      <c r="I1201" s="7"/>
      <c r="J1201" s="3" t="s">
        <v>35</v>
      </c>
      <c r="K1201" s="4" t="s">
        <v>97</v>
      </c>
      <c r="L1201" s="4" t="s">
        <v>231</v>
      </c>
      <c r="N1201" s="7" t="s">
        <v>2601</v>
      </c>
      <c r="O1201" s="7"/>
      <c r="P1201" s="7" t="s">
        <v>2602</v>
      </c>
      <c r="Q1201" s="7"/>
      <c r="R1201" s="7"/>
      <c r="S1201" s="3" t="s">
        <v>40</v>
      </c>
      <c r="T1201" s="7" t="s">
        <v>41</v>
      </c>
      <c r="U1201" s="7"/>
      <c r="V1201" s="4" t="s">
        <v>42</v>
      </c>
      <c r="W1201" s="4" t="s">
        <v>990</v>
      </c>
      <c r="X1201" s="4" t="s">
        <v>991</v>
      </c>
      <c r="Y1201" s="7" t="s">
        <v>78</v>
      </c>
      <c r="Z1201" s="7"/>
      <c r="AA1201" s="4" t="s">
        <v>46</v>
      </c>
      <c r="AB1201" s="4" t="s">
        <v>47</v>
      </c>
      <c r="AC1201" s="4" t="s">
        <v>136</v>
      </c>
      <c r="AD1201" s="4" t="s">
        <v>447</v>
      </c>
      <c r="AE1201" s="4" t="s">
        <v>48</v>
      </c>
      <c r="AF1201" s="4" t="s">
        <v>41</v>
      </c>
      <c r="AG1201" s="4" t="s">
        <v>2547</v>
      </c>
    </row>
    <row r="1202" spans="1:33" ht="16.5" customHeight="1" x14ac:dyDescent="0.2">
      <c r="A1202" s="2" t="s">
        <v>31</v>
      </c>
      <c r="B1202" s="5" t="s">
        <v>54</v>
      </c>
      <c r="C1202" s="5"/>
      <c r="D1202" s="5"/>
      <c r="E1202" s="6" t="s">
        <v>33</v>
      </c>
      <c r="F1202" s="6"/>
      <c r="G1202" s="7" t="s">
        <v>2541</v>
      </c>
      <c r="H1202" s="7"/>
      <c r="I1202" s="7"/>
      <c r="J1202" s="3" t="s">
        <v>35</v>
      </c>
      <c r="K1202" s="4" t="s">
        <v>316</v>
      </c>
      <c r="L1202" s="4" t="s">
        <v>37</v>
      </c>
      <c r="N1202" s="7" t="s">
        <v>2603</v>
      </c>
      <c r="O1202" s="7"/>
      <c r="P1202" s="7" t="s">
        <v>2604</v>
      </c>
      <c r="Q1202" s="7"/>
      <c r="R1202" s="7"/>
      <c r="S1202" s="3" t="s">
        <v>40</v>
      </c>
      <c r="T1202" s="7" t="s">
        <v>41</v>
      </c>
      <c r="U1202" s="7"/>
      <c r="V1202" s="4" t="s">
        <v>42</v>
      </c>
      <c r="W1202" s="4" t="s">
        <v>90</v>
      </c>
      <c r="X1202" s="4" t="s">
        <v>91</v>
      </c>
      <c r="Y1202" s="7" t="s">
        <v>60</v>
      </c>
      <c r="Z1202" s="7"/>
      <c r="AA1202" s="4" t="s">
        <v>46</v>
      </c>
      <c r="AB1202" s="4" t="s">
        <v>47</v>
      </c>
      <c r="AC1202" s="4" t="s">
        <v>72</v>
      </c>
      <c r="AD1202" s="4" t="s">
        <v>41</v>
      </c>
      <c r="AE1202" s="4" t="s">
        <v>48</v>
      </c>
      <c r="AF1202" s="4" t="s">
        <v>41</v>
      </c>
      <c r="AG1202" s="4" t="s">
        <v>2547</v>
      </c>
    </row>
    <row r="1203" spans="1:33" ht="16.5" customHeight="1" x14ac:dyDescent="0.2">
      <c r="A1203" s="2" t="s">
        <v>31</v>
      </c>
      <c r="B1203" s="5" t="s">
        <v>54</v>
      </c>
      <c r="C1203" s="5"/>
      <c r="D1203" s="5"/>
      <c r="E1203" s="6" t="s">
        <v>33</v>
      </c>
      <c r="F1203" s="6"/>
      <c r="G1203" s="7" t="s">
        <v>2541</v>
      </c>
      <c r="H1203" s="7"/>
      <c r="I1203" s="7"/>
      <c r="J1203" s="3" t="s">
        <v>35</v>
      </c>
      <c r="K1203" s="4" t="s">
        <v>245</v>
      </c>
      <c r="L1203" s="4" t="s">
        <v>37</v>
      </c>
      <c r="N1203" s="7" t="s">
        <v>2605</v>
      </c>
      <c r="O1203" s="7"/>
      <c r="P1203" s="7" t="s">
        <v>2606</v>
      </c>
      <c r="Q1203" s="7"/>
      <c r="R1203" s="7"/>
      <c r="S1203" s="3" t="s">
        <v>40</v>
      </c>
      <c r="T1203" s="7" t="s">
        <v>41</v>
      </c>
      <c r="U1203" s="7"/>
      <c r="V1203" s="4" t="s">
        <v>42</v>
      </c>
      <c r="W1203" s="4" t="s">
        <v>337</v>
      </c>
      <c r="X1203" s="4" t="s">
        <v>338</v>
      </c>
      <c r="Y1203" s="7" t="s">
        <v>78</v>
      </c>
      <c r="Z1203" s="7"/>
      <c r="AA1203" s="4" t="s">
        <v>46</v>
      </c>
      <c r="AB1203" s="4" t="s">
        <v>47</v>
      </c>
      <c r="AC1203" s="4" t="s">
        <v>136</v>
      </c>
      <c r="AD1203" s="4" t="s">
        <v>137</v>
      </c>
      <c r="AE1203" s="4" t="s">
        <v>48</v>
      </c>
      <c r="AF1203" s="4" t="s">
        <v>41</v>
      </c>
      <c r="AG1203" s="4" t="s">
        <v>2547</v>
      </c>
    </row>
    <row r="1204" spans="1:33" ht="16.5" customHeight="1" x14ac:dyDescent="0.2">
      <c r="A1204" s="2" t="s">
        <v>31</v>
      </c>
      <c r="B1204" s="5" t="s">
        <v>54</v>
      </c>
      <c r="C1204" s="5"/>
      <c r="D1204" s="5"/>
      <c r="E1204" s="6" t="s">
        <v>33</v>
      </c>
      <c r="F1204" s="6"/>
      <c r="G1204" s="7" t="s">
        <v>2541</v>
      </c>
      <c r="H1204" s="7"/>
      <c r="I1204" s="7"/>
      <c r="J1204" s="3" t="s">
        <v>35</v>
      </c>
      <c r="K1204" s="4" t="s">
        <v>118</v>
      </c>
      <c r="L1204" s="4" t="s">
        <v>93</v>
      </c>
      <c r="N1204" s="7" t="s">
        <v>2607</v>
      </c>
      <c r="O1204" s="7"/>
      <c r="P1204" s="7" t="s">
        <v>2608</v>
      </c>
      <c r="Q1204" s="7"/>
      <c r="R1204" s="7"/>
      <c r="S1204" s="3" t="s">
        <v>40</v>
      </c>
      <c r="T1204" s="7" t="s">
        <v>41</v>
      </c>
      <c r="U1204" s="7"/>
      <c r="V1204" s="4" t="s">
        <v>42</v>
      </c>
      <c r="W1204" s="4" t="s">
        <v>234</v>
      </c>
      <c r="X1204" s="4" t="s">
        <v>235</v>
      </c>
      <c r="Y1204" s="7" t="s">
        <v>60</v>
      </c>
      <c r="Z1204" s="7"/>
      <c r="AA1204" s="4" t="s">
        <v>46</v>
      </c>
      <c r="AB1204" s="4" t="s">
        <v>47</v>
      </c>
      <c r="AC1204" s="4" t="s">
        <v>79</v>
      </c>
      <c r="AD1204" s="4" t="s">
        <v>96</v>
      </c>
      <c r="AE1204" s="4" t="s">
        <v>48</v>
      </c>
      <c r="AF1204" s="4" t="s">
        <v>41</v>
      </c>
      <c r="AG1204" s="4" t="s">
        <v>2547</v>
      </c>
    </row>
    <row r="1205" spans="1:33" ht="16.5" customHeight="1" x14ac:dyDescent="0.2">
      <c r="A1205" s="2" t="s">
        <v>31</v>
      </c>
      <c r="B1205" s="5" t="s">
        <v>54</v>
      </c>
      <c r="C1205" s="5"/>
      <c r="D1205" s="5"/>
      <c r="E1205" s="6" t="s">
        <v>33</v>
      </c>
      <c r="F1205" s="6"/>
      <c r="G1205" s="7" t="s">
        <v>2541</v>
      </c>
      <c r="H1205" s="7"/>
      <c r="I1205" s="7"/>
      <c r="J1205" s="3" t="s">
        <v>35</v>
      </c>
      <c r="K1205" s="4" t="s">
        <v>55</v>
      </c>
      <c r="L1205" s="4" t="s">
        <v>37</v>
      </c>
      <c r="N1205" s="7" t="s">
        <v>2609</v>
      </c>
      <c r="O1205" s="7"/>
      <c r="P1205" s="7" t="s">
        <v>2610</v>
      </c>
      <c r="Q1205" s="7"/>
      <c r="R1205" s="7"/>
      <c r="S1205" s="3" t="s">
        <v>40</v>
      </c>
      <c r="T1205" s="7" t="s">
        <v>41</v>
      </c>
      <c r="U1205" s="7"/>
      <c r="V1205" s="4" t="s">
        <v>42</v>
      </c>
      <c r="W1205" s="4" t="s">
        <v>234</v>
      </c>
      <c r="X1205" s="4" t="s">
        <v>235</v>
      </c>
      <c r="Y1205" s="7" t="s">
        <v>60</v>
      </c>
      <c r="Z1205" s="7"/>
      <c r="AA1205" s="4" t="s">
        <v>46</v>
      </c>
      <c r="AB1205" s="4" t="s">
        <v>47</v>
      </c>
      <c r="AC1205" s="4" t="s">
        <v>79</v>
      </c>
      <c r="AD1205" s="4" t="s">
        <v>80</v>
      </c>
      <c r="AE1205" s="4" t="s">
        <v>48</v>
      </c>
      <c r="AF1205" s="4" t="s">
        <v>41</v>
      </c>
      <c r="AG1205" s="4" t="s">
        <v>2547</v>
      </c>
    </row>
    <row r="1206" spans="1:33" ht="16.5" customHeight="1" x14ac:dyDescent="0.2">
      <c r="A1206" s="2" t="s">
        <v>31</v>
      </c>
      <c r="B1206" s="5" t="s">
        <v>54</v>
      </c>
      <c r="C1206" s="5"/>
      <c r="D1206" s="5"/>
      <c r="E1206" s="6" t="s">
        <v>33</v>
      </c>
      <c r="F1206" s="6"/>
      <c r="G1206" s="7" t="s">
        <v>2541</v>
      </c>
      <c r="H1206" s="7"/>
      <c r="I1206" s="7"/>
      <c r="J1206" s="3" t="s">
        <v>35</v>
      </c>
      <c r="K1206" s="4" t="s">
        <v>149</v>
      </c>
      <c r="L1206" s="4" t="s">
        <v>37</v>
      </c>
      <c r="N1206" s="7" t="s">
        <v>2611</v>
      </c>
      <c r="O1206" s="7"/>
      <c r="P1206" s="7" t="s">
        <v>2612</v>
      </c>
      <c r="Q1206" s="7"/>
      <c r="R1206" s="7"/>
      <c r="S1206" s="3" t="s">
        <v>40</v>
      </c>
      <c r="T1206" s="7" t="s">
        <v>41</v>
      </c>
      <c r="U1206" s="7"/>
      <c r="V1206" s="4" t="s">
        <v>42</v>
      </c>
      <c r="W1206" s="4" t="s">
        <v>234</v>
      </c>
      <c r="X1206" s="4" t="s">
        <v>235</v>
      </c>
      <c r="Y1206" s="7" t="s">
        <v>78</v>
      </c>
      <c r="Z1206" s="7"/>
      <c r="AA1206" s="4" t="s">
        <v>46</v>
      </c>
      <c r="AB1206" s="4" t="s">
        <v>47</v>
      </c>
      <c r="AC1206" s="4" t="s">
        <v>136</v>
      </c>
      <c r="AD1206" s="4" t="s">
        <v>137</v>
      </c>
      <c r="AE1206" s="4" t="s">
        <v>48</v>
      </c>
      <c r="AF1206" s="4" t="s">
        <v>41</v>
      </c>
      <c r="AG1206" s="4" t="s">
        <v>2547</v>
      </c>
    </row>
    <row r="1207" spans="1:33" ht="16.5" customHeight="1" x14ac:dyDescent="0.2">
      <c r="A1207" s="2" t="s">
        <v>31</v>
      </c>
      <c r="B1207" s="5" t="s">
        <v>54</v>
      </c>
      <c r="C1207" s="5"/>
      <c r="D1207" s="5"/>
      <c r="E1207" s="6" t="s">
        <v>33</v>
      </c>
      <c r="F1207" s="6"/>
      <c r="G1207" s="7" t="s">
        <v>2541</v>
      </c>
      <c r="H1207" s="7"/>
      <c r="I1207" s="7"/>
      <c r="J1207" s="3" t="s">
        <v>35</v>
      </c>
      <c r="K1207" s="4" t="s">
        <v>118</v>
      </c>
      <c r="L1207" s="4" t="s">
        <v>37</v>
      </c>
      <c r="N1207" s="7" t="s">
        <v>2613</v>
      </c>
      <c r="O1207" s="7"/>
      <c r="P1207" s="7" t="s">
        <v>2614</v>
      </c>
      <c r="Q1207" s="7"/>
      <c r="R1207" s="7"/>
      <c r="S1207" s="3" t="s">
        <v>40</v>
      </c>
      <c r="T1207" s="7" t="s">
        <v>41</v>
      </c>
      <c r="U1207" s="7"/>
      <c r="V1207" s="4" t="s">
        <v>51</v>
      </c>
      <c r="W1207" s="4" t="s">
        <v>234</v>
      </c>
      <c r="X1207" s="4" t="s">
        <v>344</v>
      </c>
      <c r="Y1207" s="7" t="s">
        <v>60</v>
      </c>
      <c r="Z1207" s="7"/>
      <c r="AA1207" s="4" t="s">
        <v>46</v>
      </c>
      <c r="AB1207" s="4" t="s">
        <v>47</v>
      </c>
      <c r="AC1207" s="4" t="s">
        <v>79</v>
      </c>
      <c r="AD1207" s="4" t="s">
        <v>80</v>
      </c>
      <c r="AE1207" s="4" t="s">
        <v>48</v>
      </c>
      <c r="AF1207" s="4" t="s">
        <v>41</v>
      </c>
      <c r="AG1207" s="4" t="s">
        <v>2547</v>
      </c>
    </row>
    <row r="1208" spans="1:33" ht="16.5" customHeight="1" x14ac:dyDescent="0.2">
      <c r="A1208" s="2" t="s">
        <v>31</v>
      </c>
      <c r="B1208" s="5" t="s">
        <v>54</v>
      </c>
      <c r="C1208" s="5"/>
      <c r="D1208" s="5"/>
      <c r="E1208" s="6" t="s">
        <v>33</v>
      </c>
      <c r="F1208" s="6"/>
      <c r="G1208" s="7" t="s">
        <v>2541</v>
      </c>
      <c r="H1208" s="7"/>
      <c r="I1208" s="7"/>
      <c r="J1208" s="3" t="s">
        <v>35</v>
      </c>
      <c r="K1208" s="4" t="s">
        <v>55</v>
      </c>
      <c r="L1208" s="4" t="s">
        <v>37</v>
      </c>
      <c r="N1208" s="7" t="s">
        <v>2615</v>
      </c>
      <c r="O1208" s="7"/>
      <c r="P1208" s="7" t="s">
        <v>2616</v>
      </c>
      <c r="Q1208" s="7"/>
      <c r="R1208" s="7"/>
      <c r="S1208" s="3" t="s">
        <v>40</v>
      </c>
      <c r="T1208" s="7" t="s">
        <v>41</v>
      </c>
      <c r="U1208" s="7"/>
      <c r="V1208" s="4" t="s">
        <v>42</v>
      </c>
      <c r="W1208" s="4" t="s">
        <v>234</v>
      </c>
      <c r="X1208" s="4" t="s">
        <v>235</v>
      </c>
      <c r="Y1208" s="7" t="s">
        <v>60</v>
      </c>
      <c r="Z1208" s="7"/>
      <c r="AA1208" s="4" t="s">
        <v>46</v>
      </c>
      <c r="AB1208" s="4" t="s">
        <v>47</v>
      </c>
      <c r="AC1208" s="4" t="s">
        <v>79</v>
      </c>
      <c r="AD1208" s="4" t="s">
        <v>80</v>
      </c>
      <c r="AE1208" s="4" t="s">
        <v>48</v>
      </c>
      <c r="AF1208" s="4" t="s">
        <v>41</v>
      </c>
      <c r="AG1208" s="4" t="s">
        <v>2547</v>
      </c>
    </row>
    <row r="1209" spans="1:33" ht="16.5" customHeight="1" x14ac:dyDescent="0.2">
      <c r="A1209" s="2" t="s">
        <v>31</v>
      </c>
      <c r="B1209" s="5" t="s">
        <v>54</v>
      </c>
      <c r="C1209" s="5"/>
      <c r="D1209" s="5"/>
      <c r="E1209" s="6" t="s">
        <v>33</v>
      </c>
      <c r="F1209" s="6"/>
      <c r="G1209" s="7" t="s">
        <v>2541</v>
      </c>
      <c r="H1209" s="7"/>
      <c r="I1209" s="7"/>
      <c r="J1209" s="3" t="s">
        <v>35</v>
      </c>
      <c r="K1209" s="4" t="s">
        <v>414</v>
      </c>
      <c r="L1209" s="4" t="s">
        <v>37</v>
      </c>
      <c r="N1209" s="7" t="s">
        <v>2617</v>
      </c>
      <c r="O1209" s="7"/>
      <c r="P1209" s="7" t="s">
        <v>2618</v>
      </c>
      <c r="Q1209" s="7"/>
      <c r="R1209" s="7"/>
      <c r="S1209" s="3" t="s">
        <v>40</v>
      </c>
      <c r="T1209" s="7" t="s">
        <v>41</v>
      </c>
      <c r="U1209" s="7"/>
      <c r="V1209" s="4" t="s">
        <v>42</v>
      </c>
      <c r="W1209" s="4" t="s">
        <v>234</v>
      </c>
      <c r="X1209" s="4" t="s">
        <v>235</v>
      </c>
      <c r="Y1209" s="7" t="s">
        <v>197</v>
      </c>
      <c r="Z1209" s="7"/>
      <c r="AA1209" s="4" t="s">
        <v>46</v>
      </c>
      <c r="AB1209" s="4" t="s">
        <v>47</v>
      </c>
      <c r="AC1209" s="4" t="s">
        <v>259</v>
      </c>
      <c r="AD1209" s="4" t="s">
        <v>260</v>
      </c>
      <c r="AE1209" s="4" t="s">
        <v>48</v>
      </c>
      <c r="AF1209" s="4" t="s">
        <v>41</v>
      </c>
      <c r="AG1209" s="4" t="s">
        <v>2547</v>
      </c>
    </row>
    <row r="1210" spans="1:33" ht="16.5" customHeight="1" x14ac:dyDescent="0.2">
      <c r="A1210" s="2" t="s">
        <v>31</v>
      </c>
      <c r="B1210" s="5" t="s">
        <v>54</v>
      </c>
      <c r="C1210" s="5"/>
      <c r="D1210" s="5"/>
      <c r="E1210" s="6" t="s">
        <v>33</v>
      </c>
      <c r="F1210" s="6"/>
      <c r="G1210" s="7" t="s">
        <v>2541</v>
      </c>
      <c r="H1210" s="7"/>
      <c r="I1210" s="7"/>
      <c r="J1210" s="3" t="s">
        <v>35</v>
      </c>
      <c r="K1210" s="4" t="s">
        <v>55</v>
      </c>
      <c r="L1210" s="4" t="s">
        <v>37</v>
      </c>
      <c r="N1210" s="7" t="s">
        <v>2619</v>
      </c>
      <c r="O1210" s="7"/>
      <c r="P1210" s="7" t="s">
        <v>2620</v>
      </c>
      <c r="Q1210" s="7"/>
      <c r="R1210" s="7"/>
      <c r="S1210" s="3" t="s">
        <v>40</v>
      </c>
      <c r="T1210" s="7" t="s">
        <v>41</v>
      </c>
      <c r="U1210" s="7"/>
      <c r="V1210" s="4" t="s">
        <v>42</v>
      </c>
      <c r="W1210" s="4" t="s">
        <v>234</v>
      </c>
      <c r="X1210" s="4" t="s">
        <v>235</v>
      </c>
      <c r="Y1210" s="7" t="s">
        <v>60</v>
      </c>
      <c r="Z1210" s="7"/>
      <c r="AA1210" s="4" t="s">
        <v>46</v>
      </c>
      <c r="AB1210" s="4" t="s">
        <v>47</v>
      </c>
      <c r="AC1210" s="4" t="s">
        <v>79</v>
      </c>
      <c r="AD1210" s="4" t="s">
        <v>80</v>
      </c>
      <c r="AE1210" s="4" t="s">
        <v>48</v>
      </c>
      <c r="AF1210" s="4" t="s">
        <v>41</v>
      </c>
      <c r="AG1210" s="4" t="s">
        <v>2547</v>
      </c>
    </row>
    <row r="1211" spans="1:33" ht="16.5" customHeight="1" x14ac:dyDescent="0.2">
      <c r="A1211" s="2" t="s">
        <v>31</v>
      </c>
      <c r="B1211" s="5" t="s">
        <v>54</v>
      </c>
      <c r="C1211" s="5"/>
      <c r="D1211" s="5"/>
      <c r="E1211" s="6" t="s">
        <v>33</v>
      </c>
      <c r="F1211" s="6"/>
      <c r="G1211" s="7" t="s">
        <v>2541</v>
      </c>
      <c r="H1211" s="7"/>
      <c r="I1211" s="7"/>
      <c r="J1211" s="3" t="s">
        <v>35</v>
      </c>
      <c r="K1211" s="4" t="s">
        <v>143</v>
      </c>
      <c r="L1211" s="4" t="s">
        <v>37</v>
      </c>
      <c r="N1211" s="7" t="s">
        <v>2621</v>
      </c>
      <c r="O1211" s="7"/>
      <c r="P1211" s="7" t="s">
        <v>2622</v>
      </c>
      <c r="Q1211" s="7"/>
      <c r="R1211" s="7"/>
      <c r="S1211" s="3" t="s">
        <v>40</v>
      </c>
      <c r="T1211" s="7" t="s">
        <v>41</v>
      </c>
      <c r="U1211" s="7"/>
      <c r="V1211" s="4" t="s">
        <v>42</v>
      </c>
      <c r="W1211" s="4" t="s">
        <v>234</v>
      </c>
      <c r="X1211" s="4" t="s">
        <v>235</v>
      </c>
      <c r="Y1211" s="7" t="s">
        <v>135</v>
      </c>
      <c r="Z1211" s="7"/>
      <c r="AA1211" s="4" t="s">
        <v>46</v>
      </c>
      <c r="AB1211" s="4" t="s">
        <v>47</v>
      </c>
      <c r="AC1211" s="4" t="s">
        <v>136</v>
      </c>
      <c r="AD1211" s="4" t="s">
        <v>137</v>
      </c>
      <c r="AE1211" s="4" t="s">
        <v>48</v>
      </c>
      <c r="AF1211" s="4" t="s">
        <v>41</v>
      </c>
      <c r="AG1211" s="4" t="s">
        <v>2547</v>
      </c>
    </row>
    <row r="1212" spans="1:33" ht="16.5" customHeight="1" x14ac:dyDescent="0.2">
      <c r="A1212" s="2" t="s">
        <v>31</v>
      </c>
      <c r="B1212" s="5" t="s">
        <v>54</v>
      </c>
      <c r="C1212" s="5"/>
      <c r="D1212" s="5"/>
      <c r="E1212" s="6" t="s">
        <v>33</v>
      </c>
      <c r="F1212" s="6"/>
      <c r="G1212" s="7" t="s">
        <v>2541</v>
      </c>
      <c r="H1212" s="7"/>
      <c r="I1212" s="7"/>
      <c r="J1212" s="3" t="s">
        <v>35</v>
      </c>
      <c r="K1212" s="4" t="s">
        <v>55</v>
      </c>
      <c r="L1212" s="4" t="s">
        <v>37</v>
      </c>
      <c r="N1212" s="7" t="s">
        <v>2623</v>
      </c>
      <c r="O1212" s="7"/>
      <c r="P1212" s="7" t="s">
        <v>2624</v>
      </c>
      <c r="Q1212" s="7"/>
      <c r="R1212" s="7"/>
      <c r="S1212" s="3" t="s">
        <v>40</v>
      </c>
      <c r="T1212" s="7" t="s">
        <v>41</v>
      </c>
      <c r="U1212" s="7"/>
      <c r="V1212" s="4" t="s">
        <v>42</v>
      </c>
      <c r="W1212" s="4" t="s">
        <v>360</v>
      </c>
      <c r="X1212" s="4" t="s">
        <v>361</v>
      </c>
      <c r="Y1212" s="7" t="s">
        <v>60</v>
      </c>
      <c r="Z1212" s="7"/>
      <c r="AA1212" s="4" t="s">
        <v>46</v>
      </c>
      <c r="AB1212" s="4" t="s">
        <v>47</v>
      </c>
      <c r="AC1212" s="4" t="s">
        <v>61</v>
      </c>
      <c r="AD1212" s="4" t="s">
        <v>62</v>
      </c>
      <c r="AE1212" s="4" t="s">
        <v>48</v>
      </c>
      <c r="AF1212" s="4" t="s">
        <v>41</v>
      </c>
      <c r="AG1212" s="4" t="s">
        <v>2547</v>
      </c>
    </row>
    <row r="1213" spans="1:33" ht="16.5" customHeight="1" x14ac:dyDescent="0.2">
      <c r="A1213" s="2" t="s">
        <v>31</v>
      </c>
      <c r="B1213" s="5" t="s">
        <v>54</v>
      </c>
      <c r="C1213" s="5"/>
      <c r="D1213" s="5"/>
      <c r="E1213" s="6" t="s">
        <v>33</v>
      </c>
      <c r="F1213" s="6"/>
      <c r="G1213" s="7" t="s">
        <v>2541</v>
      </c>
      <c r="H1213" s="7"/>
      <c r="I1213" s="7"/>
      <c r="J1213" s="3" t="s">
        <v>35</v>
      </c>
      <c r="K1213" s="4" t="s">
        <v>55</v>
      </c>
      <c r="L1213" s="4" t="s">
        <v>37</v>
      </c>
      <c r="N1213" s="7" t="s">
        <v>2625</v>
      </c>
      <c r="O1213" s="7"/>
      <c r="P1213" s="7" t="s">
        <v>2626</v>
      </c>
      <c r="Q1213" s="7"/>
      <c r="R1213" s="7"/>
      <c r="S1213" s="3" t="s">
        <v>40</v>
      </c>
      <c r="T1213" s="7" t="s">
        <v>41</v>
      </c>
      <c r="U1213" s="7"/>
      <c r="V1213" s="4" t="s">
        <v>42</v>
      </c>
      <c r="W1213" s="4" t="s">
        <v>360</v>
      </c>
      <c r="X1213" s="4" t="s">
        <v>361</v>
      </c>
      <c r="Y1213" s="7" t="s">
        <v>60</v>
      </c>
      <c r="Z1213" s="7"/>
      <c r="AA1213" s="4" t="s">
        <v>46</v>
      </c>
      <c r="AB1213" s="4" t="s">
        <v>47</v>
      </c>
      <c r="AC1213" s="4" t="s">
        <v>61</v>
      </c>
      <c r="AD1213" s="4" t="s">
        <v>62</v>
      </c>
      <c r="AE1213" s="4" t="s">
        <v>48</v>
      </c>
      <c r="AF1213" s="4" t="s">
        <v>41</v>
      </c>
      <c r="AG1213" s="4" t="s">
        <v>2547</v>
      </c>
    </row>
    <row r="1214" spans="1:33" ht="16.5" customHeight="1" x14ac:dyDescent="0.2">
      <c r="A1214" s="2" t="s">
        <v>31</v>
      </c>
      <c r="B1214" s="5" t="s">
        <v>54</v>
      </c>
      <c r="C1214" s="5"/>
      <c r="D1214" s="5"/>
      <c r="E1214" s="6" t="s">
        <v>33</v>
      </c>
      <c r="F1214" s="6"/>
      <c r="G1214" s="7" t="s">
        <v>2541</v>
      </c>
      <c r="H1214" s="7"/>
      <c r="I1214" s="7"/>
      <c r="J1214" s="3" t="s">
        <v>35</v>
      </c>
      <c r="K1214" s="4" t="s">
        <v>55</v>
      </c>
      <c r="L1214" s="4" t="s">
        <v>37</v>
      </c>
      <c r="N1214" s="7" t="s">
        <v>2627</v>
      </c>
      <c r="O1214" s="7"/>
      <c r="P1214" s="7" t="s">
        <v>2628</v>
      </c>
      <c r="Q1214" s="7"/>
      <c r="R1214" s="7"/>
      <c r="S1214" s="3" t="s">
        <v>40</v>
      </c>
      <c r="T1214" s="7" t="s">
        <v>41</v>
      </c>
      <c r="U1214" s="7"/>
      <c r="V1214" s="4" t="s">
        <v>42</v>
      </c>
      <c r="W1214" s="4" t="s">
        <v>360</v>
      </c>
      <c r="X1214" s="4" t="s">
        <v>361</v>
      </c>
      <c r="Y1214" s="7" t="s">
        <v>60</v>
      </c>
      <c r="Z1214" s="7"/>
      <c r="AA1214" s="4" t="s">
        <v>46</v>
      </c>
      <c r="AB1214" s="4" t="s">
        <v>47</v>
      </c>
      <c r="AC1214" s="4" t="s">
        <v>61</v>
      </c>
      <c r="AD1214" s="4" t="s">
        <v>62</v>
      </c>
      <c r="AE1214" s="4" t="s">
        <v>48</v>
      </c>
      <c r="AF1214" s="4" t="s">
        <v>41</v>
      </c>
      <c r="AG1214" s="4" t="s">
        <v>2547</v>
      </c>
    </row>
    <row r="1215" spans="1:33" ht="16.5" customHeight="1" x14ac:dyDescent="0.2">
      <c r="A1215" s="2" t="s">
        <v>31</v>
      </c>
      <c r="B1215" s="5" t="s">
        <v>54</v>
      </c>
      <c r="C1215" s="5"/>
      <c r="D1215" s="5"/>
      <c r="E1215" s="6" t="s">
        <v>33</v>
      </c>
      <c r="F1215" s="6"/>
      <c r="G1215" s="7" t="s">
        <v>2541</v>
      </c>
      <c r="H1215" s="7"/>
      <c r="I1215" s="7"/>
      <c r="J1215" s="3" t="s">
        <v>35</v>
      </c>
      <c r="K1215" s="4" t="s">
        <v>118</v>
      </c>
      <c r="L1215" s="4" t="s">
        <v>93</v>
      </c>
      <c r="N1215" s="7" t="s">
        <v>2629</v>
      </c>
      <c r="O1215" s="7"/>
      <c r="P1215" s="7" t="s">
        <v>2630</v>
      </c>
      <c r="Q1215" s="7"/>
      <c r="R1215" s="7"/>
      <c r="S1215" s="3" t="s">
        <v>40</v>
      </c>
      <c r="T1215" s="7" t="s">
        <v>41</v>
      </c>
      <c r="U1215" s="7"/>
      <c r="V1215" s="4" t="s">
        <v>42</v>
      </c>
      <c r="W1215" s="4" t="s">
        <v>301</v>
      </c>
      <c r="X1215" s="4" t="s">
        <v>302</v>
      </c>
      <c r="Y1215" s="7" t="s">
        <v>60</v>
      </c>
      <c r="Z1215" s="7"/>
      <c r="AA1215" s="4" t="s">
        <v>46</v>
      </c>
      <c r="AB1215" s="4" t="s">
        <v>47</v>
      </c>
      <c r="AC1215" s="4" t="s">
        <v>61</v>
      </c>
      <c r="AD1215" s="4" t="s">
        <v>324</v>
      </c>
      <c r="AE1215" s="4" t="s">
        <v>48</v>
      </c>
      <c r="AF1215" s="4" t="s">
        <v>41</v>
      </c>
      <c r="AG1215" s="4" t="s">
        <v>2547</v>
      </c>
    </row>
    <row r="1216" spans="1:33" ht="16.5" customHeight="1" x14ac:dyDescent="0.2">
      <c r="A1216" s="2" t="s">
        <v>31</v>
      </c>
      <c r="B1216" s="5" t="s">
        <v>54</v>
      </c>
      <c r="C1216" s="5"/>
      <c r="D1216" s="5"/>
      <c r="E1216" s="6" t="s">
        <v>33</v>
      </c>
      <c r="F1216" s="6"/>
      <c r="G1216" s="7" t="s">
        <v>2541</v>
      </c>
      <c r="H1216" s="7"/>
      <c r="I1216" s="7"/>
      <c r="J1216" s="3" t="s">
        <v>35</v>
      </c>
      <c r="K1216" s="4" t="s">
        <v>130</v>
      </c>
      <c r="L1216" s="4" t="s">
        <v>280</v>
      </c>
      <c r="N1216" s="7" t="s">
        <v>2631</v>
      </c>
      <c r="O1216" s="7"/>
      <c r="P1216" s="7" t="s">
        <v>2632</v>
      </c>
      <c r="Q1216" s="7"/>
      <c r="R1216" s="7"/>
      <c r="S1216" s="3" t="s">
        <v>40</v>
      </c>
      <c r="T1216" s="7" t="s">
        <v>41</v>
      </c>
      <c r="U1216" s="7"/>
      <c r="V1216" s="4" t="s">
        <v>42</v>
      </c>
      <c r="W1216" s="4" t="s">
        <v>90</v>
      </c>
      <c r="X1216" s="4" t="s">
        <v>91</v>
      </c>
      <c r="Y1216" s="7" t="s">
        <v>135</v>
      </c>
      <c r="Z1216" s="7"/>
      <c r="AA1216" s="4" t="s">
        <v>46</v>
      </c>
      <c r="AB1216" s="4" t="s">
        <v>47</v>
      </c>
      <c r="AC1216" s="4" t="s">
        <v>79</v>
      </c>
      <c r="AD1216" s="4" t="s">
        <v>285</v>
      </c>
      <c r="AE1216" s="4" t="s">
        <v>48</v>
      </c>
      <c r="AF1216" s="4" t="s">
        <v>41</v>
      </c>
      <c r="AG1216" s="4" t="s">
        <v>2547</v>
      </c>
    </row>
    <row r="1217" spans="1:33" ht="16.5" customHeight="1" x14ac:dyDescent="0.2">
      <c r="A1217" s="2" t="s">
        <v>31</v>
      </c>
      <c r="B1217" s="5" t="s">
        <v>54</v>
      </c>
      <c r="C1217" s="5"/>
      <c r="D1217" s="5"/>
      <c r="E1217" s="6" t="s">
        <v>33</v>
      </c>
      <c r="F1217" s="6"/>
      <c r="G1217" s="7" t="s">
        <v>2541</v>
      </c>
      <c r="H1217" s="7"/>
      <c r="I1217" s="7"/>
      <c r="J1217" s="3" t="s">
        <v>35</v>
      </c>
      <c r="K1217" s="4" t="s">
        <v>55</v>
      </c>
      <c r="L1217" s="4" t="s">
        <v>37</v>
      </c>
      <c r="N1217" s="7" t="s">
        <v>2633</v>
      </c>
      <c r="O1217" s="7"/>
      <c r="P1217" s="7" t="s">
        <v>2634</v>
      </c>
      <c r="Q1217" s="7"/>
      <c r="R1217" s="7"/>
      <c r="S1217" s="3" t="s">
        <v>40</v>
      </c>
      <c r="T1217" s="7" t="s">
        <v>41</v>
      </c>
      <c r="U1217" s="7"/>
      <c r="V1217" s="4" t="s">
        <v>42</v>
      </c>
      <c r="W1217" s="4" t="s">
        <v>102</v>
      </c>
      <c r="X1217" s="4" t="s">
        <v>103</v>
      </c>
      <c r="Y1217" s="7" t="s">
        <v>60</v>
      </c>
      <c r="Z1217" s="7"/>
      <c r="AA1217" s="4" t="s">
        <v>46</v>
      </c>
      <c r="AB1217" s="4" t="s">
        <v>47</v>
      </c>
      <c r="AC1217" s="4" t="s">
        <v>61</v>
      </c>
      <c r="AD1217" s="4" t="s">
        <v>62</v>
      </c>
      <c r="AE1217" s="4" t="s">
        <v>48</v>
      </c>
      <c r="AF1217" s="4" t="s">
        <v>41</v>
      </c>
      <c r="AG1217" s="4" t="s">
        <v>2547</v>
      </c>
    </row>
    <row r="1218" spans="1:33" ht="16.5" customHeight="1" x14ac:dyDescent="0.2">
      <c r="A1218" s="2" t="s">
        <v>31</v>
      </c>
      <c r="B1218" s="5" t="s">
        <v>54</v>
      </c>
      <c r="C1218" s="5"/>
      <c r="D1218" s="5"/>
      <c r="E1218" s="6" t="s">
        <v>33</v>
      </c>
      <c r="F1218" s="6"/>
      <c r="G1218" s="7" t="s">
        <v>2541</v>
      </c>
      <c r="H1218" s="7"/>
      <c r="I1218" s="7"/>
      <c r="J1218" s="3" t="s">
        <v>35</v>
      </c>
      <c r="K1218" s="4" t="s">
        <v>118</v>
      </c>
      <c r="L1218" s="4" t="s">
        <v>37</v>
      </c>
      <c r="N1218" s="7" t="s">
        <v>2635</v>
      </c>
      <c r="O1218" s="7"/>
      <c r="P1218" s="7" t="s">
        <v>2636</v>
      </c>
      <c r="Q1218" s="7"/>
      <c r="R1218" s="7"/>
      <c r="S1218" s="3" t="s">
        <v>40</v>
      </c>
      <c r="T1218" s="7" t="s">
        <v>41</v>
      </c>
      <c r="U1218" s="7"/>
      <c r="V1218" s="4" t="s">
        <v>42</v>
      </c>
      <c r="W1218" s="4" t="s">
        <v>2637</v>
      </c>
      <c r="X1218" s="4" t="s">
        <v>77</v>
      </c>
      <c r="Y1218" s="7" t="s">
        <v>60</v>
      </c>
      <c r="Z1218" s="7"/>
      <c r="AA1218" s="4" t="s">
        <v>46</v>
      </c>
      <c r="AB1218" s="4" t="s">
        <v>47</v>
      </c>
      <c r="AC1218" s="4" t="s">
        <v>61</v>
      </c>
      <c r="AD1218" s="4" t="s">
        <v>62</v>
      </c>
      <c r="AE1218" s="4" t="s">
        <v>48</v>
      </c>
      <c r="AF1218" s="4" t="s">
        <v>41</v>
      </c>
      <c r="AG1218" s="4" t="s">
        <v>2547</v>
      </c>
    </row>
    <row r="1219" spans="1:33" ht="16.5" customHeight="1" x14ac:dyDescent="0.2">
      <c r="A1219" s="2" t="s">
        <v>31</v>
      </c>
      <c r="B1219" s="5" t="s">
        <v>54</v>
      </c>
      <c r="C1219" s="5"/>
      <c r="D1219" s="5"/>
      <c r="E1219" s="6" t="s">
        <v>33</v>
      </c>
      <c r="F1219" s="6"/>
      <c r="G1219" s="7" t="s">
        <v>2541</v>
      </c>
      <c r="H1219" s="7"/>
      <c r="I1219" s="7"/>
      <c r="J1219" s="3" t="s">
        <v>35</v>
      </c>
      <c r="K1219" s="4" t="s">
        <v>118</v>
      </c>
      <c r="L1219" s="4" t="s">
        <v>37</v>
      </c>
      <c r="N1219" s="7" t="s">
        <v>2638</v>
      </c>
      <c r="O1219" s="7"/>
      <c r="P1219" s="7" t="s">
        <v>2639</v>
      </c>
      <c r="Q1219" s="7"/>
      <c r="R1219" s="7"/>
      <c r="S1219" s="3" t="s">
        <v>40</v>
      </c>
      <c r="T1219" s="7" t="s">
        <v>41</v>
      </c>
      <c r="U1219" s="7"/>
      <c r="V1219" s="4" t="s">
        <v>42</v>
      </c>
      <c r="W1219" s="4" t="s">
        <v>58</v>
      </c>
      <c r="X1219" s="4" t="s">
        <v>59</v>
      </c>
      <c r="Y1219" s="7" t="s">
        <v>60</v>
      </c>
      <c r="Z1219" s="7"/>
      <c r="AA1219" s="4" t="s">
        <v>46</v>
      </c>
      <c r="AB1219" s="4" t="s">
        <v>47</v>
      </c>
      <c r="AC1219" s="4" t="s">
        <v>61</v>
      </c>
      <c r="AD1219" s="4" t="s">
        <v>62</v>
      </c>
      <c r="AE1219" s="4" t="s">
        <v>48</v>
      </c>
      <c r="AF1219" s="4" t="s">
        <v>41</v>
      </c>
      <c r="AG1219" s="4" t="s">
        <v>2547</v>
      </c>
    </row>
    <row r="1220" spans="1:33" ht="0.75" customHeight="1" x14ac:dyDescent="0.2"/>
    <row r="1221" spans="1:33" ht="12" customHeight="1" x14ac:dyDescent="0.2"/>
    <row r="1222" spans="1:33" ht="16.5" customHeight="1" x14ac:dyDescent="0.2">
      <c r="A1222" s="2" t="s">
        <v>31</v>
      </c>
      <c r="B1222" s="5" t="s">
        <v>54</v>
      </c>
      <c r="C1222" s="5"/>
      <c r="D1222" s="5"/>
      <c r="E1222" s="6" t="s">
        <v>33</v>
      </c>
      <c r="F1222" s="6"/>
      <c r="G1222" s="7" t="s">
        <v>2541</v>
      </c>
      <c r="H1222" s="7"/>
      <c r="I1222" s="7"/>
      <c r="J1222" s="3" t="s">
        <v>35</v>
      </c>
      <c r="K1222" s="4" t="s">
        <v>202</v>
      </c>
      <c r="L1222" s="4" t="s">
        <v>93</v>
      </c>
      <c r="N1222" s="7" t="s">
        <v>2640</v>
      </c>
      <c r="O1222" s="7"/>
      <c r="P1222" s="7" t="s">
        <v>2641</v>
      </c>
      <c r="Q1222" s="7"/>
      <c r="R1222" s="7"/>
      <c r="S1222" s="3" t="s">
        <v>40</v>
      </c>
      <c r="T1222" s="7" t="s">
        <v>41</v>
      </c>
      <c r="U1222" s="7"/>
      <c r="V1222" s="4" t="s">
        <v>42</v>
      </c>
      <c r="W1222" s="4" t="s">
        <v>58</v>
      </c>
      <c r="X1222" s="4" t="s">
        <v>59</v>
      </c>
      <c r="Y1222" s="7" t="s">
        <v>197</v>
      </c>
      <c r="Z1222" s="7"/>
      <c r="AA1222" s="4" t="s">
        <v>46</v>
      </c>
      <c r="AB1222" s="4" t="s">
        <v>47</v>
      </c>
      <c r="AC1222" s="4" t="s">
        <v>136</v>
      </c>
      <c r="AD1222" s="4" t="s">
        <v>148</v>
      </c>
      <c r="AE1222" s="4" t="s">
        <v>48</v>
      </c>
      <c r="AF1222" s="4" t="s">
        <v>41</v>
      </c>
      <c r="AG1222" s="4" t="s">
        <v>2547</v>
      </c>
    </row>
    <row r="1223" spans="1:33" ht="16.5" customHeight="1" x14ac:dyDescent="0.2">
      <c r="A1223" s="2" t="s">
        <v>31</v>
      </c>
      <c r="B1223" s="5" t="s">
        <v>54</v>
      </c>
      <c r="C1223" s="5"/>
      <c r="D1223" s="5"/>
      <c r="E1223" s="6" t="s">
        <v>33</v>
      </c>
      <c r="F1223" s="6"/>
      <c r="G1223" s="7" t="s">
        <v>2541</v>
      </c>
      <c r="H1223" s="7"/>
      <c r="I1223" s="7"/>
      <c r="J1223" s="3" t="s">
        <v>35</v>
      </c>
      <c r="K1223" s="4" t="s">
        <v>55</v>
      </c>
      <c r="L1223" s="4" t="s">
        <v>37</v>
      </c>
      <c r="N1223" s="7" t="s">
        <v>2642</v>
      </c>
      <c r="O1223" s="7"/>
      <c r="P1223" s="7" t="s">
        <v>2643</v>
      </c>
      <c r="Q1223" s="7"/>
      <c r="R1223" s="7"/>
      <c r="S1223" s="3" t="s">
        <v>40</v>
      </c>
      <c r="T1223" s="7" t="s">
        <v>41</v>
      </c>
      <c r="U1223" s="7"/>
      <c r="V1223" s="4" t="s">
        <v>42</v>
      </c>
      <c r="W1223" s="4" t="s">
        <v>58</v>
      </c>
      <c r="X1223" s="4" t="s">
        <v>59</v>
      </c>
      <c r="Y1223" s="7" t="s">
        <v>60</v>
      </c>
      <c r="Z1223" s="7"/>
      <c r="AA1223" s="4" t="s">
        <v>46</v>
      </c>
      <c r="AB1223" s="4" t="s">
        <v>47</v>
      </c>
      <c r="AC1223" s="4" t="s">
        <v>61</v>
      </c>
      <c r="AD1223" s="4" t="s">
        <v>62</v>
      </c>
      <c r="AE1223" s="4" t="s">
        <v>48</v>
      </c>
      <c r="AF1223" s="4" t="s">
        <v>41</v>
      </c>
      <c r="AG1223" s="4" t="s">
        <v>2547</v>
      </c>
    </row>
    <row r="1224" spans="1:33" ht="16.5" customHeight="1" x14ac:dyDescent="0.2">
      <c r="A1224" s="2" t="s">
        <v>31</v>
      </c>
      <c r="B1224" s="5" t="s">
        <v>54</v>
      </c>
      <c r="C1224" s="5"/>
      <c r="D1224" s="5"/>
      <c r="E1224" s="6" t="s">
        <v>33</v>
      </c>
      <c r="F1224" s="6"/>
      <c r="G1224" s="7" t="s">
        <v>2541</v>
      </c>
      <c r="H1224" s="7"/>
      <c r="I1224" s="7"/>
      <c r="J1224" s="3" t="s">
        <v>35</v>
      </c>
      <c r="K1224" s="4" t="s">
        <v>1014</v>
      </c>
      <c r="L1224" s="4" t="s">
        <v>37</v>
      </c>
      <c r="N1224" s="7" t="s">
        <v>2644</v>
      </c>
      <c r="O1224" s="7"/>
      <c r="P1224" s="7" t="s">
        <v>2645</v>
      </c>
      <c r="Q1224" s="7"/>
      <c r="R1224" s="7"/>
      <c r="S1224" s="3" t="s">
        <v>40</v>
      </c>
      <c r="T1224" s="7" t="s">
        <v>41</v>
      </c>
      <c r="U1224" s="7"/>
      <c r="V1224" s="4" t="s">
        <v>42</v>
      </c>
      <c r="W1224" s="4" t="s">
        <v>58</v>
      </c>
      <c r="X1224" s="4" t="s">
        <v>59</v>
      </c>
      <c r="Y1224" s="7" t="s">
        <v>78</v>
      </c>
      <c r="Z1224" s="7"/>
      <c r="AA1224" s="4" t="s">
        <v>46</v>
      </c>
      <c r="AB1224" s="4" t="s">
        <v>47</v>
      </c>
      <c r="AC1224" s="4" t="s">
        <v>79</v>
      </c>
      <c r="AD1224" s="4" t="s">
        <v>80</v>
      </c>
      <c r="AE1224" s="4" t="s">
        <v>48</v>
      </c>
      <c r="AF1224" s="4" t="s">
        <v>41</v>
      </c>
      <c r="AG1224" s="4" t="s">
        <v>2547</v>
      </c>
    </row>
    <row r="1225" spans="1:33" ht="16.5" customHeight="1" x14ac:dyDescent="0.2">
      <c r="A1225" s="2" t="s">
        <v>31</v>
      </c>
      <c r="B1225" s="5" t="s">
        <v>54</v>
      </c>
      <c r="C1225" s="5"/>
      <c r="D1225" s="5"/>
      <c r="E1225" s="6" t="s">
        <v>33</v>
      </c>
      <c r="F1225" s="6"/>
      <c r="G1225" s="7" t="s">
        <v>2541</v>
      </c>
      <c r="H1225" s="7"/>
      <c r="I1225" s="7"/>
      <c r="J1225" s="3" t="s">
        <v>35</v>
      </c>
      <c r="K1225" s="4" t="s">
        <v>81</v>
      </c>
      <c r="L1225" s="4" t="s">
        <v>37</v>
      </c>
      <c r="N1225" s="7" t="s">
        <v>2646</v>
      </c>
      <c r="O1225" s="7"/>
      <c r="P1225" s="7" t="s">
        <v>2647</v>
      </c>
      <c r="Q1225" s="7"/>
      <c r="R1225" s="7"/>
      <c r="S1225" s="3" t="s">
        <v>40</v>
      </c>
      <c r="T1225" s="7" t="s">
        <v>41</v>
      </c>
      <c r="U1225" s="7"/>
      <c r="V1225" s="4" t="s">
        <v>42</v>
      </c>
      <c r="W1225" s="4" t="s">
        <v>58</v>
      </c>
      <c r="X1225" s="4" t="s">
        <v>59</v>
      </c>
      <c r="Y1225" s="7" t="s">
        <v>78</v>
      </c>
      <c r="Z1225" s="7"/>
      <c r="AA1225" s="4" t="s">
        <v>46</v>
      </c>
      <c r="AB1225" s="4" t="s">
        <v>47</v>
      </c>
      <c r="AC1225" s="4" t="s">
        <v>79</v>
      </c>
      <c r="AD1225" s="4" t="s">
        <v>80</v>
      </c>
      <c r="AE1225" s="4" t="s">
        <v>48</v>
      </c>
      <c r="AF1225" s="4" t="s">
        <v>41</v>
      </c>
      <c r="AG1225" s="4" t="s">
        <v>2547</v>
      </c>
    </row>
    <row r="1226" spans="1:33" ht="16.5" customHeight="1" x14ac:dyDescent="0.2">
      <c r="A1226" s="2" t="s">
        <v>31</v>
      </c>
      <c r="B1226" s="5" t="s">
        <v>54</v>
      </c>
      <c r="C1226" s="5"/>
      <c r="D1226" s="5"/>
      <c r="E1226" s="6" t="s">
        <v>33</v>
      </c>
      <c r="F1226" s="6"/>
      <c r="G1226" s="7" t="s">
        <v>2541</v>
      </c>
      <c r="H1226" s="7"/>
      <c r="I1226" s="7"/>
      <c r="J1226" s="3" t="s">
        <v>35</v>
      </c>
      <c r="K1226" s="4" t="s">
        <v>248</v>
      </c>
      <c r="L1226" s="4" t="s">
        <v>280</v>
      </c>
      <c r="N1226" s="7" t="s">
        <v>2648</v>
      </c>
      <c r="O1226" s="7"/>
      <c r="P1226" s="7" t="s">
        <v>2649</v>
      </c>
      <c r="Q1226" s="7"/>
      <c r="R1226" s="7"/>
      <c r="S1226" s="3" t="s">
        <v>40</v>
      </c>
      <c r="T1226" s="7" t="s">
        <v>41</v>
      </c>
      <c r="U1226" s="7"/>
      <c r="V1226" s="4" t="s">
        <v>42</v>
      </c>
      <c r="W1226" s="4" t="s">
        <v>58</v>
      </c>
      <c r="X1226" s="4" t="s">
        <v>59</v>
      </c>
      <c r="Y1226" s="7" t="s">
        <v>60</v>
      </c>
      <c r="Z1226" s="7"/>
      <c r="AA1226" s="4" t="s">
        <v>46</v>
      </c>
      <c r="AB1226" s="4" t="s">
        <v>47</v>
      </c>
      <c r="AC1226" s="4" t="s">
        <v>61</v>
      </c>
      <c r="AD1226" s="4" t="s">
        <v>2650</v>
      </c>
      <c r="AE1226" s="4" t="s">
        <v>48</v>
      </c>
      <c r="AF1226" s="4" t="s">
        <v>41</v>
      </c>
      <c r="AG1226" s="4" t="s">
        <v>2547</v>
      </c>
    </row>
    <row r="1227" spans="1:33" ht="16.5" customHeight="1" x14ac:dyDescent="0.2">
      <c r="A1227" s="2" t="s">
        <v>31</v>
      </c>
      <c r="B1227" s="5" t="s">
        <v>54</v>
      </c>
      <c r="C1227" s="5"/>
      <c r="D1227" s="5"/>
      <c r="E1227" s="6" t="s">
        <v>33</v>
      </c>
      <c r="F1227" s="6"/>
      <c r="G1227" s="7" t="s">
        <v>2541</v>
      </c>
      <c r="H1227" s="7"/>
      <c r="I1227" s="7"/>
      <c r="J1227" s="3" t="s">
        <v>35</v>
      </c>
      <c r="K1227" s="4" t="s">
        <v>202</v>
      </c>
      <c r="L1227" s="4" t="s">
        <v>37</v>
      </c>
      <c r="N1227" s="7" t="s">
        <v>2651</v>
      </c>
      <c r="O1227" s="7"/>
      <c r="P1227" s="7" t="s">
        <v>2652</v>
      </c>
      <c r="Q1227" s="7"/>
      <c r="R1227" s="7"/>
      <c r="S1227" s="3" t="s">
        <v>40</v>
      </c>
      <c r="T1227" s="7" t="s">
        <v>41</v>
      </c>
      <c r="U1227" s="7"/>
      <c r="V1227" s="4" t="s">
        <v>42</v>
      </c>
      <c r="W1227" s="4" t="s">
        <v>51</v>
      </c>
      <c r="X1227" s="4" t="s">
        <v>128</v>
      </c>
      <c r="Y1227" s="7" t="s">
        <v>197</v>
      </c>
      <c r="Z1227" s="7"/>
      <c r="AA1227" s="4" t="s">
        <v>46</v>
      </c>
      <c r="AB1227" s="4" t="s">
        <v>47</v>
      </c>
      <c r="AC1227" s="4" t="s">
        <v>136</v>
      </c>
      <c r="AD1227" s="4" t="s">
        <v>137</v>
      </c>
      <c r="AE1227" s="4" t="s">
        <v>48</v>
      </c>
      <c r="AF1227" s="4" t="s">
        <v>41</v>
      </c>
      <c r="AG1227" s="4" t="s">
        <v>2547</v>
      </c>
    </row>
    <row r="1228" spans="1:33" ht="16.5" customHeight="1" x14ac:dyDescent="0.2">
      <c r="A1228" s="2" t="s">
        <v>31</v>
      </c>
      <c r="B1228" s="5" t="s">
        <v>54</v>
      </c>
      <c r="C1228" s="5"/>
      <c r="D1228" s="5"/>
      <c r="E1228" s="6" t="s">
        <v>33</v>
      </c>
      <c r="F1228" s="6"/>
      <c r="G1228" s="7" t="s">
        <v>2541</v>
      </c>
      <c r="H1228" s="7"/>
      <c r="I1228" s="7"/>
      <c r="J1228" s="3" t="s">
        <v>35</v>
      </c>
      <c r="K1228" s="4" t="s">
        <v>267</v>
      </c>
      <c r="L1228" s="4" t="s">
        <v>37</v>
      </c>
      <c r="N1228" s="7" t="s">
        <v>2653</v>
      </c>
      <c r="O1228" s="7"/>
      <c r="P1228" s="7" t="s">
        <v>2654</v>
      </c>
      <c r="Q1228" s="7"/>
      <c r="R1228" s="7"/>
      <c r="S1228" s="3" t="s">
        <v>40</v>
      </c>
      <c r="T1228" s="7" t="s">
        <v>41</v>
      </c>
      <c r="U1228" s="7"/>
      <c r="V1228" s="4" t="s">
        <v>42</v>
      </c>
      <c r="W1228" s="4" t="s">
        <v>51</v>
      </c>
      <c r="X1228" s="4" t="s">
        <v>128</v>
      </c>
      <c r="Y1228" s="7" t="s">
        <v>78</v>
      </c>
      <c r="Z1228" s="7"/>
      <c r="AA1228" s="4" t="s">
        <v>46</v>
      </c>
      <c r="AB1228" s="4" t="s">
        <v>47</v>
      </c>
      <c r="AC1228" s="4" t="s">
        <v>79</v>
      </c>
      <c r="AD1228" s="4" t="s">
        <v>80</v>
      </c>
      <c r="AE1228" s="4" t="s">
        <v>48</v>
      </c>
      <c r="AF1228" s="4" t="s">
        <v>41</v>
      </c>
      <c r="AG1228" s="4" t="s">
        <v>2547</v>
      </c>
    </row>
    <row r="1229" spans="1:33" ht="16.5" customHeight="1" x14ac:dyDescent="0.2">
      <c r="A1229" s="2" t="s">
        <v>31</v>
      </c>
      <c r="B1229" s="5" t="s">
        <v>54</v>
      </c>
      <c r="C1229" s="5"/>
      <c r="D1229" s="5"/>
      <c r="E1229" s="6" t="s">
        <v>33</v>
      </c>
      <c r="F1229" s="6"/>
      <c r="G1229" s="7" t="s">
        <v>2541</v>
      </c>
      <c r="H1229" s="7"/>
      <c r="I1229" s="7"/>
      <c r="J1229" s="3" t="s">
        <v>35</v>
      </c>
      <c r="K1229" s="4" t="s">
        <v>92</v>
      </c>
      <c r="L1229" s="4" t="s">
        <v>231</v>
      </c>
      <c r="N1229" s="7" t="s">
        <v>2655</v>
      </c>
      <c r="O1229" s="7"/>
      <c r="P1229" s="7" t="s">
        <v>2656</v>
      </c>
      <c r="Q1229" s="7"/>
      <c r="R1229" s="7"/>
      <c r="S1229" s="3" t="s">
        <v>40</v>
      </c>
      <c r="T1229" s="7" t="s">
        <v>41</v>
      </c>
      <c r="U1229" s="7"/>
      <c r="V1229" s="4" t="s">
        <v>42</v>
      </c>
      <c r="W1229" s="4" t="s">
        <v>58</v>
      </c>
      <c r="X1229" s="4" t="s">
        <v>59</v>
      </c>
      <c r="Y1229" s="7" t="s">
        <v>78</v>
      </c>
      <c r="Z1229" s="7"/>
      <c r="AA1229" s="4" t="s">
        <v>46</v>
      </c>
      <c r="AB1229" s="4" t="s">
        <v>47</v>
      </c>
      <c r="AC1229" s="4" t="s">
        <v>79</v>
      </c>
      <c r="AD1229" s="4" t="s">
        <v>236</v>
      </c>
      <c r="AE1229" s="4" t="s">
        <v>48</v>
      </c>
      <c r="AF1229" s="4" t="s">
        <v>41</v>
      </c>
      <c r="AG1229" s="4" t="s">
        <v>2547</v>
      </c>
    </row>
    <row r="1230" spans="1:33" ht="16.5" customHeight="1" x14ac:dyDescent="0.2">
      <c r="A1230" s="2" t="s">
        <v>31</v>
      </c>
      <c r="B1230" s="5" t="s">
        <v>54</v>
      </c>
      <c r="C1230" s="5"/>
      <c r="D1230" s="5"/>
      <c r="E1230" s="6" t="s">
        <v>33</v>
      </c>
      <c r="F1230" s="6"/>
      <c r="G1230" s="7" t="s">
        <v>2541</v>
      </c>
      <c r="H1230" s="7"/>
      <c r="I1230" s="7"/>
      <c r="J1230" s="3" t="s">
        <v>35</v>
      </c>
      <c r="K1230" s="4" t="s">
        <v>92</v>
      </c>
      <c r="L1230" s="4" t="s">
        <v>231</v>
      </c>
      <c r="N1230" s="7" t="s">
        <v>2655</v>
      </c>
      <c r="O1230" s="7"/>
      <c r="P1230" s="7" t="s">
        <v>2656</v>
      </c>
      <c r="Q1230" s="7"/>
      <c r="R1230" s="7"/>
      <c r="S1230" s="3" t="s">
        <v>40</v>
      </c>
      <c r="T1230" s="7" t="s">
        <v>41</v>
      </c>
      <c r="U1230" s="7"/>
      <c r="V1230" s="4" t="s">
        <v>51</v>
      </c>
      <c r="W1230" s="4" t="s">
        <v>58</v>
      </c>
      <c r="X1230" s="4" t="s">
        <v>128</v>
      </c>
      <c r="Y1230" s="7" t="s">
        <v>78</v>
      </c>
      <c r="Z1230" s="7"/>
      <c r="AA1230" s="4" t="s">
        <v>46</v>
      </c>
      <c r="AB1230" s="4" t="s">
        <v>47</v>
      </c>
      <c r="AC1230" s="4" t="s">
        <v>79</v>
      </c>
      <c r="AD1230" s="4" t="s">
        <v>236</v>
      </c>
      <c r="AE1230" s="4" t="s">
        <v>48</v>
      </c>
      <c r="AF1230" s="4" t="s">
        <v>41</v>
      </c>
      <c r="AG1230" s="4" t="s">
        <v>2547</v>
      </c>
    </row>
    <row r="1231" spans="1:33" ht="16.5" customHeight="1" x14ac:dyDescent="0.2">
      <c r="A1231" s="2" t="s">
        <v>31</v>
      </c>
      <c r="B1231" s="5" t="s">
        <v>54</v>
      </c>
      <c r="C1231" s="5"/>
      <c r="D1231" s="5"/>
      <c r="E1231" s="6" t="s">
        <v>33</v>
      </c>
      <c r="F1231" s="6"/>
      <c r="G1231" s="7" t="s">
        <v>2541</v>
      </c>
      <c r="H1231" s="7"/>
      <c r="I1231" s="7"/>
      <c r="J1231" s="3" t="s">
        <v>35</v>
      </c>
      <c r="K1231" s="4" t="s">
        <v>414</v>
      </c>
      <c r="L1231" s="4" t="s">
        <v>37</v>
      </c>
      <c r="N1231" s="7" t="s">
        <v>2657</v>
      </c>
      <c r="O1231" s="7"/>
      <c r="P1231" s="7" t="s">
        <v>2658</v>
      </c>
      <c r="Q1231" s="7"/>
      <c r="R1231" s="7"/>
      <c r="S1231" s="3" t="s">
        <v>40</v>
      </c>
      <c r="T1231" s="7" t="s">
        <v>41</v>
      </c>
      <c r="U1231" s="7"/>
      <c r="V1231" s="4" t="s">
        <v>42</v>
      </c>
      <c r="W1231" s="4" t="s">
        <v>51</v>
      </c>
      <c r="X1231" s="4" t="s">
        <v>128</v>
      </c>
      <c r="Y1231" s="7" t="s">
        <v>197</v>
      </c>
      <c r="Z1231" s="7"/>
      <c r="AA1231" s="4" t="s">
        <v>46</v>
      </c>
      <c r="AB1231" s="4" t="s">
        <v>47</v>
      </c>
      <c r="AC1231" s="4" t="s">
        <v>136</v>
      </c>
      <c r="AD1231" s="4" t="s">
        <v>137</v>
      </c>
      <c r="AE1231" s="4" t="s">
        <v>48</v>
      </c>
      <c r="AF1231" s="4" t="s">
        <v>41</v>
      </c>
      <c r="AG1231" s="4" t="s">
        <v>2547</v>
      </c>
    </row>
    <row r="1232" spans="1:33" ht="16.5" customHeight="1" x14ac:dyDescent="0.2">
      <c r="A1232" s="2" t="s">
        <v>31</v>
      </c>
      <c r="B1232" s="5" t="s">
        <v>54</v>
      </c>
      <c r="C1232" s="5"/>
      <c r="D1232" s="5"/>
      <c r="E1232" s="6" t="s">
        <v>33</v>
      </c>
      <c r="F1232" s="6"/>
      <c r="G1232" s="7" t="s">
        <v>2541</v>
      </c>
      <c r="H1232" s="7"/>
      <c r="I1232" s="7"/>
      <c r="J1232" s="3" t="s">
        <v>35</v>
      </c>
      <c r="K1232" s="4" t="s">
        <v>192</v>
      </c>
      <c r="L1232" s="4" t="s">
        <v>37</v>
      </c>
      <c r="N1232" s="7" t="s">
        <v>2659</v>
      </c>
      <c r="O1232" s="7"/>
      <c r="P1232" s="7" t="s">
        <v>2660</v>
      </c>
      <c r="Q1232" s="7"/>
      <c r="R1232" s="7"/>
      <c r="S1232" s="3" t="s">
        <v>40</v>
      </c>
      <c r="T1232" s="7" t="s">
        <v>41</v>
      </c>
      <c r="U1232" s="7"/>
      <c r="V1232" s="4" t="s">
        <v>42</v>
      </c>
      <c r="W1232" s="4" t="s">
        <v>51</v>
      </c>
      <c r="X1232" s="4" t="s">
        <v>128</v>
      </c>
      <c r="Y1232" s="7" t="s">
        <v>197</v>
      </c>
      <c r="Z1232" s="7"/>
      <c r="AA1232" s="4" t="s">
        <v>46</v>
      </c>
      <c r="AB1232" s="4" t="s">
        <v>47</v>
      </c>
      <c r="AC1232" s="4" t="s">
        <v>136</v>
      </c>
      <c r="AD1232" s="4" t="s">
        <v>137</v>
      </c>
      <c r="AE1232" s="4" t="s">
        <v>48</v>
      </c>
      <c r="AF1232" s="4" t="s">
        <v>41</v>
      </c>
      <c r="AG1232" s="4" t="s">
        <v>2547</v>
      </c>
    </row>
    <row r="1233" spans="1:33" ht="16.5" customHeight="1" x14ac:dyDescent="0.2">
      <c r="A1233" s="2" t="s">
        <v>31</v>
      </c>
      <c r="B1233" s="5" t="s">
        <v>54</v>
      </c>
      <c r="C1233" s="5"/>
      <c r="D1233" s="5"/>
      <c r="E1233" s="6" t="s">
        <v>33</v>
      </c>
      <c r="F1233" s="6"/>
      <c r="G1233" s="7" t="s">
        <v>2541</v>
      </c>
      <c r="H1233" s="7"/>
      <c r="I1233" s="7"/>
      <c r="J1233" s="3" t="s">
        <v>35</v>
      </c>
      <c r="K1233" s="4" t="s">
        <v>97</v>
      </c>
      <c r="L1233" s="4" t="s">
        <v>37</v>
      </c>
      <c r="N1233" s="7" t="s">
        <v>2661</v>
      </c>
      <c r="O1233" s="7"/>
      <c r="P1233" s="7" t="s">
        <v>2662</v>
      </c>
      <c r="Q1233" s="7"/>
      <c r="R1233" s="7"/>
      <c r="S1233" s="3" t="s">
        <v>40</v>
      </c>
      <c r="T1233" s="7" t="s">
        <v>41</v>
      </c>
      <c r="U1233" s="7"/>
      <c r="V1233" s="4" t="s">
        <v>42</v>
      </c>
      <c r="W1233" s="4" t="s">
        <v>51</v>
      </c>
      <c r="X1233" s="4" t="s">
        <v>128</v>
      </c>
      <c r="Y1233" s="7" t="s">
        <v>78</v>
      </c>
      <c r="Z1233" s="7"/>
      <c r="AA1233" s="4" t="s">
        <v>46</v>
      </c>
      <c r="AB1233" s="4" t="s">
        <v>47</v>
      </c>
      <c r="AC1233" s="4" t="s">
        <v>79</v>
      </c>
      <c r="AD1233" s="4" t="s">
        <v>80</v>
      </c>
      <c r="AE1233" s="4" t="s">
        <v>48</v>
      </c>
      <c r="AF1233" s="4" t="s">
        <v>41</v>
      </c>
      <c r="AG1233" s="4" t="s">
        <v>2547</v>
      </c>
    </row>
    <row r="1234" spans="1:33" ht="16.5" customHeight="1" x14ac:dyDescent="0.2">
      <c r="A1234" s="2" t="s">
        <v>31</v>
      </c>
      <c r="B1234" s="5" t="s">
        <v>54</v>
      </c>
      <c r="C1234" s="5"/>
      <c r="D1234" s="5"/>
      <c r="E1234" s="6" t="s">
        <v>33</v>
      </c>
      <c r="F1234" s="6"/>
      <c r="G1234" s="7" t="s">
        <v>2541</v>
      </c>
      <c r="H1234" s="7"/>
      <c r="I1234" s="7"/>
      <c r="J1234" s="3" t="s">
        <v>35</v>
      </c>
      <c r="K1234" s="4" t="s">
        <v>248</v>
      </c>
      <c r="L1234" s="4" t="s">
        <v>231</v>
      </c>
      <c r="N1234" s="7" t="s">
        <v>2663</v>
      </c>
      <c r="O1234" s="7"/>
      <c r="P1234" s="7" t="s">
        <v>2664</v>
      </c>
      <c r="Q1234" s="7"/>
      <c r="R1234" s="7"/>
      <c r="S1234" s="3" t="s">
        <v>40</v>
      </c>
      <c r="T1234" s="7" t="s">
        <v>41</v>
      </c>
      <c r="U1234" s="7"/>
      <c r="V1234" s="4" t="s">
        <v>42</v>
      </c>
      <c r="W1234" s="4" t="s">
        <v>51</v>
      </c>
      <c r="X1234" s="4" t="s">
        <v>128</v>
      </c>
      <c r="Y1234" s="7" t="s">
        <v>60</v>
      </c>
      <c r="Z1234" s="7"/>
      <c r="AA1234" s="4" t="s">
        <v>46</v>
      </c>
      <c r="AB1234" s="4" t="s">
        <v>47</v>
      </c>
      <c r="AC1234" s="4" t="s">
        <v>61</v>
      </c>
      <c r="AD1234" s="4" t="s">
        <v>1196</v>
      </c>
      <c r="AE1234" s="4" t="s">
        <v>48</v>
      </c>
      <c r="AF1234" s="4" t="s">
        <v>41</v>
      </c>
      <c r="AG1234" s="4" t="s">
        <v>2547</v>
      </c>
    </row>
    <row r="1235" spans="1:33" ht="16.5" customHeight="1" x14ac:dyDescent="0.2">
      <c r="A1235" s="2" t="s">
        <v>31</v>
      </c>
      <c r="B1235" s="5" t="s">
        <v>54</v>
      </c>
      <c r="C1235" s="5"/>
      <c r="D1235" s="5"/>
      <c r="E1235" s="6" t="s">
        <v>33</v>
      </c>
      <c r="F1235" s="6"/>
      <c r="G1235" s="7" t="s">
        <v>2541</v>
      </c>
      <c r="H1235" s="7"/>
      <c r="I1235" s="7"/>
      <c r="J1235" s="3" t="s">
        <v>35</v>
      </c>
      <c r="K1235" s="4" t="s">
        <v>248</v>
      </c>
      <c r="L1235" s="4" t="s">
        <v>37</v>
      </c>
      <c r="N1235" s="7" t="s">
        <v>2665</v>
      </c>
      <c r="O1235" s="7"/>
      <c r="P1235" s="7" t="s">
        <v>2666</v>
      </c>
      <c r="Q1235" s="7"/>
      <c r="R1235" s="7"/>
      <c r="S1235" s="3" t="s">
        <v>40</v>
      </c>
      <c r="T1235" s="7" t="s">
        <v>41</v>
      </c>
      <c r="U1235" s="7"/>
      <c r="V1235" s="4" t="s">
        <v>42</v>
      </c>
      <c r="W1235" s="4" t="s">
        <v>51</v>
      </c>
      <c r="X1235" s="4" t="s">
        <v>128</v>
      </c>
      <c r="Y1235" s="7" t="s">
        <v>60</v>
      </c>
      <c r="Z1235" s="7"/>
      <c r="AA1235" s="4" t="s">
        <v>46</v>
      </c>
      <c r="AB1235" s="4" t="s">
        <v>47</v>
      </c>
      <c r="AC1235" s="4" t="s">
        <v>61</v>
      </c>
      <c r="AD1235" s="4" t="s">
        <v>62</v>
      </c>
      <c r="AE1235" s="4" t="s">
        <v>48</v>
      </c>
      <c r="AF1235" s="4" t="s">
        <v>41</v>
      </c>
      <c r="AG1235" s="4" t="s">
        <v>2547</v>
      </c>
    </row>
    <row r="1236" spans="1:33" ht="16.5" customHeight="1" x14ac:dyDescent="0.2">
      <c r="A1236" s="2" t="s">
        <v>31</v>
      </c>
      <c r="B1236" s="5" t="s">
        <v>108</v>
      </c>
      <c r="C1236" s="5"/>
      <c r="D1236" s="5"/>
      <c r="E1236" s="6" t="s">
        <v>33</v>
      </c>
      <c r="F1236" s="6"/>
      <c r="G1236" s="7" t="s">
        <v>2541</v>
      </c>
      <c r="H1236" s="7"/>
      <c r="I1236" s="7"/>
      <c r="J1236" s="3" t="s">
        <v>35</v>
      </c>
      <c r="K1236" s="4" t="s">
        <v>398</v>
      </c>
      <c r="N1236" s="7" t="s">
        <v>2667</v>
      </c>
      <c r="O1236" s="7"/>
      <c r="P1236" s="7" t="s">
        <v>2549</v>
      </c>
      <c r="Q1236" s="7"/>
      <c r="R1236" s="7"/>
      <c r="S1236" s="3" t="s">
        <v>40</v>
      </c>
      <c r="T1236" s="7" t="s">
        <v>401</v>
      </c>
      <c r="U1236" s="7"/>
      <c r="V1236" s="4" t="s">
        <v>51</v>
      </c>
      <c r="W1236" s="4" t="s">
        <v>68</v>
      </c>
      <c r="X1236" s="4" t="s">
        <v>313</v>
      </c>
      <c r="Y1236" s="7" t="s">
        <v>402</v>
      </c>
      <c r="Z1236" s="7"/>
      <c r="AA1236" s="4" t="s">
        <v>46</v>
      </c>
      <c r="AB1236" s="4" t="s">
        <v>115</v>
      </c>
      <c r="AC1236" s="4" t="s">
        <v>403</v>
      </c>
      <c r="AD1236" s="4" t="s">
        <v>404</v>
      </c>
      <c r="AE1236" s="4" t="s">
        <v>48</v>
      </c>
      <c r="AF1236" s="4" t="s">
        <v>41</v>
      </c>
      <c r="AG1236" s="4" t="s">
        <v>2547</v>
      </c>
    </row>
    <row r="1237" spans="1:33" ht="16.5" customHeight="1" x14ac:dyDescent="0.2">
      <c r="A1237" s="2" t="s">
        <v>31</v>
      </c>
      <c r="B1237" s="5" t="s">
        <v>108</v>
      </c>
      <c r="C1237" s="5"/>
      <c r="D1237" s="5"/>
      <c r="E1237" s="6" t="s">
        <v>33</v>
      </c>
      <c r="F1237" s="6"/>
      <c r="G1237" s="7" t="s">
        <v>2541</v>
      </c>
      <c r="H1237" s="7"/>
      <c r="I1237" s="7"/>
      <c r="J1237" s="3" t="s">
        <v>35</v>
      </c>
      <c r="K1237" s="4" t="s">
        <v>398</v>
      </c>
      <c r="N1237" s="7" t="s">
        <v>2668</v>
      </c>
      <c r="O1237" s="7"/>
      <c r="P1237" s="7" t="s">
        <v>2669</v>
      </c>
      <c r="Q1237" s="7"/>
      <c r="R1237" s="7"/>
      <c r="S1237" s="3" t="s">
        <v>40</v>
      </c>
      <c r="T1237" s="7" t="s">
        <v>1785</v>
      </c>
      <c r="U1237" s="7"/>
      <c r="V1237" s="4" t="s">
        <v>51</v>
      </c>
      <c r="W1237" s="4" t="s">
        <v>68</v>
      </c>
      <c r="X1237" s="4" t="s">
        <v>313</v>
      </c>
      <c r="Y1237" s="7" t="s">
        <v>402</v>
      </c>
      <c r="Z1237" s="7"/>
      <c r="AA1237" s="4" t="s">
        <v>46</v>
      </c>
      <c r="AB1237" s="4" t="s">
        <v>115</v>
      </c>
      <c r="AC1237" s="4" t="s">
        <v>403</v>
      </c>
      <c r="AD1237" s="4" t="s">
        <v>1786</v>
      </c>
      <c r="AE1237" s="4" t="s">
        <v>48</v>
      </c>
      <c r="AF1237" s="4" t="s">
        <v>41</v>
      </c>
      <c r="AG1237" s="4" t="s">
        <v>2547</v>
      </c>
    </row>
    <row r="1238" spans="1:33" ht="16.5" customHeight="1" x14ac:dyDescent="0.2">
      <c r="A1238" s="2" t="s">
        <v>31</v>
      </c>
      <c r="B1238" s="5" t="s">
        <v>108</v>
      </c>
      <c r="C1238" s="5"/>
      <c r="D1238" s="5"/>
      <c r="E1238" s="6" t="s">
        <v>33</v>
      </c>
      <c r="F1238" s="6"/>
      <c r="G1238" s="7" t="s">
        <v>2541</v>
      </c>
      <c r="H1238" s="7"/>
      <c r="I1238" s="7"/>
      <c r="J1238" s="3" t="s">
        <v>35</v>
      </c>
      <c r="K1238" s="4" t="s">
        <v>1285</v>
      </c>
      <c r="N1238" s="7" t="s">
        <v>2670</v>
      </c>
      <c r="O1238" s="7"/>
      <c r="P1238" s="7" t="s">
        <v>2543</v>
      </c>
      <c r="Q1238" s="7"/>
      <c r="R1238" s="7"/>
      <c r="S1238" s="3" t="s">
        <v>40</v>
      </c>
      <c r="T1238" s="7" t="s">
        <v>2671</v>
      </c>
      <c r="U1238" s="7"/>
      <c r="V1238" s="4" t="s">
        <v>51</v>
      </c>
      <c r="W1238" s="4" t="s">
        <v>58</v>
      </c>
      <c r="X1238" s="4" t="s">
        <v>128</v>
      </c>
      <c r="Y1238" s="7" t="s">
        <v>961</v>
      </c>
      <c r="Z1238" s="7"/>
      <c r="AA1238" s="4" t="s">
        <v>46</v>
      </c>
      <c r="AB1238" s="4" t="s">
        <v>115</v>
      </c>
      <c r="AC1238" s="4" t="s">
        <v>962</v>
      </c>
      <c r="AD1238" s="4" t="s">
        <v>2672</v>
      </c>
      <c r="AE1238" s="4" t="s">
        <v>48</v>
      </c>
      <c r="AF1238" s="4" t="s">
        <v>41</v>
      </c>
      <c r="AG1238" s="4" t="s">
        <v>2547</v>
      </c>
    </row>
    <row r="1239" spans="1:33" ht="16.5" customHeight="1" x14ac:dyDescent="0.2">
      <c r="A1239" s="2" t="s">
        <v>31</v>
      </c>
      <c r="B1239" s="5" t="s">
        <v>108</v>
      </c>
      <c r="C1239" s="5"/>
      <c r="D1239" s="5"/>
      <c r="E1239" s="6" t="s">
        <v>33</v>
      </c>
      <c r="F1239" s="6"/>
      <c r="G1239" s="7" t="s">
        <v>2541</v>
      </c>
      <c r="H1239" s="7"/>
      <c r="I1239" s="7"/>
      <c r="J1239" s="3" t="s">
        <v>35</v>
      </c>
      <c r="K1239" s="4" t="s">
        <v>398</v>
      </c>
      <c r="N1239" s="7" t="s">
        <v>2673</v>
      </c>
      <c r="O1239" s="7"/>
      <c r="P1239" s="7" t="s">
        <v>2674</v>
      </c>
      <c r="Q1239" s="7"/>
      <c r="R1239" s="7"/>
      <c r="S1239" s="3" t="s">
        <v>40</v>
      </c>
      <c r="T1239" s="7" t="s">
        <v>2675</v>
      </c>
      <c r="U1239" s="7"/>
      <c r="V1239" s="4" t="s">
        <v>51</v>
      </c>
      <c r="W1239" s="4" t="s">
        <v>58</v>
      </c>
      <c r="X1239" s="4" t="s">
        <v>128</v>
      </c>
      <c r="Y1239" s="7" t="s">
        <v>402</v>
      </c>
      <c r="Z1239" s="7"/>
      <c r="AA1239" s="4" t="s">
        <v>46</v>
      </c>
      <c r="AB1239" s="4" t="s">
        <v>115</v>
      </c>
      <c r="AC1239" s="4" t="s">
        <v>403</v>
      </c>
      <c r="AD1239" s="4" t="s">
        <v>2676</v>
      </c>
      <c r="AE1239" s="4" t="s">
        <v>48</v>
      </c>
      <c r="AF1239" s="4" t="s">
        <v>41</v>
      </c>
      <c r="AG1239" s="4" t="s">
        <v>2547</v>
      </c>
    </row>
    <row r="1240" spans="1:33" ht="16.5" customHeight="1" x14ac:dyDescent="0.2">
      <c r="A1240" s="2" t="s">
        <v>31</v>
      </c>
      <c r="B1240" s="5" t="s">
        <v>54</v>
      </c>
      <c r="C1240" s="5"/>
      <c r="D1240" s="5"/>
      <c r="E1240" s="6" t="s">
        <v>33</v>
      </c>
      <c r="F1240" s="6"/>
      <c r="G1240" s="7" t="s">
        <v>2677</v>
      </c>
      <c r="H1240" s="7"/>
      <c r="I1240" s="7"/>
      <c r="J1240" s="3" t="s">
        <v>35</v>
      </c>
      <c r="K1240" s="4" t="s">
        <v>73</v>
      </c>
      <c r="L1240" s="4" t="s">
        <v>37</v>
      </c>
      <c r="N1240" s="7" t="s">
        <v>2678</v>
      </c>
      <c r="O1240" s="7"/>
      <c r="P1240" s="7" t="s">
        <v>2679</v>
      </c>
      <c r="Q1240" s="7"/>
      <c r="R1240" s="7"/>
      <c r="S1240" s="3" t="s">
        <v>40</v>
      </c>
      <c r="T1240" s="7" t="s">
        <v>41</v>
      </c>
      <c r="U1240" s="7"/>
      <c r="V1240" s="4" t="s">
        <v>51</v>
      </c>
      <c r="W1240" s="4" t="s">
        <v>168</v>
      </c>
      <c r="X1240" s="4" t="s">
        <v>170</v>
      </c>
      <c r="Y1240" s="7" t="s">
        <v>78</v>
      </c>
      <c r="Z1240" s="7"/>
      <c r="AA1240" s="4" t="s">
        <v>46</v>
      </c>
      <c r="AB1240" s="4" t="s">
        <v>47</v>
      </c>
      <c r="AC1240" s="4" t="s">
        <v>136</v>
      </c>
      <c r="AD1240" s="4" t="s">
        <v>137</v>
      </c>
      <c r="AE1240" s="4" t="s">
        <v>48</v>
      </c>
      <c r="AF1240" s="4" t="s">
        <v>41</v>
      </c>
      <c r="AG1240" s="4" t="s">
        <v>2680</v>
      </c>
    </row>
    <row r="1241" spans="1:33" ht="16.5" customHeight="1" x14ac:dyDescent="0.2">
      <c r="A1241" s="2" t="s">
        <v>31</v>
      </c>
      <c r="B1241" s="5" t="s">
        <v>108</v>
      </c>
      <c r="C1241" s="5"/>
      <c r="D1241" s="5"/>
      <c r="E1241" s="6" t="s">
        <v>33</v>
      </c>
      <c r="F1241" s="6"/>
      <c r="G1241" s="7" t="s">
        <v>2677</v>
      </c>
      <c r="H1241" s="7"/>
      <c r="I1241" s="7"/>
      <c r="J1241" s="3" t="s">
        <v>109</v>
      </c>
      <c r="K1241" s="4" t="s">
        <v>423</v>
      </c>
      <c r="N1241" s="7" t="s">
        <v>2678</v>
      </c>
      <c r="O1241" s="7"/>
      <c r="P1241" s="7" t="s">
        <v>2679</v>
      </c>
      <c r="Q1241" s="7"/>
      <c r="R1241" s="7"/>
      <c r="S1241" s="3" t="s">
        <v>40</v>
      </c>
      <c r="T1241" s="7" t="s">
        <v>424</v>
      </c>
      <c r="U1241" s="7"/>
      <c r="V1241" s="4" t="s">
        <v>42</v>
      </c>
      <c r="W1241" s="4" t="s">
        <v>58</v>
      </c>
      <c r="X1241" s="4" t="s">
        <v>418</v>
      </c>
      <c r="Y1241" s="7" t="s">
        <v>114</v>
      </c>
      <c r="Z1241" s="7"/>
      <c r="AA1241" s="4" t="s">
        <v>46</v>
      </c>
      <c r="AB1241" s="4" t="s">
        <v>115</v>
      </c>
      <c r="AC1241" s="4" t="s">
        <v>243</v>
      </c>
      <c r="AD1241" s="4" t="s">
        <v>425</v>
      </c>
      <c r="AE1241" s="4" t="s">
        <v>48</v>
      </c>
      <c r="AF1241" s="4" t="s">
        <v>41</v>
      </c>
      <c r="AG1241" s="4" t="s">
        <v>2680</v>
      </c>
    </row>
    <row r="1242" spans="1:33" ht="16.5" customHeight="1" x14ac:dyDescent="0.2">
      <c r="A1242" s="2" t="s">
        <v>31</v>
      </c>
      <c r="B1242" s="5" t="s">
        <v>54</v>
      </c>
      <c r="C1242" s="5"/>
      <c r="D1242" s="5"/>
      <c r="E1242" s="6" t="s">
        <v>33</v>
      </c>
      <c r="F1242" s="6"/>
      <c r="G1242" s="7" t="s">
        <v>2677</v>
      </c>
      <c r="H1242" s="7"/>
      <c r="I1242" s="7"/>
      <c r="J1242" s="3" t="s">
        <v>35</v>
      </c>
      <c r="K1242" s="4" t="s">
        <v>73</v>
      </c>
      <c r="L1242" s="4" t="s">
        <v>37</v>
      </c>
      <c r="N1242" s="7" t="s">
        <v>2681</v>
      </c>
      <c r="O1242" s="7"/>
      <c r="P1242" s="7" t="s">
        <v>2682</v>
      </c>
      <c r="Q1242" s="7"/>
      <c r="R1242" s="7"/>
      <c r="S1242" s="3" t="s">
        <v>40</v>
      </c>
      <c r="T1242" s="7" t="s">
        <v>41</v>
      </c>
      <c r="U1242" s="7"/>
      <c r="V1242" s="4" t="s">
        <v>42</v>
      </c>
      <c r="W1242" s="4" t="s">
        <v>417</v>
      </c>
      <c r="X1242" s="4" t="s">
        <v>418</v>
      </c>
      <c r="Y1242" s="7" t="s">
        <v>78</v>
      </c>
      <c r="Z1242" s="7"/>
      <c r="AA1242" s="4" t="s">
        <v>46</v>
      </c>
      <c r="AB1242" s="4" t="s">
        <v>47</v>
      </c>
      <c r="AC1242" s="4" t="s">
        <v>136</v>
      </c>
      <c r="AD1242" s="4" t="s">
        <v>137</v>
      </c>
      <c r="AE1242" s="4" t="s">
        <v>48</v>
      </c>
      <c r="AF1242" s="4" t="s">
        <v>41</v>
      </c>
      <c r="AG1242" s="4" t="s">
        <v>2680</v>
      </c>
    </row>
    <row r="1243" spans="1:33" ht="16.5" customHeight="1" x14ac:dyDescent="0.2">
      <c r="A1243" s="2" t="s">
        <v>31</v>
      </c>
      <c r="B1243" s="5" t="s">
        <v>54</v>
      </c>
      <c r="C1243" s="5"/>
      <c r="D1243" s="5"/>
      <c r="E1243" s="6" t="s">
        <v>33</v>
      </c>
      <c r="F1243" s="6"/>
      <c r="G1243" s="7" t="s">
        <v>2677</v>
      </c>
      <c r="H1243" s="7"/>
      <c r="I1243" s="7"/>
      <c r="J1243" s="3" t="s">
        <v>35</v>
      </c>
      <c r="K1243" s="4" t="s">
        <v>143</v>
      </c>
      <c r="L1243" s="4" t="s">
        <v>37</v>
      </c>
      <c r="N1243" s="7" t="s">
        <v>2683</v>
      </c>
      <c r="O1243" s="7"/>
      <c r="P1243" s="7" t="s">
        <v>2684</v>
      </c>
      <c r="Q1243" s="7"/>
      <c r="R1243" s="7"/>
      <c r="S1243" s="3" t="s">
        <v>40</v>
      </c>
      <c r="T1243" s="7" t="s">
        <v>41</v>
      </c>
      <c r="U1243" s="7"/>
      <c r="V1243" s="4" t="s">
        <v>42</v>
      </c>
      <c r="W1243" s="4" t="s">
        <v>527</v>
      </c>
      <c r="X1243" s="4" t="s">
        <v>528</v>
      </c>
      <c r="Y1243" s="7" t="s">
        <v>135</v>
      </c>
      <c r="Z1243" s="7"/>
      <c r="AA1243" s="4" t="s">
        <v>46</v>
      </c>
      <c r="AB1243" s="4" t="s">
        <v>47</v>
      </c>
      <c r="AC1243" s="4" t="s">
        <v>136</v>
      </c>
      <c r="AD1243" s="4" t="s">
        <v>137</v>
      </c>
      <c r="AE1243" s="4" t="s">
        <v>48</v>
      </c>
      <c r="AF1243" s="4" t="s">
        <v>41</v>
      </c>
      <c r="AG1243" s="4" t="s">
        <v>2680</v>
      </c>
    </row>
    <row r="1244" spans="1:33" ht="16.5" customHeight="1" x14ac:dyDescent="0.2">
      <c r="A1244" s="2" t="s">
        <v>31</v>
      </c>
      <c r="B1244" s="5" t="s">
        <v>54</v>
      </c>
      <c r="C1244" s="5"/>
      <c r="D1244" s="5"/>
      <c r="E1244" s="6" t="s">
        <v>33</v>
      </c>
      <c r="F1244" s="6"/>
      <c r="G1244" s="7" t="s">
        <v>2677</v>
      </c>
      <c r="H1244" s="7"/>
      <c r="I1244" s="7"/>
      <c r="J1244" s="3" t="s">
        <v>35</v>
      </c>
      <c r="K1244" s="4" t="s">
        <v>248</v>
      </c>
      <c r="L1244" s="4" t="s">
        <v>443</v>
      </c>
      <c r="N1244" s="7" t="s">
        <v>2685</v>
      </c>
      <c r="O1244" s="7"/>
      <c r="P1244" s="7" t="s">
        <v>2686</v>
      </c>
      <c r="Q1244" s="7"/>
      <c r="R1244" s="7"/>
      <c r="S1244" s="3" t="s">
        <v>40</v>
      </c>
      <c r="T1244" s="7" t="s">
        <v>41</v>
      </c>
      <c r="U1244" s="7"/>
      <c r="V1244" s="4" t="s">
        <v>51</v>
      </c>
      <c r="W1244" s="4" t="s">
        <v>229</v>
      </c>
      <c r="X1244" s="4" t="s">
        <v>230</v>
      </c>
      <c r="Y1244" s="7" t="s">
        <v>60</v>
      </c>
      <c r="Z1244" s="7"/>
      <c r="AA1244" s="4" t="s">
        <v>46</v>
      </c>
      <c r="AB1244" s="4" t="s">
        <v>47</v>
      </c>
      <c r="AC1244" s="4" t="s">
        <v>72</v>
      </c>
      <c r="AD1244" s="4" t="s">
        <v>41</v>
      </c>
      <c r="AE1244" s="4" t="s">
        <v>48</v>
      </c>
      <c r="AF1244" s="4" t="s">
        <v>41</v>
      </c>
      <c r="AG1244" s="4" t="s">
        <v>2680</v>
      </c>
    </row>
    <row r="1245" spans="1:33" ht="16.5" customHeight="1" x14ac:dyDescent="0.2">
      <c r="A1245" s="2" t="s">
        <v>31</v>
      </c>
      <c r="B1245" s="5" t="s">
        <v>54</v>
      </c>
      <c r="C1245" s="5"/>
      <c r="D1245" s="5"/>
      <c r="E1245" s="6" t="s">
        <v>33</v>
      </c>
      <c r="F1245" s="6"/>
      <c r="G1245" s="7" t="s">
        <v>2677</v>
      </c>
      <c r="H1245" s="7"/>
      <c r="I1245" s="7"/>
      <c r="J1245" s="3" t="s">
        <v>35</v>
      </c>
      <c r="K1245" s="4" t="s">
        <v>55</v>
      </c>
      <c r="L1245" s="4" t="s">
        <v>37</v>
      </c>
      <c r="N1245" s="7" t="s">
        <v>2687</v>
      </c>
      <c r="O1245" s="7"/>
      <c r="P1245" s="7" t="s">
        <v>2688</v>
      </c>
      <c r="Q1245" s="7"/>
      <c r="R1245" s="7"/>
      <c r="S1245" s="3" t="s">
        <v>40</v>
      </c>
      <c r="T1245" s="7" t="s">
        <v>41</v>
      </c>
      <c r="U1245" s="7"/>
      <c r="V1245" s="4" t="s">
        <v>42</v>
      </c>
      <c r="W1245" s="4" t="s">
        <v>990</v>
      </c>
      <c r="X1245" s="4" t="s">
        <v>991</v>
      </c>
      <c r="Y1245" s="7" t="s">
        <v>60</v>
      </c>
      <c r="Z1245" s="7"/>
      <c r="AA1245" s="4" t="s">
        <v>46</v>
      </c>
      <c r="AB1245" s="4" t="s">
        <v>47</v>
      </c>
      <c r="AC1245" s="4" t="s">
        <v>79</v>
      </c>
      <c r="AD1245" s="4" t="s">
        <v>80</v>
      </c>
      <c r="AE1245" s="4" t="s">
        <v>48</v>
      </c>
      <c r="AF1245" s="4" t="s">
        <v>41</v>
      </c>
      <c r="AG1245" s="4" t="s">
        <v>2680</v>
      </c>
    </row>
    <row r="1246" spans="1:33" ht="16.5" customHeight="1" x14ac:dyDescent="0.2">
      <c r="A1246" s="2" t="s">
        <v>31</v>
      </c>
      <c r="B1246" s="5" t="s">
        <v>54</v>
      </c>
      <c r="C1246" s="5"/>
      <c r="D1246" s="5"/>
      <c r="E1246" s="6" t="s">
        <v>33</v>
      </c>
      <c r="F1246" s="6"/>
      <c r="G1246" s="7" t="s">
        <v>2677</v>
      </c>
      <c r="H1246" s="7"/>
      <c r="I1246" s="7"/>
      <c r="J1246" s="3" t="s">
        <v>35</v>
      </c>
      <c r="K1246" s="4" t="s">
        <v>55</v>
      </c>
      <c r="L1246" s="4" t="s">
        <v>37</v>
      </c>
      <c r="N1246" s="7" t="s">
        <v>2687</v>
      </c>
      <c r="O1246" s="7"/>
      <c r="P1246" s="7" t="s">
        <v>2688</v>
      </c>
      <c r="Q1246" s="7"/>
      <c r="R1246" s="7"/>
      <c r="S1246" s="3" t="s">
        <v>40</v>
      </c>
      <c r="T1246" s="7" t="s">
        <v>41</v>
      </c>
      <c r="U1246" s="7"/>
      <c r="V1246" s="4" t="s">
        <v>51</v>
      </c>
      <c r="W1246" s="4" t="s">
        <v>990</v>
      </c>
      <c r="X1246" s="4" t="s">
        <v>271</v>
      </c>
      <c r="Y1246" s="7" t="s">
        <v>60</v>
      </c>
      <c r="Z1246" s="7"/>
      <c r="AA1246" s="4" t="s">
        <v>46</v>
      </c>
      <c r="AB1246" s="4" t="s">
        <v>47</v>
      </c>
      <c r="AC1246" s="4" t="s">
        <v>79</v>
      </c>
      <c r="AD1246" s="4" t="s">
        <v>80</v>
      </c>
      <c r="AE1246" s="4" t="s">
        <v>48</v>
      </c>
      <c r="AF1246" s="4" t="s">
        <v>41</v>
      </c>
      <c r="AG1246" s="4" t="s">
        <v>2680</v>
      </c>
    </row>
    <row r="1247" spans="1:33" ht="16.5" customHeight="1" x14ac:dyDescent="0.2">
      <c r="A1247" s="2" t="s">
        <v>31</v>
      </c>
      <c r="B1247" s="5" t="s">
        <v>54</v>
      </c>
      <c r="C1247" s="5"/>
      <c r="D1247" s="5"/>
      <c r="E1247" s="6" t="s">
        <v>33</v>
      </c>
      <c r="F1247" s="6"/>
      <c r="G1247" s="7" t="s">
        <v>2677</v>
      </c>
      <c r="H1247" s="7"/>
      <c r="I1247" s="7"/>
      <c r="J1247" s="3" t="s">
        <v>35</v>
      </c>
      <c r="K1247" s="4" t="s">
        <v>55</v>
      </c>
      <c r="L1247" s="4" t="s">
        <v>588</v>
      </c>
      <c r="N1247" s="7" t="s">
        <v>2687</v>
      </c>
      <c r="O1247" s="7"/>
      <c r="P1247" s="7" t="s">
        <v>2688</v>
      </c>
      <c r="Q1247" s="7"/>
      <c r="R1247" s="7"/>
      <c r="S1247" s="3" t="s">
        <v>40</v>
      </c>
      <c r="T1247" s="7" t="s">
        <v>41</v>
      </c>
      <c r="U1247" s="7"/>
      <c r="V1247" s="4" t="s">
        <v>51</v>
      </c>
      <c r="W1247" s="4" t="s">
        <v>990</v>
      </c>
      <c r="X1247" s="4" t="s">
        <v>271</v>
      </c>
      <c r="Y1247" s="7" t="s">
        <v>60</v>
      </c>
      <c r="Z1247" s="7"/>
      <c r="AA1247" s="4" t="s">
        <v>46</v>
      </c>
      <c r="AB1247" s="4" t="s">
        <v>47</v>
      </c>
      <c r="AC1247" s="4" t="s">
        <v>79</v>
      </c>
      <c r="AD1247" s="4" t="s">
        <v>591</v>
      </c>
      <c r="AE1247" s="4" t="s">
        <v>48</v>
      </c>
      <c r="AF1247" s="4" t="s">
        <v>41</v>
      </c>
      <c r="AG1247" s="4" t="s">
        <v>2680</v>
      </c>
    </row>
    <row r="1248" spans="1:33" ht="16.5" customHeight="1" x14ac:dyDescent="0.2">
      <c r="A1248" s="2" t="s">
        <v>31</v>
      </c>
      <c r="B1248" s="5" t="s">
        <v>54</v>
      </c>
      <c r="C1248" s="5"/>
      <c r="D1248" s="5"/>
      <c r="E1248" s="6" t="s">
        <v>33</v>
      </c>
      <c r="F1248" s="6"/>
      <c r="G1248" s="7" t="s">
        <v>2677</v>
      </c>
      <c r="H1248" s="7"/>
      <c r="I1248" s="7"/>
      <c r="J1248" s="3" t="s">
        <v>35</v>
      </c>
      <c r="K1248" s="4" t="s">
        <v>149</v>
      </c>
      <c r="L1248" s="4" t="s">
        <v>37</v>
      </c>
      <c r="N1248" s="7" t="s">
        <v>2689</v>
      </c>
      <c r="O1248" s="7"/>
      <c r="P1248" s="7" t="s">
        <v>2690</v>
      </c>
      <c r="Q1248" s="7"/>
      <c r="R1248" s="7"/>
      <c r="S1248" s="3" t="s">
        <v>40</v>
      </c>
      <c r="T1248" s="7" t="s">
        <v>41</v>
      </c>
      <c r="U1248" s="7"/>
      <c r="V1248" s="4" t="s">
        <v>42</v>
      </c>
      <c r="W1248" s="4" t="s">
        <v>333</v>
      </c>
      <c r="X1248" s="4" t="s">
        <v>334</v>
      </c>
      <c r="Y1248" s="7" t="s">
        <v>78</v>
      </c>
      <c r="Z1248" s="7"/>
      <c r="AA1248" s="4" t="s">
        <v>46</v>
      </c>
      <c r="AB1248" s="4" t="s">
        <v>47</v>
      </c>
      <c r="AC1248" s="4" t="s">
        <v>136</v>
      </c>
      <c r="AD1248" s="4" t="s">
        <v>137</v>
      </c>
      <c r="AE1248" s="4" t="s">
        <v>48</v>
      </c>
      <c r="AF1248" s="4" t="s">
        <v>41</v>
      </c>
      <c r="AG1248" s="4" t="s">
        <v>2680</v>
      </c>
    </row>
    <row r="1249" spans="1:33" ht="16.5" customHeight="1" x14ac:dyDescent="0.2">
      <c r="A1249" s="2" t="s">
        <v>31</v>
      </c>
      <c r="B1249" s="5" t="s">
        <v>54</v>
      </c>
      <c r="C1249" s="5"/>
      <c r="D1249" s="5"/>
      <c r="E1249" s="6" t="s">
        <v>33</v>
      </c>
      <c r="F1249" s="6"/>
      <c r="G1249" s="7" t="s">
        <v>2677</v>
      </c>
      <c r="H1249" s="7"/>
      <c r="I1249" s="7"/>
      <c r="J1249" s="3" t="s">
        <v>35</v>
      </c>
      <c r="K1249" s="4" t="s">
        <v>409</v>
      </c>
      <c r="L1249" s="4" t="s">
        <v>37</v>
      </c>
      <c r="N1249" s="7" t="s">
        <v>2691</v>
      </c>
      <c r="O1249" s="7"/>
      <c r="P1249" s="7" t="s">
        <v>2692</v>
      </c>
      <c r="Q1249" s="7"/>
      <c r="R1249" s="7"/>
      <c r="S1249" s="3" t="s">
        <v>40</v>
      </c>
      <c r="T1249" s="7" t="s">
        <v>41</v>
      </c>
      <c r="U1249" s="7"/>
      <c r="V1249" s="4" t="s">
        <v>58</v>
      </c>
      <c r="W1249" s="4" t="s">
        <v>90</v>
      </c>
      <c r="X1249" s="4" t="s">
        <v>104</v>
      </c>
      <c r="Y1249" s="7" t="s">
        <v>60</v>
      </c>
      <c r="Z1249" s="7"/>
      <c r="AA1249" s="4" t="s">
        <v>46</v>
      </c>
      <c r="AB1249" s="4" t="s">
        <v>47</v>
      </c>
      <c r="AC1249" s="4" t="s">
        <v>61</v>
      </c>
      <c r="AD1249" s="4" t="s">
        <v>62</v>
      </c>
      <c r="AE1249" s="4" t="s">
        <v>48</v>
      </c>
      <c r="AF1249" s="4" t="s">
        <v>41</v>
      </c>
      <c r="AG1249" s="4" t="s">
        <v>2680</v>
      </c>
    </row>
    <row r="1250" spans="1:33" ht="16.5" customHeight="1" x14ac:dyDescent="0.2">
      <c r="A1250" s="2" t="s">
        <v>31</v>
      </c>
      <c r="B1250" s="5" t="s">
        <v>54</v>
      </c>
      <c r="C1250" s="5"/>
      <c r="D1250" s="5"/>
      <c r="E1250" s="6" t="s">
        <v>33</v>
      </c>
      <c r="F1250" s="6"/>
      <c r="G1250" s="7" t="s">
        <v>2677</v>
      </c>
      <c r="H1250" s="7"/>
      <c r="I1250" s="7"/>
      <c r="J1250" s="3" t="s">
        <v>35</v>
      </c>
      <c r="K1250" s="4" t="s">
        <v>657</v>
      </c>
      <c r="L1250" s="4" t="s">
        <v>93</v>
      </c>
      <c r="N1250" s="7" t="s">
        <v>2693</v>
      </c>
      <c r="O1250" s="7"/>
      <c r="P1250" s="7" t="s">
        <v>2694</v>
      </c>
      <c r="Q1250" s="7"/>
      <c r="R1250" s="7"/>
      <c r="S1250" s="3" t="s">
        <v>40</v>
      </c>
      <c r="T1250" s="7" t="s">
        <v>41</v>
      </c>
      <c r="U1250" s="7"/>
      <c r="V1250" s="4" t="s">
        <v>42</v>
      </c>
      <c r="W1250" s="4" t="s">
        <v>234</v>
      </c>
      <c r="X1250" s="4" t="s">
        <v>235</v>
      </c>
      <c r="Y1250" s="7" t="s">
        <v>197</v>
      </c>
      <c r="Z1250" s="7"/>
      <c r="AA1250" s="4" t="s">
        <v>46</v>
      </c>
      <c r="AB1250" s="4" t="s">
        <v>47</v>
      </c>
      <c r="AC1250" s="4" t="s">
        <v>72</v>
      </c>
      <c r="AD1250" s="4" t="s">
        <v>41</v>
      </c>
      <c r="AE1250" s="4" t="s">
        <v>48</v>
      </c>
      <c r="AF1250" s="4" t="s">
        <v>41</v>
      </c>
      <c r="AG1250" s="4" t="s">
        <v>2680</v>
      </c>
    </row>
    <row r="1251" spans="1:33" ht="16.5" customHeight="1" x14ac:dyDescent="0.2">
      <c r="A1251" s="2" t="s">
        <v>31</v>
      </c>
      <c r="B1251" s="5" t="s">
        <v>54</v>
      </c>
      <c r="C1251" s="5"/>
      <c r="D1251" s="5"/>
      <c r="E1251" s="6" t="s">
        <v>33</v>
      </c>
      <c r="F1251" s="6"/>
      <c r="G1251" s="7" t="s">
        <v>2677</v>
      </c>
      <c r="H1251" s="7"/>
      <c r="I1251" s="7"/>
      <c r="J1251" s="3" t="s">
        <v>35</v>
      </c>
      <c r="K1251" s="4" t="s">
        <v>143</v>
      </c>
      <c r="L1251" s="4" t="s">
        <v>37</v>
      </c>
      <c r="N1251" s="7" t="s">
        <v>2695</v>
      </c>
      <c r="O1251" s="7"/>
      <c r="P1251" s="7" t="s">
        <v>2696</v>
      </c>
      <c r="Q1251" s="7"/>
      <c r="R1251" s="7"/>
      <c r="S1251" s="3" t="s">
        <v>40</v>
      </c>
      <c r="T1251" s="7" t="s">
        <v>41</v>
      </c>
      <c r="U1251" s="7"/>
      <c r="V1251" s="4" t="s">
        <v>42</v>
      </c>
      <c r="W1251" s="4" t="s">
        <v>234</v>
      </c>
      <c r="X1251" s="4" t="s">
        <v>235</v>
      </c>
      <c r="Y1251" s="7" t="s">
        <v>135</v>
      </c>
      <c r="Z1251" s="7"/>
      <c r="AA1251" s="4" t="s">
        <v>46</v>
      </c>
      <c r="AB1251" s="4" t="s">
        <v>47</v>
      </c>
      <c r="AC1251" s="4" t="s">
        <v>136</v>
      </c>
      <c r="AD1251" s="4" t="s">
        <v>137</v>
      </c>
      <c r="AE1251" s="4" t="s">
        <v>48</v>
      </c>
      <c r="AF1251" s="4" t="s">
        <v>41</v>
      </c>
      <c r="AG1251" s="4" t="s">
        <v>2680</v>
      </c>
    </row>
    <row r="1252" spans="1:33" ht="16.5" customHeight="1" x14ac:dyDescent="0.2">
      <c r="A1252" s="2" t="s">
        <v>31</v>
      </c>
      <c r="B1252" s="5" t="s">
        <v>54</v>
      </c>
      <c r="C1252" s="5"/>
      <c r="D1252" s="5"/>
      <c r="E1252" s="6" t="s">
        <v>33</v>
      </c>
      <c r="F1252" s="6"/>
      <c r="G1252" s="7" t="s">
        <v>2677</v>
      </c>
      <c r="H1252" s="7"/>
      <c r="I1252" s="7"/>
      <c r="J1252" s="3" t="s">
        <v>35</v>
      </c>
      <c r="K1252" s="4" t="s">
        <v>248</v>
      </c>
      <c r="L1252" s="4" t="s">
        <v>37</v>
      </c>
      <c r="N1252" s="7" t="s">
        <v>2697</v>
      </c>
      <c r="O1252" s="7"/>
      <c r="P1252" s="7" t="s">
        <v>2698</v>
      </c>
      <c r="Q1252" s="7"/>
      <c r="R1252" s="7"/>
      <c r="S1252" s="3" t="s">
        <v>40</v>
      </c>
      <c r="T1252" s="7" t="s">
        <v>41</v>
      </c>
      <c r="U1252" s="7"/>
      <c r="V1252" s="4" t="s">
        <v>42</v>
      </c>
      <c r="W1252" s="4" t="s">
        <v>301</v>
      </c>
      <c r="X1252" s="4" t="s">
        <v>302</v>
      </c>
      <c r="Y1252" s="7" t="s">
        <v>60</v>
      </c>
      <c r="Z1252" s="7"/>
      <c r="AA1252" s="4" t="s">
        <v>46</v>
      </c>
      <c r="AB1252" s="4" t="s">
        <v>47</v>
      </c>
      <c r="AC1252" s="4" t="s">
        <v>61</v>
      </c>
      <c r="AD1252" s="4" t="s">
        <v>62</v>
      </c>
      <c r="AE1252" s="4" t="s">
        <v>48</v>
      </c>
      <c r="AF1252" s="4" t="s">
        <v>41</v>
      </c>
      <c r="AG1252" s="4" t="s">
        <v>2680</v>
      </c>
    </row>
    <row r="1253" spans="1:33" ht="16.5" customHeight="1" x14ac:dyDescent="0.2">
      <c r="A1253" s="2" t="s">
        <v>31</v>
      </c>
      <c r="B1253" s="5" t="s">
        <v>54</v>
      </c>
      <c r="C1253" s="5"/>
      <c r="D1253" s="5"/>
      <c r="E1253" s="6" t="s">
        <v>33</v>
      </c>
      <c r="F1253" s="6"/>
      <c r="G1253" s="7" t="s">
        <v>2677</v>
      </c>
      <c r="H1253" s="7"/>
      <c r="I1253" s="7"/>
      <c r="J1253" s="3" t="s">
        <v>35</v>
      </c>
      <c r="K1253" s="4" t="s">
        <v>657</v>
      </c>
      <c r="L1253" s="4" t="s">
        <v>93</v>
      </c>
      <c r="N1253" s="7" t="s">
        <v>2699</v>
      </c>
      <c r="O1253" s="7"/>
      <c r="P1253" s="7" t="s">
        <v>2700</v>
      </c>
      <c r="Q1253" s="7"/>
      <c r="R1253" s="7"/>
      <c r="S1253" s="3" t="s">
        <v>40</v>
      </c>
      <c r="T1253" s="7" t="s">
        <v>41</v>
      </c>
      <c r="U1253" s="7"/>
      <c r="V1253" s="4" t="s">
        <v>42</v>
      </c>
      <c r="W1253" s="4" t="s">
        <v>58</v>
      </c>
      <c r="X1253" s="4" t="s">
        <v>59</v>
      </c>
      <c r="Y1253" s="7" t="s">
        <v>197</v>
      </c>
      <c r="Z1253" s="7"/>
      <c r="AA1253" s="4" t="s">
        <v>46</v>
      </c>
      <c r="AB1253" s="4" t="s">
        <v>47</v>
      </c>
      <c r="AC1253" s="4" t="s">
        <v>136</v>
      </c>
      <c r="AD1253" s="4" t="s">
        <v>148</v>
      </c>
      <c r="AE1253" s="4" t="s">
        <v>48</v>
      </c>
      <c r="AF1253" s="4" t="s">
        <v>41</v>
      </c>
      <c r="AG1253" s="4" t="s">
        <v>2680</v>
      </c>
    </row>
    <row r="1254" spans="1:33" ht="16.5" customHeight="1" x14ac:dyDescent="0.2">
      <c r="A1254" s="2" t="s">
        <v>31</v>
      </c>
      <c r="B1254" s="5" t="s">
        <v>54</v>
      </c>
      <c r="C1254" s="5"/>
      <c r="D1254" s="5"/>
      <c r="E1254" s="6" t="s">
        <v>33</v>
      </c>
      <c r="F1254" s="6"/>
      <c r="G1254" s="7" t="s">
        <v>2677</v>
      </c>
      <c r="H1254" s="7"/>
      <c r="I1254" s="7"/>
      <c r="J1254" s="3" t="s">
        <v>35</v>
      </c>
      <c r="K1254" s="4" t="s">
        <v>92</v>
      </c>
      <c r="L1254" s="4" t="s">
        <v>37</v>
      </c>
      <c r="N1254" s="7" t="s">
        <v>2701</v>
      </c>
      <c r="O1254" s="7"/>
      <c r="P1254" s="7" t="s">
        <v>2702</v>
      </c>
      <c r="Q1254" s="7"/>
      <c r="R1254" s="7"/>
      <c r="S1254" s="3" t="s">
        <v>40</v>
      </c>
      <c r="T1254" s="7" t="s">
        <v>41</v>
      </c>
      <c r="U1254" s="7"/>
      <c r="V1254" s="4" t="s">
        <v>42</v>
      </c>
      <c r="W1254" s="4" t="s">
        <v>58</v>
      </c>
      <c r="X1254" s="4" t="s">
        <v>59</v>
      </c>
      <c r="Y1254" s="7" t="s">
        <v>78</v>
      </c>
      <c r="Z1254" s="7"/>
      <c r="AA1254" s="4" t="s">
        <v>46</v>
      </c>
      <c r="AB1254" s="4" t="s">
        <v>47</v>
      </c>
      <c r="AC1254" s="4" t="s">
        <v>79</v>
      </c>
      <c r="AD1254" s="4" t="s">
        <v>80</v>
      </c>
      <c r="AE1254" s="4" t="s">
        <v>48</v>
      </c>
      <c r="AF1254" s="4" t="s">
        <v>41</v>
      </c>
      <c r="AG1254" s="4" t="s">
        <v>2680</v>
      </c>
    </row>
    <row r="1255" spans="1:33" ht="16.5" customHeight="1" x14ac:dyDescent="0.2">
      <c r="A1255" s="2" t="s">
        <v>31</v>
      </c>
      <c r="B1255" s="5" t="s">
        <v>54</v>
      </c>
      <c r="C1255" s="5"/>
      <c r="D1255" s="5"/>
      <c r="E1255" s="6" t="s">
        <v>33</v>
      </c>
      <c r="F1255" s="6"/>
      <c r="G1255" s="7" t="s">
        <v>2677</v>
      </c>
      <c r="H1255" s="7"/>
      <c r="I1255" s="7"/>
      <c r="J1255" s="3" t="s">
        <v>35</v>
      </c>
      <c r="K1255" s="4" t="s">
        <v>202</v>
      </c>
      <c r="L1255" s="4" t="s">
        <v>37</v>
      </c>
      <c r="N1255" s="7" t="s">
        <v>2703</v>
      </c>
      <c r="O1255" s="7"/>
      <c r="P1255" s="7" t="s">
        <v>2704</v>
      </c>
      <c r="Q1255" s="7"/>
      <c r="R1255" s="7"/>
      <c r="S1255" s="3" t="s">
        <v>40</v>
      </c>
      <c r="T1255" s="7" t="s">
        <v>41</v>
      </c>
      <c r="U1255" s="7"/>
      <c r="V1255" s="4" t="s">
        <v>42</v>
      </c>
      <c r="W1255" s="4" t="s">
        <v>51</v>
      </c>
      <c r="X1255" s="4" t="s">
        <v>128</v>
      </c>
      <c r="Y1255" s="7" t="s">
        <v>197</v>
      </c>
      <c r="Z1255" s="7"/>
      <c r="AA1255" s="4" t="s">
        <v>46</v>
      </c>
      <c r="AB1255" s="4" t="s">
        <v>47</v>
      </c>
      <c r="AC1255" s="4" t="s">
        <v>136</v>
      </c>
      <c r="AD1255" s="4" t="s">
        <v>137</v>
      </c>
      <c r="AE1255" s="4" t="s">
        <v>48</v>
      </c>
      <c r="AF1255" s="4" t="s">
        <v>41</v>
      </c>
      <c r="AG1255" s="4" t="s">
        <v>2680</v>
      </c>
    </row>
    <row r="1256" spans="1:33" ht="16.5" customHeight="1" x14ac:dyDescent="0.2">
      <c r="A1256" s="2" t="s">
        <v>31</v>
      </c>
      <c r="B1256" s="5" t="s">
        <v>54</v>
      </c>
      <c r="C1256" s="5"/>
      <c r="D1256" s="5"/>
      <c r="E1256" s="6" t="s">
        <v>33</v>
      </c>
      <c r="F1256" s="6"/>
      <c r="G1256" s="7" t="s">
        <v>2705</v>
      </c>
      <c r="H1256" s="7"/>
      <c r="I1256" s="7"/>
      <c r="J1256" s="3" t="s">
        <v>35</v>
      </c>
      <c r="K1256" s="4" t="s">
        <v>192</v>
      </c>
      <c r="L1256" s="4" t="s">
        <v>37</v>
      </c>
      <c r="N1256" s="7" t="s">
        <v>2706</v>
      </c>
      <c r="O1256" s="7"/>
      <c r="P1256" s="7" t="s">
        <v>2707</v>
      </c>
      <c r="Q1256" s="7"/>
      <c r="R1256" s="7"/>
      <c r="S1256" s="3" t="s">
        <v>40</v>
      </c>
      <c r="T1256" s="7" t="s">
        <v>41</v>
      </c>
      <c r="U1256" s="7"/>
      <c r="V1256" s="4" t="s">
        <v>42</v>
      </c>
      <c r="W1256" s="4" t="s">
        <v>58</v>
      </c>
      <c r="X1256" s="4" t="s">
        <v>59</v>
      </c>
      <c r="Y1256" s="7" t="s">
        <v>197</v>
      </c>
      <c r="Z1256" s="7"/>
      <c r="AA1256" s="4" t="s">
        <v>46</v>
      </c>
      <c r="AB1256" s="4" t="s">
        <v>47</v>
      </c>
      <c r="AC1256" s="4" t="s">
        <v>136</v>
      </c>
      <c r="AD1256" s="4" t="s">
        <v>137</v>
      </c>
      <c r="AE1256" s="4" t="s">
        <v>48</v>
      </c>
      <c r="AF1256" s="4" t="s">
        <v>41</v>
      </c>
      <c r="AG1256" s="4" t="s">
        <v>2708</v>
      </c>
    </row>
    <row r="1257" spans="1:33" ht="16.5" customHeight="1" x14ac:dyDescent="0.2">
      <c r="A1257" s="2" t="s">
        <v>31</v>
      </c>
      <c r="B1257" s="5" t="s">
        <v>54</v>
      </c>
      <c r="C1257" s="5"/>
      <c r="D1257" s="5"/>
      <c r="E1257" s="6" t="s">
        <v>33</v>
      </c>
      <c r="F1257" s="6"/>
      <c r="G1257" s="7" t="s">
        <v>2705</v>
      </c>
      <c r="H1257" s="7"/>
      <c r="I1257" s="7"/>
      <c r="J1257" s="3" t="s">
        <v>35</v>
      </c>
      <c r="K1257" s="4" t="s">
        <v>202</v>
      </c>
      <c r="L1257" s="4" t="s">
        <v>37</v>
      </c>
      <c r="N1257" s="7" t="s">
        <v>2709</v>
      </c>
      <c r="O1257" s="7"/>
      <c r="P1257" s="7" t="s">
        <v>2710</v>
      </c>
      <c r="Q1257" s="7"/>
      <c r="R1257" s="7"/>
      <c r="S1257" s="3" t="s">
        <v>40</v>
      </c>
      <c r="T1257" s="7" t="s">
        <v>41</v>
      </c>
      <c r="U1257" s="7"/>
      <c r="V1257" s="4" t="s">
        <v>42</v>
      </c>
      <c r="W1257" s="4" t="s">
        <v>58</v>
      </c>
      <c r="X1257" s="4" t="s">
        <v>59</v>
      </c>
      <c r="Y1257" s="7" t="s">
        <v>197</v>
      </c>
      <c r="Z1257" s="7"/>
      <c r="AA1257" s="4" t="s">
        <v>46</v>
      </c>
      <c r="AB1257" s="4" t="s">
        <v>47</v>
      </c>
      <c r="AC1257" s="4" t="s">
        <v>136</v>
      </c>
      <c r="AD1257" s="4" t="s">
        <v>137</v>
      </c>
      <c r="AE1257" s="4" t="s">
        <v>48</v>
      </c>
      <c r="AF1257" s="4" t="s">
        <v>41</v>
      </c>
      <c r="AG1257" s="4" t="s">
        <v>2708</v>
      </c>
    </row>
    <row r="1258" spans="1:33" ht="16.5" customHeight="1" x14ac:dyDescent="0.2">
      <c r="A1258" s="2" t="s">
        <v>31</v>
      </c>
      <c r="B1258" s="5" t="s">
        <v>54</v>
      </c>
      <c r="C1258" s="5"/>
      <c r="D1258" s="5"/>
      <c r="E1258" s="6" t="s">
        <v>33</v>
      </c>
      <c r="F1258" s="6"/>
      <c r="G1258" s="7" t="s">
        <v>2705</v>
      </c>
      <c r="H1258" s="7"/>
      <c r="I1258" s="7"/>
      <c r="J1258" s="3" t="s">
        <v>35</v>
      </c>
      <c r="K1258" s="4" t="s">
        <v>55</v>
      </c>
      <c r="L1258" s="4" t="s">
        <v>93</v>
      </c>
      <c r="N1258" s="7" t="s">
        <v>2711</v>
      </c>
      <c r="O1258" s="7"/>
      <c r="P1258" s="7" t="s">
        <v>2712</v>
      </c>
      <c r="Q1258" s="7"/>
      <c r="R1258" s="7"/>
      <c r="S1258" s="3" t="s">
        <v>40</v>
      </c>
      <c r="T1258" s="7" t="s">
        <v>41</v>
      </c>
      <c r="U1258" s="7"/>
      <c r="V1258" s="4" t="s">
        <v>42</v>
      </c>
      <c r="W1258" s="4" t="s">
        <v>58</v>
      </c>
      <c r="X1258" s="4" t="s">
        <v>59</v>
      </c>
      <c r="Y1258" s="7" t="s">
        <v>60</v>
      </c>
      <c r="Z1258" s="7"/>
      <c r="AA1258" s="4" t="s">
        <v>46</v>
      </c>
      <c r="AB1258" s="4" t="s">
        <v>47</v>
      </c>
      <c r="AC1258" s="4" t="s">
        <v>61</v>
      </c>
      <c r="AD1258" s="4" t="s">
        <v>324</v>
      </c>
      <c r="AE1258" s="4" t="s">
        <v>48</v>
      </c>
      <c r="AF1258" s="4" t="s">
        <v>41</v>
      </c>
      <c r="AG1258" s="4" t="s">
        <v>2708</v>
      </c>
    </row>
    <row r="1259" spans="1:33" ht="16.5" customHeight="1" x14ac:dyDescent="0.2">
      <c r="A1259" s="2" t="s">
        <v>31</v>
      </c>
      <c r="B1259" s="5" t="s">
        <v>54</v>
      </c>
      <c r="C1259" s="5"/>
      <c r="D1259" s="5"/>
      <c r="E1259" s="6" t="s">
        <v>33</v>
      </c>
      <c r="F1259" s="6"/>
      <c r="G1259" s="7" t="s">
        <v>2705</v>
      </c>
      <c r="H1259" s="7"/>
      <c r="I1259" s="7"/>
      <c r="J1259" s="3" t="s">
        <v>35</v>
      </c>
      <c r="K1259" s="4" t="s">
        <v>192</v>
      </c>
      <c r="L1259" s="4" t="s">
        <v>37</v>
      </c>
      <c r="N1259" s="7" t="s">
        <v>2713</v>
      </c>
      <c r="O1259" s="7"/>
      <c r="P1259" s="7" t="s">
        <v>2714</v>
      </c>
      <c r="Q1259" s="7"/>
      <c r="R1259" s="7"/>
      <c r="S1259" s="3" t="s">
        <v>40</v>
      </c>
      <c r="T1259" s="7" t="s">
        <v>41</v>
      </c>
      <c r="U1259" s="7"/>
      <c r="V1259" s="4" t="s">
        <v>42</v>
      </c>
      <c r="W1259" s="4" t="s">
        <v>58</v>
      </c>
      <c r="X1259" s="4" t="s">
        <v>59</v>
      </c>
      <c r="Y1259" s="7" t="s">
        <v>197</v>
      </c>
      <c r="Z1259" s="7"/>
      <c r="AA1259" s="4" t="s">
        <v>46</v>
      </c>
      <c r="AB1259" s="4" t="s">
        <v>47</v>
      </c>
      <c r="AC1259" s="4" t="s">
        <v>136</v>
      </c>
      <c r="AD1259" s="4" t="s">
        <v>137</v>
      </c>
      <c r="AE1259" s="4" t="s">
        <v>48</v>
      </c>
      <c r="AF1259" s="4" t="s">
        <v>41</v>
      </c>
      <c r="AG1259" s="4" t="s">
        <v>2708</v>
      </c>
    </row>
    <row r="1260" spans="1:33" ht="16.5" customHeight="1" x14ac:dyDescent="0.2">
      <c r="A1260" s="2" t="s">
        <v>31</v>
      </c>
      <c r="B1260" s="5" t="s">
        <v>54</v>
      </c>
      <c r="C1260" s="5"/>
      <c r="D1260" s="5"/>
      <c r="E1260" s="6" t="s">
        <v>33</v>
      </c>
      <c r="F1260" s="6"/>
      <c r="G1260" s="7" t="s">
        <v>2705</v>
      </c>
      <c r="H1260" s="7"/>
      <c r="I1260" s="7"/>
      <c r="J1260" s="3" t="s">
        <v>35</v>
      </c>
      <c r="K1260" s="4" t="s">
        <v>192</v>
      </c>
      <c r="L1260" s="4" t="s">
        <v>37</v>
      </c>
      <c r="N1260" s="7" t="s">
        <v>2715</v>
      </c>
      <c r="O1260" s="7"/>
      <c r="P1260" s="7" t="s">
        <v>2716</v>
      </c>
      <c r="Q1260" s="7"/>
      <c r="R1260" s="7"/>
      <c r="S1260" s="3" t="s">
        <v>40</v>
      </c>
      <c r="T1260" s="7" t="s">
        <v>41</v>
      </c>
      <c r="U1260" s="7"/>
      <c r="V1260" s="4" t="s">
        <v>42</v>
      </c>
      <c r="W1260" s="4" t="s">
        <v>58</v>
      </c>
      <c r="X1260" s="4" t="s">
        <v>59</v>
      </c>
      <c r="Y1260" s="7" t="s">
        <v>197</v>
      </c>
      <c r="Z1260" s="7"/>
      <c r="AA1260" s="4" t="s">
        <v>46</v>
      </c>
      <c r="AB1260" s="4" t="s">
        <v>47</v>
      </c>
      <c r="AC1260" s="4" t="s">
        <v>136</v>
      </c>
      <c r="AD1260" s="4" t="s">
        <v>137</v>
      </c>
      <c r="AE1260" s="4" t="s">
        <v>48</v>
      </c>
      <c r="AF1260" s="4" t="s">
        <v>41</v>
      </c>
      <c r="AG1260" s="4" t="s">
        <v>2708</v>
      </c>
    </row>
    <row r="1261" spans="1:33" ht="16.5" customHeight="1" x14ac:dyDescent="0.2">
      <c r="A1261" s="2" t="s">
        <v>31</v>
      </c>
      <c r="B1261" s="5" t="s">
        <v>54</v>
      </c>
      <c r="C1261" s="5"/>
      <c r="D1261" s="5"/>
      <c r="E1261" s="6" t="s">
        <v>33</v>
      </c>
      <c r="F1261" s="6"/>
      <c r="G1261" s="7" t="s">
        <v>2705</v>
      </c>
      <c r="H1261" s="7"/>
      <c r="I1261" s="7"/>
      <c r="J1261" s="3" t="s">
        <v>35</v>
      </c>
      <c r="K1261" s="4" t="s">
        <v>192</v>
      </c>
      <c r="L1261" s="4" t="s">
        <v>37</v>
      </c>
      <c r="N1261" s="7" t="s">
        <v>2717</v>
      </c>
      <c r="O1261" s="7"/>
      <c r="P1261" s="7" t="s">
        <v>2718</v>
      </c>
      <c r="Q1261" s="7"/>
      <c r="R1261" s="7"/>
      <c r="S1261" s="3" t="s">
        <v>40</v>
      </c>
      <c r="T1261" s="7" t="s">
        <v>41</v>
      </c>
      <c r="U1261" s="7"/>
      <c r="V1261" s="4" t="s">
        <v>42</v>
      </c>
      <c r="W1261" s="4" t="s">
        <v>58</v>
      </c>
      <c r="X1261" s="4" t="s">
        <v>59</v>
      </c>
      <c r="Y1261" s="7" t="s">
        <v>197</v>
      </c>
      <c r="Z1261" s="7"/>
      <c r="AA1261" s="4" t="s">
        <v>46</v>
      </c>
      <c r="AB1261" s="4" t="s">
        <v>47</v>
      </c>
      <c r="AC1261" s="4" t="s">
        <v>136</v>
      </c>
      <c r="AD1261" s="4" t="s">
        <v>137</v>
      </c>
      <c r="AE1261" s="4" t="s">
        <v>48</v>
      </c>
      <c r="AF1261" s="4" t="s">
        <v>41</v>
      </c>
      <c r="AG1261" s="4" t="s">
        <v>2708</v>
      </c>
    </row>
    <row r="1262" spans="1:33" ht="16.5" customHeight="1" x14ac:dyDescent="0.2">
      <c r="A1262" s="2" t="s">
        <v>31</v>
      </c>
      <c r="B1262" s="5" t="s">
        <v>54</v>
      </c>
      <c r="C1262" s="5"/>
      <c r="D1262" s="5"/>
      <c r="E1262" s="6" t="s">
        <v>33</v>
      </c>
      <c r="F1262" s="6"/>
      <c r="G1262" s="7" t="s">
        <v>2705</v>
      </c>
      <c r="H1262" s="7"/>
      <c r="I1262" s="7"/>
      <c r="J1262" s="3" t="s">
        <v>35</v>
      </c>
      <c r="K1262" s="4" t="s">
        <v>192</v>
      </c>
      <c r="L1262" s="4" t="s">
        <v>37</v>
      </c>
      <c r="N1262" s="7" t="s">
        <v>2717</v>
      </c>
      <c r="O1262" s="7"/>
      <c r="P1262" s="7" t="s">
        <v>2718</v>
      </c>
      <c r="Q1262" s="7"/>
      <c r="R1262" s="7"/>
      <c r="S1262" s="3" t="s">
        <v>40</v>
      </c>
      <c r="T1262" s="7" t="s">
        <v>41</v>
      </c>
      <c r="U1262" s="7"/>
      <c r="V1262" s="4" t="s">
        <v>51</v>
      </c>
      <c r="W1262" s="4" t="s">
        <v>58</v>
      </c>
      <c r="X1262" s="4" t="s">
        <v>128</v>
      </c>
      <c r="Y1262" s="7" t="s">
        <v>197</v>
      </c>
      <c r="Z1262" s="7"/>
      <c r="AA1262" s="4" t="s">
        <v>46</v>
      </c>
      <c r="AB1262" s="4" t="s">
        <v>47</v>
      </c>
      <c r="AC1262" s="4" t="s">
        <v>136</v>
      </c>
      <c r="AD1262" s="4" t="s">
        <v>137</v>
      </c>
      <c r="AE1262" s="4" t="s">
        <v>48</v>
      </c>
      <c r="AF1262" s="4" t="s">
        <v>41</v>
      </c>
      <c r="AG1262" s="4" t="s">
        <v>2708</v>
      </c>
    </row>
    <row r="1263" spans="1:33" ht="16.5" customHeight="1" x14ac:dyDescent="0.2">
      <c r="A1263" s="2" t="s">
        <v>31</v>
      </c>
      <c r="B1263" s="5" t="s">
        <v>54</v>
      </c>
      <c r="C1263" s="5"/>
      <c r="D1263" s="5"/>
      <c r="E1263" s="6" t="s">
        <v>33</v>
      </c>
      <c r="F1263" s="6"/>
      <c r="G1263" s="7" t="s">
        <v>2705</v>
      </c>
      <c r="H1263" s="7"/>
      <c r="I1263" s="7"/>
      <c r="J1263" s="3" t="s">
        <v>35</v>
      </c>
      <c r="K1263" s="4" t="s">
        <v>55</v>
      </c>
      <c r="L1263" s="4" t="s">
        <v>37</v>
      </c>
      <c r="N1263" s="7" t="s">
        <v>2719</v>
      </c>
      <c r="O1263" s="7"/>
      <c r="P1263" s="7" t="s">
        <v>2720</v>
      </c>
      <c r="Q1263" s="7"/>
      <c r="R1263" s="7"/>
      <c r="S1263" s="3" t="s">
        <v>40</v>
      </c>
      <c r="T1263" s="7" t="s">
        <v>41</v>
      </c>
      <c r="U1263" s="7"/>
      <c r="V1263" s="4" t="s">
        <v>42</v>
      </c>
      <c r="W1263" s="4" t="s">
        <v>570</v>
      </c>
      <c r="X1263" s="4" t="s">
        <v>571</v>
      </c>
      <c r="Y1263" s="7" t="s">
        <v>60</v>
      </c>
      <c r="Z1263" s="7"/>
      <c r="AA1263" s="4" t="s">
        <v>46</v>
      </c>
      <c r="AB1263" s="4" t="s">
        <v>47</v>
      </c>
      <c r="AC1263" s="4" t="s">
        <v>79</v>
      </c>
      <c r="AD1263" s="4" t="s">
        <v>80</v>
      </c>
      <c r="AE1263" s="4" t="s">
        <v>48</v>
      </c>
      <c r="AF1263" s="4" t="s">
        <v>41</v>
      </c>
      <c r="AG1263" s="4" t="s">
        <v>2708</v>
      </c>
    </row>
    <row r="1264" spans="1:33" ht="16.5" customHeight="1" x14ac:dyDescent="0.2">
      <c r="A1264" s="2" t="s">
        <v>31</v>
      </c>
      <c r="B1264" s="5" t="s">
        <v>54</v>
      </c>
      <c r="C1264" s="5"/>
      <c r="D1264" s="5"/>
      <c r="E1264" s="6" t="s">
        <v>33</v>
      </c>
      <c r="F1264" s="6"/>
      <c r="G1264" s="7" t="s">
        <v>2705</v>
      </c>
      <c r="H1264" s="7"/>
      <c r="I1264" s="7"/>
      <c r="J1264" s="3" t="s">
        <v>35</v>
      </c>
      <c r="K1264" s="4" t="s">
        <v>192</v>
      </c>
      <c r="L1264" s="4" t="s">
        <v>37</v>
      </c>
      <c r="N1264" s="7" t="s">
        <v>2721</v>
      </c>
      <c r="O1264" s="7"/>
      <c r="P1264" s="7" t="s">
        <v>2722</v>
      </c>
      <c r="Q1264" s="7"/>
      <c r="R1264" s="7"/>
      <c r="S1264" s="3" t="s">
        <v>40</v>
      </c>
      <c r="T1264" s="7" t="s">
        <v>41</v>
      </c>
      <c r="U1264" s="7"/>
      <c r="V1264" s="4" t="s">
        <v>42</v>
      </c>
      <c r="W1264" s="4" t="s">
        <v>51</v>
      </c>
      <c r="X1264" s="4" t="s">
        <v>128</v>
      </c>
      <c r="Y1264" s="7" t="s">
        <v>197</v>
      </c>
      <c r="Z1264" s="7"/>
      <c r="AA1264" s="4" t="s">
        <v>46</v>
      </c>
      <c r="AB1264" s="4" t="s">
        <v>47</v>
      </c>
      <c r="AC1264" s="4" t="s">
        <v>136</v>
      </c>
      <c r="AD1264" s="4" t="s">
        <v>137</v>
      </c>
      <c r="AE1264" s="4" t="s">
        <v>48</v>
      </c>
      <c r="AF1264" s="4" t="s">
        <v>41</v>
      </c>
      <c r="AG1264" s="4" t="s">
        <v>2708</v>
      </c>
    </row>
    <row r="1265" spans="1:33" ht="16.5" customHeight="1" x14ac:dyDescent="0.2">
      <c r="A1265" s="2" t="s">
        <v>31</v>
      </c>
      <c r="B1265" s="5" t="s">
        <v>54</v>
      </c>
      <c r="C1265" s="5"/>
      <c r="D1265" s="5"/>
      <c r="E1265" s="6" t="s">
        <v>33</v>
      </c>
      <c r="F1265" s="6"/>
      <c r="G1265" s="7" t="s">
        <v>2705</v>
      </c>
      <c r="H1265" s="7"/>
      <c r="I1265" s="7"/>
      <c r="J1265" s="3" t="s">
        <v>35</v>
      </c>
      <c r="K1265" s="4" t="s">
        <v>192</v>
      </c>
      <c r="L1265" s="4" t="s">
        <v>37</v>
      </c>
      <c r="N1265" s="7" t="s">
        <v>2723</v>
      </c>
      <c r="O1265" s="7"/>
      <c r="P1265" s="7" t="s">
        <v>2724</v>
      </c>
      <c r="Q1265" s="7"/>
      <c r="R1265" s="7"/>
      <c r="S1265" s="3" t="s">
        <v>40</v>
      </c>
      <c r="T1265" s="7" t="s">
        <v>41</v>
      </c>
      <c r="U1265" s="7"/>
      <c r="V1265" s="4" t="s">
        <v>42</v>
      </c>
      <c r="W1265" s="4" t="s">
        <v>234</v>
      </c>
      <c r="X1265" s="4" t="s">
        <v>235</v>
      </c>
      <c r="Y1265" s="7" t="s">
        <v>197</v>
      </c>
      <c r="Z1265" s="7"/>
      <c r="AA1265" s="4" t="s">
        <v>46</v>
      </c>
      <c r="AB1265" s="4" t="s">
        <v>47</v>
      </c>
      <c r="AC1265" s="4" t="s">
        <v>259</v>
      </c>
      <c r="AD1265" s="4" t="s">
        <v>260</v>
      </c>
      <c r="AE1265" s="4" t="s">
        <v>48</v>
      </c>
      <c r="AF1265" s="4" t="s">
        <v>41</v>
      </c>
      <c r="AG1265" s="4" t="s">
        <v>2708</v>
      </c>
    </row>
    <row r="1266" spans="1:33" ht="16.5" customHeight="1" x14ac:dyDescent="0.2">
      <c r="A1266" s="2" t="s">
        <v>31</v>
      </c>
      <c r="B1266" s="5" t="s">
        <v>54</v>
      </c>
      <c r="C1266" s="5"/>
      <c r="D1266" s="5"/>
      <c r="E1266" s="6" t="s">
        <v>33</v>
      </c>
      <c r="F1266" s="6"/>
      <c r="G1266" s="7" t="s">
        <v>2705</v>
      </c>
      <c r="H1266" s="7"/>
      <c r="I1266" s="7"/>
      <c r="J1266" s="3" t="s">
        <v>35</v>
      </c>
      <c r="K1266" s="4" t="s">
        <v>192</v>
      </c>
      <c r="L1266" s="4" t="s">
        <v>37</v>
      </c>
      <c r="N1266" s="7" t="s">
        <v>2725</v>
      </c>
      <c r="O1266" s="7"/>
      <c r="P1266" s="7" t="s">
        <v>2726</v>
      </c>
      <c r="Q1266" s="7"/>
      <c r="R1266" s="7"/>
      <c r="S1266" s="3" t="s">
        <v>40</v>
      </c>
      <c r="T1266" s="7" t="s">
        <v>41</v>
      </c>
      <c r="U1266" s="7"/>
      <c r="V1266" s="4" t="s">
        <v>42</v>
      </c>
      <c r="W1266" s="4" t="s">
        <v>234</v>
      </c>
      <c r="X1266" s="4" t="s">
        <v>235</v>
      </c>
      <c r="Y1266" s="7" t="s">
        <v>197</v>
      </c>
      <c r="Z1266" s="7"/>
      <c r="AA1266" s="4" t="s">
        <v>46</v>
      </c>
      <c r="AB1266" s="4" t="s">
        <v>47</v>
      </c>
      <c r="AC1266" s="4" t="s">
        <v>72</v>
      </c>
      <c r="AD1266" s="4" t="s">
        <v>41</v>
      </c>
      <c r="AE1266" s="4" t="s">
        <v>48</v>
      </c>
      <c r="AF1266" s="4" t="s">
        <v>41</v>
      </c>
      <c r="AG1266" s="4" t="s">
        <v>2708</v>
      </c>
    </row>
    <row r="1267" spans="1:33" ht="16.5" customHeight="1" x14ac:dyDescent="0.2">
      <c r="A1267" s="2" t="s">
        <v>31</v>
      </c>
      <c r="B1267" s="5" t="s">
        <v>54</v>
      </c>
      <c r="C1267" s="5"/>
      <c r="D1267" s="5"/>
      <c r="E1267" s="6" t="s">
        <v>33</v>
      </c>
      <c r="F1267" s="6"/>
      <c r="G1267" s="7" t="s">
        <v>2705</v>
      </c>
      <c r="H1267" s="7"/>
      <c r="I1267" s="7"/>
      <c r="J1267" s="3" t="s">
        <v>35</v>
      </c>
      <c r="K1267" s="4" t="s">
        <v>387</v>
      </c>
      <c r="L1267" s="4" t="s">
        <v>93</v>
      </c>
      <c r="N1267" s="7" t="s">
        <v>2727</v>
      </c>
      <c r="O1267" s="7"/>
      <c r="P1267" s="7" t="s">
        <v>2728</v>
      </c>
      <c r="Q1267" s="7"/>
      <c r="R1267" s="7"/>
      <c r="S1267" s="3" t="s">
        <v>40</v>
      </c>
      <c r="T1267" s="7" t="s">
        <v>41</v>
      </c>
      <c r="U1267" s="7"/>
      <c r="V1267" s="4" t="s">
        <v>42</v>
      </c>
      <c r="W1267" s="4" t="s">
        <v>234</v>
      </c>
      <c r="X1267" s="4" t="s">
        <v>235</v>
      </c>
      <c r="Y1267" s="7" t="s">
        <v>197</v>
      </c>
      <c r="Z1267" s="7"/>
      <c r="AA1267" s="4" t="s">
        <v>46</v>
      </c>
      <c r="AB1267" s="4" t="s">
        <v>47</v>
      </c>
      <c r="AC1267" s="4" t="s">
        <v>259</v>
      </c>
      <c r="AD1267" s="4" t="s">
        <v>62</v>
      </c>
      <c r="AE1267" s="4" t="s">
        <v>48</v>
      </c>
      <c r="AF1267" s="4" t="s">
        <v>41</v>
      </c>
      <c r="AG1267" s="4" t="s">
        <v>2708</v>
      </c>
    </row>
    <row r="1268" spans="1:33" ht="16.5" customHeight="1" x14ac:dyDescent="0.2">
      <c r="A1268" s="2" t="s">
        <v>31</v>
      </c>
      <c r="B1268" s="5" t="s">
        <v>54</v>
      </c>
      <c r="C1268" s="5"/>
      <c r="D1268" s="5"/>
      <c r="E1268" s="6" t="s">
        <v>33</v>
      </c>
      <c r="F1268" s="6"/>
      <c r="G1268" s="7" t="s">
        <v>2705</v>
      </c>
      <c r="H1268" s="7"/>
      <c r="I1268" s="7"/>
      <c r="J1268" s="3" t="s">
        <v>35</v>
      </c>
      <c r="K1268" s="4" t="s">
        <v>192</v>
      </c>
      <c r="L1268" s="4" t="s">
        <v>37</v>
      </c>
      <c r="N1268" s="7" t="s">
        <v>2729</v>
      </c>
      <c r="O1268" s="7"/>
      <c r="P1268" s="7" t="s">
        <v>2730</v>
      </c>
      <c r="Q1268" s="7"/>
      <c r="R1268" s="7"/>
      <c r="S1268" s="3" t="s">
        <v>40</v>
      </c>
      <c r="T1268" s="7" t="s">
        <v>41</v>
      </c>
      <c r="U1268" s="7"/>
      <c r="V1268" s="4" t="s">
        <v>42</v>
      </c>
      <c r="W1268" s="4" t="s">
        <v>355</v>
      </c>
      <c r="X1268" s="4" t="s">
        <v>344</v>
      </c>
      <c r="Y1268" s="7" t="s">
        <v>197</v>
      </c>
      <c r="Z1268" s="7"/>
      <c r="AA1268" s="4" t="s">
        <v>46</v>
      </c>
      <c r="AB1268" s="4" t="s">
        <v>47</v>
      </c>
      <c r="AC1268" s="4" t="s">
        <v>259</v>
      </c>
      <c r="AD1268" s="4" t="s">
        <v>260</v>
      </c>
      <c r="AE1268" s="4" t="s">
        <v>48</v>
      </c>
      <c r="AF1268" s="4" t="s">
        <v>41</v>
      </c>
      <c r="AG1268" s="4" t="s">
        <v>2708</v>
      </c>
    </row>
    <row r="1269" spans="1:33" ht="16.5" customHeight="1" x14ac:dyDescent="0.2">
      <c r="A1269" s="2" t="s">
        <v>31</v>
      </c>
      <c r="B1269" s="5" t="s">
        <v>54</v>
      </c>
      <c r="C1269" s="5"/>
      <c r="D1269" s="5"/>
      <c r="E1269" s="6" t="s">
        <v>33</v>
      </c>
      <c r="F1269" s="6"/>
      <c r="G1269" s="7" t="s">
        <v>2705</v>
      </c>
      <c r="H1269" s="7"/>
      <c r="I1269" s="7"/>
      <c r="J1269" s="3" t="s">
        <v>35</v>
      </c>
      <c r="K1269" s="4" t="s">
        <v>202</v>
      </c>
      <c r="L1269" s="4" t="s">
        <v>93</v>
      </c>
      <c r="N1269" s="7" t="s">
        <v>2731</v>
      </c>
      <c r="O1269" s="7"/>
      <c r="P1269" s="7" t="s">
        <v>2732</v>
      </c>
      <c r="Q1269" s="7"/>
      <c r="R1269" s="7"/>
      <c r="S1269" s="3" t="s">
        <v>40</v>
      </c>
      <c r="T1269" s="7" t="s">
        <v>41</v>
      </c>
      <c r="U1269" s="7"/>
      <c r="V1269" s="4" t="s">
        <v>42</v>
      </c>
      <c r="W1269" s="4" t="s">
        <v>355</v>
      </c>
      <c r="X1269" s="4" t="s">
        <v>344</v>
      </c>
      <c r="Y1269" s="7" t="s">
        <v>197</v>
      </c>
      <c r="Z1269" s="7"/>
      <c r="AA1269" s="4" t="s">
        <v>46</v>
      </c>
      <c r="AB1269" s="4" t="s">
        <v>47</v>
      </c>
      <c r="AC1269" s="4" t="s">
        <v>259</v>
      </c>
      <c r="AD1269" s="4" t="s">
        <v>62</v>
      </c>
      <c r="AE1269" s="4" t="s">
        <v>48</v>
      </c>
      <c r="AF1269" s="4" t="s">
        <v>41</v>
      </c>
      <c r="AG1269" s="4" t="s">
        <v>2708</v>
      </c>
    </row>
    <row r="1270" spans="1:33" ht="16.5" customHeight="1" x14ac:dyDescent="0.2">
      <c r="A1270" s="2" t="s">
        <v>31</v>
      </c>
      <c r="B1270" s="5" t="s">
        <v>54</v>
      </c>
      <c r="C1270" s="5"/>
      <c r="D1270" s="5"/>
      <c r="E1270" s="6" t="s">
        <v>33</v>
      </c>
      <c r="F1270" s="6"/>
      <c r="G1270" s="7" t="s">
        <v>2705</v>
      </c>
      <c r="H1270" s="7"/>
      <c r="I1270" s="7"/>
      <c r="J1270" s="3" t="s">
        <v>35</v>
      </c>
      <c r="K1270" s="4" t="s">
        <v>55</v>
      </c>
      <c r="L1270" s="4" t="s">
        <v>37</v>
      </c>
      <c r="N1270" s="7" t="s">
        <v>2733</v>
      </c>
      <c r="O1270" s="7"/>
      <c r="P1270" s="7" t="s">
        <v>2734</v>
      </c>
      <c r="Q1270" s="7"/>
      <c r="R1270" s="7"/>
      <c r="S1270" s="3" t="s">
        <v>40</v>
      </c>
      <c r="T1270" s="7" t="s">
        <v>41</v>
      </c>
      <c r="U1270" s="7"/>
      <c r="V1270" s="4" t="s">
        <v>42</v>
      </c>
      <c r="W1270" s="4" t="s">
        <v>355</v>
      </c>
      <c r="X1270" s="4" t="s">
        <v>344</v>
      </c>
      <c r="Y1270" s="7" t="s">
        <v>60</v>
      </c>
      <c r="Z1270" s="7"/>
      <c r="AA1270" s="4" t="s">
        <v>46</v>
      </c>
      <c r="AB1270" s="4" t="s">
        <v>47</v>
      </c>
      <c r="AC1270" s="4" t="s">
        <v>79</v>
      </c>
      <c r="AD1270" s="4" t="s">
        <v>80</v>
      </c>
      <c r="AE1270" s="4" t="s">
        <v>48</v>
      </c>
      <c r="AF1270" s="4" t="s">
        <v>41</v>
      </c>
      <c r="AG1270" s="4" t="s">
        <v>2708</v>
      </c>
    </row>
    <row r="1271" spans="1:33" ht="16.5" customHeight="1" x14ac:dyDescent="0.2">
      <c r="A1271" s="2" t="s">
        <v>31</v>
      </c>
      <c r="B1271" s="5" t="s">
        <v>54</v>
      </c>
      <c r="C1271" s="5"/>
      <c r="D1271" s="5"/>
      <c r="E1271" s="6" t="s">
        <v>33</v>
      </c>
      <c r="F1271" s="6"/>
      <c r="G1271" s="7" t="s">
        <v>2705</v>
      </c>
      <c r="H1271" s="7"/>
      <c r="I1271" s="7"/>
      <c r="J1271" s="3" t="s">
        <v>35</v>
      </c>
      <c r="K1271" s="4" t="s">
        <v>55</v>
      </c>
      <c r="L1271" s="4" t="s">
        <v>37</v>
      </c>
      <c r="N1271" s="7" t="s">
        <v>2733</v>
      </c>
      <c r="O1271" s="7"/>
      <c r="P1271" s="7" t="s">
        <v>2734</v>
      </c>
      <c r="Q1271" s="7"/>
      <c r="R1271" s="7"/>
      <c r="S1271" s="3" t="s">
        <v>40</v>
      </c>
      <c r="T1271" s="7" t="s">
        <v>41</v>
      </c>
      <c r="U1271" s="7"/>
      <c r="V1271" s="4" t="s">
        <v>51</v>
      </c>
      <c r="W1271" s="4" t="s">
        <v>355</v>
      </c>
      <c r="X1271" s="4" t="s">
        <v>361</v>
      </c>
      <c r="Y1271" s="7" t="s">
        <v>60</v>
      </c>
      <c r="Z1271" s="7"/>
      <c r="AA1271" s="4" t="s">
        <v>46</v>
      </c>
      <c r="AB1271" s="4" t="s">
        <v>47</v>
      </c>
      <c r="AC1271" s="4" t="s">
        <v>61</v>
      </c>
      <c r="AD1271" s="4" t="s">
        <v>62</v>
      </c>
      <c r="AE1271" s="4" t="s">
        <v>48</v>
      </c>
      <c r="AF1271" s="4" t="s">
        <v>41</v>
      </c>
      <c r="AG1271" s="4" t="s">
        <v>2708</v>
      </c>
    </row>
    <row r="1272" spans="1:33" ht="16.5" customHeight="1" x14ac:dyDescent="0.2">
      <c r="A1272" s="2" t="s">
        <v>31</v>
      </c>
      <c r="B1272" s="5" t="s">
        <v>54</v>
      </c>
      <c r="C1272" s="5"/>
      <c r="D1272" s="5"/>
      <c r="E1272" s="6" t="s">
        <v>33</v>
      </c>
      <c r="F1272" s="6"/>
      <c r="G1272" s="7" t="s">
        <v>2705</v>
      </c>
      <c r="H1272" s="7"/>
      <c r="I1272" s="7"/>
      <c r="J1272" s="3" t="s">
        <v>35</v>
      </c>
      <c r="K1272" s="4" t="s">
        <v>55</v>
      </c>
      <c r="L1272" s="4" t="s">
        <v>37</v>
      </c>
      <c r="N1272" s="7" t="s">
        <v>2735</v>
      </c>
      <c r="O1272" s="7"/>
      <c r="P1272" s="7" t="s">
        <v>2736</v>
      </c>
      <c r="Q1272" s="7"/>
      <c r="R1272" s="7"/>
      <c r="S1272" s="3" t="s">
        <v>40</v>
      </c>
      <c r="T1272" s="7" t="s">
        <v>41</v>
      </c>
      <c r="U1272" s="7"/>
      <c r="V1272" s="4" t="s">
        <v>42</v>
      </c>
      <c r="W1272" s="4" t="s">
        <v>181</v>
      </c>
      <c r="X1272" s="4" t="s">
        <v>182</v>
      </c>
      <c r="Y1272" s="7" t="s">
        <v>60</v>
      </c>
      <c r="Z1272" s="7"/>
      <c r="AA1272" s="4" t="s">
        <v>46</v>
      </c>
      <c r="AB1272" s="4" t="s">
        <v>47</v>
      </c>
      <c r="AC1272" s="4" t="s">
        <v>61</v>
      </c>
      <c r="AD1272" s="4" t="s">
        <v>62</v>
      </c>
      <c r="AE1272" s="4" t="s">
        <v>48</v>
      </c>
      <c r="AF1272" s="4" t="s">
        <v>41</v>
      </c>
      <c r="AG1272" s="4" t="s">
        <v>2708</v>
      </c>
    </row>
    <row r="1273" spans="1:33" ht="16.5" customHeight="1" x14ac:dyDescent="0.2">
      <c r="A1273" s="2" t="s">
        <v>31</v>
      </c>
      <c r="B1273" s="5" t="s">
        <v>54</v>
      </c>
      <c r="C1273" s="5"/>
      <c r="D1273" s="5"/>
      <c r="E1273" s="6" t="s">
        <v>33</v>
      </c>
      <c r="F1273" s="6"/>
      <c r="G1273" s="7" t="s">
        <v>2705</v>
      </c>
      <c r="H1273" s="7"/>
      <c r="I1273" s="7"/>
      <c r="J1273" s="3" t="s">
        <v>35</v>
      </c>
      <c r="K1273" s="4" t="s">
        <v>55</v>
      </c>
      <c r="L1273" s="4" t="s">
        <v>37</v>
      </c>
      <c r="N1273" s="7" t="s">
        <v>2735</v>
      </c>
      <c r="O1273" s="7"/>
      <c r="P1273" s="7" t="s">
        <v>2736</v>
      </c>
      <c r="Q1273" s="7"/>
      <c r="R1273" s="7"/>
      <c r="S1273" s="3" t="s">
        <v>40</v>
      </c>
      <c r="T1273" s="7" t="s">
        <v>41</v>
      </c>
      <c r="U1273" s="7"/>
      <c r="V1273" s="4" t="s">
        <v>51</v>
      </c>
      <c r="W1273" s="4" t="s">
        <v>181</v>
      </c>
      <c r="X1273" s="4" t="s">
        <v>69</v>
      </c>
      <c r="Y1273" s="7" t="s">
        <v>60</v>
      </c>
      <c r="Z1273" s="7"/>
      <c r="AA1273" s="4" t="s">
        <v>46</v>
      </c>
      <c r="AB1273" s="4" t="s">
        <v>47</v>
      </c>
      <c r="AC1273" s="4" t="s">
        <v>61</v>
      </c>
      <c r="AD1273" s="4" t="s">
        <v>62</v>
      </c>
      <c r="AE1273" s="4" t="s">
        <v>48</v>
      </c>
      <c r="AF1273" s="4" t="s">
        <v>41</v>
      </c>
      <c r="AG1273" s="4" t="s">
        <v>2708</v>
      </c>
    </row>
    <row r="1274" spans="1:33" ht="16.5" customHeight="1" x14ac:dyDescent="0.2">
      <c r="A1274" s="2" t="s">
        <v>31</v>
      </c>
      <c r="B1274" s="5" t="s">
        <v>54</v>
      </c>
      <c r="C1274" s="5"/>
      <c r="D1274" s="5"/>
      <c r="E1274" s="6" t="s">
        <v>33</v>
      </c>
      <c r="F1274" s="6"/>
      <c r="G1274" s="7" t="s">
        <v>2705</v>
      </c>
      <c r="H1274" s="7"/>
      <c r="I1274" s="7"/>
      <c r="J1274" s="3" t="s">
        <v>35</v>
      </c>
      <c r="K1274" s="4" t="s">
        <v>192</v>
      </c>
      <c r="L1274" s="4" t="s">
        <v>37</v>
      </c>
      <c r="N1274" s="7" t="s">
        <v>2737</v>
      </c>
      <c r="O1274" s="7"/>
      <c r="P1274" s="7" t="s">
        <v>2738</v>
      </c>
      <c r="Q1274" s="7"/>
      <c r="R1274" s="7"/>
      <c r="S1274" s="3" t="s">
        <v>40</v>
      </c>
      <c r="T1274" s="7" t="s">
        <v>41</v>
      </c>
      <c r="U1274" s="7"/>
      <c r="V1274" s="4" t="s">
        <v>42</v>
      </c>
      <c r="W1274" s="4" t="s">
        <v>181</v>
      </c>
      <c r="X1274" s="4" t="s">
        <v>182</v>
      </c>
      <c r="Y1274" s="7" t="s">
        <v>197</v>
      </c>
      <c r="Z1274" s="7"/>
      <c r="AA1274" s="4" t="s">
        <v>46</v>
      </c>
      <c r="AB1274" s="4" t="s">
        <v>47</v>
      </c>
      <c r="AC1274" s="4" t="s">
        <v>136</v>
      </c>
      <c r="AD1274" s="4" t="s">
        <v>137</v>
      </c>
      <c r="AE1274" s="4" t="s">
        <v>48</v>
      </c>
      <c r="AF1274" s="4" t="s">
        <v>41</v>
      </c>
      <c r="AG1274" s="4" t="s">
        <v>2708</v>
      </c>
    </row>
    <row r="1275" spans="1:33" ht="16.5" customHeight="1" x14ac:dyDescent="0.2">
      <c r="A1275" s="2" t="s">
        <v>31</v>
      </c>
      <c r="B1275" s="5" t="s">
        <v>54</v>
      </c>
      <c r="C1275" s="5"/>
      <c r="D1275" s="5"/>
      <c r="E1275" s="6" t="s">
        <v>33</v>
      </c>
      <c r="F1275" s="6"/>
      <c r="G1275" s="7" t="s">
        <v>2705</v>
      </c>
      <c r="H1275" s="7"/>
      <c r="I1275" s="7"/>
      <c r="J1275" s="3" t="s">
        <v>35</v>
      </c>
      <c r="K1275" s="4" t="s">
        <v>192</v>
      </c>
      <c r="L1275" s="4" t="s">
        <v>37</v>
      </c>
      <c r="N1275" s="7" t="s">
        <v>2739</v>
      </c>
      <c r="O1275" s="7"/>
      <c r="P1275" s="7" t="s">
        <v>2740</v>
      </c>
      <c r="Q1275" s="7"/>
      <c r="R1275" s="7"/>
      <c r="S1275" s="3" t="s">
        <v>40</v>
      </c>
      <c r="T1275" s="7" t="s">
        <v>41</v>
      </c>
      <c r="U1275" s="7"/>
      <c r="V1275" s="4" t="s">
        <v>42</v>
      </c>
      <c r="W1275" s="4" t="s">
        <v>58</v>
      </c>
      <c r="X1275" s="4" t="s">
        <v>59</v>
      </c>
      <c r="Y1275" s="7" t="s">
        <v>197</v>
      </c>
      <c r="Z1275" s="7"/>
      <c r="AA1275" s="4" t="s">
        <v>46</v>
      </c>
      <c r="AB1275" s="4" t="s">
        <v>47</v>
      </c>
      <c r="AC1275" s="4" t="s">
        <v>136</v>
      </c>
      <c r="AD1275" s="4" t="s">
        <v>137</v>
      </c>
      <c r="AE1275" s="4" t="s">
        <v>48</v>
      </c>
      <c r="AF1275" s="4" t="s">
        <v>41</v>
      </c>
      <c r="AG1275" s="4" t="s">
        <v>2708</v>
      </c>
    </row>
    <row r="1276" spans="1:33" ht="16.5" customHeight="1" x14ac:dyDescent="0.2">
      <c r="A1276" s="2" t="s">
        <v>31</v>
      </c>
      <c r="B1276" s="5" t="s">
        <v>54</v>
      </c>
      <c r="C1276" s="5"/>
      <c r="D1276" s="5"/>
      <c r="E1276" s="6" t="s">
        <v>33</v>
      </c>
      <c r="F1276" s="6"/>
      <c r="G1276" s="7" t="s">
        <v>2705</v>
      </c>
      <c r="H1276" s="7"/>
      <c r="I1276" s="7"/>
      <c r="J1276" s="3" t="s">
        <v>35</v>
      </c>
      <c r="K1276" s="4" t="s">
        <v>55</v>
      </c>
      <c r="L1276" s="4" t="s">
        <v>37</v>
      </c>
      <c r="N1276" s="7" t="s">
        <v>2741</v>
      </c>
      <c r="O1276" s="7"/>
      <c r="P1276" s="7" t="s">
        <v>2742</v>
      </c>
      <c r="Q1276" s="7"/>
      <c r="R1276" s="7"/>
      <c r="S1276" s="3" t="s">
        <v>40</v>
      </c>
      <c r="T1276" s="7" t="s">
        <v>41</v>
      </c>
      <c r="U1276" s="7"/>
      <c r="V1276" s="4" t="s">
        <v>42</v>
      </c>
      <c r="W1276" s="4" t="s">
        <v>90</v>
      </c>
      <c r="X1276" s="4" t="s">
        <v>91</v>
      </c>
      <c r="Y1276" s="7" t="s">
        <v>60</v>
      </c>
      <c r="Z1276" s="7"/>
      <c r="AA1276" s="4" t="s">
        <v>46</v>
      </c>
      <c r="AB1276" s="4" t="s">
        <v>47</v>
      </c>
      <c r="AC1276" s="4" t="s">
        <v>61</v>
      </c>
      <c r="AD1276" s="4" t="s">
        <v>62</v>
      </c>
      <c r="AE1276" s="4" t="s">
        <v>48</v>
      </c>
      <c r="AF1276" s="4" t="s">
        <v>41</v>
      </c>
      <c r="AG1276" s="4" t="s">
        <v>2708</v>
      </c>
    </row>
    <row r="1277" spans="1:33" ht="16.5" customHeight="1" x14ac:dyDescent="0.2">
      <c r="A1277" s="2" t="s">
        <v>31</v>
      </c>
      <c r="B1277" s="5" t="s">
        <v>54</v>
      </c>
      <c r="C1277" s="5"/>
      <c r="D1277" s="5"/>
      <c r="E1277" s="6" t="s">
        <v>33</v>
      </c>
      <c r="F1277" s="6"/>
      <c r="G1277" s="7" t="s">
        <v>2705</v>
      </c>
      <c r="H1277" s="7"/>
      <c r="I1277" s="7"/>
      <c r="J1277" s="3" t="s">
        <v>35</v>
      </c>
      <c r="K1277" s="4" t="s">
        <v>192</v>
      </c>
      <c r="L1277" s="4" t="s">
        <v>37</v>
      </c>
      <c r="N1277" s="7" t="s">
        <v>2743</v>
      </c>
      <c r="O1277" s="7"/>
      <c r="P1277" s="7" t="s">
        <v>2744</v>
      </c>
      <c r="Q1277" s="7"/>
      <c r="R1277" s="7"/>
      <c r="S1277" s="3" t="s">
        <v>40</v>
      </c>
      <c r="T1277" s="7" t="s">
        <v>41</v>
      </c>
      <c r="U1277" s="7"/>
      <c r="V1277" s="4" t="s">
        <v>42</v>
      </c>
      <c r="W1277" s="4" t="s">
        <v>90</v>
      </c>
      <c r="X1277" s="4" t="s">
        <v>91</v>
      </c>
      <c r="Y1277" s="7" t="s">
        <v>197</v>
      </c>
      <c r="Z1277" s="7"/>
      <c r="AA1277" s="4" t="s">
        <v>46</v>
      </c>
      <c r="AB1277" s="4" t="s">
        <v>47</v>
      </c>
      <c r="AC1277" s="4" t="s">
        <v>136</v>
      </c>
      <c r="AD1277" s="4" t="s">
        <v>137</v>
      </c>
      <c r="AE1277" s="4" t="s">
        <v>48</v>
      </c>
      <c r="AF1277" s="4" t="s">
        <v>41</v>
      </c>
      <c r="AG1277" s="4" t="s">
        <v>2708</v>
      </c>
    </row>
    <row r="1278" spans="1:33" ht="16.5" customHeight="1" x14ac:dyDescent="0.2">
      <c r="A1278" s="2" t="s">
        <v>31</v>
      </c>
      <c r="B1278" s="5" t="s">
        <v>54</v>
      </c>
      <c r="C1278" s="5"/>
      <c r="D1278" s="5"/>
      <c r="E1278" s="6" t="s">
        <v>33</v>
      </c>
      <c r="F1278" s="6"/>
      <c r="G1278" s="7" t="s">
        <v>2705</v>
      </c>
      <c r="H1278" s="7"/>
      <c r="I1278" s="7"/>
      <c r="J1278" s="3" t="s">
        <v>35</v>
      </c>
      <c r="K1278" s="4" t="s">
        <v>192</v>
      </c>
      <c r="L1278" s="4" t="s">
        <v>93</v>
      </c>
      <c r="N1278" s="7" t="s">
        <v>2745</v>
      </c>
      <c r="O1278" s="7"/>
      <c r="P1278" s="7" t="s">
        <v>2746</v>
      </c>
      <c r="Q1278" s="7"/>
      <c r="R1278" s="7"/>
      <c r="S1278" s="3" t="s">
        <v>40</v>
      </c>
      <c r="T1278" s="7" t="s">
        <v>41</v>
      </c>
      <c r="U1278" s="7"/>
      <c r="V1278" s="4" t="s">
        <v>42</v>
      </c>
      <c r="W1278" s="4" t="s">
        <v>90</v>
      </c>
      <c r="X1278" s="4" t="s">
        <v>91</v>
      </c>
      <c r="Y1278" s="7" t="s">
        <v>197</v>
      </c>
      <c r="Z1278" s="7"/>
      <c r="AA1278" s="4" t="s">
        <v>46</v>
      </c>
      <c r="AB1278" s="4" t="s">
        <v>47</v>
      </c>
      <c r="AC1278" s="4" t="s">
        <v>136</v>
      </c>
      <c r="AD1278" s="4" t="s">
        <v>148</v>
      </c>
      <c r="AE1278" s="4" t="s">
        <v>48</v>
      </c>
      <c r="AF1278" s="4" t="s">
        <v>41</v>
      </c>
      <c r="AG1278" s="4" t="s">
        <v>2708</v>
      </c>
    </row>
    <row r="1279" spans="1:33" ht="16.5" customHeight="1" x14ac:dyDescent="0.2">
      <c r="A1279" s="2" t="s">
        <v>31</v>
      </c>
      <c r="B1279" s="5" t="s">
        <v>54</v>
      </c>
      <c r="C1279" s="5"/>
      <c r="D1279" s="5"/>
      <c r="E1279" s="6" t="s">
        <v>33</v>
      </c>
      <c r="F1279" s="6"/>
      <c r="G1279" s="7" t="s">
        <v>2705</v>
      </c>
      <c r="H1279" s="7"/>
      <c r="I1279" s="7"/>
      <c r="J1279" s="3" t="s">
        <v>35</v>
      </c>
      <c r="K1279" s="4" t="s">
        <v>192</v>
      </c>
      <c r="L1279" s="4" t="s">
        <v>93</v>
      </c>
      <c r="N1279" s="7" t="s">
        <v>2747</v>
      </c>
      <c r="O1279" s="7"/>
      <c r="P1279" s="7" t="s">
        <v>2748</v>
      </c>
      <c r="Q1279" s="7"/>
      <c r="R1279" s="7"/>
      <c r="S1279" s="3" t="s">
        <v>40</v>
      </c>
      <c r="T1279" s="7" t="s">
        <v>41</v>
      </c>
      <c r="U1279" s="7"/>
      <c r="V1279" s="4" t="s">
        <v>42</v>
      </c>
      <c r="W1279" s="4" t="s">
        <v>90</v>
      </c>
      <c r="X1279" s="4" t="s">
        <v>91</v>
      </c>
      <c r="Y1279" s="7" t="s">
        <v>197</v>
      </c>
      <c r="Z1279" s="7"/>
      <c r="AA1279" s="4" t="s">
        <v>46</v>
      </c>
      <c r="AB1279" s="4" t="s">
        <v>47</v>
      </c>
      <c r="AC1279" s="4" t="s">
        <v>136</v>
      </c>
      <c r="AD1279" s="4" t="s">
        <v>148</v>
      </c>
      <c r="AE1279" s="4" t="s">
        <v>48</v>
      </c>
      <c r="AF1279" s="4" t="s">
        <v>41</v>
      </c>
      <c r="AG1279" s="4" t="s">
        <v>2708</v>
      </c>
    </row>
    <row r="1280" spans="1:33" ht="16.5" customHeight="1" x14ac:dyDescent="0.2">
      <c r="A1280" s="2" t="s">
        <v>31</v>
      </c>
      <c r="B1280" s="5" t="s">
        <v>54</v>
      </c>
      <c r="C1280" s="5"/>
      <c r="D1280" s="5"/>
      <c r="E1280" s="6" t="s">
        <v>33</v>
      </c>
      <c r="F1280" s="6"/>
      <c r="G1280" s="7" t="s">
        <v>2705</v>
      </c>
      <c r="H1280" s="7"/>
      <c r="I1280" s="7"/>
      <c r="J1280" s="3" t="s">
        <v>35</v>
      </c>
      <c r="K1280" s="4" t="s">
        <v>192</v>
      </c>
      <c r="L1280" s="4" t="s">
        <v>37</v>
      </c>
      <c r="N1280" s="7" t="s">
        <v>2749</v>
      </c>
      <c r="O1280" s="7"/>
      <c r="P1280" s="7" t="s">
        <v>2750</v>
      </c>
      <c r="Q1280" s="7"/>
      <c r="R1280" s="7"/>
      <c r="S1280" s="3" t="s">
        <v>40</v>
      </c>
      <c r="T1280" s="7" t="s">
        <v>41</v>
      </c>
      <c r="U1280" s="7"/>
      <c r="V1280" s="4" t="s">
        <v>42</v>
      </c>
      <c r="W1280" s="4" t="s">
        <v>102</v>
      </c>
      <c r="X1280" s="4" t="s">
        <v>103</v>
      </c>
      <c r="Y1280" s="7" t="s">
        <v>197</v>
      </c>
      <c r="Z1280" s="7"/>
      <c r="AA1280" s="4" t="s">
        <v>46</v>
      </c>
      <c r="AB1280" s="4" t="s">
        <v>47</v>
      </c>
      <c r="AC1280" s="4" t="s">
        <v>136</v>
      </c>
      <c r="AD1280" s="4" t="s">
        <v>137</v>
      </c>
      <c r="AE1280" s="4" t="s">
        <v>48</v>
      </c>
      <c r="AF1280" s="4" t="s">
        <v>41</v>
      </c>
      <c r="AG1280" s="4" t="s">
        <v>2708</v>
      </c>
    </row>
    <row r="1281" spans="1:33" ht="16.5" customHeight="1" x14ac:dyDescent="0.2">
      <c r="A1281" s="2" t="s">
        <v>31</v>
      </c>
      <c r="B1281" s="5" t="s">
        <v>54</v>
      </c>
      <c r="C1281" s="5"/>
      <c r="D1281" s="5"/>
      <c r="E1281" s="6" t="s">
        <v>33</v>
      </c>
      <c r="F1281" s="6"/>
      <c r="G1281" s="7" t="s">
        <v>2705</v>
      </c>
      <c r="H1281" s="7"/>
      <c r="I1281" s="7"/>
      <c r="J1281" s="3" t="s">
        <v>35</v>
      </c>
      <c r="K1281" s="4" t="s">
        <v>55</v>
      </c>
      <c r="L1281" s="4" t="s">
        <v>37</v>
      </c>
      <c r="N1281" s="7" t="s">
        <v>2751</v>
      </c>
      <c r="O1281" s="7"/>
      <c r="P1281" s="7" t="s">
        <v>2752</v>
      </c>
      <c r="Q1281" s="7"/>
      <c r="R1281" s="7"/>
      <c r="S1281" s="3" t="s">
        <v>40</v>
      </c>
      <c r="T1281" s="7" t="s">
        <v>41</v>
      </c>
      <c r="U1281" s="7"/>
      <c r="V1281" s="4" t="s">
        <v>42</v>
      </c>
      <c r="W1281" s="4" t="s">
        <v>102</v>
      </c>
      <c r="X1281" s="4" t="s">
        <v>103</v>
      </c>
      <c r="Y1281" s="7" t="s">
        <v>60</v>
      </c>
      <c r="Z1281" s="7"/>
      <c r="AA1281" s="4" t="s">
        <v>46</v>
      </c>
      <c r="AB1281" s="4" t="s">
        <v>47</v>
      </c>
      <c r="AC1281" s="4" t="s">
        <v>61</v>
      </c>
      <c r="AD1281" s="4" t="s">
        <v>62</v>
      </c>
      <c r="AE1281" s="4" t="s">
        <v>48</v>
      </c>
      <c r="AF1281" s="4" t="s">
        <v>41</v>
      </c>
      <c r="AG1281" s="4" t="s">
        <v>2708</v>
      </c>
    </row>
    <row r="1282" spans="1:33" ht="16.5" customHeight="1" x14ac:dyDescent="0.2">
      <c r="A1282" s="2" t="s">
        <v>31</v>
      </c>
      <c r="B1282" s="5" t="s">
        <v>54</v>
      </c>
      <c r="C1282" s="5"/>
      <c r="D1282" s="5"/>
      <c r="E1282" s="6" t="s">
        <v>33</v>
      </c>
      <c r="F1282" s="6"/>
      <c r="G1282" s="7" t="s">
        <v>2705</v>
      </c>
      <c r="H1282" s="7"/>
      <c r="I1282" s="7"/>
      <c r="J1282" s="3" t="s">
        <v>35</v>
      </c>
      <c r="K1282" s="4" t="s">
        <v>202</v>
      </c>
      <c r="L1282" s="4" t="s">
        <v>93</v>
      </c>
      <c r="N1282" s="7" t="s">
        <v>2753</v>
      </c>
      <c r="O1282" s="7"/>
      <c r="P1282" s="7" t="s">
        <v>2754</v>
      </c>
      <c r="Q1282" s="7"/>
      <c r="R1282" s="7"/>
      <c r="S1282" s="3" t="s">
        <v>40</v>
      </c>
      <c r="T1282" s="7" t="s">
        <v>41</v>
      </c>
      <c r="U1282" s="7"/>
      <c r="V1282" s="4" t="s">
        <v>42</v>
      </c>
      <c r="W1282" s="4" t="s">
        <v>102</v>
      </c>
      <c r="X1282" s="4" t="s">
        <v>103</v>
      </c>
      <c r="Y1282" s="7" t="s">
        <v>197</v>
      </c>
      <c r="Z1282" s="7"/>
      <c r="AA1282" s="4" t="s">
        <v>46</v>
      </c>
      <c r="AB1282" s="4" t="s">
        <v>47</v>
      </c>
      <c r="AC1282" s="4" t="s">
        <v>136</v>
      </c>
      <c r="AD1282" s="4" t="s">
        <v>148</v>
      </c>
      <c r="AE1282" s="4" t="s">
        <v>48</v>
      </c>
      <c r="AF1282" s="4" t="s">
        <v>41</v>
      </c>
      <c r="AG1282" s="4" t="s">
        <v>2708</v>
      </c>
    </row>
    <row r="1283" spans="1:33" ht="16.5" customHeight="1" x14ac:dyDescent="0.2">
      <c r="A1283" s="2" t="s">
        <v>31</v>
      </c>
      <c r="B1283" s="5" t="s">
        <v>54</v>
      </c>
      <c r="C1283" s="5"/>
      <c r="D1283" s="5"/>
      <c r="E1283" s="6" t="s">
        <v>33</v>
      </c>
      <c r="F1283" s="6"/>
      <c r="G1283" s="7" t="s">
        <v>2705</v>
      </c>
      <c r="H1283" s="7"/>
      <c r="I1283" s="7"/>
      <c r="J1283" s="3" t="s">
        <v>35</v>
      </c>
      <c r="K1283" s="4" t="s">
        <v>192</v>
      </c>
      <c r="L1283" s="4" t="s">
        <v>93</v>
      </c>
      <c r="N1283" s="7" t="s">
        <v>2755</v>
      </c>
      <c r="O1283" s="7"/>
      <c r="P1283" s="7" t="s">
        <v>2756</v>
      </c>
      <c r="Q1283" s="7"/>
      <c r="R1283" s="7"/>
      <c r="S1283" s="3" t="s">
        <v>40</v>
      </c>
      <c r="T1283" s="7" t="s">
        <v>41</v>
      </c>
      <c r="U1283" s="7"/>
      <c r="V1283" s="4" t="s">
        <v>42</v>
      </c>
      <c r="W1283" s="4" t="s">
        <v>102</v>
      </c>
      <c r="X1283" s="4" t="s">
        <v>103</v>
      </c>
      <c r="Y1283" s="7" t="s">
        <v>197</v>
      </c>
      <c r="Z1283" s="7"/>
      <c r="AA1283" s="4" t="s">
        <v>46</v>
      </c>
      <c r="AB1283" s="4" t="s">
        <v>47</v>
      </c>
      <c r="AC1283" s="4" t="s">
        <v>136</v>
      </c>
      <c r="AD1283" s="4" t="s">
        <v>148</v>
      </c>
      <c r="AE1283" s="4" t="s">
        <v>48</v>
      </c>
      <c r="AF1283" s="4" t="s">
        <v>41</v>
      </c>
      <c r="AG1283" s="4" t="s">
        <v>2708</v>
      </c>
    </row>
    <row r="1284" spans="1:33" ht="16.5" customHeight="1" x14ac:dyDescent="0.2">
      <c r="A1284" s="2" t="s">
        <v>31</v>
      </c>
      <c r="B1284" s="5" t="s">
        <v>54</v>
      </c>
      <c r="C1284" s="5"/>
      <c r="D1284" s="5"/>
      <c r="E1284" s="6" t="s">
        <v>33</v>
      </c>
      <c r="F1284" s="6"/>
      <c r="G1284" s="7" t="s">
        <v>2705</v>
      </c>
      <c r="H1284" s="7"/>
      <c r="I1284" s="7"/>
      <c r="J1284" s="3" t="s">
        <v>35</v>
      </c>
      <c r="K1284" s="4" t="s">
        <v>192</v>
      </c>
      <c r="L1284" s="4" t="s">
        <v>93</v>
      </c>
      <c r="N1284" s="7" t="s">
        <v>2757</v>
      </c>
      <c r="O1284" s="7"/>
      <c r="P1284" s="7" t="s">
        <v>2758</v>
      </c>
      <c r="Q1284" s="7"/>
      <c r="R1284" s="7"/>
      <c r="S1284" s="3" t="s">
        <v>40</v>
      </c>
      <c r="T1284" s="7" t="s">
        <v>41</v>
      </c>
      <c r="U1284" s="7"/>
      <c r="V1284" s="4" t="s">
        <v>42</v>
      </c>
      <c r="W1284" s="4" t="s">
        <v>58</v>
      </c>
      <c r="X1284" s="4" t="s">
        <v>59</v>
      </c>
      <c r="Y1284" s="7" t="s">
        <v>197</v>
      </c>
      <c r="Z1284" s="7"/>
      <c r="AA1284" s="4" t="s">
        <v>46</v>
      </c>
      <c r="AB1284" s="4" t="s">
        <v>47</v>
      </c>
      <c r="AC1284" s="4" t="s">
        <v>136</v>
      </c>
      <c r="AD1284" s="4" t="s">
        <v>148</v>
      </c>
      <c r="AE1284" s="4" t="s">
        <v>48</v>
      </c>
      <c r="AF1284" s="4" t="s">
        <v>41</v>
      </c>
      <c r="AG1284" s="4" t="s">
        <v>2708</v>
      </c>
    </row>
    <row r="1285" spans="1:33" ht="16.5" customHeight="1" x14ac:dyDescent="0.2">
      <c r="A1285" s="2" t="s">
        <v>31</v>
      </c>
      <c r="B1285" s="5" t="s">
        <v>54</v>
      </c>
      <c r="C1285" s="5"/>
      <c r="D1285" s="5"/>
      <c r="E1285" s="6" t="s">
        <v>33</v>
      </c>
      <c r="F1285" s="6"/>
      <c r="G1285" s="7" t="s">
        <v>2705</v>
      </c>
      <c r="H1285" s="7"/>
      <c r="I1285" s="7"/>
      <c r="J1285" s="3" t="s">
        <v>35</v>
      </c>
      <c r="K1285" s="4" t="s">
        <v>192</v>
      </c>
      <c r="L1285" s="4" t="s">
        <v>93</v>
      </c>
      <c r="N1285" s="7" t="s">
        <v>2759</v>
      </c>
      <c r="O1285" s="7"/>
      <c r="P1285" s="7" t="s">
        <v>2760</v>
      </c>
      <c r="Q1285" s="7"/>
      <c r="R1285" s="7"/>
      <c r="S1285" s="3" t="s">
        <v>40</v>
      </c>
      <c r="T1285" s="7" t="s">
        <v>41</v>
      </c>
      <c r="U1285" s="7"/>
      <c r="V1285" s="4" t="s">
        <v>42</v>
      </c>
      <c r="W1285" s="4" t="s">
        <v>58</v>
      </c>
      <c r="X1285" s="4" t="s">
        <v>59</v>
      </c>
      <c r="Y1285" s="7" t="s">
        <v>197</v>
      </c>
      <c r="Z1285" s="7"/>
      <c r="AA1285" s="4" t="s">
        <v>46</v>
      </c>
      <c r="AB1285" s="4" t="s">
        <v>47</v>
      </c>
      <c r="AC1285" s="4" t="s">
        <v>136</v>
      </c>
      <c r="AD1285" s="4" t="s">
        <v>148</v>
      </c>
      <c r="AE1285" s="4" t="s">
        <v>48</v>
      </c>
      <c r="AF1285" s="4" t="s">
        <v>41</v>
      </c>
      <c r="AG1285" s="4" t="s">
        <v>2708</v>
      </c>
    </row>
    <row r="1286" spans="1:33" ht="16.5" customHeight="1" x14ac:dyDescent="0.2">
      <c r="A1286" s="2" t="s">
        <v>31</v>
      </c>
      <c r="B1286" s="5" t="s">
        <v>54</v>
      </c>
      <c r="C1286" s="5"/>
      <c r="D1286" s="5"/>
      <c r="E1286" s="6" t="s">
        <v>33</v>
      </c>
      <c r="F1286" s="6"/>
      <c r="G1286" s="7" t="s">
        <v>2705</v>
      </c>
      <c r="H1286" s="7"/>
      <c r="I1286" s="7"/>
      <c r="J1286" s="3" t="s">
        <v>35</v>
      </c>
      <c r="K1286" s="4" t="s">
        <v>202</v>
      </c>
      <c r="L1286" s="4" t="s">
        <v>93</v>
      </c>
      <c r="N1286" s="7" t="s">
        <v>2761</v>
      </c>
      <c r="O1286" s="7"/>
      <c r="P1286" s="7" t="s">
        <v>2762</v>
      </c>
      <c r="Q1286" s="7"/>
      <c r="R1286" s="7"/>
      <c r="S1286" s="3" t="s">
        <v>40</v>
      </c>
      <c r="T1286" s="7" t="s">
        <v>41</v>
      </c>
      <c r="U1286" s="7"/>
      <c r="V1286" s="4" t="s">
        <v>42</v>
      </c>
      <c r="W1286" s="4" t="s">
        <v>58</v>
      </c>
      <c r="X1286" s="4" t="s">
        <v>59</v>
      </c>
      <c r="Y1286" s="7" t="s">
        <v>197</v>
      </c>
      <c r="Z1286" s="7"/>
      <c r="AA1286" s="4" t="s">
        <v>46</v>
      </c>
      <c r="AB1286" s="4" t="s">
        <v>47</v>
      </c>
      <c r="AC1286" s="4" t="s">
        <v>136</v>
      </c>
      <c r="AD1286" s="4" t="s">
        <v>148</v>
      </c>
      <c r="AE1286" s="4" t="s">
        <v>48</v>
      </c>
      <c r="AF1286" s="4" t="s">
        <v>41</v>
      </c>
      <c r="AG1286" s="4" t="s">
        <v>2708</v>
      </c>
    </row>
    <row r="1287" spans="1:33" ht="16.5" customHeight="1" x14ac:dyDescent="0.2">
      <c r="A1287" s="2" t="s">
        <v>31</v>
      </c>
      <c r="B1287" s="5" t="s">
        <v>54</v>
      </c>
      <c r="C1287" s="5"/>
      <c r="D1287" s="5"/>
      <c r="E1287" s="6" t="s">
        <v>33</v>
      </c>
      <c r="F1287" s="6"/>
      <c r="G1287" s="7" t="s">
        <v>2705</v>
      </c>
      <c r="H1287" s="7"/>
      <c r="I1287" s="7"/>
      <c r="J1287" s="3" t="s">
        <v>35</v>
      </c>
      <c r="K1287" s="4" t="s">
        <v>192</v>
      </c>
      <c r="L1287" s="4" t="s">
        <v>37</v>
      </c>
      <c r="N1287" s="7" t="s">
        <v>2763</v>
      </c>
      <c r="O1287" s="7"/>
      <c r="P1287" s="7" t="s">
        <v>2764</v>
      </c>
      <c r="Q1287" s="7"/>
      <c r="R1287" s="7"/>
      <c r="S1287" s="3" t="s">
        <v>40</v>
      </c>
      <c r="T1287" s="7" t="s">
        <v>41</v>
      </c>
      <c r="U1287" s="7"/>
      <c r="V1287" s="4" t="s">
        <v>42</v>
      </c>
      <c r="W1287" s="4" t="s">
        <v>58</v>
      </c>
      <c r="X1287" s="4" t="s">
        <v>59</v>
      </c>
      <c r="Y1287" s="7" t="s">
        <v>197</v>
      </c>
      <c r="Z1287" s="7"/>
      <c r="AA1287" s="4" t="s">
        <v>46</v>
      </c>
      <c r="AB1287" s="4" t="s">
        <v>47</v>
      </c>
      <c r="AC1287" s="4" t="s">
        <v>136</v>
      </c>
      <c r="AD1287" s="4" t="s">
        <v>137</v>
      </c>
      <c r="AE1287" s="4" t="s">
        <v>48</v>
      </c>
      <c r="AF1287" s="4" t="s">
        <v>41</v>
      </c>
      <c r="AG1287" s="4" t="s">
        <v>2708</v>
      </c>
    </row>
    <row r="1288" spans="1:33" ht="16.5" customHeight="1" x14ac:dyDescent="0.2">
      <c r="A1288" s="2" t="s">
        <v>31</v>
      </c>
      <c r="B1288" s="5" t="s">
        <v>54</v>
      </c>
      <c r="C1288" s="5"/>
      <c r="D1288" s="5"/>
      <c r="E1288" s="6" t="s">
        <v>33</v>
      </c>
      <c r="F1288" s="6"/>
      <c r="G1288" s="7" t="s">
        <v>2705</v>
      </c>
      <c r="H1288" s="7"/>
      <c r="I1288" s="7"/>
      <c r="J1288" s="3" t="s">
        <v>35</v>
      </c>
      <c r="K1288" s="4" t="s">
        <v>192</v>
      </c>
      <c r="L1288" s="4" t="s">
        <v>37</v>
      </c>
      <c r="N1288" s="7" t="s">
        <v>2765</v>
      </c>
      <c r="O1288" s="7"/>
      <c r="P1288" s="7" t="s">
        <v>2766</v>
      </c>
      <c r="Q1288" s="7"/>
      <c r="R1288" s="7"/>
      <c r="S1288" s="3" t="s">
        <v>40</v>
      </c>
      <c r="T1288" s="7" t="s">
        <v>41</v>
      </c>
      <c r="U1288" s="7"/>
      <c r="V1288" s="4" t="s">
        <v>42</v>
      </c>
      <c r="W1288" s="4" t="s">
        <v>172</v>
      </c>
      <c r="X1288" s="4" t="s">
        <v>386</v>
      </c>
      <c r="Y1288" s="7" t="s">
        <v>197</v>
      </c>
      <c r="Z1288" s="7"/>
      <c r="AA1288" s="4" t="s">
        <v>46</v>
      </c>
      <c r="AB1288" s="4" t="s">
        <v>47</v>
      </c>
      <c r="AC1288" s="4" t="s">
        <v>136</v>
      </c>
      <c r="AD1288" s="4" t="s">
        <v>137</v>
      </c>
      <c r="AE1288" s="4" t="s">
        <v>48</v>
      </c>
      <c r="AF1288" s="4" t="s">
        <v>41</v>
      </c>
      <c r="AG1288" s="4" t="s">
        <v>2708</v>
      </c>
    </row>
    <row r="1289" spans="1:33" ht="16.5" customHeight="1" x14ac:dyDescent="0.2">
      <c r="A1289" s="2" t="s">
        <v>31</v>
      </c>
      <c r="B1289" s="5" t="s">
        <v>54</v>
      </c>
      <c r="C1289" s="5"/>
      <c r="D1289" s="5"/>
      <c r="E1289" s="6" t="s">
        <v>33</v>
      </c>
      <c r="F1289" s="6"/>
      <c r="G1289" s="7" t="s">
        <v>2705</v>
      </c>
      <c r="H1289" s="7"/>
      <c r="I1289" s="7"/>
      <c r="J1289" s="3" t="s">
        <v>35</v>
      </c>
      <c r="K1289" s="4" t="s">
        <v>192</v>
      </c>
      <c r="L1289" s="4" t="s">
        <v>37</v>
      </c>
      <c r="N1289" s="7" t="s">
        <v>2765</v>
      </c>
      <c r="O1289" s="7"/>
      <c r="P1289" s="7" t="s">
        <v>2766</v>
      </c>
      <c r="Q1289" s="7"/>
      <c r="R1289" s="7"/>
      <c r="S1289" s="3" t="s">
        <v>40</v>
      </c>
      <c r="T1289" s="7" t="s">
        <v>41</v>
      </c>
      <c r="U1289" s="7"/>
      <c r="V1289" s="4" t="s">
        <v>51</v>
      </c>
      <c r="W1289" s="4" t="s">
        <v>172</v>
      </c>
      <c r="X1289" s="4" t="s">
        <v>59</v>
      </c>
      <c r="Y1289" s="7" t="s">
        <v>197</v>
      </c>
      <c r="Z1289" s="7"/>
      <c r="AA1289" s="4" t="s">
        <v>46</v>
      </c>
      <c r="AB1289" s="4" t="s">
        <v>47</v>
      </c>
      <c r="AC1289" s="4" t="s">
        <v>136</v>
      </c>
      <c r="AD1289" s="4" t="s">
        <v>137</v>
      </c>
      <c r="AE1289" s="4" t="s">
        <v>48</v>
      </c>
      <c r="AF1289" s="4" t="s">
        <v>41</v>
      </c>
      <c r="AG1289" s="4" t="s">
        <v>2708</v>
      </c>
    </row>
    <row r="1290" spans="1:33" ht="16.5" customHeight="1" x14ac:dyDescent="0.2">
      <c r="A1290" s="2" t="s">
        <v>31</v>
      </c>
      <c r="B1290" s="5" t="s">
        <v>54</v>
      </c>
      <c r="C1290" s="5"/>
      <c r="D1290" s="5"/>
      <c r="E1290" s="6" t="s">
        <v>33</v>
      </c>
      <c r="F1290" s="6"/>
      <c r="G1290" s="7" t="s">
        <v>2705</v>
      </c>
      <c r="H1290" s="7"/>
      <c r="I1290" s="7"/>
      <c r="J1290" s="3" t="s">
        <v>35</v>
      </c>
      <c r="K1290" s="4" t="s">
        <v>192</v>
      </c>
      <c r="L1290" s="4" t="s">
        <v>37</v>
      </c>
      <c r="N1290" s="7" t="s">
        <v>2767</v>
      </c>
      <c r="O1290" s="7"/>
      <c r="P1290" s="7" t="s">
        <v>2768</v>
      </c>
      <c r="Q1290" s="7"/>
      <c r="R1290" s="7"/>
      <c r="S1290" s="3" t="s">
        <v>40</v>
      </c>
      <c r="T1290" s="7" t="s">
        <v>41</v>
      </c>
      <c r="U1290" s="7"/>
      <c r="V1290" s="4" t="s">
        <v>42</v>
      </c>
      <c r="W1290" s="4" t="s">
        <v>172</v>
      </c>
      <c r="X1290" s="4" t="s">
        <v>386</v>
      </c>
      <c r="Y1290" s="7" t="s">
        <v>197</v>
      </c>
      <c r="Z1290" s="7"/>
      <c r="AA1290" s="4" t="s">
        <v>46</v>
      </c>
      <c r="AB1290" s="4" t="s">
        <v>47</v>
      </c>
      <c r="AC1290" s="4" t="s">
        <v>136</v>
      </c>
      <c r="AD1290" s="4" t="s">
        <v>137</v>
      </c>
      <c r="AE1290" s="4" t="s">
        <v>48</v>
      </c>
      <c r="AF1290" s="4" t="s">
        <v>41</v>
      </c>
      <c r="AG1290" s="4" t="s">
        <v>2708</v>
      </c>
    </row>
    <row r="1291" spans="1:33" ht="16.5" customHeight="1" x14ac:dyDescent="0.2">
      <c r="A1291" s="2" t="s">
        <v>31</v>
      </c>
      <c r="B1291" s="5" t="s">
        <v>54</v>
      </c>
      <c r="C1291" s="5"/>
      <c r="D1291" s="5"/>
      <c r="E1291" s="6" t="s">
        <v>33</v>
      </c>
      <c r="F1291" s="6"/>
      <c r="G1291" s="7" t="s">
        <v>2705</v>
      </c>
      <c r="H1291" s="7"/>
      <c r="I1291" s="7"/>
      <c r="J1291" s="3" t="s">
        <v>35</v>
      </c>
      <c r="K1291" s="4" t="s">
        <v>192</v>
      </c>
      <c r="L1291" s="4" t="s">
        <v>37</v>
      </c>
      <c r="N1291" s="7" t="s">
        <v>2769</v>
      </c>
      <c r="O1291" s="7"/>
      <c r="P1291" s="7" t="s">
        <v>2770</v>
      </c>
      <c r="Q1291" s="7"/>
      <c r="R1291" s="7"/>
      <c r="S1291" s="3" t="s">
        <v>40</v>
      </c>
      <c r="T1291" s="7" t="s">
        <v>41</v>
      </c>
      <c r="U1291" s="7"/>
      <c r="V1291" s="4" t="s">
        <v>42</v>
      </c>
      <c r="W1291" s="4" t="s">
        <v>58</v>
      </c>
      <c r="X1291" s="4" t="s">
        <v>59</v>
      </c>
      <c r="Y1291" s="7" t="s">
        <v>197</v>
      </c>
      <c r="Z1291" s="7"/>
      <c r="AA1291" s="4" t="s">
        <v>46</v>
      </c>
      <c r="AB1291" s="4" t="s">
        <v>47</v>
      </c>
      <c r="AC1291" s="4" t="s">
        <v>136</v>
      </c>
      <c r="AD1291" s="4" t="s">
        <v>137</v>
      </c>
      <c r="AE1291" s="4" t="s">
        <v>48</v>
      </c>
      <c r="AF1291" s="4" t="s">
        <v>41</v>
      </c>
      <c r="AG1291" s="4" t="s">
        <v>2708</v>
      </c>
    </row>
    <row r="1292" spans="1:33" ht="16.5" customHeight="1" x14ac:dyDescent="0.2">
      <c r="A1292" s="2" t="s">
        <v>31</v>
      </c>
      <c r="B1292" s="5" t="s">
        <v>54</v>
      </c>
      <c r="C1292" s="5"/>
      <c r="D1292" s="5"/>
      <c r="E1292" s="6" t="s">
        <v>33</v>
      </c>
      <c r="F1292" s="6"/>
      <c r="G1292" s="7" t="s">
        <v>2705</v>
      </c>
      <c r="H1292" s="7"/>
      <c r="I1292" s="7"/>
      <c r="J1292" s="3" t="s">
        <v>35</v>
      </c>
      <c r="K1292" s="4" t="s">
        <v>202</v>
      </c>
      <c r="L1292" s="4" t="s">
        <v>37</v>
      </c>
      <c r="N1292" s="7" t="s">
        <v>2771</v>
      </c>
      <c r="O1292" s="7"/>
      <c r="P1292" s="7" t="s">
        <v>2772</v>
      </c>
      <c r="Q1292" s="7"/>
      <c r="R1292" s="7"/>
      <c r="S1292" s="3" t="s">
        <v>40</v>
      </c>
      <c r="T1292" s="7" t="s">
        <v>41</v>
      </c>
      <c r="U1292" s="7"/>
      <c r="V1292" s="4" t="s">
        <v>42</v>
      </c>
      <c r="W1292" s="4" t="s">
        <v>58</v>
      </c>
      <c r="X1292" s="4" t="s">
        <v>59</v>
      </c>
      <c r="Y1292" s="7" t="s">
        <v>197</v>
      </c>
      <c r="Z1292" s="7"/>
      <c r="AA1292" s="4" t="s">
        <v>46</v>
      </c>
      <c r="AB1292" s="4" t="s">
        <v>47</v>
      </c>
      <c r="AC1292" s="4" t="s">
        <v>136</v>
      </c>
      <c r="AD1292" s="4" t="s">
        <v>137</v>
      </c>
      <c r="AE1292" s="4" t="s">
        <v>48</v>
      </c>
      <c r="AF1292" s="4" t="s">
        <v>41</v>
      </c>
      <c r="AG1292" s="4" t="s">
        <v>2708</v>
      </c>
    </row>
    <row r="1293" spans="1:33" ht="16.5" customHeight="1" x14ac:dyDescent="0.2">
      <c r="A1293" s="2" t="s">
        <v>31</v>
      </c>
      <c r="B1293" s="5" t="s">
        <v>54</v>
      </c>
      <c r="C1293" s="5"/>
      <c r="D1293" s="5"/>
      <c r="E1293" s="6" t="s">
        <v>33</v>
      </c>
      <c r="F1293" s="6"/>
      <c r="G1293" s="7" t="s">
        <v>2705</v>
      </c>
      <c r="H1293" s="7"/>
      <c r="I1293" s="7"/>
      <c r="J1293" s="3" t="s">
        <v>35</v>
      </c>
      <c r="K1293" s="4" t="s">
        <v>183</v>
      </c>
      <c r="L1293" s="4" t="s">
        <v>37</v>
      </c>
      <c r="N1293" s="7" t="s">
        <v>2773</v>
      </c>
      <c r="O1293" s="7"/>
      <c r="P1293" s="7" t="s">
        <v>2774</v>
      </c>
      <c r="Q1293" s="7"/>
      <c r="R1293" s="7"/>
      <c r="S1293" s="3" t="s">
        <v>40</v>
      </c>
      <c r="T1293" s="7" t="s">
        <v>41</v>
      </c>
      <c r="U1293" s="7"/>
      <c r="V1293" s="4" t="s">
        <v>42</v>
      </c>
      <c r="W1293" s="4" t="s">
        <v>58</v>
      </c>
      <c r="X1293" s="4" t="s">
        <v>59</v>
      </c>
      <c r="Y1293" s="7" t="s">
        <v>60</v>
      </c>
      <c r="Z1293" s="7"/>
      <c r="AA1293" s="4" t="s">
        <v>46</v>
      </c>
      <c r="AB1293" s="4" t="s">
        <v>47</v>
      </c>
      <c r="AC1293" s="4" t="s">
        <v>61</v>
      </c>
      <c r="AD1293" s="4" t="s">
        <v>62</v>
      </c>
      <c r="AE1293" s="4" t="s">
        <v>48</v>
      </c>
      <c r="AF1293" s="4" t="s">
        <v>41</v>
      </c>
      <c r="AG1293" s="4" t="s">
        <v>2708</v>
      </c>
    </row>
    <row r="1294" spans="1:33" ht="16.5" customHeight="1" x14ac:dyDescent="0.2">
      <c r="A1294" s="2" t="s">
        <v>31</v>
      </c>
      <c r="B1294" s="5" t="s">
        <v>54</v>
      </c>
      <c r="C1294" s="5"/>
      <c r="D1294" s="5"/>
      <c r="E1294" s="6" t="s">
        <v>33</v>
      </c>
      <c r="F1294" s="6"/>
      <c r="G1294" s="7" t="s">
        <v>2705</v>
      </c>
      <c r="H1294" s="7"/>
      <c r="I1294" s="7"/>
      <c r="J1294" s="3" t="s">
        <v>35</v>
      </c>
      <c r="K1294" s="4" t="s">
        <v>183</v>
      </c>
      <c r="L1294" s="4" t="s">
        <v>37</v>
      </c>
      <c r="N1294" s="7" t="s">
        <v>2773</v>
      </c>
      <c r="O1294" s="7"/>
      <c r="P1294" s="7" t="s">
        <v>2774</v>
      </c>
      <c r="Q1294" s="7"/>
      <c r="R1294" s="7"/>
      <c r="S1294" s="3" t="s">
        <v>40</v>
      </c>
      <c r="T1294" s="7" t="s">
        <v>41</v>
      </c>
      <c r="U1294" s="7"/>
      <c r="V1294" s="4" t="s">
        <v>51</v>
      </c>
      <c r="W1294" s="4" t="s">
        <v>58</v>
      </c>
      <c r="X1294" s="4" t="s">
        <v>128</v>
      </c>
      <c r="Y1294" s="7" t="s">
        <v>60</v>
      </c>
      <c r="Z1294" s="7"/>
      <c r="AA1294" s="4" t="s">
        <v>46</v>
      </c>
      <c r="AB1294" s="4" t="s">
        <v>47</v>
      </c>
      <c r="AC1294" s="4" t="s">
        <v>61</v>
      </c>
      <c r="AD1294" s="4" t="s">
        <v>62</v>
      </c>
      <c r="AE1294" s="4" t="s">
        <v>48</v>
      </c>
      <c r="AF1294" s="4" t="s">
        <v>41</v>
      </c>
      <c r="AG1294" s="4" t="s">
        <v>2708</v>
      </c>
    </row>
    <row r="1295" spans="1:33" ht="16.5" customHeight="1" x14ac:dyDescent="0.2">
      <c r="A1295" s="2" t="s">
        <v>31</v>
      </c>
      <c r="B1295" s="5" t="s">
        <v>54</v>
      </c>
      <c r="C1295" s="5"/>
      <c r="D1295" s="5"/>
      <c r="E1295" s="6" t="s">
        <v>33</v>
      </c>
      <c r="F1295" s="6"/>
      <c r="G1295" s="7" t="s">
        <v>2705</v>
      </c>
      <c r="H1295" s="7"/>
      <c r="I1295" s="7"/>
      <c r="J1295" s="3" t="s">
        <v>35</v>
      </c>
      <c r="K1295" s="4" t="s">
        <v>202</v>
      </c>
      <c r="L1295" s="4" t="s">
        <v>93</v>
      </c>
      <c r="N1295" s="7" t="s">
        <v>2775</v>
      </c>
      <c r="O1295" s="7"/>
      <c r="P1295" s="7" t="s">
        <v>2776</v>
      </c>
      <c r="Q1295" s="7"/>
      <c r="R1295" s="7"/>
      <c r="S1295" s="3" t="s">
        <v>40</v>
      </c>
      <c r="T1295" s="7" t="s">
        <v>41</v>
      </c>
      <c r="U1295" s="7"/>
      <c r="V1295" s="4" t="s">
        <v>42</v>
      </c>
      <c r="W1295" s="4" t="s">
        <v>58</v>
      </c>
      <c r="X1295" s="4" t="s">
        <v>59</v>
      </c>
      <c r="Y1295" s="7" t="s">
        <v>197</v>
      </c>
      <c r="Z1295" s="7"/>
      <c r="AA1295" s="4" t="s">
        <v>46</v>
      </c>
      <c r="AB1295" s="4" t="s">
        <v>47</v>
      </c>
      <c r="AC1295" s="4" t="s">
        <v>136</v>
      </c>
      <c r="AD1295" s="4" t="s">
        <v>148</v>
      </c>
      <c r="AE1295" s="4" t="s">
        <v>48</v>
      </c>
      <c r="AF1295" s="4" t="s">
        <v>41</v>
      </c>
      <c r="AG1295" s="4" t="s">
        <v>2708</v>
      </c>
    </row>
    <row r="1296" spans="1:33" ht="16.5" customHeight="1" x14ac:dyDescent="0.2">
      <c r="A1296" s="2" t="s">
        <v>31</v>
      </c>
      <c r="B1296" s="5" t="s">
        <v>54</v>
      </c>
      <c r="C1296" s="5"/>
      <c r="D1296" s="5"/>
      <c r="E1296" s="6" t="s">
        <v>33</v>
      </c>
      <c r="F1296" s="6"/>
      <c r="G1296" s="7" t="s">
        <v>2705</v>
      </c>
      <c r="H1296" s="7"/>
      <c r="I1296" s="7"/>
      <c r="J1296" s="3" t="s">
        <v>35</v>
      </c>
      <c r="K1296" s="4" t="s">
        <v>202</v>
      </c>
      <c r="L1296" s="4" t="s">
        <v>37</v>
      </c>
      <c r="N1296" s="7" t="s">
        <v>2777</v>
      </c>
      <c r="O1296" s="7"/>
      <c r="P1296" s="7" t="s">
        <v>2778</v>
      </c>
      <c r="Q1296" s="7"/>
      <c r="R1296" s="7"/>
      <c r="S1296" s="3" t="s">
        <v>40</v>
      </c>
      <c r="T1296" s="7" t="s">
        <v>41</v>
      </c>
      <c r="U1296" s="7"/>
      <c r="V1296" s="4" t="s">
        <v>42</v>
      </c>
      <c r="W1296" s="4" t="s">
        <v>58</v>
      </c>
      <c r="X1296" s="4" t="s">
        <v>59</v>
      </c>
      <c r="Y1296" s="7" t="s">
        <v>197</v>
      </c>
      <c r="Z1296" s="7"/>
      <c r="AA1296" s="4" t="s">
        <v>46</v>
      </c>
      <c r="AB1296" s="4" t="s">
        <v>47</v>
      </c>
      <c r="AC1296" s="4" t="s">
        <v>136</v>
      </c>
      <c r="AD1296" s="4" t="s">
        <v>137</v>
      </c>
      <c r="AE1296" s="4" t="s">
        <v>48</v>
      </c>
      <c r="AF1296" s="4" t="s">
        <v>41</v>
      </c>
      <c r="AG1296" s="4" t="s">
        <v>2708</v>
      </c>
    </row>
    <row r="1297" spans="1:33" ht="16.5" customHeight="1" x14ac:dyDescent="0.2">
      <c r="A1297" s="2" t="s">
        <v>31</v>
      </c>
      <c r="B1297" s="5" t="s">
        <v>54</v>
      </c>
      <c r="C1297" s="5"/>
      <c r="D1297" s="5"/>
      <c r="E1297" s="6" t="s">
        <v>33</v>
      </c>
      <c r="F1297" s="6"/>
      <c r="G1297" s="7" t="s">
        <v>2705</v>
      </c>
      <c r="H1297" s="7"/>
      <c r="I1297" s="7"/>
      <c r="J1297" s="3" t="s">
        <v>35</v>
      </c>
      <c r="K1297" s="4" t="s">
        <v>202</v>
      </c>
      <c r="L1297" s="4" t="s">
        <v>37</v>
      </c>
      <c r="N1297" s="7" t="s">
        <v>2779</v>
      </c>
      <c r="O1297" s="7"/>
      <c r="P1297" s="7" t="s">
        <v>2780</v>
      </c>
      <c r="Q1297" s="7"/>
      <c r="R1297" s="7"/>
      <c r="S1297" s="3" t="s">
        <v>40</v>
      </c>
      <c r="T1297" s="7" t="s">
        <v>41</v>
      </c>
      <c r="U1297" s="7"/>
      <c r="V1297" s="4" t="s">
        <v>42</v>
      </c>
      <c r="W1297" s="4" t="s">
        <v>58</v>
      </c>
      <c r="X1297" s="4" t="s">
        <v>59</v>
      </c>
      <c r="Y1297" s="7" t="s">
        <v>197</v>
      </c>
      <c r="Z1297" s="7"/>
      <c r="AA1297" s="4" t="s">
        <v>46</v>
      </c>
      <c r="AB1297" s="4" t="s">
        <v>47</v>
      </c>
      <c r="AC1297" s="4" t="s">
        <v>136</v>
      </c>
      <c r="AD1297" s="4" t="s">
        <v>137</v>
      </c>
      <c r="AE1297" s="4" t="s">
        <v>48</v>
      </c>
      <c r="AF1297" s="4" t="s">
        <v>41</v>
      </c>
      <c r="AG1297" s="4" t="s">
        <v>2708</v>
      </c>
    </row>
    <row r="1298" spans="1:33" ht="16.5" customHeight="1" x14ac:dyDescent="0.2">
      <c r="A1298" s="2" t="s">
        <v>31</v>
      </c>
      <c r="B1298" s="5" t="s">
        <v>54</v>
      </c>
      <c r="C1298" s="5"/>
      <c r="D1298" s="5"/>
      <c r="E1298" s="6" t="s">
        <v>33</v>
      </c>
      <c r="F1298" s="6"/>
      <c r="G1298" s="7" t="s">
        <v>2705</v>
      </c>
      <c r="H1298" s="7"/>
      <c r="I1298" s="7"/>
      <c r="J1298" s="3" t="s">
        <v>35</v>
      </c>
      <c r="K1298" s="4" t="s">
        <v>202</v>
      </c>
      <c r="L1298" s="4" t="s">
        <v>37</v>
      </c>
      <c r="N1298" s="7" t="s">
        <v>2781</v>
      </c>
      <c r="O1298" s="7"/>
      <c r="P1298" s="7" t="s">
        <v>2782</v>
      </c>
      <c r="Q1298" s="7"/>
      <c r="R1298" s="7"/>
      <c r="S1298" s="3" t="s">
        <v>40</v>
      </c>
      <c r="T1298" s="7" t="s">
        <v>41</v>
      </c>
      <c r="U1298" s="7"/>
      <c r="V1298" s="4" t="s">
        <v>42</v>
      </c>
      <c r="W1298" s="4" t="s">
        <v>58</v>
      </c>
      <c r="X1298" s="4" t="s">
        <v>59</v>
      </c>
      <c r="Y1298" s="7" t="s">
        <v>197</v>
      </c>
      <c r="Z1298" s="7"/>
      <c r="AA1298" s="4" t="s">
        <v>46</v>
      </c>
      <c r="AB1298" s="4" t="s">
        <v>47</v>
      </c>
      <c r="AC1298" s="4" t="s">
        <v>136</v>
      </c>
      <c r="AD1298" s="4" t="s">
        <v>137</v>
      </c>
      <c r="AE1298" s="4" t="s">
        <v>48</v>
      </c>
      <c r="AF1298" s="4" t="s">
        <v>41</v>
      </c>
      <c r="AG1298" s="4" t="s">
        <v>2708</v>
      </c>
    </row>
    <row r="1299" spans="1:33" ht="16.5" customHeight="1" x14ac:dyDescent="0.2">
      <c r="A1299" s="2" t="s">
        <v>31</v>
      </c>
      <c r="B1299" s="5" t="s">
        <v>54</v>
      </c>
      <c r="C1299" s="5"/>
      <c r="D1299" s="5"/>
      <c r="E1299" s="6" t="s">
        <v>33</v>
      </c>
      <c r="F1299" s="6"/>
      <c r="G1299" s="7" t="s">
        <v>2705</v>
      </c>
      <c r="H1299" s="7"/>
      <c r="I1299" s="7"/>
      <c r="J1299" s="3" t="s">
        <v>35</v>
      </c>
      <c r="K1299" s="4" t="s">
        <v>202</v>
      </c>
      <c r="L1299" s="4" t="s">
        <v>93</v>
      </c>
      <c r="N1299" s="7" t="s">
        <v>2783</v>
      </c>
      <c r="O1299" s="7"/>
      <c r="P1299" s="7" t="s">
        <v>2784</v>
      </c>
      <c r="Q1299" s="7"/>
      <c r="R1299" s="7"/>
      <c r="S1299" s="3" t="s">
        <v>40</v>
      </c>
      <c r="T1299" s="7" t="s">
        <v>41</v>
      </c>
      <c r="U1299" s="7"/>
      <c r="V1299" s="4" t="s">
        <v>42</v>
      </c>
      <c r="W1299" s="4" t="s">
        <v>58</v>
      </c>
      <c r="X1299" s="4" t="s">
        <v>59</v>
      </c>
      <c r="Y1299" s="7" t="s">
        <v>197</v>
      </c>
      <c r="Z1299" s="7"/>
      <c r="AA1299" s="4" t="s">
        <v>46</v>
      </c>
      <c r="AB1299" s="4" t="s">
        <v>47</v>
      </c>
      <c r="AC1299" s="4" t="s">
        <v>136</v>
      </c>
      <c r="AD1299" s="4" t="s">
        <v>148</v>
      </c>
      <c r="AE1299" s="4" t="s">
        <v>48</v>
      </c>
      <c r="AF1299" s="4" t="s">
        <v>41</v>
      </c>
      <c r="AG1299" s="4" t="s">
        <v>2708</v>
      </c>
    </row>
    <row r="1300" spans="1:33" ht="16.5" customHeight="1" x14ac:dyDescent="0.2">
      <c r="A1300" s="2" t="s">
        <v>31</v>
      </c>
      <c r="B1300" s="5" t="s">
        <v>54</v>
      </c>
      <c r="C1300" s="5"/>
      <c r="D1300" s="5"/>
      <c r="E1300" s="6" t="s">
        <v>33</v>
      </c>
      <c r="F1300" s="6"/>
      <c r="G1300" s="7" t="s">
        <v>2705</v>
      </c>
      <c r="H1300" s="7"/>
      <c r="I1300" s="7"/>
      <c r="J1300" s="3" t="s">
        <v>35</v>
      </c>
      <c r="K1300" s="4" t="s">
        <v>202</v>
      </c>
      <c r="L1300" s="4" t="s">
        <v>37</v>
      </c>
      <c r="N1300" s="7" t="s">
        <v>2785</v>
      </c>
      <c r="O1300" s="7"/>
      <c r="P1300" s="7" t="s">
        <v>2786</v>
      </c>
      <c r="Q1300" s="7"/>
      <c r="R1300" s="7"/>
      <c r="S1300" s="3" t="s">
        <v>40</v>
      </c>
      <c r="T1300" s="7" t="s">
        <v>41</v>
      </c>
      <c r="U1300" s="7"/>
      <c r="V1300" s="4" t="s">
        <v>51</v>
      </c>
      <c r="W1300" s="4" t="s">
        <v>172</v>
      </c>
      <c r="X1300" s="4" t="s">
        <v>59</v>
      </c>
      <c r="Y1300" s="7" t="s">
        <v>197</v>
      </c>
      <c r="Z1300" s="7"/>
      <c r="AA1300" s="4" t="s">
        <v>46</v>
      </c>
      <c r="AB1300" s="4" t="s">
        <v>47</v>
      </c>
      <c r="AC1300" s="4" t="s">
        <v>136</v>
      </c>
      <c r="AD1300" s="4" t="s">
        <v>137</v>
      </c>
      <c r="AE1300" s="4" t="s">
        <v>48</v>
      </c>
      <c r="AF1300" s="4" t="s">
        <v>41</v>
      </c>
      <c r="AG1300" s="4" t="s">
        <v>2708</v>
      </c>
    </row>
    <row r="1301" spans="1:33" ht="0.75" customHeight="1" x14ac:dyDescent="0.2"/>
    <row r="1302" spans="1:33" ht="12" customHeight="1" x14ac:dyDescent="0.2"/>
    <row r="1303" spans="1:33" ht="16.5" customHeight="1" x14ac:dyDescent="0.2">
      <c r="A1303" s="2" t="s">
        <v>31</v>
      </c>
      <c r="B1303" s="5" t="s">
        <v>54</v>
      </c>
      <c r="C1303" s="5"/>
      <c r="D1303" s="5"/>
      <c r="E1303" s="6" t="s">
        <v>33</v>
      </c>
      <c r="F1303" s="6"/>
      <c r="G1303" s="7" t="s">
        <v>2705</v>
      </c>
      <c r="H1303" s="7"/>
      <c r="I1303" s="7"/>
      <c r="J1303" s="3" t="s">
        <v>35</v>
      </c>
      <c r="K1303" s="4" t="s">
        <v>202</v>
      </c>
      <c r="L1303" s="4" t="s">
        <v>37</v>
      </c>
      <c r="N1303" s="7" t="s">
        <v>2787</v>
      </c>
      <c r="O1303" s="7"/>
      <c r="P1303" s="7" t="s">
        <v>2788</v>
      </c>
      <c r="Q1303" s="7"/>
      <c r="R1303" s="7"/>
      <c r="S1303" s="3" t="s">
        <v>40</v>
      </c>
      <c r="T1303" s="7" t="s">
        <v>41</v>
      </c>
      <c r="U1303" s="7"/>
      <c r="V1303" s="4" t="s">
        <v>42</v>
      </c>
      <c r="W1303" s="4" t="s">
        <v>58</v>
      </c>
      <c r="X1303" s="4" t="s">
        <v>59</v>
      </c>
      <c r="Y1303" s="7" t="s">
        <v>197</v>
      </c>
      <c r="Z1303" s="7"/>
      <c r="AA1303" s="4" t="s">
        <v>46</v>
      </c>
      <c r="AB1303" s="4" t="s">
        <v>47</v>
      </c>
      <c r="AC1303" s="4" t="s">
        <v>136</v>
      </c>
      <c r="AD1303" s="4" t="s">
        <v>137</v>
      </c>
      <c r="AE1303" s="4" t="s">
        <v>48</v>
      </c>
      <c r="AF1303" s="4" t="s">
        <v>41</v>
      </c>
      <c r="AG1303" s="4" t="s">
        <v>2708</v>
      </c>
    </row>
    <row r="1304" spans="1:33" ht="16.5" customHeight="1" x14ac:dyDescent="0.2">
      <c r="A1304" s="2" t="s">
        <v>31</v>
      </c>
      <c r="B1304" s="5" t="s">
        <v>54</v>
      </c>
      <c r="C1304" s="5"/>
      <c r="D1304" s="5"/>
      <c r="E1304" s="6" t="s">
        <v>33</v>
      </c>
      <c r="F1304" s="6"/>
      <c r="G1304" s="7" t="s">
        <v>2705</v>
      </c>
      <c r="H1304" s="7"/>
      <c r="I1304" s="7"/>
      <c r="J1304" s="3" t="s">
        <v>35</v>
      </c>
      <c r="K1304" s="4" t="s">
        <v>192</v>
      </c>
      <c r="L1304" s="4" t="s">
        <v>93</v>
      </c>
      <c r="N1304" s="7" t="s">
        <v>2789</v>
      </c>
      <c r="O1304" s="7"/>
      <c r="P1304" s="7" t="s">
        <v>2790</v>
      </c>
      <c r="Q1304" s="7"/>
      <c r="R1304" s="7"/>
      <c r="S1304" s="3" t="s">
        <v>40</v>
      </c>
      <c r="T1304" s="7" t="s">
        <v>41</v>
      </c>
      <c r="U1304" s="7"/>
      <c r="V1304" s="4" t="s">
        <v>42</v>
      </c>
      <c r="W1304" s="4" t="s">
        <v>58</v>
      </c>
      <c r="X1304" s="4" t="s">
        <v>59</v>
      </c>
      <c r="Y1304" s="7" t="s">
        <v>197</v>
      </c>
      <c r="Z1304" s="7"/>
      <c r="AA1304" s="4" t="s">
        <v>46</v>
      </c>
      <c r="AB1304" s="4" t="s">
        <v>47</v>
      </c>
      <c r="AC1304" s="4" t="s">
        <v>136</v>
      </c>
      <c r="AD1304" s="4" t="s">
        <v>148</v>
      </c>
      <c r="AE1304" s="4" t="s">
        <v>48</v>
      </c>
      <c r="AF1304" s="4" t="s">
        <v>41</v>
      </c>
      <c r="AG1304" s="4" t="s">
        <v>2708</v>
      </c>
    </row>
    <row r="1305" spans="1:33" ht="16.5" customHeight="1" x14ac:dyDescent="0.2">
      <c r="A1305" s="2" t="s">
        <v>31</v>
      </c>
      <c r="B1305" s="5" t="s">
        <v>54</v>
      </c>
      <c r="C1305" s="5"/>
      <c r="D1305" s="5"/>
      <c r="E1305" s="6" t="s">
        <v>33</v>
      </c>
      <c r="F1305" s="6"/>
      <c r="G1305" s="7" t="s">
        <v>2705</v>
      </c>
      <c r="H1305" s="7"/>
      <c r="I1305" s="7"/>
      <c r="J1305" s="3" t="s">
        <v>35</v>
      </c>
      <c r="K1305" s="4" t="s">
        <v>192</v>
      </c>
      <c r="L1305" s="4" t="s">
        <v>37</v>
      </c>
      <c r="N1305" s="7" t="s">
        <v>2791</v>
      </c>
      <c r="O1305" s="7"/>
      <c r="P1305" s="7" t="s">
        <v>2792</v>
      </c>
      <c r="Q1305" s="7"/>
      <c r="R1305" s="7"/>
      <c r="S1305" s="3" t="s">
        <v>40</v>
      </c>
      <c r="T1305" s="7" t="s">
        <v>41</v>
      </c>
      <c r="U1305" s="7"/>
      <c r="V1305" s="4" t="s">
        <v>42</v>
      </c>
      <c r="W1305" s="4" t="s">
        <v>172</v>
      </c>
      <c r="X1305" s="4" t="s">
        <v>386</v>
      </c>
      <c r="Y1305" s="7" t="s">
        <v>197</v>
      </c>
      <c r="Z1305" s="7"/>
      <c r="AA1305" s="4" t="s">
        <v>46</v>
      </c>
      <c r="AB1305" s="4" t="s">
        <v>47</v>
      </c>
      <c r="AC1305" s="4" t="s">
        <v>136</v>
      </c>
      <c r="AD1305" s="4" t="s">
        <v>137</v>
      </c>
      <c r="AE1305" s="4" t="s">
        <v>48</v>
      </c>
      <c r="AF1305" s="4" t="s">
        <v>41</v>
      </c>
      <c r="AG1305" s="4" t="s">
        <v>2708</v>
      </c>
    </row>
    <row r="1306" spans="1:33" ht="16.5" customHeight="1" x14ac:dyDescent="0.2">
      <c r="A1306" s="2" t="s">
        <v>31</v>
      </c>
      <c r="B1306" s="5" t="s">
        <v>54</v>
      </c>
      <c r="C1306" s="5"/>
      <c r="D1306" s="5"/>
      <c r="E1306" s="6" t="s">
        <v>33</v>
      </c>
      <c r="F1306" s="6"/>
      <c r="G1306" s="7" t="s">
        <v>2705</v>
      </c>
      <c r="H1306" s="7"/>
      <c r="I1306" s="7"/>
      <c r="J1306" s="3" t="s">
        <v>35</v>
      </c>
      <c r="K1306" s="4" t="s">
        <v>192</v>
      </c>
      <c r="L1306" s="4" t="s">
        <v>37</v>
      </c>
      <c r="N1306" s="7" t="s">
        <v>2793</v>
      </c>
      <c r="O1306" s="7"/>
      <c r="P1306" s="7" t="s">
        <v>2794</v>
      </c>
      <c r="Q1306" s="7"/>
      <c r="R1306" s="7"/>
      <c r="S1306" s="3" t="s">
        <v>40</v>
      </c>
      <c r="T1306" s="7" t="s">
        <v>41</v>
      </c>
      <c r="U1306" s="7"/>
      <c r="V1306" s="4" t="s">
        <v>42</v>
      </c>
      <c r="W1306" s="4" t="s">
        <v>58</v>
      </c>
      <c r="X1306" s="4" t="s">
        <v>59</v>
      </c>
      <c r="Y1306" s="7" t="s">
        <v>197</v>
      </c>
      <c r="Z1306" s="7"/>
      <c r="AA1306" s="4" t="s">
        <v>46</v>
      </c>
      <c r="AB1306" s="4" t="s">
        <v>47</v>
      </c>
      <c r="AC1306" s="4" t="s">
        <v>136</v>
      </c>
      <c r="AD1306" s="4" t="s">
        <v>137</v>
      </c>
      <c r="AE1306" s="4" t="s">
        <v>48</v>
      </c>
      <c r="AF1306" s="4" t="s">
        <v>41</v>
      </c>
      <c r="AG1306" s="4" t="s">
        <v>2708</v>
      </c>
    </row>
    <row r="1307" spans="1:33" ht="16.5" customHeight="1" x14ac:dyDescent="0.2">
      <c r="A1307" s="2" t="s">
        <v>31</v>
      </c>
      <c r="B1307" s="5" t="s">
        <v>54</v>
      </c>
      <c r="C1307" s="5"/>
      <c r="D1307" s="5"/>
      <c r="E1307" s="6" t="s">
        <v>33</v>
      </c>
      <c r="F1307" s="6"/>
      <c r="G1307" s="7" t="s">
        <v>2705</v>
      </c>
      <c r="H1307" s="7"/>
      <c r="I1307" s="7"/>
      <c r="J1307" s="3" t="s">
        <v>35</v>
      </c>
      <c r="K1307" s="4" t="s">
        <v>192</v>
      </c>
      <c r="L1307" s="4" t="s">
        <v>37</v>
      </c>
      <c r="N1307" s="7" t="s">
        <v>2795</v>
      </c>
      <c r="O1307" s="7"/>
      <c r="P1307" s="7" t="s">
        <v>2796</v>
      </c>
      <c r="Q1307" s="7"/>
      <c r="R1307" s="7"/>
      <c r="S1307" s="3" t="s">
        <v>40</v>
      </c>
      <c r="T1307" s="7" t="s">
        <v>41</v>
      </c>
      <c r="U1307" s="7"/>
      <c r="V1307" s="4" t="s">
        <v>42</v>
      </c>
      <c r="W1307" s="4" t="s">
        <v>58</v>
      </c>
      <c r="X1307" s="4" t="s">
        <v>59</v>
      </c>
      <c r="Y1307" s="7" t="s">
        <v>197</v>
      </c>
      <c r="Z1307" s="7"/>
      <c r="AA1307" s="4" t="s">
        <v>46</v>
      </c>
      <c r="AB1307" s="4" t="s">
        <v>47</v>
      </c>
      <c r="AC1307" s="4" t="s">
        <v>136</v>
      </c>
      <c r="AD1307" s="4" t="s">
        <v>137</v>
      </c>
      <c r="AE1307" s="4" t="s">
        <v>48</v>
      </c>
      <c r="AF1307" s="4" t="s">
        <v>41</v>
      </c>
      <c r="AG1307" s="4" t="s">
        <v>2708</v>
      </c>
    </row>
    <row r="1308" spans="1:33" ht="16.5" customHeight="1" x14ac:dyDescent="0.2">
      <c r="A1308" s="2" t="s">
        <v>31</v>
      </c>
      <c r="B1308" s="5" t="s">
        <v>54</v>
      </c>
      <c r="C1308" s="5"/>
      <c r="D1308" s="5"/>
      <c r="E1308" s="6" t="s">
        <v>33</v>
      </c>
      <c r="F1308" s="6"/>
      <c r="G1308" s="7" t="s">
        <v>2705</v>
      </c>
      <c r="H1308" s="7"/>
      <c r="I1308" s="7"/>
      <c r="J1308" s="3" t="s">
        <v>35</v>
      </c>
      <c r="K1308" s="4" t="s">
        <v>202</v>
      </c>
      <c r="L1308" s="4" t="s">
        <v>93</v>
      </c>
      <c r="N1308" s="7" t="s">
        <v>2797</v>
      </c>
      <c r="O1308" s="7"/>
      <c r="P1308" s="7" t="s">
        <v>2798</v>
      </c>
      <c r="Q1308" s="7"/>
      <c r="R1308" s="7"/>
      <c r="S1308" s="3" t="s">
        <v>40</v>
      </c>
      <c r="T1308" s="7" t="s">
        <v>41</v>
      </c>
      <c r="U1308" s="7"/>
      <c r="V1308" s="4" t="s">
        <v>42</v>
      </c>
      <c r="W1308" s="4" t="s">
        <v>58</v>
      </c>
      <c r="X1308" s="4" t="s">
        <v>59</v>
      </c>
      <c r="Y1308" s="7" t="s">
        <v>197</v>
      </c>
      <c r="Z1308" s="7"/>
      <c r="AA1308" s="4" t="s">
        <v>46</v>
      </c>
      <c r="AB1308" s="4" t="s">
        <v>47</v>
      </c>
      <c r="AC1308" s="4" t="s">
        <v>136</v>
      </c>
      <c r="AD1308" s="4" t="s">
        <v>148</v>
      </c>
      <c r="AE1308" s="4" t="s">
        <v>48</v>
      </c>
      <c r="AF1308" s="4" t="s">
        <v>41</v>
      </c>
      <c r="AG1308" s="4" t="s">
        <v>2708</v>
      </c>
    </row>
    <row r="1309" spans="1:33" ht="16.5" customHeight="1" x14ac:dyDescent="0.2">
      <c r="A1309" s="2" t="s">
        <v>31</v>
      </c>
      <c r="B1309" s="5" t="s">
        <v>54</v>
      </c>
      <c r="C1309" s="5"/>
      <c r="D1309" s="5"/>
      <c r="E1309" s="6" t="s">
        <v>33</v>
      </c>
      <c r="F1309" s="6"/>
      <c r="G1309" s="7" t="s">
        <v>2705</v>
      </c>
      <c r="H1309" s="7"/>
      <c r="I1309" s="7"/>
      <c r="J1309" s="3" t="s">
        <v>35</v>
      </c>
      <c r="K1309" s="4" t="s">
        <v>192</v>
      </c>
      <c r="L1309" s="4" t="s">
        <v>37</v>
      </c>
      <c r="N1309" s="7" t="s">
        <v>2799</v>
      </c>
      <c r="O1309" s="7"/>
      <c r="P1309" s="7" t="s">
        <v>2800</v>
      </c>
      <c r="Q1309" s="7"/>
      <c r="R1309" s="7"/>
      <c r="S1309" s="3" t="s">
        <v>40</v>
      </c>
      <c r="T1309" s="7" t="s">
        <v>41</v>
      </c>
      <c r="U1309" s="7"/>
      <c r="V1309" s="4" t="s">
        <v>42</v>
      </c>
      <c r="W1309" s="4" t="s">
        <v>58</v>
      </c>
      <c r="X1309" s="4" t="s">
        <v>59</v>
      </c>
      <c r="Y1309" s="7" t="s">
        <v>197</v>
      </c>
      <c r="Z1309" s="7"/>
      <c r="AA1309" s="4" t="s">
        <v>46</v>
      </c>
      <c r="AB1309" s="4" t="s">
        <v>47</v>
      </c>
      <c r="AC1309" s="4" t="s">
        <v>136</v>
      </c>
      <c r="AD1309" s="4" t="s">
        <v>137</v>
      </c>
      <c r="AE1309" s="4" t="s">
        <v>48</v>
      </c>
      <c r="AF1309" s="4" t="s">
        <v>41</v>
      </c>
      <c r="AG1309" s="4" t="s">
        <v>2708</v>
      </c>
    </row>
    <row r="1310" spans="1:33" ht="16.5" customHeight="1" x14ac:dyDescent="0.2">
      <c r="A1310" s="2" t="s">
        <v>31</v>
      </c>
      <c r="B1310" s="5" t="s">
        <v>54</v>
      </c>
      <c r="C1310" s="5"/>
      <c r="D1310" s="5"/>
      <c r="E1310" s="6" t="s">
        <v>33</v>
      </c>
      <c r="F1310" s="6"/>
      <c r="G1310" s="7" t="s">
        <v>2705</v>
      </c>
      <c r="H1310" s="7"/>
      <c r="I1310" s="7"/>
      <c r="J1310" s="3" t="s">
        <v>35</v>
      </c>
      <c r="K1310" s="4" t="s">
        <v>192</v>
      </c>
      <c r="L1310" s="4" t="s">
        <v>37</v>
      </c>
      <c r="N1310" s="7" t="s">
        <v>2801</v>
      </c>
      <c r="O1310" s="7"/>
      <c r="P1310" s="7" t="s">
        <v>2802</v>
      </c>
      <c r="Q1310" s="7"/>
      <c r="R1310" s="7"/>
      <c r="S1310" s="3" t="s">
        <v>40</v>
      </c>
      <c r="T1310" s="7" t="s">
        <v>41</v>
      </c>
      <c r="U1310" s="7"/>
      <c r="V1310" s="4" t="s">
        <v>42</v>
      </c>
      <c r="W1310" s="4" t="s">
        <v>58</v>
      </c>
      <c r="X1310" s="4" t="s">
        <v>59</v>
      </c>
      <c r="Y1310" s="7" t="s">
        <v>197</v>
      </c>
      <c r="Z1310" s="7"/>
      <c r="AA1310" s="4" t="s">
        <v>46</v>
      </c>
      <c r="AB1310" s="4" t="s">
        <v>47</v>
      </c>
      <c r="AC1310" s="4" t="s">
        <v>136</v>
      </c>
      <c r="AD1310" s="4" t="s">
        <v>137</v>
      </c>
      <c r="AE1310" s="4" t="s">
        <v>48</v>
      </c>
      <c r="AF1310" s="4" t="s">
        <v>41</v>
      </c>
      <c r="AG1310" s="4" t="s">
        <v>2708</v>
      </c>
    </row>
    <row r="1311" spans="1:33" ht="16.5" customHeight="1" x14ac:dyDescent="0.2">
      <c r="A1311" s="2" t="s">
        <v>31</v>
      </c>
      <c r="B1311" s="5" t="s">
        <v>54</v>
      </c>
      <c r="C1311" s="5"/>
      <c r="D1311" s="5"/>
      <c r="E1311" s="6" t="s">
        <v>33</v>
      </c>
      <c r="F1311" s="6"/>
      <c r="G1311" s="7" t="s">
        <v>2705</v>
      </c>
      <c r="H1311" s="7"/>
      <c r="I1311" s="7"/>
      <c r="J1311" s="3" t="s">
        <v>35</v>
      </c>
      <c r="K1311" s="4" t="s">
        <v>202</v>
      </c>
      <c r="L1311" s="4" t="s">
        <v>93</v>
      </c>
      <c r="N1311" s="7" t="s">
        <v>2803</v>
      </c>
      <c r="O1311" s="7"/>
      <c r="P1311" s="7" t="s">
        <v>2804</v>
      </c>
      <c r="Q1311" s="7"/>
      <c r="R1311" s="7"/>
      <c r="S1311" s="3" t="s">
        <v>40</v>
      </c>
      <c r="T1311" s="7" t="s">
        <v>41</v>
      </c>
      <c r="U1311" s="7"/>
      <c r="V1311" s="4" t="s">
        <v>42</v>
      </c>
      <c r="W1311" s="4" t="s">
        <v>58</v>
      </c>
      <c r="X1311" s="4" t="s">
        <v>59</v>
      </c>
      <c r="Y1311" s="7" t="s">
        <v>197</v>
      </c>
      <c r="Z1311" s="7"/>
      <c r="AA1311" s="4" t="s">
        <v>46</v>
      </c>
      <c r="AB1311" s="4" t="s">
        <v>47</v>
      </c>
      <c r="AC1311" s="4" t="s">
        <v>136</v>
      </c>
      <c r="AD1311" s="4" t="s">
        <v>148</v>
      </c>
      <c r="AE1311" s="4" t="s">
        <v>48</v>
      </c>
      <c r="AF1311" s="4" t="s">
        <v>41</v>
      </c>
      <c r="AG1311" s="4" t="s">
        <v>2708</v>
      </c>
    </row>
    <row r="1312" spans="1:33" ht="16.5" customHeight="1" x14ac:dyDescent="0.2">
      <c r="A1312" s="2" t="s">
        <v>31</v>
      </c>
      <c r="B1312" s="5" t="s">
        <v>54</v>
      </c>
      <c r="C1312" s="5"/>
      <c r="D1312" s="5"/>
      <c r="E1312" s="6" t="s">
        <v>33</v>
      </c>
      <c r="F1312" s="6"/>
      <c r="G1312" s="7" t="s">
        <v>2705</v>
      </c>
      <c r="H1312" s="7"/>
      <c r="I1312" s="7"/>
      <c r="J1312" s="3" t="s">
        <v>35</v>
      </c>
      <c r="K1312" s="4" t="s">
        <v>192</v>
      </c>
      <c r="L1312" s="4" t="s">
        <v>93</v>
      </c>
      <c r="N1312" s="7" t="s">
        <v>2805</v>
      </c>
      <c r="O1312" s="7"/>
      <c r="P1312" s="7" t="s">
        <v>2806</v>
      </c>
      <c r="Q1312" s="7"/>
      <c r="R1312" s="7"/>
      <c r="S1312" s="3" t="s">
        <v>40</v>
      </c>
      <c r="T1312" s="7" t="s">
        <v>41</v>
      </c>
      <c r="U1312" s="7"/>
      <c r="V1312" s="4" t="s">
        <v>42</v>
      </c>
      <c r="W1312" s="4" t="s">
        <v>58</v>
      </c>
      <c r="X1312" s="4" t="s">
        <v>59</v>
      </c>
      <c r="Y1312" s="7" t="s">
        <v>197</v>
      </c>
      <c r="Z1312" s="7"/>
      <c r="AA1312" s="4" t="s">
        <v>46</v>
      </c>
      <c r="AB1312" s="4" t="s">
        <v>47</v>
      </c>
      <c r="AC1312" s="4" t="s">
        <v>136</v>
      </c>
      <c r="AD1312" s="4" t="s">
        <v>148</v>
      </c>
      <c r="AE1312" s="4" t="s">
        <v>48</v>
      </c>
      <c r="AF1312" s="4" t="s">
        <v>41</v>
      </c>
      <c r="AG1312" s="4" t="s">
        <v>2708</v>
      </c>
    </row>
    <row r="1313" spans="1:33" ht="16.5" customHeight="1" x14ac:dyDescent="0.2">
      <c r="A1313" s="2" t="s">
        <v>31</v>
      </c>
      <c r="B1313" s="5" t="s">
        <v>54</v>
      </c>
      <c r="C1313" s="5"/>
      <c r="D1313" s="5"/>
      <c r="E1313" s="6" t="s">
        <v>33</v>
      </c>
      <c r="F1313" s="6"/>
      <c r="G1313" s="7" t="s">
        <v>2705</v>
      </c>
      <c r="H1313" s="7"/>
      <c r="I1313" s="7"/>
      <c r="J1313" s="3" t="s">
        <v>35</v>
      </c>
      <c r="K1313" s="4" t="s">
        <v>192</v>
      </c>
      <c r="L1313" s="4" t="s">
        <v>37</v>
      </c>
      <c r="N1313" s="7" t="s">
        <v>2807</v>
      </c>
      <c r="O1313" s="7"/>
      <c r="P1313" s="7" t="s">
        <v>2808</v>
      </c>
      <c r="Q1313" s="7"/>
      <c r="R1313" s="7"/>
      <c r="S1313" s="3" t="s">
        <v>40</v>
      </c>
      <c r="T1313" s="7" t="s">
        <v>41</v>
      </c>
      <c r="U1313" s="7"/>
      <c r="V1313" s="4" t="s">
        <v>42</v>
      </c>
      <c r="W1313" s="4" t="s">
        <v>58</v>
      </c>
      <c r="X1313" s="4" t="s">
        <v>59</v>
      </c>
      <c r="Y1313" s="7" t="s">
        <v>197</v>
      </c>
      <c r="Z1313" s="7"/>
      <c r="AA1313" s="4" t="s">
        <v>46</v>
      </c>
      <c r="AB1313" s="4" t="s">
        <v>47</v>
      </c>
      <c r="AC1313" s="4" t="s">
        <v>136</v>
      </c>
      <c r="AD1313" s="4" t="s">
        <v>137</v>
      </c>
      <c r="AE1313" s="4" t="s">
        <v>48</v>
      </c>
      <c r="AF1313" s="4" t="s">
        <v>41</v>
      </c>
      <c r="AG1313" s="4" t="s">
        <v>2708</v>
      </c>
    </row>
    <row r="1314" spans="1:33" ht="16.5" customHeight="1" x14ac:dyDescent="0.2">
      <c r="A1314" s="2" t="s">
        <v>31</v>
      </c>
      <c r="B1314" s="5" t="s">
        <v>54</v>
      </c>
      <c r="C1314" s="5"/>
      <c r="D1314" s="5"/>
      <c r="E1314" s="6" t="s">
        <v>33</v>
      </c>
      <c r="F1314" s="6"/>
      <c r="G1314" s="7" t="s">
        <v>2705</v>
      </c>
      <c r="H1314" s="7"/>
      <c r="I1314" s="7"/>
      <c r="J1314" s="3" t="s">
        <v>35</v>
      </c>
      <c r="K1314" s="4" t="s">
        <v>192</v>
      </c>
      <c r="L1314" s="4" t="s">
        <v>37</v>
      </c>
      <c r="N1314" s="7" t="s">
        <v>2809</v>
      </c>
      <c r="O1314" s="7"/>
      <c r="P1314" s="7" t="s">
        <v>2810</v>
      </c>
      <c r="Q1314" s="7"/>
      <c r="R1314" s="7"/>
      <c r="S1314" s="3" t="s">
        <v>40</v>
      </c>
      <c r="T1314" s="7" t="s">
        <v>41</v>
      </c>
      <c r="U1314" s="7"/>
      <c r="V1314" s="4" t="s">
        <v>42</v>
      </c>
      <c r="W1314" s="4" t="s">
        <v>58</v>
      </c>
      <c r="X1314" s="4" t="s">
        <v>59</v>
      </c>
      <c r="Y1314" s="7" t="s">
        <v>197</v>
      </c>
      <c r="Z1314" s="7"/>
      <c r="AA1314" s="4" t="s">
        <v>46</v>
      </c>
      <c r="AB1314" s="4" t="s">
        <v>47</v>
      </c>
      <c r="AC1314" s="4" t="s">
        <v>136</v>
      </c>
      <c r="AD1314" s="4" t="s">
        <v>137</v>
      </c>
      <c r="AE1314" s="4" t="s">
        <v>48</v>
      </c>
      <c r="AF1314" s="4" t="s">
        <v>41</v>
      </c>
      <c r="AG1314" s="4" t="s">
        <v>2708</v>
      </c>
    </row>
    <row r="1315" spans="1:33" ht="16.5" customHeight="1" x14ac:dyDescent="0.2">
      <c r="A1315" s="2" t="s">
        <v>31</v>
      </c>
      <c r="B1315" s="5" t="s">
        <v>54</v>
      </c>
      <c r="C1315" s="5"/>
      <c r="D1315" s="5"/>
      <c r="E1315" s="6" t="s">
        <v>33</v>
      </c>
      <c r="F1315" s="6"/>
      <c r="G1315" s="7" t="s">
        <v>2705</v>
      </c>
      <c r="H1315" s="7"/>
      <c r="I1315" s="7"/>
      <c r="J1315" s="3" t="s">
        <v>35</v>
      </c>
      <c r="K1315" s="4" t="s">
        <v>192</v>
      </c>
      <c r="L1315" s="4" t="s">
        <v>37</v>
      </c>
      <c r="N1315" s="7" t="s">
        <v>2811</v>
      </c>
      <c r="O1315" s="7"/>
      <c r="P1315" s="7" t="s">
        <v>2812</v>
      </c>
      <c r="Q1315" s="7"/>
      <c r="R1315" s="7"/>
      <c r="S1315" s="3" t="s">
        <v>40</v>
      </c>
      <c r="T1315" s="7" t="s">
        <v>41</v>
      </c>
      <c r="U1315" s="7"/>
      <c r="V1315" s="4" t="s">
        <v>42</v>
      </c>
      <c r="W1315" s="4" t="s">
        <v>58</v>
      </c>
      <c r="X1315" s="4" t="s">
        <v>59</v>
      </c>
      <c r="Y1315" s="7" t="s">
        <v>197</v>
      </c>
      <c r="Z1315" s="7"/>
      <c r="AA1315" s="4" t="s">
        <v>46</v>
      </c>
      <c r="AB1315" s="4" t="s">
        <v>47</v>
      </c>
      <c r="AC1315" s="4" t="s">
        <v>136</v>
      </c>
      <c r="AD1315" s="4" t="s">
        <v>137</v>
      </c>
      <c r="AE1315" s="4" t="s">
        <v>48</v>
      </c>
      <c r="AF1315" s="4" t="s">
        <v>41</v>
      </c>
      <c r="AG1315" s="4" t="s">
        <v>2708</v>
      </c>
    </row>
    <row r="1316" spans="1:33" ht="16.5" customHeight="1" x14ac:dyDescent="0.2">
      <c r="A1316" s="2" t="s">
        <v>31</v>
      </c>
      <c r="B1316" s="5" t="s">
        <v>54</v>
      </c>
      <c r="C1316" s="5"/>
      <c r="D1316" s="5"/>
      <c r="E1316" s="6" t="s">
        <v>33</v>
      </c>
      <c r="F1316" s="6"/>
      <c r="G1316" s="7" t="s">
        <v>2705</v>
      </c>
      <c r="H1316" s="7"/>
      <c r="I1316" s="7"/>
      <c r="J1316" s="3" t="s">
        <v>35</v>
      </c>
      <c r="K1316" s="4" t="s">
        <v>192</v>
      </c>
      <c r="L1316" s="4" t="s">
        <v>93</v>
      </c>
      <c r="N1316" s="7" t="s">
        <v>2813</v>
      </c>
      <c r="O1316" s="7"/>
      <c r="P1316" s="7" t="s">
        <v>2814</v>
      </c>
      <c r="Q1316" s="7"/>
      <c r="R1316" s="7"/>
      <c r="S1316" s="3" t="s">
        <v>40</v>
      </c>
      <c r="T1316" s="7" t="s">
        <v>41</v>
      </c>
      <c r="U1316" s="7"/>
      <c r="V1316" s="4" t="s">
        <v>42</v>
      </c>
      <c r="W1316" s="4" t="s">
        <v>58</v>
      </c>
      <c r="X1316" s="4" t="s">
        <v>59</v>
      </c>
      <c r="Y1316" s="7" t="s">
        <v>197</v>
      </c>
      <c r="Z1316" s="7"/>
      <c r="AA1316" s="4" t="s">
        <v>46</v>
      </c>
      <c r="AB1316" s="4" t="s">
        <v>47</v>
      </c>
      <c r="AC1316" s="4" t="s">
        <v>136</v>
      </c>
      <c r="AD1316" s="4" t="s">
        <v>148</v>
      </c>
      <c r="AE1316" s="4" t="s">
        <v>48</v>
      </c>
      <c r="AF1316" s="4" t="s">
        <v>41</v>
      </c>
      <c r="AG1316" s="4" t="s">
        <v>2708</v>
      </c>
    </row>
    <row r="1317" spans="1:33" ht="16.5" customHeight="1" x14ac:dyDescent="0.2">
      <c r="A1317" s="2" t="s">
        <v>31</v>
      </c>
      <c r="B1317" s="5" t="s">
        <v>54</v>
      </c>
      <c r="C1317" s="5"/>
      <c r="D1317" s="5"/>
      <c r="E1317" s="6" t="s">
        <v>33</v>
      </c>
      <c r="F1317" s="6"/>
      <c r="G1317" s="7" t="s">
        <v>2705</v>
      </c>
      <c r="H1317" s="7"/>
      <c r="I1317" s="7"/>
      <c r="J1317" s="3" t="s">
        <v>35</v>
      </c>
      <c r="K1317" s="4" t="s">
        <v>192</v>
      </c>
      <c r="L1317" s="4" t="s">
        <v>93</v>
      </c>
      <c r="N1317" s="7" t="s">
        <v>2815</v>
      </c>
      <c r="O1317" s="7"/>
      <c r="P1317" s="7" t="s">
        <v>2816</v>
      </c>
      <c r="Q1317" s="7"/>
      <c r="R1317" s="7"/>
      <c r="S1317" s="3" t="s">
        <v>40</v>
      </c>
      <c r="T1317" s="7" t="s">
        <v>41</v>
      </c>
      <c r="U1317" s="7"/>
      <c r="V1317" s="4" t="s">
        <v>42</v>
      </c>
      <c r="W1317" s="4" t="s">
        <v>58</v>
      </c>
      <c r="X1317" s="4" t="s">
        <v>59</v>
      </c>
      <c r="Y1317" s="7" t="s">
        <v>197</v>
      </c>
      <c r="Z1317" s="7"/>
      <c r="AA1317" s="4" t="s">
        <v>46</v>
      </c>
      <c r="AB1317" s="4" t="s">
        <v>47</v>
      </c>
      <c r="AC1317" s="4" t="s">
        <v>136</v>
      </c>
      <c r="AD1317" s="4" t="s">
        <v>148</v>
      </c>
      <c r="AE1317" s="4" t="s">
        <v>48</v>
      </c>
      <c r="AF1317" s="4" t="s">
        <v>41</v>
      </c>
      <c r="AG1317" s="4" t="s">
        <v>2708</v>
      </c>
    </row>
    <row r="1318" spans="1:33" ht="16.5" customHeight="1" x14ac:dyDescent="0.2">
      <c r="A1318" s="2" t="s">
        <v>31</v>
      </c>
      <c r="B1318" s="5" t="s">
        <v>54</v>
      </c>
      <c r="C1318" s="5"/>
      <c r="D1318" s="5"/>
      <c r="E1318" s="6" t="s">
        <v>33</v>
      </c>
      <c r="F1318" s="6"/>
      <c r="G1318" s="7" t="s">
        <v>2705</v>
      </c>
      <c r="H1318" s="7"/>
      <c r="I1318" s="7"/>
      <c r="J1318" s="3" t="s">
        <v>35</v>
      </c>
      <c r="K1318" s="4" t="s">
        <v>192</v>
      </c>
      <c r="L1318" s="4" t="s">
        <v>280</v>
      </c>
      <c r="N1318" s="7" t="s">
        <v>2817</v>
      </c>
      <c r="O1318" s="7"/>
      <c r="P1318" s="7" t="s">
        <v>2818</v>
      </c>
      <c r="Q1318" s="7"/>
      <c r="R1318" s="7"/>
      <c r="S1318" s="3" t="s">
        <v>40</v>
      </c>
      <c r="T1318" s="7" t="s">
        <v>41</v>
      </c>
      <c r="U1318" s="7"/>
      <c r="V1318" s="4" t="s">
        <v>42</v>
      </c>
      <c r="W1318" s="4" t="s">
        <v>58</v>
      </c>
      <c r="X1318" s="4" t="s">
        <v>59</v>
      </c>
      <c r="Y1318" s="7" t="s">
        <v>197</v>
      </c>
      <c r="Z1318" s="7"/>
      <c r="AA1318" s="4" t="s">
        <v>46</v>
      </c>
      <c r="AB1318" s="4" t="s">
        <v>47</v>
      </c>
      <c r="AC1318" s="4" t="s">
        <v>136</v>
      </c>
      <c r="AD1318" s="4" t="s">
        <v>324</v>
      </c>
      <c r="AE1318" s="4" t="s">
        <v>48</v>
      </c>
      <c r="AF1318" s="4" t="s">
        <v>41</v>
      </c>
      <c r="AG1318" s="4" t="s">
        <v>2708</v>
      </c>
    </row>
    <row r="1319" spans="1:33" ht="16.5" customHeight="1" x14ac:dyDescent="0.2">
      <c r="A1319" s="2" t="s">
        <v>31</v>
      </c>
      <c r="B1319" s="5" t="s">
        <v>54</v>
      </c>
      <c r="C1319" s="5"/>
      <c r="D1319" s="5"/>
      <c r="E1319" s="6" t="s">
        <v>33</v>
      </c>
      <c r="F1319" s="6"/>
      <c r="G1319" s="7" t="s">
        <v>2705</v>
      </c>
      <c r="H1319" s="7"/>
      <c r="I1319" s="7"/>
      <c r="J1319" s="3" t="s">
        <v>35</v>
      </c>
      <c r="K1319" s="4" t="s">
        <v>192</v>
      </c>
      <c r="L1319" s="4" t="s">
        <v>93</v>
      </c>
      <c r="N1319" s="7" t="s">
        <v>2819</v>
      </c>
      <c r="O1319" s="7"/>
      <c r="P1319" s="7" t="s">
        <v>2820</v>
      </c>
      <c r="Q1319" s="7"/>
      <c r="R1319" s="7"/>
      <c r="S1319" s="3" t="s">
        <v>40</v>
      </c>
      <c r="T1319" s="7" t="s">
        <v>41</v>
      </c>
      <c r="U1319" s="7"/>
      <c r="V1319" s="4" t="s">
        <v>42</v>
      </c>
      <c r="W1319" s="4" t="s">
        <v>58</v>
      </c>
      <c r="X1319" s="4" t="s">
        <v>59</v>
      </c>
      <c r="Y1319" s="7" t="s">
        <v>197</v>
      </c>
      <c r="Z1319" s="7"/>
      <c r="AA1319" s="4" t="s">
        <v>46</v>
      </c>
      <c r="AB1319" s="4" t="s">
        <v>47</v>
      </c>
      <c r="AC1319" s="4" t="s">
        <v>136</v>
      </c>
      <c r="AD1319" s="4" t="s">
        <v>148</v>
      </c>
      <c r="AE1319" s="4" t="s">
        <v>48</v>
      </c>
      <c r="AF1319" s="4" t="s">
        <v>41</v>
      </c>
      <c r="AG1319" s="4" t="s">
        <v>2708</v>
      </c>
    </row>
    <row r="1320" spans="1:33" ht="16.5" customHeight="1" x14ac:dyDescent="0.2">
      <c r="A1320" s="2" t="s">
        <v>31</v>
      </c>
      <c r="B1320" s="5" t="s">
        <v>54</v>
      </c>
      <c r="C1320" s="5"/>
      <c r="D1320" s="5"/>
      <c r="E1320" s="6" t="s">
        <v>33</v>
      </c>
      <c r="F1320" s="6"/>
      <c r="G1320" s="7" t="s">
        <v>2705</v>
      </c>
      <c r="H1320" s="7"/>
      <c r="I1320" s="7"/>
      <c r="J1320" s="3" t="s">
        <v>35</v>
      </c>
      <c r="K1320" s="4" t="s">
        <v>192</v>
      </c>
      <c r="L1320" s="4" t="s">
        <v>37</v>
      </c>
      <c r="N1320" s="7" t="s">
        <v>2821</v>
      </c>
      <c r="O1320" s="7"/>
      <c r="P1320" s="7" t="s">
        <v>2822</v>
      </c>
      <c r="Q1320" s="7"/>
      <c r="R1320" s="7"/>
      <c r="S1320" s="3" t="s">
        <v>40</v>
      </c>
      <c r="T1320" s="7" t="s">
        <v>41</v>
      </c>
      <c r="U1320" s="7"/>
      <c r="V1320" s="4" t="s">
        <v>42</v>
      </c>
      <c r="W1320" s="4" t="s">
        <v>58</v>
      </c>
      <c r="X1320" s="4" t="s">
        <v>59</v>
      </c>
      <c r="Y1320" s="7" t="s">
        <v>197</v>
      </c>
      <c r="Z1320" s="7"/>
      <c r="AA1320" s="4" t="s">
        <v>46</v>
      </c>
      <c r="AB1320" s="4" t="s">
        <v>47</v>
      </c>
      <c r="AC1320" s="4" t="s">
        <v>136</v>
      </c>
      <c r="AD1320" s="4" t="s">
        <v>137</v>
      </c>
      <c r="AE1320" s="4" t="s">
        <v>48</v>
      </c>
      <c r="AF1320" s="4" t="s">
        <v>41</v>
      </c>
      <c r="AG1320" s="4" t="s">
        <v>2708</v>
      </c>
    </row>
    <row r="1321" spans="1:33" ht="16.5" customHeight="1" x14ac:dyDescent="0.2">
      <c r="A1321" s="2" t="s">
        <v>31</v>
      </c>
      <c r="B1321" s="5" t="s">
        <v>54</v>
      </c>
      <c r="C1321" s="5"/>
      <c r="D1321" s="5"/>
      <c r="E1321" s="6" t="s">
        <v>33</v>
      </c>
      <c r="F1321" s="6"/>
      <c r="G1321" s="7" t="s">
        <v>2705</v>
      </c>
      <c r="H1321" s="7"/>
      <c r="I1321" s="7"/>
      <c r="J1321" s="3" t="s">
        <v>35</v>
      </c>
      <c r="K1321" s="4" t="s">
        <v>192</v>
      </c>
      <c r="L1321" s="4" t="s">
        <v>37</v>
      </c>
      <c r="N1321" s="7" t="s">
        <v>2823</v>
      </c>
      <c r="O1321" s="7"/>
      <c r="P1321" s="7" t="s">
        <v>2824</v>
      </c>
      <c r="Q1321" s="7"/>
      <c r="R1321" s="7"/>
      <c r="S1321" s="3" t="s">
        <v>40</v>
      </c>
      <c r="T1321" s="7" t="s">
        <v>41</v>
      </c>
      <c r="U1321" s="7"/>
      <c r="V1321" s="4" t="s">
        <v>42</v>
      </c>
      <c r="W1321" s="4" t="s">
        <v>58</v>
      </c>
      <c r="X1321" s="4" t="s">
        <v>59</v>
      </c>
      <c r="Y1321" s="7" t="s">
        <v>197</v>
      </c>
      <c r="Z1321" s="7"/>
      <c r="AA1321" s="4" t="s">
        <v>46</v>
      </c>
      <c r="AB1321" s="4" t="s">
        <v>47</v>
      </c>
      <c r="AC1321" s="4" t="s">
        <v>136</v>
      </c>
      <c r="AD1321" s="4" t="s">
        <v>137</v>
      </c>
      <c r="AE1321" s="4" t="s">
        <v>48</v>
      </c>
      <c r="AF1321" s="4" t="s">
        <v>41</v>
      </c>
      <c r="AG1321" s="4" t="s">
        <v>2708</v>
      </c>
    </row>
    <row r="1322" spans="1:33" ht="16.5" customHeight="1" x14ac:dyDescent="0.2">
      <c r="A1322" s="2" t="s">
        <v>31</v>
      </c>
      <c r="B1322" s="5" t="s">
        <v>54</v>
      </c>
      <c r="C1322" s="5"/>
      <c r="D1322" s="5"/>
      <c r="E1322" s="6" t="s">
        <v>33</v>
      </c>
      <c r="F1322" s="6"/>
      <c r="G1322" s="7" t="s">
        <v>2705</v>
      </c>
      <c r="H1322" s="7"/>
      <c r="I1322" s="7"/>
      <c r="J1322" s="3" t="s">
        <v>35</v>
      </c>
      <c r="K1322" s="4" t="s">
        <v>192</v>
      </c>
      <c r="L1322" s="4" t="s">
        <v>37</v>
      </c>
      <c r="N1322" s="7" t="s">
        <v>2825</v>
      </c>
      <c r="O1322" s="7"/>
      <c r="P1322" s="7" t="s">
        <v>2826</v>
      </c>
      <c r="Q1322" s="7"/>
      <c r="R1322" s="7"/>
      <c r="S1322" s="3" t="s">
        <v>40</v>
      </c>
      <c r="T1322" s="7" t="s">
        <v>41</v>
      </c>
      <c r="U1322" s="7"/>
      <c r="V1322" s="4" t="s">
        <v>42</v>
      </c>
      <c r="W1322" s="4" t="s">
        <v>58</v>
      </c>
      <c r="X1322" s="4" t="s">
        <v>59</v>
      </c>
      <c r="Y1322" s="7" t="s">
        <v>197</v>
      </c>
      <c r="Z1322" s="7"/>
      <c r="AA1322" s="4" t="s">
        <v>46</v>
      </c>
      <c r="AB1322" s="4" t="s">
        <v>47</v>
      </c>
      <c r="AC1322" s="4" t="s">
        <v>136</v>
      </c>
      <c r="AD1322" s="4" t="s">
        <v>137</v>
      </c>
      <c r="AE1322" s="4" t="s">
        <v>48</v>
      </c>
      <c r="AF1322" s="4" t="s">
        <v>41</v>
      </c>
      <c r="AG1322" s="4" t="s">
        <v>2708</v>
      </c>
    </row>
    <row r="1323" spans="1:33" ht="16.5" customHeight="1" x14ac:dyDescent="0.2">
      <c r="A1323" s="2" t="s">
        <v>31</v>
      </c>
      <c r="B1323" s="5" t="s">
        <v>54</v>
      </c>
      <c r="C1323" s="5"/>
      <c r="D1323" s="5"/>
      <c r="E1323" s="6" t="s">
        <v>33</v>
      </c>
      <c r="F1323" s="6"/>
      <c r="G1323" s="7" t="s">
        <v>2705</v>
      </c>
      <c r="H1323" s="7"/>
      <c r="I1323" s="7"/>
      <c r="J1323" s="3" t="s">
        <v>35</v>
      </c>
      <c r="K1323" s="4" t="s">
        <v>55</v>
      </c>
      <c r="L1323" s="4" t="s">
        <v>37</v>
      </c>
      <c r="N1323" s="7" t="s">
        <v>2827</v>
      </c>
      <c r="O1323" s="7"/>
      <c r="P1323" s="7" t="s">
        <v>2828</v>
      </c>
      <c r="Q1323" s="7"/>
      <c r="R1323" s="7"/>
      <c r="S1323" s="3" t="s">
        <v>40</v>
      </c>
      <c r="T1323" s="7" t="s">
        <v>41</v>
      </c>
      <c r="U1323" s="7"/>
      <c r="V1323" s="4" t="s">
        <v>42</v>
      </c>
      <c r="W1323" s="4" t="s">
        <v>58</v>
      </c>
      <c r="X1323" s="4" t="s">
        <v>59</v>
      </c>
      <c r="Y1323" s="7" t="s">
        <v>60</v>
      </c>
      <c r="Z1323" s="7"/>
      <c r="AA1323" s="4" t="s">
        <v>46</v>
      </c>
      <c r="AB1323" s="4" t="s">
        <v>47</v>
      </c>
      <c r="AC1323" s="4" t="s">
        <v>61</v>
      </c>
      <c r="AD1323" s="4" t="s">
        <v>62</v>
      </c>
      <c r="AE1323" s="4" t="s">
        <v>48</v>
      </c>
      <c r="AF1323" s="4" t="s">
        <v>41</v>
      </c>
      <c r="AG1323" s="4" t="s">
        <v>2708</v>
      </c>
    </row>
    <row r="1324" spans="1:33" ht="16.5" customHeight="1" x14ac:dyDescent="0.2">
      <c r="A1324" s="2" t="s">
        <v>31</v>
      </c>
      <c r="B1324" s="5" t="s">
        <v>54</v>
      </c>
      <c r="C1324" s="5"/>
      <c r="D1324" s="5"/>
      <c r="E1324" s="6" t="s">
        <v>33</v>
      </c>
      <c r="F1324" s="6"/>
      <c r="G1324" s="7" t="s">
        <v>2705</v>
      </c>
      <c r="H1324" s="7"/>
      <c r="I1324" s="7"/>
      <c r="J1324" s="3" t="s">
        <v>35</v>
      </c>
      <c r="K1324" s="4" t="s">
        <v>192</v>
      </c>
      <c r="L1324" s="4" t="s">
        <v>93</v>
      </c>
      <c r="N1324" s="7" t="s">
        <v>2829</v>
      </c>
      <c r="O1324" s="7"/>
      <c r="P1324" s="7" t="s">
        <v>2830</v>
      </c>
      <c r="Q1324" s="7"/>
      <c r="R1324" s="7"/>
      <c r="S1324" s="3" t="s">
        <v>40</v>
      </c>
      <c r="T1324" s="7" t="s">
        <v>41</v>
      </c>
      <c r="U1324" s="7"/>
      <c r="V1324" s="4" t="s">
        <v>42</v>
      </c>
      <c r="W1324" s="4" t="s">
        <v>58</v>
      </c>
      <c r="X1324" s="4" t="s">
        <v>59</v>
      </c>
      <c r="Y1324" s="7" t="s">
        <v>197</v>
      </c>
      <c r="Z1324" s="7"/>
      <c r="AA1324" s="4" t="s">
        <v>46</v>
      </c>
      <c r="AB1324" s="4" t="s">
        <v>47</v>
      </c>
      <c r="AC1324" s="4" t="s">
        <v>136</v>
      </c>
      <c r="AD1324" s="4" t="s">
        <v>148</v>
      </c>
      <c r="AE1324" s="4" t="s">
        <v>48</v>
      </c>
      <c r="AF1324" s="4" t="s">
        <v>41</v>
      </c>
      <c r="AG1324" s="4" t="s">
        <v>2708</v>
      </c>
    </row>
    <row r="1325" spans="1:33" ht="16.5" customHeight="1" x14ac:dyDescent="0.2">
      <c r="A1325" s="2" t="s">
        <v>31</v>
      </c>
      <c r="B1325" s="5" t="s">
        <v>54</v>
      </c>
      <c r="C1325" s="5"/>
      <c r="D1325" s="5"/>
      <c r="E1325" s="6" t="s">
        <v>33</v>
      </c>
      <c r="F1325" s="6"/>
      <c r="G1325" s="7" t="s">
        <v>2705</v>
      </c>
      <c r="H1325" s="7"/>
      <c r="I1325" s="7"/>
      <c r="J1325" s="3" t="s">
        <v>35</v>
      </c>
      <c r="K1325" s="4" t="s">
        <v>192</v>
      </c>
      <c r="L1325" s="4" t="s">
        <v>37</v>
      </c>
      <c r="N1325" s="7" t="s">
        <v>2831</v>
      </c>
      <c r="O1325" s="7"/>
      <c r="P1325" s="7" t="s">
        <v>2832</v>
      </c>
      <c r="Q1325" s="7"/>
      <c r="R1325" s="7"/>
      <c r="S1325" s="3" t="s">
        <v>40</v>
      </c>
      <c r="T1325" s="7" t="s">
        <v>41</v>
      </c>
      <c r="U1325" s="7"/>
      <c r="V1325" s="4" t="s">
        <v>42</v>
      </c>
      <c r="W1325" s="4" t="s">
        <v>58</v>
      </c>
      <c r="X1325" s="4" t="s">
        <v>59</v>
      </c>
      <c r="Y1325" s="7" t="s">
        <v>197</v>
      </c>
      <c r="Z1325" s="7"/>
      <c r="AA1325" s="4" t="s">
        <v>46</v>
      </c>
      <c r="AB1325" s="4" t="s">
        <v>47</v>
      </c>
      <c r="AC1325" s="4" t="s">
        <v>136</v>
      </c>
      <c r="AD1325" s="4" t="s">
        <v>137</v>
      </c>
      <c r="AE1325" s="4" t="s">
        <v>48</v>
      </c>
      <c r="AF1325" s="4" t="s">
        <v>41</v>
      </c>
      <c r="AG1325" s="4" t="s">
        <v>2708</v>
      </c>
    </row>
    <row r="1326" spans="1:33" ht="16.5" customHeight="1" x14ac:dyDescent="0.2">
      <c r="A1326" s="2" t="s">
        <v>31</v>
      </c>
      <c r="B1326" s="5" t="s">
        <v>54</v>
      </c>
      <c r="C1326" s="5"/>
      <c r="D1326" s="5"/>
      <c r="E1326" s="6" t="s">
        <v>33</v>
      </c>
      <c r="F1326" s="6"/>
      <c r="G1326" s="7" t="s">
        <v>2705</v>
      </c>
      <c r="H1326" s="7"/>
      <c r="I1326" s="7"/>
      <c r="J1326" s="3" t="s">
        <v>35</v>
      </c>
      <c r="K1326" s="4" t="s">
        <v>192</v>
      </c>
      <c r="L1326" s="4" t="s">
        <v>93</v>
      </c>
      <c r="N1326" s="7" t="s">
        <v>2833</v>
      </c>
      <c r="O1326" s="7"/>
      <c r="P1326" s="7" t="s">
        <v>2834</v>
      </c>
      <c r="Q1326" s="7"/>
      <c r="R1326" s="7"/>
      <c r="S1326" s="3" t="s">
        <v>40</v>
      </c>
      <c r="T1326" s="7" t="s">
        <v>41</v>
      </c>
      <c r="U1326" s="7"/>
      <c r="V1326" s="4" t="s">
        <v>42</v>
      </c>
      <c r="W1326" s="4" t="s">
        <v>58</v>
      </c>
      <c r="X1326" s="4" t="s">
        <v>59</v>
      </c>
      <c r="Y1326" s="7" t="s">
        <v>197</v>
      </c>
      <c r="Z1326" s="7"/>
      <c r="AA1326" s="4" t="s">
        <v>46</v>
      </c>
      <c r="AB1326" s="4" t="s">
        <v>47</v>
      </c>
      <c r="AC1326" s="4" t="s">
        <v>136</v>
      </c>
      <c r="AD1326" s="4" t="s">
        <v>148</v>
      </c>
      <c r="AE1326" s="4" t="s">
        <v>48</v>
      </c>
      <c r="AF1326" s="4" t="s">
        <v>41</v>
      </c>
      <c r="AG1326" s="4" t="s">
        <v>2708</v>
      </c>
    </row>
    <row r="1327" spans="1:33" ht="16.5" customHeight="1" x14ac:dyDescent="0.2">
      <c r="A1327" s="2" t="s">
        <v>31</v>
      </c>
      <c r="B1327" s="5" t="s">
        <v>54</v>
      </c>
      <c r="C1327" s="5"/>
      <c r="D1327" s="5"/>
      <c r="E1327" s="6" t="s">
        <v>33</v>
      </c>
      <c r="F1327" s="6"/>
      <c r="G1327" s="7" t="s">
        <v>2705</v>
      </c>
      <c r="H1327" s="7"/>
      <c r="I1327" s="7"/>
      <c r="J1327" s="3" t="s">
        <v>35</v>
      </c>
      <c r="K1327" s="4" t="s">
        <v>202</v>
      </c>
      <c r="L1327" s="4" t="s">
        <v>37</v>
      </c>
      <c r="N1327" s="7" t="s">
        <v>2835</v>
      </c>
      <c r="O1327" s="7"/>
      <c r="P1327" s="7" t="s">
        <v>2836</v>
      </c>
      <c r="Q1327" s="7"/>
      <c r="R1327" s="7"/>
      <c r="S1327" s="3" t="s">
        <v>40</v>
      </c>
      <c r="T1327" s="7" t="s">
        <v>41</v>
      </c>
      <c r="U1327" s="7"/>
      <c r="V1327" s="4" t="s">
        <v>42</v>
      </c>
      <c r="W1327" s="4" t="s">
        <v>58</v>
      </c>
      <c r="X1327" s="4" t="s">
        <v>59</v>
      </c>
      <c r="Y1327" s="7" t="s">
        <v>197</v>
      </c>
      <c r="Z1327" s="7"/>
      <c r="AA1327" s="4" t="s">
        <v>46</v>
      </c>
      <c r="AB1327" s="4" t="s">
        <v>47</v>
      </c>
      <c r="AC1327" s="4" t="s">
        <v>136</v>
      </c>
      <c r="AD1327" s="4" t="s">
        <v>137</v>
      </c>
      <c r="AE1327" s="4" t="s">
        <v>48</v>
      </c>
      <c r="AF1327" s="4" t="s">
        <v>41</v>
      </c>
      <c r="AG1327" s="4" t="s">
        <v>2708</v>
      </c>
    </row>
    <row r="1328" spans="1:33" ht="16.5" customHeight="1" x14ac:dyDescent="0.2">
      <c r="A1328" s="2" t="s">
        <v>31</v>
      </c>
      <c r="B1328" s="5" t="s">
        <v>54</v>
      </c>
      <c r="C1328" s="5"/>
      <c r="D1328" s="5"/>
      <c r="E1328" s="6" t="s">
        <v>33</v>
      </c>
      <c r="F1328" s="6"/>
      <c r="G1328" s="7" t="s">
        <v>2705</v>
      </c>
      <c r="H1328" s="7"/>
      <c r="I1328" s="7"/>
      <c r="J1328" s="3" t="s">
        <v>35</v>
      </c>
      <c r="K1328" s="4" t="s">
        <v>202</v>
      </c>
      <c r="L1328" s="4" t="s">
        <v>37</v>
      </c>
      <c r="N1328" s="7" t="s">
        <v>2837</v>
      </c>
      <c r="O1328" s="7"/>
      <c r="P1328" s="7" t="s">
        <v>2838</v>
      </c>
      <c r="Q1328" s="7"/>
      <c r="R1328" s="7"/>
      <c r="S1328" s="3" t="s">
        <v>40</v>
      </c>
      <c r="T1328" s="7" t="s">
        <v>41</v>
      </c>
      <c r="U1328" s="7"/>
      <c r="V1328" s="4" t="s">
        <v>42</v>
      </c>
      <c r="W1328" s="4" t="s">
        <v>58</v>
      </c>
      <c r="X1328" s="4" t="s">
        <v>59</v>
      </c>
      <c r="Y1328" s="7" t="s">
        <v>197</v>
      </c>
      <c r="Z1328" s="7"/>
      <c r="AA1328" s="4" t="s">
        <v>46</v>
      </c>
      <c r="AB1328" s="4" t="s">
        <v>47</v>
      </c>
      <c r="AC1328" s="4" t="s">
        <v>136</v>
      </c>
      <c r="AD1328" s="4" t="s">
        <v>137</v>
      </c>
      <c r="AE1328" s="4" t="s">
        <v>48</v>
      </c>
      <c r="AF1328" s="4" t="s">
        <v>41</v>
      </c>
      <c r="AG1328" s="4" t="s">
        <v>2708</v>
      </c>
    </row>
    <row r="1329" spans="1:33" ht="16.5" customHeight="1" x14ac:dyDescent="0.2">
      <c r="A1329" s="2" t="s">
        <v>31</v>
      </c>
      <c r="B1329" s="5" t="s">
        <v>54</v>
      </c>
      <c r="C1329" s="5"/>
      <c r="D1329" s="5"/>
      <c r="E1329" s="6" t="s">
        <v>33</v>
      </c>
      <c r="F1329" s="6"/>
      <c r="G1329" s="7" t="s">
        <v>2705</v>
      </c>
      <c r="H1329" s="7"/>
      <c r="I1329" s="7"/>
      <c r="J1329" s="3" t="s">
        <v>35</v>
      </c>
      <c r="K1329" s="4" t="s">
        <v>202</v>
      </c>
      <c r="L1329" s="4" t="s">
        <v>37</v>
      </c>
      <c r="N1329" s="7" t="s">
        <v>2839</v>
      </c>
      <c r="O1329" s="7"/>
      <c r="P1329" s="7" t="s">
        <v>2840</v>
      </c>
      <c r="Q1329" s="7"/>
      <c r="R1329" s="7"/>
      <c r="S1329" s="3" t="s">
        <v>40</v>
      </c>
      <c r="T1329" s="7" t="s">
        <v>41</v>
      </c>
      <c r="U1329" s="7"/>
      <c r="V1329" s="4" t="s">
        <v>42</v>
      </c>
      <c r="W1329" s="4" t="s">
        <v>58</v>
      </c>
      <c r="X1329" s="4" t="s">
        <v>59</v>
      </c>
      <c r="Y1329" s="7" t="s">
        <v>197</v>
      </c>
      <c r="Z1329" s="7"/>
      <c r="AA1329" s="4" t="s">
        <v>46</v>
      </c>
      <c r="AB1329" s="4" t="s">
        <v>47</v>
      </c>
      <c r="AC1329" s="4" t="s">
        <v>136</v>
      </c>
      <c r="AD1329" s="4" t="s">
        <v>137</v>
      </c>
      <c r="AE1329" s="4" t="s">
        <v>48</v>
      </c>
      <c r="AF1329" s="4" t="s">
        <v>41</v>
      </c>
      <c r="AG1329" s="4" t="s">
        <v>2708</v>
      </c>
    </row>
    <row r="1330" spans="1:33" ht="16.5" customHeight="1" x14ac:dyDescent="0.2">
      <c r="A1330" s="2" t="s">
        <v>31</v>
      </c>
      <c r="B1330" s="5" t="s">
        <v>54</v>
      </c>
      <c r="C1330" s="5"/>
      <c r="D1330" s="5"/>
      <c r="E1330" s="6" t="s">
        <v>33</v>
      </c>
      <c r="F1330" s="6"/>
      <c r="G1330" s="7" t="s">
        <v>2705</v>
      </c>
      <c r="H1330" s="7"/>
      <c r="I1330" s="7"/>
      <c r="J1330" s="3" t="s">
        <v>35</v>
      </c>
      <c r="K1330" s="4" t="s">
        <v>202</v>
      </c>
      <c r="L1330" s="4" t="s">
        <v>37</v>
      </c>
      <c r="N1330" s="7" t="s">
        <v>2839</v>
      </c>
      <c r="O1330" s="7"/>
      <c r="P1330" s="7" t="s">
        <v>2840</v>
      </c>
      <c r="Q1330" s="7"/>
      <c r="R1330" s="7"/>
      <c r="S1330" s="3" t="s">
        <v>40</v>
      </c>
      <c r="T1330" s="7" t="s">
        <v>41</v>
      </c>
      <c r="U1330" s="7"/>
      <c r="V1330" s="4" t="s">
        <v>51</v>
      </c>
      <c r="W1330" s="4" t="s">
        <v>58</v>
      </c>
      <c r="X1330" s="4" t="s">
        <v>128</v>
      </c>
      <c r="Y1330" s="7" t="s">
        <v>197</v>
      </c>
      <c r="Z1330" s="7"/>
      <c r="AA1330" s="4" t="s">
        <v>46</v>
      </c>
      <c r="AB1330" s="4" t="s">
        <v>47</v>
      </c>
      <c r="AC1330" s="4" t="s">
        <v>136</v>
      </c>
      <c r="AD1330" s="4" t="s">
        <v>137</v>
      </c>
      <c r="AE1330" s="4" t="s">
        <v>48</v>
      </c>
      <c r="AF1330" s="4" t="s">
        <v>41</v>
      </c>
      <c r="AG1330" s="4" t="s">
        <v>2708</v>
      </c>
    </row>
    <row r="1331" spans="1:33" ht="16.5" customHeight="1" x14ac:dyDescent="0.2">
      <c r="A1331" s="2" t="s">
        <v>31</v>
      </c>
      <c r="B1331" s="5" t="s">
        <v>54</v>
      </c>
      <c r="C1331" s="5"/>
      <c r="D1331" s="5"/>
      <c r="E1331" s="6" t="s">
        <v>33</v>
      </c>
      <c r="F1331" s="6"/>
      <c r="G1331" s="7" t="s">
        <v>2705</v>
      </c>
      <c r="H1331" s="7"/>
      <c r="I1331" s="7"/>
      <c r="J1331" s="3" t="s">
        <v>35</v>
      </c>
      <c r="K1331" s="4" t="s">
        <v>192</v>
      </c>
      <c r="L1331" s="4" t="s">
        <v>37</v>
      </c>
      <c r="N1331" s="7" t="s">
        <v>2841</v>
      </c>
      <c r="O1331" s="7"/>
      <c r="P1331" s="7" t="s">
        <v>2842</v>
      </c>
      <c r="Q1331" s="7"/>
      <c r="R1331" s="7"/>
      <c r="S1331" s="3" t="s">
        <v>40</v>
      </c>
      <c r="T1331" s="7" t="s">
        <v>41</v>
      </c>
      <c r="U1331" s="7"/>
      <c r="V1331" s="4" t="s">
        <v>42</v>
      </c>
      <c r="W1331" s="4" t="s">
        <v>51</v>
      </c>
      <c r="X1331" s="4" t="s">
        <v>128</v>
      </c>
      <c r="Y1331" s="7" t="s">
        <v>197</v>
      </c>
      <c r="Z1331" s="7"/>
      <c r="AA1331" s="4" t="s">
        <v>46</v>
      </c>
      <c r="AB1331" s="4" t="s">
        <v>47</v>
      </c>
      <c r="AC1331" s="4" t="s">
        <v>136</v>
      </c>
      <c r="AD1331" s="4" t="s">
        <v>137</v>
      </c>
      <c r="AE1331" s="4" t="s">
        <v>48</v>
      </c>
      <c r="AF1331" s="4" t="s">
        <v>41</v>
      </c>
      <c r="AG1331" s="4" t="s">
        <v>2708</v>
      </c>
    </row>
    <row r="1332" spans="1:33" ht="16.5" customHeight="1" x14ac:dyDescent="0.2">
      <c r="A1332" s="2" t="s">
        <v>31</v>
      </c>
      <c r="B1332" s="5" t="s">
        <v>54</v>
      </c>
      <c r="C1332" s="5"/>
      <c r="D1332" s="5"/>
      <c r="E1332" s="6" t="s">
        <v>33</v>
      </c>
      <c r="F1332" s="6"/>
      <c r="G1332" s="7" t="s">
        <v>2705</v>
      </c>
      <c r="H1332" s="7"/>
      <c r="I1332" s="7"/>
      <c r="J1332" s="3" t="s">
        <v>35</v>
      </c>
      <c r="K1332" s="4" t="s">
        <v>192</v>
      </c>
      <c r="L1332" s="4" t="s">
        <v>93</v>
      </c>
      <c r="N1332" s="7" t="s">
        <v>2843</v>
      </c>
      <c r="O1332" s="7"/>
      <c r="P1332" s="7" t="s">
        <v>2844</v>
      </c>
      <c r="Q1332" s="7"/>
      <c r="R1332" s="7"/>
      <c r="S1332" s="3" t="s">
        <v>40</v>
      </c>
      <c r="T1332" s="7" t="s">
        <v>41</v>
      </c>
      <c r="U1332" s="7"/>
      <c r="V1332" s="4" t="s">
        <v>42</v>
      </c>
      <c r="W1332" s="4" t="s">
        <v>51</v>
      </c>
      <c r="X1332" s="4" t="s">
        <v>128</v>
      </c>
      <c r="Y1332" s="7" t="s">
        <v>197</v>
      </c>
      <c r="Z1332" s="7"/>
      <c r="AA1332" s="4" t="s">
        <v>46</v>
      </c>
      <c r="AB1332" s="4" t="s">
        <v>47</v>
      </c>
      <c r="AC1332" s="4" t="s">
        <v>136</v>
      </c>
      <c r="AD1332" s="4" t="s">
        <v>148</v>
      </c>
      <c r="AE1332" s="4" t="s">
        <v>48</v>
      </c>
      <c r="AF1332" s="4" t="s">
        <v>41</v>
      </c>
      <c r="AG1332" s="4" t="s">
        <v>2708</v>
      </c>
    </row>
    <row r="1333" spans="1:33" ht="16.5" customHeight="1" x14ac:dyDescent="0.2">
      <c r="A1333" s="2" t="s">
        <v>31</v>
      </c>
      <c r="B1333" s="5" t="s">
        <v>54</v>
      </c>
      <c r="C1333" s="5"/>
      <c r="D1333" s="5"/>
      <c r="E1333" s="6" t="s">
        <v>33</v>
      </c>
      <c r="F1333" s="6"/>
      <c r="G1333" s="7" t="s">
        <v>2705</v>
      </c>
      <c r="H1333" s="7"/>
      <c r="I1333" s="7"/>
      <c r="J1333" s="3" t="s">
        <v>35</v>
      </c>
      <c r="K1333" s="4" t="s">
        <v>202</v>
      </c>
      <c r="L1333" s="4" t="s">
        <v>37</v>
      </c>
      <c r="N1333" s="7" t="s">
        <v>2845</v>
      </c>
      <c r="O1333" s="7"/>
      <c r="P1333" s="7" t="s">
        <v>2846</v>
      </c>
      <c r="Q1333" s="7"/>
      <c r="R1333" s="7"/>
      <c r="S1333" s="3" t="s">
        <v>40</v>
      </c>
      <c r="T1333" s="7" t="s">
        <v>41</v>
      </c>
      <c r="U1333" s="7"/>
      <c r="V1333" s="4" t="s">
        <v>42</v>
      </c>
      <c r="W1333" s="4" t="s">
        <v>51</v>
      </c>
      <c r="X1333" s="4" t="s">
        <v>128</v>
      </c>
      <c r="Y1333" s="7" t="s">
        <v>197</v>
      </c>
      <c r="Z1333" s="7"/>
      <c r="AA1333" s="4" t="s">
        <v>46</v>
      </c>
      <c r="AB1333" s="4" t="s">
        <v>47</v>
      </c>
      <c r="AC1333" s="4" t="s">
        <v>136</v>
      </c>
      <c r="AD1333" s="4" t="s">
        <v>137</v>
      </c>
      <c r="AE1333" s="4" t="s">
        <v>48</v>
      </c>
      <c r="AF1333" s="4" t="s">
        <v>41</v>
      </c>
      <c r="AG1333" s="4" t="s">
        <v>2708</v>
      </c>
    </row>
    <row r="1334" spans="1:33" ht="16.5" customHeight="1" x14ac:dyDescent="0.2">
      <c r="A1334" s="2" t="s">
        <v>31</v>
      </c>
      <c r="B1334" s="5" t="s">
        <v>54</v>
      </c>
      <c r="C1334" s="5"/>
      <c r="D1334" s="5"/>
      <c r="E1334" s="6" t="s">
        <v>33</v>
      </c>
      <c r="F1334" s="6"/>
      <c r="G1334" s="7" t="s">
        <v>2705</v>
      </c>
      <c r="H1334" s="7"/>
      <c r="I1334" s="7"/>
      <c r="J1334" s="3" t="s">
        <v>35</v>
      </c>
      <c r="K1334" s="4" t="s">
        <v>202</v>
      </c>
      <c r="L1334" s="4" t="s">
        <v>37</v>
      </c>
      <c r="N1334" s="7" t="s">
        <v>2847</v>
      </c>
      <c r="O1334" s="7"/>
      <c r="P1334" s="7" t="s">
        <v>2848</v>
      </c>
      <c r="Q1334" s="7"/>
      <c r="R1334" s="7"/>
      <c r="S1334" s="3" t="s">
        <v>40</v>
      </c>
      <c r="T1334" s="7" t="s">
        <v>41</v>
      </c>
      <c r="U1334" s="7"/>
      <c r="V1334" s="4" t="s">
        <v>42</v>
      </c>
      <c r="W1334" s="4" t="s">
        <v>51</v>
      </c>
      <c r="X1334" s="4" t="s">
        <v>128</v>
      </c>
      <c r="Y1334" s="7" t="s">
        <v>197</v>
      </c>
      <c r="Z1334" s="7"/>
      <c r="AA1334" s="4" t="s">
        <v>46</v>
      </c>
      <c r="AB1334" s="4" t="s">
        <v>47</v>
      </c>
      <c r="AC1334" s="4" t="s">
        <v>136</v>
      </c>
      <c r="AD1334" s="4" t="s">
        <v>137</v>
      </c>
      <c r="AE1334" s="4" t="s">
        <v>48</v>
      </c>
      <c r="AF1334" s="4" t="s">
        <v>41</v>
      </c>
      <c r="AG1334" s="4" t="s">
        <v>2708</v>
      </c>
    </row>
    <row r="1335" spans="1:33" ht="16.5" customHeight="1" x14ac:dyDescent="0.2">
      <c r="A1335" s="2" t="s">
        <v>31</v>
      </c>
      <c r="B1335" s="5" t="s">
        <v>54</v>
      </c>
      <c r="C1335" s="5"/>
      <c r="D1335" s="5"/>
      <c r="E1335" s="6" t="s">
        <v>33</v>
      </c>
      <c r="F1335" s="6"/>
      <c r="G1335" s="7" t="s">
        <v>2705</v>
      </c>
      <c r="H1335" s="7"/>
      <c r="I1335" s="7"/>
      <c r="J1335" s="3" t="s">
        <v>35</v>
      </c>
      <c r="K1335" s="4" t="s">
        <v>192</v>
      </c>
      <c r="L1335" s="4" t="s">
        <v>93</v>
      </c>
      <c r="N1335" s="7" t="s">
        <v>2849</v>
      </c>
      <c r="O1335" s="7"/>
      <c r="P1335" s="7" t="s">
        <v>2850</v>
      </c>
      <c r="Q1335" s="7"/>
      <c r="R1335" s="7"/>
      <c r="S1335" s="3" t="s">
        <v>40</v>
      </c>
      <c r="T1335" s="7" t="s">
        <v>41</v>
      </c>
      <c r="U1335" s="7"/>
      <c r="V1335" s="4" t="s">
        <v>42</v>
      </c>
      <c r="W1335" s="4" t="s">
        <v>51</v>
      </c>
      <c r="X1335" s="4" t="s">
        <v>128</v>
      </c>
      <c r="Y1335" s="7" t="s">
        <v>197</v>
      </c>
      <c r="Z1335" s="7"/>
      <c r="AA1335" s="4" t="s">
        <v>46</v>
      </c>
      <c r="AB1335" s="4" t="s">
        <v>47</v>
      </c>
      <c r="AC1335" s="4" t="s">
        <v>136</v>
      </c>
      <c r="AD1335" s="4" t="s">
        <v>148</v>
      </c>
      <c r="AE1335" s="4" t="s">
        <v>48</v>
      </c>
      <c r="AF1335" s="4" t="s">
        <v>41</v>
      </c>
      <c r="AG1335" s="4" t="s">
        <v>2708</v>
      </c>
    </row>
    <row r="1336" spans="1:33" ht="16.5" customHeight="1" x14ac:dyDescent="0.2">
      <c r="A1336" s="2" t="s">
        <v>31</v>
      </c>
      <c r="B1336" s="5" t="s">
        <v>54</v>
      </c>
      <c r="C1336" s="5"/>
      <c r="D1336" s="5"/>
      <c r="E1336" s="6" t="s">
        <v>33</v>
      </c>
      <c r="F1336" s="6"/>
      <c r="G1336" s="7" t="s">
        <v>2851</v>
      </c>
      <c r="H1336" s="7"/>
      <c r="I1336" s="7"/>
      <c r="J1336" s="3" t="s">
        <v>35</v>
      </c>
      <c r="K1336" s="4" t="s">
        <v>248</v>
      </c>
      <c r="L1336" s="4" t="s">
        <v>93</v>
      </c>
      <c r="N1336" s="7" t="s">
        <v>2852</v>
      </c>
      <c r="O1336" s="7"/>
      <c r="P1336" s="7" t="s">
        <v>2853</v>
      </c>
      <c r="Q1336" s="7"/>
      <c r="R1336" s="7"/>
      <c r="S1336" s="3" t="s">
        <v>40</v>
      </c>
      <c r="T1336" s="7" t="s">
        <v>41</v>
      </c>
      <c r="U1336" s="7"/>
      <c r="V1336" s="4" t="s">
        <v>42</v>
      </c>
      <c r="W1336" s="4" t="s">
        <v>229</v>
      </c>
      <c r="X1336" s="4" t="s">
        <v>446</v>
      </c>
      <c r="Y1336" s="7" t="s">
        <v>60</v>
      </c>
      <c r="Z1336" s="7"/>
      <c r="AA1336" s="4" t="s">
        <v>46</v>
      </c>
      <c r="AB1336" s="4" t="s">
        <v>47</v>
      </c>
      <c r="AC1336" s="4" t="s">
        <v>79</v>
      </c>
      <c r="AD1336" s="4" t="s">
        <v>96</v>
      </c>
      <c r="AE1336" s="4" t="s">
        <v>48</v>
      </c>
      <c r="AF1336" s="4" t="s">
        <v>41</v>
      </c>
      <c r="AG1336" s="4" t="s">
        <v>2854</v>
      </c>
    </row>
    <row r="1337" spans="1:33" ht="16.5" customHeight="1" x14ac:dyDescent="0.2">
      <c r="A1337" s="2" t="s">
        <v>31</v>
      </c>
      <c r="B1337" s="5" t="s">
        <v>54</v>
      </c>
      <c r="C1337" s="5"/>
      <c r="D1337" s="5"/>
      <c r="E1337" s="6" t="s">
        <v>33</v>
      </c>
      <c r="F1337" s="6"/>
      <c r="G1337" s="7" t="s">
        <v>2851</v>
      </c>
      <c r="H1337" s="7"/>
      <c r="I1337" s="7"/>
      <c r="J1337" s="3" t="s">
        <v>35</v>
      </c>
      <c r="K1337" s="4" t="s">
        <v>149</v>
      </c>
      <c r="L1337" s="4" t="s">
        <v>37</v>
      </c>
      <c r="N1337" s="7" t="s">
        <v>2855</v>
      </c>
      <c r="O1337" s="7"/>
      <c r="P1337" s="7" t="s">
        <v>2856</v>
      </c>
      <c r="Q1337" s="7"/>
      <c r="R1337" s="7"/>
      <c r="S1337" s="3" t="s">
        <v>40</v>
      </c>
      <c r="T1337" s="7" t="s">
        <v>41</v>
      </c>
      <c r="U1337" s="7"/>
      <c r="V1337" s="4" t="s">
        <v>42</v>
      </c>
      <c r="W1337" s="4" t="s">
        <v>217</v>
      </c>
      <c r="X1337" s="4" t="s">
        <v>218</v>
      </c>
      <c r="Y1337" s="7" t="s">
        <v>78</v>
      </c>
      <c r="Z1337" s="7"/>
      <c r="AA1337" s="4" t="s">
        <v>46</v>
      </c>
      <c r="AB1337" s="4" t="s">
        <v>47</v>
      </c>
      <c r="AC1337" s="4" t="s">
        <v>136</v>
      </c>
      <c r="AD1337" s="4" t="s">
        <v>137</v>
      </c>
      <c r="AE1337" s="4" t="s">
        <v>48</v>
      </c>
      <c r="AF1337" s="4" t="s">
        <v>41</v>
      </c>
      <c r="AG1337" s="4" t="s">
        <v>2854</v>
      </c>
    </row>
    <row r="1338" spans="1:33" ht="16.5" customHeight="1" x14ac:dyDescent="0.2">
      <c r="A1338" s="2" t="s">
        <v>31</v>
      </c>
      <c r="B1338" s="5" t="s">
        <v>54</v>
      </c>
      <c r="C1338" s="5"/>
      <c r="D1338" s="5"/>
      <c r="E1338" s="6" t="s">
        <v>33</v>
      </c>
      <c r="F1338" s="6"/>
      <c r="G1338" s="7" t="s">
        <v>2851</v>
      </c>
      <c r="H1338" s="7"/>
      <c r="I1338" s="7"/>
      <c r="J1338" s="3" t="s">
        <v>35</v>
      </c>
      <c r="K1338" s="4" t="s">
        <v>245</v>
      </c>
      <c r="L1338" s="4" t="s">
        <v>37</v>
      </c>
      <c r="N1338" s="7" t="s">
        <v>2857</v>
      </c>
      <c r="O1338" s="7"/>
      <c r="P1338" s="7" t="s">
        <v>2858</v>
      </c>
      <c r="Q1338" s="7"/>
      <c r="R1338" s="7"/>
      <c r="S1338" s="3" t="s">
        <v>40</v>
      </c>
      <c r="T1338" s="7" t="s">
        <v>41</v>
      </c>
      <c r="U1338" s="7"/>
      <c r="V1338" s="4" t="s">
        <v>42</v>
      </c>
      <c r="W1338" s="4" t="s">
        <v>212</v>
      </c>
      <c r="X1338" s="4" t="s">
        <v>1087</v>
      </c>
      <c r="Y1338" s="7" t="s">
        <v>78</v>
      </c>
      <c r="Z1338" s="7"/>
      <c r="AA1338" s="4" t="s">
        <v>46</v>
      </c>
      <c r="AB1338" s="4" t="s">
        <v>47</v>
      </c>
      <c r="AC1338" s="4" t="s">
        <v>136</v>
      </c>
      <c r="AD1338" s="4" t="s">
        <v>137</v>
      </c>
      <c r="AE1338" s="4" t="s">
        <v>48</v>
      </c>
      <c r="AF1338" s="4" t="s">
        <v>41</v>
      </c>
      <c r="AG1338" s="4" t="s">
        <v>2854</v>
      </c>
    </row>
    <row r="1339" spans="1:33" ht="16.5" customHeight="1" x14ac:dyDescent="0.2">
      <c r="A1339" s="2" t="s">
        <v>31</v>
      </c>
      <c r="B1339" s="5" t="s">
        <v>54</v>
      </c>
      <c r="C1339" s="5"/>
      <c r="D1339" s="5"/>
      <c r="E1339" s="6" t="s">
        <v>33</v>
      </c>
      <c r="F1339" s="6"/>
      <c r="G1339" s="7" t="s">
        <v>2851</v>
      </c>
      <c r="H1339" s="7"/>
      <c r="I1339" s="7"/>
      <c r="J1339" s="3" t="s">
        <v>35</v>
      </c>
      <c r="K1339" s="4" t="s">
        <v>245</v>
      </c>
      <c r="L1339" s="4" t="s">
        <v>37</v>
      </c>
      <c r="N1339" s="7" t="s">
        <v>2857</v>
      </c>
      <c r="O1339" s="7"/>
      <c r="P1339" s="7" t="s">
        <v>2858</v>
      </c>
      <c r="Q1339" s="7"/>
      <c r="R1339" s="7"/>
      <c r="S1339" s="3" t="s">
        <v>40</v>
      </c>
      <c r="T1339" s="7" t="s">
        <v>41</v>
      </c>
      <c r="U1339" s="7"/>
      <c r="V1339" s="4" t="s">
        <v>51</v>
      </c>
      <c r="W1339" s="4" t="s">
        <v>212</v>
      </c>
      <c r="X1339" s="4" t="s">
        <v>213</v>
      </c>
      <c r="Y1339" s="7" t="s">
        <v>78</v>
      </c>
      <c r="Z1339" s="7"/>
      <c r="AA1339" s="4" t="s">
        <v>46</v>
      </c>
      <c r="AB1339" s="4" t="s">
        <v>47</v>
      </c>
      <c r="AC1339" s="4" t="s">
        <v>136</v>
      </c>
      <c r="AD1339" s="4" t="s">
        <v>137</v>
      </c>
      <c r="AE1339" s="4" t="s">
        <v>48</v>
      </c>
      <c r="AF1339" s="4" t="s">
        <v>41</v>
      </c>
      <c r="AG1339" s="4" t="s">
        <v>2854</v>
      </c>
    </row>
    <row r="1340" spans="1:33" ht="16.5" customHeight="1" x14ac:dyDescent="0.2">
      <c r="A1340" s="2" t="s">
        <v>31</v>
      </c>
      <c r="B1340" s="5" t="s">
        <v>54</v>
      </c>
      <c r="C1340" s="5"/>
      <c r="D1340" s="5"/>
      <c r="E1340" s="6" t="s">
        <v>33</v>
      </c>
      <c r="F1340" s="6"/>
      <c r="G1340" s="7" t="s">
        <v>2851</v>
      </c>
      <c r="H1340" s="7"/>
      <c r="I1340" s="7"/>
      <c r="J1340" s="3" t="s">
        <v>35</v>
      </c>
      <c r="K1340" s="4" t="s">
        <v>55</v>
      </c>
      <c r="L1340" s="4" t="s">
        <v>37</v>
      </c>
      <c r="N1340" s="7" t="s">
        <v>2859</v>
      </c>
      <c r="O1340" s="7"/>
      <c r="P1340" s="7" t="s">
        <v>2860</v>
      </c>
      <c r="Q1340" s="7"/>
      <c r="R1340" s="7"/>
      <c r="S1340" s="3" t="s">
        <v>40</v>
      </c>
      <c r="T1340" s="7" t="s">
        <v>41</v>
      </c>
      <c r="U1340" s="7"/>
      <c r="V1340" s="4" t="s">
        <v>42</v>
      </c>
      <c r="W1340" s="4" t="s">
        <v>90</v>
      </c>
      <c r="X1340" s="4" t="s">
        <v>91</v>
      </c>
      <c r="Y1340" s="7" t="s">
        <v>60</v>
      </c>
      <c r="Z1340" s="7"/>
      <c r="AA1340" s="4" t="s">
        <v>46</v>
      </c>
      <c r="AB1340" s="4" t="s">
        <v>47</v>
      </c>
      <c r="AC1340" s="4" t="s">
        <v>61</v>
      </c>
      <c r="AD1340" s="4" t="s">
        <v>62</v>
      </c>
      <c r="AE1340" s="4" t="s">
        <v>48</v>
      </c>
      <c r="AF1340" s="4" t="s">
        <v>41</v>
      </c>
      <c r="AG1340" s="4" t="s">
        <v>2854</v>
      </c>
    </row>
    <row r="1341" spans="1:33" ht="16.5" customHeight="1" x14ac:dyDescent="0.2">
      <c r="A1341" s="2" t="s">
        <v>31</v>
      </c>
      <c r="B1341" s="5" t="s">
        <v>54</v>
      </c>
      <c r="C1341" s="5"/>
      <c r="D1341" s="5"/>
      <c r="E1341" s="6" t="s">
        <v>33</v>
      </c>
      <c r="F1341" s="6"/>
      <c r="G1341" s="7" t="s">
        <v>2851</v>
      </c>
      <c r="H1341" s="7"/>
      <c r="I1341" s="7"/>
      <c r="J1341" s="3" t="s">
        <v>35</v>
      </c>
      <c r="K1341" s="4" t="s">
        <v>55</v>
      </c>
      <c r="L1341" s="4" t="s">
        <v>37</v>
      </c>
      <c r="N1341" s="7" t="s">
        <v>2859</v>
      </c>
      <c r="O1341" s="7"/>
      <c r="P1341" s="7" t="s">
        <v>2860</v>
      </c>
      <c r="Q1341" s="7"/>
      <c r="R1341" s="7"/>
      <c r="S1341" s="3" t="s">
        <v>40</v>
      </c>
      <c r="T1341" s="7" t="s">
        <v>41</v>
      </c>
      <c r="U1341" s="7"/>
      <c r="V1341" s="4" t="s">
        <v>51</v>
      </c>
      <c r="W1341" s="4" t="s">
        <v>90</v>
      </c>
      <c r="X1341" s="4" t="s">
        <v>103</v>
      </c>
      <c r="Y1341" s="7" t="s">
        <v>60</v>
      </c>
      <c r="Z1341" s="7"/>
      <c r="AA1341" s="4" t="s">
        <v>46</v>
      </c>
      <c r="AB1341" s="4" t="s">
        <v>47</v>
      </c>
      <c r="AC1341" s="4" t="s">
        <v>61</v>
      </c>
      <c r="AD1341" s="4" t="s">
        <v>62</v>
      </c>
      <c r="AE1341" s="4" t="s">
        <v>48</v>
      </c>
      <c r="AF1341" s="4" t="s">
        <v>41</v>
      </c>
      <c r="AG1341" s="4" t="s">
        <v>2854</v>
      </c>
    </row>
    <row r="1342" spans="1:33" ht="16.5" customHeight="1" x14ac:dyDescent="0.2">
      <c r="A1342" s="2" t="s">
        <v>31</v>
      </c>
      <c r="B1342" s="5" t="s">
        <v>54</v>
      </c>
      <c r="C1342" s="5"/>
      <c r="D1342" s="5"/>
      <c r="E1342" s="6" t="s">
        <v>33</v>
      </c>
      <c r="F1342" s="6"/>
      <c r="G1342" s="7" t="s">
        <v>2851</v>
      </c>
      <c r="H1342" s="7"/>
      <c r="I1342" s="7"/>
      <c r="J1342" s="3" t="s">
        <v>35</v>
      </c>
      <c r="K1342" s="4" t="s">
        <v>55</v>
      </c>
      <c r="L1342" s="4" t="s">
        <v>37</v>
      </c>
      <c r="N1342" s="7" t="s">
        <v>2861</v>
      </c>
      <c r="O1342" s="7"/>
      <c r="P1342" s="7" t="s">
        <v>2862</v>
      </c>
      <c r="Q1342" s="7"/>
      <c r="R1342" s="7"/>
      <c r="S1342" s="3" t="s">
        <v>40</v>
      </c>
      <c r="T1342" s="7" t="s">
        <v>41</v>
      </c>
      <c r="U1342" s="7"/>
      <c r="V1342" s="4" t="s">
        <v>51</v>
      </c>
      <c r="W1342" s="4" t="s">
        <v>107</v>
      </c>
      <c r="X1342" s="4" t="s">
        <v>386</v>
      </c>
      <c r="Y1342" s="7" t="s">
        <v>60</v>
      </c>
      <c r="Z1342" s="7"/>
      <c r="AA1342" s="4" t="s">
        <v>46</v>
      </c>
      <c r="AB1342" s="4" t="s">
        <v>47</v>
      </c>
      <c r="AC1342" s="4" t="s">
        <v>61</v>
      </c>
      <c r="AD1342" s="4" t="s">
        <v>62</v>
      </c>
      <c r="AE1342" s="4" t="s">
        <v>48</v>
      </c>
      <c r="AF1342" s="4" t="s">
        <v>41</v>
      </c>
      <c r="AG1342" s="4" t="s">
        <v>2854</v>
      </c>
    </row>
    <row r="1343" spans="1:33" ht="16.5" customHeight="1" x14ac:dyDescent="0.2">
      <c r="A1343" s="2" t="s">
        <v>31</v>
      </c>
      <c r="B1343" s="5" t="s">
        <v>54</v>
      </c>
      <c r="C1343" s="5"/>
      <c r="D1343" s="5"/>
      <c r="E1343" s="6" t="s">
        <v>33</v>
      </c>
      <c r="F1343" s="6"/>
      <c r="G1343" s="7" t="s">
        <v>2851</v>
      </c>
      <c r="H1343" s="7"/>
      <c r="I1343" s="7"/>
      <c r="J1343" s="3" t="s">
        <v>35</v>
      </c>
      <c r="K1343" s="4" t="s">
        <v>55</v>
      </c>
      <c r="L1343" s="4" t="s">
        <v>37</v>
      </c>
      <c r="N1343" s="7" t="s">
        <v>2861</v>
      </c>
      <c r="O1343" s="7"/>
      <c r="P1343" s="7" t="s">
        <v>2862</v>
      </c>
      <c r="Q1343" s="7"/>
      <c r="R1343" s="7"/>
      <c r="S1343" s="3" t="s">
        <v>40</v>
      </c>
      <c r="T1343" s="7" t="s">
        <v>41</v>
      </c>
      <c r="U1343" s="7"/>
      <c r="V1343" s="4" t="s">
        <v>58</v>
      </c>
      <c r="W1343" s="4" t="s">
        <v>107</v>
      </c>
      <c r="X1343" s="4" t="s">
        <v>59</v>
      </c>
      <c r="Y1343" s="7" t="s">
        <v>60</v>
      </c>
      <c r="Z1343" s="7"/>
      <c r="AA1343" s="4" t="s">
        <v>46</v>
      </c>
      <c r="AB1343" s="4" t="s">
        <v>47</v>
      </c>
      <c r="AC1343" s="4" t="s">
        <v>61</v>
      </c>
      <c r="AD1343" s="4" t="s">
        <v>62</v>
      </c>
      <c r="AE1343" s="4" t="s">
        <v>48</v>
      </c>
      <c r="AF1343" s="4" t="s">
        <v>41</v>
      </c>
      <c r="AG1343" s="4" t="s">
        <v>2854</v>
      </c>
    </row>
    <row r="1344" spans="1:33" ht="16.5" customHeight="1" x14ac:dyDescent="0.2">
      <c r="A1344" s="2" t="s">
        <v>31</v>
      </c>
      <c r="B1344" s="5" t="s">
        <v>108</v>
      </c>
      <c r="C1344" s="5"/>
      <c r="D1344" s="5"/>
      <c r="E1344" s="6" t="s">
        <v>33</v>
      </c>
      <c r="F1344" s="6"/>
      <c r="G1344" s="7" t="s">
        <v>2851</v>
      </c>
      <c r="H1344" s="7"/>
      <c r="I1344" s="7"/>
      <c r="J1344" s="3" t="s">
        <v>35</v>
      </c>
      <c r="K1344" s="4" t="s">
        <v>398</v>
      </c>
      <c r="N1344" s="7" t="s">
        <v>2863</v>
      </c>
      <c r="O1344" s="7"/>
      <c r="P1344" s="7" t="s">
        <v>2864</v>
      </c>
      <c r="Q1344" s="7"/>
      <c r="R1344" s="7"/>
      <c r="S1344" s="3" t="s">
        <v>40</v>
      </c>
      <c r="T1344" s="7" t="s">
        <v>2865</v>
      </c>
      <c r="U1344" s="7"/>
      <c r="V1344" s="4" t="s">
        <v>51</v>
      </c>
      <c r="W1344" s="4" t="s">
        <v>76</v>
      </c>
      <c r="X1344" s="4" t="s">
        <v>91</v>
      </c>
      <c r="Y1344" s="7" t="s">
        <v>402</v>
      </c>
      <c r="Z1344" s="7"/>
      <c r="AA1344" s="4" t="s">
        <v>46</v>
      </c>
      <c r="AB1344" s="4" t="s">
        <v>115</v>
      </c>
      <c r="AC1344" s="4" t="s">
        <v>403</v>
      </c>
      <c r="AD1344" s="4" t="s">
        <v>2866</v>
      </c>
      <c r="AE1344" s="4" t="s">
        <v>48</v>
      </c>
      <c r="AF1344" s="4" t="s">
        <v>41</v>
      </c>
      <c r="AG1344" s="4" t="s">
        <v>2854</v>
      </c>
    </row>
    <row r="1345" spans="1:33" ht="16.5" customHeight="1" x14ac:dyDescent="0.2">
      <c r="A1345" s="2" t="s">
        <v>31</v>
      </c>
      <c r="B1345" s="5" t="s">
        <v>646</v>
      </c>
      <c r="C1345" s="5"/>
      <c r="D1345" s="5"/>
      <c r="E1345" s="6" t="s">
        <v>33</v>
      </c>
      <c r="F1345" s="6"/>
      <c r="G1345" s="7" t="s">
        <v>2867</v>
      </c>
      <c r="H1345" s="7"/>
      <c r="I1345" s="7"/>
      <c r="J1345" s="3" t="s">
        <v>35</v>
      </c>
      <c r="K1345" s="4" t="s">
        <v>1312</v>
      </c>
      <c r="L1345" s="4" t="s">
        <v>37</v>
      </c>
      <c r="N1345" s="7" t="s">
        <v>2868</v>
      </c>
      <c r="O1345" s="7"/>
      <c r="P1345" s="7" t="s">
        <v>2869</v>
      </c>
      <c r="Q1345" s="7"/>
      <c r="R1345" s="7"/>
      <c r="S1345" s="3" t="s">
        <v>40</v>
      </c>
      <c r="T1345" s="7" t="s">
        <v>1315</v>
      </c>
      <c r="U1345" s="7"/>
      <c r="V1345" s="4" t="s">
        <v>51</v>
      </c>
      <c r="W1345" s="4" t="s">
        <v>58</v>
      </c>
      <c r="X1345" s="4" t="s">
        <v>128</v>
      </c>
      <c r="Y1345" s="7" t="s">
        <v>664</v>
      </c>
      <c r="Z1345" s="7"/>
      <c r="AA1345" s="4" t="s">
        <v>46</v>
      </c>
      <c r="AB1345" s="4" t="s">
        <v>47</v>
      </c>
      <c r="AD1345" s="4" t="s">
        <v>41</v>
      </c>
      <c r="AE1345" s="4" t="s">
        <v>48</v>
      </c>
      <c r="AF1345" s="4" t="s">
        <v>41</v>
      </c>
      <c r="AG1345" s="4" t="s">
        <v>2870</v>
      </c>
    </row>
    <row r="1346" spans="1:33" ht="16.5" customHeight="1" x14ac:dyDescent="0.2">
      <c r="A1346" s="2" t="s">
        <v>31</v>
      </c>
      <c r="B1346" s="5" t="s">
        <v>54</v>
      </c>
      <c r="C1346" s="5"/>
      <c r="D1346" s="5"/>
      <c r="E1346" s="6" t="s">
        <v>33</v>
      </c>
      <c r="F1346" s="6"/>
      <c r="G1346" s="7" t="s">
        <v>2867</v>
      </c>
      <c r="H1346" s="7"/>
      <c r="I1346" s="7"/>
      <c r="J1346" s="3" t="s">
        <v>35</v>
      </c>
      <c r="K1346" s="4" t="s">
        <v>55</v>
      </c>
      <c r="L1346" s="4" t="s">
        <v>37</v>
      </c>
      <c r="N1346" s="7" t="s">
        <v>2871</v>
      </c>
      <c r="O1346" s="7"/>
      <c r="P1346" s="7" t="s">
        <v>2872</v>
      </c>
      <c r="Q1346" s="7"/>
      <c r="R1346" s="7"/>
      <c r="S1346" s="3" t="s">
        <v>40</v>
      </c>
      <c r="T1346" s="7" t="s">
        <v>41</v>
      </c>
      <c r="U1346" s="7"/>
      <c r="V1346" s="4" t="s">
        <v>42</v>
      </c>
      <c r="W1346" s="4" t="s">
        <v>355</v>
      </c>
      <c r="X1346" s="4" t="s">
        <v>344</v>
      </c>
      <c r="Y1346" s="7" t="s">
        <v>60</v>
      </c>
      <c r="Z1346" s="7"/>
      <c r="AA1346" s="4" t="s">
        <v>46</v>
      </c>
      <c r="AB1346" s="4" t="s">
        <v>47</v>
      </c>
      <c r="AC1346" s="4" t="s">
        <v>79</v>
      </c>
      <c r="AD1346" s="4" t="s">
        <v>80</v>
      </c>
      <c r="AE1346" s="4" t="s">
        <v>48</v>
      </c>
      <c r="AF1346" s="4" t="s">
        <v>41</v>
      </c>
      <c r="AG1346" s="4" t="s">
        <v>2870</v>
      </c>
    </row>
    <row r="1347" spans="1:33" ht="16.5" customHeight="1" x14ac:dyDescent="0.2">
      <c r="A1347" s="2" t="s">
        <v>31</v>
      </c>
      <c r="B1347" s="5" t="s">
        <v>54</v>
      </c>
      <c r="C1347" s="5"/>
      <c r="D1347" s="5"/>
      <c r="E1347" s="6" t="s">
        <v>33</v>
      </c>
      <c r="F1347" s="6"/>
      <c r="G1347" s="7" t="s">
        <v>2867</v>
      </c>
      <c r="H1347" s="7"/>
      <c r="I1347" s="7"/>
      <c r="J1347" s="3" t="s">
        <v>35</v>
      </c>
      <c r="K1347" s="4" t="s">
        <v>387</v>
      </c>
      <c r="L1347" s="4" t="s">
        <v>37</v>
      </c>
      <c r="N1347" s="7" t="s">
        <v>2873</v>
      </c>
      <c r="O1347" s="7"/>
      <c r="P1347" s="7" t="s">
        <v>2874</v>
      </c>
      <c r="Q1347" s="7"/>
      <c r="R1347" s="7"/>
      <c r="S1347" s="3" t="s">
        <v>40</v>
      </c>
      <c r="T1347" s="7" t="s">
        <v>41</v>
      </c>
      <c r="U1347" s="7"/>
      <c r="V1347" s="4" t="s">
        <v>42</v>
      </c>
      <c r="W1347" s="4" t="s">
        <v>43</v>
      </c>
      <c r="X1347" s="4" t="s">
        <v>44</v>
      </c>
      <c r="Y1347" s="7" t="s">
        <v>197</v>
      </c>
      <c r="Z1347" s="7"/>
      <c r="AA1347" s="4" t="s">
        <v>46</v>
      </c>
      <c r="AB1347" s="4" t="s">
        <v>47</v>
      </c>
      <c r="AC1347" s="4" t="s">
        <v>259</v>
      </c>
      <c r="AD1347" s="4" t="s">
        <v>260</v>
      </c>
      <c r="AE1347" s="4" t="s">
        <v>48</v>
      </c>
      <c r="AF1347" s="4" t="s">
        <v>41</v>
      </c>
      <c r="AG1347" s="4" t="s">
        <v>2870</v>
      </c>
    </row>
    <row r="1348" spans="1:33" ht="16.5" customHeight="1" x14ac:dyDescent="0.2">
      <c r="A1348" s="2" t="s">
        <v>31</v>
      </c>
      <c r="B1348" s="5" t="s">
        <v>54</v>
      </c>
      <c r="C1348" s="5"/>
      <c r="D1348" s="5"/>
      <c r="E1348" s="6" t="s">
        <v>33</v>
      </c>
      <c r="F1348" s="6"/>
      <c r="G1348" s="7" t="s">
        <v>2867</v>
      </c>
      <c r="H1348" s="7"/>
      <c r="I1348" s="7"/>
      <c r="J1348" s="3" t="s">
        <v>35</v>
      </c>
      <c r="K1348" s="4" t="s">
        <v>130</v>
      </c>
      <c r="L1348" s="4" t="s">
        <v>37</v>
      </c>
      <c r="N1348" s="7" t="s">
        <v>2875</v>
      </c>
      <c r="O1348" s="7"/>
      <c r="P1348" s="7" t="s">
        <v>2876</v>
      </c>
      <c r="Q1348" s="7"/>
      <c r="R1348" s="7"/>
      <c r="S1348" s="3" t="s">
        <v>40</v>
      </c>
      <c r="T1348" s="7" t="s">
        <v>41</v>
      </c>
      <c r="U1348" s="7"/>
      <c r="V1348" s="4" t="s">
        <v>42</v>
      </c>
      <c r="W1348" s="4" t="s">
        <v>274</v>
      </c>
      <c r="X1348" s="4" t="s">
        <v>275</v>
      </c>
      <c r="Y1348" s="7" t="s">
        <v>135</v>
      </c>
      <c r="Z1348" s="7"/>
      <c r="AA1348" s="4" t="s">
        <v>46</v>
      </c>
      <c r="AB1348" s="4" t="s">
        <v>47</v>
      </c>
      <c r="AC1348" s="4" t="s">
        <v>136</v>
      </c>
      <c r="AD1348" s="4" t="s">
        <v>137</v>
      </c>
      <c r="AE1348" s="4" t="s">
        <v>48</v>
      </c>
      <c r="AF1348" s="4" t="s">
        <v>41</v>
      </c>
      <c r="AG1348" s="4" t="s">
        <v>2870</v>
      </c>
    </row>
    <row r="1349" spans="1:33" ht="16.5" customHeight="1" x14ac:dyDescent="0.2">
      <c r="A1349" s="2" t="s">
        <v>31</v>
      </c>
      <c r="B1349" s="5" t="s">
        <v>54</v>
      </c>
      <c r="C1349" s="5"/>
      <c r="D1349" s="5"/>
      <c r="E1349" s="6" t="s">
        <v>33</v>
      </c>
      <c r="F1349" s="6"/>
      <c r="G1349" s="7" t="s">
        <v>2867</v>
      </c>
      <c r="H1349" s="7"/>
      <c r="I1349" s="7"/>
      <c r="J1349" s="3" t="s">
        <v>35</v>
      </c>
      <c r="K1349" s="4" t="s">
        <v>202</v>
      </c>
      <c r="L1349" s="4" t="s">
        <v>37</v>
      </c>
      <c r="N1349" s="7" t="s">
        <v>2877</v>
      </c>
      <c r="O1349" s="7"/>
      <c r="P1349" s="7" t="s">
        <v>2878</v>
      </c>
      <c r="Q1349" s="7"/>
      <c r="R1349" s="7"/>
      <c r="S1349" s="3" t="s">
        <v>40</v>
      </c>
      <c r="T1349" s="7" t="s">
        <v>41</v>
      </c>
      <c r="U1349" s="7"/>
      <c r="V1349" s="4" t="s">
        <v>42</v>
      </c>
      <c r="W1349" s="4" t="s">
        <v>229</v>
      </c>
      <c r="X1349" s="4" t="s">
        <v>446</v>
      </c>
      <c r="Y1349" s="7" t="s">
        <v>197</v>
      </c>
      <c r="Z1349" s="7"/>
      <c r="AA1349" s="4" t="s">
        <v>46</v>
      </c>
      <c r="AB1349" s="4" t="s">
        <v>47</v>
      </c>
      <c r="AC1349" s="4" t="s">
        <v>259</v>
      </c>
      <c r="AD1349" s="4" t="s">
        <v>260</v>
      </c>
      <c r="AE1349" s="4" t="s">
        <v>48</v>
      </c>
      <c r="AF1349" s="4" t="s">
        <v>41</v>
      </c>
      <c r="AG1349" s="4" t="s">
        <v>2870</v>
      </c>
    </row>
    <row r="1350" spans="1:33" ht="16.5" customHeight="1" x14ac:dyDescent="0.2">
      <c r="A1350" s="2" t="s">
        <v>31</v>
      </c>
      <c r="B1350" s="5" t="s">
        <v>54</v>
      </c>
      <c r="C1350" s="5"/>
      <c r="D1350" s="5"/>
      <c r="E1350" s="6" t="s">
        <v>33</v>
      </c>
      <c r="F1350" s="6"/>
      <c r="G1350" s="7" t="s">
        <v>2867</v>
      </c>
      <c r="H1350" s="7"/>
      <c r="I1350" s="7"/>
      <c r="J1350" s="3" t="s">
        <v>35</v>
      </c>
      <c r="K1350" s="4" t="s">
        <v>130</v>
      </c>
      <c r="L1350" s="4" t="s">
        <v>37</v>
      </c>
      <c r="N1350" s="7" t="s">
        <v>2879</v>
      </c>
      <c r="O1350" s="7"/>
      <c r="P1350" s="7" t="s">
        <v>2880</v>
      </c>
      <c r="Q1350" s="7"/>
      <c r="R1350" s="7"/>
      <c r="S1350" s="3" t="s">
        <v>40</v>
      </c>
      <c r="T1350" s="7" t="s">
        <v>41</v>
      </c>
      <c r="U1350" s="7"/>
      <c r="V1350" s="4" t="s">
        <v>42</v>
      </c>
      <c r="W1350" s="4" t="s">
        <v>772</v>
      </c>
      <c r="X1350" s="4" t="s">
        <v>230</v>
      </c>
      <c r="Y1350" s="7" t="s">
        <v>135</v>
      </c>
      <c r="Z1350" s="7"/>
      <c r="AA1350" s="4" t="s">
        <v>46</v>
      </c>
      <c r="AB1350" s="4" t="s">
        <v>47</v>
      </c>
      <c r="AC1350" s="4" t="s">
        <v>136</v>
      </c>
      <c r="AD1350" s="4" t="s">
        <v>137</v>
      </c>
      <c r="AE1350" s="4" t="s">
        <v>48</v>
      </c>
      <c r="AF1350" s="4" t="s">
        <v>41</v>
      </c>
      <c r="AG1350" s="4" t="s">
        <v>2870</v>
      </c>
    </row>
    <row r="1351" spans="1:33" ht="16.5" customHeight="1" x14ac:dyDescent="0.2">
      <c r="A1351" s="2" t="s">
        <v>31</v>
      </c>
      <c r="B1351" s="5" t="s">
        <v>54</v>
      </c>
      <c r="C1351" s="5"/>
      <c r="D1351" s="5"/>
      <c r="E1351" s="6" t="s">
        <v>33</v>
      </c>
      <c r="F1351" s="6"/>
      <c r="G1351" s="7" t="s">
        <v>2867</v>
      </c>
      <c r="H1351" s="7"/>
      <c r="I1351" s="7"/>
      <c r="J1351" s="3" t="s">
        <v>35</v>
      </c>
      <c r="K1351" s="4" t="s">
        <v>97</v>
      </c>
      <c r="L1351" s="4" t="s">
        <v>37</v>
      </c>
      <c r="N1351" s="7" t="s">
        <v>2881</v>
      </c>
      <c r="O1351" s="7"/>
      <c r="P1351" s="7" t="s">
        <v>2882</v>
      </c>
      <c r="Q1351" s="7"/>
      <c r="R1351" s="7"/>
      <c r="S1351" s="3" t="s">
        <v>40</v>
      </c>
      <c r="T1351" s="7" t="s">
        <v>41</v>
      </c>
      <c r="U1351" s="7"/>
      <c r="V1351" s="4" t="s">
        <v>42</v>
      </c>
      <c r="W1351" s="4" t="s">
        <v>263</v>
      </c>
      <c r="X1351" s="4" t="s">
        <v>264</v>
      </c>
      <c r="Y1351" s="7" t="s">
        <v>78</v>
      </c>
      <c r="Z1351" s="7"/>
      <c r="AA1351" s="4" t="s">
        <v>46</v>
      </c>
      <c r="AB1351" s="4" t="s">
        <v>47</v>
      </c>
      <c r="AC1351" s="4" t="s">
        <v>136</v>
      </c>
      <c r="AD1351" s="4" t="s">
        <v>137</v>
      </c>
      <c r="AE1351" s="4" t="s">
        <v>48</v>
      </c>
      <c r="AF1351" s="4" t="s">
        <v>41</v>
      </c>
      <c r="AG1351" s="4" t="s">
        <v>2870</v>
      </c>
    </row>
    <row r="1352" spans="1:33" ht="16.5" customHeight="1" x14ac:dyDescent="0.2">
      <c r="A1352" s="2" t="s">
        <v>31</v>
      </c>
      <c r="B1352" s="5" t="s">
        <v>54</v>
      </c>
      <c r="C1352" s="5"/>
      <c r="D1352" s="5"/>
      <c r="E1352" s="6" t="s">
        <v>33</v>
      </c>
      <c r="F1352" s="6"/>
      <c r="G1352" s="7" t="s">
        <v>2867</v>
      </c>
      <c r="H1352" s="7"/>
      <c r="I1352" s="7"/>
      <c r="J1352" s="3" t="s">
        <v>35</v>
      </c>
      <c r="K1352" s="4" t="s">
        <v>97</v>
      </c>
      <c r="L1352" s="4" t="s">
        <v>37</v>
      </c>
      <c r="N1352" s="7" t="s">
        <v>2883</v>
      </c>
      <c r="O1352" s="7"/>
      <c r="P1352" s="7" t="s">
        <v>2884</v>
      </c>
      <c r="Q1352" s="7"/>
      <c r="R1352" s="7"/>
      <c r="S1352" s="3" t="s">
        <v>40</v>
      </c>
      <c r="T1352" s="7" t="s">
        <v>41</v>
      </c>
      <c r="U1352" s="7"/>
      <c r="V1352" s="4" t="s">
        <v>42</v>
      </c>
      <c r="W1352" s="4" t="s">
        <v>200</v>
      </c>
      <c r="X1352" s="4" t="s">
        <v>201</v>
      </c>
      <c r="Y1352" s="7" t="s">
        <v>78</v>
      </c>
      <c r="Z1352" s="7"/>
      <c r="AA1352" s="4" t="s">
        <v>46</v>
      </c>
      <c r="AB1352" s="4" t="s">
        <v>47</v>
      </c>
      <c r="AC1352" s="4" t="s">
        <v>136</v>
      </c>
      <c r="AD1352" s="4" t="s">
        <v>137</v>
      </c>
      <c r="AE1352" s="4" t="s">
        <v>48</v>
      </c>
      <c r="AF1352" s="4" t="s">
        <v>41</v>
      </c>
      <c r="AG1352" s="4" t="s">
        <v>2870</v>
      </c>
    </row>
    <row r="1353" spans="1:33" ht="16.5" customHeight="1" x14ac:dyDescent="0.2">
      <c r="A1353" s="2" t="s">
        <v>31</v>
      </c>
      <c r="B1353" s="5" t="s">
        <v>54</v>
      </c>
      <c r="C1353" s="5"/>
      <c r="D1353" s="5"/>
      <c r="E1353" s="6" t="s">
        <v>33</v>
      </c>
      <c r="F1353" s="6"/>
      <c r="G1353" s="7" t="s">
        <v>2867</v>
      </c>
      <c r="H1353" s="7"/>
      <c r="I1353" s="7"/>
      <c r="J1353" s="3" t="s">
        <v>35</v>
      </c>
      <c r="K1353" s="4" t="s">
        <v>130</v>
      </c>
      <c r="L1353" s="4" t="s">
        <v>37</v>
      </c>
      <c r="N1353" s="7" t="s">
        <v>2885</v>
      </c>
      <c r="O1353" s="7"/>
      <c r="P1353" s="7" t="s">
        <v>2886</v>
      </c>
      <c r="Q1353" s="7"/>
      <c r="R1353" s="7"/>
      <c r="S1353" s="3" t="s">
        <v>40</v>
      </c>
      <c r="T1353" s="7" t="s">
        <v>41</v>
      </c>
      <c r="U1353" s="7"/>
      <c r="V1353" s="4" t="s">
        <v>42</v>
      </c>
      <c r="W1353" s="4" t="s">
        <v>278</v>
      </c>
      <c r="X1353" s="4" t="s">
        <v>279</v>
      </c>
      <c r="Y1353" s="7" t="s">
        <v>135</v>
      </c>
      <c r="Z1353" s="7"/>
      <c r="AA1353" s="4" t="s">
        <v>46</v>
      </c>
      <c r="AB1353" s="4" t="s">
        <v>47</v>
      </c>
      <c r="AC1353" s="4" t="s">
        <v>136</v>
      </c>
      <c r="AD1353" s="4" t="s">
        <v>137</v>
      </c>
      <c r="AE1353" s="4" t="s">
        <v>48</v>
      </c>
      <c r="AF1353" s="4" t="s">
        <v>41</v>
      </c>
      <c r="AG1353" s="4" t="s">
        <v>2870</v>
      </c>
    </row>
    <row r="1354" spans="1:33" ht="16.5" customHeight="1" x14ac:dyDescent="0.2">
      <c r="A1354" s="2" t="s">
        <v>31</v>
      </c>
      <c r="B1354" s="5" t="s">
        <v>54</v>
      </c>
      <c r="C1354" s="5"/>
      <c r="D1354" s="5"/>
      <c r="E1354" s="6" t="s">
        <v>33</v>
      </c>
      <c r="F1354" s="6"/>
      <c r="G1354" s="7" t="s">
        <v>2867</v>
      </c>
      <c r="H1354" s="7"/>
      <c r="I1354" s="7"/>
      <c r="J1354" s="3" t="s">
        <v>35</v>
      </c>
      <c r="K1354" s="4" t="s">
        <v>55</v>
      </c>
      <c r="L1354" s="4" t="s">
        <v>37</v>
      </c>
      <c r="N1354" s="7" t="s">
        <v>2887</v>
      </c>
      <c r="O1354" s="7"/>
      <c r="P1354" s="7" t="s">
        <v>2888</v>
      </c>
      <c r="Q1354" s="7"/>
      <c r="R1354" s="7"/>
      <c r="S1354" s="3" t="s">
        <v>40</v>
      </c>
      <c r="T1354" s="7" t="s">
        <v>41</v>
      </c>
      <c r="U1354" s="7"/>
      <c r="V1354" s="4" t="s">
        <v>42</v>
      </c>
      <c r="W1354" s="4" t="s">
        <v>825</v>
      </c>
      <c r="X1354" s="4" t="s">
        <v>430</v>
      </c>
      <c r="Y1354" s="7" t="s">
        <v>60</v>
      </c>
      <c r="Z1354" s="7"/>
      <c r="AA1354" s="4" t="s">
        <v>46</v>
      </c>
      <c r="AB1354" s="4" t="s">
        <v>47</v>
      </c>
      <c r="AC1354" s="4" t="s">
        <v>79</v>
      </c>
      <c r="AD1354" s="4" t="s">
        <v>80</v>
      </c>
      <c r="AE1354" s="4" t="s">
        <v>48</v>
      </c>
      <c r="AF1354" s="4" t="s">
        <v>41</v>
      </c>
      <c r="AG1354" s="4" t="s">
        <v>2870</v>
      </c>
    </row>
    <row r="1355" spans="1:33" ht="16.5" customHeight="1" x14ac:dyDescent="0.2">
      <c r="A1355" s="2" t="s">
        <v>31</v>
      </c>
      <c r="B1355" s="5" t="s">
        <v>54</v>
      </c>
      <c r="C1355" s="5"/>
      <c r="D1355" s="5"/>
      <c r="E1355" s="6" t="s">
        <v>33</v>
      </c>
      <c r="F1355" s="6"/>
      <c r="G1355" s="7" t="s">
        <v>2867</v>
      </c>
      <c r="H1355" s="7"/>
      <c r="I1355" s="7"/>
      <c r="J1355" s="3" t="s">
        <v>35</v>
      </c>
      <c r="K1355" s="4" t="s">
        <v>414</v>
      </c>
      <c r="L1355" s="4" t="s">
        <v>93</v>
      </c>
      <c r="N1355" s="7" t="s">
        <v>2889</v>
      </c>
      <c r="O1355" s="7"/>
      <c r="P1355" s="7" t="s">
        <v>2890</v>
      </c>
      <c r="Q1355" s="7"/>
      <c r="R1355" s="7"/>
      <c r="S1355" s="3" t="s">
        <v>40</v>
      </c>
      <c r="T1355" s="7" t="s">
        <v>41</v>
      </c>
      <c r="U1355" s="7"/>
      <c r="V1355" s="4" t="s">
        <v>42</v>
      </c>
      <c r="W1355" s="4" t="s">
        <v>850</v>
      </c>
      <c r="X1355" s="4" t="s">
        <v>574</v>
      </c>
      <c r="Y1355" s="7" t="s">
        <v>197</v>
      </c>
      <c r="Z1355" s="7"/>
      <c r="AA1355" s="4" t="s">
        <v>46</v>
      </c>
      <c r="AB1355" s="4" t="s">
        <v>47</v>
      </c>
      <c r="AC1355" s="4" t="s">
        <v>259</v>
      </c>
      <c r="AD1355" s="4" t="s">
        <v>62</v>
      </c>
      <c r="AE1355" s="4" t="s">
        <v>48</v>
      </c>
      <c r="AF1355" s="4" t="s">
        <v>41</v>
      </c>
      <c r="AG1355" s="4" t="s">
        <v>2870</v>
      </c>
    </row>
    <row r="1356" spans="1:33" ht="16.5" customHeight="1" x14ac:dyDescent="0.2">
      <c r="A1356" s="2" t="s">
        <v>31</v>
      </c>
      <c r="B1356" s="5" t="s">
        <v>54</v>
      </c>
      <c r="C1356" s="5"/>
      <c r="D1356" s="5"/>
      <c r="E1356" s="6" t="s">
        <v>33</v>
      </c>
      <c r="F1356" s="6"/>
      <c r="G1356" s="7" t="s">
        <v>2867</v>
      </c>
      <c r="H1356" s="7"/>
      <c r="I1356" s="7"/>
      <c r="J1356" s="3" t="s">
        <v>35</v>
      </c>
      <c r="K1356" s="4" t="s">
        <v>267</v>
      </c>
      <c r="L1356" s="4" t="s">
        <v>37</v>
      </c>
      <c r="N1356" s="7" t="s">
        <v>2891</v>
      </c>
      <c r="O1356" s="7"/>
      <c r="P1356" s="7" t="s">
        <v>2892</v>
      </c>
      <c r="Q1356" s="7"/>
      <c r="R1356" s="7"/>
      <c r="S1356" s="3" t="s">
        <v>40</v>
      </c>
      <c r="T1356" s="7" t="s">
        <v>41</v>
      </c>
      <c r="U1356" s="7"/>
      <c r="V1356" s="4" t="s">
        <v>42</v>
      </c>
      <c r="W1356" s="4" t="s">
        <v>234</v>
      </c>
      <c r="X1356" s="4" t="s">
        <v>235</v>
      </c>
      <c r="Y1356" s="7" t="s">
        <v>78</v>
      </c>
      <c r="Z1356" s="7"/>
      <c r="AA1356" s="4" t="s">
        <v>46</v>
      </c>
      <c r="AB1356" s="4" t="s">
        <v>47</v>
      </c>
      <c r="AC1356" s="4" t="s">
        <v>136</v>
      </c>
      <c r="AD1356" s="4" t="s">
        <v>137</v>
      </c>
      <c r="AE1356" s="4" t="s">
        <v>48</v>
      </c>
      <c r="AF1356" s="4" t="s">
        <v>41</v>
      </c>
      <c r="AG1356" s="4" t="s">
        <v>2870</v>
      </c>
    </row>
    <row r="1357" spans="1:33" ht="16.5" customHeight="1" x14ac:dyDescent="0.2">
      <c r="A1357" s="2" t="s">
        <v>31</v>
      </c>
      <c r="B1357" s="5" t="s">
        <v>54</v>
      </c>
      <c r="C1357" s="5"/>
      <c r="D1357" s="5"/>
      <c r="E1357" s="6" t="s">
        <v>33</v>
      </c>
      <c r="F1357" s="6"/>
      <c r="G1357" s="7" t="s">
        <v>2867</v>
      </c>
      <c r="H1357" s="7"/>
      <c r="I1357" s="7"/>
      <c r="J1357" s="3" t="s">
        <v>35</v>
      </c>
      <c r="K1357" s="4" t="s">
        <v>202</v>
      </c>
      <c r="L1357" s="4" t="s">
        <v>37</v>
      </c>
      <c r="N1357" s="7" t="s">
        <v>2893</v>
      </c>
      <c r="O1357" s="7"/>
      <c r="P1357" s="7" t="s">
        <v>2894</v>
      </c>
      <c r="Q1357" s="7"/>
      <c r="R1357" s="7"/>
      <c r="S1357" s="3" t="s">
        <v>40</v>
      </c>
      <c r="T1357" s="7" t="s">
        <v>41</v>
      </c>
      <c r="U1357" s="7"/>
      <c r="V1357" s="4" t="s">
        <v>42</v>
      </c>
      <c r="W1357" s="4" t="s">
        <v>234</v>
      </c>
      <c r="X1357" s="4" t="s">
        <v>235</v>
      </c>
      <c r="Y1357" s="7" t="s">
        <v>197</v>
      </c>
      <c r="Z1357" s="7"/>
      <c r="AA1357" s="4" t="s">
        <v>46</v>
      </c>
      <c r="AB1357" s="4" t="s">
        <v>47</v>
      </c>
      <c r="AC1357" s="4" t="s">
        <v>259</v>
      </c>
      <c r="AD1357" s="4" t="s">
        <v>260</v>
      </c>
      <c r="AE1357" s="4" t="s">
        <v>48</v>
      </c>
      <c r="AF1357" s="4" t="s">
        <v>41</v>
      </c>
      <c r="AG1357" s="4" t="s">
        <v>2870</v>
      </c>
    </row>
    <row r="1358" spans="1:33" ht="16.5" customHeight="1" x14ac:dyDescent="0.2">
      <c r="A1358" s="2" t="s">
        <v>31</v>
      </c>
      <c r="B1358" s="5" t="s">
        <v>54</v>
      </c>
      <c r="C1358" s="5"/>
      <c r="D1358" s="5"/>
      <c r="E1358" s="6" t="s">
        <v>33</v>
      </c>
      <c r="F1358" s="6"/>
      <c r="G1358" s="7" t="s">
        <v>2867</v>
      </c>
      <c r="H1358" s="7"/>
      <c r="I1358" s="7"/>
      <c r="J1358" s="3" t="s">
        <v>35</v>
      </c>
      <c r="K1358" s="4" t="s">
        <v>202</v>
      </c>
      <c r="L1358" s="4" t="s">
        <v>37</v>
      </c>
      <c r="N1358" s="7" t="s">
        <v>2895</v>
      </c>
      <c r="O1358" s="7"/>
      <c r="P1358" s="7" t="s">
        <v>2896</v>
      </c>
      <c r="Q1358" s="7"/>
      <c r="R1358" s="7"/>
      <c r="S1358" s="3" t="s">
        <v>40</v>
      </c>
      <c r="T1358" s="7" t="s">
        <v>41</v>
      </c>
      <c r="U1358" s="7"/>
      <c r="V1358" s="4" t="s">
        <v>42</v>
      </c>
      <c r="W1358" s="4" t="s">
        <v>51</v>
      </c>
      <c r="X1358" s="4" t="s">
        <v>128</v>
      </c>
      <c r="Y1358" s="7" t="s">
        <v>197</v>
      </c>
      <c r="Z1358" s="7"/>
      <c r="AA1358" s="4" t="s">
        <v>46</v>
      </c>
      <c r="AB1358" s="4" t="s">
        <v>47</v>
      </c>
      <c r="AC1358" s="4" t="s">
        <v>136</v>
      </c>
      <c r="AD1358" s="4" t="s">
        <v>137</v>
      </c>
      <c r="AE1358" s="4" t="s">
        <v>48</v>
      </c>
      <c r="AF1358" s="4" t="s">
        <v>41</v>
      </c>
      <c r="AG1358" s="4" t="s">
        <v>2870</v>
      </c>
    </row>
    <row r="1359" spans="1:33" ht="16.5" customHeight="1" x14ac:dyDescent="0.2">
      <c r="A1359" s="2" t="s">
        <v>31</v>
      </c>
      <c r="B1359" s="5" t="s">
        <v>108</v>
      </c>
      <c r="C1359" s="5"/>
      <c r="D1359" s="5"/>
      <c r="E1359" s="6" t="s">
        <v>33</v>
      </c>
      <c r="F1359" s="6"/>
      <c r="G1359" s="7" t="s">
        <v>2867</v>
      </c>
      <c r="H1359" s="7"/>
      <c r="I1359" s="7"/>
      <c r="J1359" s="3" t="s">
        <v>35</v>
      </c>
      <c r="K1359" s="4" t="s">
        <v>398</v>
      </c>
      <c r="N1359" s="7" t="s">
        <v>2897</v>
      </c>
      <c r="O1359" s="7"/>
      <c r="P1359" s="7" t="s">
        <v>2898</v>
      </c>
      <c r="Q1359" s="7"/>
      <c r="R1359" s="7"/>
      <c r="S1359" s="3" t="s">
        <v>40</v>
      </c>
      <c r="T1359" s="7" t="s">
        <v>2899</v>
      </c>
      <c r="U1359" s="7"/>
      <c r="V1359" s="4" t="s">
        <v>42</v>
      </c>
      <c r="W1359" s="4" t="s">
        <v>58</v>
      </c>
      <c r="X1359" s="4" t="s">
        <v>59</v>
      </c>
      <c r="Y1359" s="7" t="s">
        <v>915</v>
      </c>
      <c r="Z1359" s="7"/>
      <c r="AA1359" s="4" t="s">
        <v>46</v>
      </c>
      <c r="AB1359" s="4" t="s">
        <v>115</v>
      </c>
      <c r="AC1359" s="4" t="s">
        <v>916</v>
      </c>
      <c r="AD1359" s="4" t="s">
        <v>2900</v>
      </c>
      <c r="AE1359" s="4" t="s">
        <v>48</v>
      </c>
      <c r="AF1359" s="4" t="s">
        <v>41</v>
      </c>
      <c r="AG1359" s="4" t="s">
        <v>2870</v>
      </c>
    </row>
    <row r="1360" spans="1:33" ht="16.5" customHeight="1" x14ac:dyDescent="0.2">
      <c r="A1360" s="2" t="s">
        <v>31</v>
      </c>
      <c r="B1360" s="5" t="s">
        <v>108</v>
      </c>
      <c r="C1360" s="5"/>
      <c r="D1360" s="5"/>
      <c r="E1360" s="6" t="s">
        <v>33</v>
      </c>
      <c r="F1360" s="6"/>
      <c r="G1360" s="7" t="s">
        <v>2867</v>
      </c>
      <c r="H1360" s="7"/>
      <c r="I1360" s="7"/>
      <c r="J1360" s="3" t="s">
        <v>35</v>
      </c>
      <c r="K1360" s="4" t="s">
        <v>398</v>
      </c>
      <c r="N1360" s="7" t="s">
        <v>2897</v>
      </c>
      <c r="O1360" s="7"/>
      <c r="P1360" s="7" t="s">
        <v>2898</v>
      </c>
      <c r="Q1360" s="7"/>
      <c r="R1360" s="7"/>
      <c r="S1360" s="3" t="s">
        <v>40</v>
      </c>
      <c r="T1360" s="7" t="s">
        <v>2899</v>
      </c>
      <c r="U1360" s="7"/>
      <c r="V1360" s="4" t="s">
        <v>51</v>
      </c>
      <c r="W1360" s="4" t="s">
        <v>58</v>
      </c>
      <c r="X1360" s="4" t="s">
        <v>128</v>
      </c>
      <c r="Y1360" s="7" t="s">
        <v>915</v>
      </c>
      <c r="Z1360" s="7"/>
      <c r="AA1360" s="4" t="s">
        <v>46</v>
      </c>
      <c r="AB1360" s="4" t="s">
        <v>115</v>
      </c>
      <c r="AC1360" s="4" t="s">
        <v>916</v>
      </c>
      <c r="AD1360" s="4" t="s">
        <v>2900</v>
      </c>
      <c r="AE1360" s="4" t="s">
        <v>48</v>
      </c>
      <c r="AF1360" s="4" t="s">
        <v>41</v>
      </c>
      <c r="AG1360" s="4" t="s">
        <v>2870</v>
      </c>
    </row>
    <row r="1361" spans="1:33" ht="16.5" customHeight="1" x14ac:dyDescent="0.2">
      <c r="A1361" s="2" t="s">
        <v>31</v>
      </c>
      <c r="B1361" s="5" t="s">
        <v>108</v>
      </c>
      <c r="C1361" s="5"/>
      <c r="D1361" s="5"/>
      <c r="E1361" s="6" t="s">
        <v>33</v>
      </c>
      <c r="F1361" s="6"/>
      <c r="G1361" s="7" t="s">
        <v>2867</v>
      </c>
      <c r="H1361" s="7"/>
      <c r="I1361" s="7"/>
      <c r="J1361" s="3" t="s">
        <v>35</v>
      </c>
      <c r="K1361" s="4" t="s">
        <v>398</v>
      </c>
      <c r="N1361" s="7" t="s">
        <v>2901</v>
      </c>
      <c r="O1361" s="7"/>
      <c r="P1361" s="7" t="s">
        <v>2902</v>
      </c>
      <c r="Q1361" s="7"/>
      <c r="R1361" s="7"/>
      <c r="S1361" s="3" t="s">
        <v>40</v>
      </c>
      <c r="T1361" s="7" t="s">
        <v>2903</v>
      </c>
      <c r="U1361" s="7"/>
      <c r="V1361" s="4" t="s">
        <v>51</v>
      </c>
      <c r="W1361" s="4" t="s">
        <v>58</v>
      </c>
      <c r="X1361" s="4" t="s">
        <v>128</v>
      </c>
      <c r="Y1361" s="7" t="s">
        <v>2904</v>
      </c>
      <c r="Z1361" s="7"/>
      <c r="AA1361" s="4" t="s">
        <v>46</v>
      </c>
      <c r="AB1361" s="4" t="s">
        <v>115</v>
      </c>
      <c r="AC1361" s="4" t="s">
        <v>916</v>
      </c>
      <c r="AD1361" s="4" t="s">
        <v>2905</v>
      </c>
      <c r="AE1361" s="4" t="s">
        <v>48</v>
      </c>
      <c r="AF1361" s="4" t="s">
        <v>41</v>
      </c>
      <c r="AG1361" s="4" t="s">
        <v>2870</v>
      </c>
    </row>
    <row r="1362" spans="1:33" ht="16.5" customHeight="1" x14ac:dyDescent="0.2">
      <c r="A1362" s="2" t="s">
        <v>31</v>
      </c>
      <c r="B1362" s="5" t="s">
        <v>50</v>
      </c>
      <c r="C1362" s="5"/>
      <c r="D1362" s="5"/>
      <c r="E1362" s="6" t="s">
        <v>33</v>
      </c>
      <c r="F1362" s="6"/>
      <c r="G1362" s="7" t="s">
        <v>2906</v>
      </c>
      <c r="H1362" s="7"/>
      <c r="I1362" s="7"/>
      <c r="J1362" s="3" t="s">
        <v>35</v>
      </c>
      <c r="K1362" s="4" t="s">
        <v>661</v>
      </c>
      <c r="N1362" s="7" t="s">
        <v>2907</v>
      </c>
      <c r="O1362" s="7"/>
      <c r="P1362" s="7" t="s">
        <v>2908</v>
      </c>
      <c r="Q1362" s="7"/>
      <c r="R1362" s="7"/>
      <c r="S1362" s="3" t="s">
        <v>40</v>
      </c>
      <c r="T1362" s="7" t="s">
        <v>41</v>
      </c>
      <c r="U1362" s="7"/>
      <c r="V1362" s="4" t="s">
        <v>51</v>
      </c>
      <c r="W1362" s="4" t="s">
        <v>107</v>
      </c>
      <c r="X1362" s="4" t="s">
        <v>386</v>
      </c>
      <c r="Y1362" s="7" t="s">
        <v>664</v>
      </c>
      <c r="Z1362" s="7"/>
      <c r="AA1362" s="4" t="s">
        <v>46</v>
      </c>
      <c r="AB1362" s="4" t="s">
        <v>47</v>
      </c>
      <c r="AD1362" s="4" t="s">
        <v>96</v>
      </c>
      <c r="AE1362" s="4" t="s">
        <v>48</v>
      </c>
      <c r="AF1362" s="4" t="s">
        <v>41</v>
      </c>
      <c r="AG1362" s="4" t="s">
        <v>2909</v>
      </c>
    </row>
    <row r="1363" spans="1:33" ht="16.5" customHeight="1" x14ac:dyDescent="0.2">
      <c r="A1363" s="2" t="s">
        <v>31</v>
      </c>
      <c r="B1363" s="5" t="s">
        <v>54</v>
      </c>
      <c r="C1363" s="5"/>
      <c r="D1363" s="5"/>
      <c r="E1363" s="6" t="s">
        <v>33</v>
      </c>
      <c r="F1363" s="6"/>
      <c r="G1363" s="7" t="s">
        <v>2906</v>
      </c>
      <c r="H1363" s="7"/>
      <c r="I1363" s="7"/>
      <c r="J1363" s="3" t="s">
        <v>35</v>
      </c>
      <c r="K1363" s="4" t="s">
        <v>149</v>
      </c>
      <c r="L1363" s="4" t="s">
        <v>93</v>
      </c>
      <c r="N1363" s="7" t="s">
        <v>2910</v>
      </c>
      <c r="O1363" s="7"/>
      <c r="P1363" s="7" t="s">
        <v>2911</v>
      </c>
      <c r="Q1363" s="7"/>
      <c r="R1363" s="7"/>
      <c r="S1363" s="3" t="s">
        <v>40</v>
      </c>
      <c r="T1363" s="7" t="s">
        <v>41</v>
      </c>
      <c r="U1363" s="7"/>
      <c r="V1363" s="4" t="s">
        <v>42</v>
      </c>
      <c r="W1363" s="4" t="s">
        <v>51</v>
      </c>
      <c r="X1363" s="4" t="s">
        <v>128</v>
      </c>
      <c r="Y1363" s="7" t="s">
        <v>78</v>
      </c>
      <c r="Z1363" s="7"/>
      <c r="AA1363" s="4" t="s">
        <v>46</v>
      </c>
      <c r="AB1363" s="4" t="s">
        <v>47</v>
      </c>
      <c r="AC1363" s="4" t="s">
        <v>79</v>
      </c>
      <c r="AD1363" s="4" t="s">
        <v>96</v>
      </c>
      <c r="AE1363" s="4" t="s">
        <v>48</v>
      </c>
      <c r="AF1363" s="4" t="s">
        <v>41</v>
      </c>
      <c r="AG1363" s="4" t="s">
        <v>2909</v>
      </c>
    </row>
    <row r="1364" spans="1:33" ht="16.5" customHeight="1" x14ac:dyDescent="0.2">
      <c r="A1364" s="2" t="s">
        <v>31</v>
      </c>
      <c r="B1364" s="5" t="s">
        <v>108</v>
      </c>
      <c r="C1364" s="5"/>
      <c r="D1364" s="5"/>
      <c r="E1364" s="6" t="s">
        <v>33</v>
      </c>
      <c r="F1364" s="6"/>
      <c r="G1364" s="7" t="s">
        <v>2906</v>
      </c>
      <c r="H1364" s="7"/>
      <c r="I1364" s="7"/>
      <c r="J1364" s="3" t="s">
        <v>35</v>
      </c>
      <c r="K1364" s="4" t="s">
        <v>1285</v>
      </c>
      <c r="N1364" s="7" t="s">
        <v>2912</v>
      </c>
      <c r="O1364" s="7"/>
      <c r="P1364" s="7" t="s">
        <v>2913</v>
      </c>
      <c r="Q1364" s="7"/>
      <c r="R1364" s="7"/>
      <c r="S1364" s="3" t="s">
        <v>40</v>
      </c>
      <c r="T1364" s="7" t="s">
        <v>2914</v>
      </c>
      <c r="U1364" s="7"/>
      <c r="V1364" s="4" t="s">
        <v>51</v>
      </c>
      <c r="W1364" s="4" t="s">
        <v>58</v>
      </c>
      <c r="X1364" s="4" t="s">
        <v>128</v>
      </c>
      <c r="Y1364" s="7" t="s">
        <v>961</v>
      </c>
      <c r="Z1364" s="7"/>
      <c r="AA1364" s="4" t="s">
        <v>46</v>
      </c>
      <c r="AB1364" s="4" t="s">
        <v>115</v>
      </c>
      <c r="AC1364" s="4" t="s">
        <v>962</v>
      </c>
      <c r="AD1364" s="4" t="s">
        <v>2915</v>
      </c>
      <c r="AE1364" s="4" t="s">
        <v>48</v>
      </c>
      <c r="AF1364" s="4" t="s">
        <v>41</v>
      </c>
      <c r="AG1364" s="4" t="s">
        <v>2909</v>
      </c>
    </row>
    <row r="1365" spans="1:33" ht="16.5" customHeight="1" x14ac:dyDescent="0.2">
      <c r="A1365" s="2" t="s">
        <v>31</v>
      </c>
      <c r="B1365" s="5" t="s">
        <v>108</v>
      </c>
      <c r="C1365" s="5"/>
      <c r="D1365" s="5"/>
      <c r="E1365" s="6" t="s">
        <v>33</v>
      </c>
      <c r="F1365" s="6"/>
      <c r="G1365" s="7" t="s">
        <v>2906</v>
      </c>
      <c r="H1365" s="7"/>
      <c r="I1365" s="7"/>
      <c r="J1365" s="3" t="s">
        <v>35</v>
      </c>
      <c r="K1365" s="4" t="s">
        <v>398</v>
      </c>
      <c r="N1365" s="7" t="s">
        <v>2916</v>
      </c>
      <c r="O1365" s="7"/>
      <c r="P1365" s="7" t="s">
        <v>2917</v>
      </c>
      <c r="Q1365" s="7"/>
      <c r="R1365" s="7"/>
      <c r="S1365" s="3" t="s">
        <v>40</v>
      </c>
      <c r="T1365" s="7" t="s">
        <v>1263</v>
      </c>
      <c r="U1365" s="7"/>
      <c r="V1365" s="4" t="s">
        <v>51</v>
      </c>
      <c r="W1365" s="4" t="s">
        <v>107</v>
      </c>
      <c r="X1365" s="4" t="s">
        <v>386</v>
      </c>
      <c r="Y1365" s="7" t="s">
        <v>402</v>
      </c>
      <c r="Z1365" s="7"/>
      <c r="AA1365" s="4" t="s">
        <v>46</v>
      </c>
      <c r="AB1365" s="4" t="s">
        <v>115</v>
      </c>
      <c r="AC1365" s="4" t="s">
        <v>403</v>
      </c>
      <c r="AD1365" s="4" t="s">
        <v>1264</v>
      </c>
      <c r="AE1365" s="4" t="s">
        <v>48</v>
      </c>
      <c r="AF1365" s="4" t="s">
        <v>41</v>
      </c>
      <c r="AG1365" s="4" t="s">
        <v>2909</v>
      </c>
    </row>
    <row r="1366" spans="1:33" ht="16.5" customHeight="1" x14ac:dyDescent="0.2">
      <c r="A1366" s="2" t="s">
        <v>31</v>
      </c>
      <c r="B1366" s="5" t="s">
        <v>108</v>
      </c>
      <c r="C1366" s="5"/>
      <c r="D1366" s="5"/>
      <c r="E1366" s="6" t="s">
        <v>33</v>
      </c>
      <c r="F1366" s="6"/>
      <c r="G1366" s="7" t="s">
        <v>2906</v>
      </c>
      <c r="H1366" s="7"/>
      <c r="I1366" s="7"/>
      <c r="J1366" s="3" t="s">
        <v>35</v>
      </c>
      <c r="K1366" s="4" t="s">
        <v>928</v>
      </c>
      <c r="N1366" s="7" t="s">
        <v>2918</v>
      </c>
      <c r="O1366" s="7"/>
      <c r="P1366" s="7" t="s">
        <v>2919</v>
      </c>
      <c r="Q1366" s="7"/>
      <c r="R1366" s="7"/>
      <c r="S1366" s="3" t="s">
        <v>40</v>
      </c>
      <c r="T1366" s="7" t="s">
        <v>2920</v>
      </c>
      <c r="U1366" s="7"/>
      <c r="V1366" s="4" t="s">
        <v>51</v>
      </c>
      <c r="W1366" s="4" t="s">
        <v>172</v>
      </c>
      <c r="X1366" s="4" t="s">
        <v>59</v>
      </c>
      <c r="Y1366" s="7" t="s">
        <v>402</v>
      </c>
      <c r="Z1366" s="7"/>
      <c r="AA1366" s="4" t="s">
        <v>46</v>
      </c>
      <c r="AB1366" s="4" t="s">
        <v>115</v>
      </c>
      <c r="AC1366" s="4" t="s">
        <v>403</v>
      </c>
      <c r="AD1366" s="4" t="s">
        <v>2921</v>
      </c>
      <c r="AE1366" s="4" t="s">
        <v>48</v>
      </c>
      <c r="AF1366" s="4" t="s">
        <v>41</v>
      </c>
      <c r="AG1366" s="4" t="s">
        <v>2909</v>
      </c>
    </row>
    <row r="1367" spans="1:33" ht="16.5" customHeight="1" x14ac:dyDescent="0.2">
      <c r="A1367" s="2" t="s">
        <v>31</v>
      </c>
      <c r="B1367" s="5" t="s">
        <v>32</v>
      </c>
      <c r="C1367" s="5"/>
      <c r="D1367" s="5"/>
      <c r="E1367" s="6" t="s">
        <v>33</v>
      </c>
      <c r="F1367" s="6"/>
      <c r="G1367" s="7" t="s">
        <v>2922</v>
      </c>
      <c r="H1367" s="7"/>
      <c r="I1367" s="7"/>
      <c r="J1367" s="3" t="s">
        <v>35</v>
      </c>
      <c r="K1367" s="4" t="s">
        <v>2923</v>
      </c>
      <c r="L1367" s="4" t="s">
        <v>37</v>
      </c>
      <c r="N1367" s="7" t="s">
        <v>2924</v>
      </c>
      <c r="O1367" s="7"/>
      <c r="P1367" s="7" t="s">
        <v>2925</v>
      </c>
      <c r="Q1367" s="7"/>
      <c r="R1367" s="7"/>
      <c r="S1367" s="3" t="s">
        <v>40</v>
      </c>
      <c r="T1367" s="7" t="s">
        <v>41</v>
      </c>
      <c r="U1367" s="7"/>
      <c r="V1367" s="4" t="s">
        <v>42</v>
      </c>
      <c r="W1367" s="4" t="s">
        <v>58</v>
      </c>
      <c r="X1367" s="4" t="s">
        <v>59</v>
      </c>
      <c r="Y1367" s="7" t="s">
        <v>1929</v>
      </c>
      <c r="Z1367" s="7"/>
      <c r="AA1367" s="4" t="s">
        <v>46</v>
      </c>
      <c r="AB1367" s="4" t="s">
        <v>47</v>
      </c>
      <c r="AD1367" s="4" t="s">
        <v>41</v>
      </c>
      <c r="AE1367" s="4" t="s">
        <v>48</v>
      </c>
      <c r="AF1367" s="4" t="s">
        <v>41</v>
      </c>
      <c r="AG1367" s="4" t="s">
        <v>2926</v>
      </c>
    </row>
    <row r="1368" spans="1:33" ht="16.5" customHeight="1" x14ac:dyDescent="0.2">
      <c r="A1368" s="2" t="s">
        <v>31</v>
      </c>
      <c r="B1368" s="5" t="s">
        <v>32</v>
      </c>
      <c r="C1368" s="5"/>
      <c r="D1368" s="5"/>
      <c r="E1368" s="6" t="s">
        <v>33</v>
      </c>
      <c r="F1368" s="6"/>
      <c r="G1368" s="7" t="s">
        <v>2922</v>
      </c>
      <c r="H1368" s="7"/>
      <c r="I1368" s="7"/>
      <c r="J1368" s="3" t="s">
        <v>35</v>
      </c>
      <c r="K1368" s="4" t="s">
        <v>642</v>
      </c>
      <c r="L1368" s="4" t="s">
        <v>37</v>
      </c>
      <c r="N1368" s="7" t="s">
        <v>2927</v>
      </c>
      <c r="O1368" s="7"/>
      <c r="P1368" s="7" t="s">
        <v>2928</v>
      </c>
      <c r="Q1368" s="7"/>
      <c r="R1368" s="7"/>
      <c r="S1368" s="3" t="s">
        <v>40</v>
      </c>
      <c r="T1368" s="7" t="s">
        <v>41</v>
      </c>
      <c r="U1368" s="7"/>
      <c r="V1368" s="4" t="s">
        <v>42</v>
      </c>
      <c r="W1368" s="4" t="s">
        <v>58</v>
      </c>
      <c r="X1368" s="4" t="s">
        <v>59</v>
      </c>
      <c r="Y1368" s="7" t="s">
        <v>45</v>
      </c>
      <c r="Z1368" s="7"/>
      <c r="AA1368" s="4" t="s">
        <v>46</v>
      </c>
      <c r="AB1368" s="4" t="s">
        <v>47</v>
      </c>
      <c r="AD1368" s="4" t="s">
        <v>41</v>
      </c>
      <c r="AE1368" s="4" t="s">
        <v>48</v>
      </c>
      <c r="AF1368" s="4" t="s">
        <v>41</v>
      </c>
      <c r="AG1368" s="4" t="s">
        <v>2926</v>
      </c>
    </row>
    <row r="1369" spans="1:33" ht="16.5" customHeight="1" x14ac:dyDescent="0.2">
      <c r="A1369" s="2" t="s">
        <v>31</v>
      </c>
      <c r="B1369" s="5" t="s">
        <v>32</v>
      </c>
      <c r="C1369" s="5"/>
      <c r="D1369" s="5"/>
      <c r="E1369" s="6" t="s">
        <v>33</v>
      </c>
      <c r="F1369" s="6"/>
      <c r="G1369" s="7" t="s">
        <v>2922</v>
      </c>
      <c r="H1369" s="7"/>
      <c r="I1369" s="7"/>
      <c r="J1369" s="3" t="s">
        <v>35</v>
      </c>
      <c r="K1369" s="4" t="s">
        <v>642</v>
      </c>
      <c r="L1369" s="4" t="s">
        <v>37</v>
      </c>
      <c r="N1369" s="7" t="s">
        <v>2929</v>
      </c>
      <c r="O1369" s="7"/>
      <c r="P1369" s="7" t="s">
        <v>2930</v>
      </c>
      <c r="Q1369" s="7"/>
      <c r="R1369" s="7"/>
      <c r="S1369" s="3" t="s">
        <v>40</v>
      </c>
      <c r="T1369" s="7" t="s">
        <v>41</v>
      </c>
      <c r="U1369" s="7"/>
      <c r="V1369" s="4" t="s">
        <v>42</v>
      </c>
      <c r="W1369" s="4" t="s">
        <v>58</v>
      </c>
      <c r="X1369" s="4" t="s">
        <v>59</v>
      </c>
      <c r="Y1369" s="7" t="s">
        <v>45</v>
      </c>
      <c r="Z1369" s="7"/>
      <c r="AA1369" s="4" t="s">
        <v>46</v>
      </c>
      <c r="AB1369" s="4" t="s">
        <v>47</v>
      </c>
      <c r="AD1369" s="4" t="s">
        <v>41</v>
      </c>
      <c r="AE1369" s="4" t="s">
        <v>48</v>
      </c>
      <c r="AF1369" s="4" t="s">
        <v>41</v>
      </c>
      <c r="AG1369" s="4" t="s">
        <v>2926</v>
      </c>
    </row>
    <row r="1370" spans="1:33" ht="16.5" customHeight="1" x14ac:dyDescent="0.2">
      <c r="A1370" s="2" t="s">
        <v>31</v>
      </c>
      <c r="B1370" s="5" t="s">
        <v>646</v>
      </c>
      <c r="C1370" s="5"/>
      <c r="D1370" s="5"/>
      <c r="E1370" s="6" t="s">
        <v>33</v>
      </c>
      <c r="F1370" s="6"/>
      <c r="G1370" s="7" t="s">
        <v>2922</v>
      </c>
      <c r="H1370" s="7"/>
      <c r="I1370" s="7"/>
      <c r="J1370" s="3" t="s">
        <v>35</v>
      </c>
      <c r="K1370" s="4" t="s">
        <v>661</v>
      </c>
      <c r="L1370" s="4" t="s">
        <v>37</v>
      </c>
      <c r="N1370" s="7" t="s">
        <v>2931</v>
      </c>
      <c r="O1370" s="7"/>
      <c r="P1370" s="7" t="s">
        <v>2932</v>
      </c>
      <c r="Q1370" s="7"/>
      <c r="R1370" s="7"/>
      <c r="S1370" s="3" t="s">
        <v>40</v>
      </c>
      <c r="T1370" s="7" t="s">
        <v>671</v>
      </c>
      <c r="U1370" s="7"/>
      <c r="V1370" s="4" t="s">
        <v>51</v>
      </c>
      <c r="W1370" s="4" t="s">
        <v>58</v>
      </c>
      <c r="X1370" s="4" t="s">
        <v>128</v>
      </c>
      <c r="Y1370" s="7" t="s">
        <v>664</v>
      </c>
      <c r="Z1370" s="7"/>
      <c r="AA1370" s="4" t="s">
        <v>46</v>
      </c>
      <c r="AB1370" s="4" t="s">
        <v>47</v>
      </c>
      <c r="AD1370" s="4" t="s">
        <v>41</v>
      </c>
      <c r="AE1370" s="4" t="s">
        <v>48</v>
      </c>
      <c r="AF1370" s="4" t="s">
        <v>41</v>
      </c>
      <c r="AG1370" s="4" t="s">
        <v>2926</v>
      </c>
    </row>
    <row r="1371" spans="1:33" ht="16.5" customHeight="1" x14ac:dyDescent="0.2">
      <c r="A1371" s="2" t="s">
        <v>31</v>
      </c>
      <c r="B1371" s="5" t="s">
        <v>54</v>
      </c>
      <c r="C1371" s="5"/>
      <c r="D1371" s="5"/>
      <c r="E1371" s="6" t="s">
        <v>33</v>
      </c>
      <c r="F1371" s="6"/>
      <c r="G1371" s="7" t="s">
        <v>2922</v>
      </c>
      <c r="H1371" s="7"/>
      <c r="I1371" s="7"/>
      <c r="J1371" s="3" t="s">
        <v>35</v>
      </c>
      <c r="K1371" s="4" t="s">
        <v>97</v>
      </c>
      <c r="L1371" s="4" t="s">
        <v>37</v>
      </c>
      <c r="N1371" s="7" t="s">
        <v>2933</v>
      </c>
      <c r="O1371" s="7"/>
      <c r="P1371" s="7" t="s">
        <v>2934</v>
      </c>
      <c r="Q1371" s="7"/>
      <c r="R1371" s="7"/>
      <c r="S1371" s="3" t="s">
        <v>40</v>
      </c>
      <c r="T1371" s="7" t="s">
        <v>41</v>
      </c>
      <c r="U1371" s="7"/>
      <c r="V1371" s="4" t="s">
        <v>42</v>
      </c>
      <c r="W1371" s="4" t="s">
        <v>51</v>
      </c>
      <c r="X1371" s="4" t="s">
        <v>128</v>
      </c>
      <c r="Y1371" s="7" t="s">
        <v>78</v>
      </c>
      <c r="Z1371" s="7"/>
      <c r="AA1371" s="4" t="s">
        <v>46</v>
      </c>
      <c r="AB1371" s="4" t="s">
        <v>47</v>
      </c>
      <c r="AC1371" s="4" t="s">
        <v>79</v>
      </c>
      <c r="AD1371" s="4" t="s">
        <v>80</v>
      </c>
      <c r="AE1371" s="4" t="s">
        <v>48</v>
      </c>
      <c r="AF1371" s="4" t="s">
        <v>41</v>
      </c>
      <c r="AG1371" s="4" t="s">
        <v>2926</v>
      </c>
    </row>
    <row r="1372" spans="1:33" ht="16.5" customHeight="1" x14ac:dyDescent="0.2">
      <c r="A1372" s="2" t="s">
        <v>31</v>
      </c>
      <c r="B1372" s="5" t="s">
        <v>54</v>
      </c>
      <c r="C1372" s="5"/>
      <c r="D1372" s="5"/>
      <c r="E1372" s="6" t="s">
        <v>33</v>
      </c>
      <c r="F1372" s="6"/>
      <c r="G1372" s="7" t="s">
        <v>2922</v>
      </c>
      <c r="H1372" s="7"/>
      <c r="I1372" s="7"/>
      <c r="J1372" s="3" t="s">
        <v>35</v>
      </c>
      <c r="K1372" s="4" t="s">
        <v>73</v>
      </c>
      <c r="L1372" s="4" t="s">
        <v>37</v>
      </c>
      <c r="N1372" s="7" t="s">
        <v>2935</v>
      </c>
      <c r="O1372" s="7"/>
      <c r="P1372" s="7" t="s">
        <v>2936</v>
      </c>
      <c r="Q1372" s="7"/>
      <c r="R1372" s="7"/>
      <c r="S1372" s="3" t="s">
        <v>40</v>
      </c>
      <c r="T1372" s="7" t="s">
        <v>41</v>
      </c>
      <c r="U1372" s="7"/>
      <c r="V1372" s="4" t="s">
        <v>42</v>
      </c>
      <c r="W1372" s="4" t="s">
        <v>58</v>
      </c>
      <c r="X1372" s="4" t="s">
        <v>59</v>
      </c>
      <c r="Y1372" s="7" t="s">
        <v>78</v>
      </c>
      <c r="Z1372" s="7"/>
      <c r="AA1372" s="4" t="s">
        <v>46</v>
      </c>
      <c r="AB1372" s="4" t="s">
        <v>47</v>
      </c>
      <c r="AC1372" s="4" t="s">
        <v>79</v>
      </c>
      <c r="AD1372" s="4" t="s">
        <v>80</v>
      </c>
      <c r="AE1372" s="4" t="s">
        <v>48</v>
      </c>
      <c r="AF1372" s="4" t="s">
        <v>41</v>
      </c>
      <c r="AG1372" s="4" t="s">
        <v>2926</v>
      </c>
    </row>
    <row r="1373" spans="1:33" ht="16.5" customHeight="1" x14ac:dyDescent="0.2">
      <c r="A1373" s="2" t="s">
        <v>31</v>
      </c>
      <c r="B1373" s="5" t="s">
        <v>54</v>
      </c>
      <c r="C1373" s="5"/>
      <c r="D1373" s="5"/>
      <c r="E1373" s="6" t="s">
        <v>33</v>
      </c>
      <c r="F1373" s="6"/>
      <c r="G1373" s="7" t="s">
        <v>2922</v>
      </c>
      <c r="H1373" s="7"/>
      <c r="I1373" s="7"/>
      <c r="J1373" s="3" t="s">
        <v>35</v>
      </c>
      <c r="K1373" s="4" t="s">
        <v>73</v>
      </c>
      <c r="L1373" s="4" t="s">
        <v>37</v>
      </c>
      <c r="N1373" s="7" t="s">
        <v>2935</v>
      </c>
      <c r="O1373" s="7"/>
      <c r="P1373" s="7" t="s">
        <v>2936</v>
      </c>
      <c r="Q1373" s="7"/>
      <c r="R1373" s="7"/>
      <c r="S1373" s="3" t="s">
        <v>40</v>
      </c>
      <c r="T1373" s="7" t="s">
        <v>41</v>
      </c>
      <c r="U1373" s="7"/>
      <c r="V1373" s="4" t="s">
        <v>51</v>
      </c>
      <c r="W1373" s="4" t="s">
        <v>58</v>
      </c>
      <c r="X1373" s="4" t="s">
        <v>128</v>
      </c>
      <c r="Y1373" s="7" t="s">
        <v>78</v>
      </c>
      <c r="Z1373" s="7"/>
      <c r="AA1373" s="4" t="s">
        <v>46</v>
      </c>
      <c r="AB1373" s="4" t="s">
        <v>47</v>
      </c>
      <c r="AC1373" s="4" t="s">
        <v>79</v>
      </c>
      <c r="AD1373" s="4" t="s">
        <v>80</v>
      </c>
      <c r="AE1373" s="4" t="s">
        <v>48</v>
      </c>
      <c r="AF1373" s="4" t="s">
        <v>41</v>
      </c>
      <c r="AG1373" s="4" t="s">
        <v>2926</v>
      </c>
    </row>
    <row r="1374" spans="1:33" ht="16.5" customHeight="1" x14ac:dyDescent="0.2">
      <c r="A1374" s="2" t="s">
        <v>31</v>
      </c>
      <c r="B1374" s="5" t="s">
        <v>54</v>
      </c>
      <c r="C1374" s="5"/>
      <c r="D1374" s="5"/>
      <c r="E1374" s="6" t="s">
        <v>33</v>
      </c>
      <c r="F1374" s="6"/>
      <c r="G1374" s="7" t="s">
        <v>2922</v>
      </c>
      <c r="H1374" s="7"/>
      <c r="I1374" s="7"/>
      <c r="J1374" s="3" t="s">
        <v>35</v>
      </c>
      <c r="K1374" s="4" t="s">
        <v>267</v>
      </c>
      <c r="L1374" s="4" t="s">
        <v>37</v>
      </c>
      <c r="N1374" s="7" t="s">
        <v>2937</v>
      </c>
      <c r="O1374" s="7"/>
      <c r="P1374" s="7" t="s">
        <v>2938</v>
      </c>
      <c r="Q1374" s="7"/>
      <c r="R1374" s="7"/>
      <c r="S1374" s="3" t="s">
        <v>40</v>
      </c>
      <c r="T1374" s="7" t="s">
        <v>41</v>
      </c>
      <c r="U1374" s="7"/>
      <c r="V1374" s="4" t="s">
        <v>42</v>
      </c>
      <c r="W1374" s="4" t="s">
        <v>107</v>
      </c>
      <c r="X1374" s="4" t="s">
        <v>104</v>
      </c>
      <c r="Y1374" s="7" t="s">
        <v>78</v>
      </c>
      <c r="Z1374" s="7"/>
      <c r="AA1374" s="4" t="s">
        <v>46</v>
      </c>
      <c r="AB1374" s="4" t="s">
        <v>47</v>
      </c>
      <c r="AC1374" s="4" t="s">
        <v>79</v>
      </c>
      <c r="AD1374" s="4" t="s">
        <v>80</v>
      </c>
      <c r="AE1374" s="4" t="s">
        <v>48</v>
      </c>
      <c r="AF1374" s="4" t="s">
        <v>41</v>
      </c>
      <c r="AG1374" s="4" t="s">
        <v>2926</v>
      </c>
    </row>
    <row r="1375" spans="1:33" ht="16.5" customHeight="1" x14ac:dyDescent="0.2">
      <c r="A1375" s="2" t="s">
        <v>31</v>
      </c>
      <c r="B1375" s="5" t="s">
        <v>54</v>
      </c>
      <c r="C1375" s="5"/>
      <c r="D1375" s="5"/>
      <c r="E1375" s="6" t="s">
        <v>33</v>
      </c>
      <c r="F1375" s="6"/>
      <c r="G1375" s="7" t="s">
        <v>2922</v>
      </c>
      <c r="H1375" s="7"/>
      <c r="I1375" s="7"/>
      <c r="J1375" s="3" t="s">
        <v>35</v>
      </c>
      <c r="K1375" s="4" t="s">
        <v>267</v>
      </c>
      <c r="L1375" s="4" t="s">
        <v>37</v>
      </c>
      <c r="N1375" s="7" t="s">
        <v>2937</v>
      </c>
      <c r="O1375" s="7"/>
      <c r="P1375" s="7" t="s">
        <v>2938</v>
      </c>
      <c r="Q1375" s="7"/>
      <c r="R1375" s="7"/>
      <c r="S1375" s="3" t="s">
        <v>40</v>
      </c>
      <c r="T1375" s="7" t="s">
        <v>41</v>
      </c>
      <c r="U1375" s="7"/>
      <c r="V1375" s="4" t="s">
        <v>51</v>
      </c>
      <c r="W1375" s="4" t="s">
        <v>107</v>
      </c>
      <c r="X1375" s="4" t="s">
        <v>386</v>
      </c>
      <c r="Y1375" s="7" t="s">
        <v>78</v>
      </c>
      <c r="Z1375" s="7"/>
      <c r="AA1375" s="4" t="s">
        <v>46</v>
      </c>
      <c r="AB1375" s="4" t="s">
        <v>47</v>
      </c>
      <c r="AC1375" s="4" t="s">
        <v>79</v>
      </c>
      <c r="AD1375" s="4" t="s">
        <v>80</v>
      </c>
      <c r="AE1375" s="4" t="s">
        <v>48</v>
      </c>
      <c r="AF1375" s="4" t="s">
        <v>41</v>
      </c>
      <c r="AG1375" s="4" t="s">
        <v>2926</v>
      </c>
    </row>
    <row r="1376" spans="1:33" ht="16.5" customHeight="1" x14ac:dyDescent="0.2">
      <c r="A1376" s="2" t="s">
        <v>31</v>
      </c>
      <c r="B1376" s="5" t="s">
        <v>54</v>
      </c>
      <c r="C1376" s="5"/>
      <c r="D1376" s="5"/>
      <c r="E1376" s="6" t="s">
        <v>33</v>
      </c>
      <c r="F1376" s="6"/>
      <c r="G1376" s="7" t="s">
        <v>2922</v>
      </c>
      <c r="H1376" s="7"/>
      <c r="I1376" s="7"/>
      <c r="J1376" s="3" t="s">
        <v>35</v>
      </c>
      <c r="K1376" s="4" t="s">
        <v>73</v>
      </c>
      <c r="L1376" s="4" t="s">
        <v>93</v>
      </c>
      <c r="N1376" s="7" t="s">
        <v>2939</v>
      </c>
      <c r="O1376" s="7"/>
      <c r="P1376" s="7" t="s">
        <v>2940</v>
      </c>
      <c r="Q1376" s="7"/>
      <c r="R1376" s="7"/>
      <c r="S1376" s="3" t="s">
        <v>40</v>
      </c>
      <c r="T1376" s="7" t="s">
        <v>41</v>
      </c>
      <c r="U1376" s="7"/>
      <c r="V1376" s="4" t="s">
        <v>42</v>
      </c>
      <c r="W1376" s="4" t="s">
        <v>58</v>
      </c>
      <c r="X1376" s="4" t="s">
        <v>59</v>
      </c>
      <c r="Y1376" s="7" t="s">
        <v>78</v>
      </c>
      <c r="Z1376" s="7"/>
      <c r="AA1376" s="4" t="s">
        <v>46</v>
      </c>
      <c r="AB1376" s="4" t="s">
        <v>47</v>
      </c>
      <c r="AC1376" s="4" t="s">
        <v>79</v>
      </c>
      <c r="AD1376" s="4" t="s">
        <v>96</v>
      </c>
      <c r="AE1376" s="4" t="s">
        <v>48</v>
      </c>
      <c r="AF1376" s="4" t="s">
        <v>41</v>
      </c>
      <c r="AG1376" s="4" t="s">
        <v>2926</v>
      </c>
    </row>
    <row r="1377" spans="1:33" ht="16.5" customHeight="1" x14ac:dyDescent="0.2">
      <c r="A1377" s="2" t="s">
        <v>31</v>
      </c>
      <c r="B1377" s="5" t="s">
        <v>54</v>
      </c>
      <c r="C1377" s="5"/>
      <c r="D1377" s="5"/>
      <c r="E1377" s="6" t="s">
        <v>33</v>
      </c>
      <c r="F1377" s="6"/>
      <c r="G1377" s="7" t="s">
        <v>2922</v>
      </c>
      <c r="H1377" s="7"/>
      <c r="I1377" s="7"/>
      <c r="J1377" s="3" t="s">
        <v>35</v>
      </c>
      <c r="K1377" s="4" t="s">
        <v>73</v>
      </c>
      <c r="L1377" s="4" t="s">
        <v>37</v>
      </c>
      <c r="N1377" s="7" t="s">
        <v>2941</v>
      </c>
      <c r="O1377" s="7"/>
      <c r="P1377" s="7" t="s">
        <v>2942</v>
      </c>
      <c r="Q1377" s="7"/>
      <c r="R1377" s="7"/>
      <c r="S1377" s="3" t="s">
        <v>40</v>
      </c>
      <c r="T1377" s="7" t="s">
        <v>41</v>
      </c>
      <c r="U1377" s="7"/>
      <c r="V1377" s="4" t="s">
        <v>42</v>
      </c>
      <c r="W1377" s="4" t="s">
        <v>58</v>
      </c>
      <c r="X1377" s="4" t="s">
        <v>59</v>
      </c>
      <c r="Y1377" s="7" t="s">
        <v>78</v>
      </c>
      <c r="Z1377" s="7"/>
      <c r="AA1377" s="4" t="s">
        <v>46</v>
      </c>
      <c r="AB1377" s="4" t="s">
        <v>47</v>
      </c>
      <c r="AC1377" s="4" t="s">
        <v>79</v>
      </c>
      <c r="AD1377" s="4" t="s">
        <v>80</v>
      </c>
      <c r="AE1377" s="4" t="s">
        <v>48</v>
      </c>
      <c r="AF1377" s="4" t="s">
        <v>41</v>
      </c>
      <c r="AG1377" s="4" t="s">
        <v>2926</v>
      </c>
    </row>
    <row r="1378" spans="1:33" ht="16.5" customHeight="1" x14ac:dyDescent="0.2">
      <c r="A1378" s="2" t="s">
        <v>31</v>
      </c>
      <c r="B1378" s="5" t="s">
        <v>54</v>
      </c>
      <c r="C1378" s="5"/>
      <c r="D1378" s="5"/>
      <c r="E1378" s="6" t="s">
        <v>33</v>
      </c>
      <c r="F1378" s="6"/>
      <c r="G1378" s="7" t="s">
        <v>2922</v>
      </c>
      <c r="H1378" s="7"/>
      <c r="I1378" s="7"/>
      <c r="J1378" s="3" t="s">
        <v>35</v>
      </c>
      <c r="K1378" s="4" t="s">
        <v>73</v>
      </c>
      <c r="L1378" s="4" t="s">
        <v>37</v>
      </c>
      <c r="N1378" s="7" t="s">
        <v>2943</v>
      </c>
      <c r="O1378" s="7"/>
      <c r="P1378" s="7" t="s">
        <v>2944</v>
      </c>
      <c r="Q1378" s="7"/>
      <c r="R1378" s="7"/>
      <c r="S1378" s="3" t="s">
        <v>40</v>
      </c>
      <c r="T1378" s="7" t="s">
        <v>41</v>
      </c>
      <c r="U1378" s="7"/>
      <c r="V1378" s="4" t="s">
        <v>42</v>
      </c>
      <c r="W1378" s="4" t="s">
        <v>58</v>
      </c>
      <c r="X1378" s="4" t="s">
        <v>59</v>
      </c>
      <c r="Y1378" s="7" t="s">
        <v>78</v>
      </c>
      <c r="Z1378" s="7"/>
      <c r="AA1378" s="4" t="s">
        <v>46</v>
      </c>
      <c r="AB1378" s="4" t="s">
        <v>47</v>
      </c>
      <c r="AC1378" s="4" t="s">
        <v>79</v>
      </c>
      <c r="AD1378" s="4" t="s">
        <v>80</v>
      </c>
      <c r="AE1378" s="4" t="s">
        <v>48</v>
      </c>
      <c r="AF1378" s="4" t="s">
        <v>41</v>
      </c>
      <c r="AG1378" s="4" t="s">
        <v>2926</v>
      </c>
    </row>
    <row r="1379" spans="1:33" ht="16.5" customHeight="1" x14ac:dyDescent="0.2">
      <c r="A1379" s="2" t="s">
        <v>31</v>
      </c>
      <c r="B1379" s="5" t="s">
        <v>54</v>
      </c>
      <c r="C1379" s="5"/>
      <c r="D1379" s="5"/>
      <c r="E1379" s="6" t="s">
        <v>33</v>
      </c>
      <c r="F1379" s="6"/>
      <c r="G1379" s="7" t="s">
        <v>2922</v>
      </c>
      <c r="H1379" s="7"/>
      <c r="I1379" s="7"/>
      <c r="J1379" s="3" t="s">
        <v>35</v>
      </c>
      <c r="K1379" s="4" t="s">
        <v>92</v>
      </c>
      <c r="L1379" s="4" t="s">
        <v>37</v>
      </c>
      <c r="N1379" s="7" t="s">
        <v>2945</v>
      </c>
      <c r="O1379" s="7"/>
      <c r="P1379" s="7" t="s">
        <v>2946</v>
      </c>
      <c r="Q1379" s="7"/>
      <c r="R1379" s="7"/>
      <c r="S1379" s="3" t="s">
        <v>40</v>
      </c>
      <c r="T1379" s="7" t="s">
        <v>41</v>
      </c>
      <c r="U1379" s="7"/>
      <c r="V1379" s="4" t="s">
        <v>42</v>
      </c>
      <c r="W1379" s="4" t="s">
        <v>58</v>
      </c>
      <c r="X1379" s="4" t="s">
        <v>59</v>
      </c>
      <c r="Y1379" s="7" t="s">
        <v>78</v>
      </c>
      <c r="Z1379" s="7"/>
      <c r="AA1379" s="4" t="s">
        <v>46</v>
      </c>
      <c r="AB1379" s="4" t="s">
        <v>47</v>
      </c>
      <c r="AC1379" s="4" t="s">
        <v>79</v>
      </c>
      <c r="AD1379" s="4" t="s">
        <v>80</v>
      </c>
      <c r="AE1379" s="4" t="s">
        <v>48</v>
      </c>
      <c r="AF1379" s="4" t="s">
        <v>41</v>
      </c>
      <c r="AG1379" s="4" t="s">
        <v>2926</v>
      </c>
    </row>
    <row r="1380" spans="1:33" ht="16.5" customHeight="1" x14ac:dyDescent="0.2">
      <c r="A1380" s="2" t="s">
        <v>31</v>
      </c>
      <c r="B1380" s="5" t="s">
        <v>54</v>
      </c>
      <c r="C1380" s="5"/>
      <c r="D1380" s="5"/>
      <c r="E1380" s="6" t="s">
        <v>33</v>
      </c>
      <c r="F1380" s="6"/>
      <c r="G1380" s="7" t="s">
        <v>2922</v>
      </c>
      <c r="H1380" s="7"/>
      <c r="I1380" s="7"/>
      <c r="J1380" s="3" t="s">
        <v>35</v>
      </c>
      <c r="K1380" s="4" t="s">
        <v>73</v>
      </c>
      <c r="L1380" s="4" t="s">
        <v>93</v>
      </c>
      <c r="N1380" s="7" t="s">
        <v>2947</v>
      </c>
      <c r="O1380" s="7"/>
      <c r="P1380" s="7" t="s">
        <v>2948</v>
      </c>
      <c r="Q1380" s="7"/>
      <c r="R1380" s="7"/>
      <c r="S1380" s="3" t="s">
        <v>40</v>
      </c>
      <c r="T1380" s="7" t="s">
        <v>41</v>
      </c>
      <c r="U1380" s="7"/>
      <c r="V1380" s="4" t="s">
        <v>51</v>
      </c>
      <c r="W1380" s="4" t="s">
        <v>58</v>
      </c>
      <c r="X1380" s="4" t="s">
        <v>128</v>
      </c>
      <c r="Y1380" s="7" t="s">
        <v>78</v>
      </c>
      <c r="Z1380" s="7"/>
      <c r="AA1380" s="4" t="s">
        <v>46</v>
      </c>
      <c r="AB1380" s="4" t="s">
        <v>47</v>
      </c>
      <c r="AC1380" s="4" t="s">
        <v>79</v>
      </c>
      <c r="AD1380" s="4" t="s">
        <v>96</v>
      </c>
      <c r="AE1380" s="4" t="s">
        <v>48</v>
      </c>
      <c r="AF1380" s="4" t="s">
        <v>41</v>
      </c>
      <c r="AG1380" s="4" t="s">
        <v>2926</v>
      </c>
    </row>
    <row r="1381" spans="1:33" ht="16.5" customHeight="1" x14ac:dyDescent="0.2">
      <c r="A1381" s="2" t="s">
        <v>31</v>
      </c>
      <c r="B1381" s="5" t="s">
        <v>54</v>
      </c>
      <c r="C1381" s="5"/>
      <c r="D1381" s="5"/>
      <c r="E1381" s="6" t="s">
        <v>33</v>
      </c>
      <c r="F1381" s="6"/>
      <c r="G1381" s="7" t="s">
        <v>2922</v>
      </c>
      <c r="H1381" s="7"/>
      <c r="I1381" s="7"/>
      <c r="J1381" s="3" t="s">
        <v>35</v>
      </c>
      <c r="K1381" s="4" t="s">
        <v>73</v>
      </c>
      <c r="L1381" s="4" t="s">
        <v>37</v>
      </c>
      <c r="N1381" s="7" t="s">
        <v>2949</v>
      </c>
      <c r="O1381" s="7"/>
      <c r="P1381" s="7" t="s">
        <v>2950</v>
      </c>
      <c r="Q1381" s="7"/>
      <c r="R1381" s="7"/>
      <c r="S1381" s="3" t="s">
        <v>40</v>
      </c>
      <c r="T1381" s="7" t="s">
        <v>41</v>
      </c>
      <c r="U1381" s="7"/>
      <c r="V1381" s="4" t="s">
        <v>42</v>
      </c>
      <c r="W1381" s="4" t="s">
        <v>51</v>
      </c>
      <c r="X1381" s="4" t="s">
        <v>128</v>
      </c>
      <c r="Y1381" s="7" t="s">
        <v>78</v>
      </c>
      <c r="Z1381" s="7"/>
      <c r="AA1381" s="4" t="s">
        <v>46</v>
      </c>
      <c r="AB1381" s="4" t="s">
        <v>47</v>
      </c>
      <c r="AC1381" s="4" t="s">
        <v>79</v>
      </c>
      <c r="AD1381" s="4" t="s">
        <v>80</v>
      </c>
      <c r="AE1381" s="4" t="s">
        <v>48</v>
      </c>
      <c r="AF1381" s="4" t="s">
        <v>41</v>
      </c>
      <c r="AG1381" s="4" t="s">
        <v>2926</v>
      </c>
    </row>
    <row r="1382" spans="1:33" ht="0.75" customHeight="1" x14ac:dyDescent="0.2"/>
    <row r="1383" spans="1:33" ht="12" customHeight="1" x14ac:dyDescent="0.2"/>
    <row r="1384" spans="1:33" ht="16.5" customHeight="1" x14ac:dyDescent="0.2">
      <c r="A1384" s="2" t="s">
        <v>31</v>
      </c>
      <c r="B1384" s="5" t="s">
        <v>54</v>
      </c>
      <c r="C1384" s="5"/>
      <c r="D1384" s="5"/>
      <c r="E1384" s="6" t="s">
        <v>33</v>
      </c>
      <c r="F1384" s="6"/>
      <c r="G1384" s="7" t="s">
        <v>2922</v>
      </c>
      <c r="H1384" s="7"/>
      <c r="I1384" s="7"/>
      <c r="J1384" s="3" t="s">
        <v>35</v>
      </c>
      <c r="K1384" s="4" t="s">
        <v>149</v>
      </c>
      <c r="L1384" s="4" t="s">
        <v>37</v>
      </c>
      <c r="N1384" s="7" t="s">
        <v>2951</v>
      </c>
      <c r="O1384" s="7"/>
      <c r="P1384" s="7" t="s">
        <v>2952</v>
      </c>
      <c r="Q1384" s="7"/>
      <c r="R1384" s="7"/>
      <c r="S1384" s="3" t="s">
        <v>40</v>
      </c>
      <c r="T1384" s="7" t="s">
        <v>41</v>
      </c>
      <c r="U1384" s="7"/>
      <c r="V1384" s="4" t="s">
        <v>42</v>
      </c>
      <c r="W1384" s="4" t="s">
        <v>51</v>
      </c>
      <c r="X1384" s="4" t="s">
        <v>128</v>
      </c>
      <c r="Y1384" s="7" t="s">
        <v>78</v>
      </c>
      <c r="Z1384" s="7"/>
      <c r="AA1384" s="4" t="s">
        <v>46</v>
      </c>
      <c r="AB1384" s="4" t="s">
        <v>47</v>
      </c>
      <c r="AC1384" s="4" t="s">
        <v>79</v>
      </c>
      <c r="AD1384" s="4" t="s">
        <v>80</v>
      </c>
      <c r="AE1384" s="4" t="s">
        <v>48</v>
      </c>
      <c r="AF1384" s="4" t="s">
        <v>41</v>
      </c>
      <c r="AG1384" s="4" t="s">
        <v>2926</v>
      </c>
    </row>
    <row r="1385" spans="1:33" ht="16.5" customHeight="1" x14ac:dyDescent="0.2">
      <c r="A1385" s="2" t="s">
        <v>31</v>
      </c>
      <c r="B1385" s="5" t="s">
        <v>54</v>
      </c>
      <c r="C1385" s="5"/>
      <c r="D1385" s="5"/>
      <c r="E1385" s="6" t="s">
        <v>33</v>
      </c>
      <c r="F1385" s="6"/>
      <c r="G1385" s="7" t="s">
        <v>2922</v>
      </c>
      <c r="H1385" s="7"/>
      <c r="I1385" s="7"/>
      <c r="J1385" s="3" t="s">
        <v>35</v>
      </c>
      <c r="K1385" s="4" t="s">
        <v>73</v>
      </c>
      <c r="L1385" s="4" t="s">
        <v>37</v>
      </c>
      <c r="N1385" s="7" t="s">
        <v>2953</v>
      </c>
      <c r="O1385" s="7"/>
      <c r="P1385" s="7" t="s">
        <v>2954</v>
      </c>
      <c r="Q1385" s="7"/>
      <c r="R1385" s="7"/>
      <c r="S1385" s="3" t="s">
        <v>40</v>
      </c>
      <c r="T1385" s="7" t="s">
        <v>41</v>
      </c>
      <c r="U1385" s="7"/>
      <c r="V1385" s="4" t="s">
        <v>42</v>
      </c>
      <c r="W1385" s="4" t="s">
        <v>51</v>
      </c>
      <c r="X1385" s="4" t="s">
        <v>128</v>
      </c>
      <c r="Y1385" s="7" t="s">
        <v>78</v>
      </c>
      <c r="Z1385" s="7"/>
      <c r="AA1385" s="4" t="s">
        <v>46</v>
      </c>
      <c r="AB1385" s="4" t="s">
        <v>47</v>
      </c>
      <c r="AC1385" s="4" t="s">
        <v>79</v>
      </c>
      <c r="AD1385" s="4" t="s">
        <v>80</v>
      </c>
      <c r="AE1385" s="4" t="s">
        <v>48</v>
      </c>
      <c r="AF1385" s="4" t="s">
        <v>41</v>
      </c>
      <c r="AG1385" s="4" t="s">
        <v>2926</v>
      </c>
    </row>
    <row r="1386" spans="1:33" ht="16.5" customHeight="1" x14ac:dyDescent="0.2">
      <c r="A1386" s="2" t="s">
        <v>31</v>
      </c>
      <c r="B1386" s="5" t="s">
        <v>54</v>
      </c>
      <c r="C1386" s="5"/>
      <c r="D1386" s="5"/>
      <c r="E1386" s="6" t="s">
        <v>33</v>
      </c>
      <c r="F1386" s="6"/>
      <c r="G1386" s="7" t="s">
        <v>2922</v>
      </c>
      <c r="H1386" s="7"/>
      <c r="I1386" s="7"/>
      <c r="J1386" s="3" t="s">
        <v>35</v>
      </c>
      <c r="K1386" s="4" t="s">
        <v>92</v>
      </c>
      <c r="L1386" s="4" t="s">
        <v>37</v>
      </c>
      <c r="N1386" s="7" t="s">
        <v>2955</v>
      </c>
      <c r="O1386" s="7"/>
      <c r="P1386" s="7" t="s">
        <v>2956</v>
      </c>
      <c r="Q1386" s="7"/>
      <c r="R1386" s="7"/>
      <c r="S1386" s="3" t="s">
        <v>40</v>
      </c>
      <c r="T1386" s="7" t="s">
        <v>41</v>
      </c>
      <c r="U1386" s="7"/>
      <c r="V1386" s="4" t="s">
        <v>42</v>
      </c>
      <c r="W1386" s="4" t="s">
        <v>51</v>
      </c>
      <c r="X1386" s="4" t="s">
        <v>128</v>
      </c>
      <c r="Y1386" s="7" t="s">
        <v>78</v>
      </c>
      <c r="Z1386" s="7"/>
      <c r="AA1386" s="4" t="s">
        <v>46</v>
      </c>
      <c r="AB1386" s="4" t="s">
        <v>47</v>
      </c>
      <c r="AC1386" s="4" t="s">
        <v>79</v>
      </c>
      <c r="AD1386" s="4" t="s">
        <v>80</v>
      </c>
      <c r="AE1386" s="4" t="s">
        <v>48</v>
      </c>
      <c r="AF1386" s="4" t="s">
        <v>41</v>
      </c>
      <c r="AG1386" s="4" t="s">
        <v>2926</v>
      </c>
    </row>
    <row r="1387" spans="1:33" ht="16.5" customHeight="1" x14ac:dyDescent="0.2">
      <c r="A1387" s="2" t="s">
        <v>31</v>
      </c>
      <c r="B1387" s="5" t="s">
        <v>54</v>
      </c>
      <c r="C1387" s="5"/>
      <c r="D1387" s="5"/>
      <c r="E1387" s="6" t="s">
        <v>33</v>
      </c>
      <c r="F1387" s="6"/>
      <c r="G1387" s="7" t="s">
        <v>2922</v>
      </c>
      <c r="H1387" s="7"/>
      <c r="I1387" s="7"/>
      <c r="J1387" s="3" t="s">
        <v>35</v>
      </c>
      <c r="K1387" s="4" t="s">
        <v>73</v>
      </c>
      <c r="L1387" s="4" t="s">
        <v>37</v>
      </c>
      <c r="N1387" s="7" t="s">
        <v>2957</v>
      </c>
      <c r="O1387" s="7"/>
      <c r="P1387" s="7" t="s">
        <v>2958</v>
      </c>
      <c r="Q1387" s="7"/>
      <c r="R1387" s="7"/>
      <c r="S1387" s="3" t="s">
        <v>40</v>
      </c>
      <c r="T1387" s="7" t="s">
        <v>41</v>
      </c>
      <c r="U1387" s="7"/>
      <c r="V1387" s="4" t="s">
        <v>42</v>
      </c>
      <c r="W1387" s="4" t="s">
        <v>51</v>
      </c>
      <c r="X1387" s="4" t="s">
        <v>128</v>
      </c>
      <c r="Y1387" s="7" t="s">
        <v>78</v>
      </c>
      <c r="Z1387" s="7"/>
      <c r="AA1387" s="4" t="s">
        <v>46</v>
      </c>
      <c r="AB1387" s="4" t="s">
        <v>47</v>
      </c>
      <c r="AC1387" s="4" t="s">
        <v>79</v>
      </c>
      <c r="AD1387" s="4" t="s">
        <v>80</v>
      </c>
      <c r="AE1387" s="4" t="s">
        <v>48</v>
      </c>
      <c r="AF1387" s="4" t="s">
        <v>41</v>
      </c>
      <c r="AG1387" s="4" t="s">
        <v>2926</v>
      </c>
    </row>
    <row r="1388" spans="1:33" ht="16.5" customHeight="1" x14ac:dyDescent="0.2">
      <c r="A1388" s="2" t="s">
        <v>31</v>
      </c>
      <c r="B1388" s="5" t="s">
        <v>54</v>
      </c>
      <c r="C1388" s="5"/>
      <c r="D1388" s="5"/>
      <c r="E1388" s="6" t="s">
        <v>33</v>
      </c>
      <c r="F1388" s="6"/>
      <c r="G1388" s="7" t="s">
        <v>2922</v>
      </c>
      <c r="H1388" s="7"/>
      <c r="I1388" s="7"/>
      <c r="J1388" s="3" t="s">
        <v>35</v>
      </c>
      <c r="K1388" s="4" t="s">
        <v>267</v>
      </c>
      <c r="L1388" s="4" t="s">
        <v>37</v>
      </c>
      <c r="N1388" s="7" t="s">
        <v>2959</v>
      </c>
      <c r="O1388" s="7"/>
      <c r="P1388" s="7" t="s">
        <v>2960</v>
      </c>
      <c r="Q1388" s="7"/>
      <c r="R1388" s="7"/>
      <c r="S1388" s="3" t="s">
        <v>40</v>
      </c>
      <c r="T1388" s="7" t="s">
        <v>41</v>
      </c>
      <c r="U1388" s="7"/>
      <c r="V1388" s="4" t="s">
        <v>42</v>
      </c>
      <c r="W1388" s="4" t="s">
        <v>51</v>
      </c>
      <c r="X1388" s="4" t="s">
        <v>128</v>
      </c>
      <c r="Y1388" s="7" t="s">
        <v>78</v>
      </c>
      <c r="Z1388" s="7"/>
      <c r="AA1388" s="4" t="s">
        <v>46</v>
      </c>
      <c r="AB1388" s="4" t="s">
        <v>47</v>
      </c>
      <c r="AC1388" s="4" t="s">
        <v>79</v>
      </c>
      <c r="AD1388" s="4" t="s">
        <v>80</v>
      </c>
      <c r="AE1388" s="4" t="s">
        <v>48</v>
      </c>
      <c r="AF1388" s="4" t="s">
        <v>41</v>
      </c>
      <c r="AG1388" s="4" t="s">
        <v>2926</v>
      </c>
    </row>
    <row r="1389" spans="1:33" ht="16.5" customHeight="1" x14ac:dyDescent="0.2">
      <c r="A1389" s="2" t="s">
        <v>31</v>
      </c>
      <c r="B1389" s="5" t="s">
        <v>54</v>
      </c>
      <c r="C1389" s="5"/>
      <c r="D1389" s="5"/>
      <c r="E1389" s="6" t="s">
        <v>33</v>
      </c>
      <c r="F1389" s="6"/>
      <c r="G1389" s="7" t="s">
        <v>2922</v>
      </c>
      <c r="H1389" s="7"/>
      <c r="I1389" s="7"/>
      <c r="J1389" s="3" t="s">
        <v>35</v>
      </c>
      <c r="K1389" s="4" t="s">
        <v>267</v>
      </c>
      <c r="L1389" s="4" t="s">
        <v>37</v>
      </c>
      <c r="N1389" s="7" t="s">
        <v>2961</v>
      </c>
      <c r="O1389" s="7"/>
      <c r="P1389" s="7" t="s">
        <v>2962</v>
      </c>
      <c r="Q1389" s="7"/>
      <c r="R1389" s="7"/>
      <c r="S1389" s="3" t="s">
        <v>40</v>
      </c>
      <c r="T1389" s="7" t="s">
        <v>41</v>
      </c>
      <c r="U1389" s="7"/>
      <c r="V1389" s="4" t="s">
        <v>42</v>
      </c>
      <c r="W1389" s="4" t="s">
        <v>51</v>
      </c>
      <c r="X1389" s="4" t="s">
        <v>128</v>
      </c>
      <c r="Y1389" s="7" t="s">
        <v>78</v>
      </c>
      <c r="Z1389" s="7"/>
      <c r="AA1389" s="4" t="s">
        <v>46</v>
      </c>
      <c r="AB1389" s="4" t="s">
        <v>47</v>
      </c>
      <c r="AC1389" s="4" t="s">
        <v>79</v>
      </c>
      <c r="AD1389" s="4" t="s">
        <v>80</v>
      </c>
      <c r="AE1389" s="4" t="s">
        <v>48</v>
      </c>
      <c r="AF1389" s="4" t="s">
        <v>41</v>
      </c>
      <c r="AG1389" s="4" t="s">
        <v>2926</v>
      </c>
    </row>
    <row r="1390" spans="1:33" ht="16.5" customHeight="1" x14ac:dyDescent="0.2">
      <c r="A1390" s="2" t="s">
        <v>31</v>
      </c>
      <c r="B1390" s="5" t="s">
        <v>108</v>
      </c>
      <c r="C1390" s="5"/>
      <c r="D1390" s="5"/>
      <c r="E1390" s="6" t="s">
        <v>33</v>
      </c>
      <c r="F1390" s="6"/>
      <c r="G1390" s="7" t="s">
        <v>2922</v>
      </c>
      <c r="H1390" s="7"/>
      <c r="I1390" s="7"/>
      <c r="J1390" s="3" t="s">
        <v>35</v>
      </c>
      <c r="K1390" s="4" t="s">
        <v>1285</v>
      </c>
      <c r="N1390" s="7" t="s">
        <v>2963</v>
      </c>
      <c r="O1390" s="7"/>
      <c r="P1390" s="7" t="s">
        <v>2964</v>
      </c>
      <c r="Q1390" s="7"/>
      <c r="R1390" s="7"/>
      <c r="S1390" s="3" t="s">
        <v>40</v>
      </c>
      <c r="T1390" s="7" t="s">
        <v>1715</v>
      </c>
      <c r="U1390" s="7"/>
      <c r="V1390" s="4" t="s">
        <v>51</v>
      </c>
      <c r="W1390" s="4" t="s">
        <v>312</v>
      </c>
      <c r="X1390" s="4" t="s">
        <v>77</v>
      </c>
      <c r="Y1390" s="7" t="s">
        <v>937</v>
      </c>
      <c r="Z1390" s="7"/>
      <c r="AA1390" s="4" t="s">
        <v>46</v>
      </c>
      <c r="AB1390" s="4" t="s">
        <v>115</v>
      </c>
      <c r="AC1390" s="4" t="s">
        <v>938</v>
      </c>
      <c r="AD1390" s="4" t="s">
        <v>1716</v>
      </c>
      <c r="AE1390" s="4" t="s">
        <v>48</v>
      </c>
      <c r="AF1390" s="4" t="s">
        <v>41</v>
      </c>
      <c r="AG1390" s="4" t="s">
        <v>2926</v>
      </c>
    </row>
    <row r="1391" spans="1:33" ht="16.5" customHeight="1" x14ac:dyDescent="0.2">
      <c r="A1391" s="2" t="s">
        <v>31</v>
      </c>
      <c r="B1391" s="5" t="s">
        <v>108</v>
      </c>
      <c r="C1391" s="5"/>
      <c r="D1391" s="5"/>
      <c r="E1391" s="6" t="s">
        <v>33</v>
      </c>
      <c r="F1391" s="6"/>
      <c r="G1391" s="7" t="s">
        <v>2922</v>
      </c>
      <c r="H1391" s="7"/>
      <c r="I1391" s="7"/>
      <c r="J1391" s="3" t="s">
        <v>35</v>
      </c>
      <c r="K1391" s="4" t="s">
        <v>1285</v>
      </c>
      <c r="N1391" s="7" t="s">
        <v>2965</v>
      </c>
      <c r="O1391" s="7"/>
      <c r="P1391" s="7" t="s">
        <v>2966</v>
      </c>
      <c r="Q1391" s="7"/>
      <c r="R1391" s="7"/>
      <c r="S1391" s="3" t="s">
        <v>40</v>
      </c>
      <c r="T1391" s="7" t="s">
        <v>1715</v>
      </c>
      <c r="U1391" s="7"/>
      <c r="V1391" s="4" t="s">
        <v>51</v>
      </c>
      <c r="W1391" s="4" t="s">
        <v>90</v>
      </c>
      <c r="X1391" s="4" t="s">
        <v>103</v>
      </c>
      <c r="Y1391" s="7" t="s">
        <v>937</v>
      </c>
      <c r="Z1391" s="7"/>
      <c r="AA1391" s="4" t="s">
        <v>46</v>
      </c>
      <c r="AB1391" s="4" t="s">
        <v>115</v>
      </c>
      <c r="AC1391" s="4" t="s">
        <v>938</v>
      </c>
      <c r="AD1391" s="4" t="s">
        <v>1716</v>
      </c>
      <c r="AE1391" s="4" t="s">
        <v>48</v>
      </c>
      <c r="AF1391" s="4" t="s">
        <v>41</v>
      </c>
      <c r="AG1391" s="4" t="s">
        <v>2926</v>
      </c>
    </row>
    <row r="1392" spans="1:33" ht="16.5" customHeight="1" x14ac:dyDescent="0.2">
      <c r="A1392" s="2" t="s">
        <v>31</v>
      </c>
      <c r="B1392" s="5" t="s">
        <v>108</v>
      </c>
      <c r="C1392" s="5"/>
      <c r="D1392" s="5"/>
      <c r="E1392" s="6" t="s">
        <v>33</v>
      </c>
      <c r="F1392" s="6"/>
      <c r="G1392" s="7" t="s">
        <v>2922</v>
      </c>
      <c r="H1392" s="7"/>
      <c r="I1392" s="7"/>
      <c r="J1392" s="3" t="s">
        <v>35</v>
      </c>
      <c r="K1392" s="4" t="s">
        <v>398</v>
      </c>
      <c r="N1392" s="7" t="s">
        <v>2967</v>
      </c>
      <c r="O1392" s="7"/>
      <c r="P1392" s="7" t="s">
        <v>2968</v>
      </c>
      <c r="Q1392" s="7"/>
      <c r="R1392" s="7"/>
      <c r="S1392" s="3" t="s">
        <v>40</v>
      </c>
      <c r="T1392" s="7" t="s">
        <v>1263</v>
      </c>
      <c r="U1392" s="7"/>
      <c r="V1392" s="4" t="s">
        <v>51</v>
      </c>
      <c r="W1392" s="4" t="s">
        <v>90</v>
      </c>
      <c r="X1392" s="4" t="s">
        <v>103</v>
      </c>
      <c r="Y1392" s="7" t="s">
        <v>402</v>
      </c>
      <c r="Z1392" s="7"/>
      <c r="AA1392" s="4" t="s">
        <v>46</v>
      </c>
      <c r="AB1392" s="4" t="s">
        <v>115</v>
      </c>
      <c r="AC1392" s="4" t="s">
        <v>403</v>
      </c>
      <c r="AD1392" s="4" t="s">
        <v>1264</v>
      </c>
      <c r="AE1392" s="4" t="s">
        <v>48</v>
      </c>
      <c r="AF1392" s="4" t="s">
        <v>41</v>
      </c>
      <c r="AG1392" s="4" t="s">
        <v>2926</v>
      </c>
    </row>
    <row r="1393" spans="1:33" ht="16.5" customHeight="1" x14ac:dyDescent="0.2">
      <c r="A1393" s="2" t="s">
        <v>31</v>
      </c>
      <c r="B1393" s="5" t="s">
        <v>108</v>
      </c>
      <c r="C1393" s="5"/>
      <c r="D1393" s="5"/>
      <c r="E1393" s="6" t="s">
        <v>33</v>
      </c>
      <c r="F1393" s="6"/>
      <c r="G1393" s="7" t="s">
        <v>2922</v>
      </c>
      <c r="H1393" s="7"/>
      <c r="I1393" s="7"/>
      <c r="J1393" s="3" t="s">
        <v>35</v>
      </c>
      <c r="K1393" s="4" t="s">
        <v>398</v>
      </c>
      <c r="N1393" s="7" t="s">
        <v>2969</v>
      </c>
      <c r="O1393" s="7"/>
      <c r="P1393" s="7" t="s">
        <v>2970</v>
      </c>
      <c r="Q1393" s="7"/>
      <c r="R1393" s="7"/>
      <c r="S1393" s="3" t="s">
        <v>40</v>
      </c>
      <c r="T1393" s="7" t="s">
        <v>2971</v>
      </c>
      <c r="U1393" s="7"/>
      <c r="V1393" s="4" t="s">
        <v>51</v>
      </c>
      <c r="W1393" s="4" t="s">
        <v>107</v>
      </c>
      <c r="X1393" s="4" t="s">
        <v>386</v>
      </c>
      <c r="Y1393" s="7" t="s">
        <v>402</v>
      </c>
      <c r="Z1393" s="7"/>
      <c r="AA1393" s="4" t="s">
        <v>46</v>
      </c>
      <c r="AB1393" s="4" t="s">
        <v>115</v>
      </c>
      <c r="AC1393" s="4" t="s">
        <v>403</v>
      </c>
      <c r="AD1393" s="4" t="s">
        <v>2972</v>
      </c>
      <c r="AE1393" s="4" t="s">
        <v>48</v>
      </c>
      <c r="AF1393" s="4" t="s">
        <v>41</v>
      </c>
      <c r="AG1393" s="4" t="s">
        <v>2926</v>
      </c>
    </row>
    <row r="1394" spans="1:33" ht="16.5" customHeight="1" x14ac:dyDescent="0.2">
      <c r="A1394" s="2" t="s">
        <v>31</v>
      </c>
      <c r="B1394" s="5" t="s">
        <v>108</v>
      </c>
      <c r="C1394" s="5"/>
      <c r="D1394" s="5"/>
      <c r="E1394" s="6" t="s">
        <v>33</v>
      </c>
      <c r="F1394" s="6"/>
      <c r="G1394" s="7" t="s">
        <v>2922</v>
      </c>
      <c r="H1394" s="7"/>
      <c r="I1394" s="7"/>
      <c r="J1394" s="3" t="s">
        <v>35</v>
      </c>
      <c r="K1394" s="4" t="s">
        <v>398</v>
      </c>
      <c r="N1394" s="7" t="s">
        <v>2973</v>
      </c>
      <c r="O1394" s="7"/>
      <c r="P1394" s="7" t="s">
        <v>2974</v>
      </c>
      <c r="Q1394" s="7"/>
      <c r="R1394" s="7"/>
      <c r="S1394" s="3" t="s">
        <v>40</v>
      </c>
      <c r="T1394" s="7" t="s">
        <v>2975</v>
      </c>
      <c r="U1394" s="7"/>
      <c r="V1394" s="4" t="s">
        <v>51</v>
      </c>
      <c r="W1394" s="4" t="s">
        <v>102</v>
      </c>
      <c r="X1394" s="4" t="s">
        <v>104</v>
      </c>
      <c r="Y1394" s="7" t="s">
        <v>402</v>
      </c>
      <c r="Z1394" s="7"/>
      <c r="AA1394" s="4" t="s">
        <v>46</v>
      </c>
      <c r="AB1394" s="4" t="s">
        <v>115</v>
      </c>
      <c r="AC1394" s="4" t="s">
        <v>403</v>
      </c>
      <c r="AD1394" s="4" t="s">
        <v>2976</v>
      </c>
      <c r="AE1394" s="4" t="s">
        <v>48</v>
      </c>
      <c r="AF1394" s="4" t="s">
        <v>41</v>
      </c>
      <c r="AG1394" s="4" t="s">
        <v>2926</v>
      </c>
    </row>
    <row r="1395" spans="1:33" ht="16.5" customHeight="1" x14ac:dyDescent="0.2">
      <c r="A1395" s="2" t="s">
        <v>31</v>
      </c>
      <c r="B1395" s="5" t="s">
        <v>108</v>
      </c>
      <c r="C1395" s="5"/>
      <c r="D1395" s="5"/>
      <c r="E1395" s="6" t="s">
        <v>33</v>
      </c>
      <c r="F1395" s="6"/>
      <c r="G1395" s="7" t="s">
        <v>2922</v>
      </c>
      <c r="H1395" s="7"/>
      <c r="I1395" s="7"/>
      <c r="J1395" s="3" t="s">
        <v>35</v>
      </c>
      <c r="K1395" s="4" t="s">
        <v>398</v>
      </c>
      <c r="N1395" s="7" t="s">
        <v>2977</v>
      </c>
      <c r="O1395" s="7"/>
      <c r="P1395" s="7" t="s">
        <v>2978</v>
      </c>
      <c r="Q1395" s="7"/>
      <c r="R1395" s="7"/>
      <c r="S1395" s="3" t="s">
        <v>40</v>
      </c>
      <c r="T1395" s="7" t="s">
        <v>1755</v>
      </c>
      <c r="U1395" s="7"/>
      <c r="V1395" s="4" t="s">
        <v>2979</v>
      </c>
      <c r="W1395" s="4" t="s">
        <v>2980</v>
      </c>
      <c r="X1395" s="4" t="s">
        <v>103</v>
      </c>
      <c r="Y1395" s="7" t="s">
        <v>402</v>
      </c>
      <c r="Z1395" s="7"/>
      <c r="AA1395" s="4" t="s">
        <v>46</v>
      </c>
      <c r="AB1395" s="4" t="s">
        <v>115</v>
      </c>
      <c r="AC1395" s="4" t="s">
        <v>403</v>
      </c>
      <c r="AD1395" s="4" t="s">
        <v>1756</v>
      </c>
      <c r="AE1395" s="4" t="s">
        <v>48</v>
      </c>
      <c r="AF1395" s="4" t="s">
        <v>41</v>
      </c>
      <c r="AG1395" s="4" t="s">
        <v>2926</v>
      </c>
    </row>
    <row r="1396" spans="1:33" ht="16.5" customHeight="1" x14ac:dyDescent="0.2">
      <c r="A1396" s="2" t="s">
        <v>31</v>
      </c>
      <c r="B1396" s="5" t="s">
        <v>108</v>
      </c>
      <c r="C1396" s="5"/>
      <c r="D1396" s="5"/>
      <c r="E1396" s="6" t="s">
        <v>33</v>
      </c>
      <c r="F1396" s="6"/>
      <c r="G1396" s="7" t="s">
        <v>2922</v>
      </c>
      <c r="H1396" s="7"/>
      <c r="I1396" s="7"/>
      <c r="J1396" s="3" t="s">
        <v>35</v>
      </c>
      <c r="K1396" s="4" t="s">
        <v>398</v>
      </c>
      <c r="N1396" s="7" t="s">
        <v>2981</v>
      </c>
      <c r="O1396" s="7"/>
      <c r="P1396" s="7" t="s">
        <v>2982</v>
      </c>
      <c r="Q1396" s="7"/>
      <c r="R1396" s="7"/>
      <c r="S1396" s="3" t="s">
        <v>40</v>
      </c>
      <c r="T1396" s="7" t="s">
        <v>2983</v>
      </c>
      <c r="U1396" s="7"/>
      <c r="V1396" s="4" t="s">
        <v>51</v>
      </c>
      <c r="W1396" s="4" t="s">
        <v>58</v>
      </c>
      <c r="X1396" s="4" t="s">
        <v>128</v>
      </c>
      <c r="Y1396" s="7" t="s">
        <v>402</v>
      </c>
      <c r="Z1396" s="7"/>
      <c r="AA1396" s="4" t="s">
        <v>46</v>
      </c>
      <c r="AB1396" s="4" t="s">
        <v>115</v>
      </c>
      <c r="AC1396" s="4" t="s">
        <v>403</v>
      </c>
      <c r="AD1396" s="4" t="s">
        <v>2984</v>
      </c>
      <c r="AE1396" s="4" t="s">
        <v>48</v>
      </c>
      <c r="AF1396" s="4" t="s">
        <v>41</v>
      </c>
      <c r="AG1396" s="4" t="s">
        <v>2926</v>
      </c>
    </row>
    <row r="1397" spans="1:33" ht="16.5" customHeight="1" x14ac:dyDescent="0.2">
      <c r="A1397" s="2" t="s">
        <v>31</v>
      </c>
      <c r="B1397" s="5" t="s">
        <v>108</v>
      </c>
      <c r="C1397" s="5"/>
      <c r="D1397" s="5"/>
      <c r="E1397" s="6" t="s">
        <v>33</v>
      </c>
      <c r="F1397" s="6"/>
      <c r="G1397" s="7" t="s">
        <v>2922</v>
      </c>
      <c r="H1397" s="7"/>
      <c r="I1397" s="7"/>
      <c r="J1397" s="3" t="s">
        <v>35</v>
      </c>
      <c r="K1397" s="4" t="s">
        <v>398</v>
      </c>
      <c r="N1397" s="7" t="s">
        <v>2985</v>
      </c>
      <c r="O1397" s="7"/>
      <c r="P1397" s="7" t="s">
        <v>2986</v>
      </c>
      <c r="Q1397" s="7"/>
      <c r="R1397" s="7"/>
      <c r="S1397" s="3" t="s">
        <v>40</v>
      </c>
      <c r="T1397" s="7" t="s">
        <v>2987</v>
      </c>
      <c r="U1397" s="7"/>
      <c r="V1397" s="4" t="s">
        <v>2988</v>
      </c>
      <c r="W1397" s="4" t="s">
        <v>2989</v>
      </c>
      <c r="X1397" s="4" t="s">
        <v>104</v>
      </c>
      <c r="Y1397" s="7" t="s">
        <v>402</v>
      </c>
      <c r="Z1397" s="7"/>
      <c r="AA1397" s="4" t="s">
        <v>46</v>
      </c>
      <c r="AB1397" s="4" t="s">
        <v>115</v>
      </c>
      <c r="AC1397" s="4" t="s">
        <v>403</v>
      </c>
      <c r="AD1397" s="4" t="s">
        <v>2990</v>
      </c>
      <c r="AE1397" s="4" t="s">
        <v>48</v>
      </c>
      <c r="AF1397" s="4" t="s">
        <v>41</v>
      </c>
      <c r="AG1397" s="4" t="s">
        <v>2926</v>
      </c>
    </row>
    <row r="1398" spans="1:33" ht="16.5" customHeight="1" x14ac:dyDescent="0.2">
      <c r="A1398" s="2" t="s">
        <v>31</v>
      </c>
      <c r="B1398" s="5" t="s">
        <v>108</v>
      </c>
      <c r="C1398" s="5"/>
      <c r="D1398" s="5"/>
      <c r="E1398" s="6" t="s">
        <v>33</v>
      </c>
      <c r="F1398" s="6"/>
      <c r="G1398" s="7" t="s">
        <v>2922</v>
      </c>
      <c r="H1398" s="7"/>
      <c r="I1398" s="7"/>
      <c r="J1398" s="3" t="s">
        <v>35</v>
      </c>
      <c r="K1398" s="4" t="s">
        <v>398</v>
      </c>
      <c r="N1398" s="7" t="s">
        <v>2985</v>
      </c>
      <c r="O1398" s="7"/>
      <c r="P1398" s="7" t="s">
        <v>2986</v>
      </c>
      <c r="Q1398" s="7"/>
      <c r="R1398" s="7"/>
      <c r="S1398" s="3" t="s">
        <v>40</v>
      </c>
      <c r="T1398" s="7" t="s">
        <v>2987</v>
      </c>
      <c r="U1398" s="7"/>
      <c r="V1398" s="4" t="s">
        <v>2988</v>
      </c>
      <c r="W1398" s="4" t="s">
        <v>2989</v>
      </c>
      <c r="X1398" s="4" t="s">
        <v>104</v>
      </c>
      <c r="Y1398" s="7" t="s">
        <v>402</v>
      </c>
      <c r="Z1398" s="7"/>
      <c r="AA1398" s="4" t="s">
        <v>46</v>
      </c>
      <c r="AB1398" s="4" t="s">
        <v>115</v>
      </c>
      <c r="AC1398" s="4" t="s">
        <v>403</v>
      </c>
      <c r="AD1398" s="4" t="s">
        <v>2990</v>
      </c>
      <c r="AE1398" s="4" t="s">
        <v>48</v>
      </c>
      <c r="AF1398" s="4" t="s">
        <v>41</v>
      </c>
      <c r="AG1398" s="4" t="s">
        <v>2926</v>
      </c>
    </row>
    <row r="1399" spans="1:33" ht="16.5" customHeight="1" x14ac:dyDescent="0.2">
      <c r="A1399" s="2" t="s">
        <v>31</v>
      </c>
      <c r="B1399" s="5" t="s">
        <v>108</v>
      </c>
      <c r="C1399" s="5"/>
      <c r="D1399" s="5"/>
      <c r="E1399" s="6" t="s">
        <v>33</v>
      </c>
      <c r="F1399" s="6"/>
      <c r="G1399" s="7" t="s">
        <v>2922</v>
      </c>
      <c r="H1399" s="7"/>
      <c r="I1399" s="7"/>
      <c r="J1399" s="3" t="s">
        <v>35</v>
      </c>
      <c r="K1399" s="4" t="s">
        <v>1285</v>
      </c>
      <c r="N1399" s="7" t="s">
        <v>2991</v>
      </c>
      <c r="O1399" s="7"/>
      <c r="P1399" s="7" t="s">
        <v>2992</v>
      </c>
      <c r="Q1399" s="7"/>
      <c r="R1399" s="7"/>
      <c r="S1399" s="3" t="s">
        <v>40</v>
      </c>
      <c r="T1399" s="7" t="s">
        <v>2993</v>
      </c>
      <c r="U1399" s="7"/>
      <c r="V1399" s="4" t="s">
        <v>51</v>
      </c>
      <c r="W1399" s="4" t="s">
        <v>58</v>
      </c>
      <c r="X1399" s="4" t="s">
        <v>128</v>
      </c>
      <c r="Y1399" s="7" t="s">
        <v>937</v>
      </c>
      <c r="Z1399" s="7"/>
      <c r="AA1399" s="4" t="s">
        <v>46</v>
      </c>
      <c r="AB1399" s="4" t="s">
        <v>115</v>
      </c>
      <c r="AC1399" s="4" t="s">
        <v>938</v>
      </c>
      <c r="AD1399" s="4" t="s">
        <v>2994</v>
      </c>
      <c r="AE1399" s="4" t="s">
        <v>48</v>
      </c>
      <c r="AF1399" s="4" t="s">
        <v>41</v>
      </c>
      <c r="AG1399" s="4" t="s">
        <v>2926</v>
      </c>
    </row>
    <row r="1400" spans="1:33" ht="16.5" customHeight="1" x14ac:dyDescent="0.2">
      <c r="A1400" s="2" t="s">
        <v>31</v>
      </c>
      <c r="B1400" s="5" t="s">
        <v>108</v>
      </c>
      <c r="C1400" s="5"/>
      <c r="D1400" s="5"/>
      <c r="E1400" s="6" t="s">
        <v>33</v>
      </c>
      <c r="F1400" s="6"/>
      <c r="G1400" s="7" t="s">
        <v>2922</v>
      </c>
      <c r="H1400" s="7"/>
      <c r="I1400" s="7"/>
      <c r="J1400" s="3" t="s">
        <v>35</v>
      </c>
      <c r="K1400" s="4" t="s">
        <v>398</v>
      </c>
      <c r="N1400" s="7" t="s">
        <v>2995</v>
      </c>
      <c r="O1400" s="7"/>
      <c r="P1400" s="7" t="s">
        <v>2996</v>
      </c>
      <c r="Q1400" s="7"/>
      <c r="R1400" s="7"/>
      <c r="S1400" s="3" t="s">
        <v>40</v>
      </c>
      <c r="T1400" s="7" t="s">
        <v>1263</v>
      </c>
      <c r="U1400" s="7"/>
      <c r="V1400" s="4" t="s">
        <v>950</v>
      </c>
      <c r="W1400" s="4" t="s">
        <v>58</v>
      </c>
      <c r="X1400" s="4" t="s">
        <v>386</v>
      </c>
      <c r="Y1400" s="7" t="s">
        <v>402</v>
      </c>
      <c r="Z1400" s="7"/>
      <c r="AA1400" s="4" t="s">
        <v>46</v>
      </c>
      <c r="AB1400" s="4" t="s">
        <v>115</v>
      </c>
      <c r="AC1400" s="4" t="s">
        <v>403</v>
      </c>
      <c r="AD1400" s="4" t="s">
        <v>1264</v>
      </c>
      <c r="AE1400" s="4" t="s">
        <v>48</v>
      </c>
      <c r="AF1400" s="4" t="s">
        <v>41</v>
      </c>
      <c r="AG1400" s="4" t="s">
        <v>2926</v>
      </c>
    </row>
    <row r="1401" spans="1:33" ht="16.5" customHeight="1" x14ac:dyDescent="0.2">
      <c r="A1401" s="2" t="s">
        <v>31</v>
      </c>
      <c r="B1401" s="5" t="s">
        <v>108</v>
      </c>
      <c r="C1401" s="5"/>
      <c r="D1401" s="5"/>
      <c r="E1401" s="6" t="s">
        <v>33</v>
      </c>
      <c r="F1401" s="6"/>
      <c r="G1401" s="7" t="s">
        <v>2922</v>
      </c>
      <c r="H1401" s="7"/>
      <c r="I1401" s="7"/>
      <c r="J1401" s="3" t="s">
        <v>35</v>
      </c>
      <c r="K1401" s="4" t="s">
        <v>398</v>
      </c>
      <c r="N1401" s="7" t="s">
        <v>2995</v>
      </c>
      <c r="O1401" s="7"/>
      <c r="P1401" s="7" t="s">
        <v>2996</v>
      </c>
      <c r="Q1401" s="7"/>
      <c r="R1401" s="7"/>
      <c r="S1401" s="3" t="s">
        <v>40</v>
      </c>
      <c r="T1401" s="7" t="s">
        <v>1263</v>
      </c>
      <c r="U1401" s="7"/>
      <c r="V1401" s="4" t="s">
        <v>950</v>
      </c>
      <c r="W1401" s="4" t="s">
        <v>58</v>
      </c>
      <c r="X1401" s="4" t="s">
        <v>386</v>
      </c>
      <c r="Y1401" s="7" t="s">
        <v>402</v>
      </c>
      <c r="Z1401" s="7"/>
      <c r="AA1401" s="4" t="s">
        <v>46</v>
      </c>
      <c r="AB1401" s="4" t="s">
        <v>115</v>
      </c>
      <c r="AC1401" s="4" t="s">
        <v>403</v>
      </c>
      <c r="AD1401" s="4" t="s">
        <v>1264</v>
      </c>
      <c r="AE1401" s="4" t="s">
        <v>48</v>
      </c>
      <c r="AF1401" s="4" t="s">
        <v>41</v>
      </c>
      <c r="AG1401" s="4" t="s">
        <v>2926</v>
      </c>
    </row>
    <row r="1402" spans="1:33" ht="16.5" customHeight="1" x14ac:dyDescent="0.2">
      <c r="A1402" s="2" t="s">
        <v>31</v>
      </c>
      <c r="B1402" s="5" t="s">
        <v>108</v>
      </c>
      <c r="C1402" s="5"/>
      <c r="D1402" s="5"/>
      <c r="E1402" s="6" t="s">
        <v>33</v>
      </c>
      <c r="F1402" s="6"/>
      <c r="G1402" s="7" t="s">
        <v>2922</v>
      </c>
      <c r="H1402" s="7"/>
      <c r="I1402" s="7"/>
      <c r="J1402" s="3" t="s">
        <v>35</v>
      </c>
      <c r="K1402" s="4" t="s">
        <v>398</v>
      </c>
      <c r="N1402" s="7" t="s">
        <v>2995</v>
      </c>
      <c r="O1402" s="7"/>
      <c r="P1402" s="7" t="s">
        <v>2996</v>
      </c>
      <c r="Q1402" s="7"/>
      <c r="R1402" s="7"/>
      <c r="S1402" s="3" t="s">
        <v>40</v>
      </c>
      <c r="T1402" s="7" t="s">
        <v>1263</v>
      </c>
      <c r="U1402" s="7"/>
      <c r="V1402" s="4" t="s">
        <v>42</v>
      </c>
      <c r="W1402" s="4" t="s">
        <v>58</v>
      </c>
      <c r="X1402" s="4" t="s">
        <v>59</v>
      </c>
      <c r="Y1402" s="7" t="s">
        <v>402</v>
      </c>
      <c r="Z1402" s="7"/>
      <c r="AA1402" s="4" t="s">
        <v>46</v>
      </c>
      <c r="AB1402" s="4" t="s">
        <v>115</v>
      </c>
      <c r="AC1402" s="4" t="s">
        <v>403</v>
      </c>
      <c r="AD1402" s="4" t="s">
        <v>1264</v>
      </c>
      <c r="AE1402" s="4" t="s">
        <v>48</v>
      </c>
      <c r="AF1402" s="4" t="s">
        <v>41</v>
      </c>
      <c r="AG1402" s="4" t="s">
        <v>2926</v>
      </c>
    </row>
    <row r="1403" spans="1:33" ht="16.5" customHeight="1" x14ac:dyDescent="0.2">
      <c r="A1403" s="2" t="s">
        <v>31</v>
      </c>
      <c r="B1403" s="5" t="s">
        <v>108</v>
      </c>
      <c r="C1403" s="5"/>
      <c r="D1403" s="5"/>
      <c r="E1403" s="6" t="s">
        <v>33</v>
      </c>
      <c r="F1403" s="6"/>
      <c r="G1403" s="7" t="s">
        <v>2922</v>
      </c>
      <c r="H1403" s="7"/>
      <c r="I1403" s="7"/>
      <c r="J1403" s="3" t="s">
        <v>35</v>
      </c>
      <c r="K1403" s="4" t="s">
        <v>398</v>
      </c>
      <c r="N1403" s="7" t="s">
        <v>2995</v>
      </c>
      <c r="O1403" s="7"/>
      <c r="P1403" s="7" t="s">
        <v>2996</v>
      </c>
      <c r="Q1403" s="7"/>
      <c r="R1403" s="7"/>
      <c r="S1403" s="3" t="s">
        <v>40</v>
      </c>
      <c r="T1403" s="7" t="s">
        <v>1263</v>
      </c>
      <c r="U1403" s="7"/>
      <c r="V1403" s="4" t="s">
        <v>42</v>
      </c>
      <c r="W1403" s="4" t="s">
        <v>58</v>
      </c>
      <c r="X1403" s="4" t="s">
        <v>59</v>
      </c>
      <c r="Y1403" s="7" t="s">
        <v>402</v>
      </c>
      <c r="Z1403" s="7"/>
      <c r="AA1403" s="4" t="s">
        <v>46</v>
      </c>
      <c r="AB1403" s="4" t="s">
        <v>115</v>
      </c>
      <c r="AC1403" s="4" t="s">
        <v>403</v>
      </c>
      <c r="AD1403" s="4" t="s">
        <v>1264</v>
      </c>
      <c r="AE1403" s="4" t="s">
        <v>48</v>
      </c>
      <c r="AF1403" s="4" t="s">
        <v>41</v>
      </c>
      <c r="AG1403" s="4" t="s">
        <v>2926</v>
      </c>
    </row>
    <row r="1404" spans="1:33" ht="16.5" customHeight="1" x14ac:dyDescent="0.2">
      <c r="A1404" s="2" t="s">
        <v>31</v>
      </c>
      <c r="B1404" s="5" t="s">
        <v>108</v>
      </c>
      <c r="C1404" s="5"/>
      <c r="D1404" s="5"/>
      <c r="E1404" s="6" t="s">
        <v>33</v>
      </c>
      <c r="F1404" s="6"/>
      <c r="G1404" s="7" t="s">
        <v>2922</v>
      </c>
      <c r="H1404" s="7"/>
      <c r="I1404" s="7"/>
      <c r="J1404" s="3" t="s">
        <v>35</v>
      </c>
      <c r="K1404" s="4" t="s">
        <v>398</v>
      </c>
      <c r="N1404" s="7" t="s">
        <v>2995</v>
      </c>
      <c r="O1404" s="7"/>
      <c r="P1404" s="7" t="s">
        <v>2996</v>
      </c>
      <c r="Q1404" s="7"/>
      <c r="R1404" s="7"/>
      <c r="S1404" s="3" t="s">
        <v>40</v>
      </c>
      <c r="T1404" s="7" t="s">
        <v>1263</v>
      </c>
      <c r="U1404" s="7"/>
      <c r="V1404" s="4" t="s">
        <v>51</v>
      </c>
      <c r="W1404" s="4" t="s">
        <v>58</v>
      </c>
      <c r="X1404" s="4" t="s">
        <v>128</v>
      </c>
      <c r="Y1404" s="7" t="s">
        <v>402</v>
      </c>
      <c r="Z1404" s="7"/>
      <c r="AA1404" s="4" t="s">
        <v>46</v>
      </c>
      <c r="AB1404" s="4" t="s">
        <v>115</v>
      </c>
      <c r="AC1404" s="4" t="s">
        <v>403</v>
      </c>
      <c r="AD1404" s="4" t="s">
        <v>1264</v>
      </c>
      <c r="AE1404" s="4" t="s">
        <v>48</v>
      </c>
      <c r="AF1404" s="4" t="s">
        <v>41</v>
      </c>
      <c r="AG1404" s="4" t="s">
        <v>2926</v>
      </c>
    </row>
    <row r="1405" spans="1:33" ht="16.5" customHeight="1" x14ac:dyDescent="0.2">
      <c r="A1405" s="2" t="s">
        <v>31</v>
      </c>
      <c r="B1405" s="5" t="s">
        <v>108</v>
      </c>
      <c r="C1405" s="5"/>
      <c r="D1405" s="5"/>
      <c r="E1405" s="6" t="s">
        <v>33</v>
      </c>
      <c r="F1405" s="6"/>
      <c r="G1405" s="7" t="s">
        <v>2922</v>
      </c>
      <c r="H1405" s="7"/>
      <c r="I1405" s="7"/>
      <c r="J1405" s="3" t="s">
        <v>35</v>
      </c>
      <c r="K1405" s="4" t="s">
        <v>398</v>
      </c>
      <c r="N1405" s="7" t="s">
        <v>2995</v>
      </c>
      <c r="O1405" s="7"/>
      <c r="P1405" s="7" t="s">
        <v>2996</v>
      </c>
      <c r="Q1405" s="7"/>
      <c r="R1405" s="7"/>
      <c r="S1405" s="3" t="s">
        <v>40</v>
      </c>
      <c r="T1405" s="7" t="s">
        <v>1263</v>
      </c>
      <c r="U1405" s="7"/>
      <c r="V1405" s="4" t="s">
        <v>51</v>
      </c>
      <c r="W1405" s="4" t="s">
        <v>58</v>
      </c>
      <c r="X1405" s="4" t="s">
        <v>128</v>
      </c>
      <c r="Y1405" s="7" t="s">
        <v>402</v>
      </c>
      <c r="Z1405" s="7"/>
      <c r="AA1405" s="4" t="s">
        <v>46</v>
      </c>
      <c r="AB1405" s="4" t="s">
        <v>115</v>
      </c>
      <c r="AC1405" s="4" t="s">
        <v>403</v>
      </c>
      <c r="AD1405" s="4" t="s">
        <v>1264</v>
      </c>
      <c r="AE1405" s="4" t="s">
        <v>48</v>
      </c>
      <c r="AF1405" s="4" t="s">
        <v>41</v>
      </c>
      <c r="AG1405" s="4" t="s">
        <v>2926</v>
      </c>
    </row>
    <row r="1406" spans="1:33" ht="16.5" customHeight="1" x14ac:dyDescent="0.2">
      <c r="A1406" s="2" t="s">
        <v>31</v>
      </c>
      <c r="B1406" s="5" t="s">
        <v>108</v>
      </c>
      <c r="C1406" s="5"/>
      <c r="D1406" s="5"/>
      <c r="E1406" s="6" t="s">
        <v>33</v>
      </c>
      <c r="F1406" s="6"/>
      <c r="G1406" s="7" t="s">
        <v>2922</v>
      </c>
      <c r="H1406" s="7"/>
      <c r="I1406" s="7"/>
      <c r="J1406" s="3" t="s">
        <v>35</v>
      </c>
      <c r="K1406" s="4" t="s">
        <v>398</v>
      </c>
      <c r="N1406" s="7" t="s">
        <v>2997</v>
      </c>
      <c r="O1406" s="7"/>
      <c r="P1406" s="7" t="s">
        <v>2998</v>
      </c>
      <c r="Q1406" s="7"/>
      <c r="R1406" s="7"/>
      <c r="S1406" s="3" t="s">
        <v>40</v>
      </c>
      <c r="T1406" s="7" t="s">
        <v>2999</v>
      </c>
      <c r="U1406" s="7"/>
      <c r="V1406" s="4" t="s">
        <v>51</v>
      </c>
      <c r="W1406" s="4" t="s">
        <v>58</v>
      </c>
      <c r="X1406" s="4" t="s">
        <v>128</v>
      </c>
      <c r="Y1406" s="7" t="s">
        <v>402</v>
      </c>
      <c r="Z1406" s="7"/>
      <c r="AA1406" s="4" t="s">
        <v>46</v>
      </c>
      <c r="AB1406" s="4" t="s">
        <v>115</v>
      </c>
      <c r="AC1406" s="4" t="s">
        <v>403</v>
      </c>
      <c r="AD1406" s="4" t="s">
        <v>3000</v>
      </c>
      <c r="AE1406" s="4" t="s">
        <v>48</v>
      </c>
      <c r="AF1406" s="4" t="s">
        <v>41</v>
      </c>
      <c r="AG1406" s="4" t="s">
        <v>2926</v>
      </c>
    </row>
    <row r="1407" spans="1:33" ht="16.5" customHeight="1" x14ac:dyDescent="0.2">
      <c r="A1407" s="2" t="s">
        <v>31</v>
      </c>
      <c r="B1407" s="5" t="s">
        <v>108</v>
      </c>
      <c r="C1407" s="5"/>
      <c r="D1407" s="5"/>
      <c r="E1407" s="6" t="s">
        <v>33</v>
      </c>
      <c r="F1407" s="6"/>
      <c r="G1407" s="7" t="s">
        <v>2922</v>
      </c>
      <c r="H1407" s="7"/>
      <c r="I1407" s="7"/>
      <c r="J1407" s="3" t="s">
        <v>35</v>
      </c>
      <c r="K1407" s="4" t="s">
        <v>398</v>
      </c>
      <c r="N1407" s="7" t="s">
        <v>3001</v>
      </c>
      <c r="O1407" s="7"/>
      <c r="P1407" s="7" t="s">
        <v>3002</v>
      </c>
      <c r="Q1407" s="7"/>
      <c r="R1407" s="7"/>
      <c r="S1407" s="3" t="s">
        <v>40</v>
      </c>
      <c r="T1407" s="7" t="s">
        <v>3003</v>
      </c>
      <c r="U1407" s="7"/>
      <c r="V1407" s="4" t="s">
        <v>51</v>
      </c>
      <c r="W1407" s="4" t="s">
        <v>58</v>
      </c>
      <c r="X1407" s="4" t="s">
        <v>128</v>
      </c>
      <c r="Y1407" s="7" t="s">
        <v>915</v>
      </c>
      <c r="Z1407" s="7"/>
      <c r="AA1407" s="4" t="s">
        <v>46</v>
      </c>
      <c r="AB1407" s="4" t="s">
        <v>115</v>
      </c>
      <c r="AC1407" s="4" t="s">
        <v>916</v>
      </c>
      <c r="AD1407" s="4" t="s">
        <v>3004</v>
      </c>
      <c r="AE1407" s="4" t="s">
        <v>48</v>
      </c>
      <c r="AF1407" s="4" t="s">
        <v>41</v>
      </c>
      <c r="AG1407" s="4" t="s">
        <v>2926</v>
      </c>
    </row>
    <row r="1408" spans="1:33" ht="16.5" customHeight="1" x14ac:dyDescent="0.2">
      <c r="A1408" s="2" t="s">
        <v>31</v>
      </c>
      <c r="B1408" s="5" t="s">
        <v>108</v>
      </c>
      <c r="C1408" s="5"/>
      <c r="D1408" s="5"/>
      <c r="E1408" s="6" t="s">
        <v>33</v>
      </c>
      <c r="F1408" s="6"/>
      <c r="G1408" s="7" t="s">
        <v>2922</v>
      </c>
      <c r="H1408" s="7"/>
      <c r="I1408" s="7"/>
      <c r="J1408" s="3" t="s">
        <v>35</v>
      </c>
      <c r="K1408" s="4" t="s">
        <v>398</v>
      </c>
      <c r="N1408" s="7" t="s">
        <v>3005</v>
      </c>
      <c r="O1408" s="7"/>
      <c r="P1408" s="7" t="s">
        <v>3006</v>
      </c>
      <c r="Q1408" s="7"/>
      <c r="R1408" s="7"/>
      <c r="S1408" s="3" t="s">
        <v>40</v>
      </c>
      <c r="T1408" s="7" t="s">
        <v>3007</v>
      </c>
      <c r="U1408" s="7"/>
      <c r="V1408" s="4" t="s">
        <v>42</v>
      </c>
      <c r="W1408" s="4" t="s">
        <v>58</v>
      </c>
      <c r="X1408" s="4" t="s">
        <v>59</v>
      </c>
      <c r="Y1408" s="7" t="s">
        <v>915</v>
      </c>
      <c r="Z1408" s="7"/>
      <c r="AA1408" s="4" t="s">
        <v>46</v>
      </c>
      <c r="AB1408" s="4" t="s">
        <v>115</v>
      </c>
      <c r="AC1408" s="4" t="s">
        <v>916</v>
      </c>
      <c r="AD1408" s="4" t="s">
        <v>3008</v>
      </c>
      <c r="AE1408" s="4" t="s">
        <v>48</v>
      </c>
      <c r="AF1408" s="4" t="s">
        <v>41</v>
      </c>
      <c r="AG1408" s="4" t="s">
        <v>2926</v>
      </c>
    </row>
    <row r="1409" spans="1:33" ht="16.5" customHeight="1" x14ac:dyDescent="0.2">
      <c r="A1409" s="2" t="s">
        <v>31</v>
      </c>
      <c r="B1409" s="5" t="s">
        <v>108</v>
      </c>
      <c r="C1409" s="5"/>
      <c r="D1409" s="5"/>
      <c r="E1409" s="6" t="s">
        <v>33</v>
      </c>
      <c r="F1409" s="6"/>
      <c r="G1409" s="7" t="s">
        <v>2922</v>
      </c>
      <c r="H1409" s="7"/>
      <c r="I1409" s="7"/>
      <c r="J1409" s="3" t="s">
        <v>35</v>
      </c>
      <c r="K1409" s="4" t="s">
        <v>398</v>
      </c>
      <c r="N1409" s="7" t="s">
        <v>3009</v>
      </c>
      <c r="O1409" s="7"/>
      <c r="P1409" s="7" t="s">
        <v>3010</v>
      </c>
      <c r="Q1409" s="7"/>
      <c r="R1409" s="7"/>
      <c r="S1409" s="3" t="s">
        <v>40</v>
      </c>
      <c r="T1409" s="7" t="s">
        <v>3011</v>
      </c>
      <c r="U1409" s="7"/>
      <c r="V1409" s="4" t="s">
        <v>51</v>
      </c>
      <c r="W1409" s="4" t="s">
        <v>58</v>
      </c>
      <c r="X1409" s="4" t="s">
        <v>128</v>
      </c>
      <c r="Y1409" s="7" t="s">
        <v>402</v>
      </c>
      <c r="Z1409" s="7"/>
      <c r="AA1409" s="4" t="s">
        <v>46</v>
      </c>
      <c r="AB1409" s="4" t="s">
        <v>115</v>
      </c>
      <c r="AC1409" s="4" t="s">
        <v>403</v>
      </c>
      <c r="AD1409" s="4" t="s">
        <v>3012</v>
      </c>
      <c r="AE1409" s="4" t="s">
        <v>48</v>
      </c>
      <c r="AF1409" s="4" t="s">
        <v>41</v>
      </c>
      <c r="AG1409" s="4" t="s">
        <v>2926</v>
      </c>
    </row>
    <row r="1410" spans="1:33" ht="16.5" customHeight="1" x14ac:dyDescent="0.2">
      <c r="A1410" s="2" t="s">
        <v>31</v>
      </c>
      <c r="B1410" s="5" t="s">
        <v>108</v>
      </c>
      <c r="C1410" s="5"/>
      <c r="D1410" s="5"/>
      <c r="E1410" s="6" t="s">
        <v>33</v>
      </c>
      <c r="F1410" s="6"/>
      <c r="G1410" s="7" t="s">
        <v>2922</v>
      </c>
      <c r="H1410" s="7"/>
      <c r="I1410" s="7"/>
      <c r="J1410" s="3" t="s">
        <v>35</v>
      </c>
      <c r="K1410" s="4" t="s">
        <v>398</v>
      </c>
      <c r="N1410" s="7" t="s">
        <v>3013</v>
      </c>
      <c r="O1410" s="7"/>
      <c r="P1410" s="7" t="s">
        <v>3014</v>
      </c>
      <c r="Q1410" s="7"/>
      <c r="R1410" s="7"/>
      <c r="S1410" s="3" t="s">
        <v>40</v>
      </c>
      <c r="T1410" s="7" t="s">
        <v>3015</v>
      </c>
      <c r="U1410" s="7"/>
      <c r="V1410" s="4" t="s">
        <v>42</v>
      </c>
      <c r="W1410" s="4" t="s">
        <v>58</v>
      </c>
      <c r="X1410" s="4" t="s">
        <v>59</v>
      </c>
      <c r="Y1410" s="7" t="s">
        <v>915</v>
      </c>
      <c r="Z1410" s="7"/>
      <c r="AA1410" s="4" t="s">
        <v>46</v>
      </c>
      <c r="AB1410" s="4" t="s">
        <v>115</v>
      </c>
      <c r="AC1410" s="4" t="s">
        <v>916</v>
      </c>
      <c r="AD1410" s="4" t="s">
        <v>3016</v>
      </c>
      <c r="AE1410" s="4" t="s">
        <v>48</v>
      </c>
      <c r="AF1410" s="4" t="s">
        <v>41</v>
      </c>
      <c r="AG1410" s="4" t="s">
        <v>2926</v>
      </c>
    </row>
    <row r="1411" spans="1:33" ht="16.5" customHeight="1" x14ac:dyDescent="0.2">
      <c r="A1411" s="2" t="s">
        <v>31</v>
      </c>
      <c r="B1411" s="5" t="s">
        <v>108</v>
      </c>
      <c r="C1411" s="5"/>
      <c r="D1411" s="5"/>
      <c r="E1411" s="6" t="s">
        <v>33</v>
      </c>
      <c r="F1411" s="6"/>
      <c r="G1411" s="7" t="s">
        <v>2922</v>
      </c>
      <c r="H1411" s="7"/>
      <c r="I1411" s="7"/>
      <c r="J1411" s="3" t="s">
        <v>35</v>
      </c>
      <c r="K1411" s="4" t="s">
        <v>398</v>
      </c>
      <c r="N1411" s="7" t="s">
        <v>3013</v>
      </c>
      <c r="O1411" s="7"/>
      <c r="P1411" s="7" t="s">
        <v>3014</v>
      </c>
      <c r="Q1411" s="7"/>
      <c r="R1411" s="7"/>
      <c r="S1411" s="3" t="s">
        <v>40</v>
      </c>
      <c r="T1411" s="7" t="s">
        <v>3015</v>
      </c>
      <c r="U1411" s="7"/>
      <c r="V1411" s="4" t="s">
        <v>51</v>
      </c>
      <c r="W1411" s="4" t="s">
        <v>58</v>
      </c>
      <c r="X1411" s="4" t="s">
        <v>128</v>
      </c>
      <c r="Y1411" s="7" t="s">
        <v>915</v>
      </c>
      <c r="Z1411" s="7"/>
      <c r="AA1411" s="4" t="s">
        <v>46</v>
      </c>
      <c r="AB1411" s="4" t="s">
        <v>115</v>
      </c>
      <c r="AC1411" s="4" t="s">
        <v>916</v>
      </c>
      <c r="AD1411" s="4" t="s">
        <v>3016</v>
      </c>
      <c r="AE1411" s="4" t="s">
        <v>48</v>
      </c>
      <c r="AF1411" s="4" t="s">
        <v>41</v>
      </c>
      <c r="AG1411" s="4" t="s">
        <v>2926</v>
      </c>
    </row>
    <row r="1412" spans="1:33" ht="16.5" customHeight="1" x14ac:dyDescent="0.2">
      <c r="A1412" s="2" t="s">
        <v>31</v>
      </c>
      <c r="B1412" s="5" t="s">
        <v>108</v>
      </c>
      <c r="C1412" s="5"/>
      <c r="D1412" s="5"/>
      <c r="E1412" s="6" t="s">
        <v>33</v>
      </c>
      <c r="F1412" s="6"/>
      <c r="G1412" s="7" t="s">
        <v>2922</v>
      </c>
      <c r="H1412" s="7"/>
      <c r="I1412" s="7"/>
      <c r="J1412" s="3" t="s">
        <v>35</v>
      </c>
      <c r="K1412" s="4" t="s">
        <v>398</v>
      </c>
      <c r="N1412" s="7" t="s">
        <v>3017</v>
      </c>
      <c r="O1412" s="7"/>
      <c r="P1412" s="7" t="s">
        <v>3018</v>
      </c>
      <c r="Q1412" s="7"/>
      <c r="R1412" s="7"/>
      <c r="S1412" s="3" t="s">
        <v>40</v>
      </c>
      <c r="T1412" s="7" t="s">
        <v>3019</v>
      </c>
      <c r="U1412" s="7"/>
      <c r="V1412" s="4" t="s">
        <v>51</v>
      </c>
      <c r="W1412" s="4" t="s">
        <v>58</v>
      </c>
      <c r="X1412" s="4" t="s">
        <v>128</v>
      </c>
      <c r="Y1412" s="7" t="s">
        <v>402</v>
      </c>
      <c r="Z1412" s="7"/>
      <c r="AA1412" s="4" t="s">
        <v>46</v>
      </c>
      <c r="AB1412" s="4" t="s">
        <v>115</v>
      </c>
      <c r="AC1412" s="4" t="s">
        <v>403</v>
      </c>
      <c r="AD1412" s="4" t="s">
        <v>3020</v>
      </c>
      <c r="AE1412" s="4" t="s">
        <v>48</v>
      </c>
      <c r="AF1412" s="4" t="s">
        <v>41</v>
      </c>
      <c r="AG1412" s="4" t="s">
        <v>2926</v>
      </c>
    </row>
    <row r="1413" spans="1:33" ht="16.5" customHeight="1" x14ac:dyDescent="0.2">
      <c r="A1413" s="2" t="s">
        <v>31</v>
      </c>
      <c r="B1413" s="5" t="s">
        <v>108</v>
      </c>
      <c r="C1413" s="5"/>
      <c r="D1413" s="5"/>
      <c r="E1413" s="6" t="s">
        <v>33</v>
      </c>
      <c r="F1413" s="6"/>
      <c r="G1413" s="7" t="s">
        <v>2922</v>
      </c>
      <c r="H1413" s="7"/>
      <c r="I1413" s="7"/>
      <c r="J1413" s="3" t="s">
        <v>35</v>
      </c>
      <c r="K1413" s="4" t="s">
        <v>398</v>
      </c>
      <c r="N1413" s="7" t="s">
        <v>3021</v>
      </c>
      <c r="O1413" s="7"/>
      <c r="P1413" s="7" t="s">
        <v>3022</v>
      </c>
      <c r="Q1413" s="7"/>
      <c r="R1413" s="7"/>
      <c r="S1413" s="3" t="s">
        <v>40</v>
      </c>
      <c r="T1413" s="7" t="s">
        <v>3023</v>
      </c>
      <c r="U1413" s="7"/>
      <c r="V1413" s="4" t="s">
        <v>51</v>
      </c>
      <c r="W1413" s="4" t="s">
        <v>58</v>
      </c>
      <c r="X1413" s="4" t="s">
        <v>128</v>
      </c>
      <c r="Y1413" s="7" t="s">
        <v>402</v>
      </c>
      <c r="Z1413" s="7"/>
      <c r="AA1413" s="4" t="s">
        <v>46</v>
      </c>
      <c r="AB1413" s="4" t="s">
        <v>115</v>
      </c>
      <c r="AC1413" s="4" t="s">
        <v>403</v>
      </c>
      <c r="AD1413" s="4" t="s">
        <v>3024</v>
      </c>
      <c r="AE1413" s="4" t="s">
        <v>48</v>
      </c>
      <c r="AF1413" s="4" t="s">
        <v>41</v>
      </c>
      <c r="AG1413" s="4" t="s">
        <v>2926</v>
      </c>
    </row>
    <row r="1414" spans="1:33" ht="16.5" customHeight="1" x14ac:dyDescent="0.2">
      <c r="A1414" s="2" t="s">
        <v>31</v>
      </c>
      <c r="B1414" s="5" t="s">
        <v>32</v>
      </c>
      <c r="C1414" s="5"/>
      <c r="D1414" s="5"/>
      <c r="E1414" s="6" t="s">
        <v>33</v>
      </c>
      <c r="F1414" s="6"/>
      <c r="G1414" s="7" t="s">
        <v>3025</v>
      </c>
      <c r="H1414" s="7"/>
      <c r="I1414" s="7"/>
      <c r="J1414" s="3" t="s">
        <v>35</v>
      </c>
      <c r="K1414" s="4" t="s">
        <v>1312</v>
      </c>
      <c r="L1414" s="4" t="s">
        <v>37</v>
      </c>
      <c r="N1414" s="7" t="s">
        <v>3026</v>
      </c>
      <c r="O1414" s="7"/>
      <c r="P1414" s="7" t="s">
        <v>3027</v>
      </c>
      <c r="Q1414" s="7"/>
      <c r="R1414" s="7"/>
      <c r="S1414" s="3" t="s">
        <v>40</v>
      </c>
      <c r="T1414" s="7" t="s">
        <v>1315</v>
      </c>
      <c r="U1414" s="7"/>
      <c r="V1414" s="4" t="s">
        <v>42</v>
      </c>
      <c r="W1414" s="4" t="s">
        <v>58</v>
      </c>
      <c r="X1414" s="4" t="s">
        <v>59</v>
      </c>
      <c r="Y1414" s="7" t="s">
        <v>664</v>
      </c>
      <c r="Z1414" s="7"/>
      <c r="AA1414" s="4" t="s">
        <v>46</v>
      </c>
      <c r="AB1414" s="4" t="s">
        <v>47</v>
      </c>
      <c r="AD1414" s="4" t="s">
        <v>41</v>
      </c>
      <c r="AE1414" s="4" t="s">
        <v>48</v>
      </c>
      <c r="AF1414" s="4" t="s">
        <v>41</v>
      </c>
      <c r="AG1414" s="4" t="s">
        <v>3028</v>
      </c>
    </row>
    <row r="1415" spans="1:33" ht="16.5" customHeight="1" x14ac:dyDescent="0.2">
      <c r="A1415" s="2" t="s">
        <v>31</v>
      </c>
      <c r="B1415" s="5" t="s">
        <v>646</v>
      </c>
      <c r="C1415" s="5"/>
      <c r="D1415" s="5"/>
      <c r="E1415" s="6" t="s">
        <v>33</v>
      </c>
      <c r="F1415" s="6"/>
      <c r="G1415" s="7" t="s">
        <v>3025</v>
      </c>
      <c r="H1415" s="7"/>
      <c r="I1415" s="7"/>
      <c r="J1415" s="3" t="s">
        <v>35</v>
      </c>
      <c r="K1415" s="4" t="s">
        <v>1312</v>
      </c>
      <c r="L1415" s="4" t="s">
        <v>37</v>
      </c>
      <c r="N1415" s="7" t="s">
        <v>3026</v>
      </c>
      <c r="O1415" s="7"/>
      <c r="P1415" s="7" t="s">
        <v>3027</v>
      </c>
      <c r="Q1415" s="7"/>
      <c r="R1415" s="7"/>
      <c r="S1415" s="3" t="s">
        <v>40</v>
      </c>
      <c r="T1415" s="7" t="s">
        <v>1315</v>
      </c>
      <c r="U1415" s="7"/>
      <c r="V1415" s="4" t="s">
        <v>51</v>
      </c>
      <c r="W1415" s="4" t="s">
        <v>58</v>
      </c>
      <c r="X1415" s="4" t="s">
        <v>128</v>
      </c>
      <c r="Y1415" s="7" t="s">
        <v>664</v>
      </c>
      <c r="Z1415" s="7"/>
      <c r="AA1415" s="4" t="s">
        <v>46</v>
      </c>
      <c r="AB1415" s="4" t="s">
        <v>47</v>
      </c>
      <c r="AD1415" s="4" t="s">
        <v>41</v>
      </c>
      <c r="AE1415" s="4" t="s">
        <v>48</v>
      </c>
      <c r="AF1415" s="4" t="s">
        <v>41</v>
      </c>
      <c r="AG1415" s="4" t="s">
        <v>3028</v>
      </c>
    </row>
    <row r="1416" spans="1:33" ht="16.5" customHeight="1" x14ac:dyDescent="0.2">
      <c r="A1416" s="2" t="s">
        <v>31</v>
      </c>
      <c r="B1416" s="5" t="s">
        <v>54</v>
      </c>
      <c r="C1416" s="5"/>
      <c r="D1416" s="5"/>
      <c r="E1416" s="6" t="s">
        <v>33</v>
      </c>
      <c r="F1416" s="6"/>
      <c r="G1416" s="7" t="s">
        <v>3025</v>
      </c>
      <c r="H1416" s="7"/>
      <c r="I1416" s="7"/>
      <c r="J1416" s="3" t="s">
        <v>35</v>
      </c>
      <c r="K1416" s="4" t="s">
        <v>1078</v>
      </c>
      <c r="L1416" s="4" t="s">
        <v>37</v>
      </c>
      <c r="N1416" s="7" t="s">
        <v>3029</v>
      </c>
      <c r="O1416" s="7"/>
      <c r="P1416" s="7" t="s">
        <v>3030</v>
      </c>
      <c r="Q1416" s="7"/>
      <c r="R1416" s="7"/>
      <c r="S1416" s="3" t="s">
        <v>40</v>
      </c>
      <c r="T1416" s="7" t="s">
        <v>41</v>
      </c>
      <c r="U1416" s="7"/>
      <c r="V1416" s="4" t="s">
        <v>42</v>
      </c>
      <c r="W1416" s="4" t="s">
        <v>43</v>
      </c>
      <c r="X1416" s="4" t="s">
        <v>44</v>
      </c>
      <c r="Y1416" s="7" t="s">
        <v>135</v>
      </c>
      <c r="Z1416" s="7"/>
      <c r="AA1416" s="4" t="s">
        <v>46</v>
      </c>
      <c r="AB1416" s="4" t="s">
        <v>47</v>
      </c>
      <c r="AC1416" s="4" t="s">
        <v>72</v>
      </c>
      <c r="AD1416" s="4" t="s">
        <v>41</v>
      </c>
      <c r="AE1416" s="4" t="s">
        <v>48</v>
      </c>
      <c r="AF1416" s="4" t="s">
        <v>41</v>
      </c>
      <c r="AG1416" s="4" t="s">
        <v>3028</v>
      </c>
    </row>
    <row r="1417" spans="1:33" ht="16.5" customHeight="1" x14ac:dyDescent="0.2">
      <c r="A1417" s="2" t="s">
        <v>31</v>
      </c>
      <c r="B1417" s="5" t="s">
        <v>54</v>
      </c>
      <c r="C1417" s="5"/>
      <c r="D1417" s="5"/>
      <c r="E1417" s="6" t="s">
        <v>33</v>
      </c>
      <c r="F1417" s="6"/>
      <c r="G1417" s="7" t="s">
        <v>3025</v>
      </c>
      <c r="H1417" s="7"/>
      <c r="I1417" s="7"/>
      <c r="J1417" s="3" t="s">
        <v>35</v>
      </c>
      <c r="K1417" s="4" t="s">
        <v>92</v>
      </c>
      <c r="L1417" s="4" t="s">
        <v>37</v>
      </c>
      <c r="N1417" s="7" t="s">
        <v>3031</v>
      </c>
      <c r="O1417" s="7"/>
      <c r="P1417" s="7" t="s">
        <v>3032</v>
      </c>
      <c r="Q1417" s="7"/>
      <c r="R1417" s="7"/>
      <c r="S1417" s="3" t="s">
        <v>40</v>
      </c>
      <c r="T1417" s="7" t="s">
        <v>41</v>
      </c>
      <c r="U1417" s="7"/>
      <c r="V1417" s="4" t="s">
        <v>42</v>
      </c>
      <c r="W1417" s="4" t="s">
        <v>58</v>
      </c>
      <c r="X1417" s="4" t="s">
        <v>59</v>
      </c>
      <c r="Y1417" s="7" t="s">
        <v>78</v>
      </c>
      <c r="Z1417" s="7"/>
      <c r="AA1417" s="4" t="s">
        <v>46</v>
      </c>
      <c r="AB1417" s="4" t="s">
        <v>47</v>
      </c>
      <c r="AC1417" s="4" t="s">
        <v>79</v>
      </c>
      <c r="AD1417" s="4" t="s">
        <v>80</v>
      </c>
      <c r="AE1417" s="4" t="s">
        <v>48</v>
      </c>
      <c r="AF1417" s="4" t="s">
        <v>41</v>
      </c>
      <c r="AG1417" s="4" t="s">
        <v>3028</v>
      </c>
    </row>
    <row r="1418" spans="1:33" ht="16.5" customHeight="1" x14ac:dyDescent="0.2">
      <c r="A1418" s="2" t="s">
        <v>31</v>
      </c>
      <c r="B1418" s="5" t="s">
        <v>54</v>
      </c>
      <c r="C1418" s="5"/>
      <c r="D1418" s="5"/>
      <c r="E1418" s="6" t="s">
        <v>33</v>
      </c>
      <c r="F1418" s="6"/>
      <c r="G1418" s="7" t="s">
        <v>3025</v>
      </c>
      <c r="H1418" s="7"/>
      <c r="I1418" s="7"/>
      <c r="J1418" s="3" t="s">
        <v>35</v>
      </c>
      <c r="K1418" s="4" t="s">
        <v>414</v>
      </c>
      <c r="L1418" s="4" t="s">
        <v>37</v>
      </c>
      <c r="N1418" s="7" t="s">
        <v>3033</v>
      </c>
      <c r="O1418" s="7"/>
      <c r="P1418" s="7" t="s">
        <v>3034</v>
      </c>
      <c r="Q1418" s="7"/>
      <c r="R1418" s="7"/>
      <c r="S1418" s="3" t="s">
        <v>40</v>
      </c>
      <c r="T1418" s="7" t="s">
        <v>41</v>
      </c>
      <c r="U1418" s="7"/>
      <c r="V1418" s="4" t="s">
        <v>51</v>
      </c>
      <c r="W1418" s="4" t="s">
        <v>58</v>
      </c>
      <c r="X1418" s="4" t="s">
        <v>128</v>
      </c>
      <c r="Y1418" s="7" t="s">
        <v>197</v>
      </c>
      <c r="Z1418" s="7"/>
      <c r="AA1418" s="4" t="s">
        <v>46</v>
      </c>
      <c r="AB1418" s="4" t="s">
        <v>47</v>
      </c>
      <c r="AC1418" s="4" t="s">
        <v>136</v>
      </c>
      <c r="AD1418" s="4" t="s">
        <v>137</v>
      </c>
      <c r="AE1418" s="4" t="s">
        <v>48</v>
      </c>
      <c r="AF1418" s="4" t="s">
        <v>41</v>
      </c>
      <c r="AG1418" s="4" t="s">
        <v>3028</v>
      </c>
    </row>
    <row r="1419" spans="1:33" ht="16.5" customHeight="1" x14ac:dyDescent="0.2">
      <c r="A1419" s="2" t="s">
        <v>31</v>
      </c>
      <c r="B1419" s="5" t="s">
        <v>54</v>
      </c>
      <c r="C1419" s="5"/>
      <c r="D1419" s="5"/>
      <c r="E1419" s="6" t="s">
        <v>33</v>
      </c>
      <c r="F1419" s="6"/>
      <c r="G1419" s="7" t="s">
        <v>3025</v>
      </c>
      <c r="H1419" s="7"/>
      <c r="I1419" s="7"/>
      <c r="J1419" s="3" t="s">
        <v>35</v>
      </c>
      <c r="K1419" s="4" t="s">
        <v>245</v>
      </c>
      <c r="L1419" s="4" t="s">
        <v>37</v>
      </c>
      <c r="N1419" s="7" t="s">
        <v>3035</v>
      </c>
      <c r="O1419" s="7"/>
      <c r="P1419" s="7" t="s">
        <v>3036</v>
      </c>
      <c r="Q1419" s="7"/>
      <c r="R1419" s="7"/>
      <c r="S1419" s="3" t="s">
        <v>40</v>
      </c>
      <c r="T1419" s="7" t="s">
        <v>41</v>
      </c>
      <c r="U1419" s="7"/>
      <c r="V1419" s="4" t="s">
        <v>42</v>
      </c>
      <c r="W1419" s="4" t="s">
        <v>43</v>
      </c>
      <c r="X1419" s="4" t="s">
        <v>44</v>
      </c>
      <c r="Y1419" s="7" t="s">
        <v>78</v>
      </c>
      <c r="Z1419" s="7"/>
      <c r="AA1419" s="4" t="s">
        <v>46</v>
      </c>
      <c r="AB1419" s="4" t="s">
        <v>47</v>
      </c>
      <c r="AC1419" s="4" t="s">
        <v>136</v>
      </c>
      <c r="AD1419" s="4" t="s">
        <v>137</v>
      </c>
      <c r="AE1419" s="4" t="s">
        <v>48</v>
      </c>
      <c r="AF1419" s="4" t="s">
        <v>41</v>
      </c>
      <c r="AG1419" s="4" t="s">
        <v>3028</v>
      </c>
    </row>
    <row r="1420" spans="1:33" ht="16.5" customHeight="1" x14ac:dyDescent="0.2">
      <c r="A1420" s="2" t="s">
        <v>31</v>
      </c>
      <c r="B1420" s="5" t="s">
        <v>54</v>
      </c>
      <c r="C1420" s="5"/>
      <c r="D1420" s="5"/>
      <c r="E1420" s="6" t="s">
        <v>33</v>
      </c>
      <c r="F1420" s="6"/>
      <c r="G1420" s="7" t="s">
        <v>3025</v>
      </c>
      <c r="H1420" s="7"/>
      <c r="I1420" s="7"/>
      <c r="J1420" s="3" t="s">
        <v>35</v>
      </c>
      <c r="K1420" s="4" t="s">
        <v>245</v>
      </c>
      <c r="L1420" s="4" t="s">
        <v>37</v>
      </c>
      <c r="N1420" s="7" t="s">
        <v>3035</v>
      </c>
      <c r="O1420" s="7"/>
      <c r="P1420" s="7" t="s">
        <v>3036</v>
      </c>
      <c r="Q1420" s="7"/>
      <c r="R1420" s="7"/>
      <c r="S1420" s="3" t="s">
        <v>40</v>
      </c>
      <c r="T1420" s="7" t="s">
        <v>41</v>
      </c>
      <c r="U1420" s="7"/>
      <c r="V1420" s="4" t="s">
        <v>51</v>
      </c>
      <c r="W1420" s="4" t="s">
        <v>43</v>
      </c>
      <c r="X1420" s="4" t="s">
        <v>52</v>
      </c>
      <c r="Y1420" s="7" t="s">
        <v>78</v>
      </c>
      <c r="Z1420" s="7"/>
      <c r="AA1420" s="4" t="s">
        <v>46</v>
      </c>
      <c r="AB1420" s="4" t="s">
        <v>47</v>
      </c>
      <c r="AC1420" s="4" t="s">
        <v>136</v>
      </c>
      <c r="AD1420" s="4" t="s">
        <v>137</v>
      </c>
      <c r="AE1420" s="4" t="s">
        <v>48</v>
      </c>
      <c r="AF1420" s="4" t="s">
        <v>41</v>
      </c>
      <c r="AG1420" s="4" t="s">
        <v>3028</v>
      </c>
    </row>
    <row r="1421" spans="1:33" ht="16.5" customHeight="1" x14ac:dyDescent="0.2">
      <c r="A1421" s="2" t="s">
        <v>31</v>
      </c>
      <c r="B1421" s="5" t="s">
        <v>54</v>
      </c>
      <c r="C1421" s="5"/>
      <c r="D1421" s="5"/>
      <c r="E1421" s="6" t="s">
        <v>33</v>
      </c>
      <c r="F1421" s="6"/>
      <c r="G1421" s="7" t="s">
        <v>3025</v>
      </c>
      <c r="H1421" s="7"/>
      <c r="I1421" s="7"/>
      <c r="J1421" s="3" t="s">
        <v>35</v>
      </c>
      <c r="K1421" s="4" t="s">
        <v>149</v>
      </c>
      <c r="L1421" s="4" t="s">
        <v>37</v>
      </c>
      <c r="N1421" s="7" t="s">
        <v>3037</v>
      </c>
      <c r="O1421" s="7"/>
      <c r="P1421" s="7" t="s">
        <v>3038</v>
      </c>
      <c r="Q1421" s="7"/>
      <c r="R1421" s="7"/>
      <c r="S1421" s="3" t="s">
        <v>40</v>
      </c>
      <c r="T1421" s="7" t="s">
        <v>41</v>
      </c>
      <c r="U1421" s="7"/>
      <c r="V1421" s="4" t="s">
        <v>42</v>
      </c>
      <c r="W1421" s="4" t="s">
        <v>154</v>
      </c>
      <c r="X1421" s="4" t="s">
        <v>155</v>
      </c>
      <c r="Y1421" s="7" t="s">
        <v>78</v>
      </c>
      <c r="Z1421" s="7"/>
      <c r="AA1421" s="4" t="s">
        <v>46</v>
      </c>
      <c r="AB1421" s="4" t="s">
        <v>47</v>
      </c>
      <c r="AC1421" s="4" t="s">
        <v>136</v>
      </c>
      <c r="AD1421" s="4" t="s">
        <v>137</v>
      </c>
      <c r="AE1421" s="4" t="s">
        <v>48</v>
      </c>
      <c r="AF1421" s="4" t="s">
        <v>41</v>
      </c>
      <c r="AG1421" s="4" t="s">
        <v>3028</v>
      </c>
    </row>
    <row r="1422" spans="1:33" ht="16.5" customHeight="1" x14ac:dyDescent="0.2">
      <c r="A1422" s="2" t="s">
        <v>31</v>
      </c>
      <c r="B1422" s="5" t="s">
        <v>54</v>
      </c>
      <c r="C1422" s="5"/>
      <c r="D1422" s="5"/>
      <c r="E1422" s="6" t="s">
        <v>33</v>
      </c>
      <c r="F1422" s="6"/>
      <c r="G1422" s="7" t="s">
        <v>3025</v>
      </c>
      <c r="H1422" s="7"/>
      <c r="I1422" s="7"/>
      <c r="J1422" s="3" t="s">
        <v>35</v>
      </c>
      <c r="K1422" s="4" t="s">
        <v>130</v>
      </c>
      <c r="L1422" s="4" t="s">
        <v>37</v>
      </c>
      <c r="N1422" s="7" t="s">
        <v>3039</v>
      </c>
      <c r="O1422" s="7"/>
      <c r="P1422" s="7" t="s">
        <v>3040</v>
      </c>
      <c r="Q1422" s="7"/>
      <c r="R1422" s="7"/>
      <c r="S1422" s="3" t="s">
        <v>40</v>
      </c>
      <c r="T1422" s="7" t="s">
        <v>41</v>
      </c>
      <c r="U1422" s="7"/>
      <c r="V1422" s="4" t="s">
        <v>42</v>
      </c>
      <c r="W1422" s="4" t="s">
        <v>333</v>
      </c>
      <c r="X1422" s="4" t="s">
        <v>334</v>
      </c>
      <c r="Y1422" s="7" t="s">
        <v>135</v>
      </c>
      <c r="Z1422" s="7"/>
      <c r="AA1422" s="4" t="s">
        <v>46</v>
      </c>
      <c r="AB1422" s="4" t="s">
        <v>47</v>
      </c>
      <c r="AC1422" s="4" t="s">
        <v>136</v>
      </c>
      <c r="AD1422" s="4" t="s">
        <v>137</v>
      </c>
      <c r="AE1422" s="4" t="s">
        <v>48</v>
      </c>
      <c r="AF1422" s="4" t="s">
        <v>41</v>
      </c>
      <c r="AG1422" s="4" t="s">
        <v>3028</v>
      </c>
    </row>
    <row r="1423" spans="1:33" ht="16.5" customHeight="1" x14ac:dyDescent="0.2">
      <c r="A1423" s="2" t="s">
        <v>31</v>
      </c>
      <c r="B1423" s="5" t="s">
        <v>108</v>
      </c>
      <c r="C1423" s="5"/>
      <c r="D1423" s="5"/>
      <c r="E1423" s="6" t="s">
        <v>33</v>
      </c>
      <c r="F1423" s="6"/>
      <c r="G1423" s="7" t="s">
        <v>3025</v>
      </c>
      <c r="H1423" s="7"/>
      <c r="I1423" s="7"/>
      <c r="J1423" s="3" t="s">
        <v>109</v>
      </c>
      <c r="K1423" s="4" t="s">
        <v>241</v>
      </c>
      <c r="N1423" s="7" t="s">
        <v>3039</v>
      </c>
      <c r="O1423" s="7"/>
      <c r="P1423" s="7" t="s">
        <v>3040</v>
      </c>
      <c r="Q1423" s="7"/>
      <c r="R1423" s="7"/>
      <c r="S1423" s="3" t="s">
        <v>40</v>
      </c>
      <c r="T1423" s="7" t="s">
        <v>242</v>
      </c>
      <c r="U1423" s="7"/>
      <c r="V1423" s="4" t="s">
        <v>42</v>
      </c>
      <c r="W1423" s="4" t="s">
        <v>58</v>
      </c>
      <c r="X1423" s="4" t="s">
        <v>341</v>
      </c>
      <c r="Y1423" s="7" t="s">
        <v>114</v>
      </c>
      <c r="Z1423" s="7"/>
      <c r="AA1423" s="4" t="s">
        <v>46</v>
      </c>
      <c r="AB1423" s="4" t="s">
        <v>115</v>
      </c>
      <c r="AC1423" s="4" t="s">
        <v>116</v>
      </c>
      <c r="AD1423" s="4" t="s">
        <v>3041</v>
      </c>
      <c r="AE1423" s="4" t="s">
        <v>48</v>
      </c>
      <c r="AF1423" s="4" t="s">
        <v>41</v>
      </c>
      <c r="AG1423" s="4" t="s">
        <v>3028</v>
      </c>
    </row>
    <row r="1424" spans="1:33" ht="16.5" customHeight="1" x14ac:dyDescent="0.2">
      <c r="A1424" s="2" t="s">
        <v>31</v>
      </c>
      <c r="B1424" s="5" t="s">
        <v>54</v>
      </c>
      <c r="C1424" s="5"/>
      <c r="D1424" s="5"/>
      <c r="E1424" s="6" t="s">
        <v>33</v>
      </c>
      <c r="F1424" s="6"/>
      <c r="G1424" s="7" t="s">
        <v>3025</v>
      </c>
      <c r="H1424" s="7"/>
      <c r="I1424" s="7"/>
      <c r="J1424" s="3" t="s">
        <v>35</v>
      </c>
      <c r="K1424" s="4" t="s">
        <v>123</v>
      </c>
      <c r="L1424" s="4" t="s">
        <v>93</v>
      </c>
      <c r="N1424" s="7" t="s">
        <v>3042</v>
      </c>
      <c r="O1424" s="7"/>
      <c r="P1424" s="7" t="s">
        <v>3043</v>
      </c>
      <c r="Q1424" s="7"/>
      <c r="R1424" s="7"/>
      <c r="S1424" s="3" t="s">
        <v>40</v>
      </c>
      <c r="T1424" s="7" t="s">
        <v>41</v>
      </c>
      <c r="U1424" s="7"/>
      <c r="V1424" s="4" t="s">
        <v>42</v>
      </c>
      <c r="W1424" s="4" t="s">
        <v>102</v>
      </c>
      <c r="X1424" s="4" t="s">
        <v>103</v>
      </c>
      <c r="Y1424" s="7" t="s">
        <v>60</v>
      </c>
      <c r="Z1424" s="7"/>
      <c r="AA1424" s="4" t="s">
        <v>46</v>
      </c>
      <c r="AB1424" s="4" t="s">
        <v>47</v>
      </c>
      <c r="AC1424" s="4" t="s">
        <v>61</v>
      </c>
      <c r="AD1424" s="4" t="s">
        <v>324</v>
      </c>
      <c r="AE1424" s="4" t="s">
        <v>48</v>
      </c>
      <c r="AF1424" s="4" t="s">
        <v>41</v>
      </c>
      <c r="AG1424" s="4" t="s">
        <v>3028</v>
      </c>
    </row>
    <row r="1425" spans="1:33" ht="16.5" customHeight="1" x14ac:dyDescent="0.2">
      <c r="A1425" s="2" t="s">
        <v>31</v>
      </c>
      <c r="B1425" s="5" t="s">
        <v>54</v>
      </c>
      <c r="C1425" s="5"/>
      <c r="D1425" s="5"/>
      <c r="E1425" s="6" t="s">
        <v>33</v>
      </c>
      <c r="F1425" s="6"/>
      <c r="G1425" s="7" t="s">
        <v>3025</v>
      </c>
      <c r="H1425" s="7"/>
      <c r="I1425" s="7"/>
      <c r="J1425" s="3" t="s">
        <v>35</v>
      </c>
      <c r="K1425" s="4" t="s">
        <v>73</v>
      </c>
      <c r="L1425" s="4" t="s">
        <v>37</v>
      </c>
      <c r="N1425" s="7" t="s">
        <v>3044</v>
      </c>
      <c r="O1425" s="7"/>
      <c r="P1425" s="7" t="s">
        <v>3045</v>
      </c>
      <c r="Q1425" s="7"/>
      <c r="R1425" s="7"/>
      <c r="S1425" s="3" t="s">
        <v>40</v>
      </c>
      <c r="T1425" s="7" t="s">
        <v>41</v>
      </c>
      <c r="U1425" s="7"/>
      <c r="V1425" s="4" t="s">
        <v>42</v>
      </c>
      <c r="W1425" s="4" t="s">
        <v>51</v>
      </c>
      <c r="X1425" s="4" t="s">
        <v>128</v>
      </c>
      <c r="Y1425" s="7" t="s">
        <v>78</v>
      </c>
      <c r="Z1425" s="7"/>
      <c r="AA1425" s="4" t="s">
        <v>46</v>
      </c>
      <c r="AB1425" s="4" t="s">
        <v>47</v>
      </c>
      <c r="AC1425" s="4" t="s">
        <v>79</v>
      </c>
      <c r="AD1425" s="4" t="s">
        <v>80</v>
      </c>
      <c r="AE1425" s="4" t="s">
        <v>48</v>
      </c>
      <c r="AF1425" s="4" t="s">
        <v>41</v>
      </c>
      <c r="AG1425" s="4" t="s">
        <v>3028</v>
      </c>
    </row>
    <row r="1426" spans="1:33" ht="16.5" customHeight="1" x14ac:dyDescent="0.2">
      <c r="A1426" s="2" t="s">
        <v>31</v>
      </c>
      <c r="B1426" s="5" t="s">
        <v>54</v>
      </c>
      <c r="C1426" s="5"/>
      <c r="D1426" s="5"/>
      <c r="E1426" s="6" t="s">
        <v>33</v>
      </c>
      <c r="F1426" s="6"/>
      <c r="G1426" s="7" t="s">
        <v>3025</v>
      </c>
      <c r="H1426" s="7"/>
      <c r="I1426" s="7"/>
      <c r="J1426" s="3" t="s">
        <v>35</v>
      </c>
      <c r="K1426" s="4" t="s">
        <v>192</v>
      </c>
      <c r="L1426" s="4" t="s">
        <v>37</v>
      </c>
      <c r="N1426" s="7" t="s">
        <v>3046</v>
      </c>
      <c r="O1426" s="7"/>
      <c r="P1426" s="7" t="s">
        <v>3047</v>
      </c>
      <c r="Q1426" s="7"/>
      <c r="R1426" s="7"/>
      <c r="S1426" s="3" t="s">
        <v>40</v>
      </c>
      <c r="T1426" s="7" t="s">
        <v>41</v>
      </c>
      <c r="U1426" s="7"/>
      <c r="V1426" s="4" t="s">
        <v>42</v>
      </c>
      <c r="W1426" s="4" t="s">
        <v>51</v>
      </c>
      <c r="X1426" s="4" t="s">
        <v>128</v>
      </c>
      <c r="Y1426" s="7" t="s">
        <v>197</v>
      </c>
      <c r="Z1426" s="7"/>
      <c r="AA1426" s="4" t="s">
        <v>46</v>
      </c>
      <c r="AB1426" s="4" t="s">
        <v>47</v>
      </c>
      <c r="AC1426" s="4" t="s">
        <v>136</v>
      </c>
      <c r="AD1426" s="4" t="s">
        <v>137</v>
      </c>
      <c r="AE1426" s="4" t="s">
        <v>48</v>
      </c>
      <c r="AF1426" s="4" t="s">
        <v>41</v>
      </c>
      <c r="AG1426" s="4" t="s">
        <v>3028</v>
      </c>
    </row>
    <row r="1427" spans="1:33" ht="16.5" customHeight="1" x14ac:dyDescent="0.2">
      <c r="A1427" s="2" t="s">
        <v>31</v>
      </c>
      <c r="B1427" s="5" t="s">
        <v>108</v>
      </c>
      <c r="C1427" s="5"/>
      <c r="D1427" s="5"/>
      <c r="E1427" s="6" t="s">
        <v>33</v>
      </c>
      <c r="F1427" s="6"/>
      <c r="G1427" s="7" t="s">
        <v>3025</v>
      </c>
      <c r="H1427" s="7"/>
      <c r="I1427" s="7"/>
      <c r="J1427" s="3" t="s">
        <v>35</v>
      </c>
      <c r="K1427" s="4" t="s">
        <v>928</v>
      </c>
      <c r="N1427" s="7" t="s">
        <v>3048</v>
      </c>
      <c r="O1427" s="7"/>
      <c r="P1427" s="7" t="s">
        <v>3049</v>
      </c>
      <c r="Q1427" s="7"/>
      <c r="R1427" s="7"/>
      <c r="S1427" s="3" t="s">
        <v>40</v>
      </c>
      <c r="T1427" s="7" t="s">
        <v>3050</v>
      </c>
      <c r="U1427" s="7"/>
      <c r="V1427" s="4" t="s">
        <v>51</v>
      </c>
      <c r="W1427" s="4" t="s">
        <v>58</v>
      </c>
      <c r="X1427" s="4" t="s">
        <v>128</v>
      </c>
      <c r="Y1427" s="7" t="s">
        <v>402</v>
      </c>
      <c r="Z1427" s="7"/>
      <c r="AA1427" s="4" t="s">
        <v>46</v>
      </c>
      <c r="AB1427" s="4" t="s">
        <v>115</v>
      </c>
      <c r="AC1427" s="4" t="s">
        <v>403</v>
      </c>
      <c r="AD1427" s="4" t="s">
        <v>3051</v>
      </c>
      <c r="AE1427" s="4" t="s">
        <v>48</v>
      </c>
      <c r="AF1427" s="4" t="s">
        <v>41</v>
      </c>
      <c r="AG1427" s="4" t="s">
        <v>3028</v>
      </c>
    </row>
    <row r="1428" spans="1:33" ht="16.5" customHeight="1" x14ac:dyDescent="0.2">
      <c r="A1428" s="2" t="s">
        <v>31</v>
      </c>
      <c r="B1428" s="5" t="s">
        <v>54</v>
      </c>
      <c r="C1428" s="5"/>
      <c r="D1428" s="5"/>
      <c r="E1428" s="6" t="s">
        <v>33</v>
      </c>
      <c r="F1428" s="6"/>
      <c r="G1428" s="7" t="s">
        <v>3052</v>
      </c>
      <c r="H1428" s="7"/>
      <c r="I1428" s="7"/>
      <c r="J1428" s="3" t="s">
        <v>35</v>
      </c>
      <c r="K1428" s="4" t="s">
        <v>387</v>
      </c>
      <c r="L1428" s="4" t="s">
        <v>37</v>
      </c>
      <c r="N1428" s="7" t="s">
        <v>3053</v>
      </c>
      <c r="O1428" s="7"/>
      <c r="P1428" s="7" t="s">
        <v>3054</v>
      </c>
      <c r="Q1428" s="7"/>
      <c r="R1428" s="7"/>
      <c r="S1428" s="3" t="s">
        <v>40</v>
      </c>
      <c r="T1428" s="7" t="s">
        <v>41</v>
      </c>
      <c r="U1428" s="7"/>
      <c r="V1428" s="4" t="s">
        <v>42</v>
      </c>
      <c r="W1428" s="4" t="s">
        <v>234</v>
      </c>
      <c r="X1428" s="4" t="s">
        <v>235</v>
      </c>
      <c r="Y1428" s="7" t="s">
        <v>197</v>
      </c>
      <c r="Z1428" s="7"/>
      <c r="AA1428" s="4" t="s">
        <v>46</v>
      </c>
      <c r="AB1428" s="4" t="s">
        <v>47</v>
      </c>
      <c r="AC1428" s="4" t="s">
        <v>72</v>
      </c>
      <c r="AD1428" s="4" t="s">
        <v>41</v>
      </c>
      <c r="AE1428" s="4" t="s">
        <v>48</v>
      </c>
      <c r="AF1428" s="4" t="s">
        <v>41</v>
      </c>
      <c r="AG1428" s="4" t="s">
        <v>3055</v>
      </c>
    </row>
    <row r="1429" spans="1:33" ht="16.5" customHeight="1" x14ac:dyDescent="0.2">
      <c r="A1429" s="2" t="s">
        <v>31</v>
      </c>
      <c r="B1429" s="5" t="s">
        <v>54</v>
      </c>
      <c r="C1429" s="5"/>
      <c r="D1429" s="5"/>
      <c r="E1429" s="6" t="s">
        <v>33</v>
      </c>
      <c r="F1429" s="6"/>
      <c r="G1429" s="7" t="s">
        <v>3052</v>
      </c>
      <c r="H1429" s="7"/>
      <c r="I1429" s="7"/>
      <c r="J1429" s="3" t="s">
        <v>35</v>
      </c>
      <c r="K1429" s="4" t="s">
        <v>387</v>
      </c>
      <c r="L1429" s="4" t="s">
        <v>37</v>
      </c>
      <c r="N1429" s="7" t="s">
        <v>3053</v>
      </c>
      <c r="O1429" s="7"/>
      <c r="P1429" s="7" t="s">
        <v>3054</v>
      </c>
      <c r="Q1429" s="7"/>
      <c r="R1429" s="7"/>
      <c r="S1429" s="3" t="s">
        <v>40</v>
      </c>
      <c r="T1429" s="7" t="s">
        <v>41</v>
      </c>
      <c r="U1429" s="7"/>
      <c r="V1429" s="4" t="s">
        <v>51</v>
      </c>
      <c r="W1429" s="4" t="s">
        <v>234</v>
      </c>
      <c r="X1429" s="4" t="s">
        <v>344</v>
      </c>
      <c r="Y1429" s="7" t="s">
        <v>197</v>
      </c>
      <c r="Z1429" s="7"/>
      <c r="AA1429" s="4" t="s">
        <v>46</v>
      </c>
      <c r="AB1429" s="4" t="s">
        <v>47</v>
      </c>
      <c r="AC1429" s="4" t="s">
        <v>72</v>
      </c>
      <c r="AD1429" s="4" t="s">
        <v>41</v>
      </c>
      <c r="AE1429" s="4" t="s">
        <v>48</v>
      </c>
      <c r="AF1429" s="4" t="s">
        <v>41</v>
      </c>
      <c r="AG1429" s="4" t="s">
        <v>3055</v>
      </c>
    </row>
    <row r="1430" spans="1:33" ht="16.5" customHeight="1" x14ac:dyDescent="0.2">
      <c r="A1430" s="2" t="s">
        <v>31</v>
      </c>
      <c r="B1430" s="5" t="s">
        <v>54</v>
      </c>
      <c r="C1430" s="5"/>
      <c r="D1430" s="5"/>
      <c r="E1430" s="6" t="s">
        <v>33</v>
      </c>
      <c r="F1430" s="6"/>
      <c r="G1430" s="7" t="s">
        <v>3052</v>
      </c>
      <c r="H1430" s="7"/>
      <c r="I1430" s="7"/>
      <c r="J1430" s="3" t="s">
        <v>35</v>
      </c>
      <c r="K1430" s="4" t="s">
        <v>192</v>
      </c>
      <c r="L1430" s="4" t="s">
        <v>37</v>
      </c>
      <c r="N1430" s="7" t="s">
        <v>3056</v>
      </c>
      <c r="O1430" s="7"/>
      <c r="P1430" s="7" t="s">
        <v>3057</v>
      </c>
      <c r="Q1430" s="7"/>
      <c r="R1430" s="7"/>
      <c r="S1430" s="3" t="s">
        <v>40</v>
      </c>
      <c r="T1430" s="7" t="s">
        <v>41</v>
      </c>
      <c r="U1430" s="7"/>
      <c r="V1430" s="4" t="s">
        <v>42</v>
      </c>
      <c r="W1430" s="4" t="s">
        <v>355</v>
      </c>
      <c r="X1430" s="4" t="s">
        <v>344</v>
      </c>
      <c r="Y1430" s="7" t="s">
        <v>197</v>
      </c>
      <c r="Z1430" s="7"/>
      <c r="AA1430" s="4" t="s">
        <v>46</v>
      </c>
      <c r="AB1430" s="4" t="s">
        <v>47</v>
      </c>
      <c r="AC1430" s="4" t="s">
        <v>72</v>
      </c>
      <c r="AD1430" s="4" t="s">
        <v>41</v>
      </c>
      <c r="AE1430" s="4" t="s">
        <v>48</v>
      </c>
      <c r="AF1430" s="4" t="s">
        <v>41</v>
      </c>
      <c r="AG1430" s="4" t="s">
        <v>3055</v>
      </c>
    </row>
    <row r="1431" spans="1:33" ht="16.5" customHeight="1" x14ac:dyDescent="0.2">
      <c r="A1431" s="2" t="s">
        <v>31</v>
      </c>
      <c r="B1431" s="5" t="s">
        <v>54</v>
      </c>
      <c r="C1431" s="5"/>
      <c r="D1431" s="5"/>
      <c r="E1431" s="6" t="s">
        <v>33</v>
      </c>
      <c r="F1431" s="6"/>
      <c r="G1431" s="7" t="s">
        <v>3052</v>
      </c>
      <c r="H1431" s="7"/>
      <c r="I1431" s="7"/>
      <c r="J1431" s="3" t="s">
        <v>35</v>
      </c>
      <c r="K1431" s="4" t="s">
        <v>192</v>
      </c>
      <c r="L1431" s="4" t="s">
        <v>37</v>
      </c>
      <c r="N1431" s="7" t="s">
        <v>3056</v>
      </c>
      <c r="O1431" s="7"/>
      <c r="P1431" s="7" t="s">
        <v>3057</v>
      </c>
      <c r="Q1431" s="7"/>
      <c r="R1431" s="7"/>
      <c r="S1431" s="3" t="s">
        <v>40</v>
      </c>
      <c r="T1431" s="7" t="s">
        <v>41</v>
      </c>
      <c r="U1431" s="7"/>
      <c r="V1431" s="4" t="s">
        <v>51</v>
      </c>
      <c r="W1431" s="4" t="s">
        <v>355</v>
      </c>
      <c r="X1431" s="4" t="s">
        <v>361</v>
      </c>
      <c r="Y1431" s="7" t="s">
        <v>197</v>
      </c>
      <c r="Z1431" s="7"/>
      <c r="AA1431" s="4" t="s">
        <v>46</v>
      </c>
      <c r="AB1431" s="4" t="s">
        <v>47</v>
      </c>
      <c r="AC1431" s="4" t="s">
        <v>72</v>
      </c>
      <c r="AD1431" s="4" t="s">
        <v>41</v>
      </c>
      <c r="AE1431" s="4" t="s">
        <v>48</v>
      </c>
      <c r="AF1431" s="4" t="s">
        <v>41</v>
      </c>
      <c r="AG1431" s="4" t="s">
        <v>3055</v>
      </c>
    </row>
    <row r="1432" spans="1:33" ht="16.5" customHeight="1" x14ac:dyDescent="0.2">
      <c r="A1432" s="2" t="s">
        <v>31</v>
      </c>
      <c r="B1432" s="5" t="s">
        <v>54</v>
      </c>
      <c r="C1432" s="5"/>
      <c r="D1432" s="5"/>
      <c r="E1432" s="6" t="s">
        <v>33</v>
      </c>
      <c r="F1432" s="6"/>
      <c r="G1432" s="7" t="s">
        <v>3052</v>
      </c>
      <c r="H1432" s="7"/>
      <c r="I1432" s="7"/>
      <c r="J1432" s="3" t="s">
        <v>35</v>
      </c>
      <c r="K1432" s="4" t="s">
        <v>123</v>
      </c>
      <c r="L1432" s="4" t="s">
        <v>37</v>
      </c>
      <c r="N1432" s="7" t="s">
        <v>3058</v>
      </c>
      <c r="O1432" s="7"/>
      <c r="P1432" s="7" t="s">
        <v>3059</v>
      </c>
      <c r="Q1432" s="7"/>
      <c r="R1432" s="7"/>
      <c r="S1432" s="3" t="s">
        <v>40</v>
      </c>
      <c r="T1432" s="7" t="s">
        <v>41</v>
      </c>
      <c r="U1432" s="7"/>
      <c r="V1432" s="4" t="s">
        <v>42</v>
      </c>
      <c r="W1432" s="4" t="s">
        <v>90</v>
      </c>
      <c r="X1432" s="4" t="s">
        <v>91</v>
      </c>
      <c r="Y1432" s="7" t="s">
        <v>60</v>
      </c>
      <c r="Z1432" s="7"/>
      <c r="AA1432" s="4" t="s">
        <v>46</v>
      </c>
      <c r="AB1432" s="4" t="s">
        <v>47</v>
      </c>
      <c r="AC1432" s="4" t="s">
        <v>61</v>
      </c>
      <c r="AD1432" s="4" t="s">
        <v>62</v>
      </c>
      <c r="AE1432" s="4" t="s">
        <v>48</v>
      </c>
      <c r="AF1432" s="4" t="s">
        <v>41</v>
      </c>
      <c r="AG1432" s="4" t="s">
        <v>3055</v>
      </c>
    </row>
    <row r="1433" spans="1:33" ht="16.5" customHeight="1" x14ac:dyDescent="0.2">
      <c r="A1433" s="2" t="s">
        <v>31</v>
      </c>
      <c r="B1433" s="5" t="s">
        <v>54</v>
      </c>
      <c r="C1433" s="5"/>
      <c r="D1433" s="5"/>
      <c r="E1433" s="6" t="s">
        <v>33</v>
      </c>
      <c r="F1433" s="6"/>
      <c r="G1433" s="7" t="s">
        <v>3060</v>
      </c>
      <c r="H1433" s="7"/>
      <c r="I1433" s="7"/>
      <c r="J1433" s="3" t="s">
        <v>35</v>
      </c>
      <c r="K1433" s="4" t="s">
        <v>149</v>
      </c>
      <c r="L1433" s="4" t="s">
        <v>37</v>
      </c>
      <c r="N1433" s="7" t="s">
        <v>3061</v>
      </c>
      <c r="O1433" s="7"/>
      <c r="P1433" s="7" t="s">
        <v>3062</v>
      </c>
      <c r="Q1433" s="7"/>
      <c r="R1433" s="7"/>
      <c r="S1433" s="3" t="s">
        <v>40</v>
      </c>
      <c r="T1433" s="7" t="s">
        <v>41</v>
      </c>
      <c r="U1433" s="7"/>
      <c r="V1433" s="4" t="s">
        <v>42</v>
      </c>
      <c r="W1433" s="4" t="s">
        <v>43</v>
      </c>
      <c r="X1433" s="4" t="s">
        <v>44</v>
      </c>
      <c r="Y1433" s="7" t="s">
        <v>78</v>
      </c>
      <c r="Z1433" s="7"/>
      <c r="AA1433" s="4" t="s">
        <v>46</v>
      </c>
      <c r="AB1433" s="4" t="s">
        <v>47</v>
      </c>
      <c r="AC1433" s="4" t="s">
        <v>136</v>
      </c>
      <c r="AD1433" s="4" t="s">
        <v>137</v>
      </c>
      <c r="AE1433" s="4" t="s">
        <v>48</v>
      </c>
      <c r="AF1433" s="4" t="s">
        <v>41</v>
      </c>
      <c r="AG1433" s="4" t="s">
        <v>3063</v>
      </c>
    </row>
    <row r="1434" spans="1:33" ht="16.5" customHeight="1" x14ac:dyDescent="0.2">
      <c r="A1434" s="2" t="s">
        <v>31</v>
      </c>
      <c r="B1434" s="5" t="s">
        <v>54</v>
      </c>
      <c r="C1434" s="5"/>
      <c r="D1434" s="5"/>
      <c r="E1434" s="6" t="s">
        <v>33</v>
      </c>
      <c r="F1434" s="6"/>
      <c r="G1434" s="7" t="s">
        <v>3060</v>
      </c>
      <c r="H1434" s="7"/>
      <c r="I1434" s="7"/>
      <c r="J1434" s="3" t="s">
        <v>35</v>
      </c>
      <c r="K1434" s="4" t="s">
        <v>245</v>
      </c>
      <c r="L1434" s="4" t="s">
        <v>443</v>
      </c>
      <c r="N1434" s="7" t="s">
        <v>3064</v>
      </c>
      <c r="O1434" s="7"/>
      <c r="P1434" s="7" t="s">
        <v>3065</v>
      </c>
      <c r="Q1434" s="7"/>
      <c r="R1434" s="7"/>
      <c r="S1434" s="3" t="s">
        <v>40</v>
      </c>
      <c r="T1434" s="7" t="s">
        <v>41</v>
      </c>
      <c r="U1434" s="7"/>
      <c r="V1434" s="4" t="s">
        <v>51</v>
      </c>
      <c r="W1434" s="4" t="s">
        <v>43</v>
      </c>
      <c r="X1434" s="4" t="s">
        <v>52</v>
      </c>
      <c r="Y1434" s="7" t="s">
        <v>78</v>
      </c>
      <c r="Z1434" s="7"/>
      <c r="AA1434" s="4" t="s">
        <v>46</v>
      </c>
      <c r="AB1434" s="4" t="s">
        <v>47</v>
      </c>
      <c r="AC1434" s="4" t="s">
        <v>136</v>
      </c>
      <c r="AD1434" s="4" t="s">
        <v>464</v>
      </c>
      <c r="AE1434" s="4" t="s">
        <v>48</v>
      </c>
      <c r="AF1434" s="4" t="s">
        <v>41</v>
      </c>
      <c r="AG1434" s="4" t="s">
        <v>3063</v>
      </c>
    </row>
    <row r="1435" spans="1:33" ht="16.5" customHeight="1" x14ac:dyDescent="0.2">
      <c r="A1435" s="2" t="s">
        <v>31</v>
      </c>
      <c r="B1435" s="5" t="s">
        <v>54</v>
      </c>
      <c r="C1435" s="5"/>
      <c r="D1435" s="5"/>
      <c r="E1435" s="6" t="s">
        <v>33</v>
      </c>
      <c r="F1435" s="6"/>
      <c r="G1435" s="7" t="s">
        <v>3060</v>
      </c>
      <c r="H1435" s="7"/>
      <c r="I1435" s="7"/>
      <c r="J1435" s="3" t="s">
        <v>35</v>
      </c>
      <c r="K1435" s="4" t="s">
        <v>97</v>
      </c>
      <c r="L1435" s="4" t="s">
        <v>37</v>
      </c>
      <c r="N1435" s="7" t="s">
        <v>3066</v>
      </c>
      <c r="O1435" s="7"/>
      <c r="P1435" s="7" t="s">
        <v>3067</v>
      </c>
      <c r="Q1435" s="7"/>
      <c r="R1435" s="7"/>
      <c r="S1435" s="3" t="s">
        <v>40</v>
      </c>
      <c r="T1435" s="7" t="s">
        <v>41</v>
      </c>
      <c r="U1435" s="7"/>
      <c r="V1435" s="4" t="s">
        <v>42</v>
      </c>
      <c r="W1435" s="4" t="s">
        <v>200</v>
      </c>
      <c r="X1435" s="4" t="s">
        <v>201</v>
      </c>
      <c r="Y1435" s="7" t="s">
        <v>78</v>
      </c>
      <c r="Z1435" s="7"/>
      <c r="AA1435" s="4" t="s">
        <v>46</v>
      </c>
      <c r="AB1435" s="4" t="s">
        <v>47</v>
      </c>
      <c r="AC1435" s="4" t="s">
        <v>72</v>
      </c>
      <c r="AD1435" s="4" t="s">
        <v>41</v>
      </c>
      <c r="AE1435" s="4" t="s">
        <v>48</v>
      </c>
      <c r="AF1435" s="4" t="s">
        <v>41</v>
      </c>
      <c r="AG1435" s="4" t="s">
        <v>3063</v>
      </c>
    </row>
    <row r="1436" spans="1:33" ht="16.5" customHeight="1" x14ac:dyDescent="0.2">
      <c r="A1436" s="2" t="s">
        <v>31</v>
      </c>
      <c r="B1436" s="5" t="s">
        <v>54</v>
      </c>
      <c r="C1436" s="5"/>
      <c r="D1436" s="5"/>
      <c r="E1436" s="6" t="s">
        <v>33</v>
      </c>
      <c r="F1436" s="6"/>
      <c r="G1436" s="7" t="s">
        <v>3060</v>
      </c>
      <c r="H1436" s="7"/>
      <c r="I1436" s="7"/>
      <c r="J1436" s="3" t="s">
        <v>35</v>
      </c>
      <c r="K1436" s="4" t="s">
        <v>409</v>
      </c>
      <c r="L1436" s="4" t="s">
        <v>37</v>
      </c>
      <c r="N1436" s="7" t="s">
        <v>3068</v>
      </c>
      <c r="O1436" s="7"/>
      <c r="P1436" s="7" t="s">
        <v>3069</v>
      </c>
      <c r="Q1436" s="7"/>
      <c r="R1436" s="7"/>
      <c r="S1436" s="3" t="s">
        <v>40</v>
      </c>
      <c r="T1436" s="7" t="s">
        <v>41</v>
      </c>
      <c r="U1436" s="7"/>
      <c r="V1436" s="4" t="s">
        <v>42</v>
      </c>
      <c r="W1436" s="4" t="s">
        <v>360</v>
      </c>
      <c r="X1436" s="4" t="s">
        <v>361</v>
      </c>
      <c r="Y1436" s="7" t="s">
        <v>60</v>
      </c>
      <c r="Z1436" s="7"/>
      <c r="AA1436" s="4" t="s">
        <v>46</v>
      </c>
      <c r="AB1436" s="4" t="s">
        <v>47</v>
      </c>
      <c r="AC1436" s="4" t="s">
        <v>61</v>
      </c>
      <c r="AD1436" s="4" t="s">
        <v>62</v>
      </c>
      <c r="AE1436" s="4" t="s">
        <v>48</v>
      </c>
      <c r="AF1436" s="4" t="s">
        <v>41</v>
      </c>
      <c r="AG1436" s="4" t="s">
        <v>3063</v>
      </c>
    </row>
    <row r="1437" spans="1:33" ht="16.5" customHeight="1" x14ac:dyDescent="0.2">
      <c r="A1437" s="2" t="s">
        <v>31</v>
      </c>
      <c r="B1437" s="5" t="s">
        <v>54</v>
      </c>
      <c r="C1437" s="5"/>
      <c r="D1437" s="5"/>
      <c r="E1437" s="6" t="s">
        <v>33</v>
      </c>
      <c r="F1437" s="6"/>
      <c r="G1437" s="7" t="s">
        <v>3060</v>
      </c>
      <c r="H1437" s="7"/>
      <c r="I1437" s="7"/>
      <c r="J1437" s="3" t="s">
        <v>35</v>
      </c>
      <c r="K1437" s="4" t="s">
        <v>92</v>
      </c>
      <c r="L1437" s="4" t="s">
        <v>37</v>
      </c>
      <c r="N1437" s="7" t="s">
        <v>3070</v>
      </c>
      <c r="O1437" s="7"/>
      <c r="P1437" s="7" t="s">
        <v>3071</v>
      </c>
      <c r="Q1437" s="7"/>
      <c r="R1437" s="7"/>
      <c r="S1437" s="3" t="s">
        <v>40</v>
      </c>
      <c r="T1437" s="7" t="s">
        <v>41</v>
      </c>
      <c r="U1437" s="7"/>
      <c r="V1437" s="4" t="s">
        <v>42</v>
      </c>
      <c r="W1437" s="4" t="s">
        <v>76</v>
      </c>
      <c r="X1437" s="4" t="s">
        <v>77</v>
      </c>
      <c r="Y1437" s="7" t="s">
        <v>78</v>
      </c>
      <c r="Z1437" s="7"/>
      <c r="AA1437" s="4" t="s">
        <v>46</v>
      </c>
      <c r="AB1437" s="4" t="s">
        <v>47</v>
      </c>
      <c r="AC1437" s="4" t="s">
        <v>79</v>
      </c>
      <c r="AD1437" s="4" t="s">
        <v>80</v>
      </c>
      <c r="AE1437" s="4" t="s">
        <v>48</v>
      </c>
      <c r="AF1437" s="4" t="s">
        <v>41</v>
      </c>
      <c r="AG1437" s="4" t="s">
        <v>3063</v>
      </c>
    </row>
    <row r="1438" spans="1:33" ht="16.5" customHeight="1" x14ac:dyDescent="0.2">
      <c r="A1438" s="2" t="s">
        <v>31</v>
      </c>
      <c r="B1438" s="5" t="s">
        <v>54</v>
      </c>
      <c r="C1438" s="5"/>
      <c r="D1438" s="5"/>
      <c r="E1438" s="6" t="s">
        <v>33</v>
      </c>
      <c r="F1438" s="6"/>
      <c r="G1438" s="7" t="s">
        <v>3060</v>
      </c>
      <c r="H1438" s="7"/>
      <c r="I1438" s="7"/>
      <c r="J1438" s="3" t="s">
        <v>35</v>
      </c>
      <c r="K1438" s="4" t="s">
        <v>248</v>
      </c>
      <c r="L1438" s="4" t="s">
        <v>37</v>
      </c>
      <c r="N1438" s="7" t="s">
        <v>3072</v>
      </c>
      <c r="O1438" s="7"/>
      <c r="P1438" s="7" t="s">
        <v>3073</v>
      </c>
      <c r="Q1438" s="7"/>
      <c r="R1438" s="7"/>
      <c r="S1438" s="3" t="s">
        <v>40</v>
      </c>
      <c r="T1438" s="7" t="s">
        <v>41</v>
      </c>
      <c r="U1438" s="7"/>
      <c r="V1438" s="4" t="s">
        <v>42</v>
      </c>
      <c r="W1438" s="4" t="s">
        <v>234</v>
      </c>
      <c r="X1438" s="4" t="s">
        <v>235</v>
      </c>
      <c r="Y1438" s="7" t="s">
        <v>60</v>
      </c>
      <c r="Z1438" s="7"/>
      <c r="AA1438" s="4" t="s">
        <v>46</v>
      </c>
      <c r="AB1438" s="4" t="s">
        <v>47</v>
      </c>
      <c r="AC1438" s="4" t="s">
        <v>79</v>
      </c>
      <c r="AD1438" s="4" t="s">
        <v>80</v>
      </c>
      <c r="AE1438" s="4" t="s">
        <v>48</v>
      </c>
      <c r="AF1438" s="4" t="s">
        <v>41</v>
      </c>
      <c r="AG1438" s="4" t="s">
        <v>3063</v>
      </c>
    </row>
    <row r="1439" spans="1:33" ht="16.5" customHeight="1" x14ac:dyDescent="0.2">
      <c r="A1439" s="2" t="s">
        <v>31</v>
      </c>
      <c r="B1439" s="5" t="s">
        <v>54</v>
      </c>
      <c r="C1439" s="5"/>
      <c r="D1439" s="5"/>
      <c r="E1439" s="6" t="s">
        <v>33</v>
      </c>
      <c r="F1439" s="6"/>
      <c r="G1439" s="7" t="s">
        <v>3060</v>
      </c>
      <c r="H1439" s="7"/>
      <c r="I1439" s="7"/>
      <c r="J1439" s="3" t="s">
        <v>35</v>
      </c>
      <c r="K1439" s="4" t="s">
        <v>409</v>
      </c>
      <c r="L1439" s="4" t="s">
        <v>37</v>
      </c>
      <c r="N1439" s="7" t="s">
        <v>3074</v>
      </c>
      <c r="O1439" s="7"/>
      <c r="P1439" s="7" t="s">
        <v>3075</v>
      </c>
      <c r="Q1439" s="7"/>
      <c r="R1439" s="7"/>
      <c r="S1439" s="3" t="s">
        <v>40</v>
      </c>
      <c r="T1439" s="7" t="s">
        <v>41</v>
      </c>
      <c r="U1439" s="7"/>
      <c r="V1439" s="4" t="s">
        <v>42</v>
      </c>
      <c r="W1439" s="4" t="s">
        <v>570</v>
      </c>
      <c r="X1439" s="4" t="s">
        <v>571</v>
      </c>
      <c r="Y1439" s="7" t="s">
        <v>60</v>
      </c>
      <c r="Z1439" s="7"/>
      <c r="AA1439" s="4" t="s">
        <v>46</v>
      </c>
      <c r="AB1439" s="4" t="s">
        <v>47</v>
      </c>
      <c r="AC1439" s="4" t="s">
        <v>79</v>
      </c>
      <c r="AD1439" s="4" t="s">
        <v>80</v>
      </c>
      <c r="AE1439" s="4" t="s">
        <v>48</v>
      </c>
      <c r="AF1439" s="4" t="s">
        <v>41</v>
      </c>
      <c r="AG1439" s="4" t="s">
        <v>3063</v>
      </c>
    </row>
    <row r="1440" spans="1:33" ht="16.5" customHeight="1" x14ac:dyDescent="0.2">
      <c r="A1440" s="2" t="s">
        <v>31</v>
      </c>
      <c r="B1440" s="5" t="s">
        <v>54</v>
      </c>
      <c r="C1440" s="5"/>
      <c r="D1440" s="5"/>
      <c r="E1440" s="6" t="s">
        <v>33</v>
      </c>
      <c r="F1440" s="6"/>
      <c r="G1440" s="7" t="s">
        <v>3060</v>
      </c>
      <c r="H1440" s="7"/>
      <c r="I1440" s="7"/>
      <c r="J1440" s="3" t="s">
        <v>35</v>
      </c>
      <c r="K1440" s="4" t="s">
        <v>245</v>
      </c>
      <c r="L1440" s="4" t="s">
        <v>37</v>
      </c>
      <c r="N1440" s="7" t="s">
        <v>3076</v>
      </c>
      <c r="O1440" s="7"/>
      <c r="P1440" s="7" t="s">
        <v>3077</v>
      </c>
      <c r="Q1440" s="7"/>
      <c r="R1440" s="7"/>
      <c r="S1440" s="3" t="s">
        <v>40</v>
      </c>
      <c r="T1440" s="7" t="s">
        <v>41</v>
      </c>
      <c r="U1440" s="7"/>
      <c r="V1440" s="4" t="s">
        <v>42</v>
      </c>
      <c r="W1440" s="4" t="s">
        <v>1106</v>
      </c>
      <c r="X1440" s="4" t="s">
        <v>1107</v>
      </c>
      <c r="Y1440" s="7" t="s">
        <v>78</v>
      </c>
      <c r="Z1440" s="7"/>
      <c r="AA1440" s="4" t="s">
        <v>46</v>
      </c>
      <c r="AB1440" s="4" t="s">
        <v>47</v>
      </c>
      <c r="AC1440" s="4" t="s">
        <v>136</v>
      </c>
      <c r="AD1440" s="4" t="s">
        <v>137</v>
      </c>
      <c r="AE1440" s="4" t="s">
        <v>48</v>
      </c>
      <c r="AF1440" s="4" t="s">
        <v>41</v>
      </c>
      <c r="AG1440" s="4" t="s">
        <v>3063</v>
      </c>
    </row>
    <row r="1441" spans="1:33" ht="16.5" customHeight="1" x14ac:dyDescent="0.2">
      <c r="A1441" s="2" t="s">
        <v>31</v>
      </c>
      <c r="B1441" s="5" t="s">
        <v>54</v>
      </c>
      <c r="C1441" s="5"/>
      <c r="D1441" s="5"/>
      <c r="E1441" s="6" t="s">
        <v>33</v>
      </c>
      <c r="F1441" s="6"/>
      <c r="G1441" s="7" t="s">
        <v>3060</v>
      </c>
      <c r="H1441" s="7"/>
      <c r="I1441" s="7"/>
      <c r="J1441" s="3" t="s">
        <v>35</v>
      </c>
      <c r="K1441" s="4" t="s">
        <v>245</v>
      </c>
      <c r="L1441" s="4" t="s">
        <v>37</v>
      </c>
      <c r="N1441" s="7" t="s">
        <v>3076</v>
      </c>
      <c r="O1441" s="7"/>
      <c r="P1441" s="7" t="s">
        <v>3077</v>
      </c>
      <c r="Q1441" s="7"/>
      <c r="R1441" s="7"/>
      <c r="S1441" s="3" t="s">
        <v>40</v>
      </c>
      <c r="T1441" s="7" t="s">
        <v>41</v>
      </c>
      <c r="U1441" s="7"/>
      <c r="V1441" s="4" t="s">
        <v>51</v>
      </c>
      <c r="W1441" s="4" t="s">
        <v>1106</v>
      </c>
      <c r="X1441" s="4" t="s">
        <v>44</v>
      </c>
      <c r="Y1441" s="7" t="s">
        <v>78</v>
      </c>
      <c r="Z1441" s="7"/>
      <c r="AA1441" s="4" t="s">
        <v>46</v>
      </c>
      <c r="AB1441" s="4" t="s">
        <v>47</v>
      </c>
      <c r="AC1441" s="4" t="s">
        <v>136</v>
      </c>
      <c r="AD1441" s="4" t="s">
        <v>137</v>
      </c>
      <c r="AE1441" s="4" t="s">
        <v>48</v>
      </c>
      <c r="AF1441" s="4" t="s">
        <v>41</v>
      </c>
      <c r="AG1441" s="4" t="s">
        <v>3063</v>
      </c>
    </row>
    <row r="1442" spans="1:33" ht="16.5" customHeight="1" x14ac:dyDescent="0.2">
      <c r="A1442" s="2" t="s">
        <v>31</v>
      </c>
      <c r="B1442" s="5" t="s">
        <v>54</v>
      </c>
      <c r="C1442" s="5"/>
      <c r="D1442" s="5"/>
      <c r="E1442" s="6" t="s">
        <v>33</v>
      </c>
      <c r="F1442" s="6"/>
      <c r="G1442" s="7" t="s">
        <v>3060</v>
      </c>
      <c r="H1442" s="7"/>
      <c r="I1442" s="7"/>
      <c r="J1442" s="3" t="s">
        <v>35</v>
      </c>
      <c r="K1442" s="4" t="s">
        <v>245</v>
      </c>
      <c r="L1442" s="4" t="s">
        <v>37</v>
      </c>
      <c r="N1442" s="7" t="s">
        <v>3078</v>
      </c>
      <c r="O1442" s="7"/>
      <c r="P1442" s="7" t="s">
        <v>3079</v>
      </c>
      <c r="Q1442" s="7"/>
      <c r="R1442" s="7"/>
      <c r="S1442" s="3" t="s">
        <v>40</v>
      </c>
      <c r="T1442" s="7" t="s">
        <v>41</v>
      </c>
      <c r="U1442" s="7"/>
      <c r="V1442" s="4" t="s">
        <v>42</v>
      </c>
      <c r="W1442" s="4" t="s">
        <v>43</v>
      </c>
      <c r="X1442" s="4" t="s">
        <v>44</v>
      </c>
      <c r="Y1442" s="7" t="s">
        <v>78</v>
      </c>
      <c r="Z1442" s="7"/>
      <c r="AA1442" s="4" t="s">
        <v>46</v>
      </c>
      <c r="AB1442" s="4" t="s">
        <v>47</v>
      </c>
      <c r="AC1442" s="4" t="s">
        <v>136</v>
      </c>
      <c r="AD1442" s="4" t="s">
        <v>137</v>
      </c>
      <c r="AE1442" s="4" t="s">
        <v>48</v>
      </c>
      <c r="AF1442" s="4" t="s">
        <v>41</v>
      </c>
      <c r="AG1442" s="4" t="s">
        <v>3063</v>
      </c>
    </row>
    <row r="1443" spans="1:33" ht="16.5" customHeight="1" x14ac:dyDescent="0.2">
      <c r="A1443" s="2" t="s">
        <v>31</v>
      </c>
      <c r="B1443" s="5" t="s">
        <v>54</v>
      </c>
      <c r="C1443" s="5"/>
      <c r="D1443" s="5"/>
      <c r="E1443" s="6" t="s">
        <v>33</v>
      </c>
      <c r="F1443" s="6"/>
      <c r="G1443" s="7" t="s">
        <v>3060</v>
      </c>
      <c r="H1443" s="7"/>
      <c r="I1443" s="7"/>
      <c r="J1443" s="3" t="s">
        <v>35</v>
      </c>
      <c r="K1443" s="4" t="s">
        <v>245</v>
      </c>
      <c r="L1443" s="4" t="s">
        <v>37</v>
      </c>
      <c r="N1443" s="7" t="s">
        <v>3080</v>
      </c>
      <c r="O1443" s="7"/>
      <c r="P1443" s="7" t="s">
        <v>3081</v>
      </c>
      <c r="Q1443" s="7"/>
      <c r="R1443" s="7"/>
      <c r="S1443" s="3" t="s">
        <v>40</v>
      </c>
      <c r="T1443" s="7" t="s">
        <v>41</v>
      </c>
      <c r="U1443" s="7"/>
      <c r="V1443" s="4" t="s">
        <v>42</v>
      </c>
      <c r="W1443" s="4" t="s">
        <v>43</v>
      </c>
      <c r="X1443" s="4" t="s">
        <v>44</v>
      </c>
      <c r="Y1443" s="7" t="s">
        <v>78</v>
      </c>
      <c r="Z1443" s="7"/>
      <c r="AA1443" s="4" t="s">
        <v>46</v>
      </c>
      <c r="AB1443" s="4" t="s">
        <v>47</v>
      </c>
      <c r="AC1443" s="4" t="s">
        <v>136</v>
      </c>
      <c r="AD1443" s="4" t="s">
        <v>137</v>
      </c>
      <c r="AE1443" s="4" t="s">
        <v>48</v>
      </c>
      <c r="AF1443" s="4" t="s">
        <v>41</v>
      </c>
      <c r="AG1443" s="4" t="s">
        <v>3063</v>
      </c>
    </row>
    <row r="1444" spans="1:33" ht="16.5" customHeight="1" x14ac:dyDescent="0.2">
      <c r="A1444" s="2" t="s">
        <v>31</v>
      </c>
      <c r="B1444" s="5" t="s">
        <v>54</v>
      </c>
      <c r="C1444" s="5"/>
      <c r="D1444" s="5"/>
      <c r="E1444" s="6" t="s">
        <v>33</v>
      </c>
      <c r="F1444" s="6"/>
      <c r="G1444" s="7" t="s">
        <v>3060</v>
      </c>
      <c r="H1444" s="7"/>
      <c r="I1444" s="7"/>
      <c r="J1444" s="3" t="s">
        <v>35</v>
      </c>
      <c r="K1444" s="4" t="s">
        <v>1014</v>
      </c>
      <c r="L1444" s="4" t="s">
        <v>93</v>
      </c>
      <c r="N1444" s="7" t="s">
        <v>3082</v>
      </c>
      <c r="O1444" s="7"/>
      <c r="P1444" s="7" t="s">
        <v>3083</v>
      </c>
      <c r="Q1444" s="7"/>
      <c r="R1444" s="7"/>
      <c r="S1444" s="3" t="s">
        <v>40</v>
      </c>
      <c r="T1444" s="7" t="s">
        <v>41</v>
      </c>
      <c r="U1444" s="7"/>
      <c r="V1444" s="4" t="s">
        <v>42</v>
      </c>
      <c r="W1444" s="4" t="s">
        <v>234</v>
      </c>
      <c r="X1444" s="4" t="s">
        <v>235</v>
      </c>
      <c r="Y1444" s="7" t="s">
        <v>78</v>
      </c>
      <c r="Z1444" s="7"/>
      <c r="AA1444" s="4" t="s">
        <v>46</v>
      </c>
      <c r="AB1444" s="4" t="s">
        <v>47</v>
      </c>
      <c r="AC1444" s="4" t="s">
        <v>72</v>
      </c>
      <c r="AD1444" s="4" t="s">
        <v>41</v>
      </c>
      <c r="AE1444" s="4" t="s">
        <v>48</v>
      </c>
      <c r="AF1444" s="4" t="s">
        <v>41</v>
      </c>
      <c r="AG1444" s="4" t="s">
        <v>3063</v>
      </c>
    </row>
    <row r="1445" spans="1:33" ht="16.5" customHeight="1" x14ac:dyDescent="0.2">
      <c r="A1445" s="2" t="s">
        <v>31</v>
      </c>
      <c r="B1445" s="5" t="s">
        <v>54</v>
      </c>
      <c r="C1445" s="5"/>
      <c r="D1445" s="5"/>
      <c r="E1445" s="6" t="s">
        <v>33</v>
      </c>
      <c r="F1445" s="6"/>
      <c r="G1445" s="7" t="s">
        <v>3060</v>
      </c>
      <c r="H1445" s="7"/>
      <c r="I1445" s="7"/>
      <c r="J1445" s="3" t="s">
        <v>35</v>
      </c>
      <c r="K1445" s="4" t="s">
        <v>248</v>
      </c>
      <c r="L1445" s="4" t="s">
        <v>37</v>
      </c>
      <c r="N1445" s="7" t="s">
        <v>3084</v>
      </c>
      <c r="O1445" s="7"/>
      <c r="P1445" s="7" t="s">
        <v>3085</v>
      </c>
      <c r="Q1445" s="7"/>
      <c r="R1445" s="7"/>
      <c r="S1445" s="3" t="s">
        <v>40</v>
      </c>
      <c r="T1445" s="7" t="s">
        <v>41</v>
      </c>
      <c r="U1445" s="7"/>
      <c r="V1445" s="4" t="s">
        <v>42</v>
      </c>
      <c r="W1445" s="4" t="s">
        <v>990</v>
      </c>
      <c r="X1445" s="4" t="s">
        <v>991</v>
      </c>
      <c r="Y1445" s="7" t="s">
        <v>60</v>
      </c>
      <c r="Z1445" s="7"/>
      <c r="AA1445" s="4" t="s">
        <v>46</v>
      </c>
      <c r="AB1445" s="4" t="s">
        <v>47</v>
      </c>
      <c r="AC1445" s="4" t="s">
        <v>79</v>
      </c>
      <c r="AD1445" s="4" t="s">
        <v>80</v>
      </c>
      <c r="AE1445" s="4" t="s">
        <v>48</v>
      </c>
      <c r="AF1445" s="4" t="s">
        <v>41</v>
      </c>
      <c r="AG1445" s="4" t="s">
        <v>3063</v>
      </c>
    </row>
    <row r="1446" spans="1:33" ht="16.5" customHeight="1" x14ac:dyDescent="0.2">
      <c r="A1446" s="2" t="s">
        <v>31</v>
      </c>
      <c r="B1446" s="5" t="s">
        <v>54</v>
      </c>
      <c r="C1446" s="5"/>
      <c r="D1446" s="5"/>
      <c r="E1446" s="6" t="s">
        <v>33</v>
      </c>
      <c r="F1446" s="6"/>
      <c r="G1446" s="7" t="s">
        <v>3060</v>
      </c>
      <c r="H1446" s="7"/>
      <c r="I1446" s="7"/>
      <c r="J1446" s="3" t="s">
        <v>35</v>
      </c>
      <c r="K1446" s="4" t="s">
        <v>245</v>
      </c>
      <c r="L1446" s="4" t="s">
        <v>443</v>
      </c>
      <c r="N1446" s="7" t="s">
        <v>3086</v>
      </c>
      <c r="O1446" s="7"/>
      <c r="P1446" s="7" t="s">
        <v>3087</v>
      </c>
      <c r="Q1446" s="7"/>
      <c r="R1446" s="7"/>
      <c r="S1446" s="3" t="s">
        <v>40</v>
      </c>
      <c r="T1446" s="7" t="s">
        <v>41</v>
      </c>
      <c r="U1446" s="7"/>
      <c r="V1446" s="4" t="s">
        <v>42</v>
      </c>
      <c r="W1446" s="4" t="s">
        <v>760</v>
      </c>
      <c r="X1446" s="4" t="s">
        <v>761</v>
      </c>
      <c r="Y1446" s="7" t="s">
        <v>78</v>
      </c>
      <c r="Z1446" s="7"/>
      <c r="AA1446" s="4" t="s">
        <v>46</v>
      </c>
      <c r="AB1446" s="4" t="s">
        <v>47</v>
      </c>
      <c r="AC1446" s="4" t="s">
        <v>136</v>
      </c>
      <c r="AD1446" s="4" t="s">
        <v>464</v>
      </c>
      <c r="AE1446" s="4" t="s">
        <v>48</v>
      </c>
      <c r="AF1446" s="4" t="s">
        <v>41</v>
      </c>
      <c r="AG1446" s="4" t="s">
        <v>3063</v>
      </c>
    </row>
    <row r="1447" spans="1:33" ht="16.5" customHeight="1" x14ac:dyDescent="0.2">
      <c r="A1447" s="2" t="s">
        <v>31</v>
      </c>
      <c r="B1447" s="5" t="s">
        <v>54</v>
      </c>
      <c r="C1447" s="5"/>
      <c r="D1447" s="5"/>
      <c r="E1447" s="6" t="s">
        <v>33</v>
      </c>
      <c r="F1447" s="6"/>
      <c r="G1447" s="7" t="s">
        <v>3060</v>
      </c>
      <c r="H1447" s="7"/>
      <c r="I1447" s="7"/>
      <c r="J1447" s="3" t="s">
        <v>35</v>
      </c>
      <c r="K1447" s="4" t="s">
        <v>245</v>
      </c>
      <c r="L1447" s="4" t="s">
        <v>443</v>
      </c>
      <c r="N1447" s="7" t="s">
        <v>3086</v>
      </c>
      <c r="O1447" s="7"/>
      <c r="P1447" s="7" t="s">
        <v>3087</v>
      </c>
      <c r="Q1447" s="7"/>
      <c r="R1447" s="7"/>
      <c r="S1447" s="3" t="s">
        <v>40</v>
      </c>
      <c r="T1447" s="7" t="s">
        <v>41</v>
      </c>
      <c r="U1447" s="7"/>
      <c r="V1447" s="4" t="s">
        <v>51</v>
      </c>
      <c r="W1447" s="4" t="s">
        <v>760</v>
      </c>
      <c r="X1447" s="4" t="s">
        <v>235</v>
      </c>
      <c r="Y1447" s="7" t="s">
        <v>78</v>
      </c>
      <c r="Z1447" s="7"/>
      <c r="AA1447" s="4" t="s">
        <v>46</v>
      </c>
      <c r="AB1447" s="4" t="s">
        <v>47</v>
      </c>
      <c r="AC1447" s="4" t="s">
        <v>136</v>
      </c>
      <c r="AD1447" s="4" t="s">
        <v>464</v>
      </c>
      <c r="AE1447" s="4" t="s">
        <v>48</v>
      </c>
      <c r="AF1447" s="4" t="s">
        <v>41</v>
      </c>
      <c r="AG1447" s="4" t="s">
        <v>3063</v>
      </c>
    </row>
    <row r="1448" spans="1:33" ht="16.5" customHeight="1" x14ac:dyDescent="0.2">
      <c r="A1448" s="2" t="s">
        <v>31</v>
      </c>
      <c r="B1448" s="5" t="s">
        <v>32</v>
      </c>
      <c r="C1448" s="5"/>
      <c r="D1448" s="5"/>
      <c r="E1448" s="6" t="s">
        <v>33</v>
      </c>
      <c r="F1448" s="6"/>
      <c r="G1448" s="7" t="s">
        <v>3088</v>
      </c>
      <c r="H1448" s="7"/>
      <c r="I1448" s="7"/>
      <c r="J1448" s="3" t="s">
        <v>35</v>
      </c>
      <c r="K1448" s="4" t="s">
        <v>642</v>
      </c>
      <c r="L1448" s="4" t="s">
        <v>37</v>
      </c>
      <c r="N1448" s="7" t="s">
        <v>3089</v>
      </c>
      <c r="O1448" s="7"/>
      <c r="P1448" s="7" t="s">
        <v>3090</v>
      </c>
      <c r="Q1448" s="7"/>
      <c r="R1448" s="7"/>
      <c r="S1448" s="3" t="s">
        <v>40</v>
      </c>
      <c r="T1448" s="7" t="s">
        <v>41</v>
      </c>
      <c r="U1448" s="7"/>
      <c r="V1448" s="4" t="s">
        <v>42</v>
      </c>
      <c r="W1448" s="4" t="s">
        <v>58</v>
      </c>
      <c r="X1448" s="4" t="s">
        <v>59</v>
      </c>
      <c r="Y1448" s="7" t="s">
        <v>45</v>
      </c>
      <c r="Z1448" s="7"/>
      <c r="AA1448" s="4" t="s">
        <v>46</v>
      </c>
      <c r="AB1448" s="4" t="s">
        <v>47</v>
      </c>
      <c r="AD1448" s="4" t="s">
        <v>41</v>
      </c>
      <c r="AE1448" s="4" t="s">
        <v>48</v>
      </c>
      <c r="AF1448" s="4" t="s">
        <v>41</v>
      </c>
      <c r="AG1448" s="4" t="s">
        <v>3091</v>
      </c>
    </row>
    <row r="1449" spans="1:33" ht="16.5" customHeight="1" x14ac:dyDescent="0.2">
      <c r="A1449" s="2" t="s">
        <v>31</v>
      </c>
      <c r="B1449" s="5" t="s">
        <v>54</v>
      </c>
      <c r="C1449" s="5"/>
      <c r="D1449" s="5"/>
      <c r="E1449" s="6" t="s">
        <v>33</v>
      </c>
      <c r="F1449" s="6"/>
      <c r="G1449" s="7" t="s">
        <v>3088</v>
      </c>
      <c r="H1449" s="7"/>
      <c r="I1449" s="7"/>
      <c r="J1449" s="3" t="s">
        <v>35</v>
      </c>
      <c r="K1449" s="4" t="s">
        <v>149</v>
      </c>
      <c r="L1449" s="4" t="s">
        <v>37</v>
      </c>
      <c r="N1449" s="7" t="s">
        <v>3092</v>
      </c>
      <c r="O1449" s="7"/>
      <c r="P1449" s="7" t="s">
        <v>3093</v>
      </c>
      <c r="Q1449" s="7"/>
      <c r="R1449" s="7"/>
      <c r="S1449" s="3" t="s">
        <v>40</v>
      </c>
      <c r="T1449" s="7" t="s">
        <v>41</v>
      </c>
      <c r="U1449" s="7"/>
      <c r="V1449" s="4" t="s">
        <v>42</v>
      </c>
      <c r="W1449" s="4" t="s">
        <v>58</v>
      </c>
      <c r="X1449" s="4" t="s">
        <v>59</v>
      </c>
      <c r="Y1449" s="7" t="s">
        <v>78</v>
      </c>
      <c r="Z1449" s="7"/>
      <c r="AA1449" s="4" t="s">
        <v>46</v>
      </c>
      <c r="AB1449" s="4" t="s">
        <v>47</v>
      </c>
      <c r="AC1449" s="4" t="s">
        <v>79</v>
      </c>
      <c r="AD1449" s="4" t="s">
        <v>80</v>
      </c>
      <c r="AE1449" s="4" t="s">
        <v>48</v>
      </c>
      <c r="AF1449" s="4" t="s">
        <v>41</v>
      </c>
      <c r="AG1449" s="4" t="s">
        <v>3091</v>
      </c>
    </row>
    <row r="1450" spans="1:33" ht="16.5" customHeight="1" x14ac:dyDescent="0.2">
      <c r="A1450" s="2" t="s">
        <v>31</v>
      </c>
      <c r="B1450" s="5" t="s">
        <v>54</v>
      </c>
      <c r="C1450" s="5"/>
      <c r="D1450" s="5"/>
      <c r="E1450" s="6" t="s">
        <v>33</v>
      </c>
      <c r="F1450" s="6"/>
      <c r="G1450" s="7" t="s">
        <v>3088</v>
      </c>
      <c r="H1450" s="7"/>
      <c r="I1450" s="7"/>
      <c r="J1450" s="3" t="s">
        <v>35</v>
      </c>
      <c r="K1450" s="4" t="s">
        <v>149</v>
      </c>
      <c r="L1450" s="4" t="s">
        <v>37</v>
      </c>
      <c r="N1450" s="7" t="s">
        <v>3094</v>
      </c>
      <c r="O1450" s="7"/>
      <c r="P1450" s="7" t="s">
        <v>3095</v>
      </c>
      <c r="Q1450" s="7"/>
      <c r="R1450" s="7"/>
      <c r="S1450" s="3" t="s">
        <v>40</v>
      </c>
      <c r="T1450" s="7" t="s">
        <v>41</v>
      </c>
      <c r="U1450" s="7"/>
      <c r="V1450" s="4" t="s">
        <v>42</v>
      </c>
      <c r="W1450" s="4" t="s">
        <v>68</v>
      </c>
      <c r="X1450" s="4" t="s">
        <v>69</v>
      </c>
      <c r="Y1450" s="7" t="s">
        <v>78</v>
      </c>
      <c r="Z1450" s="7"/>
      <c r="AA1450" s="4" t="s">
        <v>46</v>
      </c>
      <c r="AB1450" s="4" t="s">
        <v>47</v>
      </c>
      <c r="AC1450" s="4" t="s">
        <v>79</v>
      </c>
      <c r="AD1450" s="4" t="s">
        <v>80</v>
      </c>
      <c r="AE1450" s="4" t="s">
        <v>48</v>
      </c>
      <c r="AF1450" s="4" t="s">
        <v>41</v>
      </c>
      <c r="AG1450" s="4" t="s">
        <v>3091</v>
      </c>
    </row>
    <row r="1451" spans="1:33" ht="16.5" customHeight="1" x14ac:dyDescent="0.2">
      <c r="A1451" s="2" t="s">
        <v>31</v>
      </c>
      <c r="B1451" s="5" t="s">
        <v>54</v>
      </c>
      <c r="C1451" s="5"/>
      <c r="D1451" s="5"/>
      <c r="E1451" s="6" t="s">
        <v>33</v>
      </c>
      <c r="F1451" s="6"/>
      <c r="G1451" s="7" t="s">
        <v>3088</v>
      </c>
      <c r="H1451" s="7"/>
      <c r="I1451" s="7"/>
      <c r="J1451" s="3" t="s">
        <v>35</v>
      </c>
      <c r="K1451" s="4" t="s">
        <v>97</v>
      </c>
      <c r="L1451" s="4" t="s">
        <v>37</v>
      </c>
      <c r="N1451" s="7" t="s">
        <v>3096</v>
      </c>
      <c r="O1451" s="7"/>
      <c r="P1451" s="7" t="s">
        <v>3097</v>
      </c>
      <c r="Q1451" s="7"/>
      <c r="R1451" s="7"/>
      <c r="S1451" s="3" t="s">
        <v>40</v>
      </c>
      <c r="T1451" s="7" t="s">
        <v>41</v>
      </c>
      <c r="U1451" s="7"/>
      <c r="V1451" s="4" t="s">
        <v>42</v>
      </c>
      <c r="W1451" s="4" t="s">
        <v>51</v>
      </c>
      <c r="X1451" s="4" t="s">
        <v>128</v>
      </c>
      <c r="Y1451" s="7" t="s">
        <v>78</v>
      </c>
      <c r="Z1451" s="7"/>
      <c r="AA1451" s="4" t="s">
        <v>46</v>
      </c>
      <c r="AB1451" s="4" t="s">
        <v>47</v>
      </c>
      <c r="AC1451" s="4" t="s">
        <v>72</v>
      </c>
      <c r="AD1451" s="4" t="s">
        <v>41</v>
      </c>
      <c r="AE1451" s="4" t="s">
        <v>48</v>
      </c>
      <c r="AF1451" s="4" t="s">
        <v>41</v>
      </c>
      <c r="AG1451" s="4" t="s">
        <v>3091</v>
      </c>
    </row>
    <row r="1452" spans="1:33" ht="16.5" customHeight="1" x14ac:dyDescent="0.2">
      <c r="A1452" s="2" t="s">
        <v>31</v>
      </c>
      <c r="B1452" s="5" t="s">
        <v>108</v>
      </c>
      <c r="C1452" s="5"/>
      <c r="D1452" s="5"/>
      <c r="E1452" s="6" t="s">
        <v>33</v>
      </c>
      <c r="F1452" s="6"/>
      <c r="G1452" s="7" t="s">
        <v>3088</v>
      </c>
      <c r="H1452" s="7"/>
      <c r="I1452" s="7"/>
      <c r="J1452" s="3" t="s">
        <v>109</v>
      </c>
      <c r="K1452" s="4" t="s">
        <v>110</v>
      </c>
      <c r="N1452" s="7" t="s">
        <v>3096</v>
      </c>
      <c r="O1452" s="7"/>
      <c r="P1452" s="7" t="s">
        <v>3097</v>
      </c>
      <c r="Q1452" s="7"/>
      <c r="R1452" s="7"/>
      <c r="S1452" s="3" t="s">
        <v>40</v>
      </c>
      <c r="T1452" s="7" t="s">
        <v>1403</v>
      </c>
      <c r="U1452" s="7"/>
      <c r="V1452" s="4" t="s">
        <v>42</v>
      </c>
      <c r="W1452" s="4" t="s">
        <v>51</v>
      </c>
      <c r="X1452" s="4" t="s">
        <v>128</v>
      </c>
      <c r="Y1452" s="7" t="s">
        <v>114</v>
      </c>
      <c r="Z1452" s="7"/>
      <c r="AA1452" s="4" t="s">
        <v>46</v>
      </c>
      <c r="AB1452" s="4" t="s">
        <v>115</v>
      </c>
      <c r="AC1452" s="4" t="s">
        <v>48</v>
      </c>
      <c r="AD1452" s="4" t="s">
        <v>41</v>
      </c>
      <c r="AE1452" s="4" t="s">
        <v>48</v>
      </c>
      <c r="AF1452" s="4" t="s">
        <v>41</v>
      </c>
      <c r="AG1452" s="4" t="s">
        <v>3091</v>
      </c>
    </row>
    <row r="1453" spans="1:33" ht="16.5" customHeight="1" x14ac:dyDescent="0.2">
      <c r="A1453" s="2" t="s">
        <v>31</v>
      </c>
      <c r="B1453" s="5" t="s">
        <v>54</v>
      </c>
      <c r="C1453" s="5"/>
      <c r="D1453" s="5"/>
      <c r="E1453" s="6" t="s">
        <v>33</v>
      </c>
      <c r="F1453" s="6"/>
      <c r="G1453" s="7" t="s">
        <v>3088</v>
      </c>
      <c r="H1453" s="7"/>
      <c r="I1453" s="7"/>
      <c r="J1453" s="3" t="s">
        <v>35</v>
      </c>
      <c r="K1453" s="4" t="s">
        <v>73</v>
      </c>
      <c r="L1453" s="4" t="s">
        <v>37</v>
      </c>
      <c r="N1453" s="7" t="s">
        <v>3098</v>
      </c>
      <c r="O1453" s="7"/>
      <c r="P1453" s="7" t="s">
        <v>3099</v>
      </c>
      <c r="Q1453" s="7"/>
      <c r="R1453" s="7"/>
      <c r="S1453" s="3" t="s">
        <v>40</v>
      </c>
      <c r="T1453" s="7" t="s">
        <v>41</v>
      </c>
      <c r="U1453" s="7"/>
      <c r="V1453" s="4" t="s">
        <v>42</v>
      </c>
      <c r="W1453" s="4" t="s">
        <v>58</v>
      </c>
      <c r="X1453" s="4" t="s">
        <v>59</v>
      </c>
      <c r="Y1453" s="7" t="s">
        <v>78</v>
      </c>
      <c r="Z1453" s="7"/>
      <c r="AA1453" s="4" t="s">
        <v>46</v>
      </c>
      <c r="AB1453" s="4" t="s">
        <v>47</v>
      </c>
      <c r="AC1453" s="4" t="s">
        <v>79</v>
      </c>
      <c r="AD1453" s="4" t="s">
        <v>80</v>
      </c>
      <c r="AE1453" s="4" t="s">
        <v>48</v>
      </c>
      <c r="AF1453" s="4" t="s">
        <v>41</v>
      </c>
      <c r="AG1453" s="4" t="s">
        <v>3091</v>
      </c>
    </row>
    <row r="1454" spans="1:33" ht="16.5" customHeight="1" x14ac:dyDescent="0.2">
      <c r="A1454" s="2" t="s">
        <v>31</v>
      </c>
      <c r="B1454" s="5" t="s">
        <v>54</v>
      </c>
      <c r="C1454" s="5"/>
      <c r="D1454" s="5"/>
      <c r="E1454" s="6" t="s">
        <v>33</v>
      </c>
      <c r="F1454" s="6"/>
      <c r="G1454" s="7" t="s">
        <v>3088</v>
      </c>
      <c r="H1454" s="7"/>
      <c r="I1454" s="7"/>
      <c r="J1454" s="3" t="s">
        <v>35</v>
      </c>
      <c r="K1454" s="4" t="s">
        <v>73</v>
      </c>
      <c r="L1454" s="4" t="s">
        <v>37</v>
      </c>
      <c r="N1454" s="7" t="s">
        <v>3098</v>
      </c>
      <c r="O1454" s="7"/>
      <c r="P1454" s="7" t="s">
        <v>3099</v>
      </c>
      <c r="Q1454" s="7"/>
      <c r="R1454" s="7"/>
      <c r="S1454" s="3" t="s">
        <v>40</v>
      </c>
      <c r="T1454" s="7" t="s">
        <v>41</v>
      </c>
      <c r="U1454" s="7"/>
      <c r="V1454" s="4" t="s">
        <v>51</v>
      </c>
      <c r="W1454" s="4" t="s">
        <v>58</v>
      </c>
      <c r="X1454" s="4" t="s">
        <v>128</v>
      </c>
      <c r="Y1454" s="7" t="s">
        <v>78</v>
      </c>
      <c r="Z1454" s="7"/>
      <c r="AA1454" s="4" t="s">
        <v>46</v>
      </c>
      <c r="AB1454" s="4" t="s">
        <v>47</v>
      </c>
      <c r="AC1454" s="4" t="s">
        <v>79</v>
      </c>
      <c r="AD1454" s="4" t="s">
        <v>80</v>
      </c>
      <c r="AE1454" s="4" t="s">
        <v>48</v>
      </c>
      <c r="AF1454" s="4" t="s">
        <v>41</v>
      </c>
      <c r="AG1454" s="4" t="s">
        <v>3091</v>
      </c>
    </row>
    <row r="1455" spans="1:33" ht="16.5" customHeight="1" x14ac:dyDescent="0.2">
      <c r="A1455" s="2" t="s">
        <v>31</v>
      </c>
      <c r="B1455" s="5" t="s">
        <v>54</v>
      </c>
      <c r="C1455" s="5"/>
      <c r="D1455" s="5"/>
      <c r="E1455" s="6" t="s">
        <v>33</v>
      </c>
      <c r="F1455" s="6"/>
      <c r="G1455" s="7" t="s">
        <v>3088</v>
      </c>
      <c r="H1455" s="7"/>
      <c r="I1455" s="7"/>
      <c r="J1455" s="3" t="s">
        <v>35</v>
      </c>
      <c r="K1455" s="4" t="s">
        <v>1014</v>
      </c>
      <c r="L1455" s="4" t="s">
        <v>443</v>
      </c>
      <c r="N1455" s="7" t="s">
        <v>3100</v>
      </c>
      <c r="O1455" s="7"/>
      <c r="P1455" s="7" t="s">
        <v>3101</v>
      </c>
      <c r="Q1455" s="7"/>
      <c r="R1455" s="7"/>
      <c r="S1455" s="3" t="s">
        <v>40</v>
      </c>
      <c r="T1455" s="7" t="s">
        <v>41</v>
      </c>
      <c r="U1455" s="7"/>
      <c r="V1455" s="4" t="s">
        <v>42</v>
      </c>
      <c r="W1455" s="4" t="s">
        <v>58</v>
      </c>
      <c r="X1455" s="4" t="s">
        <v>59</v>
      </c>
      <c r="Y1455" s="7" t="s">
        <v>78</v>
      </c>
      <c r="Z1455" s="7"/>
      <c r="AA1455" s="4" t="s">
        <v>46</v>
      </c>
      <c r="AB1455" s="4" t="s">
        <v>47</v>
      </c>
      <c r="AC1455" s="4" t="s">
        <v>79</v>
      </c>
      <c r="AD1455" s="4" t="s">
        <v>447</v>
      </c>
      <c r="AE1455" s="4" t="s">
        <v>48</v>
      </c>
      <c r="AF1455" s="4" t="s">
        <v>41</v>
      </c>
      <c r="AG1455" s="4" t="s">
        <v>3091</v>
      </c>
    </row>
    <row r="1456" spans="1:33" ht="16.5" customHeight="1" x14ac:dyDescent="0.2">
      <c r="A1456" s="2" t="s">
        <v>31</v>
      </c>
      <c r="B1456" s="5" t="s">
        <v>54</v>
      </c>
      <c r="C1456" s="5"/>
      <c r="D1456" s="5"/>
      <c r="E1456" s="6" t="s">
        <v>33</v>
      </c>
      <c r="F1456" s="6"/>
      <c r="G1456" s="7" t="s">
        <v>3088</v>
      </c>
      <c r="H1456" s="7"/>
      <c r="I1456" s="7"/>
      <c r="J1456" s="3" t="s">
        <v>35</v>
      </c>
      <c r="K1456" s="4" t="s">
        <v>149</v>
      </c>
      <c r="L1456" s="4" t="s">
        <v>37</v>
      </c>
      <c r="N1456" s="7" t="s">
        <v>3102</v>
      </c>
      <c r="O1456" s="7"/>
      <c r="P1456" s="7" t="s">
        <v>3103</v>
      </c>
      <c r="Q1456" s="7"/>
      <c r="R1456" s="7"/>
      <c r="S1456" s="3" t="s">
        <v>40</v>
      </c>
      <c r="T1456" s="7" t="s">
        <v>41</v>
      </c>
      <c r="U1456" s="7"/>
      <c r="V1456" s="4" t="s">
        <v>42</v>
      </c>
      <c r="W1456" s="4" t="s">
        <v>469</v>
      </c>
      <c r="X1456" s="4" t="s">
        <v>470</v>
      </c>
      <c r="Y1456" s="7" t="s">
        <v>78</v>
      </c>
      <c r="Z1456" s="7"/>
      <c r="AA1456" s="4" t="s">
        <v>46</v>
      </c>
      <c r="AB1456" s="4" t="s">
        <v>47</v>
      </c>
      <c r="AC1456" s="4" t="s">
        <v>136</v>
      </c>
      <c r="AD1456" s="4" t="s">
        <v>137</v>
      </c>
      <c r="AE1456" s="4" t="s">
        <v>48</v>
      </c>
      <c r="AF1456" s="4" t="s">
        <v>41</v>
      </c>
      <c r="AG1456" s="4" t="s">
        <v>3091</v>
      </c>
    </row>
    <row r="1457" spans="1:33" ht="16.5" customHeight="1" x14ac:dyDescent="0.2">
      <c r="A1457" s="2" t="s">
        <v>31</v>
      </c>
      <c r="B1457" s="5" t="s">
        <v>54</v>
      </c>
      <c r="C1457" s="5"/>
      <c r="D1457" s="5"/>
      <c r="E1457" s="6" t="s">
        <v>33</v>
      </c>
      <c r="F1457" s="6"/>
      <c r="G1457" s="7" t="s">
        <v>3088</v>
      </c>
      <c r="H1457" s="7"/>
      <c r="I1457" s="7"/>
      <c r="J1457" s="3" t="s">
        <v>35</v>
      </c>
      <c r="K1457" s="4" t="s">
        <v>149</v>
      </c>
      <c r="L1457" s="4" t="s">
        <v>37</v>
      </c>
      <c r="N1457" s="7" t="s">
        <v>3104</v>
      </c>
      <c r="O1457" s="7"/>
      <c r="P1457" s="7" t="s">
        <v>3105</v>
      </c>
      <c r="Q1457" s="7"/>
      <c r="R1457" s="7"/>
      <c r="S1457" s="3" t="s">
        <v>40</v>
      </c>
      <c r="T1457" s="7" t="s">
        <v>41</v>
      </c>
      <c r="U1457" s="7"/>
      <c r="V1457" s="4" t="s">
        <v>42</v>
      </c>
      <c r="W1457" s="4" t="s">
        <v>990</v>
      </c>
      <c r="X1457" s="4" t="s">
        <v>991</v>
      </c>
      <c r="Y1457" s="7" t="s">
        <v>78</v>
      </c>
      <c r="Z1457" s="7"/>
      <c r="AA1457" s="4" t="s">
        <v>46</v>
      </c>
      <c r="AB1457" s="4" t="s">
        <v>47</v>
      </c>
      <c r="AC1457" s="4" t="s">
        <v>136</v>
      </c>
      <c r="AD1457" s="4" t="s">
        <v>137</v>
      </c>
      <c r="AE1457" s="4" t="s">
        <v>48</v>
      </c>
      <c r="AF1457" s="4" t="s">
        <v>41</v>
      </c>
      <c r="AG1457" s="4" t="s">
        <v>3091</v>
      </c>
    </row>
    <row r="1458" spans="1:33" ht="16.5" customHeight="1" x14ac:dyDescent="0.2">
      <c r="A1458" s="2" t="s">
        <v>31</v>
      </c>
      <c r="B1458" s="5" t="s">
        <v>54</v>
      </c>
      <c r="C1458" s="5"/>
      <c r="D1458" s="5"/>
      <c r="E1458" s="6" t="s">
        <v>33</v>
      </c>
      <c r="F1458" s="6"/>
      <c r="G1458" s="7" t="s">
        <v>3088</v>
      </c>
      <c r="H1458" s="7"/>
      <c r="I1458" s="7"/>
      <c r="J1458" s="3" t="s">
        <v>35</v>
      </c>
      <c r="K1458" s="4" t="s">
        <v>97</v>
      </c>
      <c r="L1458" s="4" t="s">
        <v>588</v>
      </c>
      <c r="N1458" s="7" t="s">
        <v>3106</v>
      </c>
      <c r="O1458" s="7"/>
      <c r="P1458" s="7" t="s">
        <v>3107</v>
      </c>
      <c r="Q1458" s="7"/>
      <c r="R1458" s="7"/>
      <c r="S1458" s="3" t="s">
        <v>40</v>
      </c>
      <c r="T1458" s="7" t="s">
        <v>41</v>
      </c>
      <c r="U1458" s="7"/>
      <c r="V1458" s="4" t="s">
        <v>51</v>
      </c>
      <c r="W1458" s="4" t="s">
        <v>760</v>
      </c>
      <c r="X1458" s="4" t="s">
        <v>235</v>
      </c>
      <c r="Y1458" s="7" t="s">
        <v>78</v>
      </c>
      <c r="Z1458" s="7"/>
      <c r="AA1458" s="4" t="s">
        <v>46</v>
      </c>
      <c r="AB1458" s="4" t="s">
        <v>47</v>
      </c>
      <c r="AC1458" s="4" t="s">
        <v>136</v>
      </c>
      <c r="AD1458" s="4" t="s">
        <v>1998</v>
      </c>
      <c r="AE1458" s="4" t="s">
        <v>48</v>
      </c>
      <c r="AF1458" s="4" t="s">
        <v>41</v>
      </c>
      <c r="AG1458" s="4" t="s">
        <v>3091</v>
      </c>
    </row>
    <row r="1459" spans="1:33" ht="16.5" customHeight="1" x14ac:dyDescent="0.2">
      <c r="A1459" s="2" t="s">
        <v>31</v>
      </c>
      <c r="B1459" s="5" t="s">
        <v>54</v>
      </c>
      <c r="C1459" s="5"/>
      <c r="D1459" s="5"/>
      <c r="E1459" s="6" t="s">
        <v>33</v>
      </c>
      <c r="F1459" s="6"/>
      <c r="G1459" s="7" t="s">
        <v>3088</v>
      </c>
      <c r="H1459" s="7"/>
      <c r="I1459" s="7"/>
      <c r="J1459" s="3" t="s">
        <v>35</v>
      </c>
      <c r="K1459" s="4" t="s">
        <v>149</v>
      </c>
      <c r="L1459" s="4" t="s">
        <v>37</v>
      </c>
      <c r="N1459" s="7" t="s">
        <v>3108</v>
      </c>
      <c r="O1459" s="7"/>
      <c r="P1459" s="7" t="s">
        <v>3109</v>
      </c>
      <c r="Q1459" s="7"/>
      <c r="R1459" s="7"/>
      <c r="S1459" s="3" t="s">
        <v>40</v>
      </c>
      <c r="T1459" s="7" t="s">
        <v>41</v>
      </c>
      <c r="U1459" s="7"/>
      <c r="V1459" s="4" t="s">
        <v>42</v>
      </c>
      <c r="W1459" s="4" t="s">
        <v>234</v>
      </c>
      <c r="X1459" s="4" t="s">
        <v>235</v>
      </c>
      <c r="Y1459" s="7" t="s">
        <v>78</v>
      </c>
      <c r="Z1459" s="7"/>
      <c r="AA1459" s="4" t="s">
        <v>46</v>
      </c>
      <c r="AB1459" s="4" t="s">
        <v>47</v>
      </c>
      <c r="AC1459" s="4" t="s">
        <v>136</v>
      </c>
      <c r="AD1459" s="4" t="s">
        <v>137</v>
      </c>
      <c r="AE1459" s="4" t="s">
        <v>48</v>
      </c>
      <c r="AF1459" s="4" t="s">
        <v>41</v>
      </c>
      <c r="AG1459" s="4" t="s">
        <v>3091</v>
      </c>
    </row>
    <row r="1460" spans="1:33" ht="16.5" customHeight="1" x14ac:dyDescent="0.2">
      <c r="A1460" s="2" t="s">
        <v>31</v>
      </c>
      <c r="B1460" s="5" t="s">
        <v>54</v>
      </c>
      <c r="C1460" s="5"/>
      <c r="D1460" s="5"/>
      <c r="E1460" s="6" t="s">
        <v>33</v>
      </c>
      <c r="F1460" s="6"/>
      <c r="G1460" s="7" t="s">
        <v>3088</v>
      </c>
      <c r="H1460" s="7"/>
      <c r="I1460" s="7"/>
      <c r="J1460" s="3" t="s">
        <v>35</v>
      </c>
      <c r="K1460" s="4" t="s">
        <v>73</v>
      </c>
      <c r="L1460" s="4" t="s">
        <v>37</v>
      </c>
      <c r="N1460" s="7" t="s">
        <v>3110</v>
      </c>
      <c r="O1460" s="7"/>
      <c r="P1460" s="7" t="s">
        <v>3111</v>
      </c>
      <c r="Q1460" s="7"/>
      <c r="R1460" s="7"/>
      <c r="S1460" s="3" t="s">
        <v>40</v>
      </c>
      <c r="T1460" s="7" t="s">
        <v>41</v>
      </c>
      <c r="U1460" s="7"/>
      <c r="V1460" s="4" t="s">
        <v>42</v>
      </c>
      <c r="W1460" s="4" t="s">
        <v>234</v>
      </c>
      <c r="X1460" s="4" t="s">
        <v>235</v>
      </c>
      <c r="Y1460" s="7" t="s">
        <v>78</v>
      </c>
      <c r="Z1460" s="7"/>
      <c r="AA1460" s="4" t="s">
        <v>46</v>
      </c>
      <c r="AB1460" s="4" t="s">
        <v>47</v>
      </c>
      <c r="AC1460" s="4" t="s">
        <v>136</v>
      </c>
      <c r="AD1460" s="4" t="s">
        <v>137</v>
      </c>
      <c r="AE1460" s="4" t="s">
        <v>48</v>
      </c>
      <c r="AF1460" s="4" t="s">
        <v>41</v>
      </c>
      <c r="AG1460" s="4" t="s">
        <v>3091</v>
      </c>
    </row>
    <row r="1461" spans="1:33" ht="16.5" customHeight="1" x14ac:dyDescent="0.2">
      <c r="A1461" s="2" t="s">
        <v>31</v>
      </c>
      <c r="B1461" s="5" t="s">
        <v>54</v>
      </c>
      <c r="C1461" s="5"/>
      <c r="D1461" s="5"/>
      <c r="E1461" s="6" t="s">
        <v>33</v>
      </c>
      <c r="F1461" s="6"/>
      <c r="G1461" s="7" t="s">
        <v>3088</v>
      </c>
      <c r="H1461" s="7"/>
      <c r="I1461" s="7"/>
      <c r="J1461" s="3" t="s">
        <v>35</v>
      </c>
      <c r="K1461" s="4" t="s">
        <v>149</v>
      </c>
      <c r="L1461" s="4" t="s">
        <v>37</v>
      </c>
      <c r="N1461" s="7" t="s">
        <v>3112</v>
      </c>
      <c r="O1461" s="7"/>
      <c r="P1461" s="7" t="s">
        <v>3113</v>
      </c>
      <c r="Q1461" s="7"/>
      <c r="R1461" s="7"/>
      <c r="S1461" s="3" t="s">
        <v>40</v>
      </c>
      <c r="T1461" s="7" t="s">
        <v>41</v>
      </c>
      <c r="U1461" s="7"/>
      <c r="V1461" s="4" t="s">
        <v>42</v>
      </c>
      <c r="W1461" s="4" t="s">
        <v>234</v>
      </c>
      <c r="X1461" s="4" t="s">
        <v>235</v>
      </c>
      <c r="Y1461" s="7" t="s">
        <v>78</v>
      </c>
      <c r="Z1461" s="7"/>
      <c r="AA1461" s="4" t="s">
        <v>46</v>
      </c>
      <c r="AB1461" s="4" t="s">
        <v>47</v>
      </c>
      <c r="AC1461" s="4" t="s">
        <v>136</v>
      </c>
      <c r="AD1461" s="4" t="s">
        <v>137</v>
      </c>
      <c r="AE1461" s="4" t="s">
        <v>48</v>
      </c>
      <c r="AF1461" s="4" t="s">
        <v>41</v>
      </c>
      <c r="AG1461" s="4" t="s">
        <v>3091</v>
      </c>
    </row>
    <row r="1462" spans="1:33" ht="16.5" customHeight="1" x14ac:dyDescent="0.2">
      <c r="A1462" s="2" t="s">
        <v>31</v>
      </c>
      <c r="B1462" s="5" t="s">
        <v>54</v>
      </c>
      <c r="C1462" s="5"/>
      <c r="D1462" s="5"/>
      <c r="E1462" s="6" t="s">
        <v>33</v>
      </c>
      <c r="F1462" s="6"/>
      <c r="G1462" s="7" t="s">
        <v>3088</v>
      </c>
      <c r="H1462" s="7"/>
      <c r="I1462" s="7"/>
      <c r="J1462" s="3" t="s">
        <v>35</v>
      </c>
      <c r="K1462" s="4" t="s">
        <v>73</v>
      </c>
      <c r="L1462" s="4" t="s">
        <v>37</v>
      </c>
      <c r="N1462" s="7" t="s">
        <v>3114</v>
      </c>
      <c r="O1462" s="7"/>
      <c r="P1462" s="7" t="s">
        <v>3115</v>
      </c>
      <c r="Q1462" s="7"/>
      <c r="R1462" s="7"/>
      <c r="S1462" s="3" t="s">
        <v>40</v>
      </c>
      <c r="T1462" s="7" t="s">
        <v>41</v>
      </c>
      <c r="U1462" s="7"/>
      <c r="V1462" s="4" t="s">
        <v>42</v>
      </c>
      <c r="W1462" s="4" t="s">
        <v>90</v>
      </c>
      <c r="X1462" s="4" t="s">
        <v>91</v>
      </c>
      <c r="Y1462" s="7" t="s">
        <v>78</v>
      </c>
      <c r="Z1462" s="7"/>
      <c r="AA1462" s="4" t="s">
        <v>46</v>
      </c>
      <c r="AB1462" s="4" t="s">
        <v>47</v>
      </c>
      <c r="AC1462" s="4" t="s">
        <v>79</v>
      </c>
      <c r="AD1462" s="4" t="s">
        <v>80</v>
      </c>
      <c r="AE1462" s="4" t="s">
        <v>48</v>
      </c>
      <c r="AF1462" s="4" t="s">
        <v>41</v>
      </c>
      <c r="AG1462" s="4" t="s">
        <v>3091</v>
      </c>
    </row>
    <row r="1463" spans="1:33" ht="0.75" customHeight="1" x14ac:dyDescent="0.2"/>
    <row r="1464" spans="1:33" ht="12" customHeight="1" x14ac:dyDescent="0.2"/>
    <row r="1465" spans="1:33" ht="16.5" customHeight="1" x14ac:dyDescent="0.2">
      <c r="A1465" s="2" t="s">
        <v>31</v>
      </c>
      <c r="B1465" s="5" t="s">
        <v>54</v>
      </c>
      <c r="C1465" s="5"/>
      <c r="D1465" s="5"/>
      <c r="E1465" s="6" t="s">
        <v>33</v>
      </c>
      <c r="F1465" s="6"/>
      <c r="G1465" s="7" t="s">
        <v>3088</v>
      </c>
      <c r="H1465" s="7"/>
      <c r="I1465" s="7"/>
      <c r="J1465" s="3" t="s">
        <v>35</v>
      </c>
      <c r="K1465" s="4" t="s">
        <v>316</v>
      </c>
      <c r="L1465" s="4" t="s">
        <v>37</v>
      </c>
      <c r="N1465" s="7" t="s">
        <v>3116</v>
      </c>
      <c r="O1465" s="7"/>
      <c r="P1465" s="7" t="s">
        <v>3117</v>
      </c>
      <c r="Q1465" s="7"/>
      <c r="R1465" s="7"/>
      <c r="S1465" s="3" t="s">
        <v>40</v>
      </c>
      <c r="T1465" s="7" t="s">
        <v>41</v>
      </c>
      <c r="U1465" s="7"/>
      <c r="V1465" s="4" t="s">
        <v>42</v>
      </c>
      <c r="W1465" s="4" t="s">
        <v>107</v>
      </c>
      <c r="X1465" s="4" t="s">
        <v>104</v>
      </c>
      <c r="Y1465" s="7" t="s">
        <v>60</v>
      </c>
      <c r="Z1465" s="7"/>
      <c r="AA1465" s="4" t="s">
        <v>46</v>
      </c>
      <c r="AB1465" s="4" t="s">
        <v>47</v>
      </c>
      <c r="AC1465" s="4" t="s">
        <v>61</v>
      </c>
      <c r="AD1465" s="4" t="s">
        <v>62</v>
      </c>
      <c r="AE1465" s="4" t="s">
        <v>48</v>
      </c>
      <c r="AF1465" s="4" t="s">
        <v>41</v>
      </c>
      <c r="AG1465" s="4" t="s">
        <v>3091</v>
      </c>
    </row>
    <row r="1466" spans="1:33" ht="16.5" customHeight="1" x14ac:dyDescent="0.2">
      <c r="A1466" s="2" t="s">
        <v>31</v>
      </c>
      <c r="B1466" s="5" t="s">
        <v>54</v>
      </c>
      <c r="C1466" s="5"/>
      <c r="D1466" s="5"/>
      <c r="E1466" s="6" t="s">
        <v>33</v>
      </c>
      <c r="F1466" s="6"/>
      <c r="G1466" s="7" t="s">
        <v>3088</v>
      </c>
      <c r="H1466" s="7"/>
      <c r="I1466" s="7"/>
      <c r="J1466" s="3" t="s">
        <v>35</v>
      </c>
      <c r="K1466" s="4" t="s">
        <v>92</v>
      </c>
      <c r="L1466" s="4" t="s">
        <v>37</v>
      </c>
      <c r="N1466" s="7" t="s">
        <v>3118</v>
      </c>
      <c r="O1466" s="7"/>
      <c r="P1466" s="7" t="s">
        <v>3119</v>
      </c>
      <c r="Q1466" s="7"/>
      <c r="R1466" s="7"/>
      <c r="S1466" s="3" t="s">
        <v>40</v>
      </c>
      <c r="T1466" s="7" t="s">
        <v>41</v>
      </c>
      <c r="U1466" s="7"/>
      <c r="V1466" s="4" t="s">
        <v>42</v>
      </c>
      <c r="W1466" s="4" t="s">
        <v>58</v>
      </c>
      <c r="X1466" s="4" t="s">
        <v>59</v>
      </c>
      <c r="Y1466" s="7" t="s">
        <v>78</v>
      </c>
      <c r="Z1466" s="7"/>
      <c r="AA1466" s="4" t="s">
        <v>46</v>
      </c>
      <c r="AB1466" s="4" t="s">
        <v>47</v>
      </c>
      <c r="AC1466" s="4" t="s">
        <v>79</v>
      </c>
      <c r="AD1466" s="4" t="s">
        <v>80</v>
      </c>
      <c r="AE1466" s="4" t="s">
        <v>48</v>
      </c>
      <c r="AF1466" s="4" t="s">
        <v>41</v>
      </c>
      <c r="AG1466" s="4" t="s">
        <v>3091</v>
      </c>
    </row>
    <row r="1467" spans="1:33" ht="16.5" customHeight="1" x14ac:dyDescent="0.2">
      <c r="A1467" s="2" t="s">
        <v>31</v>
      </c>
      <c r="B1467" s="5" t="s">
        <v>54</v>
      </c>
      <c r="C1467" s="5"/>
      <c r="D1467" s="5"/>
      <c r="E1467" s="6" t="s">
        <v>33</v>
      </c>
      <c r="F1467" s="6"/>
      <c r="G1467" s="7" t="s">
        <v>3088</v>
      </c>
      <c r="H1467" s="7"/>
      <c r="I1467" s="7"/>
      <c r="J1467" s="3" t="s">
        <v>35</v>
      </c>
      <c r="K1467" s="4" t="s">
        <v>92</v>
      </c>
      <c r="L1467" s="4" t="s">
        <v>37</v>
      </c>
      <c r="N1467" s="7" t="s">
        <v>3120</v>
      </c>
      <c r="O1467" s="7"/>
      <c r="P1467" s="7" t="s">
        <v>3121</v>
      </c>
      <c r="Q1467" s="7"/>
      <c r="R1467" s="7"/>
      <c r="S1467" s="3" t="s">
        <v>40</v>
      </c>
      <c r="T1467" s="7" t="s">
        <v>41</v>
      </c>
      <c r="U1467" s="7"/>
      <c r="V1467" s="4" t="s">
        <v>42</v>
      </c>
      <c r="W1467" s="4" t="s">
        <v>58</v>
      </c>
      <c r="X1467" s="4" t="s">
        <v>59</v>
      </c>
      <c r="Y1467" s="7" t="s">
        <v>78</v>
      </c>
      <c r="Z1467" s="7"/>
      <c r="AA1467" s="4" t="s">
        <v>46</v>
      </c>
      <c r="AB1467" s="4" t="s">
        <v>47</v>
      </c>
      <c r="AC1467" s="4" t="s">
        <v>79</v>
      </c>
      <c r="AD1467" s="4" t="s">
        <v>80</v>
      </c>
      <c r="AE1467" s="4" t="s">
        <v>48</v>
      </c>
      <c r="AF1467" s="4" t="s">
        <v>41</v>
      </c>
      <c r="AG1467" s="4" t="s">
        <v>3091</v>
      </c>
    </row>
    <row r="1468" spans="1:33" ht="16.5" customHeight="1" x14ac:dyDescent="0.2">
      <c r="A1468" s="2" t="s">
        <v>31</v>
      </c>
      <c r="B1468" s="5" t="s">
        <v>54</v>
      </c>
      <c r="C1468" s="5"/>
      <c r="D1468" s="5"/>
      <c r="E1468" s="6" t="s">
        <v>33</v>
      </c>
      <c r="F1468" s="6"/>
      <c r="G1468" s="7" t="s">
        <v>3088</v>
      </c>
      <c r="H1468" s="7"/>
      <c r="I1468" s="7"/>
      <c r="J1468" s="3" t="s">
        <v>35</v>
      </c>
      <c r="K1468" s="4" t="s">
        <v>73</v>
      </c>
      <c r="L1468" s="4" t="s">
        <v>37</v>
      </c>
      <c r="N1468" s="7" t="s">
        <v>3122</v>
      </c>
      <c r="O1468" s="7"/>
      <c r="P1468" s="7" t="s">
        <v>3123</v>
      </c>
      <c r="Q1468" s="7"/>
      <c r="R1468" s="7"/>
      <c r="S1468" s="3" t="s">
        <v>40</v>
      </c>
      <c r="T1468" s="7" t="s">
        <v>41</v>
      </c>
      <c r="U1468" s="7"/>
      <c r="V1468" s="4" t="s">
        <v>42</v>
      </c>
      <c r="W1468" s="4" t="s">
        <v>58</v>
      </c>
      <c r="X1468" s="4" t="s">
        <v>59</v>
      </c>
      <c r="Y1468" s="7" t="s">
        <v>78</v>
      </c>
      <c r="Z1468" s="7"/>
      <c r="AA1468" s="4" t="s">
        <v>46</v>
      </c>
      <c r="AB1468" s="4" t="s">
        <v>47</v>
      </c>
      <c r="AC1468" s="4" t="s">
        <v>79</v>
      </c>
      <c r="AD1468" s="4" t="s">
        <v>80</v>
      </c>
      <c r="AE1468" s="4" t="s">
        <v>48</v>
      </c>
      <c r="AF1468" s="4" t="s">
        <v>41</v>
      </c>
      <c r="AG1468" s="4" t="s">
        <v>3091</v>
      </c>
    </row>
    <row r="1469" spans="1:33" ht="16.5" customHeight="1" x14ac:dyDescent="0.2">
      <c r="A1469" s="2" t="s">
        <v>31</v>
      </c>
      <c r="B1469" s="5" t="s">
        <v>54</v>
      </c>
      <c r="C1469" s="5"/>
      <c r="D1469" s="5"/>
      <c r="E1469" s="6" t="s">
        <v>33</v>
      </c>
      <c r="F1469" s="6"/>
      <c r="G1469" s="7" t="s">
        <v>3088</v>
      </c>
      <c r="H1469" s="7"/>
      <c r="I1469" s="7"/>
      <c r="J1469" s="3" t="s">
        <v>35</v>
      </c>
      <c r="K1469" s="4" t="s">
        <v>657</v>
      </c>
      <c r="L1469" s="4" t="s">
        <v>37</v>
      </c>
      <c r="N1469" s="7" t="s">
        <v>3124</v>
      </c>
      <c r="O1469" s="7"/>
      <c r="P1469" s="7" t="s">
        <v>3125</v>
      </c>
      <c r="Q1469" s="7"/>
      <c r="R1469" s="7"/>
      <c r="S1469" s="3" t="s">
        <v>40</v>
      </c>
      <c r="T1469" s="7" t="s">
        <v>41</v>
      </c>
      <c r="U1469" s="7"/>
      <c r="V1469" s="4" t="s">
        <v>42</v>
      </c>
      <c r="W1469" s="4" t="s">
        <v>51</v>
      </c>
      <c r="X1469" s="4" t="s">
        <v>128</v>
      </c>
      <c r="Y1469" s="7" t="s">
        <v>197</v>
      </c>
      <c r="Z1469" s="7"/>
      <c r="AA1469" s="4" t="s">
        <v>46</v>
      </c>
      <c r="AB1469" s="4" t="s">
        <v>47</v>
      </c>
      <c r="AC1469" s="4" t="s">
        <v>136</v>
      </c>
      <c r="AD1469" s="4" t="s">
        <v>137</v>
      </c>
      <c r="AE1469" s="4" t="s">
        <v>48</v>
      </c>
      <c r="AF1469" s="4" t="s">
        <v>41</v>
      </c>
      <c r="AG1469" s="4" t="s">
        <v>3091</v>
      </c>
    </row>
    <row r="1470" spans="1:33" ht="16.5" customHeight="1" x14ac:dyDescent="0.2">
      <c r="A1470" s="2" t="s">
        <v>31</v>
      </c>
      <c r="B1470" s="5" t="s">
        <v>108</v>
      </c>
      <c r="C1470" s="5"/>
      <c r="D1470" s="5"/>
      <c r="E1470" s="6" t="s">
        <v>33</v>
      </c>
      <c r="F1470" s="6"/>
      <c r="G1470" s="7" t="s">
        <v>3088</v>
      </c>
      <c r="H1470" s="7"/>
      <c r="I1470" s="7"/>
      <c r="J1470" s="3" t="s">
        <v>35</v>
      </c>
      <c r="K1470" s="4" t="s">
        <v>398</v>
      </c>
      <c r="N1470" s="7" t="s">
        <v>3126</v>
      </c>
      <c r="O1470" s="7"/>
      <c r="P1470" s="7" t="s">
        <v>3127</v>
      </c>
      <c r="Q1470" s="7"/>
      <c r="R1470" s="7"/>
      <c r="S1470" s="3" t="s">
        <v>40</v>
      </c>
      <c r="T1470" s="7" t="s">
        <v>3128</v>
      </c>
      <c r="U1470" s="7"/>
      <c r="V1470" s="4" t="s">
        <v>51</v>
      </c>
      <c r="W1470" s="4" t="s">
        <v>76</v>
      </c>
      <c r="X1470" s="4" t="s">
        <v>91</v>
      </c>
      <c r="Y1470" s="7" t="s">
        <v>402</v>
      </c>
      <c r="Z1470" s="7"/>
      <c r="AA1470" s="4" t="s">
        <v>46</v>
      </c>
      <c r="AB1470" s="4" t="s">
        <v>115</v>
      </c>
      <c r="AC1470" s="4" t="s">
        <v>403</v>
      </c>
      <c r="AD1470" s="4" t="s">
        <v>3129</v>
      </c>
      <c r="AE1470" s="4" t="s">
        <v>48</v>
      </c>
      <c r="AF1470" s="4" t="s">
        <v>41</v>
      </c>
      <c r="AG1470" s="4" t="s">
        <v>3091</v>
      </c>
    </row>
    <row r="1471" spans="1:33" ht="16.5" customHeight="1" x14ac:dyDescent="0.2">
      <c r="A1471" s="2" t="s">
        <v>31</v>
      </c>
      <c r="B1471" s="5" t="s">
        <v>108</v>
      </c>
      <c r="C1471" s="5"/>
      <c r="D1471" s="5"/>
      <c r="E1471" s="6" t="s">
        <v>33</v>
      </c>
      <c r="F1471" s="6"/>
      <c r="G1471" s="7" t="s">
        <v>3088</v>
      </c>
      <c r="H1471" s="7"/>
      <c r="I1471" s="7"/>
      <c r="J1471" s="3" t="s">
        <v>35</v>
      </c>
      <c r="K1471" s="4" t="s">
        <v>398</v>
      </c>
      <c r="N1471" s="7" t="s">
        <v>3130</v>
      </c>
      <c r="O1471" s="7"/>
      <c r="P1471" s="7" t="s">
        <v>3131</v>
      </c>
      <c r="Q1471" s="7"/>
      <c r="R1471" s="7"/>
      <c r="S1471" s="3" t="s">
        <v>40</v>
      </c>
      <c r="T1471" s="7" t="s">
        <v>2046</v>
      </c>
      <c r="U1471" s="7"/>
      <c r="V1471" s="4" t="s">
        <v>51</v>
      </c>
      <c r="W1471" s="4" t="s">
        <v>76</v>
      </c>
      <c r="X1471" s="4" t="s">
        <v>91</v>
      </c>
      <c r="Y1471" s="7" t="s">
        <v>402</v>
      </c>
      <c r="Z1471" s="7"/>
      <c r="AA1471" s="4" t="s">
        <v>46</v>
      </c>
      <c r="AB1471" s="4" t="s">
        <v>115</v>
      </c>
      <c r="AC1471" s="4" t="s">
        <v>403</v>
      </c>
      <c r="AD1471" s="4" t="s">
        <v>2047</v>
      </c>
      <c r="AE1471" s="4" t="s">
        <v>48</v>
      </c>
      <c r="AF1471" s="4" t="s">
        <v>41</v>
      </c>
      <c r="AG1471" s="4" t="s">
        <v>3091</v>
      </c>
    </row>
    <row r="1472" spans="1:33" ht="16.5" customHeight="1" x14ac:dyDescent="0.2">
      <c r="A1472" s="2" t="s">
        <v>31</v>
      </c>
      <c r="B1472" s="5" t="s">
        <v>108</v>
      </c>
      <c r="C1472" s="5"/>
      <c r="D1472" s="5"/>
      <c r="E1472" s="6" t="s">
        <v>33</v>
      </c>
      <c r="F1472" s="6"/>
      <c r="G1472" s="7" t="s">
        <v>3088</v>
      </c>
      <c r="H1472" s="7"/>
      <c r="I1472" s="7"/>
      <c r="J1472" s="3" t="s">
        <v>35</v>
      </c>
      <c r="K1472" s="4" t="s">
        <v>398</v>
      </c>
      <c r="N1472" s="7" t="s">
        <v>3132</v>
      </c>
      <c r="O1472" s="7"/>
      <c r="P1472" s="7" t="s">
        <v>3133</v>
      </c>
      <c r="Q1472" s="7"/>
      <c r="R1472" s="7"/>
      <c r="S1472" s="3" t="s">
        <v>40</v>
      </c>
      <c r="T1472" s="7" t="s">
        <v>2865</v>
      </c>
      <c r="U1472" s="7"/>
      <c r="V1472" s="4" t="s">
        <v>51</v>
      </c>
      <c r="W1472" s="4" t="s">
        <v>90</v>
      </c>
      <c r="X1472" s="4" t="s">
        <v>103</v>
      </c>
      <c r="Y1472" s="7" t="s">
        <v>402</v>
      </c>
      <c r="Z1472" s="7"/>
      <c r="AA1472" s="4" t="s">
        <v>46</v>
      </c>
      <c r="AB1472" s="4" t="s">
        <v>115</v>
      </c>
      <c r="AC1472" s="4" t="s">
        <v>403</v>
      </c>
      <c r="AD1472" s="4" t="s">
        <v>2866</v>
      </c>
      <c r="AE1472" s="4" t="s">
        <v>48</v>
      </c>
      <c r="AF1472" s="4" t="s">
        <v>41</v>
      </c>
      <c r="AG1472" s="4" t="s">
        <v>3091</v>
      </c>
    </row>
    <row r="1473" spans="1:33" ht="16.5" customHeight="1" x14ac:dyDescent="0.2">
      <c r="A1473" s="2" t="s">
        <v>31</v>
      </c>
      <c r="B1473" s="5" t="s">
        <v>108</v>
      </c>
      <c r="C1473" s="5"/>
      <c r="D1473" s="5"/>
      <c r="E1473" s="6" t="s">
        <v>33</v>
      </c>
      <c r="F1473" s="6"/>
      <c r="G1473" s="7" t="s">
        <v>3088</v>
      </c>
      <c r="H1473" s="7"/>
      <c r="I1473" s="7"/>
      <c r="J1473" s="3" t="s">
        <v>35</v>
      </c>
      <c r="K1473" s="4" t="s">
        <v>398</v>
      </c>
      <c r="N1473" s="7" t="s">
        <v>3134</v>
      </c>
      <c r="O1473" s="7"/>
      <c r="P1473" s="7" t="s">
        <v>3135</v>
      </c>
      <c r="Q1473" s="7"/>
      <c r="R1473" s="7"/>
      <c r="S1473" s="3" t="s">
        <v>40</v>
      </c>
      <c r="T1473" s="7" t="s">
        <v>2865</v>
      </c>
      <c r="U1473" s="7"/>
      <c r="V1473" s="4" t="s">
        <v>42</v>
      </c>
      <c r="W1473" s="4" t="s">
        <v>172</v>
      </c>
      <c r="X1473" s="4" t="s">
        <v>386</v>
      </c>
      <c r="Y1473" s="7" t="s">
        <v>402</v>
      </c>
      <c r="Z1473" s="7"/>
      <c r="AA1473" s="4" t="s">
        <v>46</v>
      </c>
      <c r="AB1473" s="4" t="s">
        <v>115</v>
      </c>
      <c r="AC1473" s="4" t="s">
        <v>403</v>
      </c>
      <c r="AD1473" s="4" t="s">
        <v>2866</v>
      </c>
      <c r="AE1473" s="4" t="s">
        <v>48</v>
      </c>
      <c r="AF1473" s="4" t="s">
        <v>41</v>
      </c>
      <c r="AG1473" s="4" t="s">
        <v>3091</v>
      </c>
    </row>
    <row r="1474" spans="1:33" ht="16.5" customHeight="1" x14ac:dyDescent="0.2">
      <c r="A1474" s="2" t="s">
        <v>31</v>
      </c>
      <c r="B1474" s="5" t="s">
        <v>108</v>
      </c>
      <c r="C1474" s="5"/>
      <c r="D1474" s="5"/>
      <c r="E1474" s="6" t="s">
        <v>33</v>
      </c>
      <c r="F1474" s="6"/>
      <c r="G1474" s="7" t="s">
        <v>3088</v>
      </c>
      <c r="H1474" s="7"/>
      <c r="I1474" s="7"/>
      <c r="J1474" s="3" t="s">
        <v>35</v>
      </c>
      <c r="K1474" s="4" t="s">
        <v>398</v>
      </c>
      <c r="N1474" s="7" t="s">
        <v>3134</v>
      </c>
      <c r="O1474" s="7"/>
      <c r="P1474" s="7" t="s">
        <v>3135</v>
      </c>
      <c r="Q1474" s="7"/>
      <c r="R1474" s="7"/>
      <c r="S1474" s="3" t="s">
        <v>40</v>
      </c>
      <c r="T1474" s="7" t="s">
        <v>2865</v>
      </c>
      <c r="U1474" s="7"/>
      <c r="V1474" s="4" t="s">
        <v>51</v>
      </c>
      <c r="W1474" s="4" t="s">
        <v>172</v>
      </c>
      <c r="X1474" s="4" t="s">
        <v>59</v>
      </c>
      <c r="Y1474" s="7" t="s">
        <v>402</v>
      </c>
      <c r="Z1474" s="7"/>
      <c r="AA1474" s="4" t="s">
        <v>46</v>
      </c>
      <c r="AB1474" s="4" t="s">
        <v>115</v>
      </c>
      <c r="AC1474" s="4" t="s">
        <v>403</v>
      </c>
      <c r="AD1474" s="4" t="s">
        <v>2866</v>
      </c>
      <c r="AE1474" s="4" t="s">
        <v>48</v>
      </c>
      <c r="AF1474" s="4" t="s">
        <v>41</v>
      </c>
      <c r="AG1474" s="4" t="s">
        <v>3091</v>
      </c>
    </row>
    <row r="1475" spans="1:33" ht="16.5" customHeight="1" x14ac:dyDescent="0.2">
      <c r="A1475" s="2" t="s">
        <v>31</v>
      </c>
      <c r="B1475" s="5" t="s">
        <v>108</v>
      </c>
      <c r="C1475" s="5"/>
      <c r="D1475" s="5"/>
      <c r="E1475" s="6" t="s">
        <v>33</v>
      </c>
      <c r="F1475" s="6"/>
      <c r="G1475" s="7" t="s">
        <v>3088</v>
      </c>
      <c r="H1475" s="7"/>
      <c r="I1475" s="7"/>
      <c r="J1475" s="3" t="s">
        <v>35</v>
      </c>
      <c r="K1475" s="4" t="s">
        <v>1285</v>
      </c>
      <c r="N1475" s="7" t="s">
        <v>3136</v>
      </c>
      <c r="O1475" s="7"/>
      <c r="P1475" s="7" t="s">
        <v>3137</v>
      </c>
      <c r="Q1475" s="7"/>
      <c r="R1475" s="7"/>
      <c r="S1475" s="3" t="s">
        <v>40</v>
      </c>
      <c r="T1475" s="7" t="s">
        <v>3138</v>
      </c>
      <c r="U1475" s="7"/>
      <c r="V1475" s="4" t="s">
        <v>925</v>
      </c>
      <c r="W1475" s="4" t="s">
        <v>3139</v>
      </c>
      <c r="X1475" s="4" t="s">
        <v>104</v>
      </c>
      <c r="Y1475" s="7" t="s">
        <v>937</v>
      </c>
      <c r="Z1475" s="7"/>
      <c r="AA1475" s="4" t="s">
        <v>46</v>
      </c>
      <c r="AB1475" s="4" t="s">
        <v>115</v>
      </c>
      <c r="AC1475" s="4" t="s">
        <v>938</v>
      </c>
      <c r="AD1475" s="4" t="s">
        <v>3140</v>
      </c>
      <c r="AE1475" s="4" t="s">
        <v>48</v>
      </c>
      <c r="AF1475" s="4" t="s">
        <v>41</v>
      </c>
      <c r="AG1475" s="4" t="s">
        <v>3091</v>
      </c>
    </row>
    <row r="1476" spans="1:33" ht="16.5" customHeight="1" x14ac:dyDescent="0.2">
      <c r="A1476" s="2" t="s">
        <v>31</v>
      </c>
      <c r="B1476" s="5" t="s">
        <v>646</v>
      </c>
      <c r="C1476" s="5"/>
      <c r="D1476" s="5"/>
      <c r="E1476" s="6" t="s">
        <v>33</v>
      </c>
      <c r="F1476" s="6"/>
      <c r="G1476" s="7" t="s">
        <v>3141</v>
      </c>
      <c r="H1476" s="7"/>
      <c r="I1476" s="7"/>
      <c r="J1476" s="3" t="s">
        <v>35</v>
      </c>
      <c r="K1476" s="4" t="s">
        <v>661</v>
      </c>
      <c r="L1476" s="4" t="s">
        <v>37</v>
      </c>
      <c r="N1476" s="7" t="s">
        <v>3142</v>
      </c>
      <c r="O1476" s="7"/>
      <c r="P1476" s="7" t="s">
        <v>3143</v>
      </c>
      <c r="Q1476" s="7"/>
      <c r="R1476" s="7"/>
      <c r="S1476" s="3" t="s">
        <v>40</v>
      </c>
      <c r="T1476" s="7" t="s">
        <v>671</v>
      </c>
      <c r="U1476" s="7"/>
      <c r="V1476" s="4" t="s">
        <v>51</v>
      </c>
      <c r="W1476" s="4" t="s">
        <v>58</v>
      </c>
      <c r="X1476" s="4" t="s">
        <v>128</v>
      </c>
      <c r="Y1476" s="7" t="s">
        <v>664</v>
      </c>
      <c r="Z1476" s="7"/>
      <c r="AA1476" s="4" t="s">
        <v>46</v>
      </c>
      <c r="AB1476" s="4" t="s">
        <v>47</v>
      </c>
      <c r="AD1476" s="4" t="s">
        <v>41</v>
      </c>
      <c r="AE1476" s="4" t="s">
        <v>48</v>
      </c>
      <c r="AF1476" s="4" t="s">
        <v>41</v>
      </c>
      <c r="AG1476" s="4" t="s">
        <v>3144</v>
      </c>
    </row>
    <row r="1477" spans="1:33" ht="16.5" customHeight="1" x14ac:dyDescent="0.2">
      <c r="A1477" s="2" t="s">
        <v>31</v>
      </c>
      <c r="B1477" s="5" t="s">
        <v>54</v>
      </c>
      <c r="C1477" s="5"/>
      <c r="D1477" s="5"/>
      <c r="E1477" s="6" t="s">
        <v>33</v>
      </c>
      <c r="F1477" s="6"/>
      <c r="G1477" s="7" t="s">
        <v>3141</v>
      </c>
      <c r="H1477" s="7"/>
      <c r="I1477" s="7"/>
      <c r="J1477" s="3" t="s">
        <v>35</v>
      </c>
      <c r="K1477" s="4" t="s">
        <v>149</v>
      </c>
      <c r="L1477" s="4" t="s">
        <v>37</v>
      </c>
      <c r="N1477" s="7" t="s">
        <v>3145</v>
      </c>
      <c r="O1477" s="7"/>
      <c r="P1477" s="7" t="s">
        <v>3146</v>
      </c>
      <c r="Q1477" s="7"/>
      <c r="R1477" s="7"/>
      <c r="S1477" s="3" t="s">
        <v>40</v>
      </c>
      <c r="T1477" s="7" t="s">
        <v>41</v>
      </c>
      <c r="U1477" s="7"/>
      <c r="V1477" s="4" t="s">
        <v>51</v>
      </c>
      <c r="W1477" s="4" t="s">
        <v>557</v>
      </c>
      <c r="X1477" s="4" t="s">
        <v>171</v>
      </c>
      <c r="Y1477" s="7" t="s">
        <v>78</v>
      </c>
      <c r="Z1477" s="7"/>
      <c r="AA1477" s="4" t="s">
        <v>46</v>
      </c>
      <c r="AB1477" s="4" t="s">
        <v>47</v>
      </c>
      <c r="AC1477" s="4" t="s">
        <v>136</v>
      </c>
      <c r="AD1477" s="4" t="s">
        <v>137</v>
      </c>
      <c r="AE1477" s="4" t="s">
        <v>48</v>
      </c>
      <c r="AF1477" s="4" t="s">
        <v>41</v>
      </c>
      <c r="AG1477" s="4" t="s">
        <v>3144</v>
      </c>
    </row>
    <row r="1478" spans="1:33" ht="16.5" customHeight="1" x14ac:dyDescent="0.2">
      <c r="A1478" s="2" t="s">
        <v>31</v>
      </c>
      <c r="B1478" s="5" t="s">
        <v>54</v>
      </c>
      <c r="C1478" s="5"/>
      <c r="D1478" s="5"/>
      <c r="E1478" s="6" t="s">
        <v>33</v>
      </c>
      <c r="F1478" s="6"/>
      <c r="G1478" s="7" t="s">
        <v>3141</v>
      </c>
      <c r="H1478" s="7"/>
      <c r="I1478" s="7"/>
      <c r="J1478" s="3" t="s">
        <v>35</v>
      </c>
      <c r="K1478" s="4" t="s">
        <v>149</v>
      </c>
      <c r="L1478" s="4" t="s">
        <v>37</v>
      </c>
      <c r="N1478" s="7" t="s">
        <v>3147</v>
      </c>
      <c r="O1478" s="7"/>
      <c r="P1478" s="7" t="s">
        <v>3148</v>
      </c>
      <c r="Q1478" s="7"/>
      <c r="R1478" s="7"/>
      <c r="S1478" s="3" t="s">
        <v>40</v>
      </c>
      <c r="T1478" s="7" t="s">
        <v>41</v>
      </c>
      <c r="U1478" s="7"/>
      <c r="V1478" s="4" t="s">
        <v>42</v>
      </c>
      <c r="W1478" s="4" t="s">
        <v>983</v>
      </c>
      <c r="X1478" s="4" t="s">
        <v>537</v>
      </c>
      <c r="Y1478" s="7" t="s">
        <v>78</v>
      </c>
      <c r="Z1478" s="7"/>
      <c r="AA1478" s="4" t="s">
        <v>46</v>
      </c>
      <c r="AB1478" s="4" t="s">
        <v>47</v>
      </c>
      <c r="AC1478" s="4" t="s">
        <v>136</v>
      </c>
      <c r="AD1478" s="4" t="s">
        <v>137</v>
      </c>
      <c r="AE1478" s="4" t="s">
        <v>48</v>
      </c>
      <c r="AF1478" s="4" t="s">
        <v>41</v>
      </c>
      <c r="AG1478" s="4" t="s">
        <v>3144</v>
      </c>
    </row>
    <row r="1479" spans="1:33" ht="16.5" customHeight="1" x14ac:dyDescent="0.2">
      <c r="A1479" s="2" t="s">
        <v>31</v>
      </c>
      <c r="B1479" s="5" t="s">
        <v>54</v>
      </c>
      <c r="C1479" s="5"/>
      <c r="D1479" s="5"/>
      <c r="E1479" s="6" t="s">
        <v>33</v>
      </c>
      <c r="F1479" s="6"/>
      <c r="G1479" s="7" t="s">
        <v>3141</v>
      </c>
      <c r="H1479" s="7"/>
      <c r="I1479" s="7"/>
      <c r="J1479" s="3" t="s">
        <v>35</v>
      </c>
      <c r="K1479" s="4" t="s">
        <v>657</v>
      </c>
      <c r="L1479" s="4" t="s">
        <v>37</v>
      </c>
      <c r="N1479" s="7" t="s">
        <v>3149</v>
      </c>
      <c r="O1479" s="7"/>
      <c r="P1479" s="7" t="s">
        <v>3150</v>
      </c>
      <c r="Q1479" s="7"/>
      <c r="R1479" s="7"/>
      <c r="S1479" s="3" t="s">
        <v>40</v>
      </c>
      <c r="T1479" s="7" t="s">
        <v>41</v>
      </c>
      <c r="U1479" s="7"/>
      <c r="V1479" s="4" t="s">
        <v>51</v>
      </c>
      <c r="W1479" s="4" t="s">
        <v>58</v>
      </c>
      <c r="X1479" s="4" t="s">
        <v>128</v>
      </c>
      <c r="Y1479" s="7" t="s">
        <v>197</v>
      </c>
      <c r="Z1479" s="7"/>
      <c r="AA1479" s="4" t="s">
        <v>46</v>
      </c>
      <c r="AB1479" s="4" t="s">
        <v>47</v>
      </c>
      <c r="AC1479" s="4" t="s">
        <v>136</v>
      </c>
      <c r="AD1479" s="4" t="s">
        <v>137</v>
      </c>
      <c r="AE1479" s="4" t="s">
        <v>48</v>
      </c>
      <c r="AF1479" s="4" t="s">
        <v>41</v>
      </c>
      <c r="AG1479" s="4" t="s">
        <v>3144</v>
      </c>
    </row>
    <row r="1480" spans="1:33" ht="16.5" customHeight="1" x14ac:dyDescent="0.2">
      <c r="A1480" s="2" t="s">
        <v>31</v>
      </c>
      <c r="B1480" s="5" t="s">
        <v>54</v>
      </c>
      <c r="C1480" s="5"/>
      <c r="D1480" s="5"/>
      <c r="E1480" s="6" t="s">
        <v>33</v>
      </c>
      <c r="F1480" s="6"/>
      <c r="G1480" s="7" t="s">
        <v>3141</v>
      </c>
      <c r="H1480" s="7"/>
      <c r="I1480" s="7"/>
      <c r="J1480" s="3" t="s">
        <v>35</v>
      </c>
      <c r="K1480" s="4" t="s">
        <v>97</v>
      </c>
      <c r="L1480" s="4" t="s">
        <v>37</v>
      </c>
      <c r="N1480" s="7" t="s">
        <v>3151</v>
      </c>
      <c r="O1480" s="7"/>
      <c r="P1480" s="7" t="s">
        <v>3152</v>
      </c>
      <c r="Q1480" s="7"/>
      <c r="R1480" s="7"/>
      <c r="S1480" s="3" t="s">
        <v>40</v>
      </c>
      <c r="T1480" s="7" t="s">
        <v>41</v>
      </c>
      <c r="U1480" s="7"/>
      <c r="V1480" s="4" t="s">
        <v>42</v>
      </c>
      <c r="W1480" s="4" t="s">
        <v>3153</v>
      </c>
      <c r="X1480" s="4" t="s">
        <v>3154</v>
      </c>
      <c r="Y1480" s="7" t="s">
        <v>78</v>
      </c>
      <c r="Z1480" s="7"/>
      <c r="AA1480" s="4" t="s">
        <v>46</v>
      </c>
      <c r="AB1480" s="4" t="s">
        <v>47</v>
      </c>
      <c r="AC1480" s="4" t="s">
        <v>72</v>
      </c>
      <c r="AD1480" s="4" t="s">
        <v>41</v>
      </c>
      <c r="AE1480" s="4" t="s">
        <v>48</v>
      </c>
      <c r="AF1480" s="4" t="s">
        <v>41</v>
      </c>
      <c r="AG1480" s="4" t="s">
        <v>3144</v>
      </c>
    </row>
    <row r="1481" spans="1:33" ht="16.5" customHeight="1" x14ac:dyDescent="0.2">
      <c r="A1481" s="2" t="s">
        <v>31</v>
      </c>
      <c r="B1481" s="5" t="s">
        <v>54</v>
      </c>
      <c r="C1481" s="5"/>
      <c r="D1481" s="5"/>
      <c r="E1481" s="6" t="s">
        <v>33</v>
      </c>
      <c r="F1481" s="6"/>
      <c r="G1481" s="7" t="s">
        <v>3141</v>
      </c>
      <c r="H1481" s="7"/>
      <c r="I1481" s="7"/>
      <c r="J1481" s="3" t="s">
        <v>35</v>
      </c>
      <c r="K1481" s="4" t="s">
        <v>149</v>
      </c>
      <c r="L1481" s="4" t="s">
        <v>93</v>
      </c>
      <c r="N1481" s="7" t="s">
        <v>3155</v>
      </c>
      <c r="O1481" s="7"/>
      <c r="P1481" s="7" t="s">
        <v>3156</v>
      </c>
      <c r="Q1481" s="7"/>
      <c r="R1481" s="7"/>
      <c r="S1481" s="3" t="s">
        <v>40</v>
      </c>
      <c r="T1481" s="7" t="s">
        <v>41</v>
      </c>
      <c r="U1481" s="7"/>
      <c r="V1481" s="4" t="s">
        <v>51</v>
      </c>
      <c r="W1481" s="4" t="s">
        <v>1343</v>
      </c>
      <c r="X1481" s="4" t="s">
        <v>134</v>
      </c>
      <c r="Y1481" s="7" t="s">
        <v>78</v>
      </c>
      <c r="Z1481" s="7"/>
      <c r="AA1481" s="4" t="s">
        <v>46</v>
      </c>
      <c r="AB1481" s="4" t="s">
        <v>47</v>
      </c>
      <c r="AC1481" s="4" t="s">
        <v>136</v>
      </c>
      <c r="AD1481" s="4" t="s">
        <v>148</v>
      </c>
      <c r="AE1481" s="4" t="s">
        <v>48</v>
      </c>
      <c r="AF1481" s="4" t="s">
        <v>41</v>
      </c>
      <c r="AG1481" s="4" t="s">
        <v>3144</v>
      </c>
    </row>
    <row r="1482" spans="1:33" ht="16.5" customHeight="1" x14ac:dyDescent="0.2">
      <c r="A1482" s="2" t="s">
        <v>31</v>
      </c>
      <c r="B1482" s="5" t="s">
        <v>54</v>
      </c>
      <c r="C1482" s="5"/>
      <c r="D1482" s="5"/>
      <c r="E1482" s="6" t="s">
        <v>33</v>
      </c>
      <c r="F1482" s="6"/>
      <c r="G1482" s="7" t="s">
        <v>3141</v>
      </c>
      <c r="H1482" s="7"/>
      <c r="I1482" s="7"/>
      <c r="J1482" s="3" t="s">
        <v>35</v>
      </c>
      <c r="K1482" s="4" t="s">
        <v>149</v>
      </c>
      <c r="L1482" s="4" t="s">
        <v>93</v>
      </c>
      <c r="N1482" s="7" t="s">
        <v>3157</v>
      </c>
      <c r="O1482" s="7"/>
      <c r="P1482" s="7" t="s">
        <v>3158</v>
      </c>
      <c r="Q1482" s="7"/>
      <c r="R1482" s="7"/>
      <c r="S1482" s="3" t="s">
        <v>40</v>
      </c>
      <c r="T1482" s="7" t="s">
        <v>41</v>
      </c>
      <c r="U1482" s="7"/>
      <c r="V1482" s="4" t="s">
        <v>42</v>
      </c>
      <c r="W1482" s="4" t="s">
        <v>263</v>
      </c>
      <c r="X1482" s="4" t="s">
        <v>264</v>
      </c>
      <c r="Y1482" s="7" t="s">
        <v>78</v>
      </c>
      <c r="Z1482" s="7"/>
      <c r="AA1482" s="4" t="s">
        <v>46</v>
      </c>
      <c r="AB1482" s="4" t="s">
        <v>47</v>
      </c>
      <c r="AC1482" s="4" t="s">
        <v>136</v>
      </c>
      <c r="AD1482" s="4" t="s">
        <v>148</v>
      </c>
      <c r="AE1482" s="4" t="s">
        <v>48</v>
      </c>
      <c r="AF1482" s="4" t="s">
        <v>41</v>
      </c>
      <c r="AG1482" s="4" t="s">
        <v>3144</v>
      </c>
    </row>
    <row r="1483" spans="1:33" ht="16.5" customHeight="1" x14ac:dyDescent="0.2">
      <c r="A1483" s="2" t="s">
        <v>31</v>
      </c>
      <c r="B1483" s="5" t="s">
        <v>54</v>
      </c>
      <c r="C1483" s="5"/>
      <c r="D1483" s="5"/>
      <c r="E1483" s="6" t="s">
        <v>33</v>
      </c>
      <c r="F1483" s="6"/>
      <c r="G1483" s="7" t="s">
        <v>3141</v>
      </c>
      <c r="H1483" s="7"/>
      <c r="I1483" s="7"/>
      <c r="J1483" s="3" t="s">
        <v>35</v>
      </c>
      <c r="K1483" s="4" t="s">
        <v>414</v>
      </c>
      <c r="L1483" s="4" t="s">
        <v>37</v>
      </c>
      <c r="N1483" s="7" t="s">
        <v>3159</v>
      </c>
      <c r="O1483" s="7"/>
      <c r="P1483" s="7" t="s">
        <v>3160</v>
      </c>
      <c r="Q1483" s="7"/>
      <c r="R1483" s="7"/>
      <c r="S1483" s="3" t="s">
        <v>40</v>
      </c>
      <c r="T1483" s="7" t="s">
        <v>41</v>
      </c>
      <c r="U1483" s="7"/>
      <c r="V1483" s="4" t="s">
        <v>42</v>
      </c>
      <c r="W1483" s="4" t="s">
        <v>172</v>
      </c>
      <c r="X1483" s="4" t="s">
        <v>386</v>
      </c>
      <c r="Y1483" s="7" t="s">
        <v>197</v>
      </c>
      <c r="Z1483" s="7"/>
      <c r="AA1483" s="4" t="s">
        <v>46</v>
      </c>
      <c r="AB1483" s="4" t="s">
        <v>47</v>
      </c>
      <c r="AC1483" s="4" t="s">
        <v>136</v>
      </c>
      <c r="AD1483" s="4" t="s">
        <v>137</v>
      </c>
      <c r="AE1483" s="4" t="s">
        <v>48</v>
      </c>
      <c r="AF1483" s="4" t="s">
        <v>41</v>
      </c>
      <c r="AG1483" s="4" t="s">
        <v>3144</v>
      </c>
    </row>
    <row r="1484" spans="1:33" ht="16.5" customHeight="1" x14ac:dyDescent="0.2">
      <c r="A1484" s="2" t="s">
        <v>31</v>
      </c>
      <c r="B1484" s="5" t="s">
        <v>54</v>
      </c>
      <c r="C1484" s="5"/>
      <c r="D1484" s="5"/>
      <c r="E1484" s="6" t="s">
        <v>33</v>
      </c>
      <c r="F1484" s="6"/>
      <c r="G1484" s="7" t="s">
        <v>3141</v>
      </c>
      <c r="H1484" s="7"/>
      <c r="I1484" s="7"/>
      <c r="J1484" s="3" t="s">
        <v>35</v>
      </c>
      <c r="K1484" s="4" t="s">
        <v>414</v>
      </c>
      <c r="L1484" s="4" t="s">
        <v>37</v>
      </c>
      <c r="N1484" s="7" t="s">
        <v>3159</v>
      </c>
      <c r="O1484" s="7"/>
      <c r="P1484" s="7" t="s">
        <v>3160</v>
      </c>
      <c r="Q1484" s="7"/>
      <c r="R1484" s="7"/>
      <c r="S1484" s="3" t="s">
        <v>40</v>
      </c>
      <c r="T1484" s="7" t="s">
        <v>41</v>
      </c>
      <c r="U1484" s="7"/>
      <c r="V1484" s="4" t="s">
        <v>51</v>
      </c>
      <c r="W1484" s="4" t="s">
        <v>172</v>
      </c>
      <c r="X1484" s="4" t="s">
        <v>59</v>
      </c>
      <c r="Y1484" s="7" t="s">
        <v>197</v>
      </c>
      <c r="Z1484" s="7"/>
      <c r="AA1484" s="4" t="s">
        <v>46</v>
      </c>
      <c r="AB1484" s="4" t="s">
        <v>47</v>
      </c>
      <c r="AC1484" s="4" t="s">
        <v>136</v>
      </c>
      <c r="AD1484" s="4" t="s">
        <v>137</v>
      </c>
      <c r="AE1484" s="4" t="s">
        <v>48</v>
      </c>
      <c r="AF1484" s="4" t="s">
        <v>41</v>
      </c>
      <c r="AG1484" s="4" t="s">
        <v>3144</v>
      </c>
    </row>
    <row r="1485" spans="1:33" ht="16.5" customHeight="1" x14ac:dyDescent="0.2">
      <c r="A1485" s="2" t="s">
        <v>31</v>
      </c>
      <c r="B1485" s="5" t="s">
        <v>54</v>
      </c>
      <c r="C1485" s="5"/>
      <c r="D1485" s="5"/>
      <c r="E1485" s="6" t="s">
        <v>33</v>
      </c>
      <c r="F1485" s="6"/>
      <c r="G1485" s="7" t="s">
        <v>3141</v>
      </c>
      <c r="H1485" s="7"/>
      <c r="I1485" s="7"/>
      <c r="J1485" s="3" t="s">
        <v>35</v>
      </c>
      <c r="K1485" s="4" t="s">
        <v>55</v>
      </c>
      <c r="L1485" s="4" t="s">
        <v>93</v>
      </c>
      <c r="N1485" s="7" t="s">
        <v>3161</v>
      </c>
      <c r="O1485" s="7"/>
      <c r="P1485" s="7" t="s">
        <v>3162</v>
      </c>
      <c r="Q1485" s="7"/>
      <c r="R1485" s="7"/>
      <c r="S1485" s="3" t="s">
        <v>40</v>
      </c>
      <c r="T1485" s="7" t="s">
        <v>41</v>
      </c>
      <c r="U1485" s="7"/>
      <c r="V1485" s="4" t="s">
        <v>42</v>
      </c>
      <c r="W1485" s="4" t="s">
        <v>168</v>
      </c>
      <c r="X1485" s="4" t="s">
        <v>169</v>
      </c>
      <c r="Y1485" s="7" t="s">
        <v>60</v>
      </c>
      <c r="Z1485" s="7"/>
      <c r="AA1485" s="4" t="s">
        <v>46</v>
      </c>
      <c r="AB1485" s="4" t="s">
        <v>47</v>
      </c>
      <c r="AC1485" s="4" t="s">
        <v>79</v>
      </c>
      <c r="AD1485" s="4" t="s">
        <v>96</v>
      </c>
      <c r="AE1485" s="4" t="s">
        <v>48</v>
      </c>
      <c r="AF1485" s="4" t="s">
        <v>41</v>
      </c>
      <c r="AG1485" s="4" t="s">
        <v>3144</v>
      </c>
    </row>
    <row r="1486" spans="1:33" ht="16.5" customHeight="1" x14ac:dyDescent="0.2">
      <c r="A1486" s="2" t="s">
        <v>31</v>
      </c>
      <c r="B1486" s="5" t="s">
        <v>54</v>
      </c>
      <c r="C1486" s="5"/>
      <c r="D1486" s="5"/>
      <c r="E1486" s="6" t="s">
        <v>33</v>
      </c>
      <c r="F1486" s="6"/>
      <c r="G1486" s="7" t="s">
        <v>3141</v>
      </c>
      <c r="H1486" s="7"/>
      <c r="I1486" s="7"/>
      <c r="J1486" s="3" t="s">
        <v>35</v>
      </c>
      <c r="K1486" s="4" t="s">
        <v>149</v>
      </c>
      <c r="L1486" s="4" t="s">
        <v>37</v>
      </c>
      <c r="N1486" s="7" t="s">
        <v>3163</v>
      </c>
      <c r="O1486" s="7"/>
      <c r="P1486" s="7" t="s">
        <v>3164</v>
      </c>
      <c r="Q1486" s="7"/>
      <c r="R1486" s="7"/>
      <c r="S1486" s="3" t="s">
        <v>40</v>
      </c>
      <c r="T1486" s="7" t="s">
        <v>41</v>
      </c>
      <c r="U1486" s="7"/>
      <c r="V1486" s="4" t="s">
        <v>42</v>
      </c>
      <c r="W1486" s="4" t="s">
        <v>818</v>
      </c>
      <c r="X1486" s="4" t="s">
        <v>789</v>
      </c>
      <c r="Y1486" s="7" t="s">
        <v>78</v>
      </c>
      <c r="Z1486" s="7"/>
      <c r="AA1486" s="4" t="s">
        <v>46</v>
      </c>
      <c r="AB1486" s="4" t="s">
        <v>47</v>
      </c>
      <c r="AC1486" s="4" t="s">
        <v>136</v>
      </c>
      <c r="AD1486" s="4" t="s">
        <v>137</v>
      </c>
      <c r="AE1486" s="4" t="s">
        <v>48</v>
      </c>
      <c r="AF1486" s="4" t="s">
        <v>41</v>
      </c>
      <c r="AG1486" s="4" t="s">
        <v>3144</v>
      </c>
    </row>
    <row r="1487" spans="1:33" ht="16.5" customHeight="1" x14ac:dyDescent="0.2">
      <c r="A1487" s="2" t="s">
        <v>31</v>
      </c>
      <c r="B1487" s="5" t="s">
        <v>54</v>
      </c>
      <c r="C1487" s="5"/>
      <c r="D1487" s="5"/>
      <c r="E1487" s="6" t="s">
        <v>33</v>
      </c>
      <c r="F1487" s="6"/>
      <c r="G1487" s="7" t="s">
        <v>3141</v>
      </c>
      <c r="H1487" s="7"/>
      <c r="I1487" s="7"/>
      <c r="J1487" s="3" t="s">
        <v>35</v>
      </c>
      <c r="K1487" s="4" t="s">
        <v>73</v>
      </c>
      <c r="L1487" s="4" t="s">
        <v>37</v>
      </c>
      <c r="N1487" s="7" t="s">
        <v>3165</v>
      </c>
      <c r="O1487" s="7"/>
      <c r="P1487" s="7" t="s">
        <v>3166</v>
      </c>
      <c r="Q1487" s="7"/>
      <c r="R1487" s="7"/>
      <c r="S1487" s="3" t="s">
        <v>40</v>
      </c>
      <c r="T1487" s="7" t="s">
        <v>41</v>
      </c>
      <c r="U1487" s="7"/>
      <c r="V1487" s="4" t="s">
        <v>42</v>
      </c>
      <c r="W1487" s="4" t="s">
        <v>217</v>
      </c>
      <c r="X1487" s="4" t="s">
        <v>218</v>
      </c>
      <c r="Y1487" s="7" t="s">
        <v>78</v>
      </c>
      <c r="Z1487" s="7"/>
      <c r="AA1487" s="4" t="s">
        <v>46</v>
      </c>
      <c r="AB1487" s="4" t="s">
        <v>47</v>
      </c>
      <c r="AC1487" s="4" t="s">
        <v>136</v>
      </c>
      <c r="AD1487" s="4" t="s">
        <v>137</v>
      </c>
      <c r="AE1487" s="4" t="s">
        <v>48</v>
      </c>
      <c r="AF1487" s="4" t="s">
        <v>41</v>
      </c>
      <c r="AG1487" s="4" t="s">
        <v>3144</v>
      </c>
    </row>
    <row r="1488" spans="1:33" ht="16.5" customHeight="1" x14ac:dyDescent="0.2">
      <c r="A1488" s="2" t="s">
        <v>31</v>
      </c>
      <c r="B1488" s="5" t="s">
        <v>54</v>
      </c>
      <c r="C1488" s="5"/>
      <c r="D1488" s="5"/>
      <c r="E1488" s="6" t="s">
        <v>33</v>
      </c>
      <c r="F1488" s="6"/>
      <c r="G1488" s="7" t="s">
        <v>3141</v>
      </c>
      <c r="H1488" s="7"/>
      <c r="I1488" s="7"/>
      <c r="J1488" s="3" t="s">
        <v>35</v>
      </c>
      <c r="K1488" s="4" t="s">
        <v>149</v>
      </c>
      <c r="L1488" s="4" t="s">
        <v>37</v>
      </c>
      <c r="N1488" s="7" t="s">
        <v>3167</v>
      </c>
      <c r="O1488" s="7"/>
      <c r="P1488" s="7" t="s">
        <v>3168</v>
      </c>
      <c r="Q1488" s="7"/>
      <c r="R1488" s="7"/>
      <c r="S1488" s="3" t="s">
        <v>40</v>
      </c>
      <c r="T1488" s="7" t="s">
        <v>41</v>
      </c>
      <c r="U1488" s="7"/>
      <c r="V1488" s="4" t="s">
        <v>51</v>
      </c>
      <c r="W1488" s="4" t="s">
        <v>333</v>
      </c>
      <c r="X1488" s="4" t="s">
        <v>338</v>
      </c>
      <c r="Y1488" s="7" t="s">
        <v>78</v>
      </c>
      <c r="Z1488" s="7"/>
      <c r="AA1488" s="4" t="s">
        <v>46</v>
      </c>
      <c r="AB1488" s="4" t="s">
        <v>47</v>
      </c>
      <c r="AC1488" s="4" t="s">
        <v>136</v>
      </c>
      <c r="AD1488" s="4" t="s">
        <v>137</v>
      </c>
      <c r="AE1488" s="4" t="s">
        <v>48</v>
      </c>
      <c r="AF1488" s="4" t="s">
        <v>41</v>
      </c>
      <c r="AG1488" s="4" t="s">
        <v>3144</v>
      </c>
    </row>
    <row r="1489" spans="1:33" ht="16.5" customHeight="1" x14ac:dyDescent="0.2">
      <c r="A1489" s="2" t="s">
        <v>31</v>
      </c>
      <c r="B1489" s="5" t="s">
        <v>54</v>
      </c>
      <c r="C1489" s="5"/>
      <c r="D1489" s="5"/>
      <c r="E1489" s="6" t="s">
        <v>33</v>
      </c>
      <c r="F1489" s="6"/>
      <c r="G1489" s="7" t="s">
        <v>3141</v>
      </c>
      <c r="H1489" s="7"/>
      <c r="I1489" s="7"/>
      <c r="J1489" s="3" t="s">
        <v>35</v>
      </c>
      <c r="K1489" s="4" t="s">
        <v>409</v>
      </c>
      <c r="L1489" s="4" t="s">
        <v>37</v>
      </c>
      <c r="N1489" s="7" t="s">
        <v>3169</v>
      </c>
      <c r="O1489" s="7"/>
      <c r="P1489" s="7" t="s">
        <v>3170</v>
      </c>
      <c r="Q1489" s="7"/>
      <c r="R1489" s="7"/>
      <c r="S1489" s="3" t="s">
        <v>40</v>
      </c>
      <c r="T1489" s="7" t="s">
        <v>41</v>
      </c>
      <c r="U1489" s="7"/>
      <c r="V1489" s="4" t="s">
        <v>42</v>
      </c>
      <c r="W1489" s="4" t="s">
        <v>158</v>
      </c>
      <c r="X1489" s="4" t="s">
        <v>159</v>
      </c>
      <c r="Y1489" s="7" t="s">
        <v>60</v>
      </c>
      <c r="Z1489" s="7"/>
      <c r="AA1489" s="4" t="s">
        <v>46</v>
      </c>
      <c r="AB1489" s="4" t="s">
        <v>47</v>
      </c>
      <c r="AC1489" s="4" t="s">
        <v>79</v>
      </c>
      <c r="AD1489" s="4" t="s">
        <v>80</v>
      </c>
      <c r="AE1489" s="4" t="s">
        <v>48</v>
      </c>
      <c r="AF1489" s="4" t="s">
        <v>41</v>
      </c>
      <c r="AG1489" s="4" t="s">
        <v>3144</v>
      </c>
    </row>
    <row r="1490" spans="1:33" ht="16.5" customHeight="1" x14ac:dyDescent="0.2">
      <c r="A1490" s="2" t="s">
        <v>31</v>
      </c>
      <c r="B1490" s="5" t="s">
        <v>108</v>
      </c>
      <c r="C1490" s="5"/>
      <c r="D1490" s="5"/>
      <c r="E1490" s="6" t="s">
        <v>33</v>
      </c>
      <c r="F1490" s="6"/>
      <c r="G1490" s="7" t="s">
        <v>3141</v>
      </c>
      <c r="H1490" s="7"/>
      <c r="I1490" s="7"/>
      <c r="J1490" s="3" t="s">
        <v>109</v>
      </c>
      <c r="K1490" s="4" t="s">
        <v>558</v>
      </c>
      <c r="N1490" s="7" t="s">
        <v>3169</v>
      </c>
      <c r="O1490" s="7"/>
      <c r="P1490" s="7" t="s">
        <v>3170</v>
      </c>
      <c r="Q1490" s="7"/>
      <c r="R1490" s="7"/>
      <c r="S1490" s="3" t="s">
        <v>40</v>
      </c>
      <c r="T1490" s="7" t="s">
        <v>424</v>
      </c>
      <c r="U1490" s="7"/>
      <c r="V1490" s="4" t="s">
        <v>42</v>
      </c>
      <c r="W1490" s="4" t="s">
        <v>58</v>
      </c>
      <c r="X1490" s="4" t="s">
        <v>334</v>
      </c>
      <c r="Y1490" s="7" t="s">
        <v>114</v>
      </c>
      <c r="Z1490" s="7"/>
      <c r="AA1490" s="4" t="s">
        <v>46</v>
      </c>
      <c r="AB1490" s="4" t="s">
        <v>115</v>
      </c>
      <c r="AC1490" s="4" t="s">
        <v>116</v>
      </c>
      <c r="AD1490" s="4" t="s">
        <v>559</v>
      </c>
      <c r="AE1490" s="4" t="s">
        <v>48</v>
      </c>
      <c r="AF1490" s="4" t="s">
        <v>41</v>
      </c>
      <c r="AG1490" s="4" t="s">
        <v>3144</v>
      </c>
    </row>
    <row r="1491" spans="1:33" ht="16.5" customHeight="1" x14ac:dyDescent="0.2">
      <c r="A1491" s="2" t="s">
        <v>31</v>
      </c>
      <c r="B1491" s="5" t="s">
        <v>54</v>
      </c>
      <c r="C1491" s="5"/>
      <c r="D1491" s="5"/>
      <c r="E1491" s="6" t="s">
        <v>33</v>
      </c>
      <c r="F1491" s="6"/>
      <c r="G1491" s="7" t="s">
        <v>3141</v>
      </c>
      <c r="H1491" s="7"/>
      <c r="I1491" s="7"/>
      <c r="J1491" s="3" t="s">
        <v>35</v>
      </c>
      <c r="K1491" s="4" t="s">
        <v>409</v>
      </c>
      <c r="L1491" s="4" t="s">
        <v>37</v>
      </c>
      <c r="N1491" s="7" t="s">
        <v>3171</v>
      </c>
      <c r="O1491" s="7"/>
      <c r="P1491" s="7" t="s">
        <v>1688</v>
      </c>
      <c r="Q1491" s="7"/>
      <c r="R1491" s="7"/>
      <c r="S1491" s="3" t="s">
        <v>40</v>
      </c>
      <c r="T1491" s="7" t="s">
        <v>41</v>
      </c>
      <c r="U1491" s="7"/>
      <c r="V1491" s="4" t="s">
        <v>42</v>
      </c>
      <c r="W1491" s="4" t="s">
        <v>2194</v>
      </c>
      <c r="X1491" s="4" t="s">
        <v>2195</v>
      </c>
      <c r="Y1491" s="7" t="s">
        <v>60</v>
      </c>
      <c r="Z1491" s="7"/>
      <c r="AA1491" s="4" t="s">
        <v>46</v>
      </c>
      <c r="AB1491" s="4" t="s">
        <v>47</v>
      </c>
      <c r="AC1491" s="4" t="s">
        <v>79</v>
      </c>
      <c r="AD1491" s="4" t="s">
        <v>80</v>
      </c>
      <c r="AE1491" s="4" t="s">
        <v>48</v>
      </c>
      <c r="AF1491" s="4" t="s">
        <v>41</v>
      </c>
      <c r="AG1491" s="4" t="s">
        <v>3144</v>
      </c>
    </row>
    <row r="1492" spans="1:33" ht="16.5" customHeight="1" x14ac:dyDescent="0.2">
      <c r="A1492" s="2" t="s">
        <v>31</v>
      </c>
      <c r="B1492" s="5" t="s">
        <v>54</v>
      </c>
      <c r="C1492" s="5"/>
      <c r="D1492" s="5"/>
      <c r="E1492" s="6" t="s">
        <v>33</v>
      </c>
      <c r="F1492" s="6"/>
      <c r="G1492" s="7" t="s">
        <v>3141</v>
      </c>
      <c r="H1492" s="7"/>
      <c r="I1492" s="7"/>
      <c r="J1492" s="3" t="s">
        <v>35</v>
      </c>
      <c r="K1492" s="4" t="s">
        <v>149</v>
      </c>
      <c r="L1492" s="4" t="s">
        <v>37</v>
      </c>
      <c r="N1492" s="7" t="s">
        <v>3172</v>
      </c>
      <c r="O1492" s="7"/>
      <c r="P1492" s="7" t="s">
        <v>3173</v>
      </c>
      <c r="Q1492" s="7"/>
      <c r="R1492" s="7"/>
      <c r="S1492" s="3" t="s">
        <v>40</v>
      </c>
      <c r="T1492" s="7" t="s">
        <v>41</v>
      </c>
      <c r="U1492" s="7"/>
      <c r="V1492" s="4" t="s">
        <v>42</v>
      </c>
      <c r="W1492" s="4" t="s">
        <v>527</v>
      </c>
      <c r="X1492" s="4" t="s">
        <v>528</v>
      </c>
      <c r="Y1492" s="7" t="s">
        <v>78</v>
      </c>
      <c r="Z1492" s="7"/>
      <c r="AA1492" s="4" t="s">
        <v>46</v>
      </c>
      <c r="AB1492" s="4" t="s">
        <v>47</v>
      </c>
      <c r="AC1492" s="4" t="s">
        <v>136</v>
      </c>
      <c r="AD1492" s="4" t="s">
        <v>137</v>
      </c>
      <c r="AE1492" s="4" t="s">
        <v>48</v>
      </c>
      <c r="AF1492" s="4" t="s">
        <v>41</v>
      </c>
      <c r="AG1492" s="4" t="s">
        <v>3144</v>
      </c>
    </row>
    <row r="1493" spans="1:33" ht="16.5" customHeight="1" x14ac:dyDescent="0.2">
      <c r="A1493" s="2" t="s">
        <v>31</v>
      </c>
      <c r="B1493" s="5" t="s">
        <v>54</v>
      </c>
      <c r="C1493" s="5"/>
      <c r="D1493" s="5"/>
      <c r="E1493" s="6" t="s">
        <v>33</v>
      </c>
      <c r="F1493" s="6"/>
      <c r="G1493" s="7" t="s">
        <v>3141</v>
      </c>
      <c r="H1493" s="7"/>
      <c r="I1493" s="7"/>
      <c r="J1493" s="3" t="s">
        <v>35</v>
      </c>
      <c r="K1493" s="4" t="s">
        <v>149</v>
      </c>
      <c r="L1493" s="4" t="s">
        <v>93</v>
      </c>
      <c r="N1493" s="7" t="s">
        <v>3174</v>
      </c>
      <c r="O1493" s="7"/>
      <c r="P1493" s="7" t="s">
        <v>3175</v>
      </c>
      <c r="Q1493" s="7"/>
      <c r="R1493" s="7"/>
      <c r="S1493" s="3" t="s">
        <v>40</v>
      </c>
      <c r="T1493" s="7" t="s">
        <v>41</v>
      </c>
      <c r="U1493" s="7"/>
      <c r="V1493" s="4" t="s">
        <v>42</v>
      </c>
      <c r="W1493" s="4" t="s">
        <v>217</v>
      </c>
      <c r="X1493" s="4" t="s">
        <v>218</v>
      </c>
      <c r="Y1493" s="7" t="s">
        <v>78</v>
      </c>
      <c r="Z1493" s="7"/>
      <c r="AA1493" s="4" t="s">
        <v>46</v>
      </c>
      <c r="AB1493" s="4" t="s">
        <v>47</v>
      </c>
      <c r="AC1493" s="4" t="s">
        <v>136</v>
      </c>
      <c r="AD1493" s="4" t="s">
        <v>148</v>
      </c>
      <c r="AE1493" s="4" t="s">
        <v>48</v>
      </c>
      <c r="AF1493" s="4" t="s">
        <v>41</v>
      </c>
      <c r="AG1493" s="4" t="s">
        <v>3144</v>
      </c>
    </row>
    <row r="1494" spans="1:33" ht="16.5" customHeight="1" x14ac:dyDescent="0.2">
      <c r="A1494" s="2" t="s">
        <v>31</v>
      </c>
      <c r="B1494" s="5" t="s">
        <v>54</v>
      </c>
      <c r="C1494" s="5"/>
      <c r="D1494" s="5"/>
      <c r="E1494" s="6" t="s">
        <v>33</v>
      </c>
      <c r="F1494" s="6"/>
      <c r="G1494" s="7" t="s">
        <v>3141</v>
      </c>
      <c r="H1494" s="7"/>
      <c r="I1494" s="7"/>
      <c r="J1494" s="3" t="s">
        <v>35</v>
      </c>
      <c r="K1494" s="4" t="s">
        <v>149</v>
      </c>
      <c r="L1494" s="4" t="s">
        <v>231</v>
      </c>
      <c r="N1494" s="7" t="s">
        <v>3176</v>
      </c>
      <c r="O1494" s="7"/>
      <c r="P1494" s="7" t="s">
        <v>3177</v>
      </c>
      <c r="Q1494" s="7"/>
      <c r="R1494" s="7"/>
      <c r="S1494" s="3" t="s">
        <v>40</v>
      </c>
      <c r="T1494" s="7" t="s">
        <v>41</v>
      </c>
      <c r="U1494" s="7"/>
      <c r="V1494" s="4" t="s">
        <v>51</v>
      </c>
      <c r="W1494" s="4" t="s">
        <v>3178</v>
      </c>
      <c r="X1494" s="4" t="s">
        <v>240</v>
      </c>
      <c r="Y1494" s="7" t="s">
        <v>78</v>
      </c>
      <c r="Z1494" s="7"/>
      <c r="AA1494" s="4" t="s">
        <v>46</v>
      </c>
      <c r="AB1494" s="4" t="s">
        <v>47</v>
      </c>
      <c r="AC1494" s="4" t="s">
        <v>72</v>
      </c>
      <c r="AD1494" s="4" t="s">
        <v>41</v>
      </c>
      <c r="AE1494" s="4" t="s">
        <v>48</v>
      </c>
      <c r="AF1494" s="4" t="s">
        <v>41</v>
      </c>
      <c r="AG1494" s="4" t="s">
        <v>3144</v>
      </c>
    </row>
    <row r="1495" spans="1:33" ht="16.5" customHeight="1" x14ac:dyDescent="0.2">
      <c r="A1495" s="2" t="s">
        <v>31</v>
      </c>
      <c r="B1495" s="5" t="s">
        <v>54</v>
      </c>
      <c r="C1495" s="5"/>
      <c r="D1495" s="5"/>
      <c r="E1495" s="6" t="s">
        <v>33</v>
      </c>
      <c r="F1495" s="6"/>
      <c r="G1495" s="7" t="s">
        <v>3141</v>
      </c>
      <c r="H1495" s="7"/>
      <c r="I1495" s="7"/>
      <c r="J1495" s="3" t="s">
        <v>35</v>
      </c>
      <c r="K1495" s="4" t="s">
        <v>55</v>
      </c>
      <c r="L1495" s="4" t="s">
        <v>93</v>
      </c>
      <c r="N1495" s="7" t="s">
        <v>3179</v>
      </c>
      <c r="O1495" s="7"/>
      <c r="P1495" s="7" t="s">
        <v>3180</v>
      </c>
      <c r="Q1495" s="7"/>
      <c r="R1495" s="7"/>
      <c r="S1495" s="3" t="s">
        <v>40</v>
      </c>
      <c r="T1495" s="7" t="s">
        <v>41</v>
      </c>
      <c r="U1495" s="7"/>
      <c r="V1495" s="4" t="s">
        <v>42</v>
      </c>
      <c r="W1495" s="4" t="s">
        <v>1061</v>
      </c>
      <c r="X1495" s="4" t="s">
        <v>755</v>
      </c>
      <c r="Y1495" s="7" t="s">
        <v>60</v>
      </c>
      <c r="Z1495" s="7"/>
      <c r="AA1495" s="4" t="s">
        <v>46</v>
      </c>
      <c r="AB1495" s="4" t="s">
        <v>47</v>
      </c>
      <c r="AC1495" s="4" t="s">
        <v>79</v>
      </c>
      <c r="AD1495" s="4" t="s">
        <v>96</v>
      </c>
      <c r="AE1495" s="4" t="s">
        <v>48</v>
      </c>
      <c r="AF1495" s="4" t="s">
        <v>41</v>
      </c>
      <c r="AG1495" s="4" t="s">
        <v>3144</v>
      </c>
    </row>
    <row r="1496" spans="1:33" ht="16.5" customHeight="1" x14ac:dyDescent="0.2">
      <c r="A1496" s="2" t="s">
        <v>31</v>
      </c>
      <c r="B1496" s="5" t="s">
        <v>54</v>
      </c>
      <c r="C1496" s="5"/>
      <c r="D1496" s="5"/>
      <c r="E1496" s="6" t="s">
        <v>33</v>
      </c>
      <c r="F1496" s="6"/>
      <c r="G1496" s="7" t="s">
        <v>3141</v>
      </c>
      <c r="H1496" s="7"/>
      <c r="I1496" s="7"/>
      <c r="J1496" s="3" t="s">
        <v>35</v>
      </c>
      <c r="K1496" s="4" t="s">
        <v>409</v>
      </c>
      <c r="L1496" s="4" t="s">
        <v>37</v>
      </c>
      <c r="N1496" s="7" t="s">
        <v>3181</v>
      </c>
      <c r="O1496" s="7"/>
      <c r="P1496" s="7" t="s">
        <v>3182</v>
      </c>
      <c r="Q1496" s="7"/>
      <c r="R1496" s="7"/>
      <c r="S1496" s="3" t="s">
        <v>40</v>
      </c>
      <c r="T1496" s="7" t="s">
        <v>41</v>
      </c>
      <c r="U1496" s="7"/>
      <c r="V1496" s="4" t="s">
        <v>42</v>
      </c>
      <c r="W1496" s="4" t="s">
        <v>3183</v>
      </c>
      <c r="X1496" s="4" t="s">
        <v>3184</v>
      </c>
      <c r="Y1496" s="7" t="s">
        <v>60</v>
      </c>
      <c r="Z1496" s="7"/>
      <c r="AA1496" s="4" t="s">
        <v>46</v>
      </c>
      <c r="AB1496" s="4" t="s">
        <v>47</v>
      </c>
      <c r="AC1496" s="4" t="s">
        <v>79</v>
      </c>
      <c r="AD1496" s="4" t="s">
        <v>80</v>
      </c>
      <c r="AE1496" s="4" t="s">
        <v>48</v>
      </c>
      <c r="AF1496" s="4" t="s">
        <v>41</v>
      </c>
      <c r="AG1496" s="4" t="s">
        <v>3144</v>
      </c>
    </row>
    <row r="1497" spans="1:33" ht="16.5" customHeight="1" x14ac:dyDescent="0.2">
      <c r="A1497" s="2" t="s">
        <v>31</v>
      </c>
      <c r="B1497" s="5" t="s">
        <v>54</v>
      </c>
      <c r="C1497" s="5"/>
      <c r="D1497" s="5"/>
      <c r="E1497" s="6" t="s">
        <v>33</v>
      </c>
      <c r="F1497" s="6"/>
      <c r="G1497" s="7" t="s">
        <v>3141</v>
      </c>
      <c r="H1497" s="7"/>
      <c r="I1497" s="7"/>
      <c r="J1497" s="3" t="s">
        <v>35</v>
      </c>
      <c r="K1497" s="4" t="s">
        <v>245</v>
      </c>
      <c r="L1497" s="4" t="s">
        <v>93</v>
      </c>
      <c r="N1497" s="7" t="s">
        <v>3185</v>
      </c>
      <c r="O1497" s="7"/>
      <c r="P1497" s="7" t="s">
        <v>3186</v>
      </c>
      <c r="Q1497" s="7"/>
      <c r="R1497" s="7"/>
      <c r="S1497" s="3" t="s">
        <v>40</v>
      </c>
      <c r="T1497" s="7" t="s">
        <v>41</v>
      </c>
      <c r="U1497" s="7"/>
      <c r="V1497" s="4" t="s">
        <v>51</v>
      </c>
      <c r="W1497" s="4" t="s">
        <v>3187</v>
      </c>
      <c r="X1497" s="4" t="s">
        <v>2205</v>
      </c>
      <c r="Y1497" s="7" t="s">
        <v>78</v>
      </c>
      <c r="Z1497" s="7"/>
      <c r="AA1497" s="4" t="s">
        <v>46</v>
      </c>
      <c r="AB1497" s="4" t="s">
        <v>47</v>
      </c>
      <c r="AC1497" s="4" t="s">
        <v>136</v>
      </c>
      <c r="AD1497" s="4" t="s">
        <v>148</v>
      </c>
      <c r="AE1497" s="4" t="s">
        <v>48</v>
      </c>
      <c r="AF1497" s="4" t="s">
        <v>41</v>
      </c>
      <c r="AG1497" s="4" t="s">
        <v>3144</v>
      </c>
    </row>
    <row r="1498" spans="1:33" ht="16.5" customHeight="1" x14ac:dyDescent="0.2">
      <c r="A1498" s="2" t="s">
        <v>31</v>
      </c>
      <c r="B1498" s="5" t="s">
        <v>54</v>
      </c>
      <c r="C1498" s="5"/>
      <c r="D1498" s="5"/>
      <c r="E1498" s="6" t="s">
        <v>33</v>
      </c>
      <c r="F1498" s="6"/>
      <c r="G1498" s="7" t="s">
        <v>3141</v>
      </c>
      <c r="H1498" s="7"/>
      <c r="I1498" s="7"/>
      <c r="J1498" s="3" t="s">
        <v>35</v>
      </c>
      <c r="K1498" s="4" t="s">
        <v>92</v>
      </c>
      <c r="L1498" s="4" t="s">
        <v>37</v>
      </c>
      <c r="N1498" s="7" t="s">
        <v>3188</v>
      </c>
      <c r="O1498" s="7"/>
      <c r="P1498" s="7" t="s">
        <v>3189</v>
      </c>
      <c r="Q1498" s="7"/>
      <c r="R1498" s="7"/>
      <c r="S1498" s="3" t="s">
        <v>40</v>
      </c>
      <c r="T1498" s="7" t="s">
        <v>41</v>
      </c>
      <c r="U1498" s="7"/>
      <c r="V1498" s="4" t="s">
        <v>42</v>
      </c>
      <c r="W1498" s="4" t="s">
        <v>2204</v>
      </c>
      <c r="X1498" s="4" t="s">
        <v>2205</v>
      </c>
      <c r="Y1498" s="7" t="s">
        <v>78</v>
      </c>
      <c r="Z1498" s="7"/>
      <c r="AA1498" s="4" t="s">
        <v>46</v>
      </c>
      <c r="AB1498" s="4" t="s">
        <v>47</v>
      </c>
      <c r="AC1498" s="4" t="s">
        <v>136</v>
      </c>
      <c r="AD1498" s="4" t="s">
        <v>137</v>
      </c>
      <c r="AE1498" s="4" t="s">
        <v>48</v>
      </c>
      <c r="AF1498" s="4" t="s">
        <v>41</v>
      </c>
      <c r="AG1498" s="4" t="s">
        <v>3144</v>
      </c>
    </row>
    <row r="1499" spans="1:33" ht="16.5" customHeight="1" x14ac:dyDescent="0.2">
      <c r="A1499" s="2" t="s">
        <v>31</v>
      </c>
      <c r="B1499" s="5" t="s">
        <v>54</v>
      </c>
      <c r="C1499" s="5"/>
      <c r="D1499" s="5"/>
      <c r="E1499" s="6" t="s">
        <v>33</v>
      </c>
      <c r="F1499" s="6"/>
      <c r="G1499" s="7" t="s">
        <v>3141</v>
      </c>
      <c r="H1499" s="7"/>
      <c r="I1499" s="7"/>
      <c r="J1499" s="3" t="s">
        <v>35</v>
      </c>
      <c r="K1499" s="4" t="s">
        <v>97</v>
      </c>
      <c r="L1499" s="4" t="s">
        <v>37</v>
      </c>
      <c r="N1499" s="7" t="s">
        <v>3190</v>
      </c>
      <c r="O1499" s="7"/>
      <c r="P1499" s="7" t="s">
        <v>3191</v>
      </c>
      <c r="Q1499" s="7"/>
      <c r="R1499" s="7"/>
      <c r="S1499" s="3" t="s">
        <v>40</v>
      </c>
      <c r="T1499" s="7" t="s">
        <v>41</v>
      </c>
      <c r="U1499" s="7"/>
      <c r="V1499" s="4" t="s">
        <v>42</v>
      </c>
      <c r="W1499" s="4" t="s">
        <v>217</v>
      </c>
      <c r="X1499" s="4" t="s">
        <v>218</v>
      </c>
      <c r="Y1499" s="7" t="s">
        <v>78</v>
      </c>
      <c r="Z1499" s="7"/>
      <c r="AA1499" s="4" t="s">
        <v>46</v>
      </c>
      <c r="AB1499" s="4" t="s">
        <v>47</v>
      </c>
      <c r="AC1499" s="4" t="s">
        <v>136</v>
      </c>
      <c r="AD1499" s="4" t="s">
        <v>137</v>
      </c>
      <c r="AE1499" s="4" t="s">
        <v>48</v>
      </c>
      <c r="AF1499" s="4" t="s">
        <v>41</v>
      </c>
      <c r="AG1499" s="4" t="s">
        <v>3144</v>
      </c>
    </row>
    <row r="1500" spans="1:33" ht="16.5" customHeight="1" x14ac:dyDescent="0.2">
      <c r="A1500" s="2" t="s">
        <v>31</v>
      </c>
      <c r="B1500" s="5" t="s">
        <v>54</v>
      </c>
      <c r="C1500" s="5"/>
      <c r="D1500" s="5"/>
      <c r="E1500" s="6" t="s">
        <v>33</v>
      </c>
      <c r="F1500" s="6"/>
      <c r="G1500" s="7" t="s">
        <v>3141</v>
      </c>
      <c r="H1500" s="7"/>
      <c r="I1500" s="7"/>
      <c r="J1500" s="3" t="s">
        <v>35</v>
      </c>
      <c r="K1500" s="4" t="s">
        <v>248</v>
      </c>
      <c r="L1500" s="4" t="s">
        <v>37</v>
      </c>
      <c r="N1500" s="7" t="s">
        <v>3192</v>
      </c>
      <c r="O1500" s="7"/>
      <c r="P1500" s="7" t="s">
        <v>3193</v>
      </c>
      <c r="Q1500" s="7"/>
      <c r="R1500" s="7"/>
      <c r="S1500" s="3" t="s">
        <v>40</v>
      </c>
      <c r="T1500" s="7" t="s">
        <v>41</v>
      </c>
      <c r="U1500" s="7"/>
      <c r="V1500" s="4" t="s">
        <v>42</v>
      </c>
      <c r="W1500" s="4" t="s">
        <v>441</v>
      </c>
      <c r="X1500" s="4" t="s">
        <v>442</v>
      </c>
      <c r="Y1500" s="7" t="s">
        <v>60</v>
      </c>
      <c r="Z1500" s="7"/>
      <c r="AA1500" s="4" t="s">
        <v>46</v>
      </c>
      <c r="AB1500" s="4" t="s">
        <v>47</v>
      </c>
      <c r="AC1500" s="4" t="s">
        <v>79</v>
      </c>
      <c r="AD1500" s="4" t="s">
        <v>80</v>
      </c>
      <c r="AE1500" s="4" t="s">
        <v>48</v>
      </c>
      <c r="AF1500" s="4" t="s">
        <v>41</v>
      </c>
      <c r="AG1500" s="4" t="s">
        <v>3144</v>
      </c>
    </row>
    <row r="1501" spans="1:33" ht="16.5" customHeight="1" x14ac:dyDescent="0.2">
      <c r="A1501" s="2" t="s">
        <v>31</v>
      </c>
      <c r="B1501" s="5" t="s">
        <v>54</v>
      </c>
      <c r="C1501" s="5"/>
      <c r="D1501" s="5"/>
      <c r="E1501" s="6" t="s">
        <v>33</v>
      </c>
      <c r="F1501" s="6"/>
      <c r="G1501" s="7" t="s">
        <v>3141</v>
      </c>
      <c r="H1501" s="7"/>
      <c r="I1501" s="7"/>
      <c r="J1501" s="3" t="s">
        <v>35</v>
      </c>
      <c r="K1501" s="4" t="s">
        <v>55</v>
      </c>
      <c r="L1501" s="4" t="s">
        <v>37</v>
      </c>
      <c r="N1501" s="7" t="s">
        <v>3194</v>
      </c>
      <c r="O1501" s="7"/>
      <c r="P1501" s="7" t="s">
        <v>3195</v>
      </c>
      <c r="Q1501" s="7"/>
      <c r="R1501" s="7"/>
      <c r="S1501" s="3" t="s">
        <v>40</v>
      </c>
      <c r="T1501" s="7" t="s">
        <v>41</v>
      </c>
      <c r="U1501" s="7"/>
      <c r="V1501" s="4" t="s">
        <v>51</v>
      </c>
      <c r="W1501" s="4" t="s">
        <v>43</v>
      </c>
      <c r="X1501" s="4" t="s">
        <v>52</v>
      </c>
      <c r="Y1501" s="7" t="s">
        <v>60</v>
      </c>
      <c r="Z1501" s="7"/>
      <c r="AA1501" s="4" t="s">
        <v>46</v>
      </c>
      <c r="AB1501" s="4" t="s">
        <v>47</v>
      </c>
      <c r="AC1501" s="4" t="s">
        <v>79</v>
      </c>
      <c r="AD1501" s="4" t="s">
        <v>80</v>
      </c>
      <c r="AE1501" s="4" t="s">
        <v>48</v>
      </c>
      <c r="AF1501" s="4" t="s">
        <v>41</v>
      </c>
      <c r="AG1501" s="4" t="s">
        <v>3144</v>
      </c>
    </row>
    <row r="1502" spans="1:33" ht="16.5" customHeight="1" x14ac:dyDescent="0.2">
      <c r="A1502" s="2" t="s">
        <v>31</v>
      </c>
      <c r="B1502" s="5" t="s">
        <v>54</v>
      </c>
      <c r="C1502" s="5"/>
      <c r="D1502" s="5"/>
      <c r="E1502" s="6" t="s">
        <v>33</v>
      </c>
      <c r="F1502" s="6"/>
      <c r="G1502" s="7" t="s">
        <v>3141</v>
      </c>
      <c r="H1502" s="7"/>
      <c r="I1502" s="7"/>
      <c r="J1502" s="3" t="s">
        <v>35</v>
      </c>
      <c r="K1502" s="4" t="s">
        <v>149</v>
      </c>
      <c r="L1502" s="4" t="s">
        <v>280</v>
      </c>
      <c r="N1502" s="7" t="s">
        <v>3196</v>
      </c>
      <c r="O1502" s="7"/>
      <c r="P1502" s="7" t="s">
        <v>3197</v>
      </c>
      <c r="Q1502" s="7"/>
      <c r="R1502" s="7"/>
      <c r="S1502" s="3" t="s">
        <v>40</v>
      </c>
      <c r="T1502" s="7" t="s">
        <v>41</v>
      </c>
      <c r="U1502" s="7"/>
      <c r="V1502" s="4" t="s">
        <v>42</v>
      </c>
      <c r="W1502" s="4" t="s">
        <v>229</v>
      </c>
      <c r="X1502" s="4" t="s">
        <v>446</v>
      </c>
      <c r="Y1502" s="7" t="s">
        <v>78</v>
      </c>
      <c r="Z1502" s="7"/>
      <c r="AA1502" s="4" t="s">
        <v>46</v>
      </c>
      <c r="AB1502" s="4" t="s">
        <v>47</v>
      </c>
      <c r="AC1502" s="4" t="s">
        <v>136</v>
      </c>
      <c r="AD1502" s="4" t="s">
        <v>324</v>
      </c>
      <c r="AE1502" s="4" t="s">
        <v>48</v>
      </c>
      <c r="AF1502" s="4" t="s">
        <v>41</v>
      </c>
      <c r="AG1502" s="4" t="s">
        <v>3144</v>
      </c>
    </row>
    <row r="1503" spans="1:33" ht="16.5" customHeight="1" x14ac:dyDescent="0.2">
      <c r="A1503" s="2" t="s">
        <v>31</v>
      </c>
      <c r="B1503" s="5" t="s">
        <v>54</v>
      </c>
      <c r="C1503" s="5"/>
      <c r="D1503" s="5"/>
      <c r="E1503" s="6" t="s">
        <v>33</v>
      </c>
      <c r="F1503" s="6"/>
      <c r="G1503" s="7" t="s">
        <v>3141</v>
      </c>
      <c r="H1503" s="7"/>
      <c r="I1503" s="7"/>
      <c r="J1503" s="3" t="s">
        <v>35</v>
      </c>
      <c r="K1503" s="4" t="s">
        <v>73</v>
      </c>
      <c r="L1503" s="4" t="s">
        <v>37</v>
      </c>
      <c r="N1503" s="7" t="s">
        <v>3198</v>
      </c>
      <c r="O1503" s="7"/>
      <c r="P1503" s="7" t="s">
        <v>3199</v>
      </c>
      <c r="Q1503" s="7"/>
      <c r="R1503" s="7"/>
      <c r="S1503" s="3" t="s">
        <v>40</v>
      </c>
      <c r="T1503" s="7" t="s">
        <v>41</v>
      </c>
      <c r="U1503" s="7"/>
      <c r="V1503" s="4" t="s">
        <v>42</v>
      </c>
      <c r="W1503" s="4" t="s">
        <v>450</v>
      </c>
      <c r="X1503" s="4" t="s">
        <v>451</v>
      </c>
      <c r="Y1503" s="7" t="s">
        <v>78</v>
      </c>
      <c r="Z1503" s="7"/>
      <c r="AA1503" s="4" t="s">
        <v>46</v>
      </c>
      <c r="AB1503" s="4" t="s">
        <v>47</v>
      </c>
      <c r="AC1503" s="4" t="s">
        <v>72</v>
      </c>
      <c r="AD1503" s="4" t="s">
        <v>41</v>
      </c>
      <c r="AE1503" s="4" t="s">
        <v>48</v>
      </c>
      <c r="AF1503" s="4" t="s">
        <v>41</v>
      </c>
      <c r="AG1503" s="4" t="s">
        <v>3144</v>
      </c>
    </row>
    <row r="1504" spans="1:33" ht="16.5" customHeight="1" x14ac:dyDescent="0.2">
      <c r="A1504" s="2" t="s">
        <v>31</v>
      </c>
      <c r="B1504" s="5" t="s">
        <v>54</v>
      </c>
      <c r="C1504" s="5"/>
      <c r="D1504" s="5"/>
      <c r="E1504" s="6" t="s">
        <v>33</v>
      </c>
      <c r="F1504" s="6"/>
      <c r="G1504" s="7" t="s">
        <v>3141</v>
      </c>
      <c r="H1504" s="7"/>
      <c r="I1504" s="7"/>
      <c r="J1504" s="3" t="s">
        <v>35</v>
      </c>
      <c r="K1504" s="4" t="s">
        <v>55</v>
      </c>
      <c r="L1504" s="4" t="s">
        <v>37</v>
      </c>
      <c r="N1504" s="7" t="s">
        <v>3200</v>
      </c>
      <c r="O1504" s="7"/>
      <c r="P1504" s="7" t="s">
        <v>3201</v>
      </c>
      <c r="Q1504" s="7"/>
      <c r="R1504" s="7"/>
      <c r="S1504" s="3" t="s">
        <v>40</v>
      </c>
      <c r="T1504" s="7" t="s">
        <v>41</v>
      </c>
      <c r="U1504" s="7"/>
      <c r="V1504" s="4" t="s">
        <v>42</v>
      </c>
      <c r="W1504" s="4" t="s">
        <v>760</v>
      </c>
      <c r="X1504" s="4" t="s">
        <v>761</v>
      </c>
      <c r="Y1504" s="7" t="s">
        <v>60</v>
      </c>
      <c r="Z1504" s="7"/>
      <c r="AA1504" s="4" t="s">
        <v>46</v>
      </c>
      <c r="AB1504" s="4" t="s">
        <v>47</v>
      </c>
      <c r="AC1504" s="4" t="s">
        <v>79</v>
      </c>
      <c r="AD1504" s="4" t="s">
        <v>80</v>
      </c>
      <c r="AE1504" s="4" t="s">
        <v>48</v>
      </c>
      <c r="AF1504" s="4" t="s">
        <v>41</v>
      </c>
      <c r="AG1504" s="4" t="s">
        <v>3144</v>
      </c>
    </row>
    <row r="1505" spans="1:33" ht="16.5" customHeight="1" x14ac:dyDescent="0.2">
      <c r="A1505" s="2" t="s">
        <v>31</v>
      </c>
      <c r="B1505" s="5" t="s">
        <v>54</v>
      </c>
      <c r="C1505" s="5"/>
      <c r="D1505" s="5"/>
      <c r="E1505" s="6" t="s">
        <v>33</v>
      </c>
      <c r="F1505" s="6"/>
      <c r="G1505" s="7" t="s">
        <v>3141</v>
      </c>
      <c r="H1505" s="7"/>
      <c r="I1505" s="7"/>
      <c r="J1505" s="3" t="s">
        <v>35</v>
      </c>
      <c r="K1505" s="4" t="s">
        <v>245</v>
      </c>
      <c r="L1505" s="4" t="s">
        <v>37</v>
      </c>
      <c r="N1505" s="7" t="s">
        <v>3202</v>
      </c>
      <c r="O1505" s="7"/>
      <c r="P1505" s="7" t="s">
        <v>3203</v>
      </c>
      <c r="Q1505" s="7"/>
      <c r="R1505" s="7"/>
      <c r="S1505" s="3" t="s">
        <v>40</v>
      </c>
      <c r="T1505" s="7" t="s">
        <v>41</v>
      </c>
      <c r="U1505" s="7"/>
      <c r="V1505" s="4" t="s">
        <v>42</v>
      </c>
      <c r="W1505" s="4" t="s">
        <v>102</v>
      </c>
      <c r="X1505" s="4" t="s">
        <v>103</v>
      </c>
      <c r="Y1505" s="7" t="s">
        <v>78</v>
      </c>
      <c r="Z1505" s="7"/>
      <c r="AA1505" s="4" t="s">
        <v>46</v>
      </c>
      <c r="AB1505" s="4" t="s">
        <v>47</v>
      </c>
      <c r="AC1505" s="4" t="s">
        <v>79</v>
      </c>
      <c r="AD1505" s="4" t="s">
        <v>80</v>
      </c>
      <c r="AE1505" s="4" t="s">
        <v>48</v>
      </c>
      <c r="AF1505" s="4" t="s">
        <v>41</v>
      </c>
      <c r="AG1505" s="4" t="s">
        <v>3144</v>
      </c>
    </row>
    <row r="1506" spans="1:33" ht="16.5" customHeight="1" x14ac:dyDescent="0.2">
      <c r="A1506" s="2" t="s">
        <v>31</v>
      </c>
      <c r="B1506" s="5" t="s">
        <v>54</v>
      </c>
      <c r="C1506" s="5"/>
      <c r="D1506" s="5"/>
      <c r="E1506" s="6" t="s">
        <v>33</v>
      </c>
      <c r="F1506" s="6"/>
      <c r="G1506" s="7" t="s">
        <v>3141</v>
      </c>
      <c r="H1506" s="7"/>
      <c r="I1506" s="7"/>
      <c r="J1506" s="3" t="s">
        <v>35</v>
      </c>
      <c r="K1506" s="4" t="s">
        <v>130</v>
      </c>
      <c r="L1506" s="4" t="s">
        <v>37</v>
      </c>
      <c r="N1506" s="7" t="s">
        <v>3204</v>
      </c>
      <c r="O1506" s="7"/>
      <c r="P1506" s="7" t="s">
        <v>3205</v>
      </c>
      <c r="Q1506" s="7"/>
      <c r="R1506" s="7"/>
      <c r="S1506" s="3" t="s">
        <v>40</v>
      </c>
      <c r="T1506" s="7" t="s">
        <v>41</v>
      </c>
      <c r="U1506" s="7"/>
      <c r="V1506" s="4" t="s">
        <v>51</v>
      </c>
      <c r="W1506" s="4" t="s">
        <v>154</v>
      </c>
      <c r="X1506" s="4" t="s">
        <v>258</v>
      </c>
      <c r="Y1506" s="7" t="s">
        <v>135</v>
      </c>
      <c r="Z1506" s="7"/>
      <c r="AA1506" s="4" t="s">
        <v>46</v>
      </c>
      <c r="AB1506" s="4" t="s">
        <v>47</v>
      </c>
      <c r="AC1506" s="4" t="s">
        <v>136</v>
      </c>
      <c r="AD1506" s="4" t="s">
        <v>137</v>
      </c>
      <c r="AE1506" s="4" t="s">
        <v>48</v>
      </c>
      <c r="AF1506" s="4" t="s">
        <v>41</v>
      </c>
      <c r="AG1506" s="4" t="s">
        <v>3144</v>
      </c>
    </row>
    <row r="1507" spans="1:33" ht="16.5" customHeight="1" x14ac:dyDescent="0.2">
      <c r="A1507" s="2" t="s">
        <v>31</v>
      </c>
      <c r="B1507" s="5" t="s">
        <v>54</v>
      </c>
      <c r="C1507" s="5"/>
      <c r="D1507" s="5"/>
      <c r="E1507" s="6" t="s">
        <v>33</v>
      </c>
      <c r="F1507" s="6"/>
      <c r="G1507" s="7" t="s">
        <v>3141</v>
      </c>
      <c r="H1507" s="7"/>
      <c r="I1507" s="7"/>
      <c r="J1507" s="3" t="s">
        <v>35</v>
      </c>
      <c r="K1507" s="4" t="s">
        <v>97</v>
      </c>
      <c r="L1507" s="4" t="s">
        <v>37</v>
      </c>
      <c r="N1507" s="7" t="s">
        <v>3206</v>
      </c>
      <c r="O1507" s="7"/>
      <c r="P1507" s="7" t="s">
        <v>3207</v>
      </c>
      <c r="Q1507" s="7"/>
      <c r="R1507" s="7"/>
      <c r="S1507" s="3" t="s">
        <v>40</v>
      </c>
      <c r="T1507" s="7" t="s">
        <v>41</v>
      </c>
      <c r="U1507" s="7"/>
      <c r="V1507" s="4" t="s">
        <v>51</v>
      </c>
      <c r="W1507" s="4" t="s">
        <v>154</v>
      </c>
      <c r="X1507" s="4" t="s">
        <v>258</v>
      </c>
      <c r="Y1507" s="7" t="s">
        <v>78</v>
      </c>
      <c r="Z1507" s="7"/>
      <c r="AA1507" s="4" t="s">
        <v>46</v>
      </c>
      <c r="AB1507" s="4" t="s">
        <v>47</v>
      </c>
      <c r="AC1507" s="4" t="s">
        <v>136</v>
      </c>
      <c r="AD1507" s="4" t="s">
        <v>137</v>
      </c>
      <c r="AE1507" s="4" t="s">
        <v>48</v>
      </c>
      <c r="AF1507" s="4" t="s">
        <v>41</v>
      </c>
      <c r="AG1507" s="4" t="s">
        <v>3144</v>
      </c>
    </row>
    <row r="1508" spans="1:33" ht="16.5" customHeight="1" x14ac:dyDescent="0.2">
      <c r="A1508" s="2" t="s">
        <v>31</v>
      </c>
      <c r="B1508" s="5" t="s">
        <v>54</v>
      </c>
      <c r="C1508" s="5"/>
      <c r="D1508" s="5"/>
      <c r="E1508" s="6" t="s">
        <v>33</v>
      </c>
      <c r="F1508" s="6"/>
      <c r="G1508" s="7" t="s">
        <v>3141</v>
      </c>
      <c r="H1508" s="7"/>
      <c r="I1508" s="7"/>
      <c r="J1508" s="3" t="s">
        <v>35</v>
      </c>
      <c r="K1508" s="4" t="s">
        <v>245</v>
      </c>
      <c r="L1508" s="4" t="s">
        <v>37</v>
      </c>
      <c r="N1508" s="7" t="s">
        <v>3208</v>
      </c>
      <c r="O1508" s="7"/>
      <c r="P1508" s="7" t="s">
        <v>3209</v>
      </c>
      <c r="Q1508" s="7"/>
      <c r="R1508" s="7"/>
      <c r="S1508" s="3" t="s">
        <v>40</v>
      </c>
      <c r="T1508" s="7" t="s">
        <v>41</v>
      </c>
      <c r="U1508" s="7"/>
      <c r="V1508" s="4" t="s">
        <v>42</v>
      </c>
      <c r="W1508" s="4" t="s">
        <v>1870</v>
      </c>
      <c r="X1508" s="4" t="s">
        <v>1871</v>
      </c>
      <c r="Y1508" s="7" t="s">
        <v>78</v>
      </c>
      <c r="Z1508" s="7"/>
      <c r="AA1508" s="4" t="s">
        <v>46</v>
      </c>
      <c r="AB1508" s="4" t="s">
        <v>47</v>
      </c>
      <c r="AC1508" s="4" t="s">
        <v>136</v>
      </c>
      <c r="AD1508" s="4" t="s">
        <v>137</v>
      </c>
      <c r="AE1508" s="4" t="s">
        <v>48</v>
      </c>
      <c r="AF1508" s="4" t="s">
        <v>41</v>
      </c>
      <c r="AG1508" s="4" t="s">
        <v>3144</v>
      </c>
    </row>
    <row r="1509" spans="1:33" ht="16.5" customHeight="1" x14ac:dyDescent="0.2">
      <c r="A1509" s="2" t="s">
        <v>31</v>
      </c>
      <c r="B1509" s="5" t="s">
        <v>54</v>
      </c>
      <c r="C1509" s="5"/>
      <c r="D1509" s="5"/>
      <c r="E1509" s="6" t="s">
        <v>33</v>
      </c>
      <c r="F1509" s="6"/>
      <c r="G1509" s="7" t="s">
        <v>3141</v>
      </c>
      <c r="H1509" s="7"/>
      <c r="I1509" s="7"/>
      <c r="J1509" s="3" t="s">
        <v>35</v>
      </c>
      <c r="K1509" s="4" t="s">
        <v>409</v>
      </c>
      <c r="L1509" s="4" t="s">
        <v>37</v>
      </c>
      <c r="N1509" s="7" t="s">
        <v>3210</v>
      </c>
      <c r="O1509" s="7"/>
      <c r="P1509" s="7" t="s">
        <v>3211</v>
      </c>
      <c r="Q1509" s="7"/>
      <c r="R1509" s="7"/>
      <c r="S1509" s="3" t="s">
        <v>40</v>
      </c>
      <c r="T1509" s="7" t="s">
        <v>41</v>
      </c>
      <c r="U1509" s="7"/>
      <c r="V1509" s="4" t="s">
        <v>51</v>
      </c>
      <c r="W1509" s="4" t="s">
        <v>323</v>
      </c>
      <c r="X1509" s="4" t="s">
        <v>330</v>
      </c>
      <c r="Y1509" s="7" t="s">
        <v>60</v>
      </c>
      <c r="Z1509" s="7"/>
      <c r="AA1509" s="4" t="s">
        <v>46</v>
      </c>
      <c r="AB1509" s="4" t="s">
        <v>47</v>
      </c>
      <c r="AC1509" s="4" t="s">
        <v>79</v>
      </c>
      <c r="AD1509" s="4" t="s">
        <v>80</v>
      </c>
      <c r="AE1509" s="4" t="s">
        <v>48</v>
      </c>
      <c r="AF1509" s="4" t="s">
        <v>41</v>
      </c>
      <c r="AG1509" s="4" t="s">
        <v>3144</v>
      </c>
    </row>
    <row r="1510" spans="1:33" ht="16.5" customHeight="1" x14ac:dyDescent="0.2">
      <c r="A1510" s="2" t="s">
        <v>31</v>
      </c>
      <c r="B1510" s="5" t="s">
        <v>54</v>
      </c>
      <c r="C1510" s="5"/>
      <c r="D1510" s="5"/>
      <c r="E1510" s="6" t="s">
        <v>33</v>
      </c>
      <c r="F1510" s="6"/>
      <c r="G1510" s="7" t="s">
        <v>3141</v>
      </c>
      <c r="H1510" s="7"/>
      <c r="I1510" s="7"/>
      <c r="J1510" s="3" t="s">
        <v>35</v>
      </c>
      <c r="K1510" s="4" t="s">
        <v>409</v>
      </c>
      <c r="L1510" s="4" t="s">
        <v>93</v>
      </c>
      <c r="N1510" s="7" t="s">
        <v>3212</v>
      </c>
      <c r="O1510" s="7"/>
      <c r="P1510" s="7" t="s">
        <v>3213</v>
      </c>
      <c r="Q1510" s="7"/>
      <c r="R1510" s="7"/>
      <c r="S1510" s="3" t="s">
        <v>40</v>
      </c>
      <c r="T1510" s="7" t="s">
        <v>41</v>
      </c>
      <c r="U1510" s="7"/>
      <c r="V1510" s="4" t="s">
        <v>42</v>
      </c>
      <c r="W1510" s="4" t="s">
        <v>1870</v>
      </c>
      <c r="X1510" s="4" t="s">
        <v>1871</v>
      </c>
      <c r="Y1510" s="7" t="s">
        <v>60</v>
      </c>
      <c r="Z1510" s="7"/>
      <c r="AA1510" s="4" t="s">
        <v>46</v>
      </c>
      <c r="AB1510" s="4" t="s">
        <v>47</v>
      </c>
      <c r="AC1510" s="4" t="s">
        <v>79</v>
      </c>
      <c r="AD1510" s="4" t="s">
        <v>96</v>
      </c>
      <c r="AE1510" s="4" t="s">
        <v>48</v>
      </c>
      <c r="AF1510" s="4" t="s">
        <v>41</v>
      </c>
      <c r="AG1510" s="4" t="s">
        <v>3144</v>
      </c>
    </row>
    <row r="1511" spans="1:33" ht="16.5" customHeight="1" x14ac:dyDescent="0.2">
      <c r="A1511" s="2" t="s">
        <v>31</v>
      </c>
      <c r="B1511" s="5" t="s">
        <v>54</v>
      </c>
      <c r="C1511" s="5"/>
      <c r="D1511" s="5"/>
      <c r="E1511" s="6" t="s">
        <v>33</v>
      </c>
      <c r="F1511" s="6"/>
      <c r="G1511" s="7" t="s">
        <v>3141</v>
      </c>
      <c r="H1511" s="7"/>
      <c r="I1511" s="7"/>
      <c r="J1511" s="3" t="s">
        <v>35</v>
      </c>
      <c r="K1511" s="4" t="s">
        <v>245</v>
      </c>
      <c r="L1511" s="4" t="s">
        <v>37</v>
      </c>
      <c r="N1511" s="7" t="s">
        <v>3214</v>
      </c>
      <c r="O1511" s="7"/>
      <c r="P1511" s="7" t="s">
        <v>3215</v>
      </c>
      <c r="Q1511" s="7"/>
      <c r="R1511" s="7"/>
      <c r="S1511" s="3" t="s">
        <v>40</v>
      </c>
      <c r="T1511" s="7" t="s">
        <v>41</v>
      </c>
      <c r="U1511" s="7"/>
      <c r="V1511" s="4" t="s">
        <v>42</v>
      </c>
      <c r="W1511" s="4" t="s">
        <v>263</v>
      </c>
      <c r="X1511" s="4" t="s">
        <v>264</v>
      </c>
      <c r="Y1511" s="7" t="s">
        <v>78</v>
      </c>
      <c r="Z1511" s="7"/>
      <c r="AA1511" s="4" t="s">
        <v>46</v>
      </c>
      <c r="AB1511" s="4" t="s">
        <v>47</v>
      </c>
      <c r="AC1511" s="4" t="s">
        <v>136</v>
      </c>
      <c r="AD1511" s="4" t="s">
        <v>137</v>
      </c>
      <c r="AE1511" s="4" t="s">
        <v>48</v>
      </c>
      <c r="AF1511" s="4" t="s">
        <v>41</v>
      </c>
      <c r="AG1511" s="4" t="s">
        <v>3144</v>
      </c>
    </row>
    <row r="1512" spans="1:33" ht="16.5" customHeight="1" x14ac:dyDescent="0.2">
      <c r="A1512" s="2" t="s">
        <v>31</v>
      </c>
      <c r="B1512" s="5" t="s">
        <v>54</v>
      </c>
      <c r="C1512" s="5"/>
      <c r="D1512" s="5"/>
      <c r="E1512" s="6" t="s">
        <v>33</v>
      </c>
      <c r="F1512" s="6"/>
      <c r="G1512" s="7" t="s">
        <v>3141</v>
      </c>
      <c r="H1512" s="7"/>
      <c r="I1512" s="7"/>
      <c r="J1512" s="3" t="s">
        <v>35</v>
      </c>
      <c r="K1512" s="4" t="s">
        <v>245</v>
      </c>
      <c r="L1512" s="4" t="s">
        <v>37</v>
      </c>
      <c r="N1512" s="7" t="s">
        <v>3216</v>
      </c>
      <c r="O1512" s="7"/>
      <c r="P1512" s="7" t="s">
        <v>3217</v>
      </c>
      <c r="Q1512" s="7"/>
      <c r="R1512" s="7"/>
      <c r="S1512" s="3" t="s">
        <v>40</v>
      </c>
      <c r="T1512" s="7" t="s">
        <v>41</v>
      </c>
      <c r="U1512" s="7"/>
      <c r="V1512" s="4" t="s">
        <v>42</v>
      </c>
      <c r="W1512" s="4" t="s">
        <v>263</v>
      </c>
      <c r="X1512" s="4" t="s">
        <v>264</v>
      </c>
      <c r="Y1512" s="7" t="s">
        <v>78</v>
      </c>
      <c r="Z1512" s="7"/>
      <c r="AA1512" s="4" t="s">
        <v>46</v>
      </c>
      <c r="AB1512" s="4" t="s">
        <v>47</v>
      </c>
      <c r="AC1512" s="4" t="s">
        <v>136</v>
      </c>
      <c r="AD1512" s="4" t="s">
        <v>137</v>
      </c>
      <c r="AE1512" s="4" t="s">
        <v>48</v>
      </c>
      <c r="AF1512" s="4" t="s">
        <v>41</v>
      </c>
      <c r="AG1512" s="4" t="s">
        <v>3144</v>
      </c>
    </row>
    <row r="1513" spans="1:33" ht="16.5" customHeight="1" x14ac:dyDescent="0.2">
      <c r="A1513" s="2" t="s">
        <v>31</v>
      </c>
      <c r="B1513" s="5" t="s">
        <v>54</v>
      </c>
      <c r="C1513" s="5"/>
      <c r="D1513" s="5"/>
      <c r="E1513" s="6" t="s">
        <v>33</v>
      </c>
      <c r="F1513" s="6"/>
      <c r="G1513" s="7" t="s">
        <v>3141</v>
      </c>
      <c r="H1513" s="7"/>
      <c r="I1513" s="7"/>
      <c r="J1513" s="3" t="s">
        <v>35</v>
      </c>
      <c r="K1513" s="4" t="s">
        <v>149</v>
      </c>
      <c r="L1513" s="4" t="s">
        <v>93</v>
      </c>
      <c r="N1513" s="7" t="s">
        <v>3218</v>
      </c>
      <c r="O1513" s="7"/>
      <c r="P1513" s="7" t="s">
        <v>3219</v>
      </c>
      <c r="Q1513" s="7"/>
      <c r="R1513" s="7"/>
      <c r="S1513" s="3" t="s">
        <v>40</v>
      </c>
      <c r="T1513" s="7" t="s">
        <v>41</v>
      </c>
      <c r="U1513" s="7"/>
      <c r="V1513" s="4" t="s">
        <v>42</v>
      </c>
      <c r="W1513" s="4" t="s">
        <v>207</v>
      </c>
      <c r="X1513" s="4" t="s">
        <v>208</v>
      </c>
      <c r="Y1513" s="7" t="s">
        <v>78</v>
      </c>
      <c r="Z1513" s="7"/>
      <c r="AA1513" s="4" t="s">
        <v>46</v>
      </c>
      <c r="AB1513" s="4" t="s">
        <v>47</v>
      </c>
      <c r="AC1513" s="4" t="s">
        <v>136</v>
      </c>
      <c r="AD1513" s="4" t="s">
        <v>148</v>
      </c>
      <c r="AE1513" s="4" t="s">
        <v>48</v>
      </c>
      <c r="AF1513" s="4" t="s">
        <v>41</v>
      </c>
      <c r="AG1513" s="4" t="s">
        <v>3144</v>
      </c>
    </row>
    <row r="1514" spans="1:33" ht="16.5" customHeight="1" x14ac:dyDescent="0.2">
      <c r="A1514" s="2" t="s">
        <v>31</v>
      </c>
      <c r="B1514" s="5" t="s">
        <v>54</v>
      </c>
      <c r="C1514" s="5"/>
      <c r="D1514" s="5"/>
      <c r="E1514" s="6" t="s">
        <v>33</v>
      </c>
      <c r="F1514" s="6"/>
      <c r="G1514" s="7" t="s">
        <v>3141</v>
      </c>
      <c r="H1514" s="7"/>
      <c r="I1514" s="7"/>
      <c r="J1514" s="3" t="s">
        <v>35</v>
      </c>
      <c r="K1514" s="4" t="s">
        <v>143</v>
      </c>
      <c r="L1514" s="4" t="s">
        <v>37</v>
      </c>
      <c r="N1514" s="7" t="s">
        <v>3220</v>
      </c>
      <c r="O1514" s="7"/>
      <c r="P1514" s="7" t="s">
        <v>3221</v>
      </c>
      <c r="Q1514" s="7"/>
      <c r="R1514" s="7"/>
      <c r="S1514" s="3" t="s">
        <v>40</v>
      </c>
      <c r="T1514" s="7" t="s">
        <v>41</v>
      </c>
      <c r="U1514" s="7"/>
      <c r="V1514" s="4" t="s">
        <v>42</v>
      </c>
      <c r="W1514" s="4" t="s">
        <v>274</v>
      </c>
      <c r="X1514" s="4" t="s">
        <v>275</v>
      </c>
      <c r="Y1514" s="7" t="s">
        <v>135</v>
      </c>
      <c r="Z1514" s="7"/>
      <c r="AA1514" s="4" t="s">
        <v>46</v>
      </c>
      <c r="AB1514" s="4" t="s">
        <v>47</v>
      </c>
      <c r="AC1514" s="4" t="s">
        <v>136</v>
      </c>
      <c r="AD1514" s="4" t="s">
        <v>137</v>
      </c>
      <c r="AE1514" s="4" t="s">
        <v>48</v>
      </c>
      <c r="AF1514" s="4" t="s">
        <v>41</v>
      </c>
      <c r="AG1514" s="4" t="s">
        <v>3144</v>
      </c>
    </row>
    <row r="1515" spans="1:33" ht="16.5" customHeight="1" x14ac:dyDescent="0.2">
      <c r="A1515" s="2" t="s">
        <v>31</v>
      </c>
      <c r="B1515" s="5" t="s">
        <v>54</v>
      </c>
      <c r="C1515" s="5"/>
      <c r="D1515" s="5"/>
      <c r="E1515" s="6" t="s">
        <v>33</v>
      </c>
      <c r="F1515" s="6"/>
      <c r="G1515" s="7" t="s">
        <v>3141</v>
      </c>
      <c r="H1515" s="7"/>
      <c r="I1515" s="7"/>
      <c r="J1515" s="3" t="s">
        <v>35</v>
      </c>
      <c r="K1515" s="4" t="s">
        <v>149</v>
      </c>
      <c r="L1515" s="4" t="s">
        <v>93</v>
      </c>
      <c r="N1515" s="7" t="s">
        <v>3222</v>
      </c>
      <c r="O1515" s="7"/>
      <c r="P1515" s="7" t="s">
        <v>3223</v>
      </c>
      <c r="Q1515" s="7"/>
      <c r="R1515" s="7"/>
      <c r="S1515" s="3" t="s">
        <v>40</v>
      </c>
      <c r="T1515" s="7" t="s">
        <v>41</v>
      </c>
      <c r="U1515" s="7"/>
      <c r="V1515" s="4" t="s">
        <v>42</v>
      </c>
      <c r="W1515" s="4" t="s">
        <v>212</v>
      </c>
      <c r="X1515" s="4" t="s">
        <v>1087</v>
      </c>
      <c r="Y1515" s="7" t="s">
        <v>78</v>
      </c>
      <c r="Z1515" s="7"/>
      <c r="AA1515" s="4" t="s">
        <v>46</v>
      </c>
      <c r="AB1515" s="4" t="s">
        <v>47</v>
      </c>
      <c r="AC1515" s="4" t="s">
        <v>136</v>
      </c>
      <c r="AD1515" s="4" t="s">
        <v>148</v>
      </c>
      <c r="AE1515" s="4" t="s">
        <v>48</v>
      </c>
      <c r="AF1515" s="4" t="s">
        <v>41</v>
      </c>
      <c r="AG1515" s="4" t="s">
        <v>3144</v>
      </c>
    </row>
    <row r="1516" spans="1:33" ht="16.5" customHeight="1" x14ac:dyDescent="0.2">
      <c r="A1516" s="2" t="s">
        <v>31</v>
      </c>
      <c r="B1516" s="5" t="s">
        <v>54</v>
      </c>
      <c r="C1516" s="5"/>
      <c r="D1516" s="5"/>
      <c r="E1516" s="6" t="s">
        <v>33</v>
      </c>
      <c r="F1516" s="6"/>
      <c r="G1516" s="7" t="s">
        <v>3141</v>
      </c>
      <c r="H1516" s="7"/>
      <c r="I1516" s="7"/>
      <c r="J1516" s="3" t="s">
        <v>35</v>
      </c>
      <c r="K1516" s="4" t="s">
        <v>149</v>
      </c>
      <c r="L1516" s="4" t="s">
        <v>37</v>
      </c>
      <c r="N1516" s="7" t="s">
        <v>3224</v>
      </c>
      <c r="O1516" s="7"/>
      <c r="P1516" s="7" t="s">
        <v>3225</v>
      </c>
      <c r="Q1516" s="7"/>
      <c r="R1516" s="7"/>
      <c r="S1516" s="3" t="s">
        <v>40</v>
      </c>
      <c r="T1516" s="7" t="s">
        <v>41</v>
      </c>
      <c r="U1516" s="7"/>
      <c r="V1516" s="4" t="s">
        <v>42</v>
      </c>
      <c r="W1516" s="4" t="s">
        <v>818</v>
      </c>
      <c r="X1516" s="4" t="s">
        <v>789</v>
      </c>
      <c r="Y1516" s="7" t="s">
        <v>78</v>
      </c>
      <c r="Z1516" s="7"/>
      <c r="AA1516" s="4" t="s">
        <v>46</v>
      </c>
      <c r="AB1516" s="4" t="s">
        <v>47</v>
      </c>
      <c r="AC1516" s="4" t="s">
        <v>136</v>
      </c>
      <c r="AD1516" s="4" t="s">
        <v>137</v>
      </c>
      <c r="AE1516" s="4" t="s">
        <v>48</v>
      </c>
      <c r="AF1516" s="4" t="s">
        <v>41</v>
      </c>
      <c r="AG1516" s="4" t="s">
        <v>3144</v>
      </c>
    </row>
    <row r="1517" spans="1:33" ht="16.5" customHeight="1" x14ac:dyDescent="0.2">
      <c r="A1517" s="2" t="s">
        <v>31</v>
      </c>
      <c r="B1517" s="5" t="s">
        <v>54</v>
      </c>
      <c r="C1517" s="5"/>
      <c r="D1517" s="5"/>
      <c r="E1517" s="6" t="s">
        <v>33</v>
      </c>
      <c r="F1517" s="6"/>
      <c r="G1517" s="7" t="s">
        <v>3141</v>
      </c>
      <c r="H1517" s="7"/>
      <c r="I1517" s="7"/>
      <c r="J1517" s="3" t="s">
        <v>35</v>
      </c>
      <c r="K1517" s="4" t="s">
        <v>143</v>
      </c>
      <c r="L1517" s="4" t="s">
        <v>93</v>
      </c>
      <c r="N1517" s="7" t="s">
        <v>3226</v>
      </c>
      <c r="O1517" s="7"/>
      <c r="P1517" s="7" t="s">
        <v>3227</v>
      </c>
      <c r="Q1517" s="7"/>
      <c r="R1517" s="7"/>
      <c r="S1517" s="3" t="s">
        <v>40</v>
      </c>
      <c r="T1517" s="7" t="s">
        <v>41</v>
      </c>
      <c r="U1517" s="7"/>
      <c r="V1517" s="4" t="s">
        <v>42</v>
      </c>
      <c r="W1517" s="4" t="s">
        <v>632</v>
      </c>
      <c r="X1517" s="4" t="s">
        <v>633</v>
      </c>
      <c r="Y1517" s="7" t="s">
        <v>135</v>
      </c>
      <c r="Z1517" s="7"/>
      <c r="AA1517" s="4" t="s">
        <v>46</v>
      </c>
      <c r="AB1517" s="4" t="s">
        <v>47</v>
      </c>
      <c r="AC1517" s="4" t="s">
        <v>136</v>
      </c>
      <c r="AD1517" s="4" t="s">
        <v>148</v>
      </c>
      <c r="AE1517" s="4" t="s">
        <v>48</v>
      </c>
      <c r="AF1517" s="4" t="s">
        <v>41</v>
      </c>
      <c r="AG1517" s="4" t="s">
        <v>3144</v>
      </c>
    </row>
    <row r="1518" spans="1:33" ht="16.5" customHeight="1" x14ac:dyDescent="0.2">
      <c r="A1518" s="2" t="s">
        <v>31</v>
      </c>
      <c r="B1518" s="5" t="s">
        <v>54</v>
      </c>
      <c r="C1518" s="5"/>
      <c r="D1518" s="5"/>
      <c r="E1518" s="6" t="s">
        <v>33</v>
      </c>
      <c r="F1518" s="6"/>
      <c r="G1518" s="7" t="s">
        <v>3141</v>
      </c>
      <c r="H1518" s="7"/>
      <c r="I1518" s="7"/>
      <c r="J1518" s="3" t="s">
        <v>35</v>
      </c>
      <c r="K1518" s="4" t="s">
        <v>149</v>
      </c>
      <c r="L1518" s="4" t="s">
        <v>37</v>
      </c>
      <c r="N1518" s="7" t="s">
        <v>3228</v>
      </c>
      <c r="O1518" s="7"/>
      <c r="P1518" s="7" t="s">
        <v>3229</v>
      </c>
      <c r="Q1518" s="7"/>
      <c r="R1518" s="7"/>
      <c r="S1518" s="3" t="s">
        <v>40</v>
      </c>
      <c r="T1518" s="7" t="s">
        <v>41</v>
      </c>
      <c r="U1518" s="7"/>
      <c r="V1518" s="4" t="s">
        <v>42</v>
      </c>
      <c r="W1518" s="4" t="s">
        <v>604</v>
      </c>
      <c r="X1518" s="4" t="s">
        <v>605</v>
      </c>
      <c r="Y1518" s="7" t="s">
        <v>78</v>
      </c>
      <c r="Z1518" s="7"/>
      <c r="AA1518" s="4" t="s">
        <v>46</v>
      </c>
      <c r="AB1518" s="4" t="s">
        <v>47</v>
      </c>
      <c r="AC1518" s="4" t="s">
        <v>136</v>
      </c>
      <c r="AD1518" s="4" t="s">
        <v>137</v>
      </c>
      <c r="AE1518" s="4" t="s">
        <v>48</v>
      </c>
      <c r="AF1518" s="4" t="s">
        <v>41</v>
      </c>
      <c r="AG1518" s="4" t="s">
        <v>3144</v>
      </c>
    </row>
    <row r="1519" spans="1:33" ht="16.5" customHeight="1" x14ac:dyDescent="0.2">
      <c r="A1519" s="2" t="s">
        <v>31</v>
      </c>
      <c r="B1519" s="5" t="s">
        <v>54</v>
      </c>
      <c r="C1519" s="5"/>
      <c r="D1519" s="5"/>
      <c r="E1519" s="6" t="s">
        <v>33</v>
      </c>
      <c r="F1519" s="6"/>
      <c r="G1519" s="7" t="s">
        <v>3141</v>
      </c>
      <c r="H1519" s="7"/>
      <c r="I1519" s="7"/>
      <c r="J1519" s="3" t="s">
        <v>35</v>
      </c>
      <c r="K1519" s="4" t="s">
        <v>245</v>
      </c>
      <c r="L1519" s="4" t="s">
        <v>37</v>
      </c>
      <c r="N1519" s="7" t="s">
        <v>3230</v>
      </c>
      <c r="O1519" s="7"/>
      <c r="P1519" s="7" t="s">
        <v>3231</v>
      </c>
      <c r="Q1519" s="7"/>
      <c r="R1519" s="7"/>
      <c r="S1519" s="3" t="s">
        <v>40</v>
      </c>
      <c r="T1519" s="7" t="s">
        <v>41</v>
      </c>
      <c r="U1519" s="7"/>
      <c r="V1519" s="4" t="s">
        <v>42</v>
      </c>
      <c r="W1519" s="4" t="s">
        <v>58</v>
      </c>
      <c r="X1519" s="4" t="s">
        <v>59</v>
      </c>
      <c r="Y1519" s="7" t="s">
        <v>78</v>
      </c>
      <c r="Z1519" s="7"/>
      <c r="AA1519" s="4" t="s">
        <v>46</v>
      </c>
      <c r="AB1519" s="4" t="s">
        <v>47</v>
      </c>
      <c r="AC1519" s="4" t="s">
        <v>79</v>
      </c>
      <c r="AD1519" s="4" t="s">
        <v>80</v>
      </c>
      <c r="AE1519" s="4" t="s">
        <v>48</v>
      </c>
      <c r="AF1519" s="4" t="s">
        <v>41</v>
      </c>
      <c r="AG1519" s="4" t="s">
        <v>3144</v>
      </c>
    </row>
    <row r="1520" spans="1:33" ht="16.5" customHeight="1" x14ac:dyDescent="0.2">
      <c r="A1520" s="2" t="s">
        <v>31</v>
      </c>
      <c r="B1520" s="5" t="s">
        <v>54</v>
      </c>
      <c r="C1520" s="5"/>
      <c r="D1520" s="5"/>
      <c r="E1520" s="6" t="s">
        <v>33</v>
      </c>
      <c r="F1520" s="6"/>
      <c r="G1520" s="7" t="s">
        <v>3141</v>
      </c>
      <c r="H1520" s="7"/>
      <c r="I1520" s="7"/>
      <c r="J1520" s="3" t="s">
        <v>35</v>
      </c>
      <c r="K1520" s="4" t="s">
        <v>657</v>
      </c>
      <c r="L1520" s="4" t="s">
        <v>37</v>
      </c>
      <c r="N1520" s="7" t="s">
        <v>3232</v>
      </c>
      <c r="O1520" s="7"/>
      <c r="P1520" s="7" t="s">
        <v>3233</v>
      </c>
      <c r="Q1520" s="7"/>
      <c r="R1520" s="7"/>
      <c r="S1520" s="3" t="s">
        <v>40</v>
      </c>
      <c r="T1520" s="7" t="s">
        <v>41</v>
      </c>
      <c r="U1520" s="7"/>
      <c r="V1520" s="4" t="s">
        <v>42</v>
      </c>
      <c r="W1520" s="4" t="s">
        <v>43</v>
      </c>
      <c r="X1520" s="4" t="s">
        <v>44</v>
      </c>
      <c r="Y1520" s="7" t="s">
        <v>197</v>
      </c>
      <c r="Z1520" s="7"/>
      <c r="AA1520" s="4" t="s">
        <v>46</v>
      </c>
      <c r="AB1520" s="4" t="s">
        <v>47</v>
      </c>
      <c r="AC1520" s="4" t="s">
        <v>259</v>
      </c>
      <c r="AD1520" s="4" t="s">
        <v>260</v>
      </c>
      <c r="AE1520" s="4" t="s">
        <v>48</v>
      </c>
      <c r="AF1520" s="4" t="s">
        <v>41</v>
      </c>
      <c r="AG1520" s="4" t="s">
        <v>3144</v>
      </c>
    </row>
    <row r="1521" spans="1:33" ht="16.5" customHeight="1" x14ac:dyDescent="0.2">
      <c r="A1521" s="2" t="s">
        <v>31</v>
      </c>
      <c r="B1521" s="5" t="s">
        <v>54</v>
      </c>
      <c r="C1521" s="5"/>
      <c r="D1521" s="5"/>
      <c r="E1521" s="6" t="s">
        <v>33</v>
      </c>
      <c r="F1521" s="6"/>
      <c r="G1521" s="7" t="s">
        <v>3141</v>
      </c>
      <c r="H1521" s="7"/>
      <c r="I1521" s="7"/>
      <c r="J1521" s="3" t="s">
        <v>35</v>
      </c>
      <c r="K1521" s="4" t="s">
        <v>130</v>
      </c>
      <c r="L1521" s="4" t="s">
        <v>1557</v>
      </c>
      <c r="N1521" s="7" t="s">
        <v>3234</v>
      </c>
      <c r="O1521" s="7"/>
      <c r="P1521" s="7" t="s">
        <v>3235</v>
      </c>
      <c r="Q1521" s="7"/>
      <c r="R1521" s="7"/>
      <c r="S1521" s="3" t="s">
        <v>40</v>
      </c>
      <c r="T1521" s="7" t="s">
        <v>41</v>
      </c>
      <c r="U1521" s="7"/>
      <c r="V1521" s="4" t="s">
        <v>51</v>
      </c>
      <c r="W1521" s="4" t="s">
        <v>43</v>
      </c>
      <c r="X1521" s="4" t="s">
        <v>52</v>
      </c>
      <c r="Y1521" s="7" t="s">
        <v>135</v>
      </c>
      <c r="Z1521" s="7"/>
      <c r="AA1521" s="4" t="s">
        <v>46</v>
      </c>
      <c r="AB1521" s="4" t="s">
        <v>47</v>
      </c>
      <c r="AC1521" s="4" t="s">
        <v>136</v>
      </c>
      <c r="AD1521" s="4" t="s">
        <v>1861</v>
      </c>
      <c r="AE1521" s="4" t="s">
        <v>48</v>
      </c>
      <c r="AF1521" s="4" t="s">
        <v>41</v>
      </c>
      <c r="AG1521" s="4" t="s">
        <v>3144</v>
      </c>
    </row>
    <row r="1522" spans="1:33" ht="16.5" customHeight="1" x14ac:dyDescent="0.2">
      <c r="A1522" s="2" t="s">
        <v>31</v>
      </c>
      <c r="B1522" s="5" t="s">
        <v>54</v>
      </c>
      <c r="C1522" s="5"/>
      <c r="D1522" s="5"/>
      <c r="E1522" s="6" t="s">
        <v>33</v>
      </c>
      <c r="F1522" s="6"/>
      <c r="G1522" s="7" t="s">
        <v>3141</v>
      </c>
      <c r="H1522" s="7"/>
      <c r="I1522" s="7"/>
      <c r="J1522" s="3" t="s">
        <v>35</v>
      </c>
      <c r="K1522" s="4" t="s">
        <v>245</v>
      </c>
      <c r="L1522" s="4" t="s">
        <v>37</v>
      </c>
      <c r="N1522" s="7" t="s">
        <v>3236</v>
      </c>
      <c r="O1522" s="7"/>
      <c r="P1522" s="7" t="s">
        <v>3237</v>
      </c>
      <c r="Q1522" s="7"/>
      <c r="R1522" s="7"/>
      <c r="S1522" s="3" t="s">
        <v>40</v>
      </c>
      <c r="T1522" s="7" t="s">
        <v>41</v>
      </c>
      <c r="U1522" s="7"/>
      <c r="V1522" s="4" t="s">
        <v>42</v>
      </c>
      <c r="W1522" s="4" t="s">
        <v>43</v>
      </c>
      <c r="X1522" s="4" t="s">
        <v>44</v>
      </c>
      <c r="Y1522" s="7" t="s">
        <v>78</v>
      </c>
      <c r="Z1522" s="7"/>
      <c r="AA1522" s="4" t="s">
        <v>46</v>
      </c>
      <c r="AB1522" s="4" t="s">
        <v>47</v>
      </c>
      <c r="AC1522" s="4" t="s">
        <v>136</v>
      </c>
      <c r="AD1522" s="4" t="s">
        <v>137</v>
      </c>
      <c r="AE1522" s="4" t="s">
        <v>48</v>
      </c>
      <c r="AF1522" s="4" t="s">
        <v>41</v>
      </c>
      <c r="AG1522" s="4" t="s">
        <v>3144</v>
      </c>
    </row>
    <row r="1523" spans="1:33" ht="16.5" customHeight="1" x14ac:dyDescent="0.2">
      <c r="A1523" s="2" t="s">
        <v>31</v>
      </c>
      <c r="B1523" s="5" t="s">
        <v>54</v>
      </c>
      <c r="C1523" s="5"/>
      <c r="D1523" s="5"/>
      <c r="E1523" s="6" t="s">
        <v>33</v>
      </c>
      <c r="F1523" s="6"/>
      <c r="G1523" s="7" t="s">
        <v>3141</v>
      </c>
      <c r="H1523" s="7"/>
      <c r="I1523" s="7"/>
      <c r="J1523" s="3" t="s">
        <v>35</v>
      </c>
      <c r="K1523" s="4" t="s">
        <v>245</v>
      </c>
      <c r="L1523" s="4" t="s">
        <v>37</v>
      </c>
      <c r="N1523" s="7" t="s">
        <v>3238</v>
      </c>
      <c r="O1523" s="7"/>
      <c r="P1523" s="7" t="s">
        <v>3239</v>
      </c>
      <c r="Q1523" s="7"/>
      <c r="R1523" s="7"/>
      <c r="S1523" s="3" t="s">
        <v>40</v>
      </c>
      <c r="T1523" s="7" t="s">
        <v>41</v>
      </c>
      <c r="U1523" s="7"/>
      <c r="V1523" s="4" t="s">
        <v>42</v>
      </c>
      <c r="W1523" s="4" t="s">
        <v>323</v>
      </c>
      <c r="X1523" s="4" t="s">
        <v>52</v>
      </c>
      <c r="Y1523" s="7" t="s">
        <v>78</v>
      </c>
      <c r="Z1523" s="7"/>
      <c r="AA1523" s="4" t="s">
        <v>46</v>
      </c>
      <c r="AB1523" s="4" t="s">
        <v>47</v>
      </c>
      <c r="AC1523" s="4" t="s">
        <v>136</v>
      </c>
      <c r="AD1523" s="4" t="s">
        <v>137</v>
      </c>
      <c r="AE1523" s="4" t="s">
        <v>48</v>
      </c>
      <c r="AF1523" s="4" t="s">
        <v>41</v>
      </c>
      <c r="AG1523" s="4" t="s">
        <v>3144</v>
      </c>
    </row>
    <row r="1524" spans="1:33" ht="16.5" customHeight="1" x14ac:dyDescent="0.2">
      <c r="A1524" s="2" t="s">
        <v>31</v>
      </c>
      <c r="B1524" s="5" t="s">
        <v>54</v>
      </c>
      <c r="C1524" s="5"/>
      <c r="D1524" s="5"/>
      <c r="E1524" s="6" t="s">
        <v>33</v>
      </c>
      <c r="F1524" s="6"/>
      <c r="G1524" s="7" t="s">
        <v>3141</v>
      </c>
      <c r="H1524" s="7"/>
      <c r="I1524" s="7"/>
      <c r="J1524" s="3" t="s">
        <v>35</v>
      </c>
      <c r="K1524" s="4" t="s">
        <v>245</v>
      </c>
      <c r="L1524" s="4" t="s">
        <v>37</v>
      </c>
      <c r="N1524" s="7" t="s">
        <v>3240</v>
      </c>
      <c r="O1524" s="7"/>
      <c r="P1524" s="7" t="s">
        <v>3241</v>
      </c>
      <c r="Q1524" s="7"/>
      <c r="R1524" s="7"/>
      <c r="S1524" s="3" t="s">
        <v>40</v>
      </c>
      <c r="T1524" s="7" t="s">
        <v>41</v>
      </c>
      <c r="U1524" s="7"/>
      <c r="V1524" s="4" t="s">
        <v>42</v>
      </c>
      <c r="W1524" s="4" t="s">
        <v>990</v>
      </c>
      <c r="X1524" s="4" t="s">
        <v>991</v>
      </c>
      <c r="Y1524" s="7" t="s">
        <v>78</v>
      </c>
      <c r="Z1524" s="7"/>
      <c r="AA1524" s="4" t="s">
        <v>46</v>
      </c>
      <c r="AB1524" s="4" t="s">
        <v>47</v>
      </c>
      <c r="AC1524" s="4" t="s">
        <v>136</v>
      </c>
      <c r="AD1524" s="4" t="s">
        <v>137</v>
      </c>
      <c r="AE1524" s="4" t="s">
        <v>48</v>
      </c>
      <c r="AF1524" s="4" t="s">
        <v>41</v>
      </c>
      <c r="AG1524" s="4" t="s">
        <v>3144</v>
      </c>
    </row>
    <row r="1525" spans="1:33" ht="16.5" customHeight="1" x14ac:dyDescent="0.2">
      <c r="A1525" s="2" t="s">
        <v>31</v>
      </c>
      <c r="B1525" s="5" t="s">
        <v>54</v>
      </c>
      <c r="C1525" s="5"/>
      <c r="D1525" s="5"/>
      <c r="E1525" s="6" t="s">
        <v>33</v>
      </c>
      <c r="F1525" s="6"/>
      <c r="G1525" s="7" t="s">
        <v>3141</v>
      </c>
      <c r="H1525" s="7"/>
      <c r="I1525" s="7"/>
      <c r="J1525" s="3" t="s">
        <v>35</v>
      </c>
      <c r="K1525" s="4" t="s">
        <v>130</v>
      </c>
      <c r="L1525" s="4" t="s">
        <v>37</v>
      </c>
      <c r="N1525" s="7" t="s">
        <v>3242</v>
      </c>
      <c r="O1525" s="7"/>
      <c r="P1525" s="7" t="s">
        <v>3243</v>
      </c>
      <c r="Q1525" s="7"/>
      <c r="R1525" s="7"/>
      <c r="S1525" s="3" t="s">
        <v>40</v>
      </c>
      <c r="T1525" s="7" t="s">
        <v>41</v>
      </c>
      <c r="U1525" s="7"/>
      <c r="V1525" s="4" t="s">
        <v>42</v>
      </c>
      <c r="W1525" s="4" t="s">
        <v>270</v>
      </c>
      <c r="X1525" s="4" t="s">
        <v>271</v>
      </c>
      <c r="Y1525" s="7" t="s">
        <v>135</v>
      </c>
      <c r="Z1525" s="7"/>
      <c r="AA1525" s="4" t="s">
        <v>46</v>
      </c>
      <c r="AB1525" s="4" t="s">
        <v>47</v>
      </c>
      <c r="AC1525" s="4" t="s">
        <v>136</v>
      </c>
      <c r="AD1525" s="4" t="s">
        <v>137</v>
      </c>
      <c r="AE1525" s="4" t="s">
        <v>48</v>
      </c>
      <c r="AF1525" s="4" t="s">
        <v>41</v>
      </c>
      <c r="AG1525" s="4" t="s">
        <v>3144</v>
      </c>
    </row>
    <row r="1526" spans="1:33" ht="16.5" customHeight="1" x14ac:dyDescent="0.2">
      <c r="A1526" s="2" t="s">
        <v>31</v>
      </c>
      <c r="B1526" s="5" t="s">
        <v>54</v>
      </c>
      <c r="C1526" s="5"/>
      <c r="D1526" s="5"/>
      <c r="E1526" s="6" t="s">
        <v>33</v>
      </c>
      <c r="F1526" s="6"/>
      <c r="G1526" s="7" t="s">
        <v>3141</v>
      </c>
      <c r="H1526" s="7"/>
      <c r="I1526" s="7"/>
      <c r="J1526" s="3" t="s">
        <v>35</v>
      </c>
      <c r="K1526" s="4" t="s">
        <v>245</v>
      </c>
      <c r="L1526" s="4" t="s">
        <v>93</v>
      </c>
      <c r="N1526" s="7" t="s">
        <v>3244</v>
      </c>
      <c r="O1526" s="7"/>
      <c r="P1526" s="7" t="s">
        <v>3245</v>
      </c>
      <c r="Q1526" s="7"/>
      <c r="R1526" s="7"/>
      <c r="S1526" s="3" t="s">
        <v>40</v>
      </c>
      <c r="T1526" s="7" t="s">
        <v>41</v>
      </c>
      <c r="U1526" s="7"/>
      <c r="V1526" s="4" t="s">
        <v>42</v>
      </c>
      <c r="W1526" s="4" t="s">
        <v>270</v>
      </c>
      <c r="X1526" s="4" t="s">
        <v>271</v>
      </c>
      <c r="Y1526" s="7" t="s">
        <v>78</v>
      </c>
      <c r="Z1526" s="7"/>
      <c r="AA1526" s="4" t="s">
        <v>46</v>
      </c>
      <c r="AB1526" s="4" t="s">
        <v>47</v>
      </c>
      <c r="AC1526" s="4" t="s">
        <v>136</v>
      </c>
      <c r="AD1526" s="4" t="s">
        <v>148</v>
      </c>
      <c r="AE1526" s="4" t="s">
        <v>48</v>
      </c>
      <c r="AF1526" s="4" t="s">
        <v>41</v>
      </c>
      <c r="AG1526" s="4" t="s">
        <v>3144</v>
      </c>
    </row>
    <row r="1527" spans="1:33" ht="16.5" customHeight="1" x14ac:dyDescent="0.2">
      <c r="A1527" s="2" t="s">
        <v>31</v>
      </c>
      <c r="B1527" s="5" t="s">
        <v>54</v>
      </c>
      <c r="C1527" s="5"/>
      <c r="D1527" s="5"/>
      <c r="E1527" s="6" t="s">
        <v>33</v>
      </c>
      <c r="F1527" s="6"/>
      <c r="G1527" s="7" t="s">
        <v>3141</v>
      </c>
      <c r="H1527" s="7"/>
      <c r="I1527" s="7"/>
      <c r="J1527" s="3" t="s">
        <v>35</v>
      </c>
      <c r="K1527" s="4" t="s">
        <v>620</v>
      </c>
      <c r="L1527" s="4" t="s">
        <v>37</v>
      </c>
      <c r="N1527" s="7" t="s">
        <v>3246</v>
      </c>
      <c r="O1527" s="7"/>
      <c r="P1527" s="7" t="s">
        <v>3247</v>
      </c>
      <c r="Q1527" s="7"/>
      <c r="R1527" s="7"/>
      <c r="S1527" s="3" t="s">
        <v>40</v>
      </c>
      <c r="T1527" s="7" t="s">
        <v>41</v>
      </c>
      <c r="U1527" s="7"/>
      <c r="V1527" s="4" t="s">
        <v>42</v>
      </c>
      <c r="W1527" s="4" t="s">
        <v>850</v>
      </c>
      <c r="X1527" s="4" t="s">
        <v>574</v>
      </c>
      <c r="Y1527" s="7" t="s">
        <v>78</v>
      </c>
      <c r="Z1527" s="7"/>
      <c r="AA1527" s="4" t="s">
        <v>46</v>
      </c>
      <c r="AB1527" s="4" t="s">
        <v>47</v>
      </c>
      <c r="AC1527" s="4" t="s">
        <v>136</v>
      </c>
      <c r="AD1527" s="4" t="s">
        <v>137</v>
      </c>
      <c r="AE1527" s="4" t="s">
        <v>48</v>
      </c>
      <c r="AF1527" s="4" t="s">
        <v>41</v>
      </c>
      <c r="AG1527" s="4" t="s">
        <v>3144</v>
      </c>
    </row>
    <row r="1528" spans="1:33" ht="16.5" customHeight="1" x14ac:dyDescent="0.2">
      <c r="A1528" s="2" t="s">
        <v>31</v>
      </c>
      <c r="B1528" s="5" t="s">
        <v>54</v>
      </c>
      <c r="C1528" s="5"/>
      <c r="D1528" s="5"/>
      <c r="E1528" s="6" t="s">
        <v>33</v>
      </c>
      <c r="F1528" s="6"/>
      <c r="G1528" s="7" t="s">
        <v>3141</v>
      </c>
      <c r="H1528" s="7"/>
      <c r="I1528" s="7"/>
      <c r="J1528" s="3" t="s">
        <v>35</v>
      </c>
      <c r="K1528" s="4" t="s">
        <v>149</v>
      </c>
      <c r="L1528" s="4" t="s">
        <v>37</v>
      </c>
      <c r="N1528" s="7" t="s">
        <v>3248</v>
      </c>
      <c r="O1528" s="7"/>
      <c r="P1528" s="7" t="s">
        <v>3249</v>
      </c>
      <c r="Q1528" s="7"/>
      <c r="R1528" s="7"/>
      <c r="S1528" s="3" t="s">
        <v>40</v>
      </c>
      <c r="T1528" s="7" t="s">
        <v>41</v>
      </c>
      <c r="U1528" s="7"/>
      <c r="V1528" s="4" t="s">
        <v>42</v>
      </c>
      <c r="W1528" s="4" t="s">
        <v>234</v>
      </c>
      <c r="X1528" s="4" t="s">
        <v>235</v>
      </c>
      <c r="Y1528" s="7" t="s">
        <v>78</v>
      </c>
      <c r="Z1528" s="7"/>
      <c r="AA1528" s="4" t="s">
        <v>46</v>
      </c>
      <c r="AB1528" s="4" t="s">
        <v>47</v>
      </c>
      <c r="AC1528" s="4" t="s">
        <v>136</v>
      </c>
      <c r="AD1528" s="4" t="s">
        <v>137</v>
      </c>
      <c r="AE1528" s="4" t="s">
        <v>48</v>
      </c>
      <c r="AF1528" s="4" t="s">
        <v>41</v>
      </c>
      <c r="AG1528" s="4" t="s">
        <v>3144</v>
      </c>
    </row>
    <row r="1529" spans="1:33" ht="16.5" customHeight="1" x14ac:dyDescent="0.2">
      <c r="A1529" s="2" t="s">
        <v>31</v>
      </c>
      <c r="B1529" s="5" t="s">
        <v>54</v>
      </c>
      <c r="C1529" s="5"/>
      <c r="D1529" s="5"/>
      <c r="E1529" s="6" t="s">
        <v>33</v>
      </c>
      <c r="F1529" s="6"/>
      <c r="G1529" s="7" t="s">
        <v>3141</v>
      </c>
      <c r="H1529" s="7"/>
      <c r="I1529" s="7"/>
      <c r="J1529" s="3" t="s">
        <v>35</v>
      </c>
      <c r="K1529" s="4" t="s">
        <v>245</v>
      </c>
      <c r="L1529" s="4" t="s">
        <v>37</v>
      </c>
      <c r="N1529" s="7" t="s">
        <v>3250</v>
      </c>
      <c r="O1529" s="7"/>
      <c r="P1529" s="7" t="s">
        <v>3251</v>
      </c>
      <c r="Q1529" s="7"/>
      <c r="R1529" s="7"/>
      <c r="S1529" s="3" t="s">
        <v>40</v>
      </c>
      <c r="T1529" s="7" t="s">
        <v>41</v>
      </c>
      <c r="U1529" s="7"/>
      <c r="V1529" s="4" t="s">
        <v>42</v>
      </c>
      <c r="W1529" s="4" t="s">
        <v>234</v>
      </c>
      <c r="X1529" s="4" t="s">
        <v>235</v>
      </c>
      <c r="Y1529" s="7" t="s">
        <v>78</v>
      </c>
      <c r="Z1529" s="7"/>
      <c r="AA1529" s="4" t="s">
        <v>46</v>
      </c>
      <c r="AB1529" s="4" t="s">
        <v>47</v>
      </c>
      <c r="AC1529" s="4" t="s">
        <v>136</v>
      </c>
      <c r="AD1529" s="4" t="s">
        <v>137</v>
      </c>
      <c r="AE1529" s="4" t="s">
        <v>48</v>
      </c>
      <c r="AF1529" s="4" t="s">
        <v>41</v>
      </c>
      <c r="AG1529" s="4" t="s">
        <v>3144</v>
      </c>
    </row>
    <row r="1530" spans="1:33" ht="16.5" customHeight="1" x14ac:dyDescent="0.2">
      <c r="A1530" s="2" t="s">
        <v>31</v>
      </c>
      <c r="B1530" s="5" t="s">
        <v>54</v>
      </c>
      <c r="C1530" s="5"/>
      <c r="D1530" s="5"/>
      <c r="E1530" s="6" t="s">
        <v>33</v>
      </c>
      <c r="F1530" s="6"/>
      <c r="G1530" s="7" t="s">
        <v>3141</v>
      </c>
      <c r="H1530" s="7"/>
      <c r="I1530" s="7"/>
      <c r="J1530" s="3" t="s">
        <v>35</v>
      </c>
      <c r="K1530" s="4" t="s">
        <v>92</v>
      </c>
      <c r="L1530" s="4" t="s">
        <v>37</v>
      </c>
      <c r="N1530" s="7" t="s">
        <v>3252</v>
      </c>
      <c r="O1530" s="7"/>
      <c r="P1530" s="7" t="s">
        <v>3253</v>
      </c>
      <c r="Q1530" s="7"/>
      <c r="R1530" s="7"/>
      <c r="S1530" s="3" t="s">
        <v>40</v>
      </c>
      <c r="T1530" s="7" t="s">
        <v>41</v>
      </c>
      <c r="U1530" s="7"/>
      <c r="V1530" s="4" t="s">
        <v>42</v>
      </c>
      <c r="W1530" s="4" t="s">
        <v>355</v>
      </c>
      <c r="X1530" s="4" t="s">
        <v>344</v>
      </c>
      <c r="Y1530" s="7" t="s">
        <v>78</v>
      </c>
      <c r="Z1530" s="7"/>
      <c r="AA1530" s="4" t="s">
        <v>46</v>
      </c>
      <c r="AB1530" s="4" t="s">
        <v>47</v>
      </c>
      <c r="AC1530" s="4" t="s">
        <v>136</v>
      </c>
      <c r="AD1530" s="4" t="s">
        <v>137</v>
      </c>
      <c r="AE1530" s="4" t="s">
        <v>48</v>
      </c>
      <c r="AF1530" s="4" t="s">
        <v>41</v>
      </c>
      <c r="AG1530" s="4" t="s">
        <v>3144</v>
      </c>
    </row>
    <row r="1531" spans="1:33" ht="16.5" customHeight="1" x14ac:dyDescent="0.2">
      <c r="A1531" s="2" t="s">
        <v>31</v>
      </c>
      <c r="B1531" s="5" t="s">
        <v>54</v>
      </c>
      <c r="C1531" s="5"/>
      <c r="D1531" s="5"/>
      <c r="E1531" s="6" t="s">
        <v>33</v>
      </c>
      <c r="F1531" s="6"/>
      <c r="G1531" s="7" t="s">
        <v>3141</v>
      </c>
      <c r="H1531" s="7"/>
      <c r="I1531" s="7"/>
      <c r="J1531" s="3" t="s">
        <v>35</v>
      </c>
      <c r="K1531" s="4" t="s">
        <v>149</v>
      </c>
      <c r="L1531" s="4" t="s">
        <v>37</v>
      </c>
      <c r="N1531" s="7" t="s">
        <v>3254</v>
      </c>
      <c r="O1531" s="7"/>
      <c r="P1531" s="7" t="s">
        <v>3255</v>
      </c>
      <c r="Q1531" s="7"/>
      <c r="R1531" s="7"/>
      <c r="S1531" s="3" t="s">
        <v>40</v>
      </c>
      <c r="T1531" s="7" t="s">
        <v>41</v>
      </c>
      <c r="U1531" s="7"/>
      <c r="V1531" s="4" t="s">
        <v>42</v>
      </c>
      <c r="W1531" s="4" t="s">
        <v>360</v>
      </c>
      <c r="X1531" s="4" t="s">
        <v>361</v>
      </c>
      <c r="Y1531" s="7" t="s">
        <v>78</v>
      </c>
      <c r="Z1531" s="7"/>
      <c r="AA1531" s="4" t="s">
        <v>46</v>
      </c>
      <c r="AB1531" s="4" t="s">
        <v>47</v>
      </c>
      <c r="AC1531" s="4" t="s">
        <v>79</v>
      </c>
      <c r="AD1531" s="4" t="s">
        <v>80</v>
      </c>
      <c r="AE1531" s="4" t="s">
        <v>48</v>
      </c>
      <c r="AF1531" s="4" t="s">
        <v>41</v>
      </c>
      <c r="AG1531" s="4" t="s">
        <v>3144</v>
      </c>
    </row>
    <row r="1532" spans="1:33" ht="16.5" customHeight="1" x14ac:dyDescent="0.2">
      <c r="A1532" s="2" t="s">
        <v>31</v>
      </c>
      <c r="B1532" s="5" t="s">
        <v>54</v>
      </c>
      <c r="C1532" s="5"/>
      <c r="D1532" s="5"/>
      <c r="E1532" s="6" t="s">
        <v>33</v>
      </c>
      <c r="F1532" s="6"/>
      <c r="G1532" s="7" t="s">
        <v>3141</v>
      </c>
      <c r="H1532" s="7"/>
      <c r="I1532" s="7"/>
      <c r="J1532" s="3" t="s">
        <v>35</v>
      </c>
      <c r="K1532" s="4" t="s">
        <v>3256</v>
      </c>
      <c r="L1532" s="4" t="s">
        <v>93</v>
      </c>
      <c r="N1532" s="7" t="s">
        <v>3257</v>
      </c>
      <c r="O1532" s="7"/>
      <c r="P1532" s="7" t="s">
        <v>3258</v>
      </c>
      <c r="Q1532" s="7"/>
      <c r="R1532" s="7"/>
      <c r="S1532" s="3" t="s">
        <v>40</v>
      </c>
      <c r="T1532" s="7" t="s">
        <v>41</v>
      </c>
      <c r="U1532" s="7"/>
      <c r="V1532" s="4" t="s">
        <v>42</v>
      </c>
      <c r="W1532" s="4" t="s">
        <v>58</v>
      </c>
      <c r="X1532" s="4" t="s">
        <v>59</v>
      </c>
      <c r="Y1532" s="7" t="s">
        <v>197</v>
      </c>
      <c r="Z1532" s="7"/>
      <c r="AA1532" s="4" t="s">
        <v>46</v>
      </c>
      <c r="AB1532" s="4" t="s">
        <v>47</v>
      </c>
      <c r="AC1532" s="4" t="s">
        <v>136</v>
      </c>
      <c r="AD1532" s="4" t="s">
        <v>148</v>
      </c>
      <c r="AE1532" s="4" t="s">
        <v>48</v>
      </c>
      <c r="AF1532" s="4" t="s">
        <v>41</v>
      </c>
      <c r="AG1532" s="4" t="s">
        <v>3144</v>
      </c>
    </row>
    <row r="1533" spans="1:33" ht="16.5" customHeight="1" x14ac:dyDescent="0.2">
      <c r="A1533" s="2" t="s">
        <v>31</v>
      </c>
      <c r="B1533" s="5" t="s">
        <v>108</v>
      </c>
      <c r="C1533" s="5"/>
      <c r="D1533" s="5"/>
      <c r="E1533" s="6" t="s">
        <v>33</v>
      </c>
      <c r="F1533" s="6"/>
      <c r="G1533" s="7" t="s">
        <v>3141</v>
      </c>
      <c r="H1533" s="7"/>
      <c r="I1533" s="7"/>
      <c r="J1533" s="3" t="s">
        <v>109</v>
      </c>
      <c r="K1533" s="4" t="s">
        <v>110</v>
      </c>
      <c r="N1533" s="7" t="s">
        <v>3257</v>
      </c>
      <c r="O1533" s="7"/>
      <c r="P1533" s="7" t="s">
        <v>3258</v>
      </c>
      <c r="Q1533" s="7"/>
      <c r="R1533" s="7"/>
      <c r="S1533" s="3" t="s">
        <v>40</v>
      </c>
      <c r="T1533" s="7" t="s">
        <v>3259</v>
      </c>
      <c r="U1533" s="7"/>
      <c r="V1533" s="4" t="s">
        <v>42</v>
      </c>
      <c r="W1533" s="4" t="s">
        <v>58</v>
      </c>
      <c r="X1533" s="4" t="s">
        <v>59</v>
      </c>
      <c r="Y1533" s="7" t="s">
        <v>114</v>
      </c>
      <c r="Z1533" s="7"/>
      <c r="AA1533" s="4" t="s">
        <v>46</v>
      </c>
      <c r="AB1533" s="4" t="s">
        <v>115</v>
      </c>
      <c r="AC1533" s="4" t="s">
        <v>116</v>
      </c>
      <c r="AD1533" s="4" t="s">
        <v>3260</v>
      </c>
      <c r="AE1533" s="4" t="s">
        <v>48</v>
      </c>
      <c r="AF1533" s="4" t="s">
        <v>41</v>
      </c>
      <c r="AG1533" s="4" t="s">
        <v>3144</v>
      </c>
    </row>
    <row r="1534" spans="1:33" ht="16.5" customHeight="1" x14ac:dyDescent="0.2">
      <c r="A1534" s="2" t="s">
        <v>31</v>
      </c>
      <c r="B1534" s="5" t="s">
        <v>54</v>
      </c>
      <c r="C1534" s="5"/>
      <c r="D1534" s="5"/>
      <c r="E1534" s="6" t="s">
        <v>33</v>
      </c>
      <c r="F1534" s="6"/>
      <c r="G1534" s="7" t="s">
        <v>3141</v>
      </c>
      <c r="H1534" s="7"/>
      <c r="I1534" s="7"/>
      <c r="J1534" s="3" t="s">
        <v>35</v>
      </c>
      <c r="K1534" s="4" t="s">
        <v>245</v>
      </c>
      <c r="L1534" s="4" t="s">
        <v>280</v>
      </c>
      <c r="N1534" s="7" t="s">
        <v>3261</v>
      </c>
      <c r="O1534" s="7"/>
      <c r="P1534" s="7" t="s">
        <v>3262</v>
      </c>
      <c r="Q1534" s="7"/>
      <c r="R1534" s="7"/>
      <c r="S1534" s="3" t="s">
        <v>40</v>
      </c>
      <c r="T1534" s="7" t="s">
        <v>41</v>
      </c>
      <c r="U1534" s="7"/>
      <c r="V1534" s="4" t="s">
        <v>42</v>
      </c>
      <c r="W1534" s="4" t="s">
        <v>360</v>
      </c>
      <c r="X1534" s="4" t="s">
        <v>361</v>
      </c>
      <c r="Y1534" s="7" t="s">
        <v>78</v>
      </c>
      <c r="Z1534" s="7"/>
      <c r="AA1534" s="4" t="s">
        <v>46</v>
      </c>
      <c r="AB1534" s="4" t="s">
        <v>47</v>
      </c>
      <c r="AC1534" s="4" t="s">
        <v>79</v>
      </c>
      <c r="AD1534" s="4" t="s">
        <v>285</v>
      </c>
      <c r="AE1534" s="4" t="s">
        <v>48</v>
      </c>
      <c r="AF1534" s="4" t="s">
        <v>41</v>
      </c>
      <c r="AG1534" s="4" t="s">
        <v>3144</v>
      </c>
    </row>
    <row r="1535" spans="1:33" ht="16.5" customHeight="1" x14ac:dyDescent="0.2">
      <c r="A1535" s="2" t="s">
        <v>31</v>
      </c>
      <c r="B1535" s="5" t="s">
        <v>54</v>
      </c>
      <c r="C1535" s="5"/>
      <c r="D1535" s="5"/>
      <c r="E1535" s="6" t="s">
        <v>33</v>
      </c>
      <c r="F1535" s="6"/>
      <c r="G1535" s="7" t="s">
        <v>3141</v>
      </c>
      <c r="H1535" s="7"/>
      <c r="I1535" s="7"/>
      <c r="J1535" s="3" t="s">
        <v>35</v>
      </c>
      <c r="K1535" s="4" t="s">
        <v>245</v>
      </c>
      <c r="L1535" s="4" t="s">
        <v>280</v>
      </c>
      <c r="N1535" s="7" t="s">
        <v>3261</v>
      </c>
      <c r="O1535" s="7"/>
      <c r="P1535" s="7" t="s">
        <v>3262</v>
      </c>
      <c r="Q1535" s="7"/>
      <c r="R1535" s="7"/>
      <c r="S1535" s="3" t="s">
        <v>40</v>
      </c>
      <c r="T1535" s="7" t="s">
        <v>41</v>
      </c>
      <c r="U1535" s="7"/>
      <c r="V1535" s="4" t="s">
        <v>51</v>
      </c>
      <c r="W1535" s="4" t="s">
        <v>360</v>
      </c>
      <c r="X1535" s="4" t="s">
        <v>302</v>
      </c>
      <c r="Y1535" s="7" t="s">
        <v>78</v>
      </c>
      <c r="Z1535" s="7"/>
      <c r="AA1535" s="4" t="s">
        <v>46</v>
      </c>
      <c r="AB1535" s="4" t="s">
        <v>47</v>
      </c>
      <c r="AC1535" s="4" t="s">
        <v>79</v>
      </c>
      <c r="AD1535" s="4" t="s">
        <v>285</v>
      </c>
      <c r="AE1535" s="4" t="s">
        <v>48</v>
      </c>
      <c r="AF1535" s="4" t="s">
        <v>41</v>
      </c>
      <c r="AG1535" s="4" t="s">
        <v>3144</v>
      </c>
    </row>
    <row r="1536" spans="1:33" ht="16.5" customHeight="1" x14ac:dyDescent="0.2">
      <c r="A1536" s="2" t="s">
        <v>31</v>
      </c>
      <c r="B1536" s="5" t="s">
        <v>54</v>
      </c>
      <c r="C1536" s="5"/>
      <c r="D1536" s="5"/>
      <c r="E1536" s="6" t="s">
        <v>33</v>
      </c>
      <c r="F1536" s="6"/>
      <c r="G1536" s="7" t="s">
        <v>3141</v>
      </c>
      <c r="H1536" s="7"/>
      <c r="I1536" s="7"/>
      <c r="J1536" s="3" t="s">
        <v>35</v>
      </c>
      <c r="K1536" s="4" t="s">
        <v>245</v>
      </c>
      <c r="L1536" s="4" t="s">
        <v>37</v>
      </c>
      <c r="N1536" s="7" t="s">
        <v>3263</v>
      </c>
      <c r="O1536" s="7"/>
      <c r="P1536" s="7" t="s">
        <v>3264</v>
      </c>
      <c r="Q1536" s="7"/>
      <c r="R1536" s="7"/>
      <c r="S1536" s="3" t="s">
        <v>40</v>
      </c>
      <c r="T1536" s="7" t="s">
        <v>41</v>
      </c>
      <c r="U1536" s="7"/>
      <c r="V1536" s="4" t="s">
        <v>42</v>
      </c>
      <c r="W1536" s="4" t="s">
        <v>301</v>
      </c>
      <c r="X1536" s="4" t="s">
        <v>302</v>
      </c>
      <c r="Y1536" s="7" t="s">
        <v>78</v>
      </c>
      <c r="Z1536" s="7"/>
      <c r="AA1536" s="4" t="s">
        <v>46</v>
      </c>
      <c r="AB1536" s="4" t="s">
        <v>47</v>
      </c>
      <c r="AC1536" s="4" t="s">
        <v>79</v>
      </c>
      <c r="AD1536" s="4" t="s">
        <v>80</v>
      </c>
      <c r="AE1536" s="4" t="s">
        <v>48</v>
      </c>
      <c r="AF1536" s="4" t="s">
        <v>41</v>
      </c>
      <c r="AG1536" s="4" t="s">
        <v>3144</v>
      </c>
    </row>
    <row r="1537" spans="1:33" ht="16.5" customHeight="1" x14ac:dyDescent="0.2">
      <c r="A1537" s="2" t="s">
        <v>31</v>
      </c>
      <c r="B1537" s="5" t="s">
        <v>54</v>
      </c>
      <c r="C1537" s="5"/>
      <c r="D1537" s="5"/>
      <c r="E1537" s="6" t="s">
        <v>33</v>
      </c>
      <c r="F1537" s="6"/>
      <c r="G1537" s="7" t="s">
        <v>3141</v>
      </c>
      <c r="H1537" s="7"/>
      <c r="I1537" s="7"/>
      <c r="J1537" s="3" t="s">
        <v>35</v>
      </c>
      <c r="K1537" s="4" t="s">
        <v>149</v>
      </c>
      <c r="L1537" s="4" t="s">
        <v>37</v>
      </c>
      <c r="N1537" s="7" t="s">
        <v>3265</v>
      </c>
      <c r="O1537" s="7"/>
      <c r="P1537" s="7" t="s">
        <v>3266</v>
      </c>
      <c r="Q1537" s="7"/>
      <c r="R1537" s="7"/>
      <c r="S1537" s="3" t="s">
        <v>40</v>
      </c>
      <c r="T1537" s="7" t="s">
        <v>41</v>
      </c>
      <c r="U1537" s="7"/>
      <c r="V1537" s="4" t="s">
        <v>42</v>
      </c>
      <c r="W1537" s="4" t="s">
        <v>76</v>
      </c>
      <c r="X1537" s="4" t="s">
        <v>77</v>
      </c>
      <c r="Y1537" s="7" t="s">
        <v>78</v>
      </c>
      <c r="Z1537" s="7"/>
      <c r="AA1537" s="4" t="s">
        <v>46</v>
      </c>
      <c r="AB1537" s="4" t="s">
        <v>47</v>
      </c>
      <c r="AC1537" s="4" t="s">
        <v>79</v>
      </c>
      <c r="AD1537" s="4" t="s">
        <v>80</v>
      </c>
      <c r="AE1537" s="4" t="s">
        <v>48</v>
      </c>
      <c r="AF1537" s="4" t="s">
        <v>41</v>
      </c>
      <c r="AG1537" s="4" t="s">
        <v>3144</v>
      </c>
    </row>
    <row r="1538" spans="1:33" ht="16.5" customHeight="1" x14ac:dyDescent="0.2">
      <c r="A1538" s="2" t="s">
        <v>31</v>
      </c>
      <c r="B1538" s="5" t="s">
        <v>54</v>
      </c>
      <c r="C1538" s="5"/>
      <c r="D1538" s="5"/>
      <c r="E1538" s="6" t="s">
        <v>33</v>
      </c>
      <c r="F1538" s="6"/>
      <c r="G1538" s="7" t="s">
        <v>3141</v>
      </c>
      <c r="H1538" s="7"/>
      <c r="I1538" s="7"/>
      <c r="J1538" s="3" t="s">
        <v>35</v>
      </c>
      <c r="K1538" s="4" t="s">
        <v>149</v>
      </c>
      <c r="L1538" s="4" t="s">
        <v>93</v>
      </c>
      <c r="N1538" s="7" t="s">
        <v>3267</v>
      </c>
      <c r="O1538" s="7"/>
      <c r="P1538" s="7" t="s">
        <v>3268</v>
      </c>
      <c r="Q1538" s="7"/>
      <c r="R1538" s="7"/>
      <c r="S1538" s="3" t="s">
        <v>40</v>
      </c>
      <c r="T1538" s="7" t="s">
        <v>41</v>
      </c>
      <c r="U1538" s="7"/>
      <c r="V1538" s="4" t="s">
        <v>42</v>
      </c>
      <c r="W1538" s="4" t="s">
        <v>102</v>
      </c>
      <c r="X1538" s="4" t="s">
        <v>103</v>
      </c>
      <c r="Y1538" s="7" t="s">
        <v>78</v>
      </c>
      <c r="Z1538" s="7"/>
      <c r="AA1538" s="4" t="s">
        <v>46</v>
      </c>
      <c r="AB1538" s="4" t="s">
        <v>47</v>
      </c>
      <c r="AC1538" s="4" t="s">
        <v>79</v>
      </c>
      <c r="AD1538" s="4" t="s">
        <v>96</v>
      </c>
      <c r="AE1538" s="4" t="s">
        <v>48</v>
      </c>
      <c r="AF1538" s="4" t="s">
        <v>41</v>
      </c>
      <c r="AG1538" s="4" t="s">
        <v>3144</v>
      </c>
    </row>
    <row r="1539" spans="1:33" ht="16.5" customHeight="1" x14ac:dyDescent="0.2">
      <c r="A1539" s="2" t="s">
        <v>31</v>
      </c>
      <c r="B1539" s="5" t="s">
        <v>54</v>
      </c>
      <c r="C1539" s="5"/>
      <c r="D1539" s="5"/>
      <c r="E1539" s="6" t="s">
        <v>33</v>
      </c>
      <c r="F1539" s="6"/>
      <c r="G1539" s="7" t="s">
        <v>3141</v>
      </c>
      <c r="H1539" s="7"/>
      <c r="I1539" s="7"/>
      <c r="J1539" s="3" t="s">
        <v>35</v>
      </c>
      <c r="K1539" s="4" t="s">
        <v>55</v>
      </c>
      <c r="L1539" s="4" t="s">
        <v>37</v>
      </c>
      <c r="N1539" s="7" t="s">
        <v>3269</v>
      </c>
      <c r="O1539" s="7"/>
      <c r="P1539" s="7" t="s">
        <v>3270</v>
      </c>
      <c r="Q1539" s="7"/>
      <c r="R1539" s="7"/>
      <c r="S1539" s="3" t="s">
        <v>40</v>
      </c>
      <c r="T1539" s="7" t="s">
        <v>41</v>
      </c>
      <c r="U1539" s="7"/>
      <c r="V1539" s="4" t="s">
        <v>42</v>
      </c>
      <c r="W1539" s="4" t="s">
        <v>58</v>
      </c>
      <c r="X1539" s="4" t="s">
        <v>59</v>
      </c>
      <c r="Y1539" s="7" t="s">
        <v>60</v>
      </c>
      <c r="Z1539" s="7"/>
      <c r="AA1539" s="4" t="s">
        <v>46</v>
      </c>
      <c r="AB1539" s="4" t="s">
        <v>47</v>
      </c>
      <c r="AC1539" s="4" t="s">
        <v>61</v>
      </c>
      <c r="AD1539" s="4" t="s">
        <v>62</v>
      </c>
      <c r="AE1539" s="4" t="s">
        <v>48</v>
      </c>
      <c r="AF1539" s="4" t="s">
        <v>41</v>
      </c>
      <c r="AG1539" s="4" t="s">
        <v>3144</v>
      </c>
    </row>
    <row r="1540" spans="1:33" ht="16.5" customHeight="1" x14ac:dyDescent="0.2">
      <c r="A1540" s="2" t="s">
        <v>31</v>
      </c>
      <c r="B1540" s="5" t="s">
        <v>54</v>
      </c>
      <c r="C1540" s="5"/>
      <c r="D1540" s="5"/>
      <c r="E1540" s="6" t="s">
        <v>33</v>
      </c>
      <c r="F1540" s="6"/>
      <c r="G1540" s="7" t="s">
        <v>3141</v>
      </c>
      <c r="H1540" s="7"/>
      <c r="I1540" s="7"/>
      <c r="J1540" s="3" t="s">
        <v>35</v>
      </c>
      <c r="K1540" s="4" t="s">
        <v>55</v>
      </c>
      <c r="L1540" s="4" t="s">
        <v>37</v>
      </c>
      <c r="N1540" s="7" t="s">
        <v>3269</v>
      </c>
      <c r="O1540" s="7"/>
      <c r="P1540" s="7" t="s">
        <v>3270</v>
      </c>
      <c r="Q1540" s="7"/>
      <c r="R1540" s="7"/>
      <c r="S1540" s="3" t="s">
        <v>40</v>
      </c>
      <c r="T1540" s="7" t="s">
        <v>41</v>
      </c>
      <c r="U1540" s="7"/>
      <c r="V1540" s="4" t="s">
        <v>51</v>
      </c>
      <c r="W1540" s="4" t="s">
        <v>58</v>
      </c>
      <c r="X1540" s="4" t="s">
        <v>128</v>
      </c>
      <c r="Y1540" s="7" t="s">
        <v>60</v>
      </c>
      <c r="Z1540" s="7"/>
      <c r="AA1540" s="4" t="s">
        <v>46</v>
      </c>
      <c r="AB1540" s="4" t="s">
        <v>47</v>
      </c>
      <c r="AC1540" s="4" t="s">
        <v>61</v>
      </c>
      <c r="AD1540" s="4" t="s">
        <v>62</v>
      </c>
      <c r="AE1540" s="4" t="s">
        <v>48</v>
      </c>
      <c r="AF1540" s="4" t="s">
        <v>41</v>
      </c>
      <c r="AG1540" s="4" t="s">
        <v>3144</v>
      </c>
    </row>
    <row r="1541" spans="1:33" ht="16.5" customHeight="1" x14ac:dyDescent="0.2">
      <c r="A1541" s="2" t="s">
        <v>31</v>
      </c>
      <c r="B1541" s="5" t="s">
        <v>54</v>
      </c>
      <c r="C1541" s="5"/>
      <c r="D1541" s="5"/>
      <c r="E1541" s="6" t="s">
        <v>33</v>
      </c>
      <c r="F1541" s="6"/>
      <c r="G1541" s="7" t="s">
        <v>3141</v>
      </c>
      <c r="H1541" s="7"/>
      <c r="I1541" s="7"/>
      <c r="J1541" s="3" t="s">
        <v>35</v>
      </c>
      <c r="K1541" s="4" t="s">
        <v>55</v>
      </c>
      <c r="L1541" s="4" t="s">
        <v>588</v>
      </c>
      <c r="N1541" s="7" t="s">
        <v>3269</v>
      </c>
      <c r="O1541" s="7"/>
      <c r="P1541" s="7" t="s">
        <v>3270</v>
      </c>
      <c r="Q1541" s="7"/>
      <c r="R1541" s="7"/>
      <c r="S1541" s="3" t="s">
        <v>40</v>
      </c>
      <c r="T1541" s="7" t="s">
        <v>41</v>
      </c>
      <c r="U1541" s="7"/>
      <c r="V1541" s="4" t="s">
        <v>51</v>
      </c>
      <c r="W1541" s="4" t="s">
        <v>58</v>
      </c>
      <c r="X1541" s="4" t="s">
        <v>128</v>
      </c>
      <c r="Y1541" s="7" t="s">
        <v>60</v>
      </c>
      <c r="Z1541" s="7"/>
      <c r="AA1541" s="4" t="s">
        <v>46</v>
      </c>
      <c r="AB1541" s="4" t="s">
        <v>47</v>
      </c>
      <c r="AC1541" s="4" t="s">
        <v>61</v>
      </c>
      <c r="AD1541" s="4" t="s">
        <v>2043</v>
      </c>
      <c r="AE1541" s="4" t="s">
        <v>48</v>
      </c>
      <c r="AF1541" s="4" t="s">
        <v>41</v>
      </c>
      <c r="AG1541" s="4" t="s">
        <v>3144</v>
      </c>
    </row>
    <row r="1542" spans="1:33" ht="16.5" customHeight="1" x14ac:dyDescent="0.2">
      <c r="A1542" s="2" t="s">
        <v>31</v>
      </c>
      <c r="B1542" s="5" t="s">
        <v>54</v>
      </c>
      <c r="C1542" s="5"/>
      <c r="D1542" s="5"/>
      <c r="E1542" s="6" t="s">
        <v>33</v>
      </c>
      <c r="F1542" s="6"/>
      <c r="G1542" s="7" t="s">
        <v>3141</v>
      </c>
      <c r="H1542" s="7"/>
      <c r="I1542" s="7"/>
      <c r="J1542" s="3" t="s">
        <v>35</v>
      </c>
      <c r="K1542" s="4" t="s">
        <v>3271</v>
      </c>
      <c r="L1542" s="4" t="s">
        <v>37</v>
      </c>
      <c r="N1542" s="7" t="s">
        <v>3272</v>
      </c>
      <c r="O1542" s="7"/>
      <c r="P1542" s="7" t="s">
        <v>3273</v>
      </c>
      <c r="Q1542" s="7"/>
      <c r="R1542" s="7"/>
      <c r="S1542" s="3" t="s">
        <v>40</v>
      </c>
      <c r="T1542" s="7" t="s">
        <v>41</v>
      </c>
      <c r="U1542" s="7"/>
      <c r="V1542" s="4" t="s">
        <v>42</v>
      </c>
      <c r="W1542" s="4" t="s">
        <v>58</v>
      </c>
      <c r="X1542" s="4" t="s">
        <v>59</v>
      </c>
      <c r="Y1542" s="7" t="s">
        <v>78</v>
      </c>
      <c r="Z1542" s="7"/>
      <c r="AA1542" s="4" t="s">
        <v>46</v>
      </c>
      <c r="AB1542" s="4" t="s">
        <v>47</v>
      </c>
      <c r="AC1542" s="4" t="s">
        <v>79</v>
      </c>
      <c r="AD1542" s="4" t="s">
        <v>80</v>
      </c>
      <c r="AE1542" s="4" t="s">
        <v>48</v>
      </c>
      <c r="AF1542" s="4" t="s">
        <v>41</v>
      </c>
      <c r="AG1542" s="4" t="s">
        <v>3144</v>
      </c>
    </row>
    <row r="1543" spans="1:33" ht="16.5" customHeight="1" x14ac:dyDescent="0.2">
      <c r="A1543" s="2" t="s">
        <v>31</v>
      </c>
      <c r="B1543" s="5" t="s">
        <v>54</v>
      </c>
      <c r="C1543" s="5"/>
      <c r="D1543" s="5"/>
      <c r="E1543" s="6" t="s">
        <v>33</v>
      </c>
      <c r="F1543" s="6"/>
      <c r="G1543" s="7" t="s">
        <v>3141</v>
      </c>
      <c r="H1543" s="7"/>
      <c r="I1543" s="7"/>
      <c r="J1543" s="3" t="s">
        <v>35</v>
      </c>
      <c r="K1543" s="4" t="s">
        <v>149</v>
      </c>
      <c r="L1543" s="4" t="s">
        <v>37</v>
      </c>
      <c r="N1543" s="7" t="s">
        <v>3274</v>
      </c>
      <c r="O1543" s="7"/>
      <c r="P1543" s="7" t="s">
        <v>3275</v>
      </c>
      <c r="Q1543" s="7"/>
      <c r="R1543" s="7"/>
      <c r="S1543" s="3" t="s">
        <v>40</v>
      </c>
      <c r="T1543" s="7" t="s">
        <v>41</v>
      </c>
      <c r="U1543" s="7"/>
      <c r="V1543" s="4" t="s">
        <v>42</v>
      </c>
      <c r="W1543" s="4" t="s">
        <v>58</v>
      </c>
      <c r="X1543" s="4" t="s">
        <v>59</v>
      </c>
      <c r="Y1543" s="7" t="s">
        <v>78</v>
      </c>
      <c r="Z1543" s="7"/>
      <c r="AA1543" s="4" t="s">
        <v>46</v>
      </c>
      <c r="AB1543" s="4" t="s">
        <v>47</v>
      </c>
      <c r="AC1543" s="4" t="s">
        <v>79</v>
      </c>
      <c r="AD1543" s="4" t="s">
        <v>80</v>
      </c>
      <c r="AE1543" s="4" t="s">
        <v>48</v>
      </c>
      <c r="AF1543" s="4" t="s">
        <v>41</v>
      </c>
      <c r="AG1543" s="4" t="s">
        <v>3144</v>
      </c>
    </row>
    <row r="1544" spans="1:33" ht="0.75" customHeight="1" x14ac:dyDescent="0.2"/>
    <row r="1545" spans="1:33" ht="12" customHeight="1" x14ac:dyDescent="0.2"/>
    <row r="1546" spans="1:33" ht="16.5" customHeight="1" x14ac:dyDescent="0.2">
      <c r="A1546" s="2" t="s">
        <v>31</v>
      </c>
      <c r="B1546" s="5" t="s">
        <v>54</v>
      </c>
      <c r="C1546" s="5"/>
      <c r="D1546" s="5"/>
      <c r="E1546" s="6" t="s">
        <v>33</v>
      </c>
      <c r="F1546" s="6"/>
      <c r="G1546" s="7" t="s">
        <v>3141</v>
      </c>
      <c r="H1546" s="7"/>
      <c r="I1546" s="7"/>
      <c r="J1546" s="3" t="s">
        <v>35</v>
      </c>
      <c r="K1546" s="4" t="s">
        <v>248</v>
      </c>
      <c r="L1546" s="4" t="s">
        <v>37</v>
      </c>
      <c r="N1546" s="7" t="s">
        <v>3276</v>
      </c>
      <c r="O1546" s="7"/>
      <c r="P1546" s="7" t="s">
        <v>3277</v>
      </c>
      <c r="Q1546" s="7"/>
      <c r="R1546" s="7"/>
      <c r="S1546" s="3" t="s">
        <v>40</v>
      </c>
      <c r="T1546" s="7" t="s">
        <v>41</v>
      </c>
      <c r="U1546" s="7"/>
      <c r="V1546" s="4" t="s">
        <v>42</v>
      </c>
      <c r="W1546" s="4" t="s">
        <v>58</v>
      </c>
      <c r="X1546" s="4" t="s">
        <v>59</v>
      </c>
      <c r="Y1546" s="7" t="s">
        <v>60</v>
      </c>
      <c r="Z1546" s="7"/>
      <c r="AA1546" s="4" t="s">
        <v>46</v>
      </c>
      <c r="AB1546" s="4" t="s">
        <v>47</v>
      </c>
      <c r="AC1546" s="4" t="s">
        <v>61</v>
      </c>
      <c r="AD1546" s="4" t="s">
        <v>62</v>
      </c>
      <c r="AE1546" s="4" t="s">
        <v>48</v>
      </c>
      <c r="AF1546" s="4" t="s">
        <v>41</v>
      </c>
      <c r="AG1546" s="4" t="s">
        <v>3144</v>
      </c>
    </row>
    <row r="1547" spans="1:33" ht="16.5" customHeight="1" x14ac:dyDescent="0.2">
      <c r="A1547" s="2" t="s">
        <v>31</v>
      </c>
      <c r="B1547" s="5" t="s">
        <v>54</v>
      </c>
      <c r="C1547" s="5"/>
      <c r="D1547" s="5"/>
      <c r="E1547" s="6" t="s">
        <v>33</v>
      </c>
      <c r="F1547" s="6"/>
      <c r="G1547" s="7" t="s">
        <v>3141</v>
      </c>
      <c r="H1547" s="7"/>
      <c r="I1547" s="7"/>
      <c r="J1547" s="3" t="s">
        <v>35</v>
      </c>
      <c r="K1547" s="4" t="s">
        <v>248</v>
      </c>
      <c r="L1547" s="4" t="s">
        <v>37</v>
      </c>
      <c r="N1547" s="7" t="s">
        <v>3278</v>
      </c>
      <c r="O1547" s="7"/>
      <c r="P1547" s="7" t="s">
        <v>3279</v>
      </c>
      <c r="Q1547" s="7"/>
      <c r="R1547" s="7"/>
      <c r="S1547" s="3" t="s">
        <v>40</v>
      </c>
      <c r="T1547" s="7" t="s">
        <v>41</v>
      </c>
      <c r="U1547" s="7"/>
      <c r="V1547" s="4" t="s">
        <v>42</v>
      </c>
      <c r="W1547" s="4" t="s">
        <v>58</v>
      </c>
      <c r="X1547" s="4" t="s">
        <v>59</v>
      </c>
      <c r="Y1547" s="7" t="s">
        <v>60</v>
      </c>
      <c r="Z1547" s="7"/>
      <c r="AA1547" s="4" t="s">
        <v>46</v>
      </c>
      <c r="AB1547" s="4" t="s">
        <v>47</v>
      </c>
      <c r="AC1547" s="4" t="s">
        <v>61</v>
      </c>
      <c r="AD1547" s="4" t="s">
        <v>62</v>
      </c>
      <c r="AE1547" s="4" t="s">
        <v>48</v>
      </c>
      <c r="AF1547" s="4" t="s">
        <v>41</v>
      </c>
      <c r="AG1547" s="4" t="s">
        <v>3144</v>
      </c>
    </row>
    <row r="1548" spans="1:33" ht="16.5" customHeight="1" x14ac:dyDescent="0.2">
      <c r="A1548" s="2" t="s">
        <v>31</v>
      </c>
      <c r="B1548" s="5" t="s">
        <v>54</v>
      </c>
      <c r="C1548" s="5"/>
      <c r="D1548" s="5"/>
      <c r="E1548" s="6" t="s">
        <v>33</v>
      </c>
      <c r="F1548" s="6"/>
      <c r="G1548" s="7" t="s">
        <v>3141</v>
      </c>
      <c r="H1548" s="7"/>
      <c r="I1548" s="7"/>
      <c r="J1548" s="3" t="s">
        <v>35</v>
      </c>
      <c r="K1548" s="4" t="s">
        <v>248</v>
      </c>
      <c r="L1548" s="4" t="s">
        <v>280</v>
      </c>
      <c r="N1548" s="7" t="s">
        <v>3280</v>
      </c>
      <c r="O1548" s="7"/>
      <c r="P1548" s="7" t="s">
        <v>3281</v>
      </c>
      <c r="Q1548" s="7"/>
      <c r="R1548" s="7"/>
      <c r="S1548" s="3" t="s">
        <v>40</v>
      </c>
      <c r="T1548" s="7" t="s">
        <v>41</v>
      </c>
      <c r="U1548" s="7"/>
      <c r="V1548" s="4" t="s">
        <v>42</v>
      </c>
      <c r="W1548" s="4" t="s">
        <v>58</v>
      </c>
      <c r="X1548" s="4" t="s">
        <v>59</v>
      </c>
      <c r="Y1548" s="7" t="s">
        <v>60</v>
      </c>
      <c r="Z1548" s="7"/>
      <c r="AA1548" s="4" t="s">
        <v>46</v>
      </c>
      <c r="AB1548" s="4" t="s">
        <v>47</v>
      </c>
      <c r="AC1548" s="4" t="s">
        <v>61</v>
      </c>
      <c r="AD1548" s="4" t="s">
        <v>2650</v>
      </c>
      <c r="AE1548" s="4" t="s">
        <v>48</v>
      </c>
      <c r="AF1548" s="4" t="s">
        <v>41</v>
      </c>
      <c r="AG1548" s="4" t="s">
        <v>3144</v>
      </c>
    </row>
    <row r="1549" spans="1:33" ht="16.5" customHeight="1" x14ac:dyDescent="0.2">
      <c r="A1549" s="2" t="s">
        <v>31</v>
      </c>
      <c r="B1549" s="5" t="s">
        <v>54</v>
      </c>
      <c r="C1549" s="5"/>
      <c r="D1549" s="5"/>
      <c r="E1549" s="6" t="s">
        <v>33</v>
      </c>
      <c r="F1549" s="6"/>
      <c r="G1549" s="7" t="s">
        <v>3141</v>
      </c>
      <c r="H1549" s="7"/>
      <c r="I1549" s="7"/>
      <c r="J1549" s="3" t="s">
        <v>35</v>
      </c>
      <c r="K1549" s="4" t="s">
        <v>387</v>
      </c>
      <c r="L1549" s="4" t="s">
        <v>37</v>
      </c>
      <c r="N1549" s="7" t="s">
        <v>3282</v>
      </c>
      <c r="O1549" s="7"/>
      <c r="P1549" s="7" t="s">
        <v>3283</v>
      </c>
      <c r="Q1549" s="7"/>
      <c r="R1549" s="7"/>
      <c r="S1549" s="3" t="s">
        <v>40</v>
      </c>
      <c r="T1549" s="7" t="s">
        <v>41</v>
      </c>
      <c r="U1549" s="7"/>
      <c r="V1549" s="4" t="s">
        <v>42</v>
      </c>
      <c r="W1549" s="4" t="s">
        <v>58</v>
      </c>
      <c r="X1549" s="4" t="s">
        <v>59</v>
      </c>
      <c r="Y1549" s="7" t="s">
        <v>197</v>
      </c>
      <c r="Z1549" s="7"/>
      <c r="AA1549" s="4" t="s">
        <v>46</v>
      </c>
      <c r="AB1549" s="4" t="s">
        <v>47</v>
      </c>
      <c r="AC1549" s="4" t="s">
        <v>136</v>
      </c>
      <c r="AD1549" s="4" t="s">
        <v>137</v>
      </c>
      <c r="AE1549" s="4" t="s">
        <v>48</v>
      </c>
      <c r="AF1549" s="4" t="s">
        <v>41</v>
      </c>
      <c r="AG1549" s="4" t="s">
        <v>3144</v>
      </c>
    </row>
    <row r="1550" spans="1:33" ht="16.5" customHeight="1" x14ac:dyDescent="0.2">
      <c r="A1550" s="2" t="s">
        <v>31</v>
      </c>
      <c r="B1550" s="5" t="s">
        <v>54</v>
      </c>
      <c r="C1550" s="5"/>
      <c r="D1550" s="5"/>
      <c r="E1550" s="6" t="s">
        <v>33</v>
      </c>
      <c r="F1550" s="6"/>
      <c r="G1550" s="7" t="s">
        <v>3141</v>
      </c>
      <c r="H1550" s="7"/>
      <c r="I1550" s="7"/>
      <c r="J1550" s="3" t="s">
        <v>35</v>
      </c>
      <c r="K1550" s="4" t="s">
        <v>149</v>
      </c>
      <c r="L1550" s="4" t="s">
        <v>280</v>
      </c>
      <c r="N1550" s="7" t="s">
        <v>3284</v>
      </c>
      <c r="O1550" s="7"/>
      <c r="P1550" s="7" t="s">
        <v>3285</v>
      </c>
      <c r="Q1550" s="7"/>
      <c r="R1550" s="7"/>
      <c r="S1550" s="3" t="s">
        <v>40</v>
      </c>
      <c r="T1550" s="7" t="s">
        <v>41</v>
      </c>
      <c r="U1550" s="7"/>
      <c r="V1550" s="4" t="s">
        <v>42</v>
      </c>
      <c r="W1550" s="4" t="s">
        <v>58</v>
      </c>
      <c r="X1550" s="4" t="s">
        <v>59</v>
      </c>
      <c r="Y1550" s="7" t="s">
        <v>78</v>
      </c>
      <c r="Z1550" s="7"/>
      <c r="AA1550" s="4" t="s">
        <v>46</v>
      </c>
      <c r="AB1550" s="4" t="s">
        <v>47</v>
      </c>
      <c r="AC1550" s="4" t="s">
        <v>79</v>
      </c>
      <c r="AD1550" s="4" t="s">
        <v>285</v>
      </c>
      <c r="AE1550" s="4" t="s">
        <v>48</v>
      </c>
      <c r="AF1550" s="4" t="s">
        <v>41</v>
      </c>
      <c r="AG1550" s="4" t="s">
        <v>3144</v>
      </c>
    </row>
    <row r="1551" spans="1:33" ht="16.5" customHeight="1" x14ac:dyDescent="0.2">
      <c r="A1551" s="2" t="s">
        <v>31</v>
      </c>
      <c r="B1551" s="5" t="s">
        <v>54</v>
      </c>
      <c r="C1551" s="5"/>
      <c r="D1551" s="5"/>
      <c r="E1551" s="6" t="s">
        <v>33</v>
      </c>
      <c r="F1551" s="6"/>
      <c r="G1551" s="7" t="s">
        <v>3141</v>
      </c>
      <c r="H1551" s="7"/>
      <c r="I1551" s="7"/>
      <c r="J1551" s="3" t="s">
        <v>35</v>
      </c>
      <c r="K1551" s="4" t="s">
        <v>149</v>
      </c>
      <c r="L1551" s="4" t="s">
        <v>280</v>
      </c>
      <c r="N1551" s="7" t="s">
        <v>3284</v>
      </c>
      <c r="O1551" s="7"/>
      <c r="P1551" s="7" t="s">
        <v>3285</v>
      </c>
      <c r="Q1551" s="7"/>
      <c r="R1551" s="7"/>
      <c r="S1551" s="3" t="s">
        <v>40</v>
      </c>
      <c r="T1551" s="7" t="s">
        <v>41</v>
      </c>
      <c r="U1551" s="7"/>
      <c r="V1551" s="4" t="s">
        <v>51</v>
      </c>
      <c r="W1551" s="4" t="s">
        <v>58</v>
      </c>
      <c r="X1551" s="4" t="s">
        <v>128</v>
      </c>
      <c r="Y1551" s="7" t="s">
        <v>78</v>
      </c>
      <c r="Z1551" s="7"/>
      <c r="AA1551" s="4" t="s">
        <v>46</v>
      </c>
      <c r="AB1551" s="4" t="s">
        <v>47</v>
      </c>
      <c r="AC1551" s="4" t="s">
        <v>79</v>
      </c>
      <c r="AD1551" s="4" t="s">
        <v>285</v>
      </c>
      <c r="AE1551" s="4" t="s">
        <v>48</v>
      </c>
      <c r="AF1551" s="4" t="s">
        <v>41</v>
      </c>
      <c r="AG1551" s="4" t="s">
        <v>3144</v>
      </c>
    </row>
    <row r="1552" spans="1:33" ht="16.5" customHeight="1" x14ac:dyDescent="0.2">
      <c r="A1552" s="2" t="s">
        <v>31</v>
      </c>
      <c r="B1552" s="5" t="s">
        <v>54</v>
      </c>
      <c r="C1552" s="5"/>
      <c r="D1552" s="5"/>
      <c r="E1552" s="6" t="s">
        <v>33</v>
      </c>
      <c r="F1552" s="6"/>
      <c r="G1552" s="7" t="s">
        <v>3141</v>
      </c>
      <c r="H1552" s="7"/>
      <c r="I1552" s="7"/>
      <c r="J1552" s="3" t="s">
        <v>35</v>
      </c>
      <c r="K1552" s="4" t="s">
        <v>3286</v>
      </c>
      <c r="L1552" s="4" t="s">
        <v>37</v>
      </c>
      <c r="N1552" s="7" t="s">
        <v>3287</v>
      </c>
      <c r="O1552" s="7"/>
      <c r="P1552" s="7" t="s">
        <v>3288</v>
      </c>
      <c r="Q1552" s="7"/>
      <c r="R1552" s="7"/>
      <c r="S1552" s="3" t="s">
        <v>40</v>
      </c>
      <c r="T1552" s="7" t="s">
        <v>41</v>
      </c>
      <c r="U1552" s="7"/>
      <c r="V1552" s="4" t="s">
        <v>42</v>
      </c>
      <c r="W1552" s="4" t="s">
        <v>51</v>
      </c>
      <c r="X1552" s="4" t="s">
        <v>128</v>
      </c>
      <c r="Y1552" s="7" t="s">
        <v>60</v>
      </c>
      <c r="Z1552" s="7"/>
      <c r="AA1552" s="4" t="s">
        <v>46</v>
      </c>
      <c r="AB1552" s="4" t="s">
        <v>47</v>
      </c>
      <c r="AC1552" s="4" t="s">
        <v>61</v>
      </c>
      <c r="AD1552" s="4" t="s">
        <v>62</v>
      </c>
      <c r="AE1552" s="4" t="s">
        <v>48</v>
      </c>
      <c r="AF1552" s="4" t="s">
        <v>41</v>
      </c>
      <c r="AG1552" s="4" t="s">
        <v>3144</v>
      </c>
    </row>
    <row r="1553" spans="1:33" ht="16.5" customHeight="1" x14ac:dyDescent="0.2">
      <c r="A1553" s="2" t="s">
        <v>31</v>
      </c>
      <c r="B1553" s="5" t="s">
        <v>54</v>
      </c>
      <c r="C1553" s="5"/>
      <c r="D1553" s="5"/>
      <c r="E1553" s="6" t="s">
        <v>33</v>
      </c>
      <c r="F1553" s="6"/>
      <c r="G1553" s="7" t="s">
        <v>3141</v>
      </c>
      <c r="H1553" s="7"/>
      <c r="I1553" s="7"/>
      <c r="J1553" s="3" t="s">
        <v>35</v>
      </c>
      <c r="K1553" s="4" t="s">
        <v>248</v>
      </c>
      <c r="L1553" s="4" t="s">
        <v>37</v>
      </c>
      <c r="N1553" s="7" t="s">
        <v>3289</v>
      </c>
      <c r="O1553" s="7"/>
      <c r="P1553" s="7" t="s">
        <v>3290</v>
      </c>
      <c r="Q1553" s="7"/>
      <c r="R1553" s="7"/>
      <c r="S1553" s="3" t="s">
        <v>40</v>
      </c>
      <c r="T1553" s="7" t="s">
        <v>41</v>
      </c>
      <c r="U1553" s="7"/>
      <c r="V1553" s="4" t="s">
        <v>42</v>
      </c>
      <c r="W1553" s="4" t="s">
        <v>51</v>
      </c>
      <c r="X1553" s="4" t="s">
        <v>128</v>
      </c>
      <c r="Y1553" s="7" t="s">
        <v>60</v>
      </c>
      <c r="Z1553" s="7"/>
      <c r="AA1553" s="4" t="s">
        <v>46</v>
      </c>
      <c r="AB1553" s="4" t="s">
        <v>47</v>
      </c>
      <c r="AC1553" s="4" t="s">
        <v>61</v>
      </c>
      <c r="AD1553" s="4" t="s">
        <v>62</v>
      </c>
      <c r="AE1553" s="4" t="s">
        <v>48</v>
      </c>
      <c r="AF1553" s="4" t="s">
        <v>41</v>
      </c>
      <c r="AG1553" s="4" t="s">
        <v>3144</v>
      </c>
    </row>
    <row r="1554" spans="1:33" ht="16.5" customHeight="1" x14ac:dyDescent="0.2">
      <c r="A1554" s="2" t="s">
        <v>31</v>
      </c>
      <c r="B1554" s="5" t="s">
        <v>54</v>
      </c>
      <c r="C1554" s="5"/>
      <c r="D1554" s="5"/>
      <c r="E1554" s="6" t="s">
        <v>33</v>
      </c>
      <c r="F1554" s="6"/>
      <c r="G1554" s="7" t="s">
        <v>3141</v>
      </c>
      <c r="H1554" s="7"/>
      <c r="I1554" s="7"/>
      <c r="J1554" s="3" t="s">
        <v>35</v>
      </c>
      <c r="K1554" s="4" t="s">
        <v>73</v>
      </c>
      <c r="L1554" s="4" t="s">
        <v>37</v>
      </c>
      <c r="N1554" s="7" t="s">
        <v>3291</v>
      </c>
      <c r="O1554" s="7"/>
      <c r="P1554" s="7" t="s">
        <v>3166</v>
      </c>
      <c r="Q1554" s="7"/>
      <c r="R1554" s="7"/>
      <c r="S1554" s="3" t="s">
        <v>40</v>
      </c>
      <c r="T1554" s="7" t="s">
        <v>41</v>
      </c>
      <c r="U1554" s="7"/>
      <c r="V1554" s="4" t="s">
        <v>42</v>
      </c>
      <c r="W1554" s="4" t="s">
        <v>51</v>
      </c>
      <c r="X1554" s="4" t="s">
        <v>128</v>
      </c>
      <c r="Y1554" s="7" t="s">
        <v>78</v>
      </c>
      <c r="Z1554" s="7"/>
      <c r="AA1554" s="4" t="s">
        <v>46</v>
      </c>
      <c r="AB1554" s="4" t="s">
        <v>47</v>
      </c>
      <c r="AC1554" s="4" t="s">
        <v>79</v>
      </c>
      <c r="AD1554" s="4" t="s">
        <v>80</v>
      </c>
      <c r="AE1554" s="4" t="s">
        <v>48</v>
      </c>
      <c r="AF1554" s="4" t="s">
        <v>41</v>
      </c>
      <c r="AG1554" s="4" t="s">
        <v>3144</v>
      </c>
    </row>
    <row r="1555" spans="1:33" ht="16.5" customHeight="1" x14ac:dyDescent="0.2">
      <c r="A1555" s="2" t="s">
        <v>31</v>
      </c>
      <c r="B1555" s="5" t="s">
        <v>54</v>
      </c>
      <c r="C1555" s="5"/>
      <c r="D1555" s="5"/>
      <c r="E1555" s="6" t="s">
        <v>33</v>
      </c>
      <c r="F1555" s="6"/>
      <c r="G1555" s="7" t="s">
        <v>3141</v>
      </c>
      <c r="H1555" s="7"/>
      <c r="I1555" s="7"/>
      <c r="J1555" s="3" t="s">
        <v>35</v>
      </c>
      <c r="K1555" s="4" t="s">
        <v>1014</v>
      </c>
      <c r="L1555" s="4" t="s">
        <v>37</v>
      </c>
      <c r="N1555" s="7" t="s">
        <v>3292</v>
      </c>
      <c r="O1555" s="7"/>
      <c r="P1555" s="7" t="s">
        <v>3293</v>
      </c>
      <c r="Q1555" s="7"/>
      <c r="R1555" s="7"/>
      <c r="S1555" s="3" t="s">
        <v>40</v>
      </c>
      <c r="T1555" s="7" t="s">
        <v>41</v>
      </c>
      <c r="U1555" s="7"/>
      <c r="V1555" s="4" t="s">
        <v>42</v>
      </c>
      <c r="W1555" s="4" t="s">
        <v>51</v>
      </c>
      <c r="X1555" s="4" t="s">
        <v>128</v>
      </c>
      <c r="Y1555" s="7" t="s">
        <v>78</v>
      </c>
      <c r="Z1555" s="7"/>
      <c r="AA1555" s="4" t="s">
        <v>46</v>
      </c>
      <c r="AB1555" s="4" t="s">
        <v>47</v>
      </c>
      <c r="AC1555" s="4" t="s">
        <v>79</v>
      </c>
      <c r="AD1555" s="4" t="s">
        <v>80</v>
      </c>
      <c r="AE1555" s="4" t="s">
        <v>48</v>
      </c>
      <c r="AF1555" s="4" t="s">
        <v>41</v>
      </c>
      <c r="AG1555" s="4" t="s">
        <v>3144</v>
      </c>
    </row>
    <row r="1556" spans="1:33" ht="16.5" customHeight="1" x14ac:dyDescent="0.2">
      <c r="A1556" s="2" t="s">
        <v>31</v>
      </c>
      <c r="B1556" s="5" t="s">
        <v>54</v>
      </c>
      <c r="C1556" s="5"/>
      <c r="D1556" s="5"/>
      <c r="E1556" s="6" t="s">
        <v>33</v>
      </c>
      <c r="F1556" s="6"/>
      <c r="G1556" s="7" t="s">
        <v>3141</v>
      </c>
      <c r="H1556" s="7"/>
      <c r="I1556" s="7"/>
      <c r="J1556" s="3" t="s">
        <v>35</v>
      </c>
      <c r="K1556" s="4" t="s">
        <v>245</v>
      </c>
      <c r="L1556" s="4" t="s">
        <v>37</v>
      </c>
      <c r="N1556" s="7" t="s">
        <v>3294</v>
      </c>
      <c r="O1556" s="7"/>
      <c r="P1556" s="7" t="s">
        <v>3295</v>
      </c>
      <c r="Q1556" s="7"/>
      <c r="R1556" s="7"/>
      <c r="S1556" s="3" t="s">
        <v>40</v>
      </c>
      <c r="T1556" s="7" t="s">
        <v>41</v>
      </c>
      <c r="U1556" s="7"/>
      <c r="V1556" s="4" t="s">
        <v>42</v>
      </c>
      <c r="W1556" s="4" t="s">
        <v>51</v>
      </c>
      <c r="X1556" s="4" t="s">
        <v>128</v>
      </c>
      <c r="Y1556" s="7" t="s">
        <v>78</v>
      </c>
      <c r="Z1556" s="7"/>
      <c r="AA1556" s="4" t="s">
        <v>46</v>
      </c>
      <c r="AB1556" s="4" t="s">
        <v>47</v>
      </c>
      <c r="AC1556" s="4" t="s">
        <v>79</v>
      </c>
      <c r="AD1556" s="4" t="s">
        <v>80</v>
      </c>
      <c r="AE1556" s="4" t="s">
        <v>48</v>
      </c>
      <c r="AF1556" s="4" t="s">
        <v>41</v>
      </c>
      <c r="AG1556" s="4" t="s">
        <v>3144</v>
      </c>
    </row>
    <row r="1557" spans="1:33" ht="16.5" customHeight="1" x14ac:dyDescent="0.2">
      <c r="A1557" s="2" t="s">
        <v>31</v>
      </c>
      <c r="B1557" s="5" t="s">
        <v>54</v>
      </c>
      <c r="C1557" s="5"/>
      <c r="D1557" s="5"/>
      <c r="E1557" s="6" t="s">
        <v>33</v>
      </c>
      <c r="F1557" s="6"/>
      <c r="G1557" s="7" t="s">
        <v>3141</v>
      </c>
      <c r="H1557" s="7"/>
      <c r="I1557" s="7"/>
      <c r="J1557" s="3" t="s">
        <v>35</v>
      </c>
      <c r="K1557" s="4" t="s">
        <v>248</v>
      </c>
      <c r="L1557" s="4" t="s">
        <v>280</v>
      </c>
      <c r="N1557" s="7" t="s">
        <v>3296</v>
      </c>
      <c r="O1557" s="7"/>
      <c r="P1557" s="7" t="s">
        <v>3297</v>
      </c>
      <c r="Q1557" s="7"/>
      <c r="R1557" s="7"/>
      <c r="S1557" s="3" t="s">
        <v>40</v>
      </c>
      <c r="T1557" s="7" t="s">
        <v>41</v>
      </c>
      <c r="U1557" s="7"/>
      <c r="V1557" s="4" t="s">
        <v>42</v>
      </c>
      <c r="W1557" s="4" t="s">
        <v>51</v>
      </c>
      <c r="X1557" s="4" t="s">
        <v>128</v>
      </c>
      <c r="Y1557" s="7" t="s">
        <v>60</v>
      </c>
      <c r="Z1557" s="7"/>
      <c r="AA1557" s="4" t="s">
        <v>46</v>
      </c>
      <c r="AB1557" s="4" t="s">
        <v>47</v>
      </c>
      <c r="AC1557" s="4" t="s">
        <v>61</v>
      </c>
      <c r="AD1557" s="4" t="s">
        <v>2650</v>
      </c>
      <c r="AE1557" s="4" t="s">
        <v>48</v>
      </c>
      <c r="AF1557" s="4" t="s">
        <v>41</v>
      </c>
      <c r="AG1557" s="4" t="s">
        <v>3144</v>
      </c>
    </row>
    <row r="1558" spans="1:33" ht="16.5" customHeight="1" x14ac:dyDescent="0.2">
      <c r="A1558" s="2" t="s">
        <v>31</v>
      </c>
      <c r="B1558" s="5" t="s">
        <v>54</v>
      </c>
      <c r="C1558" s="5"/>
      <c r="D1558" s="5"/>
      <c r="E1558" s="6" t="s">
        <v>33</v>
      </c>
      <c r="F1558" s="6"/>
      <c r="G1558" s="7" t="s">
        <v>3141</v>
      </c>
      <c r="H1558" s="7"/>
      <c r="I1558" s="7"/>
      <c r="J1558" s="3" t="s">
        <v>35</v>
      </c>
      <c r="K1558" s="4" t="s">
        <v>3298</v>
      </c>
      <c r="L1558" s="4" t="s">
        <v>93</v>
      </c>
      <c r="N1558" s="7" t="s">
        <v>3299</v>
      </c>
      <c r="O1558" s="7"/>
      <c r="P1558" s="7" t="s">
        <v>3300</v>
      </c>
      <c r="Q1558" s="7"/>
      <c r="R1558" s="7"/>
      <c r="S1558" s="3" t="s">
        <v>40</v>
      </c>
      <c r="T1558" s="7" t="s">
        <v>41</v>
      </c>
      <c r="U1558" s="7"/>
      <c r="V1558" s="4" t="s">
        <v>42</v>
      </c>
      <c r="W1558" s="4" t="s">
        <v>51</v>
      </c>
      <c r="X1558" s="4" t="s">
        <v>128</v>
      </c>
      <c r="Y1558" s="7" t="s">
        <v>78</v>
      </c>
      <c r="Z1558" s="7"/>
      <c r="AA1558" s="4" t="s">
        <v>46</v>
      </c>
      <c r="AB1558" s="4" t="s">
        <v>47</v>
      </c>
      <c r="AC1558" s="4" t="s">
        <v>79</v>
      </c>
      <c r="AD1558" s="4" t="s">
        <v>96</v>
      </c>
      <c r="AE1558" s="4" t="s">
        <v>48</v>
      </c>
      <c r="AF1558" s="4" t="s">
        <v>41</v>
      </c>
      <c r="AG1558" s="4" t="s">
        <v>3144</v>
      </c>
    </row>
    <row r="1559" spans="1:33" ht="16.5" customHeight="1" x14ac:dyDescent="0.2">
      <c r="A1559" s="2" t="s">
        <v>31</v>
      </c>
      <c r="B1559" s="5" t="s">
        <v>108</v>
      </c>
      <c r="C1559" s="5"/>
      <c r="D1559" s="5"/>
      <c r="E1559" s="6" t="s">
        <v>33</v>
      </c>
      <c r="F1559" s="6"/>
      <c r="G1559" s="7" t="s">
        <v>3141</v>
      </c>
      <c r="H1559" s="7"/>
      <c r="I1559" s="7"/>
      <c r="J1559" s="3" t="s">
        <v>35</v>
      </c>
      <c r="K1559" s="4" t="s">
        <v>1285</v>
      </c>
      <c r="N1559" s="7" t="s">
        <v>3301</v>
      </c>
      <c r="O1559" s="7"/>
      <c r="P1559" s="7" t="s">
        <v>3302</v>
      </c>
      <c r="Q1559" s="7"/>
      <c r="R1559" s="7"/>
      <c r="S1559" s="3" t="s">
        <v>40</v>
      </c>
      <c r="T1559" s="7" t="s">
        <v>2323</v>
      </c>
      <c r="U1559" s="7"/>
      <c r="V1559" s="4" t="s">
        <v>42</v>
      </c>
      <c r="W1559" s="4" t="s">
        <v>102</v>
      </c>
      <c r="X1559" s="4" t="s">
        <v>103</v>
      </c>
      <c r="Y1559" s="7" t="s">
        <v>937</v>
      </c>
      <c r="Z1559" s="7"/>
      <c r="AA1559" s="4" t="s">
        <v>46</v>
      </c>
      <c r="AB1559" s="4" t="s">
        <v>115</v>
      </c>
      <c r="AC1559" s="4" t="s">
        <v>938</v>
      </c>
      <c r="AD1559" s="4" t="s">
        <v>2324</v>
      </c>
      <c r="AE1559" s="4" t="s">
        <v>48</v>
      </c>
      <c r="AF1559" s="4" t="s">
        <v>41</v>
      </c>
      <c r="AG1559" s="4" t="s">
        <v>3144</v>
      </c>
    </row>
    <row r="1560" spans="1:33" ht="16.5" customHeight="1" x14ac:dyDescent="0.2">
      <c r="A1560" s="2" t="s">
        <v>31</v>
      </c>
      <c r="B1560" s="5" t="s">
        <v>108</v>
      </c>
      <c r="C1560" s="5"/>
      <c r="D1560" s="5"/>
      <c r="E1560" s="6" t="s">
        <v>33</v>
      </c>
      <c r="F1560" s="6"/>
      <c r="G1560" s="7" t="s">
        <v>3141</v>
      </c>
      <c r="H1560" s="7"/>
      <c r="I1560" s="7"/>
      <c r="J1560" s="3" t="s">
        <v>35</v>
      </c>
      <c r="K1560" s="4" t="s">
        <v>1285</v>
      </c>
      <c r="N1560" s="7" t="s">
        <v>3303</v>
      </c>
      <c r="O1560" s="7"/>
      <c r="P1560" s="7" t="s">
        <v>3304</v>
      </c>
      <c r="Q1560" s="7"/>
      <c r="R1560" s="7"/>
      <c r="S1560" s="3" t="s">
        <v>40</v>
      </c>
      <c r="T1560" s="7" t="s">
        <v>2327</v>
      </c>
      <c r="U1560" s="7"/>
      <c r="V1560" s="4" t="s">
        <v>51</v>
      </c>
      <c r="W1560" s="4" t="s">
        <v>76</v>
      </c>
      <c r="X1560" s="4" t="s">
        <v>91</v>
      </c>
      <c r="Y1560" s="7" t="s">
        <v>937</v>
      </c>
      <c r="Z1560" s="7"/>
      <c r="AA1560" s="4" t="s">
        <v>46</v>
      </c>
      <c r="AB1560" s="4" t="s">
        <v>115</v>
      </c>
      <c r="AC1560" s="4" t="s">
        <v>938</v>
      </c>
      <c r="AD1560" s="4" t="s">
        <v>2328</v>
      </c>
      <c r="AE1560" s="4" t="s">
        <v>48</v>
      </c>
      <c r="AF1560" s="4" t="s">
        <v>41</v>
      </c>
      <c r="AG1560" s="4" t="s">
        <v>3144</v>
      </c>
    </row>
    <row r="1561" spans="1:33" ht="16.5" customHeight="1" x14ac:dyDescent="0.2">
      <c r="A1561" s="2" t="s">
        <v>31</v>
      </c>
      <c r="B1561" s="5" t="s">
        <v>108</v>
      </c>
      <c r="C1561" s="5"/>
      <c r="D1561" s="5"/>
      <c r="E1561" s="6" t="s">
        <v>33</v>
      </c>
      <c r="F1561" s="6"/>
      <c r="G1561" s="7" t="s">
        <v>3141</v>
      </c>
      <c r="H1561" s="7"/>
      <c r="I1561" s="7"/>
      <c r="J1561" s="3" t="s">
        <v>35</v>
      </c>
      <c r="K1561" s="4" t="s">
        <v>1285</v>
      </c>
      <c r="N1561" s="7" t="s">
        <v>3305</v>
      </c>
      <c r="O1561" s="7"/>
      <c r="P1561" s="7" t="s">
        <v>3306</v>
      </c>
      <c r="Q1561" s="7"/>
      <c r="R1561" s="7"/>
      <c r="S1561" s="3" t="s">
        <v>40</v>
      </c>
      <c r="T1561" s="7" t="s">
        <v>3307</v>
      </c>
      <c r="U1561" s="7"/>
      <c r="V1561" s="4" t="s">
        <v>51</v>
      </c>
      <c r="W1561" s="4" t="s">
        <v>90</v>
      </c>
      <c r="X1561" s="4" t="s">
        <v>103</v>
      </c>
      <c r="Y1561" s="7" t="s">
        <v>937</v>
      </c>
      <c r="Z1561" s="7"/>
      <c r="AA1561" s="4" t="s">
        <v>46</v>
      </c>
      <c r="AB1561" s="4" t="s">
        <v>115</v>
      </c>
      <c r="AC1561" s="4" t="s">
        <v>938</v>
      </c>
      <c r="AD1561" s="4" t="s">
        <v>3308</v>
      </c>
      <c r="AE1561" s="4" t="s">
        <v>48</v>
      </c>
      <c r="AF1561" s="4" t="s">
        <v>41</v>
      </c>
      <c r="AG1561" s="4" t="s">
        <v>3144</v>
      </c>
    </row>
    <row r="1562" spans="1:33" ht="16.5" customHeight="1" x14ac:dyDescent="0.2">
      <c r="A1562" s="2" t="s">
        <v>31</v>
      </c>
      <c r="B1562" s="5" t="s">
        <v>108</v>
      </c>
      <c r="C1562" s="5"/>
      <c r="D1562" s="5"/>
      <c r="E1562" s="6" t="s">
        <v>33</v>
      </c>
      <c r="F1562" s="6"/>
      <c r="G1562" s="7" t="s">
        <v>3141</v>
      </c>
      <c r="H1562" s="7"/>
      <c r="I1562" s="7"/>
      <c r="J1562" s="3" t="s">
        <v>35</v>
      </c>
      <c r="K1562" s="4" t="s">
        <v>1285</v>
      </c>
      <c r="N1562" s="7" t="s">
        <v>3309</v>
      </c>
      <c r="O1562" s="7"/>
      <c r="P1562" s="7" t="s">
        <v>3310</v>
      </c>
      <c r="Q1562" s="7"/>
      <c r="R1562" s="7"/>
      <c r="S1562" s="3" t="s">
        <v>40</v>
      </c>
      <c r="T1562" s="7" t="s">
        <v>3311</v>
      </c>
      <c r="U1562" s="7"/>
      <c r="V1562" s="4" t="s">
        <v>51</v>
      </c>
      <c r="W1562" s="4" t="s">
        <v>58</v>
      </c>
      <c r="X1562" s="4" t="s">
        <v>128</v>
      </c>
      <c r="Y1562" s="7" t="s">
        <v>937</v>
      </c>
      <c r="Z1562" s="7"/>
      <c r="AA1562" s="4" t="s">
        <v>46</v>
      </c>
      <c r="AB1562" s="4" t="s">
        <v>115</v>
      </c>
      <c r="AC1562" s="4" t="s">
        <v>938</v>
      </c>
      <c r="AD1562" s="4" t="s">
        <v>3140</v>
      </c>
      <c r="AE1562" s="4" t="s">
        <v>48</v>
      </c>
      <c r="AF1562" s="4" t="s">
        <v>41</v>
      </c>
      <c r="AG1562" s="4" t="s">
        <v>3144</v>
      </c>
    </row>
    <row r="1563" spans="1:33" ht="16.5" customHeight="1" x14ac:dyDescent="0.2">
      <c r="A1563" s="2" t="s">
        <v>31</v>
      </c>
      <c r="B1563" s="5" t="s">
        <v>108</v>
      </c>
      <c r="C1563" s="5"/>
      <c r="D1563" s="5"/>
      <c r="E1563" s="6" t="s">
        <v>33</v>
      </c>
      <c r="F1563" s="6"/>
      <c r="G1563" s="7" t="s">
        <v>3141</v>
      </c>
      <c r="H1563" s="7"/>
      <c r="I1563" s="7"/>
      <c r="J1563" s="3" t="s">
        <v>35</v>
      </c>
      <c r="K1563" s="4" t="s">
        <v>1285</v>
      </c>
      <c r="N1563" s="7" t="s">
        <v>3312</v>
      </c>
      <c r="O1563" s="7"/>
      <c r="P1563" s="7" t="s">
        <v>3313</v>
      </c>
      <c r="Q1563" s="7"/>
      <c r="R1563" s="7"/>
      <c r="S1563" s="3" t="s">
        <v>40</v>
      </c>
      <c r="T1563" s="7" t="s">
        <v>3314</v>
      </c>
      <c r="U1563" s="7"/>
      <c r="V1563" s="4" t="s">
        <v>51</v>
      </c>
      <c r="W1563" s="4" t="s">
        <v>58</v>
      </c>
      <c r="X1563" s="4" t="s">
        <v>128</v>
      </c>
      <c r="Y1563" s="7" t="s">
        <v>937</v>
      </c>
      <c r="Z1563" s="7"/>
      <c r="AA1563" s="4" t="s">
        <v>46</v>
      </c>
      <c r="AB1563" s="4" t="s">
        <v>115</v>
      </c>
      <c r="AC1563" s="4" t="s">
        <v>938</v>
      </c>
      <c r="AD1563" s="4" t="s">
        <v>3315</v>
      </c>
      <c r="AE1563" s="4" t="s">
        <v>48</v>
      </c>
      <c r="AF1563" s="4" t="s">
        <v>41</v>
      </c>
      <c r="AG1563" s="4" t="s">
        <v>3144</v>
      </c>
    </row>
    <row r="1564" spans="1:33" ht="16.5" customHeight="1" x14ac:dyDescent="0.2">
      <c r="A1564" s="2" t="s">
        <v>31</v>
      </c>
      <c r="B1564" s="5" t="s">
        <v>50</v>
      </c>
      <c r="C1564" s="5"/>
      <c r="D1564" s="5"/>
      <c r="E1564" s="6" t="s">
        <v>33</v>
      </c>
      <c r="F1564" s="6"/>
      <c r="G1564" s="7" t="s">
        <v>3316</v>
      </c>
      <c r="H1564" s="7"/>
      <c r="I1564" s="7"/>
      <c r="J1564" s="3" t="s">
        <v>35</v>
      </c>
      <c r="K1564" s="4" t="s">
        <v>2923</v>
      </c>
      <c r="N1564" s="7" t="s">
        <v>3317</v>
      </c>
      <c r="O1564" s="7"/>
      <c r="P1564" s="7" t="s">
        <v>3318</v>
      </c>
      <c r="Q1564" s="7"/>
      <c r="R1564" s="7"/>
      <c r="S1564" s="3" t="s">
        <v>40</v>
      </c>
      <c r="T1564" s="7" t="s">
        <v>41</v>
      </c>
      <c r="U1564" s="7"/>
      <c r="V1564" s="4" t="s">
        <v>51</v>
      </c>
      <c r="W1564" s="4" t="s">
        <v>107</v>
      </c>
      <c r="X1564" s="4" t="s">
        <v>386</v>
      </c>
      <c r="Y1564" s="7" t="s">
        <v>1929</v>
      </c>
      <c r="Z1564" s="7"/>
      <c r="AA1564" s="4" t="s">
        <v>46</v>
      </c>
      <c r="AB1564" s="4" t="s">
        <v>47</v>
      </c>
      <c r="AD1564" s="4" t="s">
        <v>1269</v>
      </c>
      <c r="AE1564" s="4" t="s">
        <v>48</v>
      </c>
      <c r="AF1564" s="4" t="s">
        <v>41</v>
      </c>
      <c r="AG1564" s="4" t="s">
        <v>3319</v>
      </c>
    </row>
    <row r="1565" spans="1:33" ht="16.5" customHeight="1" x14ac:dyDescent="0.2">
      <c r="A1565" s="2" t="s">
        <v>31</v>
      </c>
      <c r="B1565" s="5" t="s">
        <v>50</v>
      </c>
      <c r="C1565" s="5"/>
      <c r="D1565" s="5"/>
      <c r="E1565" s="6" t="s">
        <v>33</v>
      </c>
      <c r="F1565" s="6"/>
      <c r="G1565" s="7" t="s">
        <v>3316</v>
      </c>
      <c r="H1565" s="7"/>
      <c r="I1565" s="7"/>
      <c r="J1565" s="3" t="s">
        <v>35</v>
      </c>
      <c r="K1565" s="4" t="s">
        <v>2923</v>
      </c>
      <c r="N1565" s="7" t="s">
        <v>3320</v>
      </c>
      <c r="O1565" s="7"/>
      <c r="P1565" s="7" t="s">
        <v>3321</v>
      </c>
      <c r="Q1565" s="7"/>
      <c r="R1565" s="7"/>
      <c r="S1565" s="3" t="s">
        <v>40</v>
      </c>
      <c r="T1565" s="7" t="s">
        <v>41</v>
      </c>
      <c r="U1565" s="7"/>
      <c r="V1565" s="4" t="s">
        <v>51</v>
      </c>
      <c r="W1565" s="4" t="s">
        <v>107</v>
      </c>
      <c r="X1565" s="4" t="s">
        <v>386</v>
      </c>
      <c r="Y1565" s="7" t="s">
        <v>1929</v>
      </c>
      <c r="Z1565" s="7"/>
      <c r="AA1565" s="4" t="s">
        <v>46</v>
      </c>
      <c r="AB1565" s="4" t="s">
        <v>47</v>
      </c>
      <c r="AD1565" s="4" t="s">
        <v>1269</v>
      </c>
      <c r="AE1565" s="4" t="s">
        <v>48</v>
      </c>
      <c r="AF1565" s="4" t="s">
        <v>41</v>
      </c>
      <c r="AG1565" s="4" t="s">
        <v>3319</v>
      </c>
    </row>
    <row r="1566" spans="1:33" ht="16.5" customHeight="1" x14ac:dyDescent="0.2">
      <c r="A1566" s="2" t="s">
        <v>31</v>
      </c>
      <c r="B1566" s="5" t="s">
        <v>54</v>
      </c>
      <c r="C1566" s="5"/>
      <c r="D1566" s="5"/>
      <c r="E1566" s="6" t="s">
        <v>33</v>
      </c>
      <c r="F1566" s="6"/>
      <c r="G1566" s="7" t="s">
        <v>3316</v>
      </c>
      <c r="H1566" s="7"/>
      <c r="I1566" s="7"/>
      <c r="J1566" s="3" t="s">
        <v>35</v>
      </c>
      <c r="K1566" s="4" t="s">
        <v>73</v>
      </c>
      <c r="L1566" s="4" t="s">
        <v>37</v>
      </c>
      <c r="N1566" s="7" t="s">
        <v>3322</v>
      </c>
      <c r="O1566" s="7"/>
      <c r="P1566" s="7" t="s">
        <v>3323</v>
      </c>
      <c r="Q1566" s="7"/>
      <c r="R1566" s="7"/>
      <c r="S1566" s="3" t="s">
        <v>40</v>
      </c>
      <c r="T1566" s="7" t="s">
        <v>41</v>
      </c>
      <c r="U1566" s="7"/>
      <c r="V1566" s="4" t="s">
        <v>42</v>
      </c>
      <c r="W1566" s="4" t="s">
        <v>1401</v>
      </c>
      <c r="X1566" s="4" t="s">
        <v>1402</v>
      </c>
      <c r="Y1566" s="7" t="s">
        <v>78</v>
      </c>
      <c r="Z1566" s="7"/>
      <c r="AA1566" s="4" t="s">
        <v>46</v>
      </c>
      <c r="AB1566" s="4" t="s">
        <v>47</v>
      </c>
      <c r="AC1566" s="4" t="s">
        <v>72</v>
      </c>
      <c r="AD1566" s="4" t="s">
        <v>41</v>
      </c>
      <c r="AE1566" s="4" t="s">
        <v>48</v>
      </c>
      <c r="AF1566" s="4" t="s">
        <v>41</v>
      </c>
      <c r="AG1566" s="4" t="s">
        <v>3319</v>
      </c>
    </row>
    <row r="1567" spans="1:33" ht="16.5" customHeight="1" x14ac:dyDescent="0.2">
      <c r="A1567" s="2" t="s">
        <v>31</v>
      </c>
      <c r="B1567" s="5" t="s">
        <v>54</v>
      </c>
      <c r="C1567" s="5"/>
      <c r="D1567" s="5"/>
      <c r="E1567" s="6" t="s">
        <v>33</v>
      </c>
      <c r="F1567" s="6"/>
      <c r="G1567" s="7" t="s">
        <v>3316</v>
      </c>
      <c r="H1567" s="7"/>
      <c r="I1567" s="7"/>
      <c r="J1567" s="3" t="s">
        <v>35</v>
      </c>
      <c r="K1567" s="4" t="s">
        <v>657</v>
      </c>
      <c r="L1567" s="4" t="s">
        <v>37</v>
      </c>
      <c r="N1567" s="7" t="s">
        <v>3324</v>
      </c>
      <c r="O1567" s="7"/>
      <c r="P1567" s="7" t="s">
        <v>3325</v>
      </c>
      <c r="Q1567" s="7"/>
      <c r="R1567" s="7"/>
      <c r="S1567" s="3" t="s">
        <v>40</v>
      </c>
      <c r="T1567" s="7" t="s">
        <v>41</v>
      </c>
      <c r="U1567" s="7"/>
      <c r="V1567" s="4" t="s">
        <v>42</v>
      </c>
      <c r="W1567" s="4" t="s">
        <v>58</v>
      </c>
      <c r="X1567" s="4" t="s">
        <v>59</v>
      </c>
      <c r="Y1567" s="7" t="s">
        <v>197</v>
      </c>
      <c r="Z1567" s="7"/>
      <c r="AA1567" s="4" t="s">
        <v>46</v>
      </c>
      <c r="AB1567" s="4" t="s">
        <v>47</v>
      </c>
      <c r="AC1567" s="4" t="s">
        <v>136</v>
      </c>
      <c r="AD1567" s="4" t="s">
        <v>137</v>
      </c>
      <c r="AE1567" s="4" t="s">
        <v>48</v>
      </c>
      <c r="AF1567" s="4" t="s">
        <v>41</v>
      </c>
      <c r="AG1567" s="4" t="s">
        <v>3319</v>
      </c>
    </row>
    <row r="1568" spans="1:33" ht="16.5" customHeight="1" x14ac:dyDescent="0.2">
      <c r="A1568" s="2" t="s">
        <v>31</v>
      </c>
      <c r="B1568" s="5" t="s">
        <v>54</v>
      </c>
      <c r="C1568" s="5"/>
      <c r="D1568" s="5"/>
      <c r="E1568" s="6" t="s">
        <v>33</v>
      </c>
      <c r="F1568" s="6"/>
      <c r="G1568" s="7" t="s">
        <v>3316</v>
      </c>
      <c r="H1568" s="7"/>
      <c r="I1568" s="7"/>
      <c r="J1568" s="3" t="s">
        <v>35</v>
      </c>
      <c r="K1568" s="4" t="s">
        <v>149</v>
      </c>
      <c r="L1568" s="4" t="s">
        <v>93</v>
      </c>
      <c r="N1568" s="7" t="s">
        <v>3326</v>
      </c>
      <c r="O1568" s="7"/>
      <c r="P1568" s="7" t="s">
        <v>3327</v>
      </c>
      <c r="Q1568" s="7"/>
      <c r="R1568" s="7"/>
      <c r="S1568" s="3" t="s">
        <v>40</v>
      </c>
      <c r="T1568" s="7" t="s">
        <v>41</v>
      </c>
      <c r="U1568" s="7"/>
      <c r="V1568" s="4" t="s">
        <v>42</v>
      </c>
      <c r="W1568" s="4" t="s">
        <v>58</v>
      </c>
      <c r="X1568" s="4" t="s">
        <v>59</v>
      </c>
      <c r="Y1568" s="7" t="s">
        <v>78</v>
      </c>
      <c r="Z1568" s="7"/>
      <c r="AA1568" s="4" t="s">
        <v>46</v>
      </c>
      <c r="AB1568" s="4" t="s">
        <v>47</v>
      </c>
      <c r="AC1568" s="4" t="s">
        <v>79</v>
      </c>
      <c r="AD1568" s="4" t="s">
        <v>96</v>
      </c>
      <c r="AE1568" s="4" t="s">
        <v>48</v>
      </c>
      <c r="AF1568" s="4" t="s">
        <v>41</v>
      </c>
      <c r="AG1568" s="4" t="s">
        <v>3319</v>
      </c>
    </row>
    <row r="1569" spans="1:33" ht="16.5" customHeight="1" x14ac:dyDescent="0.2">
      <c r="A1569" s="2" t="s">
        <v>31</v>
      </c>
      <c r="B1569" s="5" t="s">
        <v>54</v>
      </c>
      <c r="C1569" s="5"/>
      <c r="D1569" s="5"/>
      <c r="E1569" s="6" t="s">
        <v>33</v>
      </c>
      <c r="F1569" s="6"/>
      <c r="G1569" s="7" t="s">
        <v>3316</v>
      </c>
      <c r="H1569" s="7"/>
      <c r="I1569" s="7"/>
      <c r="J1569" s="3" t="s">
        <v>35</v>
      </c>
      <c r="K1569" s="4" t="s">
        <v>414</v>
      </c>
      <c r="L1569" s="4" t="s">
        <v>37</v>
      </c>
      <c r="N1569" s="7" t="s">
        <v>3328</v>
      </c>
      <c r="O1569" s="7"/>
      <c r="P1569" s="7" t="s">
        <v>3329</v>
      </c>
      <c r="Q1569" s="7"/>
      <c r="R1569" s="7"/>
      <c r="S1569" s="3" t="s">
        <v>40</v>
      </c>
      <c r="T1569" s="7" t="s">
        <v>41</v>
      </c>
      <c r="U1569" s="7"/>
      <c r="V1569" s="4" t="s">
        <v>42</v>
      </c>
      <c r="W1569" s="4" t="s">
        <v>58</v>
      </c>
      <c r="X1569" s="4" t="s">
        <v>59</v>
      </c>
      <c r="Y1569" s="7" t="s">
        <v>197</v>
      </c>
      <c r="Z1569" s="7"/>
      <c r="AA1569" s="4" t="s">
        <v>46</v>
      </c>
      <c r="AB1569" s="4" t="s">
        <v>47</v>
      </c>
      <c r="AC1569" s="4" t="s">
        <v>136</v>
      </c>
      <c r="AD1569" s="4" t="s">
        <v>137</v>
      </c>
      <c r="AE1569" s="4" t="s">
        <v>48</v>
      </c>
      <c r="AF1569" s="4" t="s">
        <v>41</v>
      </c>
      <c r="AG1569" s="4" t="s">
        <v>3319</v>
      </c>
    </row>
    <row r="1570" spans="1:33" ht="16.5" customHeight="1" x14ac:dyDescent="0.2">
      <c r="A1570" s="2" t="s">
        <v>31</v>
      </c>
      <c r="B1570" s="5" t="s">
        <v>54</v>
      </c>
      <c r="C1570" s="5"/>
      <c r="D1570" s="5"/>
      <c r="E1570" s="6" t="s">
        <v>33</v>
      </c>
      <c r="F1570" s="6"/>
      <c r="G1570" s="7" t="s">
        <v>3316</v>
      </c>
      <c r="H1570" s="7"/>
      <c r="I1570" s="7"/>
      <c r="J1570" s="3" t="s">
        <v>35</v>
      </c>
      <c r="K1570" s="4" t="s">
        <v>192</v>
      </c>
      <c r="L1570" s="4" t="s">
        <v>37</v>
      </c>
      <c r="N1570" s="7" t="s">
        <v>3330</v>
      </c>
      <c r="O1570" s="7"/>
      <c r="P1570" s="7" t="s">
        <v>3331</v>
      </c>
      <c r="Q1570" s="7"/>
      <c r="R1570" s="7"/>
      <c r="S1570" s="3" t="s">
        <v>40</v>
      </c>
      <c r="T1570" s="7" t="s">
        <v>41</v>
      </c>
      <c r="U1570" s="7"/>
      <c r="V1570" s="4" t="s">
        <v>42</v>
      </c>
      <c r="W1570" s="4" t="s">
        <v>58</v>
      </c>
      <c r="X1570" s="4" t="s">
        <v>59</v>
      </c>
      <c r="Y1570" s="7" t="s">
        <v>197</v>
      </c>
      <c r="Z1570" s="7"/>
      <c r="AA1570" s="4" t="s">
        <v>46</v>
      </c>
      <c r="AB1570" s="4" t="s">
        <v>47</v>
      </c>
      <c r="AC1570" s="4" t="s">
        <v>136</v>
      </c>
      <c r="AD1570" s="4" t="s">
        <v>137</v>
      </c>
      <c r="AE1570" s="4" t="s">
        <v>48</v>
      </c>
      <c r="AF1570" s="4" t="s">
        <v>41</v>
      </c>
      <c r="AG1570" s="4" t="s">
        <v>3319</v>
      </c>
    </row>
    <row r="1571" spans="1:33" ht="16.5" customHeight="1" x14ac:dyDescent="0.2">
      <c r="A1571" s="2" t="s">
        <v>31</v>
      </c>
      <c r="B1571" s="5" t="s">
        <v>54</v>
      </c>
      <c r="C1571" s="5"/>
      <c r="D1571" s="5"/>
      <c r="E1571" s="6" t="s">
        <v>33</v>
      </c>
      <c r="F1571" s="6"/>
      <c r="G1571" s="7" t="s">
        <v>3316</v>
      </c>
      <c r="H1571" s="7"/>
      <c r="I1571" s="7"/>
      <c r="J1571" s="3" t="s">
        <v>35</v>
      </c>
      <c r="K1571" s="4" t="s">
        <v>657</v>
      </c>
      <c r="L1571" s="4" t="s">
        <v>37</v>
      </c>
      <c r="N1571" s="7" t="s">
        <v>3332</v>
      </c>
      <c r="O1571" s="7"/>
      <c r="P1571" s="7" t="s">
        <v>3333</v>
      </c>
      <c r="Q1571" s="7"/>
      <c r="R1571" s="7"/>
      <c r="S1571" s="3" t="s">
        <v>40</v>
      </c>
      <c r="T1571" s="7" t="s">
        <v>41</v>
      </c>
      <c r="U1571" s="7"/>
      <c r="V1571" s="4" t="s">
        <v>42</v>
      </c>
      <c r="W1571" s="4" t="s">
        <v>58</v>
      </c>
      <c r="X1571" s="4" t="s">
        <v>59</v>
      </c>
      <c r="Y1571" s="7" t="s">
        <v>197</v>
      </c>
      <c r="Z1571" s="7"/>
      <c r="AA1571" s="4" t="s">
        <v>46</v>
      </c>
      <c r="AB1571" s="4" t="s">
        <v>47</v>
      </c>
      <c r="AC1571" s="4" t="s">
        <v>136</v>
      </c>
      <c r="AD1571" s="4" t="s">
        <v>137</v>
      </c>
      <c r="AE1571" s="4" t="s">
        <v>48</v>
      </c>
      <c r="AF1571" s="4" t="s">
        <v>41</v>
      </c>
      <c r="AG1571" s="4" t="s">
        <v>3319</v>
      </c>
    </row>
    <row r="1572" spans="1:33" ht="16.5" customHeight="1" x14ac:dyDescent="0.2">
      <c r="A1572" s="2" t="s">
        <v>31</v>
      </c>
      <c r="B1572" s="5" t="s">
        <v>54</v>
      </c>
      <c r="C1572" s="5"/>
      <c r="D1572" s="5"/>
      <c r="E1572" s="6" t="s">
        <v>33</v>
      </c>
      <c r="F1572" s="6"/>
      <c r="G1572" s="7" t="s">
        <v>3334</v>
      </c>
      <c r="H1572" s="7"/>
      <c r="I1572" s="7"/>
      <c r="J1572" s="3" t="s">
        <v>35</v>
      </c>
      <c r="K1572" s="4" t="s">
        <v>73</v>
      </c>
      <c r="L1572" s="4" t="s">
        <v>37</v>
      </c>
      <c r="N1572" s="7" t="s">
        <v>3335</v>
      </c>
      <c r="O1572" s="7"/>
      <c r="P1572" s="7" t="s">
        <v>3336</v>
      </c>
      <c r="Q1572" s="7"/>
      <c r="R1572" s="7"/>
      <c r="S1572" s="3" t="s">
        <v>40</v>
      </c>
      <c r="T1572" s="7" t="s">
        <v>41</v>
      </c>
      <c r="U1572" s="7"/>
      <c r="V1572" s="4" t="s">
        <v>42</v>
      </c>
      <c r="W1572" s="4" t="s">
        <v>760</v>
      </c>
      <c r="X1572" s="4" t="s">
        <v>761</v>
      </c>
      <c r="Y1572" s="7" t="s">
        <v>78</v>
      </c>
      <c r="Z1572" s="7"/>
      <c r="AA1572" s="4" t="s">
        <v>46</v>
      </c>
      <c r="AB1572" s="4" t="s">
        <v>47</v>
      </c>
      <c r="AC1572" s="4" t="s">
        <v>136</v>
      </c>
      <c r="AD1572" s="4" t="s">
        <v>137</v>
      </c>
      <c r="AE1572" s="4" t="s">
        <v>48</v>
      </c>
      <c r="AF1572" s="4" t="s">
        <v>41</v>
      </c>
      <c r="AG1572" s="4" t="s">
        <v>3337</v>
      </c>
    </row>
    <row r="1573" spans="1:33" ht="16.5" customHeight="1" x14ac:dyDescent="0.2">
      <c r="A1573" s="2" t="s">
        <v>31</v>
      </c>
      <c r="B1573" s="5" t="s">
        <v>54</v>
      </c>
      <c r="C1573" s="5"/>
      <c r="D1573" s="5"/>
      <c r="E1573" s="6" t="s">
        <v>33</v>
      </c>
      <c r="F1573" s="6"/>
      <c r="G1573" s="7" t="s">
        <v>3334</v>
      </c>
      <c r="H1573" s="7"/>
      <c r="I1573" s="7"/>
      <c r="J1573" s="3" t="s">
        <v>35</v>
      </c>
      <c r="K1573" s="4" t="s">
        <v>414</v>
      </c>
      <c r="L1573" s="4" t="s">
        <v>37</v>
      </c>
      <c r="N1573" s="7" t="s">
        <v>3338</v>
      </c>
      <c r="O1573" s="7"/>
      <c r="P1573" s="7" t="s">
        <v>3339</v>
      </c>
      <c r="Q1573" s="7"/>
      <c r="R1573" s="7"/>
      <c r="S1573" s="3" t="s">
        <v>40</v>
      </c>
      <c r="T1573" s="7" t="s">
        <v>41</v>
      </c>
      <c r="U1573" s="7"/>
      <c r="V1573" s="4" t="s">
        <v>51</v>
      </c>
      <c r="W1573" s="4" t="s">
        <v>58</v>
      </c>
      <c r="X1573" s="4" t="s">
        <v>128</v>
      </c>
      <c r="Y1573" s="7" t="s">
        <v>197</v>
      </c>
      <c r="Z1573" s="7"/>
      <c r="AA1573" s="4" t="s">
        <v>46</v>
      </c>
      <c r="AB1573" s="4" t="s">
        <v>47</v>
      </c>
      <c r="AC1573" s="4" t="s">
        <v>136</v>
      </c>
      <c r="AD1573" s="4" t="s">
        <v>137</v>
      </c>
      <c r="AE1573" s="4" t="s">
        <v>48</v>
      </c>
      <c r="AF1573" s="4" t="s">
        <v>41</v>
      </c>
      <c r="AG1573" s="4" t="s">
        <v>3337</v>
      </c>
    </row>
    <row r="1574" spans="1:33" ht="16.5" customHeight="1" x14ac:dyDescent="0.2">
      <c r="A1574" s="2" t="s">
        <v>31</v>
      </c>
      <c r="B1574" s="5" t="s">
        <v>108</v>
      </c>
      <c r="C1574" s="5"/>
      <c r="D1574" s="5"/>
      <c r="E1574" s="6" t="s">
        <v>33</v>
      </c>
      <c r="F1574" s="6"/>
      <c r="G1574" s="7" t="s">
        <v>3334</v>
      </c>
      <c r="H1574" s="7"/>
      <c r="I1574" s="7"/>
      <c r="J1574" s="3" t="s">
        <v>35</v>
      </c>
      <c r="K1574" s="4" t="s">
        <v>398</v>
      </c>
      <c r="N1574" s="7" t="s">
        <v>3340</v>
      </c>
      <c r="O1574" s="7"/>
      <c r="P1574" s="7" t="s">
        <v>3341</v>
      </c>
      <c r="Q1574" s="7"/>
      <c r="R1574" s="7"/>
      <c r="S1574" s="3" t="s">
        <v>40</v>
      </c>
      <c r="T1574" s="7" t="s">
        <v>3342</v>
      </c>
      <c r="U1574" s="7"/>
      <c r="V1574" s="4" t="s">
        <v>51</v>
      </c>
      <c r="W1574" s="4" t="s">
        <v>58</v>
      </c>
      <c r="X1574" s="4" t="s">
        <v>128</v>
      </c>
      <c r="Y1574" s="7" t="s">
        <v>402</v>
      </c>
      <c r="Z1574" s="7"/>
      <c r="AA1574" s="4" t="s">
        <v>46</v>
      </c>
      <c r="AB1574" s="4" t="s">
        <v>115</v>
      </c>
      <c r="AC1574" s="4" t="s">
        <v>403</v>
      </c>
      <c r="AD1574" s="4" t="s">
        <v>3343</v>
      </c>
      <c r="AE1574" s="4" t="s">
        <v>48</v>
      </c>
      <c r="AF1574" s="4" t="s">
        <v>41</v>
      </c>
      <c r="AG1574" s="4" t="s">
        <v>3337</v>
      </c>
    </row>
    <row r="1575" spans="1:33" ht="16.5" customHeight="1" x14ac:dyDescent="0.2">
      <c r="A1575" s="2" t="s">
        <v>31</v>
      </c>
      <c r="B1575" s="5" t="s">
        <v>54</v>
      </c>
      <c r="C1575" s="5"/>
      <c r="D1575" s="5"/>
      <c r="E1575" s="6" t="s">
        <v>33</v>
      </c>
      <c r="F1575" s="6"/>
      <c r="G1575" s="7" t="s">
        <v>3344</v>
      </c>
      <c r="H1575" s="7"/>
      <c r="I1575" s="7"/>
      <c r="J1575" s="3" t="s">
        <v>35</v>
      </c>
      <c r="K1575" s="4" t="s">
        <v>248</v>
      </c>
      <c r="L1575" s="4" t="s">
        <v>231</v>
      </c>
      <c r="N1575" s="7" t="s">
        <v>3345</v>
      </c>
      <c r="O1575" s="7"/>
      <c r="P1575" s="7" t="s">
        <v>3346</v>
      </c>
      <c r="Q1575" s="7"/>
      <c r="R1575" s="7"/>
      <c r="S1575" s="3" t="s">
        <v>40</v>
      </c>
      <c r="T1575" s="7" t="s">
        <v>41</v>
      </c>
      <c r="U1575" s="7"/>
      <c r="V1575" s="4" t="s">
        <v>42</v>
      </c>
      <c r="W1575" s="4" t="s">
        <v>102</v>
      </c>
      <c r="X1575" s="4" t="s">
        <v>103</v>
      </c>
      <c r="Y1575" s="7" t="s">
        <v>60</v>
      </c>
      <c r="Z1575" s="7"/>
      <c r="AA1575" s="4" t="s">
        <v>46</v>
      </c>
      <c r="AB1575" s="4" t="s">
        <v>47</v>
      </c>
      <c r="AC1575" s="4" t="s">
        <v>61</v>
      </c>
      <c r="AD1575" s="4" t="s">
        <v>1196</v>
      </c>
      <c r="AE1575" s="4" t="s">
        <v>48</v>
      </c>
      <c r="AF1575" s="4" t="s">
        <v>41</v>
      </c>
      <c r="AG1575" s="4" t="s">
        <v>3347</v>
      </c>
    </row>
    <row r="1576" spans="1:33" ht="16.5" customHeight="1" x14ac:dyDescent="0.2">
      <c r="A1576" s="2" t="s">
        <v>31</v>
      </c>
      <c r="B1576" s="5" t="s">
        <v>32</v>
      </c>
      <c r="C1576" s="5"/>
      <c r="D1576" s="5"/>
      <c r="E1576" s="6" t="s">
        <v>33</v>
      </c>
      <c r="F1576" s="6"/>
      <c r="G1576" s="7" t="s">
        <v>3348</v>
      </c>
      <c r="H1576" s="7"/>
      <c r="I1576" s="7"/>
      <c r="J1576" s="3" t="s">
        <v>35</v>
      </c>
      <c r="K1576" s="4" t="s">
        <v>3349</v>
      </c>
      <c r="L1576" s="4" t="s">
        <v>37</v>
      </c>
      <c r="N1576" s="7" t="s">
        <v>3350</v>
      </c>
      <c r="O1576" s="7"/>
      <c r="P1576" s="7" t="s">
        <v>3351</v>
      </c>
      <c r="Q1576" s="7"/>
      <c r="R1576" s="7"/>
      <c r="S1576" s="3" t="s">
        <v>40</v>
      </c>
      <c r="T1576" s="7" t="s">
        <v>41</v>
      </c>
      <c r="U1576" s="7"/>
      <c r="V1576" s="4" t="s">
        <v>42</v>
      </c>
      <c r="W1576" s="4" t="s">
        <v>58</v>
      </c>
      <c r="X1576" s="4" t="s">
        <v>59</v>
      </c>
      <c r="Y1576" s="7" t="s">
        <v>45</v>
      </c>
      <c r="Z1576" s="7"/>
      <c r="AA1576" s="4" t="s">
        <v>46</v>
      </c>
      <c r="AB1576" s="4" t="s">
        <v>47</v>
      </c>
      <c r="AD1576" s="4" t="s">
        <v>41</v>
      </c>
      <c r="AE1576" s="4" t="s">
        <v>48</v>
      </c>
      <c r="AF1576" s="4" t="s">
        <v>41</v>
      </c>
      <c r="AG1576" s="4" t="s">
        <v>3352</v>
      </c>
    </row>
    <row r="1577" spans="1:33" ht="16.5" customHeight="1" x14ac:dyDescent="0.2">
      <c r="A1577" s="2" t="s">
        <v>31</v>
      </c>
      <c r="B1577" s="5" t="s">
        <v>646</v>
      </c>
      <c r="C1577" s="5"/>
      <c r="D1577" s="5"/>
      <c r="E1577" s="6" t="s">
        <v>33</v>
      </c>
      <c r="F1577" s="6"/>
      <c r="G1577" s="7" t="s">
        <v>3348</v>
      </c>
      <c r="H1577" s="7"/>
      <c r="I1577" s="7"/>
      <c r="J1577" s="3" t="s">
        <v>35</v>
      </c>
      <c r="K1577" s="4" t="s">
        <v>3349</v>
      </c>
      <c r="L1577" s="4" t="s">
        <v>37</v>
      </c>
      <c r="N1577" s="7" t="s">
        <v>3350</v>
      </c>
      <c r="O1577" s="7"/>
      <c r="P1577" s="7" t="s">
        <v>3351</v>
      </c>
      <c r="Q1577" s="7"/>
      <c r="R1577" s="7"/>
      <c r="S1577" s="3" t="s">
        <v>40</v>
      </c>
      <c r="T1577" s="7" t="s">
        <v>41</v>
      </c>
      <c r="U1577" s="7"/>
      <c r="V1577" s="4" t="s">
        <v>51</v>
      </c>
      <c r="W1577" s="4" t="s">
        <v>58</v>
      </c>
      <c r="X1577" s="4" t="s">
        <v>128</v>
      </c>
      <c r="Y1577" s="7" t="s">
        <v>45</v>
      </c>
      <c r="Z1577" s="7"/>
      <c r="AA1577" s="4" t="s">
        <v>46</v>
      </c>
      <c r="AB1577" s="4" t="s">
        <v>47</v>
      </c>
      <c r="AD1577" s="4" t="s">
        <v>41</v>
      </c>
      <c r="AE1577" s="4" t="s">
        <v>48</v>
      </c>
      <c r="AF1577" s="4" t="s">
        <v>41</v>
      </c>
      <c r="AG1577" s="4" t="s">
        <v>3352</v>
      </c>
    </row>
    <row r="1578" spans="1:33" ht="16.5" customHeight="1" x14ac:dyDescent="0.2">
      <c r="A1578" s="2" t="s">
        <v>31</v>
      </c>
      <c r="B1578" s="5" t="s">
        <v>54</v>
      </c>
      <c r="C1578" s="5"/>
      <c r="D1578" s="5"/>
      <c r="E1578" s="6" t="s">
        <v>33</v>
      </c>
      <c r="F1578" s="6"/>
      <c r="G1578" s="7" t="s">
        <v>3348</v>
      </c>
      <c r="H1578" s="7"/>
      <c r="I1578" s="7"/>
      <c r="J1578" s="3" t="s">
        <v>35</v>
      </c>
      <c r="K1578" s="4" t="s">
        <v>657</v>
      </c>
      <c r="L1578" s="4" t="s">
        <v>37</v>
      </c>
      <c r="N1578" s="7" t="s">
        <v>3353</v>
      </c>
      <c r="O1578" s="7"/>
      <c r="P1578" s="7" t="s">
        <v>3354</v>
      </c>
      <c r="Q1578" s="7"/>
      <c r="R1578" s="7"/>
      <c r="S1578" s="3" t="s">
        <v>40</v>
      </c>
      <c r="T1578" s="7" t="s">
        <v>41</v>
      </c>
      <c r="U1578" s="7"/>
      <c r="V1578" s="4" t="s">
        <v>42</v>
      </c>
      <c r="W1578" s="4" t="s">
        <v>158</v>
      </c>
      <c r="X1578" s="4" t="s">
        <v>159</v>
      </c>
      <c r="Y1578" s="7" t="s">
        <v>197</v>
      </c>
      <c r="Z1578" s="7"/>
      <c r="AA1578" s="4" t="s">
        <v>46</v>
      </c>
      <c r="AB1578" s="4" t="s">
        <v>47</v>
      </c>
      <c r="AC1578" s="4" t="s">
        <v>259</v>
      </c>
      <c r="AD1578" s="4" t="s">
        <v>260</v>
      </c>
      <c r="AE1578" s="4" t="s">
        <v>48</v>
      </c>
      <c r="AF1578" s="4" t="s">
        <v>41</v>
      </c>
      <c r="AG1578" s="4" t="s">
        <v>3352</v>
      </c>
    </row>
    <row r="1579" spans="1:33" ht="16.5" customHeight="1" x14ac:dyDescent="0.2">
      <c r="A1579" s="2" t="s">
        <v>31</v>
      </c>
      <c r="B1579" s="5" t="s">
        <v>54</v>
      </c>
      <c r="C1579" s="5"/>
      <c r="D1579" s="5"/>
      <c r="E1579" s="6" t="s">
        <v>33</v>
      </c>
      <c r="F1579" s="6"/>
      <c r="G1579" s="7" t="s">
        <v>3348</v>
      </c>
      <c r="H1579" s="7"/>
      <c r="I1579" s="7"/>
      <c r="J1579" s="3" t="s">
        <v>35</v>
      </c>
      <c r="K1579" s="4" t="s">
        <v>73</v>
      </c>
      <c r="L1579" s="4" t="s">
        <v>37</v>
      </c>
      <c r="N1579" s="7" t="s">
        <v>3355</v>
      </c>
      <c r="O1579" s="7"/>
      <c r="P1579" s="7" t="s">
        <v>3356</v>
      </c>
      <c r="Q1579" s="7"/>
      <c r="R1579" s="7"/>
      <c r="S1579" s="3" t="s">
        <v>40</v>
      </c>
      <c r="T1579" s="7" t="s">
        <v>41</v>
      </c>
      <c r="U1579" s="7"/>
      <c r="V1579" s="4" t="s">
        <v>42</v>
      </c>
      <c r="W1579" s="4" t="s">
        <v>43</v>
      </c>
      <c r="X1579" s="4" t="s">
        <v>44</v>
      </c>
      <c r="Y1579" s="7" t="s">
        <v>78</v>
      </c>
      <c r="Z1579" s="7"/>
      <c r="AA1579" s="4" t="s">
        <v>46</v>
      </c>
      <c r="AB1579" s="4" t="s">
        <v>47</v>
      </c>
      <c r="AC1579" s="4" t="s">
        <v>136</v>
      </c>
      <c r="AD1579" s="4" t="s">
        <v>137</v>
      </c>
      <c r="AE1579" s="4" t="s">
        <v>48</v>
      </c>
      <c r="AF1579" s="4" t="s">
        <v>41</v>
      </c>
      <c r="AG1579" s="4" t="s">
        <v>3352</v>
      </c>
    </row>
    <row r="1580" spans="1:33" ht="16.5" customHeight="1" x14ac:dyDescent="0.2">
      <c r="A1580" s="2" t="s">
        <v>31</v>
      </c>
      <c r="B1580" s="5" t="s">
        <v>54</v>
      </c>
      <c r="C1580" s="5"/>
      <c r="D1580" s="5"/>
      <c r="E1580" s="6" t="s">
        <v>33</v>
      </c>
      <c r="F1580" s="6"/>
      <c r="G1580" s="7" t="s">
        <v>3348</v>
      </c>
      <c r="H1580" s="7"/>
      <c r="I1580" s="7"/>
      <c r="J1580" s="3" t="s">
        <v>35</v>
      </c>
      <c r="K1580" s="4" t="s">
        <v>55</v>
      </c>
      <c r="L1580" s="4" t="s">
        <v>37</v>
      </c>
      <c r="N1580" s="7" t="s">
        <v>3357</v>
      </c>
      <c r="O1580" s="7"/>
      <c r="P1580" s="7" t="s">
        <v>3358</v>
      </c>
      <c r="Q1580" s="7"/>
      <c r="R1580" s="7"/>
      <c r="S1580" s="3" t="s">
        <v>40</v>
      </c>
      <c r="T1580" s="7" t="s">
        <v>41</v>
      </c>
      <c r="U1580" s="7"/>
      <c r="V1580" s="4" t="s">
        <v>42</v>
      </c>
      <c r="W1580" s="4" t="s">
        <v>43</v>
      </c>
      <c r="X1580" s="4" t="s">
        <v>44</v>
      </c>
      <c r="Y1580" s="7" t="s">
        <v>60</v>
      </c>
      <c r="Z1580" s="7"/>
      <c r="AA1580" s="4" t="s">
        <v>46</v>
      </c>
      <c r="AB1580" s="4" t="s">
        <v>47</v>
      </c>
      <c r="AC1580" s="4" t="s">
        <v>79</v>
      </c>
      <c r="AD1580" s="4" t="s">
        <v>80</v>
      </c>
      <c r="AE1580" s="4" t="s">
        <v>48</v>
      </c>
      <c r="AF1580" s="4" t="s">
        <v>41</v>
      </c>
      <c r="AG1580" s="4" t="s">
        <v>3352</v>
      </c>
    </row>
    <row r="1581" spans="1:33" ht="16.5" customHeight="1" x14ac:dyDescent="0.2">
      <c r="A1581" s="2" t="s">
        <v>31</v>
      </c>
      <c r="B1581" s="5" t="s">
        <v>54</v>
      </c>
      <c r="C1581" s="5"/>
      <c r="D1581" s="5"/>
      <c r="E1581" s="6" t="s">
        <v>33</v>
      </c>
      <c r="F1581" s="6"/>
      <c r="G1581" s="7" t="s">
        <v>3348</v>
      </c>
      <c r="H1581" s="7"/>
      <c r="I1581" s="7"/>
      <c r="J1581" s="3" t="s">
        <v>35</v>
      </c>
      <c r="K1581" s="4" t="s">
        <v>143</v>
      </c>
      <c r="L1581" s="4" t="s">
        <v>93</v>
      </c>
      <c r="N1581" s="7" t="s">
        <v>3359</v>
      </c>
      <c r="O1581" s="7"/>
      <c r="P1581" s="7" t="s">
        <v>3360</v>
      </c>
      <c r="Q1581" s="7"/>
      <c r="R1581" s="7"/>
      <c r="S1581" s="3" t="s">
        <v>40</v>
      </c>
      <c r="T1581" s="7" t="s">
        <v>41</v>
      </c>
      <c r="U1581" s="7"/>
      <c r="V1581" s="4" t="s">
        <v>42</v>
      </c>
      <c r="W1581" s="4" t="s">
        <v>43</v>
      </c>
      <c r="X1581" s="4" t="s">
        <v>44</v>
      </c>
      <c r="Y1581" s="7" t="s">
        <v>135</v>
      </c>
      <c r="Z1581" s="7"/>
      <c r="AA1581" s="4" t="s">
        <v>46</v>
      </c>
      <c r="AB1581" s="4" t="s">
        <v>47</v>
      </c>
      <c r="AC1581" s="4" t="s">
        <v>136</v>
      </c>
      <c r="AD1581" s="4" t="s">
        <v>148</v>
      </c>
      <c r="AE1581" s="4" t="s">
        <v>48</v>
      </c>
      <c r="AF1581" s="4" t="s">
        <v>41</v>
      </c>
      <c r="AG1581" s="4" t="s">
        <v>3352</v>
      </c>
    </row>
    <row r="1582" spans="1:33" ht="16.5" customHeight="1" x14ac:dyDescent="0.2">
      <c r="A1582" s="2" t="s">
        <v>31</v>
      </c>
      <c r="B1582" s="5" t="s">
        <v>54</v>
      </c>
      <c r="C1582" s="5"/>
      <c r="D1582" s="5"/>
      <c r="E1582" s="6" t="s">
        <v>33</v>
      </c>
      <c r="F1582" s="6"/>
      <c r="G1582" s="7" t="s">
        <v>3348</v>
      </c>
      <c r="H1582" s="7"/>
      <c r="I1582" s="7"/>
      <c r="J1582" s="3" t="s">
        <v>35</v>
      </c>
      <c r="K1582" s="4" t="s">
        <v>143</v>
      </c>
      <c r="L1582" s="4" t="s">
        <v>1557</v>
      </c>
      <c r="N1582" s="7" t="s">
        <v>3359</v>
      </c>
      <c r="O1582" s="7"/>
      <c r="P1582" s="7" t="s">
        <v>3360</v>
      </c>
      <c r="Q1582" s="7"/>
      <c r="R1582" s="7"/>
      <c r="S1582" s="3" t="s">
        <v>40</v>
      </c>
      <c r="T1582" s="7" t="s">
        <v>41</v>
      </c>
      <c r="U1582" s="7"/>
      <c r="V1582" s="4" t="s">
        <v>51</v>
      </c>
      <c r="W1582" s="4" t="s">
        <v>43</v>
      </c>
      <c r="X1582" s="4" t="s">
        <v>52</v>
      </c>
      <c r="Y1582" s="7" t="s">
        <v>135</v>
      </c>
      <c r="Z1582" s="7"/>
      <c r="AA1582" s="4" t="s">
        <v>46</v>
      </c>
      <c r="AB1582" s="4" t="s">
        <v>47</v>
      </c>
      <c r="AC1582" s="4" t="s">
        <v>136</v>
      </c>
      <c r="AD1582" s="4" t="s">
        <v>1861</v>
      </c>
      <c r="AE1582" s="4" t="s">
        <v>48</v>
      </c>
      <c r="AF1582" s="4" t="s">
        <v>41</v>
      </c>
      <c r="AG1582" s="4" t="s">
        <v>3352</v>
      </c>
    </row>
    <row r="1583" spans="1:33" ht="16.5" customHeight="1" x14ac:dyDescent="0.2">
      <c r="A1583" s="2" t="s">
        <v>31</v>
      </c>
      <c r="B1583" s="5" t="s">
        <v>54</v>
      </c>
      <c r="C1583" s="5"/>
      <c r="D1583" s="5"/>
      <c r="E1583" s="6" t="s">
        <v>33</v>
      </c>
      <c r="F1583" s="6"/>
      <c r="G1583" s="7" t="s">
        <v>3348</v>
      </c>
      <c r="H1583" s="7"/>
      <c r="I1583" s="7"/>
      <c r="J1583" s="3" t="s">
        <v>35</v>
      </c>
      <c r="K1583" s="4" t="s">
        <v>143</v>
      </c>
      <c r="L1583" s="4" t="s">
        <v>93</v>
      </c>
      <c r="N1583" s="7" t="s">
        <v>3359</v>
      </c>
      <c r="O1583" s="7"/>
      <c r="P1583" s="7" t="s">
        <v>3360</v>
      </c>
      <c r="Q1583" s="7"/>
      <c r="R1583" s="7"/>
      <c r="S1583" s="3" t="s">
        <v>40</v>
      </c>
      <c r="T1583" s="7" t="s">
        <v>41</v>
      </c>
      <c r="U1583" s="7"/>
      <c r="V1583" s="4" t="s">
        <v>51</v>
      </c>
      <c r="W1583" s="4" t="s">
        <v>43</v>
      </c>
      <c r="X1583" s="4" t="s">
        <v>52</v>
      </c>
      <c r="Y1583" s="7" t="s">
        <v>135</v>
      </c>
      <c r="Z1583" s="7"/>
      <c r="AA1583" s="4" t="s">
        <v>46</v>
      </c>
      <c r="AB1583" s="4" t="s">
        <v>47</v>
      </c>
      <c r="AC1583" s="4" t="s">
        <v>136</v>
      </c>
      <c r="AD1583" s="4" t="s">
        <v>148</v>
      </c>
      <c r="AE1583" s="4" t="s">
        <v>48</v>
      </c>
      <c r="AF1583" s="4" t="s">
        <v>41</v>
      </c>
      <c r="AG1583" s="4" t="s">
        <v>3352</v>
      </c>
    </row>
    <row r="1584" spans="1:33" ht="16.5" customHeight="1" x14ac:dyDescent="0.2">
      <c r="A1584" s="2" t="s">
        <v>31</v>
      </c>
      <c r="B1584" s="5" t="s">
        <v>108</v>
      </c>
      <c r="C1584" s="5"/>
      <c r="D1584" s="5"/>
      <c r="E1584" s="6" t="s">
        <v>33</v>
      </c>
      <c r="F1584" s="6"/>
      <c r="G1584" s="7" t="s">
        <v>3348</v>
      </c>
      <c r="H1584" s="7"/>
      <c r="I1584" s="7"/>
      <c r="J1584" s="3" t="s">
        <v>35</v>
      </c>
      <c r="K1584" s="4" t="s">
        <v>1285</v>
      </c>
      <c r="N1584" s="7" t="s">
        <v>3361</v>
      </c>
      <c r="O1584" s="7"/>
      <c r="P1584" s="7" t="s">
        <v>3362</v>
      </c>
      <c r="Q1584" s="7"/>
      <c r="R1584" s="7"/>
      <c r="S1584" s="3" t="s">
        <v>40</v>
      </c>
      <c r="T1584" s="7" t="s">
        <v>3363</v>
      </c>
      <c r="U1584" s="7"/>
      <c r="V1584" s="4" t="s">
        <v>51</v>
      </c>
      <c r="W1584" s="4" t="s">
        <v>58</v>
      </c>
      <c r="X1584" s="4" t="s">
        <v>128</v>
      </c>
      <c r="Y1584" s="7" t="s">
        <v>961</v>
      </c>
      <c r="Z1584" s="7"/>
      <c r="AA1584" s="4" t="s">
        <v>46</v>
      </c>
      <c r="AB1584" s="4" t="s">
        <v>115</v>
      </c>
      <c r="AC1584" s="4" t="s">
        <v>962</v>
      </c>
      <c r="AD1584" s="4" t="s">
        <v>3364</v>
      </c>
      <c r="AE1584" s="4" t="s">
        <v>48</v>
      </c>
      <c r="AF1584" s="4" t="s">
        <v>41</v>
      </c>
      <c r="AG1584" s="4" t="s">
        <v>3352</v>
      </c>
    </row>
    <row r="1585" spans="1:33" ht="16.5" customHeight="1" x14ac:dyDescent="0.2">
      <c r="A1585" s="2" t="s">
        <v>31</v>
      </c>
      <c r="B1585" s="5" t="s">
        <v>108</v>
      </c>
      <c r="C1585" s="5"/>
      <c r="D1585" s="5"/>
      <c r="E1585" s="6" t="s">
        <v>33</v>
      </c>
      <c r="F1585" s="6"/>
      <c r="G1585" s="7" t="s">
        <v>3348</v>
      </c>
      <c r="H1585" s="7"/>
      <c r="I1585" s="7"/>
      <c r="J1585" s="3" t="s">
        <v>35</v>
      </c>
      <c r="K1585" s="4" t="s">
        <v>1285</v>
      </c>
      <c r="N1585" s="7" t="s">
        <v>3365</v>
      </c>
      <c r="O1585" s="7"/>
      <c r="P1585" s="7" t="s">
        <v>3366</v>
      </c>
      <c r="Q1585" s="7"/>
      <c r="R1585" s="7"/>
      <c r="S1585" s="3" t="s">
        <v>40</v>
      </c>
      <c r="T1585" s="7" t="s">
        <v>945</v>
      </c>
      <c r="U1585" s="7"/>
      <c r="V1585" s="4" t="s">
        <v>51</v>
      </c>
      <c r="W1585" s="4" t="s">
        <v>58</v>
      </c>
      <c r="X1585" s="4" t="s">
        <v>128</v>
      </c>
      <c r="Y1585" s="7" t="s">
        <v>937</v>
      </c>
      <c r="Z1585" s="7"/>
      <c r="AA1585" s="4" t="s">
        <v>46</v>
      </c>
      <c r="AB1585" s="4" t="s">
        <v>115</v>
      </c>
      <c r="AC1585" s="4" t="s">
        <v>938</v>
      </c>
      <c r="AD1585" s="4" t="s">
        <v>3367</v>
      </c>
      <c r="AE1585" s="4" t="s">
        <v>48</v>
      </c>
      <c r="AF1585" s="4" t="s">
        <v>41</v>
      </c>
      <c r="AG1585" s="4" t="s">
        <v>3352</v>
      </c>
    </row>
    <row r="1586" spans="1:33" ht="16.5" customHeight="1" x14ac:dyDescent="0.2">
      <c r="A1586" s="2" t="s">
        <v>31</v>
      </c>
      <c r="B1586" s="5" t="s">
        <v>54</v>
      </c>
      <c r="C1586" s="5"/>
      <c r="D1586" s="5"/>
      <c r="E1586" s="6" t="s">
        <v>33</v>
      </c>
      <c r="F1586" s="6"/>
      <c r="G1586" s="7" t="s">
        <v>3368</v>
      </c>
      <c r="H1586" s="7"/>
      <c r="I1586" s="7"/>
      <c r="J1586" s="3" t="s">
        <v>35</v>
      </c>
      <c r="K1586" s="4" t="s">
        <v>149</v>
      </c>
      <c r="L1586" s="4" t="s">
        <v>37</v>
      </c>
      <c r="N1586" s="7" t="s">
        <v>3369</v>
      </c>
      <c r="O1586" s="7"/>
      <c r="P1586" s="7" t="s">
        <v>3370</v>
      </c>
      <c r="Q1586" s="7"/>
      <c r="R1586" s="7"/>
      <c r="S1586" s="3" t="s">
        <v>40</v>
      </c>
      <c r="T1586" s="7" t="s">
        <v>41</v>
      </c>
      <c r="U1586" s="7"/>
      <c r="V1586" s="4" t="s">
        <v>51</v>
      </c>
      <c r="W1586" s="4" t="s">
        <v>312</v>
      </c>
      <c r="X1586" s="4" t="s">
        <v>77</v>
      </c>
      <c r="Y1586" s="7" t="s">
        <v>78</v>
      </c>
      <c r="Z1586" s="7"/>
      <c r="AA1586" s="4" t="s">
        <v>46</v>
      </c>
      <c r="AB1586" s="4" t="s">
        <v>47</v>
      </c>
      <c r="AC1586" s="4" t="s">
        <v>79</v>
      </c>
      <c r="AD1586" s="4" t="s">
        <v>80</v>
      </c>
      <c r="AE1586" s="4" t="s">
        <v>48</v>
      </c>
      <c r="AF1586" s="4" t="s">
        <v>41</v>
      </c>
      <c r="AG1586" s="4" t="s">
        <v>3371</v>
      </c>
    </row>
    <row r="1587" spans="1:33" ht="16.5" customHeight="1" x14ac:dyDescent="0.2">
      <c r="A1587" s="2" t="s">
        <v>31</v>
      </c>
      <c r="B1587" s="5" t="s">
        <v>108</v>
      </c>
      <c r="C1587" s="5"/>
      <c r="D1587" s="5"/>
      <c r="E1587" s="6" t="s">
        <v>33</v>
      </c>
      <c r="F1587" s="6"/>
      <c r="G1587" s="7" t="s">
        <v>3368</v>
      </c>
      <c r="H1587" s="7"/>
      <c r="I1587" s="7"/>
      <c r="J1587" s="3" t="s">
        <v>35</v>
      </c>
      <c r="K1587" s="4" t="s">
        <v>2412</v>
      </c>
      <c r="N1587" s="7" t="s">
        <v>3372</v>
      </c>
      <c r="O1587" s="7"/>
      <c r="P1587" s="7" t="s">
        <v>3373</v>
      </c>
      <c r="Q1587" s="7"/>
      <c r="R1587" s="7"/>
      <c r="S1587" s="3" t="s">
        <v>40</v>
      </c>
      <c r="T1587" s="7" t="s">
        <v>3374</v>
      </c>
      <c r="U1587" s="7"/>
      <c r="V1587" s="4" t="s">
        <v>51</v>
      </c>
      <c r="W1587" s="4" t="s">
        <v>58</v>
      </c>
      <c r="X1587" s="4" t="s">
        <v>128</v>
      </c>
      <c r="Y1587" s="7" t="s">
        <v>937</v>
      </c>
      <c r="Z1587" s="7"/>
      <c r="AA1587" s="4" t="s">
        <v>46</v>
      </c>
      <c r="AB1587" s="4" t="s">
        <v>115</v>
      </c>
      <c r="AC1587" s="4" t="s">
        <v>938</v>
      </c>
      <c r="AD1587" s="4" t="s">
        <v>3375</v>
      </c>
      <c r="AE1587" s="4" t="s">
        <v>48</v>
      </c>
      <c r="AF1587" s="4" t="s">
        <v>41</v>
      </c>
      <c r="AG1587" s="4" t="s">
        <v>3371</v>
      </c>
    </row>
    <row r="1588" spans="1:33" ht="16.5" customHeight="1" x14ac:dyDescent="0.2">
      <c r="A1588" s="2" t="s">
        <v>31</v>
      </c>
      <c r="B1588" s="5" t="s">
        <v>108</v>
      </c>
      <c r="C1588" s="5"/>
      <c r="D1588" s="5"/>
      <c r="E1588" s="6" t="s">
        <v>33</v>
      </c>
      <c r="F1588" s="6"/>
      <c r="G1588" s="7" t="s">
        <v>3368</v>
      </c>
      <c r="H1588" s="7"/>
      <c r="I1588" s="7"/>
      <c r="J1588" s="3" t="s">
        <v>35</v>
      </c>
      <c r="K1588" s="4" t="s">
        <v>3376</v>
      </c>
      <c r="N1588" s="7" t="s">
        <v>3372</v>
      </c>
      <c r="O1588" s="7"/>
      <c r="P1588" s="7" t="s">
        <v>3373</v>
      </c>
      <c r="Q1588" s="7"/>
      <c r="R1588" s="7"/>
      <c r="S1588" s="3" t="s">
        <v>40</v>
      </c>
      <c r="T1588" s="7" t="s">
        <v>3377</v>
      </c>
      <c r="U1588" s="7"/>
      <c r="V1588" s="4" t="s">
        <v>51</v>
      </c>
      <c r="W1588" s="4" t="s">
        <v>154</v>
      </c>
      <c r="X1588" s="4" t="s">
        <v>258</v>
      </c>
      <c r="Y1588" s="7" t="s">
        <v>3378</v>
      </c>
      <c r="Z1588" s="7"/>
      <c r="AA1588" s="4" t="s">
        <v>46</v>
      </c>
      <c r="AB1588" s="4" t="s">
        <v>115</v>
      </c>
      <c r="AC1588" s="4" t="s">
        <v>403</v>
      </c>
      <c r="AD1588" s="4" t="s">
        <v>3379</v>
      </c>
      <c r="AE1588" s="4" t="s">
        <v>48</v>
      </c>
      <c r="AF1588" s="4" t="s">
        <v>41</v>
      </c>
      <c r="AG1588" s="4" t="s">
        <v>3371</v>
      </c>
    </row>
    <row r="1589" spans="1:33" ht="16.5" customHeight="1" x14ac:dyDescent="0.2">
      <c r="A1589" s="2" t="s">
        <v>31</v>
      </c>
      <c r="B1589" s="5" t="s">
        <v>108</v>
      </c>
      <c r="C1589" s="5"/>
      <c r="D1589" s="5"/>
      <c r="E1589" s="6" t="s">
        <v>33</v>
      </c>
      <c r="F1589" s="6"/>
      <c r="G1589" s="7" t="s">
        <v>3368</v>
      </c>
      <c r="H1589" s="7"/>
      <c r="I1589" s="7"/>
      <c r="J1589" s="3" t="s">
        <v>35</v>
      </c>
      <c r="K1589" s="4" t="s">
        <v>3376</v>
      </c>
      <c r="N1589" s="7" t="s">
        <v>3372</v>
      </c>
      <c r="O1589" s="7"/>
      <c r="P1589" s="7" t="s">
        <v>3373</v>
      </c>
      <c r="Q1589" s="7"/>
      <c r="R1589" s="7"/>
      <c r="S1589" s="3" t="s">
        <v>40</v>
      </c>
      <c r="T1589" s="7" t="s">
        <v>3380</v>
      </c>
      <c r="U1589" s="7"/>
      <c r="V1589" s="4" t="s">
        <v>51</v>
      </c>
      <c r="W1589" s="4" t="s">
        <v>154</v>
      </c>
      <c r="X1589" s="4" t="s">
        <v>258</v>
      </c>
      <c r="Y1589" s="7" t="s">
        <v>3378</v>
      </c>
      <c r="Z1589" s="7"/>
      <c r="AA1589" s="4" t="s">
        <v>46</v>
      </c>
      <c r="AB1589" s="4" t="s">
        <v>115</v>
      </c>
      <c r="AC1589" s="4" t="s">
        <v>403</v>
      </c>
      <c r="AD1589" s="4" t="s">
        <v>3381</v>
      </c>
      <c r="AE1589" s="4" t="s">
        <v>48</v>
      </c>
      <c r="AF1589" s="4" t="s">
        <v>41</v>
      </c>
      <c r="AG1589" s="4" t="s">
        <v>3371</v>
      </c>
    </row>
    <row r="1590" spans="1:33" ht="16.5" customHeight="1" x14ac:dyDescent="0.2">
      <c r="A1590" s="2" t="s">
        <v>31</v>
      </c>
      <c r="B1590" s="5" t="s">
        <v>108</v>
      </c>
      <c r="C1590" s="5"/>
      <c r="D1590" s="5"/>
      <c r="E1590" s="6" t="s">
        <v>33</v>
      </c>
      <c r="F1590" s="6"/>
      <c r="G1590" s="7" t="s">
        <v>3368</v>
      </c>
      <c r="H1590" s="7"/>
      <c r="I1590" s="7"/>
      <c r="J1590" s="3" t="s">
        <v>35</v>
      </c>
      <c r="K1590" s="4" t="s">
        <v>1285</v>
      </c>
      <c r="N1590" s="7" t="s">
        <v>3382</v>
      </c>
      <c r="O1590" s="7"/>
      <c r="P1590" s="7" t="s">
        <v>3383</v>
      </c>
      <c r="Q1590" s="7"/>
      <c r="R1590" s="7"/>
      <c r="S1590" s="3" t="s">
        <v>40</v>
      </c>
      <c r="T1590" s="7" t="s">
        <v>3138</v>
      </c>
      <c r="U1590" s="7"/>
      <c r="V1590" s="4" t="s">
        <v>51</v>
      </c>
      <c r="W1590" s="4" t="s">
        <v>58</v>
      </c>
      <c r="X1590" s="4" t="s">
        <v>128</v>
      </c>
      <c r="Y1590" s="7" t="s">
        <v>937</v>
      </c>
      <c r="Z1590" s="7"/>
      <c r="AA1590" s="4" t="s">
        <v>46</v>
      </c>
      <c r="AB1590" s="4" t="s">
        <v>115</v>
      </c>
      <c r="AC1590" s="4" t="s">
        <v>938</v>
      </c>
      <c r="AD1590" s="4" t="s">
        <v>3140</v>
      </c>
      <c r="AE1590" s="4" t="s">
        <v>48</v>
      </c>
      <c r="AF1590" s="4" t="s">
        <v>41</v>
      </c>
      <c r="AG1590" s="4" t="s">
        <v>3371</v>
      </c>
    </row>
    <row r="1591" spans="1:33" ht="16.5" customHeight="1" x14ac:dyDescent="0.2">
      <c r="A1591" s="2" t="s">
        <v>31</v>
      </c>
      <c r="B1591" s="5" t="s">
        <v>108</v>
      </c>
      <c r="C1591" s="5"/>
      <c r="D1591" s="5"/>
      <c r="E1591" s="6" t="s">
        <v>33</v>
      </c>
      <c r="F1591" s="6"/>
      <c r="G1591" s="7" t="s">
        <v>3368</v>
      </c>
      <c r="H1591" s="7"/>
      <c r="I1591" s="7"/>
      <c r="J1591" s="3" t="s">
        <v>35</v>
      </c>
      <c r="K1591" s="4" t="s">
        <v>398</v>
      </c>
      <c r="N1591" s="7" t="s">
        <v>3384</v>
      </c>
      <c r="O1591" s="7"/>
      <c r="P1591" s="7" t="s">
        <v>3385</v>
      </c>
      <c r="Q1591" s="7"/>
      <c r="R1591" s="7"/>
      <c r="S1591" s="3" t="s">
        <v>40</v>
      </c>
      <c r="T1591" s="7" t="s">
        <v>3386</v>
      </c>
      <c r="U1591" s="7"/>
      <c r="V1591" s="4" t="s">
        <v>51</v>
      </c>
      <c r="W1591" s="4" t="s">
        <v>58</v>
      </c>
      <c r="X1591" s="4" t="s">
        <v>128</v>
      </c>
      <c r="Y1591" s="7" t="s">
        <v>915</v>
      </c>
      <c r="Z1591" s="7"/>
      <c r="AA1591" s="4" t="s">
        <v>46</v>
      </c>
      <c r="AB1591" s="4" t="s">
        <v>115</v>
      </c>
      <c r="AC1591" s="4" t="s">
        <v>916</v>
      </c>
      <c r="AD1591" s="4" t="s">
        <v>3387</v>
      </c>
      <c r="AE1591" s="4" t="s">
        <v>48</v>
      </c>
      <c r="AF1591" s="4" t="s">
        <v>41</v>
      </c>
      <c r="AG1591" s="4" t="s">
        <v>3371</v>
      </c>
    </row>
    <row r="1592" spans="1:33" ht="16.5" customHeight="1" x14ac:dyDescent="0.2">
      <c r="A1592" s="2" t="s">
        <v>31</v>
      </c>
      <c r="B1592" s="5" t="s">
        <v>108</v>
      </c>
      <c r="C1592" s="5"/>
      <c r="D1592" s="5"/>
      <c r="E1592" s="6" t="s">
        <v>33</v>
      </c>
      <c r="F1592" s="6"/>
      <c r="G1592" s="7" t="s">
        <v>3368</v>
      </c>
      <c r="H1592" s="7"/>
      <c r="I1592" s="7"/>
      <c r="J1592" s="3" t="s">
        <v>35</v>
      </c>
      <c r="K1592" s="4" t="s">
        <v>1285</v>
      </c>
      <c r="N1592" s="7" t="s">
        <v>3388</v>
      </c>
      <c r="O1592" s="7"/>
      <c r="P1592" s="7" t="s">
        <v>3389</v>
      </c>
      <c r="Q1592" s="7"/>
      <c r="R1592" s="7"/>
      <c r="S1592" s="3" t="s">
        <v>40</v>
      </c>
      <c r="T1592" s="7" t="s">
        <v>3390</v>
      </c>
      <c r="U1592" s="7"/>
      <c r="V1592" s="4" t="s">
        <v>51</v>
      </c>
      <c r="W1592" s="4" t="s">
        <v>58</v>
      </c>
      <c r="X1592" s="4" t="s">
        <v>128</v>
      </c>
      <c r="Y1592" s="7" t="s">
        <v>961</v>
      </c>
      <c r="Z1592" s="7"/>
      <c r="AA1592" s="4" t="s">
        <v>46</v>
      </c>
      <c r="AB1592" s="4" t="s">
        <v>115</v>
      </c>
      <c r="AC1592" s="4" t="s">
        <v>962</v>
      </c>
      <c r="AD1592" s="4" t="s">
        <v>3391</v>
      </c>
      <c r="AE1592" s="4" t="s">
        <v>48</v>
      </c>
      <c r="AF1592" s="4" t="s">
        <v>41</v>
      </c>
      <c r="AG1592" s="4" t="s">
        <v>3371</v>
      </c>
    </row>
    <row r="1593" spans="1:33" ht="16.5" customHeight="1" x14ac:dyDescent="0.2">
      <c r="A1593" s="2" t="s">
        <v>31</v>
      </c>
      <c r="B1593" s="5" t="s">
        <v>108</v>
      </c>
      <c r="C1593" s="5"/>
      <c r="D1593" s="5"/>
      <c r="E1593" s="6" t="s">
        <v>33</v>
      </c>
      <c r="F1593" s="6"/>
      <c r="G1593" s="7" t="s">
        <v>3368</v>
      </c>
      <c r="H1593" s="7"/>
      <c r="I1593" s="7"/>
      <c r="J1593" s="3" t="s">
        <v>35</v>
      </c>
      <c r="K1593" s="4" t="s">
        <v>1285</v>
      </c>
      <c r="N1593" s="7" t="s">
        <v>3392</v>
      </c>
      <c r="O1593" s="7"/>
      <c r="P1593" s="7" t="s">
        <v>3393</v>
      </c>
      <c r="Q1593" s="7"/>
      <c r="R1593" s="7"/>
      <c r="S1593" s="3" t="s">
        <v>40</v>
      </c>
      <c r="T1593" s="7" t="s">
        <v>3394</v>
      </c>
      <c r="U1593" s="7"/>
      <c r="V1593" s="4" t="s">
        <v>51</v>
      </c>
      <c r="W1593" s="4" t="s">
        <v>58</v>
      </c>
      <c r="X1593" s="4" t="s">
        <v>128</v>
      </c>
      <c r="Y1593" s="7" t="s">
        <v>937</v>
      </c>
      <c r="Z1593" s="7"/>
      <c r="AA1593" s="4" t="s">
        <v>46</v>
      </c>
      <c r="AB1593" s="4" t="s">
        <v>115</v>
      </c>
      <c r="AC1593" s="4" t="s">
        <v>938</v>
      </c>
      <c r="AD1593" s="4" t="s">
        <v>1810</v>
      </c>
      <c r="AE1593" s="4" t="s">
        <v>48</v>
      </c>
      <c r="AF1593" s="4" t="s">
        <v>41</v>
      </c>
      <c r="AG1593" s="4" t="s">
        <v>3371</v>
      </c>
    </row>
    <row r="1594" spans="1:33" ht="16.5" customHeight="1" x14ac:dyDescent="0.2">
      <c r="A1594" s="2" t="s">
        <v>31</v>
      </c>
      <c r="B1594" s="5" t="s">
        <v>32</v>
      </c>
      <c r="C1594" s="5"/>
      <c r="D1594" s="5"/>
      <c r="E1594" s="6" t="s">
        <v>33</v>
      </c>
      <c r="F1594" s="6"/>
      <c r="G1594" s="7" t="s">
        <v>3395</v>
      </c>
      <c r="H1594" s="7"/>
      <c r="I1594" s="7"/>
      <c r="J1594" s="3" t="s">
        <v>35</v>
      </c>
      <c r="K1594" s="4" t="s">
        <v>642</v>
      </c>
      <c r="L1594" s="4" t="s">
        <v>37</v>
      </c>
      <c r="N1594" s="7" t="s">
        <v>3396</v>
      </c>
      <c r="O1594" s="7"/>
      <c r="P1594" s="7" t="s">
        <v>3397</v>
      </c>
      <c r="Q1594" s="7"/>
      <c r="R1594" s="7"/>
      <c r="S1594" s="3" t="s">
        <v>40</v>
      </c>
      <c r="T1594" s="7" t="s">
        <v>41</v>
      </c>
      <c r="U1594" s="7"/>
      <c r="V1594" s="4" t="s">
        <v>42</v>
      </c>
      <c r="W1594" s="4" t="s">
        <v>58</v>
      </c>
      <c r="X1594" s="4" t="s">
        <v>59</v>
      </c>
      <c r="Y1594" s="7" t="s">
        <v>45</v>
      </c>
      <c r="Z1594" s="7"/>
      <c r="AA1594" s="4" t="s">
        <v>46</v>
      </c>
      <c r="AB1594" s="4" t="s">
        <v>47</v>
      </c>
      <c r="AD1594" s="4" t="s">
        <v>41</v>
      </c>
      <c r="AE1594" s="4" t="s">
        <v>48</v>
      </c>
      <c r="AF1594" s="4" t="s">
        <v>41</v>
      </c>
      <c r="AG1594" s="4" t="s">
        <v>3398</v>
      </c>
    </row>
    <row r="1595" spans="1:33" ht="16.5" customHeight="1" x14ac:dyDescent="0.2">
      <c r="A1595" s="2" t="s">
        <v>31</v>
      </c>
      <c r="B1595" s="5" t="s">
        <v>54</v>
      </c>
      <c r="C1595" s="5"/>
      <c r="D1595" s="5"/>
      <c r="E1595" s="6" t="s">
        <v>33</v>
      </c>
      <c r="F1595" s="6"/>
      <c r="G1595" s="7" t="s">
        <v>3395</v>
      </c>
      <c r="H1595" s="7"/>
      <c r="I1595" s="7"/>
      <c r="J1595" s="3" t="s">
        <v>35</v>
      </c>
      <c r="K1595" s="4" t="s">
        <v>248</v>
      </c>
      <c r="L1595" s="4" t="s">
        <v>37</v>
      </c>
      <c r="N1595" s="7" t="s">
        <v>3399</v>
      </c>
      <c r="O1595" s="7"/>
      <c r="P1595" s="7" t="s">
        <v>3400</v>
      </c>
      <c r="Q1595" s="7"/>
      <c r="R1595" s="7"/>
      <c r="S1595" s="3" t="s">
        <v>40</v>
      </c>
      <c r="T1595" s="7" t="s">
        <v>41</v>
      </c>
      <c r="U1595" s="7"/>
      <c r="V1595" s="4" t="s">
        <v>42</v>
      </c>
      <c r="W1595" s="4" t="s">
        <v>217</v>
      </c>
      <c r="X1595" s="4" t="s">
        <v>218</v>
      </c>
      <c r="Y1595" s="7" t="s">
        <v>60</v>
      </c>
      <c r="Z1595" s="7"/>
      <c r="AA1595" s="4" t="s">
        <v>46</v>
      </c>
      <c r="AB1595" s="4" t="s">
        <v>47</v>
      </c>
      <c r="AC1595" s="4" t="s">
        <v>79</v>
      </c>
      <c r="AD1595" s="4" t="s">
        <v>80</v>
      </c>
      <c r="AE1595" s="4" t="s">
        <v>48</v>
      </c>
      <c r="AF1595" s="4" t="s">
        <v>41</v>
      </c>
      <c r="AG1595" s="4" t="s">
        <v>3398</v>
      </c>
    </row>
    <row r="1596" spans="1:33" ht="16.5" customHeight="1" x14ac:dyDescent="0.2">
      <c r="A1596" s="2" t="s">
        <v>31</v>
      </c>
      <c r="B1596" s="5" t="s">
        <v>54</v>
      </c>
      <c r="C1596" s="5"/>
      <c r="D1596" s="5"/>
      <c r="E1596" s="6" t="s">
        <v>33</v>
      </c>
      <c r="F1596" s="6"/>
      <c r="G1596" s="7" t="s">
        <v>3395</v>
      </c>
      <c r="H1596" s="7"/>
      <c r="I1596" s="7"/>
      <c r="J1596" s="3" t="s">
        <v>35</v>
      </c>
      <c r="K1596" s="4" t="s">
        <v>118</v>
      </c>
      <c r="L1596" s="4" t="s">
        <v>93</v>
      </c>
      <c r="N1596" s="7" t="s">
        <v>3401</v>
      </c>
      <c r="O1596" s="7"/>
      <c r="P1596" s="7" t="s">
        <v>3402</v>
      </c>
      <c r="Q1596" s="7"/>
      <c r="R1596" s="7"/>
      <c r="S1596" s="3" t="s">
        <v>40</v>
      </c>
      <c r="T1596" s="7" t="s">
        <v>41</v>
      </c>
      <c r="U1596" s="7"/>
      <c r="V1596" s="4" t="s">
        <v>42</v>
      </c>
      <c r="W1596" s="4" t="s">
        <v>207</v>
      </c>
      <c r="X1596" s="4" t="s">
        <v>208</v>
      </c>
      <c r="Y1596" s="7" t="s">
        <v>60</v>
      </c>
      <c r="Z1596" s="7"/>
      <c r="AA1596" s="4" t="s">
        <v>46</v>
      </c>
      <c r="AB1596" s="4" t="s">
        <v>47</v>
      </c>
      <c r="AC1596" s="4" t="s">
        <v>79</v>
      </c>
      <c r="AD1596" s="4" t="s">
        <v>96</v>
      </c>
      <c r="AE1596" s="4" t="s">
        <v>48</v>
      </c>
      <c r="AF1596" s="4" t="s">
        <v>41</v>
      </c>
      <c r="AG1596" s="4" t="s">
        <v>3398</v>
      </c>
    </row>
    <row r="1597" spans="1:33" ht="16.5" customHeight="1" x14ac:dyDescent="0.2">
      <c r="A1597" s="2" t="s">
        <v>31</v>
      </c>
      <c r="B1597" s="5" t="s">
        <v>54</v>
      </c>
      <c r="C1597" s="5"/>
      <c r="D1597" s="5"/>
      <c r="E1597" s="6" t="s">
        <v>33</v>
      </c>
      <c r="F1597" s="6"/>
      <c r="G1597" s="7" t="s">
        <v>3395</v>
      </c>
      <c r="H1597" s="7"/>
      <c r="I1597" s="7"/>
      <c r="J1597" s="3" t="s">
        <v>35</v>
      </c>
      <c r="K1597" s="4" t="s">
        <v>55</v>
      </c>
      <c r="L1597" s="4" t="s">
        <v>93</v>
      </c>
      <c r="N1597" s="7" t="s">
        <v>3403</v>
      </c>
      <c r="O1597" s="7"/>
      <c r="P1597" s="7" t="s">
        <v>3404</v>
      </c>
      <c r="Q1597" s="7"/>
      <c r="R1597" s="7"/>
      <c r="S1597" s="3" t="s">
        <v>40</v>
      </c>
      <c r="T1597" s="7" t="s">
        <v>41</v>
      </c>
      <c r="U1597" s="7"/>
      <c r="V1597" s="4" t="s">
        <v>42</v>
      </c>
      <c r="W1597" s="4" t="s">
        <v>257</v>
      </c>
      <c r="X1597" s="4" t="s">
        <v>258</v>
      </c>
      <c r="Y1597" s="7" t="s">
        <v>60</v>
      </c>
      <c r="Z1597" s="7"/>
      <c r="AA1597" s="4" t="s">
        <v>46</v>
      </c>
      <c r="AB1597" s="4" t="s">
        <v>47</v>
      </c>
      <c r="AC1597" s="4" t="s">
        <v>79</v>
      </c>
      <c r="AD1597" s="4" t="s">
        <v>96</v>
      </c>
      <c r="AE1597" s="4" t="s">
        <v>48</v>
      </c>
      <c r="AF1597" s="4" t="s">
        <v>41</v>
      </c>
      <c r="AG1597" s="4" t="s">
        <v>3398</v>
      </c>
    </row>
    <row r="1598" spans="1:33" ht="16.5" customHeight="1" x14ac:dyDescent="0.2">
      <c r="A1598" s="2" t="s">
        <v>31</v>
      </c>
      <c r="B1598" s="5" t="s">
        <v>32</v>
      </c>
      <c r="C1598" s="5"/>
      <c r="D1598" s="5"/>
      <c r="E1598" s="6" t="s">
        <v>33</v>
      </c>
      <c r="F1598" s="6"/>
      <c r="G1598" s="7" t="s">
        <v>3405</v>
      </c>
      <c r="H1598" s="7"/>
      <c r="I1598" s="7"/>
      <c r="J1598" s="3" t="s">
        <v>35</v>
      </c>
      <c r="K1598" s="4" t="s">
        <v>661</v>
      </c>
      <c r="L1598" s="4" t="s">
        <v>37</v>
      </c>
      <c r="N1598" s="7" t="s">
        <v>3406</v>
      </c>
      <c r="O1598" s="7"/>
      <c r="P1598" s="7" t="s">
        <v>3407</v>
      </c>
      <c r="Q1598" s="7"/>
      <c r="R1598" s="7"/>
      <c r="S1598" s="3" t="s">
        <v>40</v>
      </c>
      <c r="T1598" s="7" t="s">
        <v>671</v>
      </c>
      <c r="U1598" s="7"/>
      <c r="V1598" s="4" t="s">
        <v>42</v>
      </c>
      <c r="W1598" s="4" t="s">
        <v>172</v>
      </c>
      <c r="X1598" s="4" t="s">
        <v>386</v>
      </c>
      <c r="Y1598" s="7" t="s">
        <v>664</v>
      </c>
      <c r="Z1598" s="7"/>
      <c r="AA1598" s="4" t="s">
        <v>46</v>
      </c>
      <c r="AB1598" s="4" t="s">
        <v>47</v>
      </c>
      <c r="AD1598" s="4" t="s">
        <v>41</v>
      </c>
      <c r="AE1598" s="4" t="s">
        <v>48</v>
      </c>
      <c r="AF1598" s="4" t="s">
        <v>41</v>
      </c>
      <c r="AG1598" s="4" t="s">
        <v>3408</v>
      </c>
    </row>
    <row r="1599" spans="1:33" ht="16.5" customHeight="1" x14ac:dyDescent="0.2">
      <c r="A1599" s="2" t="s">
        <v>31</v>
      </c>
      <c r="B1599" s="5" t="s">
        <v>50</v>
      </c>
      <c r="C1599" s="5"/>
      <c r="D1599" s="5"/>
      <c r="E1599" s="6" t="s">
        <v>33</v>
      </c>
      <c r="F1599" s="6"/>
      <c r="G1599" s="7" t="s">
        <v>3405</v>
      </c>
      <c r="H1599" s="7"/>
      <c r="I1599" s="7"/>
      <c r="J1599" s="3" t="s">
        <v>35</v>
      </c>
      <c r="K1599" s="4" t="s">
        <v>661</v>
      </c>
      <c r="N1599" s="7" t="s">
        <v>3406</v>
      </c>
      <c r="O1599" s="7"/>
      <c r="P1599" s="7" t="s">
        <v>3407</v>
      </c>
      <c r="Q1599" s="7"/>
      <c r="R1599" s="7"/>
      <c r="S1599" s="3" t="s">
        <v>40</v>
      </c>
      <c r="T1599" s="7" t="s">
        <v>41</v>
      </c>
      <c r="U1599" s="7"/>
      <c r="V1599" s="4" t="s">
        <v>51</v>
      </c>
      <c r="W1599" s="4" t="s">
        <v>172</v>
      </c>
      <c r="X1599" s="4" t="s">
        <v>59</v>
      </c>
      <c r="Y1599" s="7" t="s">
        <v>664</v>
      </c>
      <c r="Z1599" s="7"/>
      <c r="AA1599" s="4" t="s">
        <v>46</v>
      </c>
      <c r="AB1599" s="4" t="s">
        <v>47</v>
      </c>
      <c r="AD1599" s="4" t="s">
        <v>96</v>
      </c>
      <c r="AE1599" s="4" t="s">
        <v>48</v>
      </c>
      <c r="AF1599" s="4" t="s">
        <v>41</v>
      </c>
      <c r="AG1599" s="4" t="s">
        <v>3408</v>
      </c>
    </row>
    <row r="1600" spans="1:33" ht="16.5" customHeight="1" x14ac:dyDescent="0.2">
      <c r="A1600" s="2" t="s">
        <v>31</v>
      </c>
      <c r="B1600" s="5" t="s">
        <v>646</v>
      </c>
      <c r="C1600" s="5"/>
      <c r="D1600" s="5"/>
      <c r="E1600" s="6" t="s">
        <v>33</v>
      </c>
      <c r="F1600" s="6"/>
      <c r="G1600" s="7" t="s">
        <v>3405</v>
      </c>
      <c r="H1600" s="7"/>
      <c r="I1600" s="7"/>
      <c r="J1600" s="3" t="s">
        <v>35</v>
      </c>
      <c r="K1600" s="4" t="s">
        <v>661</v>
      </c>
      <c r="L1600" s="4" t="s">
        <v>37</v>
      </c>
      <c r="N1600" s="7" t="s">
        <v>3406</v>
      </c>
      <c r="O1600" s="7"/>
      <c r="P1600" s="7" t="s">
        <v>3407</v>
      </c>
      <c r="Q1600" s="7"/>
      <c r="R1600" s="7"/>
      <c r="S1600" s="3" t="s">
        <v>40</v>
      </c>
      <c r="T1600" s="7" t="s">
        <v>668</v>
      </c>
      <c r="U1600" s="7"/>
      <c r="V1600" s="4" t="s">
        <v>58</v>
      </c>
      <c r="W1600" s="4" t="s">
        <v>172</v>
      </c>
      <c r="X1600" s="4" t="s">
        <v>128</v>
      </c>
      <c r="Y1600" s="7" t="s">
        <v>664</v>
      </c>
      <c r="Z1600" s="7"/>
      <c r="AA1600" s="4" t="s">
        <v>46</v>
      </c>
      <c r="AB1600" s="4" t="s">
        <v>47</v>
      </c>
      <c r="AD1600" s="4" t="s">
        <v>41</v>
      </c>
      <c r="AE1600" s="4" t="s">
        <v>48</v>
      </c>
      <c r="AF1600" s="4" t="s">
        <v>41</v>
      </c>
      <c r="AG1600" s="4" t="s">
        <v>3408</v>
      </c>
    </row>
    <row r="1601" spans="1:33" ht="16.5" customHeight="1" x14ac:dyDescent="0.2">
      <c r="A1601" s="2" t="s">
        <v>31</v>
      </c>
      <c r="B1601" s="5" t="s">
        <v>108</v>
      </c>
      <c r="C1601" s="5"/>
      <c r="D1601" s="5"/>
      <c r="E1601" s="6" t="s">
        <v>33</v>
      </c>
      <c r="F1601" s="6"/>
      <c r="G1601" s="7" t="s">
        <v>3405</v>
      </c>
      <c r="H1601" s="7"/>
      <c r="I1601" s="7"/>
      <c r="J1601" s="3" t="s">
        <v>35</v>
      </c>
      <c r="K1601" s="4" t="s">
        <v>1285</v>
      </c>
      <c r="N1601" s="7" t="s">
        <v>3409</v>
      </c>
      <c r="O1601" s="7"/>
      <c r="P1601" s="7" t="s">
        <v>3407</v>
      </c>
      <c r="Q1601" s="7"/>
      <c r="R1601" s="7"/>
      <c r="S1601" s="3" t="s">
        <v>40</v>
      </c>
      <c r="T1601" s="7" t="s">
        <v>2333</v>
      </c>
      <c r="U1601" s="7"/>
      <c r="V1601" s="4" t="s">
        <v>51</v>
      </c>
      <c r="W1601" s="4" t="s">
        <v>172</v>
      </c>
      <c r="X1601" s="4" t="s">
        <v>59</v>
      </c>
      <c r="Y1601" s="7" t="s">
        <v>937</v>
      </c>
      <c r="Z1601" s="7"/>
      <c r="AA1601" s="4" t="s">
        <v>46</v>
      </c>
      <c r="AB1601" s="4" t="s">
        <v>115</v>
      </c>
      <c r="AC1601" s="4" t="s">
        <v>938</v>
      </c>
      <c r="AD1601" s="4" t="s">
        <v>2334</v>
      </c>
      <c r="AE1601" s="4" t="s">
        <v>48</v>
      </c>
      <c r="AF1601" s="4" t="s">
        <v>41</v>
      </c>
      <c r="AG1601" s="4" t="s">
        <v>3408</v>
      </c>
    </row>
    <row r="1602" spans="1:33" ht="16.5" customHeight="1" x14ac:dyDescent="0.2">
      <c r="A1602" s="2" t="s">
        <v>31</v>
      </c>
      <c r="B1602" s="5" t="s">
        <v>54</v>
      </c>
      <c r="C1602" s="5"/>
      <c r="D1602" s="5"/>
      <c r="E1602" s="6" t="s">
        <v>33</v>
      </c>
      <c r="F1602" s="6"/>
      <c r="G1602" s="7" t="s">
        <v>3410</v>
      </c>
      <c r="H1602" s="7"/>
      <c r="I1602" s="7"/>
      <c r="J1602" s="3" t="s">
        <v>35</v>
      </c>
      <c r="K1602" s="4" t="s">
        <v>143</v>
      </c>
      <c r="L1602" s="4" t="s">
        <v>93</v>
      </c>
      <c r="N1602" s="7" t="s">
        <v>3411</v>
      </c>
      <c r="O1602" s="7"/>
      <c r="P1602" s="7" t="s">
        <v>3412</v>
      </c>
      <c r="Q1602" s="7"/>
      <c r="R1602" s="7"/>
      <c r="S1602" s="3" t="s">
        <v>40</v>
      </c>
      <c r="T1602" s="7" t="s">
        <v>41</v>
      </c>
      <c r="U1602" s="7"/>
      <c r="V1602" s="4" t="s">
        <v>42</v>
      </c>
      <c r="W1602" s="4" t="s">
        <v>158</v>
      </c>
      <c r="X1602" s="4" t="s">
        <v>159</v>
      </c>
      <c r="Y1602" s="7" t="s">
        <v>135</v>
      </c>
      <c r="Z1602" s="7"/>
      <c r="AA1602" s="4" t="s">
        <v>46</v>
      </c>
      <c r="AB1602" s="4" t="s">
        <v>47</v>
      </c>
      <c r="AC1602" s="4" t="s">
        <v>136</v>
      </c>
      <c r="AD1602" s="4" t="s">
        <v>148</v>
      </c>
      <c r="AE1602" s="4" t="s">
        <v>48</v>
      </c>
      <c r="AF1602" s="4" t="s">
        <v>41</v>
      </c>
      <c r="AG1602" s="4" t="s">
        <v>3413</v>
      </c>
    </row>
    <row r="1603" spans="1:33" ht="16.5" customHeight="1" x14ac:dyDescent="0.2">
      <c r="A1603" s="2" t="s">
        <v>31</v>
      </c>
      <c r="B1603" s="5" t="s">
        <v>54</v>
      </c>
      <c r="C1603" s="5"/>
      <c r="D1603" s="5"/>
      <c r="E1603" s="6" t="s">
        <v>33</v>
      </c>
      <c r="F1603" s="6"/>
      <c r="G1603" s="7" t="s">
        <v>3410</v>
      </c>
      <c r="H1603" s="7"/>
      <c r="I1603" s="7"/>
      <c r="J1603" s="3" t="s">
        <v>35</v>
      </c>
      <c r="K1603" s="4" t="s">
        <v>192</v>
      </c>
      <c r="L1603" s="4" t="s">
        <v>37</v>
      </c>
      <c r="N1603" s="7" t="s">
        <v>3414</v>
      </c>
      <c r="O1603" s="7"/>
      <c r="P1603" s="7" t="s">
        <v>3415</v>
      </c>
      <c r="Q1603" s="7"/>
      <c r="R1603" s="7"/>
      <c r="S1603" s="3" t="s">
        <v>40</v>
      </c>
      <c r="T1603" s="7" t="s">
        <v>41</v>
      </c>
      <c r="U1603" s="7"/>
      <c r="V1603" s="4" t="s">
        <v>42</v>
      </c>
      <c r="W1603" s="4" t="s">
        <v>608</v>
      </c>
      <c r="X1603" s="4" t="s">
        <v>609</v>
      </c>
      <c r="Y1603" s="7" t="s">
        <v>197</v>
      </c>
      <c r="Z1603" s="7"/>
      <c r="AA1603" s="4" t="s">
        <v>46</v>
      </c>
      <c r="AB1603" s="4" t="s">
        <v>47</v>
      </c>
      <c r="AC1603" s="4" t="s">
        <v>259</v>
      </c>
      <c r="AD1603" s="4" t="s">
        <v>260</v>
      </c>
      <c r="AE1603" s="4" t="s">
        <v>48</v>
      </c>
      <c r="AF1603" s="4" t="s">
        <v>41</v>
      </c>
      <c r="AG1603" s="4" t="s">
        <v>3413</v>
      </c>
    </row>
    <row r="1604" spans="1:33" ht="16.5" customHeight="1" x14ac:dyDescent="0.2">
      <c r="A1604" s="2" t="s">
        <v>31</v>
      </c>
      <c r="B1604" s="5" t="s">
        <v>54</v>
      </c>
      <c r="C1604" s="5"/>
      <c r="D1604" s="5"/>
      <c r="E1604" s="6" t="s">
        <v>33</v>
      </c>
      <c r="F1604" s="6"/>
      <c r="G1604" s="7" t="s">
        <v>3410</v>
      </c>
      <c r="H1604" s="7"/>
      <c r="I1604" s="7"/>
      <c r="J1604" s="3" t="s">
        <v>35</v>
      </c>
      <c r="K1604" s="4" t="s">
        <v>202</v>
      </c>
      <c r="L1604" s="4" t="s">
        <v>37</v>
      </c>
      <c r="N1604" s="7" t="s">
        <v>3416</v>
      </c>
      <c r="O1604" s="7"/>
      <c r="P1604" s="7" t="s">
        <v>3417</v>
      </c>
      <c r="Q1604" s="7"/>
      <c r="R1604" s="7"/>
      <c r="S1604" s="3" t="s">
        <v>40</v>
      </c>
      <c r="T1604" s="7" t="s">
        <v>41</v>
      </c>
      <c r="U1604" s="7"/>
      <c r="V1604" s="4" t="s">
        <v>42</v>
      </c>
      <c r="W1604" s="4" t="s">
        <v>234</v>
      </c>
      <c r="X1604" s="4" t="s">
        <v>235</v>
      </c>
      <c r="Y1604" s="7" t="s">
        <v>197</v>
      </c>
      <c r="Z1604" s="7"/>
      <c r="AA1604" s="4" t="s">
        <v>46</v>
      </c>
      <c r="AB1604" s="4" t="s">
        <v>47</v>
      </c>
      <c r="AC1604" s="4" t="s">
        <v>72</v>
      </c>
      <c r="AD1604" s="4" t="s">
        <v>41</v>
      </c>
      <c r="AE1604" s="4" t="s">
        <v>48</v>
      </c>
      <c r="AF1604" s="4" t="s">
        <v>41</v>
      </c>
      <c r="AG1604" s="4" t="s">
        <v>3413</v>
      </c>
    </row>
    <row r="1605" spans="1:33" ht="16.5" customHeight="1" x14ac:dyDescent="0.2">
      <c r="A1605" s="2" t="s">
        <v>31</v>
      </c>
      <c r="B1605" s="5" t="s">
        <v>54</v>
      </c>
      <c r="C1605" s="5"/>
      <c r="D1605" s="5"/>
      <c r="E1605" s="6" t="s">
        <v>33</v>
      </c>
      <c r="F1605" s="6"/>
      <c r="G1605" s="7" t="s">
        <v>3410</v>
      </c>
      <c r="H1605" s="7"/>
      <c r="I1605" s="7"/>
      <c r="J1605" s="3" t="s">
        <v>35</v>
      </c>
      <c r="K1605" s="4" t="s">
        <v>202</v>
      </c>
      <c r="L1605" s="4" t="s">
        <v>37</v>
      </c>
      <c r="N1605" s="7" t="s">
        <v>3416</v>
      </c>
      <c r="O1605" s="7"/>
      <c r="P1605" s="7" t="s">
        <v>3417</v>
      </c>
      <c r="Q1605" s="7"/>
      <c r="R1605" s="7"/>
      <c r="S1605" s="3" t="s">
        <v>40</v>
      </c>
      <c r="T1605" s="7" t="s">
        <v>41</v>
      </c>
      <c r="U1605" s="7"/>
      <c r="V1605" s="4" t="s">
        <v>51</v>
      </c>
      <c r="W1605" s="4" t="s">
        <v>234</v>
      </c>
      <c r="X1605" s="4" t="s">
        <v>344</v>
      </c>
      <c r="Y1605" s="7" t="s">
        <v>197</v>
      </c>
      <c r="Z1605" s="7"/>
      <c r="AA1605" s="4" t="s">
        <v>46</v>
      </c>
      <c r="AB1605" s="4" t="s">
        <v>47</v>
      </c>
      <c r="AC1605" s="4" t="s">
        <v>72</v>
      </c>
      <c r="AD1605" s="4" t="s">
        <v>41</v>
      </c>
      <c r="AE1605" s="4" t="s">
        <v>48</v>
      </c>
      <c r="AF1605" s="4" t="s">
        <v>41</v>
      </c>
      <c r="AG1605" s="4" t="s">
        <v>3413</v>
      </c>
    </row>
    <row r="1606" spans="1:33" ht="16.5" customHeight="1" x14ac:dyDescent="0.2">
      <c r="A1606" s="2" t="s">
        <v>31</v>
      </c>
      <c r="B1606" s="5" t="s">
        <v>54</v>
      </c>
      <c r="C1606" s="5"/>
      <c r="D1606" s="5"/>
      <c r="E1606" s="6" t="s">
        <v>33</v>
      </c>
      <c r="F1606" s="6"/>
      <c r="G1606" s="7" t="s">
        <v>3410</v>
      </c>
      <c r="H1606" s="7"/>
      <c r="I1606" s="7"/>
      <c r="J1606" s="3" t="s">
        <v>35</v>
      </c>
      <c r="K1606" s="4" t="s">
        <v>409</v>
      </c>
      <c r="L1606" s="4" t="s">
        <v>37</v>
      </c>
      <c r="N1606" s="7" t="s">
        <v>3418</v>
      </c>
      <c r="O1606" s="7"/>
      <c r="P1606" s="7" t="s">
        <v>3419</v>
      </c>
      <c r="Q1606" s="7"/>
      <c r="R1606" s="7"/>
      <c r="S1606" s="3" t="s">
        <v>40</v>
      </c>
      <c r="T1606" s="7" t="s">
        <v>41</v>
      </c>
      <c r="U1606" s="7"/>
      <c r="V1606" s="4" t="s">
        <v>42</v>
      </c>
      <c r="W1606" s="4" t="s">
        <v>181</v>
      </c>
      <c r="X1606" s="4" t="s">
        <v>182</v>
      </c>
      <c r="Y1606" s="7" t="s">
        <v>60</v>
      </c>
      <c r="Z1606" s="7"/>
      <c r="AA1606" s="4" t="s">
        <v>46</v>
      </c>
      <c r="AB1606" s="4" t="s">
        <v>47</v>
      </c>
      <c r="AC1606" s="4" t="s">
        <v>61</v>
      </c>
      <c r="AD1606" s="4" t="s">
        <v>62</v>
      </c>
      <c r="AE1606" s="4" t="s">
        <v>48</v>
      </c>
      <c r="AF1606" s="4" t="s">
        <v>41</v>
      </c>
      <c r="AG1606" s="4" t="s">
        <v>3413</v>
      </c>
    </row>
    <row r="1607" spans="1:33" ht="16.5" customHeight="1" x14ac:dyDescent="0.2">
      <c r="A1607" s="2" t="s">
        <v>31</v>
      </c>
      <c r="B1607" s="5" t="s">
        <v>54</v>
      </c>
      <c r="C1607" s="5"/>
      <c r="D1607" s="5"/>
      <c r="E1607" s="6" t="s">
        <v>33</v>
      </c>
      <c r="F1607" s="6"/>
      <c r="G1607" s="7" t="s">
        <v>3410</v>
      </c>
      <c r="H1607" s="7"/>
      <c r="I1607" s="7"/>
      <c r="J1607" s="3" t="s">
        <v>35</v>
      </c>
      <c r="K1607" s="4" t="s">
        <v>3286</v>
      </c>
      <c r="L1607" s="4" t="s">
        <v>37</v>
      </c>
      <c r="N1607" s="7" t="s">
        <v>3420</v>
      </c>
      <c r="O1607" s="7"/>
      <c r="P1607" s="7" t="s">
        <v>3421</v>
      </c>
      <c r="Q1607" s="7"/>
      <c r="R1607" s="7"/>
      <c r="S1607" s="3" t="s">
        <v>40</v>
      </c>
      <c r="T1607" s="7" t="s">
        <v>41</v>
      </c>
      <c r="U1607" s="7"/>
      <c r="V1607" s="4" t="s">
        <v>42</v>
      </c>
      <c r="W1607" s="4" t="s">
        <v>102</v>
      </c>
      <c r="X1607" s="4" t="s">
        <v>103</v>
      </c>
      <c r="Y1607" s="7" t="s">
        <v>60</v>
      </c>
      <c r="Z1607" s="7"/>
      <c r="AA1607" s="4" t="s">
        <v>46</v>
      </c>
      <c r="AB1607" s="4" t="s">
        <v>47</v>
      </c>
      <c r="AC1607" s="4" t="s">
        <v>72</v>
      </c>
      <c r="AD1607" s="4" t="s">
        <v>41</v>
      </c>
      <c r="AE1607" s="4" t="s">
        <v>48</v>
      </c>
      <c r="AF1607" s="4" t="s">
        <v>41</v>
      </c>
      <c r="AG1607" s="4" t="s">
        <v>3413</v>
      </c>
    </row>
    <row r="1608" spans="1:33" ht="16.5" customHeight="1" x14ac:dyDescent="0.2">
      <c r="A1608" s="2" t="s">
        <v>31</v>
      </c>
      <c r="B1608" s="5" t="s">
        <v>54</v>
      </c>
      <c r="C1608" s="5"/>
      <c r="D1608" s="5"/>
      <c r="E1608" s="6" t="s">
        <v>33</v>
      </c>
      <c r="F1608" s="6"/>
      <c r="G1608" s="7" t="s">
        <v>3410</v>
      </c>
      <c r="H1608" s="7"/>
      <c r="I1608" s="7"/>
      <c r="J1608" s="3" t="s">
        <v>35</v>
      </c>
      <c r="K1608" s="4" t="s">
        <v>657</v>
      </c>
      <c r="L1608" s="4" t="s">
        <v>37</v>
      </c>
      <c r="N1608" s="7" t="s">
        <v>3422</v>
      </c>
      <c r="O1608" s="7"/>
      <c r="P1608" s="7" t="s">
        <v>3423</v>
      </c>
      <c r="Q1608" s="7"/>
      <c r="R1608" s="7"/>
      <c r="S1608" s="3" t="s">
        <v>40</v>
      </c>
      <c r="T1608" s="7" t="s">
        <v>41</v>
      </c>
      <c r="U1608" s="7"/>
      <c r="V1608" s="4" t="s">
        <v>42</v>
      </c>
      <c r="W1608" s="4" t="s">
        <v>107</v>
      </c>
      <c r="X1608" s="4" t="s">
        <v>104</v>
      </c>
      <c r="Y1608" s="7" t="s">
        <v>197</v>
      </c>
      <c r="Z1608" s="7"/>
      <c r="AA1608" s="4" t="s">
        <v>46</v>
      </c>
      <c r="AB1608" s="4" t="s">
        <v>47</v>
      </c>
      <c r="AC1608" s="4" t="s">
        <v>136</v>
      </c>
      <c r="AD1608" s="4" t="s">
        <v>137</v>
      </c>
      <c r="AE1608" s="4" t="s">
        <v>48</v>
      </c>
      <c r="AF1608" s="4" t="s">
        <v>41</v>
      </c>
      <c r="AG1608" s="4" t="s">
        <v>3413</v>
      </c>
    </row>
    <row r="1609" spans="1:33" ht="16.5" customHeight="1" x14ac:dyDescent="0.2">
      <c r="A1609" s="2" t="s">
        <v>31</v>
      </c>
      <c r="B1609" s="5" t="s">
        <v>54</v>
      </c>
      <c r="C1609" s="5"/>
      <c r="D1609" s="5"/>
      <c r="E1609" s="6" t="s">
        <v>33</v>
      </c>
      <c r="F1609" s="6"/>
      <c r="G1609" s="7" t="s">
        <v>3410</v>
      </c>
      <c r="H1609" s="7"/>
      <c r="I1609" s="7"/>
      <c r="J1609" s="3" t="s">
        <v>35</v>
      </c>
      <c r="K1609" s="4" t="s">
        <v>143</v>
      </c>
      <c r="L1609" s="4" t="s">
        <v>93</v>
      </c>
      <c r="N1609" s="7" t="s">
        <v>3424</v>
      </c>
      <c r="O1609" s="7"/>
      <c r="P1609" s="7" t="s">
        <v>3425</v>
      </c>
      <c r="Q1609" s="7"/>
      <c r="R1609" s="7"/>
      <c r="S1609" s="3" t="s">
        <v>40</v>
      </c>
      <c r="T1609" s="7" t="s">
        <v>41</v>
      </c>
      <c r="U1609" s="7"/>
      <c r="V1609" s="4" t="s">
        <v>42</v>
      </c>
      <c r="W1609" s="4" t="s">
        <v>58</v>
      </c>
      <c r="X1609" s="4" t="s">
        <v>59</v>
      </c>
      <c r="Y1609" s="7" t="s">
        <v>135</v>
      </c>
      <c r="Z1609" s="7"/>
      <c r="AA1609" s="4" t="s">
        <v>46</v>
      </c>
      <c r="AB1609" s="4" t="s">
        <v>47</v>
      </c>
      <c r="AC1609" s="4" t="s">
        <v>79</v>
      </c>
      <c r="AD1609" s="4" t="s">
        <v>96</v>
      </c>
      <c r="AE1609" s="4" t="s">
        <v>48</v>
      </c>
      <c r="AF1609" s="4" t="s">
        <v>41</v>
      </c>
      <c r="AG1609" s="4" t="s">
        <v>3413</v>
      </c>
    </row>
    <row r="1610" spans="1:33" ht="16.5" customHeight="1" x14ac:dyDescent="0.2">
      <c r="A1610" s="2" t="s">
        <v>31</v>
      </c>
      <c r="B1610" s="5" t="s">
        <v>54</v>
      </c>
      <c r="C1610" s="5"/>
      <c r="D1610" s="5"/>
      <c r="E1610" s="6" t="s">
        <v>33</v>
      </c>
      <c r="F1610" s="6"/>
      <c r="G1610" s="7" t="s">
        <v>3410</v>
      </c>
      <c r="H1610" s="7"/>
      <c r="I1610" s="7"/>
      <c r="J1610" s="3" t="s">
        <v>35</v>
      </c>
      <c r="K1610" s="4" t="s">
        <v>248</v>
      </c>
      <c r="L1610" s="4" t="s">
        <v>37</v>
      </c>
      <c r="N1610" s="7" t="s">
        <v>3426</v>
      </c>
      <c r="O1610" s="7"/>
      <c r="P1610" s="7" t="s">
        <v>3427</v>
      </c>
      <c r="Q1610" s="7"/>
      <c r="R1610" s="7"/>
      <c r="S1610" s="3" t="s">
        <v>40</v>
      </c>
      <c r="T1610" s="7" t="s">
        <v>41</v>
      </c>
      <c r="U1610" s="7"/>
      <c r="V1610" s="4" t="s">
        <v>42</v>
      </c>
      <c r="W1610" s="4" t="s">
        <v>58</v>
      </c>
      <c r="X1610" s="4" t="s">
        <v>59</v>
      </c>
      <c r="Y1610" s="7" t="s">
        <v>60</v>
      </c>
      <c r="Z1610" s="7"/>
      <c r="AA1610" s="4" t="s">
        <v>46</v>
      </c>
      <c r="AB1610" s="4" t="s">
        <v>47</v>
      </c>
      <c r="AC1610" s="4" t="s">
        <v>61</v>
      </c>
      <c r="AD1610" s="4" t="s">
        <v>62</v>
      </c>
      <c r="AE1610" s="4" t="s">
        <v>48</v>
      </c>
      <c r="AF1610" s="4" t="s">
        <v>41</v>
      </c>
      <c r="AG1610" s="4" t="s">
        <v>3413</v>
      </c>
    </row>
    <row r="1611" spans="1:33" ht="16.5" customHeight="1" x14ac:dyDescent="0.2">
      <c r="A1611" s="2" t="s">
        <v>31</v>
      </c>
      <c r="B1611" s="5" t="s">
        <v>54</v>
      </c>
      <c r="C1611" s="5"/>
      <c r="D1611" s="5"/>
      <c r="E1611" s="6" t="s">
        <v>33</v>
      </c>
      <c r="F1611" s="6"/>
      <c r="G1611" s="7" t="s">
        <v>3410</v>
      </c>
      <c r="H1611" s="7"/>
      <c r="I1611" s="7"/>
      <c r="J1611" s="3" t="s">
        <v>35</v>
      </c>
      <c r="K1611" s="4" t="s">
        <v>657</v>
      </c>
      <c r="L1611" s="4" t="s">
        <v>37</v>
      </c>
      <c r="N1611" s="7" t="s">
        <v>3428</v>
      </c>
      <c r="O1611" s="7"/>
      <c r="P1611" s="7" t="s">
        <v>3429</v>
      </c>
      <c r="Q1611" s="7"/>
      <c r="R1611" s="7"/>
      <c r="S1611" s="3" t="s">
        <v>40</v>
      </c>
      <c r="T1611" s="7" t="s">
        <v>41</v>
      </c>
      <c r="U1611" s="7"/>
      <c r="V1611" s="4" t="s">
        <v>42</v>
      </c>
      <c r="W1611" s="4" t="s">
        <v>58</v>
      </c>
      <c r="X1611" s="4" t="s">
        <v>59</v>
      </c>
      <c r="Y1611" s="7" t="s">
        <v>197</v>
      </c>
      <c r="Z1611" s="7"/>
      <c r="AA1611" s="4" t="s">
        <v>46</v>
      </c>
      <c r="AB1611" s="4" t="s">
        <v>47</v>
      </c>
      <c r="AC1611" s="4" t="s">
        <v>136</v>
      </c>
      <c r="AD1611" s="4" t="s">
        <v>137</v>
      </c>
      <c r="AE1611" s="4" t="s">
        <v>48</v>
      </c>
      <c r="AF1611" s="4" t="s">
        <v>41</v>
      </c>
      <c r="AG1611" s="4" t="s">
        <v>3413</v>
      </c>
    </row>
    <row r="1612" spans="1:33" ht="16.5" customHeight="1" x14ac:dyDescent="0.2">
      <c r="A1612" s="2" t="s">
        <v>31</v>
      </c>
      <c r="B1612" s="5" t="s">
        <v>54</v>
      </c>
      <c r="C1612" s="5"/>
      <c r="D1612" s="5"/>
      <c r="E1612" s="6" t="s">
        <v>33</v>
      </c>
      <c r="F1612" s="6"/>
      <c r="G1612" s="7" t="s">
        <v>3430</v>
      </c>
      <c r="H1612" s="7"/>
      <c r="I1612" s="7"/>
      <c r="J1612" s="3" t="s">
        <v>35</v>
      </c>
      <c r="K1612" s="4" t="s">
        <v>3286</v>
      </c>
      <c r="L1612" s="4" t="s">
        <v>443</v>
      </c>
      <c r="N1612" s="7" t="s">
        <v>3431</v>
      </c>
      <c r="O1612" s="7"/>
      <c r="P1612" s="7" t="s">
        <v>3432</v>
      </c>
      <c r="Q1612" s="7"/>
      <c r="R1612" s="7"/>
      <c r="S1612" s="3" t="s">
        <v>40</v>
      </c>
      <c r="T1612" s="7" t="s">
        <v>41</v>
      </c>
      <c r="U1612" s="7"/>
      <c r="V1612" s="4" t="s">
        <v>42</v>
      </c>
      <c r="W1612" s="4" t="s">
        <v>200</v>
      </c>
      <c r="X1612" s="4" t="s">
        <v>201</v>
      </c>
      <c r="Y1612" s="7" t="s">
        <v>60</v>
      </c>
      <c r="Z1612" s="7"/>
      <c r="AA1612" s="4" t="s">
        <v>46</v>
      </c>
      <c r="AB1612" s="4" t="s">
        <v>47</v>
      </c>
      <c r="AC1612" s="4" t="s">
        <v>79</v>
      </c>
      <c r="AD1612" s="4" t="s">
        <v>447</v>
      </c>
      <c r="AE1612" s="4" t="s">
        <v>48</v>
      </c>
      <c r="AF1612" s="4" t="s">
        <v>41</v>
      </c>
      <c r="AG1612" s="4" t="s">
        <v>3433</v>
      </c>
    </row>
    <row r="1613" spans="1:33" ht="16.5" customHeight="1" x14ac:dyDescent="0.2">
      <c r="A1613" s="2" t="s">
        <v>31</v>
      </c>
      <c r="B1613" s="5" t="s">
        <v>54</v>
      </c>
      <c r="C1613" s="5"/>
      <c r="D1613" s="5"/>
      <c r="E1613" s="6" t="s">
        <v>33</v>
      </c>
      <c r="F1613" s="6"/>
      <c r="G1613" s="7" t="s">
        <v>3430</v>
      </c>
      <c r="H1613" s="7"/>
      <c r="I1613" s="7"/>
      <c r="J1613" s="3" t="s">
        <v>35</v>
      </c>
      <c r="K1613" s="4" t="s">
        <v>55</v>
      </c>
      <c r="L1613" s="4" t="s">
        <v>37</v>
      </c>
      <c r="N1613" s="7" t="s">
        <v>3434</v>
      </c>
      <c r="O1613" s="7"/>
      <c r="P1613" s="7" t="s">
        <v>3435</v>
      </c>
      <c r="Q1613" s="7"/>
      <c r="R1613" s="7"/>
      <c r="S1613" s="3" t="s">
        <v>40</v>
      </c>
      <c r="T1613" s="7" t="s">
        <v>41</v>
      </c>
      <c r="U1613" s="7"/>
      <c r="V1613" s="4" t="s">
        <v>42</v>
      </c>
      <c r="W1613" s="4" t="s">
        <v>43</v>
      </c>
      <c r="X1613" s="4" t="s">
        <v>44</v>
      </c>
      <c r="Y1613" s="7" t="s">
        <v>60</v>
      </c>
      <c r="Z1613" s="7"/>
      <c r="AA1613" s="4" t="s">
        <v>46</v>
      </c>
      <c r="AB1613" s="4" t="s">
        <v>47</v>
      </c>
      <c r="AC1613" s="4" t="s">
        <v>79</v>
      </c>
      <c r="AD1613" s="4" t="s">
        <v>80</v>
      </c>
      <c r="AE1613" s="4" t="s">
        <v>48</v>
      </c>
      <c r="AF1613" s="4" t="s">
        <v>41</v>
      </c>
      <c r="AG1613" s="4" t="s">
        <v>3433</v>
      </c>
    </row>
    <row r="1614" spans="1:33" ht="16.5" customHeight="1" x14ac:dyDescent="0.2">
      <c r="A1614" s="2" t="s">
        <v>31</v>
      </c>
      <c r="B1614" s="5" t="s">
        <v>54</v>
      </c>
      <c r="C1614" s="5"/>
      <c r="D1614" s="5"/>
      <c r="E1614" s="6" t="s">
        <v>33</v>
      </c>
      <c r="F1614" s="6"/>
      <c r="G1614" s="7" t="s">
        <v>3430</v>
      </c>
      <c r="H1614" s="7"/>
      <c r="I1614" s="7"/>
      <c r="J1614" s="3" t="s">
        <v>35</v>
      </c>
      <c r="K1614" s="4" t="s">
        <v>55</v>
      </c>
      <c r="L1614" s="4" t="s">
        <v>37</v>
      </c>
      <c r="N1614" s="7" t="s">
        <v>3434</v>
      </c>
      <c r="O1614" s="7"/>
      <c r="P1614" s="7" t="s">
        <v>3435</v>
      </c>
      <c r="Q1614" s="7"/>
      <c r="R1614" s="7"/>
      <c r="S1614" s="3" t="s">
        <v>40</v>
      </c>
      <c r="T1614" s="7" t="s">
        <v>41</v>
      </c>
      <c r="U1614" s="7"/>
      <c r="V1614" s="4" t="s">
        <v>51</v>
      </c>
      <c r="W1614" s="4" t="s">
        <v>43</v>
      </c>
      <c r="X1614" s="4" t="s">
        <v>52</v>
      </c>
      <c r="Y1614" s="7" t="s">
        <v>60</v>
      </c>
      <c r="Z1614" s="7"/>
      <c r="AA1614" s="4" t="s">
        <v>46</v>
      </c>
      <c r="AB1614" s="4" t="s">
        <v>47</v>
      </c>
      <c r="AC1614" s="4" t="s">
        <v>79</v>
      </c>
      <c r="AD1614" s="4" t="s">
        <v>80</v>
      </c>
      <c r="AE1614" s="4" t="s">
        <v>48</v>
      </c>
      <c r="AF1614" s="4" t="s">
        <v>41</v>
      </c>
      <c r="AG1614" s="4" t="s">
        <v>3433</v>
      </c>
    </row>
    <row r="1615" spans="1:33" ht="16.5" customHeight="1" x14ac:dyDescent="0.2">
      <c r="A1615" s="2" t="s">
        <v>31</v>
      </c>
      <c r="B1615" s="5" t="s">
        <v>54</v>
      </c>
      <c r="C1615" s="5"/>
      <c r="D1615" s="5"/>
      <c r="E1615" s="6" t="s">
        <v>33</v>
      </c>
      <c r="F1615" s="6"/>
      <c r="G1615" s="7" t="s">
        <v>3430</v>
      </c>
      <c r="H1615" s="7"/>
      <c r="I1615" s="7"/>
      <c r="J1615" s="3" t="s">
        <v>35</v>
      </c>
      <c r="K1615" s="4" t="s">
        <v>3298</v>
      </c>
      <c r="L1615" s="4" t="s">
        <v>37</v>
      </c>
      <c r="N1615" s="7" t="s">
        <v>3436</v>
      </c>
      <c r="O1615" s="7"/>
      <c r="P1615" s="7" t="s">
        <v>3437</v>
      </c>
      <c r="Q1615" s="7"/>
      <c r="R1615" s="7"/>
      <c r="S1615" s="3" t="s">
        <v>40</v>
      </c>
      <c r="T1615" s="7" t="s">
        <v>41</v>
      </c>
      <c r="U1615" s="7"/>
      <c r="V1615" s="4" t="s">
        <v>42</v>
      </c>
      <c r="W1615" s="4" t="s">
        <v>58</v>
      </c>
      <c r="X1615" s="4" t="s">
        <v>59</v>
      </c>
      <c r="Y1615" s="7" t="s">
        <v>78</v>
      </c>
      <c r="Z1615" s="7"/>
      <c r="AA1615" s="4" t="s">
        <v>46</v>
      </c>
      <c r="AB1615" s="4" t="s">
        <v>47</v>
      </c>
      <c r="AC1615" s="4" t="s">
        <v>79</v>
      </c>
      <c r="AD1615" s="4" t="s">
        <v>80</v>
      </c>
      <c r="AE1615" s="4" t="s">
        <v>48</v>
      </c>
      <c r="AF1615" s="4" t="s">
        <v>41</v>
      </c>
      <c r="AG1615" s="4" t="s">
        <v>3433</v>
      </c>
    </row>
    <row r="1616" spans="1:33" ht="16.5" customHeight="1" x14ac:dyDescent="0.2">
      <c r="A1616" s="2" t="s">
        <v>31</v>
      </c>
      <c r="B1616" s="5" t="s">
        <v>54</v>
      </c>
      <c r="C1616" s="5"/>
      <c r="D1616" s="5"/>
      <c r="E1616" s="6" t="s">
        <v>33</v>
      </c>
      <c r="F1616" s="6"/>
      <c r="G1616" s="7" t="s">
        <v>3430</v>
      </c>
      <c r="H1616" s="7"/>
      <c r="I1616" s="7"/>
      <c r="J1616" s="3" t="s">
        <v>35</v>
      </c>
      <c r="K1616" s="4" t="s">
        <v>3298</v>
      </c>
      <c r="L1616" s="4" t="s">
        <v>37</v>
      </c>
      <c r="N1616" s="7" t="s">
        <v>3436</v>
      </c>
      <c r="O1616" s="7"/>
      <c r="P1616" s="7" t="s">
        <v>3437</v>
      </c>
      <c r="Q1616" s="7"/>
      <c r="R1616" s="7"/>
      <c r="S1616" s="3" t="s">
        <v>40</v>
      </c>
      <c r="T1616" s="7" t="s">
        <v>41</v>
      </c>
      <c r="U1616" s="7"/>
      <c r="V1616" s="4" t="s">
        <v>51</v>
      </c>
      <c r="W1616" s="4" t="s">
        <v>58</v>
      </c>
      <c r="X1616" s="4" t="s">
        <v>128</v>
      </c>
      <c r="Y1616" s="7" t="s">
        <v>78</v>
      </c>
      <c r="Z1616" s="7"/>
      <c r="AA1616" s="4" t="s">
        <v>46</v>
      </c>
      <c r="AB1616" s="4" t="s">
        <v>47</v>
      </c>
      <c r="AC1616" s="4" t="s">
        <v>79</v>
      </c>
      <c r="AD1616" s="4" t="s">
        <v>80</v>
      </c>
      <c r="AE1616" s="4" t="s">
        <v>48</v>
      </c>
      <c r="AF1616" s="4" t="s">
        <v>41</v>
      </c>
      <c r="AG1616" s="4" t="s">
        <v>3433</v>
      </c>
    </row>
    <row r="1617" spans="1:33" ht="16.5" customHeight="1" x14ac:dyDescent="0.2">
      <c r="A1617" s="2" t="s">
        <v>31</v>
      </c>
      <c r="B1617" s="5" t="s">
        <v>54</v>
      </c>
      <c r="C1617" s="5"/>
      <c r="D1617" s="5"/>
      <c r="E1617" s="6" t="s">
        <v>33</v>
      </c>
      <c r="F1617" s="6"/>
      <c r="G1617" s="7" t="s">
        <v>3430</v>
      </c>
      <c r="H1617" s="7"/>
      <c r="I1617" s="7"/>
      <c r="J1617" s="3" t="s">
        <v>35</v>
      </c>
      <c r="K1617" s="4" t="s">
        <v>3438</v>
      </c>
      <c r="L1617" s="4" t="s">
        <v>93</v>
      </c>
      <c r="N1617" s="7" t="s">
        <v>3439</v>
      </c>
      <c r="O1617" s="7"/>
      <c r="P1617" s="7" t="s">
        <v>3440</v>
      </c>
      <c r="Q1617" s="7"/>
      <c r="R1617" s="7"/>
      <c r="S1617" s="3" t="s">
        <v>40</v>
      </c>
      <c r="T1617" s="7" t="s">
        <v>41</v>
      </c>
      <c r="U1617" s="7"/>
      <c r="V1617" s="4" t="s">
        <v>42</v>
      </c>
      <c r="W1617" s="4" t="s">
        <v>58</v>
      </c>
      <c r="X1617" s="4" t="s">
        <v>59</v>
      </c>
      <c r="Y1617" s="7" t="s">
        <v>78</v>
      </c>
      <c r="Z1617" s="7"/>
      <c r="AA1617" s="4" t="s">
        <v>46</v>
      </c>
      <c r="AB1617" s="4" t="s">
        <v>47</v>
      </c>
      <c r="AC1617" s="4" t="s">
        <v>79</v>
      </c>
      <c r="AD1617" s="4" t="s">
        <v>96</v>
      </c>
      <c r="AE1617" s="4" t="s">
        <v>48</v>
      </c>
      <c r="AF1617" s="4" t="s">
        <v>41</v>
      </c>
      <c r="AG1617" s="4" t="s">
        <v>3433</v>
      </c>
    </row>
    <row r="1618" spans="1:33" ht="16.5" customHeight="1" x14ac:dyDescent="0.2">
      <c r="A1618" s="2" t="s">
        <v>31</v>
      </c>
      <c r="B1618" s="5" t="s">
        <v>54</v>
      </c>
      <c r="C1618" s="5"/>
      <c r="D1618" s="5"/>
      <c r="E1618" s="6" t="s">
        <v>33</v>
      </c>
      <c r="F1618" s="6"/>
      <c r="G1618" s="7" t="s">
        <v>3430</v>
      </c>
      <c r="H1618" s="7"/>
      <c r="I1618" s="7"/>
      <c r="J1618" s="3" t="s">
        <v>35</v>
      </c>
      <c r="K1618" s="4" t="s">
        <v>3438</v>
      </c>
      <c r="L1618" s="4" t="s">
        <v>37</v>
      </c>
      <c r="N1618" s="7" t="s">
        <v>3441</v>
      </c>
      <c r="O1618" s="7"/>
      <c r="P1618" s="7" t="s">
        <v>3442</v>
      </c>
      <c r="Q1618" s="7"/>
      <c r="R1618" s="7"/>
      <c r="S1618" s="3" t="s">
        <v>40</v>
      </c>
      <c r="T1618" s="7" t="s">
        <v>41</v>
      </c>
      <c r="U1618" s="7"/>
      <c r="V1618" s="4" t="s">
        <v>42</v>
      </c>
      <c r="W1618" s="4" t="s">
        <v>58</v>
      </c>
      <c r="X1618" s="4" t="s">
        <v>59</v>
      </c>
      <c r="Y1618" s="7" t="s">
        <v>78</v>
      </c>
      <c r="Z1618" s="7"/>
      <c r="AA1618" s="4" t="s">
        <v>46</v>
      </c>
      <c r="AB1618" s="4" t="s">
        <v>47</v>
      </c>
      <c r="AC1618" s="4" t="s">
        <v>79</v>
      </c>
      <c r="AD1618" s="4" t="s">
        <v>80</v>
      </c>
      <c r="AE1618" s="4" t="s">
        <v>48</v>
      </c>
      <c r="AF1618" s="4" t="s">
        <v>41</v>
      </c>
      <c r="AG1618" s="4" t="s">
        <v>3433</v>
      </c>
    </row>
    <row r="1619" spans="1:33" ht="16.5" customHeight="1" x14ac:dyDescent="0.2">
      <c r="A1619" s="2" t="s">
        <v>31</v>
      </c>
      <c r="B1619" s="5" t="s">
        <v>54</v>
      </c>
      <c r="C1619" s="5"/>
      <c r="D1619" s="5"/>
      <c r="E1619" s="6" t="s">
        <v>33</v>
      </c>
      <c r="F1619" s="6"/>
      <c r="G1619" s="7" t="s">
        <v>3430</v>
      </c>
      <c r="H1619" s="7"/>
      <c r="I1619" s="7"/>
      <c r="J1619" s="3" t="s">
        <v>35</v>
      </c>
      <c r="K1619" s="4" t="s">
        <v>3443</v>
      </c>
      <c r="L1619" s="4" t="s">
        <v>37</v>
      </c>
      <c r="N1619" s="7" t="s">
        <v>3444</v>
      </c>
      <c r="O1619" s="7"/>
      <c r="P1619" s="7" t="s">
        <v>3445</v>
      </c>
      <c r="Q1619" s="7"/>
      <c r="R1619" s="7"/>
      <c r="S1619" s="3" t="s">
        <v>40</v>
      </c>
      <c r="T1619" s="7" t="s">
        <v>41</v>
      </c>
      <c r="U1619" s="7"/>
      <c r="V1619" s="4" t="s">
        <v>51</v>
      </c>
      <c r="W1619" s="4" t="s">
        <v>43</v>
      </c>
      <c r="X1619" s="4" t="s">
        <v>52</v>
      </c>
      <c r="Y1619" s="7" t="s">
        <v>197</v>
      </c>
      <c r="Z1619" s="7"/>
      <c r="AA1619" s="4" t="s">
        <v>46</v>
      </c>
      <c r="AB1619" s="4" t="s">
        <v>47</v>
      </c>
      <c r="AC1619" s="4" t="s">
        <v>259</v>
      </c>
      <c r="AD1619" s="4" t="s">
        <v>260</v>
      </c>
      <c r="AE1619" s="4" t="s">
        <v>48</v>
      </c>
      <c r="AF1619" s="4" t="s">
        <v>41</v>
      </c>
      <c r="AG1619" s="4" t="s">
        <v>3433</v>
      </c>
    </row>
    <row r="1620" spans="1:33" ht="16.5" customHeight="1" x14ac:dyDescent="0.2">
      <c r="A1620" s="2" t="s">
        <v>31</v>
      </c>
      <c r="B1620" s="5" t="s">
        <v>54</v>
      </c>
      <c r="C1620" s="5"/>
      <c r="D1620" s="5"/>
      <c r="E1620" s="6" t="s">
        <v>33</v>
      </c>
      <c r="F1620" s="6"/>
      <c r="G1620" s="7" t="s">
        <v>3430</v>
      </c>
      <c r="H1620" s="7"/>
      <c r="I1620" s="7"/>
      <c r="J1620" s="3" t="s">
        <v>35</v>
      </c>
      <c r="K1620" s="4" t="s">
        <v>3443</v>
      </c>
      <c r="L1620" s="4" t="s">
        <v>37</v>
      </c>
      <c r="N1620" s="7" t="s">
        <v>3446</v>
      </c>
      <c r="O1620" s="7"/>
      <c r="P1620" s="7" t="s">
        <v>3447</v>
      </c>
      <c r="Q1620" s="7"/>
      <c r="R1620" s="7"/>
      <c r="S1620" s="3" t="s">
        <v>40</v>
      </c>
      <c r="T1620" s="7" t="s">
        <v>41</v>
      </c>
      <c r="U1620" s="7"/>
      <c r="V1620" s="4" t="s">
        <v>42</v>
      </c>
      <c r="W1620" s="4" t="s">
        <v>234</v>
      </c>
      <c r="X1620" s="4" t="s">
        <v>235</v>
      </c>
      <c r="Y1620" s="7" t="s">
        <v>197</v>
      </c>
      <c r="Z1620" s="7"/>
      <c r="AA1620" s="4" t="s">
        <v>46</v>
      </c>
      <c r="AB1620" s="4" t="s">
        <v>47</v>
      </c>
      <c r="AC1620" s="4" t="s">
        <v>259</v>
      </c>
      <c r="AD1620" s="4" t="s">
        <v>260</v>
      </c>
      <c r="AE1620" s="4" t="s">
        <v>48</v>
      </c>
      <c r="AF1620" s="4" t="s">
        <v>41</v>
      </c>
      <c r="AG1620" s="4" t="s">
        <v>3433</v>
      </c>
    </row>
    <row r="1621" spans="1:33" ht="16.5" customHeight="1" x14ac:dyDescent="0.2">
      <c r="A1621" s="2" t="s">
        <v>31</v>
      </c>
      <c r="B1621" s="5" t="s">
        <v>54</v>
      </c>
      <c r="C1621" s="5"/>
      <c r="D1621" s="5"/>
      <c r="E1621" s="6" t="s">
        <v>33</v>
      </c>
      <c r="F1621" s="6"/>
      <c r="G1621" s="7" t="s">
        <v>3430</v>
      </c>
      <c r="H1621" s="7"/>
      <c r="I1621" s="7"/>
      <c r="J1621" s="3" t="s">
        <v>35</v>
      </c>
      <c r="K1621" s="4" t="s">
        <v>3448</v>
      </c>
      <c r="L1621" s="4" t="s">
        <v>37</v>
      </c>
      <c r="N1621" s="7" t="s">
        <v>3449</v>
      </c>
      <c r="O1621" s="7"/>
      <c r="P1621" s="7" t="s">
        <v>3450</v>
      </c>
      <c r="Q1621" s="7"/>
      <c r="R1621" s="7"/>
      <c r="S1621" s="3" t="s">
        <v>40</v>
      </c>
      <c r="T1621" s="7" t="s">
        <v>41</v>
      </c>
      <c r="U1621" s="7"/>
      <c r="V1621" s="4" t="s">
        <v>42</v>
      </c>
      <c r="W1621" s="4" t="s">
        <v>229</v>
      </c>
      <c r="X1621" s="4" t="s">
        <v>446</v>
      </c>
      <c r="Y1621" s="7" t="s">
        <v>78</v>
      </c>
      <c r="Z1621" s="7"/>
      <c r="AA1621" s="4" t="s">
        <v>46</v>
      </c>
      <c r="AB1621" s="4" t="s">
        <v>47</v>
      </c>
      <c r="AC1621" s="4" t="s">
        <v>136</v>
      </c>
      <c r="AD1621" s="4" t="s">
        <v>137</v>
      </c>
      <c r="AE1621" s="4" t="s">
        <v>48</v>
      </c>
      <c r="AF1621" s="4" t="s">
        <v>41</v>
      </c>
      <c r="AG1621" s="4" t="s">
        <v>3433</v>
      </c>
    </row>
    <row r="1622" spans="1:33" ht="16.5" customHeight="1" x14ac:dyDescent="0.2">
      <c r="A1622" s="2" t="s">
        <v>31</v>
      </c>
      <c r="B1622" s="5" t="s">
        <v>54</v>
      </c>
      <c r="C1622" s="5"/>
      <c r="D1622" s="5"/>
      <c r="E1622" s="6" t="s">
        <v>33</v>
      </c>
      <c r="F1622" s="6"/>
      <c r="G1622" s="7" t="s">
        <v>3430</v>
      </c>
      <c r="H1622" s="7"/>
      <c r="I1622" s="7"/>
      <c r="J1622" s="3" t="s">
        <v>35</v>
      </c>
      <c r="K1622" s="4" t="s">
        <v>3286</v>
      </c>
      <c r="L1622" s="4" t="s">
        <v>37</v>
      </c>
      <c r="N1622" s="7" t="s">
        <v>3451</v>
      </c>
      <c r="O1622" s="7"/>
      <c r="P1622" s="7" t="s">
        <v>3452</v>
      </c>
      <c r="Q1622" s="7"/>
      <c r="R1622" s="7"/>
      <c r="S1622" s="3" t="s">
        <v>40</v>
      </c>
      <c r="T1622" s="7" t="s">
        <v>41</v>
      </c>
      <c r="U1622" s="7"/>
      <c r="V1622" s="4" t="s">
        <v>42</v>
      </c>
      <c r="W1622" s="4" t="s">
        <v>43</v>
      </c>
      <c r="X1622" s="4" t="s">
        <v>44</v>
      </c>
      <c r="Y1622" s="7" t="s">
        <v>60</v>
      </c>
      <c r="Z1622" s="7"/>
      <c r="AA1622" s="4" t="s">
        <v>46</v>
      </c>
      <c r="AB1622" s="4" t="s">
        <v>47</v>
      </c>
      <c r="AC1622" s="4" t="s">
        <v>79</v>
      </c>
      <c r="AD1622" s="4" t="s">
        <v>80</v>
      </c>
      <c r="AE1622" s="4" t="s">
        <v>48</v>
      </c>
      <c r="AF1622" s="4" t="s">
        <v>41</v>
      </c>
      <c r="AG1622" s="4" t="s">
        <v>3433</v>
      </c>
    </row>
    <row r="1623" spans="1:33" ht="16.5" customHeight="1" x14ac:dyDescent="0.2">
      <c r="A1623" s="2" t="s">
        <v>31</v>
      </c>
      <c r="B1623" s="5" t="s">
        <v>54</v>
      </c>
      <c r="C1623" s="5"/>
      <c r="D1623" s="5"/>
      <c r="E1623" s="6" t="s">
        <v>33</v>
      </c>
      <c r="F1623" s="6"/>
      <c r="G1623" s="7" t="s">
        <v>3430</v>
      </c>
      <c r="H1623" s="7"/>
      <c r="I1623" s="7"/>
      <c r="J1623" s="3" t="s">
        <v>35</v>
      </c>
      <c r="K1623" s="4" t="s">
        <v>202</v>
      </c>
      <c r="L1623" s="4" t="s">
        <v>37</v>
      </c>
      <c r="N1623" s="7" t="s">
        <v>3453</v>
      </c>
      <c r="O1623" s="7"/>
      <c r="P1623" s="7" t="s">
        <v>3454</v>
      </c>
      <c r="Q1623" s="7"/>
      <c r="R1623" s="7"/>
      <c r="S1623" s="3" t="s">
        <v>40</v>
      </c>
      <c r="T1623" s="7" t="s">
        <v>41</v>
      </c>
      <c r="U1623" s="7"/>
      <c r="V1623" s="4" t="s">
        <v>42</v>
      </c>
      <c r="W1623" s="4" t="s">
        <v>43</v>
      </c>
      <c r="X1623" s="4" t="s">
        <v>44</v>
      </c>
      <c r="Y1623" s="7" t="s">
        <v>197</v>
      </c>
      <c r="Z1623" s="7"/>
      <c r="AA1623" s="4" t="s">
        <v>46</v>
      </c>
      <c r="AB1623" s="4" t="s">
        <v>47</v>
      </c>
      <c r="AC1623" s="4" t="s">
        <v>259</v>
      </c>
      <c r="AD1623" s="4" t="s">
        <v>260</v>
      </c>
      <c r="AE1623" s="4" t="s">
        <v>48</v>
      </c>
      <c r="AF1623" s="4" t="s">
        <v>41</v>
      </c>
      <c r="AG1623" s="4" t="s">
        <v>3433</v>
      </c>
    </row>
    <row r="1624" spans="1:33" ht="16.5" customHeight="1" x14ac:dyDescent="0.2">
      <c r="A1624" s="2" t="s">
        <v>31</v>
      </c>
      <c r="B1624" s="5" t="s">
        <v>54</v>
      </c>
      <c r="C1624" s="5"/>
      <c r="D1624" s="5"/>
      <c r="E1624" s="6" t="s">
        <v>33</v>
      </c>
      <c r="F1624" s="6"/>
      <c r="G1624" s="7" t="s">
        <v>3430</v>
      </c>
      <c r="H1624" s="7"/>
      <c r="I1624" s="7"/>
      <c r="J1624" s="3" t="s">
        <v>35</v>
      </c>
      <c r="K1624" s="4" t="s">
        <v>3438</v>
      </c>
      <c r="L1624" s="4" t="s">
        <v>37</v>
      </c>
      <c r="N1624" s="7" t="s">
        <v>3455</v>
      </c>
      <c r="O1624" s="7"/>
      <c r="P1624" s="7" t="s">
        <v>3456</v>
      </c>
      <c r="Q1624" s="7"/>
      <c r="R1624" s="7"/>
      <c r="S1624" s="3" t="s">
        <v>40</v>
      </c>
      <c r="T1624" s="7" t="s">
        <v>41</v>
      </c>
      <c r="U1624" s="7"/>
      <c r="V1624" s="4" t="s">
        <v>42</v>
      </c>
      <c r="W1624" s="4" t="s">
        <v>58</v>
      </c>
      <c r="X1624" s="4" t="s">
        <v>59</v>
      </c>
      <c r="Y1624" s="7" t="s">
        <v>78</v>
      </c>
      <c r="Z1624" s="7"/>
      <c r="AA1624" s="4" t="s">
        <v>46</v>
      </c>
      <c r="AB1624" s="4" t="s">
        <v>47</v>
      </c>
      <c r="AC1624" s="4" t="s">
        <v>79</v>
      </c>
      <c r="AD1624" s="4" t="s">
        <v>80</v>
      </c>
      <c r="AE1624" s="4" t="s">
        <v>48</v>
      </c>
      <c r="AF1624" s="4" t="s">
        <v>41</v>
      </c>
      <c r="AG1624" s="4" t="s">
        <v>3433</v>
      </c>
    </row>
    <row r="1625" spans="1:33" ht="0.75" customHeight="1" x14ac:dyDescent="0.2"/>
    <row r="1626" spans="1:33" ht="12" customHeight="1" x14ac:dyDescent="0.2"/>
    <row r="1627" spans="1:33" ht="16.5" customHeight="1" x14ac:dyDescent="0.2">
      <c r="A1627" s="2" t="s">
        <v>31</v>
      </c>
      <c r="B1627" s="5" t="s">
        <v>54</v>
      </c>
      <c r="C1627" s="5"/>
      <c r="D1627" s="5"/>
      <c r="E1627" s="6" t="s">
        <v>33</v>
      </c>
      <c r="F1627" s="6"/>
      <c r="G1627" s="7" t="s">
        <v>3430</v>
      </c>
      <c r="H1627" s="7"/>
      <c r="I1627" s="7"/>
      <c r="J1627" s="3" t="s">
        <v>35</v>
      </c>
      <c r="K1627" s="4" t="s">
        <v>3438</v>
      </c>
      <c r="L1627" s="4" t="s">
        <v>37</v>
      </c>
      <c r="N1627" s="7" t="s">
        <v>3455</v>
      </c>
      <c r="O1627" s="7"/>
      <c r="P1627" s="7" t="s">
        <v>3456</v>
      </c>
      <c r="Q1627" s="7"/>
      <c r="R1627" s="7"/>
      <c r="S1627" s="3" t="s">
        <v>40</v>
      </c>
      <c r="T1627" s="7" t="s">
        <v>41</v>
      </c>
      <c r="U1627" s="7"/>
      <c r="V1627" s="4" t="s">
        <v>51</v>
      </c>
      <c r="W1627" s="4" t="s">
        <v>58</v>
      </c>
      <c r="X1627" s="4" t="s">
        <v>128</v>
      </c>
      <c r="Y1627" s="7" t="s">
        <v>78</v>
      </c>
      <c r="Z1627" s="7"/>
      <c r="AA1627" s="4" t="s">
        <v>46</v>
      </c>
      <c r="AB1627" s="4" t="s">
        <v>47</v>
      </c>
      <c r="AC1627" s="4" t="s">
        <v>79</v>
      </c>
      <c r="AD1627" s="4" t="s">
        <v>80</v>
      </c>
      <c r="AE1627" s="4" t="s">
        <v>48</v>
      </c>
      <c r="AF1627" s="4" t="s">
        <v>41</v>
      </c>
      <c r="AG1627" s="4" t="s">
        <v>3433</v>
      </c>
    </row>
    <row r="1628" spans="1:33" ht="16.5" customHeight="1" x14ac:dyDescent="0.2">
      <c r="A1628" s="2" t="s">
        <v>31</v>
      </c>
      <c r="B1628" s="5" t="s">
        <v>54</v>
      </c>
      <c r="C1628" s="5"/>
      <c r="D1628" s="5"/>
      <c r="E1628" s="6" t="s">
        <v>33</v>
      </c>
      <c r="F1628" s="6"/>
      <c r="G1628" s="7" t="s">
        <v>3430</v>
      </c>
      <c r="H1628" s="7"/>
      <c r="I1628" s="7"/>
      <c r="J1628" s="3" t="s">
        <v>35</v>
      </c>
      <c r="K1628" s="4" t="s">
        <v>3286</v>
      </c>
      <c r="L1628" s="4" t="s">
        <v>37</v>
      </c>
      <c r="N1628" s="7" t="s">
        <v>3457</v>
      </c>
      <c r="O1628" s="7"/>
      <c r="P1628" s="7" t="s">
        <v>3458</v>
      </c>
      <c r="Q1628" s="7"/>
      <c r="R1628" s="7"/>
      <c r="S1628" s="3" t="s">
        <v>40</v>
      </c>
      <c r="T1628" s="7" t="s">
        <v>41</v>
      </c>
      <c r="U1628" s="7"/>
      <c r="V1628" s="4" t="s">
        <v>42</v>
      </c>
      <c r="W1628" s="4" t="s">
        <v>278</v>
      </c>
      <c r="X1628" s="4" t="s">
        <v>279</v>
      </c>
      <c r="Y1628" s="7" t="s">
        <v>60</v>
      </c>
      <c r="Z1628" s="7"/>
      <c r="AA1628" s="4" t="s">
        <v>46</v>
      </c>
      <c r="AB1628" s="4" t="s">
        <v>47</v>
      </c>
      <c r="AC1628" s="4" t="s">
        <v>79</v>
      </c>
      <c r="AD1628" s="4" t="s">
        <v>80</v>
      </c>
      <c r="AE1628" s="4" t="s">
        <v>48</v>
      </c>
      <c r="AF1628" s="4" t="s">
        <v>41</v>
      </c>
      <c r="AG1628" s="4" t="s">
        <v>3433</v>
      </c>
    </row>
    <row r="1629" spans="1:33" ht="16.5" customHeight="1" x14ac:dyDescent="0.2">
      <c r="A1629" s="2" t="s">
        <v>31</v>
      </c>
      <c r="B1629" s="5" t="s">
        <v>54</v>
      </c>
      <c r="C1629" s="5"/>
      <c r="D1629" s="5"/>
      <c r="E1629" s="6" t="s">
        <v>33</v>
      </c>
      <c r="F1629" s="6"/>
      <c r="G1629" s="7" t="s">
        <v>3430</v>
      </c>
      <c r="H1629" s="7"/>
      <c r="I1629" s="7"/>
      <c r="J1629" s="3" t="s">
        <v>35</v>
      </c>
      <c r="K1629" s="4" t="s">
        <v>3443</v>
      </c>
      <c r="L1629" s="4" t="s">
        <v>37</v>
      </c>
      <c r="N1629" s="7" t="s">
        <v>3459</v>
      </c>
      <c r="O1629" s="7"/>
      <c r="P1629" s="7" t="s">
        <v>3460</v>
      </c>
      <c r="Q1629" s="7"/>
      <c r="R1629" s="7"/>
      <c r="S1629" s="3" t="s">
        <v>40</v>
      </c>
      <c r="T1629" s="7" t="s">
        <v>41</v>
      </c>
      <c r="U1629" s="7"/>
      <c r="V1629" s="4" t="s">
        <v>42</v>
      </c>
      <c r="W1629" s="4" t="s">
        <v>43</v>
      </c>
      <c r="X1629" s="4" t="s">
        <v>44</v>
      </c>
      <c r="Y1629" s="7" t="s">
        <v>197</v>
      </c>
      <c r="Z1629" s="7"/>
      <c r="AA1629" s="4" t="s">
        <v>46</v>
      </c>
      <c r="AB1629" s="4" t="s">
        <v>47</v>
      </c>
      <c r="AC1629" s="4" t="s">
        <v>259</v>
      </c>
      <c r="AD1629" s="4" t="s">
        <v>260</v>
      </c>
      <c r="AE1629" s="4" t="s">
        <v>48</v>
      </c>
      <c r="AF1629" s="4" t="s">
        <v>41</v>
      </c>
      <c r="AG1629" s="4" t="s">
        <v>3433</v>
      </c>
    </row>
    <row r="1630" spans="1:33" ht="16.5" customHeight="1" x14ac:dyDescent="0.2">
      <c r="A1630" s="2" t="s">
        <v>31</v>
      </c>
      <c r="B1630" s="5" t="s">
        <v>54</v>
      </c>
      <c r="C1630" s="5"/>
      <c r="D1630" s="5"/>
      <c r="E1630" s="6" t="s">
        <v>33</v>
      </c>
      <c r="F1630" s="6"/>
      <c r="G1630" s="7" t="s">
        <v>3430</v>
      </c>
      <c r="H1630" s="7"/>
      <c r="I1630" s="7"/>
      <c r="J1630" s="3" t="s">
        <v>35</v>
      </c>
      <c r="K1630" s="4" t="s">
        <v>3443</v>
      </c>
      <c r="L1630" s="4" t="s">
        <v>37</v>
      </c>
      <c r="N1630" s="7" t="s">
        <v>3459</v>
      </c>
      <c r="O1630" s="7"/>
      <c r="P1630" s="7" t="s">
        <v>3460</v>
      </c>
      <c r="Q1630" s="7"/>
      <c r="R1630" s="7"/>
      <c r="S1630" s="3" t="s">
        <v>40</v>
      </c>
      <c r="T1630" s="7" t="s">
        <v>41</v>
      </c>
      <c r="U1630" s="7"/>
      <c r="V1630" s="4" t="s">
        <v>51</v>
      </c>
      <c r="W1630" s="4" t="s">
        <v>43</v>
      </c>
      <c r="X1630" s="4" t="s">
        <v>52</v>
      </c>
      <c r="Y1630" s="7" t="s">
        <v>197</v>
      </c>
      <c r="Z1630" s="7"/>
      <c r="AA1630" s="4" t="s">
        <v>46</v>
      </c>
      <c r="AB1630" s="4" t="s">
        <v>47</v>
      </c>
      <c r="AC1630" s="4" t="s">
        <v>259</v>
      </c>
      <c r="AD1630" s="4" t="s">
        <v>260</v>
      </c>
      <c r="AE1630" s="4" t="s">
        <v>48</v>
      </c>
      <c r="AF1630" s="4" t="s">
        <v>41</v>
      </c>
      <c r="AG1630" s="4" t="s">
        <v>3433</v>
      </c>
    </row>
    <row r="1631" spans="1:33" ht="16.5" customHeight="1" x14ac:dyDescent="0.2">
      <c r="A1631" s="2" t="s">
        <v>31</v>
      </c>
      <c r="B1631" s="5" t="s">
        <v>54</v>
      </c>
      <c r="C1631" s="5"/>
      <c r="D1631" s="5"/>
      <c r="E1631" s="6" t="s">
        <v>33</v>
      </c>
      <c r="F1631" s="6"/>
      <c r="G1631" s="7" t="s">
        <v>3430</v>
      </c>
      <c r="H1631" s="7"/>
      <c r="I1631" s="7"/>
      <c r="J1631" s="3" t="s">
        <v>35</v>
      </c>
      <c r="K1631" s="4" t="s">
        <v>55</v>
      </c>
      <c r="L1631" s="4" t="s">
        <v>37</v>
      </c>
      <c r="N1631" s="7" t="s">
        <v>3461</v>
      </c>
      <c r="O1631" s="7"/>
      <c r="P1631" s="7" t="s">
        <v>3462</v>
      </c>
      <c r="Q1631" s="7"/>
      <c r="R1631" s="7"/>
      <c r="S1631" s="3" t="s">
        <v>40</v>
      </c>
      <c r="T1631" s="7" t="s">
        <v>41</v>
      </c>
      <c r="U1631" s="7"/>
      <c r="V1631" s="4" t="s">
        <v>42</v>
      </c>
      <c r="W1631" s="4" t="s">
        <v>43</v>
      </c>
      <c r="X1631" s="4" t="s">
        <v>44</v>
      </c>
      <c r="Y1631" s="7" t="s">
        <v>60</v>
      </c>
      <c r="Z1631" s="7"/>
      <c r="AA1631" s="4" t="s">
        <v>46</v>
      </c>
      <c r="AB1631" s="4" t="s">
        <v>47</v>
      </c>
      <c r="AC1631" s="4" t="s">
        <v>79</v>
      </c>
      <c r="AD1631" s="4" t="s">
        <v>80</v>
      </c>
      <c r="AE1631" s="4" t="s">
        <v>48</v>
      </c>
      <c r="AF1631" s="4" t="s">
        <v>41</v>
      </c>
      <c r="AG1631" s="4" t="s">
        <v>3433</v>
      </c>
    </row>
    <row r="1632" spans="1:33" ht="16.5" customHeight="1" x14ac:dyDescent="0.2">
      <c r="A1632" s="2" t="s">
        <v>31</v>
      </c>
      <c r="B1632" s="5" t="s">
        <v>54</v>
      </c>
      <c r="C1632" s="5"/>
      <c r="D1632" s="5"/>
      <c r="E1632" s="6" t="s">
        <v>33</v>
      </c>
      <c r="F1632" s="6"/>
      <c r="G1632" s="7" t="s">
        <v>3430</v>
      </c>
      <c r="H1632" s="7"/>
      <c r="I1632" s="7"/>
      <c r="J1632" s="3" t="s">
        <v>35</v>
      </c>
      <c r="K1632" s="4" t="s">
        <v>3438</v>
      </c>
      <c r="L1632" s="4" t="s">
        <v>37</v>
      </c>
      <c r="N1632" s="7" t="s">
        <v>3463</v>
      </c>
      <c r="O1632" s="7"/>
      <c r="P1632" s="7" t="s">
        <v>3464</v>
      </c>
      <c r="Q1632" s="7"/>
      <c r="R1632" s="7"/>
      <c r="S1632" s="3" t="s">
        <v>40</v>
      </c>
      <c r="T1632" s="7" t="s">
        <v>41</v>
      </c>
      <c r="U1632" s="7"/>
      <c r="V1632" s="4" t="s">
        <v>42</v>
      </c>
      <c r="W1632" s="4" t="s">
        <v>43</v>
      </c>
      <c r="X1632" s="4" t="s">
        <v>44</v>
      </c>
      <c r="Y1632" s="7" t="s">
        <v>78</v>
      </c>
      <c r="Z1632" s="7"/>
      <c r="AA1632" s="4" t="s">
        <v>46</v>
      </c>
      <c r="AB1632" s="4" t="s">
        <v>47</v>
      </c>
      <c r="AC1632" s="4" t="s">
        <v>136</v>
      </c>
      <c r="AD1632" s="4" t="s">
        <v>137</v>
      </c>
      <c r="AE1632" s="4" t="s">
        <v>48</v>
      </c>
      <c r="AF1632" s="4" t="s">
        <v>41</v>
      </c>
      <c r="AG1632" s="4" t="s">
        <v>3433</v>
      </c>
    </row>
    <row r="1633" spans="1:33" ht="16.5" customHeight="1" x14ac:dyDescent="0.2">
      <c r="A1633" s="2" t="s">
        <v>31</v>
      </c>
      <c r="B1633" s="5" t="s">
        <v>54</v>
      </c>
      <c r="C1633" s="5"/>
      <c r="D1633" s="5"/>
      <c r="E1633" s="6" t="s">
        <v>33</v>
      </c>
      <c r="F1633" s="6"/>
      <c r="G1633" s="7" t="s">
        <v>3430</v>
      </c>
      <c r="H1633" s="7"/>
      <c r="I1633" s="7"/>
      <c r="J1633" s="3" t="s">
        <v>35</v>
      </c>
      <c r="K1633" s="4" t="s">
        <v>3465</v>
      </c>
      <c r="L1633" s="4" t="s">
        <v>37</v>
      </c>
      <c r="N1633" s="7" t="s">
        <v>3466</v>
      </c>
      <c r="O1633" s="7"/>
      <c r="P1633" s="7" t="s">
        <v>3467</v>
      </c>
      <c r="Q1633" s="7"/>
      <c r="R1633" s="7"/>
      <c r="S1633" s="3" t="s">
        <v>40</v>
      </c>
      <c r="T1633" s="7" t="s">
        <v>41</v>
      </c>
      <c r="U1633" s="7"/>
      <c r="V1633" s="4" t="s">
        <v>42</v>
      </c>
      <c r="W1633" s="4" t="s">
        <v>234</v>
      </c>
      <c r="X1633" s="4" t="s">
        <v>235</v>
      </c>
      <c r="Y1633" s="7" t="s">
        <v>78</v>
      </c>
      <c r="Z1633" s="7"/>
      <c r="AA1633" s="4" t="s">
        <v>46</v>
      </c>
      <c r="AB1633" s="4" t="s">
        <v>47</v>
      </c>
      <c r="AC1633" s="4" t="s">
        <v>136</v>
      </c>
      <c r="AD1633" s="4" t="s">
        <v>137</v>
      </c>
      <c r="AE1633" s="4" t="s">
        <v>48</v>
      </c>
      <c r="AF1633" s="4" t="s">
        <v>41</v>
      </c>
      <c r="AG1633" s="4" t="s">
        <v>3433</v>
      </c>
    </row>
    <row r="1634" spans="1:33" ht="16.5" customHeight="1" x14ac:dyDescent="0.2">
      <c r="A1634" s="2" t="s">
        <v>31</v>
      </c>
      <c r="B1634" s="5" t="s">
        <v>54</v>
      </c>
      <c r="C1634" s="5"/>
      <c r="D1634" s="5"/>
      <c r="E1634" s="6" t="s">
        <v>33</v>
      </c>
      <c r="F1634" s="6"/>
      <c r="G1634" s="7" t="s">
        <v>3468</v>
      </c>
      <c r="H1634" s="7"/>
      <c r="I1634" s="7"/>
      <c r="J1634" s="3" t="s">
        <v>35</v>
      </c>
      <c r="K1634" s="4" t="s">
        <v>192</v>
      </c>
      <c r="L1634" s="4" t="s">
        <v>37</v>
      </c>
      <c r="N1634" s="7" t="s">
        <v>3469</v>
      </c>
      <c r="O1634" s="7"/>
      <c r="P1634" s="7" t="s">
        <v>3470</v>
      </c>
      <c r="Q1634" s="7"/>
      <c r="R1634" s="7"/>
      <c r="S1634" s="3" t="s">
        <v>40</v>
      </c>
      <c r="T1634" s="7" t="s">
        <v>41</v>
      </c>
      <c r="U1634" s="7"/>
      <c r="V1634" s="4" t="s">
        <v>42</v>
      </c>
      <c r="W1634" s="4" t="s">
        <v>608</v>
      </c>
      <c r="X1634" s="4" t="s">
        <v>609</v>
      </c>
      <c r="Y1634" s="7" t="s">
        <v>197</v>
      </c>
      <c r="Z1634" s="7"/>
      <c r="AA1634" s="4" t="s">
        <v>46</v>
      </c>
      <c r="AB1634" s="4" t="s">
        <v>47</v>
      </c>
      <c r="AC1634" s="4" t="s">
        <v>259</v>
      </c>
      <c r="AD1634" s="4" t="s">
        <v>260</v>
      </c>
      <c r="AE1634" s="4" t="s">
        <v>48</v>
      </c>
      <c r="AF1634" s="4" t="s">
        <v>41</v>
      </c>
      <c r="AG1634" s="4" t="s">
        <v>3471</v>
      </c>
    </row>
    <row r="1635" spans="1:33" ht="16.5" customHeight="1" x14ac:dyDescent="0.2">
      <c r="A1635" s="2" t="s">
        <v>31</v>
      </c>
      <c r="B1635" s="5" t="s">
        <v>54</v>
      </c>
      <c r="C1635" s="5"/>
      <c r="D1635" s="5"/>
      <c r="E1635" s="6" t="s">
        <v>33</v>
      </c>
      <c r="F1635" s="6"/>
      <c r="G1635" s="7" t="s">
        <v>3468</v>
      </c>
      <c r="H1635" s="7"/>
      <c r="I1635" s="7"/>
      <c r="J1635" s="3" t="s">
        <v>35</v>
      </c>
      <c r="K1635" s="4" t="s">
        <v>192</v>
      </c>
      <c r="L1635" s="4" t="s">
        <v>93</v>
      </c>
      <c r="N1635" s="7" t="s">
        <v>3472</v>
      </c>
      <c r="O1635" s="7"/>
      <c r="P1635" s="7" t="s">
        <v>3473</v>
      </c>
      <c r="Q1635" s="7"/>
      <c r="R1635" s="7"/>
      <c r="S1635" s="3" t="s">
        <v>40</v>
      </c>
      <c r="T1635" s="7" t="s">
        <v>41</v>
      </c>
      <c r="U1635" s="7"/>
      <c r="V1635" s="4" t="s">
        <v>42</v>
      </c>
      <c r="W1635" s="4" t="s">
        <v>58</v>
      </c>
      <c r="X1635" s="4" t="s">
        <v>59</v>
      </c>
      <c r="Y1635" s="7" t="s">
        <v>197</v>
      </c>
      <c r="Z1635" s="7"/>
      <c r="AA1635" s="4" t="s">
        <v>46</v>
      </c>
      <c r="AB1635" s="4" t="s">
        <v>47</v>
      </c>
      <c r="AC1635" s="4" t="s">
        <v>136</v>
      </c>
      <c r="AD1635" s="4" t="s">
        <v>148</v>
      </c>
      <c r="AE1635" s="4" t="s">
        <v>48</v>
      </c>
      <c r="AF1635" s="4" t="s">
        <v>41</v>
      </c>
      <c r="AG1635" s="4" t="s">
        <v>3471</v>
      </c>
    </row>
    <row r="1636" spans="1:33" ht="16.5" customHeight="1" x14ac:dyDescent="0.2">
      <c r="A1636" s="2" t="s">
        <v>31</v>
      </c>
      <c r="B1636" s="5" t="s">
        <v>54</v>
      </c>
      <c r="C1636" s="5"/>
      <c r="D1636" s="5"/>
      <c r="E1636" s="6" t="s">
        <v>33</v>
      </c>
      <c r="F1636" s="6"/>
      <c r="G1636" s="7" t="s">
        <v>3468</v>
      </c>
      <c r="H1636" s="7"/>
      <c r="I1636" s="7"/>
      <c r="J1636" s="3" t="s">
        <v>35</v>
      </c>
      <c r="K1636" s="4" t="s">
        <v>192</v>
      </c>
      <c r="L1636" s="4" t="s">
        <v>37</v>
      </c>
      <c r="N1636" s="7" t="s">
        <v>3474</v>
      </c>
      <c r="O1636" s="7"/>
      <c r="P1636" s="7" t="s">
        <v>3475</v>
      </c>
      <c r="Q1636" s="7"/>
      <c r="R1636" s="7"/>
      <c r="S1636" s="3" t="s">
        <v>40</v>
      </c>
      <c r="T1636" s="7" t="s">
        <v>41</v>
      </c>
      <c r="U1636" s="7"/>
      <c r="V1636" s="4" t="s">
        <v>42</v>
      </c>
      <c r="W1636" s="4" t="s">
        <v>51</v>
      </c>
      <c r="X1636" s="4" t="s">
        <v>128</v>
      </c>
      <c r="Y1636" s="7" t="s">
        <v>197</v>
      </c>
      <c r="Z1636" s="7"/>
      <c r="AA1636" s="4" t="s">
        <v>46</v>
      </c>
      <c r="AB1636" s="4" t="s">
        <v>47</v>
      </c>
      <c r="AC1636" s="4" t="s">
        <v>136</v>
      </c>
      <c r="AD1636" s="4" t="s">
        <v>137</v>
      </c>
      <c r="AE1636" s="4" t="s">
        <v>48</v>
      </c>
      <c r="AF1636" s="4" t="s">
        <v>41</v>
      </c>
      <c r="AG1636" s="4" t="s">
        <v>3471</v>
      </c>
    </row>
    <row r="1637" spans="1:33" ht="16.5" customHeight="1" x14ac:dyDescent="0.2">
      <c r="A1637" s="2" t="s">
        <v>31</v>
      </c>
      <c r="B1637" s="5" t="s">
        <v>54</v>
      </c>
      <c r="C1637" s="5"/>
      <c r="D1637" s="5"/>
      <c r="E1637" s="6" t="s">
        <v>33</v>
      </c>
      <c r="F1637" s="6"/>
      <c r="G1637" s="7" t="s">
        <v>3468</v>
      </c>
      <c r="H1637" s="7"/>
      <c r="I1637" s="7"/>
      <c r="J1637" s="3" t="s">
        <v>35</v>
      </c>
      <c r="K1637" s="4" t="s">
        <v>192</v>
      </c>
      <c r="L1637" s="4" t="s">
        <v>37</v>
      </c>
      <c r="N1637" s="7" t="s">
        <v>3476</v>
      </c>
      <c r="O1637" s="7"/>
      <c r="P1637" s="7" t="s">
        <v>3477</v>
      </c>
      <c r="Q1637" s="7"/>
      <c r="R1637" s="7"/>
      <c r="S1637" s="3" t="s">
        <v>40</v>
      </c>
      <c r="T1637" s="7" t="s">
        <v>41</v>
      </c>
      <c r="U1637" s="7"/>
      <c r="V1637" s="4" t="s">
        <v>42</v>
      </c>
      <c r="W1637" s="4" t="s">
        <v>51</v>
      </c>
      <c r="X1637" s="4" t="s">
        <v>128</v>
      </c>
      <c r="Y1637" s="7" t="s">
        <v>197</v>
      </c>
      <c r="Z1637" s="7"/>
      <c r="AA1637" s="4" t="s">
        <v>46</v>
      </c>
      <c r="AB1637" s="4" t="s">
        <v>47</v>
      </c>
      <c r="AC1637" s="4" t="s">
        <v>136</v>
      </c>
      <c r="AD1637" s="4" t="s">
        <v>137</v>
      </c>
      <c r="AE1637" s="4" t="s">
        <v>48</v>
      </c>
      <c r="AF1637" s="4" t="s">
        <v>41</v>
      </c>
      <c r="AG1637" s="4" t="s">
        <v>3471</v>
      </c>
    </row>
    <row r="1638" spans="1:33" ht="16.5" customHeight="1" x14ac:dyDescent="0.2">
      <c r="A1638" s="2" t="s">
        <v>31</v>
      </c>
      <c r="B1638" s="5" t="s">
        <v>54</v>
      </c>
      <c r="C1638" s="5"/>
      <c r="D1638" s="5"/>
      <c r="E1638" s="6" t="s">
        <v>33</v>
      </c>
      <c r="F1638" s="6"/>
      <c r="G1638" s="7" t="s">
        <v>3478</v>
      </c>
      <c r="H1638" s="7"/>
      <c r="I1638" s="7"/>
      <c r="J1638" s="3" t="s">
        <v>35</v>
      </c>
      <c r="K1638" s="4" t="s">
        <v>414</v>
      </c>
      <c r="L1638" s="4" t="s">
        <v>37</v>
      </c>
      <c r="N1638" s="7" t="s">
        <v>3479</v>
      </c>
      <c r="O1638" s="7"/>
      <c r="P1638" s="7" t="s">
        <v>3480</v>
      </c>
      <c r="Q1638" s="7"/>
      <c r="R1638" s="7"/>
      <c r="S1638" s="3" t="s">
        <v>40</v>
      </c>
      <c r="T1638" s="7" t="s">
        <v>41</v>
      </c>
      <c r="U1638" s="7"/>
      <c r="V1638" s="4" t="s">
        <v>42</v>
      </c>
      <c r="W1638" s="4" t="s">
        <v>58</v>
      </c>
      <c r="X1638" s="4" t="s">
        <v>59</v>
      </c>
      <c r="Y1638" s="7" t="s">
        <v>197</v>
      </c>
      <c r="Z1638" s="7"/>
      <c r="AA1638" s="4" t="s">
        <v>46</v>
      </c>
      <c r="AB1638" s="4" t="s">
        <v>47</v>
      </c>
      <c r="AC1638" s="4" t="s">
        <v>72</v>
      </c>
      <c r="AD1638" s="4" t="s">
        <v>41</v>
      </c>
      <c r="AE1638" s="4" t="s">
        <v>48</v>
      </c>
      <c r="AF1638" s="4" t="s">
        <v>41</v>
      </c>
      <c r="AG1638" s="4" t="s">
        <v>3481</v>
      </c>
    </row>
    <row r="1639" spans="1:33" ht="16.5" customHeight="1" x14ac:dyDescent="0.2">
      <c r="A1639" s="2" t="s">
        <v>31</v>
      </c>
      <c r="B1639" s="5" t="s">
        <v>54</v>
      </c>
      <c r="C1639" s="5"/>
      <c r="D1639" s="5"/>
      <c r="E1639" s="6" t="s">
        <v>33</v>
      </c>
      <c r="F1639" s="6"/>
      <c r="G1639" s="7" t="s">
        <v>3478</v>
      </c>
      <c r="H1639" s="7"/>
      <c r="I1639" s="7"/>
      <c r="J1639" s="3" t="s">
        <v>35</v>
      </c>
      <c r="K1639" s="4" t="s">
        <v>245</v>
      </c>
      <c r="L1639" s="4" t="s">
        <v>37</v>
      </c>
      <c r="N1639" s="7" t="s">
        <v>3482</v>
      </c>
      <c r="O1639" s="7"/>
      <c r="P1639" s="7" t="s">
        <v>3483</v>
      </c>
      <c r="Q1639" s="7"/>
      <c r="R1639" s="7"/>
      <c r="S1639" s="3" t="s">
        <v>40</v>
      </c>
      <c r="T1639" s="7" t="s">
        <v>41</v>
      </c>
      <c r="U1639" s="7"/>
      <c r="V1639" s="4" t="s">
        <v>42</v>
      </c>
      <c r="W1639" s="4" t="s">
        <v>58</v>
      </c>
      <c r="X1639" s="4" t="s">
        <v>59</v>
      </c>
      <c r="Y1639" s="7" t="s">
        <v>78</v>
      </c>
      <c r="Z1639" s="7"/>
      <c r="AA1639" s="4" t="s">
        <v>46</v>
      </c>
      <c r="AB1639" s="4" t="s">
        <v>47</v>
      </c>
      <c r="AC1639" s="4" t="s">
        <v>79</v>
      </c>
      <c r="AD1639" s="4" t="s">
        <v>80</v>
      </c>
      <c r="AE1639" s="4" t="s">
        <v>48</v>
      </c>
      <c r="AF1639" s="4" t="s">
        <v>41</v>
      </c>
      <c r="AG1639" s="4" t="s">
        <v>3481</v>
      </c>
    </row>
    <row r="1640" spans="1:33" ht="16.5" customHeight="1" x14ac:dyDescent="0.2">
      <c r="A1640" s="2" t="s">
        <v>31</v>
      </c>
      <c r="B1640" s="5" t="s">
        <v>54</v>
      </c>
      <c r="C1640" s="5"/>
      <c r="D1640" s="5"/>
      <c r="E1640" s="6" t="s">
        <v>33</v>
      </c>
      <c r="F1640" s="6"/>
      <c r="G1640" s="7" t="s">
        <v>3478</v>
      </c>
      <c r="H1640" s="7"/>
      <c r="I1640" s="7"/>
      <c r="J1640" s="3" t="s">
        <v>35</v>
      </c>
      <c r="K1640" s="4" t="s">
        <v>202</v>
      </c>
      <c r="L1640" s="4" t="s">
        <v>37</v>
      </c>
      <c r="N1640" s="7" t="s">
        <v>3484</v>
      </c>
      <c r="O1640" s="7"/>
      <c r="P1640" s="7" t="s">
        <v>3485</v>
      </c>
      <c r="Q1640" s="7"/>
      <c r="R1640" s="7"/>
      <c r="S1640" s="3" t="s">
        <v>40</v>
      </c>
      <c r="T1640" s="7" t="s">
        <v>41</v>
      </c>
      <c r="U1640" s="7"/>
      <c r="V1640" s="4" t="s">
        <v>42</v>
      </c>
      <c r="W1640" s="4" t="s">
        <v>58</v>
      </c>
      <c r="X1640" s="4" t="s">
        <v>59</v>
      </c>
      <c r="Y1640" s="7" t="s">
        <v>197</v>
      </c>
      <c r="Z1640" s="7"/>
      <c r="AA1640" s="4" t="s">
        <v>46</v>
      </c>
      <c r="AB1640" s="4" t="s">
        <v>47</v>
      </c>
      <c r="AC1640" s="4" t="s">
        <v>136</v>
      </c>
      <c r="AD1640" s="4" t="s">
        <v>137</v>
      </c>
      <c r="AE1640" s="4" t="s">
        <v>48</v>
      </c>
      <c r="AF1640" s="4" t="s">
        <v>41</v>
      </c>
      <c r="AG1640" s="4" t="s">
        <v>3481</v>
      </c>
    </row>
    <row r="1641" spans="1:33" ht="16.5" customHeight="1" x14ac:dyDescent="0.2">
      <c r="A1641" s="2" t="s">
        <v>31</v>
      </c>
      <c r="B1641" s="5" t="s">
        <v>54</v>
      </c>
      <c r="C1641" s="5"/>
      <c r="D1641" s="5"/>
      <c r="E1641" s="6" t="s">
        <v>33</v>
      </c>
      <c r="F1641" s="6"/>
      <c r="G1641" s="7" t="s">
        <v>3478</v>
      </c>
      <c r="H1641" s="7"/>
      <c r="I1641" s="7"/>
      <c r="J1641" s="3" t="s">
        <v>35</v>
      </c>
      <c r="K1641" s="4" t="s">
        <v>414</v>
      </c>
      <c r="L1641" s="4" t="s">
        <v>37</v>
      </c>
      <c r="N1641" s="7" t="s">
        <v>3486</v>
      </c>
      <c r="O1641" s="7"/>
      <c r="P1641" s="7" t="s">
        <v>3487</v>
      </c>
      <c r="Q1641" s="7"/>
      <c r="R1641" s="7"/>
      <c r="S1641" s="3" t="s">
        <v>40</v>
      </c>
      <c r="T1641" s="7" t="s">
        <v>41</v>
      </c>
      <c r="U1641" s="7"/>
      <c r="V1641" s="4" t="s">
        <v>42</v>
      </c>
      <c r="W1641" s="4" t="s">
        <v>58</v>
      </c>
      <c r="X1641" s="4" t="s">
        <v>59</v>
      </c>
      <c r="Y1641" s="7" t="s">
        <v>197</v>
      </c>
      <c r="Z1641" s="7"/>
      <c r="AA1641" s="4" t="s">
        <v>46</v>
      </c>
      <c r="AB1641" s="4" t="s">
        <v>47</v>
      </c>
      <c r="AC1641" s="4" t="s">
        <v>136</v>
      </c>
      <c r="AD1641" s="4" t="s">
        <v>137</v>
      </c>
      <c r="AE1641" s="4" t="s">
        <v>48</v>
      </c>
      <c r="AF1641" s="4" t="s">
        <v>41</v>
      </c>
      <c r="AG1641" s="4" t="s">
        <v>3481</v>
      </c>
    </row>
    <row r="1642" spans="1:33" ht="16.5" customHeight="1" x14ac:dyDescent="0.2">
      <c r="A1642" s="2" t="s">
        <v>31</v>
      </c>
      <c r="B1642" s="5" t="s">
        <v>54</v>
      </c>
      <c r="C1642" s="5"/>
      <c r="D1642" s="5"/>
      <c r="E1642" s="6" t="s">
        <v>33</v>
      </c>
      <c r="F1642" s="6"/>
      <c r="G1642" s="7" t="s">
        <v>3478</v>
      </c>
      <c r="H1642" s="7"/>
      <c r="I1642" s="7"/>
      <c r="J1642" s="3" t="s">
        <v>35</v>
      </c>
      <c r="K1642" s="4" t="s">
        <v>414</v>
      </c>
      <c r="L1642" s="4" t="s">
        <v>37</v>
      </c>
      <c r="N1642" s="7" t="s">
        <v>3488</v>
      </c>
      <c r="O1642" s="7"/>
      <c r="P1642" s="7" t="s">
        <v>3489</v>
      </c>
      <c r="Q1642" s="7"/>
      <c r="R1642" s="7"/>
      <c r="S1642" s="3" t="s">
        <v>40</v>
      </c>
      <c r="T1642" s="7" t="s">
        <v>41</v>
      </c>
      <c r="U1642" s="7"/>
      <c r="V1642" s="4" t="s">
        <v>42</v>
      </c>
      <c r="W1642" s="4" t="s">
        <v>58</v>
      </c>
      <c r="X1642" s="4" t="s">
        <v>59</v>
      </c>
      <c r="Y1642" s="7" t="s">
        <v>197</v>
      </c>
      <c r="Z1642" s="7"/>
      <c r="AA1642" s="4" t="s">
        <v>46</v>
      </c>
      <c r="AB1642" s="4" t="s">
        <v>47</v>
      </c>
      <c r="AC1642" s="4" t="s">
        <v>136</v>
      </c>
      <c r="AD1642" s="4" t="s">
        <v>137</v>
      </c>
      <c r="AE1642" s="4" t="s">
        <v>48</v>
      </c>
      <c r="AF1642" s="4" t="s">
        <v>41</v>
      </c>
      <c r="AG1642" s="4" t="s">
        <v>3481</v>
      </c>
    </row>
    <row r="1643" spans="1:33" ht="16.5" customHeight="1" x14ac:dyDescent="0.2">
      <c r="A1643" s="2" t="s">
        <v>31</v>
      </c>
      <c r="B1643" s="5" t="s">
        <v>54</v>
      </c>
      <c r="C1643" s="5"/>
      <c r="D1643" s="5"/>
      <c r="E1643" s="6" t="s">
        <v>33</v>
      </c>
      <c r="F1643" s="6"/>
      <c r="G1643" s="7" t="s">
        <v>3490</v>
      </c>
      <c r="H1643" s="7"/>
      <c r="I1643" s="7"/>
      <c r="J1643" s="3" t="s">
        <v>35</v>
      </c>
      <c r="K1643" s="4" t="s">
        <v>192</v>
      </c>
      <c r="L1643" s="4" t="s">
        <v>37</v>
      </c>
      <c r="N1643" s="7" t="s">
        <v>3491</v>
      </c>
      <c r="O1643" s="7"/>
      <c r="P1643" s="7" t="s">
        <v>3492</v>
      </c>
      <c r="Q1643" s="7"/>
      <c r="R1643" s="7"/>
      <c r="S1643" s="3" t="s">
        <v>40</v>
      </c>
      <c r="T1643" s="7" t="s">
        <v>41</v>
      </c>
      <c r="U1643" s="7"/>
      <c r="V1643" s="4" t="s">
        <v>42</v>
      </c>
      <c r="W1643" s="4" t="s">
        <v>58</v>
      </c>
      <c r="X1643" s="4" t="s">
        <v>59</v>
      </c>
      <c r="Y1643" s="7" t="s">
        <v>197</v>
      </c>
      <c r="Z1643" s="7"/>
      <c r="AA1643" s="4" t="s">
        <v>46</v>
      </c>
      <c r="AB1643" s="4" t="s">
        <v>47</v>
      </c>
      <c r="AC1643" s="4" t="s">
        <v>136</v>
      </c>
      <c r="AD1643" s="4" t="s">
        <v>137</v>
      </c>
      <c r="AE1643" s="4" t="s">
        <v>48</v>
      </c>
      <c r="AF1643" s="4" t="s">
        <v>41</v>
      </c>
      <c r="AG1643" s="4" t="s">
        <v>3493</v>
      </c>
    </row>
    <row r="1644" spans="1:33" ht="16.5" customHeight="1" x14ac:dyDescent="0.2">
      <c r="A1644" s="2" t="s">
        <v>31</v>
      </c>
      <c r="B1644" s="5" t="s">
        <v>108</v>
      </c>
      <c r="C1644" s="5"/>
      <c r="D1644" s="5"/>
      <c r="E1644" s="6" t="s">
        <v>33</v>
      </c>
      <c r="F1644" s="6"/>
      <c r="G1644" s="7" t="s">
        <v>3490</v>
      </c>
      <c r="H1644" s="7"/>
      <c r="I1644" s="7"/>
      <c r="J1644" s="3" t="s">
        <v>109</v>
      </c>
      <c r="K1644" s="4" t="s">
        <v>110</v>
      </c>
      <c r="N1644" s="7" t="s">
        <v>3494</v>
      </c>
      <c r="O1644" s="7"/>
      <c r="P1644" s="7" t="s">
        <v>3495</v>
      </c>
      <c r="Q1644" s="7"/>
      <c r="R1644" s="7"/>
      <c r="S1644" s="3" t="s">
        <v>40</v>
      </c>
      <c r="T1644" s="7" t="s">
        <v>113</v>
      </c>
      <c r="U1644" s="7"/>
      <c r="V1644" s="4" t="s">
        <v>42</v>
      </c>
      <c r="W1644" s="4" t="s">
        <v>58</v>
      </c>
      <c r="X1644" s="4" t="s">
        <v>59</v>
      </c>
      <c r="Y1644" s="7" t="s">
        <v>114</v>
      </c>
      <c r="Z1644" s="7"/>
      <c r="AA1644" s="4" t="s">
        <v>46</v>
      </c>
      <c r="AB1644" s="4" t="s">
        <v>115</v>
      </c>
      <c r="AC1644" s="4" t="s">
        <v>116</v>
      </c>
      <c r="AD1644" s="4" t="s">
        <v>117</v>
      </c>
      <c r="AE1644" s="4" t="s">
        <v>48</v>
      </c>
      <c r="AF1644" s="4" t="s">
        <v>41</v>
      </c>
      <c r="AG1644" s="4" t="s">
        <v>3493</v>
      </c>
    </row>
    <row r="1645" spans="1:33" ht="16.5" customHeight="1" x14ac:dyDescent="0.2">
      <c r="A1645" s="2" t="s">
        <v>31</v>
      </c>
      <c r="B1645" s="5" t="s">
        <v>646</v>
      </c>
      <c r="C1645" s="5"/>
      <c r="D1645" s="5"/>
      <c r="E1645" s="6" t="s">
        <v>33</v>
      </c>
      <c r="F1645" s="6"/>
      <c r="G1645" s="7" t="s">
        <v>3496</v>
      </c>
      <c r="H1645" s="7"/>
      <c r="I1645" s="7"/>
      <c r="J1645" s="3" t="s">
        <v>35</v>
      </c>
      <c r="K1645" s="4" t="s">
        <v>661</v>
      </c>
      <c r="L1645" s="4" t="s">
        <v>37</v>
      </c>
      <c r="N1645" s="7" t="s">
        <v>3497</v>
      </c>
      <c r="O1645" s="7"/>
      <c r="P1645" s="7" t="s">
        <v>3498</v>
      </c>
      <c r="Q1645" s="7"/>
      <c r="R1645" s="7"/>
      <c r="S1645" s="3" t="s">
        <v>40</v>
      </c>
      <c r="T1645" s="7" t="s">
        <v>671</v>
      </c>
      <c r="U1645" s="7"/>
      <c r="V1645" s="4" t="s">
        <v>51</v>
      </c>
      <c r="W1645" s="4" t="s">
        <v>58</v>
      </c>
      <c r="X1645" s="4" t="s">
        <v>128</v>
      </c>
      <c r="Y1645" s="7" t="s">
        <v>672</v>
      </c>
      <c r="Z1645" s="7"/>
      <c r="AA1645" s="4" t="s">
        <v>46</v>
      </c>
      <c r="AB1645" s="4" t="s">
        <v>47</v>
      </c>
      <c r="AD1645" s="4" t="s">
        <v>673</v>
      </c>
      <c r="AE1645" s="4" t="s">
        <v>48</v>
      </c>
      <c r="AF1645" s="4" t="s">
        <v>41</v>
      </c>
      <c r="AG1645" s="4" t="s">
        <v>3499</v>
      </c>
    </row>
    <row r="1646" spans="1:33" ht="16.5" customHeight="1" x14ac:dyDescent="0.2">
      <c r="A1646" s="2" t="s">
        <v>31</v>
      </c>
      <c r="B1646" s="5" t="s">
        <v>108</v>
      </c>
      <c r="C1646" s="5"/>
      <c r="D1646" s="5"/>
      <c r="E1646" s="6" t="s">
        <v>33</v>
      </c>
      <c r="F1646" s="6"/>
      <c r="G1646" s="7" t="s">
        <v>3496</v>
      </c>
      <c r="H1646" s="7"/>
      <c r="I1646" s="7"/>
      <c r="J1646" s="3" t="s">
        <v>35</v>
      </c>
      <c r="K1646" s="4" t="s">
        <v>1285</v>
      </c>
      <c r="N1646" s="7" t="s">
        <v>3500</v>
      </c>
      <c r="O1646" s="7"/>
      <c r="P1646" s="7" t="s">
        <v>3498</v>
      </c>
      <c r="Q1646" s="7"/>
      <c r="R1646" s="7"/>
      <c r="S1646" s="3" t="s">
        <v>40</v>
      </c>
      <c r="T1646" s="7" t="s">
        <v>3501</v>
      </c>
      <c r="U1646" s="7"/>
      <c r="V1646" s="4" t="s">
        <v>51</v>
      </c>
      <c r="W1646" s="4" t="s">
        <v>58</v>
      </c>
      <c r="X1646" s="4" t="s">
        <v>128</v>
      </c>
      <c r="Y1646" s="7" t="s">
        <v>937</v>
      </c>
      <c r="Z1646" s="7"/>
      <c r="AA1646" s="4" t="s">
        <v>46</v>
      </c>
      <c r="AB1646" s="4" t="s">
        <v>115</v>
      </c>
      <c r="AC1646" s="4" t="s">
        <v>938</v>
      </c>
      <c r="AD1646" s="4" t="s">
        <v>3502</v>
      </c>
      <c r="AE1646" s="4" t="s">
        <v>48</v>
      </c>
      <c r="AF1646" s="4" t="s">
        <v>41</v>
      </c>
      <c r="AG1646" s="4" t="s">
        <v>3499</v>
      </c>
    </row>
    <row r="1647" spans="1:33" ht="16.5" customHeight="1" x14ac:dyDescent="0.2">
      <c r="A1647" s="2" t="s">
        <v>31</v>
      </c>
      <c r="B1647" s="5" t="s">
        <v>54</v>
      </c>
      <c r="C1647" s="5"/>
      <c r="D1647" s="5"/>
      <c r="E1647" s="6" t="s">
        <v>33</v>
      </c>
      <c r="F1647" s="6"/>
      <c r="G1647" s="7" t="s">
        <v>3503</v>
      </c>
      <c r="H1647" s="7"/>
      <c r="I1647" s="7"/>
      <c r="J1647" s="3" t="s">
        <v>35</v>
      </c>
      <c r="K1647" s="4" t="s">
        <v>97</v>
      </c>
      <c r="L1647" s="4" t="s">
        <v>443</v>
      </c>
      <c r="N1647" s="7" t="s">
        <v>3504</v>
      </c>
      <c r="O1647" s="7"/>
      <c r="P1647" s="7" t="s">
        <v>3505</v>
      </c>
      <c r="Q1647" s="7"/>
      <c r="R1647" s="7"/>
      <c r="S1647" s="3" t="s">
        <v>40</v>
      </c>
      <c r="T1647" s="7" t="s">
        <v>41</v>
      </c>
      <c r="U1647" s="7"/>
      <c r="V1647" s="4" t="s">
        <v>42</v>
      </c>
      <c r="W1647" s="4" t="s">
        <v>43</v>
      </c>
      <c r="X1647" s="4" t="s">
        <v>44</v>
      </c>
      <c r="Y1647" s="7" t="s">
        <v>78</v>
      </c>
      <c r="Z1647" s="7"/>
      <c r="AA1647" s="4" t="s">
        <v>46</v>
      </c>
      <c r="AB1647" s="4" t="s">
        <v>47</v>
      </c>
      <c r="AC1647" s="4" t="s">
        <v>136</v>
      </c>
      <c r="AD1647" s="4" t="s">
        <v>464</v>
      </c>
      <c r="AE1647" s="4" t="s">
        <v>48</v>
      </c>
      <c r="AF1647" s="4" t="s">
        <v>41</v>
      </c>
      <c r="AG1647" s="4" t="s">
        <v>3506</v>
      </c>
    </row>
    <row r="1648" spans="1:33" ht="16.5" customHeight="1" x14ac:dyDescent="0.2">
      <c r="A1648" s="2" t="s">
        <v>31</v>
      </c>
      <c r="B1648" s="5" t="s">
        <v>54</v>
      </c>
      <c r="C1648" s="5"/>
      <c r="D1648" s="5"/>
      <c r="E1648" s="6" t="s">
        <v>33</v>
      </c>
      <c r="F1648" s="6"/>
      <c r="G1648" s="7" t="s">
        <v>3503</v>
      </c>
      <c r="H1648" s="7"/>
      <c r="I1648" s="7"/>
      <c r="J1648" s="3" t="s">
        <v>35</v>
      </c>
      <c r="K1648" s="4" t="s">
        <v>73</v>
      </c>
      <c r="L1648" s="4" t="s">
        <v>93</v>
      </c>
      <c r="N1648" s="7" t="s">
        <v>3507</v>
      </c>
      <c r="O1648" s="7"/>
      <c r="P1648" s="7" t="s">
        <v>3508</v>
      </c>
      <c r="Q1648" s="7"/>
      <c r="R1648" s="7"/>
      <c r="S1648" s="3" t="s">
        <v>40</v>
      </c>
      <c r="T1648" s="7" t="s">
        <v>41</v>
      </c>
      <c r="U1648" s="7"/>
      <c r="V1648" s="4" t="s">
        <v>42</v>
      </c>
      <c r="W1648" s="4" t="s">
        <v>43</v>
      </c>
      <c r="X1648" s="4" t="s">
        <v>44</v>
      </c>
      <c r="Y1648" s="7" t="s">
        <v>78</v>
      </c>
      <c r="Z1648" s="7"/>
      <c r="AA1648" s="4" t="s">
        <v>46</v>
      </c>
      <c r="AB1648" s="4" t="s">
        <v>47</v>
      </c>
      <c r="AC1648" s="4" t="s">
        <v>136</v>
      </c>
      <c r="AD1648" s="4" t="s">
        <v>148</v>
      </c>
      <c r="AE1648" s="4" t="s">
        <v>48</v>
      </c>
      <c r="AF1648" s="4" t="s">
        <v>41</v>
      </c>
      <c r="AG1648" s="4" t="s">
        <v>3506</v>
      </c>
    </row>
    <row r="1649" spans="1:33" ht="16.5" customHeight="1" x14ac:dyDescent="0.2">
      <c r="A1649" s="2" t="s">
        <v>31</v>
      </c>
      <c r="B1649" s="5" t="s">
        <v>50</v>
      </c>
      <c r="C1649" s="5"/>
      <c r="D1649" s="5"/>
      <c r="E1649" s="6" t="s">
        <v>33</v>
      </c>
      <c r="F1649" s="6"/>
      <c r="G1649" s="7" t="s">
        <v>3509</v>
      </c>
      <c r="H1649" s="7"/>
      <c r="I1649" s="7"/>
      <c r="J1649" s="3" t="s">
        <v>35</v>
      </c>
      <c r="K1649" s="4" t="s">
        <v>1312</v>
      </c>
      <c r="N1649" s="7" t="s">
        <v>3510</v>
      </c>
      <c r="O1649" s="7"/>
      <c r="P1649" s="7" t="s">
        <v>3511</v>
      </c>
      <c r="Q1649" s="7"/>
      <c r="R1649" s="7"/>
      <c r="S1649" s="3" t="s">
        <v>40</v>
      </c>
      <c r="T1649" s="7" t="s">
        <v>41</v>
      </c>
      <c r="U1649" s="7"/>
      <c r="V1649" s="4" t="s">
        <v>51</v>
      </c>
      <c r="W1649" s="4" t="s">
        <v>3512</v>
      </c>
      <c r="X1649" s="4" t="s">
        <v>3513</v>
      </c>
      <c r="Y1649" s="7" t="s">
        <v>664</v>
      </c>
      <c r="Z1649" s="7"/>
      <c r="AA1649" s="4" t="s">
        <v>46</v>
      </c>
      <c r="AB1649" s="4" t="s">
        <v>47</v>
      </c>
      <c r="AD1649" s="4" t="s">
        <v>3514</v>
      </c>
      <c r="AE1649" s="4" t="s">
        <v>48</v>
      </c>
      <c r="AF1649" s="4" t="s">
        <v>41</v>
      </c>
      <c r="AG1649" s="4" t="s">
        <v>3515</v>
      </c>
    </row>
    <row r="1650" spans="1:33" ht="16.5" customHeight="1" x14ac:dyDescent="0.2">
      <c r="A1650" s="2" t="s">
        <v>31</v>
      </c>
      <c r="B1650" s="5" t="s">
        <v>50</v>
      </c>
      <c r="C1650" s="5"/>
      <c r="D1650" s="5"/>
      <c r="E1650" s="6" t="s">
        <v>33</v>
      </c>
      <c r="F1650" s="6"/>
      <c r="G1650" s="7" t="s">
        <v>3509</v>
      </c>
      <c r="H1650" s="7"/>
      <c r="I1650" s="7"/>
      <c r="J1650" s="3" t="s">
        <v>35</v>
      </c>
      <c r="K1650" s="4" t="s">
        <v>661</v>
      </c>
      <c r="N1650" s="7" t="s">
        <v>3516</v>
      </c>
      <c r="O1650" s="7"/>
      <c r="P1650" s="7" t="s">
        <v>3517</v>
      </c>
      <c r="Q1650" s="7"/>
      <c r="R1650" s="7"/>
      <c r="S1650" s="3" t="s">
        <v>40</v>
      </c>
      <c r="T1650" s="7" t="s">
        <v>41</v>
      </c>
      <c r="U1650" s="7"/>
      <c r="V1650" s="4" t="s">
        <v>51</v>
      </c>
      <c r="W1650" s="4" t="s">
        <v>3512</v>
      </c>
      <c r="X1650" s="4" t="s">
        <v>3513</v>
      </c>
      <c r="Y1650" s="7" t="s">
        <v>664</v>
      </c>
      <c r="Z1650" s="7"/>
      <c r="AA1650" s="4" t="s">
        <v>46</v>
      </c>
      <c r="AB1650" s="4" t="s">
        <v>47</v>
      </c>
      <c r="AD1650" s="4" t="s">
        <v>3514</v>
      </c>
      <c r="AE1650" s="4" t="s">
        <v>48</v>
      </c>
      <c r="AF1650" s="4" t="s">
        <v>41</v>
      </c>
      <c r="AG1650" s="4" t="s">
        <v>3515</v>
      </c>
    </row>
    <row r="1651" spans="1:33" ht="16.5" customHeight="1" x14ac:dyDescent="0.2">
      <c r="A1651" s="2" t="s">
        <v>31</v>
      </c>
      <c r="B1651" s="5" t="s">
        <v>32</v>
      </c>
      <c r="C1651" s="5"/>
      <c r="D1651" s="5"/>
      <c r="E1651" s="6" t="s">
        <v>33</v>
      </c>
      <c r="F1651" s="6"/>
      <c r="G1651" s="7" t="s">
        <v>3509</v>
      </c>
      <c r="H1651" s="7"/>
      <c r="I1651" s="7"/>
      <c r="J1651" s="3" t="s">
        <v>35</v>
      </c>
      <c r="K1651" s="4" t="s">
        <v>661</v>
      </c>
      <c r="L1651" s="4" t="s">
        <v>37</v>
      </c>
      <c r="N1651" s="7" t="s">
        <v>3518</v>
      </c>
      <c r="O1651" s="7"/>
      <c r="P1651" s="7" t="s">
        <v>3519</v>
      </c>
      <c r="Q1651" s="7"/>
      <c r="R1651" s="7"/>
      <c r="S1651" s="3" t="s">
        <v>40</v>
      </c>
      <c r="T1651" s="7" t="s">
        <v>671</v>
      </c>
      <c r="U1651" s="7"/>
      <c r="V1651" s="4" t="s">
        <v>42</v>
      </c>
      <c r="W1651" s="4" t="s">
        <v>58</v>
      </c>
      <c r="X1651" s="4" t="s">
        <v>59</v>
      </c>
      <c r="Y1651" s="7" t="s">
        <v>672</v>
      </c>
      <c r="Z1651" s="7"/>
      <c r="AA1651" s="4" t="s">
        <v>46</v>
      </c>
      <c r="AB1651" s="4" t="s">
        <v>47</v>
      </c>
      <c r="AD1651" s="4" t="s">
        <v>41</v>
      </c>
      <c r="AE1651" s="4" t="s">
        <v>48</v>
      </c>
      <c r="AF1651" s="4" t="s">
        <v>41</v>
      </c>
      <c r="AG1651" s="4" t="s">
        <v>3515</v>
      </c>
    </row>
    <row r="1652" spans="1:33" ht="16.5" customHeight="1" x14ac:dyDescent="0.2">
      <c r="A1652" s="2" t="s">
        <v>31</v>
      </c>
      <c r="B1652" s="5" t="s">
        <v>646</v>
      </c>
      <c r="C1652" s="5"/>
      <c r="D1652" s="5"/>
      <c r="E1652" s="6" t="s">
        <v>33</v>
      </c>
      <c r="F1652" s="6"/>
      <c r="G1652" s="7" t="s">
        <v>3509</v>
      </c>
      <c r="H1652" s="7"/>
      <c r="I1652" s="7"/>
      <c r="J1652" s="3" t="s">
        <v>35</v>
      </c>
      <c r="K1652" s="4" t="s">
        <v>661</v>
      </c>
      <c r="L1652" s="4" t="s">
        <v>37</v>
      </c>
      <c r="N1652" s="7" t="s">
        <v>3518</v>
      </c>
      <c r="O1652" s="7"/>
      <c r="P1652" s="7" t="s">
        <v>3519</v>
      </c>
      <c r="Q1652" s="7"/>
      <c r="R1652" s="7"/>
      <c r="S1652" s="3" t="s">
        <v>40</v>
      </c>
      <c r="T1652" s="7" t="s">
        <v>671</v>
      </c>
      <c r="U1652" s="7"/>
      <c r="V1652" s="4" t="s">
        <v>51</v>
      </c>
      <c r="W1652" s="4" t="s">
        <v>58</v>
      </c>
      <c r="X1652" s="4" t="s">
        <v>128</v>
      </c>
      <c r="Y1652" s="7" t="s">
        <v>672</v>
      </c>
      <c r="Z1652" s="7"/>
      <c r="AA1652" s="4" t="s">
        <v>46</v>
      </c>
      <c r="AB1652" s="4" t="s">
        <v>47</v>
      </c>
      <c r="AD1652" s="4" t="s">
        <v>673</v>
      </c>
      <c r="AE1652" s="4" t="s">
        <v>48</v>
      </c>
      <c r="AF1652" s="4" t="s">
        <v>41</v>
      </c>
      <c r="AG1652" s="4" t="s">
        <v>3515</v>
      </c>
    </row>
    <row r="1653" spans="1:33" ht="16.5" customHeight="1" x14ac:dyDescent="0.2">
      <c r="A1653" s="2" t="s">
        <v>31</v>
      </c>
      <c r="B1653" s="5" t="s">
        <v>646</v>
      </c>
      <c r="C1653" s="5"/>
      <c r="D1653" s="5"/>
      <c r="E1653" s="6" t="s">
        <v>33</v>
      </c>
      <c r="F1653" s="6"/>
      <c r="G1653" s="7" t="s">
        <v>3509</v>
      </c>
      <c r="H1653" s="7"/>
      <c r="I1653" s="7"/>
      <c r="J1653" s="3" t="s">
        <v>35</v>
      </c>
      <c r="K1653" s="4" t="s">
        <v>661</v>
      </c>
      <c r="L1653" s="4" t="s">
        <v>37</v>
      </c>
      <c r="N1653" s="7" t="s">
        <v>3520</v>
      </c>
      <c r="O1653" s="7"/>
      <c r="P1653" s="7" t="s">
        <v>3521</v>
      </c>
      <c r="Q1653" s="7"/>
      <c r="R1653" s="7"/>
      <c r="S1653" s="3" t="s">
        <v>40</v>
      </c>
      <c r="T1653" s="7" t="s">
        <v>671</v>
      </c>
      <c r="U1653" s="7"/>
      <c r="V1653" s="4" t="s">
        <v>51</v>
      </c>
      <c r="W1653" s="4" t="s">
        <v>58</v>
      </c>
      <c r="X1653" s="4" t="s">
        <v>128</v>
      </c>
      <c r="Y1653" s="7" t="s">
        <v>664</v>
      </c>
      <c r="Z1653" s="7"/>
      <c r="AA1653" s="4" t="s">
        <v>46</v>
      </c>
      <c r="AB1653" s="4" t="s">
        <v>47</v>
      </c>
      <c r="AD1653" s="4" t="s">
        <v>41</v>
      </c>
      <c r="AE1653" s="4" t="s">
        <v>48</v>
      </c>
      <c r="AF1653" s="4" t="s">
        <v>41</v>
      </c>
      <c r="AG1653" s="4" t="s">
        <v>3515</v>
      </c>
    </row>
    <row r="1654" spans="1:33" ht="16.5" customHeight="1" x14ac:dyDescent="0.2">
      <c r="A1654" s="2" t="s">
        <v>31</v>
      </c>
      <c r="B1654" s="5" t="s">
        <v>646</v>
      </c>
      <c r="C1654" s="5"/>
      <c r="D1654" s="5"/>
      <c r="E1654" s="6" t="s">
        <v>33</v>
      </c>
      <c r="F1654" s="6"/>
      <c r="G1654" s="7" t="s">
        <v>3509</v>
      </c>
      <c r="H1654" s="7"/>
      <c r="I1654" s="7"/>
      <c r="J1654" s="3" t="s">
        <v>35</v>
      </c>
      <c r="K1654" s="4" t="s">
        <v>1312</v>
      </c>
      <c r="L1654" s="4" t="s">
        <v>37</v>
      </c>
      <c r="N1654" s="7" t="s">
        <v>3522</v>
      </c>
      <c r="O1654" s="7"/>
      <c r="P1654" s="7" t="s">
        <v>3523</v>
      </c>
      <c r="Q1654" s="7"/>
      <c r="R1654" s="7"/>
      <c r="S1654" s="3" t="s">
        <v>40</v>
      </c>
      <c r="T1654" s="7" t="s">
        <v>1315</v>
      </c>
      <c r="U1654" s="7"/>
      <c r="V1654" s="4" t="s">
        <v>51</v>
      </c>
      <c r="W1654" s="4" t="s">
        <v>58</v>
      </c>
      <c r="X1654" s="4" t="s">
        <v>128</v>
      </c>
      <c r="Y1654" s="7" t="s">
        <v>672</v>
      </c>
      <c r="Z1654" s="7"/>
      <c r="AA1654" s="4" t="s">
        <v>46</v>
      </c>
      <c r="AB1654" s="4" t="s">
        <v>47</v>
      </c>
      <c r="AD1654" s="4" t="s">
        <v>3524</v>
      </c>
      <c r="AE1654" s="4" t="s">
        <v>48</v>
      </c>
      <c r="AF1654" s="4" t="s">
        <v>41</v>
      </c>
      <c r="AG1654" s="4" t="s">
        <v>3515</v>
      </c>
    </row>
    <row r="1655" spans="1:33" ht="16.5" customHeight="1" x14ac:dyDescent="0.2">
      <c r="A1655" s="2" t="s">
        <v>31</v>
      </c>
      <c r="B1655" s="5" t="s">
        <v>646</v>
      </c>
      <c r="C1655" s="5"/>
      <c r="D1655" s="5"/>
      <c r="E1655" s="6" t="s">
        <v>33</v>
      </c>
      <c r="F1655" s="6"/>
      <c r="G1655" s="7" t="s">
        <v>3509</v>
      </c>
      <c r="H1655" s="7"/>
      <c r="I1655" s="7"/>
      <c r="J1655" s="3" t="s">
        <v>35</v>
      </c>
      <c r="K1655" s="4" t="s">
        <v>1312</v>
      </c>
      <c r="L1655" s="4" t="s">
        <v>37</v>
      </c>
      <c r="N1655" s="7" t="s">
        <v>3525</v>
      </c>
      <c r="O1655" s="7"/>
      <c r="P1655" s="7" t="s">
        <v>3526</v>
      </c>
      <c r="Q1655" s="7"/>
      <c r="R1655" s="7"/>
      <c r="S1655" s="3" t="s">
        <v>40</v>
      </c>
      <c r="T1655" s="7" t="s">
        <v>1315</v>
      </c>
      <c r="U1655" s="7"/>
      <c r="V1655" s="4" t="s">
        <v>51</v>
      </c>
      <c r="W1655" s="4" t="s">
        <v>58</v>
      </c>
      <c r="X1655" s="4" t="s">
        <v>128</v>
      </c>
      <c r="Y1655" s="7" t="s">
        <v>672</v>
      </c>
      <c r="Z1655" s="7"/>
      <c r="AA1655" s="4" t="s">
        <v>46</v>
      </c>
      <c r="AB1655" s="4" t="s">
        <v>47</v>
      </c>
      <c r="AD1655" s="4" t="s">
        <v>3524</v>
      </c>
      <c r="AE1655" s="4" t="s">
        <v>48</v>
      </c>
      <c r="AF1655" s="4" t="s">
        <v>41</v>
      </c>
      <c r="AG1655" s="4" t="s">
        <v>3515</v>
      </c>
    </row>
    <row r="1656" spans="1:33" ht="16.5" customHeight="1" x14ac:dyDescent="0.2">
      <c r="A1656" s="2" t="s">
        <v>31</v>
      </c>
      <c r="B1656" s="5" t="s">
        <v>54</v>
      </c>
      <c r="C1656" s="5"/>
      <c r="D1656" s="5"/>
      <c r="E1656" s="6" t="s">
        <v>33</v>
      </c>
      <c r="F1656" s="6"/>
      <c r="G1656" s="7" t="s">
        <v>3509</v>
      </c>
      <c r="H1656" s="7"/>
      <c r="I1656" s="7"/>
      <c r="J1656" s="3" t="s">
        <v>35</v>
      </c>
      <c r="K1656" s="4" t="s">
        <v>245</v>
      </c>
      <c r="L1656" s="4" t="s">
        <v>37</v>
      </c>
      <c r="N1656" s="7" t="s">
        <v>3527</v>
      </c>
      <c r="O1656" s="7"/>
      <c r="P1656" s="7" t="s">
        <v>3528</v>
      </c>
      <c r="Q1656" s="7"/>
      <c r="R1656" s="7"/>
      <c r="S1656" s="3" t="s">
        <v>40</v>
      </c>
      <c r="T1656" s="7" t="s">
        <v>41</v>
      </c>
      <c r="U1656" s="7"/>
      <c r="V1656" s="4" t="s">
        <v>42</v>
      </c>
      <c r="W1656" s="4" t="s">
        <v>229</v>
      </c>
      <c r="X1656" s="4" t="s">
        <v>446</v>
      </c>
      <c r="Y1656" s="7" t="s">
        <v>78</v>
      </c>
      <c r="Z1656" s="7"/>
      <c r="AA1656" s="4" t="s">
        <v>46</v>
      </c>
      <c r="AB1656" s="4" t="s">
        <v>47</v>
      </c>
      <c r="AC1656" s="4" t="s">
        <v>136</v>
      </c>
      <c r="AD1656" s="4" t="s">
        <v>137</v>
      </c>
      <c r="AE1656" s="4" t="s">
        <v>48</v>
      </c>
      <c r="AF1656" s="4" t="s">
        <v>41</v>
      </c>
      <c r="AG1656" s="4" t="s">
        <v>3515</v>
      </c>
    </row>
    <row r="1657" spans="1:33" ht="16.5" customHeight="1" x14ac:dyDescent="0.2">
      <c r="A1657" s="2" t="s">
        <v>31</v>
      </c>
      <c r="B1657" s="5" t="s">
        <v>54</v>
      </c>
      <c r="C1657" s="5"/>
      <c r="D1657" s="5"/>
      <c r="E1657" s="6" t="s">
        <v>33</v>
      </c>
      <c r="F1657" s="6"/>
      <c r="G1657" s="7" t="s">
        <v>3509</v>
      </c>
      <c r="H1657" s="7"/>
      <c r="I1657" s="7"/>
      <c r="J1657" s="3" t="s">
        <v>35</v>
      </c>
      <c r="K1657" s="4" t="s">
        <v>409</v>
      </c>
      <c r="L1657" s="4" t="s">
        <v>93</v>
      </c>
      <c r="N1657" s="7" t="s">
        <v>3529</v>
      </c>
      <c r="O1657" s="7"/>
      <c r="P1657" s="7" t="s">
        <v>3530</v>
      </c>
      <c r="Q1657" s="7"/>
      <c r="R1657" s="7"/>
      <c r="S1657" s="3" t="s">
        <v>40</v>
      </c>
      <c r="T1657" s="7" t="s">
        <v>41</v>
      </c>
      <c r="U1657" s="7"/>
      <c r="V1657" s="4" t="s">
        <v>42</v>
      </c>
      <c r="W1657" s="4" t="s">
        <v>51</v>
      </c>
      <c r="X1657" s="4" t="s">
        <v>128</v>
      </c>
      <c r="Y1657" s="7" t="s">
        <v>60</v>
      </c>
      <c r="Z1657" s="7"/>
      <c r="AA1657" s="4" t="s">
        <v>46</v>
      </c>
      <c r="AB1657" s="4" t="s">
        <v>47</v>
      </c>
      <c r="AC1657" s="4" t="s">
        <v>61</v>
      </c>
      <c r="AD1657" s="4" t="s">
        <v>324</v>
      </c>
      <c r="AE1657" s="4" t="s">
        <v>48</v>
      </c>
      <c r="AF1657" s="4" t="s">
        <v>41</v>
      </c>
      <c r="AG1657" s="4" t="s">
        <v>3515</v>
      </c>
    </row>
    <row r="1658" spans="1:33" ht="16.5" customHeight="1" x14ac:dyDescent="0.2">
      <c r="A1658" s="2" t="s">
        <v>31</v>
      </c>
      <c r="B1658" s="5" t="s">
        <v>54</v>
      </c>
      <c r="C1658" s="5"/>
      <c r="D1658" s="5"/>
      <c r="E1658" s="6" t="s">
        <v>33</v>
      </c>
      <c r="F1658" s="6"/>
      <c r="G1658" s="7" t="s">
        <v>3509</v>
      </c>
      <c r="H1658" s="7"/>
      <c r="I1658" s="7"/>
      <c r="J1658" s="3" t="s">
        <v>35</v>
      </c>
      <c r="K1658" s="4" t="s">
        <v>409</v>
      </c>
      <c r="L1658" s="4" t="s">
        <v>443</v>
      </c>
      <c r="N1658" s="7" t="s">
        <v>3531</v>
      </c>
      <c r="O1658" s="7"/>
      <c r="P1658" s="7" t="s">
        <v>3532</v>
      </c>
      <c r="Q1658" s="7"/>
      <c r="R1658" s="7"/>
      <c r="S1658" s="3" t="s">
        <v>40</v>
      </c>
      <c r="T1658" s="7" t="s">
        <v>41</v>
      </c>
      <c r="U1658" s="7"/>
      <c r="V1658" s="4" t="s">
        <v>42</v>
      </c>
      <c r="W1658" s="4" t="s">
        <v>518</v>
      </c>
      <c r="X1658" s="4" t="s">
        <v>519</v>
      </c>
      <c r="Y1658" s="7" t="s">
        <v>60</v>
      </c>
      <c r="Z1658" s="7"/>
      <c r="AA1658" s="4" t="s">
        <v>46</v>
      </c>
      <c r="AB1658" s="4" t="s">
        <v>47</v>
      </c>
      <c r="AC1658" s="4" t="s">
        <v>79</v>
      </c>
      <c r="AD1658" s="4" t="s">
        <v>447</v>
      </c>
      <c r="AE1658" s="4" t="s">
        <v>48</v>
      </c>
      <c r="AF1658" s="4" t="s">
        <v>41</v>
      </c>
      <c r="AG1658" s="4" t="s">
        <v>3515</v>
      </c>
    </row>
    <row r="1659" spans="1:33" ht="16.5" customHeight="1" x14ac:dyDescent="0.2">
      <c r="A1659" s="2" t="s">
        <v>31</v>
      </c>
      <c r="B1659" s="5" t="s">
        <v>54</v>
      </c>
      <c r="C1659" s="5"/>
      <c r="D1659" s="5"/>
      <c r="E1659" s="6" t="s">
        <v>33</v>
      </c>
      <c r="F1659" s="6"/>
      <c r="G1659" s="7" t="s">
        <v>3509</v>
      </c>
      <c r="H1659" s="7"/>
      <c r="I1659" s="7"/>
      <c r="J1659" s="3" t="s">
        <v>35</v>
      </c>
      <c r="K1659" s="4" t="s">
        <v>409</v>
      </c>
      <c r="L1659" s="4" t="s">
        <v>209</v>
      </c>
      <c r="N1659" s="7" t="s">
        <v>3531</v>
      </c>
      <c r="O1659" s="7"/>
      <c r="P1659" s="7" t="s">
        <v>3532</v>
      </c>
      <c r="Q1659" s="7"/>
      <c r="R1659" s="7"/>
      <c r="S1659" s="3" t="s">
        <v>40</v>
      </c>
      <c r="T1659" s="7" t="s">
        <v>41</v>
      </c>
      <c r="U1659" s="7"/>
      <c r="V1659" s="4" t="s">
        <v>51</v>
      </c>
      <c r="W1659" s="4" t="s">
        <v>518</v>
      </c>
      <c r="X1659" s="4" t="s">
        <v>520</v>
      </c>
      <c r="Y1659" s="7" t="s">
        <v>60</v>
      </c>
      <c r="Z1659" s="7"/>
      <c r="AA1659" s="4" t="s">
        <v>46</v>
      </c>
      <c r="AB1659" s="4" t="s">
        <v>47</v>
      </c>
      <c r="AC1659" s="4" t="s">
        <v>79</v>
      </c>
      <c r="AD1659" s="4" t="s">
        <v>3533</v>
      </c>
      <c r="AE1659" s="4" t="s">
        <v>48</v>
      </c>
      <c r="AF1659" s="4" t="s">
        <v>41</v>
      </c>
      <c r="AG1659" s="4" t="s">
        <v>3515</v>
      </c>
    </row>
    <row r="1660" spans="1:33" ht="16.5" customHeight="1" x14ac:dyDescent="0.2">
      <c r="A1660" s="2" t="s">
        <v>31</v>
      </c>
      <c r="B1660" s="5" t="s">
        <v>54</v>
      </c>
      <c r="C1660" s="5"/>
      <c r="D1660" s="5"/>
      <c r="E1660" s="6" t="s">
        <v>33</v>
      </c>
      <c r="F1660" s="6"/>
      <c r="G1660" s="7" t="s">
        <v>3509</v>
      </c>
      <c r="H1660" s="7"/>
      <c r="I1660" s="7"/>
      <c r="J1660" s="3" t="s">
        <v>35</v>
      </c>
      <c r="K1660" s="4" t="s">
        <v>409</v>
      </c>
      <c r="L1660" s="4" t="s">
        <v>443</v>
      </c>
      <c r="N1660" s="7" t="s">
        <v>3531</v>
      </c>
      <c r="O1660" s="7"/>
      <c r="P1660" s="7" t="s">
        <v>3532</v>
      </c>
      <c r="Q1660" s="7"/>
      <c r="R1660" s="7"/>
      <c r="S1660" s="3" t="s">
        <v>40</v>
      </c>
      <c r="T1660" s="7" t="s">
        <v>41</v>
      </c>
      <c r="U1660" s="7"/>
      <c r="V1660" s="4" t="s">
        <v>51</v>
      </c>
      <c r="W1660" s="4" t="s">
        <v>518</v>
      </c>
      <c r="X1660" s="4" t="s">
        <v>520</v>
      </c>
      <c r="Y1660" s="7" t="s">
        <v>60</v>
      </c>
      <c r="Z1660" s="7"/>
      <c r="AA1660" s="4" t="s">
        <v>46</v>
      </c>
      <c r="AB1660" s="4" t="s">
        <v>47</v>
      </c>
      <c r="AC1660" s="4" t="s">
        <v>79</v>
      </c>
      <c r="AD1660" s="4" t="s">
        <v>447</v>
      </c>
      <c r="AE1660" s="4" t="s">
        <v>48</v>
      </c>
      <c r="AF1660" s="4" t="s">
        <v>41</v>
      </c>
      <c r="AG1660" s="4" t="s">
        <v>3515</v>
      </c>
    </row>
    <row r="1661" spans="1:33" ht="16.5" customHeight="1" x14ac:dyDescent="0.2">
      <c r="A1661" s="2" t="s">
        <v>31</v>
      </c>
      <c r="B1661" s="5" t="s">
        <v>54</v>
      </c>
      <c r="C1661" s="5"/>
      <c r="D1661" s="5"/>
      <c r="E1661" s="6" t="s">
        <v>33</v>
      </c>
      <c r="F1661" s="6"/>
      <c r="G1661" s="7" t="s">
        <v>3509</v>
      </c>
      <c r="H1661" s="7"/>
      <c r="I1661" s="7"/>
      <c r="J1661" s="3" t="s">
        <v>35</v>
      </c>
      <c r="K1661" s="4" t="s">
        <v>143</v>
      </c>
      <c r="L1661" s="4" t="s">
        <v>93</v>
      </c>
      <c r="N1661" s="7" t="s">
        <v>3534</v>
      </c>
      <c r="O1661" s="7"/>
      <c r="P1661" s="7" t="s">
        <v>3535</v>
      </c>
      <c r="Q1661" s="7"/>
      <c r="R1661" s="7"/>
      <c r="S1661" s="3" t="s">
        <v>40</v>
      </c>
      <c r="T1661" s="7" t="s">
        <v>41</v>
      </c>
      <c r="U1661" s="7"/>
      <c r="V1661" s="4" t="s">
        <v>42</v>
      </c>
      <c r="W1661" s="4" t="s">
        <v>158</v>
      </c>
      <c r="X1661" s="4" t="s">
        <v>159</v>
      </c>
      <c r="Y1661" s="7" t="s">
        <v>135</v>
      </c>
      <c r="Z1661" s="7"/>
      <c r="AA1661" s="4" t="s">
        <v>46</v>
      </c>
      <c r="AB1661" s="4" t="s">
        <v>47</v>
      </c>
      <c r="AC1661" s="4" t="s">
        <v>136</v>
      </c>
      <c r="AD1661" s="4" t="s">
        <v>148</v>
      </c>
      <c r="AE1661" s="4" t="s">
        <v>48</v>
      </c>
      <c r="AF1661" s="4" t="s">
        <v>41</v>
      </c>
      <c r="AG1661" s="4" t="s">
        <v>3515</v>
      </c>
    </row>
    <row r="1662" spans="1:33" ht="16.5" customHeight="1" x14ac:dyDescent="0.2">
      <c r="A1662" s="2" t="s">
        <v>31</v>
      </c>
      <c r="B1662" s="5" t="s">
        <v>54</v>
      </c>
      <c r="C1662" s="5"/>
      <c r="D1662" s="5"/>
      <c r="E1662" s="6" t="s">
        <v>33</v>
      </c>
      <c r="F1662" s="6"/>
      <c r="G1662" s="7" t="s">
        <v>3509</v>
      </c>
      <c r="H1662" s="7"/>
      <c r="I1662" s="7"/>
      <c r="J1662" s="3" t="s">
        <v>35</v>
      </c>
      <c r="K1662" s="4" t="s">
        <v>149</v>
      </c>
      <c r="L1662" s="4" t="s">
        <v>37</v>
      </c>
      <c r="N1662" s="7" t="s">
        <v>3536</v>
      </c>
      <c r="O1662" s="7"/>
      <c r="P1662" s="7" t="s">
        <v>3537</v>
      </c>
      <c r="Q1662" s="7"/>
      <c r="R1662" s="7"/>
      <c r="S1662" s="3" t="s">
        <v>40</v>
      </c>
      <c r="T1662" s="7" t="s">
        <v>41</v>
      </c>
      <c r="U1662" s="7"/>
      <c r="V1662" s="4" t="s">
        <v>42</v>
      </c>
      <c r="W1662" s="4" t="s">
        <v>58</v>
      </c>
      <c r="X1662" s="4" t="s">
        <v>59</v>
      </c>
      <c r="Y1662" s="7" t="s">
        <v>78</v>
      </c>
      <c r="Z1662" s="7"/>
      <c r="AA1662" s="4" t="s">
        <v>46</v>
      </c>
      <c r="AB1662" s="4" t="s">
        <v>47</v>
      </c>
      <c r="AC1662" s="4" t="s">
        <v>79</v>
      </c>
      <c r="AD1662" s="4" t="s">
        <v>80</v>
      </c>
      <c r="AE1662" s="4" t="s">
        <v>48</v>
      </c>
      <c r="AF1662" s="4" t="s">
        <v>41</v>
      </c>
      <c r="AG1662" s="4" t="s">
        <v>3515</v>
      </c>
    </row>
    <row r="1663" spans="1:33" ht="16.5" customHeight="1" x14ac:dyDescent="0.2">
      <c r="A1663" s="2" t="s">
        <v>31</v>
      </c>
      <c r="B1663" s="5" t="s">
        <v>54</v>
      </c>
      <c r="C1663" s="5"/>
      <c r="D1663" s="5"/>
      <c r="E1663" s="6" t="s">
        <v>33</v>
      </c>
      <c r="F1663" s="6"/>
      <c r="G1663" s="7" t="s">
        <v>3509</v>
      </c>
      <c r="H1663" s="7"/>
      <c r="I1663" s="7"/>
      <c r="J1663" s="3" t="s">
        <v>35</v>
      </c>
      <c r="K1663" s="4" t="s">
        <v>149</v>
      </c>
      <c r="L1663" s="4" t="s">
        <v>443</v>
      </c>
      <c r="N1663" s="7" t="s">
        <v>3538</v>
      </c>
      <c r="O1663" s="7"/>
      <c r="P1663" s="7" t="s">
        <v>3539</v>
      </c>
      <c r="Q1663" s="7"/>
      <c r="R1663" s="7"/>
      <c r="S1663" s="3" t="s">
        <v>40</v>
      </c>
      <c r="T1663" s="7" t="s">
        <v>41</v>
      </c>
      <c r="U1663" s="7"/>
      <c r="V1663" s="4" t="s">
        <v>42</v>
      </c>
      <c r="W1663" s="4" t="s">
        <v>3540</v>
      </c>
      <c r="X1663" s="4" t="s">
        <v>3541</v>
      </c>
      <c r="Y1663" s="7" t="s">
        <v>78</v>
      </c>
      <c r="Z1663" s="7"/>
      <c r="AA1663" s="4" t="s">
        <v>46</v>
      </c>
      <c r="AB1663" s="4" t="s">
        <v>47</v>
      </c>
      <c r="AC1663" s="4" t="s">
        <v>136</v>
      </c>
      <c r="AD1663" s="4" t="s">
        <v>464</v>
      </c>
      <c r="AE1663" s="4" t="s">
        <v>48</v>
      </c>
      <c r="AF1663" s="4" t="s">
        <v>41</v>
      </c>
      <c r="AG1663" s="4" t="s">
        <v>3515</v>
      </c>
    </row>
    <row r="1664" spans="1:33" ht="16.5" customHeight="1" x14ac:dyDescent="0.2">
      <c r="A1664" s="2" t="s">
        <v>31</v>
      </c>
      <c r="B1664" s="5" t="s">
        <v>54</v>
      </c>
      <c r="C1664" s="5"/>
      <c r="D1664" s="5"/>
      <c r="E1664" s="6" t="s">
        <v>33</v>
      </c>
      <c r="F1664" s="6"/>
      <c r="G1664" s="7" t="s">
        <v>3509</v>
      </c>
      <c r="H1664" s="7"/>
      <c r="I1664" s="7"/>
      <c r="J1664" s="3" t="s">
        <v>35</v>
      </c>
      <c r="K1664" s="4" t="s">
        <v>97</v>
      </c>
      <c r="L1664" s="4" t="s">
        <v>37</v>
      </c>
      <c r="N1664" s="7" t="s">
        <v>3542</v>
      </c>
      <c r="O1664" s="7"/>
      <c r="P1664" s="7" t="s">
        <v>3543</v>
      </c>
      <c r="Q1664" s="7"/>
      <c r="R1664" s="7"/>
      <c r="S1664" s="3" t="s">
        <v>40</v>
      </c>
      <c r="T1664" s="7" t="s">
        <v>41</v>
      </c>
      <c r="U1664" s="7"/>
      <c r="V1664" s="4" t="s">
        <v>42</v>
      </c>
      <c r="W1664" s="4" t="s">
        <v>158</v>
      </c>
      <c r="X1664" s="4" t="s">
        <v>159</v>
      </c>
      <c r="Y1664" s="7" t="s">
        <v>78</v>
      </c>
      <c r="Z1664" s="7"/>
      <c r="AA1664" s="4" t="s">
        <v>46</v>
      </c>
      <c r="AB1664" s="4" t="s">
        <v>47</v>
      </c>
      <c r="AC1664" s="4" t="s">
        <v>136</v>
      </c>
      <c r="AD1664" s="4" t="s">
        <v>137</v>
      </c>
      <c r="AE1664" s="4" t="s">
        <v>48</v>
      </c>
      <c r="AF1664" s="4" t="s">
        <v>41</v>
      </c>
      <c r="AG1664" s="4" t="s">
        <v>3515</v>
      </c>
    </row>
    <row r="1665" spans="1:33" ht="16.5" customHeight="1" x14ac:dyDescent="0.2">
      <c r="A1665" s="2" t="s">
        <v>31</v>
      </c>
      <c r="B1665" s="5" t="s">
        <v>54</v>
      </c>
      <c r="C1665" s="5"/>
      <c r="D1665" s="5"/>
      <c r="E1665" s="6" t="s">
        <v>33</v>
      </c>
      <c r="F1665" s="6"/>
      <c r="G1665" s="7" t="s">
        <v>3509</v>
      </c>
      <c r="H1665" s="7"/>
      <c r="I1665" s="7"/>
      <c r="J1665" s="3" t="s">
        <v>35</v>
      </c>
      <c r="K1665" s="4" t="s">
        <v>267</v>
      </c>
      <c r="L1665" s="4" t="s">
        <v>93</v>
      </c>
      <c r="N1665" s="7" t="s">
        <v>3544</v>
      </c>
      <c r="O1665" s="7"/>
      <c r="P1665" s="7" t="s">
        <v>3545</v>
      </c>
      <c r="Q1665" s="7"/>
      <c r="R1665" s="7"/>
      <c r="S1665" s="3" t="s">
        <v>40</v>
      </c>
      <c r="T1665" s="7" t="s">
        <v>41</v>
      </c>
      <c r="U1665" s="7"/>
      <c r="V1665" s="4" t="s">
        <v>42</v>
      </c>
      <c r="W1665" s="4" t="s">
        <v>518</v>
      </c>
      <c r="X1665" s="4" t="s">
        <v>519</v>
      </c>
      <c r="Y1665" s="7" t="s">
        <v>78</v>
      </c>
      <c r="Z1665" s="7"/>
      <c r="AA1665" s="4" t="s">
        <v>46</v>
      </c>
      <c r="AB1665" s="4" t="s">
        <v>47</v>
      </c>
      <c r="AC1665" s="4" t="s">
        <v>136</v>
      </c>
      <c r="AD1665" s="4" t="s">
        <v>148</v>
      </c>
      <c r="AE1665" s="4" t="s">
        <v>48</v>
      </c>
      <c r="AF1665" s="4" t="s">
        <v>41</v>
      </c>
      <c r="AG1665" s="4" t="s">
        <v>3515</v>
      </c>
    </row>
    <row r="1666" spans="1:33" ht="16.5" customHeight="1" x14ac:dyDescent="0.2">
      <c r="A1666" s="2" t="s">
        <v>31</v>
      </c>
      <c r="B1666" s="5" t="s">
        <v>54</v>
      </c>
      <c r="C1666" s="5"/>
      <c r="D1666" s="5"/>
      <c r="E1666" s="6" t="s">
        <v>33</v>
      </c>
      <c r="F1666" s="6"/>
      <c r="G1666" s="7" t="s">
        <v>3509</v>
      </c>
      <c r="H1666" s="7"/>
      <c r="I1666" s="7"/>
      <c r="J1666" s="3" t="s">
        <v>35</v>
      </c>
      <c r="K1666" s="4" t="s">
        <v>143</v>
      </c>
      <c r="L1666" s="4" t="s">
        <v>37</v>
      </c>
      <c r="N1666" s="7" t="s">
        <v>3546</v>
      </c>
      <c r="O1666" s="7"/>
      <c r="P1666" s="7" t="s">
        <v>3547</v>
      </c>
      <c r="Q1666" s="7"/>
      <c r="R1666" s="7"/>
      <c r="S1666" s="3" t="s">
        <v>40</v>
      </c>
      <c r="T1666" s="7" t="s">
        <v>41</v>
      </c>
      <c r="U1666" s="7"/>
      <c r="V1666" s="4" t="s">
        <v>42</v>
      </c>
      <c r="W1666" s="4" t="s">
        <v>154</v>
      </c>
      <c r="X1666" s="4" t="s">
        <v>155</v>
      </c>
      <c r="Y1666" s="7" t="s">
        <v>135</v>
      </c>
      <c r="Z1666" s="7"/>
      <c r="AA1666" s="4" t="s">
        <v>46</v>
      </c>
      <c r="AB1666" s="4" t="s">
        <v>47</v>
      </c>
      <c r="AC1666" s="4" t="s">
        <v>136</v>
      </c>
      <c r="AD1666" s="4" t="s">
        <v>137</v>
      </c>
      <c r="AE1666" s="4" t="s">
        <v>48</v>
      </c>
      <c r="AF1666" s="4" t="s">
        <v>41</v>
      </c>
      <c r="AG1666" s="4" t="s">
        <v>3515</v>
      </c>
    </row>
    <row r="1667" spans="1:33" ht="16.5" customHeight="1" x14ac:dyDescent="0.2">
      <c r="A1667" s="2" t="s">
        <v>31</v>
      </c>
      <c r="B1667" s="5" t="s">
        <v>54</v>
      </c>
      <c r="C1667" s="5"/>
      <c r="D1667" s="5"/>
      <c r="E1667" s="6" t="s">
        <v>33</v>
      </c>
      <c r="F1667" s="6"/>
      <c r="G1667" s="7" t="s">
        <v>3509</v>
      </c>
      <c r="H1667" s="7"/>
      <c r="I1667" s="7"/>
      <c r="J1667" s="3" t="s">
        <v>35</v>
      </c>
      <c r="K1667" s="4" t="s">
        <v>97</v>
      </c>
      <c r="L1667" s="4" t="s">
        <v>37</v>
      </c>
      <c r="N1667" s="7" t="s">
        <v>3548</v>
      </c>
      <c r="O1667" s="7"/>
      <c r="P1667" s="7" t="s">
        <v>3549</v>
      </c>
      <c r="Q1667" s="7"/>
      <c r="R1667" s="7"/>
      <c r="S1667" s="3" t="s">
        <v>40</v>
      </c>
      <c r="T1667" s="7" t="s">
        <v>41</v>
      </c>
      <c r="U1667" s="7"/>
      <c r="V1667" s="4" t="s">
        <v>51</v>
      </c>
      <c r="W1667" s="4" t="s">
        <v>212</v>
      </c>
      <c r="X1667" s="4" t="s">
        <v>213</v>
      </c>
      <c r="Y1667" s="7" t="s">
        <v>78</v>
      </c>
      <c r="Z1667" s="7"/>
      <c r="AA1667" s="4" t="s">
        <v>46</v>
      </c>
      <c r="AB1667" s="4" t="s">
        <v>47</v>
      </c>
      <c r="AC1667" s="4" t="s">
        <v>136</v>
      </c>
      <c r="AD1667" s="4" t="s">
        <v>137</v>
      </c>
      <c r="AE1667" s="4" t="s">
        <v>48</v>
      </c>
      <c r="AF1667" s="4" t="s">
        <v>41</v>
      </c>
      <c r="AG1667" s="4" t="s">
        <v>3515</v>
      </c>
    </row>
    <row r="1668" spans="1:33" ht="16.5" customHeight="1" x14ac:dyDescent="0.2">
      <c r="A1668" s="2" t="s">
        <v>31</v>
      </c>
      <c r="B1668" s="5" t="s">
        <v>54</v>
      </c>
      <c r="C1668" s="5"/>
      <c r="D1668" s="5"/>
      <c r="E1668" s="6" t="s">
        <v>33</v>
      </c>
      <c r="F1668" s="6"/>
      <c r="G1668" s="7" t="s">
        <v>3509</v>
      </c>
      <c r="H1668" s="7"/>
      <c r="I1668" s="7"/>
      <c r="J1668" s="3" t="s">
        <v>35</v>
      </c>
      <c r="K1668" s="4" t="s">
        <v>55</v>
      </c>
      <c r="L1668" s="4" t="s">
        <v>37</v>
      </c>
      <c r="N1668" s="7" t="s">
        <v>3550</v>
      </c>
      <c r="O1668" s="7"/>
      <c r="P1668" s="7" t="s">
        <v>3551</v>
      </c>
      <c r="Q1668" s="7"/>
      <c r="R1668" s="7"/>
      <c r="S1668" s="3" t="s">
        <v>40</v>
      </c>
      <c r="T1668" s="7" t="s">
        <v>41</v>
      </c>
      <c r="U1668" s="7"/>
      <c r="V1668" s="4" t="s">
        <v>42</v>
      </c>
      <c r="W1668" s="4" t="s">
        <v>990</v>
      </c>
      <c r="X1668" s="4" t="s">
        <v>991</v>
      </c>
      <c r="Y1668" s="7" t="s">
        <v>60</v>
      </c>
      <c r="Z1668" s="7"/>
      <c r="AA1668" s="4" t="s">
        <v>46</v>
      </c>
      <c r="AB1668" s="4" t="s">
        <v>47</v>
      </c>
      <c r="AC1668" s="4" t="s">
        <v>79</v>
      </c>
      <c r="AD1668" s="4" t="s">
        <v>80</v>
      </c>
      <c r="AE1668" s="4" t="s">
        <v>48</v>
      </c>
      <c r="AF1668" s="4" t="s">
        <v>41</v>
      </c>
      <c r="AG1668" s="4" t="s">
        <v>3515</v>
      </c>
    </row>
    <row r="1669" spans="1:33" ht="16.5" customHeight="1" x14ac:dyDescent="0.2">
      <c r="A1669" s="2" t="s">
        <v>31</v>
      </c>
      <c r="B1669" s="5" t="s">
        <v>54</v>
      </c>
      <c r="C1669" s="5"/>
      <c r="D1669" s="5"/>
      <c r="E1669" s="6" t="s">
        <v>33</v>
      </c>
      <c r="F1669" s="6"/>
      <c r="G1669" s="7" t="s">
        <v>3509</v>
      </c>
      <c r="H1669" s="7"/>
      <c r="I1669" s="7"/>
      <c r="J1669" s="3" t="s">
        <v>35</v>
      </c>
      <c r="K1669" s="4" t="s">
        <v>55</v>
      </c>
      <c r="L1669" s="4" t="s">
        <v>37</v>
      </c>
      <c r="N1669" s="7" t="s">
        <v>3550</v>
      </c>
      <c r="O1669" s="7"/>
      <c r="P1669" s="7" t="s">
        <v>3551</v>
      </c>
      <c r="Q1669" s="7"/>
      <c r="R1669" s="7"/>
      <c r="S1669" s="3" t="s">
        <v>40</v>
      </c>
      <c r="T1669" s="7" t="s">
        <v>41</v>
      </c>
      <c r="U1669" s="7"/>
      <c r="V1669" s="4" t="s">
        <v>51</v>
      </c>
      <c r="W1669" s="4" t="s">
        <v>990</v>
      </c>
      <c r="X1669" s="4" t="s">
        <v>271</v>
      </c>
      <c r="Y1669" s="7" t="s">
        <v>60</v>
      </c>
      <c r="Z1669" s="7"/>
      <c r="AA1669" s="4" t="s">
        <v>46</v>
      </c>
      <c r="AB1669" s="4" t="s">
        <v>47</v>
      </c>
      <c r="AC1669" s="4" t="s">
        <v>79</v>
      </c>
      <c r="AD1669" s="4" t="s">
        <v>80</v>
      </c>
      <c r="AE1669" s="4" t="s">
        <v>48</v>
      </c>
      <c r="AF1669" s="4" t="s">
        <v>41</v>
      </c>
      <c r="AG1669" s="4" t="s">
        <v>3515</v>
      </c>
    </row>
    <row r="1670" spans="1:33" ht="16.5" customHeight="1" x14ac:dyDescent="0.2">
      <c r="A1670" s="2" t="s">
        <v>31</v>
      </c>
      <c r="B1670" s="5" t="s">
        <v>54</v>
      </c>
      <c r="C1670" s="5"/>
      <c r="D1670" s="5"/>
      <c r="E1670" s="6" t="s">
        <v>33</v>
      </c>
      <c r="F1670" s="6"/>
      <c r="G1670" s="7" t="s">
        <v>3509</v>
      </c>
      <c r="H1670" s="7"/>
      <c r="I1670" s="7"/>
      <c r="J1670" s="3" t="s">
        <v>35</v>
      </c>
      <c r="K1670" s="4" t="s">
        <v>409</v>
      </c>
      <c r="L1670" s="4" t="s">
        <v>37</v>
      </c>
      <c r="N1670" s="7" t="s">
        <v>3552</v>
      </c>
      <c r="O1670" s="7"/>
      <c r="P1670" s="7" t="s">
        <v>3553</v>
      </c>
      <c r="Q1670" s="7"/>
      <c r="R1670" s="7"/>
      <c r="S1670" s="3" t="s">
        <v>40</v>
      </c>
      <c r="T1670" s="7" t="s">
        <v>41</v>
      </c>
      <c r="U1670" s="7"/>
      <c r="V1670" s="4" t="s">
        <v>42</v>
      </c>
      <c r="W1670" s="4" t="s">
        <v>760</v>
      </c>
      <c r="X1670" s="4" t="s">
        <v>761</v>
      </c>
      <c r="Y1670" s="7" t="s">
        <v>60</v>
      </c>
      <c r="Z1670" s="7"/>
      <c r="AA1670" s="4" t="s">
        <v>46</v>
      </c>
      <c r="AB1670" s="4" t="s">
        <v>47</v>
      </c>
      <c r="AC1670" s="4" t="s">
        <v>79</v>
      </c>
      <c r="AD1670" s="4" t="s">
        <v>80</v>
      </c>
      <c r="AE1670" s="4" t="s">
        <v>48</v>
      </c>
      <c r="AF1670" s="4" t="s">
        <v>41</v>
      </c>
      <c r="AG1670" s="4" t="s">
        <v>3515</v>
      </c>
    </row>
    <row r="1671" spans="1:33" ht="16.5" customHeight="1" x14ac:dyDescent="0.2">
      <c r="A1671" s="2" t="s">
        <v>31</v>
      </c>
      <c r="B1671" s="5" t="s">
        <v>54</v>
      </c>
      <c r="C1671" s="5"/>
      <c r="D1671" s="5"/>
      <c r="E1671" s="6" t="s">
        <v>33</v>
      </c>
      <c r="F1671" s="6"/>
      <c r="G1671" s="7" t="s">
        <v>3509</v>
      </c>
      <c r="H1671" s="7"/>
      <c r="I1671" s="7"/>
      <c r="J1671" s="3" t="s">
        <v>35</v>
      </c>
      <c r="K1671" s="4" t="s">
        <v>97</v>
      </c>
      <c r="L1671" s="4" t="s">
        <v>280</v>
      </c>
      <c r="N1671" s="7" t="s">
        <v>3554</v>
      </c>
      <c r="O1671" s="7"/>
      <c r="P1671" s="7" t="s">
        <v>3555</v>
      </c>
      <c r="Q1671" s="7"/>
      <c r="R1671" s="7"/>
      <c r="S1671" s="3" t="s">
        <v>40</v>
      </c>
      <c r="T1671" s="7" t="s">
        <v>41</v>
      </c>
      <c r="U1671" s="7"/>
      <c r="V1671" s="4" t="s">
        <v>42</v>
      </c>
      <c r="W1671" s="4" t="s">
        <v>283</v>
      </c>
      <c r="X1671" s="4" t="s">
        <v>284</v>
      </c>
      <c r="Y1671" s="7" t="s">
        <v>78</v>
      </c>
      <c r="Z1671" s="7"/>
      <c r="AA1671" s="4" t="s">
        <v>46</v>
      </c>
      <c r="AB1671" s="4" t="s">
        <v>47</v>
      </c>
      <c r="AC1671" s="4" t="s">
        <v>136</v>
      </c>
      <c r="AD1671" s="4" t="s">
        <v>324</v>
      </c>
      <c r="AE1671" s="4" t="s">
        <v>48</v>
      </c>
      <c r="AF1671" s="4" t="s">
        <v>41</v>
      </c>
      <c r="AG1671" s="4" t="s">
        <v>3515</v>
      </c>
    </row>
    <row r="1672" spans="1:33" ht="16.5" customHeight="1" x14ac:dyDescent="0.2">
      <c r="A1672" s="2" t="s">
        <v>31</v>
      </c>
      <c r="B1672" s="5" t="s">
        <v>54</v>
      </c>
      <c r="C1672" s="5"/>
      <c r="D1672" s="5"/>
      <c r="E1672" s="6" t="s">
        <v>33</v>
      </c>
      <c r="F1672" s="6"/>
      <c r="G1672" s="7" t="s">
        <v>3509</v>
      </c>
      <c r="H1672" s="7"/>
      <c r="I1672" s="7"/>
      <c r="J1672" s="3" t="s">
        <v>35</v>
      </c>
      <c r="K1672" s="4" t="s">
        <v>92</v>
      </c>
      <c r="L1672" s="4" t="s">
        <v>93</v>
      </c>
      <c r="N1672" s="7" t="s">
        <v>3556</v>
      </c>
      <c r="O1672" s="7"/>
      <c r="P1672" s="7" t="s">
        <v>3557</v>
      </c>
      <c r="Q1672" s="7"/>
      <c r="R1672" s="7"/>
      <c r="S1672" s="3" t="s">
        <v>40</v>
      </c>
      <c r="T1672" s="7" t="s">
        <v>41</v>
      </c>
      <c r="U1672" s="7"/>
      <c r="V1672" s="4" t="s">
        <v>42</v>
      </c>
      <c r="W1672" s="4" t="s">
        <v>58</v>
      </c>
      <c r="X1672" s="4" t="s">
        <v>59</v>
      </c>
      <c r="Y1672" s="7" t="s">
        <v>78</v>
      </c>
      <c r="Z1672" s="7"/>
      <c r="AA1672" s="4" t="s">
        <v>46</v>
      </c>
      <c r="AB1672" s="4" t="s">
        <v>47</v>
      </c>
      <c r="AC1672" s="4" t="s">
        <v>79</v>
      </c>
      <c r="AD1672" s="4" t="s">
        <v>96</v>
      </c>
      <c r="AE1672" s="4" t="s">
        <v>48</v>
      </c>
      <c r="AF1672" s="4" t="s">
        <v>41</v>
      </c>
      <c r="AG1672" s="4" t="s">
        <v>3515</v>
      </c>
    </row>
    <row r="1673" spans="1:33" ht="16.5" customHeight="1" x14ac:dyDescent="0.2">
      <c r="A1673" s="2" t="s">
        <v>31</v>
      </c>
      <c r="B1673" s="5" t="s">
        <v>54</v>
      </c>
      <c r="C1673" s="5"/>
      <c r="D1673" s="5"/>
      <c r="E1673" s="6" t="s">
        <v>33</v>
      </c>
      <c r="F1673" s="6"/>
      <c r="G1673" s="7" t="s">
        <v>3509</v>
      </c>
      <c r="H1673" s="7"/>
      <c r="I1673" s="7"/>
      <c r="J1673" s="3" t="s">
        <v>35</v>
      </c>
      <c r="K1673" s="4" t="s">
        <v>409</v>
      </c>
      <c r="L1673" s="4" t="s">
        <v>93</v>
      </c>
      <c r="N1673" s="7" t="s">
        <v>3558</v>
      </c>
      <c r="O1673" s="7"/>
      <c r="P1673" s="7" t="s">
        <v>3559</v>
      </c>
      <c r="Q1673" s="7"/>
      <c r="R1673" s="7"/>
      <c r="S1673" s="3" t="s">
        <v>40</v>
      </c>
      <c r="T1673" s="7" t="s">
        <v>41</v>
      </c>
      <c r="U1673" s="7"/>
      <c r="V1673" s="4" t="s">
        <v>42</v>
      </c>
      <c r="W1673" s="4" t="s">
        <v>168</v>
      </c>
      <c r="X1673" s="4" t="s">
        <v>169</v>
      </c>
      <c r="Y1673" s="7" t="s">
        <v>60</v>
      </c>
      <c r="Z1673" s="7"/>
      <c r="AA1673" s="4" t="s">
        <v>46</v>
      </c>
      <c r="AB1673" s="4" t="s">
        <v>47</v>
      </c>
      <c r="AC1673" s="4" t="s">
        <v>79</v>
      </c>
      <c r="AD1673" s="4" t="s">
        <v>96</v>
      </c>
      <c r="AE1673" s="4" t="s">
        <v>48</v>
      </c>
      <c r="AF1673" s="4" t="s">
        <v>41</v>
      </c>
      <c r="AG1673" s="4" t="s">
        <v>3515</v>
      </c>
    </row>
    <row r="1674" spans="1:33" ht="16.5" customHeight="1" x14ac:dyDescent="0.2">
      <c r="A1674" s="2" t="s">
        <v>31</v>
      </c>
      <c r="B1674" s="5" t="s">
        <v>54</v>
      </c>
      <c r="C1674" s="5"/>
      <c r="D1674" s="5"/>
      <c r="E1674" s="6" t="s">
        <v>33</v>
      </c>
      <c r="F1674" s="6"/>
      <c r="G1674" s="7" t="s">
        <v>3509</v>
      </c>
      <c r="H1674" s="7"/>
      <c r="I1674" s="7"/>
      <c r="J1674" s="3" t="s">
        <v>35</v>
      </c>
      <c r="K1674" s="4" t="s">
        <v>409</v>
      </c>
      <c r="L1674" s="4" t="s">
        <v>280</v>
      </c>
      <c r="N1674" s="7" t="s">
        <v>3560</v>
      </c>
      <c r="O1674" s="7"/>
      <c r="P1674" s="7" t="s">
        <v>3561</v>
      </c>
      <c r="Q1674" s="7"/>
      <c r="R1674" s="7"/>
      <c r="S1674" s="3" t="s">
        <v>40</v>
      </c>
      <c r="T1674" s="7" t="s">
        <v>41</v>
      </c>
      <c r="U1674" s="7"/>
      <c r="V1674" s="4" t="s">
        <v>42</v>
      </c>
      <c r="W1674" s="4" t="s">
        <v>570</v>
      </c>
      <c r="X1674" s="4" t="s">
        <v>571</v>
      </c>
      <c r="Y1674" s="7" t="s">
        <v>60</v>
      </c>
      <c r="Z1674" s="7"/>
      <c r="AA1674" s="4" t="s">
        <v>46</v>
      </c>
      <c r="AB1674" s="4" t="s">
        <v>47</v>
      </c>
      <c r="AC1674" s="4" t="s">
        <v>79</v>
      </c>
      <c r="AD1674" s="4" t="s">
        <v>285</v>
      </c>
      <c r="AE1674" s="4" t="s">
        <v>48</v>
      </c>
      <c r="AF1674" s="4" t="s">
        <v>41</v>
      </c>
      <c r="AG1674" s="4" t="s">
        <v>3515</v>
      </c>
    </row>
    <row r="1675" spans="1:33" ht="16.5" customHeight="1" x14ac:dyDescent="0.2">
      <c r="A1675" s="2" t="s">
        <v>31</v>
      </c>
      <c r="B1675" s="5" t="s">
        <v>108</v>
      </c>
      <c r="C1675" s="5"/>
      <c r="D1675" s="5"/>
      <c r="E1675" s="6" t="s">
        <v>33</v>
      </c>
      <c r="F1675" s="6"/>
      <c r="G1675" s="7" t="s">
        <v>3509</v>
      </c>
      <c r="H1675" s="7"/>
      <c r="I1675" s="7"/>
      <c r="J1675" s="3" t="s">
        <v>109</v>
      </c>
      <c r="K1675" s="4" t="s">
        <v>423</v>
      </c>
      <c r="N1675" s="7" t="s">
        <v>3560</v>
      </c>
      <c r="O1675" s="7"/>
      <c r="P1675" s="7" t="s">
        <v>3561</v>
      </c>
      <c r="Q1675" s="7"/>
      <c r="R1675" s="7"/>
      <c r="S1675" s="3" t="s">
        <v>40</v>
      </c>
      <c r="T1675" s="7" t="s">
        <v>3562</v>
      </c>
      <c r="U1675" s="7"/>
      <c r="V1675" s="4" t="s">
        <v>42</v>
      </c>
      <c r="W1675" s="4" t="s">
        <v>58</v>
      </c>
      <c r="X1675" s="4" t="s">
        <v>235</v>
      </c>
      <c r="Y1675" s="7" t="s">
        <v>114</v>
      </c>
      <c r="Z1675" s="7"/>
      <c r="AA1675" s="4" t="s">
        <v>46</v>
      </c>
      <c r="AB1675" s="4" t="s">
        <v>115</v>
      </c>
      <c r="AC1675" s="4" t="s">
        <v>116</v>
      </c>
      <c r="AD1675" s="4" t="s">
        <v>3563</v>
      </c>
      <c r="AE1675" s="4" t="s">
        <v>48</v>
      </c>
      <c r="AF1675" s="4" t="s">
        <v>41</v>
      </c>
      <c r="AG1675" s="4" t="s">
        <v>3515</v>
      </c>
    </row>
    <row r="1676" spans="1:33" ht="16.5" customHeight="1" x14ac:dyDescent="0.2">
      <c r="A1676" s="2" t="s">
        <v>31</v>
      </c>
      <c r="B1676" s="5" t="s">
        <v>54</v>
      </c>
      <c r="C1676" s="5"/>
      <c r="D1676" s="5"/>
      <c r="E1676" s="6" t="s">
        <v>33</v>
      </c>
      <c r="F1676" s="6"/>
      <c r="G1676" s="7" t="s">
        <v>3509</v>
      </c>
      <c r="H1676" s="7"/>
      <c r="I1676" s="7"/>
      <c r="J1676" s="3" t="s">
        <v>35</v>
      </c>
      <c r="K1676" s="4" t="s">
        <v>409</v>
      </c>
      <c r="L1676" s="4" t="s">
        <v>93</v>
      </c>
      <c r="N1676" s="7" t="s">
        <v>3564</v>
      </c>
      <c r="O1676" s="7"/>
      <c r="P1676" s="7" t="s">
        <v>3565</v>
      </c>
      <c r="Q1676" s="7"/>
      <c r="R1676" s="7"/>
      <c r="S1676" s="3" t="s">
        <v>40</v>
      </c>
      <c r="T1676" s="7" t="s">
        <v>41</v>
      </c>
      <c r="U1676" s="7"/>
      <c r="V1676" s="4" t="s">
        <v>42</v>
      </c>
      <c r="W1676" s="4" t="s">
        <v>234</v>
      </c>
      <c r="X1676" s="4" t="s">
        <v>235</v>
      </c>
      <c r="Y1676" s="7" t="s">
        <v>60</v>
      </c>
      <c r="Z1676" s="7"/>
      <c r="AA1676" s="4" t="s">
        <v>46</v>
      </c>
      <c r="AB1676" s="4" t="s">
        <v>47</v>
      </c>
      <c r="AC1676" s="4" t="s">
        <v>79</v>
      </c>
      <c r="AD1676" s="4" t="s">
        <v>96</v>
      </c>
      <c r="AE1676" s="4" t="s">
        <v>48</v>
      </c>
      <c r="AF1676" s="4" t="s">
        <v>41</v>
      </c>
      <c r="AG1676" s="4" t="s">
        <v>3515</v>
      </c>
    </row>
    <row r="1677" spans="1:33" ht="16.5" customHeight="1" x14ac:dyDescent="0.2">
      <c r="A1677" s="2" t="s">
        <v>31</v>
      </c>
      <c r="B1677" s="5" t="s">
        <v>54</v>
      </c>
      <c r="C1677" s="5"/>
      <c r="D1677" s="5"/>
      <c r="E1677" s="6" t="s">
        <v>33</v>
      </c>
      <c r="F1677" s="6"/>
      <c r="G1677" s="7" t="s">
        <v>3509</v>
      </c>
      <c r="H1677" s="7"/>
      <c r="I1677" s="7"/>
      <c r="J1677" s="3" t="s">
        <v>35</v>
      </c>
      <c r="K1677" s="4" t="s">
        <v>97</v>
      </c>
      <c r="L1677" s="4" t="s">
        <v>93</v>
      </c>
      <c r="N1677" s="7" t="s">
        <v>3566</v>
      </c>
      <c r="O1677" s="7"/>
      <c r="P1677" s="7" t="s">
        <v>3567</v>
      </c>
      <c r="Q1677" s="7"/>
      <c r="R1677" s="7"/>
      <c r="S1677" s="3" t="s">
        <v>40</v>
      </c>
      <c r="T1677" s="7" t="s">
        <v>41</v>
      </c>
      <c r="U1677" s="7"/>
      <c r="V1677" s="4" t="s">
        <v>42</v>
      </c>
      <c r="W1677" s="4" t="s">
        <v>168</v>
      </c>
      <c r="X1677" s="4" t="s">
        <v>169</v>
      </c>
      <c r="Y1677" s="7" t="s">
        <v>78</v>
      </c>
      <c r="Z1677" s="7"/>
      <c r="AA1677" s="4" t="s">
        <v>46</v>
      </c>
      <c r="AB1677" s="4" t="s">
        <v>47</v>
      </c>
      <c r="AC1677" s="4" t="s">
        <v>72</v>
      </c>
      <c r="AD1677" s="4" t="s">
        <v>41</v>
      </c>
      <c r="AE1677" s="4" t="s">
        <v>48</v>
      </c>
      <c r="AF1677" s="4" t="s">
        <v>41</v>
      </c>
      <c r="AG1677" s="4" t="s">
        <v>3515</v>
      </c>
    </row>
    <row r="1678" spans="1:33" ht="16.5" customHeight="1" x14ac:dyDescent="0.2">
      <c r="A1678" s="2" t="s">
        <v>31</v>
      </c>
      <c r="B1678" s="5" t="s">
        <v>54</v>
      </c>
      <c r="C1678" s="5"/>
      <c r="D1678" s="5"/>
      <c r="E1678" s="6" t="s">
        <v>33</v>
      </c>
      <c r="F1678" s="6"/>
      <c r="G1678" s="7" t="s">
        <v>3509</v>
      </c>
      <c r="H1678" s="7"/>
      <c r="I1678" s="7"/>
      <c r="J1678" s="3" t="s">
        <v>35</v>
      </c>
      <c r="K1678" s="4" t="s">
        <v>97</v>
      </c>
      <c r="L1678" s="4" t="s">
        <v>93</v>
      </c>
      <c r="N1678" s="7" t="s">
        <v>3566</v>
      </c>
      <c r="O1678" s="7"/>
      <c r="P1678" s="7" t="s">
        <v>3567</v>
      </c>
      <c r="Q1678" s="7"/>
      <c r="R1678" s="7"/>
      <c r="S1678" s="3" t="s">
        <v>40</v>
      </c>
      <c r="T1678" s="7" t="s">
        <v>41</v>
      </c>
      <c r="U1678" s="7"/>
      <c r="V1678" s="4" t="s">
        <v>51</v>
      </c>
      <c r="W1678" s="4" t="s">
        <v>168</v>
      </c>
      <c r="X1678" s="4" t="s">
        <v>170</v>
      </c>
      <c r="Y1678" s="7" t="s">
        <v>78</v>
      </c>
      <c r="Z1678" s="7"/>
      <c r="AA1678" s="4" t="s">
        <v>46</v>
      </c>
      <c r="AB1678" s="4" t="s">
        <v>47</v>
      </c>
      <c r="AC1678" s="4" t="s">
        <v>72</v>
      </c>
      <c r="AD1678" s="4" t="s">
        <v>41</v>
      </c>
      <c r="AE1678" s="4" t="s">
        <v>48</v>
      </c>
      <c r="AF1678" s="4" t="s">
        <v>41</v>
      </c>
      <c r="AG1678" s="4" t="s">
        <v>3515</v>
      </c>
    </row>
    <row r="1679" spans="1:33" ht="16.5" customHeight="1" x14ac:dyDescent="0.2">
      <c r="A1679" s="2" t="s">
        <v>31</v>
      </c>
      <c r="B1679" s="5" t="s">
        <v>54</v>
      </c>
      <c r="C1679" s="5"/>
      <c r="D1679" s="5"/>
      <c r="E1679" s="6" t="s">
        <v>33</v>
      </c>
      <c r="F1679" s="6"/>
      <c r="G1679" s="7" t="s">
        <v>3509</v>
      </c>
      <c r="H1679" s="7"/>
      <c r="I1679" s="7"/>
      <c r="J1679" s="3" t="s">
        <v>35</v>
      </c>
      <c r="K1679" s="4" t="s">
        <v>55</v>
      </c>
      <c r="L1679" s="4" t="s">
        <v>37</v>
      </c>
      <c r="N1679" s="7" t="s">
        <v>3568</v>
      </c>
      <c r="O1679" s="7"/>
      <c r="P1679" s="7" t="s">
        <v>3569</v>
      </c>
      <c r="Q1679" s="7"/>
      <c r="R1679" s="7"/>
      <c r="S1679" s="3" t="s">
        <v>40</v>
      </c>
      <c r="T1679" s="7" t="s">
        <v>41</v>
      </c>
      <c r="U1679" s="7"/>
      <c r="V1679" s="4" t="s">
        <v>42</v>
      </c>
      <c r="W1679" s="4" t="s">
        <v>168</v>
      </c>
      <c r="X1679" s="4" t="s">
        <v>169</v>
      </c>
      <c r="Y1679" s="7" t="s">
        <v>60</v>
      </c>
      <c r="Z1679" s="7"/>
      <c r="AA1679" s="4" t="s">
        <v>46</v>
      </c>
      <c r="AB1679" s="4" t="s">
        <v>47</v>
      </c>
      <c r="AC1679" s="4" t="s">
        <v>79</v>
      </c>
      <c r="AD1679" s="4" t="s">
        <v>80</v>
      </c>
      <c r="AE1679" s="4" t="s">
        <v>48</v>
      </c>
      <c r="AF1679" s="4" t="s">
        <v>41</v>
      </c>
      <c r="AG1679" s="4" t="s">
        <v>3515</v>
      </c>
    </row>
    <row r="1680" spans="1:33" ht="16.5" customHeight="1" x14ac:dyDescent="0.2">
      <c r="A1680" s="2" t="s">
        <v>31</v>
      </c>
      <c r="B1680" s="5" t="s">
        <v>54</v>
      </c>
      <c r="C1680" s="5"/>
      <c r="D1680" s="5"/>
      <c r="E1680" s="6" t="s">
        <v>33</v>
      </c>
      <c r="F1680" s="6"/>
      <c r="G1680" s="7" t="s">
        <v>3509</v>
      </c>
      <c r="H1680" s="7"/>
      <c r="I1680" s="7"/>
      <c r="J1680" s="3" t="s">
        <v>35</v>
      </c>
      <c r="K1680" s="4" t="s">
        <v>149</v>
      </c>
      <c r="L1680" s="4" t="s">
        <v>37</v>
      </c>
      <c r="N1680" s="7" t="s">
        <v>3570</v>
      </c>
      <c r="O1680" s="7"/>
      <c r="P1680" s="7" t="s">
        <v>3571</v>
      </c>
      <c r="Q1680" s="7"/>
      <c r="R1680" s="7"/>
      <c r="S1680" s="3" t="s">
        <v>40</v>
      </c>
      <c r="T1680" s="7" t="s">
        <v>41</v>
      </c>
      <c r="U1680" s="7"/>
      <c r="V1680" s="4" t="s">
        <v>42</v>
      </c>
      <c r="W1680" s="4" t="s">
        <v>288</v>
      </c>
      <c r="X1680" s="4" t="s">
        <v>213</v>
      </c>
      <c r="Y1680" s="7" t="s">
        <v>78</v>
      </c>
      <c r="Z1680" s="7"/>
      <c r="AA1680" s="4" t="s">
        <v>46</v>
      </c>
      <c r="AB1680" s="4" t="s">
        <v>47</v>
      </c>
      <c r="AC1680" s="4" t="s">
        <v>136</v>
      </c>
      <c r="AD1680" s="4" t="s">
        <v>137</v>
      </c>
      <c r="AE1680" s="4" t="s">
        <v>48</v>
      </c>
      <c r="AF1680" s="4" t="s">
        <v>41</v>
      </c>
      <c r="AG1680" s="4" t="s">
        <v>3515</v>
      </c>
    </row>
    <row r="1681" spans="1:33" ht="16.5" customHeight="1" x14ac:dyDescent="0.2">
      <c r="A1681" s="2" t="s">
        <v>31</v>
      </c>
      <c r="B1681" s="5" t="s">
        <v>54</v>
      </c>
      <c r="C1681" s="5"/>
      <c r="D1681" s="5"/>
      <c r="E1681" s="6" t="s">
        <v>33</v>
      </c>
      <c r="F1681" s="6"/>
      <c r="G1681" s="7" t="s">
        <v>3509</v>
      </c>
      <c r="H1681" s="7"/>
      <c r="I1681" s="7"/>
      <c r="J1681" s="3" t="s">
        <v>35</v>
      </c>
      <c r="K1681" s="4" t="s">
        <v>97</v>
      </c>
      <c r="L1681" s="4" t="s">
        <v>37</v>
      </c>
      <c r="N1681" s="7" t="s">
        <v>3572</v>
      </c>
      <c r="O1681" s="7"/>
      <c r="P1681" s="7" t="s">
        <v>3573</v>
      </c>
      <c r="Q1681" s="7"/>
      <c r="R1681" s="7"/>
      <c r="S1681" s="3" t="s">
        <v>40</v>
      </c>
      <c r="T1681" s="7" t="s">
        <v>41</v>
      </c>
      <c r="U1681" s="7"/>
      <c r="V1681" s="4" t="s">
        <v>42</v>
      </c>
      <c r="W1681" s="4" t="s">
        <v>43</v>
      </c>
      <c r="X1681" s="4" t="s">
        <v>44</v>
      </c>
      <c r="Y1681" s="7" t="s">
        <v>78</v>
      </c>
      <c r="Z1681" s="7"/>
      <c r="AA1681" s="4" t="s">
        <v>46</v>
      </c>
      <c r="AB1681" s="4" t="s">
        <v>47</v>
      </c>
      <c r="AC1681" s="4" t="s">
        <v>136</v>
      </c>
      <c r="AD1681" s="4" t="s">
        <v>137</v>
      </c>
      <c r="AE1681" s="4" t="s">
        <v>48</v>
      </c>
      <c r="AF1681" s="4" t="s">
        <v>41</v>
      </c>
      <c r="AG1681" s="4" t="s">
        <v>3515</v>
      </c>
    </row>
    <row r="1682" spans="1:33" ht="16.5" customHeight="1" x14ac:dyDescent="0.2">
      <c r="A1682" s="2" t="s">
        <v>31</v>
      </c>
      <c r="B1682" s="5" t="s">
        <v>54</v>
      </c>
      <c r="C1682" s="5"/>
      <c r="D1682" s="5"/>
      <c r="E1682" s="6" t="s">
        <v>33</v>
      </c>
      <c r="F1682" s="6"/>
      <c r="G1682" s="7" t="s">
        <v>3509</v>
      </c>
      <c r="H1682" s="7"/>
      <c r="I1682" s="7"/>
      <c r="J1682" s="3" t="s">
        <v>35</v>
      </c>
      <c r="K1682" s="4" t="s">
        <v>409</v>
      </c>
      <c r="L1682" s="4" t="s">
        <v>37</v>
      </c>
      <c r="N1682" s="7" t="s">
        <v>3574</v>
      </c>
      <c r="O1682" s="7"/>
      <c r="P1682" s="7" t="s">
        <v>3575</v>
      </c>
      <c r="Q1682" s="7"/>
      <c r="R1682" s="7"/>
      <c r="S1682" s="3" t="s">
        <v>40</v>
      </c>
      <c r="T1682" s="7" t="s">
        <v>41</v>
      </c>
      <c r="U1682" s="7"/>
      <c r="V1682" s="4" t="s">
        <v>42</v>
      </c>
      <c r="W1682" s="4" t="s">
        <v>90</v>
      </c>
      <c r="X1682" s="4" t="s">
        <v>91</v>
      </c>
      <c r="Y1682" s="7" t="s">
        <v>60</v>
      </c>
      <c r="Z1682" s="7"/>
      <c r="AA1682" s="4" t="s">
        <v>46</v>
      </c>
      <c r="AB1682" s="4" t="s">
        <v>47</v>
      </c>
      <c r="AC1682" s="4" t="s">
        <v>61</v>
      </c>
      <c r="AD1682" s="4" t="s">
        <v>62</v>
      </c>
      <c r="AE1682" s="4" t="s">
        <v>48</v>
      </c>
      <c r="AF1682" s="4" t="s">
        <v>41</v>
      </c>
      <c r="AG1682" s="4" t="s">
        <v>3515</v>
      </c>
    </row>
    <row r="1683" spans="1:33" ht="16.5" customHeight="1" x14ac:dyDescent="0.2">
      <c r="A1683" s="2" t="s">
        <v>31</v>
      </c>
      <c r="B1683" s="5" t="s">
        <v>54</v>
      </c>
      <c r="C1683" s="5"/>
      <c r="D1683" s="5"/>
      <c r="E1683" s="6" t="s">
        <v>33</v>
      </c>
      <c r="F1683" s="6"/>
      <c r="G1683" s="7" t="s">
        <v>3509</v>
      </c>
      <c r="H1683" s="7"/>
      <c r="I1683" s="7"/>
      <c r="J1683" s="3" t="s">
        <v>35</v>
      </c>
      <c r="K1683" s="4" t="s">
        <v>97</v>
      </c>
      <c r="L1683" s="4" t="s">
        <v>37</v>
      </c>
      <c r="N1683" s="7" t="s">
        <v>3576</v>
      </c>
      <c r="O1683" s="7"/>
      <c r="P1683" s="7" t="s">
        <v>3577</v>
      </c>
      <c r="Q1683" s="7"/>
      <c r="R1683" s="7"/>
      <c r="S1683" s="3" t="s">
        <v>40</v>
      </c>
      <c r="T1683" s="7" t="s">
        <v>41</v>
      </c>
      <c r="U1683" s="7"/>
      <c r="V1683" s="4" t="s">
        <v>51</v>
      </c>
      <c r="W1683" s="4" t="s">
        <v>58</v>
      </c>
      <c r="X1683" s="4" t="s">
        <v>128</v>
      </c>
      <c r="Y1683" s="7" t="s">
        <v>78</v>
      </c>
      <c r="Z1683" s="7"/>
      <c r="AA1683" s="4" t="s">
        <v>46</v>
      </c>
      <c r="AB1683" s="4" t="s">
        <v>47</v>
      </c>
      <c r="AC1683" s="4" t="s">
        <v>79</v>
      </c>
      <c r="AD1683" s="4" t="s">
        <v>80</v>
      </c>
      <c r="AE1683" s="4" t="s">
        <v>48</v>
      </c>
      <c r="AF1683" s="4" t="s">
        <v>41</v>
      </c>
      <c r="AG1683" s="4" t="s">
        <v>3515</v>
      </c>
    </row>
    <row r="1684" spans="1:33" ht="16.5" customHeight="1" x14ac:dyDescent="0.2">
      <c r="A1684" s="2" t="s">
        <v>31</v>
      </c>
      <c r="B1684" s="5" t="s">
        <v>54</v>
      </c>
      <c r="C1684" s="5"/>
      <c r="D1684" s="5"/>
      <c r="E1684" s="6" t="s">
        <v>33</v>
      </c>
      <c r="F1684" s="6"/>
      <c r="G1684" s="7" t="s">
        <v>3509</v>
      </c>
      <c r="H1684" s="7"/>
      <c r="I1684" s="7"/>
      <c r="J1684" s="3" t="s">
        <v>35</v>
      </c>
      <c r="K1684" s="4" t="s">
        <v>409</v>
      </c>
      <c r="L1684" s="4" t="s">
        <v>37</v>
      </c>
      <c r="N1684" s="7" t="s">
        <v>3578</v>
      </c>
      <c r="O1684" s="7"/>
      <c r="P1684" s="7" t="s">
        <v>3579</v>
      </c>
      <c r="Q1684" s="7"/>
      <c r="R1684" s="7"/>
      <c r="S1684" s="3" t="s">
        <v>40</v>
      </c>
      <c r="T1684" s="7" t="s">
        <v>41</v>
      </c>
      <c r="U1684" s="7"/>
      <c r="V1684" s="4" t="s">
        <v>51</v>
      </c>
      <c r="W1684" s="4" t="s">
        <v>43</v>
      </c>
      <c r="X1684" s="4" t="s">
        <v>52</v>
      </c>
      <c r="Y1684" s="7" t="s">
        <v>60</v>
      </c>
      <c r="Z1684" s="7"/>
      <c r="AA1684" s="4" t="s">
        <v>46</v>
      </c>
      <c r="AB1684" s="4" t="s">
        <v>47</v>
      </c>
      <c r="AC1684" s="4" t="s">
        <v>79</v>
      </c>
      <c r="AD1684" s="4" t="s">
        <v>80</v>
      </c>
      <c r="AE1684" s="4" t="s">
        <v>48</v>
      </c>
      <c r="AF1684" s="4" t="s">
        <v>41</v>
      </c>
      <c r="AG1684" s="4" t="s">
        <v>3515</v>
      </c>
    </row>
    <row r="1685" spans="1:33" ht="16.5" customHeight="1" x14ac:dyDescent="0.2">
      <c r="A1685" s="2" t="s">
        <v>31</v>
      </c>
      <c r="B1685" s="5" t="s">
        <v>54</v>
      </c>
      <c r="C1685" s="5"/>
      <c r="D1685" s="5"/>
      <c r="E1685" s="6" t="s">
        <v>33</v>
      </c>
      <c r="F1685" s="6"/>
      <c r="G1685" s="7" t="s">
        <v>3509</v>
      </c>
      <c r="H1685" s="7"/>
      <c r="I1685" s="7"/>
      <c r="J1685" s="3" t="s">
        <v>35</v>
      </c>
      <c r="K1685" s="4" t="s">
        <v>409</v>
      </c>
      <c r="L1685" s="4" t="s">
        <v>93</v>
      </c>
      <c r="N1685" s="7" t="s">
        <v>3580</v>
      </c>
      <c r="O1685" s="7"/>
      <c r="P1685" s="7" t="s">
        <v>3581</v>
      </c>
      <c r="Q1685" s="7"/>
      <c r="R1685" s="7"/>
      <c r="S1685" s="3" t="s">
        <v>40</v>
      </c>
      <c r="T1685" s="7" t="s">
        <v>41</v>
      </c>
      <c r="U1685" s="7"/>
      <c r="V1685" s="4" t="s">
        <v>42</v>
      </c>
      <c r="W1685" s="4" t="s">
        <v>229</v>
      </c>
      <c r="X1685" s="4" t="s">
        <v>446</v>
      </c>
      <c r="Y1685" s="7" t="s">
        <v>60</v>
      </c>
      <c r="Z1685" s="7"/>
      <c r="AA1685" s="4" t="s">
        <v>46</v>
      </c>
      <c r="AB1685" s="4" t="s">
        <v>47</v>
      </c>
      <c r="AC1685" s="4" t="s">
        <v>79</v>
      </c>
      <c r="AD1685" s="4" t="s">
        <v>96</v>
      </c>
      <c r="AE1685" s="4" t="s">
        <v>48</v>
      </c>
      <c r="AF1685" s="4" t="s">
        <v>41</v>
      </c>
      <c r="AG1685" s="4" t="s">
        <v>3515</v>
      </c>
    </row>
    <row r="1686" spans="1:33" ht="16.5" customHeight="1" x14ac:dyDescent="0.2">
      <c r="A1686" s="2" t="s">
        <v>31</v>
      </c>
      <c r="B1686" s="5" t="s">
        <v>54</v>
      </c>
      <c r="C1686" s="5"/>
      <c r="D1686" s="5"/>
      <c r="E1686" s="6" t="s">
        <v>33</v>
      </c>
      <c r="F1686" s="6"/>
      <c r="G1686" s="7" t="s">
        <v>3509</v>
      </c>
      <c r="H1686" s="7"/>
      <c r="I1686" s="7"/>
      <c r="J1686" s="3" t="s">
        <v>35</v>
      </c>
      <c r="K1686" s="4" t="s">
        <v>130</v>
      </c>
      <c r="L1686" s="4" t="s">
        <v>37</v>
      </c>
      <c r="N1686" s="7" t="s">
        <v>3582</v>
      </c>
      <c r="O1686" s="7"/>
      <c r="P1686" s="7" t="s">
        <v>3583</v>
      </c>
      <c r="Q1686" s="7"/>
      <c r="R1686" s="7"/>
      <c r="S1686" s="3" t="s">
        <v>40</v>
      </c>
      <c r="T1686" s="7" t="s">
        <v>41</v>
      </c>
      <c r="U1686" s="7"/>
      <c r="V1686" s="4" t="s">
        <v>42</v>
      </c>
      <c r="W1686" s="4" t="s">
        <v>195</v>
      </c>
      <c r="X1686" s="4" t="s">
        <v>2570</v>
      </c>
      <c r="Y1686" s="7" t="s">
        <v>135</v>
      </c>
      <c r="Z1686" s="7"/>
      <c r="AA1686" s="4" t="s">
        <v>46</v>
      </c>
      <c r="AB1686" s="4" t="s">
        <v>47</v>
      </c>
      <c r="AC1686" s="4" t="s">
        <v>72</v>
      </c>
      <c r="AD1686" s="4" t="s">
        <v>41</v>
      </c>
      <c r="AE1686" s="4" t="s">
        <v>48</v>
      </c>
      <c r="AF1686" s="4" t="s">
        <v>41</v>
      </c>
      <c r="AG1686" s="4" t="s">
        <v>3515</v>
      </c>
    </row>
    <row r="1687" spans="1:33" ht="16.5" customHeight="1" x14ac:dyDescent="0.2">
      <c r="A1687" s="2" t="s">
        <v>31</v>
      </c>
      <c r="B1687" s="5" t="s">
        <v>54</v>
      </c>
      <c r="C1687" s="5"/>
      <c r="D1687" s="5"/>
      <c r="E1687" s="6" t="s">
        <v>33</v>
      </c>
      <c r="F1687" s="6"/>
      <c r="G1687" s="7" t="s">
        <v>3509</v>
      </c>
      <c r="H1687" s="7"/>
      <c r="I1687" s="7"/>
      <c r="J1687" s="3" t="s">
        <v>35</v>
      </c>
      <c r="K1687" s="4" t="s">
        <v>149</v>
      </c>
      <c r="L1687" s="4" t="s">
        <v>93</v>
      </c>
      <c r="N1687" s="7" t="s">
        <v>3584</v>
      </c>
      <c r="O1687" s="7"/>
      <c r="P1687" s="7" t="s">
        <v>3585</v>
      </c>
      <c r="Q1687" s="7"/>
      <c r="R1687" s="7"/>
      <c r="S1687" s="3" t="s">
        <v>40</v>
      </c>
      <c r="T1687" s="7" t="s">
        <v>41</v>
      </c>
      <c r="U1687" s="7"/>
      <c r="V1687" s="4" t="s">
        <v>42</v>
      </c>
      <c r="W1687" s="4" t="s">
        <v>3586</v>
      </c>
      <c r="X1687" s="4" t="s">
        <v>196</v>
      </c>
      <c r="Y1687" s="7" t="s">
        <v>78</v>
      </c>
      <c r="Z1687" s="7"/>
      <c r="AA1687" s="4" t="s">
        <v>46</v>
      </c>
      <c r="AB1687" s="4" t="s">
        <v>47</v>
      </c>
      <c r="AC1687" s="4" t="s">
        <v>72</v>
      </c>
      <c r="AD1687" s="4" t="s">
        <v>41</v>
      </c>
      <c r="AE1687" s="4" t="s">
        <v>48</v>
      </c>
      <c r="AF1687" s="4" t="s">
        <v>41</v>
      </c>
      <c r="AG1687" s="4" t="s">
        <v>3515</v>
      </c>
    </row>
    <row r="1688" spans="1:33" ht="16.5" customHeight="1" x14ac:dyDescent="0.2">
      <c r="A1688" s="2" t="s">
        <v>31</v>
      </c>
      <c r="B1688" s="5" t="s">
        <v>54</v>
      </c>
      <c r="C1688" s="5"/>
      <c r="D1688" s="5"/>
      <c r="E1688" s="6" t="s">
        <v>33</v>
      </c>
      <c r="F1688" s="6"/>
      <c r="G1688" s="7" t="s">
        <v>3509</v>
      </c>
      <c r="H1688" s="7"/>
      <c r="I1688" s="7"/>
      <c r="J1688" s="3" t="s">
        <v>35</v>
      </c>
      <c r="K1688" s="4" t="s">
        <v>149</v>
      </c>
      <c r="L1688" s="4" t="s">
        <v>1557</v>
      </c>
      <c r="N1688" s="7" t="s">
        <v>3584</v>
      </c>
      <c r="O1688" s="7"/>
      <c r="P1688" s="7" t="s">
        <v>3585</v>
      </c>
      <c r="Q1688" s="7"/>
      <c r="R1688" s="7"/>
      <c r="S1688" s="3" t="s">
        <v>40</v>
      </c>
      <c r="T1688" s="7" t="s">
        <v>41</v>
      </c>
      <c r="U1688" s="7"/>
      <c r="V1688" s="4" t="s">
        <v>51</v>
      </c>
      <c r="W1688" s="4" t="s">
        <v>3586</v>
      </c>
      <c r="X1688" s="4" t="s">
        <v>3154</v>
      </c>
      <c r="Y1688" s="7" t="s">
        <v>78</v>
      </c>
      <c r="Z1688" s="7"/>
      <c r="AA1688" s="4" t="s">
        <v>46</v>
      </c>
      <c r="AB1688" s="4" t="s">
        <v>47</v>
      </c>
      <c r="AC1688" s="4" t="s">
        <v>72</v>
      </c>
      <c r="AD1688" s="4" t="s">
        <v>41</v>
      </c>
      <c r="AE1688" s="4" t="s">
        <v>48</v>
      </c>
      <c r="AF1688" s="4" t="s">
        <v>41</v>
      </c>
      <c r="AG1688" s="4" t="s">
        <v>3515</v>
      </c>
    </row>
    <row r="1689" spans="1:33" ht="16.5" customHeight="1" x14ac:dyDescent="0.2">
      <c r="A1689" s="2" t="s">
        <v>31</v>
      </c>
      <c r="B1689" s="5" t="s">
        <v>54</v>
      </c>
      <c r="C1689" s="5"/>
      <c r="D1689" s="5"/>
      <c r="E1689" s="6" t="s">
        <v>33</v>
      </c>
      <c r="F1689" s="6"/>
      <c r="G1689" s="7" t="s">
        <v>3509</v>
      </c>
      <c r="H1689" s="7"/>
      <c r="I1689" s="7"/>
      <c r="J1689" s="3" t="s">
        <v>35</v>
      </c>
      <c r="K1689" s="4" t="s">
        <v>149</v>
      </c>
      <c r="L1689" s="4" t="s">
        <v>93</v>
      </c>
      <c r="N1689" s="7" t="s">
        <v>3584</v>
      </c>
      <c r="O1689" s="7"/>
      <c r="P1689" s="7" t="s">
        <v>3585</v>
      </c>
      <c r="Q1689" s="7"/>
      <c r="R1689" s="7"/>
      <c r="S1689" s="3" t="s">
        <v>40</v>
      </c>
      <c r="T1689" s="7" t="s">
        <v>41</v>
      </c>
      <c r="U1689" s="7"/>
      <c r="V1689" s="4" t="s">
        <v>51</v>
      </c>
      <c r="W1689" s="4" t="s">
        <v>3586</v>
      </c>
      <c r="X1689" s="4" t="s">
        <v>3154</v>
      </c>
      <c r="Y1689" s="7" t="s">
        <v>78</v>
      </c>
      <c r="Z1689" s="7"/>
      <c r="AA1689" s="4" t="s">
        <v>46</v>
      </c>
      <c r="AB1689" s="4" t="s">
        <v>47</v>
      </c>
      <c r="AC1689" s="4" t="s">
        <v>72</v>
      </c>
      <c r="AD1689" s="4" t="s">
        <v>41</v>
      </c>
      <c r="AE1689" s="4" t="s">
        <v>48</v>
      </c>
      <c r="AF1689" s="4" t="s">
        <v>41</v>
      </c>
      <c r="AG1689" s="4" t="s">
        <v>3515</v>
      </c>
    </row>
    <row r="1690" spans="1:33" ht="16.5" customHeight="1" x14ac:dyDescent="0.2">
      <c r="A1690" s="2" t="s">
        <v>31</v>
      </c>
      <c r="B1690" s="5" t="s">
        <v>54</v>
      </c>
      <c r="C1690" s="5"/>
      <c r="D1690" s="5"/>
      <c r="E1690" s="6" t="s">
        <v>33</v>
      </c>
      <c r="F1690" s="6"/>
      <c r="G1690" s="7" t="s">
        <v>3509</v>
      </c>
      <c r="H1690" s="7"/>
      <c r="I1690" s="7"/>
      <c r="J1690" s="3" t="s">
        <v>35</v>
      </c>
      <c r="K1690" s="4" t="s">
        <v>143</v>
      </c>
      <c r="L1690" s="4" t="s">
        <v>37</v>
      </c>
      <c r="N1690" s="7" t="s">
        <v>3587</v>
      </c>
      <c r="O1690" s="7"/>
      <c r="P1690" s="7" t="s">
        <v>3588</v>
      </c>
      <c r="Q1690" s="7"/>
      <c r="R1690" s="7"/>
      <c r="S1690" s="3" t="s">
        <v>40</v>
      </c>
      <c r="T1690" s="7" t="s">
        <v>41</v>
      </c>
      <c r="U1690" s="7"/>
      <c r="V1690" s="4" t="s">
        <v>42</v>
      </c>
      <c r="W1690" s="4" t="s">
        <v>51</v>
      </c>
      <c r="X1690" s="4" t="s">
        <v>128</v>
      </c>
      <c r="Y1690" s="7" t="s">
        <v>135</v>
      </c>
      <c r="Z1690" s="7"/>
      <c r="AA1690" s="4" t="s">
        <v>46</v>
      </c>
      <c r="AB1690" s="4" t="s">
        <v>47</v>
      </c>
      <c r="AC1690" s="4" t="s">
        <v>79</v>
      </c>
      <c r="AD1690" s="4" t="s">
        <v>80</v>
      </c>
      <c r="AE1690" s="4" t="s">
        <v>48</v>
      </c>
      <c r="AF1690" s="4" t="s">
        <v>41</v>
      </c>
      <c r="AG1690" s="4" t="s">
        <v>3515</v>
      </c>
    </row>
    <row r="1691" spans="1:33" ht="16.5" customHeight="1" x14ac:dyDescent="0.2">
      <c r="A1691" s="2" t="s">
        <v>31</v>
      </c>
      <c r="B1691" s="5" t="s">
        <v>54</v>
      </c>
      <c r="C1691" s="5"/>
      <c r="D1691" s="5"/>
      <c r="E1691" s="6" t="s">
        <v>33</v>
      </c>
      <c r="F1691" s="6"/>
      <c r="G1691" s="7" t="s">
        <v>3509</v>
      </c>
      <c r="H1691" s="7"/>
      <c r="I1691" s="7"/>
      <c r="J1691" s="3" t="s">
        <v>35</v>
      </c>
      <c r="K1691" s="4" t="s">
        <v>143</v>
      </c>
      <c r="L1691" s="4" t="s">
        <v>231</v>
      </c>
      <c r="N1691" s="7" t="s">
        <v>3589</v>
      </c>
      <c r="O1691" s="7"/>
      <c r="P1691" s="7" t="s">
        <v>3590</v>
      </c>
      <c r="Q1691" s="7"/>
      <c r="R1691" s="7"/>
      <c r="S1691" s="3" t="s">
        <v>40</v>
      </c>
      <c r="T1691" s="7" t="s">
        <v>41</v>
      </c>
      <c r="U1691" s="7"/>
      <c r="V1691" s="4" t="s">
        <v>42</v>
      </c>
      <c r="W1691" s="4" t="s">
        <v>217</v>
      </c>
      <c r="X1691" s="4" t="s">
        <v>218</v>
      </c>
      <c r="Y1691" s="7" t="s">
        <v>135</v>
      </c>
      <c r="Z1691" s="7"/>
      <c r="AA1691" s="4" t="s">
        <v>46</v>
      </c>
      <c r="AB1691" s="4" t="s">
        <v>47</v>
      </c>
      <c r="AC1691" s="4" t="s">
        <v>136</v>
      </c>
      <c r="AD1691" s="4" t="s">
        <v>447</v>
      </c>
      <c r="AE1691" s="4" t="s">
        <v>48</v>
      </c>
      <c r="AF1691" s="4" t="s">
        <v>41</v>
      </c>
      <c r="AG1691" s="4" t="s">
        <v>3515</v>
      </c>
    </row>
    <row r="1692" spans="1:33" ht="16.5" customHeight="1" x14ac:dyDescent="0.2">
      <c r="A1692" s="2" t="s">
        <v>31</v>
      </c>
      <c r="B1692" s="5" t="s">
        <v>54</v>
      </c>
      <c r="C1692" s="5"/>
      <c r="D1692" s="5"/>
      <c r="E1692" s="6" t="s">
        <v>33</v>
      </c>
      <c r="F1692" s="6"/>
      <c r="G1692" s="7" t="s">
        <v>3509</v>
      </c>
      <c r="H1692" s="7"/>
      <c r="I1692" s="7"/>
      <c r="J1692" s="3" t="s">
        <v>35</v>
      </c>
      <c r="K1692" s="4" t="s">
        <v>409</v>
      </c>
      <c r="L1692" s="4" t="s">
        <v>93</v>
      </c>
      <c r="N1692" s="7" t="s">
        <v>3591</v>
      </c>
      <c r="O1692" s="7"/>
      <c r="P1692" s="7" t="s">
        <v>3592</v>
      </c>
      <c r="Q1692" s="7"/>
      <c r="R1692" s="7"/>
      <c r="S1692" s="3" t="s">
        <v>40</v>
      </c>
      <c r="T1692" s="7" t="s">
        <v>41</v>
      </c>
      <c r="U1692" s="7"/>
      <c r="V1692" s="4" t="s">
        <v>42</v>
      </c>
      <c r="W1692" s="4" t="s">
        <v>527</v>
      </c>
      <c r="X1692" s="4" t="s">
        <v>528</v>
      </c>
      <c r="Y1692" s="7" t="s">
        <v>60</v>
      </c>
      <c r="Z1692" s="7"/>
      <c r="AA1692" s="4" t="s">
        <v>46</v>
      </c>
      <c r="AB1692" s="4" t="s">
        <v>47</v>
      </c>
      <c r="AC1692" s="4" t="s">
        <v>79</v>
      </c>
      <c r="AD1692" s="4" t="s">
        <v>96</v>
      </c>
      <c r="AE1692" s="4" t="s">
        <v>48</v>
      </c>
      <c r="AF1692" s="4" t="s">
        <v>41</v>
      </c>
      <c r="AG1692" s="4" t="s">
        <v>3515</v>
      </c>
    </row>
    <row r="1693" spans="1:33" ht="16.5" customHeight="1" x14ac:dyDescent="0.2">
      <c r="A1693" s="2" t="s">
        <v>31</v>
      </c>
      <c r="B1693" s="5" t="s">
        <v>54</v>
      </c>
      <c r="C1693" s="5"/>
      <c r="D1693" s="5"/>
      <c r="E1693" s="6" t="s">
        <v>33</v>
      </c>
      <c r="F1693" s="6"/>
      <c r="G1693" s="7" t="s">
        <v>3509</v>
      </c>
      <c r="H1693" s="7"/>
      <c r="I1693" s="7"/>
      <c r="J1693" s="3" t="s">
        <v>35</v>
      </c>
      <c r="K1693" s="4" t="s">
        <v>143</v>
      </c>
      <c r="L1693" s="4" t="s">
        <v>37</v>
      </c>
      <c r="N1693" s="7" t="s">
        <v>3593</v>
      </c>
      <c r="O1693" s="7"/>
      <c r="P1693" s="7" t="s">
        <v>3594</v>
      </c>
      <c r="Q1693" s="7"/>
      <c r="R1693" s="7"/>
      <c r="S1693" s="3" t="s">
        <v>40</v>
      </c>
      <c r="T1693" s="7" t="s">
        <v>41</v>
      </c>
      <c r="U1693" s="7"/>
      <c r="V1693" s="4" t="s">
        <v>42</v>
      </c>
      <c r="W1693" s="4" t="s">
        <v>859</v>
      </c>
      <c r="X1693" s="4" t="s">
        <v>341</v>
      </c>
      <c r="Y1693" s="7" t="s">
        <v>135</v>
      </c>
      <c r="Z1693" s="7"/>
      <c r="AA1693" s="4" t="s">
        <v>46</v>
      </c>
      <c r="AB1693" s="4" t="s">
        <v>47</v>
      </c>
      <c r="AC1693" s="4" t="s">
        <v>136</v>
      </c>
      <c r="AD1693" s="4" t="s">
        <v>137</v>
      </c>
      <c r="AE1693" s="4" t="s">
        <v>48</v>
      </c>
      <c r="AF1693" s="4" t="s">
        <v>41</v>
      </c>
      <c r="AG1693" s="4" t="s">
        <v>3515</v>
      </c>
    </row>
    <row r="1694" spans="1:33" ht="16.5" customHeight="1" x14ac:dyDescent="0.2">
      <c r="A1694" s="2" t="s">
        <v>31</v>
      </c>
      <c r="B1694" s="5" t="s">
        <v>54</v>
      </c>
      <c r="C1694" s="5"/>
      <c r="D1694" s="5"/>
      <c r="E1694" s="6" t="s">
        <v>33</v>
      </c>
      <c r="F1694" s="6"/>
      <c r="G1694" s="7" t="s">
        <v>3509</v>
      </c>
      <c r="H1694" s="7"/>
      <c r="I1694" s="7"/>
      <c r="J1694" s="3" t="s">
        <v>35</v>
      </c>
      <c r="K1694" s="4" t="s">
        <v>130</v>
      </c>
      <c r="L1694" s="4" t="s">
        <v>37</v>
      </c>
      <c r="N1694" s="7" t="s">
        <v>3595</v>
      </c>
      <c r="O1694" s="7"/>
      <c r="P1694" s="7" t="s">
        <v>3596</v>
      </c>
      <c r="Q1694" s="7"/>
      <c r="R1694" s="7"/>
      <c r="S1694" s="3" t="s">
        <v>40</v>
      </c>
      <c r="T1694" s="7" t="s">
        <v>41</v>
      </c>
      <c r="U1694" s="7"/>
      <c r="V1694" s="4" t="s">
        <v>42</v>
      </c>
      <c r="W1694" s="4" t="s">
        <v>2194</v>
      </c>
      <c r="X1694" s="4" t="s">
        <v>2195</v>
      </c>
      <c r="Y1694" s="7" t="s">
        <v>135</v>
      </c>
      <c r="Z1694" s="7"/>
      <c r="AA1694" s="4" t="s">
        <v>46</v>
      </c>
      <c r="AB1694" s="4" t="s">
        <v>47</v>
      </c>
      <c r="AC1694" s="4" t="s">
        <v>136</v>
      </c>
      <c r="AD1694" s="4" t="s">
        <v>137</v>
      </c>
      <c r="AE1694" s="4" t="s">
        <v>48</v>
      </c>
      <c r="AF1694" s="4" t="s">
        <v>41</v>
      </c>
      <c r="AG1694" s="4" t="s">
        <v>3515</v>
      </c>
    </row>
    <row r="1695" spans="1:33" ht="16.5" customHeight="1" x14ac:dyDescent="0.2">
      <c r="A1695" s="2" t="s">
        <v>31</v>
      </c>
      <c r="B1695" s="5" t="s">
        <v>54</v>
      </c>
      <c r="C1695" s="5"/>
      <c r="D1695" s="5"/>
      <c r="E1695" s="6" t="s">
        <v>33</v>
      </c>
      <c r="F1695" s="6"/>
      <c r="G1695" s="7" t="s">
        <v>3509</v>
      </c>
      <c r="H1695" s="7"/>
      <c r="I1695" s="7"/>
      <c r="J1695" s="3" t="s">
        <v>35</v>
      </c>
      <c r="K1695" s="4" t="s">
        <v>143</v>
      </c>
      <c r="L1695" s="4" t="s">
        <v>37</v>
      </c>
      <c r="N1695" s="7" t="s">
        <v>3597</v>
      </c>
      <c r="O1695" s="7"/>
      <c r="P1695" s="7" t="s">
        <v>3598</v>
      </c>
      <c r="Q1695" s="7"/>
      <c r="R1695" s="7"/>
      <c r="S1695" s="3" t="s">
        <v>40</v>
      </c>
      <c r="T1695" s="7" t="s">
        <v>41</v>
      </c>
      <c r="U1695" s="7"/>
      <c r="V1695" s="4" t="s">
        <v>42</v>
      </c>
      <c r="W1695" s="4" t="s">
        <v>527</v>
      </c>
      <c r="X1695" s="4" t="s">
        <v>528</v>
      </c>
      <c r="Y1695" s="7" t="s">
        <v>135</v>
      </c>
      <c r="Z1695" s="7"/>
      <c r="AA1695" s="4" t="s">
        <v>46</v>
      </c>
      <c r="AB1695" s="4" t="s">
        <v>47</v>
      </c>
      <c r="AC1695" s="4" t="s">
        <v>136</v>
      </c>
      <c r="AD1695" s="4" t="s">
        <v>137</v>
      </c>
      <c r="AE1695" s="4" t="s">
        <v>48</v>
      </c>
      <c r="AF1695" s="4" t="s">
        <v>41</v>
      </c>
      <c r="AG1695" s="4" t="s">
        <v>3515</v>
      </c>
    </row>
    <row r="1696" spans="1:33" ht="16.5" customHeight="1" x14ac:dyDescent="0.2">
      <c r="A1696" s="2" t="s">
        <v>31</v>
      </c>
      <c r="B1696" s="5" t="s">
        <v>54</v>
      </c>
      <c r="C1696" s="5"/>
      <c r="D1696" s="5"/>
      <c r="E1696" s="6" t="s">
        <v>33</v>
      </c>
      <c r="F1696" s="6"/>
      <c r="G1696" s="7" t="s">
        <v>3509</v>
      </c>
      <c r="H1696" s="7"/>
      <c r="I1696" s="7"/>
      <c r="J1696" s="3" t="s">
        <v>35</v>
      </c>
      <c r="K1696" s="4" t="s">
        <v>143</v>
      </c>
      <c r="L1696" s="4" t="s">
        <v>37</v>
      </c>
      <c r="N1696" s="7" t="s">
        <v>3597</v>
      </c>
      <c r="O1696" s="7"/>
      <c r="P1696" s="7" t="s">
        <v>3598</v>
      </c>
      <c r="Q1696" s="7"/>
      <c r="R1696" s="7"/>
      <c r="S1696" s="3" t="s">
        <v>40</v>
      </c>
      <c r="T1696" s="7" t="s">
        <v>41</v>
      </c>
      <c r="U1696" s="7"/>
      <c r="V1696" s="4" t="s">
        <v>51</v>
      </c>
      <c r="W1696" s="4" t="s">
        <v>527</v>
      </c>
      <c r="X1696" s="4" t="s">
        <v>755</v>
      </c>
      <c r="Y1696" s="7" t="s">
        <v>135</v>
      </c>
      <c r="Z1696" s="7"/>
      <c r="AA1696" s="4" t="s">
        <v>46</v>
      </c>
      <c r="AB1696" s="4" t="s">
        <v>47</v>
      </c>
      <c r="AC1696" s="4" t="s">
        <v>136</v>
      </c>
      <c r="AD1696" s="4" t="s">
        <v>137</v>
      </c>
      <c r="AE1696" s="4" t="s">
        <v>48</v>
      </c>
      <c r="AF1696" s="4" t="s">
        <v>41</v>
      </c>
      <c r="AG1696" s="4" t="s">
        <v>3515</v>
      </c>
    </row>
    <row r="1697" spans="1:33" ht="16.5" customHeight="1" x14ac:dyDescent="0.2">
      <c r="A1697" s="2" t="s">
        <v>31</v>
      </c>
      <c r="B1697" s="5" t="s">
        <v>54</v>
      </c>
      <c r="C1697" s="5"/>
      <c r="D1697" s="5"/>
      <c r="E1697" s="6" t="s">
        <v>33</v>
      </c>
      <c r="F1697" s="6"/>
      <c r="G1697" s="7" t="s">
        <v>3509</v>
      </c>
      <c r="H1697" s="7"/>
      <c r="I1697" s="7"/>
      <c r="J1697" s="3" t="s">
        <v>35</v>
      </c>
      <c r="K1697" s="4" t="s">
        <v>149</v>
      </c>
      <c r="L1697" s="4" t="s">
        <v>37</v>
      </c>
      <c r="N1697" s="7" t="s">
        <v>3599</v>
      </c>
      <c r="O1697" s="7"/>
      <c r="P1697" s="7" t="s">
        <v>3600</v>
      </c>
      <c r="Q1697" s="7"/>
      <c r="R1697" s="7"/>
      <c r="S1697" s="3" t="s">
        <v>40</v>
      </c>
      <c r="T1697" s="7" t="s">
        <v>41</v>
      </c>
      <c r="U1697" s="7"/>
      <c r="V1697" s="4" t="s">
        <v>42</v>
      </c>
      <c r="W1697" s="4" t="s">
        <v>229</v>
      </c>
      <c r="X1697" s="4" t="s">
        <v>446</v>
      </c>
      <c r="Y1697" s="7" t="s">
        <v>78</v>
      </c>
      <c r="Z1697" s="7"/>
      <c r="AA1697" s="4" t="s">
        <v>46</v>
      </c>
      <c r="AB1697" s="4" t="s">
        <v>47</v>
      </c>
      <c r="AC1697" s="4" t="s">
        <v>136</v>
      </c>
      <c r="AD1697" s="4" t="s">
        <v>137</v>
      </c>
      <c r="AE1697" s="4" t="s">
        <v>48</v>
      </c>
      <c r="AF1697" s="4" t="s">
        <v>41</v>
      </c>
      <c r="AG1697" s="4" t="s">
        <v>3515</v>
      </c>
    </row>
    <row r="1698" spans="1:33" ht="16.5" customHeight="1" x14ac:dyDescent="0.2">
      <c r="A1698" s="2" t="s">
        <v>31</v>
      </c>
      <c r="B1698" s="5" t="s">
        <v>54</v>
      </c>
      <c r="C1698" s="5"/>
      <c r="D1698" s="5"/>
      <c r="E1698" s="6" t="s">
        <v>33</v>
      </c>
      <c r="F1698" s="6"/>
      <c r="G1698" s="7" t="s">
        <v>3509</v>
      </c>
      <c r="H1698" s="7"/>
      <c r="I1698" s="7"/>
      <c r="J1698" s="3" t="s">
        <v>35</v>
      </c>
      <c r="K1698" s="4" t="s">
        <v>149</v>
      </c>
      <c r="L1698" s="4" t="s">
        <v>93</v>
      </c>
      <c r="N1698" s="7" t="s">
        <v>3601</v>
      </c>
      <c r="O1698" s="7"/>
      <c r="P1698" s="7" t="s">
        <v>3602</v>
      </c>
      <c r="Q1698" s="7"/>
      <c r="R1698" s="7"/>
      <c r="S1698" s="3" t="s">
        <v>40</v>
      </c>
      <c r="T1698" s="7" t="s">
        <v>41</v>
      </c>
      <c r="U1698" s="7"/>
      <c r="V1698" s="4" t="s">
        <v>42</v>
      </c>
      <c r="W1698" s="4" t="s">
        <v>3603</v>
      </c>
      <c r="X1698" s="4" t="s">
        <v>3604</v>
      </c>
      <c r="Y1698" s="7" t="s">
        <v>78</v>
      </c>
      <c r="Z1698" s="7"/>
      <c r="AA1698" s="4" t="s">
        <v>46</v>
      </c>
      <c r="AB1698" s="4" t="s">
        <v>47</v>
      </c>
      <c r="AC1698" s="4" t="s">
        <v>136</v>
      </c>
      <c r="AD1698" s="4" t="s">
        <v>148</v>
      </c>
      <c r="AE1698" s="4" t="s">
        <v>48</v>
      </c>
      <c r="AF1698" s="4" t="s">
        <v>41</v>
      </c>
      <c r="AG1698" s="4" t="s">
        <v>3515</v>
      </c>
    </row>
    <row r="1699" spans="1:33" ht="16.5" customHeight="1" x14ac:dyDescent="0.2">
      <c r="A1699" s="2" t="s">
        <v>31</v>
      </c>
      <c r="B1699" s="5" t="s">
        <v>54</v>
      </c>
      <c r="C1699" s="5"/>
      <c r="D1699" s="5"/>
      <c r="E1699" s="6" t="s">
        <v>33</v>
      </c>
      <c r="F1699" s="6"/>
      <c r="G1699" s="7" t="s">
        <v>3509</v>
      </c>
      <c r="H1699" s="7"/>
      <c r="I1699" s="7"/>
      <c r="J1699" s="3" t="s">
        <v>35</v>
      </c>
      <c r="K1699" s="4" t="s">
        <v>143</v>
      </c>
      <c r="L1699" s="4" t="s">
        <v>37</v>
      </c>
      <c r="N1699" s="7" t="s">
        <v>3605</v>
      </c>
      <c r="O1699" s="7"/>
      <c r="P1699" s="7" t="s">
        <v>3606</v>
      </c>
      <c r="Q1699" s="7"/>
      <c r="R1699" s="7"/>
      <c r="S1699" s="3" t="s">
        <v>40</v>
      </c>
      <c r="T1699" s="7" t="s">
        <v>41</v>
      </c>
      <c r="U1699" s="7"/>
      <c r="V1699" s="4" t="s">
        <v>42</v>
      </c>
      <c r="W1699" s="4" t="s">
        <v>217</v>
      </c>
      <c r="X1699" s="4" t="s">
        <v>218</v>
      </c>
      <c r="Y1699" s="7" t="s">
        <v>135</v>
      </c>
      <c r="Z1699" s="7"/>
      <c r="AA1699" s="4" t="s">
        <v>46</v>
      </c>
      <c r="AB1699" s="4" t="s">
        <v>47</v>
      </c>
      <c r="AC1699" s="4" t="s">
        <v>136</v>
      </c>
      <c r="AD1699" s="4" t="s">
        <v>137</v>
      </c>
      <c r="AE1699" s="4" t="s">
        <v>48</v>
      </c>
      <c r="AF1699" s="4" t="s">
        <v>41</v>
      </c>
      <c r="AG1699" s="4" t="s">
        <v>3515</v>
      </c>
    </row>
    <row r="1700" spans="1:33" ht="16.5" customHeight="1" x14ac:dyDescent="0.2">
      <c r="A1700" s="2" t="s">
        <v>31</v>
      </c>
      <c r="B1700" s="5" t="s">
        <v>54</v>
      </c>
      <c r="C1700" s="5"/>
      <c r="D1700" s="5"/>
      <c r="E1700" s="6" t="s">
        <v>33</v>
      </c>
      <c r="F1700" s="6"/>
      <c r="G1700" s="7" t="s">
        <v>3509</v>
      </c>
      <c r="H1700" s="7"/>
      <c r="I1700" s="7"/>
      <c r="J1700" s="3" t="s">
        <v>35</v>
      </c>
      <c r="K1700" s="4" t="s">
        <v>92</v>
      </c>
      <c r="L1700" s="4" t="s">
        <v>93</v>
      </c>
      <c r="N1700" s="7" t="s">
        <v>3607</v>
      </c>
      <c r="O1700" s="7"/>
      <c r="P1700" s="7" t="s">
        <v>3608</v>
      </c>
      <c r="Q1700" s="7"/>
      <c r="R1700" s="7"/>
      <c r="S1700" s="3" t="s">
        <v>40</v>
      </c>
      <c r="T1700" s="7" t="s">
        <v>41</v>
      </c>
      <c r="U1700" s="7"/>
      <c r="V1700" s="4" t="s">
        <v>42</v>
      </c>
      <c r="W1700" s="4" t="s">
        <v>181</v>
      </c>
      <c r="X1700" s="4" t="s">
        <v>182</v>
      </c>
      <c r="Y1700" s="7" t="s">
        <v>78</v>
      </c>
      <c r="Z1700" s="7"/>
      <c r="AA1700" s="4" t="s">
        <v>46</v>
      </c>
      <c r="AB1700" s="4" t="s">
        <v>47</v>
      </c>
      <c r="AC1700" s="4" t="s">
        <v>79</v>
      </c>
      <c r="AD1700" s="4" t="s">
        <v>96</v>
      </c>
      <c r="AE1700" s="4" t="s">
        <v>48</v>
      </c>
      <c r="AF1700" s="4" t="s">
        <v>41</v>
      </c>
      <c r="AG1700" s="4" t="s">
        <v>3515</v>
      </c>
    </row>
    <row r="1701" spans="1:33" ht="16.5" customHeight="1" x14ac:dyDescent="0.2">
      <c r="A1701" s="2" t="s">
        <v>31</v>
      </c>
      <c r="B1701" s="5" t="s">
        <v>54</v>
      </c>
      <c r="C1701" s="5"/>
      <c r="D1701" s="5"/>
      <c r="E1701" s="6" t="s">
        <v>33</v>
      </c>
      <c r="F1701" s="6"/>
      <c r="G1701" s="7" t="s">
        <v>3509</v>
      </c>
      <c r="H1701" s="7"/>
      <c r="I1701" s="7"/>
      <c r="J1701" s="3" t="s">
        <v>35</v>
      </c>
      <c r="K1701" s="4" t="s">
        <v>657</v>
      </c>
      <c r="L1701" s="4" t="s">
        <v>37</v>
      </c>
      <c r="N1701" s="7" t="s">
        <v>3609</v>
      </c>
      <c r="O1701" s="7"/>
      <c r="P1701" s="7" t="s">
        <v>3610</v>
      </c>
      <c r="Q1701" s="7"/>
      <c r="R1701" s="7"/>
      <c r="S1701" s="3" t="s">
        <v>40</v>
      </c>
      <c r="T1701" s="7" t="s">
        <v>41</v>
      </c>
      <c r="U1701" s="7"/>
      <c r="V1701" s="4" t="s">
        <v>51</v>
      </c>
      <c r="W1701" s="4" t="s">
        <v>355</v>
      </c>
      <c r="X1701" s="4" t="s">
        <v>361</v>
      </c>
      <c r="Y1701" s="7" t="s">
        <v>197</v>
      </c>
      <c r="Z1701" s="7"/>
      <c r="AA1701" s="4" t="s">
        <v>46</v>
      </c>
      <c r="AB1701" s="4" t="s">
        <v>47</v>
      </c>
      <c r="AC1701" s="4" t="s">
        <v>136</v>
      </c>
      <c r="AD1701" s="4" t="s">
        <v>137</v>
      </c>
      <c r="AE1701" s="4" t="s">
        <v>48</v>
      </c>
      <c r="AF1701" s="4" t="s">
        <v>41</v>
      </c>
      <c r="AG1701" s="4" t="s">
        <v>3515</v>
      </c>
    </row>
    <row r="1702" spans="1:33" ht="16.5" customHeight="1" x14ac:dyDescent="0.2">
      <c r="A1702" s="2" t="s">
        <v>31</v>
      </c>
      <c r="B1702" s="5" t="s">
        <v>54</v>
      </c>
      <c r="C1702" s="5"/>
      <c r="D1702" s="5"/>
      <c r="E1702" s="6" t="s">
        <v>33</v>
      </c>
      <c r="F1702" s="6"/>
      <c r="G1702" s="7" t="s">
        <v>3509</v>
      </c>
      <c r="H1702" s="7"/>
      <c r="I1702" s="7"/>
      <c r="J1702" s="3" t="s">
        <v>35</v>
      </c>
      <c r="K1702" s="4" t="s">
        <v>149</v>
      </c>
      <c r="L1702" s="4" t="s">
        <v>37</v>
      </c>
      <c r="N1702" s="7" t="s">
        <v>3611</v>
      </c>
      <c r="O1702" s="7"/>
      <c r="P1702" s="7" t="s">
        <v>3612</v>
      </c>
      <c r="Q1702" s="7"/>
      <c r="R1702" s="7"/>
      <c r="S1702" s="3" t="s">
        <v>40</v>
      </c>
      <c r="T1702" s="7" t="s">
        <v>41</v>
      </c>
      <c r="U1702" s="7"/>
      <c r="V1702" s="4" t="s">
        <v>42</v>
      </c>
      <c r="W1702" s="4" t="s">
        <v>1072</v>
      </c>
      <c r="X1702" s="4" t="s">
        <v>1073</v>
      </c>
      <c r="Y1702" s="7" t="s">
        <v>78</v>
      </c>
      <c r="Z1702" s="7"/>
      <c r="AA1702" s="4" t="s">
        <v>46</v>
      </c>
      <c r="AB1702" s="4" t="s">
        <v>47</v>
      </c>
      <c r="AC1702" s="4" t="s">
        <v>136</v>
      </c>
      <c r="AD1702" s="4" t="s">
        <v>137</v>
      </c>
      <c r="AE1702" s="4" t="s">
        <v>48</v>
      </c>
      <c r="AF1702" s="4" t="s">
        <v>41</v>
      </c>
      <c r="AG1702" s="4" t="s">
        <v>3515</v>
      </c>
    </row>
    <row r="1703" spans="1:33" ht="16.5" customHeight="1" x14ac:dyDescent="0.2">
      <c r="A1703" s="2" t="s">
        <v>31</v>
      </c>
      <c r="B1703" s="5" t="s">
        <v>54</v>
      </c>
      <c r="C1703" s="5"/>
      <c r="D1703" s="5"/>
      <c r="E1703" s="6" t="s">
        <v>33</v>
      </c>
      <c r="F1703" s="6"/>
      <c r="G1703" s="7" t="s">
        <v>3509</v>
      </c>
      <c r="H1703" s="7"/>
      <c r="I1703" s="7"/>
      <c r="J1703" s="3" t="s">
        <v>35</v>
      </c>
      <c r="K1703" s="4" t="s">
        <v>97</v>
      </c>
      <c r="L1703" s="4" t="s">
        <v>37</v>
      </c>
      <c r="N1703" s="7" t="s">
        <v>3613</v>
      </c>
      <c r="O1703" s="7"/>
      <c r="P1703" s="7" t="s">
        <v>3614</v>
      </c>
      <c r="Q1703" s="7"/>
      <c r="R1703" s="7"/>
      <c r="S1703" s="3" t="s">
        <v>40</v>
      </c>
      <c r="T1703" s="7" t="s">
        <v>41</v>
      </c>
      <c r="U1703" s="7"/>
      <c r="V1703" s="4" t="s">
        <v>42</v>
      </c>
      <c r="W1703" s="4" t="s">
        <v>225</v>
      </c>
      <c r="X1703" s="4" t="s">
        <v>226</v>
      </c>
      <c r="Y1703" s="7" t="s">
        <v>78</v>
      </c>
      <c r="Z1703" s="7"/>
      <c r="AA1703" s="4" t="s">
        <v>46</v>
      </c>
      <c r="AB1703" s="4" t="s">
        <v>47</v>
      </c>
      <c r="AC1703" s="4" t="s">
        <v>136</v>
      </c>
      <c r="AD1703" s="4" t="s">
        <v>137</v>
      </c>
      <c r="AE1703" s="4" t="s">
        <v>48</v>
      </c>
      <c r="AF1703" s="4" t="s">
        <v>41</v>
      </c>
      <c r="AG1703" s="4" t="s">
        <v>3515</v>
      </c>
    </row>
    <row r="1704" spans="1:33" ht="16.5" customHeight="1" x14ac:dyDescent="0.2">
      <c r="A1704" s="2" t="s">
        <v>31</v>
      </c>
      <c r="B1704" s="5" t="s">
        <v>54</v>
      </c>
      <c r="C1704" s="5"/>
      <c r="D1704" s="5"/>
      <c r="E1704" s="6" t="s">
        <v>33</v>
      </c>
      <c r="F1704" s="6"/>
      <c r="G1704" s="7" t="s">
        <v>3509</v>
      </c>
      <c r="H1704" s="7"/>
      <c r="I1704" s="7"/>
      <c r="J1704" s="3" t="s">
        <v>35</v>
      </c>
      <c r="K1704" s="4" t="s">
        <v>149</v>
      </c>
      <c r="L1704" s="4" t="s">
        <v>37</v>
      </c>
      <c r="N1704" s="7" t="s">
        <v>3615</v>
      </c>
      <c r="O1704" s="7"/>
      <c r="P1704" s="7" t="s">
        <v>3616</v>
      </c>
      <c r="Q1704" s="7"/>
      <c r="R1704" s="7"/>
      <c r="S1704" s="3" t="s">
        <v>40</v>
      </c>
      <c r="T1704" s="7" t="s">
        <v>41</v>
      </c>
      <c r="U1704" s="7"/>
      <c r="V1704" s="4" t="s">
        <v>42</v>
      </c>
      <c r="W1704" s="4" t="s">
        <v>441</v>
      </c>
      <c r="X1704" s="4" t="s">
        <v>442</v>
      </c>
      <c r="Y1704" s="7" t="s">
        <v>78</v>
      </c>
      <c r="Z1704" s="7"/>
      <c r="AA1704" s="4" t="s">
        <v>46</v>
      </c>
      <c r="AB1704" s="4" t="s">
        <v>47</v>
      </c>
      <c r="AC1704" s="4" t="s">
        <v>136</v>
      </c>
      <c r="AD1704" s="4" t="s">
        <v>137</v>
      </c>
      <c r="AE1704" s="4" t="s">
        <v>48</v>
      </c>
      <c r="AF1704" s="4" t="s">
        <v>41</v>
      </c>
      <c r="AG1704" s="4" t="s">
        <v>3515</v>
      </c>
    </row>
    <row r="1705" spans="1:33" ht="16.5" customHeight="1" x14ac:dyDescent="0.2">
      <c r="A1705" s="2" t="s">
        <v>31</v>
      </c>
      <c r="B1705" s="5" t="s">
        <v>108</v>
      </c>
      <c r="C1705" s="5"/>
      <c r="D1705" s="5"/>
      <c r="E1705" s="6" t="s">
        <v>33</v>
      </c>
      <c r="F1705" s="6"/>
      <c r="G1705" s="7" t="s">
        <v>3509</v>
      </c>
      <c r="H1705" s="7"/>
      <c r="I1705" s="7"/>
      <c r="J1705" s="3" t="s">
        <v>109</v>
      </c>
      <c r="K1705" s="4" t="s">
        <v>423</v>
      </c>
      <c r="N1705" s="7" t="s">
        <v>3615</v>
      </c>
      <c r="O1705" s="7"/>
      <c r="P1705" s="7" t="s">
        <v>3616</v>
      </c>
      <c r="Q1705" s="7"/>
      <c r="R1705" s="7"/>
      <c r="S1705" s="3" t="s">
        <v>40</v>
      </c>
      <c r="T1705" s="7" t="s">
        <v>3617</v>
      </c>
      <c r="U1705" s="7"/>
      <c r="V1705" s="4" t="s">
        <v>42</v>
      </c>
      <c r="W1705" s="4" t="s">
        <v>58</v>
      </c>
      <c r="X1705" s="4" t="s">
        <v>201</v>
      </c>
      <c r="Y1705" s="7" t="s">
        <v>114</v>
      </c>
      <c r="Z1705" s="7"/>
      <c r="AA1705" s="4" t="s">
        <v>46</v>
      </c>
      <c r="AB1705" s="4" t="s">
        <v>115</v>
      </c>
      <c r="AC1705" s="4" t="s">
        <v>243</v>
      </c>
      <c r="AD1705" s="4" t="s">
        <v>3618</v>
      </c>
      <c r="AE1705" s="4" t="s">
        <v>48</v>
      </c>
      <c r="AF1705" s="4" t="s">
        <v>41</v>
      </c>
      <c r="AG1705" s="4" t="s">
        <v>3515</v>
      </c>
    </row>
    <row r="1706" spans="1:33" ht="0.75" customHeight="1" x14ac:dyDescent="0.2"/>
    <row r="1707" spans="1:33" ht="12" customHeight="1" x14ac:dyDescent="0.2"/>
    <row r="1708" spans="1:33" ht="16.5" customHeight="1" x14ac:dyDescent="0.2">
      <c r="A1708" s="2" t="s">
        <v>31</v>
      </c>
      <c r="B1708" s="5" t="s">
        <v>54</v>
      </c>
      <c r="C1708" s="5"/>
      <c r="D1708" s="5"/>
      <c r="E1708" s="6" t="s">
        <v>33</v>
      </c>
      <c r="F1708" s="6"/>
      <c r="G1708" s="7" t="s">
        <v>3509</v>
      </c>
      <c r="H1708" s="7"/>
      <c r="I1708" s="7"/>
      <c r="J1708" s="3" t="s">
        <v>35</v>
      </c>
      <c r="K1708" s="4" t="s">
        <v>55</v>
      </c>
      <c r="L1708" s="4" t="s">
        <v>37</v>
      </c>
      <c r="N1708" s="7" t="s">
        <v>3619</v>
      </c>
      <c r="O1708" s="7"/>
      <c r="P1708" s="7" t="s">
        <v>3620</v>
      </c>
      <c r="Q1708" s="7"/>
      <c r="R1708" s="7"/>
      <c r="S1708" s="3" t="s">
        <v>40</v>
      </c>
      <c r="T1708" s="7" t="s">
        <v>41</v>
      </c>
      <c r="U1708" s="7"/>
      <c r="V1708" s="4" t="s">
        <v>42</v>
      </c>
      <c r="W1708" s="4" t="s">
        <v>769</v>
      </c>
      <c r="X1708" s="4" t="s">
        <v>652</v>
      </c>
      <c r="Y1708" s="7" t="s">
        <v>60</v>
      </c>
      <c r="Z1708" s="7"/>
      <c r="AA1708" s="4" t="s">
        <v>46</v>
      </c>
      <c r="AB1708" s="4" t="s">
        <v>47</v>
      </c>
      <c r="AC1708" s="4" t="s">
        <v>79</v>
      </c>
      <c r="AD1708" s="4" t="s">
        <v>80</v>
      </c>
      <c r="AE1708" s="4" t="s">
        <v>48</v>
      </c>
      <c r="AF1708" s="4" t="s">
        <v>41</v>
      </c>
      <c r="AG1708" s="4" t="s">
        <v>3515</v>
      </c>
    </row>
    <row r="1709" spans="1:33" ht="16.5" customHeight="1" x14ac:dyDescent="0.2">
      <c r="A1709" s="2" t="s">
        <v>31</v>
      </c>
      <c r="B1709" s="5" t="s">
        <v>54</v>
      </c>
      <c r="C1709" s="5"/>
      <c r="D1709" s="5"/>
      <c r="E1709" s="6" t="s">
        <v>33</v>
      </c>
      <c r="F1709" s="6"/>
      <c r="G1709" s="7" t="s">
        <v>3509</v>
      </c>
      <c r="H1709" s="7"/>
      <c r="I1709" s="7"/>
      <c r="J1709" s="3" t="s">
        <v>35</v>
      </c>
      <c r="K1709" s="4" t="s">
        <v>316</v>
      </c>
      <c r="L1709" s="4" t="s">
        <v>93</v>
      </c>
      <c r="N1709" s="7" t="s">
        <v>3621</v>
      </c>
      <c r="O1709" s="7"/>
      <c r="P1709" s="7" t="s">
        <v>3622</v>
      </c>
      <c r="Q1709" s="7"/>
      <c r="R1709" s="7"/>
      <c r="S1709" s="3" t="s">
        <v>40</v>
      </c>
      <c r="T1709" s="7" t="s">
        <v>41</v>
      </c>
      <c r="U1709" s="7"/>
      <c r="V1709" s="4" t="s">
        <v>42</v>
      </c>
      <c r="W1709" s="4" t="s">
        <v>141</v>
      </c>
      <c r="X1709" s="4" t="s">
        <v>142</v>
      </c>
      <c r="Y1709" s="7" t="s">
        <v>60</v>
      </c>
      <c r="Z1709" s="7"/>
      <c r="AA1709" s="4" t="s">
        <v>46</v>
      </c>
      <c r="AB1709" s="4" t="s">
        <v>47</v>
      </c>
      <c r="AC1709" s="4" t="s">
        <v>79</v>
      </c>
      <c r="AD1709" s="4" t="s">
        <v>96</v>
      </c>
      <c r="AE1709" s="4" t="s">
        <v>48</v>
      </c>
      <c r="AF1709" s="4" t="s">
        <v>41</v>
      </c>
      <c r="AG1709" s="4" t="s">
        <v>3515</v>
      </c>
    </row>
    <row r="1710" spans="1:33" ht="16.5" customHeight="1" x14ac:dyDescent="0.2">
      <c r="A1710" s="2" t="s">
        <v>31</v>
      </c>
      <c r="B1710" s="5" t="s">
        <v>54</v>
      </c>
      <c r="C1710" s="5"/>
      <c r="D1710" s="5"/>
      <c r="E1710" s="6" t="s">
        <v>33</v>
      </c>
      <c r="F1710" s="6"/>
      <c r="G1710" s="7" t="s">
        <v>3509</v>
      </c>
      <c r="H1710" s="7"/>
      <c r="I1710" s="7"/>
      <c r="J1710" s="3" t="s">
        <v>35</v>
      </c>
      <c r="K1710" s="4" t="s">
        <v>409</v>
      </c>
      <c r="L1710" s="4" t="s">
        <v>93</v>
      </c>
      <c r="N1710" s="7" t="s">
        <v>3623</v>
      </c>
      <c r="O1710" s="7"/>
      <c r="P1710" s="7" t="s">
        <v>3624</v>
      </c>
      <c r="Q1710" s="7"/>
      <c r="R1710" s="7"/>
      <c r="S1710" s="3" t="s">
        <v>40</v>
      </c>
      <c r="T1710" s="7" t="s">
        <v>41</v>
      </c>
      <c r="U1710" s="7"/>
      <c r="V1710" s="4" t="s">
        <v>42</v>
      </c>
      <c r="W1710" s="4" t="s">
        <v>58</v>
      </c>
      <c r="X1710" s="4" t="s">
        <v>59</v>
      </c>
      <c r="Y1710" s="7" t="s">
        <v>60</v>
      </c>
      <c r="Z1710" s="7"/>
      <c r="AA1710" s="4" t="s">
        <v>46</v>
      </c>
      <c r="AB1710" s="4" t="s">
        <v>47</v>
      </c>
      <c r="AC1710" s="4" t="s">
        <v>61</v>
      </c>
      <c r="AD1710" s="4" t="s">
        <v>324</v>
      </c>
      <c r="AE1710" s="4" t="s">
        <v>48</v>
      </c>
      <c r="AF1710" s="4" t="s">
        <v>41</v>
      </c>
      <c r="AG1710" s="4" t="s">
        <v>3515</v>
      </c>
    </row>
    <row r="1711" spans="1:33" ht="16.5" customHeight="1" x14ac:dyDescent="0.2">
      <c r="A1711" s="2" t="s">
        <v>31</v>
      </c>
      <c r="B1711" s="5" t="s">
        <v>54</v>
      </c>
      <c r="C1711" s="5"/>
      <c r="D1711" s="5"/>
      <c r="E1711" s="6" t="s">
        <v>33</v>
      </c>
      <c r="F1711" s="6"/>
      <c r="G1711" s="7" t="s">
        <v>3509</v>
      </c>
      <c r="H1711" s="7"/>
      <c r="I1711" s="7"/>
      <c r="J1711" s="3" t="s">
        <v>35</v>
      </c>
      <c r="K1711" s="4" t="s">
        <v>143</v>
      </c>
      <c r="L1711" s="4" t="s">
        <v>37</v>
      </c>
      <c r="N1711" s="7" t="s">
        <v>3625</v>
      </c>
      <c r="O1711" s="7"/>
      <c r="P1711" s="7" t="s">
        <v>3626</v>
      </c>
      <c r="Q1711" s="7"/>
      <c r="R1711" s="7"/>
      <c r="S1711" s="3" t="s">
        <v>40</v>
      </c>
      <c r="T1711" s="7" t="s">
        <v>41</v>
      </c>
      <c r="U1711" s="7"/>
      <c r="V1711" s="4" t="s">
        <v>42</v>
      </c>
      <c r="W1711" s="4" t="s">
        <v>1460</v>
      </c>
      <c r="X1711" s="4" t="s">
        <v>1461</v>
      </c>
      <c r="Y1711" s="7" t="s">
        <v>135</v>
      </c>
      <c r="Z1711" s="7"/>
      <c r="AA1711" s="4" t="s">
        <v>46</v>
      </c>
      <c r="AB1711" s="4" t="s">
        <v>47</v>
      </c>
      <c r="AC1711" s="4" t="s">
        <v>136</v>
      </c>
      <c r="AD1711" s="4" t="s">
        <v>137</v>
      </c>
      <c r="AE1711" s="4" t="s">
        <v>48</v>
      </c>
      <c r="AF1711" s="4" t="s">
        <v>41</v>
      </c>
      <c r="AG1711" s="4" t="s">
        <v>3515</v>
      </c>
    </row>
    <row r="1712" spans="1:33" ht="16.5" customHeight="1" x14ac:dyDescent="0.2">
      <c r="A1712" s="2" t="s">
        <v>31</v>
      </c>
      <c r="B1712" s="5" t="s">
        <v>54</v>
      </c>
      <c r="C1712" s="5"/>
      <c r="D1712" s="5"/>
      <c r="E1712" s="6" t="s">
        <v>33</v>
      </c>
      <c r="F1712" s="6"/>
      <c r="G1712" s="7" t="s">
        <v>3509</v>
      </c>
      <c r="H1712" s="7"/>
      <c r="I1712" s="7"/>
      <c r="J1712" s="3" t="s">
        <v>35</v>
      </c>
      <c r="K1712" s="4" t="s">
        <v>143</v>
      </c>
      <c r="L1712" s="4" t="s">
        <v>37</v>
      </c>
      <c r="N1712" s="7" t="s">
        <v>3627</v>
      </c>
      <c r="O1712" s="7"/>
      <c r="P1712" s="7" t="s">
        <v>3628</v>
      </c>
      <c r="Q1712" s="7"/>
      <c r="R1712" s="7"/>
      <c r="S1712" s="3" t="s">
        <v>40</v>
      </c>
      <c r="T1712" s="7" t="s">
        <v>41</v>
      </c>
      <c r="U1712" s="7"/>
      <c r="V1712" s="4" t="s">
        <v>42</v>
      </c>
      <c r="W1712" s="4" t="s">
        <v>274</v>
      </c>
      <c r="X1712" s="4" t="s">
        <v>275</v>
      </c>
      <c r="Y1712" s="7" t="s">
        <v>135</v>
      </c>
      <c r="Z1712" s="7"/>
      <c r="AA1712" s="4" t="s">
        <v>46</v>
      </c>
      <c r="AB1712" s="4" t="s">
        <v>47</v>
      </c>
      <c r="AC1712" s="4" t="s">
        <v>136</v>
      </c>
      <c r="AD1712" s="4" t="s">
        <v>137</v>
      </c>
      <c r="AE1712" s="4" t="s">
        <v>48</v>
      </c>
      <c r="AF1712" s="4" t="s">
        <v>41</v>
      </c>
      <c r="AG1712" s="4" t="s">
        <v>3515</v>
      </c>
    </row>
    <row r="1713" spans="1:33" ht="16.5" customHeight="1" x14ac:dyDescent="0.2">
      <c r="A1713" s="2" t="s">
        <v>31</v>
      </c>
      <c r="B1713" s="5" t="s">
        <v>54</v>
      </c>
      <c r="C1713" s="5"/>
      <c r="D1713" s="5"/>
      <c r="E1713" s="6" t="s">
        <v>33</v>
      </c>
      <c r="F1713" s="6"/>
      <c r="G1713" s="7" t="s">
        <v>3509</v>
      </c>
      <c r="H1713" s="7"/>
      <c r="I1713" s="7"/>
      <c r="J1713" s="3" t="s">
        <v>35</v>
      </c>
      <c r="K1713" s="4" t="s">
        <v>149</v>
      </c>
      <c r="L1713" s="4" t="s">
        <v>1557</v>
      </c>
      <c r="N1713" s="7" t="s">
        <v>3629</v>
      </c>
      <c r="O1713" s="7"/>
      <c r="P1713" s="7" t="s">
        <v>3630</v>
      </c>
      <c r="Q1713" s="7"/>
      <c r="R1713" s="7"/>
      <c r="S1713" s="3" t="s">
        <v>40</v>
      </c>
      <c r="T1713" s="7" t="s">
        <v>41</v>
      </c>
      <c r="U1713" s="7"/>
      <c r="V1713" s="4" t="s">
        <v>51</v>
      </c>
      <c r="W1713" s="4" t="s">
        <v>274</v>
      </c>
      <c r="X1713" s="4" t="s">
        <v>279</v>
      </c>
      <c r="Y1713" s="7" t="s">
        <v>78</v>
      </c>
      <c r="Z1713" s="7"/>
      <c r="AA1713" s="4" t="s">
        <v>46</v>
      </c>
      <c r="AB1713" s="4" t="s">
        <v>47</v>
      </c>
      <c r="AC1713" s="4" t="s">
        <v>136</v>
      </c>
      <c r="AD1713" s="4" t="s">
        <v>1861</v>
      </c>
      <c r="AE1713" s="4" t="s">
        <v>48</v>
      </c>
      <c r="AF1713" s="4" t="s">
        <v>41</v>
      </c>
      <c r="AG1713" s="4" t="s">
        <v>3515</v>
      </c>
    </row>
    <row r="1714" spans="1:33" ht="16.5" customHeight="1" x14ac:dyDescent="0.2">
      <c r="A1714" s="2" t="s">
        <v>31</v>
      </c>
      <c r="B1714" s="5" t="s">
        <v>54</v>
      </c>
      <c r="C1714" s="5"/>
      <c r="D1714" s="5"/>
      <c r="E1714" s="6" t="s">
        <v>33</v>
      </c>
      <c r="F1714" s="6"/>
      <c r="G1714" s="7" t="s">
        <v>3509</v>
      </c>
      <c r="H1714" s="7"/>
      <c r="I1714" s="7"/>
      <c r="J1714" s="3" t="s">
        <v>35</v>
      </c>
      <c r="K1714" s="4" t="s">
        <v>149</v>
      </c>
      <c r="L1714" s="4" t="s">
        <v>280</v>
      </c>
      <c r="N1714" s="7" t="s">
        <v>3631</v>
      </c>
      <c r="O1714" s="7"/>
      <c r="P1714" s="7" t="s">
        <v>3632</v>
      </c>
      <c r="Q1714" s="7"/>
      <c r="R1714" s="7"/>
      <c r="S1714" s="3" t="s">
        <v>40</v>
      </c>
      <c r="T1714" s="7" t="s">
        <v>41</v>
      </c>
      <c r="U1714" s="7"/>
      <c r="V1714" s="4" t="s">
        <v>42</v>
      </c>
      <c r="W1714" s="4" t="s">
        <v>200</v>
      </c>
      <c r="X1714" s="4" t="s">
        <v>201</v>
      </c>
      <c r="Y1714" s="7" t="s">
        <v>78</v>
      </c>
      <c r="Z1714" s="7"/>
      <c r="AA1714" s="4" t="s">
        <v>46</v>
      </c>
      <c r="AB1714" s="4" t="s">
        <v>47</v>
      </c>
      <c r="AC1714" s="4" t="s">
        <v>136</v>
      </c>
      <c r="AD1714" s="4" t="s">
        <v>324</v>
      </c>
      <c r="AE1714" s="4" t="s">
        <v>48</v>
      </c>
      <c r="AF1714" s="4" t="s">
        <v>41</v>
      </c>
      <c r="AG1714" s="4" t="s">
        <v>3515</v>
      </c>
    </row>
    <row r="1715" spans="1:33" ht="16.5" customHeight="1" x14ac:dyDescent="0.2">
      <c r="A1715" s="2" t="s">
        <v>31</v>
      </c>
      <c r="B1715" s="5" t="s">
        <v>54</v>
      </c>
      <c r="C1715" s="5"/>
      <c r="D1715" s="5"/>
      <c r="E1715" s="6" t="s">
        <v>33</v>
      </c>
      <c r="F1715" s="6"/>
      <c r="G1715" s="7" t="s">
        <v>3509</v>
      </c>
      <c r="H1715" s="7"/>
      <c r="I1715" s="7"/>
      <c r="J1715" s="3" t="s">
        <v>35</v>
      </c>
      <c r="K1715" s="4" t="s">
        <v>267</v>
      </c>
      <c r="L1715" s="4" t="s">
        <v>37</v>
      </c>
      <c r="N1715" s="7" t="s">
        <v>3633</v>
      </c>
      <c r="O1715" s="7"/>
      <c r="P1715" s="7" t="s">
        <v>3634</v>
      </c>
      <c r="Q1715" s="7"/>
      <c r="R1715" s="7"/>
      <c r="S1715" s="3" t="s">
        <v>40</v>
      </c>
      <c r="T1715" s="7" t="s">
        <v>41</v>
      </c>
      <c r="U1715" s="7"/>
      <c r="V1715" s="4" t="s">
        <v>42</v>
      </c>
      <c r="W1715" s="4" t="s">
        <v>200</v>
      </c>
      <c r="X1715" s="4" t="s">
        <v>201</v>
      </c>
      <c r="Y1715" s="7" t="s">
        <v>78</v>
      </c>
      <c r="Z1715" s="7"/>
      <c r="AA1715" s="4" t="s">
        <v>46</v>
      </c>
      <c r="AB1715" s="4" t="s">
        <v>47</v>
      </c>
      <c r="AC1715" s="4" t="s">
        <v>136</v>
      </c>
      <c r="AD1715" s="4" t="s">
        <v>137</v>
      </c>
      <c r="AE1715" s="4" t="s">
        <v>48</v>
      </c>
      <c r="AF1715" s="4" t="s">
        <v>41</v>
      </c>
      <c r="AG1715" s="4" t="s">
        <v>3515</v>
      </c>
    </row>
    <row r="1716" spans="1:33" ht="16.5" customHeight="1" x14ac:dyDescent="0.2">
      <c r="A1716" s="2" t="s">
        <v>31</v>
      </c>
      <c r="B1716" s="5" t="s">
        <v>54</v>
      </c>
      <c r="C1716" s="5"/>
      <c r="D1716" s="5"/>
      <c r="E1716" s="6" t="s">
        <v>33</v>
      </c>
      <c r="F1716" s="6"/>
      <c r="G1716" s="7" t="s">
        <v>3509</v>
      </c>
      <c r="H1716" s="7"/>
      <c r="I1716" s="7"/>
      <c r="J1716" s="3" t="s">
        <v>35</v>
      </c>
      <c r="K1716" s="4" t="s">
        <v>149</v>
      </c>
      <c r="L1716" s="4" t="s">
        <v>37</v>
      </c>
      <c r="N1716" s="7" t="s">
        <v>3635</v>
      </c>
      <c r="O1716" s="7"/>
      <c r="P1716" s="7" t="s">
        <v>3636</v>
      </c>
      <c r="Q1716" s="7"/>
      <c r="R1716" s="7"/>
      <c r="S1716" s="3" t="s">
        <v>40</v>
      </c>
      <c r="T1716" s="7" t="s">
        <v>41</v>
      </c>
      <c r="U1716" s="7"/>
      <c r="V1716" s="4" t="s">
        <v>42</v>
      </c>
      <c r="W1716" s="4" t="s">
        <v>1102</v>
      </c>
      <c r="X1716" s="4" t="s">
        <v>1103</v>
      </c>
      <c r="Y1716" s="7" t="s">
        <v>78</v>
      </c>
      <c r="Z1716" s="7"/>
      <c r="AA1716" s="4" t="s">
        <v>46</v>
      </c>
      <c r="AB1716" s="4" t="s">
        <v>47</v>
      </c>
      <c r="AC1716" s="4" t="s">
        <v>136</v>
      </c>
      <c r="AD1716" s="4" t="s">
        <v>137</v>
      </c>
      <c r="AE1716" s="4" t="s">
        <v>48</v>
      </c>
      <c r="AF1716" s="4" t="s">
        <v>41</v>
      </c>
      <c r="AG1716" s="4" t="s">
        <v>3515</v>
      </c>
    </row>
    <row r="1717" spans="1:33" ht="16.5" customHeight="1" x14ac:dyDescent="0.2">
      <c r="A1717" s="2" t="s">
        <v>31</v>
      </c>
      <c r="B1717" s="5" t="s">
        <v>54</v>
      </c>
      <c r="C1717" s="5"/>
      <c r="D1717" s="5"/>
      <c r="E1717" s="6" t="s">
        <v>33</v>
      </c>
      <c r="F1717" s="6"/>
      <c r="G1717" s="7" t="s">
        <v>3509</v>
      </c>
      <c r="H1717" s="7"/>
      <c r="I1717" s="7"/>
      <c r="J1717" s="3" t="s">
        <v>35</v>
      </c>
      <c r="K1717" s="4" t="s">
        <v>409</v>
      </c>
      <c r="L1717" s="4" t="s">
        <v>37</v>
      </c>
      <c r="N1717" s="7" t="s">
        <v>3637</v>
      </c>
      <c r="O1717" s="7"/>
      <c r="P1717" s="7" t="s">
        <v>3638</v>
      </c>
      <c r="Q1717" s="7"/>
      <c r="R1717" s="7"/>
      <c r="S1717" s="3" t="s">
        <v>40</v>
      </c>
      <c r="T1717" s="7" t="s">
        <v>41</v>
      </c>
      <c r="U1717" s="7"/>
      <c r="V1717" s="4" t="s">
        <v>42</v>
      </c>
      <c r="W1717" s="4" t="s">
        <v>309</v>
      </c>
      <c r="X1717" s="4" t="s">
        <v>306</v>
      </c>
      <c r="Y1717" s="7" t="s">
        <v>60</v>
      </c>
      <c r="Z1717" s="7"/>
      <c r="AA1717" s="4" t="s">
        <v>46</v>
      </c>
      <c r="AB1717" s="4" t="s">
        <v>47</v>
      </c>
      <c r="AC1717" s="4" t="s">
        <v>79</v>
      </c>
      <c r="AD1717" s="4" t="s">
        <v>80</v>
      </c>
      <c r="AE1717" s="4" t="s">
        <v>48</v>
      </c>
      <c r="AF1717" s="4" t="s">
        <v>41</v>
      </c>
      <c r="AG1717" s="4" t="s">
        <v>3515</v>
      </c>
    </row>
    <row r="1718" spans="1:33" ht="16.5" customHeight="1" x14ac:dyDescent="0.2">
      <c r="A1718" s="2" t="s">
        <v>31</v>
      </c>
      <c r="B1718" s="5" t="s">
        <v>54</v>
      </c>
      <c r="C1718" s="5"/>
      <c r="D1718" s="5"/>
      <c r="E1718" s="6" t="s">
        <v>33</v>
      </c>
      <c r="F1718" s="6"/>
      <c r="G1718" s="7" t="s">
        <v>3509</v>
      </c>
      <c r="H1718" s="7"/>
      <c r="I1718" s="7"/>
      <c r="J1718" s="3" t="s">
        <v>35</v>
      </c>
      <c r="K1718" s="4" t="s">
        <v>1078</v>
      </c>
      <c r="L1718" s="4" t="s">
        <v>37</v>
      </c>
      <c r="N1718" s="7" t="s">
        <v>3639</v>
      </c>
      <c r="O1718" s="7"/>
      <c r="P1718" s="7" t="s">
        <v>3640</v>
      </c>
      <c r="Q1718" s="7"/>
      <c r="R1718" s="7"/>
      <c r="S1718" s="3" t="s">
        <v>40</v>
      </c>
      <c r="T1718" s="7" t="s">
        <v>41</v>
      </c>
      <c r="U1718" s="7"/>
      <c r="V1718" s="4" t="s">
        <v>42</v>
      </c>
      <c r="W1718" s="4" t="s">
        <v>469</v>
      </c>
      <c r="X1718" s="4" t="s">
        <v>470</v>
      </c>
      <c r="Y1718" s="7" t="s">
        <v>135</v>
      </c>
      <c r="Z1718" s="7"/>
      <c r="AA1718" s="4" t="s">
        <v>46</v>
      </c>
      <c r="AB1718" s="4" t="s">
        <v>47</v>
      </c>
      <c r="AC1718" s="4" t="s">
        <v>136</v>
      </c>
      <c r="AD1718" s="4" t="s">
        <v>137</v>
      </c>
      <c r="AE1718" s="4" t="s">
        <v>48</v>
      </c>
      <c r="AF1718" s="4" t="s">
        <v>41</v>
      </c>
      <c r="AG1718" s="4" t="s">
        <v>3515</v>
      </c>
    </row>
    <row r="1719" spans="1:33" ht="16.5" customHeight="1" x14ac:dyDescent="0.2">
      <c r="A1719" s="2" t="s">
        <v>31</v>
      </c>
      <c r="B1719" s="5" t="s">
        <v>54</v>
      </c>
      <c r="C1719" s="5"/>
      <c r="D1719" s="5"/>
      <c r="E1719" s="6" t="s">
        <v>33</v>
      </c>
      <c r="F1719" s="6"/>
      <c r="G1719" s="7" t="s">
        <v>3509</v>
      </c>
      <c r="H1719" s="7"/>
      <c r="I1719" s="7"/>
      <c r="J1719" s="3" t="s">
        <v>35</v>
      </c>
      <c r="K1719" s="4" t="s">
        <v>143</v>
      </c>
      <c r="L1719" s="4" t="s">
        <v>37</v>
      </c>
      <c r="N1719" s="7" t="s">
        <v>3641</v>
      </c>
      <c r="O1719" s="7"/>
      <c r="P1719" s="7" t="s">
        <v>3642</v>
      </c>
      <c r="Q1719" s="7"/>
      <c r="R1719" s="7"/>
      <c r="S1719" s="3" t="s">
        <v>40</v>
      </c>
      <c r="T1719" s="7" t="s">
        <v>41</v>
      </c>
      <c r="U1719" s="7"/>
      <c r="V1719" s="4" t="s">
        <v>42</v>
      </c>
      <c r="W1719" s="4" t="s">
        <v>43</v>
      </c>
      <c r="X1719" s="4" t="s">
        <v>44</v>
      </c>
      <c r="Y1719" s="7" t="s">
        <v>135</v>
      </c>
      <c r="Z1719" s="7"/>
      <c r="AA1719" s="4" t="s">
        <v>46</v>
      </c>
      <c r="AB1719" s="4" t="s">
        <v>47</v>
      </c>
      <c r="AC1719" s="4" t="s">
        <v>136</v>
      </c>
      <c r="AD1719" s="4" t="s">
        <v>137</v>
      </c>
      <c r="AE1719" s="4" t="s">
        <v>48</v>
      </c>
      <c r="AF1719" s="4" t="s">
        <v>41</v>
      </c>
      <c r="AG1719" s="4" t="s">
        <v>3515</v>
      </c>
    </row>
    <row r="1720" spans="1:33" ht="16.5" customHeight="1" x14ac:dyDescent="0.2">
      <c r="A1720" s="2" t="s">
        <v>31</v>
      </c>
      <c r="B1720" s="5" t="s">
        <v>54</v>
      </c>
      <c r="C1720" s="5"/>
      <c r="D1720" s="5"/>
      <c r="E1720" s="6" t="s">
        <v>33</v>
      </c>
      <c r="F1720" s="6"/>
      <c r="G1720" s="7" t="s">
        <v>3509</v>
      </c>
      <c r="H1720" s="7"/>
      <c r="I1720" s="7"/>
      <c r="J1720" s="3" t="s">
        <v>35</v>
      </c>
      <c r="K1720" s="4" t="s">
        <v>55</v>
      </c>
      <c r="L1720" s="4" t="s">
        <v>93</v>
      </c>
      <c r="N1720" s="7" t="s">
        <v>3643</v>
      </c>
      <c r="O1720" s="7"/>
      <c r="P1720" s="7" t="s">
        <v>3644</v>
      </c>
      <c r="Q1720" s="7"/>
      <c r="R1720" s="7"/>
      <c r="S1720" s="3" t="s">
        <v>40</v>
      </c>
      <c r="T1720" s="7" t="s">
        <v>41</v>
      </c>
      <c r="U1720" s="7"/>
      <c r="V1720" s="4" t="s">
        <v>42</v>
      </c>
      <c r="W1720" s="4" t="s">
        <v>43</v>
      </c>
      <c r="X1720" s="4" t="s">
        <v>44</v>
      </c>
      <c r="Y1720" s="7" t="s">
        <v>60</v>
      </c>
      <c r="Z1720" s="7"/>
      <c r="AA1720" s="4" t="s">
        <v>46</v>
      </c>
      <c r="AB1720" s="4" t="s">
        <v>47</v>
      </c>
      <c r="AC1720" s="4" t="s">
        <v>79</v>
      </c>
      <c r="AD1720" s="4" t="s">
        <v>96</v>
      </c>
      <c r="AE1720" s="4" t="s">
        <v>48</v>
      </c>
      <c r="AF1720" s="4" t="s">
        <v>41</v>
      </c>
      <c r="AG1720" s="4" t="s">
        <v>3515</v>
      </c>
    </row>
    <row r="1721" spans="1:33" ht="16.5" customHeight="1" x14ac:dyDescent="0.2">
      <c r="A1721" s="2" t="s">
        <v>31</v>
      </c>
      <c r="B1721" s="5" t="s">
        <v>54</v>
      </c>
      <c r="C1721" s="5"/>
      <c r="D1721" s="5"/>
      <c r="E1721" s="6" t="s">
        <v>33</v>
      </c>
      <c r="F1721" s="6"/>
      <c r="G1721" s="7" t="s">
        <v>3509</v>
      </c>
      <c r="H1721" s="7"/>
      <c r="I1721" s="7"/>
      <c r="J1721" s="3" t="s">
        <v>35</v>
      </c>
      <c r="K1721" s="4" t="s">
        <v>149</v>
      </c>
      <c r="L1721" s="4" t="s">
        <v>37</v>
      </c>
      <c r="N1721" s="7" t="s">
        <v>3645</v>
      </c>
      <c r="O1721" s="7"/>
      <c r="P1721" s="7" t="s">
        <v>3646</v>
      </c>
      <c r="Q1721" s="7"/>
      <c r="R1721" s="7"/>
      <c r="S1721" s="3" t="s">
        <v>40</v>
      </c>
      <c r="T1721" s="7" t="s">
        <v>41</v>
      </c>
      <c r="U1721" s="7"/>
      <c r="V1721" s="4" t="s">
        <v>42</v>
      </c>
      <c r="W1721" s="4" t="s">
        <v>43</v>
      </c>
      <c r="X1721" s="4" t="s">
        <v>44</v>
      </c>
      <c r="Y1721" s="7" t="s">
        <v>78</v>
      </c>
      <c r="Z1721" s="7"/>
      <c r="AA1721" s="4" t="s">
        <v>46</v>
      </c>
      <c r="AB1721" s="4" t="s">
        <v>47</v>
      </c>
      <c r="AC1721" s="4" t="s">
        <v>136</v>
      </c>
      <c r="AD1721" s="4" t="s">
        <v>137</v>
      </c>
      <c r="AE1721" s="4" t="s">
        <v>48</v>
      </c>
      <c r="AF1721" s="4" t="s">
        <v>41</v>
      </c>
      <c r="AG1721" s="4" t="s">
        <v>3515</v>
      </c>
    </row>
    <row r="1722" spans="1:33" ht="16.5" customHeight="1" x14ac:dyDescent="0.2">
      <c r="A1722" s="2" t="s">
        <v>31</v>
      </c>
      <c r="B1722" s="5" t="s">
        <v>54</v>
      </c>
      <c r="C1722" s="5"/>
      <c r="D1722" s="5"/>
      <c r="E1722" s="6" t="s">
        <v>33</v>
      </c>
      <c r="F1722" s="6"/>
      <c r="G1722" s="7" t="s">
        <v>3509</v>
      </c>
      <c r="H1722" s="7"/>
      <c r="I1722" s="7"/>
      <c r="J1722" s="3" t="s">
        <v>35</v>
      </c>
      <c r="K1722" s="4" t="s">
        <v>409</v>
      </c>
      <c r="L1722" s="4" t="s">
        <v>37</v>
      </c>
      <c r="N1722" s="7" t="s">
        <v>3647</v>
      </c>
      <c r="O1722" s="7"/>
      <c r="P1722" s="7" t="s">
        <v>3648</v>
      </c>
      <c r="Q1722" s="7"/>
      <c r="R1722" s="7"/>
      <c r="S1722" s="3" t="s">
        <v>40</v>
      </c>
      <c r="T1722" s="7" t="s">
        <v>41</v>
      </c>
      <c r="U1722" s="7"/>
      <c r="V1722" s="4" t="s">
        <v>42</v>
      </c>
      <c r="W1722" s="4" t="s">
        <v>329</v>
      </c>
      <c r="X1722" s="4" t="s">
        <v>330</v>
      </c>
      <c r="Y1722" s="7" t="s">
        <v>60</v>
      </c>
      <c r="Z1722" s="7"/>
      <c r="AA1722" s="4" t="s">
        <v>46</v>
      </c>
      <c r="AB1722" s="4" t="s">
        <v>47</v>
      </c>
      <c r="AC1722" s="4" t="s">
        <v>79</v>
      </c>
      <c r="AD1722" s="4" t="s">
        <v>80</v>
      </c>
      <c r="AE1722" s="4" t="s">
        <v>48</v>
      </c>
      <c r="AF1722" s="4" t="s">
        <v>41</v>
      </c>
      <c r="AG1722" s="4" t="s">
        <v>3515</v>
      </c>
    </row>
    <row r="1723" spans="1:33" ht="16.5" customHeight="1" x14ac:dyDescent="0.2">
      <c r="A1723" s="2" t="s">
        <v>31</v>
      </c>
      <c r="B1723" s="5" t="s">
        <v>54</v>
      </c>
      <c r="C1723" s="5"/>
      <c r="D1723" s="5"/>
      <c r="E1723" s="6" t="s">
        <v>33</v>
      </c>
      <c r="F1723" s="6"/>
      <c r="G1723" s="7" t="s">
        <v>3509</v>
      </c>
      <c r="H1723" s="7"/>
      <c r="I1723" s="7"/>
      <c r="J1723" s="3" t="s">
        <v>35</v>
      </c>
      <c r="K1723" s="4" t="s">
        <v>409</v>
      </c>
      <c r="L1723" s="4" t="s">
        <v>37</v>
      </c>
      <c r="N1723" s="7" t="s">
        <v>3649</v>
      </c>
      <c r="O1723" s="7"/>
      <c r="P1723" s="7" t="s">
        <v>3650</v>
      </c>
      <c r="Q1723" s="7"/>
      <c r="R1723" s="7"/>
      <c r="S1723" s="3" t="s">
        <v>40</v>
      </c>
      <c r="T1723" s="7" t="s">
        <v>41</v>
      </c>
      <c r="U1723" s="7"/>
      <c r="V1723" s="4" t="s">
        <v>42</v>
      </c>
      <c r="W1723" s="4" t="s">
        <v>329</v>
      </c>
      <c r="X1723" s="4" t="s">
        <v>330</v>
      </c>
      <c r="Y1723" s="7" t="s">
        <v>60</v>
      </c>
      <c r="Z1723" s="7"/>
      <c r="AA1723" s="4" t="s">
        <v>46</v>
      </c>
      <c r="AB1723" s="4" t="s">
        <v>47</v>
      </c>
      <c r="AC1723" s="4" t="s">
        <v>79</v>
      </c>
      <c r="AD1723" s="4" t="s">
        <v>80</v>
      </c>
      <c r="AE1723" s="4" t="s">
        <v>48</v>
      </c>
      <c r="AF1723" s="4" t="s">
        <v>41</v>
      </c>
      <c r="AG1723" s="4" t="s">
        <v>3515</v>
      </c>
    </row>
    <row r="1724" spans="1:33" ht="16.5" customHeight="1" x14ac:dyDescent="0.2">
      <c r="A1724" s="2" t="s">
        <v>31</v>
      </c>
      <c r="B1724" s="5" t="s">
        <v>54</v>
      </c>
      <c r="C1724" s="5"/>
      <c r="D1724" s="5"/>
      <c r="E1724" s="6" t="s">
        <v>33</v>
      </c>
      <c r="F1724" s="6"/>
      <c r="G1724" s="7" t="s">
        <v>3509</v>
      </c>
      <c r="H1724" s="7"/>
      <c r="I1724" s="7"/>
      <c r="J1724" s="3" t="s">
        <v>35</v>
      </c>
      <c r="K1724" s="4" t="s">
        <v>149</v>
      </c>
      <c r="L1724" s="4" t="s">
        <v>37</v>
      </c>
      <c r="N1724" s="7" t="s">
        <v>3651</v>
      </c>
      <c r="O1724" s="7"/>
      <c r="P1724" s="7" t="s">
        <v>3652</v>
      </c>
      <c r="Q1724" s="7"/>
      <c r="R1724" s="7"/>
      <c r="S1724" s="3" t="s">
        <v>40</v>
      </c>
      <c r="T1724" s="7" t="s">
        <v>41</v>
      </c>
      <c r="U1724" s="7"/>
      <c r="V1724" s="4" t="s">
        <v>42</v>
      </c>
      <c r="W1724" s="4" t="s">
        <v>329</v>
      </c>
      <c r="X1724" s="4" t="s">
        <v>330</v>
      </c>
      <c r="Y1724" s="7" t="s">
        <v>78</v>
      </c>
      <c r="Z1724" s="7"/>
      <c r="AA1724" s="4" t="s">
        <v>46</v>
      </c>
      <c r="AB1724" s="4" t="s">
        <v>47</v>
      </c>
      <c r="AC1724" s="4" t="s">
        <v>136</v>
      </c>
      <c r="AD1724" s="4" t="s">
        <v>137</v>
      </c>
      <c r="AE1724" s="4" t="s">
        <v>48</v>
      </c>
      <c r="AF1724" s="4" t="s">
        <v>41</v>
      </c>
      <c r="AG1724" s="4" t="s">
        <v>3515</v>
      </c>
    </row>
    <row r="1725" spans="1:33" ht="16.5" customHeight="1" x14ac:dyDescent="0.2">
      <c r="A1725" s="2" t="s">
        <v>31</v>
      </c>
      <c r="B1725" s="5" t="s">
        <v>54</v>
      </c>
      <c r="C1725" s="5"/>
      <c r="D1725" s="5"/>
      <c r="E1725" s="6" t="s">
        <v>33</v>
      </c>
      <c r="F1725" s="6"/>
      <c r="G1725" s="7" t="s">
        <v>3509</v>
      </c>
      <c r="H1725" s="7"/>
      <c r="I1725" s="7"/>
      <c r="J1725" s="3" t="s">
        <v>35</v>
      </c>
      <c r="K1725" s="4" t="s">
        <v>143</v>
      </c>
      <c r="L1725" s="4" t="s">
        <v>93</v>
      </c>
      <c r="N1725" s="7" t="s">
        <v>3653</v>
      </c>
      <c r="O1725" s="7"/>
      <c r="P1725" s="7" t="s">
        <v>3654</v>
      </c>
      <c r="Q1725" s="7"/>
      <c r="R1725" s="7"/>
      <c r="S1725" s="3" t="s">
        <v>40</v>
      </c>
      <c r="T1725" s="7" t="s">
        <v>41</v>
      </c>
      <c r="U1725" s="7"/>
      <c r="V1725" s="4" t="s">
        <v>42</v>
      </c>
      <c r="W1725" s="4" t="s">
        <v>990</v>
      </c>
      <c r="X1725" s="4" t="s">
        <v>991</v>
      </c>
      <c r="Y1725" s="7" t="s">
        <v>135</v>
      </c>
      <c r="Z1725" s="7"/>
      <c r="AA1725" s="4" t="s">
        <v>46</v>
      </c>
      <c r="AB1725" s="4" t="s">
        <v>47</v>
      </c>
      <c r="AC1725" s="4" t="s">
        <v>136</v>
      </c>
      <c r="AD1725" s="4" t="s">
        <v>148</v>
      </c>
      <c r="AE1725" s="4" t="s">
        <v>48</v>
      </c>
      <c r="AF1725" s="4" t="s">
        <v>41</v>
      </c>
      <c r="AG1725" s="4" t="s">
        <v>3515</v>
      </c>
    </row>
    <row r="1726" spans="1:33" ht="16.5" customHeight="1" x14ac:dyDescent="0.2">
      <c r="A1726" s="2" t="s">
        <v>31</v>
      </c>
      <c r="B1726" s="5" t="s">
        <v>54</v>
      </c>
      <c r="C1726" s="5"/>
      <c r="D1726" s="5"/>
      <c r="E1726" s="6" t="s">
        <v>33</v>
      </c>
      <c r="F1726" s="6"/>
      <c r="G1726" s="7" t="s">
        <v>3509</v>
      </c>
      <c r="H1726" s="7"/>
      <c r="I1726" s="7"/>
      <c r="J1726" s="3" t="s">
        <v>35</v>
      </c>
      <c r="K1726" s="4" t="s">
        <v>73</v>
      </c>
      <c r="L1726" s="4" t="s">
        <v>37</v>
      </c>
      <c r="N1726" s="7" t="s">
        <v>3655</v>
      </c>
      <c r="O1726" s="7"/>
      <c r="P1726" s="7" t="s">
        <v>3656</v>
      </c>
      <c r="Q1726" s="7"/>
      <c r="R1726" s="7"/>
      <c r="S1726" s="3" t="s">
        <v>40</v>
      </c>
      <c r="T1726" s="7" t="s">
        <v>41</v>
      </c>
      <c r="U1726" s="7"/>
      <c r="V1726" s="4" t="s">
        <v>42</v>
      </c>
      <c r="W1726" s="4" t="s">
        <v>234</v>
      </c>
      <c r="X1726" s="4" t="s">
        <v>235</v>
      </c>
      <c r="Y1726" s="7" t="s">
        <v>78</v>
      </c>
      <c r="Z1726" s="7"/>
      <c r="AA1726" s="4" t="s">
        <v>46</v>
      </c>
      <c r="AB1726" s="4" t="s">
        <v>47</v>
      </c>
      <c r="AC1726" s="4" t="s">
        <v>136</v>
      </c>
      <c r="AD1726" s="4" t="s">
        <v>137</v>
      </c>
      <c r="AE1726" s="4" t="s">
        <v>48</v>
      </c>
      <c r="AF1726" s="4" t="s">
        <v>41</v>
      </c>
      <c r="AG1726" s="4" t="s">
        <v>3515</v>
      </c>
    </row>
    <row r="1727" spans="1:33" ht="16.5" customHeight="1" x14ac:dyDescent="0.2">
      <c r="A1727" s="2" t="s">
        <v>31</v>
      </c>
      <c r="B1727" s="5" t="s">
        <v>54</v>
      </c>
      <c r="C1727" s="5"/>
      <c r="D1727" s="5"/>
      <c r="E1727" s="6" t="s">
        <v>33</v>
      </c>
      <c r="F1727" s="6"/>
      <c r="G1727" s="7" t="s">
        <v>3509</v>
      </c>
      <c r="H1727" s="7"/>
      <c r="I1727" s="7"/>
      <c r="J1727" s="3" t="s">
        <v>35</v>
      </c>
      <c r="K1727" s="4" t="s">
        <v>409</v>
      </c>
      <c r="L1727" s="4" t="s">
        <v>37</v>
      </c>
      <c r="N1727" s="7" t="s">
        <v>3657</v>
      </c>
      <c r="O1727" s="7"/>
      <c r="P1727" s="7" t="s">
        <v>3658</v>
      </c>
      <c r="Q1727" s="7"/>
      <c r="R1727" s="7"/>
      <c r="S1727" s="3" t="s">
        <v>40</v>
      </c>
      <c r="T1727" s="7" t="s">
        <v>41</v>
      </c>
      <c r="U1727" s="7"/>
      <c r="V1727" s="4" t="s">
        <v>42</v>
      </c>
      <c r="W1727" s="4" t="s">
        <v>990</v>
      </c>
      <c r="X1727" s="4" t="s">
        <v>991</v>
      </c>
      <c r="Y1727" s="7" t="s">
        <v>60</v>
      </c>
      <c r="Z1727" s="7"/>
      <c r="AA1727" s="4" t="s">
        <v>46</v>
      </c>
      <c r="AB1727" s="4" t="s">
        <v>47</v>
      </c>
      <c r="AC1727" s="4" t="s">
        <v>79</v>
      </c>
      <c r="AD1727" s="4" t="s">
        <v>80</v>
      </c>
      <c r="AE1727" s="4" t="s">
        <v>48</v>
      </c>
      <c r="AF1727" s="4" t="s">
        <v>41</v>
      </c>
      <c r="AG1727" s="4" t="s">
        <v>3515</v>
      </c>
    </row>
    <row r="1728" spans="1:33" ht="16.5" customHeight="1" x14ac:dyDescent="0.2">
      <c r="A1728" s="2" t="s">
        <v>31</v>
      </c>
      <c r="B1728" s="5" t="s">
        <v>54</v>
      </c>
      <c r="C1728" s="5"/>
      <c r="D1728" s="5"/>
      <c r="E1728" s="6" t="s">
        <v>33</v>
      </c>
      <c r="F1728" s="6"/>
      <c r="G1728" s="7" t="s">
        <v>3509</v>
      </c>
      <c r="H1728" s="7"/>
      <c r="I1728" s="7"/>
      <c r="J1728" s="3" t="s">
        <v>35</v>
      </c>
      <c r="K1728" s="4" t="s">
        <v>149</v>
      </c>
      <c r="L1728" s="4" t="s">
        <v>37</v>
      </c>
      <c r="N1728" s="7" t="s">
        <v>3659</v>
      </c>
      <c r="O1728" s="7"/>
      <c r="P1728" s="7" t="s">
        <v>3660</v>
      </c>
      <c r="Q1728" s="7"/>
      <c r="R1728" s="7"/>
      <c r="S1728" s="3" t="s">
        <v>40</v>
      </c>
      <c r="T1728" s="7" t="s">
        <v>41</v>
      </c>
      <c r="U1728" s="7"/>
      <c r="V1728" s="4" t="s">
        <v>42</v>
      </c>
      <c r="W1728" s="4" t="s">
        <v>146</v>
      </c>
      <c r="X1728" s="4" t="s">
        <v>147</v>
      </c>
      <c r="Y1728" s="7" t="s">
        <v>78</v>
      </c>
      <c r="Z1728" s="7"/>
      <c r="AA1728" s="4" t="s">
        <v>46</v>
      </c>
      <c r="AB1728" s="4" t="s">
        <v>47</v>
      </c>
      <c r="AC1728" s="4" t="s">
        <v>136</v>
      </c>
      <c r="AD1728" s="4" t="s">
        <v>137</v>
      </c>
      <c r="AE1728" s="4" t="s">
        <v>48</v>
      </c>
      <c r="AF1728" s="4" t="s">
        <v>41</v>
      </c>
      <c r="AG1728" s="4" t="s">
        <v>3515</v>
      </c>
    </row>
    <row r="1729" spans="1:33" ht="16.5" customHeight="1" x14ac:dyDescent="0.2">
      <c r="A1729" s="2" t="s">
        <v>31</v>
      </c>
      <c r="B1729" s="5" t="s">
        <v>54</v>
      </c>
      <c r="C1729" s="5"/>
      <c r="D1729" s="5"/>
      <c r="E1729" s="6" t="s">
        <v>33</v>
      </c>
      <c r="F1729" s="6"/>
      <c r="G1729" s="7" t="s">
        <v>3509</v>
      </c>
      <c r="H1729" s="7"/>
      <c r="I1729" s="7"/>
      <c r="J1729" s="3" t="s">
        <v>35</v>
      </c>
      <c r="K1729" s="4" t="s">
        <v>149</v>
      </c>
      <c r="L1729" s="4" t="s">
        <v>280</v>
      </c>
      <c r="N1729" s="7" t="s">
        <v>3661</v>
      </c>
      <c r="O1729" s="7"/>
      <c r="P1729" s="7" t="s">
        <v>3662</v>
      </c>
      <c r="Q1729" s="7"/>
      <c r="R1729" s="7"/>
      <c r="S1729" s="3" t="s">
        <v>40</v>
      </c>
      <c r="T1729" s="7" t="s">
        <v>41</v>
      </c>
      <c r="U1729" s="7"/>
      <c r="V1729" s="4" t="s">
        <v>42</v>
      </c>
      <c r="W1729" s="4" t="s">
        <v>570</v>
      </c>
      <c r="X1729" s="4" t="s">
        <v>571</v>
      </c>
      <c r="Y1729" s="7" t="s">
        <v>78</v>
      </c>
      <c r="Z1729" s="7"/>
      <c r="AA1729" s="4" t="s">
        <v>46</v>
      </c>
      <c r="AB1729" s="4" t="s">
        <v>47</v>
      </c>
      <c r="AC1729" s="4" t="s">
        <v>136</v>
      </c>
      <c r="AD1729" s="4" t="s">
        <v>324</v>
      </c>
      <c r="AE1729" s="4" t="s">
        <v>48</v>
      </c>
      <c r="AF1729" s="4" t="s">
        <v>41</v>
      </c>
      <c r="AG1729" s="4" t="s">
        <v>3515</v>
      </c>
    </row>
    <row r="1730" spans="1:33" ht="16.5" customHeight="1" x14ac:dyDescent="0.2">
      <c r="A1730" s="2" t="s">
        <v>31</v>
      </c>
      <c r="B1730" s="5" t="s">
        <v>54</v>
      </c>
      <c r="C1730" s="5"/>
      <c r="D1730" s="5"/>
      <c r="E1730" s="6" t="s">
        <v>33</v>
      </c>
      <c r="F1730" s="6"/>
      <c r="G1730" s="7" t="s">
        <v>3509</v>
      </c>
      <c r="H1730" s="7"/>
      <c r="I1730" s="7"/>
      <c r="J1730" s="3" t="s">
        <v>35</v>
      </c>
      <c r="K1730" s="4" t="s">
        <v>92</v>
      </c>
      <c r="L1730" s="4" t="s">
        <v>93</v>
      </c>
      <c r="N1730" s="7" t="s">
        <v>3663</v>
      </c>
      <c r="O1730" s="7"/>
      <c r="P1730" s="7" t="s">
        <v>3664</v>
      </c>
      <c r="Q1730" s="7"/>
      <c r="R1730" s="7"/>
      <c r="S1730" s="3" t="s">
        <v>40</v>
      </c>
      <c r="T1730" s="7" t="s">
        <v>41</v>
      </c>
      <c r="U1730" s="7"/>
      <c r="V1730" s="4" t="s">
        <v>42</v>
      </c>
      <c r="W1730" s="4" t="s">
        <v>234</v>
      </c>
      <c r="X1730" s="4" t="s">
        <v>235</v>
      </c>
      <c r="Y1730" s="7" t="s">
        <v>78</v>
      </c>
      <c r="Z1730" s="7"/>
      <c r="AA1730" s="4" t="s">
        <v>46</v>
      </c>
      <c r="AB1730" s="4" t="s">
        <v>47</v>
      </c>
      <c r="AC1730" s="4" t="s">
        <v>136</v>
      </c>
      <c r="AD1730" s="4" t="s">
        <v>148</v>
      </c>
      <c r="AE1730" s="4" t="s">
        <v>48</v>
      </c>
      <c r="AF1730" s="4" t="s">
        <v>41</v>
      </c>
      <c r="AG1730" s="4" t="s">
        <v>3515</v>
      </c>
    </row>
    <row r="1731" spans="1:33" ht="16.5" customHeight="1" x14ac:dyDescent="0.2">
      <c r="A1731" s="2" t="s">
        <v>31</v>
      </c>
      <c r="B1731" s="5" t="s">
        <v>54</v>
      </c>
      <c r="C1731" s="5"/>
      <c r="D1731" s="5"/>
      <c r="E1731" s="6" t="s">
        <v>33</v>
      </c>
      <c r="F1731" s="6"/>
      <c r="G1731" s="7" t="s">
        <v>3509</v>
      </c>
      <c r="H1731" s="7"/>
      <c r="I1731" s="7"/>
      <c r="J1731" s="3" t="s">
        <v>35</v>
      </c>
      <c r="K1731" s="4" t="s">
        <v>55</v>
      </c>
      <c r="L1731" s="4" t="s">
        <v>37</v>
      </c>
      <c r="N1731" s="7" t="s">
        <v>3665</v>
      </c>
      <c r="O1731" s="7"/>
      <c r="P1731" s="7" t="s">
        <v>3666</v>
      </c>
      <c r="Q1731" s="7"/>
      <c r="R1731" s="7"/>
      <c r="S1731" s="3" t="s">
        <v>40</v>
      </c>
      <c r="T1731" s="7" t="s">
        <v>41</v>
      </c>
      <c r="U1731" s="7"/>
      <c r="V1731" s="4" t="s">
        <v>42</v>
      </c>
      <c r="W1731" s="4" t="s">
        <v>760</v>
      </c>
      <c r="X1731" s="4" t="s">
        <v>761</v>
      </c>
      <c r="Y1731" s="7" t="s">
        <v>60</v>
      </c>
      <c r="Z1731" s="7"/>
      <c r="AA1731" s="4" t="s">
        <v>46</v>
      </c>
      <c r="AB1731" s="4" t="s">
        <v>47</v>
      </c>
      <c r="AC1731" s="4" t="s">
        <v>79</v>
      </c>
      <c r="AD1731" s="4" t="s">
        <v>80</v>
      </c>
      <c r="AE1731" s="4" t="s">
        <v>48</v>
      </c>
      <c r="AF1731" s="4" t="s">
        <v>41</v>
      </c>
      <c r="AG1731" s="4" t="s">
        <v>3515</v>
      </c>
    </row>
    <row r="1732" spans="1:33" ht="16.5" customHeight="1" x14ac:dyDescent="0.2">
      <c r="A1732" s="2" t="s">
        <v>31</v>
      </c>
      <c r="B1732" s="5" t="s">
        <v>54</v>
      </c>
      <c r="C1732" s="5"/>
      <c r="D1732" s="5"/>
      <c r="E1732" s="6" t="s">
        <v>33</v>
      </c>
      <c r="F1732" s="6"/>
      <c r="G1732" s="7" t="s">
        <v>3509</v>
      </c>
      <c r="H1732" s="7"/>
      <c r="I1732" s="7"/>
      <c r="J1732" s="3" t="s">
        <v>35</v>
      </c>
      <c r="K1732" s="4" t="s">
        <v>97</v>
      </c>
      <c r="L1732" s="4" t="s">
        <v>93</v>
      </c>
      <c r="N1732" s="7" t="s">
        <v>3667</v>
      </c>
      <c r="O1732" s="7"/>
      <c r="P1732" s="7" t="s">
        <v>3668</v>
      </c>
      <c r="Q1732" s="7"/>
      <c r="R1732" s="7"/>
      <c r="S1732" s="3" t="s">
        <v>40</v>
      </c>
      <c r="T1732" s="7" t="s">
        <v>41</v>
      </c>
      <c r="U1732" s="7"/>
      <c r="V1732" s="4" t="s">
        <v>42</v>
      </c>
      <c r="W1732" s="4" t="s">
        <v>234</v>
      </c>
      <c r="X1732" s="4" t="s">
        <v>235</v>
      </c>
      <c r="Y1732" s="7" t="s">
        <v>78</v>
      </c>
      <c r="Z1732" s="7"/>
      <c r="AA1732" s="4" t="s">
        <v>46</v>
      </c>
      <c r="AB1732" s="4" t="s">
        <v>47</v>
      </c>
      <c r="AC1732" s="4" t="s">
        <v>136</v>
      </c>
      <c r="AD1732" s="4" t="s">
        <v>148</v>
      </c>
      <c r="AE1732" s="4" t="s">
        <v>48</v>
      </c>
      <c r="AF1732" s="4" t="s">
        <v>41</v>
      </c>
      <c r="AG1732" s="4" t="s">
        <v>3515</v>
      </c>
    </row>
    <row r="1733" spans="1:33" ht="16.5" customHeight="1" x14ac:dyDescent="0.2">
      <c r="A1733" s="2" t="s">
        <v>31</v>
      </c>
      <c r="B1733" s="5" t="s">
        <v>54</v>
      </c>
      <c r="C1733" s="5"/>
      <c r="D1733" s="5"/>
      <c r="E1733" s="6" t="s">
        <v>33</v>
      </c>
      <c r="F1733" s="6"/>
      <c r="G1733" s="7" t="s">
        <v>3509</v>
      </c>
      <c r="H1733" s="7"/>
      <c r="I1733" s="7"/>
      <c r="J1733" s="3" t="s">
        <v>35</v>
      </c>
      <c r="K1733" s="4" t="s">
        <v>409</v>
      </c>
      <c r="L1733" s="4" t="s">
        <v>37</v>
      </c>
      <c r="N1733" s="7" t="s">
        <v>3669</v>
      </c>
      <c r="O1733" s="7"/>
      <c r="P1733" s="7" t="s">
        <v>3670</v>
      </c>
      <c r="Q1733" s="7"/>
      <c r="R1733" s="7"/>
      <c r="S1733" s="3" t="s">
        <v>40</v>
      </c>
      <c r="T1733" s="7" t="s">
        <v>41</v>
      </c>
      <c r="U1733" s="7"/>
      <c r="V1733" s="4" t="s">
        <v>42</v>
      </c>
      <c r="W1733" s="4" t="s">
        <v>234</v>
      </c>
      <c r="X1733" s="4" t="s">
        <v>235</v>
      </c>
      <c r="Y1733" s="7" t="s">
        <v>60</v>
      </c>
      <c r="Z1733" s="7"/>
      <c r="AA1733" s="4" t="s">
        <v>46</v>
      </c>
      <c r="AB1733" s="4" t="s">
        <v>47</v>
      </c>
      <c r="AC1733" s="4" t="s">
        <v>79</v>
      </c>
      <c r="AD1733" s="4" t="s">
        <v>80</v>
      </c>
      <c r="AE1733" s="4" t="s">
        <v>48</v>
      </c>
      <c r="AF1733" s="4" t="s">
        <v>41</v>
      </c>
      <c r="AG1733" s="4" t="s">
        <v>3515</v>
      </c>
    </row>
    <row r="1734" spans="1:33" ht="16.5" customHeight="1" x14ac:dyDescent="0.2">
      <c r="A1734" s="2" t="s">
        <v>31</v>
      </c>
      <c r="B1734" s="5" t="s">
        <v>54</v>
      </c>
      <c r="C1734" s="5"/>
      <c r="D1734" s="5"/>
      <c r="E1734" s="6" t="s">
        <v>33</v>
      </c>
      <c r="F1734" s="6"/>
      <c r="G1734" s="7" t="s">
        <v>3509</v>
      </c>
      <c r="H1734" s="7"/>
      <c r="I1734" s="7"/>
      <c r="J1734" s="3" t="s">
        <v>35</v>
      </c>
      <c r="K1734" s="4" t="s">
        <v>245</v>
      </c>
      <c r="L1734" s="4" t="s">
        <v>37</v>
      </c>
      <c r="N1734" s="7" t="s">
        <v>3671</v>
      </c>
      <c r="O1734" s="7"/>
      <c r="P1734" s="7" t="s">
        <v>3672</v>
      </c>
      <c r="Q1734" s="7"/>
      <c r="R1734" s="7"/>
      <c r="S1734" s="3" t="s">
        <v>40</v>
      </c>
      <c r="T1734" s="7" t="s">
        <v>41</v>
      </c>
      <c r="U1734" s="7"/>
      <c r="V1734" s="4" t="s">
        <v>42</v>
      </c>
      <c r="W1734" s="4" t="s">
        <v>234</v>
      </c>
      <c r="X1734" s="4" t="s">
        <v>235</v>
      </c>
      <c r="Y1734" s="7" t="s">
        <v>78</v>
      </c>
      <c r="Z1734" s="7"/>
      <c r="AA1734" s="4" t="s">
        <v>46</v>
      </c>
      <c r="AB1734" s="4" t="s">
        <v>47</v>
      </c>
      <c r="AC1734" s="4" t="s">
        <v>136</v>
      </c>
      <c r="AD1734" s="4" t="s">
        <v>137</v>
      </c>
      <c r="AE1734" s="4" t="s">
        <v>48</v>
      </c>
      <c r="AF1734" s="4" t="s">
        <v>41</v>
      </c>
      <c r="AG1734" s="4" t="s">
        <v>3515</v>
      </c>
    </row>
    <row r="1735" spans="1:33" ht="16.5" customHeight="1" x14ac:dyDescent="0.2">
      <c r="A1735" s="2" t="s">
        <v>31</v>
      </c>
      <c r="B1735" s="5" t="s">
        <v>54</v>
      </c>
      <c r="C1735" s="5"/>
      <c r="D1735" s="5"/>
      <c r="E1735" s="6" t="s">
        <v>33</v>
      </c>
      <c r="F1735" s="6"/>
      <c r="G1735" s="7" t="s">
        <v>3509</v>
      </c>
      <c r="H1735" s="7"/>
      <c r="I1735" s="7"/>
      <c r="J1735" s="3" t="s">
        <v>35</v>
      </c>
      <c r="K1735" s="4" t="s">
        <v>73</v>
      </c>
      <c r="L1735" s="4" t="s">
        <v>37</v>
      </c>
      <c r="N1735" s="7" t="s">
        <v>3673</v>
      </c>
      <c r="O1735" s="7"/>
      <c r="P1735" s="7" t="s">
        <v>3674</v>
      </c>
      <c r="Q1735" s="7"/>
      <c r="R1735" s="7"/>
      <c r="S1735" s="3" t="s">
        <v>40</v>
      </c>
      <c r="T1735" s="7" t="s">
        <v>41</v>
      </c>
      <c r="U1735" s="7"/>
      <c r="V1735" s="4" t="s">
        <v>42</v>
      </c>
      <c r="W1735" s="4" t="s">
        <v>355</v>
      </c>
      <c r="X1735" s="4" t="s">
        <v>344</v>
      </c>
      <c r="Y1735" s="7" t="s">
        <v>78</v>
      </c>
      <c r="Z1735" s="7"/>
      <c r="AA1735" s="4" t="s">
        <v>46</v>
      </c>
      <c r="AB1735" s="4" t="s">
        <v>47</v>
      </c>
      <c r="AC1735" s="4" t="s">
        <v>136</v>
      </c>
      <c r="AD1735" s="4" t="s">
        <v>137</v>
      </c>
      <c r="AE1735" s="4" t="s">
        <v>48</v>
      </c>
      <c r="AF1735" s="4" t="s">
        <v>41</v>
      </c>
      <c r="AG1735" s="4" t="s">
        <v>3515</v>
      </c>
    </row>
    <row r="1736" spans="1:33" ht="16.5" customHeight="1" x14ac:dyDescent="0.2">
      <c r="A1736" s="2" t="s">
        <v>31</v>
      </c>
      <c r="B1736" s="5" t="s">
        <v>54</v>
      </c>
      <c r="C1736" s="5"/>
      <c r="D1736" s="5"/>
      <c r="E1736" s="6" t="s">
        <v>33</v>
      </c>
      <c r="F1736" s="6"/>
      <c r="G1736" s="7" t="s">
        <v>3509</v>
      </c>
      <c r="H1736" s="7"/>
      <c r="I1736" s="7"/>
      <c r="J1736" s="3" t="s">
        <v>35</v>
      </c>
      <c r="K1736" s="4" t="s">
        <v>316</v>
      </c>
      <c r="L1736" s="4" t="s">
        <v>93</v>
      </c>
      <c r="N1736" s="7" t="s">
        <v>3675</v>
      </c>
      <c r="O1736" s="7"/>
      <c r="P1736" s="7" t="s">
        <v>3676</v>
      </c>
      <c r="Q1736" s="7"/>
      <c r="R1736" s="7"/>
      <c r="S1736" s="3" t="s">
        <v>40</v>
      </c>
      <c r="T1736" s="7" t="s">
        <v>41</v>
      </c>
      <c r="U1736" s="7"/>
      <c r="V1736" s="4" t="s">
        <v>42</v>
      </c>
      <c r="W1736" s="4" t="s">
        <v>312</v>
      </c>
      <c r="X1736" s="4" t="s">
        <v>313</v>
      </c>
      <c r="Y1736" s="7" t="s">
        <v>60</v>
      </c>
      <c r="Z1736" s="7"/>
      <c r="AA1736" s="4" t="s">
        <v>46</v>
      </c>
      <c r="AB1736" s="4" t="s">
        <v>47</v>
      </c>
      <c r="AC1736" s="4" t="s">
        <v>61</v>
      </c>
      <c r="AD1736" s="4" t="s">
        <v>324</v>
      </c>
      <c r="AE1736" s="4" t="s">
        <v>48</v>
      </c>
      <c r="AF1736" s="4" t="s">
        <v>41</v>
      </c>
      <c r="AG1736" s="4" t="s">
        <v>3515</v>
      </c>
    </row>
    <row r="1737" spans="1:33" ht="16.5" customHeight="1" x14ac:dyDescent="0.2">
      <c r="A1737" s="2" t="s">
        <v>31</v>
      </c>
      <c r="B1737" s="5" t="s">
        <v>54</v>
      </c>
      <c r="C1737" s="5"/>
      <c r="D1737" s="5"/>
      <c r="E1737" s="6" t="s">
        <v>33</v>
      </c>
      <c r="F1737" s="6"/>
      <c r="G1737" s="7" t="s">
        <v>3509</v>
      </c>
      <c r="H1737" s="7"/>
      <c r="I1737" s="7"/>
      <c r="J1737" s="3" t="s">
        <v>35</v>
      </c>
      <c r="K1737" s="4" t="s">
        <v>248</v>
      </c>
      <c r="L1737" s="4" t="s">
        <v>93</v>
      </c>
      <c r="N1737" s="7" t="s">
        <v>3677</v>
      </c>
      <c r="O1737" s="7"/>
      <c r="P1737" s="7" t="s">
        <v>3678</v>
      </c>
      <c r="Q1737" s="7"/>
      <c r="R1737" s="7"/>
      <c r="S1737" s="3" t="s">
        <v>40</v>
      </c>
      <c r="T1737" s="7" t="s">
        <v>41</v>
      </c>
      <c r="U1737" s="7"/>
      <c r="V1737" s="4" t="s">
        <v>42</v>
      </c>
      <c r="W1737" s="4" t="s">
        <v>76</v>
      </c>
      <c r="X1737" s="4" t="s">
        <v>77</v>
      </c>
      <c r="Y1737" s="7" t="s">
        <v>60</v>
      </c>
      <c r="Z1737" s="7"/>
      <c r="AA1737" s="4" t="s">
        <v>46</v>
      </c>
      <c r="AB1737" s="4" t="s">
        <v>47</v>
      </c>
      <c r="AC1737" s="4" t="s">
        <v>61</v>
      </c>
      <c r="AD1737" s="4" t="s">
        <v>324</v>
      </c>
      <c r="AE1737" s="4" t="s">
        <v>48</v>
      </c>
      <c r="AF1737" s="4" t="s">
        <v>41</v>
      </c>
      <c r="AG1737" s="4" t="s">
        <v>3515</v>
      </c>
    </row>
    <row r="1738" spans="1:33" ht="16.5" customHeight="1" x14ac:dyDescent="0.2">
      <c r="A1738" s="2" t="s">
        <v>31</v>
      </c>
      <c r="B1738" s="5" t="s">
        <v>54</v>
      </c>
      <c r="C1738" s="5"/>
      <c r="D1738" s="5"/>
      <c r="E1738" s="6" t="s">
        <v>33</v>
      </c>
      <c r="F1738" s="6"/>
      <c r="G1738" s="7" t="s">
        <v>3509</v>
      </c>
      <c r="H1738" s="7"/>
      <c r="I1738" s="7"/>
      <c r="J1738" s="3" t="s">
        <v>35</v>
      </c>
      <c r="K1738" s="4" t="s">
        <v>92</v>
      </c>
      <c r="L1738" s="4" t="s">
        <v>443</v>
      </c>
      <c r="N1738" s="7" t="s">
        <v>3679</v>
      </c>
      <c r="O1738" s="7"/>
      <c r="P1738" s="7" t="s">
        <v>3680</v>
      </c>
      <c r="Q1738" s="7"/>
      <c r="R1738" s="7"/>
      <c r="S1738" s="3" t="s">
        <v>40</v>
      </c>
      <c r="T1738" s="7" t="s">
        <v>41</v>
      </c>
      <c r="U1738" s="7"/>
      <c r="V1738" s="4" t="s">
        <v>42</v>
      </c>
      <c r="W1738" s="4" t="s">
        <v>90</v>
      </c>
      <c r="X1738" s="4" t="s">
        <v>91</v>
      </c>
      <c r="Y1738" s="7" t="s">
        <v>78</v>
      </c>
      <c r="Z1738" s="7"/>
      <c r="AA1738" s="4" t="s">
        <v>46</v>
      </c>
      <c r="AB1738" s="4" t="s">
        <v>47</v>
      </c>
      <c r="AC1738" s="4" t="s">
        <v>79</v>
      </c>
      <c r="AD1738" s="4" t="s">
        <v>447</v>
      </c>
      <c r="AE1738" s="4" t="s">
        <v>48</v>
      </c>
      <c r="AF1738" s="4" t="s">
        <v>41</v>
      </c>
      <c r="AG1738" s="4" t="s">
        <v>3515</v>
      </c>
    </row>
    <row r="1739" spans="1:33" ht="16.5" customHeight="1" x14ac:dyDescent="0.2">
      <c r="A1739" s="2" t="s">
        <v>31</v>
      </c>
      <c r="B1739" s="5" t="s">
        <v>54</v>
      </c>
      <c r="C1739" s="5"/>
      <c r="D1739" s="5"/>
      <c r="E1739" s="6" t="s">
        <v>33</v>
      </c>
      <c r="F1739" s="6"/>
      <c r="G1739" s="7" t="s">
        <v>3509</v>
      </c>
      <c r="H1739" s="7"/>
      <c r="I1739" s="7"/>
      <c r="J1739" s="3" t="s">
        <v>35</v>
      </c>
      <c r="K1739" s="4" t="s">
        <v>92</v>
      </c>
      <c r="L1739" s="4" t="s">
        <v>443</v>
      </c>
      <c r="N1739" s="7" t="s">
        <v>3679</v>
      </c>
      <c r="O1739" s="7"/>
      <c r="P1739" s="7" t="s">
        <v>3680</v>
      </c>
      <c r="Q1739" s="7"/>
      <c r="R1739" s="7"/>
      <c r="S1739" s="3" t="s">
        <v>40</v>
      </c>
      <c r="T1739" s="7" t="s">
        <v>41</v>
      </c>
      <c r="U1739" s="7"/>
      <c r="V1739" s="4" t="s">
        <v>51</v>
      </c>
      <c r="W1739" s="4" t="s">
        <v>90</v>
      </c>
      <c r="X1739" s="4" t="s">
        <v>103</v>
      </c>
      <c r="Y1739" s="7" t="s">
        <v>78</v>
      </c>
      <c r="Z1739" s="7"/>
      <c r="AA1739" s="4" t="s">
        <v>46</v>
      </c>
      <c r="AB1739" s="4" t="s">
        <v>47</v>
      </c>
      <c r="AC1739" s="4" t="s">
        <v>79</v>
      </c>
      <c r="AD1739" s="4" t="s">
        <v>447</v>
      </c>
      <c r="AE1739" s="4" t="s">
        <v>48</v>
      </c>
      <c r="AF1739" s="4" t="s">
        <v>41</v>
      </c>
      <c r="AG1739" s="4" t="s">
        <v>3515</v>
      </c>
    </row>
    <row r="1740" spans="1:33" ht="16.5" customHeight="1" x14ac:dyDescent="0.2">
      <c r="A1740" s="2" t="s">
        <v>31</v>
      </c>
      <c r="B1740" s="5" t="s">
        <v>54</v>
      </c>
      <c r="C1740" s="5"/>
      <c r="D1740" s="5"/>
      <c r="E1740" s="6" t="s">
        <v>33</v>
      </c>
      <c r="F1740" s="6"/>
      <c r="G1740" s="7" t="s">
        <v>3509</v>
      </c>
      <c r="H1740" s="7"/>
      <c r="I1740" s="7"/>
      <c r="J1740" s="3" t="s">
        <v>35</v>
      </c>
      <c r="K1740" s="4" t="s">
        <v>248</v>
      </c>
      <c r="L1740" s="4" t="s">
        <v>93</v>
      </c>
      <c r="N1740" s="7" t="s">
        <v>3681</v>
      </c>
      <c r="O1740" s="7"/>
      <c r="P1740" s="7" t="s">
        <v>3682</v>
      </c>
      <c r="Q1740" s="7"/>
      <c r="R1740" s="7"/>
      <c r="S1740" s="3" t="s">
        <v>40</v>
      </c>
      <c r="T1740" s="7" t="s">
        <v>41</v>
      </c>
      <c r="U1740" s="7"/>
      <c r="V1740" s="4" t="s">
        <v>42</v>
      </c>
      <c r="W1740" s="4" t="s">
        <v>90</v>
      </c>
      <c r="X1740" s="4" t="s">
        <v>91</v>
      </c>
      <c r="Y1740" s="7" t="s">
        <v>60</v>
      </c>
      <c r="Z1740" s="7"/>
      <c r="AA1740" s="4" t="s">
        <v>46</v>
      </c>
      <c r="AB1740" s="4" t="s">
        <v>47</v>
      </c>
      <c r="AC1740" s="4" t="s">
        <v>61</v>
      </c>
      <c r="AD1740" s="4" t="s">
        <v>324</v>
      </c>
      <c r="AE1740" s="4" t="s">
        <v>48</v>
      </c>
      <c r="AF1740" s="4" t="s">
        <v>41</v>
      </c>
      <c r="AG1740" s="4" t="s">
        <v>3515</v>
      </c>
    </row>
    <row r="1741" spans="1:33" ht="16.5" customHeight="1" x14ac:dyDescent="0.2">
      <c r="A1741" s="2" t="s">
        <v>31</v>
      </c>
      <c r="B1741" s="5" t="s">
        <v>54</v>
      </c>
      <c r="C1741" s="5"/>
      <c r="D1741" s="5"/>
      <c r="E1741" s="6" t="s">
        <v>33</v>
      </c>
      <c r="F1741" s="6"/>
      <c r="G1741" s="7" t="s">
        <v>3509</v>
      </c>
      <c r="H1741" s="7"/>
      <c r="I1741" s="7"/>
      <c r="J1741" s="3" t="s">
        <v>35</v>
      </c>
      <c r="K1741" s="4" t="s">
        <v>409</v>
      </c>
      <c r="L1741" s="4" t="s">
        <v>37</v>
      </c>
      <c r="N1741" s="7" t="s">
        <v>3683</v>
      </c>
      <c r="O1741" s="7"/>
      <c r="P1741" s="7" t="s">
        <v>3684</v>
      </c>
      <c r="Q1741" s="7"/>
      <c r="R1741" s="7"/>
      <c r="S1741" s="3" t="s">
        <v>40</v>
      </c>
      <c r="T1741" s="7" t="s">
        <v>41</v>
      </c>
      <c r="U1741" s="7"/>
      <c r="V1741" s="4" t="s">
        <v>42</v>
      </c>
      <c r="W1741" s="4" t="s">
        <v>102</v>
      </c>
      <c r="X1741" s="4" t="s">
        <v>103</v>
      </c>
      <c r="Y1741" s="7" t="s">
        <v>60</v>
      </c>
      <c r="Z1741" s="7"/>
      <c r="AA1741" s="4" t="s">
        <v>46</v>
      </c>
      <c r="AB1741" s="4" t="s">
        <v>47</v>
      </c>
      <c r="AC1741" s="4" t="s">
        <v>61</v>
      </c>
      <c r="AD1741" s="4" t="s">
        <v>62</v>
      </c>
      <c r="AE1741" s="4" t="s">
        <v>48</v>
      </c>
      <c r="AF1741" s="4" t="s">
        <v>41</v>
      </c>
      <c r="AG1741" s="4" t="s">
        <v>3515</v>
      </c>
    </row>
    <row r="1742" spans="1:33" ht="16.5" customHeight="1" x14ac:dyDescent="0.2">
      <c r="A1742" s="2" t="s">
        <v>31</v>
      </c>
      <c r="B1742" s="5" t="s">
        <v>54</v>
      </c>
      <c r="C1742" s="5"/>
      <c r="D1742" s="5"/>
      <c r="E1742" s="6" t="s">
        <v>33</v>
      </c>
      <c r="F1742" s="6"/>
      <c r="G1742" s="7" t="s">
        <v>3509</v>
      </c>
      <c r="H1742" s="7"/>
      <c r="I1742" s="7"/>
      <c r="J1742" s="3" t="s">
        <v>35</v>
      </c>
      <c r="K1742" s="4" t="s">
        <v>149</v>
      </c>
      <c r="L1742" s="4" t="s">
        <v>93</v>
      </c>
      <c r="N1742" s="7" t="s">
        <v>3685</v>
      </c>
      <c r="O1742" s="7"/>
      <c r="P1742" s="7" t="s">
        <v>3686</v>
      </c>
      <c r="Q1742" s="7"/>
      <c r="R1742" s="7"/>
      <c r="S1742" s="3" t="s">
        <v>40</v>
      </c>
      <c r="T1742" s="7" t="s">
        <v>41</v>
      </c>
      <c r="U1742" s="7"/>
      <c r="V1742" s="4" t="s">
        <v>42</v>
      </c>
      <c r="W1742" s="4" t="s">
        <v>107</v>
      </c>
      <c r="X1742" s="4" t="s">
        <v>104</v>
      </c>
      <c r="Y1742" s="7" t="s">
        <v>78</v>
      </c>
      <c r="Z1742" s="7"/>
      <c r="AA1742" s="4" t="s">
        <v>46</v>
      </c>
      <c r="AB1742" s="4" t="s">
        <v>47</v>
      </c>
      <c r="AC1742" s="4" t="s">
        <v>79</v>
      </c>
      <c r="AD1742" s="4" t="s">
        <v>96</v>
      </c>
      <c r="AE1742" s="4" t="s">
        <v>48</v>
      </c>
      <c r="AF1742" s="4" t="s">
        <v>41</v>
      </c>
      <c r="AG1742" s="4" t="s">
        <v>3515</v>
      </c>
    </row>
    <row r="1743" spans="1:33" ht="16.5" customHeight="1" x14ac:dyDescent="0.2">
      <c r="A1743" s="2" t="s">
        <v>31</v>
      </c>
      <c r="B1743" s="5" t="s">
        <v>54</v>
      </c>
      <c r="C1743" s="5"/>
      <c r="D1743" s="5"/>
      <c r="E1743" s="6" t="s">
        <v>33</v>
      </c>
      <c r="F1743" s="6"/>
      <c r="G1743" s="7" t="s">
        <v>3509</v>
      </c>
      <c r="H1743" s="7"/>
      <c r="I1743" s="7"/>
      <c r="J1743" s="3" t="s">
        <v>35</v>
      </c>
      <c r="K1743" s="4" t="s">
        <v>409</v>
      </c>
      <c r="L1743" s="4" t="s">
        <v>37</v>
      </c>
      <c r="N1743" s="7" t="s">
        <v>3687</v>
      </c>
      <c r="O1743" s="7"/>
      <c r="P1743" s="7" t="s">
        <v>3688</v>
      </c>
      <c r="Q1743" s="7"/>
      <c r="R1743" s="7"/>
      <c r="S1743" s="3" t="s">
        <v>40</v>
      </c>
      <c r="T1743" s="7" t="s">
        <v>41</v>
      </c>
      <c r="U1743" s="7"/>
      <c r="V1743" s="4" t="s">
        <v>42</v>
      </c>
      <c r="W1743" s="4" t="s">
        <v>107</v>
      </c>
      <c r="X1743" s="4" t="s">
        <v>104</v>
      </c>
      <c r="Y1743" s="7" t="s">
        <v>60</v>
      </c>
      <c r="Z1743" s="7"/>
      <c r="AA1743" s="4" t="s">
        <v>46</v>
      </c>
      <c r="AB1743" s="4" t="s">
        <v>47</v>
      </c>
      <c r="AC1743" s="4" t="s">
        <v>61</v>
      </c>
      <c r="AD1743" s="4" t="s">
        <v>62</v>
      </c>
      <c r="AE1743" s="4" t="s">
        <v>48</v>
      </c>
      <c r="AF1743" s="4" t="s">
        <v>41</v>
      </c>
      <c r="AG1743" s="4" t="s">
        <v>3515</v>
      </c>
    </row>
    <row r="1744" spans="1:33" ht="16.5" customHeight="1" x14ac:dyDescent="0.2">
      <c r="A1744" s="2" t="s">
        <v>31</v>
      </c>
      <c r="B1744" s="5" t="s">
        <v>54</v>
      </c>
      <c r="C1744" s="5"/>
      <c r="D1744" s="5"/>
      <c r="E1744" s="6" t="s">
        <v>33</v>
      </c>
      <c r="F1744" s="6"/>
      <c r="G1744" s="7" t="s">
        <v>3509</v>
      </c>
      <c r="H1744" s="7"/>
      <c r="I1744" s="7"/>
      <c r="J1744" s="3" t="s">
        <v>35</v>
      </c>
      <c r="K1744" s="4" t="s">
        <v>55</v>
      </c>
      <c r="L1744" s="4" t="s">
        <v>37</v>
      </c>
      <c r="N1744" s="7" t="s">
        <v>3689</v>
      </c>
      <c r="O1744" s="7"/>
      <c r="P1744" s="7" t="s">
        <v>3690</v>
      </c>
      <c r="Q1744" s="7"/>
      <c r="R1744" s="7"/>
      <c r="S1744" s="3" t="s">
        <v>40</v>
      </c>
      <c r="T1744" s="7" t="s">
        <v>41</v>
      </c>
      <c r="U1744" s="7"/>
      <c r="V1744" s="4" t="s">
        <v>42</v>
      </c>
      <c r="W1744" s="4" t="s">
        <v>58</v>
      </c>
      <c r="X1744" s="4" t="s">
        <v>59</v>
      </c>
      <c r="Y1744" s="7" t="s">
        <v>60</v>
      </c>
      <c r="Z1744" s="7"/>
      <c r="AA1744" s="4" t="s">
        <v>46</v>
      </c>
      <c r="AB1744" s="4" t="s">
        <v>47</v>
      </c>
      <c r="AC1744" s="4" t="s">
        <v>61</v>
      </c>
      <c r="AD1744" s="4" t="s">
        <v>62</v>
      </c>
      <c r="AE1744" s="4" t="s">
        <v>48</v>
      </c>
      <c r="AF1744" s="4" t="s">
        <v>41</v>
      </c>
      <c r="AG1744" s="4" t="s">
        <v>3515</v>
      </c>
    </row>
    <row r="1745" spans="1:33" ht="16.5" customHeight="1" x14ac:dyDescent="0.2">
      <c r="A1745" s="2" t="s">
        <v>31</v>
      </c>
      <c r="B1745" s="5" t="s">
        <v>54</v>
      </c>
      <c r="C1745" s="5"/>
      <c r="D1745" s="5"/>
      <c r="E1745" s="6" t="s">
        <v>33</v>
      </c>
      <c r="F1745" s="6"/>
      <c r="G1745" s="7" t="s">
        <v>3509</v>
      </c>
      <c r="H1745" s="7"/>
      <c r="I1745" s="7"/>
      <c r="J1745" s="3" t="s">
        <v>35</v>
      </c>
      <c r="K1745" s="4" t="s">
        <v>409</v>
      </c>
      <c r="L1745" s="4" t="s">
        <v>37</v>
      </c>
      <c r="N1745" s="7" t="s">
        <v>3691</v>
      </c>
      <c r="O1745" s="7"/>
      <c r="P1745" s="7" t="s">
        <v>3692</v>
      </c>
      <c r="Q1745" s="7"/>
      <c r="R1745" s="7"/>
      <c r="S1745" s="3" t="s">
        <v>40</v>
      </c>
      <c r="T1745" s="7" t="s">
        <v>41</v>
      </c>
      <c r="U1745" s="7"/>
      <c r="V1745" s="4" t="s">
        <v>42</v>
      </c>
      <c r="W1745" s="4" t="s">
        <v>172</v>
      </c>
      <c r="X1745" s="4" t="s">
        <v>386</v>
      </c>
      <c r="Y1745" s="7" t="s">
        <v>60</v>
      </c>
      <c r="Z1745" s="7"/>
      <c r="AA1745" s="4" t="s">
        <v>46</v>
      </c>
      <c r="AB1745" s="4" t="s">
        <v>47</v>
      </c>
      <c r="AC1745" s="4" t="s">
        <v>61</v>
      </c>
      <c r="AD1745" s="4" t="s">
        <v>62</v>
      </c>
      <c r="AE1745" s="4" t="s">
        <v>48</v>
      </c>
      <c r="AF1745" s="4" t="s">
        <v>41</v>
      </c>
      <c r="AG1745" s="4" t="s">
        <v>3515</v>
      </c>
    </row>
    <row r="1746" spans="1:33" ht="16.5" customHeight="1" x14ac:dyDescent="0.2">
      <c r="A1746" s="2" t="s">
        <v>31</v>
      </c>
      <c r="B1746" s="5" t="s">
        <v>54</v>
      </c>
      <c r="C1746" s="5"/>
      <c r="D1746" s="5"/>
      <c r="E1746" s="6" t="s">
        <v>33</v>
      </c>
      <c r="F1746" s="6"/>
      <c r="G1746" s="7" t="s">
        <v>3509</v>
      </c>
      <c r="H1746" s="7"/>
      <c r="I1746" s="7"/>
      <c r="J1746" s="3" t="s">
        <v>35</v>
      </c>
      <c r="K1746" s="4" t="s">
        <v>92</v>
      </c>
      <c r="L1746" s="4" t="s">
        <v>37</v>
      </c>
      <c r="N1746" s="7" t="s">
        <v>3693</v>
      </c>
      <c r="O1746" s="7"/>
      <c r="P1746" s="7" t="s">
        <v>3694</v>
      </c>
      <c r="Q1746" s="7"/>
      <c r="R1746" s="7"/>
      <c r="S1746" s="3" t="s">
        <v>40</v>
      </c>
      <c r="T1746" s="7" t="s">
        <v>41</v>
      </c>
      <c r="U1746" s="7"/>
      <c r="V1746" s="4" t="s">
        <v>42</v>
      </c>
      <c r="W1746" s="4" t="s">
        <v>58</v>
      </c>
      <c r="X1746" s="4" t="s">
        <v>59</v>
      </c>
      <c r="Y1746" s="7" t="s">
        <v>78</v>
      </c>
      <c r="Z1746" s="7"/>
      <c r="AA1746" s="4" t="s">
        <v>46</v>
      </c>
      <c r="AB1746" s="4" t="s">
        <v>47</v>
      </c>
      <c r="AC1746" s="4" t="s">
        <v>79</v>
      </c>
      <c r="AD1746" s="4" t="s">
        <v>80</v>
      </c>
      <c r="AE1746" s="4" t="s">
        <v>48</v>
      </c>
      <c r="AF1746" s="4" t="s">
        <v>41</v>
      </c>
      <c r="AG1746" s="4" t="s">
        <v>3515</v>
      </c>
    </row>
    <row r="1747" spans="1:33" ht="16.5" customHeight="1" x14ac:dyDescent="0.2">
      <c r="A1747" s="2" t="s">
        <v>31</v>
      </c>
      <c r="B1747" s="5" t="s">
        <v>54</v>
      </c>
      <c r="C1747" s="5"/>
      <c r="D1747" s="5"/>
      <c r="E1747" s="6" t="s">
        <v>33</v>
      </c>
      <c r="F1747" s="6"/>
      <c r="G1747" s="7" t="s">
        <v>3509</v>
      </c>
      <c r="H1747" s="7"/>
      <c r="I1747" s="7"/>
      <c r="J1747" s="3" t="s">
        <v>35</v>
      </c>
      <c r="K1747" s="4" t="s">
        <v>92</v>
      </c>
      <c r="L1747" s="4" t="s">
        <v>37</v>
      </c>
      <c r="N1747" s="7" t="s">
        <v>3693</v>
      </c>
      <c r="O1747" s="7"/>
      <c r="P1747" s="7" t="s">
        <v>3694</v>
      </c>
      <c r="Q1747" s="7"/>
      <c r="R1747" s="7"/>
      <c r="S1747" s="3" t="s">
        <v>40</v>
      </c>
      <c r="T1747" s="7" t="s">
        <v>41</v>
      </c>
      <c r="U1747" s="7"/>
      <c r="V1747" s="4" t="s">
        <v>51</v>
      </c>
      <c r="W1747" s="4" t="s">
        <v>58</v>
      </c>
      <c r="X1747" s="4" t="s">
        <v>128</v>
      </c>
      <c r="Y1747" s="7" t="s">
        <v>78</v>
      </c>
      <c r="Z1747" s="7"/>
      <c r="AA1747" s="4" t="s">
        <v>46</v>
      </c>
      <c r="AB1747" s="4" t="s">
        <v>47</v>
      </c>
      <c r="AC1747" s="4" t="s">
        <v>79</v>
      </c>
      <c r="AD1747" s="4" t="s">
        <v>80</v>
      </c>
      <c r="AE1747" s="4" t="s">
        <v>48</v>
      </c>
      <c r="AF1747" s="4" t="s">
        <v>41</v>
      </c>
      <c r="AG1747" s="4" t="s">
        <v>3515</v>
      </c>
    </row>
    <row r="1748" spans="1:33" ht="16.5" customHeight="1" x14ac:dyDescent="0.2">
      <c r="A1748" s="2" t="s">
        <v>31</v>
      </c>
      <c r="B1748" s="5" t="s">
        <v>54</v>
      </c>
      <c r="C1748" s="5"/>
      <c r="D1748" s="5"/>
      <c r="E1748" s="6" t="s">
        <v>33</v>
      </c>
      <c r="F1748" s="6"/>
      <c r="G1748" s="7" t="s">
        <v>3509</v>
      </c>
      <c r="H1748" s="7"/>
      <c r="I1748" s="7"/>
      <c r="J1748" s="3" t="s">
        <v>35</v>
      </c>
      <c r="K1748" s="4" t="s">
        <v>55</v>
      </c>
      <c r="L1748" s="4" t="s">
        <v>93</v>
      </c>
      <c r="N1748" s="7" t="s">
        <v>3695</v>
      </c>
      <c r="O1748" s="7"/>
      <c r="P1748" s="7" t="s">
        <v>3696</v>
      </c>
      <c r="Q1748" s="7"/>
      <c r="R1748" s="7"/>
      <c r="S1748" s="3" t="s">
        <v>40</v>
      </c>
      <c r="T1748" s="7" t="s">
        <v>41</v>
      </c>
      <c r="U1748" s="7"/>
      <c r="V1748" s="4" t="s">
        <v>42</v>
      </c>
      <c r="W1748" s="4" t="s">
        <v>58</v>
      </c>
      <c r="X1748" s="4" t="s">
        <v>59</v>
      </c>
      <c r="Y1748" s="7" t="s">
        <v>60</v>
      </c>
      <c r="Z1748" s="7"/>
      <c r="AA1748" s="4" t="s">
        <v>46</v>
      </c>
      <c r="AB1748" s="4" t="s">
        <v>47</v>
      </c>
      <c r="AC1748" s="4" t="s">
        <v>61</v>
      </c>
      <c r="AD1748" s="4" t="s">
        <v>324</v>
      </c>
      <c r="AE1748" s="4" t="s">
        <v>48</v>
      </c>
      <c r="AF1748" s="4" t="s">
        <v>41</v>
      </c>
      <c r="AG1748" s="4" t="s">
        <v>3515</v>
      </c>
    </row>
    <row r="1749" spans="1:33" ht="16.5" customHeight="1" x14ac:dyDescent="0.2">
      <c r="A1749" s="2" t="s">
        <v>31</v>
      </c>
      <c r="B1749" s="5" t="s">
        <v>54</v>
      </c>
      <c r="C1749" s="5"/>
      <c r="D1749" s="5"/>
      <c r="E1749" s="6" t="s">
        <v>33</v>
      </c>
      <c r="F1749" s="6"/>
      <c r="G1749" s="7" t="s">
        <v>3509</v>
      </c>
      <c r="H1749" s="7"/>
      <c r="I1749" s="7"/>
      <c r="J1749" s="3" t="s">
        <v>35</v>
      </c>
      <c r="K1749" s="4" t="s">
        <v>55</v>
      </c>
      <c r="L1749" s="4" t="s">
        <v>93</v>
      </c>
      <c r="N1749" s="7" t="s">
        <v>3697</v>
      </c>
      <c r="O1749" s="7"/>
      <c r="P1749" s="7" t="s">
        <v>3698</v>
      </c>
      <c r="Q1749" s="7"/>
      <c r="R1749" s="7"/>
      <c r="S1749" s="3" t="s">
        <v>40</v>
      </c>
      <c r="T1749" s="7" t="s">
        <v>41</v>
      </c>
      <c r="U1749" s="7"/>
      <c r="V1749" s="4" t="s">
        <v>42</v>
      </c>
      <c r="W1749" s="4" t="s">
        <v>58</v>
      </c>
      <c r="X1749" s="4" t="s">
        <v>59</v>
      </c>
      <c r="Y1749" s="7" t="s">
        <v>60</v>
      </c>
      <c r="Z1749" s="7"/>
      <c r="AA1749" s="4" t="s">
        <v>46</v>
      </c>
      <c r="AB1749" s="4" t="s">
        <v>47</v>
      </c>
      <c r="AC1749" s="4" t="s">
        <v>61</v>
      </c>
      <c r="AD1749" s="4" t="s">
        <v>324</v>
      </c>
      <c r="AE1749" s="4" t="s">
        <v>48</v>
      </c>
      <c r="AF1749" s="4" t="s">
        <v>41</v>
      </c>
      <c r="AG1749" s="4" t="s">
        <v>3515</v>
      </c>
    </row>
    <row r="1750" spans="1:33" ht="16.5" customHeight="1" x14ac:dyDescent="0.2">
      <c r="A1750" s="2" t="s">
        <v>31</v>
      </c>
      <c r="B1750" s="5" t="s">
        <v>54</v>
      </c>
      <c r="C1750" s="5"/>
      <c r="D1750" s="5"/>
      <c r="E1750" s="6" t="s">
        <v>33</v>
      </c>
      <c r="F1750" s="6"/>
      <c r="G1750" s="7" t="s">
        <v>3509</v>
      </c>
      <c r="H1750" s="7"/>
      <c r="I1750" s="7"/>
      <c r="J1750" s="3" t="s">
        <v>35</v>
      </c>
      <c r="K1750" s="4" t="s">
        <v>414</v>
      </c>
      <c r="L1750" s="4" t="s">
        <v>37</v>
      </c>
      <c r="N1750" s="7" t="s">
        <v>3699</v>
      </c>
      <c r="O1750" s="7"/>
      <c r="P1750" s="7" t="s">
        <v>3700</v>
      </c>
      <c r="Q1750" s="7"/>
      <c r="R1750" s="7"/>
      <c r="S1750" s="3" t="s">
        <v>40</v>
      </c>
      <c r="T1750" s="7" t="s">
        <v>41</v>
      </c>
      <c r="U1750" s="7"/>
      <c r="V1750" s="4" t="s">
        <v>42</v>
      </c>
      <c r="W1750" s="4" t="s">
        <v>58</v>
      </c>
      <c r="X1750" s="4" t="s">
        <v>59</v>
      </c>
      <c r="Y1750" s="7" t="s">
        <v>197</v>
      </c>
      <c r="Z1750" s="7"/>
      <c r="AA1750" s="4" t="s">
        <v>46</v>
      </c>
      <c r="AB1750" s="4" t="s">
        <v>47</v>
      </c>
      <c r="AC1750" s="4" t="s">
        <v>136</v>
      </c>
      <c r="AD1750" s="4" t="s">
        <v>137</v>
      </c>
      <c r="AE1750" s="4" t="s">
        <v>48</v>
      </c>
      <c r="AF1750" s="4" t="s">
        <v>41</v>
      </c>
      <c r="AG1750" s="4" t="s">
        <v>3515</v>
      </c>
    </row>
    <row r="1751" spans="1:33" ht="16.5" customHeight="1" x14ac:dyDescent="0.2">
      <c r="A1751" s="2" t="s">
        <v>31</v>
      </c>
      <c r="B1751" s="5" t="s">
        <v>54</v>
      </c>
      <c r="C1751" s="5"/>
      <c r="D1751" s="5"/>
      <c r="E1751" s="6" t="s">
        <v>33</v>
      </c>
      <c r="F1751" s="6"/>
      <c r="G1751" s="7" t="s">
        <v>3509</v>
      </c>
      <c r="H1751" s="7"/>
      <c r="I1751" s="7"/>
      <c r="J1751" s="3" t="s">
        <v>35</v>
      </c>
      <c r="K1751" s="4" t="s">
        <v>92</v>
      </c>
      <c r="L1751" s="4" t="s">
        <v>37</v>
      </c>
      <c r="N1751" s="7" t="s">
        <v>3701</v>
      </c>
      <c r="O1751" s="7"/>
      <c r="P1751" s="7" t="s">
        <v>3702</v>
      </c>
      <c r="Q1751" s="7"/>
      <c r="R1751" s="7"/>
      <c r="S1751" s="3" t="s">
        <v>40</v>
      </c>
      <c r="T1751" s="7" t="s">
        <v>41</v>
      </c>
      <c r="U1751" s="7"/>
      <c r="V1751" s="4" t="s">
        <v>42</v>
      </c>
      <c r="W1751" s="4" t="s">
        <v>58</v>
      </c>
      <c r="X1751" s="4" t="s">
        <v>59</v>
      </c>
      <c r="Y1751" s="7" t="s">
        <v>78</v>
      </c>
      <c r="Z1751" s="7"/>
      <c r="AA1751" s="4" t="s">
        <v>46</v>
      </c>
      <c r="AB1751" s="4" t="s">
        <v>47</v>
      </c>
      <c r="AC1751" s="4" t="s">
        <v>79</v>
      </c>
      <c r="AD1751" s="4" t="s">
        <v>80</v>
      </c>
      <c r="AE1751" s="4" t="s">
        <v>48</v>
      </c>
      <c r="AF1751" s="4" t="s">
        <v>41</v>
      </c>
      <c r="AG1751" s="4" t="s">
        <v>3515</v>
      </c>
    </row>
    <row r="1752" spans="1:33" ht="16.5" customHeight="1" x14ac:dyDescent="0.2">
      <c r="A1752" s="2" t="s">
        <v>31</v>
      </c>
      <c r="B1752" s="5" t="s">
        <v>54</v>
      </c>
      <c r="C1752" s="5"/>
      <c r="D1752" s="5"/>
      <c r="E1752" s="6" t="s">
        <v>33</v>
      </c>
      <c r="F1752" s="6"/>
      <c r="G1752" s="7" t="s">
        <v>3509</v>
      </c>
      <c r="H1752" s="7"/>
      <c r="I1752" s="7"/>
      <c r="J1752" s="3" t="s">
        <v>35</v>
      </c>
      <c r="K1752" s="4" t="s">
        <v>3465</v>
      </c>
      <c r="L1752" s="4" t="s">
        <v>37</v>
      </c>
      <c r="N1752" s="7" t="s">
        <v>3703</v>
      </c>
      <c r="O1752" s="7"/>
      <c r="P1752" s="7" t="s">
        <v>3704</v>
      </c>
      <c r="Q1752" s="7"/>
      <c r="R1752" s="7"/>
      <c r="S1752" s="3" t="s">
        <v>40</v>
      </c>
      <c r="T1752" s="7" t="s">
        <v>41</v>
      </c>
      <c r="U1752" s="7"/>
      <c r="V1752" s="4" t="s">
        <v>42</v>
      </c>
      <c r="W1752" s="4" t="s">
        <v>58</v>
      </c>
      <c r="X1752" s="4" t="s">
        <v>59</v>
      </c>
      <c r="Y1752" s="7" t="s">
        <v>78</v>
      </c>
      <c r="Z1752" s="7"/>
      <c r="AA1752" s="4" t="s">
        <v>46</v>
      </c>
      <c r="AB1752" s="4" t="s">
        <v>47</v>
      </c>
      <c r="AC1752" s="4" t="s">
        <v>79</v>
      </c>
      <c r="AD1752" s="4" t="s">
        <v>80</v>
      </c>
      <c r="AE1752" s="4" t="s">
        <v>48</v>
      </c>
      <c r="AF1752" s="4" t="s">
        <v>41</v>
      </c>
      <c r="AG1752" s="4" t="s">
        <v>3515</v>
      </c>
    </row>
    <row r="1753" spans="1:33" ht="16.5" customHeight="1" x14ac:dyDescent="0.2">
      <c r="A1753" s="2" t="s">
        <v>31</v>
      </c>
      <c r="B1753" s="5" t="s">
        <v>54</v>
      </c>
      <c r="C1753" s="5"/>
      <c r="D1753" s="5"/>
      <c r="E1753" s="6" t="s">
        <v>33</v>
      </c>
      <c r="F1753" s="6"/>
      <c r="G1753" s="7" t="s">
        <v>3509</v>
      </c>
      <c r="H1753" s="7"/>
      <c r="I1753" s="7"/>
      <c r="J1753" s="3" t="s">
        <v>35</v>
      </c>
      <c r="K1753" s="4" t="s">
        <v>73</v>
      </c>
      <c r="L1753" s="4" t="s">
        <v>37</v>
      </c>
      <c r="N1753" s="7" t="s">
        <v>3705</v>
      </c>
      <c r="O1753" s="7"/>
      <c r="P1753" s="7" t="s">
        <v>3706</v>
      </c>
      <c r="Q1753" s="7"/>
      <c r="R1753" s="7"/>
      <c r="S1753" s="3" t="s">
        <v>40</v>
      </c>
      <c r="T1753" s="7" t="s">
        <v>41</v>
      </c>
      <c r="U1753" s="7"/>
      <c r="V1753" s="4" t="s">
        <v>42</v>
      </c>
      <c r="W1753" s="4" t="s">
        <v>51</v>
      </c>
      <c r="X1753" s="4" t="s">
        <v>128</v>
      </c>
      <c r="Y1753" s="7" t="s">
        <v>78</v>
      </c>
      <c r="Z1753" s="7"/>
      <c r="AA1753" s="4" t="s">
        <v>46</v>
      </c>
      <c r="AB1753" s="4" t="s">
        <v>47</v>
      </c>
      <c r="AC1753" s="4" t="s">
        <v>79</v>
      </c>
      <c r="AD1753" s="4" t="s">
        <v>80</v>
      </c>
      <c r="AE1753" s="4" t="s">
        <v>48</v>
      </c>
      <c r="AF1753" s="4" t="s">
        <v>41</v>
      </c>
      <c r="AG1753" s="4" t="s">
        <v>3515</v>
      </c>
    </row>
    <row r="1754" spans="1:33" ht="16.5" customHeight="1" x14ac:dyDescent="0.2">
      <c r="A1754" s="2" t="s">
        <v>31</v>
      </c>
      <c r="B1754" s="5" t="s">
        <v>54</v>
      </c>
      <c r="C1754" s="5"/>
      <c r="D1754" s="5"/>
      <c r="E1754" s="6" t="s">
        <v>33</v>
      </c>
      <c r="F1754" s="6"/>
      <c r="G1754" s="7" t="s">
        <v>3509</v>
      </c>
      <c r="H1754" s="7"/>
      <c r="I1754" s="7"/>
      <c r="J1754" s="3" t="s">
        <v>35</v>
      </c>
      <c r="K1754" s="4" t="s">
        <v>55</v>
      </c>
      <c r="L1754" s="4" t="s">
        <v>37</v>
      </c>
      <c r="N1754" s="7" t="s">
        <v>3707</v>
      </c>
      <c r="O1754" s="7"/>
      <c r="P1754" s="7" t="s">
        <v>3708</v>
      </c>
      <c r="Q1754" s="7"/>
      <c r="R1754" s="7"/>
      <c r="S1754" s="3" t="s">
        <v>40</v>
      </c>
      <c r="T1754" s="7" t="s">
        <v>41</v>
      </c>
      <c r="U1754" s="7"/>
      <c r="V1754" s="4" t="s">
        <v>42</v>
      </c>
      <c r="W1754" s="4" t="s">
        <v>51</v>
      </c>
      <c r="X1754" s="4" t="s">
        <v>128</v>
      </c>
      <c r="Y1754" s="7" t="s">
        <v>60</v>
      </c>
      <c r="Z1754" s="7"/>
      <c r="AA1754" s="4" t="s">
        <v>46</v>
      </c>
      <c r="AB1754" s="4" t="s">
        <v>47</v>
      </c>
      <c r="AC1754" s="4" t="s">
        <v>61</v>
      </c>
      <c r="AD1754" s="4" t="s">
        <v>62</v>
      </c>
      <c r="AE1754" s="4" t="s">
        <v>48</v>
      </c>
      <c r="AF1754" s="4" t="s">
        <v>41</v>
      </c>
      <c r="AG1754" s="4" t="s">
        <v>3515</v>
      </c>
    </row>
    <row r="1755" spans="1:33" ht="16.5" customHeight="1" x14ac:dyDescent="0.2">
      <c r="A1755" s="2" t="s">
        <v>31</v>
      </c>
      <c r="B1755" s="5" t="s">
        <v>54</v>
      </c>
      <c r="C1755" s="5"/>
      <c r="D1755" s="5"/>
      <c r="E1755" s="6" t="s">
        <v>33</v>
      </c>
      <c r="F1755" s="6"/>
      <c r="G1755" s="7" t="s">
        <v>3509</v>
      </c>
      <c r="H1755" s="7"/>
      <c r="I1755" s="7"/>
      <c r="J1755" s="3" t="s">
        <v>35</v>
      </c>
      <c r="K1755" s="4" t="s">
        <v>3709</v>
      </c>
      <c r="L1755" s="4" t="s">
        <v>37</v>
      </c>
      <c r="N1755" s="7" t="s">
        <v>3710</v>
      </c>
      <c r="O1755" s="7"/>
      <c r="P1755" s="7" t="s">
        <v>3711</v>
      </c>
      <c r="Q1755" s="7"/>
      <c r="R1755" s="7"/>
      <c r="S1755" s="3" t="s">
        <v>40</v>
      </c>
      <c r="T1755" s="7" t="s">
        <v>41</v>
      </c>
      <c r="U1755" s="7"/>
      <c r="V1755" s="4" t="s">
        <v>42</v>
      </c>
      <c r="W1755" s="4" t="s">
        <v>51</v>
      </c>
      <c r="X1755" s="4" t="s">
        <v>128</v>
      </c>
      <c r="Y1755" s="7" t="s">
        <v>60</v>
      </c>
      <c r="Z1755" s="7"/>
      <c r="AA1755" s="4" t="s">
        <v>46</v>
      </c>
      <c r="AB1755" s="4" t="s">
        <v>47</v>
      </c>
      <c r="AC1755" s="4" t="s">
        <v>61</v>
      </c>
      <c r="AD1755" s="4" t="s">
        <v>62</v>
      </c>
      <c r="AE1755" s="4" t="s">
        <v>48</v>
      </c>
      <c r="AF1755" s="4" t="s">
        <v>41</v>
      </c>
      <c r="AG1755" s="4" t="s">
        <v>3515</v>
      </c>
    </row>
    <row r="1756" spans="1:33" ht="16.5" customHeight="1" x14ac:dyDescent="0.2">
      <c r="A1756" s="2" t="s">
        <v>31</v>
      </c>
      <c r="B1756" s="5" t="s">
        <v>108</v>
      </c>
      <c r="C1756" s="5"/>
      <c r="D1756" s="5"/>
      <c r="E1756" s="6" t="s">
        <v>33</v>
      </c>
      <c r="F1756" s="6"/>
      <c r="G1756" s="7" t="s">
        <v>3509</v>
      </c>
      <c r="H1756" s="7"/>
      <c r="I1756" s="7"/>
      <c r="J1756" s="3" t="s">
        <v>35</v>
      </c>
      <c r="K1756" s="4" t="s">
        <v>1285</v>
      </c>
      <c r="N1756" s="7" t="s">
        <v>3712</v>
      </c>
      <c r="O1756" s="7"/>
      <c r="P1756" s="7" t="s">
        <v>3713</v>
      </c>
      <c r="Q1756" s="7"/>
      <c r="R1756" s="7"/>
      <c r="S1756" s="3" t="s">
        <v>40</v>
      </c>
      <c r="T1756" s="7" t="s">
        <v>3714</v>
      </c>
      <c r="U1756" s="7"/>
      <c r="V1756" s="4" t="s">
        <v>51</v>
      </c>
      <c r="W1756" s="4" t="s">
        <v>172</v>
      </c>
      <c r="X1756" s="4" t="s">
        <v>59</v>
      </c>
      <c r="Y1756" s="7" t="s">
        <v>937</v>
      </c>
      <c r="Z1756" s="7"/>
      <c r="AA1756" s="4" t="s">
        <v>46</v>
      </c>
      <c r="AB1756" s="4" t="s">
        <v>115</v>
      </c>
      <c r="AC1756" s="4" t="s">
        <v>938</v>
      </c>
      <c r="AD1756" s="4" t="s">
        <v>3715</v>
      </c>
      <c r="AE1756" s="4" t="s">
        <v>48</v>
      </c>
      <c r="AF1756" s="4" t="s">
        <v>41</v>
      </c>
      <c r="AG1756" s="4" t="s">
        <v>3515</v>
      </c>
    </row>
    <row r="1757" spans="1:33" ht="16.5" customHeight="1" x14ac:dyDescent="0.2">
      <c r="A1757" s="2" t="s">
        <v>31</v>
      </c>
      <c r="B1757" s="5" t="s">
        <v>108</v>
      </c>
      <c r="C1757" s="5"/>
      <c r="D1757" s="5"/>
      <c r="E1757" s="6" t="s">
        <v>33</v>
      </c>
      <c r="F1757" s="6"/>
      <c r="G1757" s="7" t="s">
        <v>3509</v>
      </c>
      <c r="H1757" s="7"/>
      <c r="I1757" s="7"/>
      <c r="J1757" s="3" t="s">
        <v>35</v>
      </c>
      <c r="K1757" s="4" t="s">
        <v>398</v>
      </c>
      <c r="N1757" s="7" t="s">
        <v>3716</v>
      </c>
      <c r="O1757" s="7"/>
      <c r="P1757" s="7" t="s">
        <v>3511</v>
      </c>
      <c r="Q1757" s="7"/>
      <c r="R1757" s="7"/>
      <c r="S1757" s="3" t="s">
        <v>40</v>
      </c>
      <c r="T1757" s="7" t="s">
        <v>1797</v>
      </c>
      <c r="U1757" s="7"/>
      <c r="V1757" s="4" t="s">
        <v>51</v>
      </c>
      <c r="W1757" s="4" t="s">
        <v>172</v>
      </c>
      <c r="X1757" s="4" t="s">
        <v>59</v>
      </c>
      <c r="Y1757" s="7" t="s">
        <v>915</v>
      </c>
      <c r="Z1757" s="7"/>
      <c r="AA1757" s="4" t="s">
        <v>46</v>
      </c>
      <c r="AB1757" s="4" t="s">
        <v>115</v>
      </c>
      <c r="AC1757" s="4" t="s">
        <v>916</v>
      </c>
      <c r="AD1757" s="4" t="s">
        <v>1798</v>
      </c>
      <c r="AE1757" s="4" t="s">
        <v>48</v>
      </c>
      <c r="AF1757" s="4" t="s">
        <v>41</v>
      </c>
      <c r="AG1757" s="4" t="s">
        <v>3515</v>
      </c>
    </row>
    <row r="1758" spans="1:33" ht="16.5" customHeight="1" x14ac:dyDescent="0.2">
      <c r="A1758" s="2" t="s">
        <v>31</v>
      </c>
      <c r="B1758" s="5" t="s">
        <v>108</v>
      </c>
      <c r="C1758" s="5"/>
      <c r="D1758" s="5"/>
      <c r="E1758" s="6" t="s">
        <v>33</v>
      </c>
      <c r="F1758" s="6"/>
      <c r="G1758" s="7" t="s">
        <v>3509</v>
      </c>
      <c r="H1758" s="7"/>
      <c r="I1758" s="7"/>
      <c r="J1758" s="3" t="s">
        <v>35</v>
      </c>
      <c r="K1758" s="4" t="s">
        <v>398</v>
      </c>
      <c r="N1758" s="7" t="s">
        <v>3717</v>
      </c>
      <c r="O1758" s="7"/>
      <c r="P1758" s="7" t="s">
        <v>3718</v>
      </c>
      <c r="Q1758" s="7"/>
      <c r="R1758" s="7"/>
      <c r="S1758" s="3" t="s">
        <v>40</v>
      </c>
      <c r="T1758" s="7" t="s">
        <v>3719</v>
      </c>
      <c r="U1758" s="7"/>
      <c r="V1758" s="4" t="s">
        <v>51</v>
      </c>
      <c r="W1758" s="4" t="s">
        <v>172</v>
      </c>
      <c r="X1758" s="4" t="s">
        <v>59</v>
      </c>
      <c r="Y1758" s="7" t="s">
        <v>915</v>
      </c>
      <c r="Z1758" s="7"/>
      <c r="AA1758" s="4" t="s">
        <v>46</v>
      </c>
      <c r="AB1758" s="4" t="s">
        <v>115</v>
      </c>
      <c r="AC1758" s="4" t="s">
        <v>916</v>
      </c>
      <c r="AD1758" s="4" t="s">
        <v>3720</v>
      </c>
      <c r="AE1758" s="4" t="s">
        <v>48</v>
      </c>
      <c r="AF1758" s="4" t="s">
        <v>41</v>
      </c>
      <c r="AG1758" s="4" t="s">
        <v>3515</v>
      </c>
    </row>
    <row r="1759" spans="1:33" ht="16.5" customHeight="1" x14ac:dyDescent="0.2">
      <c r="A1759" s="2" t="s">
        <v>31</v>
      </c>
      <c r="B1759" s="5" t="s">
        <v>108</v>
      </c>
      <c r="C1759" s="5"/>
      <c r="D1759" s="5"/>
      <c r="E1759" s="6" t="s">
        <v>33</v>
      </c>
      <c r="F1759" s="6"/>
      <c r="G1759" s="7" t="s">
        <v>3509</v>
      </c>
      <c r="H1759" s="7"/>
      <c r="I1759" s="7"/>
      <c r="J1759" s="3" t="s">
        <v>35</v>
      </c>
      <c r="K1759" s="4" t="s">
        <v>3721</v>
      </c>
      <c r="N1759" s="7" t="s">
        <v>3722</v>
      </c>
      <c r="O1759" s="7"/>
      <c r="P1759" s="7" t="s">
        <v>3723</v>
      </c>
      <c r="Q1759" s="7"/>
      <c r="R1759" s="7"/>
      <c r="S1759" s="3" t="s">
        <v>40</v>
      </c>
      <c r="T1759" s="7" t="s">
        <v>3724</v>
      </c>
      <c r="U1759" s="7"/>
      <c r="V1759" s="4" t="s">
        <v>42</v>
      </c>
      <c r="W1759" s="4" t="s">
        <v>58</v>
      </c>
      <c r="X1759" s="4" t="s">
        <v>59</v>
      </c>
      <c r="Y1759" s="7" t="s">
        <v>402</v>
      </c>
      <c r="Z1759" s="7"/>
      <c r="AA1759" s="4" t="s">
        <v>46</v>
      </c>
      <c r="AB1759" s="4" t="s">
        <v>115</v>
      </c>
      <c r="AC1759" s="4" t="s">
        <v>403</v>
      </c>
      <c r="AD1759" s="4" t="s">
        <v>3725</v>
      </c>
      <c r="AE1759" s="4" t="s">
        <v>48</v>
      </c>
      <c r="AF1759" s="4" t="s">
        <v>41</v>
      </c>
      <c r="AG1759" s="4" t="s">
        <v>3515</v>
      </c>
    </row>
    <row r="1760" spans="1:33" ht="16.5" customHeight="1" x14ac:dyDescent="0.2">
      <c r="A1760" s="2" t="s">
        <v>31</v>
      </c>
      <c r="B1760" s="5" t="s">
        <v>108</v>
      </c>
      <c r="C1760" s="5"/>
      <c r="D1760" s="5"/>
      <c r="E1760" s="6" t="s">
        <v>33</v>
      </c>
      <c r="F1760" s="6"/>
      <c r="G1760" s="7" t="s">
        <v>3509</v>
      </c>
      <c r="H1760" s="7"/>
      <c r="I1760" s="7"/>
      <c r="J1760" s="3" t="s">
        <v>35</v>
      </c>
      <c r="K1760" s="4" t="s">
        <v>3721</v>
      </c>
      <c r="N1760" s="7" t="s">
        <v>3722</v>
      </c>
      <c r="O1760" s="7"/>
      <c r="P1760" s="7" t="s">
        <v>3723</v>
      </c>
      <c r="Q1760" s="7"/>
      <c r="R1760" s="7"/>
      <c r="S1760" s="3" t="s">
        <v>40</v>
      </c>
      <c r="T1760" s="7" t="s">
        <v>3724</v>
      </c>
      <c r="U1760" s="7"/>
      <c r="V1760" s="4" t="s">
        <v>51</v>
      </c>
      <c r="W1760" s="4" t="s">
        <v>58</v>
      </c>
      <c r="X1760" s="4" t="s">
        <v>128</v>
      </c>
      <c r="Y1760" s="7" t="s">
        <v>402</v>
      </c>
      <c r="Z1760" s="7"/>
      <c r="AA1760" s="4" t="s">
        <v>46</v>
      </c>
      <c r="AB1760" s="4" t="s">
        <v>115</v>
      </c>
      <c r="AC1760" s="4" t="s">
        <v>403</v>
      </c>
      <c r="AD1760" s="4" t="s">
        <v>3725</v>
      </c>
      <c r="AE1760" s="4" t="s">
        <v>48</v>
      </c>
      <c r="AF1760" s="4" t="s">
        <v>41</v>
      </c>
      <c r="AG1760" s="4" t="s">
        <v>3515</v>
      </c>
    </row>
    <row r="1761" spans="1:33" ht="16.5" customHeight="1" x14ac:dyDescent="0.2">
      <c r="A1761" s="2" t="s">
        <v>31</v>
      </c>
      <c r="B1761" s="5" t="s">
        <v>108</v>
      </c>
      <c r="C1761" s="5"/>
      <c r="D1761" s="5"/>
      <c r="E1761" s="6" t="s">
        <v>33</v>
      </c>
      <c r="F1761" s="6"/>
      <c r="G1761" s="7" t="s">
        <v>3509</v>
      </c>
      <c r="H1761" s="7"/>
      <c r="I1761" s="7"/>
      <c r="J1761" s="3" t="s">
        <v>35</v>
      </c>
      <c r="K1761" s="4" t="s">
        <v>1285</v>
      </c>
      <c r="N1761" s="7" t="s">
        <v>3726</v>
      </c>
      <c r="O1761" s="7"/>
      <c r="P1761" s="7" t="s">
        <v>3727</v>
      </c>
      <c r="Q1761" s="7"/>
      <c r="R1761" s="7"/>
      <c r="S1761" s="3" t="s">
        <v>40</v>
      </c>
      <c r="T1761" s="7" t="s">
        <v>1771</v>
      </c>
      <c r="U1761" s="7"/>
      <c r="V1761" s="4" t="s">
        <v>42</v>
      </c>
      <c r="W1761" s="4" t="s">
        <v>58</v>
      </c>
      <c r="X1761" s="4" t="s">
        <v>59</v>
      </c>
      <c r="Y1761" s="7" t="s">
        <v>937</v>
      </c>
      <c r="Z1761" s="7"/>
      <c r="AA1761" s="4" t="s">
        <v>46</v>
      </c>
      <c r="AB1761" s="4" t="s">
        <v>115</v>
      </c>
      <c r="AC1761" s="4" t="s">
        <v>938</v>
      </c>
      <c r="AD1761" s="4" t="s">
        <v>1772</v>
      </c>
      <c r="AE1761" s="4" t="s">
        <v>48</v>
      </c>
      <c r="AF1761" s="4" t="s">
        <v>41</v>
      </c>
      <c r="AG1761" s="4" t="s">
        <v>3515</v>
      </c>
    </row>
    <row r="1762" spans="1:33" ht="16.5" customHeight="1" x14ac:dyDescent="0.2">
      <c r="A1762" s="2" t="s">
        <v>31</v>
      </c>
      <c r="B1762" s="5" t="s">
        <v>108</v>
      </c>
      <c r="C1762" s="5"/>
      <c r="D1762" s="5"/>
      <c r="E1762" s="6" t="s">
        <v>33</v>
      </c>
      <c r="F1762" s="6"/>
      <c r="G1762" s="7" t="s">
        <v>3509</v>
      </c>
      <c r="H1762" s="7"/>
      <c r="I1762" s="7"/>
      <c r="J1762" s="3" t="s">
        <v>35</v>
      </c>
      <c r="K1762" s="4" t="s">
        <v>1285</v>
      </c>
      <c r="N1762" s="7" t="s">
        <v>3726</v>
      </c>
      <c r="O1762" s="7"/>
      <c r="P1762" s="7" t="s">
        <v>3727</v>
      </c>
      <c r="Q1762" s="7"/>
      <c r="R1762" s="7"/>
      <c r="S1762" s="3" t="s">
        <v>40</v>
      </c>
      <c r="T1762" s="7" t="s">
        <v>1771</v>
      </c>
      <c r="U1762" s="7"/>
      <c r="V1762" s="4" t="s">
        <v>51</v>
      </c>
      <c r="W1762" s="4" t="s">
        <v>58</v>
      </c>
      <c r="X1762" s="4" t="s">
        <v>128</v>
      </c>
      <c r="Y1762" s="7" t="s">
        <v>937</v>
      </c>
      <c r="Z1762" s="7"/>
      <c r="AA1762" s="4" t="s">
        <v>46</v>
      </c>
      <c r="AB1762" s="4" t="s">
        <v>115</v>
      </c>
      <c r="AC1762" s="4" t="s">
        <v>938</v>
      </c>
      <c r="AD1762" s="4" t="s">
        <v>1772</v>
      </c>
      <c r="AE1762" s="4" t="s">
        <v>48</v>
      </c>
      <c r="AF1762" s="4" t="s">
        <v>41</v>
      </c>
      <c r="AG1762" s="4" t="s">
        <v>3515</v>
      </c>
    </row>
    <row r="1763" spans="1:33" ht="16.5" customHeight="1" x14ac:dyDescent="0.2">
      <c r="A1763" s="2" t="s">
        <v>31</v>
      </c>
      <c r="B1763" s="5" t="s">
        <v>108</v>
      </c>
      <c r="C1763" s="5"/>
      <c r="D1763" s="5"/>
      <c r="E1763" s="6" t="s">
        <v>33</v>
      </c>
      <c r="F1763" s="6"/>
      <c r="G1763" s="7" t="s">
        <v>3509</v>
      </c>
      <c r="H1763" s="7"/>
      <c r="I1763" s="7"/>
      <c r="J1763" s="3" t="s">
        <v>35</v>
      </c>
      <c r="K1763" s="4" t="s">
        <v>1285</v>
      </c>
      <c r="N1763" s="7" t="s">
        <v>3726</v>
      </c>
      <c r="O1763" s="7"/>
      <c r="P1763" s="7" t="s">
        <v>3727</v>
      </c>
      <c r="Q1763" s="7"/>
      <c r="R1763" s="7"/>
      <c r="S1763" s="3" t="s">
        <v>40</v>
      </c>
      <c r="T1763" s="7" t="s">
        <v>1771</v>
      </c>
      <c r="U1763" s="7"/>
      <c r="V1763" s="4" t="s">
        <v>51</v>
      </c>
      <c r="W1763" s="4" t="s">
        <v>58</v>
      </c>
      <c r="X1763" s="4" t="s">
        <v>128</v>
      </c>
      <c r="Y1763" s="7" t="s">
        <v>937</v>
      </c>
      <c r="Z1763" s="7"/>
      <c r="AA1763" s="4" t="s">
        <v>46</v>
      </c>
      <c r="AB1763" s="4" t="s">
        <v>115</v>
      </c>
      <c r="AC1763" s="4" t="s">
        <v>938</v>
      </c>
      <c r="AD1763" s="4" t="s">
        <v>1772</v>
      </c>
      <c r="AE1763" s="4" t="s">
        <v>48</v>
      </c>
      <c r="AF1763" s="4" t="s">
        <v>41</v>
      </c>
      <c r="AG1763" s="4" t="s">
        <v>3515</v>
      </c>
    </row>
    <row r="1764" spans="1:33" ht="16.5" customHeight="1" x14ac:dyDescent="0.2">
      <c r="A1764" s="2" t="s">
        <v>31</v>
      </c>
      <c r="B1764" s="5" t="s">
        <v>108</v>
      </c>
      <c r="C1764" s="5"/>
      <c r="D1764" s="5"/>
      <c r="E1764" s="6" t="s">
        <v>33</v>
      </c>
      <c r="F1764" s="6"/>
      <c r="G1764" s="7" t="s">
        <v>3509</v>
      </c>
      <c r="H1764" s="7"/>
      <c r="I1764" s="7"/>
      <c r="J1764" s="3" t="s">
        <v>35</v>
      </c>
      <c r="K1764" s="4" t="s">
        <v>1285</v>
      </c>
      <c r="N1764" s="7" t="s">
        <v>3726</v>
      </c>
      <c r="O1764" s="7"/>
      <c r="P1764" s="7" t="s">
        <v>3727</v>
      </c>
      <c r="Q1764" s="7"/>
      <c r="R1764" s="7"/>
      <c r="S1764" s="3" t="s">
        <v>40</v>
      </c>
      <c r="T1764" s="7" t="s">
        <v>3728</v>
      </c>
      <c r="U1764" s="7"/>
      <c r="V1764" s="4" t="s">
        <v>51</v>
      </c>
      <c r="W1764" s="4" t="s">
        <v>58</v>
      </c>
      <c r="X1764" s="4" t="s">
        <v>128</v>
      </c>
      <c r="Y1764" s="7" t="s">
        <v>937</v>
      </c>
      <c r="Z1764" s="7"/>
      <c r="AA1764" s="4" t="s">
        <v>46</v>
      </c>
      <c r="AB1764" s="4" t="s">
        <v>115</v>
      </c>
      <c r="AC1764" s="4" t="s">
        <v>938</v>
      </c>
      <c r="AD1764" s="4" t="s">
        <v>3729</v>
      </c>
      <c r="AE1764" s="4" t="s">
        <v>48</v>
      </c>
      <c r="AF1764" s="4" t="s">
        <v>41</v>
      </c>
      <c r="AG1764" s="4" t="s">
        <v>3515</v>
      </c>
    </row>
    <row r="1765" spans="1:33" ht="16.5" customHeight="1" x14ac:dyDescent="0.2">
      <c r="A1765" s="2" t="s">
        <v>31</v>
      </c>
      <c r="B1765" s="5" t="s">
        <v>108</v>
      </c>
      <c r="C1765" s="5"/>
      <c r="D1765" s="5"/>
      <c r="E1765" s="6" t="s">
        <v>33</v>
      </c>
      <c r="F1765" s="6"/>
      <c r="G1765" s="7" t="s">
        <v>3509</v>
      </c>
      <c r="H1765" s="7"/>
      <c r="I1765" s="7"/>
      <c r="J1765" s="3" t="s">
        <v>35</v>
      </c>
      <c r="K1765" s="4" t="s">
        <v>398</v>
      </c>
      <c r="N1765" s="7" t="s">
        <v>3730</v>
      </c>
      <c r="O1765" s="7"/>
      <c r="P1765" s="7" t="s">
        <v>3731</v>
      </c>
      <c r="Q1765" s="7"/>
      <c r="R1765" s="7"/>
      <c r="S1765" s="3" t="s">
        <v>40</v>
      </c>
      <c r="T1765" s="7" t="s">
        <v>3732</v>
      </c>
      <c r="U1765" s="7"/>
      <c r="V1765" s="4" t="s">
        <v>51</v>
      </c>
      <c r="W1765" s="4" t="s">
        <v>58</v>
      </c>
      <c r="X1765" s="4" t="s">
        <v>128</v>
      </c>
      <c r="Y1765" s="7" t="s">
        <v>915</v>
      </c>
      <c r="Z1765" s="7"/>
      <c r="AA1765" s="4" t="s">
        <v>46</v>
      </c>
      <c r="AB1765" s="4" t="s">
        <v>115</v>
      </c>
      <c r="AC1765" s="4" t="s">
        <v>916</v>
      </c>
      <c r="AD1765" s="4" t="s">
        <v>3733</v>
      </c>
      <c r="AE1765" s="4" t="s">
        <v>48</v>
      </c>
      <c r="AF1765" s="4" t="s">
        <v>41</v>
      </c>
      <c r="AG1765" s="4" t="s">
        <v>3515</v>
      </c>
    </row>
    <row r="1766" spans="1:33" ht="16.5" customHeight="1" x14ac:dyDescent="0.2">
      <c r="A1766" s="2" t="s">
        <v>31</v>
      </c>
      <c r="B1766" s="5" t="s">
        <v>108</v>
      </c>
      <c r="C1766" s="5"/>
      <c r="D1766" s="5"/>
      <c r="E1766" s="6" t="s">
        <v>33</v>
      </c>
      <c r="F1766" s="6"/>
      <c r="G1766" s="7" t="s">
        <v>3509</v>
      </c>
      <c r="H1766" s="7"/>
      <c r="I1766" s="7"/>
      <c r="J1766" s="3" t="s">
        <v>35</v>
      </c>
      <c r="K1766" s="4" t="s">
        <v>1285</v>
      </c>
      <c r="N1766" s="7" t="s">
        <v>3734</v>
      </c>
      <c r="O1766" s="7"/>
      <c r="P1766" s="7" t="s">
        <v>3519</v>
      </c>
      <c r="Q1766" s="7"/>
      <c r="R1766" s="7"/>
      <c r="S1766" s="3" t="s">
        <v>40</v>
      </c>
      <c r="T1766" s="7" t="s">
        <v>3735</v>
      </c>
      <c r="U1766" s="7"/>
      <c r="V1766" s="4" t="s">
        <v>51</v>
      </c>
      <c r="W1766" s="4" t="s">
        <v>58</v>
      </c>
      <c r="X1766" s="4" t="s">
        <v>128</v>
      </c>
      <c r="Y1766" s="7" t="s">
        <v>937</v>
      </c>
      <c r="Z1766" s="7"/>
      <c r="AA1766" s="4" t="s">
        <v>46</v>
      </c>
      <c r="AB1766" s="4" t="s">
        <v>115</v>
      </c>
      <c r="AC1766" s="4" t="s">
        <v>938</v>
      </c>
      <c r="AD1766" s="4" t="s">
        <v>3736</v>
      </c>
      <c r="AE1766" s="4" t="s">
        <v>48</v>
      </c>
      <c r="AF1766" s="4" t="s">
        <v>41</v>
      </c>
      <c r="AG1766" s="4" t="s">
        <v>3515</v>
      </c>
    </row>
    <row r="1767" spans="1:33" ht="16.5" customHeight="1" x14ac:dyDescent="0.2">
      <c r="A1767" s="2" t="s">
        <v>31</v>
      </c>
      <c r="B1767" s="5" t="s">
        <v>108</v>
      </c>
      <c r="C1767" s="5"/>
      <c r="D1767" s="5"/>
      <c r="E1767" s="6" t="s">
        <v>33</v>
      </c>
      <c r="F1767" s="6"/>
      <c r="G1767" s="7" t="s">
        <v>3509</v>
      </c>
      <c r="H1767" s="7"/>
      <c r="I1767" s="7"/>
      <c r="J1767" s="3" t="s">
        <v>35</v>
      </c>
      <c r="K1767" s="4" t="s">
        <v>1285</v>
      </c>
      <c r="N1767" s="7" t="s">
        <v>3734</v>
      </c>
      <c r="O1767" s="7"/>
      <c r="P1767" s="7" t="s">
        <v>3519</v>
      </c>
      <c r="Q1767" s="7"/>
      <c r="R1767" s="7"/>
      <c r="S1767" s="3" t="s">
        <v>40</v>
      </c>
      <c r="T1767" s="7" t="s">
        <v>3737</v>
      </c>
      <c r="U1767" s="7"/>
      <c r="V1767" s="4" t="s">
        <v>51</v>
      </c>
      <c r="W1767" s="4" t="s">
        <v>58</v>
      </c>
      <c r="X1767" s="4" t="s">
        <v>128</v>
      </c>
      <c r="Y1767" s="7" t="s">
        <v>937</v>
      </c>
      <c r="Z1767" s="7"/>
      <c r="AA1767" s="4" t="s">
        <v>46</v>
      </c>
      <c r="AB1767" s="4" t="s">
        <v>115</v>
      </c>
      <c r="AC1767" s="4" t="s">
        <v>938</v>
      </c>
      <c r="AD1767" s="4" t="s">
        <v>3738</v>
      </c>
      <c r="AE1767" s="4" t="s">
        <v>48</v>
      </c>
      <c r="AF1767" s="4" t="s">
        <v>41</v>
      </c>
      <c r="AG1767" s="4" t="s">
        <v>3515</v>
      </c>
    </row>
    <row r="1768" spans="1:33" ht="16.5" customHeight="1" x14ac:dyDescent="0.2">
      <c r="A1768" s="2" t="s">
        <v>31</v>
      </c>
      <c r="B1768" s="5" t="s">
        <v>108</v>
      </c>
      <c r="C1768" s="5"/>
      <c r="D1768" s="5"/>
      <c r="E1768" s="6" t="s">
        <v>33</v>
      </c>
      <c r="F1768" s="6"/>
      <c r="G1768" s="7" t="s">
        <v>3509</v>
      </c>
      <c r="H1768" s="7"/>
      <c r="I1768" s="7"/>
      <c r="J1768" s="3" t="s">
        <v>35</v>
      </c>
      <c r="K1768" s="4" t="s">
        <v>1285</v>
      </c>
      <c r="N1768" s="7" t="s">
        <v>3739</v>
      </c>
      <c r="O1768" s="7"/>
      <c r="P1768" s="7" t="s">
        <v>3740</v>
      </c>
      <c r="Q1768" s="7"/>
      <c r="R1768" s="7"/>
      <c r="S1768" s="3" t="s">
        <v>40</v>
      </c>
      <c r="T1768" s="7" t="s">
        <v>3741</v>
      </c>
      <c r="U1768" s="7"/>
      <c r="V1768" s="4" t="s">
        <v>2979</v>
      </c>
      <c r="W1768" s="4" t="s">
        <v>3742</v>
      </c>
      <c r="X1768" s="4" t="s">
        <v>386</v>
      </c>
      <c r="Y1768" s="7" t="s">
        <v>961</v>
      </c>
      <c r="Z1768" s="7"/>
      <c r="AA1768" s="4" t="s">
        <v>46</v>
      </c>
      <c r="AB1768" s="4" t="s">
        <v>115</v>
      </c>
      <c r="AC1768" s="4" t="s">
        <v>962</v>
      </c>
      <c r="AD1768" s="4" t="s">
        <v>3743</v>
      </c>
      <c r="AE1768" s="4" t="s">
        <v>48</v>
      </c>
      <c r="AF1768" s="4" t="s">
        <v>41</v>
      </c>
      <c r="AG1768" s="4" t="s">
        <v>3515</v>
      </c>
    </row>
    <row r="1769" spans="1:33" ht="16.5" customHeight="1" x14ac:dyDescent="0.2">
      <c r="A1769" s="2" t="s">
        <v>31</v>
      </c>
      <c r="B1769" s="5" t="s">
        <v>108</v>
      </c>
      <c r="C1769" s="5"/>
      <c r="D1769" s="5"/>
      <c r="E1769" s="6" t="s">
        <v>33</v>
      </c>
      <c r="F1769" s="6"/>
      <c r="G1769" s="7" t="s">
        <v>3509</v>
      </c>
      <c r="H1769" s="7"/>
      <c r="I1769" s="7"/>
      <c r="J1769" s="3" t="s">
        <v>35</v>
      </c>
      <c r="K1769" s="4" t="s">
        <v>398</v>
      </c>
      <c r="N1769" s="7" t="s">
        <v>3744</v>
      </c>
      <c r="O1769" s="7"/>
      <c r="P1769" s="7" t="s">
        <v>3523</v>
      </c>
      <c r="Q1769" s="7"/>
      <c r="R1769" s="7"/>
      <c r="S1769" s="3" t="s">
        <v>40</v>
      </c>
      <c r="T1769" s="7" t="s">
        <v>2046</v>
      </c>
      <c r="U1769" s="7"/>
      <c r="V1769" s="4" t="s">
        <v>51</v>
      </c>
      <c r="W1769" s="4" t="s">
        <v>58</v>
      </c>
      <c r="X1769" s="4" t="s">
        <v>128</v>
      </c>
      <c r="Y1769" s="7" t="s">
        <v>402</v>
      </c>
      <c r="Z1769" s="7"/>
      <c r="AA1769" s="4" t="s">
        <v>46</v>
      </c>
      <c r="AB1769" s="4" t="s">
        <v>115</v>
      </c>
      <c r="AC1769" s="4" t="s">
        <v>403</v>
      </c>
      <c r="AD1769" s="4" t="s">
        <v>2047</v>
      </c>
      <c r="AE1769" s="4" t="s">
        <v>48</v>
      </c>
      <c r="AF1769" s="4" t="s">
        <v>41</v>
      </c>
      <c r="AG1769" s="4" t="s">
        <v>3515</v>
      </c>
    </row>
    <row r="1770" spans="1:33" ht="16.5" customHeight="1" x14ac:dyDescent="0.2">
      <c r="A1770" s="2" t="s">
        <v>31</v>
      </c>
      <c r="B1770" s="5" t="s">
        <v>108</v>
      </c>
      <c r="C1770" s="5"/>
      <c r="D1770" s="5"/>
      <c r="E1770" s="6" t="s">
        <v>33</v>
      </c>
      <c r="F1770" s="6"/>
      <c r="G1770" s="7" t="s">
        <v>3509</v>
      </c>
      <c r="H1770" s="7"/>
      <c r="I1770" s="7"/>
      <c r="J1770" s="3" t="s">
        <v>35</v>
      </c>
      <c r="K1770" s="4" t="s">
        <v>398</v>
      </c>
      <c r="N1770" s="7" t="s">
        <v>3745</v>
      </c>
      <c r="O1770" s="7"/>
      <c r="P1770" s="7" t="s">
        <v>3526</v>
      </c>
      <c r="Q1770" s="7"/>
      <c r="R1770" s="7"/>
      <c r="S1770" s="3" t="s">
        <v>40</v>
      </c>
      <c r="T1770" s="7" t="s">
        <v>401</v>
      </c>
      <c r="U1770" s="7"/>
      <c r="V1770" s="4" t="s">
        <v>51</v>
      </c>
      <c r="W1770" s="4" t="s">
        <v>58</v>
      </c>
      <c r="X1770" s="4" t="s">
        <v>128</v>
      </c>
      <c r="Y1770" s="7" t="s">
        <v>402</v>
      </c>
      <c r="Z1770" s="7"/>
      <c r="AA1770" s="4" t="s">
        <v>46</v>
      </c>
      <c r="AB1770" s="4" t="s">
        <v>115</v>
      </c>
      <c r="AC1770" s="4" t="s">
        <v>403</v>
      </c>
      <c r="AD1770" s="4" t="s">
        <v>404</v>
      </c>
      <c r="AE1770" s="4" t="s">
        <v>48</v>
      </c>
      <c r="AF1770" s="4" t="s">
        <v>41</v>
      </c>
      <c r="AG1770" s="4" t="s">
        <v>3515</v>
      </c>
    </row>
    <row r="1771" spans="1:33" ht="16.5" customHeight="1" x14ac:dyDescent="0.2">
      <c r="A1771" s="2" t="s">
        <v>31</v>
      </c>
      <c r="B1771" s="5" t="s">
        <v>108</v>
      </c>
      <c r="C1771" s="5"/>
      <c r="D1771" s="5"/>
      <c r="E1771" s="6" t="s">
        <v>33</v>
      </c>
      <c r="F1771" s="6"/>
      <c r="G1771" s="7" t="s">
        <v>3509</v>
      </c>
      <c r="H1771" s="7"/>
      <c r="I1771" s="7"/>
      <c r="J1771" s="3" t="s">
        <v>35</v>
      </c>
      <c r="K1771" s="4" t="s">
        <v>398</v>
      </c>
      <c r="N1771" s="7" t="s">
        <v>3746</v>
      </c>
      <c r="O1771" s="7"/>
      <c r="P1771" s="7" t="s">
        <v>3747</v>
      </c>
      <c r="Q1771" s="7"/>
      <c r="R1771" s="7"/>
      <c r="S1771" s="3" t="s">
        <v>40</v>
      </c>
      <c r="T1771" s="7" t="s">
        <v>1263</v>
      </c>
      <c r="U1771" s="7"/>
      <c r="V1771" s="4" t="s">
        <v>3748</v>
      </c>
      <c r="W1771" s="4" t="s">
        <v>3749</v>
      </c>
      <c r="X1771" s="4" t="s">
        <v>59</v>
      </c>
      <c r="Y1771" s="7" t="s">
        <v>402</v>
      </c>
      <c r="Z1771" s="7"/>
      <c r="AA1771" s="4" t="s">
        <v>46</v>
      </c>
      <c r="AB1771" s="4" t="s">
        <v>115</v>
      </c>
      <c r="AC1771" s="4" t="s">
        <v>403</v>
      </c>
      <c r="AD1771" s="4" t="s">
        <v>1264</v>
      </c>
      <c r="AE1771" s="4" t="s">
        <v>48</v>
      </c>
      <c r="AF1771" s="4" t="s">
        <v>41</v>
      </c>
      <c r="AG1771" s="4" t="s">
        <v>3515</v>
      </c>
    </row>
    <row r="1772" spans="1:33" ht="16.5" customHeight="1" x14ac:dyDescent="0.2">
      <c r="A1772" s="2" t="s">
        <v>31</v>
      </c>
      <c r="B1772" s="5" t="s">
        <v>108</v>
      </c>
      <c r="C1772" s="5"/>
      <c r="D1772" s="5"/>
      <c r="E1772" s="6" t="s">
        <v>33</v>
      </c>
      <c r="F1772" s="6"/>
      <c r="G1772" s="7" t="s">
        <v>3509</v>
      </c>
      <c r="H1772" s="7"/>
      <c r="I1772" s="7"/>
      <c r="J1772" s="3" t="s">
        <v>35</v>
      </c>
      <c r="K1772" s="4" t="s">
        <v>398</v>
      </c>
      <c r="N1772" s="7" t="s">
        <v>3750</v>
      </c>
      <c r="O1772" s="7"/>
      <c r="P1772" s="7" t="s">
        <v>3751</v>
      </c>
      <c r="Q1772" s="7"/>
      <c r="R1772" s="7"/>
      <c r="S1772" s="3" t="s">
        <v>40</v>
      </c>
      <c r="T1772" s="7" t="s">
        <v>3752</v>
      </c>
      <c r="U1772" s="7"/>
      <c r="V1772" s="4" t="s">
        <v>42</v>
      </c>
      <c r="W1772" s="4" t="s">
        <v>58</v>
      </c>
      <c r="X1772" s="4" t="s">
        <v>59</v>
      </c>
      <c r="Y1772" s="7" t="s">
        <v>402</v>
      </c>
      <c r="Z1772" s="7"/>
      <c r="AA1772" s="4" t="s">
        <v>46</v>
      </c>
      <c r="AB1772" s="4" t="s">
        <v>115</v>
      </c>
      <c r="AC1772" s="4" t="s">
        <v>403</v>
      </c>
      <c r="AD1772" s="4" t="s">
        <v>3753</v>
      </c>
      <c r="AE1772" s="4" t="s">
        <v>48</v>
      </c>
      <c r="AF1772" s="4" t="s">
        <v>41</v>
      </c>
      <c r="AG1772" s="4" t="s">
        <v>3515</v>
      </c>
    </row>
    <row r="1773" spans="1:33" ht="16.5" customHeight="1" x14ac:dyDescent="0.2">
      <c r="A1773" s="2" t="s">
        <v>31</v>
      </c>
      <c r="B1773" s="5" t="s">
        <v>108</v>
      </c>
      <c r="C1773" s="5"/>
      <c r="D1773" s="5"/>
      <c r="E1773" s="6" t="s">
        <v>33</v>
      </c>
      <c r="F1773" s="6"/>
      <c r="G1773" s="7" t="s">
        <v>3509</v>
      </c>
      <c r="H1773" s="7"/>
      <c r="I1773" s="7"/>
      <c r="J1773" s="3" t="s">
        <v>35</v>
      </c>
      <c r="K1773" s="4" t="s">
        <v>398</v>
      </c>
      <c r="N1773" s="7" t="s">
        <v>3750</v>
      </c>
      <c r="O1773" s="7"/>
      <c r="P1773" s="7" t="s">
        <v>3751</v>
      </c>
      <c r="Q1773" s="7"/>
      <c r="R1773" s="7"/>
      <c r="S1773" s="3" t="s">
        <v>40</v>
      </c>
      <c r="T1773" s="7" t="s">
        <v>3752</v>
      </c>
      <c r="U1773" s="7"/>
      <c r="V1773" s="4" t="s">
        <v>51</v>
      </c>
      <c r="W1773" s="4" t="s">
        <v>58</v>
      </c>
      <c r="X1773" s="4" t="s">
        <v>128</v>
      </c>
      <c r="Y1773" s="7" t="s">
        <v>402</v>
      </c>
      <c r="Z1773" s="7"/>
      <c r="AA1773" s="4" t="s">
        <v>46</v>
      </c>
      <c r="AB1773" s="4" t="s">
        <v>115</v>
      </c>
      <c r="AC1773" s="4" t="s">
        <v>403</v>
      </c>
      <c r="AD1773" s="4" t="s">
        <v>3753</v>
      </c>
      <c r="AE1773" s="4" t="s">
        <v>48</v>
      </c>
      <c r="AF1773" s="4" t="s">
        <v>41</v>
      </c>
      <c r="AG1773" s="4" t="s">
        <v>3515</v>
      </c>
    </row>
    <row r="1774" spans="1:33" ht="16.5" customHeight="1" x14ac:dyDescent="0.2">
      <c r="A1774" s="2" t="s">
        <v>31</v>
      </c>
      <c r="B1774" s="5" t="s">
        <v>108</v>
      </c>
      <c r="C1774" s="5"/>
      <c r="D1774" s="5"/>
      <c r="E1774" s="6" t="s">
        <v>33</v>
      </c>
      <c r="F1774" s="6"/>
      <c r="G1774" s="7" t="s">
        <v>3509</v>
      </c>
      <c r="H1774" s="7"/>
      <c r="I1774" s="7"/>
      <c r="J1774" s="3" t="s">
        <v>35</v>
      </c>
      <c r="K1774" s="4" t="s">
        <v>1285</v>
      </c>
      <c r="N1774" s="7" t="s">
        <v>3754</v>
      </c>
      <c r="O1774" s="7"/>
      <c r="P1774" s="7" t="s">
        <v>3755</v>
      </c>
      <c r="Q1774" s="7"/>
      <c r="R1774" s="7"/>
      <c r="S1774" s="3" t="s">
        <v>40</v>
      </c>
      <c r="T1774" s="7" t="s">
        <v>3756</v>
      </c>
      <c r="U1774" s="7"/>
      <c r="V1774" s="4" t="s">
        <v>51</v>
      </c>
      <c r="W1774" s="4" t="s">
        <v>58</v>
      </c>
      <c r="X1774" s="4" t="s">
        <v>128</v>
      </c>
      <c r="Y1774" s="7" t="s">
        <v>937</v>
      </c>
      <c r="Z1774" s="7"/>
      <c r="AA1774" s="4" t="s">
        <v>46</v>
      </c>
      <c r="AB1774" s="4" t="s">
        <v>115</v>
      </c>
      <c r="AC1774" s="4" t="s">
        <v>938</v>
      </c>
      <c r="AD1774" s="4" t="s">
        <v>3757</v>
      </c>
      <c r="AE1774" s="4" t="s">
        <v>48</v>
      </c>
      <c r="AF1774" s="4" t="s">
        <v>41</v>
      </c>
      <c r="AG1774" s="4" t="s">
        <v>3515</v>
      </c>
    </row>
    <row r="1775" spans="1:33" ht="16.5" customHeight="1" x14ac:dyDescent="0.2">
      <c r="A1775" s="2" t="s">
        <v>31</v>
      </c>
      <c r="B1775" s="5" t="s">
        <v>108</v>
      </c>
      <c r="C1775" s="5"/>
      <c r="D1775" s="5"/>
      <c r="E1775" s="6" t="s">
        <v>33</v>
      </c>
      <c r="F1775" s="6"/>
      <c r="G1775" s="7" t="s">
        <v>3509</v>
      </c>
      <c r="H1775" s="7"/>
      <c r="I1775" s="7"/>
      <c r="J1775" s="3" t="s">
        <v>35</v>
      </c>
      <c r="K1775" s="4" t="s">
        <v>3721</v>
      </c>
      <c r="N1775" s="7" t="s">
        <v>3758</v>
      </c>
      <c r="O1775" s="7"/>
      <c r="P1775" s="7" t="s">
        <v>3759</v>
      </c>
      <c r="Q1775" s="7"/>
      <c r="R1775" s="7"/>
      <c r="S1775" s="3" t="s">
        <v>40</v>
      </c>
      <c r="T1775" s="7" t="s">
        <v>3760</v>
      </c>
      <c r="U1775" s="7"/>
      <c r="V1775" s="4" t="s">
        <v>51</v>
      </c>
      <c r="W1775" s="4" t="s">
        <v>58</v>
      </c>
      <c r="X1775" s="4" t="s">
        <v>128</v>
      </c>
      <c r="Y1775" s="7" t="s">
        <v>915</v>
      </c>
      <c r="Z1775" s="7"/>
      <c r="AA1775" s="4" t="s">
        <v>46</v>
      </c>
      <c r="AB1775" s="4" t="s">
        <v>115</v>
      </c>
      <c r="AC1775" s="4" t="s">
        <v>916</v>
      </c>
      <c r="AD1775" s="4" t="s">
        <v>3761</v>
      </c>
      <c r="AE1775" s="4" t="s">
        <v>48</v>
      </c>
      <c r="AF1775" s="4" t="s">
        <v>41</v>
      </c>
      <c r="AG1775" s="4" t="s">
        <v>3515</v>
      </c>
    </row>
    <row r="1776" spans="1:33" ht="16.5" customHeight="1" x14ac:dyDescent="0.2">
      <c r="A1776" s="2" t="s">
        <v>31</v>
      </c>
      <c r="B1776" s="5" t="s">
        <v>108</v>
      </c>
      <c r="C1776" s="5"/>
      <c r="D1776" s="5"/>
      <c r="E1776" s="6" t="s">
        <v>33</v>
      </c>
      <c r="F1776" s="6"/>
      <c r="G1776" s="7" t="s">
        <v>3509</v>
      </c>
      <c r="H1776" s="7"/>
      <c r="I1776" s="7"/>
      <c r="J1776" s="3" t="s">
        <v>35</v>
      </c>
      <c r="K1776" s="4" t="s">
        <v>1285</v>
      </c>
      <c r="N1776" s="7" t="s">
        <v>3762</v>
      </c>
      <c r="O1776" s="7"/>
      <c r="P1776" s="7" t="s">
        <v>3763</v>
      </c>
      <c r="Q1776" s="7"/>
      <c r="R1776" s="7"/>
      <c r="S1776" s="3" t="s">
        <v>40</v>
      </c>
      <c r="T1776" s="7" t="s">
        <v>3764</v>
      </c>
      <c r="U1776" s="7"/>
      <c r="V1776" s="4" t="s">
        <v>51</v>
      </c>
      <c r="W1776" s="4" t="s">
        <v>58</v>
      </c>
      <c r="X1776" s="4" t="s">
        <v>128</v>
      </c>
      <c r="Y1776" s="7" t="s">
        <v>937</v>
      </c>
      <c r="Z1776" s="7"/>
      <c r="AA1776" s="4" t="s">
        <v>46</v>
      </c>
      <c r="AB1776" s="4" t="s">
        <v>115</v>
      </c>
      <c r="AC1776" s="4" t="s">
        <v>938</v>
      </c>
      <c r="AD1776" s="4" t="s">
        <v>3765</v>
      </c>
      <c r="AE1776" s="4" t="s">
        <v>48</v>
      </c>
      <c r="AF1776" s="4" t="s">
        <v>41</v>
      </c>
      <c r="AG1776" s="4" t="s">
        <v>3515</v>
      </c>
    </row>
    <row r="1777" spans="1:33" ht="16.5" customHeight="1" x14ac:dyDescent="0.2">
      <c r="A1777" s="2" t="s">
        <v>31</v>
      </c>
      <c r="B1777" s="5" t="s">
        <v>108</v>
      </c>
      <c r="C1777" s="5"/>
      <c r="D1777" s="5"/>
      <c r="E1777" s="6" t="s">
        <v>33</v>
      </c>
      <c r="F1777" s="6"/>
      <c r="G1777" s="7" t="s">
        <v>3509</v>
      </c>
      <c r="H1777" s="7"/>
      <c r="I1777" s="7"/>
      <c r="J1777" s="3" t="s">
        <v>35</v>
      </c>
      <c r="K1777" s="4" t="s">
        <v>928</v>
      </c>
      <c r="N1777" s="7" t="s">
        <v>3766</v>
      </c>
      <c r="O1777" s="7"/>
      <c r="P1777" s="7" t="s">
        <v>3767</v>
      </c>
      <c r="Q1777" s="7"/>
      <c r="R1777" s="7"/>
      <c r="S1777" s="3" t="s">
        <v>40</v>
      </c>
      <c r="T1777" s="7" t="s">
        <v>3050</v>
      </c>
      <c r="U1777" s="7"/>
      <c r="V1777" s="4" t="s">
        <v>51</v>
      </c>
      <c r="W1777" s="4" t="s">
        <v>58</v>
      </c>
      <c r="X1777" s="4" t="s">
        <v>128</v>
      </c>
      <c r="Y1777" s="7" t="s">
        <v>402</v>
      </c>
      <c r="Z1777" s="7"/>
      <c r="AA1777" s="4" t="s">
        <v>46</v>
      </c>
      <c r="AB1777" s="4" t="s">
        <v>115</v>
      </c>
      <c r="AC1777" s="4" t="s">
        <v>403</v>
      </c>
      <c r="AD1777" s="4" t="s">
        <v>3051</v>
      </c>
      <c r="AE1777" s="4" t="s">
        <v>48</v>
      </c>
      <c r="AF1777" s="4" t="s">
        <v>41</v>
      </c>
      <c r="AG1777" s="4" t="s">
        <v>3515</v>
      </c>
    </row>
    <row r="1778" spans="1:33" ht="16.5" customHeight="1" x14ac:dyDescent="0.2">
      <c r="A1778" s="2" t="s">
        <v>31</v>
      </c>
      <c r="B1778" s="5" t="s">
        <v>108</v>
      </c>
      <c r="C1778" s="5"/>
      <c r="D1778" s="5"/>
      <c r="E1778" s="6" t="s">
        <v>33</v>
      </c>
      <c r="F1778" s="6"/>
      <c r="G1778" s="7" t="s">
        <v>3509</v>
      </c>
      <c r="H1778" s="7"/>
      <c r="I1778" s="7"/>
      <c r="J1778" s="3" t="s">
        <v>35</v>
      </c>
      <c r="K1778" s="4" t="s">
        <v>928</v>
      </c>
      <c r="N1778" s="7" t="s">
        <v>3768</v>
      </c>
      <c r="O1778" s="7"/>
      <c r="P1778" s="7" t="s">
        <v>3769</v>
      </c>
      <c r="Q1778" s="7"/>
      <c r="R1778" s="7"/>
      <c r="S1778" s="3" t="s">
        <v>40</v>
      </c>
      <c r="T1778" s="7" t="s">
        <v>3770</v>
      </c>
      <c r="U1778" s="7"/>
      <c r="V1778" s="4" t="s">
        <v>51</v>
      </c>
      <c r="W1778" s="4" t="s">
        <v>58</v>
      </c>
      <c r="X1778" s="4" t="s">
        <v>128</v>
      </c>
      <c r="Y1778" s="7" t="s">
        <v>402</v>
      </c>
      <c r="Z1778" s="7"/>
      <c r="AA1778" s="4" t="s">
        <v>46</v>
      </c>
      <c r="AB1778" s="4" t="s">
        <v>115</v>
      </c>
      <c r="AC1778" s="4" t="s">
        <v>403</v>
      </c>
      <c r="AD1778" s="4" t="s">
        <v>3771</v>
      </c>
      <c r="AE1778" s="4" t="s">
        <v>48</v>
      </c>
      <c r="AF1778" s="4" t="s">
        <v>41</v>
      </c>
      <c r="AG1778" s="4" t="s">
        <v>3515</v>
      </c>
    </row>
    <row r="1779" spans="1:33" ht="119.25" customHeight="1" x14ac:dyDescent="0.2"/>
    <row r="1780" spans="1:33" ht="12" customHeight="1" x14ac:dyDescent="0.2"/>
  </sheetData>
  <mergeCells count="12070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247:D247"/>
    <mergeCell ref="E247:F247"/>
    <mergeCell ref="G247:I247"/>
    <mergeCell ref="N247:O247"/>
    <mergeCell ref="P247:R247"/>
    <mergeCell ref="T247:U247"/>
    <mergeCell ref="Y247:Z24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328:D328"/>
    <mergeCell ref="E328:F328"/>
    <mergeCell ref="G328:I328"/>
    <mergeCell ref="N328:O328"/>
    <mergeCell ref="P328:R328"/>
    <mergeCell ref="T328:U328"/>
    <mergeCell ref="Y328:Z32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409:D409"/>
    <mergeCell ref="E409:F409"/>
    <mergeCell ref="G409:I409"/>
    <mergeCell ref="N409:O409"/>
    <mergeCell ref="P409:R409"/>
    <mergeCell ref="T409:U409"/>
    <mergeCell ref="Y409:Z40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90:D490"/>
    <mergeCell ref="E490:F490"/>
    <mergeCell ref="G490:I490"/>
    <mergeCell ref="N490:O490"/>
    <mergeCell ref="P490:R490"/>
    <mergeCell ref="T490:U490"/>
    <mergeCell ref="Y490:Z49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571:D571"/>
    <mergeCell ref="E571:F571"/>
    <mergeCell ref="G571:I571"/>
    <mergeCell ref="N571:O571"/>
    <mergeCell ref="P571:R571"/>
    <mergeCell ref="T571:U571"/>
    <mergeCell ref="Y571:Z57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652:D652"/>
    <mergeCell ref="E652:F652"/>
    <mergeCell ref="G652:I652"/>
    <mergeCell ref="N652:O652"/>
    <mergeCell ref="P652:R652"/>
    <mergeCell ref="T652:U652"/>
    <mergeCell ref="Y652:Z65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E660:F660"/>
    <mergeCell ref="G660:I660"/>
    <mergeCell ref="N660:O660"/>
    <mergeCell ref="P660:R660"/>
    <mergeCell ref="T660:U660"/>
    <mergeCell ref="Y660:Z660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733:D733"/>
    <mergeCell ref="E733:F733"/>
    <mergeCell ref="G733:I733"/>
    <mergeCell ref="N733:O733"/>
    <mergeCell ref="P733:R733"/>
    <mergeCell ref="T733:U733"/>
    <mergeCell ref="Y733:Z733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814:D814"/>
    <mergeCell ref="E814:F814"/>
    <mergeCell ref="G814:I814"/>
    <mergeCell ref="N814:O814"/>
    <mergeCell ref="P814:R814"/>
    <mergeCell ref="T814:U814"/>
    <mergeCell ref="Y814:Z81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95:D895"/>
    <mergeCell ref="E895:F895"/>
    <mergeCell ref="G895:I895"/>
    <mergeCell ref="N895:O895"/>
    <mergeCell ref="P895:R895"/>
    <mergeCell ref="T895:U895"/>
    <mergeCell ref="Y895:Z89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03:D903"/>
    <mergeCell ref="E903:F903"/>
    <mergeCell ref="G903:I903"/>
    <mergeCell ref="N903:O903"/>
    <mergeCell ref="P903:R903"/>
    <mergeCell ref="T903:U903"/>
    <mergeCell ref="Y903:Z903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G973:I973"/>
    <mergeCell ref="N973:O973"/>
    <mergeCell ref="P973:R973"/>
    <mergeCell ref="T973:U973"/>
    <mergeCell ref="Y973:Z973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976:D976"/>
    <mergeCell ref="E976:F976"/>
    <mergeCell ref="G976:I976"/>
    <mergeCell ref="N976:O976"/>
    <mergeCell ref="P976:R976"/>
    <mergeCell ref="T976:U976"/>
    <mergeCell ref="Y976:Z97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E984:F984"/>
    <mergeCell ref="G984:I984"/>
    <mergeCell ref="N984:O984"/>
    <mergeCell ref="P984:R984"/>
    <mergeCell ref="T984:U984"/>
    <mergeCell ref="Y984:Z984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1057:D1057"/>
    <mergeCell ref="E1057:F1057"/>
    <mergeCell ref="G1057:I1057"/>
    <mergeCell ref="N1057:O1057"/>
    <mergeCell ref="P1057:R1057"/>
    <mergeCell ref="T1057:U1057"/>
    <mergeCell ref="Y1057:Z105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138:D1138"/>
    <mergeCell ref="E1138:F1138"/>
    <mergeCell ref="G1138:I1138"/>
    <mergeCell ref="N1138:O1138"/>
    <mergeCell ref="P1138:R1138"/>
    <mergeCell ref="T1138:U1138"/>
    <mergeCell ref="Y1138:Z113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219:D1219"/>
    <mergeCell ref="E1219:F1219"/>
    <mergeCell ref="G1219:I1219"/>
    <mergeCell ref="N1219:O1219"/>
    <mergeCell ref="P1219:R1219"/>
    <mergeCell ref="T1219:U1219"/>
    <mergeCell ref="Y1219:Z121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85:D1285"/>
    <mergeCell ref="E1285:F1285"/>
    <mergeCell ref="G1285:I1285"/>
    <mergeCell ref="N1285:O1285"/>
    <mergeCell ref="P1285:R1285"/>
    <mergeCell ref="T1285:U1285"/>
    <mergeCell ref="Y1285:Z1285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E1294:F129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300:D1300"/>
    <mergeCell ref="E1300:F1300"/>
    <mergeCell ref="G1300:I1300"/>
    <mergeCell ref="N1300:O1300"/>
    <mergeCell ref="P1300:R1300"/>
    <mergeCell ref="T1300:U1300"/>
    <mergeCell ref="Y1300:Z130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E1308:F1308"/>
    <mergeCell ref="G1308:I1308"/>
    <mergeCell ref="N1308:O1308"/>
    <mergeCell ref="P1308:R1308"/>
    <mergeCell ref="T1308:U1308"/>
    <mergeCell ref="Y1308:Z1308"/>
    <mergeCell ref="B1309:D1309"/>
    <mergeCell ref="E1309:F1309"/>
    <mergeCell ref="G1309:I1309"/>
    <mergeCell ref="N1309:O1309"/>
    <mergeCell ref="P1309:R1309"/>
    <mergeCell ref="T1309:U1309"/>
    <mergeCell ref="Y1309:Z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78:D1378"/>
    <mergeCell ref="E1378:F1378"/>
    <mergeCell ref="G1378:I1378"/>
    <mergeCell ref="N1378:O1378"/>
    <mergeCell ref="P1378:R1378"/>
    <mergeCell ref="T1378:U1378"/>
    <mergeCell ref="Y1378:Z1378"/>
    <mergeCell ref="B1379:D1379"/>
    <mergeCell ref="E1379:F1379"/>
    <mergeCell ref="G1379:I1379"/>
    <mergeCell ref="N1379:O1379"/>
    <mergeCell ref="P1379:R1379"/>
    <mergeCell ref="T1379:U1379"/>
    <mergeCell ref="Y1379:Z1379"/>
    <mergeCell ref="B1380:D1380"/>
    <mergeCell ref="E1380:F1380"/>
    <mergeCell ref="G1380:I1380"/>
    <mergeCell ref="N1380:O1380"/>
    <mergeCell ref="P1380:R1380"/>
    <mergeCell ref="T1380:U1380"/>
    <mergeCell ref="Y1380:Z1380"/>
    <mergeCell ref="B1381:D1381"/>
    <mergeCell ref="E1381:F1381"/>
    <mergeCell ref="G1381:I1381"/>
    <mergeCell ref="N1381:O1381"/>
    <mergeCell ref="P1381:R1381"/>
    <mergeCell ref="T1381:U1381"/>
    <mergeCell ref="Y1381:Z1381"/>
    <mergeCell ref="B1384:D1384"/>
    <mergeCell ref="E1384:F1384"/>
    <mergeCell ref="G1384:I1384"/>
    <mergeCell ref="N1384:O1384"/>
    <mergeCell ref="P1384:R1384"/>
    <mergeCell ref="T1384:U1384"/>
    <mergeCell ref="Y1384:Z1384"/>
    <mergeCell ref="B1385:D1385"/>
    <mergeCell ref="E1385:F1385"/>
    <mergeCell ref="G1385:I1385"/>
    <mergeCell ref="N1385:O1385"/>
    <mergeCell ref="P1385:R1385"/>
    <mergeCell ref="T1385:U1385"/>
    <mergeCell ref="Y1385:Z1385"/>
    <mergeCell ref="B1386:D1386"/>
    <mergeCell ref="E1386:F1386"/>
    <mergeCell ref="G1386:I1386"/>
    <mergeCell ref="N1386:O1386"/>
    <mergeCell ref="P1386:R1386"/>
    <mergeCell ref="T1386:U1386"/>
    <mergeCell ref="Y1386:Z1386"/>
    <mergeCell ref="B1387:D1387"/>
    <mergeCell ref="E1387:F1387"/>
    <mergeCell ref="G1387:I1387"/>
    <mergeCell ref="N1387:O1387"/>
    <mergeCell ref="P1387:R1387"/>
    <mergeCell ref="T1387:U1387"/>
    <mergeCell ref="Y1387:Z1387"/>
    <mergeCell ref="B1388:D1388"/>
    <mergeCell ref="E1388:F1388"/>
    <mergeCell ref="G1388:I1388"/>
    <mergeCell ref="N1388:O1388"/>
    <mergeCell ref="P1388:R1388"/>
    <mergeCell ref="T1388:U1388"/>
    <mergeCell ref="Y1388:Z1388"/>
    <mergeCell ref="B1389:D1389"/>
    <mergeCell ref="E1389:F1389"/>
    <mergeCell ref="G1389:I1389"/>
    <mergeCell ref="N1389:O1389"/>
    <mergeCell ref="P1389:R1389"/>
    <mergeCell ref="T1389:U1389"/>
    <mergeCell ref="Y1389:Z1389"/>
    <mergeCell ref="B1390:D1390"/>
    <mergeCell ref="E1390:F1390"/>
    <mergeCell ref="G1390:I1390"/>
    <mergeCell ref="N1390:O1390"/>
    <mergeCell ref="P1390:R1390"/>
    <mergeCell ref="T1390:U1390"/>
    <mergeCell ref="Y1390:Z1390"/>
    <mergeCell ref="B1391:D1391"/>
    <mergeCell ref="E1391:F1391"/>
    <mergeCell ref="G1391:I1391"/>
    <mergeCell ref="N1391:O1391"/>
    <mergeCell ref="P1391:R1391"/>
    <mergeCell ref="T1391:U1391"/>
    <mergeCell ref="Y1391:Z1391"/>
    <mergeCell ref="B1392:D1392"/>
    <mergeCell ref="E1392:F1392"/>
    <mergeCell ref="G1392:I1392"/>
    <mergeCell ref="N1392:O1392"/>
    <mergeCell ref="P1392:R1392"/>
    <mergeCell ref="T1392:U1392"/>
    <mergeCell ref="Y1392:Z1392"/>
    <mergeCell ref="B1393:D1393"/>
    <mergeCell ref="E1393:F1393"/>
    <mergeCell ref="G1393:I1393"/>
    <mergeCell ref="N1393:O1393"/>
    <mergeCell ref="P1393:R1393"/>
    <mergeCell ref="T1393:U1393"/>
    <mergeCell ref="Y1393:Z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430:D1430"/>
    <mergeCell ref="E1430:F1430"/>
    <mergeCell ref="G1430:I1430"/>
    <mergeCell ref="N1430:O1430"/>
    <mergeCell ref="P1430:R1430"/>
    <mergeCell ref="T1430:U1430"/>
    <mergeCell ref="Y1430:Z1430"/>
    <mergeCell ref="B1431:D1431"/>
    <mergeCell ref="E1431:F1431"/>
    <mergeCell ref="G1431:I1431"/>
    <mergeCell ref="N1431:O1431"/>
    <mergeCell ref="P1431:R1431"/>
    <mergeCell ref="T1431:U1431"/>
    <mergeCell ref="Y1431:Z1431"/>
    <mergeCell ref="B1432:D1432"/>
    <mergeCell ref="E1432:F1432"/>
    <mergeCell ref="G1432:I1432"/>
    <mergeCell ref="N1432:O1432"/>
    <mergeCell ref="P1432:R1432"/>
    <mergeCell ref="T1432:U1432"/>
    <mergeCell ref="Y1432:Z1432"/>
    <mergeCell ref="B1433:D1433"/>
    <mergeCell ref="E1433:F1433"/>
    <mergeCell ref="G1433:I1433"/>
    <mergeCell ref="N1433:O1433"/>
    <mergeCell ref="P1433:R1433"/>
    <mergeCell ref="T1433:U1433"/>
    <mergeCell ref="Y1433:Z1433"/>
    <mergeCell ref="B1434:D1434"/>
    <mergeCell ref="E1434:F1434"/>
    <mergeCell ref="G1434:I1434"/>
    <mergeCell ref="N1434:O1434"/>
    <mergeCell ref="P1434:R1434"/>
    <mergeCell ref="T1434:U1434"/>
    <mergeCell ref="Y1434:Z1434"/>
    <mergeCell ref="B1435:D1435"/>
    <mergeCell ref="E1435:F1435"/>
    <mergeCell ref="G1435:I1435"/>
    <mergeCell ref="N1435:O1435"/>
    <mergeCell ref="P1435:R1435"/>
    <mergeCell ref="T1435:U1435"/>
    <mergeCell ref="Y1435:Z1435"/>
    <mergeCell ref="B1436:D1436"/>
    <mergeCell ref="E1436:F1436"/>
    <mergeCell ref="G1436:I1436"/>
    <mergeCell ref="N1436:O1436"/>
    <mergeCell ref="P1436:R1436"/>
    <mergeCell ref="T1436:U1436"/>
    <mergeCell ref="Y1436:Z1436"/>
    <mergeCell ref="B1437:D1437"/>
    <mergeCell ref="E1437:F1437"/>
    <mergeCell ref="G1437:I1437"/>
    <mergeCell ref="N1437:O1437"/>
    <mergeCell ref="P1437:R1437"/>
    <mergeCell ref="T1437:U1437"/>
    <mergeCell ref="Y1437:Z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B1445:D1445"/>
    <mergeCell ref="E1445:F1445"/>
    <mergeCell ref="G1445:I1445"/>
    <mergeCell ref="N1445:O1445"/>
    <mergeCell ref="P1445:R1445"/>
    <mergeCell ref="T1445:U1445"/>
    <mergeCell ref="Y1445:Z1445"/>
    <mergeCell ref="B1446:D1446"/>
    <mergeCell ref="E1446:F1446"/>
    <mergeCell ref="G1446:I1446"/>
    <mergeCell ref="N1446:O1446"/>
    <mergeCell ref="P1446:R1446"/>
    <mergeCell ref="T1446:U1446"/>
    <mergeCell ref="Y1446:Z1446"/>
    <mergeCell ref="B1447:D1447"/>
    <mergeCell ref="E1447:F1447"/>
    <mergeCell ref="G1447:I1447"/>
    <mergeCell ref="N1447:O1447"/>
    <mergeCell ref="P1447:R1447"/>
    <mergeCell ref="T1447:U1447"/>
    <mergeCell ref="Y1447:Z1447"/>
    <mergeCell ref="B1448:D1448"/>
    <mergeCell ref="E1448:F1448"/>
    <mergeCell ref="G1448:I1448"/>
    <mergeCell ref="N1448:O1448"/>
    <mergeCell ref="P1448:R1448"/>
    <mergeCell ref="T1448:U1448"/>
    <mergeCell ref="Y1448:Z1448"/>
    <mergeCell ref="B1449:D1449"/>
    <mergeCell ref="E1449:F1449"/>
    <mergeCell ref="G1449:I1449"/>
    <mergeCell ref="N1449:O1449"/>
    <mergeCell ref="P1449:R1449"/>
    <mergeCell ref="T1449:U1449"/>
    <mergeCell ref="Y1449:Z1449"/>
    <mergeCell ref="B1450:D1450"/>
    <mergeCell ref="E1450:F1450"/>
    <mergeCell ref="G1450:I1450"/>
    <mergeCell ref="N1450:O1450"/>
    <mergeCell ref="P1450:R1450"/>
    <mergeCell ref="T1450:U1450"/>
    <mergeCell ref="Y1450:Z1450"/>
    <mergeCell ref="B1451:D1451"/>
    <mergeCell ref="E1451:F1451"/>
    <mergeCell ref="G1451:I1451"/>
    <mergeCell ref="N1451:O1451"/>
    <mergeCell ref="P1451:R1451"/>
    <mergeCell ref="T1451:U1451"/>
    <mergeCell ref="Y1451:Z1451"/>
    <mergeCell ref="B1452:D1452"/>
    <mergeCell ref="E1452:F1452"/>
    <mergeCell ref="G1452:I1452"/>
    <mergeCell ref="N1452:O1452"/>
    <mergeCell ref="P1452:R1452"/>
    <mergeCell ref="T1452:U1452"/>
    <mergeCell ref="Y1452:Z1452"/>
    <mergeCell ref="B1453:D1453"/>
    <mergeCell ref="E1453:F1453"/>
    <mergeCell ref="G1453:I1453"/>
    <mergeCell ref="N1453:O1453"/>
    <mergeCell ref="P1453:R1453"/>
    <mergeCell ref="T1453:U1453"/>
    <mergeCell ref="Y1453:Z1453"/>
    <mergeCell ref="B1454:D1454"/>
    <mergeCell ref="E1454:F1454"/>
    <mergeCell ref="G1454:I1454"/>
    <mergeCell ref="N1454:O1454"/>
    <mergeCell ref="P1454:R1454"/>
    <mergeCell ref="T1454:U1454"/>
    <mergeCell ref="Y1454:Z1454"/>
    <mergeCell ref="B1455:D1455"/>
    <mergeCell ref="E1455:F1455"/>
    <mergeCell ref="G1455:I1455"/>
    <mergeCell ref="N1455:O1455"/>
    <mergeCell ref="P1455:R1455"/>
    <mergeCell ref="T1455:U1455"/>
    <mergeCell ref="Y1455:Z1455"/>
    <mergeCell ref="B1456:D1456"/>
    <mergeCell ref="E1456:F1456"/>
    <mergeCell ref="G1456:I1456"/>
    <mergeCell ref="N1456:O1456"/>
    <mergeCell ref="P1456:R1456"/>
    <mergeCell ref="T1456:U1456"/>
    <mergeCell ref="Y1456:Z1456"/>
    <mergeCell ref="B1457:D1457"/>
    <mergeCell ref="E1457:F1457"/>
    <mergeCell ref="G1457:I1457"/>
    <mergeCell ref="N1457:O1457"/>
    <mergeCell ref="P1457:R1457"/>
    <mergeCell ref="T1457:U1457"/>
    <mergeCell ref="Y1457:Z1457"/>
    <mergeCell ref="B1458:D1458"/>
    <mergeCell ref="E1458:F1458"/>
    <mergeCell ref="G1458:I1458"/>
    <mergeCell ref="N1458:O1458"/>
    <mergeCell ref="P1458:R1458"/>
    <mergeCell ref="T1458:U1458"/>
    <mergeCell ref="Y1458:Z1458"/>
    <mergeCell ref="B1459:D1459"/>
    <mergeCell ref="E1459:F1459"/>
    <mergeCell ref="G1459:I1459"/>
    <mergeCell ref="N1459:O1459"/>
    <mergeCell ref="P1459:R1459"/>
    <mergeCell ref="T1459:U1459"/>
    <mergeCell ref="Y1459:Z1459"/>
    <mergeCell ref="B1460:D1460"/>
    <mergeCell ref="E1460:F1460"/>
    <mergeCell ref="G1460:I1460"/>
    <mergeCell ref="N1460:O1460"/>
    <mergeCell ref="P1460:R1460"/>
    <mergeCell ref="T1460:U1460"/>
    <mergeCell ref="Y1460:Z1460"/>
    <mergeCell ref="B1461:D1461"/>
    <mergeCell ref="E1461:F1461"/>
    <mergeCell ref="G1461:I1461"/>
    <mergeCell ref="N1461:O1461"/>
    <mergeCell ref="P1461:R1461"/>
    <mergeCell ref="T1461:U1461"/>
    <mergeCell ref="Y1461:Z1461"/>
    <mergeCell ref="B1462:D1462"/>
    <mergeCell ref="E1462:F1462"/>
    <mergeCell ref="G1462:I1462"/>
    <mergeCell ref="N1462:O1462"/>
    <mergeCell ref="P1462:R1462"/>
    <mergeCell ref="T1462:U1462"/>
    <mergeCell ref="Y1462:Z1462"/>
    <mergeCell ref="B1465:D1465"/>
    <mergeCell ref="E1465:F1465"/>
    <mergeCell ref="G1465:I1465"/>
    <mergeCell ref="N1465:O1465"/>
    <mergeCell ref="P1465:R1465"/>
    <mergeCell ref="T1465:U1465"/>
    <mergeCell ref="Y1465:Z1465"/>
    <mergeCell ref="B1466:D1466"/>
    <mergeCell ref="E1466:F1466"/>
    <mergeCell ref="G1466:I1466"/>
    <mergeCell ref="N1466:O1466"/>
    <mergeCell ref="P1466:R1466"/>
    <mergeCell ref="T1466:U1466"/>
    <mergeCell ref="Y1466:Z1466"/>
    <mergeCell ref="B1467:D1467"/>
    <mergeCell ref="E1467:F1467"/>
    <mergeCell ref="G1467:I1467"/>
    <mergeCell ref="N1467:O1467"/>
    <mergeCell ref="P1467:R1467"/>
    <mergeCell ref="T1467:U1467"/>
    <mergeCell ref="Y1467:Z1467"/>
    <mergeCell ref="B1468:D1468"/>
    <mergeCell ref="E1468:F1468"/>
    <mergeCell ref="G1468:I1468"/>
    <mergeCell ref="N1468:O1468"/>
    <mergeCell ref="P1468:R1468"/>
    <mergeCell ref="T1468:U1468"/>
    <mergeCell ref="Y1468:Z1468"/>
    <mergeCell ref="B1469:D1469"/>
    <mergeCell ref="E1469:F1469"/>
    <mergeCell ref="G1469:I1469"/>
    <mergeCell ref="N1469:O1469"/>
    <mergeCell ref="P1469:R1469"/>
    <mergeCell ref="T1469:U1469"/>
    <mergeCell ref="Y1469:Z1469"/>
    <mergeCell ref="B1470:D1470"/>
    <mergeCell ref="E1470:F1470"/>
    <mergeCell ref="G1470:I1470"/>
    <mergeCell ref="N1470:O1470"/>
    <mergeCell ref="P1470:R1470"/>
    <mergeCell ref="T1470:U1470"/>
    <mergeCell ref="Y1470:Z1470"/>
    <mergeCell ref="B1471:D1471"/>
    <mergeCell ref="E1471:F1471"/>
    <mergeCell ref="G1471:I1471"/>
    <mergeCell ref="N1471:O1471"/>
    <mergeCell ref="P1471:R1471"/>
    <mergeCell ref="T1471:U1471"/>
    <mergeCell ref="Y1471:Z1471"/>
    <mergeCell ref="B1472:D1472"/>
    <mergeCell ref="E1472:F1472"/>
    <mergeCell ref="G1472:I1472"/>
    <mergeCell ref="N1472:O1472"/>
    <mergeCell ref="P1472:R1472"/>
    <mergeCell ref="T1472:U1472"/>
    <mergeCell ref="Y1472:Z1472"/>
    <mergeCell ref="B1473:D1473"/>
    <mergeCell ref="E1473:F1473"/>
    <mergeCell ref="G1473:I1473"/>
    <mergeCell ref="N1473:O1473"/>
    <mergeCell ref="P1473:R1473"/>
    <mergeCell ref="T1473:U1473"/>
    <mergeCell ref="Y1473:Z1473"/>
    <mergeCell ref="B1474:D1474"/>
    <mergeCell ref="E1474:F1474"/>
    <mergeCell ref="G1474:I1474"/>
    <mergeCell ref="N1474:O1474"/>
    <mergeCell ref="P1474:R1474"/>
    <mergeCell ref="T1474:U1474"/>
    <mergeCell ref="Y1474:Z1474"/>
    <mergeCell ref="B1475:D1475"/>
    <mergeCell ref="E1475:F1475"/>
    <mergeCell ref="G1475:I1475"/>
    <mergeCell ref="N1475:O1475"/>
    <mergeCell ref="P1475:R1475"/>
    <mergeCell ref="T1475:U1475"/>
    <mergeCell ref="Y1475:Z1475"/>
    <mergeCell ref="B1476:D1476"/>
    <mergeCell ref="E1476:F1476"/>
    <mergeCell ref="G1476:I1476"/>
    <mergeCell ref="N1476:O1476"/>
    <mergeCell ref="P1476:R1476"/>
    <mergeCell ref="T1476:U1476"/>
    <mergeCell ref="Y1476:Z1476"/>
    <mergeCell ref="B1477:D1477"/>
    <mergeCell ref="E1477:F1477"/>
    <mergeCell ref="G1477:I1477"/>
    <mergeCell ref="N1477:O1477"/>
    <mergeCell ref="P1477:R1477"/>
    <mergeCell ref="T1477:U1477"/>
    <mergeCell ref="Y1477:Z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B1484:D1484"/>
    <mergeCell ref="E1484:F1484"/>
    <mergeCell ref="G1484:I1484"/>
    <mergeCell ref="N1484:O1484"/>
    <mergeCell ref="P1484:R1484"/>
    <mergeCell ref="T1484:U1484"/>
    <mergeCell ref="Y1484:Z1484"/>
    <mergeCell ref="B1485:D1485"/>
    <mergeCell ref="E1485:F1485"/>
    <mergeCell ref="G1485:I1485"/>
    <mergeCell ref="N1485:O1485"/>
    <mergeCell ref="P1485:R1485"/>
    <mergeCell ref="T1485:U1485"/>
    <mergeCell ref="Y1485:Z1485"/>
    <mergeCell ref="B1486:D1486"/>
    <mergeCell ref="E1486:F1486"/>
    <mergeCell ref="G1486:I1486"/>
    <mergeCell ref="N1486:O1486"/>
    <mergeCell ref="P1486:R1486"/>
    <mergeCell ref="T1486:U1486"/>
    <mergeCell ref="Y1486:Z1486"/>
    <mergeCell ref="B1487:D1487"/>
    <mergeCell ref="E1487:F1487"/>
    <mergeCell ref="G1487:I1487"/>
    <mergeCell ref="N1487:O1487"/>
    <mergeCell ref="P1487:R1487"/>
    <mergeCell ref="T1487:U1487"/>
    <mergeCell ref="Y1487:Z1487"/>
    <mergeCell ref="B1488:D1488"/>
    <mergeCell ref="E1488:F1488"/>
    <mergeCell ref="G1488:I1488"/>
    <mergeCell ref="N1488:O1488"/>
    <mergeCell ref="P1488:R1488"/>
    <mergeCell ref="T1488:U1488"/>
    <mergeCell ref="Y1488:Z1488"/>
    <mergeCell ref="B1489:D1489"/>
    <mergeCell ref="E1489:F1489"/>
    <mergeCell ref="G1489:I1489"/>
    <mergeCell ref="N1489:O1489"/>
    <mergeCell ref="P1489:R1489"/>
    <mergeCell ref="T1489:U1489"/>
    <mergeCell ref="Y1489:Z1489"/>
    <mergeCell ref="B1490:D1490"/>
    <mergeCell ref="E1490:F1490"/>
    <mergeCell ref="G1490:I1490"/>
    <mergeCell ref="N1490:O1490"/>
    <mergeCell ref="P1490:R1490"/>
    <mergeCell ref="T1490:U1490"/>
    <mergeCell ref="Y1490:Z1490"/>
    <mergeCell ref="B1491:D1491"/>
    <mergeCell ref="E1491:F1491"/>
    <mergeCell ref="G1491:I1491"/>
    <mergeCell ref="N1491:O1491"/>
    <mergeCell ref="P1491:R1491"/>
    <mergeCell ref="T1491:U1491"/>
    <mergeCell ref="Y1491:Z1491"/>
    <mergeCell ref="B1492:D1492"/>
    <mergeCell ref="E1492:F1492"/>
    <mergeCell ref="G1492:I1492"/>
    <mergeCell ref="N1492:O1492"/>
    <mergeCell ref="P1492:R1492"/>
    <mergeCell ref="T1492:U1492"/>
    <mergeCell ref="Y1492:Z1492"/>
    <mergeCell ref="B1493:D1493"/>
    <mergeCell ref="E1493:F1493"/>
    <mergeCell ref="G1493:I1493"/>
    <mergeCell ref="N1493:O1493"/>
    <mergeCell ref="P1493:R1493"/>
    <mergeCell ref="T1493:U1493"/>
    <mergeCell ref="Y1493:Z1493"/>
    <mergeCell ref="B1494:D1494"/>
    <mergeCell ref="E1494:F1494"/>
    <mergeCell ref="G1494:I1494"/>
    <mergeCell ref="N1494:O1494"/>
    <mergeCell ref="P1494:R1494"/>
    <mergeCell ref="T1494:U1494"/>
    <mergeCell ref="Y1494:Z1494"/>
    <mergeCell ref="B1495:D1495"/>
    <mergeCell ref="E1495:F1495"/>
    <mergeCell ref="G1495:I1495"/>
    <mergeCell ref="N1495:O1495"/>
    <mergeCell ref="P1495:R1495"/>
    <mergeCell ref="T1495:U1495"/>
    <mergeCell ref="Y1495:Z1495"/>
    <mergeCell ref="B1496:D1496"/>
    <mergeCell ref="E1496:F1496"/>
    <mergeCell ref="G1496:I1496"/>
    <mergeCell ref="N1496:O1496"/>
    <mergeCell ref="P1496:R1496"/>
    <mergeCell ref="T1496:U1496"/>
    <mergeCell ref="Y1496:Z1496"/>
    <mergeCell ref="B1497:D1497"/>
    <mergeCell ref="E1497:F1497"/>
    <mergeCell ref="G1497:I1497"/>
    <mergeCell ref="N1497:O1497"/>
    <mergeCell ref="P1497:R1497"/>
    <mergeCell ref="T1497:U1497"/>
    <mergeCell ref="Y1497:Z1497"/>
    <mergeCell ref="B1498:D1498"/>
    <mergeCell ref="E1498:F1498"/>
    <mergeCell ref="G1498:I1498"/>
    <mergeCell ref="N1498:O1498"/>
    <mergeCell ref="P1498:R1498"/>
    <mergeCell ref="T1498:U1498"/>
    <mergeCell ref="Y1498:Z1498"/>
    <mergeCell ref="B1499:D1499"/>
    <mergeCell ref="E1499:F1499"/>
    <mergeCell ref="G1499:I1499"/>
    <mergeCell ref="N1499:O1499"/>
    <mergeCell ref="P1499:R1499"/>
    <mergeCell ref="T1499:U1499"/>
    <mergeCell ref="Y1499:Z1499"/>
    <mergeCell ref="B1500:D1500"/>
    <mergeCell ref="E1500:F1500"/>
    <mergeCell ref="G1500:I1500"/>
    <mergeCell ref="N1500:O1500"/>
    <mergeCell ref="P1500:R1500"/>
    <mergeCell ref="T1500:U1500"/>
    <mergeCell ref="Y1500:Z1500"/>
    <mergeCell ref="B1501:D1501"/>
    <mergeCell ref="E1501:F1501"/>
    <mergeCell ref="G1501:I1501"/>
    <mergeCell ref="N1501:O1501"/>
    <mergeCell ref="P1501:R1501"/>
    <mergeCell ref="T1501:U1501"/>
    <mergeCell ref="Y1501:Z1501"/>
    <mergeCell ref="B1502:D1502"/>
    <mergeCell ref="E1502:F1502"/>
    <mergeCell ref="G1502:I1502"/>
    <mergeCell ref="N1502:O1502"/>
    <mergeCell ref="P1502:R1502"/>
    <mergeCell ref="T1502:U1502"/>
    <mergeCell ref="Y1502:Z1502"/>
    <mergeCell ref="B1503:D1503"/>
    <mergeCell ref="E1503:F1503"/>
    <mergeCell ref="G1503:I1503"/>
    <mergeCell ref="N1503:O1503"/>
    <mergeCell ref="P1503:R1503"/>
    <mergeCell ref="T1503:U1503"/>
    <mergeCell ref="Y1503:Z1503"/>
    <mergeCell ref="B1504:D1504"/>
    <mergeCell ref="E1504:F1504"/>
    <mergeCell ref="G1504:I1504"/>
    <mergeCell ref="N1504:O1504"/>
    <mergeCell ref="P1504:R1504"/>
    <mergeCell ref="T1504:U1504"/>
    <mergeCell ref="Y1504:Z1504"/>
    <mergeCell ref="B1505:D1505"/>
    <mergeCell ref="E1505:F1505"/>
    <mergeCell ref="G1505:I1505"/>
    <mergeCell ref="N1505:O1505"/>
    <mergeCell ref="P1505:R1505"/>
    <mergeCell ref="T1505:U1505"/>
    <mergeCell ref="Y1505:Z1505"/>
    <mergeCell ref="B1506:D1506"/>
    <mergeCell ref="E1506:F1506"/>
    <mergeCell ref="G1506:I1506"/>
    <mergeCell ref="N1506:O1506"/>
    <mergeCell ref="P1506:R1506"/>
    <mergeCell ref="T1506:U1506"/>
    <mergeCell ref="Y1506:Z1506"/>
    <mergeCell ref="B1507:D1507"/>
    <mergeCell ref="E1507:F1507"/>
    <mergeCell ref="G1507:I1507"/>
    <mergeCell ref="N1507:O1507"/>
    <mergeCell ref="P1507:R1507"/>
    <mergeCell ref="T1507:U1507"/>
    <mergeCell ref="Y1507:Z1507"/>
    <mergeCell ref="B1508:D1508"/>
    <mergeCell ref="E1508:F1508"/>
    <mergeCell ref="G1508:I1508"/>
    <mergeCell ref="N1508:O1508"/>
    <mergeCell ref="P1508:R1508"/>
    <mergeCell ref="T1508:U1508"/>
    <mergeCell ref="Y1508:Z1508"/>
    <mergeCell ref="B1509:D1509"/>
    <mergeCell ref="E1509:F1509"/>
    <mergeCell ref="G1509:I1509"/>
    <mergeCell ref="N1509:O1509"/>
    <mergeCell ref="P1509:R1509"/>
    <mergeCell ref="T1509:U1509"/>
    <mergeCell ref="Y1509:Z1509"/>
    <mergeCell ref="B1510:D1510"/>
    <mergeCell ref="E1510:F1510"/>
    <mergeCell ref="G1510:I1510"/>
    <mergeCell ref="N1510:O1510"/>
    <mergeCell ref="P1510:R1510"/>
    <mergeCell ref="T1510:U1510"/>
    <mergeCell ref="Y1510:Z1510"/>
    <mergeCell ref="B1511:D1511"/>
    <mergeCell ref="E1511:F1511"/>
    <mergeCell ref="G1511:I1511"/>
    <mergeCell ref="N1511:O1511"/>
    <mergeCell ref="P1511:R1511"/>
    <mergeCell ref="T1511:U1511"/>
    <mergeCell ref="Y1511:Z1511"/>
    <mergeCell ref="B1512:D1512"/>
    <mergeCell ref="E1512:F1512"/>
    <mergeCell ref="G1512:I1512"/>
    <mergeCell ref="N1512:O1512"/>
    <mergeCell ref="P1512:R1512"/>
    <mergeCell ref="T1512:U1512"/>
    <mergeCell ref="Y1512:Z1512"/>
    <mergeCell ref="B1513:D1513"/>
    <mergeCell ref="E1513:F1513"/>
    <mergeCell ref="G1513:I1513"/>
    <mergeCell ref="N1513:O1513"/>
    <mergeCell ref="P1513:R1513"/>
    <mergeCell ref="T1513:U1513"/>
    <mergeCell ref="Y1513:Z1513"/>
    <mergeCell ref="B1514:D1514"/>
    <mergeCell ref="E1514:F1514"/>
    <mergeCell ref="G1514:I1514"/>
    <mergeCell ref="N1514:O1514"/>
    <mergeCell ref="P1514:R1514"/>
    <mergeCell ref="T1514:U1514"/>
    <mergeCell ref="Y1514:Z1514"/>
    <mergeCell ref="B1515:D1515"/>
    <mergeCell ref="E1515:F1515"/>
    <mergeCell ref="G1515:I1515"/>
    <mergeCell ref="N1515:O1515"/>
    <mergeCell ref="P1515:R1515"/>
    <mergeCell ref="T1515:U1515"/>
    <mergeCell ref="Y1515:Z1515"/>
    <mergeCell ref="B1516:D1516"/>
    <mergeCell ref="E1516:F1516"/>
    <mergeCell ref="G1516:I1516"/>
    <mergeCell ref="N1516:O1516"/>
    <mergeCell ref="P1516:R1516"/>
    <mergeCell ref="T1516:U1516"/>
    <mergeCell ref="Y1516:Z1516"/>
    <mergeCell ref="B1517:D1517"/>
    <mergeCell ref="E1517:F1517"/>
    <mergeCell ref="G1517:I1517"/>
    <mergeCell ref="N1517:O1517"/>
    <mergeCell ref="P1517:R1517"/>
    <mergeCell ref="T1517:U1517"/>
    <mergeCell ref="Y1517:Z1517"/>
    <mergeCell ref="B1518:D1518"/>
    <mergeCell ref="E1518:F1518"/>
    <mergeCell ref="G1518:I1518"/>
    <mergeCell ref="N1518:O1518"/>
    <mergeCell ref="P1518:R1518"/>
    <mergeCell ref="T1518:U1518"/>
    <mergeCell ref="Y1518:Z1518"/>
    <mergeCell ref="B1519:D1519"/>
    <mergeCell ref="E1519:F1519"/>
    <mergeCell ref="G1519:I1519"/>
    <mergeCell ref="N1519:O1519"/>
    <mergeCell ref="P1519:R1519"/>
    <mergeCell ref="T1519:U1519"/>
    <mergeCell ref="Y1519:Z1519"/>
    <mergeCell ref="B1520:D1520"/>
    <mergeCell ref="E1520:F1520"/>
    <mergeCell ref="G1520:I1520"/>
    <mergeCell ref="N1520:O1520"/>
    <mergeCell ref="P1520:R1520"/>
    <mergeCell ref="T1520:U1520"/>
    <mergeCell ref="Y1520:Z1520"/>
    <mergeCell ref="B1521:D1521"/>
    <mergeCell ref="E1521:F1521"/>
    <mergeCell ref="G1521:I1521"/>
    <mergeCell ref="N1521:O1521"/>
    <mergeCell ref="P1521:R1521"/>
    <mergeCell ref="T1521:U1521"/>
    <mergeCell ref="Y1521:Z1521"/>
    <mergeCell ref="B1522:D1522"/>
    <mergeCell ref="E1522:F1522"/>
    <mergeCell ref="G1522:I1522"/>
    <mergeCell ref="N1522:O1522"/>
    <mergeCell ref="P1522:R1522"/>
    <mergeCell ref="T1522:U1522"/>
    <mergeCell ref="Y1522:Z1522"/>
    <mergeCell ref="B1523:D1523"/>
    <mergeCell ref="E1523:F1523"/>
    <mergeCell ref="G1523:I1523"/>
    <mergeCell ref="N1523:O1523"/>
    <mergeCell ref="P1523:R1523"/>
    <mergeCell ref="T1523:U1523"/>
    <mergeCell ref="Y1523:Z1523"/>
    <mergeCell ref="B1524:D1524"/>
    <mergeCell ref="E1524:F1524"/>
    <mergeCell ref="G1524:I1524"/>
    <mergeCell ref="N1524:O1524"/>
    <mergeCell ref="P1524:R1524"/>
    <mergeCell ref="T1524:U1524"/>
    <mergeCell ref="Y1524:Z1524"/>
    <mergeCell ref="B1525:D1525"/>
    <mergeCell ref="E1525:F1525"/>
    <mergeCell ref="G1525:I1525"/>
    <mergeCell ref="N1525:O1525"/>
    <mergeCell ref="P1525:R1525"/>
    <mergeCell ref="T1525:U1525"/>
    <mergeCell ref="Y1525:Z1525"/>
    <mergeCell ref="B1526:D1526"/>
    <mergeCell ref="E1526:F1526"/>
    <mergeCell ref="G1526:I1526"/>
    <mergeCell ref="N1526:O1526"/>
    <mergeCell ref="P1526:R1526"/>
    <mergeCell ref="T1526:U1526"/>
    <mergeCell ref="Y1526:Z1526"/>
    <mergeCell ref="B1527:D1527"/>
    <mergeCell ref="E1527:F1527"/>
    <mergeCell ref="G1527:I1527"/>
    <mergeCell ref="N1527:O1527"/>
    <mergeCell ref="P1527:R1527"/>
    <mergeCell ref="T1527:U1527"/>
    <mergeCell ref="Y1527:Z1527"/>
    <mergeCell ref="B1528:D1528"/>
    <mergeCell ref="E1528:F1528"/>
    <mergeCell ref="G1528:I1528"/>
    <mergeCell ref="N1528:O1528"/>
    <mergeCell ref="P1528:R1528"/>
    <mergeCell ref="T1528:U1528"/>
    <mergeCell ref="Y1528:Z1528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B1531:D1531"/>
    <mergeCell ref="E1531:F1531"/>
    <mergeCell ref="G1531:I1531"/>
    <mergeCell ref="N1531:O1531"/>
    <mergeCell ref="P1531:R1531"/>
    <mergeCell ref="T1531:U1531"/>
    <mergeCell ref="Y1531:Z1531"/>
    <mergeCell ref="B1532:D1532"/>
    <mergeCell ref="E1532:F1532"/>
    <mergeCell ref="G1532:I1532"/>
    <mergeCell ref="N1532:O1532"/>
    <mergeCell ref="P1532:R1532"/>
    <mergeCell ref="T1532:U1532"/>
    <mergeCell ref="Y1532:Z1532"/>
    <mergeCell ref="B1533:D1533"/>
    <mergeCell ref="E1533:F1533"/>
    <mergeCell ref="G1533:I1533"/>
    <mergeCell ref="N1533:O1533"/>
    <mergeCell ref="P1533:R1533"/>
    <mergeCell ref="T1533:U1533"/>
    <mergeCell ref="Y1533:Z1533"/>
    <mergeCell ref="B1534:D1534"/>
    <mergeCell ref="E1534:F1534"/>
    <mergeCell ref="G1534:I1534"/>
    <mergeCell ref="N1534:O1534"/>
    <mergeCell ref="P1534:R1534"/>
    <mergeCell ref="T1534:U1534"/>
    <mergeCell ref="Y1534:Z1534"/>
    <mergeCell ref="B1535:D1535"/>
    <mergeCell ref="E1535:F1535"/>
    <mergeCell ref="G1535:I1535"/>
    <mergeCell ref="N1535:O1535"/>
    <mergeCell ref="P1535:R1535"/>
    <mergeCell ref="T1535:U1535"/>
    <mergeCell ref="Y1535:Z1535"/>
    <mergeCell ref="B1536:D1536"/>
    <mergeCell ref="E1536:F1536"/>
    <mergeCell ref="G1536:I1536"/>
    <mergeCell ref="N1536:O1536"/>
    <mergeCell ref="P1536:R1536"/>
    <mergeCell ref="T1536:U1536"/>
    <mergeCell ref="Y1536:Z1536"/>
    <mergeCell ref="B1537:D1537"/>
    <mergeCell ref="E1537:F1537"/>
    <mergeCell ref="G1537:I1537"/>
    <mergeCell ref="N1537:O1537"/>
    <mergeCell ref="P1537:R1537"/>
    <mergeCell ref="T1537:U1537"/>
    <mergeCell ref="Y1537:Z1537"/>
    <mergeCell ref="B1538:D1538"/>
    <mergeCell ref="E1538:F1538"/>
    <mergeCell ref="G1538:I1538"/>
    <mergeCell ref="N1538:O1538"/>
    <mergeCell ref="P1538:R1538"/>
    <mergeCell ref="T1538:U1538"/>
    <mergeCell ref="Y1538:Z1538"/>
    <mergeCell ref="B1539:D1539"/>
    <mergeCell ref="E1539:F1539"/>
    <mergeCell ref="G1539:I1539"/>
    <mergeCell ref="N1539:O1539"/>
    <mergeCell ref="P1539:R1539"/>
    <mergeCell ref="T1539:U1539"/>
    <mergeCell ref="Y1539:Z1539"/>
    <mergeCell ref="B1540:D1540"/>
    <mergeCell ref="E1540:F1540"/>
    <mergeCell ref="G1540:I1540"/>
    <mergeCell ref="N1540:O1540"/>
    <mergeCell ref="P1540:R1540"/>
    <mergeCell ref="T1540:U1540"/>
    <mergeCell ref="Y1540:Z1540"/>
    <mergeCell ref="B1541:D1541"/>
    <mergeCell ref="E1541:F1541"/>
    <mergeCell ref="G1541:I1541"/>
    <mergeCell ref="N1541:O1541"/>
    <mergeCell ref="P1541:R1541"/>
    <mergeCell ref="T1541:U1541"/>
    <mergeCell ref="Y1541:Z1541"/>
    <mergeCell ref="B1542:D1542"/>
    <mergeCell ref="E1542:F1542"/>
    <mergeCell ref="G1542:I1542"/>
    <mergeCell ref="N1542:O1542"/>
    <mergeCell ref="P1542:R1542"/>
    <mergeCell ref="T1542:U1542"/>
    <mergeCell ref="Y1542:Z1542"/>
    <mergeCell ref="B1543:D1543"/>
    <mergeCell ref="E1543:F1543"/>
    <mergeCell ref="G1543:I1543"/>
    <mergeCell ref="N1543:O1543"/>
    <mergeCell ref="P1543:R1543"/>
    <mergeCell ref="T1543:U1543"/>
    <mergeCell ref="Y1543:Z1543"/>
    <mergeCell ref="B1546:D1546"/>
    <mergeCell ref="E1546:F1546"/>
    <mergeCell ref="G1546:I1546"/>
    <mergeCell ref="N1546:O1546"/>
    <mergeCell ref="P1546:R1546"/>
    <mergeCell ref="T1546:U1546"/>
    <mergeCell ref="Y1546:Z1546"/>
    <mergeCell ref="B1547:D1547"/>
    <mergeCell ref="E1547:F1547"/>
    <mergeCell ref="G1547:I1547"/>
    <mergeCell ref="N1547:O1547"/>
    <mergeCell ref="P1547:R1547"/>
    <mergeCell ref="T1547:U1547"/>
    <mergeCell ref="Y1547:Z1547"/>
    <mergeCell ref="B1548:D1548"/>
    <mergeCell ref="E1548:F1548"/>
    <mergeCell ref="G1548:I1548"/>
    <mergeCell ref="N1548:O1548"/>
    <mergeCell ref="P1548:R1548"/>
    <mergeCell ref="T1548:U1548"/>
    <mergeCell ref="Y1548:Z1548"/>
    <mergeCell ref="B1549:D1549"/>
    <mergeCell ref="E1549:F1549"/>
    <mergeCell ref="G1549:I1549"/>
    <mergeCell ref="N1549:O1549"/>
    <mergeCell ref="P1549:R1549"/>
    <mergeCell ref="T1549:U1549"/>
    <mergeCell ref="Y1549:Z1549"/>
    <mergeCell ref="B1550:D1550"/>
    <mergeCell ref="E1550:F1550"/>
    <mergeCell ref="G1550:I1550"/>
    <mergeCell ref="N1550:O1550"/>
    <mergeCell ref="P1550:R1550"/>
    <mergeCell ref="T1550:U1550"/>
    <mergeCell ref="Y1550:Z1550"/>
    <mergeCell ref="B1551:D1551"/>
    <mergeCell ref="E1551:F1551"/>
    <mergeCell ref="G1551:I1551"/>
    <mergeCell ref="N1551:O1551"/>
    <mergeCell ref="P1551:R1551"/>
    <mergeCell ref="T1551:U1551"/>
    <mergeCell ref="Y1551:Z1551"/>
    <mergeCell ref="B1552:D1552"/>
    <mergeCell ref="E1552:F1552"/>
    <mergeCell ref="G1552:I1552"/>
    <mergeCell ref="N1552:O1552"/>
    <mergeCell ref="P1552:R1552"/>
    <mergeCell ref="T1552:U1552"/>
    <mergeCell ref="Y1552:Z1552"/>
    <mergeCell ref="B1553:D1553"/>
    <mergeCell ref="E1553:F1553"/>
    <mergeCell ref="G1553:I1553"/>
    <mergeCell ref="N1553:O1553"/>
    <mergeCell ref="P1553:R1553"/>
    <mergeCell ref="T1553:U1553"/>
    <mergeCell ref="Y1553:Z1553"/>
    <mergeCell ref="B1554:D1554"/>
    <mergeCell ref="E1554:F1554"/>
    <mergeCell ref="G1554:I1554"/>
    <mergeCell ref="N1554:O1554"/>
    <mergeCell ref="P1554:R1554"/>
    <mergeCell ref="T1554:U1554"/>
    <mergeCell ref="Y1554:Z1554"/>
    <mergeCell ref="B1555:D1555"/>
    <mergeCell ref="E1555:F1555"/>
    <mergeCell ref="G1555:I1555"/>
    <mergeCell ref="N1555:O1555"/>
    <mergeCell ref="P1555:R1555"/>
    <mergeCell ref="T1555:U1555"/>
    <mergeCell ref="Y1555:Z1555"/>
    <mergeCell ref="B1556:D1556"/>
    <mergeCell ref="E1556:F1556"/>
    <mergeCell ref="G1556:I1556"/>
    <mergeCell ref="N1556:O1556"/>
    <mergeCell ref="P1556:R1556"/>
    <mergeCell ref="T1556:U1556"/>
    <mergeCell ref="Y1556:Z1556"/>
    <mergeCell ref="B1557:D1557"/>
    <mergeCell ref="E1557:F1557"/>
    <mergeCell ref="G1557:I1557"/>
    <mergeCell ref="N1557:O1557"/>
    <mergeCell ref="P1557:R1557"/>
    <mergeCell ref="T1557:U1557"/>
    <mergeCell ref="Y1557:Z1557"/>
    <mergeCell ref="B1558:D1558"/>
    <mergeCell ref="E1558:F1558"/>
    <mergeCell ref="G1558:I1558"/>
    <mergeCell ref="N1558:O1558"/>
    <mergeCell ref="P1558:R1558"/>
    <mergeCell ref="T1558:U1558"/>
    <mergeCell ref="Y1558:Z1558"/>
    <mergeCell ref="B1559:D1559"/>
    <mergeCell ref="E1559:F1559"/>
    <mergeCell ref="G1559:I1559"/>
    <mergeCell ref="N1559:O1559"/>
    <mergeCell ref="P1559:R1559"/>
    <mergeCell ref="T1559:U1559"/>
    <mergeCell ref="Y1559:Z1559"/>
    <mergeCell ref="B1560:D1560"/>
    <mergeCell ref="E1560:F1560"/>
    <mergeCell ref="G1560:I1560"/>
    <mergeCell ref="N1560:O1560"/>
    <mergeCell ref="P1560:R1560"/>
    <mergeCell ref="T1560:U1560"/>
    <mergeCell ref="Y1560:Z1560"/>
    <mergeCell ref="B1561:D1561"/>
    <mergeCell ref="E1561:F1561"/>
    <mergeCell ref="G1561:I1561"/>
    <mergeCell ref="N1561:O1561"/>
    <mergeCell ref="P1561:R1561"/>
    <mergeCell ref="T1561:U1561"/>
    <mergeCell ref="Y1561:Z1561"/>
    <mergeCell ref="B1562:D1562"/>
    <mergeCell ref="E1562:F1562"/>
    <mergeCell ref="G1562:I1562"/>
    <mergeCell ref="N1562:O1562"/>
    <mergeCell ref="P1562:R1562"/>
    <mergeCell ref="T1562:U1562"/>
    <mergeCell ref="Y1562:Z1562"/>
    <mergeCell ref="B1563:D1563"/>
    <mergeCell ref="E1563:F1563"/>
    <mergeCell ref="G1563:I1563"/>
    <mergeCell ref="N1563:O1563"/>
    <mergeCell ref="P1563:R1563"/>
    <mergeCell ref="T1563:U1563"/>
    <mergeCell ref="Y1563:Z1563"/>
    <mergeCell ref="B1564:D1564"/>
    <mergeCell ref="E1564:F1564"/>
    <mergeCell ref="G1564:I1564"/>
    <mergeCell ref="N1564:O1564"/>
    <mergeCell ref="P1564:R1564"/>
    <mergeCell ref="T1564:U1564"/>
    <mergeCell ref="Y1564:Z1564"/>
    <mergeCell ref="B1565:D1565"/>
    <mergeCell ref="E1565:F1565"/>
    <mergeCell ref="G1565:I1565"/>
    <mergeCell ref="N1565:O1565"/>
    <mergeCell ref="P1565:R1565"/>
    <mergeCell ref="T1565:U1565"/>
    <mergeCell ref="Y1565:Z1565"/>
    <mergeCell ref="B1566:D1566"/>
    <mergeCell ref="E1566:F1566"/>
    <mergeCell ref="G1566:I1566"/>
    <mergeCell ref="N1566:O1566"/>
    <mergeCell ref="P1566:R1566"/>
    <mergeCell ref="T1566:U1566"/>
    <mergeCell ref="Y1566:Z1566"/>
    <mergeCell ref="B1567:D1567"/>
    <mergeCell ref="E1567:F1567"/>
    <mergeCell ref="G1567:I1567"/>
    <mergeCell ref="N1567:O1567"/>
    <mergeCell ref="P1567:R1567"/>
    <mergeCell ref="T1567:U1567"/>
    <mergeCell ref="Y1567:Z1567"/>
    <mergeCell ref="B1568:D1568"/>
    <mergeCell ref="E1568:F1568"/>
    <mergeCell ref="G1568:I1568"/>
    <mergeCell ref="N1568:O1568"/>
    <mergeCell ref="P1568:R1568"/>
    <mergeCell ref="T1568:U1568"/>
    <mergeCell ref="Y1568:Z1568"/>
    <mergeCell ref="B1569:D1569"/>
    <mergeCell ref="E1569:F1569"/>
    <mergeCell ref="G1569:I1569"/>
    <mergeCell ref="N1569:O1569"/>
    <mergeCell ref="P1569:R1569"/>
    <mergeCell ref="T1569:U1569"/>
    <mergeCell ref="Y1569:Z1569"/>
    <mergeCell ref="B1570:D1570"/>
    <mergeCell ref="E1570:F1570"/>
    <mergeCell ref="G1570:I1570"/>
    <mergeCell ref="N1570:O1570"/>
    <mergeCell ref="P1570:R1570"/>
    <mergeCell ref="T1570:U1570"/>
    <mergeCell ref="Y1570:Z1570"/>
    <mergeCell ref="B1571:D1571"/>
    <mergeCell ref="E1571:F1571"/>
    <mergeCell ref="G1571:I1571"/>
    <mergeCell ref="N1571:O1571"/>
    <mergeCell ref="P1571:R1571"/>
    <mergeCell ref="T1571:U1571"/>
    <mergeCell ref="Y1571:Z1571"/>
    <mergeCell ref="B1572:D1572"/>
    <mergeCell ref="E1572:F1572"/>
    <mergeCell ref="G1572:I1572"/>
    <mergeCell ref="N1572:O1572"/>
    <mergeCell ref="P1572:R1572"/>
    <mergeCell ref="T1572:U1572"/>
    <mergeCell ref="Y1572:Z1572"/>
    <mergeCell ref="B1573:D1573"/>
    <mergeCell ref="E1573:F1573"/>
    <mergeCell ref="G1573:I1573"/>
    <mergeCell ref="N1573:O1573"/>
    <mergeCell ref="P1573:R1573"/>
    <mergeCell ref="T1573:U1573"/>
    <mergeCell ref="Y1573:Z1573"/>
    <mergeCell ref="B1574:D1574"/>
    <mergeCell ref="E1574:F1574"/>
    <mergeCell ref="G1574:I1574"/>
    <mergeCell ref="N1574:O1574"/>
    <mergeCell ref="P1574:R1574"/>
    <mergeCell ref="T1574:U1574"/>
    <mergeCell ref="Y1574:Z1574"/>
    <mergeCell ref="B1575:D1575"/>
    <mergeCell ref="E1575:F1575"/>
    <mergeCell ref="G1575:I1575"/>
    <mergeCell ref="N1575:O1575"/>
    <mergeCell ref="P1575:R1575"/>
    <mergeCell ref="T1575:U1575"/>
    <mergeCell ref="Y1575:Z1575"/>
    <mergeCell ref="B1576:D1576"/>
    <mergeCell ref="E1576:F1576"/>
    <mergeCell ref="G1576:I1576"/>
    <mergeCell ref="N1576:O1576"/>
    <mergeCell ref="P1576:R1576"/>
    <mergeCell ref="T1576:U1576"/>
    <mergeCell ref="Y1576:Z1576"/>
    <mergeCell ref="B1577:D1577"/>
    <mergeCell ref="E1577:F1577"/>
    <mergeCell ref="G1577:I1577"/>
    <mergeCell ref="N1577:O1577"/>
    <mergeCell ref="P1577:R1577"/>
    <mergeCell ref="T1577:U1577"/>
    <mergeCell ref="Y1577:Z1577"/>
    <mergeCell ref="B1578:D1578"/>
    <mergeCell ref="E1578:F1578"/>
    <mergeCell ref="G1578:I1578"/>
    <mergeCell ref="N1578:O1578"/>
    <mergeCell ref="P1578:R1578"/>
    <mergeCell ref="T1578:U1578"/>
    <mergeCell ref="Y1578:Z1578"/>
    <mergeCell ref="B1579:D1579"/>
    <mergeCell ref="E1579:F1579"/>
    <mergeCell ref="G1579:I1579"/>
    <mergeCell ref="N1579:O1579"/>
    <mergeCell ref="P1579:R1579"/>
    <mergeCell ref="T1579:U1579"/>
    <mergeCell ref="Y1579:Z1579"/>
    <mergeCell ref="B1580:D1580"/>
    <mergeCell ref="E1580:F1580"/>
    <mergeCell ref="G1580:I1580"/>
    <mergeCell ref="N1580:O1580"/>
    <mergeCell ref="P1580:R1580"/>
    <mergeCell ref="T1580:U1580"/>
    <mergeCell ref="Y1580:Z1580"/>
    <mergeCell ref="B1581:D1581"/>
    <mergeCell ref="E1581:F1581"/>
    <mergeCell ref="G1581:I1581"/>
    <mergeCell ref="N1581:O1581"/>
    <mergeCell ref="P1581:R1581"/>
    <mergeCell ref="T1581:U1581"/>
    <mergeCell ref="Y1581:Z1581"/>
    <mergeCell ref="B1582:D1582"/>
    <mergeCell ref="E1582:F1582"/>
    <mergeCell ref="G1582:I1582"/>
    <mergeCell ref="N1582:O1582"/>
    <mergeCell ref="P1582:R1582"/>
    <mergeCell ref="T1582:U1582"/>
    <mergeCell ref="Y1582:Z1582"/>
    <mergeCell ref="B1583:D1583"/>
    <mergeCell ref="E1583:F1583"/>
    <mergeCell ref="G1583:I1583"/>
    <mergeCell ref="N1583:O1583"/>
    <mergeCell ref="P1583:R1583"/>
    <mergeCell ref="T1583:U1583"/>
    <mergeCell ref="Y1583:Z1583"/>
    <mergeCell ref="B1584:D1584"/>
    <mergeCell ref="E1584:F1584"/>
    <mergeCell ref="G1584:I1584"/>
    <mergeCell ref="N1584:O1584"/>
    <mergeCell ref="P1584:R1584"/>
    <mergeCell ref="T1584:U1584"/>
    <mergeCell ref="Y1584:Z1584"/>
    <mergeCell ref="B1585:D1585"/>
    <mergeCell ref="E1585:F1585"/>
    <mergeCell ref="G1585:I1585"/>
    <mergeCell ref="N1585:O1585"/>
    <mergeCell ref="P1585:R1585"/>
    <mergeCell ref="T1585:U1585"/>
    <mergeCell ref="Y1585:Z1585"/>
    <mergeCell ref="B1586:D1586"/>
    <mergeCell ref="E1586:F1586"/>
    <mergeCell ref="G1586:I1586"/>
    <mergeCell ref="N1586:O1586"/>
    <mergeCell ref="P1586:R1586"/>
    <mergeCell ref="T1586:U1586"/>
    <mergeCell ref="Y1586:Z1586"/>
    <mergeCell ref="B1587:D1587"/>
    <mergeCell ref="E1587:F1587"/>
    <mergeCell ref="G1587:I1587"/>
    <mergeCell ref="N1587:O1587"/>
    <mergeCell ref="P1587:R1587"/>
    <mergeCell ref="T1587:U1587"/>
    <mergeCell ref="Y1587:Z1587"/>
    <mergeCell ref="B1588:D1588"/>
    <mergeCell ref="E1588:F1588"/>
    <mergeCell ref="G1588:I1588"/>
    <mergeCell ref="N1588:O1588"/>
    <mergeCell ref="P1588:R1588"/>
    <mergeCell ref="T1588:U1588"/>
    <mergeCell ref="Y1588:Z1588"/>
    <mergeCell ref="B1589:D1589"/>
    <mergeCell ref="E1589:F1589"/>
    <mergeCell ref="G1589:I1589"/>
    <mergeCell ref="N1589:O1589"/>
    <mergeCell ref="P1589:R1589"/>
    <mergeCell ref="T1589:U1589"/>
    <mergeCell ref="Y1589:Z1589"/>
    <mergeCell ref="B1590:D1590"/>
    <mergeCell ref="E1590:F1590"/>
    <mergeCell ref="G1590:I1590"/>
    <mergeCell ref="N1590:O1590"/>
    <mergeCell ref="P1590:R1590"/>
    <mergeCell ref="T1590:U1590"/>
    <mergeCell ref="Y1590:Z1590"/>
    <mergeCell ref="B1591:D1591"/>
    <mergeCell ref="E1591:F1591"/>
    <mergeCell ref="G1591:I1591"/>
    <mergeCell ref="N1591:O1591"/>
    <mergeCell ref="P1591:R1591"/>
    <mergeCell ref="T1591:U1591"/>
    <mergeCell ref="Y1591:Z1591"/>
    <mergeCell ref="B1592:D1592"/>
    <mergeCell ref="E1592:F1592"/>
    <mergeCell ref="G1592:I1592"/>
    <mergeCell ref="N1592:O1592"/>
    <mergeCell ref="P1592:R1592"/>
    <mergeCell ref="T1592:U1592"/>
    <mergeCell ref="Y1592:Z1592"/>
    <mergeCell ref="B1593:D1593"/>
    <mergeCell ref="E1593:F1593"/>
    <mergeCell ref="G1593:I1593"/>
    <mergeCell ref="N1593:O1593"/>
    <mergeCell ref="P1593:R1593"/>
    <mergeCell ref="T1593:U1593"/>
    <mergeCell ref="Y1593:Z1593"/>
    <mergeCell ref="B1594:D1594"/>
    <mergeCell ref="E1594:F1594"/>
    <mergeCell ref="G1594:I1594"/>
    <mergeCell ref="N1594:O1594"/>
    <mergeCell ref="P1594:R1594"/>
    <mergeCell ref="T1594:U1594"/>
    <mergeCell ref="Y1594:Z1594"/>
    <mergeCell ref="B1595:D1595"/>
    <mergeCell ref="E1595:F1595"/>
    <mergeCell ref="G1595:I1595"/>
    <mergeCell ref="N1595:O1595"/>
    <mergeCell ref="P1595:R1595"/>
    <mergeCell ref="T1595:U1595"/>
    <mergeCell ref="Y1595:Z1595"/>
    <mergeCell ref="B1596:D1596"/>
    <mergeCell ref="E1596:F1596"/>
    <mergeCell ref="G1596:I1596"/>
    <mergeCell ref="N1596:O1596"/>
    <mergeCell ref="P1596:R1596"/>
    <mergeCell ref="T1596:U1596"/>
    <mergeCell ref="Y1596:Z1596"/>
    <mergeCell ref="B1597:D1597"/>
    <mergeCell ref="E1597:F1597"/>
    <mergeCell ref="G1597:I1597"/>
    <mergeCell ref="N1597:O1597"/>
    <mergeCell ref="P1597:R1597"/>
    <mergeCell ref="T1597:U1597"/>
    <mergeCell ref="Y1597:Z1597"/>
    <mergeCell ref="B1598:D1598"/>
    <mergeCell ref="E1598:F1598"/>
    <mergeCell ref="G1598:I1598"/>
    <mergeCell ref="N1598:O1598"/>
    <mergeCell ref="P1598:R1598"/>
    <mergeCell ref="T1598:U1598"/>
    <mergeCell ref="Y1598:Z1598"/>
    <mergeCell ref="B1599:D1599"/>
    <mergeCell ref="E1599:F1599"/>
    <mergeCell ref="G1599:I1599"/>
    <mergeCell ref="N1599:O1599"/>
    <mergeCell ref="P1599:R1599"/>
    <mergeCell ref="T1599:U1599"/>
    <mergeCell ref="Y1599:Z1599"/>
    <mergeCell ref="B1600:D1600"/>
    <mergeCell ref="E1600:F1600"/>
    <mergeCell ref="G1600:I1600"/>
    <mergeCell ref="N1600:O1600"/>
    <mergeCell ref="P1600:R1600"/>
    <mergeCell ref="T1600:U1600"/>
    <mergeCell ref="Y1600:Z1600"/>
    <mergeCell ref="B1601:D1601"/>
    <mergeCell ref="E1601:F1601"/>
    <mergeCell ref="G1601:I1601"/>
    <mergeCell ref="N1601:O1601"/>
    <mergeCell ref="P1601:R1601"/>
    <mergeCell ref="T1601:U1601"/>
    <mergeCell ref="Y1601:Z1601"/>
    <mergeCell ref="B1602:D1602"/>
    <mergeCell ref="E1602:F1602"/>
    <mergeCell ref="G1602:I1602"/>
    <mergeCell ref="N1602:O1602"/>
    <mergeCell ref="P1602:R1602"/>
    <mergeCell ref="T1602:U1602"/>
    <mergeCell ref="Y1602:Z1602"/>
    <mergeCell ref="B1603:D1603"/>
    <mergeCell ref="E1603:F1603"/>
    <mergeCell ref="G1603:I1603"/>
    <mergeCell ref="N1603:O1603"/>
    <mergeCell ref="P1603:R1603"/>
    <mergeCell ref="T1603:U1603"/>
    <mergeCell ref="Y1603:Z1603"/>
    <mergeCell ref="B1604:D1604"/>
    <mergeCell ref="E1604:F1604"/>
    <mergeCell ref="G1604:I1604"/>
    <mergeCell ref="N1604:O1604"/>
    <mergeCell ref="P1604:R1604"/>
    <mergeCell ref="T1604:U1604"/>
    <mergeCell ref="Y1604:Z1604"/>
    <mergeCell ref="B1605:D1605"/>
    <mergeCell ref="E1605:F1605"/>
    <mergeCell ref="G1605:I1605"/>
    <mergeCell ref="N1605:O1605"/>
    <mergeCell ref="P1605:R1605"/>
    <mergeCell ref="T1605:U1605"/>
    <mergeCell ref="Y1605:Z1605"/>
    <mergeCell ref="B1606:D1606"/>
    <mergeCell ref="E1606:F1606"/>
    <mergeCell ref="G1606:I1606"/>
    <mergeCell ref="N1606:O1606"/>
    <mergeCell ref="P1606:R1606"/>
    <mergeCell ref="T1606:U1606"/>
    <mergeCell ref="Y1606:Z1606"/>
    <mergeCell ref="B1607:D1607"/>
    <mergeCell ref="E1607:F1607"/>
    <mergeCell ref="G1607:I1607"/>
    <mergeCell ref="N1607:O1607"/>
    <mergeCell ref="P1607:R1607"/>
    <mergeCell ref="T1607:U1607"/>
    <mergeCell ref="Y1607:Z1607"/>
    <mergeCell ref="B1608:D1608"/>
    <mergeCell ref="E1608:F1608"/>
    <mergeCell ref="G1608:I1608"/>
    <mergeCell ref="N1608:O1608"/>
    <mergeCell ref="P1608:R1608"/>
    <mergeCell ref="T1608:U1608"/>
    <mergeCell ref="Y1608:Z1608"/>
    <mergeCell ref="B1609:D1609"/>
    <mergeCell ref="E1609:F1609"/>
    <mergeCell ref="G1609:I1609"/>
    <mergeCell ref="N1609:O1609"/>
    <mergeCell ref="P1609:R1609"/>
    <mergeCell ref="T1609:U1609"/>
    <mergeCell ref="Y1609:Z1609"/>
    <mergeCell ref="B1610:D1610"/>
    <mergeCell ref="E1610:F1610"/>
    <mergeCell ref="G1610:I1610"/>
    <mergeCell ref="N1610:O1610"/>
    <mergeCell ref="P1610:R1610"/>
    <mergeCell ref="T1610:U1610"/>
    <mergeCell ref="Y1610:Z1610"/>
    <mergeCell ref="B1611:D1611"/>
    <mergeCell ref="E1611:F1611"/>
    <mergeCell ref="G1611:I1611"/>
    <mergeCell ref="N1611:O1611"/>
    <mergeCell ref="P1611:R1611"/>
    <mergeCell ref="T1611:U1611"/>
    <mergeCell ref="Y1611:Z1611"/>
    <mergeCell ref="B1612:D1612"/>
    <mergeCell ref="E1612:F1612"/>
    <mergeCell ref="G1612:I1612"/>
    <mergeCell ref="N1612:O1612"/>
    <mergeCell ref="P1612:R1612"/>
    <mergeCell ref="T1612:U1612"/>
    <mergeCell ref="Y1612:Z1612"/>
    <mergeCell ref="B1613:D1613"/>
    <mergeCell ref="E1613:F1613"/>
    <mergeCell ref="G1613:I1613"/>
    <mergeCell ref="N1613:O1613"/>
    <mergeCell ref="P1613:R1613"/>
    <mergeCell ref="T1613:U1613"/>
    <mergeCell ref="Y1613:Z1613"/>
    <mergeCell ref="B1614:D1614"/>
    <mergeCell ref="E1614:F1614"/>
    <mergeCell ref="G1614:I1614"/>
    <mergeCell ref="N1614:O1614"/>
    <mergeCell ref="P1614:R1614"/>
    <mergeCell ref="T1614:U1614"/>
    <mergeCell ref="Y1614:Z1614"/>
    <mergeCell ref="B1615:D1615"/>
    <mergeCell ref="E1615:F1615"/>
    <mergeCell ref="G1615:I1615"/>
    <mergeCell ref="N1615:O1615"/>
    <mergeCell ref="P1615:R1615"/>
    <mergeCell ref="T1615:U1615"/>
    <mergeCell ref="Y1615:Z1615"/>
    <mergeCell ref="B1616:D1616"/>
    <mergeCell ref="E1616:F1616"/>
    <mergeCell ref="G1616:I1616"/>
    <mergeCell ref="N1616:O1616"/>
    <mergeCell ref="P1616:R1616"/>
    <mergeCell ref="T1616:U1616"/>
    <mergeCell ref="Y1616:Z1616"/>
    <mergeCell ref="B1617:D1617"/>
    <mergeCell ref="E1617:F1617"/>
    <mergeCell ref="G1617:I1617"/>
    <mergeCell ref="N1617:O1617"/>
    <mergeCell ref="P1617:R1617"/>
    <mergeCell ref="T1617:U1617"/>
    <mergeCell ref="Y1617:Z1617"/>
    <mergeCell ref="B1618:D1618"/>
    <mergeCell ref="E1618:F1618"/>
    <mergeCell ref="G1618:I1618"/>
    <mergeCell ref="N1618:O1618"/>
    <mergeCell ref="P1618:R1618"/>
    <mergeCell ref="T1618:U1618"/>
    <mergeCell ref="Y1618:Z1618"/>
    <mergeCell ref="B1619:D1619"/>
    <mergeCell ref="E1619:F1619"/>
    <mergeCell ref="G1619:I1619"/>
    <mergeCell ref="N1619:O1619"/>
    <mergeCell ref="P1619:R1619"/>
    <mergeCell ref="T1619:U1619"/>
    <mergeCell ref="Y1619:Z1619"/>
    <mergeCell ref="B1620:D1620"/>
    <mergeCell ref="E1620:F1620"/>
    <mergeCell ref="G1620:I1620"/>
    <mergeCell ref="N1620:O1620"/>
    <mergeCell ref="P1620:R1620"/>
    <mergeCell ref="T1620:U1620"/>
    <mergeCell ref="Y1620:Z1620"/>
    <mergeCell ref="B1621:D1621"/>
    <mergeCell ref="E1621:F1621"/>
    <mergeCell ref="G1621:I1621"/>
    <mergeCell ref="N1621:O1621"/>
    <mergeCell ref="P1621:R1621"/>
    <mergeCell ref="T1621:U1621"/>
    <mergeCell ref="Y1621:Z1621"/>
    <mergeCell ref="B1622:D1622"/>
    <mergeCell ref="E1622:F1622"/>
    <mergeCell ref="G1622:I1622"/>
    <mergeCell ref="N1622:O1622"/>
    <mergeCell ref="P1622:R1622"/>
    <mergeCell ref="T1622:U1622"/>
    <mergeCell ref="Y1622:Z1622"/>
    <mergeCell ref="B1623:D1623"/>
    <mergeCell ref="E1623:F1623"/>
    <mergeCell ref="G1623:I1623"/>
    <mergeCell ref="N1623:O1623"/>
    <mergeCell ref="P1623:R1623"/>
    <mergeCell ref="T1623:U1623"/>
    <mergeCell ref="Y1623:Z1623"/>
    <mergeCell ref="B1624:D1624"/>
    <mergeCell ref="E1624:F1624"/>
    <mergeCell ref="G1624:I1624"/>
    <mergeCell ref="N1624:O1624"/>
    <mergeCell ref="P1624:R1624"/>
    <mergeCell ref="T1624:U1624"/>
    <mergeCell ref="Y1624:Z1624"/>
    <mergeCell ref="B1627:D1627"/>
    <mergeCell ref="E1627:F1627"/>
    <mergeCell ref="G1627:I1627"/>
    <mergeCell ref="N1627:O1627"/>
    <mergeCell ref="P1627:R1627"/>
    <mergeCell ref="T1627:U1627"/>
    <mergeCell ref="Y1627:Z1627"/>
    <mergeCell ref="B1628:D1628"/>
    <mergeCell ref="E1628:F1628"/>
    <mergeCell ref="G1628:I1628"/>
    <mergeCell ref="N1628:O1628"/>
    <mergeCell ref="P1628:R1628"/>
    <mergeCell ref="T1628:U1628"/>
    <mergeCell ref="Y1628:Z1628"/>
    <mergeCell ref="B1629:D1629"/>
    <mergeCell ref="E1629:F1629"/>
    <mergeCell ref="G1629:I1629"/>
    <mergeCell ref="N1629:O1629"/>
    <mergeCell ref="P1629:R1629"/>
    <mergeCell ref="T1629:U1629"/>
    <mergeCell ref="Y1629:Z1629"/>
    <mergeCell ref="B1630:D1630"/>
    <mergeCell ref="E1630:F1630"/>
    <mergeCell ref="G1630:I1630"/>
    <mergeCell ref="N1630:O1630"/>
    <mergeCell ref="P1630:R1630"/>
    <mergeCell ref="T1630:U1630"/>
    <mergeCell ref="Y1630:Z1630"/>
    <mergeCell ref="B1631:D1631"/>
    <mergeCell ref="E1631:F1631"/>
    <mergeCell ref="G1631:I1631"/>
    <mergeCell ref="N1631:O1631"/>
    <mergeCell ref="P1631:R1631"/>
    <mergeCell ref="T1631:U1631"/>
    <mergeCell ref="Y1631:Z1631"/>
    <mergeCell ref="B1632:D1632"/>
    <mergeCell ref="E1632:F1632"/>
    <mergeCell ref="G1632:I1632"/>
    <mergeCell ref="N1632:O1632"/>
    <mergeCell ref="P1632:R1632"/>
    <mergeCell ref="T1632:U1632"/>
    <mergeCell ref="Y1632:Z1632"/>
    <mergeCell ref="B1633:D1633"/>
    <mergeCell ref="E1633:F1633"/>
    <mergeCell ref="G1633:I1633"/>
    <mergeCell ref="N1633:O1633"/>
    <mergeCell ref="P1633:R1633"/>
    <mergeCell ref="T1633:U1633"/>
    <mergeCell ref="Y1633:Z1633"/>
    <mergeCell ref="B1634:D1634"/>
    <mergeCell ref="E1634:F1634"/>
    <mergeCell ref="G1634:I1634"/>
    <mergeCell ref="N1634:O1634"/>
    <mergeCell ref="P1634:R1634"/>
    <mergeCell ref="T1634:U1634"/>
    <mergeCell ref="Y1634:Z1634"/>
    <mergeCell ref="B1635:D1635"/>
    <mergeCell ref="E1635:F1635"/>
    <mergeCell ref="G1635:I1635"/>
    <mergeCell ref="N1635:O1635"/>
    <mergeCell ref="P1635:R1635"/>
    <mergeCell ref="T1635:U1635"/>
    <mergeCell ref="Y1635:Z1635"/>
    <mergeCell ref="B1636:D1636"/>
    <mergeCell ref="E1636:F1636"/>
    <mergeCell ref="G1636:I1636"/>
    <mergeCell ref="N1636:O1636"/>
    <mergeCell ref="P1636:R1636"/>
    <mergeCell ref="T1636:U1636"/>
    <mergeCell ref="Y1636:Z1636"/>
    <mergeCell ref="B1637:D1637"/>
    <mergeCell ref="E1637:F1637"/>
    <mergeCell ref="G1637:I1637"/>
    <mergeCell ref="N1637:O1637"/>
    <mergeCell ref="P1637:R1637"/>
    <mergeCell ref="T1637:U1637"/>
    <mergeCell ref="Y1637:Z1637"/>
    <mergeCell ref="B1638:D1638"/>
    <mergeCell ref="E1638:F1638"/>
    <mergeCell ref="G1638:I1638"/>
    <mergeCell ref="N1638:O1638"/>
    <mergeCell ref="P1638:R1638"/>
    <mergeCell ref="T1638:U1638"/>
    <mergeCell ref="Y1638:Z1638"/>
    <mergeCell ref="B1639:D1639"/>
    <mergeCell ref="E1639:F1639"/>
    <mergeCell ref="G1639:I1639"/>
    <mergeCell ref="N1639:O1639"/>
    <mergeCell ref="P1639:R1639"/>
    <mergeCell ref="T1639:U1639"/>
    <mergeCell ref="Y1639:Z1639"/>
    <mergeCell ref="B1640:D1640"/>
    <mergeCell ref="E1640:F1640"/>
    <mergeCell ref="G1640:I1640"/>
    <mergeCell ref="N1640:O1640"/>
    <mergeCell ref="P1640:R1640"/>
    <mergeCell ref="T1640:U1640"/>
    <mergeCell ref="Y1640:Z1640"/>
    <mergeCell ref="B1641:D1641"/>
    <mergeCell ref="E1641:F1641"/>
    <mergeCell ref="G1641:I1641"/>
    <mergeCell ref="N1641:O1641"/>
    <mergeCell ref="P1641:R1641"/>
    <mergeCell ref="T1641:U1641"/>
    <mergeCell ref="Y1641:Z1641"/>
    <mergeCell ref="B1642:D1642"/>
    <mergeCell ref="E1642:F1642"/>
    <mergeCell ref="G1642:I1642"/>
    <mergeCell ref="N1642:O1642"/>
    <mergeCell ref="P1642:R1642"/>
    <mergeCell ref="T1642:U1642"/>
    <mergeCell ref="Y1642:Z1642"/>
    <mergeCell ref="B1643:D1643"/>
    <mergeCell ref="E1643:F1643"/>
    <mergeCell ref="G1643:I1643"/>
    <mergeCell ref="N1643:O1643"/>
    <mergeCell ref="P1643:R1643"/>
    <mergeCell ref="T1643:U1643"/>
    <mergeCell ref="Y1643:Z1643"/>
    <mergeCell ref="B1644:D1644"/>
    <mergeCell ref="E1644:F1644"/>
    <mergeCell ref="G1644:I1644"/>
    <mergeCell ref="N1644:O1644"/>
    <mergeCell ref="P1644:R1644"/>
    <mergeCell ref="T1644:U1644"/>
    <mergeCell ref="Y1644:Z1644"/>
    <mergeCell ref="B1645:D1645"/>
    <mergeCell ref="E1645:F1645"/>
    <mergeCell ref="G1645:I1645"/>
    <mergeCell ref="N1645:O1645"/>
    <mergeCell ref="P1645:R1645"/>
    <mergeCell ref="T1645:U1645"/>
    <mergeCell ref="Y1645:Z1645"/>
    <mergeCell ref="B1646:D1646"/>
    <mergeCell ref="E1646:F1646"/>
    <mergeCell ref="G1646:I1646"/>
    <mergeCell ref="N1646:O1646"/>
    <mergeCell ref="P1646:R1646"/>
    <mergeCell ref="T1646:U1646"/>
    <mergeCell ref="Y1646:Z1646"/>
    <mergeCell ref="B1647:D1647"/>
    <mergeCell ref="E1647:F1647"/>
    <mergeCell ref="G1647:I1647"/>
    <mergeCell ref="N1647:O1647"/>
    <mergeCell ref="P1647:R1647"/>
    <mergeCell ref="T1647:U1647"/>
    <mergeCell ref="Y1647:Z1647"/>
    <mergeCell ref="B1648:D1648"/>
    <mergeCell ref="E1648:F1648"/>
    <mergeCell ref="G1648:I1648"/>
    <mergeCell ref="N1648:O1648"/>
    <mergeCell ref="P1648:R1648"/>
    <mergeCell ref="T1648:U1648"/>
    <mergeCell ref="Y1648:Z1648"/>
    <mergeCell ref="B1649:D1649"/>
    <mergeCell ref="E1649:F1649"/>
    <mergeCell ref="G1649:I1649"/>
    <mergeCell ref="N1649:O1649"/>
    <mergeCell ref="P1649:R1649"/>
    <mergeCell ref="T1649:U1649"/>
    <mergeCell ref="Y1649:Z1649"/>
    <mergeCell ref="B1650:D1650"/>
    <mergeCell ref="E1650:F1650"/>
    <mergeCell ref="G1650:I1650"/>
    <mergeCell ref="N1650:O1650"/>
    <mergeCell ref="P1650:R1650"/>
    <mergeCell ref="T1650:U1650"/>
    <mergeCell ref="Y1650:Z1650"/>
    <mergeCell ref="B1651:D1651"/>
    <mergeCell ref="E1651:F1651"/>
    <mergeCell ref="G1651:I1651"/>
    <mergeCell ref="N1651:O1651"/>
    <mergeCell ref="P1651:R1651"/>
    <mergeCell ref="T1651:U1651"/>
    <mergeCell ref="Y1651:Z1651"/>
    <mergeCell ref="B1652:D1652"/>
    <mergeCell ref="E1652:F1652"/>
    <mergeCell ref="G1652:I1652"/>
    <mergeCell ref="N1652:O1652"/>
    <mergeCell ref="P1652:R1652"/>
    <mergeCell ref="T1652:U1652"/>
    <mergeCell ref="Y1652:Z1652"/>
    <mergeCell ref="B1653:D1653"/>
    <mergeCell ref="E1653:F1653"/>
    <mergeCell ref="G1653:I1653"/>
    <mergeCell ref="N1653:O1653"/>
    <mergeCell ref="P1653:R1653"/>
    <mergeCell ref="T1653:U1653"/>
    <mergeCell ref="Y1653:Z1653"/>
    <mergeCell ref="B1654:D1654"/>
    <mergeCell ref="E1654:F1654"/>
    <mergeCell ref="G1654:I1654"/>
    <mergeCell ref="N1654:O1654"/>
    <mergeCell ref="P1654:R1654"/>
    <mergeCell ref="T1654:U1654"/>
    <mergeCell ref="Y1654:Z1654"/>
    <mergeCell ref="B1655:D1655"/>
    <mergeCell ref="E1655:F1655"/>
    <mergeCell ref="G1655:I1655"/>
    <mergeCell ref="N1655:O1655"/>
    <mergeCell ref="P1655:R1655"/>
    <mergeCell ref="T1655:U1655"/>
    <mergeCell ref="Y1655:Z1655"/>
    <mergeCell ref="B1656:D1656"/>
    <mergeCell ref="E1656:F1656"/>
    <mergeCell ref="G1656:I1656"/>
    <mergeCell ref="N1656:O1656"/>
    <mergeCell ref="P1656:R1656"/>
    <mergeCell ref="T1656:U1656"/>
    <mergeCell ref="Y1656:Z1656"/>
    <mergeCell ref="B1657:D1657"/>
    <mergeCell ref="E1657:F1657"/>
    <mergeCell ref="G1657:I1657"/>
    <mergeCell ref="N1657:O1657"/>
    <mergeCell ref="P1657:R1657"/>
    <mergeCell ref="T1657:U1657"/>
    <mergeCell ref="Y1657:Z1657"/>
    <mergeCell ref="B1658:D1658"/>
    <mergeCell ref="E1658:F1658"/>
    <mergeCell ref="G1658:I1658"/>
    <mergeCell ref="N1658:O1658"/>
    <mergeCell ref="P1658:R1658"/>
    <mergeCell ref="T1658:U1658"/>
    <mergeCell ref="Y1658:Z1658"/>
    <mergeCell ref="B1659:D1659"/>
    <mergeCell ref="E1659:F1659"/>
    <mergeCell ref="G1659:I1659"/>
    <mergeCell ref="N1659:O1659"/>
    <mergeCell ref="P1659:R1659"/>
    <mergeCell ref="T1659:U1659"/>
    <mergeCell ref="Y1659:Z1659"/>
    <mergeCell ref="B1660:D1660"/>
    <mergeCell ref="E1660:F1660"/>
    <mergeCell ref="G1660:I1660"/>
    <mergeCell ref="N1660:O1660"/>
    <mergeCell ref="P1660:R1660"/>
    <mergeCell ref="T1660:U1660"/>
    <mergeCell ref="Y1660:Z1660"/>
    <mergeCell ref="B1661:D1661"/>
    <mergeCell ref="E1661:F1661"/>
    <mergeCell ref="G1661:I1661"/>
    <mergeCell ref="N1661:O1661"/>
    <mergeCell ref="P1661:R1661"/>
    <mergeCell ref="T1661:U1661"/>
    <mergeCell ref="Y1661:Z1661"/>
    <mergeCell ref="B1662:D1662"/>
    <mergeCell ref="E1662:F1662"/>
    <mergeCell ref="G1662:I1662"/>
    <mergeCell ref="N1662:O1662"/>
    <mergeCell ref="P1662:R1662"/>
    <mergeCell ref="T1662:U1662"/>
    <mergeCell ref="Y1662:Z1662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B1671:D1671"/>
    <mergeCell ref="E1671:F1671"/>
    <mergeCell ref="G1671:I1671"/>
    <mergeCell ref="N1671:O1671"/>
    <mergeCell ref="P1671:R1671"/>
    <mergeCell ref="T1671:U1671"/>
    <mergeCell ref="Y1671:Z1671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76:D1676"/>
    <mergeCell ref="E1676:F1676"/>
    <mergeCell ref="G1676:I1676"/>
    <mergeCell ref="N1676:O1676"/>
    <mergeCell ref="P1676:R1676"/>
    <mergeCell ref="T1676:U1676"/>
    <mergeCell ref="Y1676:Z1676"/>
    <mergeCell ref="B1677:D1677"/>
    <mergeCell ref="E1677:F1677"/>
    <mergeCell ref="G1677:I1677"/>
    <mergeCell ref="N1677:O1677"/>
    <mergeCell ref="P1677:R1677"/>
    <mergeCell ref="T1677:U1677"/>
    <mergeCell ref="Y1677:Z1677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80:D1680"/>
    <mergeCell ref="E1680:F1680"/>
    <mergeCell ref="G1680:I1680"/>
    <mergeCell ref="N1680:O1680"/>
    <mergeCell ref="P1680:R1680"/>
    <mergeCell ref="T1680:U1680"/>
    <mergeCell ref="Y1680:Z1680"/>
    <mergeCell ref="B1681:D1681"/>
    <mergeCell ref="E1681:F1681"/>
    <mergeCell ref="G1681:I1681"/>
    <mergeCell ref="N1681:O1681"/>
    <mergeCell ref="P1681:R1681"/>
    <mergeCell ref="T1681:U1681"/>
    <mergeCell ref="Y1681:Z1681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89:D1689"/>
    <mergeCell ref="E1689:F1689"/>
    <mergeCell ref="G1689:I1689"/>
    <mergeCell ref="N1689:O1689"/>
    <mergeCell ref="P1689:R1689"/>
    <mergeCell ref="T1689:U1689"/>
    <mergeCell ref="Y1689:Z1689"/>
    <mergeCell ref="B1690:D1690"/>
    <mergeCell ref="E1690:F1690"/>
    <mergeCell ref="G1690:I1690"/>
    <mergeCell ref="N1690:O1690"/>
    <mergeCell ref="P1690:R1690"/>
    <mergeCell ref="T1690:U1690"/>
    <mergeCell ref="Y1690:Z1690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98:D1698"/>
    <mergeCell ref="E1698:F1698"/>
    <mergeCell ref="G1698:I1698"/>
    <mergeCell ref="N1698:O1698"/>
    <mergeCell ref="P1698:R1698"/>
    <mergeCell ref="T1698:U1698"/>
    <mergeCell ref="Y1698:Z1698"/>
    <mergeCell ref="B1699:D1699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1:D1701"/>
    <mergeCell ref="E1701:F1701"/>
    <mergeCell ref="G1701:I1701"/>
    <mergeCell ref="N1701:O1701"/>
    <mergeCell ref="P1701:R1701"/>
    <mergeCell ref="T1701:U1701"/>
    <mergeCell ref="Y1701:Z1701"/>
    <mergeCell ref="B1702:D1702"/>
    <mergeCell ref="E1702:F1702"/>
    <mergeCell ref="G1702:I1702"/>
    <mergeCell ref="N1702:O1702"/>
    <mergeCell ref="P1702:R1702"/>
    <mergeCell ref="T1702:U1702"/>
    <mergeCell ref="Y1702:Z1702"/>
    <mergeCell ref="B1703:D1703"/>
    <mergeCell ref="E1703:F1703"/>
    <mergeCell ref="G1703:I1703"/>
    <mergeCell ref="N1703:O1703"/>
    <mergeCell ref="P1703:R1703"/>
    <mergeCell ref="T1703:U1703"/>
    <mergeCell ref="Y1703:Z1703"/>
    <mergeCell ref="B1704:D1704"/>
    <mergeCell ref="E1704:F1704"/>
    <mergeCell ref="G1704:I1704"/>
    <mergeCell ref="N1704:O1704"/>
    <mergeCell ref="P1704:R1704"/>
    <mergeCell ref="T1704:U1704"/>
    <mergeCell ref="Y1704:Z1704"/>
    <mergeCell ref="B1705:D1705"/>
    <mergeCell ref="E1705:F1705"/>
    <mergeCell ref="G1705:I1705"/>
    <mergeCell ref="N1705:O1705"/>
    <mergeCell ref="P1705:R1705"/>
    <mergeCell ref="T1705:U1705"/>
    <mergeCell ref="Y1705:Z1705"/>
    <mergeCell ref="B1708:D1708"/>
    <mergeCell ref="E1708:F1708"/>
    <mergeCell ref="G1708:I1708"/>
    <mergeCell ref="N1708:O1708"/>
    <mergeCell ref="P1708:R1708"/>
    <mergeCell ref="T1708:U1708"/>
    <mergeCell ref="Y1708:Z1708"/>
    <mergeCell ref="B1709:D1709"/>
    <mergeCell ref="E1709:F1709"/>
    <mergeCell ref="G1709:I1709"/>
    <mergeCell ref="N1709:O1709"/>
    <mergeCell ref="P1709:R1709"/>
    <mergeCell ref="T1709:U1709"/>
    <mergeCell ref="Y1709:Z1709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2:D1712"/>
    <mergeCell ref="E1712:F1712"/>
    <mergeCell ref="G1712:I1712"/>
    <mergeCell ref="N1712:O1712"/>
    <mergeCell ref="P1712:R1712"/>
    <mergeCell ref="T1712:U1712"/>
    <mergeCell ref="Y1712:Z1712"/>
    <mergeCell ref="B1713:D1713"/>
    <mergeCell ref="E1713:F1713"/>
    <mergeCell ref="G1713:I1713"/>
    <mergeCell ref="N1713:O1713"/>
    <mergeCell ref="P1713:R1713"/>
    <mergeCell ref="T1713:U1713"/>
    <mergeCell ref="Y1713:Z1713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18:D1718"/>
    <mergeCell ref="E1718:F1718"/>
    <mergeCell ref="G1718:I1718"/>
    <mergeCell ref="N1718:O1718"/>
    <mergeCell ref="P1718:R1718"/>
    <mergeCell ref="T1718:U1718"/>
    <mergeCell ref="Y1718:Z1718"/>
    <mergeCell ref="B1719:D1719"/>
    <mergeCell ref="E1719:F1719"/>
    <mergeCell ref="G1719:I1719"/>
    <mergeCell ref="N1719:O1719"/>
    <mergeCell ref="P1719:R1719"/>
    <mergeCell ref="T1719:U1719"/>
    <mergeCell ref="Y1719:Z1719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22:D1722"/>
    <mergeCell ref="E1722:F1722"/>
    <mergeCell ref="G1722:I1722"/>
    <mergeCell ref="N1722:O1722"/>
    <mergeCell ref="P1722:R1722"/>
    <mergeCell ref="T1722:U1722"/>
    <mergeCell ref="Y1722:Z1722"/>
    <mergeCell ref="B1723:D1723"/>
    <mergeCell ref="E1723:F1723"/>
    <mergeCell ref="G1723:I1723"/>
    <mergeCell ref="N1723:O1723"/>
    <mergeCell ref="P1723:R1723"/>
    <mergeCell ref="T1723:U1723"/>
    <mergeCell ref="Y1723:Z1723"/>
    <mergeCell ref="B1724:D1724"/>
    <mergeCell ref="E1724:F1724"/>
    <mergeCell ref="G1724:I1724"/>
    <mergeCell ref="N1724:O1724"/>
    <mergeCell ref="P1724:R1724"/>
    <mergeCell ref="T1724:U1724"/>
    <mergeCell ref="Y1724:Z1724"/>
    <mergeCell ref="B1725:D1725"/>
    <mergeCell ref="E1725:F1725"/>
    <mergeCell ref="G1725:I1725"/>
    <mergeCell ref="N1725:O1725"/>
    <mergeCell ref="P1725:R1725"/>
    <mergeCell ref="T1725:U1725"/>
    <mergeCell ref="Y1725:Z1725"/>
    <mergeCell ref="B1726:D1726"/>
    <mergeCell ref="E1726:F1726"/>
    <mergeCell ref="G1726:I1726"/>
    <mergeCell ref="N1726:O1726"/>
    <mergeCell ref="P1726:R1726"/>
    <mergeCell ref="T1726:U1726"/>
    <mergeCell ref="Y1726:Z1726"/>
    <mergeCell ref="B1727:D1727"/>
    <mergeCell ref="E1727:F1727"/>
    <mergeCell ref="G1727:I1727"/>
    <mergeCell ref="N1727:O1727"/>
    <mergeCell ref="P1727:R1727"/>
    <mergeCell ref="T1727:U1727"/>
    <mergeCell ref="Y1727:Z1727"/>
    <mergeCell ref="B1728:D1728"/>
    <mergeCell ref="E1728:F1728"/>
    <mergeCell ref="G1728:I1728"/>
    <mergeCell ref="N1728:O1728"/>
    <mergeCell ref="P1728:R1728"/>
    <mergeCell ref="T1728:U1728"/>
    <mergeCell ref="Y1728:Z1728"/>
    <mergeCell ref="B1729:D1729"/>
    <mergeCell ref="E1729:F1729"/>
    <mergeCell ref="G1729:I1729"/>
    <mergeCell ref="N1729:O1729"/>
    <mergeCell ref="P1729:R1729"/>
    <mergeCell ref="T1729:U1729"/>
    <mergeCell ref="Y1729:Z1729"/>
    <mergeCell ref="B1730:D1730"/>
    <mergeCell ref="E1730:F1730"/>
    <mergeCell ref="G1730:I1730"/>
    <mergeCell ref="N1730:O1730"/>
    <mergeCell ref="P1730:R1730"/>
    <mergeCell ref="T1730:U1730"/>
    <mergeCell ref="Y1730:Z1730"/>
    <mergeCell ref="B1731:D1731"/>
    <mergeCell ref="E1731:F1731"/>
    <mergeCell ref="G1731:I1731"/>
    <mergeCell ref="N1731:O1731"/>
    <mergeCell ref="P1731:R1731"/>
    <mergeCell ref="T1731:U1731"/>
    <mergeCell ref="Y1731:Z1731"/>
    <mergeCell ref="B1732:D1732"/>
    <mergeCell ref="E1732:F1732"/>
    <mergeCell ref="G1732:I1732"/>
    <mergeCell ref="N1732:O1732"/>
    <mergeCell ref="P1732:R1732"/>
    <mergeCell ref="T1732:U1732"/>
    <mergeCell ref="Y1732:Z1732"/>
    <mergeCell ref="B1733:D1733"/>
    <mergeCell ref="E1733:F1733"/>
    <mergeCell ref="G1733:I1733"/>
    <mergeCell ref="N1733:O1733"/>
    <mergeCell ref="P1733:R1733"/>
    <mergeCell ref="T1733:U1733"/>
    <mergeCell ref="Y1733:Z1733"/>
    <mergeCell ref="B1734:D1734"/>
    <mergeCell ref="E1734:F1734"/>
    <mergeCell ref="G1734:I1734"/>
    <mergeCell ref="N1734:O1734"/>
    <mergeCell ref="P1734:R1734"/>
    <mergeCell ref="T1734:U1734"/>
    <mergeCell ref="Y1734:Z1734"/>
    <mergeCell ref="B1735:D1735"/>
    <mergeCell ref="E1735:F1735"/>
    <mergeCell ref="G1735:I1735"/>
    <mergeCell ref="N1735:O1735"/>
    <mergeCell ref="P1735:R1735"/>
    <mergeCell ref="T1735:U1735"/>
    <mergeCell ref="Y1735:Z1735"/>
    <mergeCell ref="B1736:D1736"/>
    <mergeCell ref="E1736:F1736"/>
    <mergeCell ref="G1736:I1736"/>
    <mergeCell ref="N1736:O1736"/>
    <mergeCell ref="P1736:R1736"/>
    <mergeCell ref="T1736:U1736"/>
    <mergeCell ref="Y1736:Z1736"/>
    <mergeCell ref="B1737:D1737"/>
    <mergeCell ref="E1737:F1737"/>
    <mergeCell ref="G1737:I1737"/>
    <mergeCell ref="N1737:O1737"/>
    <mergeCell ref="P1737:R1737"/>
    <mergeCell ref="T1737:U1737"/>
    <mergeCell ref="Y1737:Z1737"/>
    <mergeCell ref="B1738:D1738"/>
    <mergeCell ref="E1738:F1738"/>
    <mergeCell ref="G1738:I1738"/>
    <mergeCell ref="N1738:O1738"/>
    <mergeCell ref="P1738:R1738"/>
    <mergeCell ref="T1738:U1738"/>
    <mergeCell ref="Y1738:Z1738"/>
    <mergeCell ref="B1739:D1739"/>
    <mergeCell ref="E1739:F1739"/>
    <mergeCell ref="G1739:I1739"/>
    <mergeCell ref="N1739:O1739"/>
    <mergeCell ref="P1739:R1739"/>
    <mergeCell ref="T1739:U1739"/>
    <mergeCell ref="Y1739:Z1739"/>
    <mergeCell ref="B1740:D1740"/>
    <mergeCell ref="E1740:F1740"/>
    <mergeCell ref="G1740:I1740"/>
    <mergeCell ref="N1740:O1740"/>
    <mergeCell ref="P1740:R1740"/>
    <mergeCell ref="T1740:U1740"/>
    <mergeCell ref="Y1740:Z1740"/>
    <mergeCell ref="B1741:D1741"/>
    <mergeCell ref="E1741:F1741"/>
    <mergeCell ref="G1741:I1741"/>
    <mergeCell ref="N1741:O1741"/>
    <mergeCell ref="P1741:R1741"/>
    <mergeCell ref="T1741:U1741"/>
    <mergeCell ref="Y1741:Z1741"/>
    <mergeCell ref="B1742:D1742"/>
    <mergeCell ref="E1742:F1742"/>
    <mergeCell ref="G1742:I1742"/>
    <mergeCell ref="N1742:O1742"/>
    <mergeCell ref="P1742:R1742"/>
    <mergeCell ref="T1742:U1742"/>
    <mergeCell ref="Y1742:Z1742"/>
    <mergeCell ref="B1743:D1743"/>
    <mergeCell ref="E1743:F1743"/>
    <mergeCell ref="G1743:I1743"/>
    <mergeCell ref="N1743:O1743"/>
    <mergeCell ref="P1743:R1743"/>
    <mergeCell ref="T1743:U1743"/>
    <mergeCell ref="Y1743:Z1743"/>
    <mergeCell ref="B1744:D1744"/>
    <mergeCell ref="E1744:F1744"/>
    <mergeCell ref="G1744:I1744"/>
    <mergeCell ref="N1744:O1744"/>
    <mergeCell ref="P1744:R1744"/>
    <mergeCell ref="T1744:U1744"/>
    <mergeCell ref="Y1744:Z1744"/>
    <mergeCell ref="B1745:D1745"/>
    <mergeCell ref="E1745:F1745"/>
    <mergeCell ref="G1745:I1745"/>
    <mergeCell ref="N1745:O1745"/>
    <mergeCell ref="P1745:R1745"/>
    <mergeCell ref="T1745:U1745"/>
    <mergeCell ref="Y1745:Z1745"/>
    <mergeCell ref="B1746:D1746"/>
    <mergeCell ref="E1746:F1746"/>
    <mergeCell ref="G1746:I1746"/>
    <mergeCell ref="N1746:O1746"/>
    <mergeCell ref="P1746:R1746"/>
    <mergeCell ref="T1746:U1746"/>
    <mergeCell ref="Y1746:Z1746"/>
    <mergeCell ref="B1747:D1747"/>
    <mergeCell ref="E1747:F1747"/>
    <mergeCell ref="G1747:I1747"/>
    <mergeCell ref="N1747:O1747"/>
    <mergeCell ref="P1747:R1747"/>
    <mergeCell ref="T1747:U1747"/>
    <mergeCell ref="Y1747:Z1747"/>
    <mergeCell ref="B1748:D1748"/>
    <mergeCell ref="E1748:F1748"/>
    <mergeCell ref="G1748:I1748"/>
    <mergeCell ref="N1748:O1748"/>
    <mergeCell ref="P1748:R1748"/>
    <mergeCell ref="T1748:U1748"/>
    <mergeCell ref="Y1748:Z1748"/>
    <mergeCell ref="B1749:D1749"/>
    <mergeCell ref="E1749:F1749"/>
    <mergeCell ref="G1749:I1749"/>
    <mergeCell ref="N1749:O1749"/>
    <mergeCell ref="P1749:R1749"/>
    <mergeCell ref="T1749:U1749"/>
    <mergeCell ref="Y1749:Z1749"/>
    <mergeCell ref="B1750:D1750"/>
    <mergeCell ref="E1750:F1750"/>
    <mergeCell ref="G1750:I1750"/>
    <mergeCell ref="N1750:O1750"/>
    <mergeCell ref="P1750:R1750"/>
    <mergeCell ref="T1750:U1750"/>
    <mergeCell ref="Y1750:Z1750"/>
    <mergeCell ref="B1751:D1751"/>
    <mergeCell ref="E1751:F1751"/>
    <mergeCell ref="G1751:I1751"/>
    <mergeCell ref="N1751:O1751"/>
    <mergeCell ref="P1751:R1751"/>
    <mergeCell ref="T1751:U1751"/>
    <mergeCell ref="Y1751:Z1751"/>
    <mergeCell ref="B1752:D1752"/>
    <mergeCell ref="E1752:F1752"/>
    <mergeCell ref="G1752:I1752"/>
    <mergeCell ref="N1752:O1752"/>
    <mergeCell ref="P1752:R1752"/>
    <mergeCell ref="T1752:U1752"/>
    <mergeCell ref="Y1752:Z1752"/>
    <mergeCell ref="B1753:D1753"/>
    <mergeCell ref="E1753:F1753"/>
    <mergeCell ref="G1753:I1753"/>
    <mergeCell ref="N1753:O1753"/>
    <mergeCell ref="P1753:R1753"/>
    <mergeCell ref="T1753:U1753"/>
    <mergeCell ref="Y1753:Z1753"/>
    <mergeCell ref="B1754:D1754"/>
    <mergeCell ref="E1754:F1754"/>
    <mergeCell ref="G1754:I1754"/>
    <mergeCell ref="N1754:O1754"/>
    <mergeCell ref="P1754:R1754"/>
    <mergeCell ref="T1754:U1754"/>
    <mergeCell ref="Y1754:Z1754"/>
    <mergeCell ref="B1755:D1755"/>
    <mergeCell ref="E1755:F1755"/>
    <mergeCell ref="G1755:I1755"/>
    <mergeCell ref="N1755:O1755"/>
    <mergeCell ref="P1755:R1755"/>
    <mergeCell ref="T1755:U1755"/>
    <mergeCell ref="Y1755:Z1755"/>
    <mergeCell ref="B1756:D1756"/>
    <mergeCell ref="E1756:F1756"/>
    <mergeCell ref="G1756:I1756"/>
    <mergeCell ref="N1756:O1756"/>
    <mergeCell ref="P1756:R1756"/>
    <mergeCell ref="T1756:U1756"/>
    <mergeCell ref="Y1756:Z1756"/>
    <mergeCell ref="B1757:D1757"/>
    <mergeCell ref="E1757:F1757"/>
    <mergeCell ref="G1757:I1757"/>
    <mergeCell ref="N1757:O1757"/>
    <mergeCell ref="P1757:R1757"/>
    <mergeCell ref="T1757:U1757"/>
    <mergeCell ref="Y1757:Z1757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B1764:D1764"/>
    <mergeCell ref="E1764:F1764"/>
    <mergeCell ref="G1764:I1764"/>
    <mergeCell ref="N1764:O1764"/>
    <mergeCell ref="P1764:R1764"/>
    <mergeCell ref="T1764:U1764"/>
    <mergeCell ref="Y1764:Z1764"/>
    <mergeCell ref="B1765:D1765"/>
    <mergeCell ref="E1765:F1765"/>
    <mergeCell ref="G1765:I1765"/>
    <mergeCell ref="N1765:O1765"/>
    <mergeCell ref="P1765:R1765"/>
    <mergeCell ref="T1765:U1765"/>
    <mergeCell ref="Y1765:Z1765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75:D1775"/>
    <mergeCell ref="E1775:F1775"/>
    <mergeCell ref="G1775:I1775"/>
    <mergeCell ref="N1775:O1775"/>
    <mergeCell ref="P1775:R1775"/>
    <mergeCell ref="T1775:U1775"/>
    <mergeCell ref="Y1775:Z1775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8:D1778"/>
    <mergeCell ref="E1778:F1778"/>
    <mergeCell ref="G1778:I1778"/>
    <mergeCell ref="N1778:O1778"/>
    <mergeCell ref="P1778:R1778"/>
    <mergeCell ref="T1778:U1778"/>
    <mergeCell ref="Y1778:Z1778"/>
    <mergeCell ref="B1770:D1770"/>
    <mergeCell ref="E1770:F1770"/>
    <mergeCell ref="G1770:I1770"/>
    <mergeCell ref="N1770:O1770"/>
    <mergeCell ref="P1770:R1770"/>
    <mergeCell ref="T1770:U1770"/>
    <mergeCell ref="Y1770:Z1770"/>
    <mergeCell ref="B1771:D1771"/>
    <mergeCell ref="E1771:F1771"/>
    <mergeCell ref="G1771:I1771"/>
    <mergeCell ref="N1771:O1771"/>
    <mergeCell ref="P1771:R1771"/>
    <mergeCell ref="T1771:U1771"/>
    <mergeCell ref="Y1771:Z1771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B04E-0C27-4915-8594-D896BD0E84E9}">
  <dimension ref="A1:AE1721"/>
  <sheetViews>
    <sheetView topLeftCell="B1373" workbookViewId="0">
      <selection activeCell="Q2" sqref="Q2:Q1385"/>
    </sheetView>
  </sheetViews>
  <sheetFormatPr defaultColWidth="6.85546875" defaultRowHeight="15" customHeight="1" x14ac:dyDescent="0.2"/>
  <cols>
    <col min="1" max="1" width="29" style="22" customWidth="1"/>
    <col min="2" max="2" width="14.28515625" style="22" customWidth="1"/>
    <col min="3" max="3" width="10.5703125" style="22" customWidth="1"/>
    <col min="4" max="4" width="13.140625" style="22" bestFit="1" customWidth="1"/>
    <col min="5" max="5" width="13.140625" style="22" customWidth="1"/>
    <col min="6" max="6" width="20.7109375" style="22" customWidth="1"/>
    <col min="7" max="7" width="15.85546875" style="32" bestFit="1" customWidth="1"/>
    <col min="8" max="9" width="13.140625" style="22" customWidth="1"/>
    <col min="10" max="11" width="14.140625" style="22" customWidth="1"/>
    <col min="12" max="12" width="16.5703125" style="22" bestFit="1" customWidth="1"/>
    <col min="13" max="14" width="13.42578125" style="22" customWidth="1"/>
    <col min="15" max="15" width="13.5703125" style="22" customWidth="1"/>
    <col min="16" max="16" width="25.7109375" style="22" bestFit="1" customWidth="1"/>
    <col min="17" max="16384" width="6.85546875" style="22"/>
  </cols>
  <sheetData>
    <row r="1" spans="1:16" s="22" customFormat="1" ht="15" customHeight="1" x14ac:dyDescent="0.2">
      <c r="A1" s="20"/>
      <c r="B1" s="20"/>
      <c r="C1" s="20" t="s">
        <v>15</v>
      </c>
      <c r="D1" s="20" t="s">
        <v>16</v>
      </c>
      <c r="E1" s="20"/>
      <c r="F1" s="20" t="s">
        <v>17</v>
      </c>
      <c r="G1" s="21" t="s">
        <v>19</v>
      </c>
      <c r="H1" s="20" t="s">
        <v>20</v>
      </c>
      <c r="I1" s="20"/>
      <c r="J1" s="20" t="s">
        <v>21</v>
      </c>
      <c r="K1" s="20"/>
      <c r="L1" s="20" t="s">
        <v>23</v>
      </c>
      <c r="M1" s="20" t="s">
        <v>25</v>
      </c>
      <c r="N1" s="20" t="s">
        <v>26</v>
      </c>
      <c r="O1" s="20" t="s">
        <v>27</v>
      </c>
    </row>
    <row r="2" spans="1:16" s="22" customFormat="1" ht="15" customHeight="1" x14ac:dyDescent="0.2">
      <c r="A2" s="22" t="s">
        <v>3819</v>
      </c>
      <c r="B2" s="22">
        <v>18775576</v>
      </c>
      <c r="C2" s="23">
        <v>2</v>
      </c>
      <c r="D2" s="23">
        <v>921632632</v>
      </c>
      <c r="E2" s="23">
        <v>921632632</v>
      </c>
      <c r="F2" s="24" t="s">
        <v>3508</v>
      </c>
      <c r="G2" s="23">
        <v>0</v>
      </c>
      <c r="H2" s="23">
        <v>20250301</v>
      </c>
      <c r="I2" s="23" t="str">
        <f>TEXT(DATE(LEFT(H2,4), MID(H2,5,2), RIGHT(H2,2)), "M/d/yyyy")</f>
        <v>3/1/2025</v>
      </c>
      <c r="J2" s="25">
        <v>20230101</v>
      </c>
      <c r="K2" s="23" t="str">
        <f>TEXT(DATE(LEFT(J2,4), MID(J2,5,2), RIGHT(J2,2)), "M/d/yyyy")</f>
        <v>1/1/2023</v>
      </c>
      <c r="L2" s="24" t="s">
        <v>78</v>
      </c>
      <c r="M2" s="26">
        <v>1</v>
      </c>
      <c r="N2" s="25">
        <v>20</v>
      </c>
      <c r="O2" s="27">
        <v>40</v>
      </c>
      <c r="P2" s="22" t="s">
        <v>3831</v>
      </c>
    </row>
    <row r="3" spans="1:16" s="22" customFormat="1" ht="15" customHeight="1" x14ac:dyDescent="0.2">
      <c r="A3" s="22" t="s">
        <v>3819</v>
      </c>
      <c r="B3" s="22">
        <v>18775576</v>
      </c>
      <c r="C3" s="23">
        <v>4</v>
      </c>
      <c r="D3" s="23">
        <v>921629663</v>
      </c>
      <c r="E3" s="23">
        <v>921629663</v>
      </c>
      <c r="F3" s="24" t="s">
        <v>3505</v>
      </c>
      <c r="G3" s="23">
        <v>0</v>
      </c>
      <c r="H3" s="23">
        <v>20250301</v>
      </c>
      <c r="I3" s="23" t="str">
        <f>TEXT(DATE(LEFT(H3,4), MID(H3,5,2), RIGHT(H3,2)), "M/d/yyyy")</f>
        <v>3/1/2025</v>
      </c>
      <c r="J3" s="25">
        <v>20230101</v>
      </c>
      <c r="K3" s="23" t="str">
        <f>TEXT(DATE(LEFT(J3,4), MID(J3,5,2), RIGHT(J3,2)), "M/d/yyyy")</f>
        <v>1/1/2023</v>
      </c>
      <c r="L3" s="24" t="s">
        <v>78</v>
      </c>
      <c r="M3" s="26">
        <v>1</v>
      </c>
      <c r="N3" s="25">
        <v>20</v>
      </c>
      <c r="O3" s="27">
        <v>80</v>
      </c>
      <c r="P3" s="22" t="s">
        <v>3831</v>
      </c>
    </row>
    <row r="4" spans="1:16" s="22" customFormat="1" ht="15" customHeight="1" x14ac:dyDescent="0.2">
      <c r="A4" s="22" t="s">
        <v>3792</v>
      </c>
      <c r="B4" s="22">
        <v>16912722</v>
      </c>
      <c r="C4" s="23">
        <v>1</v>
      </c>
      <c r="D4" s="23">
        <v>921720514</v>
      </c>
      <c r="E4" s="23">
        <v>921720514</v>
      </c>
      <c r="F4" s="24" t="s">
        <v>2524</v>
      </c>
      <c r="G4" s="23">
        <v>0</v>
      </c>
      <c r="H4" s="23">
        <v>20250301</v>
      </c>
      <c r="I4" s="23" t="str">
        <f>TEXT(DATE(LEFT(H4,4), MID(H4,5,2), RIGHT(H4,2)), "M/d/yyyy")</f>
        <v>3/1/2025</v>
      </c>
      <c r="J4" s="25">
        <v>20240501</v>
      </c>
      <c r="K4" s="23" t="str">
        <f>TEXT(DATE(LEFT(J4,4), MID(J4,5,2), RIGHT(J4,2)), "M/d/yyyy")</f>
        <v>5/1/2024</v>
      </c>
      <c r="L4" s="24" t="s">
        <v>78</v>
      </c>
      <c r="M4" s="26">
        <v>1</v>
      </c>
      <c r="N4" s="25">
        <v>25</v>
      </c>
      <c r="O4" s="27">
        <v>25</v>
      </c>
      <c r="P4" s="22" t="s">
        <v>3831</v>
      </c>
    </row>
    <row r="5" spans="1:16" s="22" customFormat="1" ht="15" customHeight="1" x14ac:dyDescent="0.2">
      <c r="A5" s="22" t="s">
        <v>3792</v>
      </c>
      <c r="B5" s="22">
        <v>16912722</v>
      </c>
      <c r="C5" s="23">
        <v>1</v>
      </c>
      <c r="D5" s="23">
        <v>921729256</v>
      </c>
      <c r="E5" s="23">
        <v>921729256</v>
      </c>
      <c r="F5" s="24" t="s">
        <v>2528</v>
      </c>
      <c r="G5" s="23">
        <v>0</v>
      </c>
      <c r="H5" s="23">
        <v>20250301</v>
      </c>
      <c r="I5" s="23" t="str">
        <f>TEXT(DATE(LEFT(H5,4), MID(H5,5,2), RIGHT(H5,2)), "M/d/yyyy")</f>
        <v>3/1/2025</v>
      </c>
      <c r="J5" s="25">
        <v>20240701</v>
      </c>
      <c r="K5" s="23" t="str">
        <f>TEXT(DATE(LEFT(J5,4), MID(J5,5,2), RIGHT(J5,2)), "M/d/yyyy")</f>
        <v>7/1/2024</v>
      </c>
      <c r="L5" s="24" t="s">
        <v>78</v>
      </c>
      <c r="M5" s="26">
        <v>1</v>
      </c>
      <c r="N5" s="25">
        <v>25</v>
      </c>
      <c r="O5" s="27">
        <v>25</v>
      </c>
      <c r="P5" s="22" t="s">
        <v>3831</v>
      </c>
    </row>
    <row r="6" spans="1:16" s="22" customFormat="1" ht="15" customHeight="1" x14ac:dyDescent="0.2">
      <c r="A6" s="22" t="s">
        <v>3792</v>
      </c>
      <c r="B6" s="22">
        <v>16912722</v>
      </c>
      <c r="C6" s="23">
        <v>1</v>
      </c>
      <c r="D6" s="23">
        <v>921748438</v>
      </c>
      <c r="E6" s="23">
        <v>921748438</v>
      </c>
      <c r="F6" s="24" t="s">
        <v>2530</v>
      </c>
      <c r="G6" s="23">
        <v>0</v>
      </c>
      <c r="H6" s="23">
        <v>20250301</v>
      </c>
      <c r="I6" s="23" t="str">
        <f>TEXT(DATE(LEFT(H6,4), MID(H6,5,2), RIGHT(H6,2)), "M/d/yyyy")</f>
        <v>3/1/2025</v>
      </c>
      <c r="J6" s="25">
        <v>20250101</v>
      </c>
      <c r="K6" s="23" t="str">
        <f>TEXT(DATE(LEFT(J6,4), MID(J6,5,2), RIGHT(J6,2)), "M/d/yyyy")</f>
        <v>1/1/2025</v>
      </c>
      <c r="L6" s="24" t="s">
        <v>78</v>
      </c>
      <c r="M6" s="26">
        <v>1</v>
      </c>
      <c r="N6" s="25">
        <v>25</v>
      </c>
      <c r="O6" s="27">
        <v>25</v>
      </c>
      <c r="P6" s="22" t="s">
        <v>3831</v>
      </c>
    </row>
    <row r="7" spans="1:16" s="22" customFormat="1" ht="15" customHeight="1" x14ac:dyDescent="0.2">
      <c r="A7" s="22" t="s">
        <v>3792</v>
      </c>
      <c r="B7" s="22">
        <v>16912722</v>
      </c>
      <c r="C7" s="23">
        <v>1</v>
      </c>
      <c r="D7" s="23">
        <v>921748438</v>
      </c>
      <c r="E7" s="23">
        <v>921748438</v>
      </c>
      <c r="F7" s="24" t="s">
        <v>2530</v>
      </c>
      <c r="G7" s="23">
        <v>0</v>
      </c>
      <c r="H7" s="23">
        <v>20250201</v>
      </c>
      <c r="I7" s="23" t="str">
        <f>TEXT(DATE(LEFT(H7,4), MID(H7,5,2), RIGHT(H7,2)), "M/d/yyyy")</f>
        <v>2/1/2025</v>
      </c>
      <c r="J7" s="25">
        <v>20250101</v>
      </c>
      <c r="K7" s="23" t="str">
        <f>TEXT(DATE(LEFT(J7,4), MID(J7,5,2), RIGHT(J7,2)), "M/d/yyyy")</f>
        <v>1/1/2025</v>
      </c>
      <c r="L7" s="24" t="s">
        <v>78</v>
      </c>
      <c r="M7" s="26">
        <v>1</v>
      </c>
      <c r="N7" s="25">
        <v>25</v>
      </c>
      <c r="O7" s="27">
        <v>25</v>
      </c>
      <c r="P7" s="22" t="s">
        <v>3831</v>
      </c>
    </row>
    <row r="8" spans="1:16" s="22" customFormat="1" ht="15" customHeight="1" x14ac:dyDescent="0.2">
      <c r="A8" s="22" t="s">
        <v>3782</v>
      </c>
      <c r="B8" s="22">
        <v>7470776</v>
      </c>
      <c r="C8" s="23">
        <v>1</v>
      </c>
      <c r="D8" s="23">
        <v>920718654</v>
      </c>
      <c r="E8" s="23">
        <v>920718654</v>
      </c>
      <c r="F8" s="24" t="s">
        <v>972</v>
      </c>
      <c r="G8" s="23">
        <v>0</v>
      </c>
      <c r="H8" s="23">
        <v>20250301</v>
      </c>
      <c r="I8" s="23" t="str">
        <f>TEXT(DATE(LEFT(H8,4), MID(H8,5,2), RIGHT(H8,2)), "M/d/yyyy")</f>
        <v>3/1/2025</v>
      </c>
      <c r="J8" s="25">
        <v>20221001</v>
      </c>
      <c r="K8" s="23" t="str">
        <f>TEXT(DATE(LEFT(J8,4), MID(J8,5,2), RIGHT(J8,2)), "M/d/yyyy")</f>
        <v>10/1/2022</v>
      </c>
      <c r="L8" s="24" t="s">
        <v>78</v>
      </c>
      <c r="M8" s="26">
        <v>1</v>
      </c>
      <c r="N8" s="25">
        <v>20</v>
      </c>
      <c r="O8" s="27">
        <v>20</v>
      </c>
      <c r="P8" s="22" t="s">
        <v>3831</v>
      </c>
    </row>
    <row r="9" spans="1:16" s="22" customFormat="1" ht="15" customHeight="1" x14ac:dyDescent="0.2">
      <c r="A9" s="22" t="s">
        <v>3782</v>
      </c>
      <c r="B9" s="22">
        <v>7470776</v>
      </c>
      <c r="C9" s="23">
        <v>1</v>
      </c>
      <c r="D9" s="23">
        <v>920738743</v>
      </c>
      <c r="E9" s="23">
        <v>920738743</v>
      </c>
      <c r="F9" s="24" t="s">
        <v>976</v>
      </c>
      <c r="G9" s="23">
        <v>0</v>
      </c>
      <c r="H9" s="23">
        <v>20250301</v>
      </c>
      <c r="I9" s="23" t="str">
        <f>TEXT(DATE(LEFT(H9,4), MID(H9,5,2), RIGHT(H9,2)), "M/d/yyyy")</f>
        <v>3/1/2025</v>
      </c>
      <c r="J9" s="25">
        <v>20170101</v>
      </c>
      <c r="K9" s="23" t="str">
        <f>TEXT(DATE(LEFT(J9,4), MID(J9,5,2), RIGHT(J9,2)), "M/d/yyyy")</f>
        <v>1/1/2017</v>
      </c>
      <c r="L9" s="24" t="s">
        <v>78</v>
      </c>
      <c r="M9" s="26">
        <v>1</v>
      </c>
      <c r="N9" s="25">
        <v>20</v>
      </c>
      <c r="O9" s="27">
        <v>20</v>
      </c>
      <c r="P9" s="22" t="s">
        <v>3831</v>
      </c>
    </row>
    <row r="10" spans="1:16" s="22" customFormat="1" ht="15" customHeight="1" x14ac:dyDescent="0.2">
      <c r="A10" s="22" t="s">
        <v>3782</v>
      </c>
      <c r="B10" s="22">
        <v>7470776</v>
      </c>
      <c r="C10" s="23">
        <v>1</v>
      </c>
      <c r="D10" s="23">
        <v>920802168</v>
      </c>
      <c r="E10" s="23">
        <v>920802168</v>
      </c>
      <c r="F10" s="24" t="s">
        <v>985</v>
      </c>
      <c r="G10" s="23">
        <v>0</v>
      </c>
      <c r="H10" s="23">
        <v>20250301</v>
      </c>
      <c r="I10" s="23" t="str">
        <f>TEXT(DATE(LEFT(H10,4), MID(H10,5,2), RIGHT(H10,2)), "M/d/yyyy")</f>
        <v>3/1/2025</v>
      </c>
      <c r="J10" s="25">
        <v>20210401</v>
      </c>
      <c r="K10" s="23" t="str">
        <f>TEXT(DATE(LEFT(J10,4), MID(J10,5,2), RIGHT(J10,2)), "M/d/yyyy")</f>
        <v>4/1/2021</v>
      </c>
      <c r="L10" s="24" t="s">
        <v>78</v>
      </c>
      <c r="M10" s="26">
        <v>1</v>
      </c>
      <c r="N10" s="25">
        <v>20</v>
      </c>
      <c r="O10" s="27">
        <v>20</v>
      </c>
      <c r="P10" s="22" t="s">
        <v>3831</v>
      </c>
    </row>
    <row r="11" spans="1:16" s="22" customFormat="1" ht="15" customHeight="1" x14ac:dyDescent="0.2">
      <c r="A11" s="22" t="s">
        <v>3782</v>
      </c>
      <c r="B11" s="22">
        <v>7470776</v>
      </c>
      <c r="C11" s="23">
        <v>1</v>
      </c>
      <c r="D11" s="23">
        <v>920806107</v>
      </c>
      <c r="E11" s="23">
        <v>920806107</v>
      </c>
      <c r="F11" s="24" t="s">
        <v>989</v>
      </c>
      <c r="G11" s="23">
        <v>0</v>
      </c>
      <c r="H11" s="23">
        <v>20250301</v>
      </c>
      <c r="I11" s="23" t="str">
        <f>TEXT(DATE(LEFT(H11,4), MID(H11,5,2), RIGHT(H11,2)), "M/d/yyyy")</f>
        <v>3/1/2025</v>
      </c>
      <c r="J11" s="25">
        <v>20230401</v>
      </c>
      <c r="K11" s="23" t="str">
        <f>TEXT(DATE(LEFT(J11,4), MID(J11,5,2), RIGHT(J11,2)), "M/d/yyyy")</f>
        <v>4/1/2023</v>
      </c>
      <c r="L11" s="24" t="s">
        <v>78</v>
      </c>
      <c r="M11" s="26">
        <v>1</v>
      </c>
      <c r="N11" s="25">
        <v>20</v>
      </c>
      <c r="O11" s="27">
        <v>20</v>
      </c>
      <c r="P11" s="22" t="s">
        <v>3831</v>
      </c>
    </row>
    <row r="12" spans="1:16" s="22" customFormat="1" ht="15" customHeight="1" x14ac:dyDescent="0.2">
      <c r="A12" s="22" t="s">
        <v>3782</v>
      </c>
      <c r="B12" s="22">
        <v>7470776</v>
      </c>
      <c r="C12" s="23">
        <v>1</v>
      </c>
      <c r="D12" s="23">
        <v>920807657</v>
      </c>
      <c r="E12" s="23">
        <v>920807657</v>
      </c>
      <c r="F12" s="24" t="s">
        <v>993</v>
      </c>
      <c r="G12" s="23">
        <v>0</v>
      </c>
      <c r="H12" s="23">
        <v>20250301</v>
      </c>
      <c r="I12" s="23" t="str">
        <f>TEXT(DATE(LEFT(H12,4), MID(H12,5,2), RIGHT(H12,2)), "M/d/yyyy")</f>
        <v>3/1/2025</v>
      </c>
      <c r="J12" s="25">
        <v>20231001</v>
      </c>
      <c r="K12" s="23" t="str">
        <f>TEXT(DATE(LEFT(J12,4), MID(J12,5,2), RIGHT(J12,2)), "M/d/yyyy")</f>
        <v>10/1/2023</v>
      </c>
      <c r="L12" s="24" t="s">
        <v>78</v>
      </c>
      <c r="M12" s="26">
        <v>1</v>
      </c>
      <c r="N12" s="25">
        <v>20</v>
      </c>
      <c r="O12" s="27">
        <v>20</v>
      </c>
      <c r="P12" s="22" t="s">
        <v>3831</v>
      </c>
    </row>
    <row r="13" spans="1:16" s="22" customFormat="1" ht="15" customHeight="1" x14ac:dyDescent="0.2">
      <c r="A13" s="22" t="s">
        <v>3782</v>
      </c>
      <c r="B13" s="22">
        <v>7470776</v>
      </c>
      <c r="C13" s="23">
        <v>1</v>
      </c>
      <c r="D13" s="23">
        <v>921014688</v>
      </c>
      <c r="E13" s="23">
        <v>921014688</v>
      </c>
      <c r="F13" s="24" t="s">
        <v>1013</v>
      </c>
      <c r="G13" s="23">
        <v>0</v>
      </c>
      <c r="H13" s="23">
        <v>20250301</v>
      </c>
      <c r="I13" s="23" t="str">
        <f>TEXT(DATE(LEFT(H13,4), MID(H13,5,2), RIGHT(H13,2)), "M/d/yyyy")</f>
        <v>3/1/2025</v>
      </c>
      <c r="J13" s="25">
        <v>20150101</v>
      </c>
      <c r="K13" s="23" t="str">
        <f>TEXT(DATE(LEFT(J13,4), MID(J13,5,2), RIGHT(J13,2)), "M/d/yyyy")</f>
        <v>1/1/2015</v>
      </c>
      <c r="L13" s="24" t="s">
        <v>78</v>
      </c>
      <c r="M13" s="26">
        <v>1</v>
      </c>
      <c r="N13" s="25">
        <v>20</v>
      </c>
      <c r="O13" s="27">
        <v>20</v>
      </c>
      <c r="P13" s="22" t="s">
        <v>3831</v>
      </c>
    </row>
    <row r="14" spans="1:16" s="22" customFormat="1" ht="15" customHeight="1" x14ac:dyDescent="0.2">
      <c r="A14" s="22" t="s">
        <v>3782</v>
      </c>
      <c r="B14" s="22">
        <v>7470776</v>
      </c>
      <c r="C14" s="23">
        <v>1</v>
      </c>
      <c r="D14" s="23">
        <v>921044357</v>
      </c>
      <c r="E14" s="23">
        <v>921044357</v>
      </c>
      <c r="F14" s="24" t="s">
        <v>1026</v>
      </c>
      <c r="G14" s="23">
        <v>0</v>
      </c>
      <c r="H14" s="23">
        <v>20250301</v>
      </c>
      <c r="I14" s="23" t="str">
        <f>TEXT(DATE(LEFT(H14,4), MID(H14,5,2), RIGHT(H14,2)), "M/d/yyyy")</f>
        <v>3/1/2025</v>
      </c>
      <c r="J14" s="25">
        <v>20220601</v>
      </c>
      <c r="K14" s="23" t="str">
        <f>TEXT(DATE(LEFT(J14,4), MID(J14,5,2), RIGHT(J14,2)), "M/d/yyyy")</f>
        <v>6/1/2022</v>
      </c>
      <c r="L14" s="24" t="s">
        <v>78</v>
      </c>
      <c r="M14" s="26">
        <v>1</v>
      </c>
      <c r="N14" s="25">
        <v>20</v>
      </c>
      <c r="O14" s="27">
        <v>20</v>
      </c>
      <c r="P14" s="22" t="s">
        <v>3831</v>
      </c>
    </row>
    <row r="15" spans="1:16" s="22" customFormat="1" ht="15" customHeight="1" x14ac:dyDescent="0.2">
      <c r="A15" s="22" t="s">
        <v>3782</v>
      </c>
      <c r="B15" s="22">
        <v>7470776</v>
      </c>
      <c r="C15" s="23">
        <v>1</v>
      </c>
      <c r="D15" s="23">
        <v>921309629</v>
      </c>
      <c r="E15" s="23">
        <v>921309629</v>
      </c>
      <c r="F15" s="24" t="s">
        <v>1046</v>
      </c>
      <c r="G15" s="23">
        <v>0</v>
      </c>
      <c r="H15" s="23">
        <v>20250301</v>
      </c>
      <c r="I15" s="23" t="str">
        <f>TEXT(DATE(LEFT(H15,4), MID(H15,5,2), RIGHT(H15,2)), "M/d/yyyy")</f>
        <v>3/1/2025</v>
      </c>
      <c r="J15" s="25">
        <v>20230101</v>
      </c>
      <c r="K15" s="23" t="str">
        <f>TEXT(DATE(LEFT(J15,4), MID(J15,5,2), RIGHT(J15,2)), "M/d/yyyy")</f>
        <v>1/1/2023</v>
      </c>
      <c r="L15" s="24" t="s">
        <v>78</v>
      </c>
      <c r="M15" s="26">
        <v>1</v>
      </c>
      <c r="N15" s="25">
        <v>20</v>
      </c>
      <c r="O15" s="27">
        <v>20</v>
      </c>
      <c r="P15" s="22" t="s">
        <v>3831</v>
      </c>
    </row>
    <row r="16" spans="1:16" s="22" customFormat="1" ht="15" customHeight="1" x14ac:dyDescent="0.2">
      <c r="A16" s="22" t="s">
        <v>3782</v>
      </c>
      <c r="B16" s="22">
        <v>7470776</v>
      </c>
      <c r="C16" s="23">
        <v>1</v>
      </c>
      <c r="D16" s="23">
        <v>921354467</v>
      </c>
      <c r="E16" s="23">
        <v>921354467</v>
      </c>
      <c r="F16" s="24" t="s">
        <v>1050</v>
      </c>
      <c r="G16" s="23">
        <v>0</v>
      </c>
      <c r="H16" s="23">
        <v>20250301</v>
      </c>
      <c r="I16" s="23" t="str">
        <f>TEXT(DATE(LEFT(H16,4), MID(H16,5,2), RIGHT(H16,2)), "M/d/yyyy")</f>
        <v>3/1/2025</v>
      </c>
      <c r="J16" s="25">
        <v>20210921</v>
      </c>
      <c r="K16" s="23" t="str">
        <f>TEXT(DATE(LEFT(J16,4), MID(J16,5,2), RIGHT(J16,2)), "M/d/yyyy")</f>
        <v>9/21/2021</v>
      </c>
      <c r="L16" s="24" t="s">
        <v>78</v>
      </c>
      <c r="M16" s="26">
        <v>1</v>
      </c>
      <c r="N16" s="25">
        <v>20</v>
      </c>
      <c r="O16" s="27">
        <v>20</v>
      </c>
      <c r="P16" s="22" t="s">
        <v>3831</v>
      </c>
    </row>
    <row r="17" spans="1:16" s="22" customFormat="1" ht="15" customHeight="1" x14ac:dyDescent="0.2">
      <c r="A17" s="22" t="s">
        <v>3782</v>
      </c>
      <c r="B17" s="22">
        <v>7470776</v>
      </c>
      <c r="C17" s="23">
        <v>1</v>
      </c>
      <c r="D17" s="23">
        <v>921477927</v>
      </c>
      <c r="E17" s="23">
        <v>921477927</v>
      </c>
      <c r="F17" s="24" t="s">
        <v>1071</v>
      </c>
      <c r="G17" s="23">
        <v>0</v>
      </c>
      <c r="H17" s="23">
        <v>20250301</v>
      </c>
      <c r="I17" s="23" t="str">
        <f>TEXT(DATE(LEFT(H17,4), MID(H17,5,2), RIGHT(H17,2)), "M/d/yyyy")</f>
        <v>3/1/2025</v>
      </c>
      <c r="J17" s="25">
        <v>20190701</v>
      </c>
      <c r="K17" s="23" t="str">
        <f>TEXT(DATE(LEFT(J17,4), MID(J17,5,2), RIGHT(J17,2)), "M/d/yyyy")</f>
        <v>7/1/2019</v>
      </c>
      <c r="L17" s="24" t="s">
        <v>78</v>
      </c>
      <c r="M17" s="26">
        <v>1</v>
      </c>
      <c r="N17" s="25">
        <v>20</v>
      </c>
      <c r="O17" s="27">
        <v>20</v>
      </c>
      <c r="P17" s="22" t="s">
        <v>3831</v>
      </c>
    </row>
    <row r="18" spans="1:16" s="22" customFormat="1" ht="15" customHeight="1" x14ac:dyDescent="0.2">
      <c r="A18" s="22" t="s">
        <v>3782</v>
      </c>
      <c r="B18" s="22">
        <v>7470776</v>
      </c>
      <c r="C18" s="23">
        <v>1</v>
      </c>
      <c r="D18" s="23">
        <v>921477927</v>
      </c>
      <c r="E18" s="23">
        <v>921477927</v>
      </c>
      <c r="F18" s="24" t="s">
        <v>1071</v>
      </c>
      <c r="G18" s="23">
        <v>0</v>
      </c>
      <c r="H18" s="23">
        <v>20250201</v>
      </c>
      <c r="I18" s="23" t="str">
        <f>TEXT(DATE(LEFT(H18,4), MID(H18,5,2), RIGHT(H18,2)), "M/d/yyyy")</f>
        <v>2/1/2025</v>
      </c>
      <c r="J18" s="25">
        <v>20190701</v>
      </c>
      <c r="K18" s="23" t="str">
        <f>TEXT(DATE(LEFT(J18,4), MID(J18,5,2), RIGHT(J18,2)), "M/d/yyyy")</f>
        <v>7/1/2019</v>
      </c>
      <c r="L18" s="24" t="s">
        <v>78</v>
      </c>
      <c r="M18" s="26">
        <v>1</v>
      </c>
      <c r="N18" s="25">
        <v>20</v>
      </c>
      <c r="O18" s="27">
        <v>20</v>
      </c>
      <c r="P18" s="22" t="s">
        <v>3831</v>
      </c>
    </row>
    <row r="19" spans="1:16" s="22" customFormat="1" ht="15" customHeight="1" x14ac:dyDescent="0.2">
      <c r="A19" s="22" t="s">
        <v>3782</v>
      </c>
      <c r="B19" s="22">
        <v>7470776</v>
      </c>
      <c r="C19" s="23">
        <v>1</v>
      </c>
      <c r="D19" s="23">
        <v>921496655</v>
      </c>
      <c r="E19" s="23">
        <v>921496655</v>
      </c>
      <c r="F19" s="24" t="s">
        <v>1077</v>
      </c>
      <c r="G19" s="23">
        <v>0</v>
      </c>
      <c r="H19" s="23">
        <v>20250301</v>
      </c>
      <c r="I19" s="23" t="str">
        <f>TEXT(DATE(LEFT(H19,4), MID(H19,5,2), RIGHT(H19,2)), "M/d/yyyy")</f>
        <v>3/1/2025</v>
      </c>
      <c r="J19" s="25">
        <v>20200101</v>
      </c>
      <c r="K19" s="23" t="str">
        <f>TEXT(DATE(LEFT(J19,4), MID(J19,5,2), RIGHT(J19,2)), "M/d/yyyy")</f>
        <v>1/1/2020</v>
      </c>
      <c r="L19" s="24" t="s">
        <v>78</v>
      </c>
      <c r="M19" s="26">
        <v>1</v>
      </c>
      <c r="N19" s="25">
        <v>20</v>
      </c>
      <c r="O19" s="27">
        <v>20</v>
      </c>
      <c r="P19" s="22" t="s">
        <v>3831</v>
      </c>
    </row>
    <row r="20" spans="1:16" s="22" customFormat="1" ht="15" customHeight="1" x14ac:dyDescent="0.2">
      <c r="A20" s="22" t="s">
        <v>3782</v>
      </c>
      <c r="B20" s="22">
        <v>7470776</v>
      </c>
      <c r="C20" s="23">
        <v>1</v>
      </c>
      <c r="D20" s="23">
        <v>921584687</v>
      </c>
      <c r="E20" s="23">
        <v>921584687</v>
      </c>
      <c r="F20" s="24" t="s">
        <v>1086</v>
      </c>
      <c r="G20" s="23">
        <v>0</v>
      </c>
      <c r="H20" s="23">
        <v>20250301</v>
      </c>
      <c r="I20" s="23" t="str">
        <f>TEXT(DATE(LEFT(H20,4), MID(H20,5,2), RIGHT(H20,2)), "M/d/yyyy")</f>
        <v>3/1/2025</v>
      </c>
      <c r="J20" s="25">
        <v>20211001</v>
      </c>
      <c r="K20" s="23" t="str">
        <f>TEXT(DATE(LEFT(J20,4), MID(J20,5,2), RIGHT(J20,2)), "M/d/yyyy")</f>
        <v>10/1/2021</v>
      </c>
      <c r="L20" s="24" t="s">
        <v>78</v>
      </c>
      <c r="M20" s="26">
        <v>1</v>
      </c>
      <c r="N20" s="25">
        <v>20</v>
      </c>
      <c r="O20" s="27">
        <v>20</v>
      </c>
      <c r="P20" s="22" t="s">
        <v>3831</v>
      </c>
    </row>
    <row r="21" spans="1:16" s="22" customFormat="1" ht="15" customHeight="1" x14ac:dyDescent="0.2">
      <c r="A21" s="22" t="s">
        <v>3782</v>
      </c>
      <c r="B21" s="22">
        <v>7470776</v>
      </c>
      <c r="C21" s="23">
        <v>1</v>
      </c>
      <c r="D21" s="23">
        <v>921586066</v>
      </c>
      <c r="E21" s="23">
        <v>921586066</v>
      </c>
      <c r="F21" s="24" t="s">
        <v>1089</v>
      </c>
      <c r="G21" s="23">
        <v>0</v>
      </c>
      <c r="H21" s="23">
        <v>20250301</v>
      </c>
      <c r="I21" s="23" t="str">
        <f>TEXT(DATE(LEFT(H21,4), MID(H21,5,2), RIGHT(H21,2)), "M/d/yyyy")</f>
        <v>3/1/2025</v>
      </c>
      <c r="J21" s="25">
        <v>20211201</v>
      </c>
      <c r="K21" s="23" t="str">
        <f>TEXT(DATE(LEFT(J21,4), MID(J21,5,2), RIGHT(J21,2)), "M/d/yyyy")</f>
        <v>12/1/2021</v>
      </c>
      <c r="L21" s="24" t="s">
        <v>78</v>
      </c>
      <c r="M21" s="26">
        <v>1</v>
      </c>
      <c r="N21" s="25">
        <v>20</v>
      </c>
      <c r="O21" s="27">
        <v>20</v>
      </c>
      <c r="P21" s="22" t="s">
        <v>3831</v>
      </c>
    </row>
    <row r="22" spans="1:16" s="22" customFormat="1" ht="15" customHeight="1" x14ac:dyDescent="0.2">
      <c r="A22" s="22" t="s">
        <v>3782</v>
      </c>
      <c r="B22" s="22">
        <v>7470776</v>
      </c>
      <c r="C22" s="23">
        <v>1</v>
      </c>
      <c r="D22" s="23">
        <v>921601561</v>
      </c>
      <c r="E22" s="23">
        <v>921601561</v>
      </c>
      <c r="F22" s="24" t="s">
        <v>1097</v>
      </c>
      <c r="G22" s="23">
        <v>0</v>
      </c>
      <c r="H22" s="23">
        <v>20250301</v>
      </c>
      <c r="I22" s="23" t="str">
        <f>TEXT(DATE(LEFT(H22,4), MID(H22,5,2), RIGHT(H22,2)), "M/d/yyyy")</f>
        <v>3/1/2025</v>
      </c>
      <c r="J22" s="25">
        <v>20220201</v>
      </c>
      <c r="K22" s="23" t="str">
        <f>TEXT(DATE(LEFT(J22,4), MID(J22,5,2), RIGHT(J22,2)), "M/d/yyyy")</f>
        <v>2/1/2022</v>
      </c>
      <c r="L22" s="24" t="s">
        <v>78</v>
      </c>
      <c r="M22" s="26">
        <v>1</v>
      </c>
      <c r="N22" s="25">
        <v>20</v>
      </c>
      <c r="O22" s="27">
        <v>20</v>
      </c>
      <c r="P22" s="22" t="s">
        <v>3831</v>
      </c>
    </row>
    <row r="23" spans="1:16" s="22" customFormat="1" ht="15" customHeight="1" x14ac:dyDescent="0.2">
      <c r="A23" s="22" t="s">
        <v>3782</v>
      </c>
      <c r="B23" s="22">
        <v>7470776</v>
      </c>
      <c r="C23" s="23">
        <v>1</v>
      </c>
      <c r="D23" s="23">
        <v>921618660</v>
      </c>
      <c r="E23" s="23">
        <v>921618660</v>
      </c>
      <c r="F23" s="24" t="s">
        <v>1101</v>
      </c>
      <c r="G23" s="23">
        <v>0</v>
      </c>
      <c r="H23" s="23">
        <v>20250301</v>
      </c>
      <c r="I23" s="23" t="str">
        <f>TEXT(DATE(LEFT(H23,4), MID(H23,5,2), RIGHT(H23,2)), "M/d/yyyy")</f>
        <v>3/1/2025</v>
      </c>
      <c r="J23" s="25">
        <v>20220801</v>
      </c>
      <c r="K23" s="23" t="str">
        <f>TEXT(DATE(LEFT(J23,4), MID(J23,5,2), RIGHT(J23,2)), "M/d/yyyy")</f>
        <v>8/1/2022</v>
      </c>
      <c r="L23" s="24" t="s">
        <v>78</v>
      </c>
      <c r="M23" s="26">
        <v>1</v>
      </c>
      <c r="N23" s="25">
        <v>20</v>
      </c>
      <c r="O23" s="27">
        <v>20</v>
      </c>
      <c r="P23" s="22" t="s">
        <v>3831</v>
      </c>
    </row>
    <row r="24" spans="1:16" s="22" customFormat="1" ht="15" customHeight="1" x14ac:dyDescent="0.2">
      <c r="A24" s="22" t="s">
        <v>3782</v>
      </c>
      <c r="B24" s="22">
        <v>7470776</v>
      </c>
      <c r="C24" s="23">
        <v>1</v>
      </c>
      <c r="D24" s="23">
        <v>921626735</v>
      </c>
      <c r="E24" s="23">
        <v>921626735</v>
      </c>
      <c r="F24" s="24" t="s">
        <v>1111</v>
      </c>
      <c r="G24" s="23">
        <v>0</v>
      </c>
      <c r="H24" s="23">
        <v>20250301</v>
      </c>
      <c r="I24" s="23" t="str">
        <f>TEXT(DATE(LEFT(H24,4), MID(H24,5,2), RIGHT(H24,2)), "M/d/yyyy")</f>
        <v>3/1/2025</v>
      </c>
      <c r="J24" s="25">
        <v>20230101</v>
      </c>
      <c r="K24" s="23" t="str">
        <f>TEXT(DATE(LEFT(J24,4), MID(J24,5,2), RIGHT(J24,2)), "M/d/yyyy")</f>
        <v>1/1/2023</v>
      </c>
      <c r="L24" s="24" t="s">
        <v>78</v>
      </c>
      <c r="M24" s="26">
        <v>1</v>
      </c>
      <c r="N24" s="25">
        <v>20</v>
      </c>
      <c r="O24" s="27">
        <v>20</v>
      </c>
      <c r="P24" s="22" t="s">
        <v>3831</v>
      </c>
    </row>
    <row r="25" spans="1:16" s="22" customFormat="1" ht="15" customHeight="1" x14ac:dyDescent="0.2">
      <c r="A25" s="22" t="s">
        <v>3782</v>
      </c>
      <c r="B25" s="22">
        <v>7470776</v>
      </c>
      <c r="C25" s="23">
        <v>1</v>
      </c>
      <c r="D25" s="23">
        <v>921626814</v>
      </c>
      <c r="E25" s="23">
        <v>921626814</v>
      </c>
      <c r="F25" s="24" t="s">
        <v>1117</v>
      </c>
      <c r="G25" s="23">
        <v>0</v>
      </c>
      <c r="H25" s="23">
        <v>20250301</v>
      </c>
      <c r="I25" s="23" t="str">
        <f>TEXT(DATE(LEFT(H25,4), MID(H25,5,2), RIGHT(H25,2)), "M/d/yyyy")</f>
        <v>3/1/2025</v>
      </c>
      <c r="J25" s="25">
        <v>20230101</v>
      </c>
      <c r="K25" s="23" t="str">
        <f>TEXT(DATE(LEFT(J25,4), MID(J25,5,2), RIGHT(J25,2)), "M/d/yyyy")</f>
        <v>1/1/2023</v>
      </c>
      <c r="L25" s="24" t="s">
        <v>78</v>
      </c>
      <c r="M25" s="26">
        <v>1</v>
      </c>
      <c r="N25" s="25">
        <v>20</v>
      </c>
      <c r="O25" s="27">
        <v>20</v>
      </c>
      <c r="P25" s="22" t="s">
        <v>3831</v>
      </c>
    </row>
    <row r="26" spans="1:16" s="22" customFormat="1" ht="15" customHeight="1" x14ac:dyDescent="0.2">
      <c r="A26" s="22" t="s">
        <v>3782</v>
      </c>
      <c r="B26" s="22">
        <v>7470776</v>
      </c>
      <c r="C26" s="23">
        <v>1</v>
      </c>
      <c r="D26" s="23">
        <v>921627905</v>
      </c>
      <c r="E26" s="23">
        <v>921627905</v>
      </c>
      <c r="F26" s="24" t="s">
        <v>1123</v>
      </c>
      <c r="G26" s="23">
        <v>0</v>
      </c>
      <c r="H26" s="23">
        <v>20250301</v>
      </c>
      <c r="I26" s="23" t="str">
        <f>TEXT(DATE(LEFT(H26,4), MID(H26,5,2), RIGHT(H26,2)), "M/d/yyyy")</f>
        <v>3/1/2025</v>
      </c>
      <c r="J26" s="25">
        <v>20230101</v>
      </c>
      <c r="K26" s="23" t="str">
        <f>TEXT(DATE(LEFT(J26,4), MID(J26,5,2), RIGHT(J26,2)), "M/d/yyyy")</f>
        <v>1/1/2023</v>
      </c>
      <c r="L26" s="24" t="s">
        <v>78</v>
      </c>
      <c r="M26" s="26">
        <v>1</v>
      </c>
      <c r="N26" s="25">
        <v>20</v>
      </c>
      <c r="O26" s="27">
        <v>20</v>
      </c>
      <c r="P26" s="22" t="s">
        <v>3831</v>
      </c>
    </row>
    <row r="27" spans="1:16" s="22" customFormat="1" ht="15" customHeight="1" x14ac:dyDescent="0.2">
      <c r="A27" s="22" t="s">
        <v>3782</v>
      </c>
      <c r="B27" s="22">
        <v>7470776</v>
      </c>
      <c r="C27" s="23">
        <v>1</v>
      </c>
      <c r="D27" s="23">
        <v>921638023</v>
      </c>
      <c r="E27" s="23">
        <v>921638023</v>
      </c>
      <c r="F27" s="24" t="s">
        <v>1125</v>
      </c>
      <c r="G27" s="23">
        <v>0</v>
      </c>
      <c r="H27" s="23">
        <v>20250301</v>
      </c>
      <c r="I27" s="23" t="str">
        <f>TEXT(DATE(LEFT(H27,4), MID(H27,5,2), RIGHT(H27,2)), "M/d/yyyy")</f>
        <v>3/1/2025</v>
      </c>
      <c r="J27" s="25">
        <v>20230101</v>
      </c>
      <c r="K27" s="23" t="str">
        <f>TEXT(DATE(LEFT(J27,4), MID(J27,5,2), RIGHT(J27,2)), "M/d/yyyy")</f>
        <v>1/1/2023</v>
      </c>
      <c r="L27" s="24" t="s">
        <v>78</v>
      </c>
      <c r="M27" s="26">
        <v>1</v>
      </c>
      <c r="N27" s="25">
        <v>20</v>
      </c>
      <c r="O27" s="27">
        <v>20</v>
      </c>
      <c r="P27" s="22" t="s">
        <v>3831</v>
      </c>
    </row>
    <row r="28" spans="1:16" s="22" customFormat="1" ht="15" customHeight="1" x14ac:dyDescent="0.2">
      <c r="A28" s="22" t="s">
        <v>3782</v>
      </c>
      <c r="B28" s="22">
        <v>7470776</v>
      </c>
      <c r="C28" s="23">
        <v>1</v>
      </c>
      <c r="D28" s="23">
        <v>921665213</v>
      </c>
      <c r="E28" s="23">
        <v>921665213</v>
      </c>
      <c r="F28" s="24" t="s">
        <v>1127</v>
      </c>
      <c r="G28" s="23">
        <v>0</v>
      </c>
      <c r="H28" s="23">
        <v>20250301</v>
      </c>
      <c r="I28" s="23" t="str">
        <f>TEXT(DATE(LEFT(H28,4), MID(H28,5,2), RIGHT(H28,2)), "M/d/yyyy")</f>
        <v>3/1/2025</v>
      </c>
      <c r="J28" s="25">
        <v>20230801</v>
      </c>
      <c r="K28" s="23" t="str">
        <f>TEXT(DATE(LEFT(J28,4), MID(J28,5,2), RIGHT(J28,2)), "M/d/yyyy")</f>
        <v>8/1/2023</v>
      </c>
      <c r="L28" s="24" t="s">
        <v>78</v>
      </c>
      <c r="M28" s="26">
        <v>1</v>
      </c>
      <c r="N28" s="25">
        <v>20</v>
      </c>
      <c r="O28" s="27">
        <v>20</v>
      </c>
      <c r="P28" s="22" t="s">
        <v>3831</v>
      </c>
    </row>
    <row r="29" spans="1:16" s="22" customFormat="1" ht="15" customHeight="1" x14ac:dyDescent="0.2">
      <c r="A29" s="22" t="s">
        <v>3782</v>
      </c>
      <c r="B29" s="22">
        <v>7470776</v>
      </c>
      <c r="C29" s="23">
        <v>1</v>
      </c>
      <c r="D29" s="23">
        <v>921665213</v>
      </c>
      <c r="E29" s="23">
        <v>921665213</v>
      </c>
      <c r="F29" s="24" t="s">
        <v>1127</v>
      </c>
      <c r="G29" s="23">
        <v>0</v>
      </c>
      <c r="H29" s="23">
        <v>20250201</v>
      </c>
      <c r="I29" s="23" t="str">
        <f>TEXT(DATE(LEFT(H29,4), MID(H29,5,2), RIGHT(H29,2)), "M/d/yyyy")</f>
        <v>2/1/2025</v>
      </c>
      <c r="J29" s="25">
        <v>20230801</v>
      </c>
      <c r="K29" s="23" t="str">
        <f>TEXT(DATE(LEFT(J29,4), MID(J29,5,2), RIGHT(J29,2)), "M/d/yyyy")</f>
        <v>8/1/2023</v>
      </c>
      <c r="L29" s="24" t="s">
        <v>78</v>
      </c>
      <c r="M29" s="26">
        <v>1</v>
      </c>
      <c r="N29" s="25">
        <v>20</v>
      </c>
      <c r="O29" s="27">
        <v>20</v>
      </c>
      <c r="P29" s="22" t="s">
        <v>3831</v>
      </c>
    </row>
    <row r="30" spans="1:16" s="22" customFormat="1" ht="15" customHeight="1" x14ac:dyDescent="0.2">
      <c r="A30" s="22" t="s">
        <v>3782</v>
      </c>
      <c r="B30" s="22">
        <v>7470776</v>
      </c>
      <c r="C30" s="23">
        <v>1</v>
      </c>
      <c r="D30" s="23">
        <v>921688055</v>
      </c>
      <c r="E30" s="23">
        <v>921688055</v>
      </c>
      <c r="F30" s="24" t="s">
        <v>1151</v>
      </c>
      <c r="G30" s="23">
        <v>0</v>
      </c>
      <c r="H30" s="23">
        <v>20250301</v>
      </c>
      <c r="I30" s="23" t="str">
        <f>TEXT(DATE(LEFT(H30,4), MID(H30,5,2), RIGHT(H30,2)), "M/d/yyyy")</f>
        <v>3/1/2025</v>
      </c>
      <c r="J30" s="25">
        <v>20240101</v>
      </c>
      <c r="K30" s="23" t="str">
        <f>TEXT(DATE(LEFT(J30,4), MID(J30,5,2), RIGHT(J30,2)), "M/d/yyyy")</f>
        <v>1/1/2024</v>
      </c>
      <c r="L30" s="24" t="s">
        <v>78</v>
      </c>
      <c r="M30" s="26">
        <v>1</v>
      </c>
      <c r="N30" s="25">
        <v>20</v>
      </c>
      <c r="O30" s="27">
        <v>20</v>
      </c>
      <c r="P30" s="22" t="s">
        <v>3831</v>
      </c>
    </row>
    <row r="31" spans="1:16" s="22" customFormat="1" ht="15" customHeight="1" x14ac:dyDescent="0.2">
      <c r="A31" s="22" t="s">
        <v>3782</v>
      </c>
      <c r="B31" s="22">
        <v>7470776</v>
      </c>
      <c r="C31" s="23">
        <v>1</v>
      </c>
      <c r="D31" s="23">
        <v>925427510</v>
      </c>
      <c r="E31" s="23">
        <v>925427510</v>
      </c>
      <c r="F31" s="24" t="s">
        <v>1261</v>
      </c>
      <c r="G31" s="23">
        <v>0</v>
      </c>
      <c r="H31" s="23">
        <v>20250301</v>
      </c>
      <c r="I31" s="23" t="str">
        <f>TEXT(DATE(LEFT(H31,4), MID(H31,5,2), RIGHT(H31,2)), "M/d/yyyy")</f>
        <v>3/1/2025</v>
      </c>
      <c r="J31" s="25">
        <v>20211101</v>
      </c>
      <c r="K31" s="23" t="str">
        <f>TEXT(DATE(LEFT(J31,4), MID(J31,5,2), RIGHT(J31,2)), "M/d/yyyy")</f>
        <v>11/1/2021</v>
      </c>
      <c r="L31" s="24" t="s">
        <v>78</v>
      </c>
      <c r="M31" s="26">
        <v>1</v>
      </c>
      <c r="N31" s="25">
        <v>20</v>
      </c>
      <c r="O31" s="27">
        <v>20</v>
      </c>
      <c r="P31" s="22" t="s">
        <v>3831</v>
      </c>
    </row>
    <row r="32" spans="1:16" s="22" customFormat="1" ht="15" customHeight="1" x14ac:dyDescent="0.2">
      <c r="A32" s="22" t="s">
        <v>3782</v>
      </c>
      <c r="B32" s="22">
        <v>7470776</v>
      </c>
      <c r="C32" s="23">
        <v>1</v>
      </c>
      <c r="D32" s="23">
        <v>920747374</v>
      </c>
      <c r="E32" s="23">
        <v>920747374</v>
      </c>
      <c r="F32" s="24" t="s">
        <v>980</v>
      </c>
      <c r="G32" s="23">
        <v>0</v>
      </c>
      <c r="H32" s="23">
        <v>20250301</v>
      </c>
      <c r="I32" s="23" t="str">
        <f>TEXT(DATE(LEFT(H32,4), MID(H32,5,2), RIGHT(H32,2)), "M/d/yyyy")</f>
        <v>3/1/2025</v>
      </c>
      <c r="J32" s="25">
        <v>20250201</v>
      </c>
      <c r="K32" s="23" t="str">
        <f>TEXT(DATE(LEFT(J32,4), MID(J32,5,2), RIGHT(J32,2)), "M/d/yyyy")</f>
        <v>2/1/2025</v>
      </c>
      <c r="L32" s="24" t="s">
        <v>78</v>
      </c>
      <c r="M32" s="26">
        <v>1</v>
      </c>
      <c r="N32" s="25">
        <v>25</v>
      </c>
      <c r="O32" s="27">
        <v>25</v>
      </c>
      <c r="P32" s="22" t="s">
        <v>3831</v>
      </c>
    </row>
    <row r="33" spans="1:16" s="22" customFormat="1" ht="15" customHeight="1" x14ac:dyDescent="0.2">
      <c r="A33" s="22" t="s">
        <v>3782</v>
      </c>
      <c r="B33" s="22">
        <v>7470776</v>
      </c>
      <c r="C33" s="23">
        <v>1</v>
      </c>
      <c r="D33" s="23">
        <v>921020388</v>
      </c>
      <c r="E33" s="23">
        <v>921020388</v>
      </c>
      <c r="F33" s="24" t="s">
        <v>1016</v>
      </c>
      <c r="G33" s="23">
        <v>0</v>
      </c>
      <c r="H33" s="23">
        <v>20250301</v>
      </c>
      <c r="I33" s="23" t="str">
        <f>TEXT(DATE(LEFT(H33,4), MID(H33,5,2), RIGHT(H33,2)), "M/d/yyyy")</f>
        <v>3/1/2025</v>
      </c>
      <c r="J33" s="25">
        <v>20240901</v>
      </c>
      <c r="K33" s="23" t="str">
        <f>TEXT(DATE(LEFT(J33,4), MID(J33,5,2), RIGHT(J33,2)), "M/d/yyyy")</f>
        <v>9/1/2024</v>
      </c>
      <c r="L33" s="24" t="s">
        <v>78</v>
      </c>
      <c r="M33" s="26">
        <v>1</v>
      </c>
      <c r="N33" s="25">
        <v>25</v>
      </c>
      <c r="O33" s="27">
        <v>25</v>
      </c>
      <c r="P33" s="22" t="s">
        <v>3831</v>
      </c>
    </row>
    <row r="34" spans="1:16" s="22" customFormat="1" ht="15" customHeight="1" x14ac:dyDescent="0.2">
      <c r="A34" s="22" t="s">
        <v>3782</v>
      </c>
      <c r="B34" s="22">
        <v>7470776</v>
      </c>
      <c r="C34" s="23">
        <v>1</v>
      </c>
      <c r="D34" s="23">
        <v>921307815</v>
      </c>
      <c r="E34" s="23">
        <v>921307815</v>
      </c>
      <c r="F34" s="24" t="s">
        <v>1044</v>
      </c>
      <c r="G34" s="23">
        <v>0</v>
      </c>
      <c r="H34" s="23">
        <v>20250301</v>
      </c>
      <c r="I34" s="23" t="str">
        <f>TEXT(DATE(LEFT(H34,4), MID(H34,5,2), RIGHT(H34,2)), "M/d/yyyy")</f>
        <v>3/1/2025</v>
      </c>
      <c r="J34" s="25">
        <v>20240701</v>
      </c>
      <c r="K34" s="23" t="str">
        <f>TEXT(DATE(LEFT(J34,4), MID(J34,5,2), RIGHT(J34,2)), "M/d/yyyy")</f>
        <v>7/1/2024</v>
      </c>
      <c r="L34" s="24" t="s">
        <v>78</v>
      </c>
      <c r="M34" s="26">
        <v>1</v>
      </c>
      <c r="N34" s="25">
        <v>25</v>
      </c>
      <c r="O34" s="27">
        <v>25</v>
      </c>
      <c r="P34" s="22" t="s">
        <v>3831</v>
      </c>
    </row>
    <row r="35" spans="1:16" s="22" customFormat="1" ht="15" customHeight="1" x14ac:dyDescent="0.2">
      <c r="A35" s="22" t="s">
        <v>3782</v>
      </c>
      <c r="B35" s="22">
        <v>7470776</v>
      </c>
      <c r="C35" s="23">
        <v>1</v>
      </c>
      <c r="D35" s="23">
        <v>921385763</v>
      </c>
      <c r="E35" s="23">
        <v>921385763</v>
      </c>
      <c r="F35" s="24" t="s">
        <v>1056</v>
      </c>
      <c r="G35" s="23">
        <v>0</v>
      </c>
      <c r="H35" s="23">
        <v>20250301</v>
      </c>
      <c r="I35" s="23" t="str">
        <f>TEXT(DATE(LEFT(H35,4), MID(H35,5,2), RIGHT(H35,2)), "M/d/yyyy")</f>
        <v>3/1/2025</v>
      </c>
      <c r="J35" s="25">
        <v>20250201</v>
      </c>
      <c r="K35" s="23" t="str">
        <f>TEXT(DATE(LEFT(J35,4), MID(J35,5,2), RIGHT(J35,2)), "M/d/yyyy")</f>
        <v>2/1/2025</v>
      </c>
      <c r="L35" s="24" t="s">
        <v>78</v>
      </c>
      <c r="M35" s="26">
        <v>1</v>
      </c>
      <c r="N35" s="25">
        <v>25</v>
      </c>
      <c r="O35" s="27">
        <v>25</v>
      </c>
      <c r="P35" s="22" t="s">
        <v>3831</v>
      </c>
    </row>
    <row r="36" spans="1:16" s="22" customFormat="1" ht="15" customHeight="1" x14ac:dyDescent="0.2">
      <c r="A36" s="22" t="s">
        <v>3782</v>
      </c>
      <c r="B36" s="22">
        <v>7470776</v>
      </c>
      <c r="C36" s="23">
        <v>1</v>
      </c>
      <c r="D36" s="23">
        <v>921717400</v>
      </c>
      <c r="E36" s="23">
        <v>921717400</v>
      </c>
      <c r="F36" s="24" t="s">
        <v>1169</v>
      </c>
      <c r="G36" s="23">
        <v>0</v>
      </c>
      <c r="H36" s="23">
        <v>20250301</v>
      </c>
      <c r="I36" s="23" t="str">
        <f>TEXT(DATE(LEFT(H36,4), MID(H36,5,2), RIGHT(H36,2)), "M/d/yyyy")</f>
        <v>3/1/2025</v>
      </c>
      <c r="J36" s="25">
        <v>20240501</v>
      </c>
      <c r="K36" s="23" t="str">
        <f>TEXT(DATE(LEFT(J36,4), MID(J36,5,2), RIGHT(J36,2)), "M/d/yyyy")</f>
        <v>5/1/2024</v>
      </c>
      <c r="L36" s="24" t="s">
        <v>78</v>
      </c>
      <c r="M36" s="26">
        <v>1</v>
      </c>
      <c r="N36" s="25">
        <v>25</v>
      </c>
      <c r="O36" s="27">
        <v>25</v>
      </c>
      <c r="P36" s="22" t="s">
        <v>3831</v>
      </c>
    </row>
    <row r="37" spans="1:16" s="22" customFormat="1" ht="15" customHeight="1" x14ac:dyDescent="0.2">
      <c r="A37" s="22" t="s">
        <v>3782</v>
      </c>
      <c r="B37" s="22">
        <v>7470776</v>
      </c>
      <c r="C37" s="23">
        <v>1</v>
      </c>
      <c r="D37" s="23">
        <v>921720934</v>
      </c>
      <c r="E37" s="23">
        <v>921720934</v>
      </c>
      <c r="F37" s="24" t="s">
        <v>1173</v>
      </c>
      <c r="G37" s="23">
        <v>0</v>
      </c>
      <c r="H37" s="23">
        <v>20250301</v>
      </c>
      <c r="I37" s="23" t="str">
        <f>TEXT(DATE(LEFT(H37,4), MID(H37,5,2), RIGHT(H37,2)), "M/d/yyyy")</f>
        <v>3/1/2025</v>
      </c>
      <c r="J37" s="25">
        <v>20240601</v>
      </c>
      <c r="K37" s="23" t="str">
        <f>TEXT(DATE(LEFT(J37,4), MID(J37,5,2), RIGHT(J37,2)), "M/d/yyyy")</f>
        <v>6/1/2024</v>
      </c>
      <c r="L37" s="24" t="s">
        <v>78</v>
      </c>
      <c r="M37" s="26">
        <v>1</v>
      </c>
      <c r="N37" s="25">
        <v>25</v>
      </c>
      <c r="O37" s="27">
        <v>25</v>
      </c>
      <c r="P37" s="22" t="s">
        <v>3831</v>
      </c>
    </row>
    <row r="38" spans="1:16" s="22" customFormat="1" ht="15" customHeight="1" x14ac:dyDescent="0.2">
      <c r="A38" s="22" t="s">
        <v>3782</v>
      </c>
      <c r="B38" s="22">
        <v>7470776</v>
      </c>
      <c r="C38" s="23">
        <v>1</v>
      </c>
      <c r="D38" s="23">
        <v>921723282</v>
      </c>
      <c r="E38" s="23">
        <v>921723282</v>
      </c>
      <c r="F38" s="24" t="s">
        <v>1177</v>
      </c>
      <c r="G38" s="23">
        <v>0</v>
      </c>
      <c r="H38" s="23">
        <v>20250301</v>
      </c>
      <c r="I38" s="23" t="str">
        <f>TEXT(DATE(LEFT(H38,4), MID(H38,5,2), RIGHT(H38,2)), "M/d/yyyy")</f>
        <v>3/1/2025</v>
      </c>
      <c r="J38" s="25">
        <v>20240601</v>
      </c>
      <c r="K38" s="23" t="str">
        <f>TEXT(DATE(LEFT(J38,4), MID(J38,5,2), RIGHT(J38,2)), "M/d/yyyy")</f>
        <v>6/1/2024</v>
      </c>
      <c r="L38" s="24" t="s">
        <v>78</v>
      </c>
      <c r="M38" s="26">
        <v>1</v>
      </c>
      <c r="N38" s="25">
        <v>25</v>
      </c>
      <c r="O38" s="27">
        <v>25</v>
      </c>
      <c r="P38" s="22" t="s">
        <v>3831</v>
      </c>
    </row>
    <row r="39" spans="1:16" s="22" customFormat="1" ht="15" customHeight="1" x14ac:dyDescent="0.2">
      <c r="A39" s="22" t="s">
        <v>3782</v>
      </c>
      <c r="B39" s="22">
        <v>7470776</v>
      </c>
      <c r="C39" s="23">
        <v>1</v>
      </c>
      <c r="D39" s="23">
        <v>921726220</v>
      </c>
      <c r="E39" s="23">
        <v>921726220</v>
      </c>
      <c r="F39" s="24" t="s">
        <v>1181</v>
      </c>
      <c r="G39" s="23">
        <v>0</v>
      </c>
      <c r="H39" s="23">
        <v>20250301</v>
      </c>
      <c r="I39" s="23" t="str">
        <f>TEXT(DATE(LEFT(H39,4), MID(H39,5,2), RIGHT(H39,2)), "M/d/yyyy")</f>
        <v>3/1/2025</v>
      </c>
      <c r="J39" s="25">
        <v>20240701</v>
      </c>
      <c r="K39" s="23" t="str">
        <f>TEXT(DATE(LEFT(J39,4), MID(J39,5,2), RIGHT(J39,2)), "M/d/yyyy")</f>
        <v>7/1/2024</v>
      </c>
      <c r="L39" s="24" t="s">
        <v>78</v>
      </c>
      <c r="M39" s="26">
        <v>1</v>
      </c>
      <c r="N39" s="25">
        <v>25</v>
      </c>
      <c r="O39" s="27">
        <v>25</v>
      </c>
      <c r="P39" s="22" t="s">
        <v>3831</v>
      </c>
    </row>
    <row r="40" spans="1:16" s="22" customFormat="1" ht="15" customHeight="1" x14ac:dyDescent="0.2">
      <c r="A40" s="22" t="s">
        <v>3782</v>
      </c>
      <c r="B40" s="22">
        <v>7470776</v>
      </c>
      <c r="C40" s="23">
        <v>1</v>
      </c>
      <c r="D40" s="23">
        <v>921728986</v>
      </c>
      <c r="E40" s="23">
        <v>921728986</v>
      </c>
      <c r="F40" s="24" t="s">
        <v>1189</v>
      </c>
      <c r="G40" s="23">
        <v>0</v>
      </c>
      <c r="H40" s="23">
        <v>20250301</v>
      </c>
      <c r="I40" s="23" t="str">
        <f>TEXT(DATE(LEFT(H40,4), MID(H40,5,2), RIGHT(H40,2)), "M/d/yyyy")</f>
        <v>3/1/2025</v>
      </c>
      <c r="J40" s="25">
        <v>20240701</v>
      </c>
      <c r="K40" s="23" t="str">
        <f>TEXT(DATE(LEFT(J40,4), MID(J40,5,2), RIGHT(J40,2)), "M/d/yyyy")</f>
        <v>7/1/2024</v>
      </c>
      <c r="L40" s="24" t="s">
        <v>78</v>
      </c>
      <c r="M40" s="26">
        <v>1</v>
      </c>
      <c r="N40" s="25">
        <v>25</v>
      </c>
      <c r="O40" s="27">
        <v>25</v>
      </c>
      <c r="P40" s="22" t="s">
        <v>3831</v>
      </c>
    </row>
    <row r="41" spans="1:16" s="22" customFormat="1" ht="15" customHeight="1" x14ac:dyDescent="0.2">
      <c r="A41" s="22" t="s">
        <v>3782</v>
      </c>
      <c r="B41" s="22">
        <v>7470776</v>
      </c>
      <c r="C41" s="23">
        <v>1</v>
      </c>
      <c r="D41" s="23">
        <v>921737247</v>
      </c>
      <c r="E41" s="23">
        <v>921737247</v>
      </c>
      <c r="F41" s="24" t="s">
        <v>1202</v>
      </c>
      <c r="G41" s="23">
        <v>0</v>
      </c>
      <c r="H41" s="23">
        <v>20250301</v>
      </c>
      <c r="I41" s="23" t="str">
        <f>TEXT(DATE(LEFT(H41,4), MID(H41,5,2), RIGHT(H41,2)), "M/d/yyyy")</f>
        <v>3/1/2025</v>
      </c>
      <c r="J41" s="25">
        <v>20240901</v>
      </c>
      <c r="K41" s="23" t="str">
        <f>TEXT(DATE(LEFT(J41,4), MID(J41,5,2), RIGHT(J41,2)), "M/d/yyyy")</f>
        <v>9/1/2024</v>
      </c>
      <c r="L41" s="24" t="s">
        <v>78</v>
      </c>
      <c r="M41" s="26">
        <v>1</v>
      </c>
      <c r="N41" s="25">
        <v>25</v>
      </c>
      <c r="O41" s="27">
        <v>25</v>
      </c>
      <c r="P41" s="22" t="s">
        <v>3831</v>
      </c>
    </row>
    <row r="42" spans="1:16" s="22" customFormat="1" ht="15" customHeight="1" x14ac:dyDescent="0.2">
      <c r="A42" s="22" t="s">
        <v>3782</v>
      </c>
      <c r="B42" s="22">
        <v>7470776</v>
      </c>
      <c r="C42" s="23">
        <v>1</v>
      </c>
      <c r="D42" s="23">
        <v>921738469</v>
      </c>
      <c r="E42" s="23">
        <v>921738469</v>
      </c>
      <c r="F42" s="24" t="s">
        <v>1204</v>
      </c>
      <c r="G42" s="23">
        <v>0</v>
      </c>
      <c r="H42" s="23">
        <v>20250301</v>
      </c>
      <c r="I42" s="23" t="str">
        <f>TEXT(DATE(LEFT(H42,4), MID(H42,5,2), RIGHT(H42,2)), "M/d/yyyy")</f>
        <v>3/1/2025</v>
      </c>
      <c r="J42" s="25">
        <v>20241001</v>
      </c>
      <c r="K42" s="23" t="str">
        <f>TEXT(DATE(LEFT(J42,4), MID(J42,5,2), RIGHT(J42,2)), "M/d/yyyy")</f>
        <v>10/1/2024</v>
      </c>
      <c r="L42" s="24" t="s">
        <v>78</v>
      </c>
      <c r="M42" s="26">
        <v>1</v>
      </c>
      <c r="N42" s="25">
        <v>25</v>
      </c>
      <c r="O42" s="27">
        <v>25</v>
      </c>
      <c r="P42" s="22" t="s">
        <v>3831</v>
      </c>
    </row>
    <row r="43" spans="1:16" s="22" customFormat="1" ht="15" customHeight="1" x14ac:dyDescent="0.2">
      <c r="A43" s="22" t="s">
        <v>3782</v>
      </c>
      <c r="B43" s="22">
        <v>7470776</v>
      </c>
      <c r="C43" s="23">
        <v>1</v>
      </c>
      <c r="D43" s="23">
        <v>921745063</v>
      </c>
      <c r="E43" s="23">
        <v>921745063</v>
      </c>
      <c r="F43" s="24" t="s">
        <v>1216</v>
      </c>
      <c r="G43" s="23">
        <v>0</v>
      </c>
      <c r="H43" s="23">
        <v>20250301</v>
      </c>
      <c r="I43" s="23" t="str">
        <f>TEXT(DATE(LEFT(H43,4), MID(H43,5,2), RIGHT(H43,2)), "M/d/yyyy")</f>
        <v>3/1/2025</v>
      </c>
      <c r="J43" s="25">
        <v>20250101</v>
      </c>
      <c r="K43" s="23" t="str">
        <f>TEXT(DATE(LEFT(J43,4), MID(J43,5,2), RIGHT(J43,2)), "M/d/yyyy")</f>
        <v>1/1/2025</v>
      </c>
      <c r="L43" s="24" t="s">
        <v>78</v>
      </c>
      <c r="M43" s="26">
        <v>1</v>
      </c>
      <c r="N43" s="25">
        <v>25</v>
      </c>
      <c r="O43" s="27">
        <v>25</v>
      </c>
      <c r="P43" s="22" t="s">
        <v>3831</v>
      </c>
    </row>
    <row r="44" spans="1:16" s="22" customFormat="1" ht="15" customHeight="1" x14ac:dyDescent="0.2">
      <c r="A44" s="22" t="s">
        <v>3782</v>
      </c>
      <c r="B44" s="22">
        <v>7470776</v>
      </c>
      <c r="C44" s="23">
        <v>1</v>
      </c>
      <c r="D44" s="23">
        <v>921746887</v>
      </c>
      <c r="E44" s="23">
        <v>921746887</v>
      </c>
      <c r="F44" s="24" t="s">
        <v>1220</v>
      </c>
      <c r="G44" s="23">
        <v>0</v>
      </c>
      <c r="H44" s="23">
        <v>20250301</v>
      </c>
      <c r="I44" s="23" t="str">
        <f>TEXT(DATE(LEFT(H44,4), MID(H44,5,2), RIGHT(H44,2)), "M/d/yyyy")</f>
        <v>3/1/2025</v>
      </c>
      <c r="J44" s="25">
        <v>20250101</v>
      </c>
      <c r="K44" s="23" t="str">
        <f>TEXT(DATE(LEFT(J44,4), MID(J44,5,2), RIGHT(J44,2)), "M/d/yyyy")</f>
        <v>1/1/2025</v>
      </c>
      <c r="L44" s="24" t="s">
        <v>78</v>
      </c>
      <c r="M44" s="26">
        <v>1</v>
      </c>
      <c r="N44" s="25">
        <v>25</v>
      </c>
      <c r="O44" s="27">
        <v>25</v>
      </c>
      <c r="P44" s="22" t="s">
        <v>3831</v>
      </c>
    </row>
    <row r="45" spans="1:16" s="22" customFormat="1" ht="15" customHeight="1" x14ac:dyDescent="0.2">
      <c r="A45" s="22" t="s">
        <v>3782</v>
      </c>
      <c r="B45" s="22">
        <v>7470776</v>
      </c>
      <c r="C45" s="23">
        <v>1</v>
      </c>
      <c r="D45" s="23">
        <v>921746887</v>
      </c>
      <c r="E45" s="23">
        <v>921746887</v>
      </c>
      <c r="F45" s="24" t="s">
        <v>1220</v>
      </c>
      <c r="G45" s="23">
        <v>0</v>
      </c>
      <c r="H45" s="23">
        <v>20250201</v>
      </c>
      <c r="I45" s="23" t="str">
        <f>TEXT(DATE(LEFT(H45,4), MID(H45,5,2), RIGHT(H45,2)), "M/d/yyyy")</f>
        <v>2/1/2025</v>
      </c>
      <c r="J45" s="25">
        <v>20250101</v>
      </c>
      <c r="K45" s="23" t="str">
        <f>TEXT(DATE(LEFT(J45,4), MID(J45,5,2), RIGHT(J45,2)), "M/d/yyyy")</f>
        <v>1/1/2025</v>
      </c>
      <c r="L45" s="24" t="s">
        <v>78</v>
      </c>
      <c r="M45" s="26">
        <v>1</v>
      </c>
      <c r="N45" s="25">
        <v>25</v>
      </c>
      <c r="O45" s="27">
        <v>25</v>
      </c>
      <c r="P45" s="22" t="s">
        <v>3831</v>
      </c>
    </row>
    <row r="46" spans="1:16" s="22" customFormat="1" ht="15" customHeight="1" x14ac:dyDescent="0.2">
      <c r="A46" s="22" t="s">
        <v>3782</v>
      </c>
      <c r="B46" s="22">
        <v>7470776</v>
      </c>
      <c r="C46" s="23">
        <v>1</v>
      </c>
      <c r="D46" s="23">
        <v>921750721</v>
      </c>
      <c r="E46" s="23">
        <v>921750721</v>
      </c>
      <c r="F46" s="24" t="s">
        <v>1235</v>
      </c>
      <c r="G46" s="23">
        <v>0</v>
      </c>
      <c r="H46" s="23">
        <v>20250301</v>
      </c>
      <c r="I46" s="23" t="str">
        <f>TEXT(DATE(LEFT(H46,4), MID(H46,5,2), RIGHT(H46,2)), "M/d/yyyy")</f>
        <v>3/1/2025</v>
      </c>
      <c r="J46" s="25">
        <v>20250101</v>
      </c>
      <c r="K46" s="23" t="str">
        <f>TEXT(DATE(LEFT(J46,4), MID(J46,5,2), RIGHT(J46,2)), "M/d/yyyy")</f>
        <v>1/1/2025</v>
      </c>
      <c r="L46" s="24" t="s">
        <v>78</v>
      </c>
      <c r="M46" s="26">
        <v>1</v>
      </c>
      <c r="N46" s="25">
        <v>25</v>
      </c>
      <c r="O46" s="27">
        <v>25</v>
      </c>
      <c r="P46" s="22" t="s">
        <v>3831</v>
      </c>
    </row>
    <row r="47" spans="1:16" s="22" customFormat="1" ht="15" customHeight="1" x14ac:dyDescent="0.2">
      <c r="A47" s="22" t="s">
        <v>3782</v>
      </c>
      <c r="B47" s="22">
        <v>7470776</v>
      </c>
      <c r="C47" s="23">
        <v>1</v>
      </c>
      <c r="D47" s="23">
        <v>921765814</v>
      </c>
      <c r="E47" s="23">
        <v>921765814</v>
      </c>
      <c r="F47" s="24" t="s">
        <v>1251</v>
      </c>
      <c r="G47" s="23">
        <v>0</v>
      </c>
      <c r="H47" s="23">
        <v>20250301</v>
      </c>
      <c r="I47" s="23" t="str">
        <f>TEXT(DATE(LEFT(H47,4), MID(H47,5,2), RIGHT(H47,2)), "M/d/yyyy")</f>
        <v>3/1/2025</v>
      </c>
      <c r="J47" s="25">
        <v>20250101</v>
      </c>
      <c r="K47" s="23" t="str">
        <f>TEXT(DATE(LEFT(J47,4), MID(J47,5,2), RIGHT(J47,2)), "M/d/yyyy")</f>
        <v>1/1/2025</v>
      </c>
      <c r="L47" s="24" t="s">
        <v>78</v>
      </c>
      <c r="M47" s="26">
        <v>1</v>
      </c>
      <c r="N47" s="25">
        <v>25</v>
      </c>
      <c r="O47" s="27">
        <v>25</v>
      </c>
      <c r="P47" s="22" t="s">
        <v>3831</v>
      </c>
    </row>
    <row r="48" spans="1:16" s="22" customFormat="1" ht="15" customHeight="1" x14ac:dyDescent="0.2">
      <c r="A48" s="22" t="s">
        <v>3782</v>
      </c>
      <c r="B48" s="22">
        <v>7470776</v>
      </c>
      <c r="C48" s="23">
        <v>1</v>
      </c>
      <c r="D48" s="23">
        <v>921774027</v>
      </c>
      <c r="E48" s="23">
        <v>921774027</v>
      </c>
      <c r="F48" s="24" t="s">
        <v>1257</v>
      </c>
      <c r="G48" s="23">
        <v>0</v>
      </c>
      <c r="H48" s="23">
        <v>20250301</v>
      </c>
      <c r="I48" s="23" t="str">
        <f>TEXT(DATE(LEFT(H48,4), MID(H48,5,2), RIGHT(H48,2)), "M/d/yyyy")</f>
        <v>3/1/2025</v>
      </c>
      <c r="J48" s="25">
        <v>20250201</v>
      </c>
      <c r="K48" s="23" t="str">
        <f>TEXT(DATE(LEFT(J48,4), MID(J48,5,2), RIGHT(J48,2)), "M/d/yyyy")</f>
        <v>2/1/2025</v>
      </c>
      <c r="L48" s="24" t="s">
        <v>78</v>
      </c>
      <c r="M48" s="26">
        <v>1</v>
      </c>
      <c r="N48" s="25">
        <v>25</v>
      </c>
      <c r="O48" s="27">
        <v>25</v>
      </c>
      <c r="P48" s="22" t="s">
        <v>3831</v>
      </c>
    </row>
    <row r="49" spans="1:16" s="22" customFormat="1" ht="15" customHeight="1" x14ac:dyDescent="0.2">
      <c r="A49" s="22" t="s">
        <v>3782</v>
      </c>
      <c r="B49" s="22">
        <v>7470776</v>
      </c>
      <c r="C49" s="23">
        <v>2</v>
      </c>
      <c r="D49" s="23">
        <v>920838667</v>
      </c>
      <c r="E49" s="23">
        <v>920838667</v>
      </c>
      <c r="F49" s="24" t="s">
        <v>1001</v>
      </c>
      <c r="G49" s="23">
        <v>0</v>
      </c>
      <c r="H49" s="23">
        <v>20250301</v>
      </c>
      <c r="I49" s="23" t="str">
        <f>TEXT(DATE(LEFT(H49,4), MID(H49,5,2), RIGHT(H49,2)), "M/d/yyyy")</f>
        <v>3/1/2025</v>
      </c>
      <c r="J49" s="25">
        <v>20210701</v>
      </c>
      <c r="K49" s="23" t="str">
        <f>TEXT(DATE(LEFT(J49,4), MID(J49,5,2), RIGHT(J49,2)), "M/d/yyyy")</f>
        <v>7/1/2021</v>
      </c>
      <c r="L49" s="24" t="s">
        <v>78</v>
      </c>
      <c r="M49" s="26">
        <v>1</v>
      </c>
      <c r="N49" s="25">
        <v>20</v>
      </c>
      <c r="O49" s="27">
        <v>40</v>
      </c>
      <c r="P49" s="22" t="s">
        <v>3831</v>
      </c>
    </row>
    <row r="50" spans="1:16" s="22" customFormat="1" ht="15" customHeight="1" x14ac:dyDescent="0.2">
      <c r="A50" s="22" t="s">
        <v>3782</v>
      </c>
      <c r="B50" s="22">
        <v>7470776</v>
      </c>
      <c r="C50" s="23">
        <v>2</v>
      </c>
      <c r="D50" s="23">
        <v>921595571</v>
      </c>
      <c r="E50" s="23">
        <v>921595571</v>
      </c>
      <c r="F50" s="24" t="s">
        <v>1093</v>
      </c>
      <c r="G50" s="23">
        <v>0</v>
      </c>
      <c r="H50" s="23">
        <v>20250301</v>
      </c>
      <c r="I50" s="23" t="str">
        <f>TEXT(DATE(LEFT(H50,4), MID(H50,5,2), RIGHT(H50,2)), "M/d/yyyy")</f>
        <v>3/1/2025</v>
      </c>
      <c r="J50" s="25">
        <v>20220101</v>
      </c>
      <c r="K50" s="23" t="str">
        <f>TEXT(DATE(LEFT(J50,4), MID(J50,5,2), RIGHT(J50,2)), "M/d/yyyy")</f>
        <v>1/1/2022</v>
      </c>
      <c r="L50" s="24" t="s">
        <v>78</v>
      </c>
      <c r="M50" s="26">
        <v>1</v>
      </c>
      <c r="N50" s="25">
        <v>20</v>
      </c>
      <c r="O50" s="27">
        <v>40</v>
      </c>
      <c r="P50" s="22" t="s">
        <v>3831</v>
      </c>
    </row>
    <row r="51" spans="1:16" s="22" customFormat="1" ht="15" customHeight="1" x14ac:dyDescent="0.2">
      <c r="A51" s="22" t="s">
        <v>3782</v>
      </c>
      <c r="B51" s="22">
        <v>7470776</v>
      </c>
      <c r="C51" s="23">
        <v>2</v>
      </c>
      <c r="D51" s="23">
        <v>921597719</v>
      </c>
      <c r="E51" s="23">
        <v>921597719</v>
      </c>
      <c r="F51" s="24" t="s">
        <v>1095</v>
      </c>
      <c r="G51" s="23">
        <v>0</v>
      </c>
      <c r="H51" s="23">
        <v>20250301</v>
      </c>
      <c r="I51" s="23" t="str">
        <f>TEXT(DATE(LEFT(H51,4), MID(H51,5,2), RIGHT(H51,2)), "M/d/yyyy")</f>
        <v>3/1/2025</v>
      </c>
      <c r="J51" s="25">
        <v>20220101</v>
      </c>
      <c r="K51" s="23" t="str">
        <f>TEXT(DATE(LEFT(J51,4), MID(J51,5,2), RIGHT(J51,2)), "M/d/yyyy")</f>
        <v>1/1/2022</v>
      </c>
      <c r="L51" s="24" t="s">
        <v>78</v>
      </c>
      <c r="M51" s="26">
        <v>1</v>
      </c>
      <c r="N51" s="25">
        <v>20</v>
      </c>
      <c r="O51" s="27">
        <v>40</v>
      </c>
      <c r="P51" s="22" t="s">
        <v>3831</v>
      </c>
    </row>
    <row r="52" spans="1:16" s="22" customFormat="1" ht="15" customHeight="1" x14ac:dyDescent="0.2">
      <c r="A52" s="22" t="s">
        <v>3782</v>
      </c>
      <c r="B52" s="22">
        <v>7470776</v>
      </c>
      <c r="C52" s="23">
        <v>2</v>
      </c>
      <c r="D52" s="23">
        <v>921626778</v>
      </c>
      <c r="E52" s="23">
        <v>921626778</v>
      </c>
      <c r="F52" s="24" t="s">
        <v>1113</v>
      </c>
      <c r="G52" s="23">
        <v>0</v>
      </c>
      <c r="H52" s="23">
        <v>20250301</v>
      </c>
      <c r="I52" s="23" t="str">
        <f>TEXT(DATE(LEFT(H52,4), MID(H52,5,2), RIGHT(H52,2)), "M/d/yyyy")</f>
        <v>3/1/2025</v>
      </c>
      <c r="J52" s="25">
        <v>20230101</v>
      </c>
      <c r="K52" s="23" t="str">
        <f>TEXT(DATE(LEFT(J52,4), MID(J52,5,2), RIGHT(J52,2)), "M/d/yyyy")</f>
        <v>1/1/2023</v>
      </c>
      <c r="L52" s="24" t="s">
        <v>78</v>
      </c>
      <c r="M52" s="26">
        <v>1</v>
      </c>
      <c r="N52" s="25">
        <v>20</v>
      </c>
      <c r="O52" s="27">
        <v>40</v>
      </c>
      <c r="P52" s="22" t="s">
        <v>3831</v>
      </c>
    </row>
    <row r="53" spans="1:16" s="22" customFormat="1" ht="15" customHeight="1" x14ac:dyDescent="0.2">
      <c r="A53" s="22" t="s">
        <v>3782</v>
      </c>
      <c r="B53" s="22">
        <v>7470776</v>
      </c>
      <c r="C53" s="23">
        <v>2</v>
      </c>
      <c r="D53" s="23">
        <v>921678612</v>
      </c>
      <c r="E53" s="23">
        <v>921678612</v>
      </c>
      <c r="F53" s="24" t="s">
        <v>1139</v>
      </c>
      <c r="G53" s="23">
        <v>0</v>
      </c>
      <c r="H53" s="23">
        <v>20250301</v>
      </c>
      <c r="I53" s="23" t="str">
        <f>TEXT(DATE(LEFT(H53,4), MID(H53,5,2), RIGHT(H53,2)), "M/d/yyyy")</f>
        <v>3/1/2025</v>
      </c>
      <c r="J53" s="25">
        <v>20240101</v>
      </c>
      <c r="K53" s="23" t="str">
        <f>TEXT(DATE(LEFT(J53,4), MID(J53,5,2), RIGHT(J53,2)), "M/d/yyyy")</f>
        <v>1/1/2024</v>
      </c>
      <c r="L53" s="24" t="s">
        <v>78</v>
      </c>
      <c r="M53" s="26">
        <v>1</v>
      </c>
      <c r="N53" s="25">
        <v>20</v>
      </c>
      <c r="O53" s="27">
        <v>40</v>
      </c>
      <c r="P53" s="22" t="s">
        <v>3831</v>
      </c>
    </row>
    <row r="54" spans="1:16" s="22" customFormat="1" ht="15" customHeight="1" x14ac:dyDescent="0.2">
      <c r="A54" s="22" t="s">
        <v>3782</v>
      </c>
      <c r="B54" s="22">
        <v>7470776</v>
      </c>
      <c r="C54" s="23">
        <v>2</v>
      </c>
      <c r="D54" s="23">
        <v>921738512</v>
      </c>
      <c r="E54" s="23">
        <v>921738512</v>
      </c>
      <c r="F54" s="24" t="s">
        <v>1206</v>
      </c>
      <c r="G54" s="23">
        <v>0</v>
      </c>
      <c r="H54" s="23">
        <v>20250301</v>
      </c>
      <c r="I54" s="23" t="str">
        <f>TEXT(DATE(LEFT(H54,4), MID(H54,5,2), RIGHT(H54,2)), "M/d/yyyy")</f>
        <v>3/1/2025</v>
      </c>
      <c r="J54" s="25">
        <v>20241001</v>
      </c>
      <c r="K54" s="23" t="str">
        <f>TEXT(DATE(LEFT(J54,4), MID(J54,5,2), RIGHT(J54,2)), "M/d/yyyy")</f>
        <v>10/1/2024</v>
      </c>
      <c r="L54" s="24" t="s">
        <v>78</v>
      </c>
      <c r="M54" s="26">
        <v>1</v>
      </c>
      <c r="N54" s="25">
        <v>25</v>
      </c>
      <c r="O54" s="27">
        <v>50</v>
      </c>
      <c r="P54" s="22" t="s">
        <v>3831</v>
      </c>
    </row>
    <row r="55" spans="1:16" s="22" customFormat="1" ht="15" customHeight="1" x14ac:dyDescent="0.2">
      <c r="A55" s="22" t="s">
        <v>3782</v>
      </c>
      <c r="B55" s="22">
        <v>7470776</v>
      </c>
      <c r="C55" s="23">
        <v>2</v>
      </c>
      <c r="D55" s="23">
        <v>921743354</v>
      </c>
      <c r="E55" s="23">
        <v>921743354</v>
      </c>
      <c r="F55" s="24" t="s">
        <v>1212</v>
      </c>
      <c r="G55" s="23">
        <v>0</v>
      </c>
      <c r="H55" s="23">
        <v>20250301</v>
      </c>
      <c r="I55" s="23" t="str">
        <f>TEXT(DATE(LEFT(H55,4), MID(H55,5,2), RIGHT(H55,2)), "M/d/yyyy")</f>
        <v>3/1/2025</v>
      </c>
      <c r="J55" s="25">
        <v>20241101</v>
      </c>
      <c r="K55" s="23" t="str">
        <f>TEXT(DATE(LEFT(J55,4), MID(J55,5,2), RIGHT(J55,2)), "M/d/yyyy")</f>
        <v>11/1/2024</v>
      </c>
      <c r="L55" s="24" t="s">
        <v>78</v>
      </c>
      <c r="M55" s="26">
        <v>1</v>
      </c>
      <c r="N55" s="25">
        <v>25</v>
      </c>
      <c r="O55" s="27">
        <v>50</v>
      </c>
      <c r="P55" s="22" t="s">
        <v>3831</v>
      </c>
    </row>
    <row r="56" spans="1:16" s="22" customFormat="1" ht="15" customHeight="1" x14ac:dyDescent="0.2">
      <c r="A56" s="22" t="s">
        <v>3782</v>
      </c>
      <c r="B56" s="22">
        <v>7470776</v>
      </c>
      <c r="C56" s="23">
        <v>2</v>
      </c>
      <c r="D56" s="23">
        <v>921749489</v>
      </c>
      <c r="E56" s="23">
        <v>921749489</v>
      </c>
      <c r="F56" s="24" t="s">
        <v>1233</v>
      </c>
      <c r="G56" s="23">
        <v>0</v>
      </c>
      <c r="H56" s="23">
        <v>20250301</v>
      </c>
      <c r="I56" s="23" t="str">
        <f>TEXT(DATE(LEFT(H56,4), MID(H56,5,2), RIGHT(H56,2)), "M/d/yyyy")</f>
        <v>3/1/2025</v>
      </c>
      <c r="J56" s="25">
        <v>20250101</v>
      </c>
      <c r="K56" s="23" t="str">
        <f>TEXT(DATE(LEFT(J56,4), MID(J56,5,2), RIGHT(J56,2)), "M/d/yyyy")</f>
        <v>1/1/2025</v>
      </c>
      <c r="L56" s="24" t="s">
        <v>78</v>
      </c>
      <c r="M56" s="26">
        <v>1</v>
      </c>
      <c r="N56" s="25">
        <v>25</v>
      </c>
      <c r="O56" s="27">
        <v>50</v>
      </c>
      <c r="P56" s="22" t="s">
        <v>3831</v>
      </c>
    </row>
    <row r="57" spans="1:16" s="22" customFormat="1" ht="15" customHeight="1" x14ac:dyDescent="0.2">
      <c r="A57" s="22" t="s">
        <v>3782</v>
      </c>
      <c r="B57" s="22">
        <v>7470776</v>
      </c>
      <c r="C57" s="23">
        <v>2</v>
      </c>
      <c r="D57" s="23">
        <v>921751168</v>
      </c>
      <c r="E57" s="23">
        <v>921751168</v>
      </c>
      <c r="F57" s="24" t="s">
        <v>1237</v>
      </c>
      <c r="G57" s="23">
        <v>0</v>
      </c>
      <c r="H57" s="23">
        <v>20250301</v>
      </c>
      <c r="I57" s="23" t="str">
        <f>TEXT(DATE(LEFT(H57,4), MID(H57,5,2), RIGHT(H57,2)), "M/d/yyyy")</f>
        <v>3/1/2025</v>
      </c>
      <c r="J57" s="25">
        <v>20250101</v>
      </c>
      <c r="K57" s="23" t="str">
        <f>TEXT(DATE(LEFT(J57,4), MID(J57,5,2), RIGHT(J57,2)), "M/d/yyyy")</f>
        <v>1/1/2025</v>
      </c>
      <c r="L57" s="24" t="s">
        <v>78</v>
      </c>
      <c r="M57" s="26">
        <v>1</v>
      </c>
      <c r="N57" s="25">
        <v>25</v>
      </c>
      <c r="O57" s="27">
        <v>50</v>
      </c>
      <c r="P57" s="22" t="s">
        <v>3831</v>
      </c>
    </row>
    <row r="58" spans="1:16" s="22" customFormat="1" ht="15" customHeight="1" x14ac:dyDescent="0.2">
      <c r="A58" s="22" t="s">
        <v>3782</v>
      </c>
      <c r="B58" s="22">
        <v>7470776</v>
      </c>
      <c r="C58" s="23">
        <v>2</v>
      </c>
      <c r="D58" s="23">
        <v>921751992</v>
      </c>
      <c r="E58" s="23">
        <v>921751992</v>
      </c>
      <c r="F58" s="24" t="s">
        <v>1239</v>
      </c>
      <c r="G58" s="23">
        <v>0</v>
      </c>
      <c r="H58" s="23">
        <v>20250301</v>
      </c>
      <c r="I58" s="23" t="str">
        <f>TEXT(DATE(LEFT(H58,4), MID(H58,5,2), RIGHT(H58,2)), "M/d/yyyy")</f>
        <v>3/1/2025</v>
      </c>
      <c r="J58" s="25">
        <v>20250101</v>
      </c>
      <c r="K58" s="23" t="str">
        <f>TEXT(DATE(LEFT(J58,4), MID(J58,5,2), RIGHT(J58,2)), "M/d/yyyy")</f>
        <v>1/1/2025</v>
      </c>
      <c r="L58" s="24" t="s">
        <v>78</v>
      </c>
      <c r="M58" s="26">
        <v>1</v>
      </c>
      <c r="N58" s="25">
        <v>25</v>
      </c>
      <c r="O58" s="27">
        <v>50</v>
      </c>
      <c r="P58" s="22" t="s">
        <v>3831</v>
      </c>
    </row>
    <row r="59" spans="1:16" s="22" customFormat="1" ht="15" customHeight="1" x14ac:dyDescent="0.2">
      <c r="A59" s="22" t="s">
        <v>3782</v>
      </c>
      <c r="B59" s="22">
        <v>7470776</v>
      </c>
      <c r="C59" s="23">
        <v>3</v>
      </c>
      <c r="D59" s="23">
        <v>920799638</v>
      </c>
      <c r="E59" s="23">
        <v>920799638</v>
      </c>
      <c r="F59" s="24" t="s">
        <v>982</v>
      </c>
      <c r="G59" s="23">
        <v>0</v>
      </c>
      <c r="H59" s="23">
        <v>20250301</v>
      </c>
      <c r="I59" s="23" t="str">
        <f>TEXT(DATE(LEFT(H59,4), MID(H59,5,2), RIGHT(H59,2)), "M/d/yyyy")</f>
        <v>3/1/2025</v>
      </c>
      <c r="J59" s="25">
        <v>20140301</v>
      </c>
      <c r="K59" s="23" t="str">
        <f>TEXT(DATE(LEFT(J59,4), MID(J59,5,2), RIGHT(J59,2)), "M/d/yyyy")</f>
        <v>3/1/2014</v>
      </c>
      <c r="L59" s="24" t="s">
        <v>78</v>
      </c>
      <c r="M59" s="26">
        <v>1</v>
      </c>
      <c r="N59" s="25">
        <v>20</v>
      </c>
      <c r="O59" s="27">
        <v>60</v>
      </c>
      <c r="P59" s="22" t="s">
        <v>3831</v>
      </c>
    </row>
    <row r="60" spans="1:16" s="22" customFormat="1" ht="15" customHeight="1" x14ac:dyDescent="0.2">
      <c r="A60" s="22" t="s">
        <v>3782</v>
      </c>
      <c r="B60" s="22">
        <v>7470776</v>
      </c>
      <c r="C60" s="23">
        <v>3</v>
      </c>
      <c r="D60" s="23">
        <v>921580384</v>
      </c>
      <c r="E60" s="23">
        <v>921580384</v>
      </c>
      <c r="F60" s="24" t="s">
        <v>1084</v>
      </c>
      <c r="G60" s="23">
        <v>0</v>
      </c>
      <c r="H60" s="23">
        <v>20250301</v>
      </c>
      <c r="I60" s="23" t="str">
        <f>TEXT(DATE(LEFT(H60,4), MID(H60,5,2), RIGHT(H60,2)), "M/d/yyyy")</f>
        <v>3/1/2025</v>
      </c>
      <c r="J60" s="25">
        <v>20250101</v>
      </c>
      <c r="K60" s="23" t="str">
        <f>TEXT(DATE(LEFT(J60,4), MID(J60,5,2), RIGHT(J60,2)), "M/d/yyyy")</f>
        <v>1/1/2025</v>
      </c>
      <c r="L60" s="24" t="s">
        <v>78</v>
      </c>
      <c r="M60" s="26">
        <v>1</v>
      </c>
      <c r="N60" s="25">
        <v>25</v>
      </c>
      <c r="O60" s="27">
        <v>75</v>
      </c>
      <c r="P60" s="22" t="s">
        <v>3831</v>
      </c>
    </row>
    <row r="61" spans="1:16" s="22" customFormat="1" ht="15" customHeight="1" x14ac:dyDescent="0.2">
      <c r="A61" s="22" t="s">
        <v>3782</v>
      </c>
      <c r="B61" s="22">
        <v>7470776</v>
      </c>
      <c r="C61" s="23">
        <v>4</v>
      </c>
      <c r="D61" s="23">
        <v>921626795</v>
      </c>
      <c r="E61" s="23">
        <v>921626795</v>
      </c>
      <c r="F61" s="24" t="s">
        <v>1115</v>
      </c>
      <c r="G61" s="23">
        <v>0</v>
      </c>
      <c r="H61" s="23">
        <v>20250301</v>
      </c>
      <c r="I61" s="23" t="str">
        <f>TEXT(DATE(LEFT(H61,4), MID(H61,5,2), RIGHT(H61,2)), "M/d/yyyy")</f>
        <v>3/1/2025</v>
      </c>
      <c r="J61" s="25">
        <v>20230101</v>
      </c>
      <c r="K61" s="23" t="str">
        <f>TEXT(DATE(LEFT(J61,4), MID(J61,5,2), RIGHT(J61,2)), "M/d/yyyy")</f>
        <v>1/1/2023</v>
      </c>
      <c r="L61" s="24" t="s">
        <v>78</v>
      </c>
      <c r="M61" s="26">
        <v>1</v>
      </c>
      <c r="N61" s="25">
        <v>20</v>
      </c>
      <c r="O61" s="27">
        <v>80</v>
      </c>
      <c r="P61" s="22" t="s">
        <v>3831</v>
      </c>
    </row>
    <row r="62" spans="1:16" s="22" customFormat="1" ht="15" customHeight="1" x14ac:dyDescent="0.2">
      <c r="A62" s="22" t="s">
        <v>3820</v>
      </c>
      <c r="B62" s="22">
        <v>7146581</v>
      </c>
      <c r="C62" s="24" t="s">
        <v>1557</v>
      </c>
      <c r="D62" s="23">
        <v>921574684</v>
      </c>
      <c r="E62" s="23">
        <v>921574684</v>
      </c>
      <c r="F62" s="24" t="s">
        <v>3630</v>
      </c>
      <c r="G62" s="23">
        <v>0</v>
      </c>
      <c r="H62" s="23">
        <v>20250201</v>
      </c>
      <c r="I62" s="23" t="str">
        <f>TEXT(DATE(LEFT(H62,4), MID(H62,5,2), RIGHT(H62,2)), "M/d/yyyy")</f>
        <v>2/1/2025</v>
      </c>
      <c r="J62" s="25">
        <v>20210701</v>
      </c>
      <c r="K62" s="23" t="str">
        <f>TEXT(DATE(LEFT(J62,4), MID(J62,5,2), RIGHT(J62,2)), "M/d/yyyy")</f>
        <v>7/1/2021</v>
      </c>
      <c r="L62" s="24" t="s">
        <v>78</v>
      </c>
      <c r="M62" s="26">
        <v>1</v>
      </c>
      <c r="N62" s="25">
        <v>20</v>
      </c>
      <c r="O62" s="27">
        <v>-40</v>
      </c>
      <c r="P62" s="22" t="s">
        <v>3831</v>
      </c>
    </row>
    <row r="63" spans="1:16" s="22" customFormat="1" ht="15" customHeight="1" x14ac:dyDescent="0.2">
      <c r="A63" s="22" t="s">
        <v>3820</v>
      </c>
      <c r="B63" s="22">
        <v>7146581</v>
      </c>
      <c r="C63" s="23">
        <v>1</v>
      </c>
      <c r="D63" s="23">
        <v>890111247</v>
      </c>
      <c r="E63" s="23">
        <v>890111247</v>
      </c>
      <c r="F63" s="24" t="s">
        <v>3528</v>
      </c>
      <c r="G63" s="23">
        <v>0</v>
      </c>
      <c r="H63" s="23">
        <v>20250301</v>
      </c>
      <c r="I63" s="23" t="str">
        <f>TEXT(DATE(LEFT(H63,4), MID(H63,5,2), RIGHT(H63,2)), "M/d/yyyy")</f>
        <v>3/1/2025</v>
      </c>
      <c r="J63" s="25">
        <v>20200101</v>
      </c>
      <c r="K63" s="23" t="str">
        <f>TEXT(DATE(LEFT(J63,4), MID(J63,5,2), RIGHT(J63,2)), "M/d/yyyy")</f>
        <v>1/1/2020</v>
      </c>
      <c r="L63" s="24" t="s">
        <v>78</v>
      </c>
      <c r="M63" s="26">
        <v>1</v>
      </c>
      <c r="N63" s="25">
        <v>20</v>
      </c>
      <c r="O63" s="27">
        <v>20</v>
      </c>
      <c r="P63" s="22" t="s">
        <v>3831</v>
      </c>
    </row>
    <row r="64" spans="1:16" s="22" customFormat="1" ht="15" customHeight="1" x14ac:dyDescent="0.2">
      <c r="A64" s="22" t="s">
        <v>3820</v>
      </c>
      <c r="B64" s="22">
        <v>7146581</v>
      </c>
      <c r="C64" s="23">
        <v>1</v>
      </c>
      <c r="D64" s="23">
        <v>920713674</v>
      </c>
      <c r="E64" s="23">
        <v>920713674</v>
      </c>
      <c r="F64" s="24" t="s">
        <v>3543</v>
      </c>
      <c r="G64" s="23">
        <v>0</v>
      </c>
      <c r="H64" s="23">
        <v>20250301</v>
      </c>
      <c r="I64" s="23" t="str">
        <f>TEXT(DATE(LEFT(H64,4), MID(H64,5,2), RIGHT(H64,2)), "M/d/yyyy")</f>
        <v>3/1/2025</v>
      </c>
      <c r="J64" s="25">
        <v>20170101</v>
      </c>
      <c r="K64" s="23" t="str">
        <f>TEXT(DATE(LEFT(J64,4), MID(J64,5,2), RIGHT(J64,2)), "M/d/yyyy")</f>
        <v>1/1/2017</v>
      </c>
      <c r="L64" s="24" t="s">
        <v>78</v>
      </c>
      <c r="M64" s="26">
        <v>1</v>
      </c>
      <c r="N64" s="25">
        <v>20</v>
      </c>
      <c r="O64" s="27">
        <v>20</v>
      </c>
      <c r="P64" s="22" t="s">
        <v>3831</v>
      </c>
    </row>
    <row r="65" spans="1:16" s="22" customFormat="1" ht="15" customHeight="1" x14ac:dyDescent="0.2">
      <c r="A65" s="22" t="s">
        <v>3820</v>
      </c>
      <c r="B65" s="22">
        <v>7146581</v>
      </c>
      <c r="C65" s="23">
        <v>1</v>
      </c>
      <c r="D65" s="23">
        <v>920779843</v>
      </c>
      <c r="E65" s="23">
        <v>920779843</v>
      </c>
      <c r="F65" s="24" t="s">
        <v>3549</v>
      </c>
      <c r="G65" s="23">
        <v>0</v>
      </c>
      <c r="H65" s="23">
        <v>20250201</v>
      </c>
      <c r="I65" s="23" t="str">
        <f>TEXT(DATE(LEFT(H65,4), MID(H65,5,2), RIGHT(H65,2)), "M/d/yyyy")</f>
        <v>2/1/2025</v>
      </c>
      <c r="J65" s="25">
        <v>20211001</v>
      </c>
      <c r="K65" s="23" t="str">
        <f>TEXT(DATE(LEFT(J65,4), MID(J65,5,2), RIGHT(J65,2)), "M/d/yyyy")</f>
        <v>10/1/2021</v>
      </c>
      <c r="L65" s="24" t="s">
        <v>78</v>
      </c>
      <c r="M65" s="26">
        <v>1</v>
      </c>
      <c r="N65" s="25">
        <v>20</v>
      </c>
      <c r="O65" s="27">
        <v>20</v>
      </c>
      <c r="P65" s="22" t="s">
        <v>3831</v>
      </c>
    </row>
    <row r="66" spans="1:16" s="22" customFormat="1" ht="15" customHeight="1" x14ac:dyDescent="0.2">
      <c r="A66" s="22" t="s">
        <v>3820</v>
      </c>
      <c r="B66" s="22">
        <v>7146581</v>
      </c>
      <c r="C66" s="23">
        <v>1</v>
      </c>
      <c r="D66" s="23">
        <v>921033755</v>
      </c>
      <c r="E66" s="23">
        <v>921033755</v>
      </c>
      <c r="F66" s="24" t="s">
        <v>3571</v>
      </c>
      <c r="G66" s="23">
        <v>0</v>
      </c>
      <c r="H66" s="23">
        <v>20250301</v>
      </c>
      <c r="I66" s="23" t="str">
        <f>TEXT(DATE(LEFT(H66,4), MID(H66,5,2), RIGHT(H66,2)), "M/d/yyyy")</f>
        <v>3/1/2025</v>
      </c>
      <c r="J66" s="25">
        <v>20211101</v>
      </c>
      <c r="K66" s="23" t="str">
        <f>TEXT(DATE(LEFT(J66,4), MID(J66,5,2), RIGHT(J66,2)), "M/d/yyyy")</f>
        <v>11/1/2021</v>
      </c>
      <c r="L66" s="24" t="s">
        <v>78</v>
      </c>
      <c r="M66" s="26">
        <v>1</v>
      </c>
      <c r="N66" s="25">
        <v>20</v>
      </c>
      <c r="O66" s="27">
        <v>20</v>
      </c>
      <c r="P66" s="22" t="s">
        <v>3831</v>
      </c>
    </row>
    <row r="67" spans="1:16" s="22" customFormat="1" ht="15" customHeight="1" x14ac:dyDescent="0.2">
      <c r="A67" s="22" t="s">
        <v>3820</v>
      </c>
      <c r="B67" s="22">
        <v>7146581</v>
      </c>
      <c r="C67" s="23">
        <v>1</v>
      </c>
      <c r="D67" s="23">
        <v>921048437</v>
      </c>
      <c r="E67" s="23">
        <v>921048437</v>
      </c>
      <c r="F67" s="24" t="s">
        <v>3573</v>
      </c>
      <c r="G67" s="23">
        <v>0</v>
      </c>
      <c r="H67" s="23">
        <v>20250301</v>
      </c>
      <c r="I67" s="23" t="str">
        <f>TEXT(DATE(LEFT(H67,4), MID(H67,5,2), RIGHT(H67,2)), "M/d/yyyy")</f>
        <v>3/1/2025</v>
      </c>
      <c r="J67" s="25">
        <v>20230101</v>
      </c>
      <c r="K67" s="23" t="str">
        <f>TEXT(DATE(LEFT(J67,4), MID(J67,5,2), RIGHT(J67,2)), "M/d/yyyy")</f>
        <v>1/1/2023</v>
      </c>
      <c r="L67" s="24" t="s">
        <v>78</v>
      </c>
      <c r="M67" s="26">
        <v>1</v>
      </c>
      <c r="N67" s="25">
        <v>20</v>
      </c>
      <c r="O67" s="27">
        <v>20</v>
      </c>
      <c r="P67" s="22" t="s">
        <v>3831</v>
      </c>
    </row>
    <row r="68" spans="1:16" s="22" customFormat="1" ht="15" customHeight="1" x14ac:dyDescent="0.2">
      <c r="A68" s="22" t="s">
        <v>3820</v>
      </c>
      <c r="B68" s="22">
        <v>7146581</v>
      </c>
      <c r="C68" s="23">
        <v>1</v>
      </c>
      <c r="D68" s="23">
        <v>921398600</v>
      </c>
      <c r="E68" s="23">
        <v>921398600</v>
      </c>
      <c r="F68" s="24" t="s">
        <v>3600</v>
      </c>
      <c r="G68" s="23">
        <v>0</v>
      </c>
      <c r="H68" s="23">
        <v>20250301</v>
      </c>
      <c r="I68" s="23" t="str">
        <f>TEXT(DATE(LEFT(H68,4), MID(H68,5,2), RIGHT(H68,2)), "M/d/yyyy")</f>
        <v>3/1/2025</v>
      </c>
      <c r="J68" s="25">
        <v>20200101</v>
      </c>
      <c r="K68" s="23" t="str">
        <f>TEXT(DATE(LEFT(J68,4), MID(J68,5,2), RIGHT(J68,2)), "M/d/yyyy")</f>
        <v>1/1/2020</v>
      </c>
      <c r="L68" s="24" t="s">
        <v>78</v>
      </c>
      <c r="M68" s="26">
        <v>1</v>
      </c>
      <c r="N68" s="25">
        <v>20</v>
      </c>
      <c r="O68" s="27">
        <v>20</v>
      </c>
      <c r="P68" s="22" t="s">
        <v>3831</v>
      </c>
    </row>
    <row r="69" spans="1:16" s="22" customFormat="1" ht="15" customHeight="1" x14ac:dyDescent="0.2">
      <c r="A69" s="22" t="s">
        <v>3820</v>
      </c>
      <c r="B69" s="22">
        <v>7146581</v>
      </c>
      <c r="C69" s="23">
        <v>1</v>
      </c>
      <c r="D69" s="23">
        <v>921473605</v>
      </c>
      <c r="E69" s="23">
        <v>921473605</v>
      </c>
      <c r="F69" s="24" t="s">
        <v>3612</v>
      </c>
      <c r="G69" s="23">
        <v>0</v>
      </c>
      <c r="H69" s="23">
        <v>20250301</v>
      </c>
      <c r="I69" s="23" t="str">
        <f>TEXT(DATE(LEFT(H69,4), MID(H69,5,2), RIGHT(H69,2)), "M/d/yyyy")</f>
        <v>3/1/2025</v>
      </c>
      <c r="J69" s="25">
        <v>20190701</v>
      </c>
      <c r="K69" s="23" t="str">
        <f>TEXT(DATE(LEFT(J69,4), MID(J69,5,2), RIGHT(J69,2)), "M/d/yyyy")</f>
        <v>7/1/2019</v>
      </c>
      <c r="L69" s="24" t="s">
        <v>78</v>
      </c>
      <c r="M69" s="26">
        <v>1</v>
      </c>
      <c r="N69" s="25">
        <v>20</v>
      </c>
      <c r="O69" s="27">
        <v>20</v>
      </c>
      <c r="P69" s="22" t="s">
        <v>3831</v>
      </c>
    </row>
    <row r="70" spans="1:16" s="22" customFormat="1" ht="15" customHeight="1" x14ac:dyDescent="0.2">
      <c r="A70" s="22" t="s">
        <v>3820</v>
      </c>
      <c r="B70" s="22">
        <v>7146581</v>
      </c>
      <c r="C70" s="23">
        <v>1</v>
      </c>
      <c r="D70" s="23">
        <v>921476325</v>
      </c>
      <c r="E70" s="23">
        <v>921476325</v>
      </c>
      <c r="F70" s="24" t="s">
        <v>3614</v>
      </c>
      <c r="G70" s="23">
        <v>0</v>
      </c>
      <c r="H70" s="23">
        <v>20250301</v>
      </c>
      <c r="I70" s="23" t="str">
        <f>TEXT(DATE(LEFT(H70,4), MID(H70,5,2), RIGHT(H70,2)), "M/d/yyyy")</f>
        <v>3/1/2025</v>
      </c>
      <c r="J70" s="25">
        <v>20190801</v>
      </c>
      <c r="K70" s="23" t="str">
        <f>TEXT(DATE(LEFT(J70,4), MID(J70,5,2), RIGHT(J70,2)), "M/d/yyyy")</f>
        <v>8/1/2019</v>
      </c>
      <c r="L70" s="24" t="s">
        <v>78</v>
      </c>
      <c r="M70" s="26">
        <v>1</v>
      </c>
      <c r="N70" s="25">
        <v>20</v>
      </c>
      <c r="O70" s="27">
        <v>20</v>
      </c>
      <c r="P70" s="22" t="s">
        <v>3831</v>
      </c>
    </row>
    <row r="71" spans="1:16" s="22" customFormat="1" ht="15" customHeight="1" x14ac:dyDescent="0.2">
      <c r="A71" s="22" t="s">
        <v>3820</v>
      </c>
      <c r="B71" s="22">
        <v>7146581</v>
      </c>
      <c r="C71" s="23">
        <v>1</v>
      </c>
      <c r="D71" s="23">
        <v>921482123</v>
      </c>
      <c r="E71" s="23">
        <v>921482123</v>
      </c>
      <c r="F71" s="24" t="s">
        <v>3616</v>
      </c>
      <c r="G71" s="23">
        <v>0</v>
      </c>
      <c r="H71" s="23">
        <v>20250301</v>
      </c>
      <c r="I71" s="23" t="str">
        <f>TEXT(DATE(LEFT(H71,4), MID(H71,5,2), RIGHT(H71,2)), "M/d/yyyy")</f>
        <v>3/1/2025</v>
      </c>
      <c r="J71" s="25">
        <v>20190901</v>
      </c>
      <c r="K71" s="23" t="str">
        <f>TEXT(DATE(LEFT(J71,4), MID(J71,5,2), RIGHT(J71,2)), "M/d/yyyy")</f>
        <v>9/1/2019</v>
      </c>
      <c r="L71" s="24" t="s">
        <v>78</v>
      </c>
      <c r="M71" s="26">
        <v>1</v>
      </c>
      <c r="N71" s="25">
        <v>20</v>
      </c>
      <c r="O71" s="27">
        <v>20</v>
      </c>
      <c r="P71" s="22" t="s">
        <v>3831</v>
      </c>
    </row>
    <row r="72" spans="1:16" s="22" customFormat="1" ht="15" customHeight="1" x14ac:dyDescent="0.2">
      <c r="A72" s="22" t="s">
        <v>3820</v>
      </c>
      <c r="B72" s="22">
        <v>7146581</v>
      </c>
      <c r="C72" s="23">
        <v>1</v>
      </c>
      <c r="D72" s="23">
        <v>921598121</v>
      </c>
      <c r="E72" s="23">
        <v>921598121</v>
      </c>
      <c r="F72" s="24" t="s">
        <v>3634</v>
      </c>
      <c r="G72" s="23">
        <v>0</v>
      </c>
      <c r="H72" s="23">
        <v>20250301</v>
      </c>
      <c r="I72" s="23" t="str">
        <f>TEXT(DATE(LEFT(H72,4), MID(H72,5,2), RIGHT(H72,2)), "M/d/yyyy")</f>
        <v>3/1/2025</v>
      </c>
      <c r="J72" s="25">
        <v>20220101</v>
      </c>
      <c r="K72" s="23" t="str">
        <f>TEXT(DATE(LEFT(J72,4), MID(J72,5,2), RIGHT(J72,2)), "M/d/yyyy")</f>
        <v>1/1/2022</v>
      </c>
      <c r="L72" s="24" t="s">
        <v>78</v>
      </c>
      <c r="M72" s="26">
        <v>1</v>
      </c>
      <c r="N72" s="25">
        <v>20</v>
      </c>
      <c r="O72" s="27">
        <v>20</v>
      </c>
      <c r="P72" s="22" t="s">
        <v>3831</v>
      </c>
    </row>
    <row r="73" spans="1:16" s="22" customFormat="1" ht="15" customHeight="1" x14ac:dyDescent="0.2">
      <c r="A73" s="22" t="s">
        <v>3820</v>
      </c>
      <c r="B73" s="22">
        <v>7146581</v>
      </c>
      <c r="C73" s="23">
        <v>1</v>
      </c>
      <c r="D73" s="23">
        <v>921618718</v>
      </c>
      <c r="E73" s="23">
        <v>921618718</v>
      </c>
      <c r="F73" s="24" t="s">
        <v>3636</v>
      </c>
      <c r="G73" s="23">
        <v>0</v>
      </c>
      <c r="H73" s="23">
        <v>20250301</v>
      </c>
      <c r="I73" s="23" t="str">
        <f>TEXT(DATE(LEFT(H73,4), MID(H73,5,2), RIGHT(H73,2)), "M/d/yyyy")</f>
        <v>3/1/2025</v>
      </c>
      <c r="J73" s="25">
        <v>20220801</v>
      </c>
      <c r="K73" s="23" t="str">
        <f>TEXT(DATE(LEFT(J73,4), MID(J73,5,2), RIGHT(J73,2)), "M/d/yyyy")</f>
        <v>8/1/2022</v>
      </c>
      <c r="L73" s="24" t="s">
        <v>78</v>
      </c>
      <c r="M73" s="26">
        <v>1</v>
      </c>
      <c r="N73" s="25">
        <v>20</v>
      </c>
      <c r="O73" s="27">
        <v>20</v>
      </c>
      <c r="P73" s="22" t="s">
        <v>3831</v>
      </c>
    </row>
    <row r="74" spans="1:16" s="22" customFormat="1" ht="15" customHeight="1" x14ac:dyDescent="0.2">
      <c r="A74" s="22" t="s">
        <v>3820</v>
      </c>
      <c r="B74" s="22">
        <v>7146581</v>
      </c>
      <c r="C74" s="23">
        <v>1</v>
      </c>
      <c r="D74" s="23">
        <v>921646298</v>
      </c>
      <c r="E74" s="23">
        <v>921646298</v>
      </c>
      <c r="F74" s="24" t="s">
        <v>3646</v>
      </c>
      <c r="G74" s="23">
        <v>0</v>
      </c>
      <c r="H74" s="23">
        <v>20250301</v>
      </c>
      <c r="I74" s="23" t="str">
        <f>TEXT(DATE(LEFT(H74,4), MID(H74,5,2), RIGHT(H74,2)), "M/d/yyyy")</f>
        <v>3/1/2025</v>
      </c>
      <c r="J74" s="25">
        <v>20230101</v>
      </c>
      <c r="K74" s="23" t="str">
        <f>TEXT(DATE(LEFT(J74,4), MID(J74,5,2), RIGHT(J74,2)), "M/d/yyyy")</f>
        <v>1/1/2023</v>
      </c>
      <c r="L74" s="24" t="s">
        <v>78</v>
      </c>
      <c r="M74" s="26">
        <v>1</v>
      </c>
      <c r="N74" s="25">
        <v>20</v>
      </c>
      <c r="O74" s="27">
        <v>20</v>
      </c>
      <c r="P74" s="22" t="s">
        <v>3831</v>
      </c>
    </row>
    <row r="75" spans="1:16" s="22" customFormat="1" ht="15" customHeight="1" x14ac:dyDescent="0.2">
      <c r="A75" s="22" t="s">
        <v>3820</v>
      </c>
      <c r="B75" s="22">
        <v>7146581</v>
      </c>
      <c r="C75" s="23">
        <v>1</v>
      </c>
      <c r="D75" s="23">
        <v>921654306</v>
      </c>
      <c r="E75" s="23">
        <v>921654306</v>
      </c>
      <c r="F75" s="24" t="s">
        <v>3652</v>
      </c>
      <c r="G75" s="23">
        <v>0</v>
      </c>
      <c r="H75" s="23">
        <v>20250301</v>
      </c>
      <c r="I75" s="23" t="str">
        <f>TEXT(DATE(LEFT(H75,4), MID(H75,5,2), RIGHT(H75,2)), "M/d/yyyy")</f>
        <v>3/1/2025</v>
      </c>
      <c r="J75" s="25">
        <v>20230301</v>
      </c>
      <c r="K75" s="23" t="str">
        <f>TEXT(DATE(LEFT(J75,4), MID(J75,5,2), RIGHT(J75,2)), "M/d/yyyy")</f>
        <v>3/1/2023</v>
      </c>
      <c r="L75" s="24" t="s">
        <v>78</v>
      </c>
      <c r="M75" s="26">
        <v>1</v>
      </c>
      <c r="N75" s="25">
        <v>20</v>
      </c>
      <c r="O75" s="27">
        <v>20</v>
      </c>
      <c r="P75" s="22" t="s">
        <v>3831</v>
      </c>
    </row>
    <row r="76" spans="1:16" s="22" customFormat="1" ht="15" customHeight="1" x14ac:dyDescent="0.2">
      <c r="A76" s="22" t="s">
        <v>3820</v>
      </c>
      <c r="B76" s="22">
        <v>7146581</v>
      </c>
      <c r="C76" s="23">
        <v>1</v>
      </c>
      <c r="D76" s="23">
        <v>921656916</v>
      </c>
      <c r="E76" s="23">
        <v>921656916</v>
      </c>
      <c r="F76" s="24" t="s">
        <v>3656</v>
      </c>
      <c r="G76" s="23">
        <v>0</v>
      </c>
      <c r="H76" s="23">
        <v>20250301</v>
      </c>
      <c r="I76" s="23" t="str">
        <f>TEXT(DATE(LEFT(H76,4), MID(H76,5,2), RIGHT(H76,2)), "M/d/yyyy")</f>
        <v>3/1/2025</v>
      </c>
      <c r="J76" s="25">
        <v>20240101</v>
      </c>
      <c r="K76" s="23" t="str">
        <f>TEXT(DATE(LEFT(J76,4), MID(J76,5,2), RIGHT(J76,2)), "M/d/yyyy")</f>
        <v>1/1/2024</v>
      </c>
      <c r="L76" s="24" t="s">
        <v>78</v>
      </c>
      <c r="M76" s="26">
        <v>1</v>
      </c>
      <c r="N76" s="25">
        <v>20</v>
      </c>
      <c r="O76" s="27">
        <v>20</v>
      </c>
      <c r="P76" s="22" t="s">
        <v>3831</v>
      </c>
    </row>
    <row r="77" spans="1:16" s="22" customFormat="1" ht="15" customHeight="1" x14ac:dyDescent="0.2">
      <c r="A77" s="22" t="s">
        <v>3820</v>
      </c>
      <c r="B77" s="22">
        <v>7146581</v>
      </c>
      <c r="C77" s="23">
        <v>1</v>
      </c>
      <c r="D77" s="23">
        <v>921668352</v>
      </c>
      <c r="E77" s="23">
        <v>921668352</v>
      </c>
      <c r="F77" s="24" t="s">
        <v>3660</v>
      </c>
      <c r="G77" s="23">
        <v>0</v>
      </c>
      <c r="H77" s="23">
        <v>20250301</v>
      </c>
      <c r="I77" s="23" t="str">
        <f>TEXT(DATE(LEFT(H77,4), MID(H77,5,2), RIGHT(H77,2)), "M/d/yyyy")</f>
        <v>3/1/2025</v>
      </c>
      <c r="J77" s="25">
        <v>20230901</v>
      </c>
      <c r="K77" s="23" t="str">
        <f>TEXT(DATE(LEFT(J77,4), MID(J77,5,2), RIGHT(J77,2)), "M/d/yyyy")</f>
        <v>9/1/2023</v>
      </c>
      <c r="L77" s="24" t="s">
        <v>78</v>
      </c>
      <c r="M77" s="26">
        <v>1</v>
      </c>
      <c r="N77" s="25">
        <v>20</v>
      </c>
      <c r="O77" s="27">
        <v>20</v>
      </c>
      <c r="P77" s="22" t="s">
        <v>3831</v>
      </c>
    </row>
    <row r="78" spans="1:16" s="22" customFormat="1" ht="15" customHeight="1" x14ac:dyDescent="0.2">
      <c r="A78" s="22" t="s">
        <v>3820</v>
      </c>
      <c r="B78" s="22">
        <v>7146581</v>
      </c>
      <c r="C78" s="23">
        <v>1</v>
      </c>
      <c r="D78" s="23">
        <v>921696798</v>
      </c>
      <c r="E78" s="23">
        <v>921696798</v>
      </c>
      <c r="F78" s="24" t="s">
        <v>3672</v>
      </c>
      <c r="G78" s="23">
        <v>0</v>
      </c>
      <c r="H78" s="23">
        <v>20250301</v>
      </c>
      <c r="I78" s="23" t="str">
        <f>TEXT(DATE(LEFT(H78,4), MID(H78,5,2), RIGHT(H78,2)), "M/d/yyyy")</f>
        <v>3/1/2025</v>
      </c>
      <c r="J78" s="25">
        <v>20240101</v>
      </c>
      <c r="K78" s="23" t="str">
        <f>TEXT(DATE(LEFT(J78,4), MID(J78,5,2), RIGHT(J78,2)), "M/d/yyyy")</f>
        <v>1/1/2024</v>
      </c>
      <c r="L78" s="24" t="s">
        <v>78</v>
      </c>
      <c r="M78" s="26">
        <v>1</v>
      </c>
      <c r="N78" s="25">
        <v>20</v>
      </c>
      <c r="O78" s="27">
        <v>20</v>
      </c>
      <c r="P78" s="22" t="s">
        <v>3831</v>
      </c>
    </row>
    <row r="79" spans="1:16" s="22" customFormat="1" ht="15" customHeight="1" x14ac:dyDescent="0.2">
      <c r="A79" s="22" t="s">
        <v>3820</v>
      </c>
      <c r="B79" s="22">
        <v>7146581</v>
      </c>
      <c r="C79" s="23">
        <v>1</v>
      </c>
      <c r="D79" s="23">
        <v>921707925</v>
      </c>
      <c r="E79" s="23">
        <v>921707925</v>
      </c>
      <c r="F79" s="24" t="s">
        <v>3674</v>
      </c>
      <c r="G79" s="23">
        <v>0</v>
      </c>
      <c r="H79" s="23">
        <v>20250301</v>
      </c>
      <c r="I79" s="23" t="str">
        <f>TEXT(DATE(LEFT(H79,4), MID(H79,5,2), RIGHT(H79,2)), "M/d/yyyy")</f>
        <v>3/1/2025</v>
      </c>
      <c r="J79" s="25">
        <v>20240201</v>
      </c>
      <c r="K79" s="23" t="str">
        <f>TEXT(DATE(LEFT(J79,4), MID(J79,5,2), RIGHT(J79,2)), "M/d/yyyy")</f>
        <v>2/1/2024</v>
      </c>
      <c r="L79" s="24" t="s">
        <v>78</v>
      </c>
      <c r="M79" s="26">
        <v>1</v>
      </c>
      <c r="N79" s="25">
        <v>20</v>
      </c>
      <c r="O79" s="27">
        <v>20</v>
      </c>
      <c r="P79" s="22" t="s">
        <v>3831</v>
      </c>
    </row>
    <row r="80" spans="1:16" s="22" customFormat="1" ht="15" customHeight="1" x14ac:dyDescent="0.2">
      <c r="A80" s="22" t="s">
        <v>3820</v>
      </c>
      <c r="B80" s="22">
        <v>7146581</v>
      </c>
      <c r="C80" s="23">
        <v>1</v>
      </c>
      <c r="D80" s="23">
        <v>890603507</v>
      </c>
      <c r="E80" s="23">
        <v>890603507</v>
      </c>
      <c r="F80" s="24" t="s">
        <v>3537</v>
      </c>
      <c r="G80" s="23">
        <v>0</v>
      </c>
      <c r="H80" s="23">
        <v>20250301</v>
      </c>
      <c r="I80" s="23" t="str">
        <f>TEXT(DATE(LEFT(H80,4), MID(H80,5,2), RIGHT(H80,2)), "M/d/yyyy")</f>
        <v>3/1/2025</v>
      </c>
      <c r="J80" s="25">
        <v>20250101</v>
      </c>
      <c r="K80" s="23" t="str">
        <f>TEXT(DATE(LEFT(J80,4), MID(J80,5,2), RIGHT(J80,2)), "M/d/yyyy")</f>
        <v>1/1/2025</v>
      </c>
      <c r="L80" s="24" t="s">
        <v>78</v>
      </c>
      <c r="M80" s="26">
        <v>1</v>
      </c>
      <c r="N80" s="25">
        <v>25</v>
      </c>
      <c r="O80" s="27">
        <v>25</v>
      </c>
      <c r="P80" s="22" t="s">
        <v>3831</v>
      </c>
    </row>
    <row r="81" spans="1:16" s="22" customFormat="1" ht="15" customHeight="1" x14ac:dyDescent="0.2">
      <c r="A81" s="22" t="s">
        <v>3820</v>
      </c>
      <c r="B81" s="22">
        <v>7146581</v>
      </c>
      <c r="C81" s="23">
        <v>1</v>
      </c>
      <c r="D81" s="23">
        <v>921172690</v>
      </c>
      <c r="E81" s="23">
        <v>921172690</v>
      </c>
      <c r="F81" s="24" t="s">
        <v>3577</v>
      </c>
      <c r="G81" s="23">
        <v>0</v>
      </c>
      <c r="H81" s="23">
        <v>20250201</v>
      </c>
      <c r="I81" s="23" t="str">
        <f>TEXT(DATE(LEFT(H81,4), MID(H81,5,2), RIGHT(H81,2)), "M/d/yyyy")</f>
        <v>2/1/2025</v>
      </c>
      <c r="J81" s="25">
        <v>20250101</v>
      </c>
      <c r="K81" s="23" t="str">
        <f>TEXT(DATE(LEFT(J81,4), MID(J81,5,2), RIGHT(J81,2)), "M/d/yyyy")</f>
        <v>1/1/2025</v>
      </c>
      <c r="L81" s="24" t="s">
        <v>78</v>
      </c>
      <c r="M81" s="26">
        <v>1</v>
      </c>
      <c r="N81" s="25">
        <v>25</v>
      </c>
      <c r="O81" s="27">
        <v>25</v>
      </c>
      <c r="P81" s="22" t="s">
        <v>3831</v>
      </c>
    </row>
    <row r="82" spans="1:16" s="22" customFormat="1" ht="15" customHeight="1" x14ac:dyDescent="0.2">
      <c r="A82" s="22" t="s">
        <v>3820</v>
      </c>
      <c r="B82" s="22">
        <v>7146581</v>
      </c>
      <c r="C82" s="23">
        <v>1</v>
      </c>
      <c r="D82" s="23">
        <v>921747609</v>
      </c>
      <c r="E82" s="23">
        <v>921747609</v>
      </c>
      <c r="F82" s="24" t="s">
        <v>3694</v>
      </c>
      <c r="G82" s="23">
        <v>0</v>
      </c>
      <c r="H82" s="23">
        <v>20250301</v>
      </c>
      <c r="I82" s="23" t="str">
        <f>TEXT(DATE(LEFT(H82,4), MID(H82,5,2), RIGHT(H82,2)), "M/d/yyyy")</f>
        <v>3/1/2025</v>
      </c>
      <c r="J82" s="25">
        <v>20250101</v>
      </c>
      <c r="K82" s="23" t="str">
        <f>TEXT(DATE(LEFT(J82,4), MID(J82,5,2), RIGHT(J82,2)), "M/d/yyyy")</f>
        <v>1/1/2025</v>
      </c>
      <c r="L82" s="24" t="s">
        <v>78</v>
      </c>
      <c r="M82" s="26">
        <v>1</v>
      </c>
      <c r="N82" s="25">
        <v>25</v>
      </c>
      <c r="O82" s="27">
        <v>25</v>
      </c>
      <c r="P82" s="22" t="s">
        <v>3831</v>
      </c>
    </row>
    <row r="83" spans="1:16" s="22" customFormat="1" ht="15" customHeight="1" x14ac:dyDescent="0.2">
      <c r="A83" s="22" t="s">
        <v>3820</v>
      </c>
      <c r="B83" s="22">
        <v>7146581</v>
      </c>
      <c r="C83" s="23">
        <v>1</v>
      </c>
      <c r="D83" s="23">
        <v>921747609</v>
      </c>
      <c r="E83" s="23">
        <v>921747609</v>
      </c>
      <c r="F83" s="24" t="s">
        <v>3694</v>
      </c>
      <c r="G83" s="23">
        <v>0</v>
      </c>
      <c r="H83" s="23">
        <v>20250201</v>
      </c>
      <c r="I83" s="23" t="str">
        <f>TEXT(DATE(LEFT(H83,4), MID(H83,5,2), RIGHT(H83,2)), "M/d/yyyy")</f>
        <v>2/1/2025</v>
      </c>
      <c r="J83" s="25">
        <v>20250101</v>
      </c>
      <c r="K83" s="23" t="str">
        <f>TEXT(DATE(LEFT(J83,4), MID(J83,5,2), RIGHT(J83,2)), "M/d/yyyy")</f>
        <v>1/1/2025</v>
      </c>
      <c r="L83" s="24" t="s">
        <v>78</v>
      </c>
      <c r="M83" s="26">
        <v>1</v>
      </c>
      <c r="N83" s="25">
        <v>25</v>
      </c>
      <c r="O83" s="27">
        <v>25</v>
      </c>
      <c r="P83" s="22" t="s">
        <v>3831</v>
      </c>
    </row>
    <row r="84" spans="1:16" s="22" customFormat="1" ht="15" customHeight="1" x14ac:dyDescent="0.2">
      <c r="A84" s="22" t="s">
        <v>3820</v>
      </c>
      <c r="B84" s="22">
        <v>7146581</v>
      </c>
      <c r="C84" s="23">
        <v>1</v>
      </c>
      <c r="D84" s="23">
        <v>921763256</v>
      </c>
      <c r="E84" s="23">
        <v>921763256</v>
      </c>
      <c r="F84" s="24" t="s">
        <v>3702</v>
      </c>
      <c r="G84" s="23">
        <v>0</v>
      </c>
      <c r="H84" s="23">
        <v>20250301</v>
      </c>
      <c r="I84" s="23" t="str">
        <f>TEXT(DATE(LEFT(H84,4), MID(H84,5,2), RIGHT(H84,2)), "M/d/yyyy")</f>
        <v>3/1/2025</v>
      </c>
      <c r="J84" s="25">
        <v>20250101</v>
      </c>
      <c r="K84" s="23" t="str">
        <f>TEXT(DATE(LEFT(J84,4), MID(J84,5,2), RIGHT(J84,2)), "M/d/yyyy")</f>
        <v>1/1/2025</v>
      </c>
      <c r="L84" s="24" t="s">
        <v>78</v>
      </c>
      <c r="M84" s="26">
        <v>1</v>
      </c>
      <c r="N84" s="25">
        <v>25</v>
      </c>
      <c r="O84" s="27">
        <v>25</v>
      </c>
      <c r="P84" s="22" t="s">
        <v>3831</v>
      </c>
    </row>
    <row r="85" spans="1:16" s="22" customFormat="1" ht="15" customHeight="1" x14ac:dyDescent="0.2">
      <c r="A85" s="22" t="s">
        <v>3820</v>
      </c>
      <c r="B85" s="22">
        <v>7146581</v>
      </c>
      <c r="C85" s="23">
        <v>1</v>
      </c>
      <c r="D85" s="23">
        <v>921765839</v>
      </c>
      <c r="E85" s="23">
        <v>921765839</v>
      </c>
      <c r="F85" s="24" t="s">
        <v>3704</v>
      </c>
      <c r="G85" s="23">
        <v>0</v>
      </c>
      <c r="H85" s="23">
        <v>20250301</v>
      </c>
      <c r="I85" s="23" t="str">
        <f>TEXT(DATE(LEFT(H85,4), MID(H85,5,2), RIGHT(H85,2)), "M/d/yyyy")</f>
        <v>3/1/2025</v>
      </c>
      <c r="J85" s="25">
        <v>20250101</v>
      </c>
      <c r="K85" s="23" t="str">
        <f>TEXT(DATE(LEFT(J85,4), MID(J85,5,2), RIGHT(J85,2)), "M/d/yyyy")</f>
        <v>1/1/2025</v>
      </c>
      <c r="L85" s="24" t="s">
        <v>78</v>
      </c>
      <c r="M85" s="26">
        <v>1</v>
      </c>
      <c r="N85" s="25">
        <v>25</v>
      </c>
      <c r="O85" s="27">
        <v>25</v>
      </c>
      <c r="P85" s="22" t="s">
        <v>3831</v>
      </c>
    </row>
    <row r="86" spans="1:16" s="22" customFormat="1" ht="15" customHeight="1" x14ac:dyDescent="0.2">
      <c r="A86" s="22" t="s">
        <v>3820</v>
      </c>
      <c r="B86" s="22">
        <v>7146581</v>
      </c>
      <c r="C86" s="23">
        <v>1</v>
      </c>
      <c r="D86" s="23">
        <v>921773868</v>
      </c>
      <c r="E86" s="23">
        <v>921773868</v>
      </c>
      <c r="F86" s="24" t="s">
        <v>3706</v>
      </c>
      <c r="G86" s="23">
        <v>0</v>
      </c>
      <c r="H86" s="23">
        <v>20250301</v>
      </c>
      <c r="I86" s="23" t="str">
        <f>TEXT(DATE(LEFT(H86,4), MID(H86,5,2), RIGHT(H86,2)), "M/d/yyyy")</f>
        <v>3/1/2025</v>
      </c>
      <c r="J86" s="25">
        <v>20250201</v>
      </c>
      <c r="K86" s="23" t="str">
        <f>TEXT(DATE(LEFT(J86,4), MID(J86,5,2), RIGHT(J86,2)), "M/d/yyyy")</f>
        <v>2/1/2025</v>
      </c>
      <c r="L86" s="24" t="s">
        <v>78</v>
      </c>
      <c r="M86" s="26">
        <v>1</v>
      </c>
      <c r="N86" s="25">
        <v>25</v>
      </c>
      <c r="O86" s="27">
        <v>25</v>
      </c>
      <c r="P86" s="22" t="s">
        <v>3831</v>
      </c>
    </row>
    <row r="87" spans="1:16" s="22" customFormat="1" ht="15" customHeight="1" x14ac:dyDescent="0.2">
      <c r="A87" s="22" t="s">
        <v>3820</v>
      </c>
      <c r="B87" s="22">
        <v>7146581</v>
      </c>
      <c r="C87" s="23">
        <v>2</v>
      </c>
      <c r="D87" s="23">
        <v>920765817</v>
      </c>
      <c r="E87" s="23">
        <v>920765817</v>
      </c>
      <c r="F87" s="24" t="s">
        <v>3545</v>
      </c>
      <c r="G87" s="23">
        <v>0</v>
      </c>
      <c r="H87" s="23">
        <v>20250301</v>
      </c>
      <c r="I87" s="23" t="str">
        <f>TEXT(DATE(LEFT(H87,4), MID(H87,5,2), RIGHT(H87,2)), "M/d/yyyy")</f>
        <v>3/1/2025</v>
      </c>
      <c r="J87" s="25">
        <v>20140101</v>
      </c>
      <c r="K87" s="23" t="str">
        <f>TEXT(DATE(LEFT(J87,4), MID(J87,5,2), RIGHT(J87,2)), "M/d/yyyy")</f>
        <v>1/1/2014</v>
      </c>
      <c r="L87" s="24" t="s">
        <v>78</v>
      </c>
      <c r="M87" s="26">
        <v>1</v>
      </c>
      <c r="N87" s="25">
        <v>20</v>
      </c>
      <c r="O87" s="27">
        <v>40</v>
      </c>
      <c r="P87" s="22" t="s">
        <v>3831</v>
      </c>
    </row>
    <row r="88" spans="1:16" s="22" customFormat="1" ht="15" customHeight="1" x14ac:dyDescent="0.2">
      <c r="A88" s="22" t="s">
        <v>3820</v>
      </c>
      <c r="B88" s="22">
        <v>7146581</v>
      </c>
      <c r="C88" s="23">
        <v>2</v>
      </c>
      <c r="D88" s="23">
        <v>921414472</v>
      </c>
      <c r="E88" s="23">
        <v>921414472</v>
      </c>
      <c r="F88" s="24" t="s">
        <v>3602</v>
      </c>
      <c r="G88" s="23">
        <v>0</v>
      </c>
      <c r="H88" s="23">
        <v>20250301</v>
      </c>
      <c r="I88" s="23" t="str">
        <f>TEXT(DATE(LEFT(H88,4), MID(H88,5,2), RIGHT(H88,2)), "M/d/yyyy")</f>
        <v>3/1/2025</v>
      </c>
      <c r="J88" s="25">
        <v>20180501</v>
      </c>
      <c r="K88" s="23" t="str">
        <f>TEXT(DATE(LEFT(J88,4), MID(J88,5,2), RIGHT(J88,2)), "M/d/yyyy")</f>
        <v>5/1/2018</v>
      </c>
      <c r="L88" s="24" t="s">
        <v>78</v>
      </c>
      <c r="M88" s="26">
        <v>1</v>
      </c>
      <c r="N88" s="25">
        <v>20</v>
      </c>
      <c r="O88" s="27">
        <v>40</v>
      </c>
      <c r="P88" s="22" t="s">
        <v>3831</v>
      </c>
    </row>
    <row r="89" spans="1:16" s="22" customFormat="1" ht="15" customHeight="1" x14ac:dyDescent="0.2">
      <c r="A89" s="22" t="s">
        <v>3820</v>
      </c>
      <c r="B89" s="22">
        <v>7146581</v>
      </c>
      <c r="C89" s="23">
        <v>2</v>
      </c>
      <c r="D89" s="23">
        <v>921679778</v>
      </c>
      <c r="E89" s="23">
        <v>921679778</v>
      </c>
      <c r="F89" s="24" t="s">
        <v>3664</v>
      </c>
      <c r="G89" s="23">
        <v>0</v>
      </c>
      <c r="H89" s="23">
        <v>20250301</v>
      </c>
      <c r="I89" s="23" t="str">
        <f>TEXT(DATE(LEFT(H89,4), MID(H89,5,2), RIGHT(H89,2)), "M/d/yyyy")</f>
        <v>3/1/2025</v>
      </c>
      <c r="J89" s="25">
        <v>20240101</v>
      </c>
      <c r="K89" s="23" t="str">
        <f>TEXT(DATE(LEFT(J89,4), MID(J89,5,2), RIGHT(J89,2)), "M/d/yyyy")</f>
        <v>1/1/2024</v>
      </c>
      <c r="L89" s="24" t="s">
        <v>78</v>
      </c>
      <c r="M89" s="26">
        <v>1</v>
      </c>
      <c r="N89" s="25">
        <v>20</v>
      </c>
      <c r="O89" s="27">
        <v>40</v>
      </c>
      <c r="P89" s="22" t="s">
        <v>3831</v>
      </c>
    </row>
    <row r="90" spans="1:16" s="22" customFormat="1" ht="15" customHeight="1" x14ac:dyDescent="0.2">
      <c r="A90" s="22" t="s">
        <v>3820</v>
      </c>
      <c r="B90" s="22">
        <v>7146581</v>
      </c>
      <c r="C90" s="23">
        <v>2</v>
      </c>
      <c r="D90" s="23">
        <v>921692449</v>
      </c>
      <c r="E90" s="23">
        <v>921692449</v>
      </c>
      <c r="F90" s="24" t="s">
        <v>3668</v>
      </c>
      <c r="G90" s="23">
        <v>0</v>
      </c>
      <c r="H90" s="23">
        <v>20250301</v>
      </c>
      <c r="I90" s="23" t="str">
        <f>TEXT(DATE(LEFT(H90,4), MID(H90,5,2), RIGHT(H90,2)), "M/d/yyyy")</f>
        <v>3/1/2025</v>
      </c>
      <c r="J90" s="25">
        <v>20240101</v>
      </c>
      <c r="K90" s="23" t="str">
        <f>TEXT(DATE(LEFT(J90,4), MID(J90,5,2), RIGHT(J90,2)), "M/d/yyyy")</f>
        <v>1/1/2024</v>
      </c>
      <c r="L90" s="24" t="s">
        <v>78</v>
      </c>
      <c r="M90" s="26">
        <v>1</v>
      </c>
      <c r="N90" s="25">
        <v>20</v>
      </c>
      <c r="O90" s="27">
        <v>40</v>
      </c>
      <c r="P90" s="22" t="s">
        <v>3831</v>
      </c>
    </row>
    <row r="91" spans="1:16" s="22" customFormat="1" ht="15" customHeight="1" x14ac:dyDescent="0.2">
      <c r="A91" s="22" t="s">
        <v>3820</v>
      </c>
      <c r="B91" s="22">
        <v>7146581</v>
      </c>
      <c r="C91" s="23">
        <v>2</v>
      </c>
      <c r="D91" s="23">
        <v>920884024</v>
      </c>
      <c r="E91" s="23">
        <v>920884024</v>
      </c>
      <c r="F91" s="24" t="s">
        <v>3557</v>
      </c>
      <c r="G91" s="23">
        <v>0</v>
      </c>
      <c r="H91" s="23">
        <v>20250301</v>
      </c>
      <c r="I91" s="23" t="str">
        <f>TEXT(DATE(LEFT(H91,4), MID(H91,5,2), RIGHT(H91,2)), "M/d/yyyy")</f>
        <v>3/1/2025</v>
      </c>
      <c r="J91" s="25">
        <v>20250101</v>
      </c>
      <c r="K91" s="23" t="str">
        <f>TEXT(DATE(LEFT(J91,4), MID(J91,5,2), RIGHT(J91,2)), "M/d/yyyy")</f>
        <v>1/1/2025</v>
      </c>
      <c r="L91" s="24" t="s">
        <v>78</v>
      </c>
      <c r="M91" s="26">
        <v>1</v>
      </c>
      <c r="N91" s="25">
        <v>25</v>
      </c>
      <c r="O91" s="27">
        <v>50</v>
      </c>
      <c r="P91" s="22" t="s">
        <v>3831</v>
      </c>
    </row>
    <row r="92" spans="1:16" s="22" customFormat="1" ht="15" customHeight="1" x14ac:dyDescent="0.2">
      <c r="A92" s="22" t="s">
        <v>3820</v>
      </c>
      <c r="B92" s="22">
        <v>7146581</v>
      </c>
      <c r="C92" s="23">
        <v>2</v>
      </c>
      <c r="D92" s="23">
        <v>921437840</v>
      </c>
      <c r="E92" s="23">
        <v>921437840</v>
      </c>
      <c r="F92" s="24" t="s">
        <v>3608</v>
      </c>
      <c r="G92" s="23">
        <v>0</v>
      </c>
      <c r="H92" s="23">
        <v>20250301</v>
      </c>
      <c r="I92" s="23" t="str">
        <f>TEXT(DATE(LEFT(H92,4), MID(H92,5,2), RIGHT(H92,2)), "M/d/yyyy")</f>
        <v>3/1/2025</v>
      </c>
      <c r="J92" s="25">
        <v>20240501</v>
      </c>
      <c r="K92" s="23" t="str">
        <f>TEXT(DATE(LEFT(J92,4), MID(J92,5,2), RIGHT(J92,2)), "M/d/yyyy")</f>
        <v>5/1/2024</v>
      </c>
      <c r="L92" s="24" t="s">
        <v>78</v>
      </c>
      <c r="M92" s="26">
        <v>1</v>
      </c>
      <c r="N92" s="25">
        <v>25</v>
      </c>
      <c r="O92" s="27">
        <v>50</v>
      </c>
      <c r="P92" s="22" t="s">
        <v>3831</v>
      </c>
    </row>
    <row r="93" spans="1:16" s="22" customFormat="1" ht="15" customHeight="1" x14ac:dyDescent="0.2">
      <c r="A93" s="22" t="s">
        <v>3820</v>
      </c>
      <c r="B93" s="22">
        <v>7146581</v>
      </c>
      <c r="C93" s="23">
        <v>2</v>
      </c>
      <c r="D93" s="23">
        <v>921743262</v>
      </c>
      <c r="E93" s="23">
        <v>921743262</v>
      </c>
      <c r="F93" s="24" t="s">
        <v>3686</v>
      </c>
      <c r="G93" s="23">
        <v>0</v>
      </c>
      <c r="H93" s="23">
        <v>20250301</v>
      </c>
      <c r="I93" s="23" t="str">
        <f>TEXT(DATE(LEFT(H93,4), MID(H93,5,2), RIGHT(H93,2)), "M/d/yyyy")</f>
        <v>3/1/2025</v>
      </c>
      <c r="J93" s="25">
        <v>20241101</v>
      </c>
      <c r="K93" s="23" t="str">
        <f>TEXT(DATE(LEFT(J93,4), MID(J93,5,2), RIGHT(J93,2)), "M/d/yyyy")</f>
        <v>11/1/2024</v>
      </c>
      <c r="L93" s="24" t="s">
        <v>78</v>
      </c>
      <c r="M93" s="26">
        <v>1</v>
      </c>
      <c r="N93" s="25">
        <v>25</v>
      </c>
      <c r="O93" s="27">
        <v>50</v>
      </c>
      <c r="P93" s="22" t="s">
        <v>3831</v>
      </c>
    </row>
    <row r="94" spans="1:16" s="22" customFormat="1" ht="15" customHeight="1" x14ac:dyDescent="0.2">
      <c r="A94" s="22" t="s">
        <v>3820</v>
      </c>
      <c r="B94" s="22">
        <v>7146581</v>
      </c>
      <c r="C94" s="23">
        <v>3</v>
      </c>
      <c r="D94" s="23">
        <v>920877651</v>
      </c>
      <c r="E94" s="23">
        <v>920877651</v>
      </c>
      <c r="F94" s="24" t="s">
        <v>3555</v>
      </c>
      <c r="G94" s="23">
        <v>0</v>
      </c>
      <c r="H94" s="23">
        <v>20250301</v>
      </c>
      <c r="I94" s="23" t="str">
        <f>TEXT(DATE(LEFT(H94,4), MID(H94,5,2), RIGHT(H94,2)), "M/d/yyyy")</f>
        <v>3/1/2025</v>
      </c>
      <c r="J94" s="25">
        <v>20210901</v>
      </c>
      <c r="K94" s="23" t="str">
        <f>TEXT(DATE(LEFT(J94,4), MID(J94,5,2), RIGHT(J94,2)), "M/d/yyyy")</f>
        <v>9/1/2021</v>
      </c>
      <c r="L94" s="24" t="s">
        <v>78</v>
      </c>
      <c r="M94" s="26">
        <v>1</v>
      </c>
      <c r="N94" s="25">
        <v>20</v>
      </c>
      <c r="O94" s="27">
        <v>60</v>
      </c>
      <c r="P94" s="22" t="s">
        <v>3831</v>
      </c>
    </row>
    <row r="95" spans="1:16" s="22" customFormat="1" ht="15" customHeight="1" x14ac:dyDescent="0.2">
      <c r="A95" s="22" t="s">
        <v>3820</v>
      </c>
      <c r="B95" s="22">
        <v>7146581</v>
      </c>
      <c r="C95" s="23">
        <v>3</v>
      </c>
      <c r="D95" s="23">
        <v>921589939</v>
      </c>
      <c r="E95" s="23">
        <v>921589939</v>
      </c>
      <c r="F95" s="24" t="s">
        <v>3632</v>
      </c>
      <c r="G95" s="23">
        <v>0</v>
      </c>
      <c r="H95" s="23">
        <v>20250301</v>
      </c>
      <c r="I95" s="23" t="str">
        <f>TEXT(DATE(LEFT(H95,4), MID(H95,5,2), RIGHT(H95,2)), "M/d/yyyy")</f>
        <v>3/1/2025</v>
      </c>
      <c r="J95" s="25">
        <v>20220101</v>
      </c>
      <c r="K95" s="23" t="str">
        <f>TEXT(DATE(LEFT(J95,4), MID(J95,5,2), RIGHT(J95,2)), "M/d/yyyy")</f>
        <v>1/1/2022</v>
      </c>
      <c r="L95" s="24" t="s">
        <v>78</v>
      </c>
      <c r="M95" s="26">
        <v>1</v>
      </c>
      <c r="N95" s="25">
        <v>20</v>
      </c>
      <c r="O95" s="27">
        <v>60</v>
      </c>
      <c r="P95" s="22" t="s">
        <v>3831</v>
      </c>
    </row>
    <row r="96" spans="1:16" s="22" customFormat="1" ht="15" customHeight="1" x14ac:dyDescent="0.2">
      <c r="A96" s="22" t="s">
        <v>3820</v>
      </c>
      <c r="B96" s="22">
        <v>7146581</v>
      </c>
      <c r="C96" s="23">
        <v>3</v>
      </c>
      <c r="D96" s="23">
        <v>921677938</v>
      </c>
      <c r="E96" s="23">
        <v>921677938</v>
      </c>
      <c r="F96" s="24" t="s">
        <v>3662</v>
      </c>
      <c r="G96" s="23">
        <v>0</v>
      </c>
      <c r="H96" s="23">
        <v>20250301</v>
      </c>
      <c r="I96" s="23" t="str">
        <f>TEXT(DATE(LEFT(H96,4), MID(H96,5,2), RIGHT(H96,2)), "M/d/yyyy")</f>
        <v>3/1/2025</v>
      </c>
      <c r="J96" s="25">
        <v>20231101</v>
      </c>
      <c r="K96" s="23" t="str">
        <f>TEXT(DATE(LEFT(J96,4), MID(J96,5,2), RIGHT(J96,2)), "M/d/yyyy")</f>
        <v>11/1/2023</v>
      </c>
      <c r="L96" s="24" t="s">
        <v>78</v>
      </c>
      <c r="M96" s="26">
        <v>1</v>
      </c>
      <c r="N96" s="25">
        <v>20</v>
      </c>
      <c r="O96" s="27">
        <v>60</v>
      </c>
      <c r="P96" s="22" t="s">
        <v>3831</v>
      </c>
    </row>
    <row r="97" spans="1:16" s="22" customFormat="1" ht="15" customHeight="1" x14ac:dyDescent="0.2">
      <c r="A97" s="22" t="s">
        <v>3820</v>
      </c>
      <c r="B97" s="22">
        <v>7146581</v>
      </c>
      <c r="C97" s="23">
        <v>4</v>
      </c>
      <c r="D97" s="23">
        <v>890612011</v>
      </c>
      <c r="E97" s="23">
        <v>890612011</v>
      </c>
      <c r="F97" s="24" t="s">
        <v>3539</v>
      </c>
      <c r="G97" s="23">
        <v>0</v>
      </c>
      <c r="H97" s="23">
        <v>20250301</v>
      </c>
      <c r="I97" s="23" t="str">
        <f>TEXT(DATE(LEFT(H97,4), MID(H97,5,2), RIGHT(H97,2)), "M/d/yyyy")</f>
        <v>3/1/2025</v>
      </c>
      <c r="J97" s="25">
        <v>20140701</v>
      </c>
      <c r="K97" s="23" t="str">
        <f>TEXT(DATE(LEFT(J97,4), MID(J97,5,2), RIGHT(J97,2)), "M/d/yyyy")</f>
        <v>7/1/2014</v>
      </c>
      <c r="L97" s="24" t="s">
        <v>78</v>
      </c>
      <c r="M97" s="26">
        <v>1</v>
      </c>
      <c r="N97" s="25">
        <v>20</v>
      </c>
      <c r="O97" s="27">
        <v>80</v>
      </c>
      <c r="P97" s="22" t="s">
        <v>3831</v>
      </c>
    </row>
    <row r="98" spans="1:16" s="22" customFormat="1" ht="15" customHeight="1" x14ac:dyDescent="0.2">
      <c r="A98" s="22" t="s">
        <v>3820</v>
      </c>
      <c r="B98" s="22">
        <v>7146581</v>
      </c>
      <c r="C98" s="23">
        <v>4</v>
      </c>
      <c r="D98" s="23">
        <v>921734718</v>
      </c>
      <c r="E98" s="23">
        <v>921734718</v>
      </c>
      <c r="F98" s="24" t="s">
        <v>3680</v>
      </c>
      <c r="G98" s="23">
        <v>0</v>
      </c>
      <c r="H98" s="23">
        <v>20250301</v>
      </c>
      <c r="I98" s="23" t="str">
        <f>TEXT(DATE(LEFT(H98,4), MID(H98,5,2), RIGHT(H98,2)), "M/d/yyyy")</f>
        <v>3/1/2025</v>
      </c>
      <c r="J98" s="25">
        <v>20240901</v>
      </c>
      <c r="K98" s="23" t="str">
        <f>TEXT(DATE(LEFT(J98,4), MID(J98,5,2), RIGHT(J98,2)), "M/d/yyyy")</f>
        <v>9/1/2024</v>
      </c>
      <c r="L98" s="24" t="s">
        <v>78</v>
      </c>
      <c r="M98" s="26">
        <v>1</v>
      </c>
      <c r="N98" s="25">
        <v>25</v>
      </c>
      <c r="O98" s="27">
        <v>100</v>
      </c>
      <c r="P98" s="22" t="s">
        <v>3831</v>
      </c>
    </row>
    <row r="99" spans="1:16" s="22" customFormat="1" ht="15" customHeight="1" x14ac:dyDescent="0.2">
      <c r="A99" s="22" t="s">
        <v>3820</v>
      </c>
      <c r="B99" s="22">
        <v>7146581</v>
      </c>
      <c r="C99" s="23">
        <v>4</v>
      </c>
      <c r="D99" s="23">
        <v>921734718</v>
      </c>
      <c r="E99" s="23">
        <v>921734718</v>
      </c>
      <c r="F99" s="24" t="s">
        <v>3680</v>
      </c>
      <c r="G99" s="23">
        <v>0</v>
      </c>
      <c r="H99" s="23">
        <v>20250201</v>
      </c>
      <c r="I99" s="23" t="str">
        <f>TEXT(DATE(LEFT(H99,4), MID(H99,5,2), RIGHT(H99,2)), "M/d/yyyy")</f>
        <v>2/1/2025</v>
      </c>
      <c r="J99" s="25">
        <v>20240901</v>
      </c>
      <c r="K99" s="23" t="str">
        <f>TEXT(DATE(LEFT(J99,4), MID(J99,5,2), RIGHT(J99,2)), "M/d/yyyy")</f>
        <v>9/1/2024</v>
      </c>
      <c r="L99" s="24" t="s">
        <v>78</v>
      </c>
      <c r="M99" s="26">
        <v>1</v>
      </c>
      <c r="N99" s="25">
        <v>25</v>
      </c>
      <c r="O99" s="27">
        <v>100</v>
      </c>
      <c r="P99" s="22" t="s">
        <v>3831</v>
      </c>
    </row>
    <row r="100" spans="1:16" s="22" customFormat="1" ht="15" customHeight="1" x14ac:dyDescent="0.2">
      <c r="A100" s="22" t="s">
        <v>3816</v>
      </c>
      <c r="B100" s="22">
        <v>21348299</v>
      </c>
      <c r="C100" s="23">
        <v>1</v>
      </c>
      <c r="D100" s="23">
        <v>921748119</v>
      </c>
      <c r="E100" s="23">
        <v>921748119</v>
      </c>
      <c r="F100" s="24" t="s">
        <v>3483</v>
      </c>
      <c r="G100" s="23">
        <v>0</v>
      </c>
      <c r="H100" s="23">
        <v>20250301</v>
      </c>
      <c r="I100" s="23" t="str">
        <f>TEXT(DATE(LEFT(H100,4), MID(H100,5,2), RIGHT(H100,2)), "M/d/yyyy")</f>
        <v>3/1/2025</v>
      </c>
      <c r="J100" s="25">
        <v>20250101</v>
      </c>
      <c r="K100" s="23" t="str">
        <f>TEXT(DATE(LEFT(J100,4), MID(J100,5,2), RIGHT(J100,2)), "M/d/yyyy")</f>
        <v>1/1/2025</v>
      </c>
      <c r="L100" s="24" t="s">
        <v>78</v>
      </c>
      <c r="M100" s="26">
        <v>1</v>
      </c>
      <c r="N100" s="25">
        <v>25</v>
      </c>
      <c r="O100" s="27">
        <v>25</v>
      </c>
      <c r="P100" s="22" t="s">
        <v>3831</v>
      </c>
    </row>
    <row r="101" spans="1:16" s="22" customFormat="1" ht="15" customHeight="1" x14ac:dyDescent="0.2">
      <c r="A101" s="22" t="s">
        <v>3790</v>
      </c>
      <c r="B101" s="22">
        <v>19586992</v>
      </c>
      <c r="C101" s="23">
        <v>1</v>
      </c>
      <c r="D101" s="23">
        <v>921083457</v>
      </c>
      <c r="E101" s="23">
        <v>921083457</v>
      </c>
      <c r="F101" s="24" t="s">
        <v>2447</v>
      </c>
      <c r="G101" s="23">
        <v>0</v>
      </c>
      <c r="H101" s="23">
        <v>20250301</v>
      </c>
      <c r="I101" s="23" t="str">
        <f>TEXT(DATE(LEFT(H101,4), MID(H101,5,2), RIGHT(H101,2)), "M/d/yyyy")</f>
        <v>3/1/2025</v>
      </c>
      <c r="J101" s="25">
        <v>20150201</v>
      </c>
      <c r="K101" s="23" t="str">
        <f>TEXT(DATE(LEFT(J101,4), MID(J101,5,2), RIGHT(J101,2)), "M/d/yyyy")</f>
        <v>2/1/2015</v>
      </c>
      <c r="L101" s="24" t="s">
        <v>78</v>
      </c>
      <c r="M101" s="26">
        <v>1</v>
      </c>
      <c r="N101" s="25">
        <v>20</v>
      </c>
      <c r="O101" s="27">
        <v>20</v>
      </c>
      <c r="P101" s="22" t="s">
        <v>3831</v>
      </c>
    </row>
    <row r="102" spans="1:16" s="22" customFormat="1" ht="15" customHeight="1" x14ac:dyDescent="0.2">
      <c r="A102" s="22" t="s">
        <v>3790</v>
      </c>
      <c r="B102" s="22">
        <v>19586992</v>
      </c>
      <c r="C102" s="23">
        <v>1</v>
      </c>
      <c r="D102" s="23">
        <v>921143709</v>
      </c>
      <c r="E102" s="23">
        <v>921143709</v>
      </c>
      <c r="F102" s="24" t="s">
        <v>2450</v>
      </c>
      <c r="G102" s="23">
        <v>0</v>
      </c>
      <c r="H102" s="23">
        <v>20250301</v>
      </c>
      <c r="I102" s="23" t="str">
        <f>TEXT(DATE(LEFT(H102,4), MID(H102,5,2), RIGHT(H102,2)), "M/d/yyyy")</f>
        <v>3/1/2025</v>
      </c>
      <c r="J102" s="25">
        <v>20220101</v>
      </c>
      <c r="K102" s="23" t="str">
        <f>TEXT(DATE(LEFT(J102,4), MID(J102,5,2), RIGHT(J102,2)), "M/d/yyyy")</f>
        <v>1/1/2022</v>
      </c>
      <c r="L102" s="24" t="s">
        <v>78</v>
      </c>
      <c r="M102" s="26">
        <v>1</v>
      </c>
      <c r="N102" s="25">
        <v>20</v>
      </c>
      <c r="O102" s="27">
        <v>20</v>
      </c>
      <c r="P102" s="22" t="s">
        <v>3831</v>
      </c>
    </row>
    <row r="103" spans="1:16" s="22" customFormat="1" ht="15" customHeight="1" x14ac:dyDescent="0.2">
      <c r="A103" s="22" t="s">
        <v>3790</v>
      </c>
      <c r="B103" s="22">
        <v>19586992</v>
      </c>
      <c r="C103" s="23">
        <v>1</v>
      </c>
      <c r="D103" s="23">
        <v>921574058</v>
      </c>
      <c r="E103" s="23">
        <v>921574058</v>
      </c>
      <c r="F103" s="24" t="s">
        <v>2454</v>
      </c>
      <c r="G103" s="23">
        <v>0</v>
      </c>
      <c r="H103" s="23">
        <v>20250301</v>
      </c>
      <c r="I103" s="23" t="str">
        <f>TEXT(DATE(LEFT(H103,4), MID(H103,5,2), RIGHT(H103,2)), "M/d/yyyy")</f>
        <v>3/1/2025</v>
      </c>
      <c r="J103" s="25">
        <v>20210701</v>
      </c>
      <c r="K103" s="23" t="str">
        <f>TEXT(DATE(LEFT(J103,4), MID(J103,5,2), RIGHT(J103,2)), "M/d/yyyy")</f>
        <v>7/1/2021</v>
      </c>
      <c r="L103" s="24" t="s">
        <v>78</v>
      </c>
      <c r="M103" s="26">
        <v>1</v>
      </c>
      <c r="N103" s="25">
        <v>20</v>
      </c>
      <c r="O103" s="27">
        <v>20</v>
      </c>
      <c r="P103" s="22" t="s">
        <v>3831</v>
      </c>
    </row>
    <row r="104" spans="1:16" s="22" customFormat="1" ht="15" customHeight="1" x14ac:dyDescent="0.2">
      <c r="A104" s="22" t="s">
        <v>3790</v>
      </c>
      <c r="B104" s="22">
        <v>19586992</v>
      </c>
      <c r="C104" s="23">
        <v>1</v>
      </c>
      <c r="D104" s="23">
        <v>921604268</v>
      </c>
      <c r="E104" s="23">
        <v>921604268</v>
      </c>
      <c r="F104" s="24" t="s">
        <v>2456</v>
      </c>
      <c r="G104" s="23">
        <v>0</v>
      </c>
      <c r="H104" s="23">
        <v>20250301</v>
      </c>
      <c r="I104" s="23" t="str">
        <f>TEXT(DATE(LEFT(H104,4), MID(H104,5,2), RIGHT(H104,2)), "M/d/yyyy")</f>
        <v>3/1/2025</v>
      </c>
      <c r="J104" s="25">
        <v>20220201</v>
      </c>
      <c r="K104" s="23" t="str">
        <f>TEXT(DATE(LEFT(J104,4), MID(J104,5,2), RIGHT(J104,2)), "M/d/yyyy")</f>
        <v>2/1/2022</v>
      </c>
      <c r="L104" s="24" t="s">
        <v>78</v>
      </c>
      <c r="M104" s="26">
        <v>1</v>
      </c>
      <c r="N104" s="25">
        <v>20</v>
      </c>
      <c r="O104" s="27">
        <v>20</v>
      </c>
      <c r="P104" s="22" t="s">
        <v>3831</v>
      </c>
    </row>
    <row r="105" spans="1:16" s="22" customFormat="1" ht="15" customHeight="1" x14ac:dyDescent="0.2">
      <c r="A105" s="22" t="s">
        <v>3790</v>
      </c>
      <c r="B105" s="22">
        <v>19586992</v>
      </c>
      <c r="C105" s="23">
        <v>1</v>
      </c>
      <c r="D105" s="23">
        <v>921611263</v>
      </c>
      <c r="E105" s="23">
        <v>921611263</v>
      </c>
      <c r="F105" s="24" t="s">
        <v>2458</v>
      </c>
      <c r="G105" s="23">
        <v>0</v>
      </c>
      <c r="H105" s="23">
        <v>20250301</v>
      </c>
      <c r="I105" s="23" t="str">
        <f>TEXT(DATE(LEFT(H105,4), MID(H105,5,2), RIGHT(H105,2)), "M/d/yyyy")</f>
        <v>3/1/2025</v>
      </c>
      <c r="J105" s="25">
        <v>20220501</v>
      </c>
      <c r="K105" s="23" t="str">
        <f>TEXT(DATE(LEFT(J105,4), MID(J105,5,2), RIGHT(J105,2)), "M/d/yyyy")</f>
        <v>5/1/2022</v>
      </c>
      <c r="L105" s="24" t="s">
        <v>78</v>
      </c>
      <c r="M105" s="26">
        <v>1</v>
      </c>
      <c r="N105" s="25">
        <v>20</v>
      </c>
      <c r="O105" s="27">
        <v>20</v>
      </c>
      <c r="P105" s="22" t="s">
        <v>3831</v>
      </c>
    </row>
    <row r="106" spans="1:16" s="22" customFormat="1" ht="15" customHeight="1" x14ac:dyDescent="0.2">
      <c r="A106" s="22" t="s">
        <v>3790</v>
      </c>
      <c r="B106" s="22">
        <v>19586992</v>
      </c>
      <c r="C106" s="23">
        <v>1</v>
      </c>
      <c r="D106" s="23">
        <v>921650117</v>
      </c>
      <c r="E106" s="23">
        <v>921650117</v>
      </c>
      <c r="F106" s="24" t="s">
        <v>2460</v>
      </c>
      <c r="G106" s="23">
        <v>0</v>
      </c>
      <c r="H106" s="23">
        <v>20250301</v>
      </c>
      <c r="I106" s="23" t="str">
        <f>TEXT(DATE(LEFT(H106,4), MID(H106,5,2), RIGHT(H106,2)), "M/d/yyyy")</f>
        <v>3/1/2025</v>
      </c>
      <c r="J106" s="25">
        <v>20230201</v>
      </c>
      <c r="K106" s="23" t="str">
        <f>TEXT(DATE(LEFT(J106,4), MID(J106,5,2), RIGHT(J106,2)), "M/d/yyyy")</f>
        <v>2/1/2023</v>
      </c>
      <c r="L106" s="24" t="s">
        <v>78</v>
      </c>
      <c r="M106" s="26">
        <v>1</v>
      </c>
      <c r="N106" s="25">
        <v>20</v>
      </c>
      <c r="O106" s="27">
        <v>20</v>
      </c>
      <c r="P106" s="22" t="s">
        <v>3831</v>
      </c>
    </row>
    <row r="107" spans="1:16" s="22" customFormat="1" ht="15" customHeight="1" x14ac:dyDescent="0.2">
      <c r="A107" s="22" t="s">
        <v>3790</v>
      </c>
      <c r="B107" s="22">
        <v>19586992</v>
      </c>
      <c r="C107" s="23">
        <v>1</v>
      </c>
      <c r="D107" s="23">
        <v>921732281</v>
      </c>
      <c r="E107" s="23">
        <v>921732281</v>
      </c>
      <c r="F107" s="24" t="s">
        <v>2468</v>
      </c>
      <c r="G107" s="23">
        <v>0</v>
      </c>
      <c r="H107" s="23">
        <v>20250301</v>
      </c>
      <c r="I107" s="23" t="str">
        <f>TEXT(DATE(LEFT(H107,4), MID(H107,5,2), RIGHT(H107,2)), "M/d/yyyy")</f>
        <v>3/1/2025</v>
      </c>
      <c r="J107" s="25">
        <v>20240801</v>
      </c>
      <c r="K107" s="23" t="str">
        <f>TEXT(DATE(LEFT(J107,4), MID(J107,5,2), RIGHT(J107,2)), "M/d/yyyy")</f>
        <v>8/1/2024</v>
      </c>
      <c r="L107" s="24" t="s">
        <v>78</v>
      </c>
      <c r="M107" s="26">
        <v>1</v>
      </c>
      <c r="N107" s="25">
        <v>25</v>
      </c>
      <c r="O107" s="27">
        <v>25</v>
      </c>
      <c r="P107" s="22" t="s">
        <v>3831</v>
      </c>
    </row>
    <row r="108" spans="1:16" s="22" customFormat="1" ht="15" customHeight="1" x14ac:dyDescent="0.2">
      <c r="A108" s="22" t="s">
        <v>3790</v>
      </c>
      <c r="B108" s="22">
        <v>19586992</v>
      </c>
      <c r="C108" s="23">
        <v>1</v>
      </c>
      <c r="D108" s="23">
        <v>921732281</v>
      </c>
      <c r="E108" s="23">
        <v>921732281</v>
      </c>
      <c r="F108" s="24" t="s">
        <v>2468</v>
      </c>
      <c r="G108" s="23">
        <v>0</v>
      </c>
      <c r="H108" s="23">
        <v>20250201</v>
      </c>
      <c r="I108" s="23" t="str">
        <f>TEXT(DATE(LEFT(H108,4), MID(H108,5,2), RIGHT(H108,2)), "M/d/yyyy")</f>
        <v>2/1/2025</v>
      </c>
      <c r="J108" s="25">
        <v>20240801</v>
      </c>
      <c r="K108" s="23" t="str">
        <f>TEXT(DATE(LEFT(J108,4), MID(J108,5,2), RIGHT(J108,2)), "M/d/yyyy")</f>
        <v>8/1/2024</v>
      </c>
      <c r="L108" s="24" t="s">
        <v>78</v>
      </c>
      <c r="M108" s="26">
        <v>1</v>
      </c>
      <c r="N108" s="25">
        <v>25</v>
      </c>
      <c r="O108" s="27">
        <v>25</v>
      </c>
      <c r="P108" s="22" t="s">
        <v>3831</v>
      </c>
    </row>
    <row r="109" spans="1:16" s="22" customFormat="1" ht="15" customHeight="1" x14ac:dyDescent="0.2">
      <c r="A109" s="22" t="s">
        <v>3790</v>
      </c>
      <c r="B109" s="22">
        <v>19586992</v>
      </c>
      <c r="C109" s="23">
        <v>1</v>
      </c>
      <c r="D109" s="23">
        <v>921749845</v>
      </c>
      <c r="E109" s="23">
        <v>921749845</v>
      </c>
      <c r="F109" s="24" t="s">
        <v>2472</v>
      </c>
      <c r="G109" s="23">
        <v>0</v>
      </c>
      <c r="H109" s="23">
        <v>20250301</v>
      </c>
      <c r="I109" s="23" t="str">
        <f>TEXT(DATE(LEFT(H109,4), MID(H109,5,2), RIGHT(H109,2)), "M/d/yyyy")</f>
        <v>3/1/2025</v>
      </c>
      <c r="J109" s="25">
        <v>20250101</v>
      </c>
      <c r="K109" s="23" t="str">
        <f>TEXT(DATE(LEFT(J109,4), MID(J109,5,2), RIGHT(J109,2)), "M/d/yyyy")</f>
        <v>1/1/2025</v>
      </c>
      <c r="L109" s="24" t="s">
        <v>78</v>
      </c>
      <c r="M109" s="26">
        <v>1</v>
      </c>
      <c r="N109" s="25">
        <v>25</v>
      </c>
      <c r="O109" s="27">
        <v>25</v>
      </c>
      <c r="P109" s="22" t="s">
        <v>3831</v>
      </c>
    </row>
    <row r="110" spans="1:16" s="22" customFormat="1" ht="15" customHeight="1" x14ac:dyDescent="0.2">
      <c r="A110" s="22" t="s">
        <v>3790</v>
      </c>
      <c r="B110" s="22">
        <v>19586992</v>
      </c>
      <c r="C110" s="23">
        <v>1</v>
      </c>
      <c r="D110" s="23">
        <v>921752189</v>
      </c>
      <c r="E110" s="23">
        <v>921752189</v>
      </c>
      <c r="F110" s="24" t="s">
        <v>2474</v>
      </c>
      <c r="G110" s="23">
        <v>0</v>
      </c>
      <c r="H110" s="23">
        <v>20250301</v>
      </c>
      <c r="I110" s="23" t="str">
        <f>TEXT(DATE(LEFT(H110,4), MID(H110,5,2), RIGHT(H110,2)), "M/d/yyyy")</f>
        <v>3/1/2025</v>
      </c>
      <c r="J110" s="25">
        <v>20250101</v>
      </c>
      <c r="K110" s="23" t="str">
        <f>TEXT(DATE(LEFT(J110,4), MID(J110,5,2), RIGHT(J110,2)), "M/d/yyyy")</f>
        <v>1/1/2025</v>
      </c>
      <c r="L110" s="24" t="s">
        <v>78</v>
      </c>
      <c r="M110" s="26">
        <v>1</v>
      </c>
      <c r="N110" s="25">
        <v>25</v>
      </c>
      <c r="O110" s="27">
        <v>25</v>
      </c>
      <c r="P110" s="22" t="s">
        <v>3831</v>
      </c>
    </row>
    <row r="111" spans="1:16" s="22" customFormat="1" ht="15" customHeight="1" x14ac:dyDescent="0.2">
      <c r="A111" s="22" t="s">
        <v>3790</v>
      </c>
      <c r="B111" s="22">
        <v>19586992</v>
      </c>
      <c r="C111" s="23">
        <v>1</v>
      </c>
      <c r="D111" s="23">
        <v>921761599</v>
      </c>
      <c r="E111" s="23">
        <v>921761599</v>
      </c>
      <c r="F111" s="24" t="s">
        <v>2476</v>
      </c>
      <c r="G111" s="23">
        <v>0</v>
      </c>
      <c r="H111" s="23">
        <v>20250301</v>
      </c>
      <c r="I111" s="23" t="str">
        <f>TEXT(DATE(LEFT(H111,4), MID(H111,5,2), RIGHT(H111,2)), "M/d/yyyy")</f>
        <v>3/1/2025</v>
      </c>
      <c r="J111" s="25">
        <v>20250101</v>
      </c>
      <c r="K111" s="23" t="str">
        <f>TEXT(DATE(LEFT(J111,4), MID(J111,5,2), RIGHT(J111,2)), "M/d/yyyy")</f>
        <v>1/1/2025</v>
      </c>
      <c r="L111" s="24" t="s">
        <v>78</v>
      </c>
      <c r="M111" s="26">
        <v>1</v>
      </c>
      <c r="N111" s="25">
        <v>25</v>
      </c>
      <c r="O111" s="27">
        <v>25</v>
      </c>
      <c r="P111" s="22" t="s">
        <v>3831</v>
      </c>
    </row>
    <row r="112" spans="1:16" s="22" customFormat="1" ht="15" customHeight="1" x14ac:dyDescent="0.2">
      <c r="A112" s="22" t="s">
        <v>3790</v>
      </c>
      <c r="B112" s="22">
        <v>19586992</v>
      </c>
      <c r="C112" s="23">
        <v>3</v>
      </c>
      <c r="D112" s="23">
        <v>921573663</v>
      </c>
      <c r="E112" s="23">
        <v>921573663</v>
      </c>
      <c r="F112" s="24" t="s">
        <v>2452</v>
      </c>
      <c r="G112" s="23">
        <v>0</v>
      </c>
      <c r="H112" s="23">
        <v>20250301</v>
      </c>
      <c r="I112" s="23" t="str">
        <f>TEXT(DATE(LEFT(H112,4), MID(H112,5,2), RIGHT(H112,2)), "M/d/yyyy")</f>
        <v>3/1/2025</v>
      </c>
      <c r="J112" s="25">
        <v>20210701</v>
      </c>
      <c r="K112" s="23" t="str">
        <f>TEXT(DATE(LEFT(J112,4), MID(J112,5,2), RIGHT(J112,2)), "M/d/yyyy")</f>
        <v>7/1/2021</v>
      </c>
      <c r="L112" s="24" t="s">
        <v>78</v>
      </c>
      <c r="M112" s="26">
        <v>1</v>
      </c>
      <c r="N112" s="25">
        <v>20</v>
      </c>
      <c r="O112" s="27">
        <v>60</v>
      </c>
      <c r="P112" s="22" t="s">
        <v>3831</v>
      </c>
    </row>
    <row r="113" spans="1:16" s="22" customFormat="1" ht="15" customHeight="1" x14ac:dyDescent="0.2">
      <c r="A113" s="22" t="s">
        <v>3801</v>
      </c>
      <c r="B113" s="22">
        <v>21104854</v>
      </c>
      <c r="C113" s="23">
        <v>1</v>
      </c>
      <c r="D113" s="23">
        <v>921075635</v>
      </c>
      <c r="E113" s="23">
        <v>921075635</v>
      </c>
      <c r="F113" s="24" t="s">
        <v>3036</v>
      </c>
      <c r="G113" s="23">
        <v>0</v>
      </c>
      <c r="H113" s="23">
        <v>20250301</v>
      </c>
      <c r="I113" s="23" t="str">
        <f>TEXT(DATE(LEFT(H113,4), MID(H113,5,2), RIGHT(H113,2)), "M/d/yyyy")</f>
        <v>3/1/2025</v>
      </c>
      <c r="J113" s="25">
        <v>20230101</v>
      </c>
      <c r="K113" s="23" t="str">
        <f>TEXT(DATE(LEFT(J113,4), MID(J113,5,2), RIGHT(J113,2)), "M/d/yyyy")</f>
        <v>1/1/2023</v>
      </c>
      <c r="L113" s="24" t="s">
        <v>78</v>
      </c>
      <c r="M113" s="26">
        <v>1</v>
      </c>
      <c r="N113" s="25">
        <v>20</v>
      </c>
      <c r="O113" s="27">
        <v>20</v>
      </c>
      <c r="P113" s="22" t="s">
        <v>3831</v>
      </c>
    </row>
    <row r="114" spans="1:16" s="22" customFormat="1" ht="15" customHeight="1" x14ac:dyDescent="0.2">
      <c r="A114" s="22" t="s">
        <v>3801</v>
      </c>
      <c r="B114" s="22">
        <v>21104854</v>
      </c>
      <c r="C114" s="23">
        <v>1</v>
      </c>
      <c r="D114" s="23">
        <v>921075635</v>
      </c>
      <c r="E114" s="23">
        <v>921075635</v>
      </c>
      <c r="F114" s="24" t="s">
        <v>3036</v>
      </c>
      <c r="G114" s="23">
        <v>0</v>
      </c>
      <c r="H114" s="23">
        <v>20250201</v>
      </c>
      <c r="I114" s="23" t="str">
        <f>TEXT(DATE(LEFT(H114,4), MID(H114,5,2), RIGHT(H114,2)), "M/d/yyyy")</f>
        <v>2/1/2025</v>
      </c>
      <c r="J114" s="25">
        <v>20230101</v>
      </c>
      <c r="K114" s="23" t="str">
        <f>TEXT(DATE(LEFT(J114,4), MID(J114,5,2), RIGHT(J114,2)), "M/d/yyyy")</f>
        <v>1/1/2023</v>
      </c>
      <c r="L114" s="24" t="s">
        <v>78</v>
      </c>
      <c r="M114" s="26">
        <v>1</v>
      </c>
      <c r="N114" s="25">
        <v>20</v>
      </c>
      <c r="O114" s="27">
        <v>20</v>
      </c>
      <c r="P114" s="22" t="s">
        <v>3831</v>
      </c>
    </row>
    <row r="115" spans="1:16" s="22" customFormat="1" ht="15" customHeight="1" x14ac:dyDescent="0.2">
      <c r="A115" s="22" t="s">
        <v>3801</v>
      </c>
      <c r="B115" s="22">
        <v>21104854</v>
      </c>
      <c r="C115" s="23">
        <v>1</v>
      </c>
      <c r="D115" s="23">
        <v>921547998</v>
      </c>
      <c r="E115" s="23">
        <v>921547998</v>
      </c>
      <c r="F115" s="24" t="s">
        <v>3038</v>
      </c>
      <c r="G115" s="23">
        <v>0</v>
      </c>
      <c r="H115" s="23">
        <v>20250301</v>
      </c>
      <c r="I115" s="23" t="str">
        <f>TEXT(DATE(LEFT(H115,4), MID(H115,5,2), RIGHT(H115,2)), "M/d/yyyy")</f>
        <v>3/1/2025</v>
      </c>
      <c r="J115" s="25">
        <v>20210101</v>
      </c>
      <c r="K115" s="23" t="str">
        <f>TEXT(DATE(LEFT(J115,4), MID(J115,5,2), RIGHT(J115,2)), "M/d/yyyy")</f>
        <v>1/1/2021</v>
      </c>
      <c r="L115" s="24" t="s">
        <v>78</v>
      </c>
      <c r="M115" s="26">
        <v>1</v>
      </c>
      <c r="N115" s="25">
        <v>20</v>
      </c>
      <c r="O115" s="27">
        <v>20</v>
      </c>
      <c r="P115" s="22" t="s">
        <v>3831</v>
      </c>
    </row>
    <row r="116" spans="1:16" s="22" customFormat="1" ht="15" customHeight="1" x14ac:dyDescent="0.2">
      <c r="A116" s="22" t="s">
        <v>3801</v>
      </c>
      <c r="B116" s="22">
        <v>21104854</v>
      </c>
      <c r="C116" s="23">
        <v>1</v>
      </c>
      <c r="D116" s="23">
        <v>920796228</v>
      </c>
      <c r="E116" s="23">
        <v>920796228</v>
      </c>
      <c r="F116" s="24" t="s">
        <v>3032</v>
      </c>
      <c r="G116" s="23">
        <v>0</v>
      </c>
      <c r="H116" s="23">
        <v>20250301</v>
      </c>
      <c r="I116" s="23" t="str">
        <f>TEXT(DATE(LEFT(H116,4), MID(H116,5,2), RIGHT(H116,2)), "M/d/yyyy")</f>
        <v>3/1/2025</v>
      </c>
      <c r="J116" s="25">
        <v>20250101</v>
      </c>
      <c r="K116" s="23" t="str">
        <f>TEXT(DATE(LEFT(J116,4), MID(J116,5,2), RIGHT(J116,2)), "M/d/yyyy")</f>
        <v>1/1/2025</v>
      </c>
      <c r="L116" s="24" t="s">
        <v>78</v>
      </c>
      <c r="M116" s="26">
        <v>1</v>
      </c>
      <c r="N116" s="25">
        <v>25</v>
      </c>
      <c r="O116" s="27">
        <v>25</v>
      </c>
      <c r="P116" s="22" t="s">
        <v>3831</v>
      </c>
    </row>
    <row r="117" spans="1:16" s="22" customFormat="1" ht="15" customHeight="1" x14ac:dyDescent="0.2">
      <c r="A117" s="22" t="s">
        <v>3801</v>
      </c>
      <c r="B117" s="22">
        <v>21104854</v>
      </c>
      <c r="C117" s="23">
        <v>1</v>
      </c>
      <c r="D117" s="23">
        <v>921773349</v>
      </c>
      <c r="E117" s="23">
        <v>921773349</v>
      </c>
      <c r="F117" s="24" t="s">
        <v>3045</v>
      </c>
      <c r="G117" s="23">
        <v>0</v>
      </c>
      <c r="H117" s="23">
        <v>20250301</v>
      </c>
      <c r="I117" s="23" t="str">
        <f>TEXT(DATE(LEFT(H117,4), MID(H117,5,2), RIGHT(H117,2)), "M/d/yyyy")</f>
        <v>3/1/2025</v>
      </c>
      <c r="J117" s="25">
        <v>20250201</v>
      </c>
      <c r="K117" s="23" t="str">
        <f>TEXT(DATE(LEFT(J117,4), MID(J117,5,2), RIGHT(J117,2)), "M/d/yyyy")</f>
        <v>2/1/2025</v>
      </c>
      <c r="L117" s="24" t="s">
        <v>78</v>
      </c>
      <c r="M117" s="26">
        <v>1</v>
      </c>
      <c r="N117" s="25">
        <v>25</v>
      </c>
      <c r="O117" s="27">
        <v>25</v>
      </c>
      <c r="P117" s="22" t="s">
        <v>3831</v>
      </c>
    </row>
    <row r="118" spans="1:16" s="22" customFormat="1" ht="15" customHeight="1" x14ac:dyDescent="0.2">
      <c r="A118" s="22" t="s">
        <v>3803</v>
      </c>
      <c r="B118" s="22">
        <v>20003537</v>
      </c>
      <c r="C118" s="23">
        <v>1</v>
      </c>
      <c r="D118" s="23">
        <v>890193468</v>
      </c>
      <c r="E118" s="23">
        <v>890193468</v>
      </c>
      <c r="F118" s="24" t="s">
        <v>3062</v>
      </c>
      <c r="G118" s="23">
        <v>0</v>
      </c>
      <c r="H118" s="23">
        <v>20250301</v>
      </c>
      <c r="I118" s="23" t="str">
        <f>TEXT(DATE(LEFT(H118,4), MID(H118,5,2), RIGHT(H118,2)), "M/d/yyyy")</f>
        <v>3/1/2025</v>
      </c>
      <c r="J118" s="25">
        <v>20230101</v>
      </c>
      <c r="K118" s="23" t="str">
        <f>TEXT(DATE(LEFT(J118,4), MID(J118,5,2), RIGHT(J118,2)), "M/d/yyyy")</f>
        <v>1/1/2023</v>
      </c>
      <c r="L118" s="24" t="s">
        <v>78</v>
      </c>
      <c r="M118" s="26">
        <v>1</v>
      </c>
      <c r="N118" s="25">
        <v>20</v>
      </c>
      <c r="O118" s="27">
        <v>20</v>
      </c>
      <c r="P118" s="22" t="s">
        <v>3831</v>
      </c>
    </row>
    <row r="119" spans="1:16" s="22" customFormat="1" ht="15" customHeight="1" x14ac:dyDescent="0.2">
      <c r="A119" s="22" t="s">
        <v>3803</v>
      </c>
      <c r="B119" s="22">
        <v>20003537</v>
      </c>
      <c r="C119" s="23">
        <v>1</v>
      </c>
      <c r="D119" s="23">
        <v>921629371</v>
      </c>
      <c r="E119" s="23">
        <v>921629371</v>
      </c>
      <c r="F119" s="24" t="s">
        <v>3077</v>
      </c>
      <c r="G119" s="23">
        <v>0</v>
      </c>
      <c r="H119" s="23">
        <v>20250301</v>
      </c>
      <c r="I119" s="23" t="str">
        <f>TEXT(DATE(LEFT(H119,4), MID(H119,5,2), RIGHT(H119,2)), "M/d/yyyy")</f>
        <v>3/1/2025</v>
      </c>
      <c r="J119" s="25">
        <v>20221201</v>
      </c>
      <c r="K119" s="23" t="str">
        <f>TEXT(DATE(LEFT(J119,4), MID(J119,5,2), RIGHT(J119,2)), "M/d/yyyy")</f>
        <v>12/1/2022</v>
      </c>
      <c r="L119" s="24" t="s">
        <v>78</v>
      </c>
      <c r="M119" s="26">
        <v>1</v>
      </c>
      <c r="N119" s="25">
        <v>20</v>
      </c>
      <c r="O119" s="27">
        <v>20</v>
      </c>
      <c r="P119" s="22" t="s">
        <v>3831</v>
      </c>
    </row>
    <row r="120" spans="1:16" s="22" customFormat="1" ht="15" customHeight="1" x14ac:dyDescent="0.2">
      <c r="A120" s="22" t="s">
        <v>3803</v>
      </c>
      <c r="B120" s="22">
        <v>20003537</v>
      </c>
      <c r="C120" s="23">
        <v>1</v>
      </c>
      <c r="D120" s="23">
        <v>921629371</v>
      </c>
      <c r="E120" s="23">
        <v>921629371</v>
      </c>
      <c r="F120" s="24" t="s">
        <v>3077</v>
      </c>
      <c r="G120" s="23">
        <v>0</v>
      </c>
      <c r="H120" s="23">
        <v>20250201</v>
      </c>
      <c r="I120" s="23" t="str">
        <f>TEXT(DATE(LEFT(H120,4), MID(H120,5,2), RIGHT(H120,2)), "M/d/yyyy")</f>
        <v>2/1/2025</v>
      </c>
      <c r="J120" s="25">
        <v>20221201</v>
      </c>
      <c r="K120" s="23" t="str">
        <f>TEXT(DATE(LEFT(J120,4), MID(J120,5,2), RIGHT(J120,2)), "M/d/yyyy")</f>
        <v>12/1/2022</v>
      </c>
      <c r="L120" s="24" t="s">
        <v>78</v>
      </c>
      <c r="M120" s="26">
        <v>1</v>
      </c>
      <c r="N120" s="25">
        <v>20</v>
      </c>
      <c r="O120" s="27">
        <v>20</v>
      </c>
      <c r="P120" s="22" t="s">
        <v>3831</v>
      </c>
    </row>
    <row r="121" spans="1:16" s="22" customFormat="1" ht="15" customHeight="1" x14ac:dyDescent="0.2">
      <c r="A121" s="22" t="s">
        <v>3803</v>
      </c>
      <c r="B121" s="22">
        <v>20003537</v>
      </c>
      <c r="C121" s="23">
        <v>1</v>
      </c>
      <c r="D121" s="23">
        <v>921632916</v>
      </c>
      <c r="E121" s="23">
        <v>921632916</v>
      </c>
      <c r="F121" s="24" t="s">
        <v>3079</v>
      </c>
      <c r="G121" s="23">
        <v>0</v>
      </c>
      <c r="H121" s="23">
        <v>20250301</v>
      </c>
      <c r="I121" s="23" t="str">
        <f>TEXT(DATE(LEFT(H121,4), MID(H121,5,2), RIGHT(H121,2)), "M/d/yyyy")</f>
        <v>3/1/2025</v>
      </c>
      <c r="J121" s="25">
        <v>20230101</v>
      </c>
      <c r="K121" s="23" t="str">
        <f>TEXT(DATE(LEFT(J121,4), MID(J121,5,2), RIGHT(J121,2)), "M/d/yyyy")</f>
        <v>1/1/2023</v>
      </c>
      <c r="L121" s="24" t="s">
        <v>78</v>
      </c>
      <c r="M121" s="26">
        <v>1</v>
      </c>
      <c r="N121" s="25">
        <v>20</v>
      </c>
      <c r="O121" s="27">
        <v>20</v>
      </c>
      <c r="P121" s="22" t="s">
        <v>3831</v>
      </c>
    </row>
    <row r="122" spans="1:16" s="22" customFormat="1" ht="15" customHeight="1" x14ac:dyDescent="0.2">
      <c r="A122" s="22" t="s">
        <v>3803</v>
      </c>
      <c r="B122" s="22">
        <v>20003537</v>
      </c>
      <c r="C122" s="23">
        <v>1</v>
      </c>
      <c r="D122" s="23">
        <v>921649707</v>
      </c>
      <c r="E122" s="23">
        <v>921649707</v>
      </c>
      <c r="F122" s="24" t="s">
        <v>3081</v>
      </c>
      <c r="G122" s="23">
        <v>0</v>
      </c>
      <c r="H122" s="23">
        <v>20250301</v>
      </c>
      <c r="I122" s="23" t="str">
        <f>TEXT(DATE(LEFT(H122,4), MID(H122,5,2), RIGHT(H122,2)), "M/d/yyyy")</f>
        <v>3/1/2025</v>
      </c>
      <c r="J122" s="25">
        <v>20230101</v>
      </c>
      <c r="K122" s="23" t="str">
        <f>TEXT(DATE(LEFT(J122,4), MID(J122,5,2), RIGHT(J122,2)), "M/d/yyyy")</f>
        <v>1/1/2023</v>
      </c>
      <c r="L122" s="24" t="s">
        <v>78</v>
      </c>
      <c r="M122" s="26">
        <v>1</v>
      </c>
      <c r="N122" s="25">
        <v>20</v>
      </c>
      <c r="O122" s="27">
        <v>20</v>
      </c>
      <c r="P122" s="22" t="s">
        <v>3831</v>
      </c>
    </row>
    <row r="123" spans="1:16" s="22" customFormat="1" ht="15" customHeight="1" x14ac:dyDescent="0.2">
      <c r="A123" s="22" t="s">
        <v>3803</v>
      </c>
      <c r="B123" s="22">
        <v>20003537</v>
      </c>
      <c r="C123" s="23">
        <v>1</v>
      </c>
      <c r="D123" s="23">
        <v>921422828</v>
      </c>
      <c r="E123" s="23">
        <v>921422828</v>
      </c>
      <c r="F123" s="24" t="s">
        <v>3071</v>
      </c>
      <c r="G123" s="23">
        <v>0</v>
      </c>
      <c r="H123" s="23">
        <v>20250301</v>
      </c>
      <c r="I123" s="23" t="str">
        <f>TEXT(DATE(LEFT(H123,4), MID(H123,5,2), RIGHT(H123,2)), "M/d/yyyy")</f>
        <v>3/1/2025</v>
      </c>
      <c r="J123" s="25">
        <v>20240801</v>
      </c>
      <c r="K123" s="23" t="str">
        <f>TEXT(DATE(LEFT(J123,4), MID(J123,5,2), RIGHT(J123,2)), "M/d/yyyy")</f>
        <v>8/1/2024</v>
      </c>
      <c r="L123" s="24" t="s">
        <v>78</v>
      </c>
      <c r="M123" s="26">
        <v>1</v>
      </c>
      <c r="N123" s="25">
        <v>25</v>
      </c>
      <c r="O123" s="27">
        <v>25</v>
      </c>
      <c r="P123" s="22" t="s">
        <v>3831</v>
      </c>
    </row>
    <row r="124" spans="1:16" s="22" customFormat="1" ht="15" customHeight="1" x14ac:dyDescent="0.2">
      <c r="A124" s="22" t="s">
        <v>3803</v>
      </c>
      <c r="B124" s="22">
        <v>20003537</v>
      </c>
      <c r="C124" s="23">
        <v>4</v>
      </c>
      <c r="D124" s="23">
        <v>890582992</v>
      </c>
      <c r="E124" s="23">
        <v>890582992</v>
      </c>
      <c r="F124" s="24" t="s">
        <v>3065</v>
      </c>
      <c r="G124" s="23">
        <v>0</v>
      </c>
      <c r="H124" s="23">
        <v>20250201</v>
      </c>
      <c r="I124" s="23" t="str">
        <f>TEXT(DATE(LEFT(H124,4), MID(H124,5,2), RIGHT(H124,2)), "M/d/yyyy")</f>
        <v>2/1/2025</v>
      </c>
      <c r="J124" s="25">
        <v>20230101</v>
      </c>
      <c r="K124" s="23" t="str">
        <f>TEXT(DATE(LEFT(J124,4), MID(J124,5,2), RIGHT(J124,2)), "M/d/yyyy")</f>
        <v>1/1/2023</v>
      </c>
      <c r="L124" s="24" t="s">
        <v>78</v>
      </c>
      <c r="M124" s="26">
        <v>1</v>
      </c>
      <c r="N124" s="25">
        <v>20</v>
      </c>
      <c r="O124" s="27">
        <v>80</v>
      </c>
      <c r="P124" s="22" t="s">
        <v>3831</v>
      </c>
    </row>
    <row r="125" spans="1:16" s="22" customFormat="1" ht="15" customHeight="1" x14ac:dyDescent="0.2">
      <c r="A125" s="22" t="s">
        <v>3803</v>
      </c>
      <c r="B125" s="22">
        <v>20003537</v>
      </c>
      <c r="C125" s="23">
        <v>4</v>
      </c>
      <c r="D125" s="23">
        <v>921681347</v>
      </c>
      <c r="E125" s="23">
        <v>921681347</v>
      </c>
      <c r="F125" s="24" t="s">
        <v>3087</v>
      </c>
      <c r="G125" s="23">
        <v>0</v>
      </c>
      <c r="H125" s="23">
        <v>20250301</v>
      </c>
      <c r="I125" s="23" t="str">
        <f>TEXT(DATE(LEFT(H125,4), MID(H125,5,2), RIGHT(H125,2)), "M/d/yyyy")</f>
        <v>3/1/2025</v>
      </c>
      <c r="J125" s="25">
        <v>20231201</v>
      </c>
      <c r="K125" s="23" t="str">
        <f>TEXT(DATE(LEFT(J125,4), MID(J125,5,2), RIGHT(J125,2)), "M/d/yyyy")</f>
        <v>12/1/2023</v>
      </c>
      <c r="L125" s="24" t="s">
        <v>78</v>
      </c>
      <c r="M125" s="26">
        <v>1</v>
      </c>
      <c r="N125" s="25">
        <v>20</v>
      </c>
      <c r="O125" s="27">
        <v>80</v>
      </c>
      <c r="P125" s="22" t="s">
        <v>3831</v>
      </c>
    </row>
    <row r="126" spans="1:16" s="22" customFormat="1" ht="15" customHeight="1" x14ac:dyDescent="0.2">
      <c r="A126" s="22" t="s">
        <v>3803</v>
      </c>
      <c r="B126" s="22">
        <v>20003537</v>
      </c>
      <c r="C126" s="23">
        <v>4</v>
      </c>
      <c r="D126" s="23">
        <v>921681347</v>
      </c>
      <c r="E126" s="23">
        <v>921681347</v>
      </c>
      <c r="F126" s="24" t="s">
        <v>3087</v>
      </c>
      <c r="G126" s="23">
        <v>0</v>
      </c>
      <c r="H126" s="23">
        <v>20250201</v>
      </c>
      <c r="I126" s="23" t="str">
        <f>TEXT(DATE(LEFT(H126,4), MID(H126,5,2), RIGHT(H126,2)), "M/d/yyyy")</f>
        <v>2/1/2025</v>
      </c>
      <c r="J126" s="25">
        <v>20231201</v>
      </c>
      <c r="K126" s="23" t="str">
        <f>TEXT(DATE(LEFT(J126,4), MID(J126,5,2), RIGHT(J126,2)), "M/d/yyyy")</f>
        <v>12/1/2023</v>
      </c>
      <c r="L126" s="24" t="s">
        <v>78</v>
      </c>
      <c r="M126" s="26">
        <v>1</v>
      </c>
      <c r="N126" s="25">
        <v>20</v>
      </c>
      <c r="O126" s="27">
        <v>80</v>
      </c>
      <c r="P126" s="22" t="s">
        <v>3831</v>
      </c>
    </row>
    <row r="127" spans="1:16" s="22" customFormat="1" ht="15" customHeight="1" x14ac:dyDescent="0.2">
      <c r="A127" s="22" t="s">
        <v>3789</v>
      </c>
      <c r="B127" s="22">
        <v>19681796</v>
      </c>
      <c r="C127" s="23">
        <v>1</v>
      </c>
      <c r="D127" s="23">
        <v>920865373</v>
      </c>
      <c r="E127" s="23">
        <v>920865373</v>
      </c>
      <c r="F127" s="24" t="s">
        <v>2348</v>
      </c>
      <c r="G127" s="23">
        <v>0</v>
      </c>
      <c r="H127" s="23">
        <v>20250301</v>
      </c>
      <c r="I127" s="23" t="str">
        <f>TEXT(DATE(LEFT(H127,4), MID(H127,5,2), RIGHT(H127,2)), "M/d/yyyy")</f>
        <v>3/1/2025</v>
      </c>
      <c r="J127" s="25">
        <v>20240201</v>
      </c>
      <c r="K127" s="23" t="str">
        <f>TEXT(DATE(LEFT(J127,4), MID(J127,5,2), RIGHT(J127,2)), "M/d/yyyy")</f>
        <v>2/1/2024</v>
      </c>
      <c r="L127" s="24" t="s">
        <v>78</v>
      </c>
      <c r="M127" s="26">
        <v>1</v>
      </c>
      <c r="N127" s="25">
        <v>20</v>
      </c>
      <c r="O127" s="27">
        <v>20</v>
      </c>
      <c r="P127" s="22" t="s">
        <v>3831</v>
      </c>
    </row>
    <row r="128" spans="1:16" s="22" customFormat="1" ht="15" customHeight="1" x14ac:dyDescent="0.2">
      <c r="A128" s="22" t="s">
        <v>3789</v>
      </c>
      <c r="B128" s="22">
        <v>19681796</v>
      </c>
      <c r="C128" s="23">
        <v>1</v>
      </c>
      <c r="D128" s="23">
        <v>920915016</v>
      </c>
      <c r="E128" s="23">
        <v>920915016</v>
      </c>
      <c r="F128" s="24" t="s">
        <v>2352</v>
      </c>
      <c r="G128" s="23">
        <v>0</v>
      </c>
      <c r="H128" s="23">
        <v>20250301</v>
      </c>
      <c r="I128" s="23" t="str">
        <f>TEXT(DATE(LEFT(H128,4), MID(H128,5,2), RIGHT(H128,2)), "M/d/yyyy")</f>
        <v>3/1/2025</v>
      </c>
      <c r="J128" s="25">
        <v>20140501</v>
      </c>
      <c r="K128" s="23" t="str">
        <f>TEXT(DATE(LEFT(J128,4), MID(J128,5,2), RIGHT(J128,2)), "M/d/yyyy")</f>
        <v>5/1/2014</v>
      </c>
      <c r="L128" s="24" t="s">
        <v>78</v>
      </c>
      <c r="M128" s="26">
        <v>1</v>
      </c>
      <c r="N128" s="25">
        <v>20</v>
      </c>
      <c r="O128" s="27">
        <v>20</v>
      </c>
      <c r="P128" s="22" t="s">
        <v>3831</v>
      </c>
    </row>
    <row r="129" spans="1:16" s="22" customFormat="1" ht="15" customHeight="1" x14ac:dyDescent="0.2">
      <c r="A129" s="22" t="s">
        <v>3789</v>
      </c>
      <c r="B129" s="22">
        <v>19681796</v>
      </c>
      <c r="C129" s="23">
        <v>1</v>
      </c>
      <c r="D129" s="23">
        <v>920915016</v>
      </c>
      <c r="E129" s="23">
        <v>920915016</v>
      </c>
      <c r="F129" s="24" t="s">
        <v>2352</v>
      </c>
      <c r="G129" s="23">
        <v>0</v>
      </c>
      <c r="H129" s="23">
        <v>20250201</v>
      </c>
      <c r="I129" s="23" t="str">
        <f>TEXT(DATE(LEFT(H129,4), MID(H129,5,2), RIGHT(H129,2)), "M/d/yyyy")</f>
        <v>2/1/2025</v>
      </c>
      <c r="J129" s="25">
        <v>20140501</v>
      </c>
      <c r="K129" s="23" t="str">
        <f>TEXT(DATE(LEFT(J129,4), MID(J129,5,2), RIGHT(J129,2)), "M/d/yyyy")</f>
        <v>5/1/2014</v>
      </c>
      <c r="L129" s="24" t="s">
        <v>78</v>
      </c>
      <c r="M129" s="26">
        <v>1</v>
      </c>
      <c r="N129" s="25">
        <v>20</v>
      </c>
      <c r="O129" s="27">
        <v>20</v>
      </c>
      <c r="P129" s="22" t="s">
        <v>3831</v>
      </c>
    </row>
    <row r="130" spans="1:16" s="22" customFormat="1" ht="15" customHeight="1" x14ac:dyDescent="0.2">
      <c r="A130" s="22" t="s">
        <v>3789</v>
      </c>
      <c r="B130" s="22">
        <v>19681796</v>
      </c>
      <c r="C130" s="23">
        <v>1</v>
      </c>
      <c r="D130" s="23">
        <v>921389339</v>
      </c>
      <c r="E130" s="23">
        <v>921389339</v>
      </c>
      <c r="F130" s="24" t="s">
        <v>2359</v>
      </c>
      <c r="G130" s="23">
        <v>0</v>
      </c>
      <c r="H130" s="23">
        <v>20250301</v>
      </c>
      <c r="I130" s="23" t="str">
        <f>TEXT(DATE(LEFT(H130,4), MID(H130,5,2), RIGHT(H130,2)), "M/d/yyyy")</f>
        <v>3/1/2025</v>
      </c>
      <c r="J130" s="25">
        <v>20180101</v>
      </c>
      <c r="K130" s="23" t="str">
        <f>TEXT(DATE(LEFT(J130,4), MID(J130,5,2), RIGHT(J130,2)), "M/d/yyyy")</f>
        <v>1/1/2018</v>
      </c>
      <c r="L130" s="24" t="s">
        <v>78</v>
      </c>
      <c r="M130" s="26">
        <v>1</v>
      </c>
      <c r="N130" s="25">
        <v>20</v>
      </c>
      <c r="O130" s="27">
        <v>20</v>
      </c>
      <c r="P130" s="22" t="s">
        <v>3831</v>
      </c>
    </row>
    <row r="131" spans="1:16" s="22" customFormat="1" ht="15" customHeight="1" x14ac:dyDescent="0.2">
      <c r="A131" s="22" t="s">
        <v>3789</v>
      </c>
      <c r="B131" s="22">
        <v>19681796</v>
      </c>
      <c r="C131" s="23">
        <v>1</v>
      </c>
      <c r="D131" s="23">
        <v>921453737</v>
      </c>
      <c r="E131" s="23">
        <v>921453737</v>
      </c>
      <c r="F131" s="24" t="s">
        <v>2361</v>
      </c>
      <c r="G131" s="23">
        <v>0</v>
      </c>
      <c r="H131" s="23">
        <v>20250301</v>
      </c>
      <c r="I131" s="23" t="str">
        <f>TEXT(DATE(LEFT(H131,4), MID(H131,5,2), RIGHT(H131,2)), "M/d/yyyy")</f>
        <v>3/1/2025</v>
      </c>
      <c r="J131" s="25">
        <v>20220701</v>
      </c>
      <c r="K131" s="23" t="str">
        <f>TEXT(DATE(LEFT(J131,4), MID(J131,5,2), RIGHT(J131,2)), "M/d/yyyy")</f>
        <v>7/1/2022</v>
      </c>
      <c r="L131" s="24" t="s">
        <v>78</v>
      </c>
      <c r="M131" s="26">
        <v>1</v>
      </c>
      <c r="N131" s="25">
        <v>20</v>
      </c>
      <c r="O131" s="27">
        <v>20</v>
      </c>
      <c r="P131" s="22" t="s">
        <v>3831</v>
      </c>
    </row>
    <row r="132" spans="1:16" s="22" customFormat="1" ht="15" customHeight="1" x14ac:dyDescent="0.2">
      <c r="A132" s="22" t="s">
        <v>3789</v>
      </c>
      <c r="B132" s="22">
        <v>19681796</v>
      </c>
      <c r="C132" s="23">
        <v>1</v>
      </c>
      <c r="D132" s="23">
        <v>921555774</v>
      </c>
      <c r="E132" s="23">
        <v>921555774</v>
      </c>
      <c r="F132" s="24" t="s">
        <v>2367</v>
      </c>
      <c r="G132" s="23">
        <v>0</v>
      </c>
      <c r="H132" s="23">
        <v>20250301</v>
      </c>
      <c r="I132" s="23" t="str">
        <f>TEXT(DATE(LEFT(H132,4), MID(H132,5,2), RIGHT(H132,2)), "M/d/yyyy")</f>
        <v>3/1/2025</v>
      </c>
      <c r="J132" s="25">
        <v>20210201</v>
      </c>
      <c r="K132" s="23" t="str">
        <f>TEXT(DATE(LEFT(J132,4), MID(J132,5,2), RIGHT(J132,2)), "M/d/yyyy")</f>
        <v>2/1/2021</v>
      </c>
      <c r="L132" s="24" t="s">
        <v>78</v>
      </c>
      <c r="M132" s="26">
        <v>1</v>
      </c>
      <c r="N132" s="25">
        <v>20</v>
      </c>
      <c r="O132" s="27">
        <v>20</v>
      </c>
      <c r="P132" s="22" t="s">
        <v>3831</v>
      </c>
    </row>
    <row r="133" spans="1:16" s="22" customFormat="1" ht="15" customHeight="1" x14ac:dyDescent="0.2">
      <c r="A133" s="22" t="s">
        <v>3789</v>
      </c>
      <c r="B133" s="22">
        <v>19681796</v>
      </c>
      <c r="C133" s="23">
        <v>1</v>
      </c>
      <c r="D133" s="23">
        <v>921609075</v>
      </c>
      <c r="E133" s="23">
        <v>921609075</v>
      </c>
      <c r="F133" s="24" t="s">
        <v>2371</v>
      </c>
      <c r="G133" s="23">
        <v>0</v>
      </c>
      <c r="H133" s="23">
        <v>20250301</v>
      </c>
      <c r="I133" s="23" t="str">
        <f>TEXT(DATE(LEFT(H133,4), MID(H133,5,2), RIGHT(H133,2)), "M/d/yyyy")</f>
        <v>3/1/2025</v>
      </c>
      <c r="J133" s="25">
        <v>20220301</v>
      </c>
      <c r="K133" s="23" t="str">
        <f>TEXT(DATE(LEFT(J133,4), MID(J133,5,2), RIGHT(J133,2)), "M/d/yyyy")</f>
        <v>3/1/2022</v>
      </c>
      <c r="L133" s="24" t="s">
        <v>78</v>
      </c>
      <c r="M133" s="26">
        <v>1</v>
      </c>
      <c r="N133" s="25">
        <v>20</v>
      </c>
      <c r="O133" s="27">
        <v>20</v>
      </c>
      <c r="P133" s="22" t="s">
        <v>3831</v>
      </c>
    </row>
    <row r="134" spans="1:16" s="22" customFormat="1" ht="15" customHeight="1" x14ac:dyDescent="0.2">
      <c r="A134" s="22" t="s">
        <v>3789</v>
      </c>
      <c r="B134" s="22">
        <v>19681796</v>
      </c>
      <c r="C134" s="23">
        <v>1</v>
      </c>
      <c r="D134" s="23">
        <v>921649424</v>
      </c>
      <c r="E134" s="23">
        <v>921649424</v>
      </c>
      <c r="F134" s="24" t="s">
        <v>2379</v>
      </c>
      <c r="G134" s="23">
        <v>0</v>
      </c>
      <c r="H134" s="23">
        <v>20250201</v>
      </c>
      <c r="I134" s="23" t="str">
        <f>TEXT(DATE(LEFT(H134,4), MID(H134,5,2), RIGHT(H134,2)), "M/d/yyyy")</f>
        <v>2/1/2025</v>
      </c>
      <c r="J134" s="25">
        <v>20230201</v>
      </c>
      <c r="K134" s="23" t="str">
        <f>TEXT(DATE(LEFT(J134,4), MID(J134,5,2), RIGHT(J134,2)), "M/d/yyyy")</f>
        <v>2/1/2023</v>
      </c>
      <c r="L134" s="24" t="s">
        <v>78</v>
      </c>
      <c r="M134" s="26">
        <v>1</v>
      </c>
      <c r="N134" s="25">
        <v>20</v>
      </c>
      <c r="O134" s="27">
        <v>20</v>
      </c>
      <c r="P134" s="22" t="s">
        <v>3831</v>
      </c>
    </row>
    <row r="135" spans="1:16" s="22" customFormat="1" ht="15" customHeight="1" x14ac:dyDescent="0.2">
      <c r="A135" s="22" t="s">
        <v>3789</v>
      </c>
      <c r="B135" s="22">
        <v>19681796</v>
      </c>
      <c r="C135" s="23">
        <v>1</v>
      </c>
      <c r="D135" s="23">
        <v>921671680</v>
      </c>
      <c r="E135" s="23">
        <v>921671680</v>
      </c>
      <c r="F135" s="24" t="s">
        <v>2381</v>
      </c>
      <c r="G135" s="23">
        <v>0</v>
      </c>
      <c r="H135" s="23">
        <v>20250301</v>
      </c>
      <c r="I135" s="23" t="str">
        <f>TEXT(DATE(LEFT(H135,4), MID(H135,5,2), RIGHT(H135,2)), "M/d/yyyy")</f>
        <v>3/1/2025</v>
      </c>
      <c r="J135" s="25">
        <v>20231001</v>
      </c>
      <c r="K135" s="23" t="str">
        <f>TEXT(DATE(LEFT(J135,4), MID(J135,5,2), RIGHT(J135,2)), "M/d/yyyy")</f>
        <v>10/1/2023</v>
      </c>
      <c r="L135" s="24" t="s">
        <v>78</v>
      </c>
      <c r="M135" s="26">
        <v>1</v>
      </c>
      <c r="N135" s="25">
        <v>20</v>
      </c>
      <c r="O135" s="27">
        <v>20</v>
      </c>
      <c r="P135" s="22" t="s">
        <v>3831</v>
      </c>
    </row>
    <row r="136" spans="1:16" s="22" customFormat="1" ht="15" customHeight="1" x14ac:dyDescent="0.2">
      <c r="A136" s="22" t="s">
        <v>3789</v>
      </c>
      <c r="B136" s="22">
        <v>19681796</v>
      </c>
      <c r="C136" s="23">
        <v>1</v>
      </c>
      <c r="D136" s="23">
        <v>921693521</v>
      </c>
      <c r="E136" s="23">
        <v>921693521</v>
      </c>
      <c r="F136" s="24" t="s">
        <v>2387</v>
      </c>
      <c r="G136" s="23">
        <v>0</v>
      </c>
      <c r="H136" s="23">
        <v>20250301</v>
      </c>
      <c r="I136" s="23" t="str">
        <f>TEXT(DATE(LEFT(H136,4), MID(H136,5,2), RIGHT(H136,2)), "M/d/yyyy")</f>
        <v>3/1/2025</v>
      </c>
      <c r="J136" s="25">
        <v>20240101</v>
      </c>
      <c r="K136" s="23" t="str">
        <f>TEXT(DATE(LEFT(J136,4), MID(J136,5,2), RIGHT(J136,2)), "M/d/yyyy")</f>
        <v>1/1/2024</v>
      </c>
      <c r="L136" s="24" t="s">
        <v>78</v>
      </c>
      <c r="M136" s="26">
        <v>1</v>
      </c>
      <c r="N136" s="25">
        <v>20</v>
      </c>
      <c r="O136" s="27">
        <v>20</v>
      </c>
      <c r="P136" s="22" t="s">
        <v>3831</v>
      </c>
    </row>
    <row r="137" spans="1:16" s="22" customFormat="1" ht="15" customHeight="1" x14ac:dyDescent="0.2">
      <c r="A137" s="22" t="s">
        <v>3789</v>
      </c>
      <c r="B137" s="22">
        <v>19681796</v>
      </c>
      <c r="C137" s="23">
        <v>1</v>
      </c>
      <c r="D137" s="23">
        <v>921707635</v>
      </c>
      <c r="E137" s="23">
        <v>921707635</v>
      </c>
      <c r="F137" s="24" t="s">
        <v>2389</v>
      </c>
      <c r="G137" s="23">
        <v>0</v>
      </c>
      <c r="H137" s="23">
        <v>20250301</v>
      </c>
      <c r="I137" s="23" t="str">
        <f>TEXT(DATE(LEFT(H137,4), MID(H137,5,2), RIGHT(H137,2)), "M/d/yyyy")</f>
        <v>3/1/2025</v>
      </c>
      <c r="J137" s="25">
        <v>20240201</v>
      </c>
      <c r="K137" s="23" t="str">
        <f>TEXT(DATE(LEFT(J137,4), MID(J137,5,2), RIGHT(J137,2)), "M/d/yyyy")</f>
        <v>2/1/2024</v>
      </c>
      <c r="L137" s="24" t="s">
        <v>78</v>
      </c>
      <c r="M137" s="26">
        <v>1</v>
      </c>
      <c r="N137" s="25">
        <v>20</v>
      </c>
      <c r="O137" s="27">
        <v>20</v>
      </c>
      <c r="P137" s="22" t="s">
        <v>3831</v>
      </c>
    </row>
    <row r="138" spans="1:16" s="22" customFormat="1" ht="15" customHeight="1" x14ac:dyDescent="0.2">
      <c r="A138" s="22" t="s">
        <v>3789</v>
      </c>
      <c r="B138" s="22">
        <v>19681796</v>
      </c>
      <c r="C138" s="23">
        <v>1</v>
      </c>
      <c r="D138" s="23">
        <v>921364191</v>
      </c>
      <c r="E138" s="23">
        <v>921364191</v>
      </c>
      <c r="F138" s="24" t="s">
        <v>2357</v>
      </c>
      <c r="G138" s="23">
        <v>0</v>
      </c>
      <c r="H138" s="23">
        <v>20250301</v>
      </c>
      <c r="I138" s="23" t="str">
        <f>TEXT(DATE(LEFT(H138,4), MID(H138,5,2), RIGHT(H138,2)), "M/d/yyyy")</f>
        <v>3/1/2025</v>
      </c>
      <c r="J138" s="25">
        <v>20240301</v>
      </c>
      <c r="K138" s="23" t="str">
        <f>TEXT(DATE(LEFT(J138,4), MID(J138,5,2), RIGHT(J138,2)), "M/d/yyyy")</f>
        <v>3/1/2024</v>
      </c>
      <c r="L138" s="24" t="s">
        <v>78</v>
      </c>
      <c r="M138" s="26">
        <v>1</v>
      </c>
      <c r="N138" s="25">
        <v>25</v>
      </c>
      <c r="O138" s="27">
        <v>25</v>
      </c>
      <c r="P138" s="22" t="s">
        <v>3831</v>
      </c>
    </row>
    <row r="139" spans="1:16" s="22" customFormat="1" ht="15" customHeight="1" x14ac:dyDescent="0.2">
      <c r="A139" s="22" t="s">
        <v>3789</v>
      </c>
      <c r="B139" s="22">
        <v>19681796</v>
      </c>
      <c r="C139" s="23">
        <v>1</v>
      </c>
      <c r="D139" s="23">
        <v>921735222</v>
      </c>
      <c r="E139" s="23">
        <v>921735222</v>
      </c>
      <c r="F139" s="24" t="s">
        <v>2397</v>
      </c>
      <c r="G139" s="23">
        <v>0</v>
      </c>
      <c r="H139" s="23">
        <v>20250301</v>
      </c>
      <c r="I139" s="23" t="str">
        <f>TEXT(DATE(LEFT(H139,4), MID(H139,5,2), RIGHT(H139,2)), "M/d/yyyy")</f>
        <v>3/1/2025</v>
      </c>
      <c r="J139" s="25">
        <v>20240901</v>
      </c>
      <c r="K139" s="23" t="str">
        <f>TEXT(DATE(LEFT(J139,4), MID(J139,5,2), RIGHT(J139,2)), "M/d/yyyy")</f>
        <v>9/1/2024</v>
      </c>
      <c r="L139" s="24" t="s">
        <v>78</v>
      </c>
      <c r="M139" s="26">
        <v>1</v>
      </c>
      <c r="N139" s="25">
        <v>25</v>
      </c>
      <c r="O139" s="27">
        <v>25</v>
      </c>
      <c r="P139" s="22" t="s">
        <v>3831</v>
      </c>
    </row>
    <row r="140" spans="1:16" s="22" customFormat="1" ht="15" customHeight="1" x14ac:dyDescent="0.2">
      <c r="A140" s="22" t="s">
        <v>3789</v>
      </c>
      <c r="B140" s="22">
        <v>19681796</v>
      </c>
      <c r="C140" s="23">
        <v>2</v>
      </c>
      <c r="D140" s="23">
        <v>921675138</v>
      </c>
      <c r="E140" s="23">
        <v>921675138</v>
      </c>
      <c r="F140" s="24" t="s">
        <v>2385</v>
      </c>
      <c r="G140" s="23">
        <v>0</v>
      </c>
      <c r="H140" s="23">
        <v>20250301</v>
      </c>
      <c r="I140" s="23" t="str">
        <f>TEXT(DATE(LEFT(H140,4), MID(H140,5,2), RIGHT(H140,2)), "M/d/yyyy")</f>
        <v>3/1/2025</v>
      </c>
      <c r="J140" s="25">
        <v>20231101</v>
      </c>
      <c r="K140" s="23" t="str">
        <f>TEXT(DATE(LEFT(J140,4), MID(J140,5,2), RIGHT(J140,2)), "M/d/yyyy")</f>
        <v>11/1/2023</v>
      </c>
      <c r="L140" s="24" t="s">
        <v>78</v>
      </c>
      <c r="M140" s="26">
        <v>1</v>
      </c>
      <c r="N140" s="25">
        <v>20</v>
      </c>
      <c r="O140" s="27">
        <v>40</v>
      </c>
      <c r="P140" s="22" t="s">
        <v>3831</v>
      </c>
    </row>
    <row r="141" spans="1:16" s="22" customFormat="1" ht="15" customHeight="1" x14ac:dyDescent="0.2">
      <c r="A141" s="22" t="s">
        <v>3789</v>
      </c>
      <c r="B141" s="22">
        <v>19681796</v>
      </c>
      <c r="C141" s="23">
        <v>3</v>
      </c>
      <c r="D141" s="23">
        <v>921570298</v>
      </c>
      <c r="E141" s="23">
        <v>921570298</v>
      </c>
      <c r="F141" s="24" t="s">
        <v>2369</v>
      </c>
      <c r="G141" s="23">
        <v>0</v>
      </c>
      <c r="H141" s="23">
        <v>20250301</v>
      </c>
      <c r="I141" s="23" t="str">
        <f>TEXT(DATE(LEFT(H141,4), MID(H141,5,2), RIGHT(H141,2)), "M/d/yyyy")</f>
        <v>3/1/2025</v>
      </c>
      <c r="J141" s="25">
        <v>20221101</v>
      </c>
      <c r="K141" s="23" t="str">
        <f>TEXT(DATE(LEFT(J141,4), MID(J141,5,2), RIGHT(J141,2)), "M/d/yyyy")</f>
        <v>11/1/2022</v>
      </c>
      <c r="L141" s="24" t="s">
        <v>78</v>
      </c>
      <c r="M141" s="26">
        <v>1</v>
      </c>
      <c r="N141" s="25">
        <v>20</v>
      </c>
      <c r="O141" s="27">
        <v>60</v>
      </c>
      <c r="P141" s="22" t="s">
        <v>3831</v>
      </c>
    </row>
    <row r="142" spans="1:16" s="22" customFormat="1" ht="15" customHeight="1" x14ac:dyDescent="0.2">
      <c r="A142" s="22" t="s">
        <v>3777</v>
      </c>
      <c r="B142" s="22">
        <v>17437820</v>
      </c>
      <c r="C142" s="24" t="s">
        <v>588</v>
      </c>
      <c r="D142" s="23">
        <v>921534664</v>
      </c>
      <c r="E142" s="23">
        <v>921534664</v>
      </c>
      <c r="F142" s="24" t="s">
        <v>590</v>
      </c>
      <c r="G142" s="23">
        <v>0</v>
      </c>
      <c r="H142" s="23">
        <v>20250201</v>
      </c>
      <c r="I142" s="23" t="str">
        <f>TEXT(DATE(LEFT(H142,4), MID(H142,5,2), RIGHT(H142,2)), "M/d/yyyy")</f>
        <v>2/1/2025</v>
      </c>
      <c r="J142" s="25">
        <v>20240401</v>
      </c>
      <c r="K142" s="23" t="str">
        <f>TEXT(DATE(LEFT(J142,4), MID(J142,5,2), RIGHT(J142,2)), "M/d/yyyy")</f>
        <v>4/1/2024</v>
      </c>
      <c r="L142" s="24" t="s">
        <v>78</v>
      </c>
      <c r="M142" s="26">
        <v>1</v>
      </c>
      <c r="N142" s="25">
        <v>25</v>
      </c>
      <c r="O142" s="27">
        <v>-25</v>
      </c>
      <c r="P142" s="22" t="s">
        <v>3831</v>
      </c>
    </row>
    <row r="143" spans="1:16" s="22" customFormat="1" ht="15" customHeight="1" x14ac:dyDescent="0.2">
      <c r="A143" s="22" t="s">
        <v>3777</v>
      </c>
      <c r="B143" s="22">
        <v>17437820</v>
      </c>
      <c r="C143" s="23">
        <v>1</v>
      </c>
      <c r="D143" s="23">
        <v>890124783</v>
      </c>
      <c r="E143" s="23">
        <v>890124783</v>
      </c>
      <c r="F143" s="24" t="s">
        <v>517</v>
      </c>
      <c r="G143" s="23">
        <v>0</v>
      </c>
      <c r="H143" s="23">
        <v>20250301</v>
      </c>
      <c r="I143" s="23" t="str">
        <f>TEXT(DATE(LEFT(H143,4), MID(H143,5,2), RIGHT(H143,2)), "M/d/yyyy")</f>
        <v>3/1/2025</v>
      </c>
      <c r="J143" s="25">
        <v>20140101</v>
      </c>
      <c r="K143" s="23" t="str">
        <f>TEXT(DATE(LEFT(J143,4), MID(J143,5,2), RIGHT(J143,2)), "M/d/yyyy")</f>
        <v>1/1/2014</v>
      </c>
      <c r="L143" s="24" t="s">
        <v>78</v>
      </c>
      <c r="M143" s="26">
        <v>1</v>
      </c>
      <c r="N143" s="25">
        <v>20</v>
      </c>
      <c r="O143" s="27">
        <v>20</v>
      </c>
      <c r="P143" s="22" t="s">
        <v>3831</v>
      </c>
    </row>
    <row r="144" spans="1:16" s="22" customFormat="1" ht="15" customHeight="1" x14ac:dyDescent="0.2">
      <c r="A144" s="22" t="s">
        <v>3777</v>
      </c>
      <c r="B144" s="22">
        <v>17437820</v>
      </c>
      <c r="C144" s="23">
        <v>1</v>
      </c>
      <c r="D144" s="23">
        <v>890124783</v>
      </c>
      <c r="E144" s="23">
        <v>890124783</v>
      </c>
      <c r="F144" s="24" t="s">
        <v>517</v>
      </c>
      <c r="G144" s="23">
        <v>0</v>
      </c>
      <c r="H144" s="23">
        <v>20250201</v>
      </c>
      <c r="I144" s="23" t="str">
        <f>TEXT(DATE(LEFT(H144,4), MID(H144,5,2), RIGHT(H144,2)), "M/d/yyyy")</f>
        <v>2/1/2025</v>
      </c>
      <c r="J144" s="25">
        <v>20140101</v>
      </c>
      <c r="K144" s="23" t="str">
        <f>TEXT(DATE(LEFT(J144,4), MID(J144,5,2), RIGHT(J144,2)), "M/d/yyyy")</f>
        <v>1/1/2014</v>
      </c>
      <c r="L144" s="24" t="s">
        <v>78</v>
      </c>
      <c r="M144" s="26">
        <v>1</v>
      </c>
      <c r="N144" s="25">
        <v>20</v>
      </c>
      <c r="O144" s="27">
        <v>20</v>
      </c>
      <c r="P144" s="22" t="s">
        <v>3831</v>
      </c>
    </row>
    <row r="145" spans="1:16" s="22" customFormat="1" ht="15" customHeight="1" x14ac:dyDescent="0.2">
      <c r="A145" s="22" t="s">
        <v>3777</v>
      </c>
      <c r="B145" s="22">
        <v>17437820</v>
      </c>
      <c r="C145" s="23">
        <v>1</v>
      </c>
      <c r="D145" s="23">
        <v>890172002</v>
      </c>
      <c r="E145" s="23">
        <v>890172002</v>
      </c>
      <c r="F145" s="24" t="s">
        <v>522</v>
      </c>
      <c r="G145" s="23">
        <v>0</v>
      </c>
      <c r="H145" s="23">
        <v>20250301</v>
      </c>
      <c r="I145" s="23" t="str">
        <f>TEXT(DATE(LEFT(H145,4), MID(H145,5,2), RIGHT(H145,2)), "M/d/yyyy")</f>
        <v>3/1/2025</v>
      </c>
      <c r="J145" s="25">
        <v>20150301</v>
      </c>
      <c r="K145" s="23" t="str">
        <f>TEXT(DATE(LEFT(J145,4), MID(J145,5,2), RIGHT(J145,2)), "M/d/yyyy")</f>
        <v>3/1/2015</v>
      </c>
      <c r="L145" s="24" t="s">
        <v>78</v>
      </c>
      <c r="M145" s="26">
        <v>1</v>
      </c>
      <c r="N145" s="25">
        <v>20</v>
      </c>
      <c r="O145" s="27">
        <v>20</v>
      </c>
      <c r="P145" s="22" t="s">
        <v>3831</v>
      </c>
    </row>
    <row r="146" spans="1:16" s="22" customFormat="1" ht="15" customHeight="1" x14ac:dyDescent="0.2">
      <c r="A146" s="22" t="s">
        <v>3777</v>
      </c>
      <c r="B146" s="22">
        <v>17437820</v>
      </c>
      <c r="C146" s="23">
        <v>1</v>
      </c>
      <c r="D146" s="23">
        <v>890328011</v>
      </c>
      <c r="E146" s="23">
        <v>890328011</v>
      </c>
      <c r="F146" s="24" t="s">
        <v>524</v>
      </c>
      <c r="G146" s="23">
        <v>0</v>
      </c>
      <c r="H146" s="23">
        <v>20250301</v>
      </c>
      <c r="I146" s="23" t="str">
        <f>TEXT(DATE(LEFT(H146,4), MID(H146,5,2), RIGHT(H146,2)), "M/d/yyyy")</f>
        <v>3/1/2025</v>
      </c>
      <c r="J146" s="25">
        <v>20160101</v>
      </c>
      <c r="K146" s="23" t="str">
        <f>TEXT(DATE(LEFT(J146,4), MID(J146,5,2), RIGHT(J146,2)), "M/d/yyyy")</f>
        <v>1/1/2016</v>
      </c>
      <c r="L146" s="24" t="s">
        <v>78</v>
      </c>
      <c r="M146" s="26">
        <v>1</v>
      </c>
      <c r="N146" s="25">
        <v>20</v>
      </c>
      <c r="O146" s="27">
        <v>20</v>
      </c>
      <c r="P146" s="22" t="s">
        <v>3831</v>
      </c>
    </row>
    <row r="147" spans="1:16" s="22" customFormat="1" ht="15" customHeight="1" x14ac:dyDescent="0.2">
      <c r="A147" s="22" t="s">
        <v>3777</v>
      </c>
      <c r="B147" s="22">
        <v>17437820</v>
      </c>
      <c r="C147" s="23">
        <v>1</v>
      </c>
      <c r="D147" s="23">
        <v>890574813</v>
      </c>
      <c r="E147" s="23">
        <v>890574813</v>
      </c>
      <c r="F147" s="24" t="s">
        <v>526</v>
      </c>
      <c r="G147" s="23">
        <v>0</v>
      </c>
      <c r="H147" s="23">
        <v>20250301</v>
      </c>
      <c r="I147" s="23" t="str">
        <f>TEXT(DATE(LEFT(H147,4), MID(H147,5,2), RIGHT(H147,2)), "M/d/yyyy")</f>
        <v>3/1/2025</v>
      </c>
      <c r="J147" s="25">
        <v>20180101</v>
      </c>
      <c r="K147" s="23" t="str">
        <f>TEXT(DATE(LEFT(J147,4), MID(J147,5,2), RIGHT(J147,2)), "M/d/yyyy")</f>
        <v>1/1/2018</v>
      </c>
      <c r="L147" s="24" t="s">
        <v>78</v>
      </c>
      <c r="M147" s="26">
        <v>1</v>
      </c>
      <c r="N147" s="25">
        <v>20</v>
      </c>
      <c r="O147" s="27">
        <v>20</v>
      </c>
      <c r="P147" s="22" t="s">
        <v>3831</v>
      </c>
    </row>
    <row r="148" spans="1:16" s="22" customFormat="1" ht="15" customHeight="1" x14ac:dyDescent="0.2">
      <c r="A148" s="22" t="s">
        <v>3777</v>
      </c>
      <c r="B148" s="22">
        <v>17437820</v>
      </c>
      <c r="C148" s="23">
        <v>1</v>
      </c>
      <c r="D148" s="23">
        <v>890666927</v>
      </c>
      <c r="E148" s="23">
        <v>890666927</v>
      </c>
      <c r="F148" s="24" t="s">
        <v>531</v>
      </c>
      <c r="G148" s="23">
        <v>0</v>
      </c>
      <c r="H148" s="23">
        <v>20250301</v>
      </c>
      <c r="I148" s="23" t="str">
        <f>TEXT(DATE(LEFT(H148,4), MID(H148,5,2), RIGHT(H148,2)), "M/d/yyyy")</f>
        <v>3/1/2025</v>
      </c>
      <c r="J148" s="25">
        <v>20180101</v>
      </c>
      <c r="K148" s="23" t="str">
        <f>TEXT(DATE(LEFT(J148,4), MID(J148,5,2), RIGHT(J148,2)), "M/d/yyyy")</f>
        <v>1/1/2018</v>
      </c>
      <c r="L148" s="24" t="s">
        <v>78</v>
      </c>
      <c r="M148" s="26">
        <v>1</v>
      </c>
      <c r="N148" s="25">
        <v>20</v>
      </c>
      <c r="O148" s="27">
        <v>20</v>
      </c>
      <c r="P148" s="22" t="s">
        <v>3831</v>
      </c>
    </row>
    <row r="149" spans="1:16" s="22" customFormat="1" ht="15" customHeight="1" x14ac:dyDescent="0.2">
      <c r="A149" s="22" t="s">
        <v>3777</v>
      </c>
      <c r="B149" s="22">
        <v>17437820</v>
      </c>
      <c r="C149" s="23">
        <v>1</v>
      </c>
      <c r="D149" s="23">
        <v>920740081</v>
      </c>
      <c r="E149" s="23">
        <v>920740081</v>
      </c>
      <c r="F149" s="24" t="s">
        <v>533</v>
      </c>
      <c r="G149" s="23">
        <v>0</v>
      </c>
      <c r="H149" s="23">
        <v>20250301</v>
      </c>
      <c r="I149" s="23" t="str">
        <f>TEXT(DATE(LEFT(H149,4), MID(H149,5,2), RIGHT(H149,2)), "M/d/yyyy")</f>
        <v>3/1/2025</v>
      </c>
      <c r="J149" s="25">
        <v>20200101</v>
      </c>
      <c r="K149" s="23" t="str">
        <f>TEXT(DATE(LEFT(J149,4), MID(J149,5,2), RIGHT(J149,2)), "M/d/yyyy")</f>
        <v>1/1/2020</v>
      </c>
      <c r="L149" s="24" t="s">
        <v>78</v>
      </c>
      <c r="M149" s="26">
        <v>1</v>
      </c>
      <c r="N149" s="25">
        <v>20</v>
      </c>
      <c r="O149" s="27">
        <v>20</v>
      </c>
      <c r="P149" s="22" t="s">
        <v>3831</v>
      </c>
    </row>
    <row r="150" spans="1:16" s="22" customFormat="1" ht="15" customHeight="1" x14ac:dyDescent="0.2">
      <c r="A150" s="22" t="s">
        <v>3777</v>
      </c>
      <c r="B150" s="22">
        <v>17437820</v>
      </c>
      <c r="C150" s="23">
        <v>1</v>
      </c>
      <c r="D150" s="23">
        <v>920870350</v>
      </c>
      <c r="E150" s="23">
        <v>920870350</v>
      </c>
      <c r="F150" s="24" t="s">
        <v>545</v>
      </c>
      <c r="G150" s="23">
        <v>0</v>
      </c>
      <c r="H150" s="23">
        <v>20250301</v>
      </c>
      <c r="I150" s="23" t="str">
        <f>TEXT(DATE(LEFT(H150,4), MID(H150,5,2), RIGHT(H150,2)), "M/d/yyyy")</f>
        <v>3/1/2025</v>
      </c>
      <c r="J150" s="25">
        <v>20180601</v>
      </c>
      <c r="K150" s="23" t="str">
        <f>TEXT(DATE(LEFT(J150,4), MID(J150,5,2), RIGHT(J150,2)), "M/d/yyyy")</f>
        <v>6/1/2018</v>
      </c>
      <c r="L150" s="24" t="s">
        <v>78</v>
      </c>
      <c r="M150" s="26">
        <v>1</v>
      </c>
      <c r="N150" s="25">
        <v>20</v>
      </c>
      <c r="O150" s="27">
        <v>20</v>
      </c>
      <c r="P150" s="22" t="s">
        <v>3831</v>
      </c>
    </row>
    <row r="151" spans="1:16" s="22" customFormat="1" ht="15" customHeight="1" x14ac:dyDescent="0.2">
      <c r="A151" s="22" t="s">
        <v>3777</v>
      </c>
      <c r="B151" s="22">
        <v>17437820</v>
      </c>
      <c r="C151" s="23">
        <v>1</v>
      </c>
      <c r="D151" s="23">
        <v>921022343</v>
      </c>
      <c r="E151" s="23">
        <v>921022343</v>
      </c>
      <c r="F151" s="24" t="s">
        <v>551</v>
      </c>
      <c r="G151" s="23">
        <v>0</v>
      </c>
      <c r="H151" s="23">
        <v>20250301</v>
      </c>
      <c r="I151" s="23" t="str">
        <f>TEXT(DATE(LEFT(H151,4), MID(H151,5,2), RIGHT(H151,2)), "M/d/yyyy")</f>
        <v>3/1/2025</v>
      </c>
      <c r="J151" s="25">
        <v>20190101</v>
      </c>
      <c r="K151" s="23" t="str">
        <f>TEXT(DATE(LEFT(J151,4), MID(J151,5,2), RIGHT(J151,2)), "M/d/yyyy")</f>
        <v>1/1/2019</v>
      </c>
      <c r="L151" s="24" t="s">
        <v>78</v>
      </c>
      <c r="M151" s="26">
        <v>1</v>
      </c>
      <c r="N151" s="25">
        <v>20</v>
      </c>
      <c r="O151" s="27">
        <v>20</v>
      </c>
      <c r="P151" s="22" t="s">
        <v>3831</v>
      </c>
    </row>
    <row r="152" spans="1:16" s="22" customFormat="1" ht="15" customHeight="1" x14ac:dyDescent="0.2">
      <c r="A152" s="22" t="s">
        <v>3777</v>
      </c>
      <c r="B152" s="22">
        <v>17437820</v>
      </c>
      <c r="C152" s="23">
        <v>1</v>
      </c>
      <c r="D152" s="23">
        <v>921149201</v>
      </c>
      <c r="E152" s="23">
        <v>921149201</v>
      </c>
      <c r="F152" s="24" t="s">
        <v>563</v>
      </c>
      <c r="G152" s="23">
        <v>0</v>
      </c>
      <c r="H152" s="23">
        <v>20250301</v>
      </c>
      <c r="I152" s="23" t="str">
        <f>TEXT(DATE(LEFT(H152,4), MID(H152,5,2), RIGHT(H152,2)), "M/d/yyyy")</f>
        <v>3/1/2025</v>
      </c>
      <c r="J152" s="25">
        <v>20200901</v>
      </c>
      <c r="K152" s="23" t="str">
        <f>TEXT(DATE(LEFT(J152,4), MID(J152,5,2), RIGHT(J152,2)), "M/d/yyyy")</f>
        <v>9/1/2020</v>
      </c>
      <c r="L152" s="24" t="s">
        <v>78</v>
      </c>
      <c r="M152" s="26">
        <v>1</v>
      </c>
      <c r="N152" s="25">
        <v>20</v>
      </c>
      <c r="O152" s="27">
        <v>20</v>
      </c>
      <c r="P152" s="22" t="s">
        <v>3831</v>
      </c>
    </row>
    <row r="153" spans="1:16" s="22" customFormat="1" ht="15" customHeight="1" x14ac:dyDescent="0.2">
      <c r="A153" s="22" t="s">
        <v>3777</v>
      </c>
      <c r="B153" s="22">
        <v>17437820</v>
      </c>
      <c r="C153" s="23">
        <v>1</v>
      </c>
      <c r="D153" s="23">
        <v>921168158</v>
      </c>
      <c r="E153" s="23">
        <v>921168158</v>
      </c>
      <c r="F153" s="24" t="s">
        <v>567</v>
      </c>
      <c r="G153" s="23">
        <v>0</v>
      </c>
      <c r="H153" s="23">
        <v>20250301</v>
      </c>
      <c r="I153" s="23" t="str">
        <f>TEXT(DATE(LEFT(H153,4), MID(H153,5,2), RIGHT(H153,2)), "M/d/yyyy")</f>
        <v>3/1/2025</v>
      </c>
      <c r="J153" s="25">
        <v>20221001</v>
      </c>
      <c r="K153" s="23" t="str">
        <f>TEXT(DATE(LEFT(J153,4), MID(J153,5,2), RIGHT(J153,2)), "M/d/yyyy")</f>
        <v>10/1/2022</v>
      </c>
      <c r="L153" s="24" t="s">
        <v>78</v>
      </c>
      <c r="M153" s="26">
        <v>1</v>
      </c>
      <c r="N153" s="25">
        <v>20</v>
      </c>
      <c r="O153" s="27">
        <v>20</v>
      </c>
      <c r="P153" s="22" t="s">
        <v>3831</v>
      </c>
    </row>
    <row r="154" spans="1:16" s="22" customFormat="1" ht="15" customHeight="1" x14ac:dyDescent="0.2">
      <c r="A154" s="22" t="s">
        <v>3777</v>
      </c>
      <c r="B154" s="22">
        <v>17437820</v>
      </c>
      <c r="C154" s="23">
        <v>1</v>
      </c>
      <c r="D154" s="23">
        <v>921533063</v>
      </c>
      <c r="E154" s="23">
        <v>921533063</v>
      </c>
      <c r="F154" s="24" t="s">
        <v>587</v>
      </c>
      <c r="G154" s="23">
        <v>0</v>
      </c>
      <c r="H154" s="23">
        <v>20250201</v>
      </c>
      <c r="I154" s="23" t="str">
        <f>TEXT(DATE(LEFT(H154,4), MID(H154,5,2), RIGHT(H154,2)), "M/d/yyyy")</f>
        <v>2/1/2025</v>
      </c>
      <c r="J154" s="25">
        <v>20201101</v>
      </c>
      <c r="K154" s="23" t="str">
        <f>TEXT(DATE(LEFT(J154,4), MID(J154,5,2), RIGHT(J154,2)), "M/d/yyyy")</f>
        <v>11/1/2020</v>
      </c>
      <c r="L154" s="24" t="s">
        <v>78</v>
      </c>
      <c r="M154" s="26">
        <v>1</v>
      </c>
      <c r="N154" s="25">
        <v>20</v>
      </c>
      <c r="O154" s="27">
        <v>20</v>
      </c>
      <c r="P154" s="22" t="s">
        <v>3831</v>
      </c>
    </row>
    <row r="155" spans="1:16" s="22" customFormat="1" ht="15" customHeight="1" x14ac:dyDescent="0.2">
      <c r="A155" s="22" t="s">
        <v>3777</v>
      </c>
      <c r="B155" s="22">
        <v>17437820</v>
      </c>
      <c r="C155" s="23">
        <v>1</v>
      </c>
      <c r="D155" s="23">
        <v>921542300</v>
      </c>
      <c r="E155" s="23">
        <v>921542300</v>
      </c>
      <c r="F155" s="24" t="s">
        <v>593</v>
      </c>
      <c r="G155" s="23">
        <v>0</v>
      </c>
      <c r="H155" s="23">
        <v>20250301</v>
      </c>
      <c r="I155" s="23" t="str">
        <f>TEXT(DATE(LEFT(H155,4), MID(H155,5,2), RIGHT(H155,2)), "M/d/yyyy")</f>
        <v>3/1/2025</v>
      </c>
      <c r="J155" s="25">
        <v>20210101</v>
      </c>
      <c r="K155" s="23" t="str">
        <f>TEXT(DATE(LEFT(J155,4), MID(J155,5,2), RIGHT(J155,2)), "M/d/yyyy")</f>
        <v>1/1/2021</v>
      </c>
      <c r="L155" s="24" t="s">
        <v>78</v>
      </c>
      <c r="M155" s="26">
        <v>1</v>
      </c>
      <c r="N155" s="25">
        <v>20</v>
      </c>
      <c r="O155" s="27">
        <v>20</v>
      </c>
      <c r="P155" s="22" t="s">
        <v>3831</v>
      </c>
    </row>
    <row r="156" spans="1:16" s="22" customFormat="1" ht="15" customHeight="1" x14ac:dyDescent="0.2">
      <c r="A156" s="22" t="s">
        <v>3777</v>
      </c>
      <c r="B156" s="22">
        <v>17437820</v>
      </c>
      <c r="C156" s="23">
        <v>1</v>
      </c>
      <c r="D156" s="23">
        <v>921566327</v>
      </c>
      <c r="E156" s="23">
        <v>921566327</v>
      </c>
      <c r="F156" s="24" t="s">
        <v>595</v>
      </c>
      <c r="G156" s="23">
        <v>0</v>
      </c>
      <c r="H156" s="23">
        <v>20250301</v>
      </c>
      <c r="I156" s="23" t="str">
        <f>TEXT(DATE(LEFT(H156,4), MID(H156,5,2), RIGHT(H156,2)), "M/d/yyyy")</f>
        <v>3/1/2025</v>
      </c>
      <c r="J156" s="25">
        <v>20210501</v>
      </c>
      <c r="K156" s="23" t="str">
        <f>TEXT(DATE(LEFT(J156,4), MID(J156,5,2), RIGHT(J156,2)), "M/d/yyyy")</f>
        <v>5/1/2021</v>
      </c>
      <c r="L156" s="24" t="s">
        <v>78</v>
      </c>
      <c r="M156" s="26">
        <v>1</v>
      </c>
      <c r="N156" s="25">
        <v>20</v>
      </c>
      <c r="O156" s="27">
        <v>20</v>
      </c>
      <c r="P156" s="22" t="s">
        <v>3831</v>
      </c>
    </row>
    <row r="157" spans="1:16" s="22" customFormat="1" ht="15" customHeight="1" x14ac:dyDescent="0.2">
      <c r="A157" s="22" t="s">
        <v>3777</v>
      </c>
      <c r="B157" s="22">
        <v>17437820</v>
      </c>
      <c r="C157" s="23">
        <v>1</v>
      </c>
      <c r="D157" s="23">
        <v>921613688</v>
      </c>
      <c r="E157" s="23">
        <v>921613688</v>
      </c>
      <c r="F157" s="24" t="s">
        <v>603</v>
      </c>
      <c r="G157" s="23">
        <v>0</v>
      </c>
      <c r="H157" s="23">
        <v>20250301</v>
      </c>
      <c r="I157" s="23" t="str">
        <f>TEXT(DATE(LEFT(H157,4), MID(H157,5,2), RIGHT(H157,2)), "M/d/yyyy")</f>
        <v>3/1/2025</v>
      </c>
      <c r="J157" s="25">
        <v>20220601</v>
      </c>
      <c r="K157" s="23" t="str">
        <f>TEXT(DATE(LEFT(J157,4), MID(J157,5,2), RIGHT(J157,2)), "M/d/yyyy")</f>
        <v>6/1/2022</v>
      </c>
      <c r="L157" s="24" t="s">
        <v>78</v>
      </c>
      <c r="M157" s="26">
        <v>1</v>
      </c>
      <c r="N157" s="25">
        <v>20</v>
      </c>
      <c r="O157" s="27">
        <v>20</v>
      </c>
      <c r="P157" s="22" t="s">
        <v>3831</v>
      </c>
    </row>
    <row r="158" spans="1:16" s="22" customFormat="1" ht="15" customHeight="1" x14ac:dyDescent="0.2">
      <c r="A158" s="22" t="s">
        <v>3777</v>
      </c>
      <c r="B158" s="22">
        <v>17437820</v>
      </c>
      <c r="C158" s="23">
        <v>1</v>
      </c>
      <c r="D158" s="23">
        <v>921641428</v>
      </c>
      <c r="E158" s="23">
        <v>921641428</v>
      </c>
      <c r="F158" s="24" t="s">
        <v>611</v>
      </c>
      <c r="G158" s="23">
        <v>0</v>
      </c>
      <c r="H158" s="23">
        <v>20250301</v>
      </c>
      <c r="I158" s="23" t="str">
        <f>TEXT(DATE(LEFT(H158,4), MID(H158,5,2), RIGHT(H158,2)), "M/d/yyyy")</f>
        <v>3/1/2025</v>
      </c>
      <c r="J158" s="25">
        <v>20230101</v>
      </c>
      <c r="K158" s="23" t="str">
        <f>TEXT(DATE(LEFT(J158,4), MID(J158,5,2), RIGHT(J158,2)), "M/d/yyyy")</f>
        <v>1/1/2023</v>
      </c>
      <c r="L158" s="24" t="s">
        <v>78</v>
      </c>
      <c r="M158" s="26">
        <v>1</v>
      </c>
      <c r="N158" s="25">
        <v>20</v>
      </c>
      <c r="O158" s="27">
        <v>20</v>
      </c>
      <c r="P158" s="22" t="s">
        <v>3831</v>
      </c>
    </row>
    <row r="159" spans="1:16" s="22" customFormat="1" ht="15" customHeight="1" x14ac:dyDescent="0.2">
      <c r="A159" s="22" t="s">
        <v>3777</v>
      </c>
      <c r="B159" s="22">
        <v>17437820</v>
      </c>
      <c r="C159" s="23">
        <v>1</v>
      </c>
      <c r="D159" s="23">
        <v>921662308</v>
      </c>
      <c r="E159" s="23">
        <v>921662308</v>
      </c>
      <c r="F159" s="24" t="s">
        <v>613</v>
      </c>
      <c r="G159" s="23">
        <v>0</v>
      </c>
      <c r="H159" s="23">
        <v>20250301</v>
      </c>
      <c r="I159" s="23" t="str">
        <f>TEXT(DATE(LEFT(H159,4), MID(H159,5,2), RIGHT(H159,2)), "M/d/yyyy")</f>
        <v>3/1/2025</v>
      </c>
      <c r="J159" s="25">
        <v>20230701</v>
      </c>
      <c r="K159" s="23" t="str">
        <f>TEXT(DATE(LEFT(J159,4), MID(J159,5,2), RIGHT(J159,2)), "M/d/yyyy")</f>
        <v>7/1/2023</v>
      </c>
      <c r="L159" s="24" t="s">
        <v>78</v>
      </c>
      <c r="M159" s="26">
        <v>1</v>
      </c>
      <c r="N159" s="25">
        <v>20</v>
      </c>
      <c r="O159" s="27">
        <v>20</v>
      </c>
      <c r="P159" s="22" t="s">
        <v>3831</v>
      </c>
    </row>
    <row r="160" spans="1:16" s="22" customFormat="1" ht="15" customHeight="1" x14ac:dyDescent="0.2">
      <c r="A160" s="22" t="s">
        <v>3777</v>
      </c>
      <c r="B160" s="22">
        <v>17437820</v>
      </c>
      <c r="C160" s="23">
        <v>1</v>
      </c>
      <c r="D160" s="23">
        <v>921662432</v>
      </c>
      <c r="E160" s="23">
        <v>921662432</v>
      </c>
      <c r="F160" s="24" t="s">
        <v>615</v>
      </c>
      <c r="G160" s="23">
        <v>0</v>
      </c>
      <c r="H160" s="23">
        <v>20250301</v>
      </c>
      <c r="I160" s="23" t="str">
        <f>TEXT(DATE(LEFT(H160,4), MID(H160,5,2), RIGHT(H160,2)), "M/d/yyyy")</f>
        <v>3/1/2025</v>
      </c>
      <c r="J160" s="25">
        <v>20230701</v>
      </c>
      <c r="K160" s="23" t="str">
        <f>TEXT(DATE(LEFT(J160,4), MID(J160,5,2), RIGHT(J160,2)), "M/d/yyyy")</f>
        <v>7/1/2023</v>
      </c>
      <c r="L160" s="24" t="s">
        <v>78</v>
      </c>
      <c r="M160" s="26">
        <v>1</v>
      </c>
      <c r="N160" s="25">
        <v>20</v>
      </c>
      <c r="O160" s="27">
        <v>20</v>
      </c>
      <c r="P160" s="22" t="s">
        <v>3831</v>
      </c>
    </row>
    <row r="161" spans="1:16" s="22" customFormat="1" ht="15" customHeight="1" x14ac:dyDescent="0.2">
      <c r="A161" s="22" t="s">
        <v>3777</v>
      </c>
      <c r="B161" s="22">
        <v>17437820</v>
      </c>
      <c r="C161" s="23">
        <v>1</v>
      </c>
      <c r="D161" s="23">
        <v>921738200</v>
      </c>
      <c r="E161" s="23">
        <v>921738200</v>
      </c>
      <c r="F161" s="24" t="s">
        <v>624</v>
      </c>
      <c r="G161" s="23">
        <v>0</v>
      </c>
      <c r="H161" s="23">
        <v>20250301</v>
      </c>
      <c r="I161" s="23" t="str">
        <f>TEXT(DATE(LEFT(H161,4), MID(H161,5,2), RIGHT(H161,2)), "M/d/yyyy")</f>
        <v>3/1/2025</v>
      </c>
      <c r="J161" s="25">
        <v>20240901</v>
      </c>
      <c r="K161" s="23" t="str">
        <f>TEXT(DATE(LEFT(J161,4), MID(J161,5,2), RIGHT(J161,2)), "M/d/yyyy")</f>
        <v>9/1/2024</v>
      </c>
      <c r="L161" s="24" t="s">
        <v>78</v>
      </c>
      <c r="M161" s="26">
        <v>1</v>
      </c>
      <c r="N161" s="25">
        <v>25</v>
      </c>
      <c r="O161" s="27">
        <v>25</v>
      </c>
      <c r="P161" s="22" t="s">
        <v>3831</v>
      </c>
    </row>
    <row r="162" spans="1:16" s="22" customFormat="1" ht="15" customHeight="1" x14ac:dyDescent="0.2">
      <c r="A162" s="22" t="s">
        <v>3777</v>
      </c>
      <c r="B162" s="22">
        <v>17437820</v>
      </c>
      <c r="C162" s="23">
        <v>2</v>
      </c>
      <c r="D162" s="23">
        <v>920781642</v>
      </c>
      <c r="E162" s="23">
        <v>920781642</v>
      </c>
      <c r="F162" s="24" t="s">
        <v>535</v>
      </c>
      <c r="G162" s="23">
        <v>0</v>
      </c>
      <c r="H162" s="23">
        <v>20250201</v>
      </c>
      <c r="I162" s="23" t="str">
        <f>TEXT(DATE(LEFT(H162,4), MID(H162,5,2), RIGHT(H162,2)), "M/d/yyyy")</f>
        <v>2/1/2025</v>
      </c>
      <c r="J162" s="25">
        <v>20140201</v>
      </c>
      <c r="K162" s="23" t="str">
        <f>TEXT(DATE(LEFT(J162,4), MID(J162,5,2), RIGHT(J162,2)), "M/d/yyyy")</f>
        <v>2/1/2014</v>
      </c>
      <c r="L162" s="24" t="s">
        <v>78</v>
      </c>
      <c r="M162" s="26">
        <v>1</v>
      </c>
      <c r="N162" s="25">
        <v>20</v>
      </c>
      <c r="O162" s="27">
        <v>40</v>
      </c>
      <c r="P162" s="22" t="s">
        <v>3831</v>
      </c>
    </row>
    <row r="163" spans="1:16" s="22" customFormat="1" ht="15" customHeight="1" x14ac:dyDescent="0.2">
      <c r="A163" s="22" t="s">
        <v>3777</v>
      </c>
      <c r="B163" s="22">
        <v>17437820</v>
      </c>
      <c r="C163" s="23">
        <v>2</v>
      </c>
      <c r="D163" s="23">
        <v>921395856</v>
      </c>
      <c r="E163" s="23">
        <v>921395856</v>
      </c>
      <c r="F163" s="24" t="s">
        <v>576</v>
      </c>
      <c r="G163" s="23">
        <v>0</v>
      </c>
      <c r="H163" s="23">
        <v>20250301</v>
      </c>
      <c r="I163" s="23" t="str">
        <f>TEXT(DATE(LEFT(H163,4), MID(H163,5,2), RIGHT(H163,2)), "M/d/yyyy")</f>
        <v>3/1/2025</v>
      </c>
      <c r="J163" s="25">
        <v>20180101</v>
      </c>
      <c r="K163" s="23" t="str">
        <f>TEXT(DATE(LEFT(J163,4), MID(J163,5,2), RIGHT(J163,2)), "M/d/yyyy")</f>
        <v>1/1/2018</v>
      </c>
      <c r="L163" s="24" t="s">
        <v>78</v>
      </c>
      <c r="M163" s="26">
        <v>1</v>
      </c>
      <c r="N163" s="25">
        <v>20</v>
      </c>
      <c r="O163" s="27">
        <v>40</v>
      </c>
      <c r="P163" s="22" t="s">
        <v>3831</v>
      </c>
    </row>
    <row r="164" spans="1:16" s="22" customFormat="1" ht="15" customHeight="1" x14ac:dyDescent="0.2">
      <c r="A164" s="22" t="s">
        <v>3777</v>
      </c>
      <c r="B164" s="22">
        <v>17437820</v>
      </c>
      <c r="C164" s="23">
        <v>2</v>
      </c>
      <c r="D164" s="23">
        <v>921421818</v>
      </c>
      <c r="E164" s="23">
        <v>921421818</v>
      </c>
      <c r="F164" s="24" t="s">
        <v>578</v>
      </c>
      <c r="G164" s="23">
        <v>0</v>
      </c>
      <c r="H164" s="23">
        <v>20250301</v>
      </c>
      <c r="I164" s="23" t="str">
        <f>TEXT(DATE(LEFT(H164,4), MID(H164,5,2), RIGHT(H164,2)), "M/d/yyyy")</f>
        <v>3/1/2025</v>
      </c>
      <c r="J164" s="25">
        <v>20191001</v>
      </c>
      <c r="K164" s="23" t="str">
        <f>TEXT(DATE(LEFT(J164,4), MID(J164,5,2), RIGHT(J164,2)), "M/d/yyyy")</f>
        <v>10/1/2019</v>
      </c>
      <c r="L164" s="24" t="s">
        <v>78</v>
      </c>
      <c r="M164" s="26">
        <v>1</v>
      </c>
      <c r="N164" s="25">
        <v>20</v>
      </c>
      <c r="O164" s="27">
        <v>40</v>
      </c>
      <c r="P164" s="22" t="s">
        <v>3831</v>
      </c>
    </row>
    <row r="165" spans="1:16" s="22" customFormat="1" ht="15" customHeight="1" x14ac:dyDescent="0.2">
      <c r="A165" s="22" t="s">
        <v>3777</v>
      </c>
      <c r="B165" s="22">
        <v>17437820</v>
      </c>
      <c r="C165" s="23">
        <v>2</v>
      </c>
      <c r="D165" s="23">
        <v>921570655</v>
      </c>
      <c r="E165" s="23">
        <v>921570655</v>
      </c>
      <c r="F165" s="24" t="s">
        <v>597</v>
      </c>
      <c r="G165" s="23">
        <v>0</v>
      </c>
      <c r="H165" s="23">
        <v>20250301</v>
      </c>
      <c r="I165" s="23" t="str">
        <f>TEXT(DATE(LEFT(H165,4), MID(H165,5,2), RIGHT(H165,2)), "M/d/yyyy")</f>
        <v>3/1/2025</v>
      </c>
      <c r="J165" s="25">
        <v>20210601</v>
      </c>
      <c r="K165" s="23" t="str">
        <f>TEXT(DATE(LEFT(J165,4), MID(J165,5,2), RIGHT(J165,2)), "M/d/yyyy")</f>
        <v>6/1/2021</v>
      </c>
      <c r="L165" s="24" t="s">
        <v>78</v>
      </c>
      <c r="M165" s="26">
        <v>1</v>
      </c>
      <c r="N165" s="25">
        <v>20</v>
      </c>
      <c r="O165" s="27">
        <v>40</v>
      </c>
      <c r="P165" s="22" t="s">
        <v>3831</v>
      </c>
    </row>
    <row r="166" spans="1:16" s="22" customFormat="1" ht="15" customHeight="1" x14ac:dyDescent="0.2">
      <c r="A166" s="22" t="s">
        <v>3777</v>
      </c>
      <c r="B166" s="22">
        <v>17437820</v>
      </c>
      <c r="C166" s="23">
        <v>2</v>
      </c>
      <c r="D166" s="23">
        <v>921715790</v>
      </c>
      <c r="E166" s="23">
        <v>921715790</v>
      </c>
      <c r="F166" s="24" t="s">
        <v>619</v>
      </c>
      <c r="G166" s="23">
        <v>0</v>
      </c>
      <c r="H166" s="23">
        <v>20250301</v>
      </c>
      <c r="I166" s="23" t="str">
        <f>TEXT(DATE(LEFT(H166,4), MID(H166,5,2), RIGHT(H166,2)), "M/d/yyyy")</f>
        <v>3/1/2025</v>
      </c>
      <c r="J166" s="25">
        <v>20240401</v>
      </c>
      <c r="K166" s="23" t="str">
        <f>TEXT(DATE(LEFT(J166,4), MID(J166,5,2), RIGHT(J166,2)), "M/d/yyyy")</f>
        <v>4/1/2024</v>
      </c>
      <c r="L166" s="24" t="s">
        <v>78</v>
      </c>
      <c r="M166" s="26">
        <v>1</v>
      </c>
      <c r="N166" s="25">
        <v>25</v>
      </c>
      <c r="O166" s="27">
        <v>50</v>
      </c>
      <c r="P166" s="22" t="s">
        <v>3831</v>
      </c>
    </row>
    <row r="167" spans="1:16" s="22" customFormat="1" ht="15" customHeight="1" x14ac:dyDescent="0.2">
      <c r="A167" s="22" t="s">
        <v>3777</v>
      </c>
      <c r="B167" s="22">
        <v>17437820</v>
      </c>
      <c r="C167" s="23">
        <v>2</v>
      </c>
      <c r="D167" s="23">
        <v>921734761</v>
      </c>
      <c r="E167" s="23">
        <v>921734761</v>
      </c>
      <c r="F167" s="24" t="s">
        <v>622</v>
      </c>
      <c r="G167" s="23">
        <v>0</v>
      </c>
      <c r="H167" s="23">
        <v>20250301</v>
      </c>
      <c r="I167" s="23" t="str">
        <f>TEXT(DATE(LEFT(H167,4), MID(H167,5,2), RIGHT(H167,2)), "M/d/yyyy")</f>
        <v>3/1/2025</v>
      </c>
      <c r="J167" s="25">
        <v>20240801</v>
      </c>
      <c r="K167" s="23" t="str">
        <f>TEXT(DATE(LEFT(J167,4), MID(J167,5,2), RIGHT(J167,2)), "M/d/yyyy")</f>
        <v>8/1/2024</v>
      </c>
      <c r="L167" s="24" t="s">
        <v>78</v>
      </c>
      <c r="M167" s="26">
        <v>1</v>
      </c>
      <c r="N167" s="25">
        <v>25</v>
      </c>
      <c r="O167" s="27">
        <v>50</v>
      </c>
      <c r="P167" s="22" t="s">
        <v>3831</v>
      </c>
    </row>
    <row r="168" spans="1:16" s="22" customFormat="1" ht="15" customHeight="1" x14ac:dyDescent="0.2">
      <c r="A168" s="22" t="s">
        <v>3777</v>
      </c>
      <c r="B168" s="22">
        <v>17437820</v>
      </c>
      <c r="C168" s="23">
        <v>2</v>
      </c>
      <c r="D168" s="23">
        <v>921751990</v>
      </c>
      <c r="E168" s="23">
        <v>921751990</v>
      </c>
      <c r="F168" s="24" t="s">
        <v>626</v>
      </c>
      <c r="G168" s="23">
        <v>0</v>
      </c>
      <c r="H168" s="23">
        <v>20250301</v>
      </c>
      <c r="I168" s="23" t="str">
        <f>TEXT(DATE(LEFT(H168,4), MID(H168,5,2), RIGHT(H168,2)), "M/d/yyyy")</f>
        <v>3/1/2025</v>
      </c>
      <c r="J168" s="25">
        <v>20250101</v>
      </c>
      <c r="K168" s="23" t="str">
        <f>TEXT(DATE(LEFT(J168,4), MID(J168,5,2), RIGHT(J168,2)), "M/d/yyyy")</f>
        <v>1/1/2025</v>
      </c>
      <c r="L168" s="24" t="s">
        <v>78</v>
      </c>
      <c r="M168" s="26">
        <v>1</v>
      </c>
      <c r="N168" s="25">
        <v>25</v>
      </c>
      <c r="O168" s="27">
        <v>50</v>
      </c>
      <c r="P168" s="22" t="s">
        <v>3831</v>
      </c>
    </row>
    <row r="169" spans="1:16" s="22" customFormat="1" ht="15" customHeight="1" x14ac:dyDescent="0.2">
      <c r="A169" s="22" t="s">
        <v>3777</v>
      </c>
      <c r="B169" s="22">
        <v>17437820</v>
      </c>
      <c r="C169" s="23">
        <v>4</v>
      </c>
      <c r="D169" s="23">
        <v>890008999</v>
      </c>
      <c r="E169" s="23">
        <v>890008999</v>
      </c>
      <c r="F169" s="24" t="s">
        <v>512</v>
      </c>
      <c r="G169" s="23">
        <v>0</v>
      </c>
      <c r="H169" s="23">
        <v>20250301</v>
      </c>
      <c r="I169" s="23" t="str">
        <f>TEXT(DATE(LEFT(H169,4), MID(H169,5,2), RIGHT(H169,2)), "M/d/yyyy")</f>
        <v>3/1/2025</v>
      </c>
      <c r="J169" s="25">
        <v>20200101</v>
      </c>
      <c r="K169" s="23" t="str">
        <f>TEXT(DATE(LEFT(J169,4), MID(J169,5,2), RIGHT(J169,2)), "M/d/yyyy")</f>
        <v>1/1/2020</v>
      </c>
      <c r="L169" s="24" t="s">
        <v>78</v>
      </c>
      <c r="M169" s="26">
        <v>1</v>
      </c>
      <c r="N169" s="25">
        <v>20</v>
      </c>
      <c r="O169" s="27">
        <v>80</v>
      </c>
      <c r="P169" s="22" t="s">
        <v>3831</v>
      </c>
    </row>
    <row r="170" spans="1:16" s="22" customFormat="1" ht="15" customHeight="1" x14ac:dyDescent="0.2">
      <c r="A170" s="22" t="s">
        <v>3777</v>
      </c>
      <c r="B170" s="22">
        <v>17437820</v>
      </c>
      <c r="C170" s="23">
        <v>4</v>
      </c>
      <c r="D170" s="23">
        <v>921703384</v>
      </c>
      <c r="E170" s="23">
        <v>921703384</v>
      </c>
      <c r="F170" s="24" t="s">
        <v>617</v>
      </c>
      <c r="G170" s="23">
        <v>0</v>
      </c>
      <c r="H170" s="23">
        <v>20250301</v>
      </c>
      <c r="I170" s="23" t="str">
        <f>TEXT(DATE(LEFT(H170,4), MID(H170,5,2), RIGHT(H170,2)), "M/d/yyyy")</f>
        <v>3/1/2025</v>
      </c>
      <c r="J170" s="25">
        <v>20240101</v>
      </c>
      <c r="K170" s="23" t="str">
        <f>TEXT(DATE(LEFT(J170,4), MID(J170,5,2), RIGHT(J170,2)), "M/d/yyyy")</f>
        <v>1/1/2024</v>
      </c>
      <c r="L170" s="24" t="s">
        <v>78</v>
      </c>
      <c r="M170" s="26">
        <v>1</v>
      </c>
      <c r="N170" s="25">
        <v>20</v>
      </c>
      <c r="O170" s="27">
        <v>80</v>
      </c>
      <c r="P170" s="22" t="s">
        <v>3831</v>
      </c>
    </row>
    <row r="171" spans="1:16" s="22" customFormat="1" ht="15" customHeight="1" x14ac:dyDescent="0.2">
      <c r="A171" s="22" t="s">
        <v>3805</v>
      </c>
      <c r="B171" s="22">
        <v>8325282</v>
      </c>
      <c r="C171" s="23">
        <v>1</v>
      </c>
      <c r="D171" s="23">
        <v>890114150</v>
      </c>
      <c r="E171" s="23">
        <v>890114150</v>
      </c>
      <c r="F171" s="24" t="s">
        <v>3146</v>
      </c>
      <c r="G171" s="23">
        <v>0</v>
      </c>
      <c r="H171" s="23">
        <v>20250201</v>
      </c>
      <c r="I171" s="23" t="str">
        <f>TEXT(DATE(LEFT(H171,4), MID(H171,5,2), RIGHT(H171,2)), "M/d/yyyy")</f>
        <v>2/1/2025</v>
      </c>
      <c r="J171" s="25">
        <v>20150201</v>
      </c>
      <c r="K171" s="23" t="str">
        <f>TEXT(DATE(LEFT(J171,4), MID(J171,5,2), RIGHT(J171,2)), "M/d/yyyy")</f>
        <v>2/1/2015</v>
      </c>
      <c r="L171" s="24" t="s">
        <v>78</v>
      </c>
      <c r="M171" s="26">
        <v>1</v>
      </c>
      <c r="N171" s="25">
        <v>20</v>
      </c>
      <c r="O171" s="27">
        <v>20</v>
      </c>
      <c r="P171" s="22" t="s">
        <v>3831</v>
      </c>
    </row>
    <row r="172" spans="1:16" s="22" customFormat="1" ht="15" customHeight="1" x14ac:dyDescent="0.2">
      <c r="A172" s="22" t="s">
        <v>3805</v>
      </c>
      <c r="B172" s="22">
        <v>8325282</v>
      </c>
      <c r="C172" s="23">
        <v>1</v>
      </c>
      <c r="D172" s="23">
        <v>890282791</v>
      </c>
      <c r="E172" s="23">
        <v>890282791</v>
      </c>
      <c r="F172" s="24" t="s">
        <v>3148</v>
      </c>
      <c r="G172" s="23">
        <v>0</v>
      </c>
      <c r="H172" s="23">
        <v>20250301</v>
      </c>
      <c r="I172" s="23" t="str">
        <f>TEXT(DATE(LEFT(H172,4), MID(H172,5,2), RIGHT(H172,2)), "M/d/yyyy")</f>
        <v>3/1/2025</v>
      </c>
      <c r="J172" s="25">
        <v>20140301</v>
      </c>
      <c r="K172" s="23" t="str">
        <f>TEXT(DATE(LEFT(J172,4), MID(J172,5,2), RIGHT(J172,2)), "M/d/yyyy")</f>
        <v>3/1/2014</v>
      </c>
      <c r="L172" s="24" t="s">
        <v>78</v>
      </c>
      <c r="M172" s="26">
        <v>1</v>
      </c>
      <c r="N172" s="25">
        <v>20</v>
      </c>
      <c r="O172" s="27">
        <v>20</v>
      </c>
      <c r="P172" s="22" t="s">
        <v>3831</v>
      </c>
    </row>
    <row r="173" spans="1:16" s="22" customFormat="1" ht="15" customHeight="1" x14ac:dyDescent="0.2">
      <c r="A173" s="22" t="s">
        <v>3805</v>
      </c>
      <c r="B173" s="22">
        <v>8325282</v>
      </c>
      <c r="C173" s="23">
        <v>1</v>
      </c>
      <c r="D173" s="23">
        <v>921096589</v>
      </c>
      <c r="E173" s="23">
        <v>921096589</v>
      </c>
      <c r="F173" s="24" t="s">
        <v>3164</v>
      </c>
      <c r="G173" s="23">
        <v>0</v>
      </c>
      <c r="H173" s="23">
        <v>20250301</v>
      </c>
      <c r="I173" s="23" t="str">
        <f>TEXT(DATE(LEFT(H173,4), MID(H173,5,2), RIGHT(H173,2)), "M/d/yyyy")</f>
        <v>3/1/2025</v>
      </c>
      <c r="J173" s="25">
        <v>20220201</v>
      </c>
      <c r="K173" s="23" t="str">
        <f>TEXT(DATE(LEFT(J173,4), MID(J173,5,2), RIGHT(J173,2)), "M/d/yyyy")</f>
        <v>2/1/2022</v>
      </c>
      <c r="L173" s="24" t="s">
        <v>78</v>
      </c>
      <c r="M173" s="26">
        <v>1</v>
      </c>
      <c r="N173" s="25">
        <v>20</v>
      </c>
      <c r="O173" s="27">
        <v>20</v>
      </c>
      <c r="P173" s="22" t="s">
        <v>3831</v>
      </c>
    </row>
    <row r="174" spans="1:16" s="22" customFormat="1" ht="15" customHeight="1" x14ac:dyDescent="0.2">
      <c r="A174" s="22" t="s">
        <v>3805</v>
      </c>
      <c r="B174" s="22">
        <v>8325282</v>
      </c>
      <c r="C174" s="23">
        <v>1</v>
      </c>
      <c r="D174" s="23">
        <v>921147211</v>
      </c>
      <c r="E174" s="23">
        <v>921147211</v>
      </c>
      <c r="F174" s="24" t="s">
        <v>3166</v>
      </c>
      <c r="G174" s="23">
        <v>0</v>
      </c>
      <c r="H174" s="23">
        <v>20250301</v>
      </c>
      <c r="I174" s="23" t="str">
        <f>TEXT(DATE(LEFT(H174,4), MID(H174,5,2), RIGHT(H174,2)), "M/d/yyyy")</f>
        <v>3/1/2025</v>
      </c>
      <c r="J174" s="25">
        <v>20190101</v>
      </c>
      <c r="K174" s="23" t="str">
        <f>TEXT(DATE(LEFT(J174,4), MID(J174,5,2), RIGHT(J174,2)), "M/d/yyyy")</f>
        <v>1/1/2019</v>
      </c>
      <c r="L174" s="24" t="s">
        <v>78</v>
      </c>
      <c r="M174" s="26">
        <v>1</v>
      </c>
      <c r="N174" s="25">
        <v>20</v>
      </c>
      <c r="O174" s="27">
        <v>20</v>
      </c>
      <c r="P174" s="22" t="s">
        <v>3831</v>
      </c>
    </row>
    <row r="175" spans="1:16" s="22" customFormat="1" ht="15" customHeight="1" x14ac:dyDescent="0.2">
      <c r="A175" s="22" t="s">
        <v>3805</v>
      </c>
      <c r="B175" s="22">
        <v>8325282</v>
      </c>
      <c r="C175" s="23">
        <v>1</v>
      </c>
      <c r="D175" s="23">
        <v>921258054</v>
      </c>
      <c r="E175" s="23">
        <v>921258054</v>
      </c>
      <c r="F175" s="24" t="s">
        <v>3168</v>
      </c>
      <c r="G175" s="23">
        <v>0</v>
      </c>
      <c r="H175" s="23">
        <v>20250201</v>
      </c>
      <c r="I175" s="23" t="str">
        <f>TEXT(DATE(LEFT(H175,4), MID(H175,5,2), RIGHT(H175,2)), "M/d/yyyy")</f>
        <v>2/1/2025</v>
      </c>
      <c r="J175" s="25">
        <v>20230701</v>
      </c>
      <c r="K175" s="23" t="str">
        <f>TEXT(DATE(LEFT(J175,4), MID(J175,5,2), RIGHT(J175,2)), "M/d/yyyy")</f>
        <v>7/1/2023</v>
      </c>
      <c r="L175" s="24" t="s">
        <v>78</v>
      </c>
      <c r="M175" s="26">
        <v>1</v>
      </c>
      <c r="N175" s="25">
        <v>20</v>
      </c>
      <c r="O175" s="27">
        <v>20</v>
      </c>
      <c r="P175" s="22" t="s">
        <v>3831</v>
      </c>
    </row>
    <row r="176" spans="1:16" s="22" customFormat="1" ht="15" customHeight="1" x14ac:dyDescent="0.2">
      <c r="A176" s="22" t="s">
        <v>3805</v>
      </c>
      <c r="B176" s="22">
        <v>8325282</v>
      </c>
      <c r="C176" s="23">
        <v>1</v>
      </c>
      <c r="D176" s="23">
        <v>921366382</v>
      </c>
      <c r="E176" s="23">
        <v>921366382</v>
      </c>
      <c r="F176" s="24" t="s">
        <v>3173</v>
      </c>
      <c r="G176" s="23">
        <v>0</v>
      </c>
      <c r="H176" s="23">
        <v>20250301</v>
      </c>
      <c r="I176" s="23" t="str">
        <f>TEXT(DATE(LEFT(H176,4), MID(H176,5,2), RIGHT(H176,2)), "M/d/yyyy")</f>
        <v>3/1/2025</v>
      </c>
      <c r="J176" s="25">
        <v>20180101</v>
      </c>
      <c r="K176" s="23" t="str">
        <f>TEXT(DATE(LEFT(J176,4), MID(J176,5,2), RIGHT(J176,2)), "M/d/yyyy")</f>
        <v>1/1/2018</v>
      </c>
      <c r="L176" s="24" t="s">
        <v>78</v>
      </c>
      <c r="M176" s="26">
        <v>1</v>
      </c>
      <c r="N176" s="25">
        <v>20</v>
      </c>
      <c r="O176" s="27">
        <v>20</v>
      </c>
      <c r="P176" s="22" t="s">
        <v>3831</v>
      </c>
    </row>
    <row r="177" spans="1:16" s="22" customFormat="1" ht="15" customHeight="1" x14ac:dyDescent="0.2">
      <c r="A177" s="22" t="s">
        <v>3805</v>
      </c>
      <c r="B177" s="22">
        <v>8325282</v>
      </c>
      <c r="C177" s="23">
        <v>1</v>
      </c>
      <c r="D177" s="23">
        <v>921437252</v>
      </c>
      <c r="E177" s="23">
        <v>921437252</v>
      </c>
      <c r="F177" s="24" t="s">
        <v>3189</v>
      </c>
      <c r="G177" s="23">
        <v>0</v>
      </c>
      <c r="H177" s="23">
        <v>20250301</v>
      </c>
      <c r="I177" s="23" t="str">
        <f>TEXT(DATE(LEFT(H177,4), MID(H177,5,2), RIGHT(H177,2)), "M/d/yyyy")</f>
        <v>3/1/2025</v>
      </c>
      <c r="J177" s="25">
        <v>20181101</v>
      </c>
      <c r="K177" s="23" t="str">
        <f>TEXT(DATE(LEFT(J177,4), MID(J177,5,2), RIGHT(J177,2)), "M/d/yyyy")</f>
        <v>11/1/2018</v>
      </c>
      <c r="L177" s="24" t="s">
        <v>78</v>
      </c>
      <c r="M177" s="26">
        <v>1</v>
      </c>
      <c r="N177" s="25">
        <v>20</v>
      </c>
      <c r="O177" s="27">
        <v>20</v>
      </c>
      <c r="P177" s="22" t="s">
        <v>3831</v>
      </c>
    </row>
    <row r="178" spans="1:16" s="22" customFormat="1" ht="15" customHeight="1" x14ac:dyDescent="0.2">
      <c r="A178" s="22" t="s">
        <v>3805</v>
      </c>
      <c r="B178" s="22">
        <v>8325282</v>
      </c>
      <c r="C178" s="23">
        <v>1</v>
      </c>
      <c r="D178" s="23">
        <v>921437502</v>
      </c>
      <c r="E178" s="23">
        <v>921437502</v>
      </c>
      <c r="F178" s="24" t="s">
        <v>3191</v>
      </c>
      <c r="G178" s="23">
        <v>0</v>
      </c>
      <c r="H178" s="23">
        <v>20250301</v>
      </c>
      <c r="I178" s="23" t="str">
        <f>TEXT(DATE(LEFT(H178,4), MID(H178,5,2), RIGHT(H178,2)), "M/d/yyyy")</f>
        <v>3/1/2025</v>
      </c>
      <c r="J178" s="25">
        <v>20190101</v>
      </c>
      <c r="K178" s="23" t="str">
        <f>TEXT(DATE(LEFT(J178,4), MID(J178,5,2), RIGHT(J178,2)), "M/d/yyyy")</f>
        <v>1/1/2019</v>
      </c>
      <c r="L178" s="24" t="s">
        <v>78</v>
      </c>
      <c r="M178" s="26">
        <v>1</v>
      </c>
      <c r="N178" s="25">
        <v>20</v>
      </c>
      <c r="O178" s="27">
        <v>20</v>
      </c>
      <c r="P178" s="22" t="s">
        <v>3831</v>
      </c>
    </row>
    <row r="179" spans="1:16" s="22" customFormat="1" ht="15" customHeight="1" x14ac:dyDescent="0.2">
      <c r="A179" s="22" t="s">
        <v>3805</v>
      </c>
      <c r="B179" s="22">
        <v>8325282</v>
      </c>
      <c r="C179" s="23">
        <v>1</v>
      </c>
      <c r="D179" s="23">
        <v>921550979</v>
      </c>
      <c r="E179" s="23">
        <v>921550979</v>
      </c>
      <c r="F179" s="24" t="s">
        <v>3207</v>
      </c>
      <c r="G179" s="23">
        <v>0</v>
      </c>
      <c r="H179" s="23">
        <v>20250201</v>
      </c>
      <c r="I179" s="23" t="str">
        <f>TEXT(DATE(LEFT(H179,4), MID(H179,5,2), RIGHT(H179,2)), "M/d/yyyy")</f>
        <v>2/1/2025</v>
      </c>
      <c r="J179" s="25">
        <v>20210101</v>
      </c>
      <c r="K179" s="23" t="str">
        <f>TEXT(DATE(LEFT(J179,4), MID(J179,5,2), RIGHT(J179,2)), "M/d/yyyy")</f>
        <v>1/1/2021</v>
      </c>
      <c r="L179" s="24" t="s">
        <v>78</v>
      </c>
      <c r="M179" s="26">
        <v>1</v>
      </c>
      <c r="N179" s="25">
        <v>20</v>
      </c>
      <c r="O179" s="27">
        <v>20</v>
      </c>
      <c r="P179" s="22" t="s">
        <v>3831</v>
      </c>
    </row>
    <row r="180" spans="1:16" s="22" customFormat="1" ht="15" customHeight="1" x14ac:dyDescent="0.2">
      <c r="A180" s="22" t="s">
        <v>3805</v>
      </c>
      <c r="B180" s="22">
        <v>8325282</v>
      </c>
      <c r="C180" s="23">
        <v>1</v>
      </c>
      <c r="D180" s="23">
        <v>921558157</v>
      </c>
      <c r="E180" s="23">
        <v>921558157</v>
      </c>
      <c r="F180" s="24" t="s">
        <v>3209</v>
      </c>
      <c r="G180" s="23">
        <v>0</v>
      </c>
      <c r="H180" s="23">
        <v>20250301</v>
      </c>
      <c r="I180" s="23" t="str">
        <f>TEXT(DATE(LEFT(H180,4), MID(H180,5,2), RIGHT(H180,2)), "M/d/yyyy")</f>
        <v>3/1/2025</v>
      </c>
      <c r="J180" s="25">
        <v>20210301</v>
      </c>
      <c r="K180" s="23" t="str">
        <f>TEXT(DATE(LEFT(J180,4), MID(J180,5,2), RIGHT(J180,2)), "M/d/yyyy")</f>
        <v>3/1/2021</v>
      </c>
      <c r="L180" s="24" t="s">
        <v>78</v>
      </c>
      <c r="M180" s="26">
        <v>1</v>
      </c>
      <c r="N180" s="25">
        <v>20</v>
      </c>
      <c r="O180" s="27">
        <v>20</v>
      </c>
      <c r="P180" s="22" t="s">
        <v>3831</v>
      </c>
    </row>
    <row r="181" spans="1:16" s="22" customFormat="1" ht="15" customHeight="1" x14ac:dyDescent="0.2">
      <c r="A181" s="22" t="s">
        <v>3805</v>
      </c>
      <c r="B181" s="22">
        <v>8325282</v>
      </c>
      <c r="C181" s="23">
        <v>1</v>
      </c>
      <c r="D181" s="23">
        <v>921564156</v>
      </c>
      <c r="E181" s="23">
        <v>921564156</v>
      </c>
      <c r="F181" s="24" t="s">
        <v>3215</v>
      </c>
      <c r="G181" s="23">
        <v>0</v>
      </c>
      <c r="H181" s="23">
        <v>20250301</v>
      </c>
      <c r="I181" s="23" t="str">
        <f>TEXT(DATE(LEFT(H181,4), MID(H181,5,2), RIGHT(H181,2)), "M/d/yyyy")</f>
        <v>3/1/2025</v>
      </c>
      <c r="J181" s="25">
        <v>20210501</v>
      </c>
      <c r="K181" s="23" t="str">
        <f>TEXT(DATE(LEFT(J181,4), MID(J181,5,2), RIGHT(J181,2)), "M/d/yyyy")</f>
        <v>5/1/2021</v>
      </c>
      <c r="L181" s="24" t="s">
        <v>78</v>
      </c>
      <c r="M181" s="26">
        <v>1</v>
      </c>
      <c r="N181" s="25">
        <v>20</v>
      </c>
      <c r="O181" s="27">
        <v>20</v>
      </c>
      <c r="P181" s="22" t="s">
        <v>3831</v>
      </c>
    </row>
    <row r="182" spans="1:16" s="22" customFormat="1" ht="15" customHeight="1" x14ac:dyDescent="0.2">
      <c r="A182" s="22" t="s">
        <v>3805</v>
      </c>
      <c r="B182" s="22">
        <v>8325282</v>
      </c>
      <c r="C182" s="23">
        <v>1</v>
      </c>
      <c r="D182" s="23">
        <v>921566575</v>
      </c>
      <c r="E182" s="23">
        <v>921566575</v>
      </c>
      <c r="F182" s="24" t="s">
        <v>3217</v>
      </c>
      <c r="G182" s="23">
        <v>0</v>
      </c>
      <c r="H182" s="23">
        <v>20250301</v>
      </c>
      <c r="I182" s="23" t="str">
        <f>TEXT(DATE(LEFT(H182,4), MID(H182,5,2), RIGHT(H182,2)), "M/d/yyyy")</f>
        <v>3/1/2025</v>
      </c>
      <c r="J182" s="25">
        <v>20210501</v>
      </c>
      <c r="K182" s="23" t="str">
        <f>TEXT(DATE(LEFT(J182,4), MID(J182,5,2), RIGHT(J182,2)), "M/d/yyyy")</f>
        <v>5/1/2021</v>
      </c>
      <c r="L182" s="24" t="s">
        <v>78</v>
      </c>
      <c r="M182" s="26">
        <v>1</v>
      </c>
      <c r="N182" s="25">
        <v>20</v>
      </c>
      <c r="O182" s="27">
        <v>20</v>
      </c>
      <c r="P182" s="22" t="s">
        <v>3831</v>
      </c>
    </row>
    <row r="183" spans="1:16" s="22" customFormat="1" ht="15" customHeight="1" x14ac:dyDescent="0.2">
      <c r="A183" s="22" t="s">
        <v>3805</v>
      </c>
      <c r="B183" s="22">
        <v>8325282</v>
      </c>
      <c r="C183" s="23">
        <v>1</v>
      </c>
      <c r="D183" s="23">
        <v>921604912</v>
      </c>
      <c r="E183" s="23">
        <v>921604912</v>
      </c>
      <c r="F183" s="24" t="s">
        <v>3225</v>
      </c>
      <c r="G183" s="23">
        <v>0</v>
      </c>
      <c r="H183" s="23">
        <v>20250301</v>
      </c>
      <c r="I183" s="23" t="str">
        <f>TEXT(DATE(LEFT(H183,4), MID(H183,5,2), RIGHT(H183,2)), "M/d/yyyy")</f>
        <v>3/1/2025</v>
      </c>
      <c r="J183" s="25">
        <v>20220201</v>
      </c>
      <c r="K183" s="23" t="str">
        <f>TEXT(DATE(LEFT(J183,4), MID(J183,5,2), RIGHT(J183,2)), "M/d/yyyy")</f>
        <v>2/1/2022</v>
      </c>
      <c r="L183" s="24" t="s">
        <v>78</v>
      </c>
      <c r="M183" s="26">
        <v>1</v>
      </c>
      <c r="N183" s="25">
        <v>20</v>
      </c>
      <c r="O183" s="27">
        <v>20</v>
      </c>
      <c r="P183" s="22" t="s">
        <v>3831</v>
      </c>
    </row>
    <row r="184" spans="1:16" s="22" customFormat="1" ht="15" customHeight="1" x14ac:dyDescent="0.2">
      <c r="A184" s="22" t="s">
        <v>3805</v>
      </c>
      <c r="B184" s="22">
        <v>8325282</v>
      </c>
      <c r="C184" s="23">
        <v>1</v>
      </c>
      <c r="D184" s="23">
        <v>921614006</v>
      </c>
      <c r="E184" s="23">
        <v>921614006</v>
      </c>
      <c r="F184" s="24" t="s">
        <v>3229</v>
      </c>
      <c r="G184" s="23">
        <v>0</v>
      </c>
      <c r="H184" s="23">
        <v>20250301</v>
      </c>
      <c r="I184" s="23" t="str">
        <f>TEXT(DATE(LEFT(H184,4), MID(H184,5,2), RIGHT(H184,2)), "M/d/yyyy")</f>
        <v>3/1/2025</v>
      </c>
      <c r="J184" s="25">
        <v>20220601</v>
      </c>
      <c r="K184" s="23" t="str">
        <f>TEXT(DATE(LEFT(J184,4), MID(J184,5,2), RIGHT(J184,2)), "M/d/yyyy")</f>
        <v>6/1/2022</v>
      </c>
      <c r="L184" s="24" t="s">
        <v>78</v>
      </c>
      <c r="M184" s="26">
        <v>1</v>
      </c>
      <c r="N184" s="25">
        <v>20</v>
      </c>
      <c r="O184" s="27">
        <v>20</v>
      </c>
      <c r="P184" s="22" t="s">
        <v>3831</v>
      </c>
    </row>
    <row r="185" spans="1:16" s="22" customFormat="1" ht="15" customHeight="1" x14ac:dyDescent="0.2">
      <c r="A185" s="22" t="s">
        <v>3805</v>
      </c>
      <c r="B185" s="22">
        <v>8325282</v>
      </c>
      <c r="C185" s="23">
        <v>1</v>
      </c>
      <c r="D185" s="23">
        <v>921640725</v>
      </c>
      <c r="E185" s="23">
        <v>921640725</v>
      </c>
      <c r="F185" s="24" t="s">
        <v>3237</v>
      </c>
      <c r="G185" s="23">
        <v>0</v>
      </c>
      <c r="H185" s="23">
        <v>20250301</v>
      </c>
      <c r="I185" s="23" t="str">
        <f>TEXT(DATE(LEFT(H185,4), MID(H185,5,2), RIGHT(H185,2)), "M/d/yyyy")</f>
        <v>3/1/2025</v>
      </c>
      <c r="J185" s="25">
        <v>20230101</v>
      </c>
      <c r="K185" s="23" t="str">
        <f>TEXT(DATE(LEFT(J185,4), MID(J185,5,2), RIGHT(J185,2)), "M/d/yyyy")</f>
        <v>1/1/2023</v>
      </c>
      <c r="L185" s="24" t="s">
        <v>78</v>
      </c>
      <c r="M185" s="26">
        <v>1</v>
      </c>
      <c r="N185" s="25">
        <v>20</v>
      </c>
      <c r="O185" s="27">
        <v>20</v>
      </c>
      <c r="P185" s="22" t="s">
        <v>3831</v>
      </c>
    </row>
    <row r="186" spans="1:16" s="22" customFormat="1" ht="15" customHeight="1" x14ac:dyDescent="0.2">
      <c r="A186" s="22" t="s">
        <v>3805</v>
      </c>
      <c r="B186" s="22">
        <v>8325282</v>
      </c>
      <c r="C186" s="23">
        <v>1</v>
      </c>
      <c r="D186" s="23">
        <v>921651490</v>
      </c>
      <c r="E186" s="23">
        <v>921651490</v>
      </c>
      <c r="F186" s="24" t="s">
        <v>3239</v>
      </c>
      <c r="G186" s="23">
        <v>0</v>
      </c>
      <c r="H186" s="23">
        <v>20250301</v>
      </c>
      <c r="I186" s="23" t="str">
        <f>TEXT(DATE(LEFT(H186,4), MID(H186,5,2), RIGHT(H186,2)), "M/d/yyyy")</f>
        <v>3/1/2025</v>
      </c>
      <c r="J186" s="25">
        <v>20230201</v>
      </c>
      <c r="K186" s="23" t="str">
        <f>TEXT(DATE(LEFT(J186,4), MID(J186,5,2), RIGHT(J186,2)), "M/d/yyyy")</f>
        <v>2/1/2023</v>
      </c>
      <c r="L186" s="24" t="s">
        <v>78</v>
      </c>
      <c r="M186" s="26">
        <v>1</v>
      </c>
      <c r="N186" s="25">
        <v>20</v>
      </c>
      <c r="O186" s="27">
        <v>20</v>
      </c>
      <c r="P186" s="22" t="s">
        <v>3831</v>
      </c>
    </row>
    <row r="187" spans="1:16" s="22" customFormat="1" ht="15" customHeight="1" x14ac:dyDescent="0.2">
      <c r="A187" s="22" t="s">
        <v>3805</v>
      </c>
      <c r="B187" s="22">
        <v>8325282</v>
      </c>
      <c r="C187" s="23">
        <v>1</v>
      </c>
      <c r="D187" s="23">
        <v>921655328</v>
      </c>
      <c r="E187" s="23">
        <v>921655328</v>
      </c>
      <c r="F187" s="24" t="s">
        <v>3241</v>
      </c>
      <c r="G187" s="23">
        <v>0</v>
      </c>
      <c r="H187" s="23">
        <v>20250301</v>
      </c>
      <c r="I187" s="23" t="str">
        <f>TEXT(DATE(LEFT(H187,4), MID(H187,5,2), RIGHT(H187,2)), "M/d/yyyy")</f>
        <v>3/1/2025</v>
      </c>
      <c r="J187" s="25">
        <v>20230401</v>
      </c>
      <c r="K187" s="23" t="str">
        <f>TEXT(DATE(LEFT(J187,4), MID(J187,5,2), RIGHT(J187,2)), "M/d/yyyy")</f>
        <v>4/1/2023</v>
      </c>
      <c r="L187" s="24" t="s">
        <v>78</v>
      </c>
      <c r="M187" s="26">
        <v>1</v>
      </c>
      <c r="N187" s="25">
        <v>20</v>
      </c>
      <c r="O187" s="27">
        <v>20</v>
      </c>
      <c r="P187" s="22" t="s">
        <v>3831</v>
      </c>
    </row>
    <row r="188" spans="1:16" s="22" customFormat="1" ht="15" customHeight="1" x14ac:dyDescent="0.2">
      <c r="A188" s="22" t="s">
        <v>3805</v>
      </c>
      <c r="B188" s="22">
        <v>8325282</v>
      </c>
      <c r="C188" s="23">
        <v>1</v>
      </c>
      <c r="D188" s="23">
        <v>921661189</v>
      </c>
      <c r="E188" s="23">
        <v>921661189</v>
      </c>
      <c r="F188" s="24" t="s">
        <v>3247</v>
      </c>
      <c r="G188" s="23">
        <v>0</v>
      </c>
      <c r="H188" s="23">
        <v>20250301</v>
      </c>
      <c r="I188" s="23" t="str">
        <f>TEXT(DATE(LEFT(H188,4), MID(H188,5,2), RIGHT(H188,2)), "M/d/yyyy")</f>
        <v>3/1/2025</v>
      </c>
      <c r="J188" s="25">
        <v>20230601</v>
      </c>
      <c r="K188" s="23" t="str">
        <f>TEXT(DATE(LEFT(J188,4), MID(J188,5,2), RIGHT(J188,2)), "M/d/yyyy")</f>
        <v>6/1/2023</v>
      </c>
      <c r="L188" s="24" t="s">
        <v>78</v>
      </c>
      <c r="M188" s="26">
        <v>1</v>
      </c>
      <c r="N188" s="25">
        <v>20</v>
      </c>
      <c r="O188" s="27">
        <v>20</v>
      </c>
      <c r="P188" s="22" t="s">
        <v>3831</v>
      </c>
    </row>
    <row r="189" spans="1:16" s="22" customFormat="1" ht="15" customHeight="1" x14ac:dyDescent="0.2">
      <c r="A189" s="22" t="s">
        <v>3805</v>
      </c>
      <c r="B189" s="22">
        <v>8325282</v>
      </c>
      <c r="C189" s="23">
        <v>1</v>
      </c>
      <c r="D189" s="23">
        <v>921685609</v>
      </c>
      <c r="E189" s="23">
        <v>921685609</v>
      </c>
      <c r="F189" s="24" t="s">
        <v>3249</v>
      </c>
      <c r="G189" s="23">
        <v>0</v>
      </c>
      <c r="H189" s="23">
        <v>20250301</v>
      </c>
      <c r="I189" s="23" t="str">
        <f>TEXT(DATE(LEFT(H189,4), MID(H189,5,2), RIGHT(H189,2)), "M/d/yyyy")</f>
        <v>3/1/2025</v>
      </c>
      <c r="J189" s="25">
        <v>20240101</v>
      </c>
      <c r="K189" s="23" t="str">
        <f>TEXT(DATE(LEFT(J189,4), MID(J189,5,2), RIGHT(J189,2)), "M/d/yyyy")</f>
        <v>1/1/2024</v>
      </c>
      <c r="L189" s="24" t="s">
        <v>78</v>
      </c>
      <c r="M189" s="26">
        <v>1</v>
      </c>
      <c r="N189" s="25">
        <v>20</v>
      </c>
      <c r="O189" s="27">
        <v>20</v>
      </c>
      <c r="P189" s="22" t="s">
        <v>3831</v>
      </c>
    </row>
    <row r="190" spans="1:16" s="22" customFormat="1" ht="15" customHeight="1" x14ac:dyDescent="0.2">
      <c r="A190" s="22" t="s">
        <v>3805</v>
      </c>
      <c r="B190" s="22">
        <v>8325282</v>
      </c>
      <c r="C190" s="23">
        <v>1</v>
      </c>
      <c r="D190" s="23">
        <v>921686296</v>
      </c>
      <c r="E190" s="23">
        <v>921686296</v>
      </c>
      <c r="F190" s="24" t="s">
        <v>3251</v>
      </c>
      <c r="G190" s="23">
        <v>0</v>
      </c>
      <c r="H190" s="23">
        <v>20250301</v>
      </c>
      <c r="I190" s="23" t="str">
        <f>TEXT(DATE(LEFT(H190,4), MID(H190,5,2), RIGHT(H190,2)), "M/d/yyyy")</f>
        <v>3/1/2025</v>
      </c>
      <c r="J190" s="25">
        <v>20240101</v>
      </c>
      <c r="K190" s="23" t="str">
        <f>TEXT(DATE(LEFT(J190,4), MID(J190,5,2), RIGHT(J190,2)), "M/d/yyyy")</f>
        <v>1/1/2024</v>
      </c>
      <c r="L190" s="24" t="s">
        <v>78</v>
      </c>
      <c r="M190" s="26">
        <v>1</v>
      </c>
      <c r="N190" s="25">
        <v>20</v>
      </c>
      <c r="O190" s="27">
        <v>20</v>
      </c>
      <c r="P190" s="22" t="s">
        <v>3831</v>
      </c>
    </row>
    <row r="191" spans="1:16" s="22" customFormat="1" ht="15" customHeight="1" x14ac:dyDescent="0.2">
      <c r="A191" s="22" t="s">
        <v>3805</v>
      </c>
      <c r="B191" s="22">
        <v>8325282</v>
      </c>
      <c r="C191" s="23">
        <v>1</v>
      </c>
      <c r="D191" s="23">
        <v>921708948</v>
      </c>
      <c r="E191" s="23">
        <v>921708948</v>
      </c>
      <c r="F191" s="24" t="s">
        <v>3253</v>
      </c>
      <c r="G191" s="23">
        <v>0</v>
      </c>
      <c r="H191" s="23">
        <v>20250301</v>
      </c>
      <c r="I191" s="23" t="str">
        <f>TEXT(DATE(LEFT(H191,4), MID(H191,5,2), RIGHT(H191,2)), "M/d/yyyy")</f>
        <v>3/1/2025</v>
      </c>
      <c r="J191" s="25">
        <v>20240201</v>
      </c>
      <c r="K191" s="23" t="str">
        <f>TEXT(DATE(LEFT(J191,4), MID(J191,5,2), RIGHT(J191,2)), "M/d/yyyy")</f>
        <v>2/1/2024</v>
      </c>
      <c r="L191" s="24" t="s">
        <v>78</v>
      </c>
      <c r="M191" s="26">
        <v>1</v>
      </c>
      <c r="N191" s="25">
        <v>20</v>
      </c>
      <c r="O191" s="27">
        <v>20</v>
      </c>
      <c r="P191" s="22" t="s">
        <v>3831</v>
      </c>
    </row>
    <row r="192" spans="1:16" s="22" customFormat="1" ht="15" customHeight="1" x14ac:dyDescent="0.2">
      <c r="A192" s="22" t="s">
        <v>3805</v>
      </c>
      <c r="B192" s="22">
        <v>8325282</v>
      </c>
      <c r="C192" s="23">
        <v>1</v>
      </c>
      <c r="D192" s="23">
        <v>921534217</v>
      </c>
      <c r="E192" s="23">
        <v>921534217</v>
      </c>
      <c r="F192" s="24" t="s">
        <v>3203</v>
      </c>
      <c r="G192" s="23">
        <v>0</v>
      </c>
      <c r="H192" s="23">
        <v>20250301</v>
      </c>
      <c r="I192" s="23" t="str">
        <f>TEXT(DATE(LEFT(H192,4), MID(H192,5,2), RIGHT(H192,2)), "M/d/yyyy")</f>
        <v>3/1/2025</v>
      </c>
      <c r="J192" s="25">
        <v>20241001</v>
      </c>
      <c r="K192" s="23" t="str">
        <f>TEXT(DATE(LEFT(J192,4), MID(J192,5,2), RIGHT(J192,2)), "M/d/yyyy")</f>
        <v>10/1/2024</v>
      </c>
      <c r="L192" s="24" t="s">
        <v>78</v>
      </c>
      <c r="M192" s="26">
        <v>1</v>
      </c>
      <c r="N192" s="25">
        <v>25</v>
      </c>
      <c r="O192" s="27">
        <v>25</v>
      </c>
      <c r="P192" s="22" t="s">
        <v>3831</v>
      </c>
    </row>
    <row r="193" spans="1:16" s="22" customFormat="1" ht="15" customHeight="1" x14ac:dyDescent="0.2">
      <c r="A193" s="22" t="s">
        <v>3805</v>
      </c>
      <c r="B193" s="22">
        <v>8325282</v>
      </c>
      <c r="C193" s="23">
        <v>1</v>
      </c>
      <c r="D193" s="23">
        <v>921624894</v>
      </c>
      <c r="E193" s="23">
        <v>921624894</v>
      </c>
      <c r="F193" s="24" t="s">
        <v>3231</v>
      </c>
      <c r="G193" s="23">
        <v>0</v>
      </c>
      <c r="H193" s="23">
        <v>20250301</v>
      </c>
      <c r="I193" s="23" t="str">
        <f>TEXT(DATE(LEFT(H193,4), MID(H193,5,2), RIGHT(H193,2)), "M/d/yyyy")</f>
        <v>3/1/2025</v>
      </c>
      <c r="J193" s="25">
        <v>20250101</v>
      </c>
      <c r="K193" s="23" t="str">
        <f>TEXT(DATE(LEFT(J193,4), MID(J193,5,2), RIGHT(J193,2)), "M/d/yyyy")</f>
        <v>1/1/2025</v>
      </c>
      <c r="L193" s="24" t="s">
        <v>78</v>
      </c>
      <c r="M193" s="26">
        <v>1</v>
      </c>
      <c r="N193" s="25">
        <v>25</v>
      </c>
      <c r="O193" s="27">
        <v>25</v>
      </c>
      <c r="P193" s="22" t="s">
        <v>3831</v>
      </c>
    </row>
    <row r="194" spans="1:16" s="22" customFormat="1" ht="15" customHeight="1" x14ac:dyDescent="0.2">
      <c r="A194" s="22" t="s">
        <v>3805</v>
      </c>
      <c r="B194" s="22">
        <v>8325282</v>
      </c>
      <c r="C194" s="23">
        <v>1</v>
      </c>
      <c r="D194" s="23">
        <v>921711185</v>
      </c>
      <c r="E194" s="23">
        <v>921711185</v>
      </c>
      <c r="F194" s="24" t="s">
        <v>3255</v>
      </c>
      <c r="G194" s="23">
        <v>0</v>
      </c>
      <c r="H194" s="23">
        <v>20250301</v>
      </c>
      <c r="I194" s="23" t="str">
        <f>TEXT(DATE(LEFT(H194,4), MID(H194,5,2), RIGHT(H194,2)), "M/d/yyyy")</f>
        <v>3/1/2025</v>
      </c>
      <c r="J194" s="25">
        <v>20240301</v>
      </c>
      <c r="K194" s="23" t="str">
        <f>TEXT(DATE(LEFT(J194,4), MID(J194,5,2), RIGHT(J194,2)), "M/d/yyyy")</f>
        <v>3/1/2024</v>
      </c>
      <c r="L194" s="24" t="s">
        <v>78</v>
      </c>
      <c r="M194" s="26">
        <v>1</v>
      </c>
      <c r="N194" s="25">
        <v>25</v>
      </c>
      <c r="O194" s="27">
        <v>25</v>
      </c>
      <c r="P194" s="22" t="s">
        <v>3831</v>
      </c>
    </row>
    <row r="195" spans="1:16" s="22" customFormat="1" ht="15" customHeight="1" x14ac:dyDescent="0.2">
      <c r="A195" s="22" t="s">
        <v>3805</v>
      </c>
      <c r="B195" s="22">
        <v>8325282</v>
      </c>
      <c r="C195" s="23">
        <v>1</v>
      </c>
      <c r="D195" s="23">
        <v>921717671</v>
      </c>
      <c r="E195" s="23">
        <v>921717671</v>
      </c>
      <c r="F195" s="24" t="s">
        <v>3264</v>
      </c>
      <c r="G195" s="23">
        <v>0</v>
      </c>
      <c r="H195" s="23">
        <v>20250301</v>
      </c>
      <c r="I195" s="23" t="str">
        <f>TEXT(DATE(LEFT(H195,4), MID(H195,5,2), RIGHT(H195,2)), "M/d/yyyy")</f>
        <v>3/1/2025</v>
      </c>
      <c r="J195" s="25">
        <v>20240401</v>
      </c>
      <c r="K195" s="23" t="str">
        <f>TEXT(DATE(LEFT(J195,4), MID(J195,5,2), RIGHT(J195,2)), "M/d/yyyy")</f>
        <v>4/1/2024</v>
      </c>
      <c r="L195" s="24" t="s">
        <v>78</v>
      </c>
      <c r="M195" s="26">
        <v>1</v>
      </c>
      <c r="N195" s="25">
        <v>25</v>
      </c>
      <c r="O195" s="27">
        <v>25</v>
      </c>
      <c r="P195" s="22" t="s">
        <v>3831</v>
      </c>
    </row>
    <row r="196" spans="1:16" s="22" customFormat="1" ht="15" customHeight="1" x14ac:dyDescent="0.2">
      <c r="A196" s="22" t="s">
        <v>3805</v>
      </c>
      <c r="B196" s="22">
        <v>8325282</v>
      </c>
      <c r="C196" s="23">
        <v>1</v>
      </c>
      <c r="D196" s="23">
        <v>921733676</v>
      </c>
      <c r="E196" s="23">
        <v>921733676</v>
      </c>
      <c r="F196" s="24" t="s">
        <v>3266</v>
      </c>
      <c r="G196" s="23">
        <v>0</v>
      </c>
      <c r="H196" s="23">
        <v>20250301</v>
      </c>
      <c r="I196" s="23" t="str">
        <f>TEXT(DATE(LEFT(H196,4), MID(H196,5,2), RIGHT(H196,2)), "M/d/yyyy")</f>
        <v>3/1/2025</v>
      </c>
      <c r="J196" s="25">
        <v>20240801</v>
      </c>
      <c r="K196" s="23" t="str">
        <f>TEXT(DATE(LEFT(J196,4), MID(J196,5,2), RIGHT(J196,2)), "M/d/yyyy")</f>
        <v>8/1/2024</v>
      </c>
      <c r="L196" s="24" t="s">
        <v>78</v>
      </c>
      <c r="M196" s="26">
        <v>1</v>
      </c>
      <c r="N196" s="25">
        <v>25</v>
      </c>
      <c r="O196" s="27">
        <v>25</v>
      </c>
      <c r="P196" s="22" t="s">
        <v>3831</v>
      </c>
    </row>
    <row r="197" spans="1:16" s="22" customFormat="1" ht="15" customHeight="1" x14ac:dyDescent="0.2">
      <c r="A197" s="22" t="s">
        <v>3805</v>
      </c>
      <c r="B197" s="22">
        <v>8325282</v>
      </c>
      <c r="C197" s="23">
        <v>1</v>
      </c>
      <c r="D197" s="23">
        <v>921750608</v>
      </c>
      <c r="E197" s="23">
        <v>921750608</v>
      </c>
      <c r="F197" s="24" t="s">
        <v>3273</v>
      </c>
      <c r="G197" s="23">
        <v>0</v>
      </c>
      <c r="H197" s="23">
        <v>20250301</v>
      </c>
      <c r="I197" s="23" t="str">
        <f>TEXT(DATE(LEFT(H197,4), MID(H197,5,2), RIGHT(H197,2)), "M/d/yyyy")</f>
        <v>3/1/2025</v>
      </c>
      <c r="J197" s="25">
        <v>20250101</v>
      </c>
      <c r="K197" s="23" t="str">
        <f>TEXT(DATE(LEFT(J197,4), MID(J197,5,2), RIGHT(J197,2)), "M/d/yyyy")</f>
        <v>1/1/2025</v>
      </c>
      <c r="L197" s="24" t="s">
        <v>78</v>
      </c>
      <c r="M197" s="26">
        <v>1</v>
      </c>
      <c r="N197" s="25">
        <v>25</v>
      </c>
      <c r="O197" s="27">
        <v>25</v>
      </c>
      <c r="P197" s="22" t="s">
        <v>3831</v>
      </c>
    </row>
    <row r="198" spans="1:16" s="22" customFormat="1" ht="15" customHeight="1" x14ac:dyDescent="0.2">
      <c r="A198" s="22" t="s">
        <v>3805</v>
      </c>
      <c r="B198" s="22">
        <v>8325282</v>
      </c>
      <c r="C198" s="23">
        <v>1</v>
      </c>
      <c r="D198" s="23">
        <v>921752749</v>
      </c>
      <c r="E198" s="23">
        <v>921752749</v>
      </c>
      <c r="F198" s="24" t="s">
        <v>3275</v>
      </c>
      <c r="G198" s="23">
        <v>0</v>
      </c>
      <c r="H198" s="23">
        <v>20250301</v>
      </c>
      <c r="I198" s="23" t="str">
        <f>TEXT(DATE(LEFT(H198,4), MID(H198,5,2), RIGHT(H198,2)), "M/d/yyyy")</f>
        <v>3/1/2025</v>
      </c>
      <c r="J198" s="25">
        <v>20250101</v>
      </c>
      <c r="K198" s="23" t="str">
        <f>TEXT(DATE(LEFT(J198,4), MID(J198,5,2), RIGHT(J198,2)), "M/d/yyyy")</f>
        <v>1/1/2025</v>
      </c>
      <c r="L198" s="24" t="s">
        <v>78</v>
      </c>
      <c r="M198" s="26">
        <v>1</v>
      </c>
      <c r="N198" s="25">
        <v>25</v>
      </c>
      <c r="O198" s="27">
        <v>25</v>
      </c>
      <c r="P198" s="22" t="s">
        <v>3831</v>
      </c>
    </row>
    <row r="199" spans="1:16" s="22" customFormat="1" ht="15" customHeight="1" x14ac:dyDescent="0.2">
      <c r="A199" s="22" t="s">
        <v>3805</v>
      </c>
      <c r="B199" s="22">
        <v>8325282</v>
      </c>
      <c r="C199" s="23">
        <v>1</v>
      </c>
      <c r="D199" s="23">
        <v>921772983</v>
      </c>
      <c r="E199" s="23">
        <v>921772983</v>
      </c>
      <c r="F199" s="24" t="s">
        <v>3166</v>
      </c>
      <c r="G199" s="23">
        <v>0</v>
      </c>
      <c r="H199" s="23">
        <v>20250301</v>
      </c>
      <c r="I199" s="23" t="str">
        <f>TEXT(DATE(LEFT(H199,4), MID(H199,5,2), RIGHT(H199,2)), "M/d/yyyy")</f>
        <v>3/1/2025</v>
      </c>
      <c r="J199" s="25">
        <v>20250201</v>
      </c>
      <c r="K199" s="23" t="str">
        <f>TEXT(DATE(LEFT(J199,4), MID(J199,5,2), RIGHT(J199,2)), "M/d/yyyy")</f>
        <v>2/1/2025</v>
      </c>
      <c r="L199" s="24" t="s">
        <v>78</v>
      </c>
      <c r="M199" s="26">
        <v>1</v>
      </c>
      <c r="N199" s="25">
        <v>25</v>
      </c>
      <c r="O199" s="27">
        <v>25</v>
      </c>
      <c r="P199" s="22" t="s">
        <v>3831</v>
      </c>
    </row>
    <row r="200" spans="1:16" s="22" customFormat="1" ht="15" customHeight="1" x14ac:dyDescent="0.2">
      <c r="A200" s="22" t="s">
        <v>3805</v>
      </c>
      <c r="B200" s="22">
        <v>8325282</v>
      </c>
      <c r="C200" s="23">
        <v>1</v>
      </c>
      <c r="D200" s="23">
        <v>921775150</v>
      </c>
      <c r="E200" s="23">
        <v>921775150</v>
      </c>
      <c r="F200" s="24" t="s">
        <v>3293</v>
      </c>
      <c r="G200" s="23">
        <v>0</v>
      </c>
      <c r="H200" s="23">
        <v>20250301</v>
      </c>
      <c r="I200" s="23" t="str">
        <f>TEXT(DATE(LEFT(H200,4), MID(H200,5,2), RIGHT(H200,2)), "M/d/yyyy")</f>
        <v>3/1/2025</v>
      </c>
      <c r="J200" s="25">
        <v>20250201</v>
      </c>
      <c r="K200" s="23" t="str">
        <f>TEXT(DATE(LEFT(J200,4), MID(J200,5,2), RIGHT(J200,2)), "M/d/yyyy")</f>
        <v>2/1/2025</v>
      </c>
      <c r="L200" s="24" t="s">
        <v>78</v>
      </c>
      <c r="M200" s="26">
        <v>1</v>
      </c>
      <c r="N200" s="25">
        <v>25</v>
      </c>
      <c r="O200" s="27">
        <v>25</v>
      </c>
      <c r="P200" s="22" t="s">
        <v>3831</v>
      </c>
    </row>
    <row r="201" spans="1:16" s="22" customFormat="1" ht="15" customHeight="1" x14ac:dyDescent="0.2">
      <c r="A201" s="22" t="s">
        <v>3805</v>
      </c>
      <c r="B201" s="22">
        <v>8325282</v>
      </c>
      <c r="C201" s="23">
        <v>1</v>
      </c>
      <c r="D201" s="23">
        <v>921775707</v>
      </c>
      <c r="E201" s="23">
        <v>921775707</v>
      </c>
      <c r="F201" s="24" t="s">
        <v>3295</v>
      </c>
      <c r="G201" s="23">
        <v>0</v>
      </c>
      <c r="H201" s="23">
        <v>20250301</v>
      </c>
      <c r="I201" s="23" t="str">
        <f>TEXT(DATE(LEFT(H201,4), MID(H201,5,2), RIGHT(H201,2)), "M/d/yyyy")</f>
        <v>3/1/2025</v>
      </c>
      <c r="J201" s="25">
        <v>20250201</v>
      </c>
      <c r="K201" s="23" t="str">
        <f>TEXT(DATE(LEFT(J201,4), MID(J201,5,2), RIGHT(J201,2)), "M/d/yyyy")</f>
        <v>2/1/2025</v>
      </c>
      <c r="L201" s="24" t="s">
        <v>78</v>
      </c>
      <c r="M201" s="26">
        <v>1</v>
      </c>
      <c r="N201" s="25">
        <v>25</v>
      </c>
      <c r="O201" s="27">
        <v>25</v>
      </c>
      <c r="P201" s="22" t="s">
        <v>3831</v>
      </c>
    </row>
    <row r="202" spans="1:16" s="22" customFormat="1" ht="15" customHeight="1" x14ac:dyDescent="0.2">
      <c r="A202" s="22" t="s">
        <v>3805</v>
      </c>
      <c r="B202" s="22">
        <v>8325282</v>
      </c>
      <c r="C202" s="23">
        <v>2</v>
      </c>
      <c r="D202" s="23">
        <v>920917214</v>
      </c>
      <c r="E202" s="23">
        <v>920917214</v>
      </c>
      <c r="F202" s="24" t="s">
        <v>3156</v>
      </c>
      <c r="G202" s="23">
        <v>0</v>
      </c>
      <c r="H202" s="23">
        <v>20250201</v>
      </c>
      <c r="I202" s="23" t="str">
        <f>TEXT(DATE(LEFT(H202,4), MID(H202,5,2), RIGHT(H202,2)), "M/d/yyyy")</f>
        <v>2/1/2025</v>
      </c>
      <c r="J202" s="25">
        <v>20141101</v>
      </c>
      <c r="K202" s="23" t="str">
        <f>TEXT(DATE(LEFT(J202,4), MID(J202,5,2), RIGHT(J202,2)), "M/d/yyyy")</f>
        <v>11/1/2014</v>
      </c>
      <c r="L202" s="24" t="s">
        <v>78</v>
      </c>
      <c r="M202" s="26">
        <v>1</v>
      </c>
      <c r="N202" s="25">
        <v>20</v>
      </c>
      <c r="O202" s="27">
        <v>40</v>
      </c>
      <c r="P202" s="22" t="s">
        <v>3831</v>
      </c>
    </row>
    <row r="203" spans="1:16" s="22" customFormat="1" ht="15" customHeight="1" x14ac:dyDescent="0.2">
      <c r="A203" s="22" t="s">
        <v>3805</v>
      </c>
      <c r="B203" s="22">
        <v>8325282</v>
      </c>
      <c r="C203" s="23">
        <v>2</v>
      </c>
      <c r="D203" s="23">
        <v>920943059</v>
      </c>
      <c r="E203" s="23">
        <v>920943059</v>
      </c>
      <c r="F203" s="24" t="s">
        <v>3158</v>
      </c>
      <c r="G203" s="23">
        <v>0</v>
      </c>
      <c r="H203" s="23">
        <v>20250301</v>
      </c>
      <c r="I203" s="23" t="str">
        <f>TEXT(DATE(LEFT(H203,4), MID(H203,5,2), RIGHT(H203,2)), "M/d/yyyy")</f>
        <v>3/1/2025</v>
      </c>
      <c r="J203" s="25">
        <v>20210501</v>
      </c>
      <c r="K203" s="23" t="str">
        <f>TEXT(DATE(LEFT(J203,4), MID(J203,5,2), RIGHT(J203,2)), "M/d/yyyy")</f>
        <v>5/1/2021</v>
      </c>
      <c r="L203" s="24" t="s">
        <v>78</v>
      </c>
      <c r="M203" s="26">
        <v>1</v>
      </c>
      <c r="N203" s="25">
        <v>20</v>
      </c>
      <c r="O203" s="27">
        <v>40</v>
      </c>
      <c r="P203" s="22" t="s">
        <v>3831</v>
      </c>
    </row>
    <row r="204" spans="1:16" s="22" customFormat="1" ht="15" customHeight="1" x14ac:dyDescent="0.2">
      <c r="A204" s="22" t="s">
        <v>3805</v>
      </c>
      <c r="B204" s="22">
        <v>8325282</v>
      </c>
      <c r="C204" s="23">
        <v>2</v>
      </c>
      <c r="D204" s="23">
        <v>921400018</v>
      </c>
      <c r="E204" s="23">
        <v>921400018</v>
      </c>
      <c r="F204" s="24" t="s">
        <v>3175</v>
      </c>
      <c r="G204" s="23">
        <v>0</v>
      </c>
      <c r="H204" s="23">
        <v>20250301</v>
      </c>
      <c r="I204" s="23" t="str">
        <f>TEXT(DATE(LEFT(H204,4), MID(H204,5,2), RIGHT(H204,2)), "M/d/yyyy")</f>
        <v>3/1/2025</v>
      </c>
      <c r="J204" s="25">
        <v>20190101</v>
      </c>
      <c r="K204" s="23" t="str">
        <f>TEXT(DATE(LEFT(J204,4), MID(J204,5,2), RIGHT(J204,2)), "M/d/yyyy")</f>
        <v>1/1/2019</v>
      </c>
      <c r="L204" s="24" t="s">
        <v>78</v>
      </c>
      <c r="M204" s="26">
        <v>1</v>
      </c>
      <c r="N204" s="25">
        <v>20</v>
      </c>
      <c r="O204" s="27">
        <v>40</v>
      </c>
      <c r="P204" s="22" t="s">
        <v>3831</v>
      </c>
    </row>
    <row r="205" spans="1:16" s="22" customFormat="1" ht="15" customHeight="1" x14ac:dyDescent="0.2">
      <c r="A205" s="22" t="s">
        <v>3805</v>
      </c>
      <c r="B205" s="22">
        <v>8325282</v>
      </c>
      <c r="C205" s="23">
        <v>2</v>
      </c>
      <c r="D205" s="23">
        <v>921428698</v>
      </c>
      <c r="E205" s="23">
        <v>921428698</v>
      </c>
      <c r="F205" s="24" t="s">
        <v>3186</v>
      </c>
      <c r="G205" s="23">
        <v>0</v>
      </c>
      <c r="H205" s="23">
        <v>20250201</v>
      </c>
      <c r="I205" s="23" t="str">
        <f>TEXT(DATE(LEFT(H205,4), MID(H205,5,2), RIGHT(H205,2)), "M/d/yyyy")</f>
        <v>2/1/2025</v>
      </c>
      <c r="J205" s="25">
        <v>20181001</v>
      </c>
      <c r="K205" s="23" t="str">
        <f>TEXT(DATE(LEFT(J205,4), MID(J205,5,2), RIGHT(J205,2)), "M/d/yyyy")</f>
        <v>10/1/2018</v>
      </c>
      <c r="L205" s="24" t="s">
        <v>78</v>
      </c>
      <c r="M205" s="26">
        <v>1</v>
      </c>
      <c r="N205" s="25">
        <v>20</v>
      </c>
      <c r="O205" s="27">
        <v>40</v>
      </c>
      <c r="P205" s="22" t="s">
        <v>3831</v>
      </c>
    </row>
    <row r="206" spans="1:16" s="22" customFormat="1" ht="15" customHeight="1" x14ac:dyDescent="0.2">
      <c r="A206" s="22" t="s">
        <v>3805</v>
      </c>
      <c r="B206" s="22">
        <v>8325282</v>
      </c>
      <c r="C206" s="23">
        <v>2</v>
      </c>
      <c r="D206" s="23">
        <v>921569217</v>
      </c>
      <c r="E206" s="23">
        <v>921569217</v>
      </c>
      <c r="F206" s="24" t="s">
        <v>3219</v>
      </c>
      <c r="G206" s="23">
        <v>0</v>
      </c>
      <c r="H206" s="23">
        <v>20250301</v>
      </c>
      <c r="I206" s="23" t="str">
        <f>TEXT(DATE(LEFT(H206,4), MID(H206,5,2), RIGHT(H206,2)), "M/d/yyyy")</f>
        <v>3/1/2025</v>
      </c>
      <c r="J206" s="25">
        <v>20210601</v>
      </c>
      <c r="K206" s="23" t="str">
        <f>TEXT(DATE(LEFT(J206,4), MID(J206,5,2), RIGHT(J206,2)), "M/d/yyyy")</f>
        <v>6/1/2021</v>
      </c>
      <c r="L206" s="24" t="s">
        <v>78</v>
      </c>
      <c r="M206" s="26">
        <v>1</v>
      </c>
      <c r="N206" s="25">
        <v>20</v>
      </c>
      <c r="O206" s="27">
        <v>40</v>
      </c>
      <c r="P206" s="22" t="s">
        <v>3831</v>
      </c>
    </row>
    <row r="207" spans="1:16" s="22" customFormat="1" ht="15" customHeight="1" x14ac:dyDescent="0.2">
      <c r="A207" s="22" t="s">
        <v>3805</v>
      </c>
      <c r="B207" s="22">
        <v>8325282</v>
      </c>
      <c r="C207" s="23">
        <v>2</v>
      </c>
      <c r="D207" s="23">
        <v>921583805</v>
      </c>
      <c r="E207" s="23">
        <v>921583805</v>
      </c>
      <c r="F207" s="24" t="s">
        <v>3223</v>
      </c>
      <c r="G207" s="23">
        <v>0</v>
      </c>
      <c r="H207" s="23">
        <v>20250301</v>
      </c>
      <c r="I207" s="23" t="str">
        <f>TEXT(DATE(LEFT(H207,4), MID(H207,5,2), RIGHT(H207,2)), "M/d/yyyy")</f>
        <v>3/1/2025</v>
      </c>
      <c r="J207" s="25">
        <v>20211001</v>
      </c>
      <c r="K207" s="23" t="str">
        <f>TEXT(DATE(LEFT(J207,4), MID(J207,5,2), RIGHT(J207,2)), "M/d/yyyy")</f>
        <v>10/1/2021</v>
      </c>
      <c r="L207" s="24" t="s">
        <v>78</v>
      </c>
      <c r="M207" s="26">
        <v>1</v>
      </c>
      <c r="N207" s="25">
        <v>20</v>
      </c>
      <c r="O207" s="27">
        <v>40</v>
      </c>
      <c r="P207" s="22" t="s">
        <v>3831</v>
      </c>
    </row>
    <row r="208" spans="1:16" s="22" customFormat="1" ht="15" customHeight="1" x14ac:dyDescent="0.2">
      <c r="A208" s="22" t="s">
        <v>3805</v>
      </c>
      <c r="B208" s="22">
        <v>8325282</v>
      </c>
      <c r="C208" s="23">
        <v>2</v>
      </c>
      <c r="D208" s="23">
        <v>921658559</v>
      </c>
      <c r="E208" s="23">
        <v>921658559</v>
      </c>
      <c r="F208" s="24" t="s">
        <v>3245</v>
      </c>
      <c r="G208" s="23">
        <v>0</v>
      </c>
      <c r="H208" s="23">
        <v>20250301</v>
      </c>
      <c r="I208" s="23" t="str">
        <f>TEXT(DATE(LEFT(H208,4), MID(H208,5,2), RIGHT(H208,2)), "M/d/yyyy")</f>
        <v>3/1/2025</v>
      </c>
      <c r="J208" s="25">
        <v>20230501</v>
      </c>
      <c r="K208" s="23" t="str">
        <f>TEXT(DATE(LEFT(J208,4), MID(J208,5,2), RIGHT(J208,2)), "M/d/yyyy")</f>
        <v>5/1/2023</v>
      </c>
      <c r="L208" s="24" t="s">
        <v>78</v>
      </c>
      <c r="M208" s="26">
        <v>1</v>
      </c>
      <c r="N208" s="25">
        <v>20</v>
      </c>
      <c r="O208" s="27">
        <v>40</v>
      </c>
      <c r="P208" s="22" t="s">
        <v>3831</v>
      </c>
    </row>
    <row r="209" spans="1:16" s="22" customFormat="1" ht="15" customHeight="1" x14ac:dyDescent="0.2">
      <c r="A209" s="22" t="s">
        <v>3805</v>
      </c>
      <c r="B209" s="22">
        <v>8325282</v>
      </c>
      <c r="C209" s="23">
        <v>2</v>
      </c>
      <c r="D209" s="23">
        <v>921741198</v>
      </c>
      <c r="E209" s="23">
        <v>921741198</v>
      </c>
      <c r="F209" s="24" t="s">
        <v>3268</v>
      </c>
      <c r="G209" s="23">
        <v>0</v>
      </c>
      <c r="H209" s="23">
        <v>20250301</v>
      </c>
      <c r="I209" s="23" t="str">
        <f>TEXT(DATE(LEFT(H209,4), MID(H209,5,2), RIGHT(H209,2)), "M/d/yyyy")</f>
        <v>3/1/2025</v>
      </c>
      <c r="J209" s="25">
        <v>20241001</v>
      </c>
      <c r="K209" s="23" t="str">
        <f>TEXT(DATE(LEFT(J209,4), MID(J209,5,2), RIGHT(J209,2)), "M/d/yyyy")</f>
        <v>10/1/2024</v>
      </c>
      <c r="L209" s="24" t="s">
        <v>78</v>
      </c>
      <c r="M209" s="26">
        <v>1</v>
      </c>
      <c r="N209" s="25">
        <v>25</v>
      </c>
      <c r="O209" s="27">
        <v>50</v>
      </c>
      <c r="P209" s="22" t="s">
        <v>3831</v>
      </c>
    </row>
    <row r="210" spans="1:16" s="22" customFormat="1" ht="15" customHeight="1" x14ac:dyDescent="0.2">
      <c r="A210" s="22" t="s">
        <v>3805</v>
      </c>
      <c r="B210" s="22">
        <v>8325282</v>
      </c>
      <c r="C210" s="23">
        <v>2</v>
      </c>
      <c r="D210" s="23">
        <v>921776253</v>
      </c>
      <c r="E210" s="23">
        <v>921776253</v>
      </c>
      <c r="F210" s="24" t="s">
        <v>3300</v>
      </c>
      <c r="G210" s="23">
        <v>0</v>
      </c>
      <c r="H210" s="23">
        <v>20250301</v>
      </c>
      <c r="I210" s="23" t="str">
        <f>TEXT(DATE(LEFT(H210,4), MID(H210,5,2), RIGHT(H210,2)), "M/d/yyyy")</f>
        <v>3/1/2025</v>
      </c>
      <c r="J210" s="25">
        <v>20250201</v>
      </c>
      <c r="K210" s="23" t="str">
        <f>TEXT(DATE(LEFT(J210,4), MID(J210,5,2), RIGHT(J210,2)), "M/d/yyyy")</f>
        <v>2/1/2025</v>
      </c>
      <c r="L210" s="24" t="s">
        <v>78</v>
      </c>
      <c r="M210" s="26">
        <v>1</v>
      </c>
      <c r="N210" s="25">
        <v>25</v>
      </c>
      <c r="O210" s="27">
        <v>50</v>
      </c>
      <c r="P210" s="22" t="s">
        <v>3831</v>
      </c>
    </row>
    <row r="211" spans="1:16" s="22" customFormat="1" ht="15" customHeight="1" x14ac:dyDescent="0.2">
      <c r="A211" s="22" t="s">
        <v>3805</v>
      </c>
      <c r="B211" s="22">
        <v>8325282</v>
      </c>
      <c r="C211" s="23">
        <v>3</v>
      </c>
      <c r="D211" s="23">
        <v>921495277</v>
      </c>
      <c r="E211" s="23">
        <v>921495277</v>
      </c>
      <c r="F211" s="24" t="s">
        <v>3197</v>
      </c>
      <c r="G211" s="23">
        <v>0</v>
      </c>
      <c r="H211" s="23">
        <v>20250301</v>
      </c>
      <c r="I211" s="23" t="str">
        <f>TEXT(DATE(LEFT(H211,4), MID(H211,5,2), RIGHT(H211,2)), "M/d/yyyy")</f>
        <v>3/1/2025</v>
      </c>
      <c r="J211" s="25">
        <v>20200101</v>
      </c>
      <c r="K211" s="23" t="str">
        <f>TEXT(DATE(LEFT(J211,4), MID(J211,5,2), RIGHT(J211,2)), "M/d/yyyy")</f>
        <v>1/1/2020</v>
      </c>
      <c r="L211" s="24" t="s">
        <v>78</v>
      </c>
      <c r="M211" s="26">
        <v>1</v>
      </c>
      <c r="N211" s="25">
        <v>20</v>
      </c>
      <c r="O211" s="27">
        <v>60</v>
      </c>
      <c r="P211" s="22" t="s">
        <v>3831</v>
      </c>
    </row>
    <row r="212" spans="1:16" s="22" customFormat="1" ht="15" customHeight="1" x14ac:dyDescent="0.2">
      <c r="A212" s="22" t="s">
        <v>3805</v>
      </c>
      <c r="B212" s="22">
        <v>8325282</v>
      </c>
      <c r="C212" s="23">
        <v>3</v>
      </c>
      <c r="D212" s="23">
        <v>921713078</v>
      </c>
      <c r="E212" s="23">
        <v>921713078</v>
      </c>
      <c r="F212" s="24" t="s">
        <v>3262</v>
      </c>
      <c r="G212" s="23">
        <v>0</v>
      </c>
      <c r="H212" s="23">
        <v>20250301</v>
      </c>
      <c r="I212" s="23" t="str">
        <f>TEXT(DATE(LEFT(H212,4), MID(H212,5,2), RIGHT(H212,2)), "M/d/yyyy")</f>
        <v>3/1/2025</v>
      </c>
      <c r="J212" s="25">
        <v>20240301</v>
      </c>
      <c r="K212" s="23" t="str">
        <f>TEXT(DATE(LEFT(J212,4), MID(J212,5,2), RIGHT(J212,2)), "M/d/yyyy")</f>
        <v>3/1/2024</v>
      </c>
      <c r="L212" s="24" t="s">
        <v>78</v>
      </c>
      <c r="M212" s="26">
        <v>1</v>
      </c>
      <c r="N212" s="25">
        <v>25</v>
      </c>
      <c r="O212" s="27">
        <v>75</v>
      </c>
      <c r="P212" s="22" t="s">
        <v>3831</v>
      </c>
    </row>
    <row r="213" spans="1:16" s="22" customFormat="1" ht="15" customHeight="1" x14ac:dyDescent="0.2">
      <c r="A213" s="22" t="s">
        <v>3805</v>
      </c>
      <c r="B213" s="22">
        <v>8325282</v>
      </c>
      <c r="C213" s="23">
        <v>3</v>
      </c>
      <c r="D213" s="23">
        <v>921713078</v>
      </c>
      <c r="E213" s="23">
        <v>921713078</v>
      </c>
      <c r="F213" s="24" t="s">
        <v>3262</v>
      </c>
      <c r="G213" s="23">
        <v>0</v>
      </c>
      <c r="H213" s="23">
        <v>20250201</v>
      </c>
      <c r="I213" s="23" t="str">
        <f>TEXT(DATE(LEFT(H213,4), MID(H213,5,2), RIGHT(H213,2)), "M/d/yyyy")</f>
        <v>2/1/2025</v>
      </c>
      <c r="J213" s="25">
        <v>20240301</v>
      </c>
      <c r="K213" s="23" t="str">
        <f>TEXT(DATE(LEFT(J213,4), MID(J213,5,2), RIGHT(J213,2)), "M/d/yyyy")</f>
        <v>3/1/2024</v>
      </c>
      <c r="L213" s="24" t="s">
        <v>78</v>
      </c>
      <c r="M213" s="26">
        <v>1</v>
      </c>
      <c r="N213" s="25">
        <v>25</v>
      </c>
      <c r="O213" s="27">
        <v>75</v>
      </c>
      <c r="P213" s="22" t="s">
        <v>3831</v>
      </c>
    </row>
    <row r="214" spans="1:16" s="22" customFormat="1" ht="15" customHeight="1" x14ac:dyDescent="0.2">
      <c r="A214" s="22" t="s">
        <v>3805</v>
      </c>
      <c r="B214" s="22">
        <v>8325282</v>
      </c>
      <c r="C214" s="23">
        <v>3</v>
      </c>
      <c r="D214" s="23">
        <v>921766386</v>
      </c>
      <c r="E214" s="23">
        <v>921766386</v>
      </c>
      <c r="F214" s="24" t="s">
        <v>3285</v>
      </c>
      <c r="G214" s="23">
        <v>0</v>
      </c>
      <c r="H214" s="23">
        <v>20250301</v>
      </c>
      <c r="I214" s="23" t="str">
        <f>TEXT(DATE(LEFT(H214,4), MID(H214,5,2), RIGHT(H214,2)), "M/d/yyyy")</f>
        <v>3/1/2025</v>
      </c>
      <c r="J214" s="25">
        <v>20250101</v>
      </c>
      <c r="K214" s="23" t="str">
        <f>TEXT(DATE(LEFT(J214,4), MID(J214,5,2), RIGHT(J214,2)), "M/d/yyyy")</f>
        <v>1/1/2025</v>
      </c>
      <c r="L214" s="24" t="s">
        <v>78</v>
      </c>
      <c r="M214" s="26">
        <v>1</v>
      </c>
      <c r="N214" s="25">
        <v>25</v>
      </c>
      <c r="O214" s="27">
        <v>75</v>
      </c>
      <c r="P214" s="22" t="s">
        <v>3831</v>
      </c>
    </row>
    <row r="215" spans="1:16" s="22" customFormat="1" ht="15" customHeight="1" x14ac:dyDescent="0.2">
      <c r="A215" s="22" t="s">
        <v>3805</v>
      </c>
      <c r="B215" s="22">
        <v>8325282</v>
      </c>
      <c r="C215" s="23">
        <v>3</v>
      </c>
      <c r="D215" s="23">
        <v>921766386</v>
      </c>
      <c r="E215" s="23">
        <v>921766386</v>
      </c>
      <c r="F215" s="24" t="s">
        <v>3285</v>
      </c>
      <c r="G215" s="23">
        <v>0</v>
      </c>
      <c r="H215" s="23">
        <v>20250201</v>
      </c>
      <c r="I215" s="23" t="str">
        <f>TEXT(DATE(LEFT(H215,4), MID(H215,5,2), RIGHT(H215,2)), "M/d/yyyy")</f>
        <v>2/1/2025</v>
      </c>
      <c r="J215" s="25">
        <v>20250101</v>
      </c>
      <c r="K215" s="23" t="str">
        <f>TEXT(DATE(LEFT(J215,4), MID(J215,5,2), RIGHT(J215,2)), "M/d/yyyy")</f>
        <v>1/1/2025</v>
      </c>
      <c r="L215" s="24" t="s">
        <v>78</v>
      </c>
      <c r="M215" s="26">
        <v>1</v>
      </c>
      <c r="N215" s="25">
        <v>25</v>
      </c>
      <c r="O215" s="27">
        <v>75</v>
      </c>
      <c r="P215" s="22" t="s">
        <v>3831</v>
      </c>
    </row>
    <row r="216" spans="1:16" s="22" customFormat="1" ht="15" customHeight="1" x14ac:dyDescent="0.2">
      <c r="A216" s="22" t="s">
        <v>3797</v>
      </c>
      <c r="B216" s="22">
        <v>17301495</v>
      </c>
      <c r="C216" s="23">
        <v>1</v>
      </c>
      <c r="D216" s="23">
        <v>921566146</v>
      </c>
      <c r="E216" s="23">
        <v>921566146</v>
      </c>
      <c r="F216" s="24" t="s">
        <v>2882</v>
      </c>
      <c r="G216" s="23">
        <v>0</v>
      </c>
      <c r="H216" s="23">
        <v>20250301</v>
      </c>
      <c r="I216" s="23" t="str">
        <f>TEXT(DATE(LEFT(H216,4), MID(H216,5,2), RIGHT(H216,2)), "M/d/yyyy")</f>
        <v>3/1/2025</v>
      </c>
      <c r="J216" s="25">
        <v>20210501</v>
      </c>
      <c r="K216" s="23" t="str">
        <f>TEXT(DATE(LEFT(J216,4), MID(J216,5,2), RIGHT(J216,2)), "M/d/yyyy")</f>
        <v>5/1/2021</v>
      </c>
      <c r="L216" s="24" t="s">
        <v>78</v>
      </c>
      <c r="M216" s="26">
        <v>1</v>
      </c>
      <c r="N216" s="25">
        <v>20</v>
      </c>
      <c r="O216" s="27">
        <v>20</v>
      </c>
      <c r="P216" s="22" t="s">
        <v>3831</v>
      </c>
    </row>
    <row r="217" spans="1:16" s="22" customFormat="1" ht="15" customHeight="1" x14ac:dyDescent="0.2">
      <c r="A217" s="22" t="s">
        <v>3797</v>
      </c>
      <c r="B217" s="22">
        <v>17301495</v>
      </c>
      <c r="C217" s="23">
        <v>1</v>
      </c>
      <c r="D217" s="23">
        <v>921568365</v>
      </c>
      <c r="E217" s="23">
        <v>921568365</v>
      </c>
      <c r="F217" s="24" t="s">
        <v>2884</v>
      </c>
      <c r="G217" s="23">
        <v>0</v>
      </c>
      <c r="H217" s="23">
        <v>20250301</v>
      </c>
      <c r="I217" s="23" t="str">
        <f>TEXT(DATE(LEFT(H217,4), MID(H217,5,2), RIGHT(H217,2)), "M/d/yyyy")</f>
        <v>3/1/2025</v>
      </c>
      <c r="J217" s="25">
        <v>20220101</v>
      </c>
      <c r="K217" s="23" t="str">
        <f>TEXT(DATE(LEFT(J217,4), MID(J217,5,2), RIGHT(J217,2)), "M/d/yyyy")</f>
        <v>1/1/2022</v>
      </c>
      <c r="L217" s="24" t="s">
        <v>78</v>
      </c>
      <c r="M217" s="26">
        <v>1</v>
      </c>
      <c r="N217" s="25">
        <v>20</v>
      </c>
      <c r="O217" s="27">
        <v>20</v>
      </c>
      <c r="P217" s="22" t="s">
        <v>3831</v>
      </c>
    </row>
    <row r="218" spans="1:16" s="22" customFormat="1" ht="15" customHeight="1" x14ac:dyDescent="0.2">
      <c r="A218" s="22" t="s">
        <v>3797</v>
      </c>
      <c r="B218" s="22">
        <v>17301495</v>
      </c>
      <c r="C218" s="23">
        <v>1</v>
      </c>
      <c r="D218" s="23">
        <v>921688165</v>
      </c>
      <c r="E218" s="23">
        <v>921688165</v>
      </c>
      <c r="F218" s="24" t="s">
        <v>2892</v>
      </c>
      <c r="G218" s="23">
        <v>0</v>
      </c>
      <c r="H218" s="23">
        <v>20250301</v>
      </c>
      <c r="I218" s="23" t="str">
        <f>TEXT(DATE(LEFT(H218,4), MID(H218,5,2), RIGHT(H218,2)), "M/d/yyyy")</f>
        <v>3/1/2025</v>
      </c>
      <c r="J218" s="25">
        <v>20240101</v>
      </c>
      <c r="K218" s="23" t="str">
        <f>TEXT(DATE(LEFT(J218,4), MID(J218,5,2), RIGHT(J218,2)), "M/d/yyyy")</f>
        <v>1/1/2024</v>
      </c>
      <c r="L218" s="24" t="s">
        <v>78</v>
      </c>
      <c r="M218" s="26">
        <v>1</v>
      </c>
      <c r="N218" s="25">
        <v>20</v>
      </c>
      <c r="O218" s="27">
        <v>20</v>
      </c>
      <c r="P218" s="22" t="s">
        <v>3831</v>
      </c>
    </row>
    <row r="219" spans="1:16" s="22" customFormat="1" ht="15" customHeight="1" x14ac:dyDescent="0.2">
      <c r="A219" s="22" t="s">
        <v>3776</v>
      </c>
      <c r="B219" s="22">
        <v>12047257</v>
      </c>
      <c r="C219" s="23">
        <v>1</v>
      </c>
      <c r="D219" s="23">
        <v>921679661</v>
      </c>
      <c r="E219" s="23">
        <v>921679661</v>
      </c>
      <c r="F219" s="24" t="s">
        <v>509</v>
      </c>
      <c r="G219" s="23">
        <v>0</v>
      </c>
      <c r="H219" s="23">
        <v>20250301</v>
      </c>
      <c r="I219" s="23" t="str">
        <f>TEXT(DATE(LEFT(H219,4), MID(H219,5,2), RIGHT(H219,2)), "M/d/yyyy")</f>
        <v>3/1/2025</v>
      </c>
      <c r="J219" s="25">
        <v>20240101</v>
      </c>
      <c r="K219" s="23" t="str">
        <f>TEXT(DATE(LEFT(J219,4), MID(J219,5,2), RIGHT(J219,2)), "M/d/yyyy")</f>
        <v>1/1/2024</v>
      </c>
      <c r="L219" s="24" t="s">
        <v>78</v>
      </c>
      <c r="M219" s="26">
        <v>1</v>
      </c>
      <c r="N219" s="25">
        <v>20</v>
      </c>
      <c r="O219" s="27">
        <v>20</v>
      </c>
      <c r="P219" s="22" t="s">
        <v>3831</v>
      </c>
    </row>
    <row r="220" spans="1:16" s="22" customFormat="1" ht="15" customHeight="1" x14ac:dyDescent="0.2">
      <c r="A220" s="22" t="s">
        <v>3776</v>
      </c>
      <c r="B220" s="22">
        <v>12047257</v>
      </c>
      <c r="C220" s="23">
        <v>1</v>
      </c>
      <c r="D220" s="23">
        <v>921667063</v>
      </c>
      <c r="E220" s="23">
        <v>921667063</v>
      </c>
      <c r="F220" s="24" t="s">
        <v>503</v>
      </c>
      <c r="G220" s="23">
        <v>0</v>
      </c>
      <c r="H220" s="23">
        <v>20250301</v>
      </c>
      <c r="I220" s="23" t="str">
        <f>TEXT(DATE(LEFT(H220,4), MID(H220,5,2), RIGHT(H220,2)), "M/d/yyyy")</f>
        <v>3/1/2025</v>
      </c>
      <c r="J220" s="25">
        <v>20250101</v>
      </c>
      <c r="K220" s="23" t="str">
        <f>TEXT(DATE(LEFT(J220,4), MID(J220,5,2), RIGHT(J220,2)), "M/d/yyyy")</f>
        <v>1/1/2025</v>
      </c>
      <c r="L220" s="24" t="s">
        <v>78</v>
      </c>
      <c r="M220" s="26">
        <v>1</v>
      </c>
      <c r="N220" s="25">
        <v>25</v>
      </c>
      <c r="O220" s="27">
        <v>25</v>
      </c>
      <c r="P220" s="22" t="s">
        <v>3831</v>
      </c>
    </row>
    <row r="221" spans="1:16" s="22" customFormat="1" ht="15" customHeight="1" x14ac:dyDescent="0.2">
      <c r="A221" s="22" t="s">
        <v>3786</v>
      </c>
      <c r="B221" s="22">
        <v>8814784</v>
      </c>
      <c r="C221" s="24" t="s">
        <v>588</v>
      </c>
      <c r="D221" s="23">
        <v>921560045</v>
      </c>
      <c r="E221" s="23">
        <v>921560045</v>
      </c>
      <c r="F221" s="24" t="s">
        <v>1997</v>
      </c>
      <c r="G221" s="23">
        <v>0</v>
      </c>
      <c r="H221" s="23">
        <v>20250201</v>
      </c>
      <c r="I221" s="23" t="str">
        <f>TEXT(DATE(LEFT(H221,4), MID(H221,5,2), RIGHT(H221,2)), "M/d/yyyy")</f>
        <v>2/1/2025</v>
      </c>
      <c r="J221" s="25">
        <v>20210301</v>
      </c>
      <c r="K221" s="23" t="str">
        <f>TEXT(DATE(LEFT(J221,4), MID(J221,5,2), RIGHT(J221,2)), "M/d/yyyy")</f>
        <v>3/1/2021</v>
      </c>
      <c r="L221" s="24" t="s">
        <v>78</v>
      </c>
      <c r="M221" s="26">
        <v>1</v>
      </c>
      <c r="N221" s="25">
        <v>20</v>
      </c>
      <c r="O221" s="27">
        <v>-20</v>
      </c>
      <c r="P221" s="22" t="s">
        <v>3831</v>
      </c>
    </row>
    <row r="222" spans="1:16" s="22" customFormat="1" ht="15" customHeight="1" x14ac:dyDescent="0.2">
      <c r="A222" s="22" t="s">
        <v>3786</v>
      </c>
      <c r="B222" s="22">
        <v>8814784</v>
      </c>
      <c r="C222" s="23">
        <v>1</v>
      </c>
      <c r="D222" s="23">
        <v>890545645</v>
      </c>
      <c r="E222" s="23">
        <v>890545645</v>
      </c>
      <c r="F222" s="24" t="s">
        <v>1936</v>
      </c>
      <c r="G222" s="23">
        <v>0</v>
      </c>
      <c r="H222" s="23">
        <v>20250301</v>
      </c>
      <c r="I222" s="23" t="str">
        <f>TEXT(DATE(LEFT(H222,4), MID(H222,5,2), RIGHT(H222,2)), "M/d/yyyy")</f>
        <v>3/1/2025</v>
      </c>
      <c r="J222" s="25">
        <v>20200101</v>
      </c>
      <c r="K222" s="23" t="str">
        <f>TEXT(DATE(LEFT(J222,4), MID(J222,5,2), RIGHT(J222,2)), "M/d/yyyy")</f>
        <v>1/1/2020</v>
      </c>
      <c r="L222" s="24" t="s">
        <v>78</v>
      </c>
      <c r="M222" s="26">
        <v>1</v>
      </c>
      <c r="N222" s="25">
        <v>20</v>
      </c>
      <c r="O222" s="27">
        <v>20</v>
      </c>
      <c r="P222" s="22" t="s">
        <v>3831</v>
      </c>
    </row>
    <row r="223" spans="1:16" s="22" customFormat="1" ht="15" customHeight="1" x14ac:dyDescent="0.2">
      <c r="A223" s="22" t="s">
        <v>3786</v>
      </c>
      <c r="B223" s="22">
        <v>8814784</v>
      </c>
      <c r="C223" s="23">
        <v>1</v>
      </c>
      <c r="D223" s="23">
        <v>920719848</v>
      </c>
      <c r="E223" s="23">
        <v>920719848</v>
      </c>
      <c r="F223" s="24" t="s">
        <v>1940</v>
      </c>
      <c r="G223" s="23">
        <v>0</v>
      </c>
      <c r="H223" s="23">
        <v>20250301</v>
      </c>
      <c r="I223" s="23" t="str">
        <f>TEXT(DATE(LEFT(H223,4), MID(H223,5,2), RIGHT(H223,2)), "M/d/yyyy")</f>
        <v>3/1/2025</v>
      </c>
      <c r="J223" s="25">
        <v>20200401</v>
      </c>
      <c r="K223" s="23" t="str">
        <f>TEXT(DATE(LEFT(J223,4), MID(J223,5,2), RIGHT(J223,2)), "M/d/yyyy")</f>
        <v>4/1/2020</v>
      </c>
      <c r="L223" s="24" t="s">
        <v>78</v>
      </c>
      <c r="M223" s="26">
        <v>1</v>
      </c>
      <c r="N223" s="25">
        <v>20</v>
      </c>
      <c r="O223" s="27">
        <v>20</v>
      </c>
      <c r="P223" s="22" t="s">
        <v>3831</v>
      </c>
    </row>
    <row r="224" spans="1:16" s="22" customFormat="1" ht="15" customHeight="1" x14ac:dyDescent="0.2">
      <c r="A224" s="22" t="s">
        <v>3786</v>
      </c>
      <c r="B224" s="22">
        <v>8814784</v>
      </c>
      <c r="C224" s="23">
        <v>1</v>
      </c>
      <c r="D224" s="23">
        <v>920784697</v>
      </c>
      <c r="E224" s="23">
        <v>920784697</v>
      </c>
      <c r="F224" s="24" t="s">
        <v>1947</v>
      </c>
      <c r="G224" s="23">
        <v>0</v>
      </c>
      <c r="H224" s="23">
        <v>20250301</v>
      </c>
      <c r="I224" s="23" t="str">
        <f>TEXT(DATE(LEFT(H224,4), MID(H224,5,2), RIGHT(H224,2)), "M/d/yyyy")</f>
        <v>3/1/2025</v>
      </c>
      <c r="J224" s="25">
        <v>20240101</v>
      </c>
      <c r="K224" s="23" t="str">
        <f>TEXT(DATE(LEFT(J224,4), MID(J224,5,2), RIGHT(J224,2)), "M/d/yyyy")</f>
        <v>1/1/2024</v>
      </c>
      <c r="L224" s="24" t="s">
        <v>78</v>
      </c>
      <c r="M224" s="26">
        <v>1</v>
      </c>
      <c r="N224" s="25">
        <v>20</v>
      </c>
      <c r="O224" s="27">
        <v>20</v>
      </c>
      <c r="P224" s="22" t="s">
        <v>3831</v>
      </c>
    </row>
    <row r="225" spans="1:16" s="22" customFormat="1" ht="15" customHeight="1" x14ac:dyDescent="0.2">
      <c r="A225" s="22" t="s">
        <v>3786</v>
      </c>
      <c r="B225" s="22">
        <v>8814784</v>
      </c>
      <c r="C225" s="23">
        <v>1</v>
      </c>
      <c r="D225" s="23">
        <v>921179704</v>
      </c>
      <c r="E225" s="23">
        <v>921179704</v>
      </c>
      <c r="F225" s="24" t="s">
        <v>1967</v>
      </c>
      <c r="G225" s="23">
        <v>0</v>
      </c>
      <c r="H225" s="23">
        <v>20250301</v>
      </c>
      <c r="I225" s="23" t="str">
        <f>TEXT(DATE(LEFT(H225,4), MID(H225,5,2), RIGHT(H225,2)), "M/d/yyyy")</f>
        <v>3/1/2025</v>
      </c>
      <c r="J225" s="25">
        <v>20210801</v>
      </c>
      <c r="K225" s="23" t="str">
        <f>TEXT(DATE(LEFT(J225,4), MID(J225,5,2), RIGHT(J225,2)), "M/d/yyyy")</f>
        <v>8/1/2021</v>
      </c>
      <c r="L225" s="24" t="s">
        <v>78</v>
      </c>
      <c r="M225" s="26">
        <v>1</v>
      </c>
      <c r="N225" s="25">
        <v>20</v>
      </c>
      <c r="O225" s="27">
        <v>20</v>
      </c>
      <c r="P225" s="22" t="s">
        <v>3831</v>
      </c>
    </row>
    <row r="226" spans="1:16" s="22" customFormat="1" ht="15" customHeight="1" x14ac:dyDescent="0.2">
      <c r="A226" s="22" t="s">
        <v>3786</v>
      </c>
      <c r="B226" s="22">
        <v>8814784</v>
      </c>
      <c r="C226" s="23">
        <v>1</v>
      </c>
      <c r="D226" s="23">
        <v>921399306</v>
      </c>
      <c r="E226" s="23">
        <v>921399306</v>
      </c>
      <c r="F226" s="24" t="s">
        <v>1987</v>
      </c>
      <c r="G226" s="23">
        <v>0</v>
      </c>
      <c r="H226" s="23">
        <v>20250301</v>
      </c>
      <c r="I226" s="23" t="str">
        <f>TEXT(DATE(LEFT(H226,4), MID(H226,5,2), RIGHT(H226,2)), "M/d/yyyy")</f>
        <v>3/1/2025</v>
      </c>
      <c r="J226" s="25">
        <v>20210401</v>
      </c>
      <c r="K226" s="23" t="str">
        <f>TEXT(DATE(LEFT(J226,4), MID(J226,5,2), RIGHT(J226,2)), "M/d/yyyy")</f>
        <v>4/1/2021</v>
      </c>
      <c r="L226" s="24" t="s">
        <v>78</v>
      </c>
      <c r="M226" s="26">
        <v>1</v>
      </c>
      <c r="N226" s="25">
        <v>20</v>
      </c>
      <c r="O226" s="27">
        <v>20</v>
      </c>
      <c r="P226" s="22" t="s">
        <v>3831</v>
      </c>
    </row>
    <row r="227" spans="1:16" s="22" customFormat="1" ht="15" customHeight="1" x14ac:dyDescent="0.2">
      <c r="A227" s="22" t="s">
        <v>3786</v>
      </c>
      <c r="B227" s="22">
        <v>8814784</v>
      </c>
      <c r="C227" s="23">
        <v>1</v>
      </c>
      <c r="D227" s="23">
        <v>921444050</v>
      </c>
      <c r="E227" s="23">
        <v>921444050</v>
      </c>
      <c r="F227" s="24" t="s">
        <v>1991</v>
      </c>
      <c r="G227" s="23">
        <v>0</v>
      </c>
      <c r="H227" s="23">
        <v>20250301</v>
      </c>
      <c r="I227" s="23" t="str">
        <f>TEXT(DATE(LEFT(H227,4), MID(H227,5,2), RIGHT(H227,2)), "M/d/yyyy")</f>
        <v>3/1/2025</v>
      </c>
      <c r="J227" s="25">
        <v>20190101</v>
      </c>
      <c r="K227" s="23" t="str">
        <f>TEXT(DATE(LEFT(J227,4), MID(J227,5,2), RIGHT(J227,2)), "M/d/yyyy")</f>
        <v>1/1/2019</v>
      </c>
      <c r="L227" s="24" t="s">
        <v>78</v>
      </c>
      <c r="M227" s="26">
        <v>1</v>
      </c>
      <c r="N227" s="25">
        <v>20</v>
      </c>
      <c r="O227" s="27">
        <v>20</v>
      </c>
      <c r="P227" s="22" t="s">
        <v>3831</v>
      </c>
    </row>
    <row r="228" spans="1:16" s="22" customFormat="1" ht="15" customHeight="1" x14ac:dyDescent="0.2">
      <c r="A228" s="22" t="s">
        <v>3786</v>
      </c>
      <c r="B228" s="22">
        <v>8814784</v>
      </c>
      <c r="C228" s="23">
        <v>1</v>
      </c>
      <c r="D228" s="23">
        <v>921603355</v>
      </c>
      <c r="E228" s="23">
        <v>921603355</v>
      </c>
      <c r="F228" s="24" t="s">
        <v>2000</v>
      </c>
      <c r="G228" s="23">
        <v>0</v>
      </c>
      <c r="H228" s="23">
        <v>20250301</v>
      </c>
      <c r="I228" s="23" t="str">
        <f>TEXT(DATE(LEFT(H228,4), MID(H228,5,2), RIGHT(H228,2)), "M/d/yyyy")</f>
        <v>3/1/2025</v>
      </c>
      <c r="J228" s="25">
        <v>20220201</v>
      </c>
      <c r="K228" s="23" t="str">
        <f>TEXT(DATE(LEFT(J228,4), MID(J228,5,2), RIGHT(J228,2)), "M/d/yyyy")</f>
        <v>2/1/2022</v>
      </c>
      <c r="L228" s="24" t="s">
        <v>78</v>
      </c>
      <c r="M228" s="26">
        <v>1</v>
      </c>
      <c r="N228" s="25">
        <v>20</v>
      </c>
      <c r="O228" s="27">
        <v>20</v>
      </c>
      <c r="P228" s="22" t="s">
        <v>3831</v>
      </c>
    </row>
    <row r="229" spans="1:16" s="22" customFormat="1" ht="15" customHeight="1" x14ac:dyDescent="0.2">
      <c r="A229" s="22" t="s">
        <v>3786</v>
      </c>
      <c r="B229" s="22">
        <v>8814784</v>
      </c>
      <c r="C229" s="23">
        <v>1</v>
      </c>
      <c r="D229" s="23">
        <v>921605712</v>
      </c>
      <c r="E229" s="23">
        <v>921605712</v>
      </c>
      <c r="F229" s="24" t="s">
        <v>2002</v>
      </c>
      <c r="G229" s="23">
        <v>0</v>
      </c>
      <c r="H229" s="23">
        <v>20250301</v>
      </c>
      <c r="I229" s="23" t="str">
        <f>TEXT(DATE(LEFT(H229,4), MID(H229,5,2), RIGHT(H229,2)), "M/d/yyyy")</f>
        <v>3/1/2025</v>
      </c>
      <c r="J229" s="25">
        <v>20220101</v>
      </c>
      <c r="K229" s="23" t="str">
        <f>TEXT(DATE(LEFT(J229,4), MID(J229,5,2), RIGHT(J229,2)), "M/d/yyyy")</f>
        <v>1/1/2022</v>
      </c>
      <c r="L229" s="24" t="s">
        <v>78</v>
      </c>
      <c r="M229" s="26">
        <v>1</v>
      </c>
      <c r="N229" s="25">
        <v>20</v>
      </c>
      <c r="O229" s="27">
        <v>20</v>
      </c>
      <c r="P229" s="22" t="s">
        <v>3831</v>
      </c>
    </row>
    <row r="230" spans="1:16" s="22" customFormat="1" ht="15" customHeight="1" x14ac:dyDescent="0.2">
      <c r="A230" s="22" t="s">
        <v>3786</v>
      </c>
      <c r="B230" s="22">
        <v>8814784</v>
      </c>
      <c r="C230" s="23">
        <v>1</v>
      </c>
      <c r="D230" s="23">
        <v>921630535</v>
      </c>
      <c r="E230" s="23">
        <v>921630535</v>
      </c>
      <c r="F230" s="24" t="s">
        <v>2006</v>
      </c>
      <c r="G230" s="23">
        <v>0</v>
      </c>
      <c r="H230" s="23">
        <v>20250301</v>
      </c>
      <c r="I230" s="23" t="str">
        <f>TEXT(DATE(LEFT(H230,4), MID(H230,5,2), RIGHT(H230,2)), "M/d/yyyy")</f>
        <v>3/1/2025</v>
      </c>
      <c r="J230" s="25">
        <v>20230101</v>
      </c>
      <c r="K230" s="23" t="str">
        <f>TEXT(DATE(LEFT(J230,4), MID(J230,5,2), RIGHT(J230,2)), "M/d/yyyy")</f>
        <v>1/1/2023</v>
      </c>
      <c r="L230" s="24" t="s">
        <v>78</v>
      </c>
      <c r="M230" s="26">
        <v>1</v>
      </c>
      <c r="N230" s="25">
        <v>20</v>
      </c>
      <c r="O230" s="27">
        <v>20</v>
      </c>
      <c r="P230" s="22" t="s">
        <v>3831</v>
      </c>
    </row>
    <row r="231" spans="1:16" s="22" customFormat="1" ht="15" customHeight="1" x14ac:dyDescent="0.2">
      <c r="A231" s="22" t="s">
        <v>3786</v>
      </c>
      <c r="B231" s="22">
        <v>8814784</v>
      </c>
      <c r="C231" s="23">
        <v>1</v>
      </c>
      <c r="D231" s="23">
        <v>921663243</v>
      </c>
      <c r="E231" s="23">
        <v>921663243</v>
      </c>
      <c r="F231" s="24" t="s">
        <v>2016</v>
      </c>
      <c r="G231" s="23">
        <v>0</v>
      </c>
      <c r="H231" s="23">
        <v>20250301</v>
      </c>
      <c r="I231" s="23" t="str">
        <f>TEXT(DATE(LEFT(H231,4), MID(H231,5,2), RIGHT(H231,2)), "M/d/yyyy")</f>
        <v>3/1/2025</v>
      </c>
      <c r="J231" s="25">
        <v>20230701</v>
      </c>
      <c r="K231" s="23" t="str">
        <f>TEXT(DATE(LEFT(J231,4), MID(J231,5,2), RIGHT(J231,2)), "M/d/yyyy")</f>
        <v>7/1/2023</v>
      </c>
      <c r="L231" s="24" t="s">
        <v>78</v>
      </c>
      <c r="M231" s="26">
        <v>1</v>
      </c>
      <c r="N231" s="25">
        <v>20</v>
      </c>
      <c r="O231" s="27">
        <v>20</v>
      </c>
      <c r="P231" s="22" t="s">
        <v>3831</v>
      </c>
    </row>
    <row r="232" spans="1:16" s="22" customFormat="1" ht="15" customHeight="1" x14ac:dyDescent="0.2">
      <c r="A232" s="22" t="s">
        <v>3786</v>
      </c>
      <c r="B232" s="22">
        <v>8814784</v>
      </c>
      <c r="C232" s="23">
        <v>1</v>
      </c>
      <c r="D232" s="23">
        <v>921663243</v>
      </c>
      <c r="E232" s="23">
        <v>921663243</v>
      </c>
      <c r="F232" s="24" t="s">
        <v>2016</v>
      </c>
      <c r="G232" s="23">
        <v>0</v>
      </c>
      <c r="H232" s="23">
        <v>20250201</v>
      </c>
      <c r="I232" s="23" t="str">
        <f>TEXT(DATE(LEFT(H232,4), MID(H232,5,2), RIGHT(H232,2)), "M/d/yyyy")</f>
        <v>2/1/2025</v>
      </c>
      <c r="J232" s="25">
        <v>20230701</v>
      </c>
      <c r="K232" s="23" t="str">
        <f>TEXT(DATE(LEFT(J232,4), MID(J232,5,2), RIGHT(J232,2)), "M/d/yyyy")</f>
        <v>7/1/2023</v>
      </c>
      <c r="L232" s="24" t="s">
        <v>78</v>
      </c>
      <c r="M232" s="26">
        <v>1</v>
      </c>
      <c r="N232" s="25">
        <v>20</v>
      </c>
      <c r="O232" s="27">
        <v>20</v>
      </c>
      <c r="P232" s="22" t="s">
        <v>3831</v>
      </c>
    </row>
    <row r="233" spans="1:16" s="22" customFormat="1" ht="15" customHeight="1" x14ac:dyDescent="0.2">
      <c r="A233" s="22" t="s">
        <v>3786</v>
      </c>
      <c r="B233" s="22">
        <v>8814784</v>
      </c>
      <c r="C233" s="23">
        <v>1</v>
      </c>
      <c r="D233" s="23">
        <v>890715455</v>
      </c>
      <c r="E233" s="23">
        <v>890715455</v>
      </c>
      <c r="F233" s="24" t="s">
        <v>1938</v>
      </c>
      <c r="G233" s="23">
        <v>0</v>
      </c>
      <c r="H233" s="23">
        <v>20250301</v>
      </c>
      <c r="I233" s="23" t="str">
        <f>TEXT(DATE(LEFT(H233,4), MID(H233,5,2), RIGHT(H233,2)), "M/d/yyyy")</f>
        <v>3/1/2025</v>
      </c>
      <c r="J233" s="25">
        <v>20240701</v>
      </c>
      <c r="K233" s="23" t="str">
        <f>TEXT(DATE(LEFT(J233,4), MID(J233,5,2), RIGHT(J233,2)), "M/d/yyyy")</f>
        <v>7/1/2024</v>
      </c>
      <c r="L233" s="24" t="s">
        <v>78</v>
      </c>
      <c r="M233" s="26">
        <v>1</v>
      </c>
      <c r="N233" s="25">
        <v>25</v>
      </c>
      <c r="O233" s="27">
        <v>25</v>
      </c>
      <c r="P233" s="22" t="s">
        <v>3831</v>
      </c>
    </row>
    <row r="234" spans="1:16" s="22" customFormat="1" ht="15" customHeight="1" x14ac:dyDescent="0.2">
      <c r="A234" s="22" t="s">
        <v>3786</v>
      </c>
      <c r="B234" s="22">
        <v>8814784</v>
      </c>
      <c r="C234" s="23">
        <v>1</v>
      </c>
      <c r="D234" s="23">
        <v>920943430</v>
      </c>
      <c r="E234" s="23">
        <v>920943430</v>
      </c>
      <c r="F234" s="24" t="s">
        <v>1957</v>
      </c>
      <c r="G234" s="23">
        <v>0</v>
      </c>
      <c r="H234" s="23">
        <v>20250301</v>
      </c>
      <c r="I234" s="23" t="str">
        <f>TEXT(DATE(LEFT(H234,4), MID(H234,5,2), RIGHT(H234,2)), "M/d/yyyy")</f>
        <v>3/1/2025</v>
      </c>
      <c r="J234" s="25">
        <v>20250101</v>
      </c>
      <c r="K234" s="23" t="str">
        <f>TEXT(DATE(LEFT(J234,4), MID(J234,5,2), RIGHT(J234,2)), "M/d/yyyy")</f>
        <v>1/1/2025</v>
      </c>
      <c r="L234" s="24" t="s">
        <v>78</v>
      </c>
      <c r="M234" s="26">
        <v>1</v>
      </c>
      <c r="N234" s="25">
        <v>25</v>
      </c>
      <c r="O234" s="27">
        <v>25</v>
      </c>
      <c r="P234" s="22" t="s">
        <v>3831</v>
      </c>
    </row>
    <row r="235" spans="1:16" s="22" customFormat="1" ht="15" customHeight="1" x14ac:dyDescent="0.2">
      <c r="A235" s="22" t="s">
        <v>3786</v>
      </c>
      <c r="B235" s="22">
        <v>8814784</v>
      </c>
      <c r="C235" s="23">
        <v>1</v>
      </c>
      <c r="D235" s="23">
        <v>921713629</v>
      </c>
      <c r="E235" s="23">
        <v>921713629</v>
      </c>
      <c r="F235" s="24" t="s">
        <v>2026</v>
      </c>
      <c r="G235" s="23">
        <v>0</v>
      </c>
      <c r="H235" s="23">
        <v>20250301</v>
      </c>
      <c r="I235" s="23" t="str">
        <f>TEXT(DATE(LEFT(H235,4), MID(H235,5,2), RIGHT(H235,2)), "M/d/yyyy")</f>
        <v>3/1/2025</v>
      </c>
      <c r="J235" s="25">
        <v>20240301</v>
      </c>
      <c r="K235" s="23" t="str">
        <f>TEXT(DATE(LEFT(J235,4), MID(J235,5,2), RIGHT(J235,2)), "M/d/yyyy")</f>
        <v>3/1/2024</v>
      </c>
      <c r="L235" s="24" t="s">
        <v>78</v>
      </c>
      <c r="M235" s="26">
        <v>1</v>
      </c>
      <c r="N235" s="25">
        <v>25</v>
      </c>
      <c r="O235" s="27">
        <v>25</v>
      </c>
      <c r="P235" s="22" t="s">
        <v>3831</v>
      </c>
    </row>
    <row r="236" spans="1:16" s="22" customFormat="1" ht="15" customHeight="1" x14ac:dyDescent="0.2">
      <c r="A236" s="22" t="s">
        <v>3786</v>
      </c>
      <c r="B236" s="22">
        <v>8814784</v>
      </c>
      <c r="C236" s="23">
        <v>1</v>
      </c>
      <c r="D236" s="23">
        <v>921713715</v>
      </c>
      <c r="E236" s="23">
        <v>921713715</v>
      </c>
      <c r="F236" s="24" t="s">
        <v>2028</v>
      </c>
      <c r="G236" s="23">
        <v>0</v>
      </c>
      <c r="H236" s="23">
        <v>20250301</v>
      </c>
      <c r="I236" s="23" t="str">
        <f>TEXT(DATE(LEFT(H236,4), MID(H236,5,2), RIGHT(H236,2)), "M/d/yyyy")</f>
        <v>3/1/2025</v>
      </c>
      <c r="J236" s="25">
        <v>20240301</v>
      </c>
      <c r="K236" s="23" t="str">
        <f>TEXT(DATE(LEFT(J236,4), MID(J236,5,2), RIGHT(J236,2)), "M/d/yyyy")</f>
        <v>3/1/2024</v>
      </c>
      <c r="L236" s="24" t="s">
        <v>78</v>
      </c>
      <c r="M236" s="26">
        <v>1</v>
      </c>
      <c r="N236" s="25">
        <v>25</v>
      </c>
      <c r="O236" s="27">
        <v>25</v>
      </c>
      <c r="P236" s="22" t="s">
        <v>3831</v>
      </c>
    </row>
    <row r="237" spans="1:16" s="22" customFormat="1" ht="15" customHeight="1" x14ac:dyDescent="0.2">
      <c r="A237" s="22" t="s">
        <v>3786</v>
      </c>
      <c r="B237" s="22">
        <v>8814784</v>
      </c>
      <c r="C237" s="23">
        <v>1</v>
      </c>
      <c r="D237" s="23">
        <v>921754198</v>
      </c>
      <c r="E237" s="23">
        <v>921754198</v>
      </c>
      <c r="F237" s="24" t="s">
        <v>2034</v>
      </c>
      <c r="G237" s="23">
        <v>0</v>
      </c>
      <c r="H237" s="23">
        <v>20250301</v>
      </c>
      <c r="I237" s="23" t="str">
        <f>TEXT(DATE(LEFT(H237,4), MID(H237,5,2), RIGHT(H237,2)), "M/d/yyyy")</f>
        <v>3/1/2025</v>
      </c>
      <c r="J237" s="25">
        <v>20250101</v>
      </c>
      <c r="K237" s="23" t="str">
        <f>TEXT(DATE(LEFT(J237,4), MID(J237,5,2), RIGHT(J237,2)), "M/d/yyyy")</f>
        <v>1/1/2025</v>
      </c>
      <c r="L237" s="24" t="s">
        <v>78</v>
      </c>
      <c r="M237" s="26">
        <v>1</v>
      </c>
      <c r="N237" s="25">
        <v>25</v>
      </c>
      <c r="O237" s="27">
        <v>25</v>
      </c>
      <c r="P237" s="22" t="s">
        <v>3831</v>
      </c>
    </row>
    <row r="238" spans="1:16" s="22" customFormat="1" ht="15" customHeight="1" x14ac:dyDescent="0.2">
      <c r="A238" s="22" t="s">
        <v>3786</v>
      </c>
      <c r="B238" s="22">
        <v>8814784</v>
      </c>
      <c r="C238" s="23">
        <v>1</v>
      </c>
      <c r="D238" s="23">
        <v>921761596</v>
      </c>
      <c r="E238" s="23">
        <v>921761596</v>
      </c>
      <c r="F238" s="24" t="s">
        <v>2040</v>
      </c>
      <c r="G238" s="23">
        <v>0</v>
      </c>
      <c r="H238" s="23">
        <v>20250301</v>
      </c>
      <c r="I238" s="23" t="str">
        <f>TEXT(DATE(LEFT(H238,4), MID(H238,5,2), RIGHT(H238,2)), "M/d/yyyy")</f>
        <v>3/1/2025</v>
      </c>
      <c r="J238" s="25">
        <v>20250101</v>
      </c>
      <c r="K238" s="23" t="str">
        <f>TEXT(DATE(LEFT(J238,4), MID(J238,5,2), RIGHT(J238,2)), "M/d/yyyy")</f>
        <v>1/1/2025</v>
      </c>
      <c r="L238" s="24" t="s">
        <v>78</v>
      </c>
      <c r="M238" s="26">
        <v>1</v>
      </c>
      <c r="N238" s="25">
        <v>25</v>
      </c>
      <c r="O238" s="27">
        <v>25</v>
      </c>
      <c r="P238" s="22" t="s">
        <v>3831</v>
      </c>
    </row>
    <row r="239" spans="1:16" s="22" customFormat="1" ht="15" customHeight="1" x14ac:dyDescent="0.2">
      <c r="A239" s="22" t="s">
        <v>3786</v>
      </c>
      <c r="B239" s="22">
        <v>8814784</v>
      </c>
      <c r="C239" s="23">
        <v>2</v>
      </c>
      <c r="D239" s="23">
        <v>921680480</v>
      </c>
      <c r="E239" s="23">
        <v>921680480</v>
      </c>
      <c r="F239" s="24" t="s">
        <v>2020</v>
      </c>
      <c r="G239" s="23">
        <v>0</v>
      </c>
      <c r="H239" s="23">
        <v>20250301</v>
      </c>
      <c r="I239" s="23" t="str">
        <f>TEXT(DATE(LEFT(H239,4), MID(H239,5,2), RIGHT(H239,2)), "M/d/yyyy")</f>
        <v>3/1/2025</v>
      </c>
      <c r="J239" s="25">
        <v>20240101</v>
      </c>
      <c r="K239" s="23" t="str">
        <f>TEXT(DATE(LEFT(J239,4), MID(J239,5,2), RIGHT(J239,2)), "M/d/yyyy")</f>
        <v>1/1/2024</v>
      </c>
      <c r="L239" s="24" t="s">
        <v>78</v>
      </c>
      <c r="M239" s="26">
        <v>1</v>
      </c>
      <c r="N239" s="25">
        <v>20</v>
      </c>
      <c r="O239" s="27">
        <v>40</v>
      </c>
      <c r="P239" s="22" t="s">
        <v>3831</v>
      </c>
    </row>
    <row r="240" spans="1:16" s="22" customFormat="1" ht="15" customHeight="1" x14ac:dyDescent="0.2">
      <c r="A240" s="22" t="s">
        <v>3786</v>
      </c>
      <c r="B240" s="22">
        <v>8814784</v>
      </c>
      <c r="C240" s="23">
        <v>2</v>
      </c>
      <c r="D240" s="23">
        <v>921252929</v>
      </c>
      <c r="E240" s="23">
        <v>921252929</v>
      </c>
      <c r="F240" s="24" t="s">
        <v>1977</v>
      </c>
      <c r="G240" s="23">
        <v>0</v>
      </c>
      <c r="H240" s="23">
        <v>20250301</v>
      </c>
      <c r="I240" s="23" t="str">
        <f>TEXT(DATE(LEFT(H240,4), MID(H240,5,2), RIGHT(H240,2)), "M/d/yyyy")</f>
        <v>3/1/2025</v>
      </c>
      <c r="J240" s="25">
        <v>20250101</v>
      </c>
      <c r="K240" s="23" t="str">
        <f>TEXT(DATE(LEFT(J240,4), MID(J240,5,2), RIGHT(J240,2)), "M/d/yyyy")</f>
        <v>1/1/2025</v>
      </c>
      <c r="L240" s="24" t="s">
        <v>78</v>
      </c>
      <c r="M240" s="26">
        <v>1</v>
      </c>
      <c r="N240" s="25">
        <v>25</v>
      </c>
      <c r="O240" s="27">
        <v>50</v>
      </c>
      <c r="P240" s="22" t="s">
        <v>3831</v>
      </c>
    </row>
    <row r="241" spans="1:16" s="22" customFormat="1" ht="15" customHeight="1" x14ac:dyDescent="0.2">
      <c r="A241" s="22" t="s">
        <v>3786</v>
      </c>
      <c r="B241" s="22">
        <v>8814784</v>
      </c>
      <c r="C241" s="23">
        <v>2</v>
      </c>
      <c r="D241" s="23">
        <v>921252929</v>
      </c>
      <c r="E241" s="23">
        <v>921252929</v>
      </c>
      <c r="F241" s="24" t="s">
        <v>1977</v>
      </c>
      <c r="G241" s="23">
        <v>0</v>
      </c>
      <c r="H241" s="23">
        <v>20250201</v>
      </c>
      <c r="I241" s="23" t="str">
        <f>TEXT(DATE(LEFT(H241,4), MID(H241,5,2), RIGHT(H241,2)), "M/d/yyyy")</f>
        <v>2/1/2025</v>
      </c>
      <c r="J241" s="25">
        <v>20250101</v>
      </c>
      <c r="K241" s="23" t="str">
        <f>TEXT(DATE(LEFT(J241,4), MID(J241,5,2), RIGHT(J241,2)), "M/d/yyyy")</f>
        <v>1/1/2025</v>
      </c>
      <c r="L241" s="24" t="s">
        <v>78</v>
      </c>
      <c r="M241" s="26">
        <v>1</v>
      </c>
      <c r="N241" s="25">
        <v>25</v>
      </c>
      <c r="O241" s="27">
        <v>50</v>
      </c>
      <c r="P241" s="22" t="s">
        <v>3831</v>
      </c>
    </row>
    <row r="242" spans="1:16" s="22" customFormat="1" ht="15" customHeight="1" x14ac:dyDescent="0.2">
      <c r="A242" s="22" t="s">
        <v>3786</v>
      </c>
      <c r="B242" s="22">
        <v>8814784</v>
      </c>
      <c r="C242" s="23">
        <v>3</v>
      </c>
      <c r="D242" s="23">
        <v>921243078</v>
      </c>
      <c r="E242" s="23">
        <v>921243078</v>
      </c>
      <c r="F242" s="24" t="s">
        <v>1971</v>
      </c>
      <c r="G242" s="23">
        <v>0</v>
      </c>
      <c r="H242" s="23">
        <v>20250301</v>
      </c>
      <c r="I242" s="23" t="str">
        <f>TEXT(DATE(LEFT(H242,4), MID(H242,5,2), RIGHT(H242,2)), "M/d/yyyy")</f>
        <v>3/1/2025</v>
      </c>
      <c r="J242" s="25">
        <v>20160301</v>
      </c>
      <c r="K242" s="23" t="str">
        <f>TEXT(DATE(LEFT(J242,4), MID(J242,5,2), RIGHT(J242,2)), "M/d/yyyy")</f>
        <v>3/1/2016</v>
      </c>
      <c r="L242" s="24" t="s">
        <v>78</v>
      </c>
      <c r="M242" s="26">
        <v>1</v>
      </c>
      <c r="N242" s="25">
        <v>20</v>
      </c>
      <c r="O242" s="27">
        <v>60</v>
      </c>
      <c r="P242" s="22" t="s">
        <v>3831</v>
      </c>
    </row>
    <row r="243" spans="1:16" s="22" customFormat="1" ht="15" customHeight="1" x14ac:dyDescent="0.2">
      <c r="A243" s="22" t="s">
        <v>3786</v>
      </c>
      <c r="B243" s="22">
        <v>8814784</v>
      </c>
      <c r="C243" s="23">
        <v>3</v>
      </c>
      <c r="D243" s="23">
        <v>921378016</v>
      </c>
      <c r="E243" s="23">
        <v>921378016</v>
      </c>
      <c r="F243" s="24" t="s">
        <v>1981</v>
      </c>
      <c r="G243" s="23">
        <v>0</v>
      </c>
      <c r="H243" s="23">
        <v>20250301</v>
      </c>
      <c r="I243" s="23" t="str">
        <f>TEXT(DATE(LEFT(H243,4), MID(H243,5,2), RIGHT(H243,2)), "M/d/yyyy")</f>
        <v>3/1/2025</v>
      </c>
      <c r="J243" s="25">
        <v>20200101</v>
      </c>
      <c r="K243" s="23" t="str">
        <f>TEXT(DATE(LEFT(J243,4), MID(J243,5,2), RIGHT(J243,2)), "M/d/yyyy")</f>
        <v>1/1/2020</v>
      </c>
      <c r="L243" s="24" t="s">
        <v>78</v>
      </c>
      <c r="M243" s="26">
        <v>1</v>
      </c>
      <c r="N243" s="25">
        <v>20</v>
      </c>
      <c r="O243" s="27">
        <v>60</v>
      </c>
      <c r="P243" s="22" t="s">
        <v>3831</v>
      </c>
    </row>
    <row r="244" spans="1:16" s="22" customFormat="1" ht="15" customHeight="1" x14ac:dyDescent="0.2">
      <c r="A244" s="22" t="s">
        <v>3781</v>
      </c>
      <c r="B244" s="22">
        <v>9213293</v>
      </c>
      <c r="C244" s="23">
        <v>1</v>
      </c>
      <c r="D244" s="23">
        <v>890206999</v>
      </c>
      <c r="E244" s="23">
        <v>890206999</v>
      </c>
      <c r="F244" s="24" t="s">
        <v>677</v>
      </c>
      <c r="G244" s="23">
        <v>0</v>
      </c>
      <c r="H244" s="23">
        <v>20250301</v>
      </c>
      <c r="I244" s="23" t="str">
        <f>TEXT(DATE(LEFT(H244,4), MID(H244,5,2), RIGHT(H244,2)), "M/d/yyyy")</f>
        <v>3/1/2025</v>
      </c>
      <c r="J244" s="25">
        <v>20210101</v>
      </c>
      <c r="K244" s="23" t="str">
        <f>TEXT(DATE(LEFT(J244,4), MID(J244,5,2), RIGHT(J244,2)), "M/d/yyyy")</f>
        <v>1/1/2021</v>
      </c>
      <c r="L244" s="24" t="s">
        <v>78</v>
      </c>
      <c r="M244" s="26">
        <v>1</v>
      </c>
      <c r="N244" s="25">
        <v>20</v>
      </c>
      <c r="O244" s="27">
        <v>20</v>
      </c>
      <c r="P244" s="22" t="s">
        <v>3831</v>
      </c>
    </row>
    <row r="245" spans="1:16" s="22" customFormat="1" ht="15" customHeight="1" x14ac:dyDescent="0.2">
      <c r="A245" s="22" t="s">
        <v>3781</v>
      </c>
      <c r="B245" s="22">
        <v>9213293</v>
      </c>
      <c r="C245" s="23">
        <v>1</v>
      </c>
      <c r="D245" s="23">
        <v>890254820</v>
      </c>
      <c r="E245" s="23">
        <v>890254820</v>
      </c>
      <c r="F245" s="24" t="s">
        <v>679</v>
      </c>
      <c r="G245" s="23">
        <v>0</v>
      </c>
      <c r="H245" s="23">
        <v>20250301</v>
      </c>
      <c r="I245" s="23" t="str">
        <f>TEXT(DATE(LEFT(H245,4), MID(H245,5,2), RIGHT(H245,2)), "M/d/yyyy")</f>
        <v>3/1/2025</v>
      </c>
      <c r="J245" s="25">
        <v>20210101</v>
      </c>
      <c r="K245" s="23" t="str">
        <f>TEXT(DATE(LEFT(J245,4), MID(J245,5,2), RIGHT(J245,2)), "M/d/yyyy")</f>
        <v>1/1/2021</v>
      </c>
      <c r="L245" s="24" t="s">
        <v>78</v>
      </c>
      <c r="M245" s="26">
        <v>1</v>
      </c>
      <c r="N245" s="25">
        <v>20</v>
      </c>
      <c r="O245" s="27">
        <v>20</v>
      </c>
      <c r="P245" s="22" t="s">
        <v>3831</v>
      </c>
    </row>
    <row r="246" spans="1:16" s="22" customFormat="1" ht="15" customHeight="1" x14ac:dyDescent="0.2">
      <c r="A246" s="22" t="s">
        <v>3781</v>
      </c>
      <c r="B246" s="22">
        <v>9213293</v>
      </c>
      <c r="C246" s="23">
        <v>1</v>
      </c>
      <c r="D246" s="23">
        <v>920869620</v>
      </c>
      <c r="E246" s="23">
        <v>920869620</v>
      </c>
      <c r="F246" s="24" t="s">
        <v>694</v>
      </c>
      <c r="G246" s="23">
        <v>0</v>
      </c>
      <c r="H246" s="23">
        <v>20250301</v>
      </c>
      <c r="I246" s="23" t="str">
        <f>TEXT(DATE(LEFT(H246,4), MID(H246,5,2), RIGHT(H246,2)), "M/d/yyyy")</f>
        <v>3/1/2025</v>
      </c>
      <c r="J246" s="25">
        <v>20200101</v>
      </c>
      <c r="K246" s="23" t="str">
        <f>TEXT(DATE(LEFT(J246,4), MID(J246,5,2), RIGHT(J246,2)), "M/d/yyyy")</f>
        <v>1/1/2020</v>
      </c>
      <c r="L246" s="24" t="s">
        <v>78</v>
      </c>
      <c r="M246" s="26">
        <v>1</v>
      </c>
      <c r="N246" s="25">
        <v>20</v>
      </c>
      <c r="O246" s="27">
        <v>20</v>
      </c>
      <c r="P246" s="22" t="s">
        <v>3831</v>
      </c>
    </row>
    <row r="247" spans="1:16" s="22" customFormat="1" ht="15" customHeight="1" x14ac:dyDescent="0.2">
      <c r="A247" s="22" t="s">
        <v>3781</v>
      </c>
      <c r="B247" s="22">
        <v>9213293</v>
      </c>
      <c r="C247" s="23">
        <v>1</v>
      </c>
      <c r="D247" s="23">
        <v>921312795</v>
      </c>
      <c r="E247" s="23">
        <v>921312795</v>
      </c>
      <c r="F247" s="24" t="s">
        <v>727</v>
      </c>
      <c r="G247" s="23">
        <v>0</v>
      </c>
      <c r="H247" s="23">
        <v>20250301</v>
      </c>
      <c r="I247" s="23" t="str">
        <f>TEXT(DATE(LEFT(H247,4), MID(H247,5,2), RIGHT(H247,2)), "M/d/yyyy")</f>
        <v>3/1/2025</v>
      </c>
      <c r="J247" s="25">
        <v>20170101</v>
      </c>
      <c r="K247" s="23" t="str">
        <f>TEXT(DATE(LEFT(J247,4), MID(J247,5,2), RIGHT(J247,2)), "M/d/yyyy")</f>
        <v>1/1/2017</v>
      </c>
      <c r="L247" s="24" t="s">
        <v>78</v>
      </c>
      <c r="M247" s="26">
        <v>1</v>
      </c>
      <c r="N247" s="25">
        <v>20</v>
      </c>
      <c r="O247" s="27">
        <v>20</v>
      </c>
      <c r="P247" s="22" t="s">
        <v>3831</v>
      </c>
    </row>
    <row r="248" spans="1:16" s="22" customFormat="1" ht="15" customHeight="1" x14ac:dyDescent="0.2">
      <c r="A248" s="22" t="s">
        <v>3781</v>
      </c>
      <c r="B248" s="22">
        <v>9213293</v>
      </c>
      <c r="C248" s="23">
        <v>1</v>
      </c>
      <c r="D248" s="23">
        <v>921339940</v>
      </c>
      <c r="E248" s="23">
        <v>921339940</v>
      </c>
      <c r="F248" s="24" t="s">
        <v>734</v>
      </c>
      <c r="G248" s="23">
        <v>0</v>
      </c>
      <c r="H248" s="23">
        <v>20250301</v>
      </c>
      <c r="I248" s="23" t="str">
        <f>TEXT(DATE(LEFT(H248,4), MID(H248,5,2), RIGHT(H248,2)), "M/d/yyyy")</f>
        <v>3/1/2025</v>
      </c>
      <c r="J248" s="25">
        <v>20210101</v>
      </c>
      <c r="K248" s="23" t="str">
        <f>TEXT(DATE(LEFT(J248,4), MID(J248,5,2), RIGHT(J248,2)), "M/d/yyyy")</f>
        <v>1/1/2021</v>
      </c>
      <c r="L248" s="24" t="s">
        <v>78</v>
      </c>
      <c r="M248" s="26">
        <v>1</v>
      </c>
      <c r="N248" s="25">
        <v>20</v>
      </c>
      <c r="O248" s="27">
        <v>20</v>
      </c>
      <c r="P248" s="22" t="s">
        <v>3831</v>
      </c>
    </row>
    <row r="249" spans="1:16" s="22" customFormat="1" ht="15" customHeight="1" x14ac:dyDescent="0.2">
      <c r="A249" s="22" t="s">
        <v>3781</v>
      </c>
      <c r="B249" s="22">
        <v>9213293</v>
      </c>
      <c r="C249" s="23">
        <v>1</v>
      </c>
      <c r="D249" s="23">
        <v>921407195</v>
      </c>
      <c r="E249" s="23">
        <v>921407195</v>
      </c>
      <c r="F249" s="24" t="s">
        <v>757</v>
      </c>
      <c r="G249" s="23">
        <v>0</v>
      </c>
      <c r="H249" s="23">
        <v>20250301</v>
      </c>
      <c r="I249" s="23" t="str">
        <f>TEXT(DATE(LEFT(H249,4), MID(H249,5,2), RIGHT(H249,2)), "M/d/yyyy")</f>
        <v>3/1/2025</v>
      </c>
      <c r="J249" s="25">
        <v>20230201</v>
      </c>
      <c r="K249" s="23" t="str">
        <f>TEXT(DATE(LEFT(J249,4), MID(J249,5,2), RIGHT(J249,2)), "M/d/yyyy")</f>
        <v>2/1/2023</v>
      </c>
      <c r="L249" s="24" t="s">
        <v>78</v>
      </c>
      <c r="M249" s="26">
        <v>1</v>
      </c>
      <c r="N249" s="25">
        <v>20</v>
      </c>
      <c r="O249" s="27">
        <v>20</v>
      </c>
      <c r="P249" s="22" t="s">
        <v>3831</v>
      </c>
    </row>
    <row r="250" spans="1:16" s="22" customFormat="1" ht="15" customHeight="1" x14ac:dyDescent="0.2">
      <c r="A250" s="22" t="s">
        <v>3781</v>
      </c>
      <c r="B250" s="22">
        <v>9213293</v>
      </c>
      <c r="C250" s="23">
        <v>1</v>
      </c>
      <c r="D250" s="23">
        <v>921502674</v>
      </c>
      <c r="E250" s="23">
        <v>921502674</v>
      </c>
      <c r="F250" s="24" t="s">
        <v>776</v>
      </c>
      <c r="G250" s="23">
        <v>0</v>
      </c>
      <c r="H250" s="23">
        <v>20250301</v>
      </c>
      <c r="I250" s="23" t="str">
        <f>TEXT(DATE(LEFT(H250,4), MID(H250,5,2), RIGHT(H250,2)), "M/d/yyyy")</f>
        <v>3/1/2025</v>
      </c>
      <c r="J250" s="25">
        <v>20230101</v>
      </c>
      <c r="K250" s="23" t="str">
        <f>TEXT(DATE(LEFT(J250,4), MID(J250,5,2), RIGHT(J250,2)), "M/d/yyyy")</f>
        <v>1/1/2023</v>
      </c>
      <c r="L250" s="24" t="s">
        <v>78</v>
      </c>
      <c r="M250" s="26">
        <v>1</v>
      </c>
      <c r="N250" s="25">
        <v>20</v>
      </c>
      <c r="O250" s="27">
        <v>20</v>
      </c>
      <c r="P250" s="22" t="s">
        <v>3831</v>
      </c>
    </row>
    <row r="251" spans="1:16" s="22" customFormat="1" ht="15" customHeight="1" x14ac:dyDescent="0.2">
      <c r="A251" s="22" t="s">
        <v>3781</v>
      </c>
      <c r="B251" s="22">
        <v>9213293</v>
      </c>
      <c r="C251" s="23">
        <v>1</v>
      </c>
      <c r="D251" s="23">
        <v>921510733</v>
      </c>
      <c r="E251" s="23">
        <v>921510733</v>
      </c>
      <c r="F251" s="24" t="s">
        <v>778</v>
      </c>
      <c r="G251" s="23">
        <v>0</v>
      </c>
      <c r="H251" s="23">
        <v>20250301</v>
      </c>
      <c r="I251" s="23" t="str">
        <f>TEXT(DATE(LEFT(H251,4), MID(H251,5,2), RIGHT(H251,2)), "M/d/yyyy")</f>
        <v>3/1/2025</v>
      </c>
      <c r="J251" s="25">
        <v>20200101</v>
      </c>
      <c r="K251" s="23" t="str">
        <f>TEXT(DATE(LEFT(J251,4), MID(J251,5,2), RIGHT(J251,2)), "M/d/yyyy")</f>
        <v>1/1/2020</v>
      </c>
      <c r="L251" s="24" t="s">
        <v>78</v>
      </c>
      <c r="M251" s="26">
        <v>1</v>
      </c>
      <c r="N251" s="25">
        <v>20</v>
      </c>
      <c r="O251" s="27">
        <v>20</v>
      </c>
      <c r="P251" s="22" t="s">
        <v>3831</v>
      </c>
    </row>
    <row r="252" spans="1:16" s="22" customFormat="1" ht="15" customHeight="1" x14ac:dyDescent="0.2">
      <c r="A252" s="22" t="s">
        <v>3781</v>
      </c>
      <c r="B252" s="22">
        <v>9213293</v>
      </c>
      <c r="C252" s="23">
        <v>1</v>
      </c>
      <c r="D252" s="23">
        <v>921554788</v>
      </c>
      <c r="E252" s="23">
        <v>921554788</v>
      </c>
      <c r="F252" s="24" t="s">
        <v>793</v>
      </c>
      <c r="G252" s="23">
        <v>0</v>
      </c>
      <c r="H252" s="23">
        <v>20250301</v>
      </c>
      <c r="I252" s="23" t="str">
        <f>TEXT(DATE(LEFT(H252,4), MID(H252,5,2), RIGHT(H252,2)), "M/d/yyyy")</f>
        <v>3/1/2025</v>
      </c>
      <c r="J252" s="25">
        <v>20210701</v>
      </c>
      <c r="K252" s="23" t="str">
        <f>TEXT(DATE(LEFT(J252,4), MID(J252,5,2), RIGHT(J252,2)), "M/d/yyyy")</f>
        <v>7/1/2021</v>
      </c>
      <c r="L252" s="24" t="s">
        <v>78</v>
      </c>
      <c r="M252" s="26">
        <v>1</v>
      </c>
      <c r="N252" s="25">
        <v>20</v>
      </c>
      <c r="O252" s="27">
        <v>20</v>
      </c>
      <c r="P252" s="22" t="s">
        <v>3831</v>
      </c>
    </row>
    <row r="253" spans="1:16" s="22" customFormat="1" ht="15" customHeight="1" x14ac:dyDescent="0.2">
      <c r="A253" s="22" t="s">
        <v>3781</v>
      </c>
      <c r="B253" s="22">
        <v>9213293</v>
      </c>
      <c r="C253" s="23">
        <v>1</v>
      </c>
      <c r="D253" s="23">
        <v>921566860</v>
      </c>
      <c r="E253" s="23">
        <v>921566860</v>
      </c>
      <c r="F253" s="24" t="s">
        <v>795</v>
      </c>
      <c r="G253" s="23">
        <v>0</v>
      </c>
      <c r="H253" s="23">
        <v>20250301</v>
      </c>
      <c r="I253" s="23" t="str">
        <f>TEXT(DATE(LEFT(H253,4), MID(H253,5,2), RIGHT(H253,2)), "M/d/yyyy")</f>
        <v>3/1/2025</v>
      </c>
      <c r="J253" s="25">
        <v>20210601</v>
      </c>
      <c r="K253" s="23" t="str">
        <f>TEXT(DATE(LEFT(J253,4), MID(J253,5,2), RIGHT(J253,2)), "M/d/yyyy")</f>
        <v>6/1/2021</v>
      </c>
      <c r="L253" s="24" t="s">
        <v>78</v>
      </c>
      <c r="M253" s="26">
        <v>1</v>
      </c>
      <c r="N253" s="25">
        <v>20</v>
      </c>
      <c r="O253" s="27">
        <v>20</v>
      </c>
      <c r="P253" s="22" t="s">
        <v>3831</v>
      </c>
    </row>
    <row r="254" spans="1:16" s="22" customFormat="1" ht="15" customHeight="1" x14ac:dyDescent="0.2">
      <c r="A254" s="22" t="s">
        <v>3781</v>
      </c>
      <c r="B254" s="22">
        <v>9213293</v>
      </c>
      <c r="C254" s="23">
        <v>1</v>
      </c>
      <c r="D254" s="23">
        <v>921596021</v>
      </c>
      <c r="E254" s="23">
        <v>921596021</v>
      </c>
      <c r="F254" s="24" t="s">
        <v>811</v>
      </c>
      <c r="G254" s="23">
        <v>0</v>
      </c>
      <c r="H254" s="23">
        <v>20250301</v>
      </c>
      <c r="I254" s="23" t="str">
        <f>TEXT(DATE(LEFT(H254,4), MID(H254,5,2), RIGHT(H254,2)), "M/d/yyyy")</f>
        <v>3/1/2025</v>
      </c>
      <c r="J254" s="25">
        <v>20220101</v>
      </c>
      <c r="K254" s="23" t="str">
        <f>TEXT(DATE(LEFT(J254,4), MID(J254,5,2), RIGHT(J254,2)), "M/d/yyyy")</f>
        <v>1/1/2022</v>
      </c>
      <c r="L254" s="24" t="s">
        <v>78</v>
      </c>
      <c r="M254" s="26">
        <v>1</v>
      </c>
      <c r="N254" s="25">
        <v>20</v>
      </c>
      <c r="O254" s="27">
        <v>20</v>
      </c>
      <c r="P254" s="22" t="s">
        <v>3831</v>
      </c>
    </row>
    <row r="255" spans="1:16" s="22" customFormat="1" ht="15" customHeight="1" x14ac:dyDescent="0.2">
      <c r="A255" s="22" t="s">
        <v>3781</v>
      </c>
      <c r="B255" s="22">
        <v>9213293</v>
      </c>
      <c r="C255" s="23">
        <v>1</v>
      </c>
      <c r="D255" s="23">
        <v>921609449</v>
      </c>
      <c r="E255" s="23">
        <v>921609449</v>
      </c>
      <c r="F255" s="24" t="s">
        <v>822</v>
      </c>
      <c r="G255" s="23">
        <v>0</v>
      </c>
      <c r="H255" s="23">
        <v>20250301</v>
      </c>
      <c r="I255" s="23" t="str">
        <f>TEXT(DATE(LEFT(H255,4), MID(H255,5,2), RIGHT(H255,2)), "M/d/yyyy")</f>
        <v>3/1/2025</v>
      </c>
      <c r="J255" s="25">
        <v>20220401</v>
      </c>
      <c r="K255" s="23" t="str">
        <f>TEXT(DATE(LEFT(J255,4), MID(J255,5,2), RIGHT(J255,2)), "M/d/yyyy")</f>
        <v>4/1/2022</v>
      </c>
      <c r="L255" s="24" t="s">
        <v>78</v>
      </c>
      <c r="M255" s="26">
        <v>1</v>
      </c>
      <c r="N255" s="25">
        <v>20</v>
      </c>
      <c r="O255" s="27">
        <v>20</v>
      </c>
      <c r="P255" s="22" t="s">
        <v>3831</v>
      </c>
    </row>
    <row r="256" spans="1:16" s="22" customFormat="1" ht="15" customHeight="1" x14ac:dyDescent="0.2">
      <c r="A256" s="22" t="s">
        <v>3781</v>
      </c>
      <c r="B256" s="22">
        <v>9213293</v>
      </c>
      <c r="C256" s="23">
        <v>1</v>
      </c>
      <c r="D256" s="23">
        <v>921627135</v>
      </c>
      <c r="E256" s="23">
        <v>921627135</v>
      </c>
      <c r="F256" s="24" t="s">
        <v>837</v>
      </c>
      <c r="G256" s="23">
        <v>0</v>
      </c>
      <c r="H256" s="23">
        <v>20250301</v>
      </c>
      <c r="I256" s="23" t="str">
        <f>TEXT(DATE(LEFT(H256,4), MID(H256,5,2), RIGHT(H256,2)), "M/d/yyyy")</f>
        <v>3/1/2025</v>
      </c>
      <c r="J256" s="25">
        <v>20230101</v>
      </c>
      <c r="K256" s="23" t="str">
        <f>TEXT(DATE(LEFT(J256,4), MID(J256,5,2), RIGHT(J256,2)), "M/d/yyyy")</f>
        <v>1/1/2023</v>
      </c>
      <c r="L256" s="24" t="s">
        <v>78</v>
      </c>
      <c r="M256" s="26">
        <v>1</v>
      </c>
      <c r="N256" s="25">
        <v>20</v>
      </c>
      <c r="O256" s="27">
        <v>20</v>
      </c>
      <c r="P256" s="22" t="s">
        <v>3831</v>
      </c>
    </row>
    <row r="257" spans="1:16" s="22" customFormat="1" ht="15" customHeight="1" x14ac:dyDescent="0.2">
      <c r="A257" s="22" t="s">
        <v>3781</v>
      </c>
      <c r="B257" s="22">
        <v>9213293</v>
      </c>
      <c r="C257" s="23">
        <v>1</v>
      </c>
      <c r="D257" s="23">
        <v>921663223</v>
      </c>
      <c r="E257" s="23">
        <v>921663223</v>
      </c>
      <c r="F257" s="24" t="s">
        <v>852</v>
      </c>
      <c r="G257" s="23">
        <v>0</v>
      </c>
      <c r="H257" s="23">
        <v>20250301</v>
      </c>
      <c r="I257" s="23" t="str">
        <f>TEXT(DATE(LEFT(H257,4), MID(H257,5,2), RIGHT(H257,2)), "M/d/yyyy")</f>
        <v>3/1/2025</v>
      </c>
      <c r="J257" s="25">
        <v>20230701</v>
      </c>
      <c r="K257" s="23" t="str">
        <f>TEXT(DATE(LEFT(J257,4), MID(J257,5,2), RIGHT(J257,2)), "M/d/yyyy")</f>
        <v>7/1/2023</v>
      </c>
      <c r="L257" s="24" t="s">
        <v>78</v>
      </c>
      <c r="M257" s="26">
        <v>1</v>
      </c>
      <c r="N257" s="25">
        <v>20</v>
      </c>
      <c r="O257" s="27">
        <v>20</v>
      </c>
      <c r="P257" s="22" t="s">
        <v>3831</v>
      </c>
    </row>
    <row r="258" spans="1:16" s="22" customFormat="1" ht="15" customHeight="1" x14ac:dyDescent="0.2">
      <c r="A258" s="22" t="s">
        <v>3781</v>
      </c>
      <c r="B258" s="22">
        <v>9213293</v>
      </c>
      <c r="C258" s="23">
        <v>1</v>
      </c>
      <c r="D258" s="23">
        <v>921680588</v>
      </c>
      <c r="E258" s="23">
        <v>921680588</v>
      </c>
      <c r="F258" s="24" t="s">
        <v>869</v>
      </c>
      <c r="G258" s="23">
        <v>0</v>
      </c>
      <c r="H258" s="23">
        <v>20250301</v>
      </c>
      <c r="I258" s="23" t="str">
        <f>TEXT(DATE(LEFT(H258,4), MID(H258,5,2), RIGHT(H258,2)), "M/d/yyyy")</f>
        <v>3/1/2025</v>
      </c>
      <c r="J258" s="25">
        <v>20240101</v>
      </c>
      <c r="K258" s="23" t="str">
        <f>TEXT(DATE(LEFT(J258,4), MID(J258,5,2), RIGHT(J258,2)), "M/d/yyyy")</f>
        <v>1/1/2024</v>
      </c>
      <c r="L258" s="24" t="s">
        <v>78</v>
      </c>
      <c r="M258" s="26">
        <v>1</v>
      </c>
      <c r="N258" s="25">
        <v>20</v>
      </c>
      <c r="O258" s="27">
        <v>20</v>
      </c>
      <c r="P258" s="22" t="s">
        <v>3831</v>
      </c>
    </row>
    <row r="259" spans="1:16" s="22" customFormat="1" ht="15" customHeight="1" x14ac:dyDescent="0.2">
      <c r="A259" s="22" t="s">
        <v>3781</v>
      </c>
      <c r="B259" s="22">
        <v>9213293</v>
      </c>
      <c r="C259" s="23">
        <v>1</v>
      </c>
      <c r="D259" s="23">
        <v>921680843</v>
      </c>
      <c r="E259" s="23">
        <v>921680843</v>
      </c>
      <c r="F259" s="24" t="s">
        <v>871</v>
      </c>
      <c r="G259" s="23">
        <v>0</v>
      </c>
      <c r="H259" s="23">
        <v>20250301</v>
      </c>
      <c r="I259" s="23" t="str">
        <f>TEXT(DATE(LEFT(H259,4), MID(H259,5,2), RIGHT(H259,2)), "M/d/yyyy")</f>
        <v>3/1/2025</v>
      </c>
      <c r="J259" s="25">
        <v>20240101</v>
      </c>
      <c r="K259" s="23" t="str">
        <f>TEXT(DATE(LEFT(J259,4), MID(J259,5,2), RIGHT(J259,2)), "M/d/yyyy")</f>
        <v>1/1/2024</v>
      </c>
      <c r="L259" s="24" t="s">
        <v>78</v>
      </c>
      <c r="M259" s="26">
        <v>1</v>
      </c>
      <c r="N259" s="25">
        <v>20</v>
      </c>
      <c r="O259" s="27">
        <v>20</v>
      </c>
      <c r="P259" s="22" t="s">
        <v>3831</v>
      </c>
    </row>
    <row r="260" spans="1:16" s="22" customFormat="1" ht="15" customHeight="1" x14ac:dyDescent="0.2">
      <c r="A260" s="22" t="s">
        <v>3781</v>
      </c>
      <c r="B260" s="22">
        <v>9213293</v>
      </c>
      <c r="C260" s="23">
        <v>1</v>
      </c>
      <c r="D260" s="23">
        <v>921701460</v>
      </c>
      <c r="E260" s="23">
        <v>921701460</v>
      </c>
      <c r="F260" s="24" t="s">
        <v>875</v>
      </c>
      <c r="G260" s="23">
        <v>0</v>
      </c>
      <c r="H260" s="23">
        <v>20250301</v>
      </c>
      <c r="I260" s="23" t="str">
        <f>TEXT(DATE(LEFT(H260,4), MID(H260,5,2), RIGHT(H260,2)), "M/d/yyyy")</f>
        <v>3/1/2025</v>
      </c>
      <c r="J260" s="25">
        <v>20240201</v>
      </c>
      <c r="K260" s="23" t="str">
        <f>TEXT(DATE(LEFT(J260,4), MID(J260,5,2), RIGHT(J260,2)), "M/d/yyyy")</f>
        <v>2/1/2024</v>
      </c>
      <c r="L260" s="24" t="s">
        <v>78</v>
      </c>
      <c r="M260" s="26">
        <v>1</v>
      </c>
      <c r="N260" s="25">
        <v>20</v>
      </c>
      <c r="O260" s="27">
        <v>20</v>
      </c>
      <c r="P260" s="22" t="s">
        <v>3831</v>
      </c>
    </row>
    <row r="261" spans="1:16" s="22" customFormat="1" ht="15" customHeight="1" x14ac:dyDescent="0.2">
      <c r="A261" s="22" t="s">
        <v>3781</v>
      </c>
      <c r="B261" s="22">
        <v>9213293</v>
      </c>
      <c r="C261" s="23">
        <v>1</v>
      </c>
      <c r="D261" s="23">
        <v>921703386</v>
      </c>
      <c r="E261" s="23">
        <v>921703386</v>
      </c>
      <c r="F261" s="24" t="s">
        <v>877</v>
      </c>
      <c r="G261" s="23">
        <v>0</v>
      </c>
      <c r="H261" s="23">
        <v>20250301</v>
      </c>
      <c r="I261" s="23" t="str">
        <f>TEXT(DATE(LEFT(H261,4), MID(H261,5,2), RIGHT(H261,2)), "M/d/yyyy")</f>
        <v>3/1/2025</v>
      </c>
      <c r="J261" s="25">
        <v>20240201</v>
      </c>
      <c r="K261" s="23" t="str">
        <f>TEXT(DATE(LEFT(J261,4), MID(J261,5,2), RIGHT(J261,2)), "M/d/yyyy")</f>
        <v>2/1/2024</v>
      </c>
      <c r="L261" s="24" t="s">
        <v>78</v>
      </c>
      <c r="M261" s="26">
        <v>1</v>
      </c>
      <c r="N261" s="25">
        <v>20</v>
      </c>
      <c r="O261" s="27">
        <v>20</v>
      </c>
      <c r="P261" s="22" t="s">
        <v>3831</v>
      </c>
    </row>
    <row r="262" spans="1:16" s="22" customFormat="1" ht="15" customHeight="1" x14ac:dyDescent="0.2">
      <c r="A262" s="22" t="s">
        <v>3781</v>
      </c>
      <c r="B262" s="22">
        <v>9213293</v>
      </c>
      <c r="C262" s="23">
        <v>1</v>
      </c>
      <c r="D262" s="23">
        <v>920753040</v>
      </c>
      <c r="E262" s="23">
        <v>920753040</v>
      </c>
      <c r="F262" s="24" t="s">
        <v>686</v>
      </c>
      <c r="G262" s="23">
        <v>0</v>
      </c>
      <c r="H262" s="23">
        <v>20250301</v>
      </c>
      <c r="I262" s="23" t="str">
        <f>TEXT(DATE(LEFT(H262,4), MID(H262,5,2), RIGHT(H262,2)), "M/d/yyyy")</f>
        <v>3/1/2025</v>
      </c>
      <c r="J262" s="25">
        <v>20240701</v>
      </c>
      <c r="K262" s="23" t="str">
        <f>TEXT(DATE(LEFT(J262,4), MID(J262,5,2), RIGHT(J262,2)), "M/d/yyyy")</f>
        <v>7/1/2024</v>
      </c>
      <c r="L262" s="24" t="s">
        <v>78</v>
      </c>
      <c r="M262" s="26">
        <v>1</v>
      </c>
      <c r="N262" s="25">
        <v>25</v>
      </c>
      <c r="O262" s="27">
        <v>25</v>
      </c>
      <c r="P262" s="22" t="s">
        <v>3831</v>
      </c>
    </row>
    <row r="263" spans="1:16" s="22" customFormat="1" ht="15" customHeight="1" x14ac:dyDescent="0.2">
      <c r="A263" s="22" t="s">
        <v>3781</v>
      </c>
      <c r="B263" s="22">
        <v>9213293</v>
      </c>
      <c r="C263" s="23">
        <v>1</v>
      </c>
      <c r="D263" s="23">
        <v>920842042</v>
      </c>
      <c r="E263" s="23">
        <v>920842042</v>
      </c>
      <c r="F263" s="24" t="s">
        <v>690</v>
      </c>
      <c r="G263" s="23">
        <v>0</v>
      </c>
      <c r="H263" s="23">
        <v>20250201</v>
      </c>
      <c r="I263" s="23" t="str">
        <f>TEXT(DATE(LEFT(H263,4), MID(H263,5,2), RIGHT(H263,2)), "M/d/yyyy")</f>
        <v>2/1/2025</v>
      </c>
      <c r="J263" s="25">
        <v>20240201</v>
      </c>
      <c r="K263" s="23" t="str">
        <f>TEXT(DATE(LEFT(J263,4), MID(J263,5,2), RIGHT(J263,2)), "M/d/yyyy")</f>
        <v>2/1/2024</v>
      </c>
      <c r="L263" s="24" t="s">
        <v>78</v>
      </c>
      <c r="M263" s="26">
        <v>1</v>
      </c>
      <c r="N263" s="25">
        <v>25</v>
      </c>
      <c r="O263" s="27">
        <v>25</v>
      </c>
      <c r="P263" s="22" t="s">
        <v>3831</v>
      </c>
    </row>
    <row r="264" spans="1:16" s="22" customFormat="1" ht="15" customHeight="1" x14ac:dyDescent="0.2">
      <c r="A264" s="22" t="s">
        <v>3781</v>
      </c>
      <c r="B264" s="22">
        <v>9213293</v>
      </c>
      <c r="C264" s="23">
        <v>1</v>
      </c>
      <c r="D264" s="23">
        <v>921372246</v>
      </c>
      <c r="E264" s="23">
        <v>921372246</v>
      </c>
      <c r="F264" s="24" t="s">
        <v>746</v>
      </c>
      <c r="G264" s="23">
        <v>0</v>
      </c>
      <c r="H264" s="23">
        <v>20250301</v>
      </c>
      <c r="I264" s="23" t="str">
        <f>TEXT(DATE(LEFT(H264,4), MID(H264,5,2), RIGHT(H264,2)), "M/d/yyyy")</f>
        <v>3/1/2025</v>
      </c>
      <c r="J264" s="25">
        <v>20250101</v>
      </c>
      <c r="K264" s="23" t="str">
        <f>TEXT(DATE(LEFT(J264,4), MID(J264,5,2), RIGHT(J264,2)), "M/d/yyyy")</f>
        <v>1/1/2025</v>
      </c>
      <c r="L264" s="24" t="s">
        <v>78</v>
      </c>
      <c r="M264" s="26">
        <v>1</v>
      </c>
      <c r="N264" s="25">
        <v>25</v>
      </c>
      <c r="O264" s="27">
        <v>25</v>
      </c>
      <c r="P264" s="22" t="s">
        <v>3831</v>
      </c>
    </row>
    <row r="265" spans="1:16" s="22" customFormat="1" ht="15" customHeight="1" x14ac:dyDescent="0.2">
      <c r="A265" s="22" t="s">
        <v>3781</v>
      </c>
      <c r="B265" s="22">
        <v>9213293</v>
      </c>
      <c r="C265" s="23">
        <v>1</v>
      </c>
      <c r="D265" s="23">
        <v>921476427</v>
      </c>
      <c r="E265" s="23">
        <v>921476427</v>
      </c>
      <c r="F265" s="24" t="s">
        <v>763</v>
      </c>
      <c r="G265" s="23">
        <v>0</v>
      </c>
      <c r="H265" s="23">
        <v>20250301</v>
      </c>
      <c r="I265" s="23" t="str">
        <f>TEXT(DATE(LEFT(H265,4), MID(H265,5,2), RIGHT(H265,2)), "M/d/yyyy")</f>
        <v>3/1/2025</v>
      </c>
      <c r="J265" s="25">
        <v>20240801</v>
      </c>
      <c r="K265" s="23" t="str">
        <f>TEXT(DATE(LEFT(J265,4), MID(J265,5,2), RIGHT(J265,2)), "M/d/yyyy")</f>
        <v>8/1/2024</v>
      </c>
      <c r="L265" s="24" t="s">
        <v>78</v>
      </c>
      <c r="M265" s="26">
        <v>1</v>
      </c>
      <c r="N265" s="25">
        <v>25</v>
      </c>
      <c r="O265" s="27">
        <v>25</v>
      </c>
      <c r="P265" s="22" t="s">
        <v>3831</v>
      </c>
    </row>
    <row r="266" spans="1:16" s="22" customFormat="1" ht="15" customHeight="1" x14ac:dyDescent="0.2">
      <c r="A266" s="22" t="s">
        <v>3781</v>
      </c>
      <c r="B266" s="22">
        <v>9213293</v>
      </c>
      <c r="C266" s="23">
        <v>1</v>
      </c>
      <c r="D266" s="23">
        <v>921627521</v>
      </c>
      <c r="E266" s="23">
        <v>921627521</v>
      </c>
      <c r="F266" s="24" t="s">
        <v>839</v>
      </c>
      <c r="G266" s="23">
        <v>0</v>
      </c>
      <c r="H266" s="23">
        <v>20250301</v>
      </c>
      <c r="I266" s="23" t="str">
        <f>TEXT(DATE(LEFT(H266,4), MID(H266,5,2), RIGHT(H266,2)), "M/d/yyyy")</f>
        <v>3/1/2025</v>
      </c>
      <c r="J266" s="25">
        <v>20250101</v>
      </c>
      <c r="K266" s="23" t="str">
        <f>TEXT(DATE(LEFT(J266,4), MID(J266,5,2), RIGHT(J266,2)), "M/d/yyyy")</f>
        <v>1/1/2025</v>
      </c>
      <c r="L266" s="24" t="s">
        <v>78</v>
      </c>
      <c r="M266" s="26">
        <v>1</v>
      </c>
      <c r="N266" s="25">
        <v>25</v>
      </c>
      <c r="O266" s="27">
        <v>25</v>
      </c>
      <c r="P266" s="22" t="s">
        <v>3831</v>
      </c>
    </row>
    <row r="267" spans="1:16" s="22" customFormat="1" ht="15" customHeight="1" x14ac:dyDescent="0.2">
      <c r="A267" s="22" t="s">
        <v>3781</v>
      </c>
      <c r="B267" s="22">
        <v>9213293</v>
      </c>
      <c r="C267" s="23">
        <v>1</v>
      </c>
      <c r="D267" s="23">
        <v>921714710</v>
      </c>
      <c r="E267" s="23">
        <v>921714710</v>
      </c>
      <c r="F267" s="24" t="s">
        <v>881</v>
      </c>
      <c r="G267" s="23">
        <v>0</v>
      </c>
      <c r="H267" s="23">
        <v>20250301</v>
      </c>
      <c r="I267" s="23" t="str">
        <f>TEXT(DATE(LEFT(H267,4), MID(H267,5,2), RIGHT(H267,2)), "M/d/yyyy")</f>
        <v>3/1/2025</v>
      </c>
      <c r="J267" s="25">
        <v>20240301</v>
      </c>
      <c r="K267" s="23" t="str">
        <f>TEXT(DATE(LEFT(J267,4), MID(J267,5,2), RIGHT(J267,2)), "M/d/yyyy")</f>
        <v>3/1/2024</v>
      </c>
      <c r="L267" s="24" t="s">
        <v>78</v>
      </c>
      <c r="M267" s="26">
        <v>1</v>
      </c>
      <c r="N267" s="25">
        <v>25</v>
      </c>
      <c r="O267" s="27">
        <v>25</v>
      </c>
      <c r="P267" s="22" t="s">
        <v>3831</v>
      </c>
    </row>
    <row r="268" spans="1:16" s="22" customFormat="1" ht="15" customHeight="1" x14ac:dyDescent="0.2">
      <c r="A268" s="22" t="s">
        <v>3781</v>
      </c>
      <c r="B268" s="22">
        <v>9213293</v>
      </c>
      <c r="C268" s="23">
        <v>1</v>
      </c>
      <c r="D268" s="23">
        <v>921755413</v>
      </c>
      <c r="E268" s="23">
        <v>921755413</v>
      </c>
      <c r="F268" s="24" t="s">
        <v>895</v>
      </c>
      <c r="G268" s="23">
        <v>0</v>
      </c>
      <c r="H268" s="23">
        <v>20250301</v>
      </c>
      <c r="I268" s="23" t="str">
        <f>TEXT(DATE(LEFT(H268,4), MID(H268,5,2), RIGHT(H268,2)), "M/d/yyyy")</f>
        <v>3/1/2025</v>
      </c>
      <c r="J268" s="25">
        <v>20250101</v>
      </c>
      <c r="K268" s="23" t="str">
        <f>TEXT(DATE(LEFT(J268,4), MID(J268,5,2), RIGHT(J268,2)), "M/d/yyyy")</f>
        <v>1/1/2025</v>
      </c>
      <c r="L268" s="24" t="s">
        <v>78</v>
      </c>
      <c r="M268" s="26">
        <v>1</v>
      </c>
      <c r="N268" s="25">
        <v>25</v>
      </c>
      <c r="O268" s="27">
        <v>25</v>
      </c>
      <c r="P268" s="22" t="s">
        <v>3831</v>
      </c>
    </row>
    <row r="269" spans="1:16" s="22" customFormat="1" ht="15" customHeight="1" x14ac:dyDescent="0.2">
      <c r="A269" s="22" t="s">
        <v>3781</v>
      </c>
      <c r="B269" s="22">
        <v>9213293</v>
      </c>
      <c r="C269" s="23">
        <v>1</v>
      </c>
      <c r="D269" s="23">
        <v>921756621</v>
      </c>
      <c r="E269" s="23">
        <v>921756621</v>
      </c>
      <c r="F269" s="24" t="s">
        <v>899</v>
      </c>
      <c r="G269" s="23">
        <v>0</v>
      </c>
      <c r="H269" s="23">
        <v>20250301</v>
      </c>
      <c r="I269" s="23" t="str">
        <f>TEXT(DATE(LEFT(H269,4), MID(H269,5,2), RIGHT(H269,2)), "M/d/yyyy")</f>
        <v>3/1/2025</v>
      </c>
      <c r="J269" s="25">
        <v>20250101</v>
      </c>
      <c r="K269" s="23" t="str">
        <f>TEXT(DATE(LEFT(J269,4), MID(J269,5,2), RIGHT(J269,2)), "M/d/yyyy")</f>
        <v>1/1/2025</v>
      </c>
      <c r="L269" s="24" t="s">
        <v>78</v>
      </c>
      <c r="M269" s="26">
        <v>1</v>
      </c>
      <c r="N269" s="25">
        <v>25</v>
      </c>
      <c r="O269" s="27">
        <v>25</v>
      </c>
      <c r="P269" s="22" t="s">
        <v>3831</v>
      </c>
    </row>
    <row r="270" spans="1:16" s="22" customFormat="1" ht="15" customHeight="1" x14ac:dyDescent="0.2">
      <c r="A270" s="22" t="s">
        <v>3781</v>
      </c>
      <c r="B270" s="22">
        <v>9213293</v>
      </c>
      <c r="C270" s="23">
        <v>1</v>
      </c>
      <c r="D270" s="23">
        <v>921757164</v>
      </c>
      <c r="E270" s="23">
        <v>921757164</v>
      </c>
      <c r="F270" s="24" t="s">
        <v>901</v>
      </c>
      <c r="G270" s="23">
        <v>0</v>
      </c>
      <c r="H270" s="23">
        <v>20250301</v>
      </c>
      <c r="I270" s="23" t="str">
        <f>TEXT(DATE(LEFT(H270,4), MID(H270,5,2), RIGHT(H270,2)), "M/d/yyyy")</f>
        <v>3/1/2025</v>
      </c>
      <c r="J270" s="25">
        <v>20250101</v>
      </c>
      <c r="K270" s="23" t="str">
        <f>TEXT(DATE(LEFT(J270,4), MID(J270,5,2), RIGHT(J270,2)), "M/d/yyyy")</f>
        <v>1/1/2025</v>
      </c>
      <c r="L270" s="24" t="s">
        <v>78</v>
      </c>
      <c r="M270" s="26">
        <v>1</v>
      </c>
      <c r="N270" s="25">
        <v>25</v>
      </c>
      <c r="O270" s="27">
        <v>25</v>
      </c>
      <c r="P270" s="22" t="s">
        <v>3831</v>
      </c>
    </row>
    <row r="271" spans="1:16" s="22" customFormat="1" ht="15" customHeight="1" x14ac:dyDescent="0.2">
      <c r="A271" s="22" t="s">
        <v>3781</v>
      </c>
      <c r="B271" s="22">
        <v>9213293</v>
      </c>
      <c r="C271" s="23">
        <v>1</v>
      </c>
      <c r="D271" s="23">
        <v>921758847</v>
      </c>
      <c r="E271" s="23">
        <v>921758847</v>
      </c>
      <c r="F271" s="24" t="s">
        <v>903</v>
      </c>
      <c r="G271" s="23">
        <v>0</v>
      </c>
      <c r="H271" s="23">
        <v>20250301</v>
      </c>
      <c r="I271" s="23" t="str">
        <f>TEXT(DATE(LEFT(H271,4), MID(H271,5,2), RIGHT(H271,2)), "M/d/yyyy")</f>
        <v>3/1/2025</v>
      </c>
      <c r="J271" s="25">
        <v>20250101</v>
      </c>
      <c r="K271" s="23" t="str">
        <f>TEXT(DATE(LEFT(J271,4), MID(J271,5,2), RIGHT(J271,2)), "M/d/yyyy")</f>
        <v>1/1/2025</v>
      </c>
      <c r="L271" s="24" t="s">
        <v>78</v>
      </c>
      <c r="M271" s="26">
        <v>1</v>
      </c>
      <c r="N271" s="25">
        <v>25</v>
      </c>
      <c r="O271" s="27">
        <v>25</v>
      </c>
      <c r="P271" s="22" t="s">
        <v>3831</v>
      </c>
    </row>
    <row r="272" spans="1:16" s="22" customFormat="1" ht="15" customHeight="1" x14ac:dyDescent="0.2">
      <c r="A272" s="22" t="s">
        <v>3781</v>
      </c>
      <c r="B272" s="22">
        <v>9213293</v>
      </c>
      <c r="C272" s="23">
        <v>1</v>
      </c>
      <c r="D272" s="23">
        <v>921759382</v>
      </c>
      <c r="E272" s="23">
        <v>921759382</v>
      </c>
      <c r="F272" s="24" t="s">
        <v>905</v>
      </c>
      <c r="G272" s="23">
        <v>0</v>
      </c>
      <c r="H272" s="23">
        <v>20250301</v>
      </c>
      <c r="I272" s="23" t="str">
        <f>TEXT(DATE(LEFT(H272,4), MID(H272,5,2), RIGHT(H272,2)), "M/d/yyyy")</f>
        <v>3/1/2025</v>
      </c>
      <c r="J272" s="25">
        <v>20250101</v>
      </c>
      <c r="K272" s="23" t="str">
        <f>TEXT(DATE(LEFT(J272,4), MID(J272,5,2), RIGHT(J272,2)), "M/d/yyyy")</f>
        <v>1/1/2025</v>
      </c>
      <c r="L272" s="24" t="s">
        <v>78</v>
      </c>
      <c r="M272" s="26">
        <v>1</v>
      </c>
      <c r="N272" s="25">
        <v>25</v>
      </c>
      <c r="O272" s="27">
        <v>25</v>
      </c>
      <c r="P272" s="22" t="s">
        <v>3831</v>
      </c>
    </row>
    <row r="273" spans="1:16" s="22" customFormat="1" ht="15" customHeight="1" x14ac:dyDescent="0.2">
      <c r="A273" s="22" t="s">
        <v>3781</v>
      </c>
      <c r="B273" s="22">
        <v>9213293</v>
      </c>
      <c r="C273" s="23">
        <v>2</v>
      </c>
      <c r="D273" s="23">
        <v>921014126</v>
      </c>
      <c r="E273" s="23">
        <v>921014126</v>
      </c>
      <c r="F273" s="24" t="s">
        <v>702</v>
      </c>
      <c r="G273" s="23">
        <v>0</v>
      </c>
      <c r="H273" s="23">
        <v>20250301</v>
      </c>
      <c r="I273" s="23" t="str">
        <f>TEXT(DATE(LEFT(H273,4), MID(H273,5,2), RIGHT(H273,2)), "M/d/yyyy")</f>
        <v>3/1/2025</v>
      </c>
      <c r="J273" s="25">
        <v>20210101</v>
      </c>
      <c r="K273" s="23" t="str">
        <f>TEXT(DATE(LEFT(J273,4), MID(J273,5,2), RIGHT(J273,2)), "M/d/yyyy")</f>
        <v>1/1/2021</v>
      </c>
      <c r="L273" s="24" t="s">
        <v>78</v>
      </c>
      <c r="M273" s="26">
        <v>1</v>
      </c>
      <c r="N273" s="25">
        <v>20</v>
      </c>
      <c r="O273" s="27">
        <v>40</v>
      </c>
      <c r="P273" s="22" t="s">
        <v>3831</v>
      </c>
    </row>
    <row r="274" spans="1:16" s="22" customFormat="1" ht="15" customHeight="1" x14ac:dyDescent="0.2">
      <c r="A274" s="22" t="s">
        <v>3781</v>
      </c>
      <c r="B274" s="22">
        <v>9213293</v>
      </c>
      <c r="C274" s="23">
        <v>2</v>
      </c>
      <c r="D274" s="23">
        <v>921296122</v>
      </c>
      <c r="E274" s="23">
        <v>921296122</v>
      </c>
      <c r="F274" s="24" t="s">
        <v>721</v>
      </c>
      <c r="G274" s="23">
        <v>0</v>
      </c>
      <c r="H274" s="23">
        <v>20250301</v>
      </c>
      <c r="I274" s="23" t="str">
        <f>TEXT(DATE(LEFT(H274,4), MID(H274,5,2), RIGHT(H274,2)), "M/d/yyyy")</f>
        <v>3/1/2025</v>
      </c>
      <c r="J274" s="25">
        <v>20200101</v>
      </c>
      <c r="K274" s="23" t="str">
        <f>TEXT(DATE(LEFT(J274,4), MID(J274,5,2), RIGHT(J274,2)), "M/d/yyyy")</f>
        <v>1/1/2020</v>
      </c>
      <c r="L274" s="24" t="s">
        <v>78</v>
      </c>
      <c r="M274" s="26">
        <v>1</v>
      </c>
      <c r="N274" s="25">
        <v>20</v>
      </c>
      <c r="O274" s="27">
        <v>40</v>
      </c>
      <c r="P274" s="22" t="s">
        <v>3831</v>
      </c>
    </row>
    <row r="275" spans="1:16" s="22" customFormat="1" ht="15" customHeight="1" x14ac:dyDescent="0.2">
      <c r="A275" s="22" t="s">
        <v>3781</v>
      </c>
      <c r="B275" s="22">
        <v>9213293</v>
      </c>
      <c r="C275" s="23">
        <v>2</v>
      </c>
      <c r="D275" s="23">
        <v>921686718</v>
      </c>
      <c r="E275" s="23">
        <v>921686718</v>
      </c>
      <c r="F275" s="24" t="s">
        <v>873</v>
      </c>
      <c r="G275" s="23">
        <v>0</v>
      </c>
      <c r="H275" s="23">
        <v>20250201</v>
      </c>
      <c r="I275" s="23" t="str">
        <f>TEXT(DATE(LEFT(H275,4), MID(H275,5,2), RIGHT(H275,2)), "M/d/yyyy")</f>
        <v>2/1/2025</v>
      </c>
      <c r="J275" s="25">
        <v>20240101</v>
      </c>
      <c r="K275" s="23" t="str">
        <f>TEXT(DATE(LEFT(J275,4), MID(J275,5,2), RIGHT(J275,2)), "M/d/yyyy")</f>
        <v>1/1/2024</v>
      </c>
      <c r="L275" s="24" t="s">
        <v>78</v>
      </c>
      <c r="M275" s="26">
        <v>1</v>
      </c>
      <c r="N275" s="25">
        <v>20</v>
      </c>
      <c r="O275" s="27">
        <v>40</v>
      </c>
      <c r="P275" s="22" t="s">
        <v>3831</v>
      </c>
    </row>
    <row r="276" spans="1:16" s="22" customFormat="1" ht="15" customHeight="1" x14ac:dyDescent="0.2">
      <c r="A276" s="22" t="s">
        <v>3781</v>
      </c>
      <c r="B276" s="22">
        <v>9213293</v>
      </c>
      <c r="C276" s="23">
        <v>2</v>
      </c>
      <c r="D276" s="23">
        <v>921525689</v>
      </c>
      <c r="E276" s="23">
        <v>921525689</v>
      </c>
      <c r="F276" s="24" t="s">
        <v>780</v>
      </c>
      <c r="G276" s="23">
        <v>0</v>
      </c>
      <c r="H276" s="23">
        <v>20250301</v>
      </c>
      <c r="I276" s="23" t="str">
        <f>TEXT(DATE(LEFT(H276,4), MID(H276,5,2), RIGHT(H276,2)), "M/d/yyyy")</f>
        <v>3/1/2025</v>
      </c>
      <c r="J276" s="25">
        <v>20250101</v>
      </c>
      <c r="K276" s="23" t="str">
        <f>TEXT(DATE(LEFT(J276,4), MID(J276,5,2), RIGHT(J276,2)), "M/d/yyyy")</f>
        <v>1/1/2025</v>
      </c>
      <c r="L276" s="24" t="s">
        <v>78</v>
      </c>
      <c r="M276" s="26">
        <v>1</v>
      </c>
      <c r="N276" s="25">
        <v>25</v>
      </c>
      <c r="O276" s="27">
        <v>50</v>
      </c>
      <c r="P276" s="22" t="s">
        <v>3831</v>
      </c>
    </row>
    <row r="277" spans="1:16" s="22" customFormat="1" ht="15" customHeight="1" x14ac:dyDescent="0.2">
      <c r="A277" s="22" t="s">
        <v>3781</v>
      </c>
      <c r="B277" s="22">
        <v>9213293</v>
      </c>
      <c r="C277" s="23">
        <v>3</v>
      </c>
      <c r="D277" s="23">
        <v>890120981</v>
      </c>
      <c r="E277" s="23">
        <v>890120981</v>
      </c>
      <c r="F277" s="24" t="s">
        <v>675</v>
      </c>
      <c r="G277" s="23">
        <v>0</v>
      </c>
      <c r="H277" s="23">
        <v>20250301</v>
      </c>
      <c r="I277" s="23" t="str">
        <f>TEXT(DATE(LEFT(H277,4), MID(H277,5,2), RIGHT(H277,2)), "M/d/yyyy")</f>
        <v>3/1/2025</v>
      </c>
      <c r="J277" s="25">
        <v>20230101</v>
      </c>
      <c r="K277" s="23" t="str">
        <f>TEXT(DATE(LEFT(J277,4), MID(J277,5,2), RIGHT(J277,2)), "M/d/yyyy")</f>
        <v>1/1/2023</v>
      </c>
      <c r="L277" s="24" t="s">
        <v>78</v>
      </c>
      <c r="M277" s="26">
        <v>1</v>
      </c>
      <c r="N277" s="25">
        <v>20</v>
      </c>
      <c r="O277" s="27">
        <v>60</v>
      </c>
      <c r="P277" s="22" t="s">
        <v>3831</v>
      </c>
    </row>
    <row r="278" spans="1:16" s="22" customFormat="1" ht="15" customHeight="1" x14ac:dyDescent="0.2">
      <c r="A278" s="22" t="s">
        <v>3781</v>
      </c>
      <c r="B278" s="22">
        <v>9213293</v>
      </c>
      <c r="C278" s="23">
        <v>3</v>
      </c>
      <c r="D278" s="23">
        <v>890657597</v>
      </c>
      <c r="E278" s="23">
        <v>890657597</v>
      </c>
      <c r="F278" s="24" t="s">
        <v>684</v>
      </c>
      <c r="G278" s="23">
        <v>0</v>
      </c>
      <c r="H278" s="23">
        <v>20250301</v>
      </c>
      <c r="I278" s="23" t="str">
        <f>TEXT(DATE(LEFT(H278,4), MID(H278,5,2), RIGHT(H278,2)), "M/d/yyyy")</f>
        <v>3/1/2025</v>
      </c>
      <c r="J278" s="25">
        <v>20180101</v>
      </c>
      <c r="K278" s="23" t="str">
        <f>TEXT(DATE(LEFT(J278,4), MID(J278,5,2), RIGHT(J278,2)), "M/d/yyyy")</f>
        <v>1/1/2018</v>
      </c>
      <c r="L278" s="24" t="s">
        <v>78</v>
      </c>
      <c r="M278" s="26">
        <v>1</v>
      </c>
      <c r="N278" s="25">
        <v>20</v>
      </c>
      <c r="O278" s="27">
        <v>60</v>
      </c>
      <c r="P278" s="22" t="s">
        <v>3831</v>
      </c>
    </row>
    <row r="279" spans="1:16" s="22" customFormat="1" ht="15" customHeight="1" x14ac:dyDescent="0.2">
      <c r="A279" s="22" t="s">
        <v>3781</v>
      </c>
      <c r="B279" s="22">
        <v>9213293</v>
      </c>
      <c r="C279" s="23">
        <v>3</v>
      </c>
      <c r="D279" s="23">
        <v>921238046</v>
      </c>
      <c r="E279" s="23">
        <v>921238046</v>
      </c>
      <c r="F279" s="24" t="s">
        <v>714</v>
      </c>
      <c r="G279" s="23">
        <v>0</v>
      </c>
      <c r="H279" s="23">
        <v>20250301</v>
      </c>
      <c r="I279" s="23" t="str">
        <f>TEXT(DATE(LEFT(H279,4), MID(H279,5,2), RIGHT(H279,2)), "M/d/yyyy")</f>
        <v>3/1/2025</v>
      </c>
      <c r="J279" s="25">
        <v>20180101</v>
      </c>
      <c r="K279" s="23" t="str">
        <f>TEXT(DATE(LEFT(J279,4), MID(J279,5,2), RIGHT(J279,2)), "M/d/yyyy")</f>
        <v>1/1/2018</v>
      </c>
      <c r="L279" s="24" t="s">
        <v>78</v>
      </c>
      <c r="M279" s="26">
        <v>1</v>
      </c>
      <c r="N279" s="25">
        <v>20</v>
      </c>
      <c r="O279" s="27">
        <v>60</v>
      </c>
      <c r="P279" s="22" t="s">
        <v>3831</v>
      </c>
    </row>
    <row r="280" spans="1:16" s="22" customFormat="1" ht="15" customHeight="1" x14ac:dyDescent="0.2">
      <c r="A280" s="22" t="s">
        <v>3781</v>
      </c>
      <c r="B280" s="22">
        <v>9213293</v>
      </c>
      <c r="C280" s="23">
        <v>3</v>
      </c>
      <c r="D280" s="23">
        <v>921496742</v>
      </c>
      <c r="E280" s="23">
        <v>921496742</v>
      </c>
      <c r="F280" s="24" t="s">
        <v>774</v>
      </c>
      <c r="G280" s="23">
        <v>0</v>
      </c>
      <c r="H280" s="23">
        <v>20250301</v>
      </c>
      <c r="I280" s="23" t="str">
        <f>TEXT(DATE(LEFT(H280,4), MID(H280,5,2), RIGHT(H280,2)), "M/d/yyyy")</f>
        <v>3/1/2025</v>
      </c>
      <c r="J280" s="25">
        <v>20200101</v>
      </c>
      <c r="K280" s="23" t="str">
        <f>TEXT(DATE(LEFT(J280,4), MID(J280,5,2), RIGHT(J280,2)), "M/d/yyyy")</f>
        <v>1/1/2020</v>
      </c>
      <c r="L280" s="24" t="s">
        <v>78</v>
      </c>
      <c r="M280" s="26">
        <v>1</v>
      </c>
      <c r="N280" s="25">
        <v>20</v>
      </c>
      <c r="O280" s="27">
        <v>60</v>
      </c>
      <c r="P280" s="22" t="s">
        <v>3831</v>
      </c>
    </row>
    <row r="281" spans="1:16" s="22" customFormat="1" ht="15" customHeight="1" x14ac:dyDescent="0.2">
      <c r="A281" s="22" t="s">
        <v>3781</v>
      </c>
      <c r="B281" s="22">
        <v>9213293</v>
      </c>
      <c r="C281" s="23">
        <v>3</v>
      </c>
      <c r="D281" s="23">
        <v>921599923</v>
      </c>
      <c r="E281" s="23">
        <v>921599923</v>
      </c>
      <c r="F281" s="24" t="s">
        <v>815</v>
      </c>
      <c r="G281" s="23">
        <v>0</v>
      </c>
      <c r="H281" s="23">
        <v>20250301</v>
      </c>
      <c r="I281" s="23" t="str">
        <f>TEXT(DATE(LEFT(H281,4), MID(H281,5,2), RIGHT(H281,2)), "M/d/yyyy")</f>
        <v>3/1/2025</v>
      </c>
      <c r="J281" s="25">
        <v>20220101</v>
      </c>
      <c r="K281" s="23" t="str">
        <f>TEXT(DATE(LEFT(J281,4), MID(J281,5,2), RIGHT(J281,2)), "M/d/yyyy")</f>
        <v>1/1/2022</v>
      </c>
      <c r="L281" s="24" t="s">
        <v>78</v>
      </c>
      <c r="M281" s="26">
        <v>1</v>
      </c>
      <c r="N281" s="25">
        <v>20</v>
      </c>
      <c r="O281" s="27">
        <v>60</v>
      </c>
      <c r="P281" s="22" t="s">
        <v>3831</v>
      </c>
    </row>
    <row r="282" spans="1:16" s="22" customFormat="1" ht="15" customHeight="1" x14ac:dyDescent="0.2">
      <c r="A282" s="22" t="s">
        <v>3781</v>
      </c>
      <c r="B282" s="22">
        <v>9213293</v>
      </c>
      <c r="C282" s="23">
        <v>3</v>
      </c>
      <c r="D282" s="23">
        <v>921676193</v>
      </c>
      <c r="E282" s="23">
        <v>921676193</v>
      </c>
      <c r="F282" s="24" t="s">
        <v>861</v>
      </c>
      <c r="G282" s="23">
        <v>0</v>
      </c>
      <c r="H282" s="23">
        <v>20250301</v>
      </c>
      <c r="I282" s="23" t="str">
        <f>TEXT(DATE(LEFT(H282,4), MID(H282,5,2), RIGHT(H282,2)), "M/d/yyyy")</f>
        <v>3/1/2025</v>
      </c>
      <c r="J282" s="25">
        <v>20231004</v>
      </c>
      <c r="K282" s="23" t="str">
        <f>TEXT(DATE(LEFT(J282,4), MID(J282,5,2), RIGHT(J282,2)), "M/d/yyyy")</f>
        <v>10/4/2023</v>
      </c>
      <c r="L282" s="24" t="s">
        <v>78</v>
      </c>
      <c r="M282" s="26">
        <v>1</v>
      </c>
      <c r="N282" s="25">
        <v>20</v>
      </c>
      <c r="O282" s="27">
        <v>60</v>
      </c>
      <c r="P282" s="22" t="s">
        <v>3831</v>
      </c>
    </row>
    <row r="283" spans="1:16" s="22" customFormat="1" ht="15" customHeight="1" x14ac:dyDescent="0.2">
      <c r="A283" s="22" t="s">
        <v>3781</v>
      </c>
      <c r="B283" s="22">
        <v>9213293</v>
      </c>
      <c r="C283" s="23">
        <v>3</v>
      </c>
      <c r="D283" s="23">
        <v>921618235</v>
      </c>
      <c r="E283" s="23">
        <v>921618235</v>
      </c>
      <c r="F283" s="24" t="s">
        <v>829</v>
      </c>
      <c r="G283" s="23">
        <v>0</v>
      </c>
      <c r="H283" s="23">
        <v>20250301</v>
      </c>
      <c r="I283" s="23" t="str">
        <f>TEXT(DATE(LEFT(H283,4), MID(H283,5,2), RIGHT(H283,2)), "M/d/yyyy")</f>
        <v>3/1/2025</v>
      </c>
      <c r="J283" s="25">
        <v>20250101</v>
      </c>
      <c r="K283" s="23" t="str">
        <f>TEXT(DATE(LEFT(J283,4), MID(J283,5,2), RIGHT(J283,2)), "M/d/yyyy")</f>
        <v>1/1/2025</v>
      </c>
      <c r="L283" s="24" t="s">
        <v>78</v>
      </c>
      <c r="M283" s="26">
        <v>1</v>
      </c>
      <c r="N283" s="25">
        <v>25</v>
      </c>
      <c r="O283" s="27">
        <v>75</v>
      </c>
      <c r="P283" s="22" t="s">
        <v>3831</v>
      </c>
    </row>
    <row r="284" spans="1:16" s="22" customFormat="1" ht="15" customHeight="1" x14ac:dyDescent="0.2">
      <c r="A284" s="22" t="s">
        <v>3781</v>
      </c>
      <c r="B284" s="22">
        <v>9213293</v>
      </c>
      <c r="C284" s="23">
        <v>3</v>
      </c>
      <c r="D284" s="23">
        <v>921755738</v>
      </c>
      <c r="E284" s="23">
        <v>921755738</v>
      </c>
      <c r="F284" s="24" t="s">
        <v>897</v>
      </c>
      <c r="G284" s="23">
        <v>0</v>
      </c>
      <c r="H284" s="23">
        <v>20250301</v>
      </c>
      <c r="I284" s="23" t="str">
        <f>TEXT(DATE(LEFT(H284,4), MID(H284,5,2), RIGHT(H284,2)), "M/d/yyyy")</f>
        <v>3/1/2025</v>
      </c>
      <c r="J284" s="25">
        <v>20250101</v>
      </c>
      <c r="K284" s="23" t="str">
        <f>TEXT(DATE(LEFT(J284,4), MID(J284,5,2), RIGHT(J284,2)), "M/d/yyyy")</f>
        <v>1/1/2025</v>
      </c>
      <c r="L284" s="24" t="s">
        <v>78</v>
      </c>
      <c r="M284" s="26">
        <v>1</v>
      </c>
      <c r="N284" s="25">
        <v>25</v>
      </c>
      <c r="O284" s="27">
        <v>75</v>
      </c>
      <c r="P284" s="22" t="s">
        <v>3831</v>
      </c>
    </row>
    <row r="285" spans="1:16" s="22" customFormat="1" ht="15" customHeight="1" x14ac:dyDescent="0.2">
      <c r="A285" s="22" t="s">
        <v>3781</v>
      </c>
      <c r="B285" s="22">
        <v>9213293</v>
      </c>
      <c r="C285" s="23">
        <v>4</v>
      </c>
      <c r="D285" s="23">
        <v>921343338</v>
      </c>
      <c r="E285" s="23">
        <v>921343338</v>
      </c>
      <c r="F285" s="24" t="s">
        <v>736</v>
      </c>
      <c r="G285" s="23">
        <v>0</v>
      </c>
      <c r="H285" s="23">
        <v>20250301</v>
      </c>
      <c r="I285" s="23" t="str">
        <f>TEXT(DATE(LEFT(H285,4), MID(H285,5,2), RIGHT(H285,2)), "M/d/yyyy")</f>
        <v>3/1/2025</v>
      </c>
      <c r="J285" s="25">
        <v>20170301</v>
      </c>
      <c r="K285" s="23" t="str">
        <f>TEXT(DATE(LEFT(J285,4), MID(J285,5,2), RIGHT(J285,2)), "M/d/yyyy")</f>
        <v>3/1/2017</v>
      </c>
      <c r="L285" s="24" t="s">
        <v>78</v>
      </c>
      <c r="M285" s="26">
        <v>1</v>
      </c>
      <c r="N285" s="25">
        <v>20</v>
      </c>
      <c r="O285" s="27">
        <v>80</v>
      </c>
      <c r="P285" s="22" t="s">
        <v>3831</v>
      </c>
    </row>
    <row r="286" spans="1:16" s="22" customFormat="1" ht="15" customHeight="1" x14ac:dyDescent="0.2">
      <c r="A286" s="22" t="s">
        <v>3807</v>
      </c>
      <c r="B286" s="22">
        <v>17094718</v>
      </c>
      <c r="C286" s="23">
        <v>1</v>
      </c>
      <c r="D286" s="23">
        <v>921679009</v>
      </c>
      <c r="E286" s="23">
        <v>921679009</v>
      </c>
      <c r="F286" s="24" t="s">
        <v>3336</v>
      </c>
      <c r="G286" s="23">
        <v>0</v>
      </c>
      <c r="H286" s="23">
        <v>20250301</v>
      </c>
      <c r="I286" s="23" t="str">
        <f>TEXT(DATE(LEFT(H286,4), MID(H286,5,2), RIGHT(H286,2)), "M/d/yyyy")</f>
        <v>3/1/2025</v>
      </c>
      <c r="J286" s="25">
        <v>20231201</v>
      </c>
      <c r="K286" s="23" t="str">
        <f>TEXT(DATE(LEFT(J286,4), MID(J286,5,2), RIGHT(J286,2)), "M/d/yyyy")</f>
        <v>12/1/2023</v>
      </c>
      <c r="L286" s="24" t="s">
        <v>78</v>
      </c>
      <c r="M286" s="26">
        <v>1</v>
      </c>
      <c r="N286" s="25">
        <v>20</v>
      </c>
      <c r="O286" s="27">
        <v>20</v>
      </c>
      <c r="P286" s="22" t="s">
        <v>3831</v>
      </c>
    </row>
    <row r="287" spans="1:16" s="22" customFormat="1" ht="15" customHeight="1" x14ac:dyDescent="0.2">
      <c r="A287" s="22" t="s">
        <v>3774</v>
      </c>
      <c r="B287" s="22">
        <v>8307933</v>
      </c>
      <c r="C287" s="23">
        <v>1</v>
      </c>
      <c r="D287" s="23">
        <v>890675110</v>
      </c>
      <c r="E287" s="23">
        <v>890675110</v>
      </c>
      <c r="F287" s="24" t="s">
        <v>140</v>
      </c>
      <c r="G287" s="23">
        <v>0</v>
      </c>
      <c r="H287" s="23">
        <v>20250301</v>
      </c>
      <c r="I287" s="23" t="str">
        <f>TEXT(DATE(LEFT(H287,4), MID(H287,5,2), RIGHT(H287,2)), "M/d/yyyy")</f>
        <v>3/1/2025</v>
      </c>
      <c r="J287" s="25">
        <v>20200601</v>
      </c>
      <c r="K287" s="23" t="str">
        <f>TEXT(DATE(LEFT(J287,4), MID(J287,5,2), RIGHT(J287,2)), "M/d/yyyy")</f>
        <v>6/1/2020</v>
      </c>
      <c r="L287" s="24" t="s">
        <v>78</v>
      </c>
      <c r="M287" s="26">
        <v>1</v>
      </c>
      <c r="N287" s="25">
        <v>20</v>
      </c>
      <c r="O287" s="27">
        <v>20</v>
      </c>
      <c r="P287" s="22" t="s">
        <v>3831</v>
      </c>
    </row>
    <row r="288" spans="1:16" s="22" customFormat="1" ht="15" customHeight="1" x14ac:dyDescent="0.2">
      <c r="A288" s="22" t="s">
        <v>3774</v>
      </c>
      <c r="B288" s="22">
        <v>8307933</v>
      </c>
      <c r="C288" s="23">
        <v>1</v>
      </c>
      <c r="D288" s="23">
        <v>920802434</v>
      </c>
      <c r="E288" s="23">
        <v>920802434</v>
      </c>
      <c r="F288" s="24" t="s">
        <v>151</v>
      </c>
      <c r="G288" s="23">
        <v>0</v>
      </c>
      <c r="H288" s="23">
        <v>20250301</v>
      </c>
      <c r="I288" s="23" t="str">
        <f>TEXT(DATE(LEFT(H288,4), MID(H288,5,2), RIGHT(H288,2)), "M/d/yyyy")</f>
        <v>3/1/2025</v>
      </c>
      <c r="J288" s="25">
        <v>20230101</v>
      </c>
      <c r="K288" s="23" t="str">
        <f>TEXT(DATE(LEFT(J288,4), MID(J288,5,2), RIGHT(J288,2)), "M/d/yyyy")</f>
        <v>1/1/2023</v>
      </c>
      <c r="L288" s="24" t="s">
        <v>78</v>
      </c>
      <c r="M288" s="26">
        <v>1</v>
      </c>
      <c r="N288" s="25">
        <v>20</v>
      </c>
      <c r="O288" s="27">
        <v>20</v>
      </c>
      <c r="P288" s="22" t="s">
        <v>3831</v>
      </c>
    </row>
    <row r="289" spans="1:16" s="22" customFormat="1" ht="15" customHeight="1" x14ac:dyDescent="0.2">
      <c r="A289" s="22" t="s">
        <v>3774</v>
      </c>
      <c r="B289" s="22">
        <v>8307933</v>
      </c>
      <c r="C289" s="23">
        <v>1</v>
      </c>
      <c r="D289" s="23">
        <v>920816684</v>
      </c>
      <c r="E289" s="23">
        <v>920816684</v>
      </c>
      <c r="F289" s="24" t="s">
        <v>153</v>
      </c>
      <c r="G289" s="23">
        <v>0</v>
      </c>
      <c r="H289" s="23">
        <v>20250301</v>
      </c>
      <c r="I289" s="23" t="str">
        <f>TEXT(DATE(LEFT(H289,4), MID(H289,5,2), RIGHT(H289,2)), "M/d/yyyy")</f>
        <v>3/1/2025</v>
      </c>
      <c r="J289" s="25">
        <v>20210101</v>
      </c>
      <c r="K289" s="23" t="str">
        <f>TEXT(DATE(LEFT(J289,4), MID(J289,5,2), RIGHT(J289,2)), "M/d/yyyy")</f>
        <v>1/1/2021</v>
      </c>
      <c r="L289" s="24" t="s">
        <v>78</v>
      </c>
      <c r="M289" s="26">
        <v>1</v>
      </c>
      <c r="N289" s="25">
        <v>20</v>
      </c>
      <c r="O289" s="27">
        <v>20</v>
      </c>
      <c r="P289" s="22" t="s">
        <v>3831</v>
      </c>
    </row>
    <row r="290" spans="1:16" s="22" customFormat="1" ht="15" customHeight="1" x14ac:dyDescent="0.2">
      <c r="A290" s="22" t="s">
        <v>3774</v>
      </c>
      <c r="B290" s="22">
        <v>8307933</v>
      </c>
      <c r="C290" s="23">
        <v>1</v>
      </c>
      <c r="D290" s="23">
        <v>921108007</v>
      </c>
      <c r="E290" s="23">
        <v>921108007</v>
      </c>
      <c r="F290" s="24" t="s">
        <v>177</v>
      </c>
      <c r="G290" s="23">
        <v>0</v>
      </c>
      <c r="H290" s="23">
        <v>20250301</v>
      </c>
      <c r="I290" s="23" t="str">
        <f>TEXT(DATE(LEFT(H290,4), MID(H290,5,2), RIGHT(H290,2)), "M/d/yyyy")</f>
        <v>3/1/2025</v>
      </c>
      <c r="J290" s="25">
        <v>20150301</v>
      </c>
      <c r="K290" s="23" t="str">
        <f>TEXT(DATE(LEFT(J290,4), MID(J290,5,2), RIGHT(J290,2)), "M/d/yyyy")</f>
        <v>3/1/2015</v>
      </c>
      <c r="L290" s="24" t="s">
        <v>78</v>
      </c>
      <c r="M290" s="26">
        <v>1</v>
      </c>
      <c r="N290" s="25">
        <v>20</v>
      </c>
      <c r="O290" s="27">
        <v>20</v>
      </c>
      <c r="P290" s="22" t="s">
        <v>3831</v>
      </c>
    </row>
    <row r="291" spans="1:16" s="22" customFormat="1" ht="15" customHeight="1" x14ac:dyDescent="0.2">
      <c r="A291" s="22" t="s">
        <v>3774</v>
      </c>
      <c r="B291" s="22">
        <v>8307933</v>
      </c>
      <c r="C291" s="23">
        <v>1</v>
      </c>
      <c r="D291" s="23">
        <v>921341816</v>
      </c>
      <c r="E291" s="23">
        <v>921341816</v>
      </c>
      <c r="F291" s="24" t="s">
        <v>206</v>
      </c>
      <c r="G291" s="23">
        <v>0</v>
      </c>
      <c r="H291" s="23">
        <v>20250301</v>
      </c>
      <c r="I291" s="23" t="str">
        <f>TEXT(DATE(LEFT(H291,4), MID(H291,5,2), RIGHT(H291,2)), "M/d/yyyy")</f>
        <v>3/1/2025</v>
      </c>
      <c r="J291" s="25">
        <v>20210601</v>
      </c>
      <c r="K291" s="23" t="str">
        <f>TEXT(DATE(LEFT(J291,4), MID(J291,5,2), RIGHT(J291,2)), "M/d/yyyy")</f>
        <v>6/1/2021</v>
      </c>
      <c r="L291" s="24" t="s">
        <v>78</v>
      </c>
      <c r="M291" s="26">
        <v>1</v>
      </c>
      <c r="N291" s="25">
        <v>20</v>
      </c>
      <c r="O291" s="27">
        <v>20</v>
      </c>
      <c r="P291" s="22" t="s">
        <v>3831</v>
      </c>
    </row>
    <row r="292" spans="1:16" s="22" customFormat="1" ht="15" customHeight="1" x14ac:dyDescent="0.2">
      <c r="A292" s="22" t="s">
        <v>3774</v>
      </c>
      <c r="B292" s="22">
        <v>8307933</v>
      </c>
      <c r="C292" s="23">
        <v>1</v>
      </c>
      <c r="D292" s="23">
        <v>921471284</v>
      </c>
      <c r="E292" s="23">
        <v>921471284</v>
      </c>
      <c r="F292" s="24" t="s">
        <v>220</v>
      </c>
      <c r="G292" s="23">
        <v>0</v>
      </c>
      <c r="H292" s="23">
        <v>20250301</v>
      </c>
      <c r="I292" s="23" t="str">
        <f>TEXT(DATE(LEFT(H292,4), MID(H292,5,2), RIGHT(H292,2)), "M/d/yyyy")</f>
        <v>3/1/2025</v>
      </c>
      <c r="J292" s="25">
        <v>20190501</v>
      </c>
      <c r="K292" s="23" t="str">
        <f>TEXT(DATE(LEFT(J292,4), MID(J292,5,2), RIGHT(J292,2)), "M/d/yyyy")</f>
        <v>5/1/2019</v>
      </c>
      <c r="L292" s="24" t="s">
        <v>78</v>
      </c>
      <c r="M292" s="26">
        <v>1</v>
      </c>
      <c r="N292" s="25">
        <v>20</v>
      </c>
      <c r="O292" s="27">
        <v>20</v>
      </c>
      <c r="P292" s="22" t="s">
        <v>3831</v>
      </c>
    </row>
    <row r="293" spans="1:16" s="22" customFormat="1" ht="15" customHeight="1" x14ac:dyDescent="0.2">
      <c r="A293" s="22" t="s">
        <v>3774</v>
      </c>
      <c r="B293" s="22">
        <v>8307933</v>
      </c>
      <c r="C293" s="23">
        <v>1</v>
      </c>
      <c r="D293" s="23">
        <v>921531868</v>
      </c>
      <c r="E293" s="23">
        <v>921531868</v>
      </c>
      <c r="F293" s="24" t="s">
        <v>238</v>
      </c>
      <c r="G293" s="23">
        <v>0</v>
      </c>
      <c r="H293" s="23">
        <v>20250301</v>
      </c>
      <c r="I293" s="23" t="str">
        <f>TEXT(DATE(LEFT(H293,4), MID(H293,5,2), RIGHT(H293,2)), "M/d/yyyy")</f>
        <v>3/1/2025</v>
      </c>
      <c r="J293" s="25">
        <v>20201101</v>
      </c>
      <c r="K293" s="23" t="str">
        <f>TEXT(DATE(LEFT(J293,4), MID(J293,5,2), RIGHT(J293,2)), "M/d/yyyy")</f>
        <v>11/1/2020</v>
      </c>
      <c r="L293" s="24" t="s">
        <v>78</v>
      </c>
      <c r="M293" s="26">
        <v>1</v>
      </c>
      <c r="N293" s="25">
        <v>20</v>
      </c>
      <c r="O293" s="27">
        <v>20</v>
      </c>
      <c r="P293" s="22" t="s">
        <v>3831</v>
      </c>
    </row>
    <row r="294" spans="1:16" s="22" customFormat="1" ht="15" customHeight="1" x14ac:dyDescent="0.2">
      <c r="A294" s="22" t="s">
        <v>3774</v>
      </c>
      <c r="B294" s="22">
        <v>8307933</v>
      </c>
      <c r="C294" s="23">
        <v>1</v>
      </c>
      <c r="D294" s="23">
        <v>921573554</v>
      </c>
      <c r="E294" s="23">
        <v>921573554</v>
      </c>
      <c r="F294" s="24" t="s">
        <v>269</v>
      </c>
      <c r="G294" s="23">
        <v>0</v>
      </c>
      <c r="H294" s="23">
        <v>20250301</v>
      </c>
      <c r="I294" s="23" t="str">
        <f>TEXT(DATE(LEFT(H294,4), MID(H294,5,2), RIGHT(H294,2)), "M/d/yyyy")</f>
        <v>3/1/2025</v>
      </c>
      <c r="J294" s="25">
        <v>20230501</v>
      </c>
      <c r="K294" s="23" t="str">
        <f>TEXT(DATE(LEFT(J294,4), MID(J294,5,2), RIGHT(J294,2)), "M/d/yyyy")</f>
        <v>5/1/2023</v>
      </c>
      <c r="L294" s="24" t="s">
        <v>78</v>
      </c>
      <c r="M294" s="26">
        <v>1</v>
      </c>
      <c r="N294" s="25">
        <v>20</v>
      </c>
      <c r="O294" s="27">
        <v>20</v>
      </c>
      <c r="P294" s="22" t="s">
        <v>3831</v>
      </c>
    </row>
    <row r="295" spans="1:16" s="22" customFormat="1" ht="15" customHeight="1" x14ac:dyDescent="0.2">
      <c r="A295" s="22" t="s">
        <v>3774</v>
      </c>
      <c r="B295" s="22">
        <v>8307933</v>
      </c>
      <c r="C295" s="23">
        <v>1</v>
      </c>
      <c r="D295" s="23">
        <v>921574908</v>
      </c>
      <c r="E295" s="23">
        <v>921574908</v>
      </c>
      <c r="F295" s="24" t="s">
        <v>273</v>
      </c>
      <c r="G295" s="23">
        <v>0</v>
      </c>
      <c r="H295" s="23">
        <v>20250301</v>
      </c>
      <c r="I295" s="23" t="str">
        <f>TEXT(DATE(LEFT(H295,4), MID(H295,5,2), RIGHT(H295,2)), "M/d/yyyy")</f>
        <v>3/1/2025</v>
      </c>
      <c r="J295" s="25">
        <v>20210701</v>
      </c>
      <c r="K295" s="23" t="str">
        <f>TEXT(DATE(LEFT(J295,4), MID(J295,5,2), RIGHT(J295,2)), "M/d/yyyy")</f>
        <v>7/1/2021</v>
      </c>
      <c r="L295" s="24" t="s">
        <v>78</v>
      </c>
      <c r="M295" s="26">
        <v>1</v>
      </c>
      <c r="N295" s="25">
        <v>20</v>
      </c>
      <c r="O295" s="27">
        <v>20</v>
      </c>
      <c r="P295" s="22" t="s">
        <v>3831</v>
      </c>
    </row>
    <row r="296" spans="1:16" s="22" customFormat="1" ht="15" customHeight="1" x14ac:dyDescent="0.2">
      <c r="A296" s="22" t="s">
        <v>3774</v>
      </c>
      <c r="B296" s="22">
        <v>8307933</v>
      </c>
      <c r="C296" s="23">
        <v>1</v>
      </c>
      <c r="D296" s="23">
        <v>921598890</v>
      </c>
      <c r="E296" s="23">
        <v>921598890</v>
      </c>
      <c r="F296" s="24" t="s">
        <v>298</v>
      </c>
      <c r="G296" s="23">
        <v>0</v>
      </c>
      <c r="H296" s="23">
        <v>20250301</v>
      </c>
      <c r="I296" s="23" t="str">
        <f>TEXT(DATE(LEFT(H296,4), MID(H296,5,2), RIGHT(H296,2)), "M/d/yyyy")</f>
        <v>3/1/2025</v>
      </c>
      <c r="J296" s="25">
        <v>20220101</v>
      </c>
      <c r="K296" s="23" t="str">
        <f>TEXT(DATE(LEFT(J296,4), MID(J296,5,2), RIGHT(J296,2)), "M/d/yyyy")</f>
        <v>1/1/2022</v>
      </c>
      <c r="L296" s="24" t="s">
        <v>78</v>
      </c>
      <c r="M296" s="26">
        <v>1</v>
      </c>
      <c r="N296" s="25">
        <v>20</v>
      </c>
      <c r="O296" s="27">
        <v>20</v>
      </c>
      <c r="P296" s="22" t="s">
        <v>3831</v>
      </c>
    </row>
    <row r="297" spans="1:16" s="22" customFormat="1" ht="15" customHeight="1" x14ac:dyDescent="0.2">
      <c r="A297" s="22" t="s">
        <v>3774</v>
      </c>
      <c r="B297" s="22">
        <v>8307933</v>
      </c>
      <c r="C297" s="23">
        <v>1</v>
      </c>
      <c r="D297" s="23">
        <v>921638777</v>
      </c>
      <c r="E297" s="23">
        <v>921638777</v>
      </c>
      <c r="F297" s="24" t="s">
        <v>315</v>
      </c>
      <c r="G297" s="23">
        <v>0</v>
      </c>
      <c r="H297" s="23">
        <v>20250301</v>
      </c>
      <c r="I297" s="23" t="str">
        <f>TEXT(DATE(LEFT(H297,4), MID(H297,5,2), RIGHT(H297,2)), "M/d/yyyy")</f>
        <v>3/1/2025</v>
      </c>
      <c r="J297" s="25">
        <v>20230101</v>
      </c>
      <c r="K297" s="23" t="str">
        <f>TEXT(DATE(LEFT(J297,4), MID(J297,5,2), RIGHT(J297,2)), "M/d/yyyy")</f>
        <v>1/1/2023</v>
      </c>
      <c r="L297" s="24" t="s">
        <v>78</v>
      </c>
      <c r="M297" s="26">
        <v>1</v>
      </c>
      <c r="N297" s="25">
        <v>20</v>
      </c>
      <c r="O297" s="27">
        <v>20</v>
      </c>
      <c r="P297" s="22" t="s">
        <v>3831</v>
      </c>
    </row>
    <row r="298" spans="1:16" s="22" customFormat="1" ht="15" customHeight="1" x14ac:dyDescent="0.2">
      <c r="A298" s="22" t="s">
        <v>3774</v>
      </c>
      <c r="B298" s="22">
        <v>8307933</v>
      </c>
      <c r="C298" s="23">
        <v>1</v>
      </c>
      <c r="D298" s="23">
        <v>921651612</v>
      </c>
      <c r="E298" s="23">
        <v>921651612</v>
      </c>
      <c r="F298" s="24" t="s">
        <v>328</v>
      </c>
      <c r="G298" s="23">
        <v>0</v>
      </c>
      <c r="H298" s="23">
        <v>20250301</v>
      </c>
      <c r="I298" s="23" t="str">
        <f>TEXT(DATE(LEFT(H298,4), MID(H298,5,2), RIGHT(H298,2)), "M/d/yyyy")</f>
        <v>3/1/2025</v>
      </c>
      <c r="J298" s="25">
        <v>20230301</v>
      </c>
      <c r="K298" s="23" t="str">
        <f>TEXT(DATE(LEFT(J298,4), MID(J298,5,2), RIGHT(J298,2)), "M/d/yyyy")</f>
        <v>3/1/2023</v>
      </c>
      <c r="L298" s="24" t="s">
        <v>78</v>
      </c>
      <c r="M298" s="26">
        <v>1</v>
      </c>
      <c r="N298" s="25">
        <v>20</v>
      </c>
      <c r="O298" s="27">
        <v>20</v>
      </c>
      <c r="P298" s="22" t="s">
        <v>3831</v>
      </c>
    </row>
    <row r="299" spans="1:16" s="22" customFormat="1" ht="15" customHeight="1" x14ac:dyDescent="0.2">
      <c r="A299" s="22" t="s">
        <v>3774</v>
      </c>
      <c r="B299" s="22">
        <v>8307933</v>
      </c>
      <c r="C299" s="23">
        <v>1</v>
      </c>
      <c r="D299" s="23">
        <v>921666328</v>
      </c>
      <c r="E299" s="23">
        <v>921666328</v>
      </c>
      <c r="F299" s="24" t="s">
        <v>336</v>
      </c>
      <c r="G299" s="23">
        <v>0</v>
      </c>
      <c r="H299" s="23">
        <v>20250301</v>
      </c>
      <c r="I299" s="23" t="str">
        <f>TEXT(DATE(LEFT(H299,4), MID(H299,5,2), RIGHT(H299,2)), "M/d/yyyy")</f>
        <v>3/1/2025</v>
      </c>
      <c r="J299" s="25">
        <v>20230801</v>
      </c>
      <c r="K299" s="23" t="str">
        <f>TEXT(DATE(LEFT(J299,4), MID(J299,5,2), RIGHT(J299,2)), "M/d/yyyy")</f>
        <v>8/1/2023</v>
      </c>
      <c r="L299" s="24" t="s">
        <v>78</v>
      </c>
      <c r="M299" s="26">
        <v>1</v>
      </c>
      <c r="N299" s="25">
        <v>20</v>
      </c>
      <c r="O299" s="27">
        <v>20</v>
      </c>
      <c r="P299" s="22" t="s">
        <v>3831</v>
      </c>
    </row>
    <row r="300" spans="1:16" s="22" customFormat="1" ht="15" customHeight="1" x14ac:dyDescent="0.2">
      <c r="A300" s="22" t="s">
        <v>3774</v>
      </c>
      <c r="B300" s="22">
        <v>8307933</v>
      </c>
      <c r="C300" s="23">
        <v>1</v>
      </c>
      <c r="D300" s="23">
        <v>921670337</v>
      </c>
      <c r="E300" s="23">
        <v>921670337</v>
      </c>
      <c r="F300" s="24" t="s">
        <v>340</v>
      </c>
      <c r="G300" s="23">
        <v>0</v>
      </c>
      <c r="H300" s="23">
        <v>20250301</v>
      </c>
      <c r="I300" s="23" t="str">
        <f>TEXT(DATE(LEFT(H300,4), MID(H300,5,2), RIGHT(H300,2)), "M/d/yyyy")</f>
        <v>3/1/2025</v>
      </c>
      <c r="J300" s="25">
        <v>20230901</v>
      </c>
      <c r="K300" s="23" t="str">
        <f>TEXT(DATE(LEFT(J300,4), MID(J300,5,2), RIGHT(J300,2)), "M/d/yyyy")</f>
        <v>9/1/2023</v>
      </c>
      <c r="L300" s="24" t="s">
        <v>78</v>
      </c>
      <c r="M300" s="26">
        <v>1</v>
      </c>
      <c r="N300" s="25">
        <v>20</v>
      </c>
      <c r="O300" s="27">
        <v>20</v>
      </c>
      <c r="P300" s="22" t="s">
        <v>3831</v>
      </c>
    </row>
    <row r="301" spans="1:16" s="22" customFormat="1" ht="15" customHeight="1" x14ac:dyDescent="0.2">
      <c r="A301" s="22" t="s">
        <v>3774</v>
      </c>
      <c r="B301" s="22">
        <v>8307933</v>
      </c>
      <c r="C301" s="23">
        <v>1</v>
      </c>
      <c r="D301" s="23">
        <v>921670337</v>
      </c>
      <c r="E301" s="23">
        <v>921670337</v>
      </c>
      <c r="F301" s="24" t="s">
        <v>340</v>
      </c>
      <c r="G301" s="23">
        <v>0</v>
      </c>
      <c r="H301" s="23">
        <v>20250201</v>
      </c>
      <c r="I301" s="23" t="str">
        <f>TEXT(DATE(LEFT(H301,4), MID(H301,5,2), RIGHT(H301,2)), "M/d/yyyy")</f>
        <v>2/1/2025</v>
      </c>
      <c r="J301" s="25">
        <v>20230901</v>
      </c>
      <c r="K301" s="23" t="str">
        <f>TEXT(DATE(LEFT(J301,4), MID(J301,5,2), RIGHT(J301,2)), "M/d/yyyy")</f>
        <v>9/1/2023</v>
      </c>
      <c r="L301" s="24" t="s">
        <v>78</v>
      </c>
      <c r="M301" s="26">
        <v>1</v>
      </c>
      <c r="N301" s="25">
        <v>20</v>
      </c>
      <c r="O301" s="27">
        <v>20</v>
      </c>
      <c r="P301" s="22" t="s">
        <v>3831</v>
      </c>
    </row>
    <row r="302" spans="1:16" s="22" customFormat="1" ht="15" customHeight="1" x14ac:dyDescent="0.2">
      <c r="A302" s="22" t="s">
        <v>3774</v>
      </c>
      <c r="B302" s="22">
        <v>8307933</v>
      </c>
      <c r="C302" s="23">
        <v>1</v>
      </c>
      <c r="D302" s="23">
        <v>921677342</v>
      </c>
      <c r="E302" s="23">
        <v>921677342</v>
      </c>
      <c r="F302" s="24" t="s">
        <v>343</v>
      </c>
      <c r="G302" s="23">
        <v>0</v>
      </c>
      <c r="H302" s="23">
        <v>20250201</v>
      </c>
      <c r="I302" s="23" t="str">
        <f>TEXT(DATE(LEFT(H302,4), MID(H302,5,2), RIGHT(H302,2)), "M/d/yyyy")</f>
        <v>2/1/2025</v>
      </c>
      <c r="J302" s="25">
        <v>20240101</v>
      </c>
      <c r="K302" s="23" t="str">
        <f>TEXT(DATE(LEFT(J302,4), MID(J302,5,2), RIGHT(J302,2)), "M/d/yyyy")</f>
        <v>1/1/2024</v>
      </c>
      <c r="L302" s="24" t="s">
        <v>78</v>
      </c>
      <c r="M302" s="26">
        <v>1</v>
      </c>
      <c r="N302" s="25">
        <v>20</v>
      </c>
      <c r="O302" s="27">
        <v>20</v>
      </c>
      <c r="P302" s="22" t="s">
        <v>3831</v>
      </c>
    </row>
    <row r="303" spans="1:16" s="22" customFormat="1" ht="15" customHeight="1" x14ac:dyDescent="0.2">
      <c r="A303" s="22" t="s">
        <v>3774</v>
      </c>
      <c r="B303" s="22">
        <v>8307933</v>
      </c>
      <c r="C303" s="23">
        <v>1</v>
      </c>
      <c r="D303" s="23">
        <v>921684156</v>
      </c>
      <c r="E303" s="23">
        <v>921684156</v>
      </c>
      <c r="F303" s="24" t="s">
        <v>350</v>
      </c>
      <c r="G303" s="23">
        <v>0</v>
      </c>
      <c r="H303" s="23">
        <v>20250301</v>
      </c>
      <c r="I303" s="23" t="str">
        <f>TEXT(DATE(LEFT(H303,4), MID(H303,5,2), RIGHT(H303,2)), "M/d/yyyy")</f>
        <v>3/1/2025</v>
      </c>
      <c r="J303" s="25">
        <v>20240101</v>
      </c>
      <c r="K303" s="23" t="str">
        <f>TEXT(DATE(LEFT(J303,4), MID(J303,5,2), RIGHT(J303,2)), "M/d/yyyy")</f>
        <v>1/1/2024</v>
      </c>
      <c r="L303" s="24" t="s">
        <v>78</v>
      </c>
      <c r="M303" s="26">
        <v>1</v>
      </c>
      <c r="N303" s="25">
        <v>20</v>
      </c>
      <c r="O303" s="27">
        <v>20</v>
      </c>
      <c r="P303" s="22" t="s">
        <v>3831</v>
      </c>
    </row>
    <row r="304" spans="1:16" s="22" customFormat="1" ht="15" customHeight="1" x14ac:dyDescent="0.2">
      <c r="A304" s="22" t="s">
        <v>3774</v>
      </c>
      <c r="B304" s="22">
        <v>8307933</v>
      </c>
      <c r="C304" s="23">
        <v>1</v>
      </c>
      <c r="D304" s="23">
        <v>921684722</v>
      </c>
      <c r="E304" s="23">
        <v>921684722</v>
      </c>
      <c r="F304" s="24" t="s">
        <v>352</v>
      </c>
      <c r="G304" s="23">
        <v>0</v>
      </c>
      <c r="H304" s="23">
        <v>20250301</v>
      </c>
      <c r="I304" s="23" t="str">
        <f>TEXT(DATE(LEFT(H304,4), MID(H304,5,2), RIGHT(H304,2)), "M/d/yyyy")</f>
        <v>3/1/2025</v>
      </c>
      <c r="J304" s="25">
        <v>20240101</v>
      </c>
      <c r="K304" s="23" t="str">
        <f>TEXT(DATE(LEFT(J304,4), MID(J304,5,2), RIGHT(J304,2)), "M/d/yyyy")</f>
        <v>1/1/2024</v>
      </c>
      <c r="L304" s="24" t="s">
        <v>78</v>
      </c>
      <c r="M304" s="26">
        <v>1</v>
      </c>
      <c r="N304" s="25">
        <v>20</v>
      </c>
      <c r="O304" s="27">
        <v>20</v>
      </c>
      <c r="P304" s="22" t="s">
        <v>3831</v>
      </c>
    </row>
    <row r="305" spans="1:16" s="22" customFormat="1" ht="15" customHeight="1" x14ac:dyDescent="0.2">
      <c r="A305" s="22" t="s">
        <v>3774</v>
      </c>
      <c r="B305" s="22">
        <v>8307933</v>
      </c>
      <c r="C305" s="23">
        <v>1</v>
      </c>
      <c r="D305" s="23">
        <v>921737821</v>
      </c>
      <c r="E305" s="23">
        <v>921737821</v>
      </c>
      <c r="F305" s="24" t="s">
        <v>375</v>
      </c>
      <c r="G305" s="23">
        <v>0</v>
      </c>
      <c r="H305" s="23">
        <v>20250301</v>
      </c>
      <c r="I305" s="23" t="str">
        <f>TEXT(DATE(LEFT(H305,4), MID(H305,5,2), RIGHT(H305,2)), "M/d/yyyy")</f>
        <v>3/1/2025</v>
      </c>
      <c r="J305" s="25">
        <v>20240901</v>
      </c>
      <c r="K305" s="23" t="str">
        <f>TEXT(DATE(LEFT(J305,4), MID(J305,5,2), RIGHT(J305,2)), "M/d/yyyy")</f>
        <v>9/1/2024</v>
      </c>
      <c r="L305" s="24" t="s">
        <v>78</v>
      </c>
      <c r="M305" s="26">
        <v>1</v>
      </c>
      <c r="N305" s="25">
        <v>25</v>
      </c>
      <c r="O305" s="27">
        <v>25</v>
      </c>
      <c r="P305" s="22" t="s">
        <v>3831</v>
      </c>
    </row>
    <row r="306" spans="1:16" s="22" customFormat="1" ht="15" customHeight="1" x14ac:dyDescent="0.2">
      <c r="A306" s="22" t="s">
        <v>3774</v>
      </c>
      <c r="B306" s="22">
        <v>8307933</v>
      </c>
      <c r="C306" s="23">
        <v>1</v>
      </c>
      <c r="D306" s="23">
        <v>921742076</v>
      </c>
      <c r="E306" s="23">
        <v>921742076</v>
      </c>
      <c r="F306" s="24" t="s">
        <v>377</v>
      </c>
      <c r="G306" s="23">
        <v>0</v>
      </c>
      <c r="H306" s="23">
        <v>20250301</v>
      </c>
      <c r="I306" s="23" t="str">
        <f>TEXT(DATE(LEFT(H306,4), MID(H306,5,2), RIGHT(H306,2)), "M/d/yyyy")</f>
        <v>3/1/2025</v>
      </c>
      <c r="J306" s="25">
        <v>20241101</v>
      </c>
      <c r="K306" s="23" t="str">
        <f>TEXT(DATE(LEFT(J306,4), MID(J306,5,2), RIGHT(J306,2)), "M/d/yyyy")</f>
        <v>11/1/2024</v>
      </c>
      <c r="L306" s="24" t="s">
        <v>78</v>
      </c>
      <c r="M306" s="26">
        <v>1</v>
      </c>
      <c r="N306" s="25">
        <v>25</v>
      </c>
      <c r="O306" s="27">
        <v>25</v>
      </c>
      <c r="P306" s="22" t="s">
        <v>3831</v>
      </c>
    </row>
    <row r="307" spans="1:16" s="22" customFormat="1" ht="15" customHeight="1" x14ac:dyDescent="0.2">
      <c r="A307" s="22" t="s">
        <v>3774</v>
      </c>
      <c r="B307" s="22">
        <v>8307933</v>
      </c>
      <c r="C307" s="23">
        <v>1</v>
      </c>
      <c r="D307" s="23">
        <v>921743381</v>
      </c>
      <c r="E307" s="23">
        <v>921743381</v>
      </c>
      <c r="F307" s="24" t="s">
        <v>379</v>
      </c>
      <c r="G307" s="23">
        <v>0</v>
      </c>
      <c r="H307" s="23">
        <v>20250301</v>
      </c>
      <c r="I307" s="23" t="str">
        <f>TEXT(DATE(LEFT(H307,4), MID(H307,5,2), RIGHT(H307,2)), "M/d/yyyy")</f>
        <v>3/1/2025</v>
      </c>
      <c r="J307" s="25">
        <v>20241101</v>
      </c>
      <c r="K307" s="23" t="str">
        <f>TEXT(DATE(LEFT(J307,4), MID(J307,5,2), RIGHT(J307,2)), "M/d/yyyy")</f>
        <v>11/1/2024</v>
      </c>
      <c r="L307" s="24" t="s">
        <v>78</v>
      </c>
      <c r="M307" s="26">
        <v>1</v>
      </c>
      <c r="N307" s="25">
        <v>25</v>
      </c>
      <c r="O307" s="27">
        <v>25</v>
      </c>
      <c r="P307" s="22" t="s">
        <v>3831</v>
      </c>
    </row>
    <row r="308" spans="1:16" s="22" customFormat="1" ht="15" customHeight="1" x14ac:dyDescent="0.2">
      <c r="A308" s="22" t="s">
        <v>3774</v>
      </c>
      <c r="B308" s="22">
        <v>8307933</v>
      </c>
      <c r="C308" s="23">
        <v>1</v>
      </c>
      <c r="D308" s="23">
        <v>921750205</v>
      </c>
      <c r="E308" s="23">
        <v>921750205</v>
      </c>
      <c r="F308" s="24" t="s">
        <v>385</v>
      </c>
      <c r="G308" s="23">
        <v>0</v>
      </c>
      <c r="H308" s="23">
        <v>20250301</v>
      </c>
      <c r="I308" s="23" t="str">
        <f>TEXT(DATE(LEFT(H308,4), MID(H308,5,2), RIGHT(H308,2)), "M/d/yyyy")</f>
        <v>3/1/2025</v>
      </c>
      <c r="J308" s="25">
        <v>20241201</v>
      </c>
      <c r="K308" s="23" t="str">
        <f>TEXT(DATE(LEFT(J308,4), MID(J308,5,2), RIGHT(J308,2)), "M/d/yyyy")</f>
        <v>12/1/2024</v>
      </c>
      <c r="L308" s="24" t="s">
        <v>78</v>
      </c>
      <c r="M308" s="26">
        <v>1</v>
      </c>
      <c r="N308" s="25">
        <v>25</v>
      </c>
      <c r="O308" s="27">
        <v>25</v>
      </c>
      <c r="P308" s="22" t="s">
        <v>3831</v>
      </c>
    </row>
    <row r="309" spans="1:16" s="22" customFormat="1" ht="15" customHeight="1" x14ac:dyDescent="0.2">
      <c r="A309" s="22" t="s">
        <v>3774</v>
      </c>
      <c r="B309" s="22">
        <v>8307933</v>
      </c>
      <c r="C309" s="23">
        <v>1</v>
      </c>
      <c r="D309" s="23">
        <v>921750205</v>
      </c>
      <c r="E309" s="23">
        <v>921750205</v>
      </c>
      <c r="F309" s="24" t="s">
        <v>385</v>
      </c>
      <c r="G309" s="23">
        <v>0</v>
      </c>
      <c r="H309" s="23">
        <v>20250201</v>
      </c>
      <c r="I309" s="23" t="str">
        <f>TEXT(DATE(LEFT(H309,4), MID(H309,5,2), RIGHT(H309,2)), "M/d/yyyy")</f>
        <v>2/1/2025</v>
      </c>
      <c r="J309" s="25">
        <v>20241201</v>
      </c>
      <c r="K309" s="23" t="str">
        <f>TEXT(DATE(LEFT(J309,4), MID(J309,5,2), RIGHT(J309,2)), "M/d/yyyy")</f>
        <v>12/1/2024</v>
      </c>
      <c r="L309" s="24" t="s">
        <v>78</v>
      </c>
      <c r="M309" s="26">
        <v>1</v>
      </c>
      <c r="N309" s="25">
        <v>25</v>
      </c>
      <c r="O309" s="27">
        <v>25</v>
      </c>
      <c r="P309" s="22" t="s">
        <v>3831</v>
      </c>
    </row>
    <row r="310" spans="1:16" s="22" customFormat="1" ht="15" customHeight="1" x14ac:dyDescent="0.2">
      <c r="A310" s="22" t="s">
        <v>3774</v>
      </c>
      <c r="B310" s="22">
        <v>8307933</v>
      </c>
      <c r="C310" s="23">
        <v>1</v>
      </c>
      <c r="D310" s="23">
        <v>921766263</v>
      </c>
      <c r="E310" s="23">
        <v>921766263</v>
      </c>
      <c r="F310" s="24" t="s">
        <v>395</v>
      </c>
      <c r="G310" s="23">
        <v>0</v>
      </c>
      <c r="H310" s="23">
        <v>20250301</v>
      </c>
      <c r="I310" s="23" t="str">
        <f>TEXT(DATE(LEFT(H310,4), MID(H310,5,2), RIGHT(H310,2)), "M/d/yyyy")</f>
        <v>3/1/2025</v>
      </c>
      <c r="J310" s="25">
        <v>20250101</v>
      </c>
      <c r="K310" s="23" t="str">
        <f>TEXT(DATE(LEFT(J310,4), MID(J310,5,2), RIGHT(J310,2)), "M/d/yyyy")</f>
        <v>1/1/2025</v>
      </c>
      <c r="L310" s="24" t="s">
        <v>78</v>
      </c>
      <c r="M310" s="26">
        <v>1</v>
      </c>
      <c r="N310" s="25">
        <v>25</v>
      </c>
      <c r="O310" s="27">
        <v>25</v>
      </c>
      <c r="P310" s="22" t="s">
        <v>3831</v>
      </c>
    </row>
    <row r="311" spans="1:16" s="22" customFormat="1" ht="15" customHeight="1" x14ac:dyDescent="0.2">
      <c r="A311" s="22" t="s">
        <v>3774</v>
      </c>
      <c r="B311" s="22">
        <v>8307933</v>
      </c>
      <c r="C311" s="23">
        <v>1</v>
      </c>
      <c r="D311" s="23">
        <v>921766263</v>
      </c>
      <c r="E311" s="23">
        <v>921766263</v>
      </c>
      <c r="F311" s="24" t="s">
        <v>395</v>
      </c>
      <c r="G311" s="23">
        <v>0</v>
      </c>
      <c r="H311" s="23">
        <v>20250201</v>
      </c>
      <c r="I311" s="23" t="str">
        <f>TEXT(DATE(LEFT(H311,4), MID(H311,5,2), RIGHT(H311,2)), "M/d/yyyy")</f>
        <v>2/1/2025</v>
      </c>
      <c r="J311" s="25">
        <v>20250101</v>
      </c>
      <c r="K311" s="23" t="str">
        <f>TEXT(DATE(LEFT(J311,4), MID(J311,5,2), RIGHT(J311,2)), "M/d/yyyy")</f>
        <v>1/1/2025</v>
      </c>
      <c r="L311" s="24" t="s">
        <v>78</v>
      </c>
      <c r="M311" s="26">
        <v>1</v>
      </c>
      <c r="N311" s="25">
        <v>25</v>
      </c>
      <c r="O311" s="27">
        <v>25</v>
      </c>
      <c r="P311" s="22" t="s">
        <v>3831</v>
      </c>
    </row>
    <row r="312" spans="1:16" s="22" customFormat="1" ht="15" customHeight="1" x14ac:dyDescent="0.2">
      <c r="A312" s="22" t="s">
        <v>3774</v>
      </c>
      <c r="B312" s="22">
        <v>8307933</v>
      </c>
      <c r="C312" s="23">
        <v>2</v>
      </c>
      <c r="D312" s="23">
        <v>921095896</v>
      </c>
      <c r="E312" s="23">
        <v>921095896</v>
      </c>
      <c r="F312" s="24" t="s">
        <v>175</v>
      </c>
      <c r="G312" s="23">
        <v>0</v>
      </c>
      <c r="H312" s="23">
        <v>20250301</v>
      </c>
      <c r="I312" s="23" t="str">
        <f>TEXT(DATE(LEFT(H312,4), MID(H312,5,2), RIGHT(H312,2)), "M/d/yyyy")</f>
        <v>3/1/2025</v>
      </c>
      <c r="J312" s="25">
        <v>20170101</v>
      </c>
      <c r="K312" s="23" t="str">
        <f>TEXT(DATE(LEFT(J312,4), MID(J312,5,2), RIGHT(J312,2)), "M/d/yyyy")</f>
        <v>1/1/2017</v>
      </c>
      <c r="L312" s="24" t="s">
        <v>78</v>
      </c>
      <c r="M312" s="26">
        <v>1</v>
      </c>
      <c r="N312" s="25">
        <v>20</v>
      </c>
      <c r="O312" s="27">
        <v>40</v>
      </c>
      <c r="P312" s="22" t="s">
        <v>3831</v>
      </c>
    </row>
    <row r="313" spans="1:16" s="22" customFormat="1" ht="15" customHeight="1" x14ac:dyDescent="0.2">
      <c r="A313" s="22" t="s">
        <v>3774</v>
      </c>
      <c r="B313" s="22">
        <v>8307933</v>
      </c>
      <c r="C313" s="23">
        <v>2</v>
      </c>
      <c r="D313" s="23">
        <v>921496012</v>
      </c>
      <c r="E313" s="23">
        <v>921496012</v>
      </c>
      <c r="F313" s="24" t="s">
        <v>228</v>
      </c>
      <c r="G313" s="23">
        <v>0</v>
      </c>
      <c r="H313" s="23">
        <v>20250201</v>
      </c>
      <c r="I313" s="23" t="str">
        <f>TEXT(DATE(LEFT(H313,4), MID(H313,5,2), RIGHT(H313,2)), "M/d/yyyy")</f>
        <v>2/1/2025</v>
      </c>
      <c r="J313" s="25">
        <v>20200101</v>
      </c>
      <c r="K313" s="23" t="str">
        <f>TEXT(DATE(LEFT(J313,4), MID(J313,5,2), RIGHT(J313,2)), "M/d/yyyy")</f>
        <v>1/1/2020</v>
      </c>
      <c r="L313" s="24" t="s">
        <v>78</v>
      </c>
      <c r="M313" s="26">
        <v>1</v>
      </c>
      <c r="N313" s="25">
        <v>20</v>
      </c>
      <c r="O313" s="27">
        <v>40</v>
      </c>
      <c r="P313" s="22" t="s">
        <v>3831</v>
      </c>
    </row>
    <row r="314" spans="1:16" s="22" customFormat="1" ht="15" customHeight="1" x14ac:dyDescent="0.2">
      <c r="A314" s="22" t="s">
        <v>3774</v>
      </c>
      <c r="B314" s="22">
        <v>8307933</v>
      </c>
      <c r="C314" s="23">
        <v>2</v>
      </c>
      <c r="D314" s="23">
        <v>921535183</v>
      </c>
      <c r="E314" s="23">
        <v>921535183</v>
      </c>
      <c r="F314" s="24" t="s">
        <v>247</v>
      </c>
      <c r="G314" s="23">
        <v>0</v>
      </c>
      <c r="H314" s="23">
        <v>20250301</v>
      </c>
      <c r="I314" s="23" t="str">
        <f>TEXT(DATE(LEFT(H314,4), MID(H314,5,2), RIGHT(H314,2)), "M/d/yyyy")</f>
        <v>3/1/2025</v>
      </c>
      <c r="J314" s="25">
        <v>20230101</v>
      </c>
      <c r="K314" s="23" t="str">
        <f>TEXT(DATE(LEFT(J314,4), MID(J314,5,2), RIGHT(J314,2)), "M/d/yyyy")</f>
        <v>1/1/2023</v>
      </c>
      <c r="L314" s="24" t="s">
        <v>78</v>
      </c>
      <c r="M314" s="26">
        <v>1</v>
      </c>
      <c r="N314" s="25">
        <v>20</v>
      </c>
      <c r="O314" s="27">
        <v>40</v>
      </c>
      <c r="P314" s="22" t="s">
        <v>3831</v>
      </c>
    </row>
    <row r="315" spans="1:16" s="22" customFormat="1" ht="15" customHeight="1" x14ac:dyDescent="0.2">
      <c r="A315" s="22" t="s">
        <v>3774</v>
      </c>
      <c r="B315" s="22">
        <v>8307933</v>
      </c>
      <c r="C315" s="23">
        <v>2</v>
      </c>
      <c r="D315" s="23">
        <v>921551673</v>
      </c>
      <c r="E315" s="23">
        <v>921551673</v>
      </c>
      <c r="F315" s="24" t="s">
        <v>254</v>
      </c>
      <c r="G315" s="23">
        <v>0</v>
      </c>
      <c r="H315" s="23">
        <v>20250301</v>
      </c>
      <c r="I315" s="23" t="str">
        <f>TEXT(DATE(LEFT(H315,4), MID(H315,5,2), RIGHT(H315,2)), "M/d/yyyy")</f>
        <v>3/1/2025</v>
      </c>
      <c r="J315" s="25">
        <v>20210101</v>
      </c>
      <c r="K315" s="23" t="str">
        <f>TEXT(DATE(LEFT(J315,4), MID(J315,5,2), RIGHT(J315,2)), "M/d/yyyy")</f>
        <v>1/1/2021</v>
      </c>
      <c r="L315" s="24" t="s">
        <v>78</v>
      </c>
      <c r="M315" s="26">
        <v>1</v>
      </c>
      <c r="N315" s="25">
        <v>20</v>
      </c>
      <c r="O315" s="27">
        <v>40</v>
      </c>
      <c r="P315" s="22" t="s">
        <v>3831</v>
      </c>
    </row>
    <row r="316" spans="1:16" s="22" customFormat="1" ht="15" customHeight="1" x14ac:dyDescent="0.2">
      <c r="A316" s="22" t="s">
        <v>3774</v>
      </c>
      <c r="B316" s="22">
        <v>8307933</v>
      </c>
      <c r="C316" s="23">
        <v>2</v>
      </c>
      <c r="D316" s="23">
        <v>921586005</v>
      </c>
      <c r="E316" s="23">
        <v>921586005</v>
      </c>
      <c r="F316" s="24" t="s">
        <v>287</v>
      </c>
      <c r="G316" s="23">
        <v>0</v>
      </c>
      <c r="H316" s="23">
        <v>20250301</v>
      </c>
      <c r="I316" s="23" t="str">
        <f>TEXT(DATE(LEFT(H316,4), MID(H316,5,2), RIGHT(H316,2)), "M/d/yyyy")</f>
        <v>3/1/2025</v>
      </c>
      <c r="J316" s="25">
        <v>20211101</v>
      </c>
      <c r="K316" s="23" t="str">
        <f>TEXT(DATE(LEFT(J316,4), MID(J316,5,2), RIGHT(J316,2)), "M/d/yyyy")</f>
        <v>11/1/2021</v>
      </c>
      <c r="L316" s="24" t="s">
        <v>78</v>
      </c>
      <c r="M316" s="26">
        <v>1</v>
      </c>
      <c r="N316" s="25">
        <v>20</v>
      </c>
      <c r="O316" s="27">
        <v>40</v>
      </c>
      <c r="P316" s="22" t="s">
        <v>3831</v>
      </c>
    </row>
    <row r="317" spans="1:16" s="22" customFormat="1" ht="15" customHeight="1" x14ac:dyDescent="0.2">
      <c r="A317" s="22" t="s">
        <v>3774</v>
      </c>
      <c r="B317" s="22">
        <v>8307933</v>
      </c>
      <c r="C317" s="23">
        <v>2</v>
      </c>
      <c r="D317" s="23">
        <v>921587908</v>
      </c>
      <c r="E317" s="23">
        <v>921587908</v>
      </c>
      <c r="F317" s="24" t="s">
        <v>290</v>
      </c>
      <c r="G317" s="23">
        <v>0</v>
      </c>
      <c r="H317" s="23">
        <v>20250301</v>
      </c>
      <c r="I317" s="23" t="str">
        <f>TEXT(DATE(LEFT(H317,4), MID(H317,5,2), RIGHT(H317,2)), "M/d/yyyy")</f>
        <v>3/1/2025</v>
      </c>
      <c r="J317" s="25">
        <v>20211201</v>
      </c>
      <c r="K317" s="23" t="str">
        <f>TEXT(DATE(LEFT(J317,4), MID(J317,5,2), RIGHT(J317,2)), "M/d/yyyy")</f>
        <v>12/1/2021</v>
      </c>
      <c r="L317" s="24" t="s">
        <v>78</v>
      </c>
      <c r="M317" s="26">
        <v>1</v>
      </c>
      <c r="N317" s="25">
        <v>20</v>
      </c>
      <c r="O317" s="27">
        <v>40</v>
      </c>
      <c r="P317" s="22" t="s">
        <v>3831</v>
      </c>
    </row>
    <row r="318" spans="1:16" s="22" customFormat="1" ht="15" customHeight="1" x14ac:dyDescent="0.2">
      <c r="A318" s="22" t="s">
        <v>3774</v>
      </c>
      <c r="B318" s="22">
        <v>8307933</v>
      </c>
      <c r="C318" s="23">
        <v>2</v>
      </c>
      <c r="D318" s="23">
        <v>921619860</v>
      </c>
      <c r="E318" s="23">
        <v>921619860</v>
      </c>
      <c r="F318" s="24" t="s">
        <v>304</v>
      </c>
      <c r="G318" s="23">
        <v>0</v>
      </c>
      <c r="H318" s="23">
        <v>20250201</v>
      </c>
      <c r="I318" s="23" t="str">
        <f>TEXT(DATE(LEFT(H318,4), MID(H318,5,2), RIGHT(H318,2)), "M/d/yyyy")</f>
        <v>2/1/2025</v>
      </c>
      <c r="J318" s="25">
        <v>20220901</v>
      </c>
      <c r="K318" s="23" t="str">
        <f>TEXT(DATE(LEFT(J318,4), MID(J318,5,2), RIGHT(J318,2)), "M/d/yyyy")</f>
        <v>9/1/2022</v>
      </c>
      <c r="L318" s="24" t="s">
        <v>78</v>
      </c>
      <c r="M318" s="26">
        <v>1</v>
      </c>
      <c r="N318" s="25">
        <v>20</v>
      </c>
      <c r="O318" s="27">
        <v>40</v>
      </c>
      <c r="P318" s="22" t="s">
        <v>3831</v>
      </c>
    </row>
    <row r="319" spans="1:16" s="22" customFormat="1" ht="15" customHeight="1" x14ac:dyDescent="0.2">
      <c r="A319" s="22" t="s">
        <v>3774</v>
      </c>
      <c r="B319" s="22">
        <v>8307933</v>
      </c>
      <c r="C319" s="23">
        <v>2</v>
      </c>
      <c r="D319" s="23">
        <v>921648611</v>
      </c>
      <c r="E319" s="23">
        <v>921648611</v>
      </c>
      <c r="F319" s="24" t="s">
        <v>326</v>
      </c>
      <c r="G319" s="23">
        <v>0</v>
      </c>
      <c r="H319" s="23">
        <v>20250301</v>
      </c>
      <c r="I319" s="23" t="str">
        <f>TEXT(DATE(LEFT(H319,4), MID(H319,5,2), RIGHT(H319,2)), "M/d/yyyy")</f>
        <v>3/1/2025</v>
      </c>
      <c r="J319" s="25">
        <v>20230201</v>
      </c>
      <c r="K319" s="23" t="str">
        <f>TEXT(DATE(LEFT(J319,4), MID(J319,5,2), RIGHT(J319,2)), "M/d/yyyy")</f>
        <v>2/1/2023</v>
      </c>
      <c r="L319" s="24" t="s">
        <v>78</v>
      </c>
      <c r="M319" s="26">
        <v>1</v>
      </c>
      <c r="N319" s="25">
        <v>20</v>
      </c>
      <c r="O319" s="27">
        <v>40</v>
      </c>
      <c r="P319" s="22" t="s">
        <v>3831</v>
      </c>
    </row>
    <row r="320" spans="1:16" s="22" customFormat="1" ht="15" customHeight="1" x14ac:dyDescent="0.2">
      <c r="A320" s="22" t="s">
        <v>3774</v>
      </c>
      <c r="B320" s="22">
        <v>8307933</v>
      </c>
      <c r="C320" s="23">
        <v>2</v>
      </c>
      <c r="D320" s="23">
        <v>921679447</v>
      </c>
      <c r="E320" s="23">
        <v>921679447</v>
      </c>
      <c r="F320" s="24" t="s">
        <v>346</v>
      </c>
      <c r="G320" s="23">
        <v>0</v>
      </c>
      <c r="H320" s="23">
        <v>20250301</v>
      </c>
      <c r="I320" s="23" t="str">
        <f>TEXT(DATE(LEFT(H320,4), MID(H320,5,2), RIGHT(H320,2)), "M/d/yyyy")</f>
        <v>3/1/2025</v>
      </c>
      <c r="J320" s="25">
        <v>20240101</v>
      </c>
      <c r="K320" s="23" t="str">
        <f>TEXT(DATE(LEFT(J320,4), MID(J320,5,2), RIGHT(J320,2)), "M/d/yyyy")</f>
        <v>1/1/2024</v>
      </c>
      <c r="L320" s="24" t="s">
        <v>78</v>
      </c>
      <c r="M320" s="26">
        <v>1</v>
      </c>
      <c r="N320" s="25">
        <v>20</v>
      </c>
      <c r="O320" s="27">
        <v>40</v>
      </c>
      <c r="P320" s="22" t="s">
        <v>3831</v>
      </c>
    </row>
    <row r="321" spans="1:16" s="22" customFormat="1" ht="15" customHeight="1" x14ac:dyDescent="0.2">
      <c r="A321" s="22" t="s">
        <v>3774</v>
      </c>
      <c r="B321" s="22">
        <v>8307933</v>
      </c>
      <c r="C321" s="23">
        <v>2</v>
      </c>
      <c r="D321" s="23">
        <v>921031639</v>
      </c>
      <c r="E321" s="23">
        <v>921031639</v>
      </c>
      <c r="F321" s="24" t="s">
        <v>165</v>
      </c>
      <c r="G321" s="23">
        <v>0</v>
      </c>
      <c r="H321" s="23">
        <v>20250301</v>
      </c>
      <c r="I321" s="23" t="str">
        <f>TEXT(DATE(LEFT(H321,4), MID(H321,5,2), RIGHT(H321,2)), "M/d/yyyy")</f>
        <v>3/1/2025</v>
      </c>
      <c r="J321" s="25">
        <v>20250101</v>
      </c>
      <c r="K321" s="23" t="str">
        <f>TEXT(DATE(LEFT(J321,4), MID(J321,5,2), RIGHT(J321,2)), "M/d/yyyy")</f>
        <v>1/1/2025</v>
      </c>
      <c r="L321" s="24" t="s">
        <v>78</v>
      </c>
      <c r="M321" s="26">
        <v>1</v>
      </c>
      <c r="N321" s="25">
        <v>25</v>
      </c>
      <c r="O321" s="27">
        <v>50</v>
      </c>
      <c r="P321" s="22" t="s">
        <v>3831</v>
      </c>
    </row>
    <row r="322" spans="1:16" s="22" customFormat="1" ht="15" customHeight="1" x14ac:dyDescent="0.2">
      <c r="A322" s="22" t="s">
        <v>3774</v>
      </c>
      <c r="B322" s="22">
        <v>8307933</v>
      </c>
      <c r="C322" s="23">
        <v>2</v>
      </c>
      <c r="D322" s="23">
        <v>921720928</v>
      </c>
      <c r="E322" s="23">
        <v>921720928</v>
      </c>
      <c r="F322" s="24" t="s">
        <v>369</v>
      </c>
      <c r="G322" s="23">
        <v>0</v>
      </c>
      <c r="H322" s="23">
        <v>20250301</v>
      </c>
      <c r="I322" s="23" t="str">
        <f>TEXT(DATE(LEFT(H322,4), MID(H322,5,2), RIGHT(H322,2)), "M/d/yyyy")</f>
        <v>3/1/2025</v>
      </c>
      <c r="J322" s="25">
        <v>20240501</v>
      </c>
      <c r="K322" s="23" t="str">
        <f>TEXT(DATE(LEFT(J322,4), MID(J322,5,2), RIGHT(J322,2)), "M/d/yyyy")</f>
        <v>5/1/2024</v>
      </c>
      <c r="L322" s="24" t="s">
        <v>78</v>
      </c>
      <c r="M322" s="26">
        <v>1</v>
      </c>
      <c r="N322" s="25">
        <v>25</v>
      </c>
      <c r="O322" s="27">
        <v>50</v>
      </c>
      <c r="P322" s="22" t="s">
        <v>3831</v>
      </c>
    </row>
    <row r="323" spans="1:16" s="22" customFormat="1" ht="15" customHeight="1" x14ac:dyDescent="0.2">
      <c r="A323" s="22" t="s">
        <v>3774</v>
      </c>
      <c r="B323" s="22">
        <v>8307933</v>
      </c>
      <c r="C323" s="23">
        <v>3</v>
      </c>
      <c r="D323" s="23">
        <v>921644115</v>
      </c>
      <c r="E323" s="23">
        <v>921644115</v>
      </c>
      <c r="F323" s="24" t="s">
        <v>322</v>
      </c>
      <c r="G323" s="23">
        <v>0</v>
      </c>
      <c r="H323" s="23">
        <v>20250301</v>
      </c>
      <c r="I323" s="23" t="str">
        <f>TEXT(DATE(LEFT(H323,4), MID(H323,5,2), RIGHT(H323,2)), "M/d/yyyy")</f>
        <v>3/1/2025</v>
      </c>
      <c r="J323" s="25">
        <v>20230201</v>
      </c>
      <c r="K323" s="23" t="str">
        <f>TEXT(DATE(LEFT(J323,4), MID(J323,5,2), RIGHT(J323,2)), "M/d/yyyy")</f>
        <v>2/1/2023</v>
      </c>
      <c r="L323" s="24" t="s">
        <v>78</v>
      </c>
      <c r="M323" s="26">
        <v>1</v>
      </c>
      <c r="N323" s="25">
        <v>20</v>
      </c>
      <c r="O323" s="27">
        <v>60</v>
      </c>
      <c r="P323" s="22" t="s">
        <v>3831</v>
      </c>
    </row>
    <row r="324" spans="1:16" s="22" customFormat="1" ht="15" customHeight="1" x14ac:dyDescent="0.2">
      <c r="A324" s="22" t="s">
        <v>3774</v>
      </c>
      <c r="B324" s="22">
        <v>8307933</v>
      </c>
      <c r="C324" s="23">
        <v>3</v>
      </c>
      <c r="D324" s="23">
        <v>921746727</v>
      </c>
      <c r="E324" s="23">
        <v>921746727</v>
      </c>
      <c r="F324" s="24" t="s">
        <v>383</v>
      </c>
      <c r="G324" s="23">
        <v>0</v>
      </c>
      <c r="H324" s="23">
        <v>20250301</v>
      </c>
      <c r="I324" s="23" t="str">
        <f>TEXT(DATE(LEFT(H324,4), MID(H324,5,2), RIGHT(H324,2)), "M/d/yyyy")</f>
        <v>3/1/2025</v>
      </c>
      <c r="J324" s="25">
        <v>20250101</v>
      </c>
      <c r="K324" s="23" t="str">
        <f>TEXT(DATE(LEFT(J324,4), MID(J324,5,2), RIGHT(J324,2)), "M/d/yyyy")</f>
        <v>1/1/2025</v>
      </c>
      <c r="L324" s="24" t="s">
        <v>78</v>
      </c>
      <c r="M324" s="26">
        <v>1</v>
      </c>
      <c r="N324" s="25">
        <v>25</v>
      </c>
      <c r="O324" s="27">
        <v>75</v>
      </c>
      <c r="P324" s="22" t="s">
        <v>3831</v>
      </c>
    </row>
    <row r="325" spans="1:16" s="22" customFormat="1" ht="15" customHeight="1" x14ac:dyDescent="0.2">
      <c r="A325" s="22" t="s">
        <v>3796</v>
      </c>
      <c r="B325" s="22">
        <v>16865615</v>
      </c>
      <c r="C325" s="23">
        <v>1</v>
      </c>
      <c r="D325" s="23">
        <v>921449290</v>
      </c>
      <c r="E325" s="23">
        <v>921449290</v>
      </c>
      <c r="F325" s="24" t="s">
        <v>2856</v>
      </c>
      <c r="G325" s="23">
        <v>0</v>
      </c>
      <c r="H325" s="23">
        <v>20250301</v>
      </c>
      <c r="I325" s="23" t="str">
        <f>TEXT(DATE(LEFT(H325,4), MID(H325,5,2), RIGHT(H325,2)), "M/d/yyyy")</f>
        <v>3/1/2025</v>
      </c>
      <c r="J325" s="25">
        <v>20190101</v>
      </c>
      <c r="K325" s="23" t="str">
        <f>TEXT(DATE(LEFT(J325,4), MID(J325,5,2), RIGHT(J325,2)), "M/d/yyyy")</f>
        <v>1/1/2019</v>
      </c>
      <c r="L325" s="24" t="s">
        <v>78</v>
      </c>
      <c r="M325" s="26">
        <v>1</v>
      </c>
      <c r="N325" s="25">
        <v>20</v>
      </c>
      <c r="O325" s="27">
        <v>20</v>
      </c>
      <c r="P325" s="22" t="s">
        <v>3831</v>
      </c>
    </row>
    <row r="326" spans="1:16" s="22" customFormat="1" ht="15" customHeight="1" x14ac:dyDescent="0.2">
      <c r="A326" s="22" t="s">
        <v>3796</v>
      </c>
      <c r="B326" s="22">
        <v>16865615</v>
      </c>
      <c r="C326" s="23">
        <v>1</v>
      </c>
      <c r="D326" s="23">
        <v>921585426</v>
      </c>
      <c r="E326" s="23">
        <v>921585426</v>
      </c>
      <c r="F326" s="24" t="s">
        <v>2858</v>
      </c>
      <c r="G326" s="23">
        <v>0</v>
      </c>
      <c r="H326" s="23">
        <v>20250301</v>
      </c>
      <c r="I326" s="23" t="str">
        <f>TEXT(DATE(LEFT(H326,4), MID(H326,5,2), RIGHT(H326,2)), "M/d/yyyy")</f>
        <v>3/1/2025</v>
      </c>
      <c r="J326" s="25">
        <v>20211001</v>
      </c>
      <c r="K326" s="23" t="str">
        <f>TEXT(DATE(LEFT(J326,4), MID(J326,5,2), RIGHT(J326,2)), "M/d/yyyy")</f>
        <v>10/1/2021</v>
      </c>
      <c r="L326" s="24" t="s">
        <v>78</v>
      </c>
      <c r="M326" s="26">
        <v>1</v>
      </c>
      <c r="N326" s="25">
        <v>20</v>
      </c>
      <c r="O326" s="27">
        <v>20</v>
      </c>
      <c r="P326" s="22" t="s">
        <v>3831</v>
      </c>
    </row>
    <row r="327" spans="1:16" s="22" customFormat="1" ht="15" customHeight="1" x14ac:dyDescent="0.2">
      <c r="A327" s="22" t="s">
        <v>3796</v>
      </c>
      <c r="B327" s="22">
        <v>16865615</v>
      </c>
      <c r="C327" s="23">
        <v>1</v>
      </c>
      <c r="D327" s="23">
        <v>921585426</v>
      </c>
      <c r="E327" s="23">
        <v>921585426</v>
      </c>
      <c r="F327" s="24" t="s">
        <v>2858</v>
      </c>
      <c r="G327" s="23">
        <v>0</v>
      </c>
      <c r="H327" s="23">
        <v>20250201</v>
      </c>
      <c r="I327" s="23" t="str">
        <f>TEXT(DATE(LEFT(H327,4), MID(H327,5,2), RIGHT(H327,2)), "M/d/yyyy")</f>
        <v>2/1/2025</v>
      </c>
      <c r="J327" s="25">
        <v>20211001</v>
      </c>
      <c r="K327" s="23" t="str">
        <f>TEXT(DATE(LEFT(J327,4), MID(J327,5,2), RIGHT(J327,2)), "M/d/yyyy")</f>
        <v>10/1/2021</v>
      </c>
      <c r="L327" s="24" t="s">
        <v>78</v>
      </c>
      <c r="M327" s="26">
        <v>1</v>
      </c>
      <c r="N327" s="25">
        <v>20</v>
      </c>
      <c r="O327" s="27">
        <v>20</v>
      </c>
      <c r="P327" s="22" t="s">
        <v>3831</v>
      </c>
    </row>
    <row r="328" spans="1:16" s="22" customFormat="1" ht="15" customHeight="1" x14ac:dyDescent="0.2">
      <c r="A328" s="22" t="s">
        <v>3788</v>
      </c>
      <c r="B328" s="22">
        <v>18754354</v>
      </c>
      <c r="C328" s="23">
        <v>1</v>
      </c>
      <c r="D328" s="23">
        <v>890366239</v>
      </c>
      <c r="E328" s="23">
        <v>890366239</v>
      </c>
      <c r="F328" s="24" t="s">
        <v>2168</v>
      </c>
      <c r="G328" s="23">
        <v>0</v>
      </c>
      <c r="H328" s="23">
        <v>20250301</v>
      </c>
      <c r="I328" s="23" t="str">
        <f>TEXT(DATE(LEFT(H328,4), MID(H328,5,2), RIGHT(H328,2)), "M/d/yyyy")</f>
        <v>3/1/2025</v>
      </c>
      <c r="J328" s="25">
        <v>20170201</v>
      </c>
      <c r="K328" s="23" t="str">
        <f>TEXT(DATE(LEFT(J328,4), MID(J328,5,2), RIGHT(J328,2)), "M/d/yyyy")</f>
        <v>2/1/2017</v>
      </c>
      <c r="L328" s="24" t="s">
        <v>78</v>
      </c>
      <c r="M328" s="26">
        <v>1</v>
      </c>
      <c r="N328" s="25">
        <v>20</v>
      </c>
      <c r="O328" s="27">
        <v>20</v>
      </c>
      <c r="P328" s="22" t="s">
        <v>3831</v>
      </c>
    </row>
    <row r="329" spans="1:16" s="22" customFormat="1" ht="15" customHeight="1" x14ac:dyDescent="0.2">
      <c r="A329" s="22" t="s">
        <v>3788</v>
      </c>
      <c r="B329" s="22">
        <v>18754354</v>
      </c>
      <c r="C329" s="23">
        <v>1</v>
      </c>
      <c r="D329" s="23">
        <v>920935083</v>
      </c>
      <c r="E329" s="23">
        <v>920935083</v>
      </c>
      <c r="F329" s="24" t="s">
        <v>2185</v>
      </c>
      <c r="G329" s="23">
        <v>0</v>
      </c>
      <c r="H329" s="23">
        <v>20250301</v>
      </c>
      <c r="I329" s="23" t="str">
        <f>TEXT(DATE(LEFT(H329,4), MID(H329,5,2), RIGHT(H329,2)), "M/d/yyyy")</f>
        <v>3/1/2025</v>
      </c>
      <c r="J329" s="25">
        <v>20211001</v>
      </c>
      <c r="K329" s="23" t="str">
        <f>TEXT(DATE(LEFT(J329,4), MID(J329,5,2), RIGHT(J329,2)), "M/d/yyyy")</f>
        <v>10/1/2021</v>
      </c>
      <c r="L329" s="24" t="s">
        <v>78</v>
      </c>
      <c r="M329" s="26">
        <v>1</v>
      </c>
      <c r="N329" s="25">
        <v>20</v>
      </c>
      <c r="O329" s="27">
        <v>20</v>
      </c>
      <c r="P329" s="22" t="s">
        <v>3831</v>
      </c>
    </row>
    <row r="330" spans="1:16" s="22" customFormat="1" ht="15" customHeight="1" x14ac:dyDescent="0.2">
      <c r="A330" s="22" t="s">
        <v>3788</v>
      </c>
      <c r="B330" s="22">
        <v>18754354</v>
      </c>
      <c r="C330" s="23">
        <v>1</v>
      </c>
      <c r="D330" s="23">
        <v>921265079</v>
      </c>
      <c r="E330" s="23">
        <v>921265079</v>
      </c>
      <c r="F330" s="24" t="s">
        <v>2193</v>
      </c>
      <c r="G330" s="23">
        <v>0</v>
      </c>
      <c r="H330" s="23">
        <v>20250301</v>
      </c>
      <c r="I330" s="23" t="str">
        <f>TEXT(DATE(LEFT(H330,4), MID(H330,5,2), RIGHT(H330,2)), "M/d/yyyy")</f>
        <v>3/1/2025</v>
      </c>
      <c r="J330" s="25">
        <v>20170901</v>
      </c>
      <c r="K330" s="23" t="str">
        <f>TEXT(DATE(LEFT(J330,4), MID(J330,5,2), RIGHT(J330,2)), "M/d/yyyy")</f>
        <v>9/1/2017</v>
      </c>
      <c r="L330" s="24" t="s">
        <v>78</v>
      </c>
      <c r="M330" s="26">
        <v>1</v>
      </c>
      <c r="N330" s="25">
        <v>20</v>
      </c>
      <c r="O330" s="27">
        <v>20</v>
      </c>
      <c r="P330" s="22" t="s">
        <v>3831</v>
      </c>
    </row>
    <row r="331" spans="1:16" s="22" customFormat="1" ht="15" customHeight="1" x14ac:dyDescent="0.2">
      <c r="A331" s="22" t="s">
        <v>3788</v>
      </c>
      <c r="B331" s="22">
        <v>18754354</v>
      </c>
      <c r="C331" s="23">
        <v>1</v>
      </c>
      <c r="D331" s="23">
        <v>921491021</v>
      </c>
      <c r="E331" s="23">
        <v>921491021</v>
      </c>
      <c r="F331" s="24" t="s">
        <v>2217</v>
      </c>
      <c r="G331" s="23">
        <v>0</v>
      </c>
      <c r="H331" s="23">
        <v>20250301</v>
      </c>
      <c r="I331" s="23" t="str">
        <f>TEXT(DATE(LEFT(H331,4), MID(H331,5,2), RIGHT(H331,2)), "M/d/yyyy")</f>
        <v>3/1/2025</v>
      </c>
      <c r="J331" s="25">
        <v>20200101</v>
      </c>
      <c r="K331" s="23" t="str">
        <f>TEXT(DATE(LEFT(J331,4), MID(J331,5,2), RIGHT(J331,2)), "M/d/yyyy")</f>
        <v>1/1/2020</v>
      </c>
      <c r="L331" s="24" t="s">
        <v>78</v>
      </c>
      <c r="M331" s="26">
        <v>1</v>
      </c>
      <c r="N331" s="25">
        <v>20</v>
      </c>
      <c r="O331" s="27">
        <v>20</v>
      </c>
      <c r="P331" s="22" t="s">
        <v>3831</v>
      </c>
    </row>
    <row r="332" spans="1:16" s="22" customFormat="1" ht="15" customHeight="1" x14ac:dyDescent="0.2">
      <c r="A332" s="22" t="s">
        <v>3788</v>
      </c>
      <c r="B332" s="22">
        <v>18754354</v>
      </c>
      <c r="C332" s="23">
        <v>1</v>
      </c>
      <c r="D332" s="23">
        <v>921541916</v>
      </c>
      <c r="E332" s="23">
        <v>921541916</v>
      </c>
      <c r="F332" s="24" t="s">
        <v>2227</v>
      </c>
      <c r="G332" s="23">
        <v>0</v>
      </c>
      <c r="H332" s="23">
        <v>20250301</v>
      </c>
      <c r="I332" s="23" t="str">
        <f>TEXT(DATE(LEFT(H332,4), MID(H332,5,2), RIGHT(H332,2)), "M/d/yyyy")</f>
        <v>3/1/2025</v>
      </c>
      <c r="J332" s="25">
        <v>20210101</v>
      </c>
      <c r="K332" s="23" t="str">
        <f>TEXT(DATE(LEFT(J332,4), MID(J332,5,2), RIGHT(J332,2)), "M/d/yyyy")</f>
        <v>1/1/2021</v>
      </c>
      <c r="L332" s="24" t="s">
        <v>78</v>
      </c>
      <c r="M332" s="26">
        <v>1</v>
      </c>
      <c r="N332" s="25">
        <v>20</v>
      </c>
      <c r="O332" s="27">
        <v>20</v>
      </c>
      <c r="P332" s="22" t="s">
        <v>3831</v>
      </c>
    </row>
    <row r="333" spans="1:16" s="22" customFormat="1" ht="15" customHeight="1" x14ac:dyDescent="0.2">
      <c r="A333" s="22" t="s">
        <v>3788</v>
      </c>
      <c r="B333" s="22">
        <v>18754354</v>
      </c>
      <c r="C333" s="23">
        <v>1</v>
      </c>
      <c r="D333" s="23">
        <v>921547422</v>
      </c>
      <c r="E333" s="23">
        <v>921547422</v>
      </c>
      <c r="F333" s="24" t="s">
        <v>2231</v>
      </c>
      <c r="G333" s="23">
        <v>0</v>
      </c>
      <c r="H333" s="23">
        <v>20250301</v>
      </c>
      <c r="I333" s="23" t="str">
        <f>TEXT(DATE(LEFT(H333,4), MID(H333,5,2), RIGHT(H333,2)), "M/d/yyyy")</f>
        <v>3/1/2025</v>
      </c>
      <c r="J333" s="25">
        <v>20210101</v>
      </c>
      <c r="K333" s="23" t="str">
        <f>TEXT(DATE(LEFT(J333,4), MID(J333,5,2), RIGHT(J333,2)), "M/d/yyyy")</f>
        <v>1/1/2021</v>
      </c>
      <c r="L333" s="24" t="s">
        <v>78</v>
      </c>
      <c r="M333" s="26">
        <v>1</v>
      </c>
      <c r="N333" s="25">
        <v>20</v>
      </c>
      <c r="O333" s="27">
        <v>20</v>
      </c>
      <c r="P333" s="22" t="s">
        <v>3831</v>
      </c>
    </row>
    <row r="334" spans="1:16" s="22" customFormat="1" ht="15" customHeight="1" x14ac:dyDescent="0.2">
      <c r="A334" s="22" t="s">
        <v>3788</v>
      </c>
      <c r="B334" s="22">
        <v>18754354</v>
      </c>
      <c r="C334" s="23">
        <v>1</v>
      </c>
      <c r="D334" s="23">
        <v>921549026</v>
      </c>
      <c r="E334" s="23">
        <v>921549026</v>
      </c>
      <c r="F334" s="24" t="s">
        <v>2233</v>
      </c>
      <c r="G334" s="23">
        <v>0</v>
      </c>
      <c r="H334" s="23">
        <v>20250301</v>
      </c>
      <c r="I334" s="23" t="str">
        <f>TEXT(DATE(LEFT(H334,4), MID(H334,5,2), RIGHT(H334,2)), "M/d/yyyy")</f>
        <v>3/1/2025</v>
      </c>
      <c r="J334" s="25">
        <v>20210101</v>
      </c>
      <c r="K334" s="23" t="str">
        <f>TEXT(DATE(LEFT(J334,4), MID(J334,5,2), RIGHT(J334,2)), "M/d/yyyy")</f>
        <v>1/1/2021</v>
      </c>
      <c r="L334" s="24" t="s">
        <v>78</v>
      </c>
      <c r="M334" s="26">
        <v>1</v>
      </c>
      <c r="N334" s="25">
        <v>20</v>
      </c>
      <c r="O334" s="27">
        <v>20</v>
      </c>
      <c r="P334" s="22" t="s">
        <v>3831</v>
      </c>
    </row>
    <row r="335" spans="1:16" s="22" customFormat="1" ht="15" customHeight="1" x14ac:dyDescent="0.2">
      <c r="A335" s="22" t="s">
        <v>3788</v>
      </c>
      <c r="B335" s="22">
        <v>18754354</v>
      </c>
      <c r="C335" s="23">
        <v>1</v>
      </c>
      <c r="D335" s="23">
        <v>921619921</v>
      </c>
      <c r="E335" s="23">
        <v>921619921</v>
      </c>
      <c r="F335" s="24" t="s">
        <v>2245</v>
      </c>
      <c r="G335" s="23">
        <v>0</v>
      </c>
      <c r="H335" s="23">
        <v>20250301</v>
      </c>
      <c r="I335" s="23" t="str">
        <f>TEXT(DATE(LEFT(H335,4), MID(H335,5,2), RIGHT(H335,2)), "M/d/yyyy")</f>
        <v>3/1/2025</v>
      </c>
      <c r="J335" s="25">
        <v>20220901</v>
      </c>
      <c r="K335" s="23" t="str">
        <f>TEXT(DATE(LEFT(J335,4), MID(J335,5,2), RIGHT(J335,2)), "M/d/yyyy")</f>
        <v>9/1/2022</v>
      </c>
      <c r="L335" s="24" t="s">
        <v>78</v>
      </c>
      <c r="M335" s="26">
        <v>1</v>
      </c>
      <c r="N335" s="25">
        <v>20</v>
      </c>
      <c r="O335" s="27">
        <v>20</v>
      </c>
      <c r="P335" s="22" t="s">
        <v>3831</v>
      </c>
    </row>
    <row r="336" spans="1:16" s="22" customFormat="1" ht="15" customHeight="1" x14ac:dyDescent="0.2">
      <c r="A336" s="22" t="s">
        <v>3788</v>
      </c>
      <c r="B336" s="22">
        <v>18754354</v>
      </c>
      <c r="C336" s="23">
        <v>1</v>
      </c>
      <c r="D336" s="23">
        <v>921620919</v>
      </c>
      <c r="E336" s="23">
        <v>921620919</v>
      </c>
      <c r="F336" s="24" t="s">
        <v>2248</v>
      </c>
      <c r="G336" s="23">
        <v>0</v>
      </c>
      <c r="H336" s="23">
        <v>20250301</v>
      </c>
      <c r="I336" s="23" t="str">
        <f>TEXT(DATE(LEFT(H336,4), MID(H336,5,2), RIGHT(H336,2)), "M/d/yyyy")</f>
        <v>3/1/2025</v>
      </c>
      <c r="J336" s="25">
        <v>20220901</v>
      </c>
      <c r="K336" s="23" t="str">
        <f>TEXT(DATE(LEFT(J336,4), MID(J336,5,2), RIGHT(J336,2)), "M/d/yyyy")</f>
        <v>9/1/2022</v>
      </c>
      <c r="L336" s="24" t="s">
        <v>78</v>
      </c>
      <c r="M336" s="26">
        <v>1</v>
      </c>
      <c r="N336" s="25">
        <v>20</v>
      </c>
      <c r="O336" s="27">
        <v>20</v>
      </c>
      <c r="P336" s="22" t="s">
        <v>3831</v>
      </c>
    </row>
    <row r="337" spans="1:16" s="22" customFormat="1" ht="15" customHeight="1" x14ac:dyDescent="0.2">
      <c r="A337" s="22" t="s">
        <v>3788</v>
      </c>
      <c r="B337" s="22">
        <v>18754354</v>
      </c>
      <c r="C337" s="23">
        <v>1</v>
      </c>
      <c r="D337" s="23">
        <v>921654253</v>
      </c>
      <c r="E337" s="23">
        <v>921654253</v>
      </c>
      <c r="F337" s="24" t="s">
        <v>2258</v>
      </c>
      <c r="G337" s="23">
        <v>0</v>
      </c>
      <c r="H337" s="23">
        <v>20250301</v>
      </c>
      <c r="I337" s="23" t="str">
        <f>TEXT(DATE(LEFT(H337,4), MID(H337,5,2), RIGHT(H337,2)), "M/d/yyyy")</f>
        <v>3/1/2025</v>
      </c>
      <c r="J337" s="25">
        <v>20230301</v>
      </c>
      <c r="K337" s="23" t="str">
        <f>TEXT(DATE(LEFT(J337,4), MID(J337,5,2), RIGHT(J337,2)), "M/d/yyyy")</f>
        <v>3/1/2023</v>
      </c>
      <c r="L337" s="24" t="s">
        <v>78</v>
      </c>
      <c r="M337" s="26">
        <v>1</v>
      </c>
      <c r="N337" s="25">
        <v>20</v>
      </c>
      <c r="O337" s="27">
        <v>20</v>
      </c>
      <c r="P337" s="22" t="s">
        <v>3831</v>
      </c>
    </row>
    <row r="338" spans="1:16" s="22" customFormat="1" ht="15" customHeight="1" x14ac:dyDescent="0.2">
      <c r="A338" s="22" t="s">
        <v>3788</v>
      </c>
      <c r="B338" s="22">
        <v>18754354</v>
      </c>
      <c r="C338" s="23">
        <v>1</v>
      </c>
      <c r="D338" s="23">
        <v>921667756</v>
      </c>
      <c r="E338" s="23">
        <v>921667756</v>
      </c>
      <c r="F338" s="24" t="s">
        <v>2262</v>
      </c>
      <c r="G338" s="23">
        <v>0</v>
      </c>
      <c r="H338" s="23">
        <v>20250301</v>
      </c>
      <c r="I338" s="23" t="str">
        <f>TEXT(DATE(LEFT(H338,4), MID(H338,5,2), RIGHT(H338,2)), "M/d/yyyy")</f>
        <v>3/1/2025</v>
      </c>
      <c r="J338" s="25">
        <v>20230901</v>
      </c>
      <c r="K338" s="23" t="str">
        <f>TEXT(DATE(LEFT(J338,4), MID(J338,5,2), RIGHT(J338,2)), "M/d/yyyy")</f>
        <v>9/1/2023</v>
      </c>
      <c r="L338" s="24" t="s">
        <v>78</v>
      </c>
      <c r="M338" s="26">
        <v>1</v>
      </c>
      <c r="N338" s="25">
        <v>20</v>
      </c>
      <c r="O338" s="27">
        <v>20</v>
      </c>
      <c r="P338" s="22" t="s">
        <v>3831</v>
      </c>
    </row>
    <row r="339" spans="1:16" s="22" customFormat="1" ht="15" customHeight="1" x14ac:dyDescent="0.2">
      <c r="A339" s="22" t="s">
        <v>3788</v>
      </c>
      <c r="B339" s="22">
        <v>18754354</v>
      </c>
      <c r="C339" s="23">
        <v>1</v>
      </c>
      <c r="D339" s="23">
        <v>921667820</v>
      </c>
      <c r="E339" s="23">
        <v>921667820</v>
      </c>
      <c r="F339" s="24" t="s">
        <v>2264</v>
      </c>
      <c r="G339" s="23">
        <v>0</v>
      </c>
      <c r="H339" s="23">
        <v>20250301</v>
      </c>
      <c r="I339" s="23" t="str">
        <f>TEXT(DATE(LEFT(H339,4), MID(H339,5,2), RIGHT(H339,2)), "M/d/yyyy")</f>
        <v>3/1/2025</v>
      </c>
      <c r="J339" s="25">
        <v>20230901</v>
      </c>
      <c r="K339" s="23" t="str">
        <f>TEXT(DATE(LEFT(J339,4), MID(J339,5,2), RIGHT(J339,2)), "M/d/yyyy")</f>
        <v>9/1/2023</v>
      </c>
      <c r="L339" s="24" t="s">
        <v>78</v>
      </c>
      <c r="M339" s="26">
        <v>1</v>
      </c>
      <c r="N339" s="25">
        <v>20</v>
      </c>
      <c r="O339" s="27">
        <v>20</v>
      </c>
      <c r="P339" s="22" t="s">
        <v>3831</v>
      </c>
    </row>
    <row r="340" spans="1:16" s="22" customFormat="1" ht="15" customHeight="1" x14ac:dyDescent="0.2">
      <c r="A340" s="22" t="s">
        <v>3788</v>
      </c>
      <c r="B340" s="22">
        <v>18754354</v>
      </c>
      <c r="C340" s="23">
        <v>1</v>
      </c>
      <c r="D340" s="23">
        <v>921672394</v>
      </c>
      <c r="E340" s="23">
        <v>921672394</v>
      </c>
      <c r="F340" s="24" t="s">
        <v>2266</v>
      </c>
      <c r="G340" s="23">
        <v>0</v>
      </c>
      <c r="H340" s="23">
        <v>20250301</v>
      </c>
      <c r="I340" s="23" t="str">
        <f>TEXT(DATE(LEFT(H340,4), MID(H340,5,2), RIGHT(H340,2)), "M/d/yyyy")</f>
        <v>3/1/2025</v>
      </c>
      <c r="J340" s="25">
        <v>20231001</v>
      </c>
      <c r="K340" s="23" t="str">
        <f>TEXT(DATE(LEFT(J340,4), MID(J340,5,2), RIGHT(J340,2)), "M/d/yyyy")</f>
        <v>10/1/2023</v>
      </c>
      <c r="L340" s="24" t="s">
        <v>78</v>
      </c>
      <c r="M340" s="26">
        <v>1</v>
      </c>
      <c r="N340" s="25">
        <v>20</v>
      </c>
      <c r="O340" s="27">
        <v>20</v>
      </c>
      <c r="P340" s="22" t="s">
        <v>3831</v>
      </c>
    </row>
    <row r="341" spans="1:16" s="22" customFormat="1" ht="15" customHeight="1" x14ac:dyDescent="0.2">
      <c r="A341" s="22" t="s">
        <v>3788</v>
      </c>
      <c r="B341" s="22">
        <v>18754354</v>
      </c>
      <c r="C341" s="23">
        <v>1</v>
      </c>
      <c r="D341" s="23">
        <v>921687840</v>
      </c>
      <c r="E341" s="23">
        <v>921687840</v>
      </c>
      <c r="F341" s="24" t="s">
        <v>2270</v>
      </c>
      <c r="G341" s="23">
        <v>0</v>
      </c>
      <c r="H341" s="23">
        <v>20250301</v>
      </c>
      <c r="I341" s="23" t="str">
        <f>TEXT(DATE(LEFT(H341,4), MID(H341,5,2), RIGHT(H341,2)), "M/d/yyyy")</f>
        <v>3/1/2025</v>
      </c>
      <c r="J341" s="25">
        <v>20240101</v>
      </c>
      <c r="K341" s="23" t="str">
        <f>TEXT(DATE(LEFT(J341,4), MID(J341,5,2), RIGHT(J341,2)), "M/d/yyyy")</f>
        <v>1/1/2024</v>
      </c>
      <c r="L341" s="24" t="s">
        <v>78</v>
      </c>
      <c r="M341" s="26">
        <v>1</v>
      </c>
      <c r="N341" s="25">
        <v>20</v>
      </c>
      <c r="O341" s="27">
        <v>20</v>
      </c>
      <c r="P341" s="22" t="s">
        <v>3831</v>
      </c>
    </row>
    <row r="342" spans="1:16" s="22" customFormat="1" ht="15" customHeight="1" x14ac:dyDescent="0.2">
      <c r="A342" s="22" t="s">
        <v>3788</v>
      </c>
      <c r="B342" s="22">
        <v>18754354</v>
      </c>
      <c r="C342" s="23">
        <v>1</v>
      </c>
      <c r="D342" s="23">
        <v>921708094</v>
      </c>
      <c r="E342" s="23">
        <v>921708094</v>
      </c>
      <c r="F342" s="24" t="s">
        <v>2276</v>
      </c>
      <c r="G342" s="23">
        <v>0</v>
      </c>
      <c r="H342" s="23">
        <v>20250301</v>
      </c>
      <c r="I342" s="23" t="str">
        <f>TEXT(DATE(LEFT(H342,4), MID(H342,5,2), RIGHT(H342,2)), "M/d/yyyy")</f>
        <v>3/1/2025</v>
      </c>
      <c r="J342" s="25">
        <v>20240201</v>
      </c>
      <c r="K342" s="23" t="str">
        <f>TEXT(DATE(LEFT(J342,4), MID(J342,5,2), RIGHT(J342,2)), "M/d/yyyy")</f>
        <v>2/1/2024</v>
      </c>
      <c r="L342" s="24" t="s">
        <v>78</v>
      </c>
      <c r="M342" s="26">
        <v>1</v>
      </c>
      <c r="N342" s="25">
        <v>20</v>
      </c>
      <c r="O342" s="27">
        <v>20</v>
      </c>
      <c r="P342" s="22" t="s">
        <v>3831</v>
      </c>
    </row>
    <row r="343" spans="1:16" s="22" customFormat="1" ht="15" customHeight="1" x14ac:dyDescent="0.2">
      <c r="A343" s="22" t="s">
        <v>3788</v>
      </c>
      <c r="B343" s="22">
        <v>18754354</v>
      </c>
      <c r="C343" s="23">
        <v>1</v>
      </c>
      <c r="D343" s="23">
        <v>890652589</v>
      </c>
      <c r="E343" s="23">
        <v>890652589</v>
      </c>
      <c r="F343" s="24" t="s">
        <v>2172</v>
      </c>
      <c r="G343" s="23">
        <v>0</v>
      </c>
      <c r="H343" s="23">
        <v>20250301</v>
      </c>
      <c r="I343" s="23" t="str">
        <f>TEXT(DATE(LEFT(H343,4), MID(H343,5,2), RIGHT(H343,2)), "M/d/yyyy")</f>
        <v>3/1/2025</v>
      </c>
      <c r="J343" s="25">
        <v>20250101</v>
      </c>
      <c r="K343" s="23" t="str">
        <f>TEXT(DATE(LEFT(J343,4), MID(J343,5,2), RIGHT(J343,2)), "M/d/yyyy")</f>
        <v>1/1/2025</v>
      </c>
      <c r="L343" s="24" t="s">
        <v>78</v>
      </c>
      <c r="M343" s="26">
        <v>1</v>
      </c>
      <c r="N343" s="25">
        <v>25</v>
      </c>
      <c r="O343" s="27">
        <v>25</v>
      </c>
      <c r="P343" s="22" t="s">
        <v>3831</v>
      </c>
    </row>
    <row r="344" spans="1:16" s="22" customFormat="1" ht="15" customHeight="1" x14ac:dyDescent="0.2">
      <c r="A344" s="22" t="s">
        <v>3788</v>
      </c>
      <c r="B344" s="22">
        <v>18754354</v>
      </c>
      <c r="C344" s="23">
        <v>1</v>
      </c>
      <c r="D344" s="23">
        <v>920733925</v>
      </c>
      <c r="E344" s="23">
        <v>920733925</v>
      </c>
      <c r="F344" s="24" t="s">
        <v>2174</v>
      </c>
      <c r="G344" s="23">
        <v>0</v>
      </c>
      <c r="H344" s="23">
        <v>20250301</v>
      </c>
      <c r="I344" s="23" t="str">
        <f>TEXT(DATE(LEFT(H344,4), MID(H344,5,2), RIGHT(H344,2)), "M/d/yyyy")</f>
        <v>3/1/2025</v>
      </c>
      <c r="J344" s="25">
        <v>20250101</v>
      </c>
      <c r="K344" s="23" t="str">
        <f>TEXT(DATE(LEFT(J344,4), MID(J344,5,2), RIGHT(J344,2)), "M/d/yyyy")</f>
        <v>1/1/2025</v>
      </c>
      <c r="L344" s="24" t="s">
        <v>78</v>
      </c>
      <c r="M344" s="26">
        <v>1</v>
      </c>
      <c r="N344" s="25">
        <v>25</v>
      </c>
      <c r="O344" s="27">
        <v>25</v>
      </c>
      <c r="P344" s="22" t="s">
        <v>3831</v>
      </c>
    </row>
    <row r="345" spans="1:16" s="22" customFormat="1" ht="15" customHeight="1" x14ac:dyDescent="0.2">
      <c r="A345" s="22" t="s">
        <v>3788</v>
      </c>
      <c r="B345" s="22">
        <v>18754354</v>
      </c>
      <c r="C345" s="23">
        <v>1</v>
      </c>
      <c r="D345" s="23">
        <v>920859491</v>
      </c>
      <c r="E345" s="23">
        <v>920859491</v>
      </c>
      <c r="F345" s="24" t="s">
        <v>2181</v>
      </c>
      <c r="G345" s="23">
        <v>0</v>
      </c>
      <c r="H345" s="23">
        <v>20250301</v>
      </c>
      <c r="I345" s="23" t="str">
        <f>TEXT(DATE(LEFT(H345,4), MID(H345,5,2), RIGHT(H345,2)), "M/d/yyyy")</f>
        <v>3/1/2025</v>
      </c>
      <c r="J345" s="25">
        <v>20250101</v>
      </c>
      <c r="K345" s="23" t="str">
        <f>TEXT(DATE(LEFT(J345,4), MID(J345,5,2), RIGHT(J345,2)), "M/d/yyyy")</f>
        <v>1/1/2025</v>
      </c>
      <c r="L345" s="24" t="s">
        <v>78</v>
      </c>
      <c r="M345" s="26">
        <v>1</v>
      </c>
      <c r="N345" s="25">
        <v>25</v>
      </c>
      <c r="O345" s="27">
        <v>25</v>
      </c>
      <c r="P345" s="22" t="s">
        <v>3831</v>
      </c>
    </row>
    <row r="346" spans="1:16" s="22" customFormat="1" ht="15" customHeight="1" x14ac:dyDescent="0.2">
      <c r="A346" s="22" t="s">
        <v>3788</v>
      </c>
      <c r="B346" s="22">
        <v>18754354</v>
      </c>
      <c r="C346" s="23">
        <v>1</v>
      </c>
      <c r="D346" s="23">
        <v>921715823</v>
      </c>
      <c r="E346" s="23">
        <v>921715823</v>
      </c>
      <c r="F346" s="24" t="s">
        <v>2284</v>
      </c>
      <c r="G346" s="23">
        <v>0</v>
      </c>
      <c r="H346" s="23">
        <v>20250301</v>
      </c>
      <c r="I346" s="23" t="str">
        <f>TEXT(DATE(LEFT(H346,4), MID(H346,5,2), RIGHT(H346,2)), "M/d/yyyy")</f>
        <v>3/1/2025</v>
      </c>
      <c r="J346" s="25">
        <v>20240401</v>
      </c>
      <c r="K346" s="23" t="str">
        <f>TEXT(DATE(LEFT(J346,4), MID(J346,5,2), RIGHT(J346,2)), "M/d/yyyy")</f>
        <v>4/1/2024</v>
      </c>
      <c r="L346" s="24" t="s">
        <v>78</v>
      </c>
      <c r="M346" s="26">
        <v>1</v>
      </c>
      <c r="N346" s="25">
        <v>25</v>
      </c>
      <c r="O346" s="27">
        <v>25</v>
      </c>
      <c r="P346" s="22" t="s">
        <v>3831</v>
      </c>
    </row>
    <row r="347" spans="1:16" s="22" customFormat="1" ht="15" customHeight="1" x14ac:dyDescent="0.2">
      <c r="A347" s="22" t="s">
        <v>3788</v>
      </c>
      <c r="B347" s="22">
        <v>18754354</v>
      </c>
      <c r="C347" s="23">
        <v>1</v>
      </c>
      <c r="D347" s="23">
        <v>921737301</v>
      </c>
      <c r="E347" s="23">
        <v>921737301</v>
      </c>
      <c r="F347" s="24" t="s">
        <v>2292</v>
      </c>
      <c r="G347" s="23">
        <v>0</v>
      </c>
      <c r="H347" s="23">
        <v>20250301</v>
      </c>
      <c r="I347" s="23" t="str">
        <f>TEXT(DATE(LEFT(H347,4), MID(H347,5,2), RIGHT(H347,2)), "M/d/yyyy")</f>
        <v>3/1/2025</v>
      </c>
      <c r="J347" s="25">
        <v>20240901</v>
      </c>
      <c r="K347" s="23" t="str">
        <f>TEXT(DATE(LEFT(J347,4), MID(J347,5,2), RIGHT(J347,2)), "M/d/yyyy")</f>
        <v>9/1/2024</v>
      </c>
      <c r="L347" s="24" t="s">
        <v>78</v>
      </c>
      <c r="M347" s="26">
        <v>1</v>
      </c>
      <c r="N347" s="25">
        <v>25</v>
      </c>
      <c r="O347" s="27">
        <v>25</v>
      </c>
      <c r="P347" s="22" t="s">
        <v>3831</v>
      </c>
    </row>
    <row r="348" spans="1:16" s="22" customFormat="1" ht="15" customHeight="1" x14ac:dyDescent="0.2">
      <c r="A348" s="22" t="s">
        <v>3788</v>
      </c>
      <c r="B348" s="22">
        <v>18754354</v>
      </c>
      <c r="C348" s="23">
        <v>1</v>
      </c>
      <c r="D348" s="23">
        <v>921742098</v>
      </c>
      <c r="E348" s="23">
        <v>921742098</v>
      </c>
      <c r="F348" s="24" t="s">
        <v>2294</v>
      </c>
      <c r="G348" s="23">
        <v>0</v>
      </c>
      <c r="H348" s="23">
        <v>20250301</v>
      </c>
      <c r="I348" s="23" t="str">
        <f>TEXT(DATE(LEFT(H348,4), MID(H348,5,2), RIGHT(H348,2)), "M/d/yyyy")</f>
        <v>3/1/2025</v>
      </c>
      <c r="J348" s="25">
        <v>20241101</v>
      </c>
      <c r="K348" s="23" t="str">
        <f>TEXT(DATE(LEFT(J348,4), MID(J348,5,2), RIGHT(J348,2)), "M/d/yyyy")</f>
        <v>11/1/2024</v>
      </c>
      <c r="L348" s="24" t="s">
        <v>78</v>
      </c>
      <c r="M348" s="26">
        <v>1</v>
      </c>
      <c r="N348" s="25">
        <v>25</v>
      </c>
      <c r="O348" s="27">
        <v>25</v>
      </c>
      <c r="P348" s="22" t="s">
        <v>3831</v>
      </c>
    </row>
    <row r="349" spans="1:16" s="22" customFormat="1" ht="15" customHeight="1" x14ac:dyDescent="0.2">
      <c r="A349" s="22" t="s">
        <v>3788</v>
      </c>
      <c r="B349" s="22">
        <v>18754354</v>
      </c>
      <c r="C349" s="23">
        <v>1</v>
      </c>
      <c r="D349" s="23">
        <v>921742876</v>
      </c>
      <c r="E349" s="23">
        <v>921742876</v>
      </c>
      <c r="F349" s="24" t="s">
        <v>2296</v>
      </c>
      <c r="G349" s="23">
        <v>0</v>
      </c>
      <c r="H349" s="23">
        <v>20250301</v>
      </c>
      <c r="I349" s="23" t="str">
        <f>TEXT(DATE(LEFT(H349,4), MID(H349,5,2), RIGHT(H349,2)), "M/d/yyyy")</f>
        <v>3/1/2025</v>
      </c>
      <c r="J349" s="25">
        <v>20241101</v>
      </c>
      <c r="K349" s="23" t="str">
        <f>TEXT(DATE(LEFT(J349,4), MID(J349,5,2), RIGHT(J349,2)), "M/d/yyyy")</f>
        <v>11/1/2024</v>
      </c>
      <c r="L349" s="24" t="s">
        <v>78</v>
      </c>
      <c r="M349" s="26">
        <v>1</v>
      </c>
      <c r="N349" s="25">
        <v>25</v>
      </c>
      <c r="O349" s="27">
        <v>25</v>
      </c>
      <c r="P349" s="22" t="s">
        <v>3831</v>
      </c>
    </row>
    <row r="350" spans="1:16" s="22" customFormat="1" ht="15" customHeight="1" x14ac:dyDescent="0.2">
      <c r="A350" s="22" t="s">
        <v>3788</v>
      </c>
      <c r="B350" s="22">
        <v>18754354</v>
      </c>
      <c r="C350" s="23">
        <v>1</v>
      </c>
      <c r="D350" s="23">
        <v>921745594</v>
      </c>
      <c r="E350" s="23">
        <v>921745594</v>
      </c>
      <c r="F350" s="24" t="s">
        <v>2299</v>
      </c>
      <c r="G350" s="23">
        <v>0</v>
      </c>
      <c r="H350" s="23">
        <v>20250301</v>
      </c>
      <c r="I350" s="23" t="str">
        <f>TEXT(DATE(LEFT(H350,4), MID(H350,5,2), RIGHT(H350,2)), "M/d/yyyy")</f>
        <v>3/1/2025</v>
      </c>
      <c r="J350" s="25">
        <v>20250101</v>
      </c>
      <c r="K350" s="23" t="str">
        <f>TEXT(DATE(LEFT(J350,4), MID(J350,5,2), RIGHT(J350,2)), "M/d/yyyy")</f>
        <v>1/1/2025</v>
      </c>
      <c r="L350" s="24" t="s">
        <v>78</v>
      </c>
      <c r="M350" s="26">
        <v>1</v>
      </c>
      <c r="N350" s="25">
        <v>25</v>
      </c>
      <c r="O350" s="27">
        <v>25</v>
      </c>
      <c r="P350" s="22" t="s">
        <v>3831</v>
      </c>
    </row>
    <row r="351" spans="1:16" s="22" customFormat="1" ht="15" customHeight="1" x14ac:dyDescent="0.2">
      <c r="A351" s="22" t="s">
        <v>3788</v>
      </c>
      <c r="B351" s="22">
        <v>18754354</v>
      </c>
      <c r="C351" s="23">
        <v>1</v>
      </c>
      <c r="D351" s="23">
        <v>921755402</v>
      </c>
      <c r="E351" s="23">
        <v>921755402</v>
      </c>
      <c r="F351" s="24" t="s">
        <v>2307</v>
      </c>
      <c r="G351" s="23">
        <v>0</v>
      </c>
      <c r="H351" s="23">
        <v>20250301</v>
      </c>
      <c r="I351" s="23" t="str">
        <f>TEXT(DATE(LEFT(H351,4), MID(H351,5,2), RIGHT(H351,2)), "M/d/yyyy")</f>
        <v>3/1/2025</v>
      </c>
      <c r="J351" s="25">
        <v>20250101</v>
      </c>
      <c r="K351" s="23" t="str">
        <f>TEXT(DATE(LEFT(J351,4), MID(J351,5,2), RIGHT(J351,2)), "M/d/yyyy")</f>
        <v>1/1/2025</v>
      </c>
      <c r="L351" s="24" t="s">
        <v>78</v>
      </c>
      <c r="M351" s="26">
        <v>1</v>
      </c>
      <c r="N351" s="25">
        <v>25</v>
      </c>
      <c r="O351" s="27">
        <v>25</v>
      </c>
      <c r="P351" s="22" t="s">
        <v>3831</v>
      </c>
    </row>
    <row r="352" spans="1:16" s="22" customFormat="1" ht="15" customHeight="1" x14ac:dyDescent="0.2">
      <c r="A352" s="22" t="s">
        <v>3788</v>
      </c>
      <c r="B352" s="22">
        <v>18754354</v>
      </c>
      <c r="C352" s="23">
        <v>1</v>
      </c>
      <c r="D352" s="23">
        <v>921763019</v>
      </c>
      <c r="E352" s="23">
        <v>921763019</v>
      </c>
      <c r="F352" s="24" t="s">
        <v>2313</v>
      </c>
      <c r="G352" s="23">
        <v>0</v>
      </c>
      <c r="H352" s="23">
        <v>20250301</v>
      </c>
      <c r="I352" s="23" t="str">
        <f>TEXT(DATE(LEFT(H352,4), MID(H352,5,2), RIGHT(H352,2)), "M/d/yyyy")</f>
        <v>3/1/2025</v>
      </c>
      <c r="J352" s="25">
        <v>20250101</v>
      </c>
      <c r="K352" s="23" t="str">
        <f>TEXT(DATE(LEFT(J352,4), MID(J352,5,2), RIGHT(J352,2)), "M/d/yyyy")</f>
        <v>1/1/2025</v>
      </c>
      <c r="L352" s="24" t="s">
        <v>78</v>
      </c>
      <c r="M352" s="26">
        <v>1</v>
      </c>
      <c r="N352" s="25">
        <v>25</v>
      </c>
      <c r="O352" s="27">
        <v>25</v>
      </c>
      <c r="P352" s="22" t="s">
        <v>3831</v>
      </c>
    </row>
    <row r="353" spans="1:16" s="22" customFormat="1" ht="15" customHeight="1" x14ac:dyDescent="0.2">
      <c r="A353" s="22" t="s">
        <v>3788</v>
      </c>
      <c r="B353" s="22">
        <v>18754354</v>
      </c>
      <c r="C353" s="23">
        <v>1</v>
      </c>
      <c r="D353" s="23">
        <v>921774029</v>
      </c>
      <c r="E353" s="23">
        <v>921774029</v>
      </c>
      <c r="F353" s="24" t="s">
        <v>2315</v>
      </c>
      <c r="G353" s="23">
        <v>0</v>
      </c>
      <c r="H353" s="23">
        <v>20250301</v>
      </c>
      <c r="I353" s="23" t="str">
        <f>TEXT(DATE(LEFT(H353,4), MID(H353,5,2), RIGHT(H353,2)), "M/d/yyyy")</f>
        <v>3/1/2025</v>
      </c>
      <c r="J353" s="25">
        <v>20250201</v>
      </c>
      <c r="K353" s="23" t="str">
        <f>TEXT(DATE(LEFT(J353,4), MID(J353,5,2), RIGHT(J353,2)), "M/d/yyyy")</f>
        <v>2/1/2025</v>
      </c>
      <c r="L353" s="24" t="s">
        <v>78</v>
      </c>
      <c r="M353" s="26">
        <v>1</v>
      </c>
      <c r="N353" s="25">
        <v>25</v>
      </c>
      <c r="O353" s="27">
        <v>25</v>
      </c>
      <c r="P353" s="22" t="s">
        <v>3831</v>
      </c>
    </row>
    <row r="354" spans="1:16" s="22" customFormat="1" ht="15" customHeight="1" x14ac:dyDescent="0.2">
      <c r="A354" s="22" t="s">
        <v>3788</v>
      </c>
      <c r="B354" s="22">
        <v>18754354</v>
      </c>
      <c r="C354" s="23">
        <v>1</v>
      </c>
      <c r="D354" s="23">
        <v>921774875</v>
      </c>
      <c r="E354" s="23">
        <v>921774875</v>
      </c>
      <c r="F354" s="24" t="s">
        <v>2317</v>
      </c>
      <c r="G354" s="23">
        <v>0</v>
      </c>
      <c r="H354" s="23">
        <v>20250301</v>
      </c>
      <c r="I354" s="23" t="str">
        <f>TEXT(DATE(LEFT(H354,4), MID(H354,5,2), RIGHT(H354,2)), "M/d/yyyy")</f>
        <v>3/1/2025</v>
      </c>
      <c r="J354" s="25">
        <v>20250201</v>
      </c>
      <c r="K354" s="23" t="str">
        <f>TEXT(DATE(LEFT(J354,4), MID(J354,5,2), RIGHT(J354,2)), "M/d/yyyy")</f>
        <v>2/1/2025</v>
      </c>
      <c r="L354" s="24" t="s">
        <v>78</v>
      </c>
      <c r="M354" s="26">
        <v>1</v>
      </c>
      <c r="N354" s="25">
        <v>25</v>
      </c>
      <c r="O354" s="27">
        <v>25</v>
      </c>
      <c r="P354" s="22" t="s">
        <v>3831</v>
      </c>
    </row>
    <row r="355" spans="1:16" s="22" customFormat="1" ht="15" customHeight="1" x14ac:dyDescent="0.2">
      <c r="A355" s="22" t="s">
        <v>3788</v>
      </c>
      <c r="B355" s="22">
        <v>18754354</v>
      </c>
      <c r="C355" s="23">
        <v>2</v>
      </c>
      <c r="D355" s="23">
        <v>921518750</v>
      </c>
      <c r="E355" s="23">
        <v>921518750</v>
      </c>
      <c r="F355" s="24" t="s">
        <v>2223</v>
      </c>
      <c r="G355" s="23">
        <v>0</v>
      </c>
      <c r="H355" s="23">
        <v>20250301</v>
      </c>
      <c r="I355" s="23" t="str">
        <f>TEXT(DATE(LEFT(H355,4), MID(H355,5,2), RIGHT(H355,2)), "M/d/yyyy")</f>
        <v>3/1/2025</v>
      </c>
      <c r="J355" s="25">
        <v>20240201</v>
      </c>
      <c r="K355" s="23" t="str">
        <f>TEXT(DATE(LEFT(J355,4), MID(J355,5,2), RIGHT(J355,2)), "M/d/yyyy")</f>
        <v>2/1/2024</v>
      </c>
      <c r="L355" s="24" t="s">
        <v>78</v>
      </c>
      <c r="M355" s="26">
        <v>1</v>
      </c>
      <c r="N355" s="25">
        <v>20</v>
      </c>
      <c r="O355" s="27">
        <v>40</v>
      </c>
      <c r="P355" s="22" t="s">
        <v>3831</v>
      </c>
    </row>
    <row r="356" spans="1:16" s="22" customFormat="1" ht="15" customHeight="1" x14ac:dyDescent="0.2">
      <c r="A356" s="22" t="s">
        <v>3788</v>
      </c>
      <c r="B356" s="22">
        <v>18754354</v>
      </c>
      <c r="C356" s="23">
        <v>2</v>
      </c>
      <c r="D356" s="23">
        <v>921622709</v>
      </c>
      <c r="E356" s="23">
        <v>921622709</v>
      </c>
      <c r="F356" s="24" t="s">
        <v>2252</v>
      </c>
      <c r="G356" s="23">
        <v>0</v>
      </c>
      <c r="H356" s="23">
        <v>20250301</v>
      </c>
      <c r="I356" s="23" t="str">
        <f>TEXT(DATE(LEFT(H356,4), MID(H356,5,2), RIGHT(H356,2)), "M/d/yyyy")</f>
        <v>3/1/2025</v>
      </c>
      <c r="J356" s="25">
        <v>20221001</v>
      </c>
      <c r="K356" s="23" t="str">
        <f>TEXT(DATE(LEFT(J356,4), MID(J356,5,2), RIGHT(J356,2)), "M/d/yyyy")</f>
        <v>10/1/2022</v>
      </c>
      <c r="L356" s="24" t="s">
        <v>78</v>
      </c>
      <c r="M356" s="26">
        <v>1</v>
      </c>
      <c r="N356" s="25">
        <v>20</v>
      </c>
      <c r="O356" s="27">
        <v>40</v>
      </c>
      <c r="P356" s="22" t="s">
        <v>3831</v>
      </c>
    </row>
    <row r="357" spans="1:16" s="22" customFormat="1" ht="15" customHeight="1" x14ac:dyDescent="0.2">
      <c r="A357" s="22" t="s">
        <v>3788</v>
      </c>
      <c r="B357" s="22">
        <v>18754354</v>
      </c>
      <c r="C357" s="23">
        <v>2</v>
      </c>
      <c r="D357" s="23">
        <v>921653053</v>
      </c>
      <c r="E357" s="23">
        <v>921653053</v>
      </c>
      <c r="F357" s="24" t="s">
        <v>2256</v>
      </c>
      <c r="G357" s="23">
        <v>0</v>
      </c>
      <c r="H357" s="23">
        <v>20250301</v>
      </c>
      <c r="I357" s="23" t="str">
        <f>TEXT(DATE(LEFT(H357,4), MID(H357,5,2), RIGHT(H357,2)), "M/d/yyyy")</f>
        <v>3/1/2025</v>
      </c>
      <c r="J357" s="25">
        <v>20230401</v>
      </c>
      <c r="K357" s="23" t="str">
        <f>TEXT(DATE(LEFT(J357,4), MID(J357,5,2), RIGHT(J357,2)), "M/d/yyyy")</f>
        <v>4/1/2023</v>
      </c>
      <c r="L357" s="24" t="s">
        <v>78</v>
      </c>
      <c r="M357" s="26">
        <v>1</v>
      </c>
      <c r="N357" s="25">
        <v>20</v>
      </c>
      <c r="O357" s="27">
        <v>40</v>
      </c>
      <c r="P357" s="22" t="s">
        <v>3831</v>
      </c>
    </row>
    <row r="358" spans="1:16" s="22" customFormat="1" ht="15" customHeight="1" x14ac:dyDescent="0.2">
      <c r="A358" s="22" t="s">
        <v>3788</v>
      </c>
      <c r="B358" s="22">
        <v>18754354</v>
      </c>
      <c r="C358" s="23">
        <v>2</v>
      </c>
      <c r="D358" s="23">
        <v>921518750</v>
      </c>
      <c r="E358" s="23">
        <v>921518750</v>
      </c>
      <c r="F358" s="24" t="s">
        <v>2223</v>
      </c>
      <c r="G358" s="23">
        <v>0</v>
      </c>
      <c r="H358" s="23">
        <v>20250201</v>
      </c>
      <c r="I358" s="23" t="str">
        <f>TEXT(DATE(LEFT(H358,4), MID(H358,5,2), RIGHT(H358,2)), "M/d/yyyy")</f>
        <v>2/1/2025</v>
      </c>
      <c r="J358" s="25">
        <v>20240201</v>
      </c>
      <c r="K358" s="23" t="str">
        <f>TEXT(DATE(LEFT(J358,4), MID(J358,5,2), RIGHT(J358,2)), "M/d/yyyy")</f>
        <v>2/1/2024</v>
      </c>
      <c r="L358" s="24" t="s">
        <v>78</v>
      </c>
      <c r="M358" s="26">
        <v>1</v>
      </c>
      <c r="N358" s="25">
        <v>25</v>
      </c>
      <c r="O358" s="27">
        <v>50</v>
      </c>
      <c r="P358" s="22" t="s">
        <v>3831</v>
      </c>
    </row>
    <row r="359" spans="1:16" s="22" customFormat="1" ht="15" customHeight="1" x14ac:dyDescent="0.2">
      <c r="A359" s="22" t="s">
        <v>3788</v>
      </c>
      <c r="B359" s="22">
        <v>18754354</v>
      </c>
      <c r="C359" s="23">
        <v>3</v>
      </c>
      <c r="D359" s="23">
        <v>921658031</v>
      </c>
      <c r="E359" s="23">
        <v>921658031</v>
      </c>
      <c r="F359" s="24" t="s">
        <v>2260</v>
      </c>
      <c r="G359" s="23">
        <v>0</v>
      </c>
      <c r="H359" s="23">
        <v>20250301</v>
      </c>
      <c r="I359" s="23" t="str">
        <f>TEXT(DATE(LEFT(H359,4), MID(H359,5,2), RIGHT(H359,2)), "M/d/yyyy")</f>
        <v>3/1/2025</v>
      </c>
      <c r="J359" s="25">
        <v>20230501</v>
      </c>
      <c r="K359" s="23" t="str">
        <f>TEXT(DATE(LEFT(J359,4), MID(J359,5,2), RIGHT(J359,2)), "M/d/yyyy")</f>
        <v>5/1/2023</v>
      </c>
      <c r="L359" s="24" t="s">
        <v>78</v>
      </c>
      <c r="M359" s="26">
        <v>1</v>
      </c>
      <c r="N359" s="25">
        <v>20</v>
      </c>
      <c r="O359" s="27">
        <v>60</v>
      </c>
      <c r="P359" s="22" t="s">
        <v>3831</v>
      </c>
    </row>
    <row r="360" spans="1:16" s="22" customFormat="1" ht="15" customHeight="1" x14ac:dyDescent="0.2">
      <c r="A360" s="22" t="s">
        <v>3791</v>
      </c>
      <c r="B360" s="22">
        <v>2158366</v>
      </c>
      <c r="C360" s="23">
        <v>1</v>
      </c>
      <c r="D360" s="23">
        <v>921559912</v>
      </c>
      <c r="E360" s="23">
        <v>921559912</v>
      </c>
      <c r="F360" s="24" t="s">
        <v>2500</v>
      </c>
      <c r="G360" s="23">
        <v>0</v>
      </c>
      <c r="H360" s="23">
        <v>20250301</v>
      </c>
      <c r="I360" s="23" t="str">
        <f>TEXT(DATE(LEFT(H360,4), MID(H360,5,2), RIGHT(H360,2)), "M/d/yyyy")</f>
        <v>3/1/2025</v>
      </c>
      <c r="J360" s="25">
        <v>20210401</v>
      </c>
      <c r="K360" s="23" t="str">
        <f>TEXT(DATE(LEFT(J360,4), MID(J360,5,2), RIGHT(J360,2)), "M/d/yyyy")</f>
        <v>4/1/2021</v>
      </c>
      <c r="L360" s="24" t="s">
        <v>78</v>
      </c>
      <c r="M360" s="26">
        <v>1</v>
      </c>
      <c r="N360" s="25">
        <v>20</v>
      </c>
      <c r="O360" s="27">
        <v>20</v>
      </c>
      <c r="P360" s="22" t="s">
        <v>3831</v>
      </c>
    </row>
    <row r="361" spans="1:16" s="22" customFormat="1" ht="15" customHeight="1" x14ac:dyDescent="0.2">
      <c r="A361" s="22" t="s">
        <v>3791</v>
      </c>
      <c r="B361" s="22">
        <v>2158366</v>
      </c>
      <c r="C361" s="23">
        <v>1</v>
      </c>
      <c r="D361" s="23">
        <v>921559912</v>
      </c>
      <c r="E361" s="23">
        <v>921559912</v>
      </c>
      <c r="F361" s="24" t="s">
        <v>2500</v>
      </c>
      <c r="G361" s="23">
        <v>0</v>
      </c>
      <c r="H361" s="23">
        <v>20250201</v>
      </c>
      <c r="I361" s="23" t="str">
        <f>TEXT(DATE(LEFT(H361,4), MID(H361,5,2), RIGHT(H361,2)), "M/d/yyyy")</f>
        <v>2/1/2025</v>
      </c>
      <c r="J361" s="25">
        <v>20210401</v>
      </c>
      <c r="K361" s="23" t="str">
        <f>TEXT(DATE(LEFT(J361,4), MID(J361,5,2), RIGHT(J361,2)), "M/d/yyyy")</f>
        <v>4/1/2021</v>
      </c>
      <c r="L361" s="24" t="s">
        <v>78</v>
      </c>
      <c r="M361" s="26">
        <v>1</v>
      </c>
      <c r="N361" s="25">
        <v>20</v>
      </c>
      <c r="O361" s="27">
        <v>20</v>
      </c>
      <c r="P361" s="22" t="s">
        <v>3831</v>
      </c>
    </row>
    <row r="362" spans="1:16" s="22" customFormat="1" ht="15" customHeight="1" x14ac:dyDescent="0.2">
      <c r="A362" s="22" t="s">
        <v>3791</v>
      </c>
      <c r="B362" s="22">
        <v>2158366</v>
      </c>
      <c r="C362" s="23">
        <v>1</v>
      </c>
      <c r="D362" s="23">
        <v>921271341</v>
      </c>
      <c r="E362" s="23">
        <v>921271341</v>
      </c>
      <c r="F362" s="24" t="s">
        <v>2494</v>
      </c>
      <c r="G362" s="23">
        <v>0</v>
      </c>
      <c r="H362" s="23">
        <v>20250301</v>
      </c>
      <c r="I362" s="23" t="str">
        <f>TEXT(DATE(LEFT(H362,4), MID(H362,5,2), RIGHT(H362,2)), "M/d/yyyy")</f>
        <v>3/1/2025</v>
      </c>
      <c r="J362" s="25">
        <v>20240901</v>
      </c>
      <c r="K362" s="23" t="str">
        <f>TEXT(DATE(LEFT(J362,4), MID(J362,5,2), RIGHT(J362,2)), "M/d/yyyy")</f>
        <v>9/1/2024</v>
      </c>
      <c r="L362" s="24" t="s">
        <v>78</v>
      </c>
      <c r="M362" s="26">
        <v>1</v>
      </c>
      <c r="N362" s="25">
        <v>25</v>
      </c>
      <c r="O362" s="27">
        <v>25</v>
      </c>
      <c r="P362" s="22" t="s">
        <v>3831</v>
      </c>
    </row>
    <row r="363" spans="1:16" s="22" customFormat="1" ht="15" customHeight="1" x14ac:dyDescent="0.2">
      <c r="A363" s="22" t="s">
        <v>3791</v>
      </c>
      <c r="B363" s="22">
        <v>2158366</v>
      </c>
      <c r="C363" s="23">
        <v>1</v>
      </c>
      <c r="D363" s="23">
        <v>921396977</v>
      </c>
      <c r="E363" s="23">
        <v>921396977</v>
      </c>
      <c r="F363" s="24" t="s">
        <v>2496</v>
      </c>
      <c r="G363" s="23">
        <v>0</v>
      </c>
      <c r="H363" s="23">
        <v>20250301</v>
      </c>
      <c r="I363" s="23" t="str">
        <f>TEXT(DATE(LEFT(H363,4), MID(H363,5,2), RIGHT(H363,2)), "M/d/yyyy")</f>
        <v>3/1/2025</v>
      </c>
      <c r="J363" s="25">
        <v>20240501</v>
      </c>
      <c r="K363" s="23" t="str">
        <f>TEXT(DATE(LEFT(J363,4), MID(J363,5,2), RIGHT(J363,2)), "M/d/yyyy")</f>
        <v>5/1/2024</v>
      </c>
      <c r="L363" s="24" t="s">
        <v>78</v>
      </c>
      <c r="M363" s="26">
        <v>1</v>
      </c>
      <c r="N363" s="25">
        <v>25</v>
      </c>
      <c r="O363" s="27">
        <v>25</v>
      </c>
      <c r="P363" s="22" t="s">
        <v>3831</v>
      </c>
    </row>
    <row r="364" spans="1:16" s="22" customFormat="1" ht="15" customHeight="1" x14ac:dyDescent="0.2">
      <c r="A364" s="22" t="s">
        <v>3791</v>
      </c>
      <c r="B364" s="22">
        <v>2158366</v>
      </c>
      <c r="C364" s="23">
        <v>1</v>
      </c>
      <c r="D364" s="23">
        <v>921737830</v>
      </c>
      <c r="E364" s="23">
        <v>921737830</v>
      </c>
      <c r="F364" s="24" t="s">
        <v>2506</v>
      </c>
      <c r="G364" s="23">
        <v>0</v>
      </c>
      <c r="H364" s="23">
        <v>20250301</v>
      </c>
      <c r="I364" s="23" t="str">
        <f>TEXT(DATE(LEFT(H364,4), MID(H364,5,2), RIGHT(H364,2)), "M/d/yyyy")</f>
        <v>3/1/2025</v>
      </c>
      <c r="J364" s="25">
        <v>20240901</v>
      </c>
      <c r="K364" s="23" t="str">
        <f>TEXT(DATE(LEFT(J364,4), MID(J364,5,2), RIGHT(J364,2)), "M/d/yyyy")</f>
        <v>9/1/2024</v>
      </c>
      <c r="L364" s="24" t="s">
        <v>78</v>
      </c>
      <c r="M364" s="26">
        <v>1</v>
      </c>
      <c r="N364" s="25">
        <v>25</v>
      </c>
      <c r="O364" s="27">
        <v>25</v>
      </c>
      <c r="P364" s="22" t="s">
        <v>3831</v>
      </c>
    </row>
    <row r="365" spans="1:16" s="22" customFormat="1" ht="15" customHeight="1" x14ac:dyDescent="0.2">
      <c r="A365" s="22" t="s">
        <v>3791</v>
      </c>
      <c r="B365" s="22">
        <v>2158366</v>
      </c>
      <c r="C365" s="23">
        <v>1</v>
      </c>
      <c r="D365" s="23">
        <v>921749969</v>
      </c>
      <c r="E365" s="23">
        <v>921749969</v>
      </c>
      <c r="F365" s="24" t="s">
        <v>2508</v>
      </c>
      <c r="G365" s="23">
        <v>0</v>
      </c>
      <c r="H365" s="23">
        <v>20250301</v>
      </c>
      <c r="I365" s="23" t="str">
        <f>TEXT(DATE(LEFT(H365,4), MID(H365,5,2), RIGHT(H365,2)), "M/d/yyyy")</f>
        <v>3/1/2025</v>
      </c>
      <c r="J365" s="25">
        <v>20250101</v>
      </c>
      <c r="K365" s="23" t="str">
        <f>TEXT(DATE(LEFT(J365,4), MID(J365,5,2), RIGHT(J365,2)), "M/d/yyyy")</f>
        <v>1/1/2025</v>
      </c>
      <c r="L365" s="24" t="s">
        <v>78</v>
      </c>
      <c r="M365" s="26">
        <v>1</v>
      </c>
      <c r="N365" s="25">
        <v>25</v>
      </c>
      <c r="O365" s="27">
        <v>25</v>
      </c>
      <c r="P365" s="22" t="s">
        <v>3831</v>
      </c>
    </row>
    <row r="366" spans="1:16" s="22" customFormat="1" ht="15" customHeight="1" x14ac:dyDescent="0.2">
      <c r="A366" s="22" t="s">
        <v>3806</v>
      </c>
      <c r="B366" s="22">
        <v>16683808</v>
      </c>
      <c r="C366" s="23">
        <v>2</v>
      </c>
      <c r="D366" s="23">
        <v>921752064</v>
      </c>
      <c r="E366" s="23">
        <v>921752064</v>
      </c>
      <c r="F366" s="24" t="s">
        <v>3327</v>
      </c>
      <c r="G366" s="23">
        <v>0</v>
      </c>
      <c r="H366" s="23">
        <v>20250301</v>
      </c>
      <c r="I366" s="23" t="str">
        <f>TEXT(DATE(LEFT(H366,4), MID(H366,5,2), RIGHT(H366,2)), "M/d/yyyy")</f>
        <v>3/1/2025</v>
      </c>
      <c r="J366" s="25">
        <v>20250101</v>
      </c>
      <c r="K366" s="23" t="str">
        <f>TEXT(DATE(LEFT(J366,4), MID(J366,5,2), RIGHT(J366,2)), "M/d/yyyy")</f>
        <v>1/1/2025</v>
      </c>
      <c r="L366" s="24" t="s">
        <v>78</v>
      </c>
      <c r="M366" s="26">
        <v>1</v>
      </c>
      <c r="N366" s="25">
        <v>25</v>
      </c>
      <c r="O366" s="27">
        <v>50</v>
      </c>
      <c r="P366" s="22" t="s">
        <v>3831</v>
      </c>
    </row>
    <row r="367" spans="1:16" s="22" customFormat="1" ht="15" customHeight="1" x14ac:dyDescent="0.2">
      <c r="A367" s="22" t="s">
        <v>3779</v>
      </c>
      <c r="B367" s="22">
        <v>1706194</v>
      </c>
      <c r="C367" s="23">
        <v>1</v>
      </c>
      <c r="D367" s="23">
        <v>890140464</v>
      </c>
      <c r="E367" s="23">
        <v>890140464</v>
      </c>
      <c r="F367" s="24" t="s">
        <v>637</v>
      </c>
      <c r="G367" s="23">
        <v>0</v>
      </c>
      <c r="H367" s="23">
        <v>20250301</v>
      </c>
      <c r="I367" s="23" t="str">
        <f>TEXT(DATE(LEFT(H367,4), MID(H367,5,2), RIGHT(H367,2)), "M/d/yyyy")</f>
        <v>3/1/2025</v>
      </c>
      <c r="J367" s="25">
        <v>20220101</v>
      </c>
      <c r="K367" s="23" t="str">
        <f>TEXT(DATE(LEFT(J367,4), MID(J367,5,2), RIGHT(J367,2)), "M/d/yyyy")</f>
        <v>1/1/2022</v>
      </c>
      <c r="L367" s="24" t="s">
        <v>78</v>
      </c>
      <c r="M367" s="26">
        <v>1</v>
      </c>
      <c r="N367" s="25">
        <v>20</v>
      </c>
      <c r="O367" s="27">
        <v>20</v>
      </c>
      <c r="P367" s="22" t="s">
        <v>3831</v>
      </c>
    </row>
    <row r="368" spans="1:16" s="22" customFormat="1" ht="15" customHeight="1" x14ac:dyDescent="0.2">
      <c r="A368" s="22" t="s">
        <v>3779</v>
      </c>
      <c r="B368" s="22">
        <v>1706194</v>
      </c>
      <c r="C368" s="23">
        <v>1</v>
      </c>
      <c r="D368" s="23">
        <v>920723118</v>
      </c>
      <c r="E368" s="23">
        <v>920723118</v>
      </c>
      <c r="F368" s="24" t="s">
        <v>640</v>
      </c>
      <c r="G368" s="23">
        <v>0</v>
      </c>
      <c r="H368" s="23">
        <v>20250301</v>
      </c>
      <c r="I368" s="23" t="str">
        <f>TEXT(DATE(LEFT(H368,4), MID(H368,5,2), RIGHT(H368,2)), "M/d/yyyy")</f>
        <v>3/1/2025</v>
      </c>
      <c r="J368" s="25">
        <v>20140101</v>
      </c>
      <c r="K368" s="23" t="str">
        <f>TEXT(DATE(LEFT(J368,4), MID(J368,5,2), RIGHT(J368,2)), "M/d/yyyy")</f>
        <v>1/1/2014</v>
      </c>
      <c r="L368" s="24" t="s">
        <v>78</v>
      </c>
      <c r="M368" s="26">
        <v>1</v>
      </c>
      <c r="N368" s="25">
        <v>20</v>
      </c>
      <c r="O368" s="27">
        <v>20</v>
      </c>
      <c r="P368" s="22" t="s">
        <v>3831</v>
      </c>
    </row>
    <row r="369" spans="1:31" s="22" customFormat="1" ht="15" customHeight="1" x14ac:dyDescent="0.2">
      <c r="A369" s="22" t="s">
        <v>3814</v>
      </c>
      <c r="B369" s="22">
        <v>14177521</v>
      </c>
      <c r="C369" s="23">
        <v>1</v>
      </c>
      <c r="D369" s="23">
        <v>921316205</v>
      </c>
      <c r="E369" s="23">
        <v>921316205</v>
      </c>
      <c r="F369" s="24" t="s">
        <v>3450</v>
      </c>
      <c r="G369" s="23">
        <v>0</v>
      </c>
      <c r="H369" s="23">
        <v>20250301</v>
      </c>
      <c r="I369" s="23" t="str">
        <f>TEXT(DATE(LEFT(H369,4), MID(H369,5,2), RIGHT(H369,2)), "M/d/yyyy")</f>
        <v>3/1/2025</v>
      </c>
      <c r="J369" s="25">
        <v>20200101</v>
      </c>
      <c r="K369" s="23" t="str">
        <f>TEXT(DATE(LEFT(J369,4), MID(J369,5,2), RIGHT(J369,2)), "M/d/yyyy")</f>
        <v>1/1/2020</v>
      </c>
      <c r="L369" s="24" t="s">
        <v>78</v>
      </c>
      <c r="M369" s="26">
        <v>1</v>
      </c>
      <c r="N369" s="25">
        <v>20</v>
      </c>
      <c r="O369" s="27">
        <v>20</v>
      </c>
      <c r="P369" s="22" t="s">
        <v>3831</v>
      </c>
    </row>
    <row r="370" spans="1:31" s="22" customFormat="1" ht="15" customHeight="1" x14ac:dyDescent="0.2">
      <c r="A370" s="22" t="s">
        <v>3814</v>
      </c>
      <c r="B370" s="22">
        <v>14177521</v>
      </c>
      <c r="C370" s="23">
        <v>1</v>
      </c>
      <c r="D370" s="23">
        <v>921634283</v>
      </c>
      <c r="E370" s="23">
        <v>921634283</v>
      </c>
      <c r="F370" s="24" t="s">
        <v>3464</v>
      </c>
      <c r="G370" s="23">
        <v>0</v>
      </c>
      <c r="H370" s="23">
        <v>20250301</v>
      </c>
      <c r="I370" s="23" t="str">
        <f>TEXT(DATE(LEFT(H370,4), MID(H370,5,2), RIGHT(H370,2)), "M/d/yyyy")</f>
        <v>3/1/2025</v>
      </c>
      <c r="J370" s="25">
        <v>20230101</v>
      </c>
      <c r="K370" s="23" t="str">
        <f>TEXT(DATE(LEFT(J370,4), MID(J370,5,2), RIGHT(J370,2)), "M/d/yyyy")</f>
        <v>1/1/2023</v>
      </c>
      <c r="L370" s="24" t="s">
        <v>78</v>
      </c>
      <c r="M370" s="26">
        <v>1</v>
      </c>
      <c r="N370" s="25">
        <v>20</v>
      </c>
      <c r="O370" s="27">
        <v>20</v>
      </c>
      <c r="P370" s="22" t="s">
        <v>3831</v>
      </c>
    </row>
    <row r="371" spans="1:31" s="22" customFormat="1" ht="15" customHeight="1" x14ac:dyDescent="0.2">
      <c r="A371" s="22" t="s">
        <v>3814</v>
      </c>
      <c r="B371" s="22">
        <v>14177521</v>
      </c>
      <c r="C371" s="23">
        <v>1</v>
      </c>
      <c r="D371" s="23">
        <v>921684783</v>
      </c>
      <c r="E371" s="23">
        <v>921684783</v>
      </c>
      <c r="F371" s="24" t="s">
        <v>3467</v>
      </c>
      <c r="G371" s="23">
        <v>0</v>
      </c>
      <c r="H371" s="23">
        <v>20250301</v>
      </c>
      <c r="I371" s="23" t="str">
        <f>TEXT(DATE(LEFT(H371,4), MID(H371,5,2), RIGHT(H371,2)), "M/d/yyyy")</f>
        <v>3/1/2025</v>
      </c>
      <c r="J371" s="25">
        <v>20240101</v>
      </c>
      <c r="K371" s="23" t="str">
        <f>TEXT(DATE(LEFT(J371,4), MID(J371,5,2), RIGHT(J371,2)), "M/d/yyyy")</f>
        <v>1/1/2024</v>
      </c>
      <c r="L371" s="24" t="s">
        <v>78</v>
      </c>
      <c r="M371" s="26">
        <v>1</v>
      </c>
      <c r="N371" s="25">
        <v>20</v>
      </c>
      <c r="O371" s="27">
        <v>20</v>
      </c>
      <c r="P371" s="22" t="s">
        <v>3831</v>
      </c>
    </row>
    <row r="372" spans="1:31" s="22" customFormat="1" ht="15" customHeight="1" x14ac:dyDescent="0.2">
      <c r="A372" s="22" t="s">
        <v>3814</v>
      </c>
      <c r="B372" s="22">
        <v>14177521</v>
      </c>
      <c r="C372" s="23">
        <v>1</v>
      </c>
      <c r="D372" s="23">
        <v>920752891</v>
      </c>
      <c r="E372" s="23">
        <v>920752891</v>
      </c>
      <c r="F372" s="24" t="s">
        <v>3437</v>
      </c>
      <c r="G372" s="23">
        <v>0</v>
      </c>
      <c r="H372" s="23">
        <v>20250301</v>
      </c>
      <c r="I372" s="23" t="str">
        <f>TEXT(DATE(LEFT(H372,4), MID(H372,5,2), RIGHT(H372,2)), "M/d/yyyy")</f>
        <v>3/1/2025</v>
      </c>
      <c r="J372" s="25">
        <v>20250101</v>
      </c>
      <c r="K372" s="23" t="str">
        <f>TEXT(DATE(LEFT(J372,4), MID(J372,5,2), RIGHT(J372,2)), "M/d/yyyy")</f>
        <v>1/1/2025</v>
      </c>
      <c r="L372" s="24" t="s">
        <v>78</v>
      </c>
      <c r="M372" s="26">
        <v>1</v>
      </c>
      <c r="N372" s="25">
        <v>25</v>
      </c>
      <c r="O372" s="27">
        <v>25</v>
      </c>
      <c r="P372" s="22" t="s">
        <v>3831</v>
      </c>
    </row>
    <row r="373" spans="1:31" s="22" customFormat="1" ht="15" customHeight="1" x14ac:dyDescent="0.2">
      <c r="A373" s="22" t="s">
        <v>3814</v>
      </c>
      <c r="B373" s="22">
        <v>14177521</v>
      </c>
      <c r="C373" s="23">
        <v>1</v>
      </c>
      <c r="D373" s="23">
        <v>920752891</v>
      </c>
      <c r="E373" s="23">
        <v>920752891</v>
      </c>
      <c r="F373" s="24" t="s">
        <v>3437</v>
      </c>
      <c r="G373" s="23">
        <v>0</v>
      </c>
      <c r="H373" s="23">
        <v>20250201</v>
      </c>
      <c r="I373" s="23" t="str">
        <f>TEXT(DATE(LEFT(H373,4), MID(H373,5,2), RIGHT(H373,2)), "M/d/yyyy")</f>
        <v>2/1/2025</v>
      </c>
      <c r="J373" s="25">
        <v>20250101</v>
      </c>
      <c r="K373" s="23" t="str">
        <f>TEXT(DATE(LEFT(J373,4), MID(J373,5,2), RIGHT(J373,2)), "M/d/yyyy")</f>
        <v>1/1/2025</v>
      </c>
      <c r="L373" s="24" t="s">
        <v>78</v>
      </c>
      <c r="M373" s="26">
        <v>1</v>
      </c>
      <c r="N373" s="25">
        <v>25</v>
      </c>
      <c r="O373" s="27">
        <v>25</v>
      </c>
      <c r="P373" s="22" t="s">
        <v>3831</v>
      </c>
    </row>
    <row r="374" spans="1:31" s="22" customFormat="1" ht="15" customHeight="1" x14ac:dyDescent="0.2">
      <c r="A374" s="22" t="s">
        <v>3814</v>
      </c>
      <c r="B374" s="22">
        <v>14177521</v>
      </c>
      <c r="C374" s="23">
        <v>1</v>
      </c>
      <c r="D374" s="23">
        <v>920945535</v>
      </c>
      <c r="E374" s="23">
        <v>920945535</v>
      </c>
      <c r="F374" s="24" t="s">
        <v>3442</v>
      </c>
      <c r="G374" s="23">
        <v>0</v>
      </c>
      <c r="H374" s="23">
        <v>20250301</v>
      </c>
      <c r="I374" s="23" t="str">
        <f>TEXT(DATE(LEFT(H374,4), MID(H374,5,2), RIGHT(H374,2)), "M/d/yyyy")</f>
        <v>3/1/2025</v>
      </c>
      <c r="J374" s="25">
        <v>20250101</v>
      </c>
      <c r="K374" s="23" t="str">
        <f>TEXT(DATE(LEFT(J374,4), MID(J374,5,2), RIGHT(J374,2)), "M/d/yyyy")</f>
        <v>1/1/2025</v>
      </c>
      <c r="L374" s="24" t="s">
        <v>78</v>
      </c>
      <c r="M374" s="26">
        <v>1</v>
      </c>
      <c r="N374" s="25">
        <v>25</v>
      </c>
      <c r="O374" s="27">
        <v>25</v>
      </c>
      <c r="P374" s="22" t="s">
        <v>3831</v>
      </c>
    </row>
    <row r="375" spans="1:31" s="22" customFormat="1" ht="15" customHeight="1" x14ac:dyDescent="0.2">
      <c r="A375" s="22" t="s">
        <v>3814</v>
      </c>
      <c r="B375" s="22">
        <v>14177521</v>
      </c>
      <c r="C375" s="23">
        <v>1</v>
      </c>
      <c r="D375" s="23">
        <v>921538499</v>
      </c>
      <c r="E375" s="23">
        <v>921538499</v>
      </c>
      <c r="F375" s="24" t="s">
        <v>3456</v>
      </c>
      <c r="G375" s="23">
        <v>0</v>
      </c>
      <c r="H375" s="23">
        <v>20250301</v>
      </c>
      <c r="I375" s="23" t="str">
        <f>TEXT(DATE(LEFT(H375,4), MID(H375,5,2), RIGHT(H375,2)), "M/d/yyyy")</f>
        <v>3/1/2025</v>
      </c>
      <c r="J375" s="25">
        <v>20250101</v>
      </c>
      <c r="K375" s="23" t="str">
        <f>TEXT(DATE(LEFT(J375,4), MID(J375,5,2), RIGHT(J375,2)), "M/d/yyyy")</f>
        <v>1/1/2025</v>
      </c>
      <c r="L375" s="24" t="s">
        <v>78</v>
      </c>
      <c r="M375" s="26">
        <v>1</v>
      </c>
      <c r="N375" s="25">
        <v>25</v>
      </c>
      <c r="O375" s="27">
        <v>25</v>
      </c>
      <c r="P375" s="22" t="s">
        <v>3831</v>
      </c>
    </row>
    <row r="376" spans="1:31" s="22" customFormat="1" ht="15" customHeight="1" x14ac:dyDescent="0.2">
      <c r="A376" s="22" t="s">
        <v>3814</v>
      </c>
      <c r="B376" s="22">
        <v>14177521</v>
      </c>
      <c r="C376" s="23">
        <v>1</v>
      </c>
      <c r="D376" s="23">
        <v>921538499</v>
      </c>
      <c r="E376" s="23">
        <v>921538499</v>
      </c>
      <c r="F376" s="24" t="s">
        <v>3456</v>
      </c>
      <c r="G376" s="23">
        <v>0</v>
      </c>
      <c r="H376" s="23">
        <v>20250201</v>
      </c>
      <c r="I376" s="23" t="str">
        <f>TEXT(DATE(LEFT(H376,4), MID(H376,5,2), RIGHT(H376,2)), "M/d/yyyy")</f>
        <v>2/1/2025</v>
      </c>
      <c r="J376" s="25">
        <v>20250101</v>
      </c>
      <c r="K376" s="23" t="str">
        <f>TEXT(DATE(LEFT(J376,4), MID(J376,5,2), RIGHT(J376,2)), "M/d/yyyy")</f>
        <v>1/1/2025</v>
      </c>
      <c r="L376" s="24" t="s">
        <v>78</v>
      </c>
      <c r="M376" s="26">
        <v>1</v>
      </c>
      <c r="N376" s="25">
        <v>25</v>
      </c>
      <c r="O376" s="27">
        <v>25</v>
      </c>
      <c r="P376" s="22" t="s">
        <v>3831</v>
      </c>
    </row>
    <row r="377" spans="1:31" s="22" customFormat="1" ht="15" customHeight="1" x14ac:dyDescent="0.2">
      <c r="A377" s="22" t="s">
        <v>3814</v>
      </c>
      <c r="B377" s="22">
        <v>14177521</v>
      </c>
      <c r="C377" s="23">
        <v>2</v>
      </c>
      <c r="D377" s="23">
        <v>920827391</v>
      </c>
      <c r="E377" s="23">
        <v>920827391</v>
      </c>
      <c r="F377" s="24" t="s">
        <v>3440</v>
      </c>
      <c r="G377" s="23">
        <v>0</v>
      </c>
      <c r="H377" s="23">
        <v>20250301</v>
      </c>
      <c r="I377" s="23" t="str">
        <f>TEXT(DATE(LEFT(H377,4), MID(H377,5,2), RIGHT(H377,2)), "M/d/yyyy")</f>
        <v>3/1/2025</v>
      </c>
      <c r="J377" s="25">
        <v>20250101</v>
      </c>
      <c r="K377" s="23" t="str">
        <f>TEXT(DATE(LEFT(J377,4), MID(J377,5,2), RIGHT(J377,2)), "M/d/yyyy")</f>
        <v>1/1/2025</v>
      </c>
      <c r="L377" s="24" t="s">
        <v>78</v>
      </c>
      <c r="M377" s="26">
        <v>1</v>
      </c>
      <c r="N377" s="25">
        <v>25</v>
      </c>
      <c r="O377" s="27">
        <v>50</v>
      </c>
      <c r="P377" s="22" t="s">
        <v>3831</v>
      </c>
    </row>
    <row r="378" spans="1:31" s="22" customFormat="1" ht="15" customHeight="1" x14ac:dyDescent="0.2">
      <c r="A378" s="22" t="s">
        <v>3810</v>
      </c>
      <c r="B378" s="22">
        <v>6375605</v>
      </c>
      <c r="C378" s="23">
        <v>1</v>
      </c>
      <c r="D378" s="23">
        <v>921727262</v>
      </c>
      <c r="E378" s="23">
        <v>921727262</v>
      </c>
      <c r="F378" s="24" t="s">
        <v>3370</v>
      </c>
      <c r="G378" s="23">
        <v>0</v>
      </c>
      <c r="H378" s="23">
        <v>20250201</v>
      </c>
      <c r="I378" s="23" t="str">
        <f>TEXT(DATE(LEFT(H378,4), MID(H378,5,2), RIGHT(H378,2)), "M/d/yyyy")</f>
        <v>2/1/2025</v>
      </c>
      <c r="J378" s="25">
        <v>20240701</v>
      </c>
      <c r="K378" s="23" t="str">
        <f>TEXT(DATE(LEFT(J378,4), MID(J378,5,2), RIGHT(J378,2)), "M/d/yyyy")</f>
        <v>7/1/2024</v>
      </c>
      <c r="L378" s="24" t="s">
        <v>78</v>
      </c>
      <c r="M378" s="26">
        <v>1</v>
      </c>
      <c r="N378" s="25">
        <v>25</v>
      </c>
      <c r="O378" s="27">
        <v>25</v>
      </c>
      <c r="P378" s="22" t="s">
        <v>3831</v>
      </c>
    </row>
    <row r="379" spans="1:31" s="22" customFormat="1" ht="15" customHeight="1" x14ac:dyDescent="0.2">
      <c r="A379" s="22" t="s">
        <v>3800</v>
      </c>
      <c r="B379" s="28" t="s">
        <v>3821</v>
      </c>
      <c r="C379" s="23">
        <v>1</v>
      </c>
      <c r="D379" s="23">
        <v>921730914</v>
      </c>
      <c r="E379" s="23">
        <v>921730914</v>
      </c>
      <c r="F379" s="24" t="s">
        <v>75</v>
      </c>
      <c r="G379" s="23">
        <v>0</v>
      </c>
      <c r="H379" s="23">
        <v>20250301</v>
      </c>
      <c r="I379" s="23" t="str">
        <f>TEXT(DATE(LEFT(H379,4), MID(H379,5,2), RIGHT(H379,2)), "M/d/yyyy")</f>
        <v>3/1/2025</v>
      </c>
      <c r="J379" s="23">
        <v>20240801</v>
      </c>
      <c r="K379" s="23" t="str">
        <f>TEXT(DATE(LEFT(J379,4), MID(J379,5,2), RIGHT(J379,2)), "M/d/yyyy")</f>
        <v>8/1/2024</v>
      </c>
      <c r="L379" s="24" t="s">
        <v>78</v>
      </c>
      <c r="M379" s="29">
        <v>1</v>
      </c>
      <c r="N379" s="23">
        <v>25</v>
      </c>
      <c r="O379" s="24">
        <v>25</v>
      </c>
      <c r="P379" s="22" t="s">
        <v>3831</v>
      </c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</row>
    <row r="380" spans="1:31" s="22" customFormat="1" ht="15" customHeight="1" x14ac:dyDescent="0.2">
      <c r="A380" s="22" t="s">
        <v>3800</v>
      </c>
      <c r="B380" s="28" t="s">
        <v>3821</v>
      </c>
      <c r="C380" s="23">
        <v>1</v>
      </c>
      <c r="D380" s="23">
        <v>921732105</v>
      </c>
      <c r="E380" s="23">
        <v>921732105</v>
      </c>
      <c r="F380" s="24" t="s">
        <v>85</v>
      </c>
      <c r="G380" s="23">
        <v>0</v>
      </c>
      <c r="H380" s="23">
        <v>20250301</v>
      </c>
      <c r="I380" s="23" t="str">
        <f>TEXT(DATE(LEFT(H380,4), MID(H380,5,2), RIGHT(H380,2)), "M/d/yyyy")</f>
        <v>3/1/2025</v>
      </c>
      <c r="J380" s="25">
        <v>20240801</v>
      </c>
      <c r="K380" s="23" t="str">
        <f>TEXT(DATE(LEFT(J380,4), MID(J380,5,2), RIGHT(J380,2)), "M/d/yyyy")</f>
        <v>8/1/2024</v>
      </c>
      <c r="L380" s="24" t="s">
        <v>78</v>
      </c>
      <c r="M380" s="26">
        <v>1</v>
      </c>
      <c r="N380" s="25">
        <v>25</v>
      </c>
      <c r="O380" s="27">
        <v>25</v>
      </c>
      <c r="P380" s="22" t="s">
        <v>3831</v>
      </c>
    </row>
    <row r="381" spans="1:31" s="22" customFormat="1" ht="15" customHeight="1" x14ac:dyDescent="0.2">
      <c r="A381" s="22" t="s">
        <v>3800</v>
      </c>
      <c r="B381" s="28" t="s">
        <v>3821</v>
      </c>
      <c r="C381" s="23">
        <v>1</v>
      </c>
      <c r="D381" s="23">
        <v>921733203</v>
      </c>
      <c r="E381" s="23">
        <v>921733203</v>
      </c>
      <c r="F381" s="24" t="s">
        <v>87</v>
      </c>
      <c r="G381" s="23">
        <v>0</v>
      </c>
      <c r="H381" s="23">
        <v>20250301</v>
      </c>
      <c r="I381" s="23" t="str">
        <f>TEXT(DATE(LEFT(H381,4), MID(H381,5,2), RIGHT(H381,2)), "M/d/yyyy")</f>
        <v>3/1/2025</v>
      </c>
      <c r="J381" s="25">
        <v>20240801</v>
      </c>
      <c r="K381" s="23" t="str">
        <f>TEXT(DATE(LEFT(J381,4), MID(J381,5,2), RIGHT(J381,2)), "M/d/yyyy")</f>
        <v>8/1/2024</v>
      </c>
      <c r="L381" s="24" t="s">
        <v>78</v>
      </c>
      <c r="M381" s="26">
        <v>1</v>
      </c>
      <c r="N381" s="25">
        <v>25</v>
      </c>
      <c r="O381" s="27">
        <v>25</v>
      </c>
      <c r="P381" s="22" t="s">
        <v>3831</v>
      </c>
    </row>
    <row r="382" spans="1:31" s="22" customFormat="1" ht="15" customHeight="1" x14ac:dyDescent="0.2">
      <c r="A382" s="22" t="s">
        <v>3800</v>
      </c>
      <c r="B382" s="28" t="s">
        <v>3821</v>
      </c>
      <c r="C382" s="23">
        <v>1</v>
      </c>
      <c r="D382" s="23">
        <v>921733906</v>
      </c>
      <c r="E382" s="23">
        <v>921733906</v>
      </c>
      <c r="F382" s="24" t="s">
        <v>89</v>
      </c>
      <c r="G382" s="23">
        <v>0</v>
      </c>
      <c r="H382" s="23">
        <v>20250301</v>
      </c>
      <c r="I382" s="23" t="str">
        <f>TEXT(DATE(LEFT(H382,4), MID(H382,5,2), RIGHT(H382,2)), "M/d/yyyy")</f>
        <v>3/1/2025</v>
      </c>
      <c r="J382" s="25">
        <v>20240901</v>
      </c>
      <c r="K382" s="23" t="str">
        <f>TEXT(DATE(LEFT(J382,4), MID(J382,5,2), RIGHT(J382,2)), "M/d/yyyy")</f>
        <v>9/1/2024</v>
      </c>
      <c r="L382" s="24" t="s">
        <v>78</v>
      </c>
      <c r="M382" s="26">
        <v>1</v>
      </c>
      <c r="N382" s="25">
        <v>25</v>
      </c>
      <c r="O382" s="27">
        <v>25</v>
      </c>
      <c r="P382" s="22" t="s">
        <v>3831</v>
      </c>
    </row>
    <row r="383" spans="1:31" s="22" customFormat="1" ht="15" customHeight="1" x14ac:dyDescent="0.2">
      <c r="A383" s="22" t="s">
        <v>3800</v>
      </c>
      <c r="B383" s="28" t="s">
        <v>3821</v>
      </c>
      <c r="C383" s="23">
        <v>1</v>
      </c>
      <c r="D383" s="23">
        <v>921733944</v>
      </c>
      <c r="E383" s="23">
        <v>921733944</v>
      </c>
      <c r="F383" s="24" t="s">
        <v>99</v>
      </c>
      <c r="G383" s="23">
        <v>0</v>
      </c>
      <c r="H383" s="23">
        <v>20250301</v>
      </c>
      <c r="I383" s="23" t="str">
        <f>TEXT(DATE(LEFT(H383,4), MID(H383,5,2), RIGHT(H383,2)), "M/d/yyyy")</f>
        <v>3/1/2025</v>
      </c>
      <c r="J383" s="25">
        <v>20240801</v>
      </c>
      <c r="K383" s="23" t="str">
        <f>TEXT(DATE(LEFT(J383,4), MID(J383,5,2), RIGHT(J383,2)), "M/d/yyyy")</f>
        <v>8/1/2024</v>
      </c>
      <c r="L383" s="24" t="s">
        <v>78</v>
      </c>
      <c r="M383" s="26">
        <v>1</v>
      </c>
      <c r="N383" s="25">
        <v>25</v>
      </c>
      <c r="O383" s="27">
        <v>25</v>
      </c>
      <c r="P383" s="22" t="s">
        <v>3831</v>
      </c>
    </row>
    <row r="384" spans="1:31" s="22" customFormat="1" ht="15" customHeight="1" x14ac:dyDescent="0.2">
      <c r="A384" s="22" t="s">
        <v>3800</v>
      </c>
      <c r="B384" s="28" t="s">
        <v>3821</v>
      </c>
      <c r="C384" s="23">
        <v>1</v>
      </c>
      <c r="D384" s="23">
        <v>921767016</v>
      </c>
      <c r="E384" s="23">
        <v>921767016</v>
      </c>
      <c r="F384" s="24" t="s">
        <v>127</v>
      </c>
      <c r="G384" s="23">
        <v>0</v>
      </c>
      <c r="H384" s="23">
        <v>20250201</v>
      </c>
      <c r="I384" s="23" t="str">
        <f>TEXT(DATE(LEFT(H384,4), MID(H384,5,2), RIGHT(H384,2)), "M/d/yyyy")</f>
        <v>2/1/2025</v>
      </c>
      <c r="J384" s="25">
        <v>20250101</v>
      </c>
      <c r="K384" s="23" t="str">
        <f>TEXT(DATE(LEFT(J384,4), MID(J384,5,2), RIGHT(J384,2)), "M/d/yyyy")</f>
        <v>1/1/2025</v>
      </c>
      <c r="L384" s="24" t="s">
        <v>78</v>
      </c>
      <c r="M384" s="26">
        <v>1</v>
      </c>
      <c r="N384" s="25">
        <v>25</v>
      </c>
      <c r="O384" s="27">
        <v>25</v>
      </c>
      <c r="P384" s="22" t="s">
        <v>3831</v>
      </c>
    </row>
    <row r="385" spans="1:16" s="22" customFormat="1" ht="15" customHeight="1" x14ac:dyDescent="0.2">
      <c r="A385" s="22" t="s">
        <v>3800</v>
      </c>
      <c r="B385" s="28" t="s">
        <v>3821</v>
      </c>
      <c r="C385" s="23">
        <v>1</v>
      </c>
      <c r="D385" s="23">
        <v>890119738</v>
      </c>
      <c r="E385" s="23">
        <v>890119738</v>
      </c>
      <c r="F385" s="24" t="s">
        <v>2934</v>
      </c>
      <c r="G385" s="23">
        <v>0</v>
      </c>
      <c r="H385" s="23">
        <v>20250301</v>
      </c>
      <c r="I385" s="23" t="str">
        <f>TEXT(DATE(LEFT(H385,4), MID(H385,5,2), RIGHT(H385,2)), "M/d/yyyy")</f>
        <v>3/1/2025</v>
      </c>
      <c r="J385" s="25">
        <v>20250201</v>
      </c>
      <c r="K385" s="23" t="str">
        <f>TEXT(DATE(LEFT(J385,4), MID(J385,5,2), RIGHT(J385,2)), "M/d/yyyy")</f>
        <v>2/1/2025</v>
      </c>
      <c r="L385" s="24" t="s">
        <v>78</v>
      </c>
      <c r="M385" s="26">
        <v>1</v>
      </c>
      <c r="N385" s="25">
        <v>25</v>
      </c>
      <c r="O385" s="27">
        <v>25</v>
      </c>
      <c r="P385" s="22" t="s">
        <v>3831</v>
      </c>
    </row>
    <row r="386" spans="1:16" s="22" customFormat="1" ht="15" customHeight="1" x14ac:dyDescent="0.2">
      <c r="A386" s="22" t="s">
        <v>3800</v>
      </c>
      <c r="B386" s="28" t="s">
        <v>3821</v>
      </c>
      <c r="C386" s="23">
        <v>1</v>
      </c>
      <c r="D386" s="23">
        <v>921611622</v>
      </c>
      <c r="E386" s="23">
        <v>921611622</v>
      </c>
      <c r="F386" s="24" t="s">
        <v>2936</v>
      </c>
      <c r="G386" s="23">
        <v>0</v>
      </c>
      <c r="H386" s="23">
        <v>20250301</v>
      </c>
      <c r="I386" s="23" t="str">
        <f>TEXT(DATE(LEFT(H386,4), MID(H386,5,2), RIGHT(H386,2)), "M/d/yyyy")</f>
        <v>3/1/2025</v>
      </c>
      <c r="J386" s="25">
        <v>20250101</v>
      </c>
      <c r="K386" s="23" t="str">
        <f>TEXT(DATE(LEFT(J386,4), MID(J386,5,2), RIGHT(J386,2)), "M/d/yyyy")</f>
        <v>1/1/2025</v>
      </c>
      <c r="L386" s="24" t="s">
        <v>78</v>
      </c>
      <c r="M386" s="26">
        <v>1</v>
      </c>
      <c r="N386" s="25">
        <v>25</v>
      </c>
      <c r="O386" s="27">
        <v>25</v>
      </c>
      <c r="P386" s="22" t="s">
        <v>3831</v>
      </c>
    </row>
    <row r="387" spans="1:16" s="22" customFormat="1" ht="15" customHeight="1" x14ac:dyDescent="0.2">
      <c r="A387" s="22" t="s">
        <v>3800</v>
      </c>
      <c r="B387" s="28" t="s">
        <v>3821</v>
      </c>
      <c r="C387" s="23">
        <v>1</v>
      </c>
      <c r="D387" s="23">
        <v>921611622</v>
      </c>
      <c r="E387" s="23">
        <v>921611622</v>
      </c>
      <c r="F387" s="24" t="s">
        <v>2936</v>
      </c>
      <c r="G387" s="23">
        <v>0</v>
      </c>
      <c r="H387" s="23">
        <v>20250201</v>
      </c>
      <c r="I387" s="23" t="str">
        <f>TEXT(DATE(LEFT(H387,4), MID(H387,5,2), RIGHT(H387,2)), "M/d/yyyy")</f>
        <v>2/1/2025</v>
      </c>
      <c r="J387" s="25">
        <v>20250101</v>
      </c>
      <c r="K387" s="23" t="str">
        <f>TEXT(DATE(LEFT(J387,4), MID(J387,5,2), RIGHT(J387,2)), "M/d/yyyy")</f>
        <v>1/1/2025</v>
      </c>
      <c r="L387" s="24" t="s">
        <v>78</v>
      </c>
      <c r="M387" s="26">
        <v>1</v>
      </c>
      <c r="N387" s="25">
        <v>25</v>
      </c>
      <c r="O387" s="27">
        <v>25</v>
      </c>
      <c r="P387" s="22" t="s">
        <v>3831</v>
      </c>
    </row>
    <row r="388" spans="1:16" s="22" customFormat="1" ht="15" customHeight="1" x14ac:dyDescent="0.2">
      <c r="A388" s="22" t="s">
        <v>3800</v>
      </c>
      <c r="B388" s="28" t="s">
        <v>3821</v>
      </c>
      <c r="C388" s="23">
        <v>1</v>
      </c>
      <c r="D388" s="23">
        <v>921744727</v>
      </c>
      <c r="E388" s="23">
        <v>921744727</v>
      </c>
      <c r="F388" s="24" t="s">
        <v>2938</v>
      </c>
      <c r="G388" s="23">
        <v>0</v>
      </c>
      <c r="H388" s="23">
        <v>20250301</v>
      </c>
      <c r="I388" s="23" t="str">
        <f>TEXT(DATE(LEFT(H388,4), MID(H388,5,2), RIGHT(H388,2)), "M/d/yyyy")</f>
        <v>3/1/2025</v>
      </c>
      <c r="J388" s="25">
        <v>20241101</v>
      </c>
      <c r="K388" s="23" t="str">
        <f>TEXT(DATE(LEFT(J388,4), MID(J388,5,2), RIGHT(J388,2)), "M/d/yyyy")</f>
        <v>11/1/2024</v>
      </c>
      <c r="L388" s="24" t="s">
        <v>78</v>
      </c>
      <c r="M388" s="26">
        <v>1</v>
      </c>
      <c r="N388" s="25">
        <v>25</v>
      </c>
      <c r="O388" s="27">
        <v>25</v>
      </c>
      <c r="P388" s="22" t="s">
        <v>3831</v>
      </c>
    </row>
    <row r="389" spans="1:16" s="22" customFormat="1" ht="15" customHeight="1" x14ac:dyDescent="0.2">
      <c r="A389" s="22" t="s">
        <v>3800</v>
      </c>
      <c r="B389" s="28" t="s">
        <v>3821</v>
      </c>
      <c r="C389" s="23">
        <v>1</v>
      </c>
      <c r="D389" s="23">
        <v>921744727</v>
      </c>
      <c r="E389" s="23">
        <v>921744727</v>
      </c>
      <c r="F389" s="24" t="s">
        <v>2938</v>
      </c>
      <c r="G389" s="23">
        <v>0</v>
      </c>
      <c r="H389" s="23">
        <v>20250201</v>
      </c>
      <c r="I389" s="23" t="str">
        <f>TEXT(DATE(LEFT(H389,4), MID(H389,5,2), RIGHT(H389,2)), "M/d/yyyy")</f>
        <v>2/1/2025</v>
      </c>
      <c r="J389" s="25">
        <v>20241101</v>
      </c>
      <c r="K389" s="23" t="str">
        <f>TEXT(DATE(LEFT(J389,4), MID(J389,5,2), RIGHT(J389,2)), "M/d/yyyy")</f>
        <v>11/1/2024</v>
      </c>
      <c r="L389" s="24" t="s">
        <v>78</v>
      </c>
      <c r="M389" s="26">
        <v>1</v>
      </c>
      <c r="N389" s="25">
        <v>25</v>
      </c>
      <c r="O389" s="27">
        <v>25</v>
      </c>
      <c r="P389" s="22" t="s">
        <v>3831</v>
      </c>
    </row>
    <row r="390" spans="1:16" s="22" customFormat="1" ht="15" customHeight="1" x14ac:dyDescent="0.2">
      <c r="A390" s="22" t="s">
        <v>3800</v>
      </c>
      <c r="B390" s="28" t="s">
        <v>3821</v>
      </c>
      <c r="C390" s="23">
        <v>1</v>
      </c>
      <c r="D390" s="23">
        <v>921762696</v>
      </c>
      <c r="E390" s="23">
        <v>921762696</v>
      </c>
      <c r="F390" s="24" t="s">
        <v>2942</v>
      </c>
      <c r="G390" s="23">
        <v>0</v>
      </c>
      <c r="H390" s="23">
        <v>20250301</v>
      </c>
      <c r="I390" s="23" t="str">
        <f>TEXT(DATE(LEFT(H390,4), MID(H390,5,2), RIGHT(H390,2)), "M/d/yyyy")</f>
        <v>3/1/2025</v>
      </c>
      <c r="J390" s="25">
        <v>20250101</v>
      </c>
      <c r="K390" s="23" t="str">
        <f>TEXT(DATE(LEFT(J390,4), MID(J390,5,2), RIGHT(J390,2)), "M/d/yyyy")</f>
        <v>1/1/2025</v>
      </c>
      <c r="L390" s="24" t="s">
        <v>78</v>
      </c>
      <c r="M390" s="26">
        <v>1</v>
      </c>
      <c r="N390" s="25">
        <v>25</v>
      </c>
      <c r="O390" s="27">
        <v>25</v>
      </c>
      <c r="P390" s="22" t="s">
        <v>3831</v>
      </c>
    </row>
    <row r="391" spans="1:16" s="22" customFormat="1" ht="15" customHeight="1" x14ac:dyDescent="0.2">
      <c r="A391" s="22" t="s">
        <v>3800</v>
      </c>
      <c r="B391" s="28" t="s">
        <v>3821</v>
      </c>
      <c r="C391" s="23">
        <v>1</v>
      </c>
      <c r="D391" s="23">
        <v>921765149</v>
      </c>
      <c r="E391" s="23">
        <v>921765149</v>
      </c>
      <c r="F391" s="24" t="s">
        <v>2944</v>
      </c>
      <c r="G391" s="23">
        <v>0</v>
      </c>
      <c r="H391" s="23">
        <v>20250301</v>
      </c>
      <c r="I391" s="23" t="str">
        <f>TEXT(DATE(LEFT(H391,4), MID(H391,5,2), RIGHT(H391,2)), "M/d/yyyy")</f>
        <v>3/1/2025</v>
      </c>
      <c r="J391" s="25">
        <v>20250101</v>
      </c>
      <c r="K391" s="23" t="str">
        <f>TEXT(DATE(LEFT(J391,4), MID(J391,5,2), RIGHT(J391,2)), "M/d/yyyy")</f>
        <v>1/1/2025</v>
      </c>
      <c r="L391" s="24" t="s">
        <v>78</v>
      </c>
      <c r="M391" s="26">
        <v>1</v>
      </c>
      <c r="N391" s="25">
        <v>25</v>
      </c>
      <c r="O391" s="27">
        <v>25</v>
      </c>
      <c r="P391" s="22" t="s">
        <v>3831</v>
      </c>
    </row>
    <row r="392" spans="1:16" s="22" customFormat="1" ht="15" customHeight="1" x14ac:dyDescent="0.2">
      <c r="A392" s="22" t="s">
        <v>3800</v>
      </c>
      <c r="B392" s="28" t="s">
        <v>3821</v>
      </c>
      <c r="C392" s="23">
        <v>1</v>
      </c>
      <c r="D392" s="23">
        <v>921766101</v>
      </c>
      <c r="E392" s="23">
        <v>921766101</v>
      </c>
      <c r="F392" s="24" t="s">
        <v>2946</v>
      </c>
      <c r="G392" s="23">
        <v>0</v>
      </c>
      <c r="H392" s="23">
        <v>20250301</v>
      </c>
      <c r="I392" s="23" t="str">
        <f>TEXT(DATE(LEFT(H392,4), MID(H392,5,2), RIGHT(H392,2)), "M/d/yyyy")</f>
        <v>3/1/2025</v>
      </c>
      <c r="J392" s="25">
        <v>20250101</v>
      </c>
      <c r="K392" s="23" t="str">
        <f>TEXT(DATE(LEFT(J392,4), MID(J392,5,2), RIGHT(J392,2)), "M/d/yyyy")</f>
        <v>1/1/2025</v>
      </c>
      <c r="L392" s="24" t="s">
        <v>78</v>
      </c>
      <c r="M392" s="26">
        <v>1</v>
      </c>
      <c r="N392" s="25">
        <v>25</v>
      </c>
      <c r="O392" s="27">
        <v>25</v>
      </c>
      <c r="P392" s="22" t="s">
        <v>3831</v>
      </c>
    </row>
    <row r="393" spans="1:16" s="22" customFormat="1" ht="15" customHeight="1" x14ac:dyDescent="0.2">
      <c r="A393" s="22" t="s">
        <v>3800</v>
      </c>
      <c r="B393" s="28" t="s">
        <v>3821</v>
      </c>
      <c r="C393" s="23">
        <v>1</v>
      </c>
      <c r="D393" s="23">
        <v>921772109</v>
      </c>
      <c r="E393" s="23">
        <v>921772109</v>
      </c>
      <c r="F393" s="24" t="s">
        <v>2950</v>
      </c>
      <c r="G393" s="23">
        <v>0</v>
      </c>
      <c r="H393" s="23">
        <v>20250301</v>
      </c>
      <c r="I393" s="23" t="str">
        <f>TEXT(DATE(LEFT(H393,4), MID(H393,5,2), RIGHT(H393,2)), "M/d/yyyy")</f>
        <v>3/1/2025</v>
      </c>
      <c r="J393" s="25">
        <v>20250201</v>
      </c>
      <c r="K393" s="23" t="str">
        <f>TEXT(DATE(LEFT(J393,4), MID(J393,5,2), RIGHT(J393,2)), "M/d/yyyy")</f>
        <v>2/1/2025</v>
      </c>
      <c r="L393" s="24" t="s">
        <v>78</v>
      </c>
      <c r="M393" s="26">
        <v>1</v>
      </c>
      <c r="N393" s="25">
        <v>25</v>
      </c>
      <c r="O393" s="27">
        <v>25</v>
      </c>
      <c r="P393" s="22" t="s">
        <v>3831</v>
      </c>
    </row>
    <row r="394" spans="1:16" s="22" customFormat="1" ht="15" customHeight="1" x14ac:dyDescent="0.2">
      <c r="A394" s="22" t="s">
        <v>3800</v>
      </c>
      <c r="B394" s="28" t="s">
        <v>3821</v>
      </c>
      <c r="C394" s="23">
        <v>1</v>
      </c>
      <c r="D394" s="23">
        <v>921772139</v>
      </c>
      <c r="E394" s="23">
        <v>921772139</v>
      </c>
      <c r="F394" s="24" t="s">
        <v>2952</v>
      </c>
      <c r="G394" s="23">
        <v>0</v>
      </c>
      <c r="H394" s="23">
        <v>20250301</v>
      </c>
      <c r="I394" s="23" t="str">
        <f>TEXT(DATE(LEFT(H394,4), MID(H394,5,2), RIGHT(H394,2)), "M/d/yyyy")</f>
        <v>3/1/2025</v>
      </c>
      <c r="J394" s="25">
        <v>20250201</v>
      </c>
      <c r="K394" s="23" t="str">
        <f>TEXT(DATE(LEFT(J394,4), MID(J394,5,2), RIGHT(J394,2)), "M/d/yyyy")</f>
        <v>2/1/2025</v>
      </c>
      <c r="L394" s="24" t="s">
        <v>78</v>
      </c>
      <c r="M394" s="26">
        <v>1</v>
      </c>
      <c r="N394" s="25">
        <v>25</v>
      </c>
      <c r="O394" s="27">
        <v>25</v>
      </c>
      <c r="P394" s="22" t="s">
        <v>3831</v>
      </c>
    </row>
    <row r="395" spans="1:16" s="22" customFormat="1" ht="15" customHeight="1" x14ac:dyDescent="0.2">
      <c r="A395" s="22" t="s">
        <v>3800</v>
      </c>
      <c r="B395" s="28" t="s">
        <v>3821</v>
      </c>
      <c r="C395" s="23">
        <v>1</v>
      </c>
      <c r="D395" s="23">
        <v>921772932</v>
      </c>
      <c r="E395" s="23">
        <v>921772932</v>
      </c>
      <c r="F395" s="24" t="s">
        <v>2954</v>
      </c>
      <c r="G395" s="23">
        <v>0</v>
      </c>
      <c r="H395" s="23">
        <v>20250301</v>
      </c>
      <c r="I395" s="23" t="str">
        <f>TEXT(DATE(LEFT(H395,4), MID(H395,5,2), RIGHT(H395,2)), "M/d/yyyy")</f>
        <v>3/1/2025</v>
      </c>
      <c r="J395" s="25">
        <v>20250201</v>
      </c>
      <c r="K395" s="23" t="str">
        <f>TEXT(DATE(LEFT(J395,4), MID(J395,5,2), RIGHT(J395,2)), "M/d/yyyy")</f>
        <v>2/1/2025</v>
      </c>
      <c r="L395" s="24" t="s">
        <v>78</v>
      </c>
      <c r="M395" s="26">
        <v>1</v>
      </c>
      <c r="N395" s="25">
        <v>25</v>
      </c>
      <c r="O395" s="27">
        <v>25</v>
      </c>
      <c r="P395" s="22" t="s">
        <v>3831</v>
      </c>
    </row>
    <row r="396" spans="1:16" s="22" customFormat="1" ht="15" customHeight="1" x14ac:dyDescent="0.2">
      <c r="A396" s="22" t="s">
        <v>3800</v>
      </c>
      <c r="B396" s="28" t="s">
        <v>3821</v>
      </c>
      <c r="C396" s="23">
        <v>1</v>
      </c>
      <c r="D396" s="23">
        <v>921775596</v>
      </c>
      <c r="E396" s="23">
        <v>921775596</v>
      </c>
      <c r="F396" s="24" t="s">
        <v>2956</v>
      </c>
      <c r="G396" s="23">
        <v>0</v>
      </c>
      <c r="H396" s="23">
        <v>20250301</v>
      </c>
      <c r="I396" s="23" t="str">
        <f>TEXT(DATE(LEFT(H396,4), MID(H396,5,2), RIGHT(H396,2)), "M/d/yyyy")</f>
        <v>3/1/2025</v>
      </c>
      <c r="J396" s="25">
        <v>20250201</v>
      </c>
      <c r="K396" s="23" t="str">
        <f>TEXT(DATE(LEFT(J396,4), MID(J396,5,2), RIGHT(J396,2)), "M/d/yyyy")</f>
        <v>2/1/2025</v>
      </c>
      <c r="L396" s="24" t="s">
        <v>78</v>
      </c>
      <c r="M396" s="26">
        <v>1</v>
      </c>
      <c r="N396" s="25">
        <v>25</v>
      </c>
      <c r="O396" s="27">
        <v>25</v>
      </c>
      <c r="P396" s="22" t="s">
        <v>3831</v>
      </c>
    </row>
    <row r="397" spans="1:16" s="22" customFormat="1" ht="15" customHeight="1" x14ac:dyDescent="0.2">
      <c r="A397" s="22" t="s">
        <v>3800</v>
      </c>
      <c r="B397" s="28" t="s">
        <v>3821</v>
      </c>
      <c r="C397" s="23">
        <v>1</v>
      </c>
      <c r="D397" s="23">
        <v>921775834</v>
      </c>
      <c r="E397" s="23">
        <v>921775834</v>
      </c>
      <c r="F397" s="24" t="s">
        <v>2958</v>
      </c>
      <c r="G397" s="23">
        <v>0</v>
      </c>
      <c r="H397" s="23">
        <v>20250301</v>
      </c>
      <c r="I397" s="23" t="str">
        <f>TEXT(DATE(LEFT(H397,4), MID(H397,5,2), RIGHT(H397,2)), "M/d/yyyy")</f>
        <v>3/1/2025</v>
      </c>
      <c r="J397" s="25">
        <v>20250201</v>
      </c>
      <c r="K397" s="23" t="str">
        <f>TEXT(DATE(LEFT(J397,4), MID(J397,5,2), RIGHT(J397,2)), "M/d/yyyy")</f>
        <v>2/1/2025</v>
      </c>
      <c r="L397" s="24" t="s">
        <v>78</v>
      </c>
      <c r="M397" s="26">
        <v>1</v>
      </c>
      <c r="N397" s="25">
        <v>25</v>
      </c>
      <c r="O397" s="27">
        <v>25</v>
      </c>
      <c r="P397" s="22" t="s">
        <v>3831</v>
      </c>
    </row>
    <row r="398" spans="1:16" s="22" customFormat="1" ht="15" customHeight="1" x14ac:dyDescent="0.2">
      <c r="A398" s="22" t="s">
        <v>3800</v>
      </c>
      <c r="B398" s="28" t="s">
        <v>3821</v>
      </c>
      <c r="C398" s="23">
        <v>1</v>
      </c>
      <c r="D398" s="23">
        <v>921776028</v>
      </c>
      <c r="E398" s="23">
        <v>921776028</v>
      </c>
      <c r="F398" s="24" t="s">
        <v>2960</v>
      </c>
      <c r="G398" s="23">
        <v>0</v>
      </c>
      <c r="H398" s="23">
        <v>20250301</v>
      </c>
      <c r="I398" s="23" t="str">
        <f>TEXT(DATE(LEFT(H398,4), MID(H398,5,2), RIGHT(H398,2)), "M/d/yyyy")</f>
        <v>3/1/2025</v>
      </c>
      <c r="J398" s="25">
        <v>20250201</v>
      </c>
      <c r="K398" s="23" t="str">
        <f>TEXT(DATE(LEFT(J398,4), MID(J398,5,2), RIGHT(J398,2)), "M/d/yyyy")</f>
        <v>2/1/2025</v>
      </c>
      <c r="L398" s="24" t="s">
        <v>78</v>
      </c>
      <c r="M398" s="26">
        <v>1</v>
      </c>
      <c r="N398" s="25">
        <v>25</v>
      </c>
      <c r="O398" s="27">
        <v>25</v>
      </c>
      <c r="P398" s="22" t="s">
        <v>3831</v>
      </c>
    </row>
    <row r="399" spans="1:16" s="22" customFormat="1" ht="15" customHeight="1" x14ac:dyDescent="0.2">
      <c r="A399" s="22" t="s">
        <v>3800</v>
      </c>
      <c r="B399" s="28" t="s">
        <v>3821</v>
      </c>
      <c r="C399" s="23">
        <v>1</v>
      </c>
      <c r="D399" s="23">
        <v>921776332</v>
      </c>
      <c r="E399" s="23">
        <v>921776332</v>
      </c>
      <c r="F399" s="24" t="s">
        <v>2962</v>
      </c>
      <c r="G399" s="23">
        <v>0</v>
      </c>
      <c r="H399" s="23">
        <v>20250301</v>
      </c>
      <c r="I399" s="23" t="str">
        <f>TEXT(DATE(LEFT(H399,4), MID(H399,5,2), RIGHT(H399,2)), "M/d/yyyy")</f>
        <v>3/1/2025</v>
      </c>
      <c r="J399" s="25">
        <v>20250201</v>
      </c>
      <c r="K399" s="23" t="str">
        <f>TEXT(DATE(LEFT(J399,4), MID(J399,5,2), RIGHT(J399,2)), "M/d/yyyy")</f>
        <v>2/1/2025</v>
      </c>
      <c r="L399" s="24" t="s">
        <v>78</v>
      </c>
      <c r="M399" s="26">
        <v>1</v>
      </c>
      <c r="N399" s="25">
        <v>25</v>
      </c>
      <c r="O399" s="27">
        <v>25</v>
      </c>
      <c r="P399" s="22" t="s">
        <v>3831</v>
      </c>
    </row>
    <row r="400" spans="1:16" s="22" customFormat="1" ht="15" customHeight="1" x14ac:dyDescent="0.2">
      <c r="A400" s="22" t="s">
        <v>3800</v>
      </c>
      <c r="B400" s="28" t="s">
        <v>3821</v>
      </c>
      <c r="C400" s="23">
        <v>2</v>
      </c>
      <c r="D400" s="23">
        <v>921733907</v>
      </c>
      <c r="E400" s="23">
        <v>921733907</v>
      </c>
      <c r="F400" s="24" t="s">
        <v>95</v>
      </c>
      <c r="G400" s="23">
        <v>0</v>
      </c>
      <c r="H400" s="23">
        <v>20250301</v>
      </c>
      <c r="I400" s="23" t="str">
        <f>TEXT(DATE(LEFT(H400,4), MID(H400,5,2), RIGHT(H400,2)), "M/d/yyyy")</f>
        <v>3/1/2025</v>
      </c>
      <c r="J400" s="25">
        <v>20240901</v>
      </c>
      <c r="K400" s="23" t="str">
        <f>TEXT(DATE(LEFT(J400,4), MID(J400,5,2), RIGHT(J400,2)), "M/d/yyyy")</f>
        <v>9/1/2024</v>
      </c>
      <c r="L400" s="24" t="s">
        <v>78</v>
      </c>
      <c r="M400" s="26">
        <v>1</v>
      </c>
      <c r="N400" s="25">
        <v>25</v>
      </c>
      <c r="O400" s="27">
        <v>50</v>
      </c>
      <c r="P400" s="22" t="s">
        <v>3831</v>
      </c>
    </row>
    <row r="401" spans="1:16" s="22" customFormat="1" ht="15" customHeight="1" x14ac:dyDescent="0.2">
      <c r="A401" s="22" t="s">
        <v>3800</v>
      </c>
      <c r="B401" s="28" t="s">
        <v>3821</v>
      </c>
      <c r="C401" s="23">
        <v>2</v>
      </c>
      <c r="D401" s="23">
        <v>921760611</v>
      </c>
      <c r="E401" s="23">
        <v>921760611</v>
      </c>
      <c r="F401" s="24" t="s">
        <v>2940</v>
      </c>
      <c r="G401" s="23">
        <v>0</v>
      </c>
      <c r="H401" s="23">
        <v>20250301</v>
      </c>
      <c r="I401" s="23" t="str">
        <f>TEXT(DATE(LEFT(H401,4), MID(H401,5,2), RIGHT(H401,2)), "M/d/yyyy")</f>
        <v>3/1/2025</v>
      </c>
      <c r="J401" s="25">
        <v>20250101</v>
      </c>
      <c r="K401" s="23" t="str">
        <f>TEXT(DATE(LEFT(J401,4), MID(J401,5,2), RIGHT(J401,2)), "M/d/yyyy")</f>
        <v>1/1/2025</v>
      </c>
      <c r="L401" s="24" t="s">
        <v>78</v>
      </c>
      <c r="M401" s="26">
        <v>1</v>
      </c>
      <c r="N401" s="25">
        <v>25</v>
      </c>
      <c r="O401" s="27">
        <v>50</v>
      </c>
      <c r="P401" s="22" t="s">
        <v>3831</v>
      </c>
    </row>
    <row r="402" spans="1:16" s="22" customFormat="1" ht="15" customHeight="1" x14ac:dyDescent="0.2">
      <c r="A402" s="22" t="s">
        <v>3800</v>
      </c>
      <c r="B402" s="28" t="s">
        <v>3821</v>
      </c>
      <c r="C402" s="23">
        <v>2</v>
      </c>
      <c r="D402" s="23">
        <v>921769307</v>
      </c>
      <c r="E402" s="23">
        <v>921769307</v>
      </c>
      <c r="F402" s="24" t="s">
        <v>2948</v>
      </c>
      <c r="G402" s="23">
        <v>0</v>
      </c>
      <c r="H402" s="23">
        <v>20250201</v>
      </c>
      <c r="I402" s="23" t="str">
        <f>TEXT(DATE(LEFT(H402,4), MID(H402,5,2), RIGHT(H402,2)), "M/d/yyyy")</f>
        <v>2/1/2025</v>
      </c>
      <c r="J402" s="25">
        <v>20250101</v>
      </c>
      <c r="K402" s="23" t="str">
        <f>TEXT(DATE(LEFT(J402,4), MID(J402,5,2), RIGHT(J402,2)), "M/d/yyyy")</f>
        <v>1/1/2025</v>
      </c>
      <c r="L402" s="24" t="s">
        <v>78</v>
      </c>
      <c r="M402" s="26">
        <v>1</v>
      </c>
      <c r="N402" s="25">
        <v>25</v>
      </c>
      <c r="O402" s="27">
        <v>50</v>
      </c>
      <c r="P402" s="22" t="s">
        <v>3831</v>
      </c>
    </row>
    <row r="403" spans="1:16" s="22" customFormat="1" ht="15" customHeight="1" x14ac:dyDescent="0.2">
      <c r="A403" s="22" t="s">
        <v>3784</v>
      </c>
      <c r="B403" s="22">
        <v>8244481</v>
      </c>
      <c r="C403" s="24" t="s">
        <v>1557</v>
      </c>
      <c r="D403" s="23">
        <v>921681069</v>
      </c>
      <c r="E403" s="23">
        <v>921681069</v>
      </c>
      <c r="F403" s="24" t="s">
        <v>1559</v>
      </c>
      <c r="G403" s="23">
        <v>0</v>
      </c>
      <c r="H403" s="23">
        <v>20250201</v>
      </c>
      <c r="I403" s="23" t="str">
        <f>TEXT(DATE(LEFT(H403,4), MID(H403,5,2), RIGHT(H403,2)), "M/d/yyyy")</f>
        <v>2/1/2025</v>
      </c>
      <c r="J403" s="25">
        <v>20241101</v>
      </c>
      <c r="K403" s="23" t="str">
        <f>TEXT(DATE(LEFT(J403,4), MID(J403,5,2), RIGHT(J403,2)), "M/d/yyyy")</f>
        <v>11/1/2024</v>
      </c>
      <c r="L403" s="24" t="s">
        <v>78</v>
      </c>
      <c r="M403" s="26">
        <v>1</v>
      </c>
      <c r="N403" s="25">
        <v>25</v>
      </c>
      <c r="O403" s="27">
        <v>-50</v>
      </c>
      <c r="P403" s="22" t="s">
        <v>3831</v>
      </c>
    </row>
    <row r="404" spans="1:16" s="22" customFormat="1" ht="15" customHeight="1" x14ac:dyDescent="0.2">
      <c r="A404" s="22" t="s">
        <v>3784</v>
      </c>
      <c r="B404" s="22">
        <v>8244481</v>
      </c>
      <c r="C404" s="23">
        <v>1</v>
      </c>
      <c r="D404" s="23">
        <v>890146317</v>
      </c>
      <c r="E404" s="23">
        <v>890146317</v>
      </c>
      <c r="F404" s="24" t="s">
        <v>1318</v>
      </c>
      <c r="G404" s="23">
        <v>0</v>
      </c>
      <c r="H404" s="23">
        <v>20250301</v>
      </c>
      <c r="I404" s="23" t="str">
        <f>TEXT(DATE(LEFT(H404,4), MID(H404,5,2), RIGHT(H404,2)), "M/d/yyyy")</f>
        <v>3/1/2025</v>
      </c>
      <c r="J404" s="25">
        <v>20201101</v>
      </c>
      <c r="K404" s="23" t="str">
        <f>TEXT(DATE(LEFT(J404,4), MID(J404,5,2), RIGHT(J404,2)), "M/d/yyyy")</f>
        <v>11/1/2020</v>
      </c>
      <c r="L404" s="24" t="s">
        <v>78</v>
      </c>
      <c r="M404" s="26">
        <v>1</v>
      </c>
      <c r="N404" s="25">
        <v>20</v>
      </c>
      <c r="O404" s="27">
        <v>20</v>
      </c>
      <c r="P404" s="22" t="s">
        <v>3831</v>
      </c>
    </row>
    <row r="405" spans="1:16" s="22" customFormat="1" ht="15" customHeight="1" x14ac:dyDescent="0.2">
      <c r="A405" s="22" t="s">
        <v>3784</v>
      </c>
      <c r="B405" s="22">
        <v>8244481</v>
      </c>
      <c r="C405" s="23">
        <v>1</v>
      </c>
      <c r="D405" s="23">
        <v>890192808</v>
      </c>
      <c r="E405" s="23">
        <v>890192808</v>
      </c>
      <c r="F405" s="24" t="s">
        <v>1320</v>
      </c>
      <c r="G405" s="23">
        <v>0</v>
      </c>
      <c r="H405" s="23">
        <v>20250301</v>
      </c>
      <c r="I405" s="23" t="str">
        <f>TEXT(DATE(LEFT(H405,4), MID(H405,5,2), RIGHT(H405,2)), "M/d/yyyy")</f>
        <v>3/1/2025</v>
      </c>
      <c r="J405" s="25">
        <v>20140101</v>
      </c>
      <c r="K405" s="23" t="str">
        <f>TEXT(DATE(LEFT(J405,4), MID(J405,5,2), RIGHT(J405,2)), "M/d/yyyy")</f>
        <v>1/1/2014</v>
      </c>
      <c r="L405" s="24" t="s">
        <v>78</v>
      </c>
      <c r="M405" s="26">
        <v>1</v>
      </c>
      <c r="N405" s="25">
        <v>20</v>
      </c>
      <c r="O405" s="27">
        <v>20</v>
      </c>
      <c r="P405" s="22" t="s">
        <v>3831</v>
      </c>
    </row>
    <row r="406" spans="1:16" s="22" customFormat="1" ht="15" customHeight="1" x14ac:dyDescent="0.2">
      <c r="A406" s="22" t="s">
        <v>3784</v>
      </c>
      <c r="B406" s="22">
        <v>8244481</v>
      </c>
      <c r="C406" s="23">
        <v>1</v>
      </c>
      <c r="D406" s="23">
        <v>890547737</v>
      </c>
      <c r="E406" s="23">
        <v>890547737</v>
      </c>
      <c r="F406" s="24" t="s">
        <v>1324</v>
      </c>
      <c r="G406" s="23">
        <v>0</v>
      </c>
      <c r="H406" s="23">
        <v>20250301</v>
      </c>
      <c r="I406" s="23" t="str">
        <f>TEXT(DATE(LEFT(H406,4), MID(H406,5,2), RIGHT(H406,2)), "M/d/yyyy")</f>
        <v>3/1/2025</v>
      </c>
      <c r="J406" s="25">
        <v>20211001</v>
      </c>
      <c r="K406" s="23" t="str">
        <f>TEXT(DATE(LEFT(J406,4), MID(J406,5,2), RIGHT(J406,2)), "M/d/yyyy")</f>
        <v>10/1/2021</v>
      </c>
      <c r="L406" s="24" t="s">
        <v>78</v>
      </c>
      <c r="M406" s="26">
        <v>1</v>
      </c>
      <c r="N406" s="25">
        <v>20</v>
      </c>
      <c r="O406" s="27">
        <v>20</v>
      </c>
      <c r="P406" s="22" t="s">
        <v>3831</v>
      </c>
    </row>
    <row r="407" spans="1:16" s="22" customFormat="1" ht="15" customHeight="1" x14ac:dyDescent="0.2">
      <c r="A407" s="22" t="s">
        <v>3784</v>
      </c>
      <c r="B407" s="22">
        <v>8244481</v>
      </c>
      <c r="C407" s="23">
        <v>1</v>
      </c>
      <c r="D407" s="23">
        <v>890665955</v>
      </c>
      <c r="E407" s="23">
        <v>890665955</v>
      </c>
      <c r="F407" s="24" t="s">
        <v>1330</v>
      </c>
      <c r="G407" s="23">
        <v>0</v>
      </c>
      <c r="H407" s="23">
        <v>20250301</v>
      </c>
      <c r="I407" s="23" t="str">
        <f>TEXT(DATE(LEFT(H407,4), MID(H407,5,2), RIGHT(H407,2)), "M/d/yyyy")</f>
        <v>3/1/2025</v>
      </c>
      <c r="J407" s="25">
        <v>20210101</v>
      </c>
      <c r="K407" s="23" t="str">
        <f>TEXT(DATE(LEFT(J407,4), MID(J407,5,2), RIGHT(J407,2)), "M/d/yyyy")</f>
        <v>1/1/2021</v>
      </c>
      <c r="L407" s="24" t="s">
        <v>78</v>
      </c>
      <c r="M407" s="26">
        <v>1</v>
      </c>
      <c r="N407" s="25">
        <v>20</v>
      </c>
      <c r="O407" s="27">
        <v>20</v>
      </c>
      <c r="P407" s="22" t="s">
        <v>3831</v>
      </c>
    </row>
    <row r="408" spans="1:16" s="22" customFormat="1" ht="15" customHeight="1" x14ac:dyDescent="0.2">
      <c r="A408" s="22" t="s">
        <v>3784</v>
      </c>
      <c r="B408" s="22">
        <v>8244481</v>
      </c>
      <c r="C408" s="23">
        <v>1</v>
      </c>
      <c r="D408" s="23">
        <v>920713089</v>
      </c>
      <c r="E408" s="23">
        <v>920713089</v>
      </c>
      <c r="F408" s="24" t="s">
        <v>1334</v>
      </c>
      <c r="G408" s="23">
        <v>0</v>
      </c>
      <c r="H408" s="23">
        <v>20250301</v>
      </c>
      <c r="I408" s="23" t="str">
        <f>TEXT(DATE(LEFT(H408,4), MID(H408,5,2), RIGHT(H408,2)), "M/d/yyyy")</f>
        <v>3/1/2025</v>
      </c>
      <c r="J408" s="25">
        <v>20221101</v>
      </c>
      <c r="K408" s="23" t="str">
        <f>TEXT(DATE(LEFT(J408,4), MID(J408,5,2), RIGHT(J408,2)), "M/d/yyyy")</f>
        <v>11/1/2022</v>
      </c>
      <c r="L408" s="24" t="s">
        <v>78</v>
      </c>
      <c r="M408" s="26">
        <v>1</v>
      </c>
      <c r="N408" s="25">
        <v>20</v>
      </c>
      <c r="O408" s="27">
        <v>20</v>
      </c>
      <c r="P408" s="22" t="s">
        <v>3831</v>
      </c>
    </row>
    <row r="409" spans="1:16" s="22" customFormat="1" ht="15" customHeight="1" x14ac:dyDescent="0.2">
      <c r="A409" s="22" t="s">
        <v>3784</v>
      </c>
      <c r="B409" s="22">
        <v>8244481</v>
      </c>
      <c r="C409" s="23">
        <v>1</v>
      </c>
      <c r="D409" s="23">
        <v>920781082</v>
      </c>
      <c r="E409" s="23">
        <v>920781082</v>
      </c>
      <c r="F409" s="24" t="s">
        <v>1338</v>
      </c>
      <c r="G409" s="23">
        <v>0</v>
      </c>
      <c r="H409" s="23">
        <v>20250301</v>
      </c>
      <c r="I409" s="23" t="str">
        <f>TEXT(DATE(LEFT(H409,4), MID(H409,5,2), RIGHT(H409,2)), "M/d/yyyy")</f>
        <v>3/1/2025</v>
      </c>
      <c r="J409" s="25">
        <v>20240201</v>
      </c>
      <c r="K409" s="23" t="str">
        <f>TEXT(DATE(LEFT(J409,4), MID(J409,5,2), RIGHT(J409,2)), "M/d/yyyy")</f>
        <v>2/1/2024</v>
      </c>
      <c r="L409" s="24" t="s">
        <v>78</v>
      </c>
      <c r="M409" s="26">
        <v>1</v>
      </c>
      <c r="N409" s="25">
        <v>20</v>
      </c>
      <c r="O409" s="27">
        <v>20</v>
      </c>
      <c r="P409" s="22" t="s">
        <v>3831</v>
      </c>
    </row>
    <row r="410" spans="1:16" s="22" customFormat="1" ht="15" customHeight="1" x14ac:dyDescent="0.2">
      <c r="A410" s="22" t="s">
        <v>3784</v>
      </c>
      <c r="B410" s="22">
        <v>8244481</v>
      </c>
      <c r="C410" s="23">
        <v>1</v>
      </c>
      <c r="D410" s="23">
        <v>920956771</v>
      </c>
      <c r="E410" s="23">
        <v>920956771</v>
      </c>
      <c r="F410" s="24" t="s">
        <v>1342</v>
      </c>
      <c r="G410" s="23">
        <v>0</v>
      </c>
      <c r="H410" s="23">
        <v>20250301</v>
      </c>
      <c r="I410" s="23" t="str">
        <f>TEXT(DATE(LEFT(H410,4), MID(H410,5,2), RIGHT(H410,2)), "M/d/yyyy")</f>
        <v>3/1/2025</v>
      </c>
      <c r="J410" s="25">
        <v>20141101</v>
      </c>
      <c r="K410" s="23" t="str">
        <f>TEXT(DATE(LEFT(J410,4), MID(J410,5,2), RIGHT(J410,2)), "M/d/yyyy")</f>
        <v>11/1/2014</v>
      </c>
      <c r="L410" s="24" t="s">
        <v>78</v>
      </c>
      <c r="M410" s="26">
        <v>1</v>
      </c>
      <c r="N410" s="25">
        <v>20</v>
      </c>
      <c r="O410" s="27">
        <v>20</v>
      </c>
      <c r="P410" s="22" t="s">
        <v>3831</v>
      </c>
    </row>
    <row r="411" spans="1:16" s="22" customFormat="1" ht="15" customHeight="1" x14ac:dyDescent="0.2">
      <c r="A411" s="22" t="s">
        <v>3784</v>
      </c>
      <c r="B411" s="22">
        <v>8244481</v>
      </c>
      <c r="C411" s="23">
        <v>1</v>
      </c>
      <c r="D411" s="23">
        <v>920991258</v>
      </c>
      <c r="E411" s="23">
        <v>920991258</v>
      </c>
      <c r="F411" s="24" t="s">
        <v>1346</v>
      </c>
      <c r="G411" s="23">
        <v>0</v>
      </c>
      <c r="H411" s="23">
        <v>20250301</v>
      </c>
      <c r="I411" s="23" t="str">
        <f>TEXT(DATE(LEFT(H411,4), MID(H411,5,2), RIGHT(H411,2)), "M/d/yyyy")</f>
        <v>3/1/2025</v>
      </c>
      <c r="J411" s="25">
        <v>20170101</v>
      </c>
      <c r="K411" s="23" t="str">
        <f>TEXT(DATE(LEFT(J411,4), MID(J411,5,2), RIGHT(J411,2)), "M/d/yyyy")</f>
        <v>1/1/2017</v>
      </c>
      <c r="L411" s="24" t="s">
        <v>78</v>
      </c>
      <c r="M411" s="26">
        <v>1</v>
      </c>
      <c r="N411" s="25">
        <v>20</v>
      </c>
      <c r="O411" s="27">
        <v>20</v>
      </c>
      <c r="P411" s="22" t="s">
        <v>3831</v>
      </c>
    </row>
    <row r="412" spans="1:16" s="22" customFormat="1" ht="15" customHeight="1" x14ac:dyDescent="0.2">
      <c r="A412" s="22" t="s">
        <v>3784</v>
      </c>
      <c r="B412" s="22">
        <v>8244481</v>
      </c>
      <c r="C412" s="23">
        <v>1</v>
      </c>
      <c r="D412" s="23">
        <v>921115801</v>
      </c>
      <c r="E412" s="23">
        <v>921115801</v>
      </c>
      <c r="F412" s="24" t="s">
        <v>1358</v>
      </c>
      <c r="G412" s="23">
        <v>0</v>
      </c>
      <c r="H412" s="23">
        <v>20250301</v>
      </c>
      <c r="I412" s="23" t="str">
        <f>TEXT(DATE(LEFT(H412,4), MID(H412,5,2), RIGHT(H412,2)), "M/d/yyyy")</f>
        <v>3/1/2025</v>
      </c>
      <c r="J412" s="25">
        <v>20150301</v>
      </c>
      <c r="K412" s="23" t="str">
        <f>TEXT(DATE(LEFT(J412,4), MID(J412,5,2), RIGHT(J412,2)), "M/d/yyyy")</f>
        <v>3/1/2015</v>
      </c>
      <c r="L412" s="24" t="s">
        <v>78</v>
      </c>
      <c r="M412" s="26">
        <v>1</v>
      </c>
      <c r="N412" s="25">
        <v>20</v>
      </c>
      <c r="O412" s="27">
        <v>20</v>
      </c>
      <c r="P412" s="22" t="s">
        <v>3831</v>
      </c>
    </row>
    <row r="413" spans="1:16" s="22" customFormat="1" ht="15" customHeight="1" x14ac:dyDescent="0.2">
      <c r="A413" s="22" t="s">
        <v>3784</v>
      </c>
      <c r="B413" s="22">
        <v>8244481</v>
      </c>
      <c r="C413" s="23">
        <v>1</v>
      </c>
      <c r="D413" s="23">
        <v>921293197</v>
      </c>
      <c r="E413" s="23">
        <v>921293197</v>
      </c>
      <c r="F413" s="24" t="s">
        <v>1376</v>
      </c>
      <c r="G413" s="23">
        <v>0</v>
      </c>
      <c r="H413" s="23">
        <v>20250301</v>
      </c>
      <c r="I413" s="23" t="str">
        <f>TEXT(DATE(LEFT(H413,4), MID(H413,5,2), RIGHT(H413,2)), "M/d/yyyy")</f>
        <v>3/1/2025</v>
      </c>
      <c r="J413" s="25">
        <v>20240201</v>
      </c>
      <c r="K413" s="23" t="str">
        <f>TEXT(DATE(LEFT(J413,4), MID(J413,5,2), RIGHT(J413,2)), "M/d/yyyy")</f>
        <v>2/1/2024</v>
      </c>
      <c r="L413" s="24" t="s">
        <v>78</v>
      </c>
      <c r="M413" s="26">
        <v>1</v>
      </c>
      <c r="N413" s="25">
        <v>20</v>
      </c>
      <c r="O413" s="27">
        <v>20</v>
      </c>
      <c r="P413" s="22" t="s">
        <v>3831</v>
      </c>
    </row>
    <row r="414" spans="1:16" s="22" customFormat="1" ht="15" customHeight="1" x14ac:dyDescent="0.2">
      <c r="A414" s="22" t="s">
        <v>3784</v>
      </c>
      <c r="B414" s="22">
        <v>8244481</v>
      </c>
      <c r="C414" s="23">
        <v>1</v>
      </c>
      <c r="D414" s="23">
        <v>921302391</v>
      </c>
      <c r="E414" s="23">
        <v>921302391</v>
      </c>
      <c r="F414" s="24" t="s">
        <v>1378</v>
      </c>
      <c r="G414" s="23">
        <v>0</v>
      </c>
      <c r="H414" s="23">
        <v>20250301</v>
      </c>
      <c r="I414" s="23" t="str">
        <f>TEXT(DATE(LEFT(H414,4), MID(H414,5,2), RIGHT(H414,2)), "M/d/yyyy")</f>
        <v>3/1/2025</v>
      </c>
      <c r="J414" s="25">
        <v>20220101</v>
      </c>
      <c r="K414" s="23" t="str">
        <f>TEXT(DATE(LEFT(J414,4), MID(J414,5,2), RIGHT(J414,2)), "M/d/yyyy")</f>
        <v>1/1/2022</v>
      </c>
      <c r="L414" s="24" t="s">
        <v>78</v>
      </c>
      <c r="M414" s="26">
        <v>1</v>
      </c>
      <c r="N414" s="25">
        <v>20</v>
      </c>
      <c r="O414" s="27">
        <v>20</v>
      </c>
      <c r="P414" s="22" t="s">
        <v>3831</v>
      </c>
    </row>
    <row r="415" spans="1:16" s="22" customFormat="1" ht="15" customHeight="1" x14ac:dyDescent="0.2">
      <c r="A415" s="22" t="s">
        <v>3784</v>
      </c>
      <c r="B415" s="22">
        <v>8244481</v>
      </c>
      <c r="C415" s="23">
        <v>1</v>
      </c>
      <c r="D415" s="23">
        <v>921329087</v>
      </c>
      <c r="E415" s="23">
        <v>921329087</v>
      </c>
      <c r="F415" s="24" t="s">
        <v>1382</v>
      </c>
      <c r="G415" s="23">
        <v>0</v>
      </c>
      <c r="H415" s="23">
        <v>20250301</v>
      </c>
      <c r="I415" s="23" t="str">
        <f>TEXT(DATE(LEFT(H415,4), MID(H415,5,2), RIGHT(H415,2)), "M/d/yyyy")</f>
        <v>3/1/2025</v>
      </c>
      <c r="J415" s="25">
        <v>20170101</v>
      </c>
      <c r="K415" s="23" t="str">
        <f>TEXT(DATE(LEFT(J415,4), MID(J415,5,2), RIGHT(J415,2)), "M/d/yyyy")</f>
        <v>1/1/2017</v>
      </c>
      <c r="L415" s="24" t="s">
        <v>78</v>
      </c>
      <c r="M415" s="26">
        <v>1</v>
      </c>
      <c r="N415" s="25">
        <v>20</v>
      </c>
      <c r="O415" s="27">
        <v>20</v>
      </c>
      <c r="P415" s="22" t="s">
        <v>3831</v>
      </c>
    </row>
    <row r="416" spans="1:16" s="22" customFormat="1" ht="15" customHeight="1" x14ac:dyDescent="0.2">
      <c r="A416" s="22" t="s">
        <v>3784</v>
      </c>
      <c r="B416" s="22">
        <v>8244481</v>
      </c>
      <c r="C416" s="23">
        <v>1</v>
      </c>
      <c r="D416" s="23">
        <v>921337845</v>
      </c>
      <c r="E416" s="23">
        <v>921337845</v>
      </c>
      <c r="F416" s="24" t="s">
        <v>1384</v>
      </c>
      <c r="G416" s="23">
        <v>0</v>
      </c>
      <c r="H416" s="23">
        <v>20250301</v>
      </c>
      <c r="I416" s="23" t="str">
        <f>TEXT(DATE(LEFT(H416,4), MID(H416,5,2), RIGHT(H416,2)), "M/d/yyyy")</f>
        <v>3/1/2025</v>
      </c>
      <c r="J416" s="25">
        <v>20240201</v>
      </c>
      <c r="K416" s="23" t="str">
        <f>TEXT(DATE(LEFT(J416,4), MID(J416,5,2), RIGHT(J416,2)), "M/d/yyyy")</f>
        <v>2/1/2024</v>
      </c>
      <c r="L416" s="24" t="s">
        <v>78</v>
      </c>
      <c r="M416" s="26">
        <v>1</v>
      </c>
      <c r="N416" s="25">
        <v>20</v>
      </c>
      <c r="O416" s="27">
        <v>20</v>
      </c>
      <c r="P416" s="22" t="s">
        <v>3831</v>
      </c>
    </row>
    <row r="417" spans="1:16" s="22" customFormat="1" ht="15" customHeight="1" x14ac:dyDescent="0.2">
      <c r="A417" s="22" t="s">
        <v>3784</v>
      </c>
      <c r="B417" s="22">
        <v>8244481</v>
      </c>
      <c r="C417" s="23">
        <v>1</v>
      </c>
      <c r="D417" s="23">
        <v>921345845</v>
      </c>
      <c r="E417" s="23">
        <v>921345845</v>
      </c>
      <c r="F417" s="24" t="s">
        <v>1386</v>
      </c>
      <c r="G417" s="23">
        <v>0</v>
      </c>
      <c r="H417" s="23">
        <v>20250301</v>
      </c>
      <c r="I417" s="23" t="str">
        <f>TEXT(DATE(LEFT(H417,4), MID(H417,5,2), RIGHT(H417,2)), "M/d/yyyy")</f>
        <v>3/1/2025</v>
      </c>
      <c r="J417" s="25">
        <v>20240101</v>
      </c>
      <c r="K417" s="23" t="str">
        <f>TEXT(DATE(LEFT(J417,4), MID(J417,5,2), RIGHT(J417,2)), "M/d/yyyy")</f>
        <v>1/1/2024</v>
      </c>
      <c r="L417" s="24" t="s">
        <v>78</v>
      </c>
      <c r="M417" s="26">
        <v>1</v>
      </c>
      <c r="N417" s="25">
        <v>20</v>
      </c>
      <c r="O417" s="27">
        <v>20</v>
      </c>
      <c r="P417" s="22" t="s">
        <v>3831</v>
      </c>
    </row>
    <row r="418" spans="1:16" s="22" customFormat="1" ht="15" customHeight="1" x14ac:dyDescent="0.2">
      <c r="A418" s="22" t="s">
        <v>3784</v>
      </c>
      <c r="B418" s="22">
        <v>8244481</v>
      </c>
      <c r="C418" s="23">
        <v>1</v>
      </c>
      <c r="D418" s="23">
        <v>921366675</v>
      </c>
      <c r="E418" s="23">
        <v>921366675</v>
      </c>
      <c r="F418" s="24" t="s">
        <v>1400</v>
      </c>
      <c r="G418" s="23">
        <v>0</v>
      </c>
      <c r="H418" s="23">
        <v>20250301</v>
      </c>
      <c r="I418" s="23" t="str">
        <f>TEXT(DATE(LEFT(H418,4), MID(H418,5,2), RIGHT(H418,2)), "M/d/yyyy")</f>
        <v>3/1/2025</v>
      </c>
      <c r="J418" s="25">
        <v>20171101</v>
      </c>
      <c r="K418" s="23" t="str">
        <f>TEXT(DATE(LEFT(J418,4), MID(J418,5,2), RIGHT(J418,2)), "M/d/yyyy")</f>
        <v>11/1/2017</v>
      </c>
      <c r="L418" s="24" t="s">
        <v>78</v>
      </c>
      <c r="M418" s="26">
        <v>1</v>
      </c>
      <c r="N418" s="25">
        <v>20</v>
      </c>
      <c r="O418" s="27">
        <v>20</v>
      </c>
      <c r="P418" s="22" t="s">
        <v>3831</v>
      </c>
    </row>
    <row r="419" spans="1:16" s="22" customFormat="1" ht="15" customHeight="1" x14ac:dyDescent="0.2">
      <c r="A419" s="22" t="s">
        <v>3784</v>
      </c>
      <c r="B419" s="22">
        <v>8244481</v>
      </c>
      <c r="C419" s="23">
        <v>1</v>
      </c>
      <c r="D419" s="23">
        <v>921376684</v>
      </c>
      <c r="E419" s="23">
        <v>921376684</v>
      </c>
      <c r="F419" s="24" t="s">
        <v>1408</v>
      </c>
      <c r="G419" s="23">
        <v>0</v>
      </c>
      <c r="H419" s="23">
        <v>20250301</v>
      </c>
      <c r="I419" s="23" t="str">
        <f>TEXT(DATE(LEFT(H419,4), MID(H419,5,2), RIGHT(H419,2)), "M/d/yyyy")</f>
        <v>3/1/2025</v>
      </c>
      <c r="J419" s="25">
        <v>20200501</v>
      </c>
      <c r="K419" s="23" t="str">
        <f>TEXT(DATE(LEFT(J419,4), MID(J419,5,2), RIGHT(J419,2)), "M/d/yyyy")</f>
        <v>5/1/2020</v>
      </c>
      <c r="L419" s="24" t="s">
        <v>78</v>
      </c>
      <c r="M419" s="26">
        <v>1</v>
      </c>
      <c r="N419" s="25">
        <v>20</v>
      </c>
      <c r="O419" s="27">
        <v>20</v>
      </c>
      <c r="P419" s="22" t="s">
        <v>3831</v>
      </c>
    </row>
    <row r="420" spans="1:16" s="22" customFormat="1" ht="15" customHeight="1" x14ac:dyDescent="0.2">
      <c r="A420" s="22" t="s">
        <v>3784</v>
      </c>
      <c r="B420" s="22">
        <v>8244481</v>
      </c>
      <c r="C420" s="23">
        <v>1</v>
      </c>
      <c r="D420" s="23">
        <v>921385021</v>
      </c>
      <c r="E420" s="23">
        <v>921385021</v>
      </c>
      <c r="F420" s="24" t="s">
        <v>1412</v>
      </c>
      <c r="G420" s="23">
        <v>0</v>
      </c>
      <c r="H420" s="23">
        <v>20250201</v>
      </c>
      <c r="I420" s="23" t="str">
        <f>TEXT(DATE(LEFT(H420,4), MID(H420,5,2), RIGHT(H420,2)), "M/d/yyyy")</f>
        <v>2/1/2025</v>
      </c>
      <c r="J420" s="25">
        <v>20210901</v>
      </c>
      <c r="K420" s="23" t="str">
        <f>TEXT(DATE(LEFT(J420,4), MID(J420,5,2), RIGHT(J420,2)), "M/d/yyyy")</f>
        <v>9/1/2021</v>
      </c>
      <c r="L420" s="24" t="s">
        <v>78</v>
      </c>
      <c r="M420" s="26">
        <v>1</v>
      </c>
      <c r="N420" s="25">
        <v>20</v>
      </c>
      <c r="O420" s="27">
        <v>20</v>
      </c>
      <c r="P420" s="22" t="s">
        <v>3831</v>
      </c>
    </row>
    <row r="421" spans="1:16" s="22" customFormat="1" ht="15" customHeight="1" x14ac:dyDescent="0.2">
      <c r="A421" s="22" t="s">
        <v>3784</v>
      </c>
      <c r="B421" s="22">
        <v>8244481</v>
      </c>
      <c r="C421" s="23">
        <v>1</v>
      </c>
      <c r="D421" s="23">
        <v>921402034</v>
      </c>
      <c r="E421" s="23">
        <v>921402034</v>
      </c>
      <c r="F421" s="24" t="s">
        <v>1418</v>
      </c>
      <c r="G421" s="23">
        <v>0</v>
      </c>
      <c r="H421" s="23">
        <v>20250301</v>
      </c>
      <c r="I421" s="23" t="str">
        <f>TEXT(DATE(LEFT(H421,4), MID(H421,5,2), RIGHT(H421,2)), "M/d/yyyy")</f>
        <v>3/1/2025</v>
      </c>
      <c r="J421" s="25">
        <v>20180101</v>
      </c>
      <c r="K421" s="23" t="str">
        <f>TEXT(DATE(LEFT(J421,4), MID(J421,5,2), RIGHT(J421,2)), "M/d/yyyy")</f>
        <v>1/1/2018</v>
      </c>
      <c r="L421" s="24" t="s">
        <v>78</v>
      </c>
      <c r="M421" s="26">
        <v>1</v>
      </c>
      <c r="N421" s="25">
        <v>20</v>
      </c>
      <c r="O421" s="27">
        <v>20</v>
      </c>
      <c r="P421" s="22" t="s">
        <v>3831</v>
      </c>
    </row>
    <row r="422" spans="1:16" s="22" customFormat="1" ht="15" customHeight="1" x14ac:dyDescent="0.2">
      <c r="A422" s="22" t="s">
        <v>3784</v>
      </c>
      <c r="B422" s="22">
        <v>8244481</v>
      </c>
      <c r="C422" s="23">
        <v>1</v>
      </c>
      <c r="D422" s="23">
        <v>921443188</v>
      </c>
      <c r="E422" s="23">
        <v>921443188</v>
      </c>
      <c r="F422" s="24" t="s">
        <v>1424</v>
      </c>
      <c r="G422" s="23">
        <v>0</v>
      </c>
      <c r="H422" s="23">
        <v>20250301</v>
      </c>
      <c r="I422" s="23" t="str">
        <f>TEXT(DATE(LEFT(H422,4), MID(H422,5,2), RIGHT(H422,2)), "M/d/yyyy")</f>
        <v>3/1/2025</v>
      </c>
      <c r="J422" s="25">
        <v>20190101</v>
      </c>
      <c r="K422" s="23" t="str">
        <f>TEXT(DATE(LEFT(J422,4), MID(J422,5,2), RIGHT(J422,2)), "M/d/yyyy")</f>
        <v>1/1/2019</v>
      </c>
      <c r="L422" s="24" t="s">
        <v>78</v>
      </c>
      <c r="M422" s="26">
        <v>1</v>
      </c>
      <c r="N422" s="25">
        <v>20</v>
      </c>
      <c r="O422" s="27">
        <v>20</v>
      </c>
      <c r="P422" s="22" t="s">
        <v>3831</v>
      </c>
    </row>
    <row r="423" spans="1:16" s="22" customFormat="1" ht="15" customHeight="1" x14ac:dyDescent="0.2">
      <c r="A423" s="22" t="s">
        <v>3784</v>
      </c>
      <c r="B423" s="22">
        <v>8244481</v>
      </c>
      <c r="C423" s="23">
        <v>1</v>
      </c>
      <c r="D423" s="23">
        <v>921458282</v>
      </c>
      <c r="E423" s="23">
        <v>921458282</v>
      </c>
      <c r="F423" s="24" t="s">
        <v>1434</v>
      </c>
      <c r="G423" s="23">
        <v>0</v>
      </c>
      <c r="H423" s="23">
        <v>20250201</v>
      </c>
      <c r="I423" s="23" t="str">
        <f>TEXT(DATE(LEFT(H423,4), MID(H423,5,2), RIGHT(H423,2)), "M/d/yyyy")</f>
        <v>2/1/2025</v>
      </c>
      <c r="J423" s="25">
        <v>20190101</v>
      </c>
      <c r="K423" s="23" t="str">
        <f>TEXT(DATE(LEFT(J423,4), MID(J423,5,2), RIGHT(J423,2)), "M/d/yyyy")</f>
        <v>1/1/2019</v>
      </c>
      <c r="L423" s="24" t="s">
        <v>78</v>
      </c>
      <c r="M423" s="26">
        <v>1</v>
      </c>
      <c r="N423" s="25">
        <v>20</v>
      </c>
      <c r="O423" s="27">
        <v>20</v>
      </c>
      <c r="P423" s="22" t="s">
        <v>3831</v>
      </c>
    </row>
    <row r="424" spans="1:16" s="22" customFormat="1" ht="15" customHeight="1" x14ac:dyDescent="0.2">
      <c r="A424" s="22" t="s">
        <v>3784</v>
      </c>
      <c r="B424" s="22">
        <v>8244481</v>
      </c>
      <c r="C424" s="23">
        <v>1</v>
      </c>
      <c r="D424" s="23">
        <v>921482539</v>
      </c>
      <c r="E424" s="23">
        <v>921482539</v>
      </c>
      <c r="F424" s="24" t="s">
        <v>1437</v>
      </c>
      <c r="G424" s="23">
        <v>0</v>
      </c>
      <c r="H424" s="23">
        <v>20250301</v>
      </c>
      <c r="I424" s="23" t="str">
        <f>TEXT(DATE(LEFT(H424,4), MID(H424,5,2), RIGHT(H424,2)), "M/d/yyyy")</f>
        <v>3/1/2025</v>
      </c>
      <c r="J424" s="25">
        <v>20191001</v>
      </c>
      <c r="K424" s="23" t="str">
        <f>TEXT(DATE(LEFT(J424,4), MID(J424,5,2), RIGHT(J424,2)), "M/d/yyyy")</f>
        <v>10/1/2019</v>
      </c>
      <c r="L424" s="24" t="s">
        <v>78</v>
      </c>
      <c r="M424" s="26">
        <v>1</v>
      </c>
      <c r="N424" s="25">
        <v>20</v>
      </c>
      <c r="O424" s="27">
        <v>20</v>
      </c>
      <c r="P424" s="22" t="s">
        <v>3831</v>
      </c>
    </row>
    <row r="425" spans="1:16" s="22" customFormat="1" ht="15" customHeight="1" x14ac:dyDescent="0.2">
      <c r="A425" s="22" t="s">
        <v>3784</v>
      </c>
      <c r="B425" s="22">
        <v>8244481</v>
      </c>
      <c r="C425" s="23">
        <v>1</v>
      </c>
      <c r="D425" s="23">
        <v>921485403</v>
      </c>
      <c r="E425" s="23">
        <v>921485403</v>
      </c>
      <c r="F425" s="24" t="s">
        <v>1441</v>
      </c>
      <c r="G425" s="23">
        <v>0</v>
      </c>
      <c r="H425" s="23">
        <v>20250301</v>
      </c>
      <c r="I425" s="23" t="str">
        <f>TEXT(DATE(LEFT(H425,4), MID(H425,5,2), RIGHT(H425,2)), "M/d/yyyy")</f>
        <v>3/1/2025</v>
      </c>
      <c r="J425" s="25">
        <v>20191001</v>
      </c>
      <c r="K425" s="23" t="str">
        <f>TEXT(DATE(LEFT(J425,4), MID(J425,5,2), RIGHT(J425,2)), "M/d/yyyy")</f>
        <v>10/1/2019</v>
      </c>
      <c r="L425" s="24" t="s">
        <v>78</v>
      </c>
      <c r="M425" s="26">
        <v>1</v>
      </c>
      <c r="N425" s="25">
        <v>20</v>
      </c>
      <c r="O425" s="27">
        <v>20</v>
      </c>
      <c r="P425" s="22" t="s">
        <v>3831</v>
      </c>
    </row>
    <row r="426" spans="1:16" s="22" customFormat="1" ht="15" customHeight="1" x14ac:dyDescent="0.2">
      <c r="A426" s="22" t="s">
        <v>3784</v>
      </c>
      <c r="B426" s="22">
        <v>8244481</v>
      </c>
      <c r="C426" s="23">
        <v>1</v>
      </c>
      <c r="D426" s="23">
        <v>921490296</v>
      </c>
      <c r="E426" s="23">
        <v>921490296</v>
      </c>
      <c r="F426" s="24" t="s">
        <v>1443</v>
      </c>
      <c r="G426" s="23">
        <v>0</v>
      </c>
      <c r="H426" s="23">
        <v>20250301</v>
      </c>
      <c r="I426" s="23" t="str">
        <f>TEXT(DATE(LEFT(H426,4), MID(H426,5,2), RIGHT(H426,2)), "M/d/yyyy")</f>
        <v>3/1/2025</v>
      </c>
      <c r="J426" s="25">
        <v>20200101</v>
      </c>
      <c r="K426" s="23" t="str">
        <f>TEXT(DATE(LEFT(J426,4), MID(J426,5,2), RIGHT(J426,2)), "M/d/yyyy")</f>
        <v>1/1/2020</v>
      </c>
      <c r="L426" s="24" t="s">
        <v>78</v>
      </c>
      <c r="M426" s="26">
        <v>1</v>
      </c>
      <c r="N426" s="25">
        <v>20</v>
      </c>
      <c r="O426" s="27">
        <v>20</v>
      </c>
      <c r="P426" s="22" t="s">
        <v>3831</v>
      </c>
    </row>
    <row r="427" spans="1:16" s="22" customFormat="1" ht="15" customHeight="1" x14ac:dyDescent="0.2">
      <c r="A427" s="22" t="s">
        <v>3784</v>
      </c>
      <c r="B427" s="22">
        <v>8244481</v>
      </c>
      <c r="C427" s="23">
        <v>1</v>
      </c>
      <c r="D427" s="23">
        <v>921490296</v>
      </c>
      <c r="E427" s="23">
        <v>921490296</v>
      </c>
      <c r="F427" s="24" t="s">
        <v>1443</v>
      </c>
      <c r="G427" s="23">
        <v>0</v>
      </c>
      <c r="H427" s="23">
        <v>20250201</v>
      </c>
      <c r="I427" s="23" t="str">
        <f>TEXT(DATE(LEFT(H427,4), MID(H427,5,2), RIGHT(H427,2)), "M/d/yyyy")</f>
        <v>2/1/2025</v>
      </c>
      <c r="J427" s="25">
        <v>20200101</v>
      </c>
      <c r="K427" s="23" t="str">
        <f>TEXT(DATE(LEFT(J427,4), MID(J427,5,2), RIGHT(J427,2)), "M/d/yyyy")</f>
        <v>1/1/2020</v>
      </c>
      <c r="L427" s="24" t="s">
        <v>78</v>
      </c>
      <c r="M427" s="26">
        <v>1</v>
      </c>
      <c r="N427" s="25">
        <v>20</v>
      </c>
      <c r="O427" s="27">
        <v>20</v>
      </c>
      <c r="P427" s="22" t="s">
        <v>3831</v>
      </c>
    </row>
    <row r="428" spans="1:16" s="22" customFormat="1" ht="15" customHeight="1" x14ac:dyDescent="0.2">
      <c r="A428" s="22" t="s">
        <v>3784</v>
      </c>
      <c r="B428" s="22">
        <v>8244481</v>
      </c>
      <c r="C428" s="23">
        <v>1</v>
      </c>
      <c r="D428" s="23">
        <v>921492711</v>
      </c>
      <c r="E428" s="23">
        <v>921492711</v>
      </c>
      <c r="F428" s="24" t="s">
        <v>1445</v>
      </c>
      <c r="G428" s="23">
        <v>0</v>
      </c>
      <c r="H428" s="23">
        <v>20250301</v>
      </c>
      <c r="I428" s="23" t="str">
        <f>TEXT(DATE(LEFT(H428,4), MID(H428,5,2), RIGHT(H428,2)), "M/d/yyyy")</f>
        <v>3/1/2025</v>
      </c>
      <c r="J428" s="25">
        <v>20200101</v>
      </c>
      <c r="K428" s="23" t="str">
        <f>TEXT(DATE(LEFT(J428,4), MID(J428,5,2), RIGHT(J428,2)), "M/d/yyyy")</f>
        <v>1/1/2020</v>
      </c>
      <c r="L428" s="24" t="s">
        <v>78</v>
      </c>
      <c r="M428" s="26">
        <v>1</v>
      </c>
      <c r="N428" s="25">
        <v>20</v>
      </c>
      <c r="O428" s="27">
        <v>20</v>
      </c>
      <c r="P428" s="22" t="s">
        <v>3831</v>
      </c>
    </row>
    <row r="429" spans="1:16" s="22" customFormat="1" ht="15" customHeight="1" x14ac:dyDescent="0.2">
      <c r="A429" s="22" t="s">
        <v>3784</v>
      </c>
      <c r="B429" s="22">
        <v>8244481</v>
      </c>
      <c r="C429" s="23">
        <v>1</v>
      </c>
      <c r="D429" s="23">
        <v>921492749</v>
      </c>
      <c r="E429" s="23">
        <v>921492749</v>
      </c>
      <c r="F429" s="24" t="s">
        <v>1447</v>
      </c>
      <c r="G429" s="23">
        <v>0</v>
      </c>
      <c r="H429" s="23">
        <v>20250301</v>
      </c>
      <c r="I429" s="23" t="str">
        <f>TEXT(DATE(LEFT(H429,4), MID(H429,5,2), RIGHT(H429,2)), "M/d/yyyy")</f>
        <v>3/1/2025</v>
      </c>
      <c r="J429" s="25">
        <v>20200101</v>
      </c>
      <c r="K429" s="23" t="str">
        <f>TEXT(DATE(LEFT(J429,4), MID(J429,5,2), RIGHT(J429,2)), "M/d/yyyy")</f>
        <v>1/1/2020</v>
      </c>
      <c r="L429" s="24" t="s">
        <v>78</v>
      </c>
      <c r="M429" s="26">
        <v>1</v>
      </c>
      <c r="N429" s="25">
        <v>20</v>
      </c>
      <c r="O429" s="27">
        <v>20</v>
      </c>
      <c r="P429" s="22" t="s">
        <v>3831</v>
      </c>
    </row>
    <row r="430" spans="1:16" s="22" customFormat="1" ht="15" customHeight="1" x14ac:dyDescent="0.2">
      <c r="A430" s="22" t="s">
        <v>3784</v>
      </c>
      <c r="B430" s="22">
        <v>8244481</v>
      </c>
      <c r="C430" s="23">
        <v>1</v>
      </c>
      <c r="D430" s="23">
        <v>921492749</v>
      </c>
      <c r="E430" s="23">
        <v>921492749</v>
      </c>
      <c r="F430" s="24" t="s">
        <v>1447</v>
      </c>
      <c r="G430" s="23">
        <v>0</v>
      </c>
      <c r="H430" s="23">
        <v>20250201</v>
      </c>
      <c r="I430" s="23" t="str">
        <f>TEXT(DATE(LEFT(H430,4), MID(H430,5,2), RIGHT(H430,2)), "M/d/yyyy")</f>
        <v>2/1/2025</v>
      </c>
      <c r="J430" s="25">
        <v>20200101</v>
      </c>
      <c r="K430" s="23" t="str">
        <f>TEXT(DATE(LEFT(J430,4), MID(J430,5,2), RIGHT(J430,2)), "M/d/yyyy")</f>
        <v>1/1/2020</v>
      </c>
      <c r="L430" s="24" t="s">
        <v>78</v>
      </c>
      <c r="M430" s="26">
        <v>1</v>
      </c>
      <c r="N430" s="25">
        <v>20</v>
      </c>
      <c r="O430" s="27">
        <v>20</v>
      </c>
      <c r="P430" s="22" t="s">
        <v>3831</v>
      </c>
    </row>
    <row r="431" spans="1:16" s="22" customFormat="1" ht="15" customHeight="1" x14ac:dyDescent="0.2">
      <c r="A431" s="22" t="s">
        <v>3784</v>
      </c>
      <c r="B431" s="22">
        <v>8244481</v>
      </c>
      <c r="C431" s="23">
        <v>1</v>
      </c>
      <c r="D431" s="23">
        <v>921506263</v>
      </c>
      <c r="E431" s="23">
        <v>921506263</v>
      </c>
      <c r="F431" s="24" t="s">
        <v>1449</v>
      </c>
      <c r="G431" s="23">
        <v>0</v>
      </c>
      <c r="H431" s="23">
        <v>20250301</v>
      </c>
      <c r="I431" s="23" t="str">
        <f>TEXT(DATE(LEFT(H431,4), MID(H431,5,2), RIGHT(H431,2)), "M/d/yyyy")</f>
        <v>3/1/2025</v>
      </c>
      <c r="J431" s="25">
        <v>20200101</v>
      </c>
      <c r="K431" s="23" t="str">
        <f>TEXT(DATE(LEFT(J431,4), MID(J431,5,2), RIGHT(J431,2)), "M/d/yyyy")</f>
        <v>1/1/2020</v>
      </c>
      <c r="L431" s="24" t="s">
        <v>78</v>
      </c>
      <c r="M431" s="26">
        <v>1</v>
      </c>
      <c r="N431" s="25">
        <v>20</v>
      </c>
      <c r="O431" s="27">
        <v>20</v>
      </c>
      <c r="P431" s="22" t="s">
        <v>3831</v>
      </c>
    </row>
    <row r="432" spans="1:16" s="22" customFormat="1" ht="15" customHeight="1" x14ac:dyDescent="0.2">
      <c r="A432" s="22" t="s">
        <v>3784</v>
      </c>
      <c r="B432" s="22">
        <v>8244481</v>
      </c>
      <c r="C432" s="23">
        <v>1</v>
      </c>
      <c r="D432" s="23">
        <v>921508837</v>
      </c>
      <c r="E432" s="23">
        <v>921508837</v>
      </c>
      <c r="F432" s="24" t="s">
        <v>1451</v>
      </c>
      <c r="G432" s="23">
        <v>0</v>
      </c>
      <c r="H432" s="23">
        <v>20250301</v>
      </c>
      <c r="I432" s="23" t="str">
        <f>TEXT(DATE(LEFT(H432,4), MID(H432,5,2), RIGHT(H432,2)), "M/d/yyyy")</f>
        <v>3/1/2025</v>
      </c>
      <c r="J432" s="25">
        <v>20200101</v>
      </c>
      <c r="K432" s="23" t="str">
        <f>TEXT(DATE(LEFT(J432,4), MID(J432,5,2), RIGHT(J432,2)), "M/d/yyyy")</f>
        <v>1/1/2020</v>
      </c>
      <c r="L432" s="24" t="s">
        <v>78</v>
      </c>
      <c r="M432" s="26">
        <v>1</v>
      </c>
      <c r="N432" s="25">
        <v>20</v>
      </c>
      <c r="O432" s="27">
        <v>20</v>
      </c>
      <c r="P432" s="22" t="s">
        <v>3831</v>
      </c>
    </row>
    <row r="433" spans="1:16" s="22" customFormat="1" ht="15" customHeight="1" x14ac:dyDescent="0.2">
      <c r="A433" s="22" t="s">
        <v>3784</v>
      </c>
      <c r="B433" s="22">
        <v>8244481</v>
      </c>
      <c r="C433" s="23">
        <v>1</v>
      </c>
      <c r="D433" s="23">
        <v>921509319</v>
      </c>
      <c r="E433" s="23">
        <v>921509319</v>
      </c>
      <c r="F433" s="24" t="s">
        <v>1453</v>
      </c>
      <c r="G433" s="23">
        <v>0</v>
      </c>
      <c r="H433" s="23">
        <v>20250301</v>
      </c>
      <c r="I433" s="23" t="str">
        <f>TEXT(DATE(LEFT(H433,4), MID(H433,5,2), RIGHT(H433,2)), "M/d/yyyy")</f>
        <v>3/1/2025</v>
      </c>
      <c r="J433" s="25">
        <v>20200101</v>
      </c>
      <c r="K433" s="23" t="str">
        <f>TEXT(DATE(LEFT(J433,4), MID(J433,5,2), RIGHT(J433,2)), "M/d/yyyy")</f>
        <v>1/1/2020</v>
      </c>
      <c r="L433" s="24" t="s">
        <v>78</v>
      </c>
      <c r="M433" s="26">
        <v>1</v>
      </c>
      <c r="N433" s="25">
        <v>20</v>
      </c>
      <c r="O433" s="27">
        <v>20</v>
      </c>
      <c r="P433" s="22" t="s">
        <v>3831</v>
      </c>
    </row>
    <row r="434" spans="1:16" s="22" customFormat="1" ht="15" customHeight="1" x14ac:dyDescent="0.2">
      <c r="A434" s="22" t="s">
        <v>3784</v>
      </c>
      <c r="B434" s="22">
        <v>8244481</v>
      </c>
      <c r="C434" s="23">
        <v>1</v>
      </c>
      <c r="D434" s="23">
        <v>921516857</v>
      </c>
      <c r="E434" s="23">
        <v>921516857</v>
      </c>
      <c r="F434" s="24" t="s">
        <v>1459</v>
      </c>
      <c r="G434" s="23">
        <v>0</v>
      </c>
      <c r="H434" s="23">
        <v>20250301</v>
      </c>
      <c r="I434" s="23" t="str">
        <f>TEXT(DATE(LEFT(H434,4), MID(H434,5,2), RIGHT(H434,2)), "M/d/yyyy")</f>
        <v>3/1/2025</v>
      </c>
      <c r="J434" s="25">
        <v>20200401</v>
      </c>
      <c r="K434" s="23" t="str">
        <f>TEXT(DATE(LEFT(J434,4), MID(J434,5,2), RIGHT(J434,2)), "M/d/yyyy")</f>
        <v>4/1/2020</v>
      </c>
      <c r="L434" s="24" t="s">
        <v>78</v>
      </c>
      <c r="M434" s="26">
        <v>1</v>
      </c>
      <c r="N434" s="25">
        <v>20</v>
      </c>
      <c r="O434" s="27">
        <v>20</v>
      </c>
      <c r="P434" s="22" t="s">
        <v>3831</v>
      </c>
    </row>
    <row r="435" spans="1:16" s="22" customFormat="1" ht="15" customHeight="1" x14ac:dyDescent="0.2">
      <c r="A435" s="22" t="s">
        <v>3784</v>
      </c>
      <c r="B435" s="22">
        <v>8244481</v>
      </c>
      <c r="C435" s="23">
        <v>1</v>
      </c>
      <c r="D435" s="23">
        <v>921528619</v>
      </c>
      <c r="E435" s="23">
        <v>921528619</v>
      </c>
      <c r="F435" s="24" t="s">
        <v>1467</v>
      </c>
      <c r="G435" s="23">
        <v>0</v>
      </c>
      <c r="H435" s="23">
        <v>20250301</v>
      </c>
      <c r="I435" s="23" t="str">
        <f>TEXT(DATE(LEFT(H435,4), MID(H435,5,2), RIGHT(H435,2)), "M/d/yyyy")</f>
        <v>3/1/2025</v>
      </c>
      <c r="J435" s="25">
        <v>20240201</v>
      </c>
      <c r="K435" s="23" t="str">
        <f>TEXT(DATE(LEFT(J435,4), MID(J435,5,2), RIGHT(J435,2)), "M/d/yyyy")</f>
        <v>2/1/2024</v>
      </c>
      <c r="L435" s="24" t="s">
        <v>78</v>
      </c>
      <c r="M435" s="26">
        <v>1</v>
      </c>
      <c r="N435" s="25">
        <v>20</v>
      </c>
      <c r="O435" s="27">
        <v>20</v>
      </c>
      <c r="P435" s="22" t="s">
        <v>3831</v>
      </c>
    </row>
    <row r="436" spans="1:16" s="22" customFormat="1" ht="15" customHeight="1" x14ac:dyDescent="0.2">
      <c r="A436" s="22" t="s">
        <v>3784</v>
      </c>
      <c r="B436" s="22">
        <v>8244481</v>
      </c>
      <c r="C436" s="23">
        <v>1</v>
      </c>
      <c r="D436" s="23">
        <v>921559868</v>
      </c>
      <c r="E436" s="23">
        <v>921559868</v>
      </c>
      <c r="F436" s="24" t="s">
        <v>1475</v>
      </c>
      <c r="G436" s="23">
        <v>0</v>
      </c>
      <c r="H436" s="23">
        <v>20250301</v>
      </c>
      <c r="I436" s="23" t="str">
        <f>TEXT(DATE(LEFT(H436,4), MID(H436,5,2), RIGHT(H436,2)), "M/d/yyyy")</f>
        <v>3/1/2025</v>
      </c>
      <c r="J436" s="25">
        <v>20210401</v>
      </c>
      <c r="K436" s="23" t="str">
        <f>TEXT(DATE(LEFT(J436,4), MID(J436,5,2), RIGHT(J436,2)), "M/d/yyyy")</f>
        <v>4/1/2021</v>
      </c>
      <c r="L436" s="24" t="s">
        <v>78</v>
      </c>
      <c r="M436" s="26">
        <v>1</v>
      </c>
      <c r="N436" s="25">
        <v>20</v>
      </c>
      <c r="O436" s="27">
        <v>20</v>
      </c>
      <c r="P436" s="22" t="s">
        <v>3831</v>
      </c>
    </row>
    <row r="437" spans="1:16" s="22" customFormat="1" ht="15" customHeight="1" x14ac:dyDescent="0.2">
      <c r="A437" s="22" t="s">
        <v>3784</v>
      </c>
      <c r="B437" s="22">
        <v>8244481</v>
      </c>
      <c r="C437" s="23">
        <v>1</v>
      </c>
      <c r="D437" s="23">
        <v>921562213</v>
      </c>
      <c r="E437" s="23">
        <v>921562213</v>
      </c>
      <c r="F437" s="24" t="s">
        <v>1477</v>
      </c>
      <c r="G437" s="23">
        <v>0</v>
      </c>
      <c r="H437" s="23">
        <v>20250301</v>
      </c>
      <c r="I437" s="23" t="str">
        <f>TEXT(DATE(LEFT(H437,4), MID(H437,5,2), RIGHT(H437,2)), "M/d/yyyy")</f>
        <v>3/1/2025</v>
      </c>
      <c r="J437" s="25">
        <v>20210401</v>
      </c>
      <c r="K437" s="23" t="str">
        <f>TEXT(DATE(LEFT(J437,4), MID(J437,5,2), RIGHT(J437,2)), "M/d/yyyy")</f>
        <v>4/1/2021</v>
      </c>
      <c r="L437" s="24" t="s">
        <v>78</v>
      </c>
      <c r="M437" s="26">
        <v>1</v>
      </c>
      <c r="N437" s="25">
        <v>20</v>
      </c>
      <c r="O437" s="27">
        <v>20</v>
      </c>
      <c r="P437" s="22" t="s">
        <v>3831</v>
      </c>
    </row>
    <row r="438" spans="1:16" s="22" customFormat="1" ht="15" customHeight="1" x14ac:dyDescent="0.2">
      <c r="A438" s="22" t="s">
        <v>3784</v>
      </c>
      <c r="B438" s="22">
        <v>8244481</v>
      </c>
      <c r="C438" s="23">
        <v>1</v>
      </c>
      <c r="D438" s="23">
        <v>921582283</v>
      </c>
      <c r="E438" s="23">
        <v>921582283</v>
      </c>
      <c r="F438" s="24" t="s">
        <v>1485</v>
      </c>
      <c r="G438" s="23">
        <v>0</v>
      </c>
      <c r="H438" s="23">
        <v>20250201</v>
      </c>
      <c r="I438" s="23" t="str">
        <f>TEXT(DATE(LEFT(H438,4), MID(H438,5,2), RIGHT(H438,2)), "M/d/yyyy")</f>
        <v>2/1/2025</v>
      </c>
      <c r="J438" s="25">
        <v>20210901</v>
      </c>
      <c r="K438" s="23" t="str">
        <f>TEXT(DATE(LEFT(J438,4), MID(J438,5,2), RIGHT(J438,2)), "M/d/yyyy")</f>
        <v>9/1/2021</v>
      </c>
      <c r="L438" s="24" t="s">
        <v>78</v>
      </c>
      <c r="M438" s="26">
        <v>1</v>
      </c>
      <c r="N438" s="25">
        <v>20</v>
      </c>
      <c r="O438" s="27">
        <v>20</v>
      </c>
      <c r="P438" s="22" t="s">
        <v>3831</v>
      </c>
    </row>
    <row r="439" spans="1:16" s="22" customFormat="1" ht="15" customHeight="1" x14ac:dyDescent="0.2">
      <c r="A439" s="22" t="s">
        <v>3784</v>
      </c>
      <c r="B439" s="22">
        <v>8244481</v>
      </c>
      <c r="C439" s="23">
        <v>1</v>
      </c>
      <c r="D439" s="23">
        <v>921588098</v>
      </c>
      <c r="E439" s="23">
        <v>921588098</v>
      </c>
      <c r="F439" s="24" t="s">
        <v>1489</v>
      </c>
      <c r="G439" s="23">
        <v>0</v>
      </c>
      <c r="H439" s="23">
        <v>20250301</v>
      </c>
      <c r="I439" s="23" t="str">
        <f>TEXT(DATE(LEFT(H439,4), MID(H439,5,2), RIGHT(H439,2)), "M/d/yyyy")</f>
        <v>3/1/2025</v>
      </c>
      <c r="J439" s="25">
        <v>20211101</v>
      </c>
      <c r="K439" s="23" t="str">
        <f>TEXT(DATE(LEFT(J439,4), MID(J439,5,2), RIGHT(J439,2)), "M/d/yyyy")</f>
        <v>11/1/2021</v>
      </c>
      <c r="L439" s="24" t="s">
        <v>78</v>
      </c>
      <c r="M439" s="26">
        <v>1</v>
      </c>
      <c r="N439" s="25">
        <v>20</v>
      </c>
      <c r="O439" s="27">
        <v>20</v>
      </c>
      <c r="P439" s="22" t="s">
        <v>3831</v>
      </c>
    </row>
    <row r="440" spans="1:16" s="22" customFormat="1" ht="15" customHeight="1" x14ac:dyDescent="0.2">
      <c r="A440" s="22" t="s">
        <v>3784</v>
      </c>
      <c r="B440" s="22">
        <v>8244481</v>
      </c>
      <c r="C440" s="23">
        <v>1</v>
      </c>
      <c r="D440" s="23">
        <v>921588374</v>
      </c>
      <c r="E440" s="23">
        <v>921588374</v>
      </c>
      <c r="F440" s="24" t="s">
        <v>1491</v>
      </c>
      <c r="G440" s="23">
        <v>0</v>
      </c>
      <c r="H440" s="23">
        <v>20250301</v>
      </c>
      <c r="I440" s="23" t="str">
        <f>TEXT(DATE(LEFT(H440,4), MID(H440,5,2), RIGHT(H440,2)), "M/d/yyyy")</f>
        <v>3/1/2025</v>
      </c>
      <c r="J440" s="25">
        <v>20220101</v>
      </c>
      <c r="K440" s="23" t="str">
        <f>TEXT(DATE(LEFT(J440,4), MID(J440,5,2), RIGHT(J440,2)), "M/d/yyyy")</f>
        <v>1/1/2022</v>
      </c>
      <c r="L440" s="24" t="s">
        <v>78</v>
      </c>
      <c r="M440" s="26">
        <v>1</v>
      </c>
      <c r="N440" s="25">
        <v>20</v>
      </c>
      <c r="O440" s="27">
        <v>20</v>
      </c>
      <c r="P440" s="22" t="s">
        <v>3831</v>
      </c>
    </row>
    <row r="441" spans="1:16" s="22" customFormat="1" ht="15" customHeight="1" x14ac:dyDescent="0.2">
      <c r="A441" s="22" t="s">
        <v>3784</v>
      </c>
      <c r="B441" s="22">
        <v>8244481</v>
      </c>
      <c r="C441" s="23">
        <v>1</v>
      </c>
      <c r="D441" s="23">
        <v>921589183</v>
      </c>
      <c r="E441" s="23">
        <v>921589183</v>
      </c>
      <c r="F441" s="24" t="s">
        <v>1493</v>
      </c>
      <c r="G441" s="23">
        <v>0</v>
      </c>
      <c r="H441" s="23">
        <v>20250301</v>
      </c>
      <c r="I441" s="23" t="str">
        <f>TEXT(DATE(LEFT(H441,4), MID(H441,5,2), RIGHT(H441,2)), "M/d/yyyy")</f>
        <v>3/1/2025</v>
      </c>
      <c r="J441" s="25">
        <v>20211201</v>
      </c>
      <c r="K441" s="23" t="str">
        <f>TEXT(DATE(LEFT(J441,4), MID(J441,5,2), RIGHT(J441,2)), "M/d/yyyy")</f>
        <v>12/1/2021</v>
      </c>
      <c r="L441" s="24" t="s">
        <v>78</v>
      </c>
      <c r="M441" s="26">
        <v>1</v>
      </c>
      <c r="N441" s="25">
        <v>20</v>
      </c>
      <c r="O441" s="27">
        <v>20</v>
      </c>
      <c r="P441" s="22" t="s">
        <v>3831</v>
      </c>
    </row>
    <row r="442" spans="1:16" s="22" customFormat="1" ht="15" customHeight="1" x14ac:dyDescent="0.2">
      <c r="A442" s="22" t="s">
        <v>3784</v>
      </c>
      <c r="B442" s="22">
        <v>8244481</v>
      </c>
      <c r="C442" s="23">
        <v>1</v>
      </c>
      <c r="D442" s="23">
        <v>921612308</v>
      </c>
      <c r="E442" s="23">
        <v>921612308</v>
      </c>
      <c r="F442" s="24" t="s">
        <v>1497</v>
      </c>
      <c r="G442" s="23">
        <v>0</v>
      </c>
      <c r="H442" s="23">
        <v>20250301</v>
      </c>
      <c r="I442" s="23" t="str">
        <f>TEXT(DATE(LEFT(H442,4), MID(H442,5,2), RIGHT(H442,2)), "M/d/yyyy")</f>
        <v>3/1/2025</v>
      </c>
      <c r="J442" s="25">
        <v>20220501</v>
      </c>
      <c r="K442" s="23" t="str">
        <f>TEXT(DATE(LEFT(J442,4), MID(J442,5,2), RIGHT(J442,2)), "M/d/yyyy")</f>
        <v>5/1/2022</v>
      </c>
      <c r="L442" s="24" t="s">
        <v>78</v>
      </c>
      <c r="M442" s="26">
        <v>1</v>
      </c>
      <c r="N442" s="25">
        <v>20</v>
      </c>
      <c r="O442" s="27">
        <v>20</v>
      </c>
      <c r="P442" s="22" t="s">
        <v>3831</v>
      </c>
    </row>
    <row r="443" spans="1:16" s="22" customFormat="1" ht="15" customHeight="1" x14ac:dyDescent="0.2">
      <c r="A443" s="22" t="s">
        <v>3784</v>
      </c>
      <c r="B443" s="22">
        <v>8244481</v>
      </c>
      <c r="C443" s="23">
        <v>1</v>
      </c>
      <c r="D443" s="23">
        <v>921612417</v>
      </c>
      <c r="E443" s="23">
        <v>921612417</v>
      </c>
      <c r="F443" s="24" t="s">
        <v>1499</v>
      </c>
      <c r="G443" s="23">
        <v>0</v>
      </c>
      <c r="H443" s="23">
        <v>20250301</v>
      </c>
      <c r="I443" s="23" t="str">
        <f>TEXT(DATE(LEFT(H443,4), MID(H443,5,2), RIGHT(H443,2)), "M/d/yyyy")</f>
        <v>3/1/2025</v>
      </c>
      <c r="J443" s="25">
        <v>20220501</v>
      </c>
      <c r="K443" s="23" t="str">
        <f>TEXT(DATE(LEFT(J443,4), MID(J443,5,2), RIGHT(J443,2)), "M/d/yyyy")</f>
        <v>5/1/2022</v>
      </c>
      <c r="L443" s="24" t="s">
        <v>78</v>
      </c>
      <c r="M443" s="26">
        <v>1</v>
      </c>
      <c r="N443" s="25">
        <v>20</v>
      </c>
      <c r="O443" s="27">
        <v>20</v>
      </c>
      <c r="P443" s="22" t="s">
        <v>3831</v>
      </c>
    </row>
    <row r="444" spans="1:16" s="22" customFormat="1" ht="15" customHeight="1" x14ac:dyDescent="0.2">
      <c r="A444" s="22" t="s">
        <v>3784</v>
      </c>
      <c r="B444" s="22">
        <v>8244481</v>
      </c>
      <c r="C444" s="23">
        <v>1</v>
      </c>
      <c r="D444" s="23">
        <v>921620688</v>
      </c>
      <c r="E444" s="23">
        <v>921620688</v>
      </c>
      <c r="F444" s="24" t="s">
        <v>1503</v>
      </c>
      <c r="G444" s="23">
        <v>0</v>
      </c>
      <c r="H444" s="23">
        <v>20250201</v>
      </c>
      <c r="I444" s="23" t="str">
        <f>TEXT(DATE(LEFT(H444,4), MID(H444,5,2), RIGHT(H444,2)), "M/d/yyyy")</f>
        <v>2/1/2025</v>
      </c>
      <c r="J444" s="25">
        <v>20220901</v>
      </c>
      <c r="K444" s="23" t="str">
        <f>TEXT(DATE(LEFT(J444,4), MID(J444,5,2), RIGHT(J444,2)), "M/d/yyyy")</f>
        <v>9/1/2022</v>
      </c>
      <c r="L444" s="24" t="s">
        <v>78</v>
      </c>
      <c r="M444" s="26">
        <v>1</v>
      </c>
      <c r="N444" s="25">
        <v>20</v>
      </c>
      <c r="O444" s="27">
        <v>20</v>
      </c>
      <c r="P444" s="22" t="s">
        <v>3831</v>
      </c>
    </row>
    <row r="445" spans="1:16" s="22" customFormat="1" ht="15" customHeight="1" x14ac:dyDescent="0.2">
      <c r="A445" s="22" t="s">
        <v>3784</v>
      </c>
      <c r="B445" s="22">
        <v>8244481</v>
      </c>
      <c r="C445" s="23">
        <v>1</v>
      </c>
      <c r="D445" s="23">
        <v>921627597</v>
      </c>
      <c r="E445" s="23">
        <v>921627597</v>
      </c>
      <c r="F445" s="24" t="s">
        <v>1507</v>
      </c>
      <c r="G445" s="23">
        <v>0</v>
      </c>
      <c r="H445" s="23">
        <v>20250301</v>
      </c>
      <c r="I445" s="23" t="str">
        <f>TEXT(DATE(LEFT(H445,4), MID(H445,5,2), RIGHT(H445,2)), "M/d/yyyy")</f>
        <v>3/1/2025</v>
      </c>
      <c r="J445" s="25">
        <v>20230101</v>
      </c>
      <c r="K445" s="23" t="str">
        <f>TEXT(DATE(LEFT(J445,4), MID(J445,5,2), RIGHT(J445,2)), "M/d/yyyy")</f>
        <v>1/1/2023</v>
      </c>
      <c r="L445" s="24" t="s">
        <v>78</v>
      </c>
      <c r="M445" s="26">
        <v>1</v>
      </c>
      <c r="N445" s="25">
        <v>20</v>
      </c>
      <c r="O445" s="27">
        <v>20</v>
      </c>
      <c r="P445" s="22" t="s">
        <v>3831</v>
      </c>
    </row>
    <row r="446" spans="1:16" s="22" customFormat="1" ht="15" customHeight="1" x14ac:dyDescent="0.2">
      <c r="A446" s="22" t="s">
        <v>3784</v>
      </c>
      <c r="B446" s="22">
        <v>8244481</v>
      </c>
      <c r="C446" s="23">
        <v>1</v>
      </c>
      <c r="D446" s="23">
        <v>921635174</v>
      </c>
      <c r="E446" s="23">
        <v>921635174</v>
      </c>
      <c r="F446" s="24" t="s">
        <v>1511</v>
      </c>
      <c r="G446" s="23">
        <v>0</v>
      </c>
      <c r="H446" s="23">
        <v>20250301</v>
      </c>
      <c r="I446" s="23" t="str">
        <f>TEXT(DATE(LEFT(H446,4), MID(H446,5,2), RIGHT(H446,2)), "M/d/yyyy")</f>
        <v>3/1/2025</v>
      </c>
      <c r="J446" s="25">
        <v>20230101</v>
      </c>
      <c r="K446" s="23" t="str">
        <f>TEXT(DATE(LEFT(J446,4), MID(J446,5,2), RIGHT(J446,2)), "M/d/yyyy")</f>
        <v>1/1/2023</v>
      </c>
      <c r="L446" s="24" t="s">
        <v>78</v>
      </c>
      <c r="M446" s="26">
        <v>1</v>
      </c>
      <c r="N446" s="25">
        <v>20</v>
      </c>
      <c r="O446" s="27">
        <v>20</v>
      </c>
      <c r="P446" s="22" t="s">
        <v>3831</v>
      </c>
    </row>
    <row r="447" spans="1:16" s="22" customFormat="1" ht="15" customHeight="1" x14ac:dyDescent="0.2">
      <c r="A447" s="22" t="s">
        <v>3784</v>
      </c>
      <c r="B447" s="22">
        <v>8244481</v>
      </c>
      <c r="C447" s="23">
        <v>1</v>
      </c>
      <c r="D447" s="23">
        <v>921640871</v>
      </c>
      <c r="E447" s="23">
        <v>921640871</v>
      </c>
      <c r="F447" s="24" t="s">
        <v>1515</v>
      </c>
      <c r="G447" s="23">
        <v>0</v>
      </c>
      <c r="H447" s="23">
        <v>20250301</v>
      </c>
      <c r="I447" s="23" t="str">
        <f>TEXT(DATE(LEFT(H447,4), MID(H447,5,2), RIGHT(H447,2)), "M/d/yyyy")</f>
        <v>3/1/2025</v>
      </c>
      <c r="J447" s="25">
        <v>20230101</v>
      </c>
      <c r="K447" s="23" t="str">
        <f>TEXT(DATE(LEFT(J447,4), MID(J447,5,2), RIGHT(J447,2)), "M/d/yyyy")</f>
        <v>1/1/2023</v>
      </c>
      <c r="L447" s="24" t="s">
        <v>78</v>
      </c>
      <c r="M447" s="26">
        <v>1</v>
      </c>
      <c r="N447" s="25">
        <v>20</v>
      </c>
      <c r="O447" s="27">
        <v>20</v>
      </c>
      <c r="P447" s="22" t="s">
        <v>3831</v>
      </c>
    </row>
    <row r="448" spans="1:16" s="22" customFormat="1" ht="15" customHeight="1" x14ac:dyDescent="0.2">
      <c r="A448" s="22" t="s">
        <v>3784</v>
      </c>
      <c r="B448" s="22">
        <v>8244481</v>
      </c>
      <c r="C448" s="23">
        <v>1</v>
      </c>
      <c r="D448" s="23">
        <v>921643615</v>
      </c>
      <c r="E448" s="23">
        <v>921643615</v>
      </c>
      <c r="F448" s="24" t="s">
        <v>1517</v>
      </c>
      <c r="G448" s="23">
        <v>0</v>
      </c>
      <c r="H448" s="23">
        <v>20250301</v>
      </c>
      <c r="I448" s="23" t="str">
        <f>TEXT(DATE(LEFT(H448,4), MID(H448,5,2), RIGHT(H448,2)), "M/d/yyyy")</f>
        <v>3/1/2025</v>
      </c>
      <c r="J448" s="25">
        <v>20230101</v>
      </c>
      <c r="K448" s="23" t="str">
        <f>TEXT(DATE(LEFT(J448,4), MID(J448,5,2), RIGHT(J448,2)), "M/d/yyyy")</f>
        <v>1/1/2023</v>
      </c>
      <c r="L448" s="24" t="s">
        <v>78</v>
      </c>
      <c r="M448" s="26">
        <v>1</v>
      </c>
      <c r="N448" s="25">
        <v>20</v>
      </c>
      <c r="O448" s="27">
        <v>20</v>
      </c>
      <c r="P448" s="22" t="s">
        <v>3831</v>
      </c>
    </row>
    <row r="449" spans="1:16" s="22" customFormat="1" ht="15" customHeight="1" x14ac:dyDescent="0.2">
      <c r="A449" s="22" t="s">
        <v>3784</v>
      </c>
      <c r="B449" s="22">
        <v>8244481</v>
      </c>
      <c r="C449" s="23">
        <v>1</v>
      </c>
      <c r="D449" s="23">
        <v>921643615</v>
      </c>
      <c r="E449" s="23">
        <v>921643615</v>
      </c>
      <c r="F449" s="24" t="s">
        <v>1517</v>
      </c>
      <c r="G449" s="23">
        <v>0</v>
      </c>
      <c r="H449" s="23">
        <v>20250201</v>
      </c>
      <c r="I449" s="23" t="str">
        <f>TEXT(DATE(LEFT(H449,4), MID(H449,5,2), RIGHT(H449,2)), "M/d/yyyy")</f>
        <v>2/1/2025</v>
      </c>
      <c r="J449" s="25">
        <v>20230101</v>
      </c>
      <c r="K449" s="23" t="str">
        <f>TEXT(DATE(LEFT(J449,4), MID(J449,5,2), RIGHT(J449,2)), "M/d/yyyy")</f>
        <v>1/1/2023</v>
      </c>
      <c r="L449" s="24" t="s">
        <v>78</v>
      </c>
      <c r="M449" s="26">
        <v>1</v>
      </c>
      <c r="N449" s="25">
        <v>20</v>
      </c>
      <c r="O449" s="27">
        <v>20</v>
      </c>
      <c r="P449" s="22" t="s">
        <v>3831</v>
      </c>
    </row>
    <row r="450" spans="1:16" s="22" customFormat="1" ht="15" customHeight="1" x14ac:dyDescent="0.2">
      <c r="A450" s="22" t="s">
        <v>3784</v>
      </c>
      <c r="B450" s="22">
        <v>8244481</v>
      </c>
      <c r="C450" s="23">
        <v>1</v>
      </c>
      <c r="D450" s="23">
        <v>921643639</v>
      </c>
      <c r="E450" s="23">
        <v>921643639</v>
      </c>
      <c r="F450" s="24" t="s">
        <v>1519</v>
      </c>
      <c r="G450" s="23">
        <v>0</v>
      </c>
      <c r="H450" s="23">
        <v>20250301</v>
      </c>
      <c r="I450" s="23" t="str">
        <f>TEXT(DATE(LEFT(H450,4), MID(H450,5,2), RIGHT(H450,2)), "M/d/yyyy")</f>
        <v>3/1/2025</v>
      </c>
      <c r="J450" s="25">
        <v>20230101</v>
      </c>
      <c r="K450" s="23" t="str">
        <f>TEXT(DATE(LEFT(J450,4), MID(J450,5,2), RIGHT(J450,2)), "M/d/yyyy")</f>
        <v>1/1/2023</v>
      </c>
      <c r="L450" s="24" t="s">
        <v>78</v>
      </c>
      <c r="M450" s="26">
        <v>1</v>
      </c>
      <c r="N450" s="25">
        <v>20</v>
      </c>
      <c r="O450" s="27">
        <v>20</v>
      </c>
      <c r="P450" s="22" t="s">
        <v>3831</v>
      </c>
    </row>
    <row r="451" spans="1:16" s="22" customFormat="1" ht="15" customHeight="1" x14ac:dyDescent="0.2">
      <c r="A451" s="22" t="s">
        <v>3784</v>
      </c>
      <c r="B451" s="22">
        <v>8244481</v>
      </c>
      <c r="C451" s="23">
        <v>1</v>
      </c>
      <c r="D451" s="23">
        <v>921645238</v>
      </c>
      <c r="E451" s="23">
        <v>921645238</v>
      </c>
      <c r="F451" s="24" t="s">
        <v>1521</v>
      </c>
      <c r="G451" s="23">
        <v>0</v>
      </c>
      <c r="H451" s="23">
        <v>20250301</v>
      </c>
      <c r="I451" s="23" t="str">
        <f>TEXT(DATE(LEFT(H451,4), MID(H451,5,2), RIGHT(H451,2)), "M/d/yyyy")</f>
        <v>3/1/2025</v>
      </c>
      <c r="J451" s="25">
        <v>20230101</v>
      </c>
      <c r="K451" s="23" t="str">
        <f>TEXT(DATE(LEFT(J451,4), MID(J451,5,2), RIGHT(J451,2)), "M/d/yyyy")</f>
        <v>1/1/2023</v>
      </c>
      <c r="L451" s="24" t="s">
        <v>78</v>
      </c>
      <c r="M451" s="26">
        <v>1</v>
      </c>
      <c r="N451" s="25">
        <v>20</v>
      </c>
      <c r="O451" s="27">
        <v>20</v>
      </c>
      <c r="P451" s="22" t="s">
        <v>3831</v>
      </c>
    </row>
    <row r="452" spans="1:16" s="22" customFormat="1" ht="15" customHeight="1" x14ac:dyDescent="0.2">
      <c r="A452" s="22" t="s">
        <v>3784</v>
      </c>
      <c r="B452" s="22">
        <v>8244481</v>
      </c>
      <c r="C452" s="23">
        <v>1</v>
      </c>
      <c r="D452" s="23">
        <v>921645863</v>
      </c>
      <c r="E452" s="23">
        <v>921645863</v>
      </c>
      <c r="F452" s="24" t="s">
        <v>1523</v>
      </c>
      <c r="G452" s="23">
        <v>0</v>
      </c>
      <c r="H452" s="23">
        <v>20250301</v>
      </c>
      <c r="I452" s="23" t="str">
        <f>TEXT(DATE(LEFT(H452,4), MID(H452,5,2), RIGHT(H452,2)), "M/d/yyyy")</f>
        <v>3/1/2025</v>
      </c>
      <c r="J452" s="25">
        <v>20230101</v>
      </c>
      <c r="K452" s="23" t="str">
        <f>TEXT(DATE(LEFT(J452,4), MID(J452,5,2), RIGHT(J452,2)), "M/d/yyyy")</f>
        <v>1/1/2023</v>
      </c>
      <c r="L452" s="24" t="s">
        <v>78</v>
      </c>
      <c r="M452" s="26">
        <v>1</v>
      </c>
      <c r="N452" s="25">
        <v>20</v>
      </c>
      <c r="O452" s="27">
        <v>20</v>
      </c>
      <c r="P452" s="22" t="s">
        <v>3831</v>
      </c>
    </row>
    <row r="453" spans="1:16" s="22" customFormat="1" ht="15" customHeight="1" x14ac:dyDescent="0.2">
      <c r="A453" s="22" t="s">
        <v>3784</v>
      </c>
      <c r="B453" s="22">
        <v>8244481</v>
      </c>
      <c r="C453" s="23">
        <v>1</v>
      </c>
      <c r="D453" s="23">
        <v>921651646</v>
      </c>
      <c r="E453" s="23">
        <v>921651646</v>
      </c>
      <c r="F453" s="24" t="s">
        <v>1525</v>
      </c>
      <c r="G453" s="23">
        <v>0</v>
      </c>
      <c r="H453" s="23">
        <v>20250301</v>
      </c>
      <c r="I453" s="23" t="str">
        <f>TEXT(DATE(LEFT(H453,4), MID(H453,5,2), RIGHT(H453,2)), "M/d/yyyy")</f>
        <v>3/1/2025</v>
      </c>
      <c r="J453" s="25">
        <v>20230201</v>
      </c>
      <c r="K453" s="23" t="str">
        <f>TEXT(DATE(LEFT(J453,4), MID(J453,5,2), RIGHT(J453,2)), "M/d/yyyy")</f>
        <v>2/1/2023</v>
      </c>
      <c r="L453" s="24" t="s">
        <v>78</v>
      </c>
      <c r="M453" s="26">
        <v>1</v>
      </c>
      <c r="N453" s="25">
        <v>20</v>
      </c>
      <c r="O453" s="27">
        <v>20</v>
      </c>
      <c r="P453" s="22" t="s">
        <v>3831</v>
      </c>
    </row>
    <row r="454" spans="1:16" s="22" customFormat="1" ht="15" customHeight="1" x14ac:dyDescent="0.2">
      <c r="A454" s="22" t="s">
        <v>3784</v>
      </c>
      <c r="B454" s="22">
        <v>8244481</v>
      </c>
      <c r="C454" s="23">
        <v>1</v>
      </c>
      <c r="D454" s="23">
        <v>921654677</v>
      </c>
      <c r="E454" s="23">
        <v>921654677</v>
      </c>
      <c r="F454" s="24" t="s">
        <v>1527</v>
      </c>
      <c r="G454" s="23">
        <v>0</v>
      </c>
      <c r="H454" s="23">
        <v>20250301</v>
      </c>
      <c r="I454" s="23" t="str">
        <f>TEXT(DATE(LEFT(H454,4), MID(H454,5,2), RIGHT(H454,2)), "M/d/yyyy")</f>
        <v>3/1/2025</v>
      </c>
      <c r="J454" s="25">
        <v>20230301</v>
      </c>
      <c r="K454" s="23" t="str">
        <f>TEXT(DATE(LEFT(J454,4), MID(J454,5,2), RIGHT(J454,2)), "M/d/yyyy")</f>
        <v>3/1/2023</v>
      </c>
      <c r="L454" s="24" t="s">
        <v>78</v>
      </c>
      <c r="M454" s="26">
        <v>1</v>
      </c>
      <c r="N454" s="25">
        <v>20</v>
      </c>
      <c r="O454" s="27">
        <v>20</v>
      </c>
      <c r="P454" s="22" t="s">
        <v>3831</v>
      </c>
    </row>
    <row r="455" spans="1:16" s="22" customFormat="1" ht="15" customHeight="1" x14ac:dyDescent="0.2">
      <c r="A455" s="22" t="s">
        <v>3784</v>
      </c>
      <c r="B455" s="22">
        <v>8244481</v>
      </c>
      <c r="C455" s="23">
        <v>1</v>
      </c>
      <c r="D455" s="23">
        <v>921659141</v>
      </c>
      <c r="E455" s="23">
        <v>921659141</v>
      </c>
      <c r="F455" s="24" t="s">
        <v>1534</v>
      </c>
      <c r="G455" s="23">
        <v>0</v>
      </c>
      <c r="H455" s="23">
        <v>20250201</v>
      </c>
      <c r="I455" s="23" t="str">
        <f>TEXT(DATE(LEFT(H455,4), MID(H455,5,2), RIGHT(H455,2)), "M/d/yyyy")</f>
        <v>2/1/2025</v>
      </c>
      <c r="J455" s="25">
        <v>20230501</v>
      </c>
      <c r="K455" s="23" t="str">
        <f>TEXT(DATE(LEFT(J455,4), MID(J455,5,2), RIGHT(J455,2)), "M/d/yyyy")</f>
        <v>5/1/2023</v>
      </c>
      <c r="L455" s="24" t="s">
        <v>78</v>
      </c>
      <c r="M455" s="26">
        <v>1</v>
      </c>
      <c r="N455" s="25">
        <v>20</v>
      </c>
      <c r="O455" s="27">
        <v>20</v>
      </c>
      <c r="P455" s="22" t="s">
        <v>3831</v>
      </c>
    </row>
    <row r="456" spans="1:16" s="22" customFormat="1" ht="15" customHeight="1" x14ac:dyDescent="0.2">
      <c r="A456" s="22" t="s">
        <v>3784</v>
      </c>
      <c r="B456" s="22">
        <v>8244481</v>
      </c>
      <c r="C456" s="23">
        <v>1</v>
      </c>
      <c r="D456" s="23">
        <v>921663885</v>
      </c>
      <c r="E456" s="23">
        <v>921663885</v>
      </c>
      <c r="F456" s="24" t="s">
        <v>1540</v>
      </c>
      <c r="G456" s="23">
        <v>0</v>
      </c>
      <c r="H456" s="23">
        <v>20250301</v>
      </c>
      <c r="I456" s="23" t="str">
        <f>TEXT(DATE(LEFT(H456,4), MID(H456,5,2), RIGHT(H456,2)), "M/d/yyyy")</f>
        <v>3/1/2025</v>
      </c>
      <c r="J456" s="25">
        <v>20230701</v>
      </c>
      <c r="K456" s="23" t="str">
        <f>TEXT(DATE(LEFT(J456,4), MID(J456,5,2), RIGHT(J456,2)), "M/d/yyyy")</f>
        <v>7/1/2023</v>
      </c>
      <c r="L456" s="24" t="s">
        <v>78</v>
      </c>
      <c r="M456" s="26">
        <v>1</v>
      </c>
      <c r="N456" s="25">
        <v>20</v>
      </c>
      <c r="O456" s="27">
        <v>20</v>
      </c>
      <c r="P456" s="22" t="s">
        <v>3831</v>
      </c>
    </row>
    <row r="457" spans="1:16" s="22" customFormat="1" ht="15" customHeight="1" x14ac:dyDescent="0.2">
      <c r="A457" s="22" t="s">
        <v>3784</v>
      </c>
      <c r="B457" s="22">
        <v>8244481</v>
      </c>
      <c r="C457" s="23">
        <v>1</v>
      </c>
      <c r="D457" s="23">
        <v>921670908</v>
      </c>
      <c r="E457" s="23">
        <v>921670908</v>
      </c>
      <c r="F457" s="24" t="s">
        <v>1542</v>
      </c>
      <c r="G457" s="23">
        <v>0</v>
      </c>
      <c r="H457" s="23">
        <v>20250301</v>
      </c>
      <c r="I457" s="23" t="str">
        <f>TEXT(DATE(LEFT(H457,4), MID(H457,5,2), RIGHT(H457,2)), "M/d/yyyy")</f>
        <v>3/1/2025</v>
      </c>
      <c r="J457" s="25">
        <v>20231001</v>
      </c>
      <c r="K457" s="23" t="str">
        <f>TEXT(DATE(LEFT(J457,4), MID(J457,5,2), RIGHT(J457,2)), "M/d/yyyy")</f>
        <v>10/1/2023</v>
      </c>
      <c r="L457" s="24" t="s">
        <v>78</v>
      </c>
      <c r="M457" s="26">
        <v>1</v>
      </c>
      <c r="N457" s="25">
        <v>20</v>
      </c>
      <c r="O457" s="27">
        <v>20</v>
      </c>
      <c r="P457" s="22" t="s">
        <v>3831</v>
      </c>
    </row>
    <row r="458" spans="1:16" s="22" customFormat="1" ht="15" customHeight="1" x14ac:dyDescent="0.2">
      <c r="A458" s="22" t="s">
        <v>3784</v>
      </c>
      <c r="B458" s="22">
        <v>8244481</v>
      </c>
      <c r="C458" s="23">
        <v>1</v>
      </c>
      <c r="D458" s="23">
        <v>921670914</v>
      </c>
      <c r="E458" s="23">
        <v>921670914</v>
      </c>
      <c r="F458" s="24" t="s">
        <v>1544</v>
      </c>
      <c r="G458" s="23">
        <v>0</v>
      </c>
      <c r="H458" s="23">
        <v>20250301</v>
      </c>
      <c r="I458" s="23" t="str">
        <f>TEXT(DATE(LEFT(H458,4), MID(H458,5,2), RIGHT(H458,2)), "M/d/yyyy")</f>
        <v>3/1/2025</v>
      </c>
      <c r="J458" s="25">
        <v>20231001</v>
      </c>
      <c r="K458" s="23" t="str">
        <f>TEXT(DATE(LEFT(J458,4), MID(J458,5,2), RIGHT(J458,2)), "M/d/yyyy")</f>
        <v>10/1/2023</v>
      </c>
      <c r="L458" s="24" t="s">
        <v>78</v>
      </c>
      <c r="M458" s="26">
        <v>1</v>
      </c>
      <c r="N458" s="25">
        <v>20</v>
      </c>
      <c r="O458" s="27">
        <v>20</v>
      </c>
      <c r="P458" s="22" t="s">
        <v>3831</v>
      </c>
    </row>
    <row r="459" spans="1:16" s="22" customFormat="1" ht="15" customHeight="1" x14ac:dyDescent="0.2">
      <c r="A459" s="22" t="s">
        <v>3784</v>
      </c>
      <c r="B459" s="22">
        <v>8244481</v>
      </c>
      <c r="C459" s="23">
        <v>1</v>
      </c>
      <c r="D459" s="23">
        <v>921674626</v>
      </c>
      <c r="E459" s="23">
        <v>921674626</v>
      </c>
      <c r="F459" s="24" t="s">
        <v>1550</v>
      </c>
      <c r="G459" s="23">
        <v>0</v>
      </c>
      <c r="H459" s="23">
        <v>20250301</v>
      </c>
      <c r="I459" s="23" t="str">
        <f>TEXT(DATE(LEFT(H459,4), MID(H459,5,2), RIGHT(H459,2)), "M/d/yyyy")</f>
        <v>3/1/2025</v>
      </c>
      <c r="J459" s="25">
        <v>20231001</v>
      </c>
      <c r="K459" s="23" t="str">
        <f>TEXT(DATE(LEFT(J459,4), MID(J459,5,2), RIGHT(J459,2)), "M/d/yyyy")</f>
        <v>10/1/2023</v>
      </c>
      <c r="L459" s="24" t="s">
        <v>78</v>
      </c>
      <c r="M459" s="26">
        <v>1</v>
      </c>
      <c r="N459" s="25">
        <v>20</v>
      </c>
      <c r="O459" s="27">
        <v>20</v>
      </c>
      <c r="P459" s="22" t="s">
        <v>3831</v>
      </c>
    </row>
    <row r="460" spans="1:16" s="22" customFormat="1" ht="15" customHeight="1" x14ac:dyDescent="0.2">
      <c r="A460" s="22" t="s">
        <v>3784</v>
      </c>
      <c r="B460" s="22">
        <v>8244481</v>
      </c>
      <c r="C460" s="23">
        <v>1</v>
      </c>
      <c r="D460" s="23">
        <v>921676406</v>
      </c>
      <c r="E460" s="23">
        <v>921676406</v>
      </c>
      <c r="F460" s="24" t="s">
        <v>1552</v>
      </c>
      <c r="G460" s="23">
        <v>0</v>
      </c>
      <c r="H460" s="23">
        <v>20250301</v>
      </c>
      <c r="I460" s="23" t="str">
        <f>TEXT(DATE(LEFT(H460,4), MID(H460,5,2), RIGHT(H460,2)), "M/d/yyyy")</f>
        <v>3/1/2025</v>
      </c>
      <c r="J460" s="25">
        <v>20231101</v>
      </c>
      <c r="K460" s="23" t="str">
        <f>TEXT(DATE(LEFT(J460,4), MID(J460,5,2), RIGHT(J460,2)), "M/d/yyyy")</f>
        <v>11/1/2023</v>
      </c>
      <c r="L460" s="24" t="s">
        <v>78</v>
      </c>
      <c r="M460" s="26">
        <v>1</v>
      </c>
      <c r="N460" s="25">
        <v>20</v>
      </c>
      <c r="O460" s="27">
        <v>20</v>
      </c>
      <c r="P460" s="22" t="s">
        <v>3831</v>
      </c>
    </row>
    <row r="461" spans="1:16" s="22" customFormat="1" ht="15" customHeight="1" x14ac:dyDescent="0.2">
      <c r="A461" s="22" t="s">
        <v>3784</v>
      </c>
      <c r="B461" s="22">
        <v>8244481</v>
      </c>
      <c r="C461" s="23">
        <v>1</v>
      </c>
      <c r="D461" s="23">
        <v>921676406</v>
      </c>
      <c r="E461" s="23">
        <v>921676406</v>
      </c>
      <c r="F461" s="24" t="s">
        <v>1552</v>
      </c>
      <c r="G461" s="23">
        <v>0</v>
      </c>
      <c r="H461" s="23">
        <v>20250201</v>
      </c>
      <c r="I461" s="23" t="str">
        <f>TEXT(DATE(LEFT(H461,4), MID(H461,5,2), RIGHT(H461,2)), "M/d/yyyy")</f>
        <v>2/1/2025</v>
      </c>
      <c r="J461" s="25">
        <v>20231101</v>
      </c>
      <c r="K461" s="23" t="str">
        <f>TEXT(DATE(LEFT(J461,4), MID(J461,5,2), RIGHT(J461,2)), "M/d/yyyy")</f>
        <v>11/1/2023</v>
      </c>
      <c r="L461" s="24" t="s">
        <v>78</v>
      </c>
      <c r="M461" s="26">
        <v>1</v>
      </c>
      <c r="N461" s="25">
        <v>20</v>
      </c>
      <c r="O461" s="27">
        <v>20</v>
      </c>
      <c r="P461" s="22" t="s">
        <v>3831</v>
      </c>
    </row>
    <row r="462" spans="1:16" s="22" customFormat="1" ht="15" customHeight="1" x14ac:dyDescent="0.2">
      <c r="A462" s="22" t="s">
        <v>3784</v>
      </c>
      <c r="B462" s="22">
        <v>8244481</v>
      </c>
      <c r="C462" s="23">
        <v>1</v>
      </c>
      <c r="D462" s="23">
        <v>921680214</v>
      </c>
      <c r="E462" s="23">
        <v>921680214</v>
      </c>
      <c r="F462" s="24" t="s">
        <v>1556</v>
      </c>
      <c r="G462" s="23">
        <v>0</v>
      </c>
      <c r="H462" s="23">
        <v>20250301</v>
      </c>
      <c r="I462" s="23" t="str">
        <f>TEXT(DATE(LEFT(H462,4), MID(H462,5,2), RIGHT(H462,2)), "M/d/yyyy")</f>
        <v>3/1/2025</v>
      </c>
      <c r="J462" s="25">
        <v>20240101</v>
      </c>
      <c r="K462" s="23" t="str">
        <f>TEXT(DATE(LEFT(J462,4), MID(J462,5,2), RIGHT(J462,2)), "M/d/yyyy")</f>
        <v>1/1/2024</v>
      </c>
      <c r="L462" s="24" t="s">
        <v>78</v>
      </c>
      <c r="M462" s="26">
        <v>1</v>
      </c>
      <c r="N462" s="25">
        <v>20</v>
      </c>
      <c r="O462" s="27">
        <v>20</v>
      </c>
      <c r="P462" s="22" t="s">
        <v>3831</v>
      </c>
    </row>
    <row r="463" spans="1:16" s="22" customFormat="1" ht="15" customHeight="1" x14ac:dyDescent="0.2">
      <c r="A463" s="22" t="s">
        <v>3784</v>
      </c>
      <c r="B463" s="22">
        <v>8244481</v>
      </c>
      <c r="C463" s="23">
        <v>1</v>
      </c>
      <c r="D463" s="23">
        <v>921681159</v>
      </c>
      <c r="E463" s="23">
        <v>921681159</v>
      </c>
      <c r="F463" s="24" t="s">
        <v>1562</v>
      </c>
      <c r="G463" s="23">
        <v>0</v>
      </c>
      <c r="H463" s="23">
        <v>20250301</v>
      </c>
      <c r="I463" s="23" t="str">
        <f>TEXT(DATE(LEFT(H463,4), MID(H463,5,2), RIGHT(H463,2)), "M/d/yyyy")</f>
        <v>3/1/2025</v>
      </c>
      <c r="J463" s="25">
        <v>20240101</v>
      </c>
      <c r="K463" s="23" t="str">
        <f>TEXT(DATE(LEFT(J463,4), MID(J463,5,2), RIGHT(J463,2)), "M/d/yyyy")</f>
        <v>1/1/2024</v>
      </c>
      <c r="L463" s="24" t="s">
        <v>78</v>
      </c>
      <c r="M463" s="26">
        <v>1</v>
      </c>
      <c r="N463" s="25">
        <v>20</v>
      </c>
      <c r="O463" s="27">
        <v>20</v>
      </c>
      <c r="P463" s="22" t="s">
        <v>3831</v>
      </c>
    </row>
    <row r="464" spans="1:16" s="22" customFormat="1" ht="15" customHeight="1" x14ac:dyDescent="0.2">
      <c r="A464" s="22" t="s">
        <v>3784</v>
      </c>
      <c r="B464" s="22">
        <v>8244481</v>
      </c>
      <c r="C464" s="23">
        <v>1</v>
      </c>
      <c r="D464" s="23">
        <v>921687152</v>
      </c>
      <c r="E464" s="23">
        <v>921687152</v>
      </c>
      <c r="F464" s="24" t="s">
        <v>1566</v>
      </c>
      <c r="G464" s="23">
        <v>0</v>
      </c>
      <c r="H464" s="23">
        <v>20250301</v>
      </c>
      <c r="I464" s="23" t="str">
        <f>TEXT(DATE(LEFT(H464,4), MID(H464,5,2), RIGHT(H464,2)), "M/d/yyyy")</f>
        <v>3/1/2025</v>
      </c>
      <c r="J464" s="25">
        <v>20240101</v>
      </c>
      <c r="K464" s="23" t="str">
        <f>TEXT(DATE(LEFT(J464,4), MID(J464,5,2), RIGHT(J464,2)), "M/d/yyyy")</f>
        <v>1/1/2024</v>
      </c>
      <c r="L464" s="24" t="s">
        <v>78</v>
      </c>
      <c r="M464" s="26">
        <v>1</v>
      </c>
      <c r="N464" s="25">
        <v>20</v>
      </c>
      <c r="O464" s="27">
        <v>20</v>
      </c>
      <c r="P464" s="22" t="s">
        <v>3831</v>
      </c>
    </row>
    <row r="465" spans="1:16" s="22" customFormat="1" ht="15" customHeight="1" x14ac:dyDescent="0.2">
      <c r="A465" s="22" t="s">
        <v>3784</v>
      </c>
      <c r="B465" s="22">
        <v>8244481</v>
      </c>
      <c r="C465" s="23">
        <v>1</v>
      </c>
      <c r="D465" s="23">
        <v>921690484</v>
      </c>
      <c r="E465" s="23">
        <v>921690484</v>
      </c>
      <c r="F465" s="24" t="s">
        <v>1568</v>
      </c>
      <c r="G465" s="23">
        <v>0</v>
      </c>
      <c r="H465" s="23">
        <v>20250301</v>
      </c>
      <c r="I465" s="23" t="str">
        <f>TEXT(DATE(LEFT(H465,4), MID(H465,5,2), RIGHT(H465,2)), "M/d/yyyy")</f>
        <v>3/1/2025</v>
      </c>
      <c r="J465" s="25">
        <v>20240101</v>
      </c>
      <c r="K465" s="23" t="str">
        <f>TEXT(DATE(LEFT(J465,4), MID(J465,5,2), RIGHT(J465,2)), "M/d/yyyy")</f>
        <v>1/1/2024</v>
      </c>
      <c r="L465" s="24" t="s">
        <v>78</v>
      </c>
      <c r="M465" s="26">
        <v>1</v>
      </c>
      <c r="N465" s="25">
        <v>20</v>
      </c>
      <c r="O465" s="27">
        <v>20</v>
      </c>
      <c r="P465" s="22" t="s">
        <v>3831</v>
      </c>
    </row>
    <row r="466" spans="1:16" s="22" customFormat="1" ht="15" customHeight="1" x14ac:dyDescent="0.2">
      <c r="A466" s="22" t="s">
        <v>3784</v>
      </c>
      <c r="B466" s="22">
        <v>8244481</v>
      </c>
      <c r="C466" s="23">
        <v>1</v>
      </c>
      <c r="D466" s="23">
        <v>921694832</v>
      </c>
      <c r="E466" s="23">
        <v>921694832</v>
      </c>
      <c r="F466" s="24" t="s">
        <v>1570</v>
      </c>
      <c r="G466" s="23">
        <v>0</v>
      </c>
      <c r="H466" s="23">
        <v>20250301</v>
      </c>
      <c r="I466" s="23" t="str">
        <f>TEXT(DATE(LEFT(H466,4), MID(H466,5,2), RIGHT(H466,2)), "M/d/yyyy")</f>
        <v>3/1/2025</v>
      </c>
      <c r="J466" s="25">
        <v>20240101</v>
      </c>
      <c r="K466" s="23" t="str">
        <f>TEXT(DATE(LEFT(J466,4), MID(J466,5,2), RIGHT(J466,2)), "M/d/yyyy")</f>
        <v>1/1/2024</v>
      </c>
      <c r="L466" s="24" t="s">
        <v>78</v>
      </c>
      <c r="M466" s="26">
        <v>1</v>
      </c>
      <c r="N466" s="25">
        <v>20</v>
      </c>
      <c r="O466" s="27">
        <v>20</v>
      </c>
      <c r="P466" s="22" t="s">
        <v>3831</v>
      </c>
    </row>
    <row r="467" spans="1:16" s="22" customFormat="1" ht="15" customHeight="1" x14ac:dyDescent="0.2">
      <c r="A467" s="22" t="s">
        <v>3784</v>
      </c>
      <c r="B467" s="22">
        <v>8244481</v>
      </c>
      <c r="C467" s="23">
        <v>1</v>
      </c>
      <c r="D467" s="23">
        <v>921694934</v>
      </c>
      <c r="E467" s="23">
        <v>921694934</v>
      </c>
      <c r="F467" s="24" t="s">
        <v>1572</v>
      </c>
      <c r="G467" s="23">
        <v>0</v>
      </c>
      <c r="H467" s="23">
        <v>20250301</v>
      </c>
      <c r="I467" s="23" t="str">
        <f>TEXT(DATE(LEFT(H467,4), MID(H467,5,2), RIGHT(H467,2)), "M/d/yyyy")</f>
        <v>3/1/2025</v>
      </c>
      <c r="J467" s="25">
        <v>20240101</v>
      </c>
      <c r="K467" s="23" t="str">
        <f>TEXT(DATE(LEFT(J467,4), MID(J467,5,2), RIGHT(J467,2)), "M/d/yyyy")</f>
        <v>1/1/2024</v>
      </c>
      <c r="L467" s="24" t="s">
        <v>78</v>
      </c>
      <c r="M467" s="26">
        <v>1</v>
      </c>
      <c r="N467" s="25">
        <v>20</v>
      </c>
      <c r="O467" s="27">
        <v>20</v>
      </c>
      <c r="P467" s="22" t="s">
        <v>3831</v>
      </c>
    </row>
    <row r="468" spans="1:16" s="22" customFormat="1" ht="15" customHeight="1" x14ac:dyDescent="0.2">
      <c r="A468" s="22" t="s">
        <v>3784</v>
      </c>
      <c r="B468" s="22">
        <v>8244481</v>
      </c>
      <c r="C468" s="23">
        <v>1</v>
      </c>
      <c r="D468" s="23">
        <v>921695765</v>
      </c>
      <c r="E468" s="23">
        <v>921695765</v>
      </c>
      <c r="F468" s="24" t="s">
        <v>1574</v>
      </c>
      <c r="G468" s="23">
        <v>0</v>
      </c>
      <c r="H468" s="23">
        <v>20250301</v>
      </c>
      <c r="I468" s="23" t="str">
        <f>TEXT(DATE(LEFT(H468,4), MID(H468,5,2), RIGHT(H468,2)), "M/d/yyyy")</f>
        <v>3/1/2025</v>
      </c>
      <c r="J468" s="25">
        <v>20240101</v>
      </c>
      <c r="K468" s="23" t="str">
        <f>TEXT(DATE(LEFT(J468,4), MID(J468,5,2), RIGHT(J468,2)), "M/d/yyyy")</f>
        <v>1/1/2024</v>
      </c>
      <c r="L468" s="24" t="s">
        <v>78</v>
      </c>
      <c r="M468" s="26">
        <v>1</v>
      </c>
      <c r="N468" s="25">
        <v>20</v>
      </c>
      <c r="O468" s="27">
        <v>20</v>
      </c>
      <c r="P468" s="22" t="s">
        <v>3831</v>
      </c>
    </row>
    <row r="469" spans="1:16" s="22" customFormat="1" ht="15" customHeight="1" x14ac:dyDescent="0.2">
      <c r="A469" s="22" t="s">
        <v>3784</v>
      </c>
      <c r="B469" s="22">
        <v>8244481</v>
      </c>
      <c r="C469" s="23">
        <v>1</v>
      </c>
      <c r="D469" s="23">
        <v>921695765</v>
      </c>
      <c r="E469" s="23">
        <v>921695765</v>
      </c>
      <c r="F469" s="24" t="s">
        <v>1574</v>
      </c>
      <c r="G469" s="23">
        <v>0</v>
      </c>
      <c r="H469" s="23">
        <v>20250201</v>
      </c>
      <c r="I469" s="23" t="str">
        <f>TEXT(DATE(LEFT(H469,4), MID(H469,5,2), RIGHT(H469,2)), "M/d/yyyy")</f>
        <v>2/1/2025</v>
      </c>
      <c r="J469" s="25">
        <v>20240101</v>
      </c>
      <c r="K469" s="23" t="str">
        <f>TEXT(DATE(LEFT(J469,4), MID(J469,5,2), RIGHT(J469,2)), "M/d/yyyy")</f>
        <v>1/1/2024</v>
      </c>
      <c r="L469" s="24" t="s">
        <v>78</v>
      </c>
      <c r="M469" s="26">
        <v>1</v>
      </c>
      <c r="N469" s="25">
        <v>20</v>
      </c>
      <c r="O469" s="27">
        <v>20</v>
      </c>
      <c r="P469" s="22" t="s">
        <v>3831</v>
      </c>
    </row>
    <row r="470" spans="1:16" s="22" customFormat="1" ht="15" customHeight="1" x14ac:dyDescent="0.2">
      <c r="A470" s="22" t="s">
        <v>3784</v>
      </c>
      <c r="B470" s="22">
        <v>8244481</v>
      </c>
      <c r="C470" s="23">
        <v>1</v>
      </c>
      <c r="D470" s="23">
        <v>921697095</v>
      </c>
      <c r="E470" s="23">
        <v>921697095</v>
      </c>
      <c r="F470" s="24" t="s">
        <v>1578</v>
      </c>
      <c r="G470" s="23">
        <v>0</v>
      </c>
      <c r="H470" s="23">
        <v>20250301</v>
      </c>
      <c r="I470" s="23" t="str">
        <f>TEXT(DATE(LEFT(H470,4), MID(H470,5,2), RIGHT(H470,2)), "M/d/yyyy")</f>
        <v>3/1/2025</v>
      </c>
      <c r="J470" s="25">
        <v>20240101</v>
      </c>
      <c r="K470" s="23" t="str">
        <f>TEXT(DATE(LEFT(J470,4), MID(J470,5,2), RIGHT(J470,2)), "M/d/yyyy")</f>
        <v>1/1/2024</v>
      </c>
      <c r="L470" s="24" t="s">
        <v>78</v>
      </c>
      <c r="M470" s="26">
        <v>1</v>
      </c>
      <c r="N470" s="25">
        <v>20</v>
      </c>
      <c r="O470" s="27">
        <v>20</v>
      </c>
      <c r="P470" s="22" t="s">
        <v>3831</v>
      </c>
    </row>
    <row r="471" spans="1:16" s="22" customFormat="1" ht="15" customHeight="1" x14ac:dyDescent="0.2">
      <c r="A471" s="22" t="s">
        <v>3784</v>
      </c>
      <c r="B471" s="22">
        <v>8244481</v>
      </c>
      <c r="C471" s="23">
        <v>1</v>
      </c>
      <c r="D471" s="23">
        <v>921699022</v>
      </c>
      <c r="E471" s="23">
        <v>921699022</v>
      </c>
      <c r="F471" s="24" t="s">
        <v>1580</v>
      </c>
      <c r="G471" s="23">
        <v>0</v>
      </c>
      <c r="H471" s="23">
        <v>20250301</v>
      </c>
      <c r="I471" s="23" t="str">
        <f>TEXT(DATE(LEFT(H471,4), MID(H471,5,2), RIGHT(H471,2)), "M/d/yyyy")</f>
        <v>3/1/2025</v>
      </c>
      <c r="J471" s="25">
        <v>20240101</v>
      </c>
      <c r="K471" s="23" t="str">
        <f>TEXT(DATE(LEFT(J471,4), MID(J471,5,2), RIGHT(J471,2)), "M/d/yyyy")</f>
        <v>1/1/2024</v>
      </c>
      <c r="L471" s="24" t="s">
        <v>78</v>
      </c>
      <c r="M471" s="26">
        <v>1</v>
      </c>
      <c r="N471" s="25">
        <v>20</v>
      </c>
      <c r="O471" s="27">
        <v>20</v>
      </c>
      <c r="P471" s="22" t="s">
        <v>3831</v>
      </c>
    </row>
    <row r="472" spans="1:16" s="22" customFormat="1" ht="15" customHeight="1" x14ac:dyDescent="0.2">
      <c r="A472" s="22" t="s">
        <v>3784</v>
      </c>
      <c r="B472" s="22">
        <v>8244481</v>
      </c>
      <c r="C472" s="23">
        <v>1</v>
      </c>
      <c r="D472" s="23">
        <v>921700943</v>
      </c>
      <c r="E472" s="23">
        <v>921700943</v>
      </c>
      <c r="F472" s="24" t="s">
        <v>1584</v>
      </c>
      <c r="G472" s="23">
        <v>0</v>
      </c>
      <c r="H472" s="23">
        <v>20250301</v>
      </c>
      <c r="I472" s="23" t="str">
        <f>TEXT(DATE(LEFT(H472,4), MID(H472,5,2), RIGHT(H472,2)), "M/d/yyyy")</f>
        <v>3/1/2025</v>
      </c>
      <c r="J472" s="25">
        <v>20240101</v>
      </c>
      <c r="K472" s="23" t="str">
        <f>TEXT(DATE(LEFT(J472,4), MID(J472,5,2), RIGHT(J472,2)), "M/d/yyyy")</f>
        <v>1/1/2024</v>
      </c>
      <c r="L472" s="24" t="s">
        <v>78</v>
      </c>
      <c r="M472" s="26">
        <v>1</v>
      </c>
      <c r="N472" s="25">
        <v>20</v>
      </c>
      <c r="O472" s="27">
        <v>20</v>
      </c>
      <c r="P472" s="22" t="s">
        <v>3831</v>
      </c>
    </row>
    <row r="473" spans="1:16" s="22" customFormat="1" ht="15" customHeight="1" x14ac:dyDescent="0.2">
      <c r="A473" s="22" t="s">
        <v>3784</v>
      </c>
      <c r="B473" s="22">
        <v>8244481</v>
      </c>
      <c r="C473" s="23">
        <v>1</v>
      </c>
      <c r="D473" s="23">
        <v>921701801</v>
      </c>
      <c r="E473" s="23">
        <v>921701801</v>
      </c>
      <c r="F473" s="24" t="s">
        <v>1586</v>
      </c>
      <c r="G473" s="23">
        <v>0</v>
      </c>
      <c r="H473" s="23">
        <v>20250301</v>
      </c>
      <c r="I473" s="23" t="str">
        <f>TEXT(DATE(LEFT(H473,4), MID(H473,5,2), RIGHT(H473,2)), "M/d/yyyy")</f>
        <v>3/1/2025</v>
      </c>
      <c r="J473" s="25">
        <v>20240201</v>
      </c>
      <c r="K473" s="23" t="str">
        <f>TEXT(DATE(LEFT(J473,4), MID(J473,5,2), RIGHT(J473,2)), "M/d/yyyy")</f>
        <v>2/1/2024</v>
      </c>
      <c r="L473" s="24" t="s">
        <v>78</v>
      </c>
      <c r="M473" s="26">
        <v>1</v>
      </c>
      <c r="N473" s="25">
        <v>20</v>
      </c>
      <c r="O473" s="27">
        <v>20</v>
      </c>
      <c r="P473" s="22" t="s">
        <v>3831</v>
      </c>
    </row>
    <row r="474" spans="1:16" s="22" customFormat="1" ht="15" customHeight="1" x14ac:dyDescent="0.2">
      <c r="A474" s="22" t="s">
        <v>3784</v>
      </c>
      <c r="B474" s="22">
        <v>8244481</v>
      </c>
      <c r="C474" s="23">
        <v>1</v>
      </c>
      <c r="D474" s="23">
        <v>921703179</v>
      </c>
      <c r="E474" s="23">
        <v>921703179</v>
      </c>
      <c r="F474" s="24" t="s">
        <v>1588</v>
      </c>
      <c r="G474" s="23">
        <v>0</v>
      </c>
      <c r="H474" s="23">
        <v>20250301</v>
      </c>
      <c r="I474" s="23" t="str">
        <f>TEXT(DATE(LEFT(H474,4), MID(H474,5,2), RIGHT(H474,2)), "M/d/yyyy")</f>
        <v>3/1/2025</v>
      </c>
      <c r="J474" s="25">
        <v>20240101</v>
      </c>
      <c r="K474" s="23" t="str">
        <f>TEXT(DATE(LEFT(J474,4), MID(J474,5,2), RIGHT(J474,2)), "M/d/yyyy")</f>
        <v>1/1/2024</v>
      </c>
      <c r="L474" s="24" t="s">
        <v>78</v>
      </c>
      <c r="M474" s="26">
        <v>1</v>
      </c>
      <c r="N474" s="25">
        <v>20</v>
      </c>
      <c r="O474" s="27">
        <v>20</v>
      </c>
      <c r="P474" s="22" t="s">
        <v>3831</v>
      </c>
    </row>
    <row r="475" spans="1:16" s="22" customFormat="1" ht="15" customHeight="1" x14ac:dyDescent="0.2">
      <c r="A475" s="22" t="s">
        <v>3784</v>
      </c>
      <c r="B475" s="22">
        <v>8244481</v>
      </c>
      <c r="C475" s="23">
        <v>1</v>
      </c>
      <c r="D475" s="23">
        <v>921703370</v>
      </c>
      <c r="E475" s="23">
        <v>921703370</v>
      </c>
      <c r="F475" s="24" t="s">
        <v>1590</v>
      </c>
      <c r="G475" s="23">
        <v>0</v>
      </c>
      <c r="H475" s="23">
        <v>20250301</v>
      </c>
      <c r="I475" s="23" t="str">
        <f>TEXT(DATE(LEFT(H475,4), MID(H475,5,2), RIGHT(H475,2)), "M/d/yyyy")</f>
        <v>3/1/2025</v>
      </c>
      <c r="J475" s="25">
        <v>20240201</v>
      </c>
      <c r="K475" s="23" t="str">
        <f>TEXT(DATE(LEFT(J475,4), MID(J475,5,2), RIGHT(J475,2)), "M/d/yyyy")</f>
        <v>2/1/2024</v>
      </c>
      <c r="L475" s="24" t="s">
        <v>78</v>
      </c>
      <c r="M475" s="26">
        <v>1</v>
      </c>
      <c r="N475" s="25">
        <v>20</v>
      </c>
      <c r="O475" s="27">
        <v>20</v>
      </c>
      <c r="P475" s="22" t="s">
        <v>3831</v>
      </c>
    </row>
    <row r="476" spans="1:16" s="22" customFormat="1" ht="15" customHeight="1" x14ac:dyDescent="0.2">
      <c r="A476" s="22" t="s">
        <v>3784</v>
      </c>
      <c r="B476" s="22">
        <v>8244481</v>
      </c>
      <c r="C476" s="23">
        <v>1</v>
      </c>
      <c r="D476" s="23">
        <v>921706919</v>
      </c>
      <c r="E476" s="23">
        <v>921706919</v>
      </c>
      <c r="F476" s="24" t="s">
        <v>1594</v>
      </c>
      <c r="G476" s="23">
        <v>0</v>
      </c>
      <c r="H476" s="23">
        <v>20250301</v>
      </c>
      <c r="I476" s="23" t="str">
        <f>TEXT(DATE(LEFT(H476,4), MID(H476,5,2), RIGHT(H476,2)), "M/d/yyyy")</f>
        <v>3/1/2025</v>
      </c>
      <c r="J476" s="25">
        <v>20240201</v>
      </c>
      <c r="K476" s="23" t="str">
        <f>TEXT(DATE(LEFT(J476,4), MID(J476,5,2), RIGHT(J476,2)), "M/d/yyyy")</f>
        <v>2/1/2024</v>
      </c>
      <c r="L476" s="24" t="s">
        <v>78</v>
      </c>
      <c r="M476" s="26">
        <v>1</v>
      </c>
      <c r="N476" s="25">
        <v>20</v>
      </c>
      <c r="O476" s="27">
        <v>20</v>
      </c>
      <c r="P476" s="22" t="s">
        <v>3831</v>
      </c>
    </row>
    <row r="477" spans="1:16" s="22" customFormat="1" ht="15" customHeight="1" x14ac:dyDescent="0.2">
      <c r="A477" s="22" t="s">
        <v>3784</v>
      </c>
      <c r="B477" s="22">
        <v>8244481</v>
      </c>
      <c r="C477" s="23">
        <v>1</v>
      </c>
      <c r="D477" s="23">
        <v>921741039</v>
      </c>
      <c r="E477" s="23">
        <v>921741039</v>
      </c>
      <c r="F477" s="24" t="s">
        <v>101</v>
      </c>
      <c r="G477" s="23">
        <v>0</v>
      </c>
      <c r="H477" s="23">
        <v>20250301</v>
      </c>
      <c r="I477" s="23" t="str">
        <f>TEXT(DATE(LEFT(H477,4), MID(H477,5,2), RIGHT(H477,2)), "M/d/yyyy")</f>
        <v>3/1/2025</v>
      </c>
      <c r="J477" s="25">
        <v>20241001</v>
      </c>
      <c r="K477" s="23" t="str">
        <f>TEXT(DATE(LEFT(J477,4), MID(J477,5,2), RIGHT(J477,2)), "M/d/yyyy")</f>
        <v>10/1/2024</v>
      </c>
      <c r="L477" s="24" t="s">
        <v>78</v>
      </c>
      <c r="M477" s="26">
        <v>1</v>
      </c>
      <c r="N477" s="25">
        <v>25</v>
      </c>
      <c r="O477" s="27">
        <v>25</v>
      </c>
      <c r="P477" s="22" t="s">
        <v>3831</v>
      </c>
    </row>
    <row r="478" spans="1:16" s="22" customFormat="1" ht="15" customHeight="1" x14ac:dyDescent="0.2">
      <c r="A478" s="22" t="s">
        <v>3784</v>
      </c>
      <c r="B478" s="22">
        <v>8244481</v>
      </c>
      <c r="C478" s="23">
        <v>1</v>
      </c>
      <c r="D478" s="23">
        <v>921741039</v>
      </c>
      <c r="E478" s="23">
        <v>921741039</v>
      </c>
      <c r="F478" s="24" t="s">
        <v>101</v>
      </c>
      <c r="G478" s="23">
        <v>0</v>
      </c>
      <c r="H478" s="23">
        <v>20250201</v>
      </c>
      <c r="I478" s="23" t="str">
        <f>TEXT(DATE(LEFT(H478,4), MID(H478,5,2), RIGHT(H478,2)), "M/d/yyyy")</f>
        <v>2/1/2025</v>
      </c>
      <c r="J478" s="25">
        <v>20241001</v>
      </c>
      <c r="K478" s="23" t="str">
        <f>TEXT(DATE(LEFT(J478,4), MID(J478,5,2), RIGHT(J478,2)), "M/d/yyyy")</f>
        <v>10/1/2024</v>
      </c>
      <c r="L478" s="24" t="s">
        <v>78</v>
      </c>
      <c r="M478" s="26">
        <v>1</v>
      </c>
      <c r="N478" s="25">
        <v>25</v>
      </c>
      <c r="O478" s="27">
        <v>25</v>
      </c>
      <c r="P478" s="22" t="s">
        <v>3831</v>
      </c>
    </row>
    <row r="479" spans="1:16" s="22" customFormat="1" ht="15" customHeight="1" x14ac:dyDescent="0.2">
      <c r="A479" s="22" t="s">
        <v>3784</v>
      </c>
      <c r="B479" s="22">
        <v>8244481</v>
      </c>
      <c r="C479" s="23">
        <v>1</v>
      </c>
      <c r="D479" s="23">
        <v>921743288</v>
      </c>
      <c r="E479" s="23">
        <v>921743288</v>
      </c>
      <c r="F479" s="24" t="s">
        <v>106</v>
      </c>
      <c r="G479" s="23">
        <v>0</v>
      </c>
      <c r="H479" s="23">
        <v>20250301</v>
      </c>
      <c r="I479" s="23" t="str">
        <f>TEXT(DATE(LEFT(H479,4), MID(H479,5,2), RIGHT(H479,2)), "M/d/yyyy")</f>
        <v>3/1/2025</v>
      </c>
      <c r="J479" s="25">
        <v>20241101</v>
      </c>
      <c r="K479" s="23" t="str">
        <f>TEXT(DATE(LEFT(J479,4), MID(J479,5,2), RIGHT(J479,2)), "M/d/yyyy")</f>
        <v>11/1/2024</v>
      </c>
      <c r="L479" s="24" t="s">
        <v>78</v>
      </c>
      <c r="M479" s="26">
        <v>1</v>
      </c>
      <c r="N479" s="25">
        <v>25</v>
      </c>
      <c r="O479" s="27">
        <v>25</v>
      </c>
      <c r="P479" s="22" t="s">
        <v>3831</v>
      </c>
    </row>
    <row r="480" spans="1:16" s="22" customFormat="1" ht="15" customHeight="1" x14ac:dyDescent="0.2">
      <c r="A480" s="22" t="s">
        <v>3784</v>
      </c>
      <c r="B480" s="22">
        <v>8244481</v>
      </c>
      <c r="C480" s="23">
        <v>1</v>
      </c>
      <c r="D480" s="23">
        <v>921752647</v>
      </c>
      <c r="E480" s="23">
        <v>921752647</v>
      </c>
      <c r="F480" s="24" t="s">
        <v>122</v>
      </c>
      <c r="G480" s="23">
        <v>0</v>
      </c>
      <c r="H480" s="23">
        <v>20250301</v>
      </c>
      <c r="I480" s="23" t="str">
        <f>TEXT(DATE(LEFT(H480,4), MID(H480,5,2), RIGHT(H480,2)), "M/d/yyyy")</f>
        <v>3/1/2025</v>
      </c>
      <c r="J480" s="25">
        <v>20250101</v>
      </c>
      <c r="K480" s="23" t="str">
        <f>TEXT(DATE(LEFT(J480,4), MID(J480,5,2), RIGHT(J480,2)), "M/d/yyyy")</f>
        <v>1/1/2025</v>
      </c>
      <c r="L480" s="24" t="s">
        <v>78</v>
      </c>
      <c r="M480" s="26">
        <v>1</v>
      </c>
      <c r="N480" s="25">
        <v>25</v>
      </c>
      <c r="O480" s="27">
        <v>25</v>
      </c>
      <c r="P480" s="22" t="s">
        <v>3831</v>
      </c>
    </row>
    <row r="481" spans="1:16" s="22" customFormat="1" ht="15" customHeight="1" x14ac:dyDescent="0.2">
      <c r="A481" s="22" t="s">
        <v>3784</v>
      </c>
      <c r="B481" s="22">
        <v>8244481</v>
      </c>
      <c r="C481" s="23">
        <v>1</v>
      </c>
      <c r="D481" s="23">
        <v>890204026</v>
      </c>
      <c r="E481" s="23">
        <v>890204026</v>
      </c>
      <c r="F481" s="24" t="s">
        <v>1322</v>
      </c>
      <c r="G481" s="23">
        <v>0</v>
      </c>
      <c r="H481" s="23">
        <v>20250301</v>
      </c>
      <c r="I481" s="23" t="str">
        <f>TEXT(DATE(LEFT(H481,4), MID(H481,5,2), RIGHT(H481,2)), "M/d/yyyy")</f>
        <v>3/1/2025</v>
      </c>
      <c r="J481" s="25">
        <v>20240501</v>
      </c>
      <c r="K481" s="23" t="str">
        <f>TEXT(DATE(LEFT(J481,4), MID(J481,5,2), RIGHT(J481,2)), "M/d/yyyy")</f>
        <v>5/1/2024</v>
      </c>
      <c r="L481" s="24" t="s">
        <v>78</v>
      </c>
      <c r="M481" s="26">
        <v>1</v>
      </c>
      <c r="N481" s="25">
        <v>25</v>
      </c>
      <c r="O481" s="27">
        <v>25</v>
      </c>
      <c r="P481" s="22" t="s">
        <v>3831</v>
      </c>
    </row>
    <row r="482" spans="1:16" s="22" customFormat="1" ht="15" customHeight="1" x14ac:dyDescent="0.2">
      <c r="A482" s="22" t="s">
        <v>3784</v>
      </c>
      <c r="B482" s="22">
        <v>8244481</v>
      </c>
      <c r="C482" s="23">
        <v>1</v>
      </c>
      <c r="D482" s="23">
        <v>890599429</v>
      </c>
      <c r="E482" s="23">
        <v>890599429</v>
      </c>
      <c r="F482" s="24" t="s">
        <v>1326</v>
      </c>
      <c r="G482" s="23">
        <v>0</v>
      </c>
      <c r="H482" s="23">
        <v>20250301</v>
      </c>
      <c r="I482" s="23" t="str">
        <f>TEXT(DATE(LEFT(H482,4), MID(H482,5,2), RIGHT(H482,2)), "M/d/yyyy")</f>
        <v>3/1/2025</v>
      </c>
      <c r="J482" s="25">
        <v>20250101</v>
      </c>
      <c r="K482" s="23" t="str">
        <f>TEXT(DATE(LEFT(J482,4), MID(J482,5,2), RIGHT(J482,2)), "M/d/yyyy")</f>
        <v>1/1/2025</v>
      </c>
      <c r="L482" s="24" t="s">
        <v>78</v>
      </c>
      <c r="M482" s="26">
        <v>1</v>
      </c>
      <c r="N482" s="25">
        <v>25</v>
      </c>
      <c r="O482" s="27">
        <v>25</v>
      </c>
      <c r="P482" s="22" t="s">
        <v>3831</v>
      </c>
    </row>
    <row r="483" spans="1:16" s="22" customFormat="1" ht="15" customHeight="1" x14ac:dyDescent="0.2">
      <c r="A483" s="22" t="s">
        <v>3784</v>
      </c>
      <c r="B483" s="22">
        <v>8244481</v>
      </c>
      <c r="C483" s="23">
        <v>1</v>
      </c>
      <c r="D483" s="23">
        <v>890599429</v>
      </c>
      <c r="E483" s="23">
        <v>890599429</v>
      </c>
      <c r="F483" s="24" t="s">
        <v>1326</v>
      </c>
      <c r="G483" s="23">
        <v>0</v>
      </c>
      <c r="H483" s="23">
        <v>20250201</v>
      </c>
      <c r="I483" s="23" t="str">
        <f>TEXT(DATE(LEFT(H483,4), MID(H483,5,2), RIGHT(H483,2)), "M/d/yyyy")</f>
        <v>2/1/2025</v>
      </c>
      <c r="J483" s="25">
        <v>20250101</v>
      </c>
      <c r="K483" s="23" t="str">
        <f>TEXT(DATE(LEFT(J483,4), MID(J483,5,2), RIGHT(J483,2)), "M/d/yyyy")</f>
        <v>1/1/2025</v>
      </c>
      <c r="L483" s="24" t="s">
        <v>78</v>
      </c>
      <c r="M483" s="26">
        <v>1</v>
      </c>
      <c r="N483" s="25">
        <v>25</v>
      </c>
      <c r="O483" s="27">
        <v>25</v>
      </c>
      <c r="P483" s="22" t="s">
        <v>3831</v>
      </c>
    </row>
    <row r="484" spans="1:16" s="22" customFormat="1" ht="15" customHeight="1" x14ac:dyDescent="0.2">
      <c r="A484" s="22" t="s">
        <v>3784</v>
      </c>
      <c r="B484" s="22">
        <v>8244481</v>
      </c>
      <c r="C484" s="23">
        <v>1</v>
      </c>
      <c r="D484" s="23">
        <v>920790382</v>
      </c>
      <c r="E484" s="23">
        <v>920790382</v>
      </c>
      <c r="F484" s="24" t="s">
        <v>1340</v>
      </c>
      <c r="G484" s="23">
        <v>0</v>
      </c>
      <c r="H484" s="23">
        <v>20250301</v>
      </c>
      <c r="I484" s="23" t="str">
        <f>TEXT(DATE(LEFT(H484,4), MID(H484,5,2), RIGHT(H484,2)), "M/d/yyyy")</f>
        <v>3/1/2025</v>
      </c>
      <c r="J484" s="25">
        <v>20250201</v>
      </c>
      <c r="K484" s="23" t="str">
        <f>TEXT(DATE(LEFT(J484,4), MID(J484,5,2), RIGHT(J484,2)), "M/d/yyyy")</f>
        <v>2/1/2025</v>
      </c>
      <c r="L484" s="24" t="s">
        <v>78</v>
      </c>
      <c r="M484" s="26">
        <v>1</v>
      </c>
      <c r="N484" s="25">
        <v>25</v>
      </c>
      <c r="O484" s="27">
        <v>25</v>
      </c>
      <c r="P484" s="22" t="s">
        <v>3831</v>
      </c>
    </row>
    <row r="485" spans="1:16" s="22" customFormat="1" ht="15" customHeight="1" x14ac:dyDescent="0.2">
      <c r="A485" s="22" t="s">
        <v>3784</v>
      </c>
      <c r="B485" s="22">
        <v>8244481</v>
      </c>
      <c r="C485" s="23">
        <v>1</v>
      </c>
      <c r="D485" s="23">
        <v>921225070</v>
      </c>
      <c r="E485" s="23">
        <v>921225070</v>
      </c>
      <c r="F485" s="24" t="s">
        <v>1362</v>
      </c>
      <c r="G485" s="23">
        <v>0</v>
      </c>
      <c r="H485" s="23">
        <v>20250301</v>
      </c>
      <c r="I485" s="23" t="str">
        <f>TEXT(DATE(LEFT(H485,4), MID(H485,5,2), RIGHT(H485,2)), "M/d/yyyy")</f>
        <v>3/1/2025</v>
      </c>
      <c r="J485" s="25">
        <v>20250101</v>
      </c>
      <c r="K485" s="23" t="str">
        <f>TEXT(DATE(LEFT(J485,4), MID(J485,5,2), RIGHT(J485,2)), "M/d/yyyy")</f>
        <v>1/1/2025</v>
      </c>
      <c r="L485" s="24" t="s">
        <v>78</v>
      </c>
      <c r="M485" s="26">
        <v>1</v>
      </c>
      <c r="N485" s="25">
        <v>25</v>
      </c>
      <c r="O485" s="27">
        <v>25</v>
      </c>
      <c r="P485" s="22" t="s">
        <v>3831</v>
      </c>
    </row>
    <row r="486" spans="1:16" s="22" customFormat="1" ht="15" customHeight="1" x14ac:dyDescent="0.2">
      <c r="A486" s="22" t="s">
        <v>3784</v>
      </c>
      <c r="B486" s="22">
        <v>8244481</v>
      </c>
      <c r="C486" s="23">
        <v>1</v>
      </c>
      <c r="D486" s="23">
        <v>921233848</v>
      </c>
      <c r="E486" s="23">
        <v>921233848</v>
      </c>
      <c r="F486" s="24" t="s">
        <v>1364</v>
      </c>
      <c r="G486" s="23">
        <v>0</v>
      </c>
      <c r="H486" s="23">
        <v>20250301</v>
      </c>
      <c r="I486" s="23" t="str">
        <f>TEXT(DATE(LEFT(H486,4), MID(H486,5,2), RIGHT(H486,2)), "M/d/yyyy")</f>
        <v>3/1/2025</v>
      </c>
      <c r="J486" s="25">
        <v>20250101</v>
      </c>
      <c r="K486" s="23" t="str">
        <f>TEXT(DATE(LEFT(J486,4), MID(J486,5,2), RIGHT(J486,2)), "M/d/yyyy")</f>
        <v>1/1/2025</v>
      </c>
      <c r="L486" s="24" t="s">
        <v>78</v>
      </c>
      <c r="M486" s="26">
        <v>1</v>
      </c>
      <c r="N486" s="25">
        <v>25</v>
      </c>
      <c r="O486" s="27">
        <v>25</v>
      </c>
      <c r="P486" s="22" t="s">
        <v>3831</v>
      </c>
    </row>
    <row r="487" spans="1:16" s="22" customFormat="1" ht="15" customHeight="1" x14ac:dyDescent="0.2">
      <c r="A487" s="22" t="s">
        <v>3784</v>
      </c>
      <c r="B487" s="22">
        <v>8244481</v>
      </c>
      <c r="C487" s="23">
        <v>1</v>
      </c>
      <c r="D487" s="23">
        <v>921250107</v>
      </c>
      <c r="E487" s="23">
        <v>921250107</v>
      </c>
      <c r="F487" s="24" t="s">
        <v>1368</v>
      </c>
      <c r="G487" s="23">
        <v>0</v>
      </c>
      <c r="H487" s="23">
        <v>20250201</v>
      </c>
      <c r="I487" s="23" t="str">
        <f>TEXT(DATE(LEFT(H487,4), MID(H487,5,2), RIGHT(H487,2)), "M/d/yyyy")</f>
        <v>2/1/2025</v>
      </c>
      <c r="J487" s="25">
        <v>20250101</v>
      </c>
      <c r="K487" s="23" t="str">
        <f>TEXT(DATE(LEFT(J487,4), MID(J487,5,2), RIGHT(J487,2)), "M/d/yyyy")</f>
        <v>1/1/2025</v>
      </c>
      <c r="L487" s="24" t="s">
        <v>78</v>
      </c>
      <c r="M487" s="26">
        <v>1</v>
      </c>
      <c r="N487" s="25">
        <v>25</v>
      </c>
      <c r="O487" s="27">
        <v>25</v>
      </c>
      <c r="P487" s="22" t="s">
        <v>3831</v>
      </c>
    </row>
    <row r="488" spans="1:16" s="22" customFormat="1" ht="15" customHeight="1" x14ac:dyDescent="0.2">
      <c r="A488" s="22" t="s">
        <v>3784</v>
      </c>
      <c r="B488" s="22">
        <v>8244481</v>
      </c>
      <c r="C488" s="23">
        <v>1</v>
      </c>
      <c r="D488" s="23">
        <v>921293197</v>
      </c>
      <c r="E488" s="23">
        <v>921293197</v>
      </c>
      <c r="F488" s="24" t="s">
        <v>1376</v>
      </c>
      <c r="G488" s="23">
        <v>0</v>
      </c>
      <c r="H488" s="23">
        <v>20250201</v>
      </c>
      <c r="I488" s="23" t="str">
        <f>TEXT(DATE(LEFT(H488,4), MID(H488,5,2), RIGHT(H488,2)), "M/d/yyyy")</f>
        <v>2/1/2025</v>
      </c>
      <c r="J488" s="25">
        <v>20240201</v>
      </c>
      <c r="K488" s="23" t="str">
        <f>TEXT(DATE(LEFT(J488,4), MID(J488,5,2), RIGHT(J488,2)), "M/d/yyyy")</f>
        <v>2/1/2024</v>
      </c>
      <c r="L488" s="24" t="s">
        <v>78</v>
      </c>
      <c r="M488" s="26">
        <v>1</v>
      </c>
      <c r="N488" s="25">
        <v>25</v>
      </c>
      <c r="O488" s="27">
        <v>25</v>
      </c>
      <c r="P488" s="22" t="s">
        <v>3831</v>
      </c>
    </row>
    <row r="489" spans="1:16" s="22" customFormat="1" ht="15" customHeight="1" x14ac:dyDescent="0.2">
      <c r="A489" s="22" t="s">
        <v>3784</v>
      </c>
      <c r="B489" s="22">
        <v>8244481</v>
      </c>
      <c r="C489" s="23">
        <v>1</v>
      </c>
      <c r="D489" s="23">
        <v>921349982</v>
      </c>
      <c r="E489" s="23">
        <v>921349982</v>
      </c>
      <c r="F489" s="24" t="s">
        <v>1390</v>
      </c>
      <c r="G489" s="23">
        <v>0</v>
      </c>
      <c r="H489" s="23">
        <v>20250301</v>
      </c>
      <c r="I489" s="23" t="str">
        <f>TEXT(DATE(LEFT(H489,4), MID(H489,5,2), RIGHT(H489,2)), "M/d/yyyy")</f>
        <v>3/1/2025</v>
      </c>
      <c r="J489" s="25">
        <v>20241101</v>
      </c>
      <c r="K489" s="23" t="str">
        <f>TEXT(DATE(LEFT(J489,4), MID(J489,5,2), RIGHT(J489,2)), "M/d/yyyy")</f>
        <v>11/1/2024</v>
      </c>
      <c r="L489" s="24" t="s">
        <v>78</v>
      </c>
      <c r="M489" s="26">
        <v>1</v>
      </c>
      <c r="N489" s="25">
        <v>25</v>
      </c>
      <c r="O489" s="27">
        <v>25</v>
      </c>
      <c r="P489" s="22" t="s">
        <v>3831</v>
      </c>
    </row>
    <row r="490" spans="1:16" s="22" customFormat="1" ht="15" customHeight="1" x14ac:dyDescent="0.2">
      <c r="A490" s="22" t="s">
        <v>3784</v>
      </c>
      <c r="B490" s="22">
        <v>8244481</v>
      </c>
      <c r="C490" s="23">
        <v>1</v>
      </c>
      <c r="D490" s="23">
        <v>921352333</v>
      </c>
      <c r="E490" s="23">
        <v>921352333</v>
      </c>
      <c r="F490" s="24" t="s">
        <v>1392</v>
      </c>
      <c r="G490" s="23">
        <v>0</v>
      </c>
      <c r="H490" s="23">
        <v>20250201</v>
      </c>
      <c r="I490" s="23" t="str">
        <f>TEXT(DATE(LEFT(H490,4), MID(H490,5,2), RIGHT(H490,2)), "M/d/yyyy")</f>
        <v>2/1/2025</v>
      </c>
      <c r="J490" s="25">
        <v>20250101</v>
      </c>
      <c r="K490" s="23" t="str">
        <f>TEXT(DATE(LEFT(J490,4), MID(J490,5,2), RIGHT(J490,2)), "M/d/yyyy")</f>
        <v>1/1/2025</v>
      </c>
      <c r="L490" s="24" t="s">
        <v>78</v>
      </c>
      <c r="M490" s="26">
        <v>1</v>
      </c>
      <c r="N490" s="25">
        <v>25</v>
      </c>
      <c r="O490" s="27">
        <v>25</v>
      </c>
      <c r="P490" s="22" t="s">
        <v>3831</v>
      </c>
    </row>
    <row r="491" spans="1:16" s="22" customFormat="1" ht="15" customHeight="1" x14ac:dyDescent="0.2">
      <c r="A491" s="22" t="s">
        <v>3784</v>
      </c>
      <c r="B491" s="22">
        <v>8244481</v>
      </c>
      <c r="C491" s="23">
        <v>1</v>
      </c>
      <c r="D491" s="23">
        <v>921353221</v>
      </c>
      <c r="E491" s="23">
        <v>921353221</v>
      </c>
      <c r="F491" s="24" t="s">
        <v>1396</v>
      </c>
      <c r="G491" s="23">
        <v>0</v>
      </c>
      <c r="H491" s="23">
        <v>20250301</v>
      </c>
      <c r="I491" s="23" t="str">
        <f>TEXT(DATE(LEFT(H491,4), MID(H491,5,2), RIGHT(H491,2)), "M/d/yyyy")</f>
        <v>3/1/2025</v>
      </c>
      <c r="J491" s="25">
        <v>20240501</v>
      </c>
      <c r="K491" s="23" t="str">
        <f>TEXT(DATE(LEFT(J491,4), MID(J491,5,2), RIGHT(J491,2)), "M/d/yyyy")</f>
        <v>5/1/2024</v>
      </c>
      <c r="L491" s="24" t="s">
        <v>78</v>
      </c>
      <c r="M491" s="26">
        <v>1</v>
      </c>
      <c r="N491" s="25">
        <v>25</v>
      </c>
      <c r="O491" s="27">
        <v>25</v>
      </c>
      <c r="P491" s="22" t="s">
        <v>3831</v>
      </c>
    </row>
    <row r="492" spans="1:16" s="22" customFormat="1" ht="15" customHeight="1" x14ac:dyDescent="0.2">
      <c r="A492" s="22" t="s">
        <v>3784</v>
      </c>
      <c r="B492" s="22">
        <v>8244481</v>
      </c>
      <c r="C492" s="23">
        <v>1</v>
      </c>
      <c r="D492" s="23">
        <v>921361140</v>
      </c>
      <c r="E492" s="23">
        <v>921361140</v>
      </c>
      <c r="F492" s="24" t="s">
        <v>1398</v>
      </c>
      <c r="G492" s="23">
        <v>0</v>
      </c>
      <c r="H492" s="23">
        <v>20250201</v>
      </c>
      <c r="I492" s="23" t="str">
        <f>TEXT(DATE(LEFT(H492,4), MID(H492,5,2), RIGHT(H492,2)), "M/d/yyyy")</f>
        <v>2/1/2025</v>
      </c>
      <c r="J492" s="25">
        <v>20250101</v>
      </c>
      <c r="K492" s="23" t="str">
        <f>TEXT(DATE(LEFT(J492,4), MID(J492,5,2), RIGHT(J492,2)), "M/d/yyyy")</f>
        <v>1/1/2025</v>
      </c>
      <c r="L492" s="24" t="s">
        <v>78</v>
      </c>
      <c r="M492" s="26">
        <v>1</v>
      </c>
      <c r="N492" s="25">
        <v>25</v>
      </c>
      <c r="O492" s="27">
        <v>25</v>
      </c>
      <c r="P492" s="22" t="s">
        <v>3831</v>
      </c>
    </row>
    <row r="493" spans="1:16" s="22" customFormat="1" ht="15" customHeight="1" x14ac:dyDescent="0.2">
      <c r="A493" s="22" t="s">
        <v>3784</v>
      </c>
      <c r="B493" s="22">
        <v>8244481</v>
      </c>
      <c r="C493" s="23">
        <v>1</v>
      </c>
      <c r="D493" s="23">
        <v>921397044</v>
      </c>
      <c r="E493" s="23">
        <v>921397044</v>
      </c>
      <c r="F493" s="24" t="s">
        <v>1414</v>
      </c>
      <c r="G493" s="23">
        <v>0</v>
      </c>
      <c r="H493" s="23">
        <v>20250201</v>
      </c>
      <c r="I493" s="23" t="str">
        <f>TEXT(DATE(LEFT(H493,4), MID(H493,5,2), RIGHT(H493,2)), "M/d/yyyy")</f>
        <v>2/1/2025</v>
      </c>
      <c r="J493" s="25">
        <v>20250101</v>
      </c>
      <c r="K493" s="23" t="str">
        <f>TEXT(DATE(LEFT(J493,4), MID(J493,5,2), RIGHT(J493,2)), "M/d/yyyy")</f>
        <v>1/1/2025</v>
      </c>
      <c r="L493" s="24" t="s">
        <v>78</v>
      </c>
      <c r="M493" s="26">
        <v>1</v>
      </c>
      <c r="N493" s="25">
        <v>25</v>
      </c>
      <c r="O493" s="27">
        <v>25</v>
      </c>
      <c r="P493" s="22" t="s">
        <v>3831</v>
      </c>
    </row>
    <row r="494" spans="1:16" s="22" customFormat="1" ht="15" customHeight="1" x14ac:dyDescent="0.2">
      <c r="A494" s="22" t="s">
        <v>3784</v>
      </c>
      <c r="B494" s="22">
        <v>8244481</v>
      </c>
      <c r="C494" s="23">
        <v>1</v>
      </c>
      <c r="D494" s="23">
        <v>921398434</v>
      </c>
      <c r="E494" s="23">
        <v>921398434</v>
      </c>
      <c r="F494" s="24" t="s">
        <v>1416</v>
      </c>
      <c r="G494" s="23">
        <v>0</v>
      </c>
      <c r="H494" s="23">
        <v>20250301</v>
      </c>
      <c r="I494" s="23" t="str">
        <f>TEXT(DATE(LEFT(H494,4), MID(H494,5,2), RIGHT(H494,2)), "M/d/yyyy")</f>
        <v>3/1/2025</v>
      </c>
      <c r="J494" s="25">
        <v>20250101</v>
      </c>
      <c r="K494" s="23" t="str">
        <f>TEXT(DATE(LEFT(J494,4), MID(J494,5,2), RIGHT(J494,2)), "M/d/yyyy")</f>
        <v>1/1/2025</v>
      </c>
      <c r="L494" s="24" t="s">
        <v>78</v>
      </c>
      <c r="M494" s="26">
        <v>1</v>
      </c>
      <c r="N494" s="25">
        <v>25</v>
      </c>
      <c r="O494" s="27">
        <v>25</v>
      </c>
      <c r="P494" s="22" t="s">
        <v>3831</v>
      </c>
    </row>
    <row r="495" spans="1:16" s="22" customFormat="1" ht="15" customHeight="1" x14ac:dyDescent="0.2">
      <c r="A495" s="22" t="s">
        <v>3784</v>
      </c>
      <c r="B495" s="22">
        <v>8244481</v>
      </c>
      <c r="C495" s="23">
        <v>1</v>
      </c>
      <c r="D495" s="23">
        <v>921429402</v>
      </c>
      <c r="E495" s="23">
        <v>921429402</v>
      </c>
      <c r="F495" s="24" t="s">
        <v>1422</v>
      </c>
      <c r="G495" s="23">
        <v>0</v>
      </c>
      <c r="H495" s="23">
        <v>20250201</v>
      </c>
      <c r="I495" s="23" t="str">
        <f>TEXT(DATE(LEFT(H495,4), MID(H495,5,2), RIGHT(H495,2)), "M/d/yyyy")</f>
        <v>2/1/2025</v>
      </c>
      <c r="J495" s="25">
        <v>20240701</v>
      </c>
      <c r="K495" s="23" t="str">
        <f>TEXT(DATE(LEFT(J495,4), MID(J495,5,2), RIGHT(J495,2)), "M/d/yyyy")</f>
        <v>7/1/2024</v>
      </c>
      <c r="L495" s="24" t="s">
        <v>78</v>
      </c>
      <c r="M495" s="26">
        <v>1</v>
      </c>
      <c r="N495" s="25">
        <v>25</v>
      </c>
      <c r="O495" s="27">
        <v>25</v>
      </c>
      <c r="P495" s="22" t="s">
        <v>3831</v>
      </c>
    </row>
    <row r="496" spans="1:16" s="22" customFormat="1" ht="15" customHeight="1" x14ac:dyDescent="0.2">
      <c r="A496" s="22" t="s">
        <v>3784</v>
      </c>
      <c r="B496" s="22">
        <v>8244481</v>
      </c>
      <c r="C496" s="23">
        <v>1</v>
      </c>
      <c r="D496" s="23">
        <v>921429402</v>
      </c>
      <c r="E496" s="23">
        <v>921429402</v>
      </c>
      <c r="F496" s="24" t="s">
        <v>1422</v>
      </c>
      <c r="G496" s="23">
        <v>0</v>
      </c>
      <c r="H496" s="23">
        <v>20250101</v>
      </c>
      <c r="I496" s="23" t="str">
        <f>TEXT(DATE(LEFT(H496,4), MID(H496,5,2), RIGHT(H496,2)), "M/d/yyyy")</f>
        <v>1/1/2025</v>
      </c>
      <c r="J496" s="25">
        <v>20240701</v>
      </c>
      <c r="K496" s="23" t="str">
        <f>TEXT(DATE(LEFT(J496,4), MID(J496,5,2), RIGHT(J496,2)), "M/d/yyyy")</f>
        <v>7/1/2024</v>
      </c>
      <c r="L496" s="24" t="s">
        <v>78</v>
      </c>
      <c r="M496" s="26">
        <v>1</v>
      </c>
      <c r="N496" s="25">
        <v>25</v>
      </c>
      <c r="O496" s="27">
        <v>25</v>
      </c>
      <c r="P496" s="22" t="s">
        <v>3831</v>
      </c>
    </row>
    <row r="497" spans="1:16" s="22" customFormat="1" ht="15" customHeight="1" x14ac:dyDescent="0.2">
      <c r="A497" s="22" t="s">
        <v>3784</v>
      </c>
      <c r="B497" s="22">
        <v>8244481</v>
      </c>
      <c r="C497" s="23">
        <v>1</v>
      </c>
      <c r="D497" s="23">
        <v>921453082</v>
      </c>
      <c r="E497" s="23">
        <v>921453082</v>
      </c>
      <c r="F497" s="24" t="s">
        <v>1430</v>
      </c>
      <c r="G497" s="23">
        <v>0</v>
      </c>
      <c r="H497" s="23">
        <v>20250301</v>
      </c>
      <c r="I497" s="23" t="str">
        <f>TEXT(DATE(LEFT(H497,4), MID(H497,5,2), RIGHT(H497,2)), "M/d/yyyy")</f>
        <v>3/1/2025</v>
      </c>
      <c r="J497" s="25">
        <v>20240701</v>
      </c>
      <c r="K497" s="23" t="str">
        <f>TEXT(DATE(LEFT(J497,4), MID(J497,5,2), RIGHT(J497,2)), "M/d/yyyy")</f>
        <v>7/1/2024</v>
      </c>
      <c r="L497" s="24" t="s">
        <v>78</v>
      </c>
      <c r="M497" s="26">
        <v>1</v>
      </c>
      <c r="N497" s="25">
        <v>25</v>
      </c>
      <c r="O497" s="27">
        <v>25</v>
      </c>
      <c r="P497" s="22" t="s">
        <v>3831</v>
      </c>
    </row>
    <row r="498" spans="1:16" s="22" customFormat="1" ht="15" customHeight="1" x14ac:dyDescent="0.2">
      <c r="A498" s="22" t="s">
        <v>3784</v>
      </c>
      <c r="B498" s="22">
        <v>8244481</v>
      </c>
      <c r="C498" s="23">
        <v>1</v>
      </c>
      <c r="D498" s="23">
        <v>921529574</v>
      </c>
      <c r="E498" s="23">
        <v>921529574</v>
      </c>
      <c r="F498" s="24" t="s">
        <v>1469</v>
      </c>
      <c r="G498" s="23">
        <v>0</v>
      </c>
      <c r="H498" s="23">
        <v>20250301</v>
      </c>
      <c r="I498" s="23" t="str">
        <f>TEXT(DATE(LEFT(H498,4), MID(H498,5,2), RIGHT(H498,2)), "M/d/yyyy")</f>
        <v>3/1/2025</v>
      </c>
      <c r="J498" s="25">
        <v>20241001</v>
      </c>
      <c r="K498" s="23" t="str">
        <f>TEXT(DATE(LEFT(J498,4), MID(J498,5,2), RIGHT(J498,2)), "M/d/yyyy")</f>
        <v>10/1/2024</v>
      </c>
      <c r="L498" s="24" t="s">
        <v>78</v>
      </c>
      <c r="M498" s="26">
        <v>1</v>
      </c>
      <c r="N498" s="25">
        <v>25</v>
      </c>
      <c r="O498" s="27">
        <v>25</v>
      </c>
      <c r="P498" s="22" t="s">
        <v>3831</v>
      </c>
    </row>
    <row r="499" spans="1:16" s="22" customFormat="1" ht="15" customHeight="1" x14ac:dyDescent="0.2">
      <c r="A499" s="22" t="s">
        <v>3784</v>
      </c>
      <c r="B499" s="22">
        <v>8244481</v>
      </c>
      <c r="C499" s="23">
        <v>1</v>
      </c>
      <c r="D499" s="23">
        <v>921538152</v>
      </c>
      <c r="E499" s="23">
        <v>921538152</v>
      </c>
      <c r="F499" s="24" t="s">
        <v>1471</v>
      </c>
      <c r="G499" s="23">
        <v>0</v>
      </c>
      <c r="H499" s="23">
        <v>20250301</v>
      </c>
      <c r="I499" s="23" t="str">
        <f>TEXT(DATE(LEFT(H499,4), MID(H499,5,2), RIGHT(H499,2)), "M/d/yyyy")</f>
        <v>3/1/2025</v>
      </c>
      <c r="J499" s="25">
        <v>20250101</v>
      </c>
      <c r="K499" s="23" t="str">
        <f>TEXT(DATE(LEFT(J499,4), MID(J499,5,2), RIGHT(J499,2)), "M/d/yyyy")</f>
        <v>1/1/2025</v>
      </c>
      <c r="L499" s="24" t="s">
        <v>78</v>
      </c>
      <c r="M499" s="26">
        <v>1</v>
      </c>
      <c r="N499" s="25">
        <v>25</v>
      </c>
      <c r="O499" s="27">
        <v>25</v>
      </c>
      <c r="P499" s="22" t="s">
        <v>3831</v>
      </c>
    </row>
    <row r="500" spans="1:16" s="22" customFormat="1" ht="15" customHeight="1" x14ac:dyDescent="0.2">
      <c r="A500" s="22" t="s">
        <v>3784</v>
      </c>
      <c r="B500" s="22">
        <v>8244481</v>
      </c>
      <c r="C500" s="23">
        <v>1</v>
      </c>
      <c r="D500" s="23">
        <v>921576503</v>
      </c>
      <c r="E500" s="23">
        <v>921576503</v>
      </c>
      <c r="F500" s="24" t="s">
        <v>1483</v>
      </c>
      <c r="G500" s="23">
        <v>0</v>
      </c>
      <c r="H500" s="23">
        <v>20250201</v>
      </c>
      <c r="I500" s="23" t="str">
        <f>TEXT(DATE(LEFT(H500,4), MID(H500,5,2), RIGHT(H500,2)), "M/d/yyyy")</f>
        <v>2/1/2025</v>
      </c>
      <c r="J500" s="25">
        <v>20250101</v>
      </c>
      <c r="K500" s="23" t="str">
        <f>TEXT(DATE(LEFT(J500,4), MID(J500,5,2), RIGHT(J500,2)), "M/d/yyyy")</f>
        <v>1/1/2025</v>
      </c>
      <c r="L500" s="24" t="s">
        <v>78</v>
      </c>
      <c r="M500" s="26">
        <v>1</v>
      </c>
      <c r="N500" s="25">
        <v>25</v>
      </c>
      <c r="O500" s="27">
        <v>25</v>
      </c>
      <c r="P500" s="22" t="s">
        <v>3831</v>
      </c>
    </row>
    <row r="501" spans="1:16" s="22" customFormat="1" ht="15" customHeight="1" x14ac:dyDescent="0.2">
      <c r="A501" s="22" t="s">
        <v>3784</v>
      </c>
      <c r="B501" s="22">
        <v>8244481</v>
      </c>
      <c r="C501" s="23">
        <v>1</v>
      </c>
      <c r="D501" s="23">
        <v>921716068</v>
      </c>
      <c r="E501" s="23">
        <v>921716068</v>
      </c>
      <c r="F501" s="24" t="s">
        <v>1598</v>
      </c>
      <c r="G501" s="23">
        <v>0</v>
      </c>
      <c r="H501" s="23">
        <v>20250301</v>
      </c>
      <c r="I501" s="23" t="str">
        <f>TEXT(DATE(LEFT(H501,4), MID(H501,5,2), RIGHT(H501,2)), "M/d/yyyy")</f>
        <v>3/1/2025</v>
      </c>
      <c r="J501" s="25">
        <v>20240401</v>
      </c>
      <c r="K501" s="23" t="str">
        <f>TEXT(DATE(LEFT(J501,4), MID(J501,5,2), RIGHT(J501,2)), "M/d/yyyy")</f>
        <v>4/1/2024</v>
      </c>
      <c r="L501" s="24" t="s">
        <v>78</v>
      </c>
      <c r="M501" s="26">
        <v>1</v>
      </c>
      <c r="N501" s="25">
        <v>25</v>
      </c>
      <c r="O501" s="27">
        <v>25</v>
      </c>
      <c r="P501" s="22" t="s">
        <v>3831</v>
      </c>
    </row>
    <row r="502" spans="1:16" s="22" customFormat="1" ht="15" customHeight="1" x14ac:dyDescent="0.2">
      <c r="A502" s="22" t="s">
        <v>3784</v>
      </c>
      <c r="B502" s="22">
        <v>8244481</v>
      </c>
      <c r="C502" s="23">
        <v>1</v>
      </c>
      <c r="D502" s="23">
        <v>921716171</v>
      </c>
      <c r="E502" s="23">
        <v>921716171</v>
      </c>
      <c r="F502" s="24" t="s">
        <v>1600</v>
      </c>
      <c r="G502" s="23">
        <v>0</v>
      </c>
      <c r="H502" s="23">
        <v>20250301</v>
      </c>
      <c r="I502" s="23" t="str">
        <f>TEXT(DATE(LEFT(H502,4), MID(H502,5,2), RIGHT(H502,2)), "M/d/yyyy")</f>
        <v>3/1/2025</v>
      </c>
      <c r="J502" s="25">
        <v>20240401</v>
      </c>
      <c r="K502" s="23" t="str">
        <f>TEXT(DATE(LEFT(J502,4), MID(J502,5,2), RIGHT(J502,2)), "M/d/yyyy")</f>
        <v>4/1/2024</v>
      </c>
      <c r="L502" s="24" t="s">
        <v>78</v>
      </c>
      <c r="M502" s="26">
        <v>1</v>
      </c>
      <c r="N502" s="25">
        <v>25</v>
      </c>
      <c r="O502" s="27">
        <v>25</v>
      </c>
      <c r="P502" s="22" t="s">
        <v>3831</v>
      </c>
    </row>
    <row r="503" spans="1:16" s="22" customFormat="1" ht="15" customHeight="1" x14ac:dyDescent="0.2">
      <c r="A503" s="22" t="s">
        <v>3784</v>
      </c>
      <c r="B503" s="22">
        <v>8244481</v>
      </c>
      <c r="C503" s="23">
        <v>1</v>
      </c>
      <c r="D503" s="23">
        <v>921721256</v>
      </c>
      <c r="E503" s="23">
        <v>921721256</v>
      </c>
      <c r="F503" s="24" t="s">
        <v>1608</v>
      </c>
      <c r="G503" s="23">
        <v>0</v>
      </c>
      <c r="H503" s="23">
        <v>20250301</v>
      </c>
      <c r="I503" s="23" t="str">
        <f>TEXT(DATE(LEFT(H503,4), MID(H503,5,2), RIGHT(H503,2)), "M/d/yyyy")</f>
        <v>3/1/2025</v>
      </c>
      <c r="J503" s="25">
        <v>20241201</v>
      </c>
      <c r="K503" s="23" t="str">
        <f>TEXT(DATE(LEFT(J503,4), MID(J503,5,2), RIGHT(J503,2)), "M/d/yyyy")</f>
        <v>12/1/2024</v>
      </c>
      <c r="L503" s="24" t="s">
        <v>78</v>
      </c>
      <c r="M503" s="26">
        <v>1</v>
      </c>
      <c r="N503" s="25">
        <v>25</v>
      </c>
      <c r="O503" s="27">
        <v>25</v>
      </c>
      <c r="P503" s="22" t="s">
        <v>3831</v>
      </c>
    </row>
    <row r="504" spans="1:16" s="22" customFormat="1" ht="15" customHeight="1" x14ac:dyDescent="0.2">
      <c r="A504" s="22" t="s">
        <v>3784</v>
      </c>
      <c r="B504" s="22">
        <v>8244481</v>
      </c>
      <c r="C504" s="23">
        <v>1</v>
      </c>
      <c r="D504" s="23">
        <v>921721352</v>
      </c>
      <c r="E504" s="23">
        <v>921721352</v>
      </c>
      <c r="F504" s="24" t="s">
        <v>1610</v>
      </c>
      <c r="G504" s="23">
        <v>0</v>
      </c>
      <c r="H504" s="23">
        <v>20250301</v>
      </c>
      <c r="I504" s="23" t="str">
        <f>TEXT(DATE(LEFT(H504,4), MID(H504,5,2), RIGHT(H504,2)), "M/d/yyyy")</f>
        <v>3/1/2025</v>
      </c>
      <c r="J504" s="25">
        <v>20240501</v>
      </c>
      <c r="K504" s="23" t="str">
        <f>TEXT(DATE(LEFT(J504,4), MID(J504,5,2), RIGHT(J504,2)), "M/d/yyyy")</f>
        <v>5/1/2024</v>
      </c>
      <c r="L504" s="24" t="s">
        <v>78</v>
      </c>
      <c r="M504" s="26">
        <v>1</v>
      </c>
      <c r="N504" s="25">
        <v>25</v>
      </c>
      <c r="O504" s="27">
        <v>25</v>
      </c>
      <c r="P504" s="22" t="s">
        <v>3831</v>
      </c>
    </row>
    <row r="505" spans="1:16" s="22" customFormat="1" ht="15" customHeight="1" x14ac:dyDescent="0.2">
      <c r="A505" s="22" t="s">
        <v>3784</v>
      </c>
      <c r="B505" s="22">
        <v>8244481</v>
      </c>
      <c r="C505" s="23">
        <v>1</v>
      </c>
      <c r="D505" s="23">
        <v>921723763</v>
      </c>
      <c r="E505" s="23">
        <v>921723763</v>
      </c>
      <c r="F505" s="24" t="s">
        <v>1614</v>
      </c>
      <c r="G505" s="23">
        <v>0</v>
      </c>
      <c r="H505" s="23">
        <v>20250301</v>
      </c>
      <c r="I505" s="23" t="str">
        <f>TEXT(DATE(LEFT(H505,4), MID(H505,5,2), RIGHT(H505,2)), "M/d/yyyy")</f>
        <v>3/1/2025</v>
      </c>
      <c r="J505" s="25">
        <v>20240601</v>
      </c>
      <c r="K505" s="23" t="str">
        <f>TEXT(DATE(LEFT(J505,4), MID(J505,5,2), RIGHT(J505,2)), "M/d/yyyy")</f>
        <v>6/1/2024</v>
      </c>
      <c r="L505" s="24" t="s">
        <v>78</v>
      </c>
      <c r="M505" s="26">
        <v>1</v>
      </c>
      <c r="N505" s="25">
        <v>25</v>
      </c>
      <c r="O505" s="27">
        <v>25</v>
      </c>
      <c r="P505" s="22" t="s">
        <v>3831</v>
      </c>
    </row>
    <row r="506" spans="1:16" s="22" customFormat="1" ht="15" customHeight="1" x14ac:dyDescent="0.2">
      <c r="A506" s="22" t="s">
        <v>3784</v>
      </c>
      <c r="B506" s="22">
        <v>8244481</v>
      </c>
      <c r="C506" s="23">
        <v>1</v>
      </c>
      <c r="D506" s="23">
        <v>921725502</v>
      </c>
      <c r="E506" s="23">
        <v>921725502</v>
      </c>
      <c r="F506" s="24" t="s">
        <v>1616</v>
      </c>
      <c r="G506" s="23">
        <v>0</v>
      </c>
      <c r="H506" s="23">
        <v>20250301</v>
      </c>
      <c r="I506" s="23" t="str">
        <f>TEXT(DATE(LEFT(H506,4), MID(H506,5,2), RIGHT(H506,2)), "M/d/yyyy")</f>
        <v>3/1/2025</v>
      </c>
      <c r="J506" s="25">
        <v>20240601</v>
      </c>
      <c r="K506" s="23" t="str">
        <f>TEXT(DATE(LEFT(J506,4), MID(J506,5,2), RIGHT(J506,2)), "M/d/yyyy")</f>
        <v>6/1/2024</v>
      </c>
      <c r="L506" s="24" t="s">
        <v>78</v>
      </c>
      <c r="M506" s="26">
        <v>1</v>
      </c>
      <c r="N506" s="25">
        <v>25</v>
      </c>
      <c r="O506" s="27">
        <v>25</v>
      </c>
      <c r="P506" s="22" t="s">
        <v>3831</v>
      </c>
    </row>
    <row r="507" spans="1:16" s="22" customFormat="1" ht="15" customHeight="1" x14ac:dyDescent="0.2">
      <c r="A507" s="22" t="s">
        <v>3784</v>
      </c>
      <c r="B507" s="22">
        <v>8244481</v>
      </c>
      <c r="C507" s="23">
        <v>1</v>
      </c>
      <c r="D507" s="23">
        <v>921726908</v>
      </c>
      <c r="E507" s="23">
        <v>921726908</v>
      </c>
      <c r="F507" s="24" t="s">
        <v>1618</v>
      </c>
      <c r="G507" s="23">
        <v>0</v>
      </c>
      <c r="H507" s="23">
        <v>20250301</v>
      </c>
      <c r="I507" s="23" t="str">
        <f>TEXT(DATE(LEFT(H507,4), MID(H507,5,2), RIGHT(H507,2)), "M/d/yyyy")</f>
        <v>3/1/2025</v>
      </c>
      <c r="J507" s="25">
        <v>20240701</v>
      </c>
      <c r="K507" s="23" t="str">
        <f>TEXT(DATE(LEFT(J507,4), MID(J507,5,2), RIGHT(J507,2)), "M/d/yyyy")</f>
        <v>7/1/2024</v>
      </c>
      <c r="L507" s="24" t="s">
        <v>78</v>
      </c>
      <c r="M507" s="26">
        <v>1</v>
      </c>
      <c r="N507" s="25">
        <v>25</v>
      </c>
      <c r="O507" s="27">
        <v>25</v>
      </c>
      <c r="P507" s="22" t="s">
        <v>3831</v>
      </c>
    </row>
    <row r="508" spans="1:16" s="22" customFormat="1" ht="15" customHeight="1" x14ac:dyDescent="0.2">
      <c r="A508" s="22" t="s">
        <v>3784</v>
      </c>
      <c r="B508" s="22">
        <v>8244481</v>
      </c>
      <c r="C508" s="23">
        <v>1</v>
      </c>
      <c r="D508" s="23">
        <v>921729233</v>
      </c>
      <c r="E508" s="23">
        <v>921729233</v>
      </c>
      <c r="F508" s="24" t="s">
        <v>1620</v>
      </c>
      <c r="G508" s="23">
        <v>0</v>
      </c>
      <c r="H508" s="23">
        <v>20250301</v>
      </c>
      <c r="I508" s="23" t="str">
        <f>TEXT(DATE(LEFT(H508,4), MID(H508,5,2), RIGHT(H508,2)), "M/d/yyyy")</f>
        <v>3/1/2025</v>
      </c>
      <c r="J508" s="25">
        <v>20240701</v>
      </c>
      <c r="K508" s="23" t="str">
        <f>TEXT(DATE(LEFT(J508,4), MID(J508,5,2), RIGHT(J508,2)), "M/d/yyyy")</f>
        <v>7/1/2024</v>
      </c>
      <c r="L508" s="24" t="s">
        <v>78</v>
      </c>
      <c r="M508" s="26">
        <v>1</v>
      </c>
      <c r="N508" s="25">
        <v>25</v>
      </c>
      <c r="O508" s="27">
        <v>25</v>
      </c>
      <c r="P508" s="22" t="s">
        <v>3831</v>
      </c>
    </row>
    <row r="509" spans="1:16" s="22" customFormat="1" ht="15" customHeight="1" x14ac:dyDescent="0.2">
      <c r="A509" s="22" t="s">
        <v>3784</v>
      </c>
      <c r="B509" s="22">
        <v>8244481</v>
      </c>
      <c r="C509" s="23">
        <v>1</v>
      </c>
      <c r="D509" s="23">
        <v>921730642</v>
      </c>
      <c r="E509" s="23">
        <v>921730642</v>
      </c>
      <c r="F509" s="24" t="s">
        <v>1622</v>
      </c>
      <c r="G509" s="23">
        <v>0</v>
      </c>
      <c r="H509" s="23">
        <v>20250301</v>
      </c>
      <c r="I509" s="23" t="str">
        <f>TEXT(DATE(LEFT(H509,4), MID(H509,5,2), RIGHT(H509,2)), "M/d/yyyy")</f>
        <v>3/1/2025</v>
      </c>
      <c r="J509" s="25">
        <v>20240701</v>
      </c>
      <c r="K509" s="23" t="str">
        <f>TEXT(DATE(LEFT(J509,4), MID(J509,5,2), RIGHT(J509,2)), "M/d/yyyy")</f>
        <v>7/1/2024</v>
      </c>
      <c r="L509" s="24" t="s">
        <v>78</v>
      </c>
      <c r="M509" s="26">
        <v>1</v>
      </c>
      <c r="N509" s="25">
        <v>25</v>
      </c>
      <c r="O509" s="27">
        <v>25</v>
      </c>
      <c r="P509" s="22" t="s">
        <v>3831</v>
      </c>
    </row>
    <row r="510" spans="1:16" s="22" customFormat="1" ht="15" customHeight="1" x14ac:dyDescent="0.2">
      <c r="A510" s="22" t="s">
        <v>3784</v>
      </c>
      <c r="B510" s="22">
        <v>8244481</v>
      </c>
      <c r="C510" s="23">
        <v>1</v>
      </c>
      <c r="D510" s="23">
        <v>921731593</v>
      </c>
      <c r="E510" s="23">
        <v>921731593</v>
      </c>
      <c r="F510" s="24" t="s">
        <v>1624</v>
      </c>
      <c r="G510" s="23">
        <v>0</v>
      </c>
      <c r="H510" s="23">
        <v>20250301</v>
      </c>
      <c r="I510" s="23" t="str">
        <f>TEXT(DATE(LEFT(H510,4), MID(H510,5,2), RIGHT(H510,2)), "M/d/yyyy")</f>
        <v>3/1/2025</v>
      </c>
      <c r="J510" s="25">
        <v>20240801</v>
      </c>
      <c r="K510" s="23" t="str">
        <f>TEXT(DATE(LEFT(J510,4), MID(J510,5,2), RIGHT(J510,2)), "M/d/yyyy")</f>
        <v>8/1/2024</v>
      </c>
      <c r="L510" s="24" t="s">
        <v>78</v>
      </c>
      <c r="M510" s="26">
        <v>1</v>
      </c>
      <c r="N510" s="25">
        <v>25</v>
      </c>
      <c r="O510" s="27">
        <v>25</v>
      </c>
      <c r="P510" s="22" t="s">
        <v>3831</v>
      </c>
    </row>
    <row r="511" spans="1:16" s="22" customFormat="1" ht="15" customHeight="1" x14ac:dyDescent="0.2">
      <c r="A511" s="22" t="s">
        <v>3784</v>
      </c>
      <c r="B511" s="22">
        <v>8244481</v>
      </c>
      <c r="C511" s="23">
        <v>1</v>
      </c>
      <c r="D511" s="23">
        <v>921735969</v>
      </c>
      <c r="E511" s="23">
        <v>921735969</v>
      </c>
      <c r="F511" s="24" t="s">
        <v>1626</v>
      </c>
      <c r="G511" s="23">
        <v>0</v>
      </c>
      <c r="H511" s="23">
        <v>20250301</v>
      </c>
      <c r="I511" s="23" t="str">
        <f>TEXT(DATE(LEFT(H511,4), MID(H511,5,2), RIGHT(H511,2)), "M/d/yyyy")</f>
        <v>3/1/2025</v>
      </c>
      <c r="J511" s="25">
        <v>20240901</v>
      </c>
      <c r="K511" s="23" t="str">
        <f>TEXT(DATE(LEFT(J511,4), MID(J511,5,2), RIGHT(J511,2)), "M/d/yyyy")</f>
        <v>9/1/2024</v>
      </c>
      <c r="L511" s="24" t="s">
        <v>78</v>
      </c>
      <c r="M511" s="26">
        <v>1</v>
      </c>
      <c r="N511" s="25">
        <v>25</v>
      </c>
      <c r="O511" s="27">
        <v>25</v>
      </c>
      <c r="P511" s="22" t="s">
        <v>3831</v>
      </c>
    </row>
    <row r="512" spans="1:16" s="22" customFormat="1" ht="15" customHeight="1" x14ac:dyDescent="0.2">
      <c r="A512" s="22" t="s">
        <v>3784</v>
      </c>
      <c r="B512" s="22">
        <v>8244481</v>
      </c>
      <c r="C512" s="23">
        <v>1</v>
      </c>
      <c r="D512" s="23">
        <v>921740609</v>
      </c>
      <c r="E512" s="23">
        <v>921740609</v>
      </c>
      <c r="F512" s="24" t="s">
        <v>1628</v>
      </c>
      <c r="G512" s="23">
        <v>0</v>
      </c>
      <c r="H512" s="23">
        <v>20250301</v>
      </c>
      <c r="I512" s="23" t="str">
        <f>TEXT(DATE(LEFT(H512,4), MID(H512,5,2), RIGHT(H512,2)), "M/d/yyyy")</f>
        <v>3/1/2025</v>
      </c>
      <c r="J512" s="25">
        <v>20241001</v>
      </c>
      <c r="K512" s="23" t="str">
        <f>TEXT(DATE(LEFT(J512,4), MID(J512,5,2), RIGHT(J512,2)), "M/d/yyyy")</f>
        <v>10/1/2024</v>
      </c>
      <c r="L512" s="24" t="s">
        <v>78</v>
      </c>
      <c r="M512" s="26">
        <v>1</v>
      </c>
      <c r="N512" s="25">
        <v>25</v>
      </c>
      <c r="O512" s="27">
        <v>25</v>
      </c>
      <c r="P512" s="22" t="s">
        <v>3831</v>
      </c>
    </row>
    <row r="513" spans="1:16" s="22" customFormat="1" ht="15" customHeight="1" x14ac:dyDescent="0.2">
      <c r="A513" s="22" t="s">
        <v>3784</v>
      </c>
      <c r="B513" s="22">
        <v>8244481</v>
      </c>
      <c r="C513" s="23">
        <v>1</v>
      </c>
      <c r="D513" s="23">
        <v>921745110</v>
      </c>
      <c r="E513" s="23">
        <v>921745110</v>
      </c>
      <c r="F513" s="24" t="s">
        <v>1630</v>
      </c>
      <c r="G513" s="23">
        <v>0</v>
      </c>
      <c r="H513" s="23">
        <v>20250301</v>
      </c>
      <c r="I513" s="23" t="str">
        <f>TEXT(DATE(LEFT(H513,4), MID(H513,5,2), RIGHT(H513,2)), "M/d/yyyy")</f>
        <v>3/1/2025</v>
      </c>
      <c r="J513" s="25">
        <v>20250101</v>
      </c>
      <c r="K513" s="23" t="str">
        <f>TEXT(DATE(LEFT(J513,4), MID(J513,5,2), RIGHT(J513,2)), "M/d/yyyy")</f>
        <v>1/1/2025</v>
      </c>
      <c r="L513" s="24" t="s">
        <v>78</v>
      </c>
      <c r="M513" s="26">
        <v>1</v>
      </c>
      <c r="N513" s="25">
        <v>25</v>
      </c>
      <c r="O513" s="27">
        <v>25</v>
      </c>
      <c r="P513" s="22" t="s">
        <v>3831</v>
      </c>
    </row>
    <row r="514" spans="1:16" s="22" customFormat="1" ht="15" customHeight="1" x14ac:dyDescent="0.2">
      <c r="A514" s="22" t="s">
        <v>3784</v>
      </c>
      <c r="B514" s="22">
        <v>8244481</v>
      </c>
      <c r="C514" s="23">
        <v>1</v>
      </c>
      <c r="D514" s="23">
        <v>921746082</v>
      </c>
      <c r="E514" s="23">
        <v>921746082</v>
      </c>
      <c r="F514" s="24" t="s">
        <v>1632</v>
      </c>
      <c r="G514" s="23">
        <v>0</v>
      </c>
      <c r="H514" s="23">
        <v>20250301</v>
      </c>
      <c r="I514" s="23" t="str">
        <f>TEXT(DATE(LEFT(H514,4), MID(H514,5,2), RIGHT(H514,2)), "M/d/yyyy")</f>
        <v>3/1/2025</v>
      </c>
      <c r="J514" s="25">
        <v>20250101</v>
      </c>
      <c r="K514" s="23" t="str">
        <f>TEXT(DATE(LEFT(J514,4), MID(J514,5,2), RIGHT(J514,2)), "M/d/yyyy")</f>
        <v>1/1/2025</v>
      </c>
      <c r="L514" s="24" t="s">
        <v>78</v>
      </c>
      <c r="M514" s="26">
        <v>1</v>
      </c>
      <c r="N514" s="25">
        <v>25</v>
      </c>
      <c r="O514" s="27">
        <v>25</v>
      </c>
      <c r="P514" s="22" t="s">
        <v>3831</v>
      </c>
    </row>
    <row r="515" spans="1:16" s="22" customFormat="1" ht="15" customHeight="1" x14ac:dyDescent="0.2">
      <c r="A515" s="22" t="s">
        <v>3784</v>
      </c>
      <c r="B515" s="22">
        <v>8244481</v>
      </c>
      <c r="C515" s="23">
        <v>1</v>
      </c>
      <c r="D515" s="23">
        <v>921747239</v>
      </c>
      <c r="E515" s="23">
        <v>921747239</v>
      </c>
      <c r="F515" s="24" t="s">
        <v>1638</v>
      </c>
      <c r="G515" s="23">
        <v>0</v>
      </c>
      <c r="H515" s="23">
        <v>20250301</v>
      </c>
      <c r="I515" s="23" t="str">
        <f>TEXT(DATE(LEFT(H515,4), MID(H515,5,2), RIGHT(H515,2)), "M/d/yyyy")</f>
        <v>3/1/2025</v>
      </c>
      <c r="J515" s="25">
        <v>20250101</v>
      </c>
      <c r="K515" s="23" t="str">
        <f>TEXT(DATE(LEFT(J515,4), MID(J515,5,2), RIGHT(J515,2)), "M/d/yyyy")</f>
        <v>1/1/2025</v>
      </c>
      <c r="L515" s="24" t="s">
        <v>78</v>
      </c>
      <c r="M515" s="26">
        <v>1</v>
      </c>
      <c r="N515" s="25">
        <v>25</v>
      </c>
      <c r="O515" s="27">
        <v>25</v>
      </c>
      <c r="P515" s="22" t="s">
        <v>3831</v>
      </c>
    </row>
    <row r="516" spans="1:16" s="22" customFormat="1" ht="15" customHeight="1" x14ac:dyDescent="0.2">
      <c r="A516" s="22" t="s">
        <v>3784</v>
      </c>
      <c r="B516" s="22">
        <v>8244481</v>
      </c>
      <c r="C516" s="23">
        <v>1</v>
      </c>
      <c r="D516" s="23">
        <v>921747239</v>
      </c>
      <c r="E516" s="23">
        <v>921747239</v>
      </c>
      <c r="F516" s="24" t="s">
        <v>1638</v>
      </c>
      <c r="G516" s="23">
        <v>0</v>
      </c>
      <c r="H516" s="23">
        <v>20250201</v>
      </c>
      <c r="I516" s="23" t="str">
        <f>TEXT(DATE(LEFT(H516,4), MID(H516,5,2), RIGHT(H516,2)), "M/d/yyyy")</f>
        <v>2/1/2025</v>
      </c>
      <c r="J516" s="25">
        <v>20250101</v>
      </c>
      <c r="K516" s="23" t="str">
        <f>TEXT(DATE(LEFT(J516,4), MID(J516,5,2), RIGHT(J516,2)), "M/d/yyyy")</f>
        <v>1/1/2025</v>
      </c>
      <c r="L516" s="24" t="s">
        <v>78</v>
      </c>
      <c r="M516" s="26">
        <v>1</v>
      </c>
      <c r="N516" s="25">
        <v>25</v>
      </c>
      <c r="O516" s="27">
        <v>25</v>
      </c>
      <c r="P516" s="22" t="s">
        <v>3831</v>
      </c>
    </row>
    <row r="517" spans="1:16" s="22" customFormat="1" ht="15" customHeight="1" x14ac:dyDescent="0.2">
      <c r="A517" s="22" t="s">
        <v>3784</v>
      </c>
      <c r="B517" s="22">
        <v>8244481</v>
      </c>
      <c r="C517" s="23">
        <v>1</v>
      </c>
      <c r="D517" s="23">
        <v>921748597</v>
      </c>
      <c r="E517" s="23">
        <v>921748597</v>
      </c>
      <c r="F517" s="24" t="s">
        <v>1642</v>
      </c>
      <c r="G517" s="23">
        <v>0</v>
      </c>
      <c r="H517" s="23">
        <v>20250301</v>
      </c>
      <c r="I517" s="23" t="str">
        <f>TEXT(DATE(LEFT(H517,4), MID(H517,5,2), RIGHT(H517,2)), "M/d/yyyy")</f>
        <v>3/1/2025</v>
      </c>
      <c r="J517" s="25">
        <v>20241201</v>
      </c>
      <c r="K517" s="23" t="str">
        <f>TEXT(DATE(LEFT(J517,4), MID(J517,5,2), RIGHT(J517,2)), "M/d/yyyy")</f>
        <v>12/1/2024</v>
      </c>
      <c r="L517" s="24" t="s">
        <v>78</v>
      </c>
      <c r="M517" s="26">
        <v>1</v>
      </c>
      <c r="N517" s="25">
        <v>25</v>
      </c>
      <c r="O517" s="27">
        <v>25</v>
      </c>
      <c r="P517" s="22" t="s">
        <v>3831</v>
      </c>
    </row>
    <row r="518" spans="1:16" s="22" customFormat="1" ht="15" customHeight="1" x14ac:dyDescent="0.2">
      <c r="A518" s="22" t="s">
        <v>3784</v>
      </c>
      <c r="B518" s="22">
        <v>8244481</v>
      </c>
      <c r="C518" s="23">
        <v>1</v>
      </c>
      <c r="D518" s="23">
        <v>921748597</v>
      </c>
      <c r="E518" s="23">
        <v>921748597</v>
      </c>
      <c r="F518" s="24" t="s">
        <v>1642</v>
      </c>
      <c r="G518" s="23">
        <v>0</v>
      </c>
      <c r="H518" s="23">
        <v>20250201</v>
      </c>
      <c r="I518" s="23" t="str">
        <f>TEXT(DATE(LEFT(H518,4), MID(H518,5,2), RIGHT(H518,2)), "M/d/yyyy")</f>
        <v>2/1/2025</v>
      </c>
      <c r="J518" s="25">
        <v>20241201</v>
      </c>
      <c r="K518" s="23" t="str">
        <f>TEXT(DATE(LEFT(J518,4), MID(J518,5,2), RIGHT(J518,2)), "M/d/yyyy")</f>
        <v>12/1/2024</v>
      </c>
      <c r="L518" s="24" t="s">
        <v>78</v>
      </c>
      <c r="M518" s="26">
        <v>1</v>
      </c>
      <c r="N518" s="25">
        <v>25</v>
      </c>
      <c r="O518" s="27">
        <v>25</v>
      </c>
      <c r="P518" s="22" t="s">
        <v>3831</v>
      </c>
    </row>
    <row r="519" spans="1:16" s="22" customFormat="1" ht="15" customHeight="1" x14ac:dyDescent="0.2">
      <c r="A519" s="22" t="s">
        <v>3784</v>
      </c>
      <c r="B519" s="22">
        <v>8244481</v>
      </c>
      <c r="C519" s="23">
        <v>1</v>
      </c>
      <c r="D519" s="23">
        <v>921748934</v>
      </c>
      <c r="E519" s="23">
        <v>921748934</v>
      </c>
      <c r="F519" s="24" t="s">
        <v>1644</v>
      </c>
      <c r="G519" s="23">
        <v>0</v>
      </c>
      <c r="H519" s="23">
        <v>20250201</v>
      </c>
      <c r="I519" s="23" t="str">
        <f>TEXT(DATE(LEFT(H519,4), MID(H519,5,2), RIGHT(H519,2)), "M/d/yyyy")</f>
        <v>2/1/2025</v>
      </c>
      <c r="J519" s="25">
        <v>20241101</v>
      </c>
      <c r="K519" s="23" t="str">
        <f>TEXT(DATE(LEFT(J519,4), MID(J519,5,2), RIGHT(J519,2)), "M/d/yyyy")</f>
        <v>11/1/2024</v>
      </c>
      <c r="L519" s="24" t="s">
        <v>78</v>
      </c>
      <c r="M519" s="26">
        <v>1</v>
      </c>
      <c r="N519" s="25">
        <v>25</v>
      </c>
      <c r="O519" s="27">
        <v>25</v>
      </c>
      <c r="P519" s="22" t="s">
        <v>3831</v>
      </c>
    </row>
    <row r="520" spans="1:16" s="22" customFormat="1" ht="15" customHeight="1" x14ac:dyDescent="0.2">
      <c r="A520" s="22" t="s">
        <v>3784</v>
      </c>
      <c r="B520" s="22">
        <v>8244481</v>
      </c>
      <c r="C520" s="23">
        <v>1</v>
      </c>
      <c r="D520" s="23">
        <v>921749211</v>
      </c>
      <c r="E520" s="23">
        <v>921749211</v>
      </c>
      <c r="F520" s="24" t="s">
        <v>1646</v>
      </c>
      <c r="G520" s="23">
        <v>0</v>
      </c>
      <c r="H520" s="23">
        <v>20250301</v>
      </c>
      <c r="I520" s="23" t="str">
        <f>TEXT(DATE(LEFT(H520,4), MID(H520,5,2), RIGHT(H520,2)), "M/d/yyyy")</f>
        <v>3/1/2025</v>
      </c>
      <c r="J520" s="25">
        <v>20250101</v>
      </c>
      <c r="K520" s="23" t="str">
        <f>TEXT(DATE(LEFT(J520,4), MID(J520,5,2), RIGHT(J520,2)), "M/d/yyyy")</f>
        <v>1/1/2025</v>
      </c>
      <c r="L520" s="24" t="s">
        <v>78</v>
      </c>
      <c r="M520" s="26">
        <v>1</v>
      </c>
      <c r="N520" s="25">
        <v>25</v>
      </c>
      <c r="O520" s="27">
        <v>25</v>
      </c>
      <c r="P520" s="22" t="s">
        <v>3831</v>
      </c>
    </row>
    <row r="521" spans="1:16" s="22" customFormat="1" ht="15" customHeight="1" x14ac:dyDescent="0.2">
      <c r="A521" s="22" t="s">
        <v>3784</v>
      </c>
      <c r="B521" s="22">
        <v>8244481</v>
      </c>
      <c r="C521" s="23">
        <v>1</v>
      </c>
      <c r="D521" s="23">
        <v>921749262</v>
      </c>
      <c r="E521" s="23">
        <v>921749262</v>
      </c>
      <c r="F521" s="24" t="s">
        <v>1648</v>
      </c>
      <c r="G521" s="23">
        <v>0</v>
      </c>
      <c r="H521" s="23">
        <v>20250301</v>
      </c>
      <c r="I521" s="23" t="str">
        <f>TEXT(DATE(LEFT(H521,4), MID(H521,5,2), RIGHT(H521,2)), "M/d/yyyy")</f>
        <v>3/1/2025</v>
      </c>
      <c r="J521" s="25">
        <v>20250101</v>
      </c>
      <c r="K521" s="23" t="str">
        <f>TEXT(DATE(LEFT(J521,4), MID(J521,5,2), RIGHT(J521,2)), "M/d/yyyy")</f>
        <v>1/1/2025</v>
      </c>
      <c r="L521" s="24" t="s">
        <v>78</v>
      </c>
      <c r="M521" s="26">
        <v>1</v>
      </c>
      <c r="N521" s="25">
        <v>25</v>
      </c>
      <c r="O521" s="27">
        <v>25</v>
      </c>
      <c r="P521" s="22" t="s">
        <v>3831</v>
      </c>
    </row>
    <row r="522" spans="1:16" s="22" customFormat="1" ht="15" customHeight="1" x14ac:dyDescent="0.2">
      <c r="A522" s="22" t="s">
        <v>3784</v>
      </c>
      <c r="B522" s="22">
        <v>8244481</v>
      </c>
      <c r="C522" s="23">
        <v>1</v>
      </c>
      <c r="D522" s="23">
        <v>921751727</v>
      </c>
      <c r="E522" s="23">
        <v>921751727</v>
      </c>
      <c r="F522" s="24" t="s">
        <v>1652</v>
      </c>
      <c r="G522" s="23">
        <v>0</v>
      </c>
      <c r="H522" s="23">
        <v>20250301</v>
      </c>
      <c r="I522" s="23" t="str">
        <f>TEXT(DATE(LEFT(H522,4), MID(H522,5,2), RIGHT(H522,2)), "M/d/yyyy")</f>
        <v>3/1/2025</v>
      </c>
      <c r="J522" s="25">
        <v>20250101</v>
      </c>
      <c r="K522" s="23" t="str">
        <f>TEXT(DATE(LEFT(J522,4), MID(J522,5,2), RIGHT(J522,2)), "M/d/yyyy")</f>
        <v>1/1/2025</v>
      </c>
      <c r="L522" s="24" t="s">
        <v>78</v>
      </c>
      <c r="M522" s="26">
        <v>1</v>
      </c>
      <c r="N522" s="25">
        <v>25</v>
      </c>
      <c r="O522" s="27">
        <v>25</v>
      </c>
      <c r="P522" s="22" t="s">
        <v>3831</v>
      </c>
    </row>
    <row r="523" spans="1:16" s="22" customFormat="1" ht="15" customHeight="1" x14ac:dyDescent="0.2">
      <c r="A523" s="22" t="s">
        <v>3784</v>
      </c>
      <c r="B523" s="22">
        <v>8244481</v>
      </c>
      <c r="C523" s="23">
        <v>1</v>
      </c>
      <c r="D523" s="23">
        <v>921752609</v>
      </c>
      <c r="E523" s="23">
        <v>921752609</v>
      </c>
      <c r="F523" s="24" t="s">
        <v>1656</v>
      </c>
      <c r="G523" s="23">
        <v>0</v>
      </c>
      <c r="H523" s="23">
        <v>20250301</v>
      </c>
      <c r="I523" s="23" t="str">
        <f>TEXT(DATE(LEFT(H523,4), MID(H523,5,2), RIGHT(H523,2)), "M/d/yyyy")</f>
        <v>3/1/2025</v>
      </c>
      <c r="J523" s="25">
        <v>20250101</v>
      </c>
      <c r="K523" s="23" t="str">
        <f>TEXT(DATE(LEFT(J523,4), MID(J523,5,2), RIGHT(J523,2)), "M/d/yyyy")</f>
        <v>1/1/2025</v>
      </c>
      <c r="L523" s="24" t="s">
        <v>78</v>
      </c>
      <c r="M523" s="26">
        <v>1</v>
      </c>
      <c r="N523" s="25">
        <v>25</v>
      </c>
      <c r="O523" s="27">
        <v>25</v>
      </c>
      <c r="P523" s="22" t="s">
        <v>3831</v>
      </c>
    </row>
    <row r="524" spans="1:16" s="22" customFormat="1" ht="15" customHeight="1" x14ac:dyDescent="0.2">
      <c r="A524" s="22" t="s">
        <v>3784</v>
      </c>
      <c r="B524" s="22">
        <v>8244481</v>
      </c>
      <c r="C524" s="23">
        <v>1</v>
      </c>
      <c r="D524" s="23">
        <v>921752640</v>
      </c>
      <c r="E524" s="23">
        <v>921752640</v>
      </c>
      <c r="F524" s="24" t="s">
        <v>1658</v>
      </c>
      <c r="G524" s="23">
        <v>0</v>
      </c>
      <c r="H524" s="23">
        <v>20250301</v>
      </c>
      <c r="I524" s="23" t="str">
        <f>TEXT(DATE(LEFT(H524,4), MID(H524,5,2), RIGHT(H524,2)), "M/d/yyyy")</f>
        <v>3/1/2025</v>
      </c>
      <c r="J524" s="25">
        <v>20250101</v>
      </c>
      <c r="K524" s="23" t="str">
        <f>TEXT(DATE(LEFT(J524,4), MID(J524,5,2), RIGHT(J524,2)), "M/d/yyyy")</f>
        <v>1/1/2025</v>
      </c>
      <c r="L524" s="24" t="s">
        <v>78</v>
      </c>
      <c r="M524" s="26">
        <v>1</v>
      </c>
      <c r="N524" s="25">
        <v>25</v>
      </c>
      <c r="O524" s="27">
        <v>25</v>
      </c>
      <c r="P524" s="22" t="s">
        <v>3831</v>
      </c>
    </row>
    <row r="525" spans="1:16" s="22" customFormat="1" ht="15" customHeight="1" x14ac:dyDescent="0.2">
      <c r="A525" s="22" t="s">
        <v>3784</v>
      </c>
      <c r="B525" s="22">
        <v>8244481</v>
      </c>
      <c r="C525" s="23">
        <v>1</v>
      </c>
      <c r="D525" s="23">
        <v>921752870</v>
      </c>
      <c r="E525" s="23">
        <v>921752870</v>
      </c>
      <c r="F525" s="24" t="s">
        <v>1660</v>
      </c>
      <c r="G525" s="23">
        <v>0</v>
      </c>
      <c r="H525" s="23">
        <v>20250301</v>
      </c>
      <c r="I525" s="23" t="str">
        <f>TEXT(DATE(LEFT(H525,4), MID(H525,5,2), RIGHT(H525,2)), "M/d/yyyy")</f>
        <v>3/1/2025</v>
      </c>
      <c r="J525" s="25">
        <v>20250101</v>
      </c>
      <c r="K525" s="23" t="str">
        <f>TEXT(DATE(LEFT(J525,4), MID(J525,5,2), RIGHT(J525,2)), "M/d/yyyy")</f>
        <v>1/1/2025</v>
      </c>
      <c r="L525" s="24" t="s">
        <v>78</v>
      </c>
      <c r="M525" s="26">
        <v>1</v>
      </c>
      <c r="N525" s="25">
        <v>25</v>
      </c>
      <c r="O525" s="27">
        <v>25</v>
      </c>
      <c r="P525" s="22" t="s">
        <v>3831</v>
      </c>
    </row>
    <row r="526" spans="1:16" s="22" customFormat="1" ht="15" customHeight="1" x14ac:dyDescent="0.2">
      <c r="A526" s="22" t="s">
        <v>3784</v>
      </c>
      <c r="B526" s="22">
        <v>8244481</v>
      </c>
      <c r="C526" s="23">
        <v>1</v>
      </c>
      <c r="D526" s="23">
        <v>921753446</v>
      </c>
      <c r="E526" s="23">
        <v>921753446</v>
      </c>
      <c r="F526" s="24" t="s">
        <v>1662</v>
      </c>
      <c r="G526" s="23">
        <v>0</v>
      </c>
      <c r="H526" s="23">
        <v>20250301</v>
      </c>
      <c r="I526" s="23" t="str">
        <f>TEXT(DATE(LEFT(H526,4), MID(H526,5,2), RIGHT(H526,2)), "M/d/yyyy")</f>
        <v>3/1/2025</v>
      </c>
      <c r="J526" s="25">
        <v>20250101</v>
      </c>
      <c r="K526" s="23" t="str">
        <f>TEXT(DATE(LEFT(J526,4), MID(J526,5,2), RIGHT(J526,2)), "M/d/yyyy")</f>
        <v>1/1/2025</v>
      </c>
      <c r="L526" s="24" t="s">
        <v>78</v>
      </c>
      <c r="M526" s="26">
        <v>1</v>
      </c>
      <c r="N526" s="25">
        <v>25</v>
      </c>
      <c r="O526" s="27">
        <v>25</v>
      </c>
      <c r="P526" s="22" t="s">
        <v>3831</v>
      </c>
    </row>
    <row r="527" spans="1:16" s="22" customFormat="1" ht="15" customHeight="1" x14ac:dyDescent="0.2">
      <c r="A527" s="22" t="s">
        <v>3784</v>
      </c>
      <c r="B527" s="22">
        <v>8244481</v>
      </c>
      <c r="C527" s="23">
        <v>1</v>
      </c>
      <c r="D527" s="23">
        <v>921755095</v>
      </c>
      <c r="E527" s="23">
        <v>921755095</v>
      </c>
      <c r="F527" s="24" t="s">
        <v>1664</v>
      </c>
      <c r="G527" s="23">
        <v>0</v>
      </c>
      <c r="H527" s="23">
        <v>20250301</v>
      </c>
      <c r="I527" s="23" t="str">
        <f>TEXT(DATE(LEFT(H527,4), MID(H527,5,2), RIGHT(H527,2)), "M/d/yyyy")</f>
        <v>3/1/2025</v>
      </c>
      <c r="J527" s="25">
        <v>20250101</v>
      </c>
      <c r="K527" s="23" t="str">
        <f>TEXT(DATE(LEFT(J527,4), MID(J527,5,2), RIGHT(J527,2)), "M/d/yyyy")</f>
        <v>1/1/2025</v>
      </c>
      <c r="L527" s="24" t="s">
        <v>78</v>
      </c>
      <c r="M527" s="26">
        <v>1</v>
      </c>
      <c r="N527" s="25">
        <v>25</v>
      </c>
      <c r="O527" s="27">
        <v>25</v>
      </c>
      <c r="P527" s="22" t="s">
        <v>3831</v>
      </c>
    </row>
    <row r="528" spans="1:16" s="22" customFormat="1" ht="15" customHeight="1" x14ac:dyDescent="0.2">
      <c r="A528" s="22" t="s">
        <v>3784</v>
      </c>
      <c r="B528" s="22">
        <v>8244481</v>
      </c>
      <c r="C528" s="23">
        <v>1</v>
      </c>
      <c r="D528" s="23">
        <v>921759705</v>
      </c>
      <c r="E528" s="23">
        <v>921759705</v>
      </c>
      <c r="F528" s="24" t="s">
        <v>1668</v>
      </c>
      <c r="G528" s="23">
        <v>0</v>
      </c>
      <c r="H528" s="23">
        <v>20250301</v>
      </c>
      <c r="I528" s="23" t="str">
        <f>TEXT(DATE(LEFT(H528,4), MID(H528,5,2), RIGHT(H528,2)), "M/d/yyyy")</f>
        <v>3/1/2025</v>
      </c>
      <c r="J528" s="25">
        <v>20250101</v>
      </c>
      <c r="K528" s="23" t="str">
        <f>TEXT(DATE(LEFT(J528,4), MID(J528,5,2), RIGHT(J528,2)), "M/d/yyyy")</f>
        <v>1/1/2025</v>
      </c>
      <c r="L528" s="24" t="s">
        <v>78</v>
      </c>
      <c r="M528" s="26">
        <v>1</v>
      </c>
      <c r="N528" s="25">
        <v>25</v>
      </c>
      <c r="O528" s="27">
        <v>25</v>
      </c>
      <c r="P528" s="22" t="s">
        <v>3831</v>
      </c>
    </row>
    <row r="529" spans="1:16" s="22" customFormat="1" ht="15" customHeight="1" x14ac:dyDescent="0.2">
      <c r="A529" s="22" t="s">
        <v>3784</v>
      </c>
      <c r="B529" s="22">
        <v>8244481</v>
      </c>
      <c r="C529" s="23">
        <v>1</v>
      </c>
      <c r="D529" s="23">
        <v>921759734</v>
      </c>
      <c r="E529" s="23">
        <v>921759734</v>
      </c>
      <c r="F529" s="24" t="s">
        <v>1670</v>
      </c>
      <c r="G529" s="23">
        <v>0</v>
      </c>
      <c r="H529" s="23">
        <v>20250301</v>
      </c>
      <c r="I529" s="23" t="str">
        <f>TEXT(DATE(LEFT(H529,4), MID(H529,5,2), RIGHT(H529,2)), "M/d/yyyy")</f>
        <v>3/1/2025</v>
      </c>
      <c r="J529" s="25">
        <v>20250101</v>
      </c>
      <c r="K529" s="23" t="str">
        <f>TEXT(DATE(LEFT(J529,4), MID(J529,5,2), RIGHT(J529,2)), "M/d/yyyy")</f>
        <v>1/1/2025</v>
      </c>
      <c r="L529" s="24" t="s">
        <v>78</v>
      </c>
      <c r="M529" s="26">
        <v>1</v>
      </c>
      <c r="N529" s="25">
        <v>25</v>
      </c>
      <c r="O529" s="27">
        <v>25</v>
      </c>
      <c r="P529" s="22" t="s">
        <v>3831</v>
      </c>
    </row>
    <row r="530" spans="1:16" s="22" customFormat="1" ht="15" customHeight="1" x14ac:dyDescent="0.2">
      <c r="A530" s="22" t="s">
        <v>3784</v>
      </c>
      <c r="B530" s="22">
        <v>8244481</v>
      </c>
      <c r="C530" s="23">
        <v>1</v>
      </c>
      <c r="D530" s="23">
        <v>921761405</v>
      </c>
      <c r="E530" s="23">
        <v>921761405</v>
      </c>
      <c r="F530" s="24" t="s">
        <v>1674</v>
      </c>
      <c r="G530" s="23">
        <v>0</v>
      </c>
      <c r="H530" s="23">
        <v>20250301</v>
      </c>
      <c r="I530" s="23" t="str">
        <f>TEXT(DATE(LEFT(H530,4), MID(H530,5,2), RIGHT(H530,2)), "M/d/yyyy")</f>
        <v>3/1/2025</v>
      </c>
      <c r="J530" s="25">
        <v>20241201</v>
      </c>
      <c r="K530" s="23" t="str">
        <f>TEXT(DATE(LEFT(J530,4), MID(J530,5,2), RIGHT(J530,2)), "M/d/yyyy")</f>
        <v>12/1/2024</v>
      </c>
      <c r="L530" s="24" t="s">
        <v>78</v>
      </c>
      <c r="M530" s="26">
        <v>1</v>
      </c>
      <c r="N530" s="25">
        <v>25</v>
      </c>
      <c r="O530" s="27">
        <v>25</v>
      </c>
      <c r="P530" s="22" t="s">
        <v>3831</v>
      </c>
    </row>
    <row r="531" spans="1:16" s="22" customFormat="1" ht="15" customHeight="1" x14ac:dyDescent="0.2">
      <c r="A531" s="22" t="s">
        <v>3784</v>
      </c>
      <c r="B531" s="22">
        <v>8244481</v>
      </c>
      <c r="C531" s="23">
        <v>1</v>
      </c>
      <c r="D531" s="23">
        <v>921761905</v>
      </c>
      <c r="E531" s="23">
        <v>921761905</v>
      </c>
      <c r="F531" s="24" t="s">
        <v>1676</v>
      </c>
      <c r="G531" s="23">
        <v>0</v>
      </c>
      <c r="H531" s="23">
        <v>20250301</v>
      </c>
      <c r="I531" s="23" t="str">
        <f>TEXT(DATE(LEFT(H531,4), MID(H531,5,2), RIGHT(H531,2)), "M/d/yyyy")</f>
        <v>3/1/2025</v>
      </c>
      <c r="J531" s="25">
        <v>20250101</v>
      </c>
      <c r="K531" s="23" t="str">
        <f>TEXT(DATE(LEFT(J531,4), MID(J531,5,2), RIGHT(J531,2)), "M/d/yyyy")</f>
        <v>1/1/2025</v>
      </c>
      <c r="L531" s="24" t="s">
        <v>78</v>
      </c>
      <c r="M531" s="26">
        <v>1</v>
      </c>
      <c r="N531" s="25">
        <v>25</v>
      </c>
      <c r="O531" s="27">
        <v>25</v>
      </c>
      <c r="P531" s="22" t="s">
        <v>3831</v>
      </c>
    </row>
    <row r="532" spans="1:16" s="22" customFormat="1" ht="15" customHeight="1" x14ac:dyDescent="0.2">
      <c r="A532" s="22" t="s">
        <v>3784</v>
      </c>
      <c r="B532" s="22">
        <v>8244481</v>
      </c>
      <c r="C532" s="23">
        <v>1</v>
      </c>
      <c r="D532" s="23">
        <v>921762131</v>
      </c>
      <c r="E532" s="23">
        <v>921762131</v>
      </c>
      <c r="F532" s="24" t="s">
        <v>1678</v>
      </c>
      <c r="G532" s="23">
        <v>0</v>
      </c>
      <c r="H532" s="23">
        <v>20250301</v>
      </c>
      <c r="I532" s="23" t="str">
        <f>TEXT(DATE(LEFT(H532,4), MID(H532,5,2), RIGHT(H532,2)), "M/d/yyyy")</f>
        <v>3/1/2025</v>
      </c>
      <c r="J532" s="25">
        <v>20250101</v>
      </c>
      <c r="K532" s="23" t="str">
        <f>TEXT(DATE(LEFT(J532,4), MID(J532,5,2), RIGHT(J532,2)), "M/d/yyyy")</f>
        <v>1/1/2025</v>
      </c>
      <c r="L532" s="24" t="s">
        <v>78</v>
      </c>
      <c r="M532" s="26">
        <v>1</v>
      </c>
      <c r="N532" s="25">
        <v>25</v>
      </c>
      <c r="O532" s="27">
        <v>25</v>
      </c>
      <c r="P532" s="22" t="s">
        <v>3831</v>
      </c>
    </row>
    <row r="533" spans="1:16" s="22" customFormat="1" ht="15" customHeight="1" x14ac:dyDescent="0.2">
      <c r="A533" s="22" t="s">
        <v>3784</v>
      </c>
      <c r="B533" s="22">
        <v>8244481</v>
      </c>
      <c r="C533" s="23">
        <v>1</v>
      </c>
      <c r="D533" s="23">
        <v>921763130</v>
      </c>
      <c r="E533" s="23">
        <v>921763130</v>
      </c>
      <c r="F533" s="24" t="s">
        <v>1680</v>
      </c>
      <c r="G533" s="23">
        <v>0</v>
      </c>
      <c r="H533" s="23">
        <v>20250301</v>
      </c>
      <c r="I533" s="23" t="str">
        <f>TEXT(DATE(LEFT(H533,4), MID(H533,5,2), RIGHT(H533,2)), "M/d/yyyy")</f>
        <v>3/1/2025</v>
      </c>
      <c r="J533" s="25">
        <v>20250101</v>
      </c>
      <c r="K533" s="23" t="str">
        <f>TEXT(DATE(LEFT(J533,4), MID(J533,5,2), RIGHT(J533,2)), "M/d/yyyy")</f>
        <v>1/1/2025</v>
      </c>
      <c r="L533" s="24" t="s">
        <v>78</v>
      </c>
      <c r="M533" s="26">
        <v>1</v>
      </c>
      <c r="N533" s="25">
        <v>25</v>
      </c>
      <c r="O533" s="27">
        <v>25</v>
      </c>
      <c r="P533" s="22" t="s">
        <v>3831</v>
      </c>
    </row>
    <row r="534" spans="1:16" s="22" customFormat="1" ht="15" customHeight="1" x14ac:dyDescent="0.2">
      <c r="A534" s="22" t="s">
        <v>3784</v>
      </c>
      <c r="B534" s="22">
        <v>8244481</v>
      </c>
      <c r="C534" s="23">
        <v>1</v>
      </c>
      <c r="D534" s="23">
        <v>921764774</v>
      </c>
      <c r="E534" s="23">
        <v>921764774</v>
      </c>
      <c r="F534" s="24" t="s">
        <v>1688</v>
      </c>
      <c r="G534" s="23">
        <v>0</v>
      </c>
      <c r="H534" s="23">
        <v>20250301</v>
      </c>
      <c r="I534" s="23" t="str">
        <f>TEXT(DATE(LEFT(H534,4), MID(H534,5,2), RIGHT(H534,2)), "M/d/yyyy")</f>
        <v>3/1/2025</v>
      </c>
      <c r="J534" s="25">
        <v>20250101</v>
      </c>
      <c r="K534" s="23" t="str">
        <f>TEXT(DATE(LEFT(J534,4), MID(J534,5,2), RIGHT(J534,2)), "M/d/yyyy")</f>
        <v>1/1/2025</v>
      </c>
      <c r="L534" s="24" t="s">
        <v>78</v>
      </c>
      <c r="M534" s="26">
        <v>1</v>
      </c>
      <c r="N534" s="25">
        <v>25</v>
      </c>
      <c r="O534" s="27">
        <v>25</v>
      </c>
      <c r="P534" s="22" t="s">
        <v>3831</v>
      </c>
    </row>
    <row r="535" spans="1:16" s="22" customFormat="1" ht="15" customHeight="1" x14ac:dyDescent="0.2">
      <c r="A535" s="22" t="s">
        <v>3784</v>
      </c>
      <c r="B535" s="22">
        <v>8244481</v>
      </c>
      <c r="C535" s="23">
        <v>1</v>
      </c>
      <c r="D535" s="23">
        <v>921766913</v>
      </c>
      <c r="E535" s="23">
        <v>921766913</v>
      </c>
      <c r="F535" s="24" t="s">
        <v>1692</v>
      </c>
      <c r="G535" s="23">
        <v>0</v>
      </c>
      <c r="H535" s="23">
        <v>20250301</v>
      </c>
      <c r="I535" s="23" t="str">
        <f>TEXT(DATE(LEFT(H535,4), MID(H535,5,2), RIGHT(H535,2)), "M/d/yyyy")</f>
        <v>3/1/2025</v>
      </c>
      <c r="J535" s="25">
        <v>20250101</v>
      </c>
      <c r="K535" s="23" t="str">
        <f>TEXT(DATE(LEFT(J535,4), MID(J535,5,2), RIGHT(J535,2)), "M/d/yyyy")</f>
        <v>1/1/2025</v>
      </c>
      <c r="L535" s="24" t="s">
        <v>78</v>
      </c>
      <c r="M535" s="26">
        <v>1</v>
      </c>
      <c r="N535" s="25">
        <v>25</v>
      </c>
      <c r="O535" s="27">
        <v>25</v>
      </c>
      <c r="P535" s="22" t="s">
        <v>3831</v>
      </c>
    </row>
    <row r="536" spans="1:16" s="22" customFormat="1" ht="15" customHeight="1" x14ac:dyDescent="0.2">
      <c r="A536" s="22" t="s">
        <v>3784</v>
      </c>
      <c r="B536" s="22">
        <v>8244481</v>
      </c>
      <c r="C536" s="23">
        <v>1</v>
      </c>
      <c r="D536" s="23">
        <v>921766913</v>
      </c>
      <c r="E536" s="23">
        <v>921766913</v>
      </c>
      <c r="F536" s="24" t="s">
        <v>1692</v>
      </c>
      <c r="G536" s="23">
        <v>0</v>
      </c>
      <c r="H536" s="23">
        <v>20250201</v>
      </c>
      <c r="I536" s="23" t="str">
        <f>TEXT(DATE(LEFT(H536,4), MID(H536,5,2), RIGHT(H536,2)), "M/d/yyyy")</f>
        <v>2/1/2025</v>
      </c>
      <c r="J536" s="25">
        <v>20250101</v>
      </c>
      <c r="K536" s="23" t="str">
        <f>TEXT(DATE(LEFT(J536,4), MID(J536,5,2), RIGHT(J536,2)), "M/d/yyyy")</f>
        <v>1/1/2025</v>
      </c>
      <c r="L536" s="24" t="s">
        <v>78</v>
      </c>
      <c r="M536" s="26">
        <v>1</v>
      </c>
      <c r="N536" s="25">
        <v>25</v>
      </c>
      <c r="O536" s="27">
        <v>25</v>
      </c>
      <c r="P536" s="22" t="s">
        <v>3831</v>
      </c>
    </row>
    <row r="537" spans="1:16" s="22" customFormat="1" ht="15" customHeight="1" x14ac:dyDescent="0.2">
      <c r="A537" s="22" t="s">
        <v>3784</v>
      </c>
      <c r="B537" s="22">
        <v>8244481</v>
      </c>
      <c r="C537" s="23">
        <v>1</v>
      </c>
      <c r="D537" s="23">
        <v>921767556</v>
      </c>
      <c r="E537" s="23">
        <v>921767556</v>
      </c>
      <c r="F537" s="24" t="s">
        <v>1694</v>
      </c>
      <c r="G537" s="23">
        <v>0</v>
      </c>
      <c r="H537" s="23">
        <v>20250201</v>
      </c>
      <c r="I537" s="23" t="str">
        <f>TEXT(DATE(LEFT(H537,4), MID(H537,5,2), RIGHT(H537,2)), "M/d/yyyy")</f>
        <v>2/1/2025</v>
      </c>
      <c r="J537" s="25">
        <v>20250101</v>
      </c>
      <c r="K537" s="23" t="str">
        <f>TEXT(DATE(LEFT(J537,4), MID(J537,5,2), RIGHT(J537,2)), "M/d/yyyy")</f>
        <v>1/1/2025</v>
      </c>
      <c r="L537" s="24" t="s">
        <v>78</v>
      </c>
      <c r="M537" s="26">
        <v>1</v>
      </c>
      <c r="N537" s="25">
        <v>25</v>
      </c>
      <c r="O537" s="27">
        <v>25</v>
      </c>
      <c r="P537" s="22" t="s">
        <v>3831</v>
      </c>
    </row>
    <row r="538" spans="1:16" s="22" customFormat="1" ht="15" customHeight="1" x14ac:dyDescent="0.2">
      <c r="A538" s="22" t="s">
        <v>3784</v>
      </c>
      <c r="B538" s="22">
        <v>8244481</v>
      </c>
      <c r="C538" s="23">
        <v>1</v>
      </c>
      <c r="D538" s="23">
        <v>921767605</v>
      </c>
      <c r="E538" s="23">
        <v>921767605</v>
      </c>
      <c r="F538" s="24" t="s">
        <v>1696</v>
      </c>
      <c r="G538" s="23">
        <v>0</v>
      </c>
      <c r="H538" s="23">
        <v>20250201</v>
      </c>
      <c r="I538" s="23" t="str">
        <f>TEXT(DATE(LEFT(H538,4), MID(H538,5,2), RIGHT(H538,2)), "M/d/yyyy")</f>
        <v>2/1/2025</v>
      </c>
      <c r="J538" s="25">
        <v>20250101</v>
      </c>
      <c r="K538" s="23" t="str">
        <f>TEXT(DATE(LEFT(J538,4), MID(J538,5,2), RIGHT(J538,2)), "M/d/yyyy")</f>
        <v>1/1/2025</v>
      </c>
      <c r="L538" s="24" t="s">
        <v>78</v>
      </c>
      <c r="M538" s="26">
        <v>1</v>
      </c>
      <c r="N538" s="25">
        <v>25</v>
      </c>
      <c r="O538" s="27">
        <v>25</v>
      </c>
      <c r="P538" s="22" t="s">
        <v>3831</v>
      </c>
    </row>
    <row r="539" spans="1:16" s="22" customFormat="1" ht="15" customHeight="1" x14ac:dyDescent="0.2">
      <c r="A539" s="22" t="s">
        <v>3784</v>
      </c>
      <c r="B539" s="22">
        <v>8244481</v>
      </c>
      <c r="C539" s="23">
        <v>1</v>
      </c>
      <c r="D539" s="23">
        <v>921768179</v>
      </c>
      <c r="E539" s="23">
        <v>921768179</v>
      </c>
      <c r="F539" s="24" t="s">
        <v>1698</v>
      </c>
      <c r="G539" s="23">
        <v>0</v>
      </c>
      <c r="H539" s="23">
        <v>20250301</v>
      </c>
      <c r="I539" s="23" t="str">
        <f>TEXT(DATE(LEFT(H539,4), MID(H539,5,2), RIGHT(H539,2)), "M/d/yyyy")</f>
        <v>3/1/2025</v>
      </c>
      <c r="J539" s="25">
        <v>20250101</v>
      </c>
      <c r="K539" s="23" t="str">
        <f>TEXT(DATE(LEFT(J539,4), MID(J539,5,2), RIGHT(J539,2)), "M/d/yyyy")</f>
        <v>1/1/2025</v>
      </c>
      <c r="L539" s="24" t="s">
        <v>78</v>
      </c>
      <c r="M539" s="26">
        <v>1</v>
      </c>
      <c r="N539" s="25">
        <v>25</v>
      </c>
      <c r="O539" s="27">
        <v>25</v>
      </c>
      <c r="P539" s="22" t="s">
        <v>3831</v>
      </c>
    </row>
    <row r="540" spans="1:16" s="22" customFormat="1" ht="15" customHeight="1" x14ac:dyDescent="0.2">
      <c r="A540" s="22" t="s">
        <v>3784</v>
      </c>
      <c r="B540" s="22">
        <v>8244481</v>
      </c>
      <c r="C540" s="23">
        <v>1</v>
      </c>
      <c r="D540" s="23">
        <v>921768179</v>
      </c>
      <c r="E540" s="23">
        <v>921768179</v>
      </c>
      <c r="F540" s="24" t="s">
        <v>1698</v>
      </c>
      <c r="G540" s="23">
        <v>0</v>
      </c>
      <c r="H540" s="23">
        <v>20250201</v>
      </c>
      <c r="I540" s="23" t="str">
        <f>TEXT(DATE(LEFT(H540,4), MID(H540,5,2), RIGHT(H540,2)), "M/d/yyyy")</f>
        <v>2/1/2025</v>
      </c>
      <c r="J540" s="25">
        <v>20250101</v>
      </c>
      <c r="K540" s="23" t="str">
        <f>TEXT(DATE(LEFT(J540,4), MID(J540,5,2), RIGHT(J540,2)), "M/d/yyyy")</f>
        <v>1/1/2025</v>
      </c>
      <c r="L540" s="24" t="s">
        <v>78</v>
      </c>
      <c r="M540" s="26">
        <v>1</v>
      </c>
      <c r="N540" s="25">
        <v>25</v>
      </c>
      <c r="O540" s="27">
        <v>25</v>
      </c>
      <c r="P540" s="22" t="s">
        <v>3831</v>
      </c>
    </row>
    <row r="541" spans="1:16" s="22" customFormat="1" ht="15" customHeight="1" x14ac:dyDescent="0.2">
      <c r="A541" s="22" t="s">
        <v>3784</v>
      </c>
      <c r="B541" s="22">
        <v>8244481</v>
      </c>
      <c r="C541" s="23">
        <v>1</v>
      </c>
      <c r="D541" s="23">
        <v>921768491</v>
      </c>
      <c r="E541" s="23">
        <v>921768491</v>
      </c>
      <c r="F541" s="24" t="s">
        <v>1700</v>
      </c>
      <c r="G541" s="23">
        <v>0</v>
      </c>
      <c r="H541" s="23">
        <v>20250201</v>
      </c>
      <c r="I541" s="23" t="str">
        <f>TEXT(DATE(LEFT(H541,4), MID(H541,5,2), RIGHT(H541,2)), "M/d/yyyy")</f>
        <v>2/1/2025</v>
      </c>
      <c r="J541" s="25">
        <v>20250101</v>
      </c>
      <c r="K541" s="23" t="str">
        <f>TEXT(DATE(LEFT(J541,4), MID(J541,5,2), RIGHT(J541,2)), "M/d/yyyy")</f>
        <v>1/1/2025</v>
      </c>
      <c r="L541" s="24" t="s">
        <v>78</v>
      </c>
      <c r="M541" s="26">
        <v>1</v>
      </c>
      <c r="N541" s="25">
        <v>25</v>
      </c>
      <c r="O541" s="27">
        <v>25</v>
      </c>
      <c r="P541" s="22" t="s">
        <v>3831</v>
      </c>
    </row>
    <row r="542" spans="1:16" s="22" customFormat="1" ht="15" customHeight="1" x14ac:dyDescent="0.2">
      <c r="A542" s="22" t="s">
        <v>3784</v>
      </c>
      <c r="B542" s="22">
        <v>8244481</v>
      </c>
      <c r="C542" s="23">
        <v>2</v>
      </c>
      <c r="D542" s="23">
        <v>920751356</v>
      </c>
      <c r="E542" s="23">
        <v>920751356</v>
      </c>
      <c r="F542" s="24" t="s">
        <v>1336</v>
      </c>
      <c r="G542" s="23">
        <v>0</v>
      </c>
      <c r="H542" s="23">
        <v>20250301</v>
      </c>
      <c r="I542" s="23" t="str">
        <f>TEXT(DATE(LEFT(H542,4), MID(H542,5,2), RIGHT(H542,2)), "M/d/yyyy")</f>
        <v>3/1/2025</v>
      </c>
      <c r="J542" s="25">
        <v>20240101</v>
      </c>
      <c r="K542" s="23" t="str">
        <f>TEXT(DATE(LEFT(J542,4), MID(J542,5,2), RIGHT(J542,2)), "M/d/yyyy")</f>
        <v>1/1/2024</v>
      </c>
      <c r="L542" s="24" t="s">
        <v>78</v>
      </c>
      <c r="M542" s="26">
        <v>1</v>
      </c>
      <c r="N542" s="25">
        <v>20</v>
      </c>
      <c r="O542" s="27">
        <v>40</v>
      </c>
      <c r="P542" s="22" t="s">
        <v>3831</v>
      </c>
    </row>
    <row r="543" spans="1:16" s="22" customFormat="1" ht="15" customHeight="1" x14ac:dyDescent="0.2">
      <c r="A543" s="22" t="s">
        <v>3784</v>
      </c>
      <c r="B543" s="22">
        <v>8244481</v>
      </c>
      <c r="C543" s="23">
        <v>2</v>
      </c>
      <c r="D543" s="23">
        <v>921163146</v>
      </c>
      <c r="E543" s="23">
        <v>921163146</v>
      </c>
      <c r="F543" s="24" t="s">
        <v>1360</v>
      </c>
      <c r="G543" s="23">
        <v>0</v>
      </c>
      <c r="H543" s="23">
        <v>20250301</v>
      </c>
      <c r="I543" s="23" t="str">
        <f>TEXT(DATE(LEFT(H543,4), MID(H543,5,2), RIGHT(H543,2)), "M/d/yyyy")</f>
        <v>3/1/2025</v>
      </c>
      <c r="J543" s="25">
        <v>20180101</v>
      </c>
      <c r="K543" s="23" t="str">
        <f>TEXT(DATE(LEFT(J543,4), MID(J543,5,2), RIGHT(J543,2)), "M/d/yyyy")</f>
        <v>1/1/2018</v>
      </c>
      <c r="L543" s="24" t="s">
        <v>78</v>
      </c>
      <c r="M543" s="26">
        <v>1</v>
      </c>
      <c r="N543" s="25">
        <v>20</v>
      </c>
      <c r="O543" s="27">
        <v>40</v>
      </c>
      <c r="P543" s="22" t="s">
        <v>3831</v>
      </c>
    </row>
    <row r="544" spans="1:16" s="22" customFormat="1" ht="15" customHeight="1" x14ac:dyDescent="0.2">
      <c r="A544" s="22" t="s">
        <v>3784</v>
      </c>
      <c r="B544" s="22">
        <v>8244481</v>
      </c>
      <c r="C544" s="23">
        <v>2</v>
      </c>
      <c r="D544" s="23">
        <v>921526453</v>
      </c>
      <c r="E544" s="23">
        <v>921526453</v>
      </c>
      <c r="F544" s="24" t="s">
        <v>1463</v>
      </c>
      <c r="G544" s="23">
        <v>0</v>
      </c>
      <c r="H544" s="23">
        <v>20250301</v>
      </c>
      <c r="I544" s="23" t="str">
        <f>TEXT(DATE(LEFT(H544,4), MID(H544,5,2), RIGHT(H544,2)), "M/d/yyyy")</f>
        <v>3/1/2025</v>
      </c>
      <c r="J544" s="25">
        <v>20200801</v>
      </c>
      <c r="K544" s="23" t="str">
        <f>TEXT(DATE(LEFT(J544,4), MID(J544,5,2), RIGHT(J544,2)), "M/d/yyyy")</f>
        <v>8/1/2020</v>
      </c>
      <c r="L544" s="24" t="s">
        <v>78</v>
      </c>
      <c r="M544" s="26">
        <v>1</v>
      </c>
      <c r="N544" s="25">
        <v>20</v>
      </c>
      <c r="O544" s="27">
        <v>40</v>
      </c>
      <c r="P544" s="22" t="s">
        <v>3831</v>
      </c>
    </row>
    <row r="545" spans="1:16" s="22" customFormat="1" ht="15" customHeight="1" x14ac:dyDescent="0.2">
      <c r="A545" s="22" t="s">
        <v>3784</v>
      </c>
      <c r="B545" s="22">
        <v>8244481</v>
      </c>
      <c r="C545" s="23">
        <v>2</v>
      </c>
      <c r="D545" s="23">
        <v>921586260</v>
      </c>
      <c r="E545" s="23">
        <v>921586260</v>
      </c>
      <c r="F545" s="24" t="s">
        <v>1487</v>
      </c>
      <c r="G545" s="23">
        <v>0</v>
      </c>
      <c r="H545" s="23">
        <v>20250301</v>
      </c>
      <c r="I545" s="23" t="str">
        <f>TEXT(DATE(LEFT(H545,4), MID(H545,5,2), RIGHT(H545,2)), "M/d/yyyy")</f>
        <v>3/1/2025</v>
      </c>
      <c r="J545" s="25">
        <v>20211001</v>
      </c>
      <c r="K545" s="23" t="str">
        <f>TEXT(DATE(LEFT(J545,4), MID(J545,5,2), RIGHT(J545,2)), "M/d/yyyy")</f>
        <v>10/1/2021</v>
      </c>
      <c r="L545" s="24" t="s">
        <v>78</v>
      </c>
      <c r="M545" s="26">
        <v>1</v>
      </c>
      <c r="N545" s="25">
        <v>20</v>
      </c>
      <c r="O545" s="27">
        <v>40</v>
      </c>
      <c r="P545" s="22" t="s">
        <v>3831</v>
      </c>
    </row>
    <row r="546" spans="1:16" s="22" customFormat="1" ht="15" customHeight="1" x14ac:dyDescent="0.2">
      <c r="A546" s="22" t="s">
        <v>3784</v>
      </c>
      <c r="B546" s="22">
        <v>8244481</v>
      </c>
      <c r="C546" s="23">
        <v>2</v>
      </c>
      <c r="D546" s="23">
        <v>921601036</v>
      </c>
      <c r="E546" s="23">
        <v>921601036</v>
      </c>
      <c r="F546" s="24" t="s">
        <v>1495</v>
      </c>
      <c r="G546" s="23">
        <v>0</v>
      </c>
      <c r="H546" s="23">
        <v>20250201</v>
      </c>
      <c r="I546" s="23" t="str">
        <f>TEXT(DATE(LEFT(H546,4), MID(H546,5,2), RIGHT(H546,2)), "M/d/yyyy")</f>
        <v>2/1/2025</v>
      </c>
      <c r="J546" s="25">
        <v>20220101</v>
      </c>
      <c r="K546" s="23" t="str">
        <f>TEXT(DATE(LEFT(J546,4), MID(J546,5,2), RIGHT(J546,2)), "M/d/yyyy")</f>
        <v>1/1/2022</v>
      </c>
      <c r="L546" s="24" t="s">
        <v>78</v>
      </c>
      <c r="M546" s="26">
        <v>1</v>
      </c>
      <c r="N546" s="25">
        <v>20</v>
      </c>
      <c r="O546" s="27">
        <v>40</v>
      </c>
      <c r="P546" s="22" t="s">
        <v>3831</v>
      </c>
    </row>
    <row r="547" spans="1:16" s="22" customFormat="1" ht="15" customHeight="1" x14ac:dyDescent="0.2">
      <c r="A547" s="22" t="s">
        <v>3784</v>
      </c>
      <c r="B547" s="22">
        <v>8244481</v>
      </c>
      <c r="C547" s="23">
        <v>2</v>
      </c>
      <c r="D547" s="23">
        <v>921615201</v>
      </c>
      <c r="E547" s="23">
        <v>921615201</v>
      </c>
      <c r="F547" s="24" t="s">
        <v>1501</v>
      </c>
      <c r="G547" s="23">
        <v>0</v>
      </c>
      <c r="H547" s="23">
        <v>20250301</v>
      </c>
      <c r="I547" s="23" t="str">
        <f>TEXT(DATE(LEFT(H547,4), MID(H547,5,2), RIGHT(H547,2)), "M/d/yyyy")</f>
        <v>3/1/2025</v>
      </c>
      <c r="J547" s="25">
        <v>20220601</v>
      </c>
      <c r="K547" s="23" t="str">
        <f>TEXT(DATE(LEFT(J547,4), MID(J547,5,2), RIGHT(J547,2)), "M/d/yyyy")</f>
        <v>6/1/2022</v>
      </c>
      <c r="L547" s="24" t="s">
        <v>78</v>
      </c>
      <c r="M547" s="26">
        <v>1</v>
      </c>
      <c r="N547" s="25">
        <v>20</v>
      </c>
      <c r="O547" s="27">
        <v>40</v>
      </c>
      <c r="P547" s="22" t="s">
        <v>3831</v>
      </c>
    </row>
    <row r="548" spans="1:16" s="22" customFormat="1" ht="15" customHeight="1" x14ac:dyDescent="0.2">
      <c r="A548" s="22" t="s">
        <v>3784</v>
      </c>
      <c r="B548" s="22">
        <v>8244481</v>
      </c>
      <c r="C548" s="23">
        <v>2</v>
      </c>
      <c r="D548" s="23">
        <v>921624003</v>
      </c>
      <c r="E548" s="23">
        <v>921624003</v>
      </c>
      <c r="F548" s="24" t="s">
        <v>1505</v>
      </c>
      <c r="G548" s="23">
        <v>0</v>
      </c>
      <c r="H548" s="23">
        <v>20250301</v>
      </c>
      <c r="I548" s="23" t="str">
        <f>TEXT(DATE(LEFT(H548,4), MID(H548,5,2), RIGHT(H548,2)), "M/d/yyyy")</f>
        <v>3/1/2025</v>
      </c>
      <c r="J548" s="25">
        <v>20221001</v>
      </c>
      <c r="K548" s="23" t="str">
        <f>TEXT(DATE(LEFT(J548,4), MID(J548,5,2), RIGHT(J548,2)), "M/d/yyyy")</f>
        <v>10/1/2022</v>
      </c>
      <c r="L548" s="24" t="s">
        <v>78</v>
      </c>
      <c r="M548" s="26">
        <v>1</v>
      </c>
      <c r="N548" s="25">
        <v>20</v>
      </c>
      <c r="O548" s="27">
        <v>40</v>
      </c>
      <c r="P548" s="22" t="s">
        <v>3831</v>
      </c>
    </row>
    <row r="549" spans="1:16" s="22" customFormat="1" ht="15" customHeight="1" x14ac:dyDescent="0.2">
      <c r="A549" s="22" t="s">
        <v>3784</v>
      </c>
      <c r="B549" s="22">
        <v>8244481</v>
      </c>
      <c r="C549" s="23">
        <v>2</v>
      </c>
      <c r="D549" s="23">
        <v>921640683</v>
      </c>
      <c r="E549" s="23">
        <v>921640683</v>
      </c>
      <c r="F549" s="24" t="s">
        <v>1513</v>
      </c>
      <c r="G549" s="23">
        <v>0</v>
      </c>
      <c r="H549" s="23">
        <v>20250301</v>
      </c>
      <c r="I549" s="23" t="str">
        <f>TEXT(DATE(LEFT(H549,4), MID(H549,5,2), RIGHT(H549,2)), "M/d/yyyy")</f>
        <v>3/1/2025</v>
      </c>
      <c r="J549" s="25">
        <v>20230101</v>
      </c>
      <c r="K549" s="23" t="str">
        <f>TEXT(DATE(LEFT(J549,4), MID(J549,5,2), RIGHT(J549,2)), "M/d/yyyy")</f>
        <v>1/1/2023</v>
      </c>
      <c r="L549" s="24" t="s">
        <v>78</v>
      </c>
      <c r="M549" s="26">
        <v>1</v>
      </c>
      <c r="N549" s="25">
        <v>20</v>
      </c>
      <c r="O549" s="27">
        <v>40</v>
      </c>
      <c r="P549" s="22" t="s">
        <v>3831</v>
      </c>
    </row>
    <row r="550" spans="1:16" s="22" customFormat="1" ht="15" customHeight="1" x14ac:dyDescent="0.2">
      <c r="A550" s="22" t="s">
        <v>3784</v>
      </c>
      <c r="B550" s="22">
        <v>8244481</v>
      </c>
      <c r="C550" s="23">
        <v>2</v>
      </c>
      <c r="D550" s="23">
        <v>921660733</v>
      </c>
      <c r="E550" s="23">
        <v>921660733</v>
      </c>
      <c r="F550" s="24" t="s">
        <v>1538</v>
      </c>
      <c r="G550" s="23">
        <v>0</v>
      </c>
      <c r="H550" s="23">
        <v>20250301</v>
      </c>
      <c r="I550" s="23" t="str">
        <f>TEXT(DATE(LEFT(H550,4), MID(H550,5,2), RIGHT(H550,2)), "M/d/yyyy")</f>
        <v>3/1/2025</v>
      </c>
      <c r="J550" s="25">
        <v>20230601</v>
      </c>
      <c r="K550" s="23" t="str">
        <f>TEXT(DATE(LEFT(J550,4), MID(J550,5,2), RIGHT(J550,2)), "M/d/yyyy")</f>
        <v>6/1/2023</v>
      </c>
      <c r="L550" s="24" t="s">
        <v>78</v>
      </c>
      <c r="M550" s="26">
        <v>1</v>
      </c>
      <c r="N550" s="25">
        <v>20</v>
      </c>
      <c r="O550" s="27">
        <v>40</v>
      </c>
      <c r="P550" s="22" t="s">
        <v>3831</v>
      </c>
    </row>
    <row r="551" spans="1:16" s="22" customFormat="1" ht="15" customHeight="1" x14ac:dyDescent="0.2">
      <c r="A551" s="22" t="s">
        <v>3784</v>
      </c>
      <c r="B551" s="22">
        <v>8244481</v>
      </c>
      <c r="C551" s="23">
        <v>2</v>
      </c>
      <c r="D551" s="23">
        <v>921684651</v>
      </c>
      <c r="E551" s="23">
        <v>921684651</v>
      </c>
      <c r="F551" s="24" t="s">
        <v>1564</v>
      </c>
      <c r="G551" s="23">
        <v>0</v>
      </c>
      <c r="H551" s="23">
        <v>20250301</v>
      </c>
      <c r="I551" s="23" t="str">
        <f>TEXT(DATE(LEFT(H551,4), MID(H551,5,2), RIGHT(H551,2)), "M/d/yyyy")</f>
        <v>3/1/2025</v>
      </c>
      <c r="J551" s="25">
        <v>20231201</v>
      </c>
      <c r="K551" s="23" t="str">
        <f>TEXT(DATE(LEFT(J551,4), MID(J551,5,2), RIGHT(J551,2)), "M/d/yyyy")</f>
        <v>12/1/2023</v>
      </c>
      <c r="L551" s="24" t="s">
        <v>78</v>
      </c>
      <c r="M551" s="26">
        <v>1</v>
      </c>
      <c r="N551" s="25">
        <v>20</v>
      </c>
      <c r="O551" s="27">
        <v>40</v>
      </c>
      <c r="P551" s="22" t="s">
        <v>3831</v>
      </c>
    </row>
    <row r="552" spans="1:16" s="22" customFormat="1" ht="15" customHeight="1" x14ac:dyDescent="0.2">
      <c r="A552" s="22" t="s">
        <v>3784</v>
      </c>
      <c r="B552" s="22">
        <v>8244481</v>
      </c>
      <c r="C552" s="23">
        <v>2</v>
      </c>
      <c r="D552" s="23">
        <v>921027309</v>
      </c>
      <c r="E552" s="23">
        <v>921027309</v>
      </c>
      <c r="F552" s="24" t="s">
        <v>1350</v>
      </c>
      <c r="G552" s="23">
        <v>0</v>
      </c>
      <c r="H552" s="23">
        <v>20250301</v>
      </c>
      <c r="I552" s="23" t="str">
        <f>TEXT(DATE(LEFT(H552,4), MID(H552,5,2), RIGHT(H552,2)), "M/d/yyyy")</f>
        <v>3/1/2025</v>
      </c>
      <c r="J552" s="25">
        <v>20250101</v>
      </c>
      <c r="K552" s="23" t="str">
        <f>TEXT(DATE(LEFT(J552,4), MID(J552,5,2), RIGHT(J552,2)), "M/d/yyyy")</f>
        <v>1/1/2025</v>
      </c>
      <c r="L552" s="24" t="s">
        <v>78</v>
      </c>
      <c r="M552" s="26">
        <v>1</v>
      </c>
      <c r="N552" s="25">
        <v>25</v>
      </c>
      <c r="O552" s="27">
        <v>50</v>
      </c>
      <c r="P552" s="22" t="s">
        <v>3831</v>
      </c>
    </row>
    <row r="553" spans="1:16" s="22" customFormat="1" ht="15" customHeight="1" x14ac:dyDescent="0.2">
      <c r="A553" s="22" t="s">
        <v>3784</v>
      </c>
      <c r="B553" s="22">
        <v>8244481</v>
      </c>
      <c r="C553" s="23">
        <v>2</v>
      </c>
      <c r="D553" s="23">
        <v>921549113</v>
      </c>
      <c r="E553" s="23">
        <v>921549113</v>
      </c>
      <c r="F553" s="24" t="s">
        <v>1473</v>
      </c>
      <c r="G553" s="23">
        <v>0</v>
      </c>
      <c r="H553" s="23">
        <v>20250301</v>
      </c>
      <c r="I553" s="23" t="str">
        <f>TEXT(DATE(LEFT(H553,4), MID(H553,5,2), RIGHT(H553,2)), "M/d/yyyy")</f>
        <v>3/1/2025</v>
      </c>
      <c r="J553" s="25">
        <v>20250101</v>
      </c>
      <c r="K553" s="23" t="str">
        <f>TEXT(DATE(LEFT(J553,4), MID(J553,5,2), RIGHT(J553,2)), "M/d/yyyy")</f>
        <v>1/1/2025</v>
      </c>
      <c r="L553" s="24" t="s">
        <v>78</v>
      </c>
      <c r="M553" s="26">
        <v>1</v>
      </c>
      <c r="N553" s="25">
        <v>25</v>
      </c>
      <c r="O553" s="27">
        <v>50</v>
      </c>
      <c r="P553" s="22" t="s">
        <v>3831</v>
      </c>
    </row>
    <row r="554" spans="1:16" s="22" customFormat="1" ht="15" customHeight="1" x14ac:dyDescent="0.2">
      <c r="A554" s="22" t="s">
        <v>3784</v>
      </c>
      <c r="B554" s="22">
        <v>8244481</v>
      </c>
      <c r="C554" s="23">
        <v>2</v>
      </c>
      <c r="D554" s="23">
        <v>921719361</v>
      </c>
      <c r="E554" s="23">
        <v>921719361</v>
      </c>
      <c r="F554" s="24" t="s">
        <v>1602</v>
      </c>
      <c r="G554" s="23">
        <v>0</v>
      </c>
      <c r="H554" s="23">
        <v>20250301</v>
      </c>
      <c r="I554" s="23" t="str">
        <f>TEXT(DATE(LEFT(H554,4), MID(H554,5,2), RIGHT(H554,2)), "M/d/yyyy")</f>
        <v>3/1/2025</v>
      </c>
      <c r="J554" s="25">
        <v>20240501</v>
      </c>
      <c r="K554" s="23" t="str">
        <f>TEXT(DATE(LEFT(J554,4), MID(J554,5,2), RIGHT(J554,2)), "M/d/yyyy")</f>
        <v>5/1/2024</v>
      </c>
      <c r="L554" s="24" t="s">
        <v>78</v>
      </c>
      <c r="M554" s="26">
        <v>1</v>
      </c>
      <c r="N554" s="25">
        <v>25</v>
      </c>
      <c r="O554" s="27">
        <v>50</v>
      </c>
      <c r="P554" s="22" t="s">
        <v>3831</v>
      </c>
    </row>
    <row r="555" spans="1:16" s="22" customFormat="1" ht="15" customHeight="1" x14ac:dyDescent="0.2">
      <c r="A555" s="22" t="s">
        <v>3784</v>
      </c>
      <c r="B555" s="22">
        <v>8244481</v>
      </c>
      <c r="C555" s="23">
        <v>2</v>
      </c>
      <c r="D555" s="23">
        <v>921720093</v>
      </c>
      <c r="E555" s="23">
        <v>921720093</v>
      </c>
      <c r="F555" s="24" t="s">
        <v>1604</v>
      </c>
      <c r="G555" s="23">
        <v>0</v>
      </c>
      <c r="H555" s="23">
        <v>20250301</v>
      </c>
      <c r="I555" s="23" t="str">
        <f>TEXT(DATE(LEFT(H555,4), MID(H555,5,2), RIGHT(H555,2)), "M/d/yyyy")</f>
        <v>3/1/2025</v>
      </c>
      <c r="J555" s="25">
        <v>20240501</v>
      </c>
      <c r="K555" s="23" t="str">
        <f>TEXT(DATE(LEFT(J555,4), MID(J555,5,2), RIGHT(J555,2)), "M/d/yyyy")</f>
        <v>5/1/2024</v>
      </c>
      <c r="L555" s="24" t="s">
        <v>78</v>
      </c>
      <c r="M555" s="26">
        <v>1</v>
      </c>
      <c r="N555" s="25">
        <v>25</v>
      </c>
      <c r="O555" s="27">
        <v>50</v>
      </c>
      <c r="P555" s="22" t="s">
        <v>3831</v>
      </c>
    </row>
    <row r="556" spans="1:16" s="22" customFormat="1" ht="15" customHeight="1" x14ac:dyDescent="0.2">
      <c r="A556" s="22" t="s">
        <v>3784</v>
      </c>
      <c r="B556" s="22">
        <v>8244481</v>
      </c>
      <c r="C556" s="23">
        <v>2</v>
      </c>
      <c r="D556" s="23">
        <v>921723632</v>
      </c>
      <c r="E556" s="23">
        <v>921723632</v>
      </c>
      <c r="F556" s="24" t="s">
        <v>1612</v>
      </c>
      <c r="G556" s="23">
        <v>0</v>
      </c>
      <c r="H556" s="23">
        <v>20250301</v>
      </c>
      <c r="I556" s="23" t="str">
        <f>TEXT(DATE(LEFT(H556,4), MID(H556,5,2), RIGHT(H556,2)), "M/d/yyyy")</f>
        <v>3/1/2025</v>
      </c>
      <c r="J556" s="25">
        <v>20240601</v>
      </c>
      <c r="K556" s="23" t="str">
        <f>TEXT(DATE(LEFT(J556,4), MID(J556,5,2), RIGHT(J556,2)), "M/d/yyyy")</f>
        <v>6/1/2024</v>
      </c>
      <c r="L556" s="24" t="s">
        <v>78</v>
      </c>
      <c r="M556" s="26">
        <v>1</v>
      </c>
      <c r="N556" s="25">
        <v>25</v>
      </c>
      <c r="O556" s="27">
        <v>50</v>
      </c>
      <c r="P556" s="22" t="s">
        <v>3831</v>
      </c>
    </row>
    <row r="557" spans="1:16" s="22" customFormat="1" ht="15" customHeight="1" x14ac:dyDescent="0.2">
      <c r="A557" s="22" t="s">
        <v>3784</v>
      </c>
      <c r="B557" s="22">
        <v>8244481</v>
      </c>
      <c r="C557" s="23">
        <v>2</v>
      </c>
      <c r="D557" s="23">
        <v>921751692</v>
      </c>
      <c r="E557" s="23">
        <v>921751692</v>
      </c>
      <c r="F557" s="24" t="s">
        <v>1650</v>
      </c>
      <c r="G557" s="23">
        <v>0</v>
      </c>
      <c r="H557" s="23">
        <v>20250301</v>
      </c>
      <c r="I557" s="23" t="str">
        <f>TEXT(DATE(LEFT(H557,4), MID(H557,5,2), RIGHT(H557,2)), "M/d/yyyy")</f>
        <v>3/1/2025</v>
      </c>
      <c r="J557" s="25">
        <v>20250101</v>
      </c>
      <c r="K557" s="23" t="str">
        <f>TEXT(DATE(LEFT(J557,4), MID(J557,5,2), RIGHT(J557,2)), "M/d/yyyy")</f>
        <v>1/1/2025</v>
      </c>
      <c r="L557" s="24" t="s">
        <v>78</v>
      </c>
      <c r="M557" s="26">
        <v>1</v>
      </c>
      <c r="N557" s="25">
        <v>25</v>
      </c>
      <c r="O557" s="27">
        <v>50</v>
      </c>
      <c r="P557" s="22" t="s">
        <v>3831</v>
      </c>
    </row>
    <row r="558" spans="1:16" s="22" customFormat="1" ht="15" customHeight="1" x14ac:dyDescent="0.2">
      <c r="A558" s="22" t="s">
        <v>3784</v>
      </c>
      <c r="B558" s="22">
        <v>8244481</v>
      </c>
      <c r="C558" s="23">
        <v>2</v>
      </c>
      <c r="D558" s="23">
        <v>921759307</v>
      </c>
      <c r="E558" s="23">
        <v>921759307</v>
      </c>
      <c r="F558" s="24" t="s">
        <v>1666</v>
      </c>
      <c r="G558" s="23">
        <v>0</v>
      </c>
      <c r="H558" s="23">
        <v>20250301</v>
      </c>
      <c r="I558" s="23" t="str">
        <f>TEXT(DATE(LEFT(H558,4), MID(H558,5,2), RIGHT(H558,2)), "M/d/yyyy")</f>
        <v>3/1/2025</v>
      </c>
      <c r="J558" s="25">
        <v>20250101</v>
      </c>
      <c r="K558" s="23" t="str">
        <f>TEXT(DATE(LEFT(J558,4), MID(J558,5,2), RIGHT(J558,2)), "M/d/yyyy")</f>
        <v>1/1/2025</v>
      </c>
      <c r="L558" s="24" t="s">
        <v>78</v>
      </c>
      <c r="M558" s="26">
        <v>1</v>
      </c>
      <c r="N558" s="25">
        <v>25</v>
      </c>
      <c r="O558" s="27">
        <v>50</v>
      </c>
      <c r="P558" s="22" t="s">
        <v>3831</v>
      </c>
    </row>
    <row r="559" spans="1:16" s="22" customFormat="1" ht="15" customHeight="1" x14ac:dyDescent="0.2">
      <c r="A559" s="22" t="s">
        <v>3784</v>
      </c>
      <c r="B559" s="22">
        <v>8244481</v>
      </c>
      <c r="C559" s="23">
        <v>2</v>
      </c>
      <c r="D559" s="23">
        <v>921760141</v>
      </c>
      <c r="E559" s="23">
        <v>921760141</v>
      </c>
      <c r="F559" s="24" t="s">
        <v>1672</v>
      </c>
      <c r="G559" s="23">
        <v>0</v>
      </c>
      <c r="H559" s="23">
        <v>20250301</v>
      </c>
      <c r="I559" s="23" t="str">
        <f>TEXT(DATE(LEFT(H559,4), MID(H559,5,2), RIGHT(H559,2)), "M/d/yyyy")</f>
        <v>3/1/2025</v>
      </c>
      <c r="J559" s="25">
        <v>20250101</v>
      </c>
      <c r="K559" s="23" t="str">
        <f>TEXT(DATE(LEFT(J559,4), MID(J559,5,2), RIGHT(J559,2)), "M/d/yyyy")</f>
        <v>1/1/2025</v>
      </c>
      <c r="L559" s="24" t="s">
        <v>78</v>
      </c>
      <c r="M559" s="26">
        <v>1</v>
      </c>
      <c r="N559" s="25">
        <v>25</v>
      </c>
      <c r="O559" s="27">
        <v>50</v>
      </c>
      <c r="P559" s="22" t="s">
        <v>3831</v>
      </c>
    </row>
    <row r="560" spans="1:16" s="22" customFormat="1" ht="15" customHeight="1" x14ac:dyDescent="0.2">
      <c r="A560" s="22" t="s">
        <v>3784</v>
      </c>
      <c r="B560" s="22">
        <v>8244481</v>
      </c>
      <c r="C560" s="23">
        <v>2</v>
      </c>
      <c r="D560" s="23">
        <v>921765563</v>
      </c>
      <c r="E560" s="23">
        <v>921765563</v>
      </c>
      <c r="F560" s="24" t="s">
        <v>1690</v>
      </c>
      <c r="G560" s="23">
        <v>0</v>
      </c>
      <c r="H560" s="23">
        <v>20250301</v>
      </c>
      <c r="I560" s="23" t="str">
        <f>TEXT(DATE(LEFT(H560,4), MID(H560,5,2), RIGHT(H560,2)), "M/d/yyyy")</f>
        <v>3/1/2025</v>
      </c>
      <c r="J560" s="25">
        <v>20250101</v>
      </c>
      <c r="K560" s="23" t="str">
        <f>TEXT(DATE(LEFT(J560,4), MID(J560,5,2), RIGHT(J560,2)), "M/d/yyyy")</f>
        <v>1/1/2025</v>
      </c>
      <c r="L560" s="24" t="s">
        <v>78</v>
      </c>
      <c r="M560" s="26">
        <v>1</v>
      </c>
      <c r="N560" s="25">
        <v>25</v>
      </c>
      <c r="O560" s="27">
        <v>50</v>
      </c>
      <c r="P560" s="22" t="s">
        <v>3831</v>
      </c>
    </row>
    <row r="561" spans="1:16" s="22" customFormat="1" ht="15" customHeight="1" x14ac:dyDescent="0.2">
      <c r="A561" s="22" t="s">
        <v>3784</v>
      </c>
      <c r="B561" s="22">
        <v>8244481</v>
      </c>
      <c r="C561" s="23">
        <v>2</v>
      </c>
      <c r="D561" s="23">
        <v>921775321</v>
      </c>
      <c r="E561" s="23">
        <v>921775321</v>
      </c>
      <c r="F561" s="24" t="s">
        <v>1702</v>
      </c>
      <c r="G561" s="23">
        <v>0</v>
      </c>
      <c r="H561" s="23">
        <v>20250301</v>
      </c>
      <c r="I561" s="23" t="str">
        <f>TEXT(DATE(LEFT(H561,4), MID(H561,5,2), RIGHT(H561,2)), "M/d/yyyy")</f>
        <v>3/1/2025</v>
      </c>
      <c r="J561" s="25">
        <v>20250201</v>
      </c>
      <c r="K561" s="23" t="str">
        <f>TEXT(DATE(LEFT(J561,4), MID(J561,5,2), RIGHT(J561,2)), "M/d/yyyy")</f>
        <v>2/1/2025</v>
      </c>
      <c r="L561" s="24" t="s">
        <v>78</v>
      </c>
      <c r="M561" s="26">
        <v>1</v>
      </c>
      <c r="N561" s="25">
        <v>25</v>
      </c>
      <c r="O561" s="27">
        <v>50</v>
      </c>
      <c r="P561" s="22" t="s">
        <v>3831</v>
      </c>
    </row>
    <row r="562" spans="1:16" s="22" customFormat="1" ht="15" customHeight="1" x14ac:dyDescent="0.2">
      <c r="A562" s="22" t="s">
        <v>3784</v>
      </c>
      <c r="B562" s="22">
        <v>8244481</v>
      </c>
      <c r="C562" s="23">
        <v>3</v>
      </c>
      <c r="D562" s="23">
        <v>921007680</v>
      </c>
      <c r="E562" s="23">
        <v>921007680</v>
      </c>
      <c r="F562" s="24" t="s">
        <v>1348</v>
      </c>
      <c r="G562" s="23">
        <v>0</v>
      </c>
      <c r="H562" s="23">
        <v>20250301</v>
      </c>
      <c r="I562" s="23" t="str">
        <f>TEXT(DATE(LEFT(H562,4), MID(H562,5,2), RIGHT(H562,2)), "M/d/yyyy")</f>
        <v>3/1/2025</v>
      </c>
      <c r="J562" s="25">
        <v>20240201</v>
      </c>
      <c r="K562" s="23" t="str">
        <f>TEXT(DATE(LEFT(J562,4), MID(J562,5,2), RIGHT(J562,2)), "M/d/yyyy")</f>
        <v>2/1/2024</v>
      </c>
      <c r="L562" s="24" t="s">
        <v>78</v>
      </c>
      <c r="M562" s="26">
        <v>1</v>
      </c>
      <c r="N562" s="25">
        <v>20</v>
      </c>
      <c r="O562" s="27">
        <v>60</v>
      </c>
      <c r="P562" s="22" t="s">
        <v>3831</v>
      </c>
    </row>
    <row r="563" spans="1:16" s="22" customFormat="1" ht="15" customHeight="1" x14ac:dyDescent="0.2">
      <c r="A563" s="22" t="s">
        <v>3784</v>
      </c>
      <c r="B563" s="22">
        <v>8244481</v>
      </c>
      <c r="C563" s="23">
        <v>3</v>
      </c>
      <c r="D563" s="23">
        <v>921425856</v>
      </c>
      <c r="E563" s="23">
        <v>921425856</v>
      </c>
      <c r="F563" s="24" t="s">
        <v>1420</v>
      </c>
      <c r="G563" s="23">
        <v>0</v>
      </c>
      <c r="H563" s="23">
        <v>20250301</v>
      </c>
      <c r="I563" s="23" t="str">
        <f>TEXT(DATE(LEFT(H563,4), MID(H563,5,2), RIGHT(H563,2)), "M/d/yyyy")</f>
        <v>3/1/2025</v>
      </c>
      <c r="J563" s="25">
        <v>20210601</v>
      </c>
      <c r="K563" s="23" t="str">
        <f>TEXT(DATE(LEFT(J563,4), MID(J563,5,2), RIGHT(J563,2)), "M/d/yyyy")</f>
        <v>6/1/2021</v>
      </c>
      <c r="L563" s="24" t="s">
        <v>78</v>
      </c>
      <c r="M563" s="26">
        <v>1</v>
      </c>
      <c r="N563" s="25">
        <v>20</v>
      </c>
      <c r="O563" s="27">
        <v>60</v>
      </c>
      <c r="P563" s="22" t="s">
        <v>3831</v>
      </c>
    </row>
    <row r="564" spans="1:16" s="22" customFormat="1" ht="15" customHeight="1" x14ac:dyDescent="0.2">
      <c r="A564" s="22" t="s">
        <v>3784</v>
      </c>
      <c r="B564" s="22">
        <v>8244481</v>
      </c>
      <c r="C564" s="23">
        <v>3</v>
      </c>
      <c r="D564" s="23">
        <v>921515071</v>
      </c>
      <c r="E564" s="23">
        <v>921515071</v>
      </c>
      <c r="F564" s="24" t="s">
        <v>1457</v>
      </c>
      <c r="G564" s="23">
        <v>0</v>
      </c>
      <c r="H564" s="23">
        <v>20250301</v>
      </c>
      <c r="I564" s="23" t="str">
        <f>TEXT(DATE(LEFT(H564,4), MID(H564,5,2), RIGHT(H564,2)), "M/d/yyyy")</f>
        <v>3/1/2025</v>
      </c>
      <c r="J564" s="25">
        <v>20200301</v>
      </c>
      <c r="K564" s="23" t="str">
        <f>TEXT(DATE(LEFT(J564,4), MID(J564,5,2), RIGHT(J564,2)), "M/d/yyyy")</f>
        <v>3/1/2020</v>
      </c>
      <c r="L564" s="24" t="s">
        <v>78</v>
      </c>
      <c r="M564" s="26">
        <v>1</v>
      </c>
      <c r="N564" s="25">
        <v>20</v>
      </c>
      <c r="O564" s="27">
        <v>60</v>
      </c>
      <c r="P564" s="22" t="s">
        <v>3831</v>
      </c>
    </row>
    <row r="565" spans="1:16" s="22" customFormat="1" ht="15" customHeight="1" x14ac:dyDescent="0.2">
      <c r="A565" s="22" t="s">
        <v>3784</v>
      </c>
      <c r="B565" s="22">
        <v>8244481</v>
      </c>
      <c r="C565" s="23">
        <v>3</v>
      </c>
      <c r="D565" s="23">
        <v>921659241</v>
      </c>
      <c r="E565" s="23">
        <v>921659241</v>
      </c>
      <c r="F565" s="24" t="s">
        <v>1536</v>
      </c>
      <c r="G565" s="23">
        <v>0</v>
      </c>
      <c r="H565" s="23">
        <v>20250301</v>
      </c>
      <c r="I565" s="23" t="str">
        <f>TEXT(DATE(LEFT(H565,4), MID(H565,5,2), RIGHT(H565,2)), "M/d/yyyy")</f>
        <v>3/1/2025</v>
      </c>
      <c r="J565" s="25">
        <v>20230501</v>
      </c>
      <c r="K565" s="23" t="str">
        <f>TEXT(DATE(LEFT(J565,4), MID(J565,5,2), RIGHT(J565,2)), "M/d/yyyy")</f>
        <v>5/1/2023</v>
      </c>
      <c r="L565" s="24" t="s">
        <v>78</v>
      </c>
      <c r="M565" s="26">
        <v>1</v>
      </c>
      <c r="N565" s="25">
        <v>20</v>
      </c>
      <c r="O565" s="27">
        <v>60</v>
      </c>
      <c r="P565" s="22" t="s">
        <v>3831</v>
      </c>
    </row>
    <row r="566" spans="1:16" s="22" customFormat="1" ht="15" customHeight="1" x14ac:dyDescent="0.2">
      <c r="A566" s="22" t="s">
        <v>3784</v>
      </c>
      <c r="B566" s="22">
        <v>8244481</v>
      </c>
      <c r="C566" s="23">
        <v>3</v>
      </c>
      <c r="D566" s="23">
        <v>921672966</v>
      </c>
      <c r="E566" s="23">
        <v>921672966</v>
      </c>
      <c r="F566" s="24" t="s">
        <v>1546</v>
      </c>
      <c r="G566" s="23">
        <v>0</v>
      </c>
      <c r="H566" s="23">
        <v>20250301</v>
      </c>
      <c r="I566" s="23" t="str">
        <f>TEXT(DATE(LEFT(H566,4), MID(H566,5,2), RIGHT(H566,2)), "M/d/yyyy")</f>
        <v>3/1/2025</v>
      </c>
      <c r="J566" s="25">
        <v>20231001</v>
      </c>
      <c r="K566" s="23" t="str">
        <f>TEXT(DATE(LEFT(J566,4), MID(J566,5,2), RIGHT(J566,2)), "M/d/yyyy")</f>
        <v>10/1/2023</v>
      </c>
      <c r="L566" s="24" t="s">
        <v>78</v>
      </c>
      <c r="M566" s="26">
        <v>1</v>
      </c>
      <c r="N566" s="25">
        <v>20</v>
      </c>
      <c r="O566" s="27">
        <v>60</v>
      </c>
      <c r="P566" s="22" t="s">
        <v>3831</v>
      </c>
    </row>
    <row r="567" spans="1:16" s="22" customFormat="1" ht="15" customHeight="1" x14ac:dyDescent="0.2">
      <c r="A567" s="22" t="s">
        <v>3784</v>
      </c>
      <c r="B567" s="22">
        <v>8244481</v>
      </c>
      <c r="C567" s="23">
        <v>3</v>
      </c>
      <c r="D567" s="23">
        <v>921704349</v>
      </c>
      <c r="E567" s="23">
        <v>921704349</v>
      </c>
      <c r="F567" s="24" t="s">
        <v>1592</v>
      </c>
      <c r="G567" s="23">
        <v>0</v>
      </c>
      <c r="H567" s="23">
        <v>20250301</v>
      </c>
      <c r="I567" s="23" t="str">
        <f>TEXT(DATE(LEFT(H567,4), MID(H567,5,2), RIGHT(H567,2)), "M/d/yyyy")</f>
        <v>3/1/2025</v>
      </c>
      <c r="J567" s="25">
        <v>20240201</v>
      </c>
      <c r="K567" s="23" t="str">
        <f>TEXT(DATE(LEFT(J567,4), MID(J567,5,2), RIGHT(J567,2)), "M/d/yyyy")</f>
        <v>2/1/2024</v>
      </c>
      <c r="L567" s="24" t="s">
        <v>78</v>
      </c>
      <c r="M567" s="26">
        <v>1</v>
      </c>
      <c r="N567" s="25">
        <v>20</v>
      </c>
      <c r="O567" s="27">
        <v>60</v>
      </c>
      <c r="P567" s="22" t="s">
        <v>3831</v>
      </c>
    </row>
    <row r="568" spans="1:16" s="22" customFormat="1" ht="15" customHeight="1" x14ac:dyDescent="0.2">
      <c r="A568" s="22" t="s">
        <v>3784</v>
      </c>
      <c r="B568" s="22">
        <v>8244481</v>
      </c>
      <c r="C568" s="23">
        <v>3</v>
      </c>
      <c r="D568" s="23">
        <v>921707548</v>
      </c>
      <c r="E568" s="23">
        <v>921707548</v>
      </c>
      <c r="F568" s="24" t="s">
        <v>1596</v>
      </c>
      <c r="G568" s="23">
        <v>0</v>
      </c>
      <c r="H568" s="23">
        <v>20250301</v>
      </c>
      <c r="I568" s="23" t="str">
        <f>TEXT(DATE(LEFT(H568,4), MID(H568,5,2), RIGHT(H568,2)), "M/d/yyyy")</f>
        <v>3/1/2025</v>
      </c>
      <c r="J568" s="25">
        <v>20240201</v>
      </c>
      <c r="K568" s="23" t="str">
        <f>TEXT(DATE(LEFT(J568,4), MID(J568,5,2), RIGHT(J568,2)), "M/d/yyyy")</f>
        <v>2/1/2024</v>
      </c>
      <c r="L568" s="24" t="s">
        <v>78</v>
      </c>
      <c r="M568" s="26">
        <v>1</v>
      </c>
      <c r="N568" s="25">
        <v>20</v>
      </c>
      <c r="O568" s="27">
        <v>60</v>
      </c>
      <c r="P568" s="22" t="s">
        <v>3831</v>
      </c>
    </row>
    <row r="569" spans="1:16" s="22" customFormat="1" ht="15" customHeight="1" x14ac:dyDescent="0.2">
      <c r="A569" s="22" t="s">
        <v>3784</v>
      </c>
      <c r="B569" s="22">
        <v>8244481</v>
      </c>
      <c r="C569" s="23">
        <v>3</v>
      </c>
      <c r="D569" s="23">
        <v>921007680</v>
      </c>
      <c r="E569" s="23">
        <v>921007680</v>
      </c>
      <c r="F569" s="24" t="s">
        <v>1348</v>
      </c>
      <c r="G569" s="23">
        <v>0</v>
      </c>
      <c r="H569" s="23">
        <v>20250201</v>
      </c>
      <c r="I569" s="23" t="str">
        <f>TEXT(DATE(LEFT(H569,4), MID(H569,5,2), RIGHT(H569,2)), "M/d/yyyy")</f>
        <v>2/1/2025</v>
      </c>
      <c r="J569" s="25">
        <v>20240201</v>
      </c>
      <c r="K569" s="23" t="str">
        <f>TEXT(DATE(LEFT(J569,4), MID(J569,5,2), RIGHT(J569,2)), "M/d/yyyy")</f>
        <v>2/1/2024</v>
      </c>
      <c r="L569" s="24" t="s">
        <v>78</v>
      </c>
      <c r="M569" s="26">
        <v>1</v>
      </c>
      <c r="N569" s="25">
        <v>25</v>
      </c>
      <c r="O569" s="27">
        <v>75</v>
      </c>
      <c r="P569" s="22" t="s">
        <v>3831</v>
      </c>
    </row>
    <row r="570" spans="1:16" s="22" customFormat="1" ht="15" customHeight="1" x14ac:dyDescent="0.2">
      <c r="A570" s="22" t="s">
        <v>3784</v>
      </c>
      <c r="B570" s="22">
        <v>8244481</v>
      </c>
      <c r="C570" s="23">
        <v>3</v>
      </c>
      <c r="D570" s="23">
        <v>921353220</v>
      </c>
      <c r="E570" s="23">
        <v>921353220</v>
      </c>
      <c r="F570" s="24" t="s">
        <v>1394</v>
      </c>
      <c r="G570" s="23">
        <v>0</v>
      </c>
      <c r="H570" s="23">
        <v>20250301</v>
      </c>
      <c r="I570" s="23" t="str">
        <f>TEXT(DATE(LEFT(H570,4), MID(H570,5,2), RIGHT(H570,2)), "M/d/yyyy")</f>
        <v>3/1/2025</v>
      </c>
      <c r="J570" s="25">
        <v>20240501</v>
      </c>
      <c r="K570" s="23" t="str">
        <f>TEXT(DATE(LEFT(J570,4), MID(J570,5,2), RIGHT(J570,2)), "M/d/yyyy")</f>
        <v>5/1/2024</v>
      </c>
      <c r="L570" s="24" t="s">
        <v>78</v>
      </c>
      <c r="M570" s="26">
        <v>1</v>
      </c>
      <c r="N570" s="25">
        <v>25</v>
      </c>
      <c r="O570" s="27">
        <v>75</v>
      </c>
      <c r="P570" s="22" t="s">
        <v>3831</v>
      </c>
    </row>
    <row r="571" spans="1:16" s="22" customFormat="1" ht="15" customHeight="1" x14ac:dyDescent="0.2">
      <c r="A571" s="22" t="s">
        <v>3784</v>
      </c>
      <c r="B571" s="22">
        <v>8244481</v>
      </c>
      <c r="C571" s="23">
        <v>3</v>
      </c>
      <c r="D571" s="23">
        <v>921514199</v>
      </c>
      <c r="E571" s="23">
        <v>921514199</v>
      </c>
      <c r="F571" s="24" t="s">
        <v>1455</v>
      </c>
      <c r="G571" s="23">
        <v>0</v>
      </c>
      <c r="H571" s="23">
        <v>20250201</v>
      </c>
      <c r="I571" s="23" t="str">
        <f>TEXT(DATE(LEFT(H571,4), MID(H571,5,2), RIGHT(H571,2)), "M/d/yyyy")</f>
        <v>2/1/2025</v>
      </c>
      <c r="J571" s="25">
        <v>20250101</v>
      </c>
      <c r="K571" s="23" t="str">
        <f>TEXT(DATE(LEFT(J571,4), MID(J571,5,2), RIGHT(J571,2)), "M/d/yyyy")</f>
        <v>1/1/2025</v>
      </c>
      <c r="L571" s="24" t="s">
        <v>78</v>
      </c>
      <c r="M571" s="26">
        <v>1</v>
      </c>
      <c r="N571" s="25">
        <v>25</v>
      </c>
      <c r="O571" s="27">
        <v>75</v>
      </c>
      <c r="P571" s="22" t="s">
        <v>3831</v>
      </c>
    </row>
    <row r="572" spans="1:16" s="22" customFormat="1" ht="15" customHeight="1" x14ac:dyDescent="0.2">
      <c r="A572" s="22" t="s">
        <v>3784</v>
      </c>
      <c r="B572" s="22">
        <v>8244481</v>
      </c>
      <c r="C572" s="23">
        <v>3</v>
      </c>
      <c r="D572" s="23">
        <v>921746204</v>
      </c>
      <c r="E572" s="23">
        <v>921746204</v>
      </c>
      <c r="F572" s="24" t="s">
        <v>1634</v>
      </c>
      <c r="G572" s="23">
        <v>0</v>
      </c>
      <c r="H572" s="23">
        <v>20250301</v>
      </c>
      <c r="I572" s="23" t="str">
        <f>TEXT(DATE(LEFT(H572,4), MID(H572,5,2), RIGHT(H572,2)), "M/d/yyyy")</f>
        <v>3/1/2025</v>
      </c>
      <c r="J572" s="25">
        <v>20250101</v>
      </c>
      <c r="K572" s="23" t="str">
        <f>TEXT(DATE(LEFT(J572,4), MID(J572,5,2), RIGHT(J572,2)), "M/d/yyyy")</f>
        <v>1/1/2025</v>
      </c>
      <c r="L572" s="24" t="s">
        <v>78</v>
      </c>
      <c r="M572" s="26">
        <v>1</v>
      </c>
      <c r="N572" s="25">
        <v>25</v>
      </c>
      <c r="O572" s="27">
        <v>75</v>
      </c>
      <c r="P572" s="22" t="s">
        <v>3831</v>
      </c>
    </row>
    <row r="573" spans="1:16" s="22" customFormat="1" ht="15" customHeight="1" x14ac:dyDescent="0.2">
      <c r="A573" s="22" t="s">
        <v>3784</v>
      </c>
      <c r="B573" s="22">
        <v>8244481</v>
      </c>
      <c r="C573" s="23">
        <v>3</v>
      </c>
      <c r="D573" s="23">
        <v>921764312</v>
      </c>
      <c r="E573" s="23">
        <v>921764312</v>
      </c>
      <c r="F573" s="24" t="s">
        <v>1684</v>
      </c>
      <c r="G573" s="23">
        <v>0</v>
      </c>
      <c r="H573" s="23">
        <v>20250301</v>
      </c>
      <c r="I573" s="23" t="str">
        <f>TEXT(DATE(LEFT(H573,4), MID(H573,5,2), RIGHT(H573,2)), "M/d/yyyy")</f>
        <v>3/1/2025</v>
      </c>
      <c r="J573" s="25">
        <v>20250101</v>
      </c>
      <c r="K573" s="23" t="str">
        <f>TEXT(DATE(LEFT(J573,4), MID(J573,5,2), RIGHT(J573,2)), "M/d/yyyy")</f>
        <v>1/1/2025</v>
      </c>
      <c r="L573" s="24" t="s">
        <v>78</v>
      </c>
      <c r="M573" s="26">
        <v>1</v>
      </c>
      <c r="N573" s="25">
        <v>25</v>
      </c>
      <c r="O573" s="27">
        <v>75</v>
      </c>
      <c r="P573" s="22" t="s">
        <v>3831</v>
      </c>
    </row>
    <row r="574" spans="1:16" s="22" customFormat="1" ht="15" customHeight="1" x14ac:dyDescent="0.2">
      <c r="A574" s="22" t="s">
        <v>3784</v>
      </c>
      <c r="B574" s="22">
        <v>8244481</v>
      </c>
      <c r="C574" s="23">
        <v>3</v>
      </c>
      <c r="D574" s="23">
        <v>921764505</v>
      </c>
      <c r="E574" s="23">
        <v>921764505</v>
      </c>
      <c r="F574" s="24" t="s">
        <v>1686</v>
      </c>
      <c r="G574" s="23">
        <v>0</v>
      </c>
      <c r="H574" s="23">
        <v>20250301</v>
      </c>
      <c r="I574" s="23" t="str">
        <f>TEXT(DATE(LEFT(H574,4), MID(H574,5,2), RIGHT(H574,2)), "M/d/yyyy")</f>
        <v>3/1/2025</v>
      </c>
      <c r="J574" s="25">
        <v>20250101</v>
      </c>
      <c r="K574" s="23" t="str">
        <f>TEXT(DATE(LEFT(J574,4), MID(J574,5,2), RIGHT(J574,2)), "M/d/yyyy")</f>
        <v>1/1/2025</v>
      </c>
      <c r="L574" s="24" t="s">
        <v>78</v>
      </c>
      <c r="M574" s="26">
        <v>1</v>
      </c>
      <c r="N574" s="25">
        <v>25</v>
      </c>
      <c r="O574" s="27">
        <v>75</v>
      </c>
      <c r="P574" s="22" t="s">
        <v>3831</v>
      </c>
    </row>
    <row r="575" spans="1:16" s="22" customFormat="1" ht="15" customHeight="1" x14ac:dyDescent="0.2">
      <c r="A575" s="22" t="s">
        <v>3784</v>
      </c>
      <c r="B575" s="22">
        <v>8244481</v>
      </c>
      <c r="C575" s="23">
        <v>4</v>
      </c>
      <c r="D575" s="23">
        <v>890606134</v>
      </c>
      <c r="E575" s="23">
        <v>890606134</v>
      </c>
      <c r="F575" s="24" t="s">
        <v>1328</v>
      </c>
      <c r="G575" s="23">
        <v>0</v>
      </c>
      <c r="H575" s="23">
        <v>20250301</v>
      </c>
      <c r="I575" s="23" t="str">
        <f>TEXT(DATE(LEFT(H575,4), MID(H575,5,2), RIGHT(H575,2)), "M/d/yyyy")</f>
        <v>3/1/2025</v>
      </c>
      <c r="J575" s="25">
        <v>20180101</v>
      </c>
      <c r="K575" s="23" t="str">
        <f>TEXT(DATE(LEFT(J575,4), MID(J575,5,2), RIGHT(J575,2)), "M/d/yyyy")</f>
        <v>1/1/2018</v>
      </c>
      <c r="L575" s="24" t="s">
        <v>78</v>
      </c>
      <c r="M575" s="26">
        <v>1</v>
      </c>
      <c r="N575" s="25">
        <v>20</v>
      </c>
      <c r="O575" s="27">
        <v>80</v>
      </c>
      <c r="P575" s="22" t="s">
        <v>3831</v>
      </c>
    </row>
    <row r="576" spans="1:16" s="22" customFormat="1" ht="15" customHeight="1" x14ac:dyDescent="0.2">
      <c r="A576" s="22" t="s">
        <v>3784</v>
      </c>
      <c r="B576" s="22">
        <v>8244481</v>
      </c>
      <c r="C576" s="23">
        <v>4</v>
      </c>
      <c r="D576" s="23">
        <v>921033793</v>
      </c>
      <c r="E576" s="23">
        <v>921033793</v>
      </c>
      <c r="F576" s="24" t="s">
        <v>1352</v>
      </c>
      <c r="G576" s="23">
        <v>0</v>
      </c>
      <c r="H576" s="23">
        <v>20250301</v>
      </c>
      <c r="I576" s="23" t="str">
        <f>TEXT(DATE(LEFT(H576,4), MID(H576,5,2), RIGHT(H576,2)), "M/d/yyyy")</f>
        <v>3/1/2025</v>
      </c>
      <c r="J576" s="25">
        <v>20150101</v>
      </c>
      <c r="K576" s="23" t="str">
        <f>TEXT(DATE(LEFT(J576,4), MID(J576,5,2), RIGHT(J576,2)), "M/d/yyyy")</f>
        <v>1/1/2015</v>
      </c>
      <c r="L576" s="24" t="s">
        <v>78</v>
      </c>
      <c r="M576" s="26">
        <v>1</v>
      </c>
      <c r="N576" s="25">
        <v>20</v>
      </c>
      <c r="O576" s="27">
        <v>80</v>
      </c>
      <c r="P576" s="22" t="s">
        <v>3831</v>
      </c>
    </row>
    <row r="577" spans="1:16" s="22" customFormat="1" ht="15" customHeight="1" x14ac:dyDescent="0.2">
      <c r="A577" s="22" t="s">
        <v>3784</v>
      </c>
      <c r="B577" s="22">
        <v>8244481</v>
      </c>
      <c r="C577" s="23">
        <v>4</v>
      </c>
      <c r="D577" s="23">
        <v>921060613</v>
      </c>
      <c r="E577" s="23">
        <v>921060613</v>
      </c>
      <c r="F577" s="24" t="s">
        <v>1356</v>
      </c>
      <c r="G577" s="23">
        <v>0</v>
      </c>
      <c r="H577" s="23">
        <v>20250301</v>
      </c>
      <c r="I577" s="23" t="str">
        <f>TEXT(DATE(LEFT(H577,4), MID(H577,5,2), RIGHT(H577,2)), "M/d/yyyy")</f>
        <v>3/1/2025</v>
      </c>
      <c r="J577" s="25">
        <v>20190101</v>
      </c>
      <c r="K577" s="23" t="str">
        <f>TEXT(DATE(LEFT(J577,4), MID(J577,5,2), RIGHT(J577,2)), "M/d/yyyy")</f>
        <v>1/1/2019</v>
      </c>
      <c r="L577" s="24" t="s">
        <v>78</v>
      </c>
      <c r="M577" s="26">
        <v>1</v>
      </c>
      <c r="N577" s="25">
        <v>20</v>
      </c>
      <c r="O577" s="27">
        <v>80</v>
      </c>
      <c r="P577" s="22" t="s">
        <v>3831</v>
      </c>
    </row>
    <row r="578" spans="1:16" s="22" customFormat="1" ht="15" customHeight="1" x14ac:dyDescent="0.2">
      <c r="A578" s="22" t="s">
        <v>3784</v>
      </c>
      <c r="B578" s="22">
        <v>8244481</v>
      </c>
      <c r="C578" s="23">
        <v>4</v>
      </c>
      <c r="D578" s="23">
        <v>921458162</v>
      </c>
      <c r="E578" s="23">
        <v>921458162</v>
      </c>
      <c r="F578" s="24" t="s">
        <v>1432</v>
      </c>
      <c r="G578" s="23">
        <v>0</v>
      </c>
      <c r="H578" s="23">
        <v>20250301</v>
      </c>
      <c r="I578" s="23" t="str">
        <f>TEXT(DATE(LEFT(H578,4), MID(H578,5,2), RIGHT(H578,2)), "M/d/yyyy")</f>
        <v>3/1/2025</v>
      </c>
      <c r="J578" s="25">
        <v>20190101</v>
      </c>
      <c r="K578" s="23" t="str">
        <f>TEXT(DATE(LEFT(J578,4), MID(J578,5,2), RIGHT(J578,2)), "M/d/yyyy")</f>
        <v>1/1/2019</v>
      </c>
      <c r="L578" s="24" t="s">
        <v>78</v>
      </c>
      <c r="M578" s="26">
        <v>1</v>
      </c>
      <c r="N578" s="25">
        <v>20</v>
      </c>
      <c r="O578" s="27">
        <v>80</v>
      </c>
      <c r="P578" s="22" t="s">
        <v>3831</v>
      </c>
    </row>
    <row r="579" spans="1:16" s="22" customFormat="1" ht="15" customHeight="1" x14ac:dyDescent="0.2">
      <c r="A579" s="22" t="s">
        <v>3784</v>
      </c>
      <c r="B579" s="22">
        <v>8244481</v>
      </c>
      <c r="C579" s="23">
        <v>4</v>
      </c>
      <c r="D579" s="23">
        <v>921576071</v>
      </c>
      <c r="E579" s="23">
        <v>921576071</v>
      </c>
      <c r="F579" s="24" t="s">
        <v>1481</v>
      </c>
      <c r="G579" s="23">
        <v>0</v>
      </c>
      <c r="H579" s="23">
        <v>20250301</v>
      </c>
      <c r="I579" s="23" t="str">
        <f>TEXT(DATE(LEFT(H579,4), MID(H579,5,2), RIGHT(H579,2)), "M/d/yyyy")</f>
        <v>3/1/2025</v>
      </c>
      <c r="J579" s="25">
        <v>20210801</v>
      </c>
      <c r="K579" s="23" t="str">
        <f>TEXT(DATE(LEFT(J579,4), MID(J579,5,2), RIGHT(J579,2)), "M/d/yyyy")</f>
        <v>8/1/2021</v>
      </c>
      <c r="L579" s="24" t="s">
        <v>78</v>
      </c>
      <c r="M579" s="26">
        <v>1</v>
      </c>
      <c r="N579" s="25">
        <v>20</v>
      </c>
      <c r="O579" s="27">
        <v>80</v>
      </c>
      <c r="P579" s="22" t="s">
        <v>3831</v>
      </c>
    </row>
    <row r="580" spans="1:16" s="22" customFormat="1" ht="15" customHeight="1" x14ac:dyDescent="0.2">
      <c r="A580" s="22" t="s">
        <v>3784</v>
      </c>
      <c r="B580" s="22">
        <v>8244481</v>
      </c>
      <c r="C580" s="23">
        <v>4</v>
      </c>
      <c r="D580" s="23">
        <v>921695803</v>
      </c>
      <c r="E580" s="23">
        <v>921695803</v>
      </c>
      <c r="F580" s="24" t="s">
        <v>1576</v>
      </c>
      <c r="G580" s="23">
        <v>0</v>
      </c>
      <c r="H580" s="23">
        <v>20250301</v>
      </c>
      <c r="I580" s="23" t="str">
        <f>TEXT(DATE(LEFT(H580,4), MID(H580,5,2), RIGHT(H580,2)), "M/d/yyyy")</f>
        <v>3/1/2025</v>
      </c>
      <c r="J580" s="25">
        <v>20240101</v>
      </c>
      <c r="K580" s="23" t="str">
        <f>TEXT(DATE(LEFT(J580,4), MID(J580,5,2), RIGHT(J580,2)), "M/d/yyyy")</f>
        <v>1/1/2024</v>
      </c>
      <c r="L580" s="24" t="s">
        <v>78</v>
      </c>
      <c r="M580" s="26">
        <v>1</v>
      </c>
      <c r="N580" s="25">
        <v>20</v>
      </c>
      <c r="O580" s="27">
        <v>80</v>
      </c>
      <c r="P580" s="22" t="s">
        <v>3831</v>
      </c>
    </row>
    <row r="581" spans="1:16" s="22" customFormat="1" ht="15" customHeight="1" x14ac:dyDescent="0.2">
      <c r="A581" s="22" t="s">
        <v>3784</v>
      </c>
      <c r="B581" s="22">
        <v>8244481</v>
      </c>
      <c r="C581" s="23">
        <v>4</v>
      </c>
      <c r="D581" s="23">
        <v>921700143</v>
      </c>
      <c r="E581" s="23">
        <v>921700143</v>
      </c>
      <c r="F581" s="24" t="s">
        <v>1582</v>
      </c>
      <c r="G581" s="23">
        <v>0</v>
      </c>
      <c r="H581" s="23">
        <v>20250301</v>
      </c>
      <c r="I581" s="23" t="str">
        <f>TEXT(DATE(LEFT(H581,4), MID(H581,5,2), RIGHT(H581,2)), "M/d/yyyy")</f>
        <v>3/1/2025</v>
      </c>
      <c r="J581" s="25">
        <v>20240101</v>
      </c>
      <c r="K581" s="23" t="str">
        <f>TEXT(DATE(LEFT(J581,4), MID(J581,5,2), RIGHT(J581,2)), "M/d/yyyy")</f>
        <v>1/1/2024</v>
      </c>
      <c r="L581" s="24" t="s">
        <v>78</v>
      </c>
      <c r="M581" s="26">
        <v>1</v>
      </c>
      <c r="N581" s="25">
        <v>20</v>
      </c>
      <c r="O581" s="27">
        <v>80</v>
      </c>
      <c r="P581" s="22" t="s">
        <v>3831</v>
      </c>
    </row>
    <row r="582" spans="1:16" s="22" customFormat="1" ht="15" customHeight="1" x14ac:dyDescent="0.2">
      <c r="A582" s="22" t="s">
        <v>3784</v>
      </c>
      <c r="B582" s="22">
        <v>8244481</v>
      </c>
      <c r="C582" s="23">
        <v>4</v>
      </c>
      <c r="D582" s="23">
        <v>921700143</v>
      </c>
      <c r="E582" s="23">
        <v>921700143</v>
      </c>
      <c r="F582" s="24" t="s">
        <v>1582</v>
      </c>
      <c r="G582" s="23">
        <v>0</v>
      </c>
      <c r="H582" s="23">
        <v>20250201</v>
      </c>
      <c r="I582" s="23" t="str">
        <f>TEXT(DATE(LEFT(H582,4), MID(H582,5,2), RIGHT(H582,2)), "M/d/yyyy")</f>
        <v>2/1/2025</v>
      </c>
      <c r="J582" s="25">
        <v>20240101</v>
      </c>
      <c r="K582" s="23" t="str">
        <f>TEXT(DATE(LEFT(J582,4), MID(J582,5,2), RIGHT(J582,2)), "M/d/yyyy")</f>
        <v>1/1/2024</v>
      </c>
      <c r="L582" s="24" t="s">
        <v>78</v>
      </c>
      <c r="M582" s="26">
        <v>1</v>
      </c>
      <c r="N582" s="25">
        <v>20</v>
      </c>
      <c r="O582" s="27">
        <v>80</v>
      </c>
      <c r="P582" s="22" t="s">
        <v>3831</v>
      </c>
    </row>
    <row r="583" spans="1:16" s="22" customFormat="1" ht="15" customHeight="1" x14ac:dyDescent="0.2">
      <c r="A583" s="22" t="s">
        <v>3784</v>
      </c>
      <c r="B583" s="22">
        <v>8244481</v>
      </c>
      <c r="C583" s="23">
        <v>4</v>
      </c>
      <c r="D583" s="23">
        <v>890672355</v>
      </c>
      <c r="E583" s="23">
        <v>890672355</v>
      </c>
      <c r="F583" s="24" t="s">
        <v>1332</v>
      </c>
      <c r="G583" s="23">
        <v>0</v>
      </c>
      <c r="H583" s="23">
        <v>20250301</v>
      </c>
      <c r="I583" s="23" t="str">
        <f>TEXT(DATE(LEFT(H583,4), MID(H583,5,2), RIGHT(H583,2)), "M/d/yyyy")</f>
        <v>3/1/2025</v>
      </c>
      <c r="J583" s="25">
        <v>20250101</v>
      </c>
      <c r="K583" s="23" t="str">
        <f>TEXT(DATE(LEFT(J583,4), MID(J583,5,2), RIGHT(J583,2)), "M/d/yyyy")</f>
        <v>1/1/2025</v>
      </c>
      <c r="L583" s="24" t="s">
        <v>78</v>
      </c>
      <c r="M583" s="26">
        <v>1</v>
      </c>
      <c r="N583" s="25">
        <v>25</v>
      </c>
      <c r="O583" s="27">
        <v>100</v>
      </c>
      <c r="P583" s="22" t="s">
        <v>3831</v>
      </c>
    </row>
    <row r="584" spans="1:16" s="22" customFormat="1" ht="15" customHeight="1" x14ac:dyDescent="0.2">
      <c r="A584" s="22" t="s">
        <v>3784</v>
      </c>
      <c r="B584" s="22">
        <v>8244481</v>
      </c>
      <c r="C584" s="23">
        <v>4</v>
      </c>
      <c r="D584" s="23">
        <v>890672355</v>
      </c>
      <c r="E584" s="23">
        <v>890672355</v>
      </c>
      <c r="F584" s="24" t="s">
        <v>1332</v>
      </c>
      <c r="G584" s="23">
        <v>0</v>
      </c>
      <c r="H584" s="23">
        <v>20250201</v>
      </c>
      <c r="I584" s="23" t="str">
        <f>TEXT(DATE(LEFT(H584,4), MID(H584,5,2), RIGHT(H584,2)), "M/d/yyyy")</f>
        <v>2/1/2025</v>
      </c>
      <c r="J584" s="25">
        <v>20250101</v>
      </c>
      <c r="K584" s="23" t="str">
        <f>TEXT(DATE(LEFT(J584,4), MID(J584,5,2), RIGHT(J584,2)), "M/d/yyyy")</f>
        <v>1/1/2025</v>
      </c>
      <c r="L584" s="24" t="s">
        <v>78</v>
      </c>
      <c r="M584" s="26">
        <v>1</v>
      </c>
      <c r="N584" s="25">
        <v>25</v>
      </c>
      <c r="O584" s="27">
        <v>100</v>
      </c>
      <c r="P584" s="22" t="s">
        <v>3831</v>
      </c>
    </row>
    <row r="585" spans="1:16" s="22" customFormat="1" ht="15" customHeight="1" x14ac:dyDescent="0.2">
      <c r="A585" s="22" t="s">
        <v>3784</v>
      </c>
      <c r="B585" s="22">
        <v>8244481</v>
      </c>
      <c r="C585" s="23">
        <v>4</v>
      </c>
      <c r="D585" s="23">
        <v>921720459</v>
      </c>
      <c r="E585" s="23">
        <v>921720459</v>
      </c>
      <c r="F585" s="24" t="s">
        <v>1606</v>
      </c>
      <c r="G585" s="23">
        <v>0</v>
      </c>
      <c r="H585" s="23">
        <v>20250301</v>
      </c>
      <c r="I585" s="23" t="str">
        <f>TEXT(DATE(LEFT(H585,4), MID(H585,5,2), RIGHT(H585,2)), "M/d/yyyy")</f>
        <v>3/1/2025</v>
      </c>
      <c r="J585" s="25">
        <v>20240401</v>
      </c>
      <c r="K585" s="23" t="str">
        <f>TEXT(DATE(LEFT(J585,4), MID(J585,5,2), RIGHT(J585,2)), "M/d/yyyy")</f>
        <v>4/1/2024</v>
      </c>
      <c r="L585" s="24" t="s">
        <v>78</v>
      </c>
      <c r="M585" s="26">
        <v>1</v>
      </c>
      <c r="N585" s="25">
        <v>25</v>
      </c>
      <c r="O585" s="27">
        <v>100</v>
      </c>
      <c r="P585" s="22" t="s">
        <v>3831</v>
      </c>
    </row>
    <row r="586" spans="1:16" s="22" customFormat="1" ht="15" customHeight="1" x14ac:dyDescent="0.2">
      <c r="A586" s="22" t="s">
        <v>3784</v>
      </c>
      <c r="B586" s="22">
        <v>8244481</v>
      </c>
      <c r="C586" s="23">
        <v>4</v>
      </c>
      <c r="D586" s="23">
        <v>921776240</v>
      </c>
      <c r="E586" s="23">
        <v>921776240</v>
      </c>
      <c r="F586" s="24" t="s">
        <v>1704</v>
      </c>
      <c r="G586" s="23">
        <v>0</v>
      </c>
      <c r="H586" s="23">
        <v>20250301</v>
      </c>
      <c r="I586" s="23" t="str">
        <f>TEXT(DATE(LEFT(H586,4), MID(H586,5,2), RIGHT(H586,2)), "M/d/yyyy")</f>
        <v>3/1/2025</v>
      </c>
      <c r="J586" s="25">
        <v>20250201</v>
      </c>
      <c r="K586" s="23" t="str">
        <f>TEXT(DATE(LEFT(J586,4), MID(J586,5,2), RIGHT(J586,2)), "M/d/yyyy")</f>
        <v>2/1/2025</v>
      </c>
      <c r="L586" s="24" t="s">
        <v>78</v>
      </c>
      <c r="M586" s="26">
        <v>1</v>
      </c>
      <c r="N586" s="25">
        <v>25</v>
      </c>
      <c r="O586" s="27">
        <v>100</v>
      </c>
      <c r="P586" s="22" t="s">
        <v>3831</v>
      </c>
    </row>
    <row r="587" spans="1:16" s="22" customFormat="1" ht="15" customHeight="1" x14ac:dyDescent="0.2">
      <c r="A587" s="22" t="s">
        <v>3784</v>
      </c>
      <c r="B587" s="22">
        <v>8244481</v>
      </c>
      <c r="C587" s="23">
        <v>5</v>
      </c>
      <c r="D587" s="23">
        <v>921763465</v>
      </c>
      <c r="E587" s="23">
        <v>921763465</v>
      </c>
      <c r="F587" s="24" t="s">
        <v>1682</v>
      </c>
      <c r="G587" s="23">
        <v>0</v>
      </c>
      <c r="H587" s="23">
        <v>20250301</v>
      </c>
      <c r="I587" s="23" t="str">
        <f>TEXT(DATE(LEFT(H587,4), MID(H587,5,2), RIGHT(H587,2)), "M/d/yyyy")</f>
        <v>3/1/2025</v>
      </c>
      <c r="J587" s="25">
        <v>20250101</v>
      </c>
      <c r="K587" s="23" t="str">
        <f>TEXT(DATE(LEFT(J587,4), MID(J587,5,2), RIGHT(J587,2)), "M/d/yyyy")</f>
        <v>1/1/2025</v>
      </c>
      <c r="L587" s="24" t="s">
        <v>78</v>
      </c>
      <c r="M587" s="26">
        <v>1</v>
      </c>
      <c r="N587" s="25">
        <v>25</v>
      </c>
      <c r="O587" s="27">
        <v>125</v>
      </c>
      <c r="P587" s="22" t="s">
        <v>3831</v>
      </c>
    </row>
    <row r="588" spans="1:16" s="22" customFormat="1" ht="15" customHeight="1" x14ac:dyDescent="0.2">
      <c r="A588" s="22" t="s">
        <v>3799</v>
      </c>
      <c r="B588" s="22">
        <v>16983460</v>
      </c>
      <c r="C588" s="23">
        <v>2</v>
      </c>
      <c r="D588" s="23">
        <v>921774585</v>
      </c>
      <c r="E588" s="23">
        <v>921774585</v>
      </c>
      <c r="F588" s="24" t="s">
        <v>2911</v>
      </c>
      <c r="G588" s="23">
        <v>0</v>
      </c>
      <c r="H588" s="23">
        <v>20250301</v>
      </c>
      <c r="I588" s="23" t="str">
        <f>TEXT(DATE(LEFT(H588,4), MID(H588,5,2), RIGHT(H588,2)), "M/d/yyyy")</f>
        <v>3/1/2025</v>
      </c>
      <c r="J588" s="25">
        <v>20250201</v>
      </c>
      <c r="K588" s="23" t="str">
        <f>TEXT(DATE(LEFT(J588,4), MID(J588,5,2), RIGHT(J588,2)), "M/d/yyyy")</f>
        <v>2/1/2025</v>
      </c>
      <c r="L588" s="24" t="s">
        <v>78</v>
      </c>
      <c r="M588" s="26">
        <v>1</v>
      </c>
      <c r="N588" s="25">
        <v>25</v>
      </c>
      <c r="O588" s="27">
        <v>50</v>
      </c>
      <c r="P588" s="22" t="s">
        <v>3831</v>
      </c>
    </row>
    <row r="589" spans="1:16" s="22" customFormat="1" ht="15" customHeight="1" x14ac:dyDescent="0.2">
      <c r="A589" s="22" t="s">
        <v>3785</v>
      </c>
      <c r="B589" s="22">
        <v>19200754</v>
      </c>
      <c r="C589" s="24" t="s">
        <v>1557</v>
      </c>
      <c r="D589" s="23">
        <v>921501725</v>
      </c>
      <c r="E589" s="23">
        <v>921501725</v>
      </c>
      <c r="F589" s="24" t="s">
        <v>1860</v>
      </c>
      <c r="G589" s="23">
        <v>0</v>
      </c>
      <c r="H589" s="23">
        <v>20250201</v>
      </c>
      <c r="I589" s="23" t="str">
        <f>TEXT(DATE(LEFT(H589,4), MID(H589,5,2), RIGHT(H589,2)), "M/d/yyyy")</f>
        <v>2/1/2025</v>
      </c>
      <c r="J589" s="25">
        <v>20220401</v>
      </c>
      <c r="K589" s="23" t="str">
        <f>TEXT(DATE(LEFT(J589,4), MID(J589,5,2), RIGHT(J589,2)), "M/d/yyyy")</f>
        <v>4/1/2022</v>
      </c>
      <c r="L589" s="24" t="s">
        <v>78</v>
      </c>
      <c r="M589" s="26">
        <v>1</v>
      </c>
      <c r="N589" s="25">
        <v>20</v>
      </c>
      <c r="O589" s="27">
        <v>-40</v>
      </c>
      <c r="P589" s="22" t="s">
        <v>3831</v>
      </c>
    </row>
    <row r="590" spans="1:16" s="22" customFormat="1" ht="15" customHeight="1" x14ac:dyDescent="0.2">
      <c r="A590" s="22" t="s">
        <v>3785</v>
      </c>
      <c r="B590" s="22">
        <v>19200754</v>
      </c>
      <c r="C590" s="24" t="s">
        <v>588</v>
      </c>
      <c r="D590" s="23">
        <v>921592257</v>
      </c>
      <c r="E590" s="23">
        <v>921592257</v>
      </c>
      <c r="F590" s="24" t="s">
        <v>1875</v>
      </c>
      <c r="G590" s="23">
        <v>0</v>
      </c>
      <c r="H590" s="23">
        <v>20250201</v>
      </c>
      <c r="I590" s="23" t="str">
        <f>TEXT(DATE(LEFT(H590,4), MID(H590,5,2), RIGHT(H590,2)), "M/d/yyyy")</f>
        <v>2/1/2025</v>
      </c>
      <c r="J590" s="25">
        <v>20240401</v>
      </c>
      <c r="K590" s="23" t="str">
        <f>TEXT(DATE(LEFT(J590,4), MID(J590,5,2), RIGHT(J590,2)), "M/d/yyyy")</f>
        <v>4/1/2024</v>
      </c>
      <c r="L590" s="24" t="s">
        <v>78</v>
      </c>
      <c r="M590" s="26">
        <v>1</v>
      </c>
      <c r="N590" s="25">
        <v>25</v>
      </c>
      <c r="O590" s="27">
        <v>-25</v>
      </c>
      <c r="P590" s="22" t="s">
        <v>3831</v>
      </c>
    </row>
    <row r="591" spans="1:16" s="22" customFormat="1" ht="15" customHeight="1" x14ac:dyDescent="0.2">
      <c r="A591" s="22" t="s">
        <v>3785</v>
      </c>
      <c r="B591" s="22">
        <v>19200754</v>
      </c>
      <c r="C591" s="23">
        <v>1</v>
      </c>
      <c r="D591" s="23">
        <v>921553562</v>
      </c>
      <c r="E591" s="23">
        <v>921553562</v>
      </c>
      <c r="F591" s="24" t="s">
        <v>1867</v>
      </c>
      <c r="G591" s="23">
        <v>0</v>
      </c>
      <c r="H591" s="23">
        <v>20250301</v>
      </c>
      <c r="I591" s="23" t="str">
        <f>TEXT(DATE(LEFT(H591,4), MID(H591,5,2), RIGHT(H591,2)), "M/d/yyyy")</f>
        <v>3/1/2025</v>
      </c>
      <c r="J591" s="25">
        <v>20210101</v>
      </c>
      <c r="K591" s="23" t="str">
        <f>TEXT(DATE(LEFT(J591,4), MID(J591,5,2), RIGHT(J591,2)), "M/d/yyyy")</f>
        <v>1/1/2021</v>
      </c>
      <c r="L591" s="24" t="s">
        <v>78</v>
      </c>
      <c r="M591" s="26">
        <v>1</v>
      </c>
      <c r="N591" s="25">
        <v>20</v>
      </c>
      <c r="O591" s="27">
        <v>20</v>
      </c>
      <c r="P591" s="22" t="s">
        <v>3831</v>
      </c>
    </row>
    <row r="592" spans="1:16" s="22" customFormat="1" ht="15" customHeight="1" x14ac:dyDescent="0.2">
      <c r="A592" s="22" t="s">
        <v>3785</v>
      </c>
      <c r="B592" s="22">
        <v>19200754</v>
      </c>
      <c r="C592" s="23">
        <v>1</v>
      </c>
      <c r="D592" s="23">
        <v>921563981</v>
      </c>
      <c r="E592" s="23">
        <v>921563981</v>
      </c>
      <c r="F592" s="24" t="s">
        <v>1873</v>
      </c>
      <c r="G592" s="23">
        <v>0</v>
      </c>
      <c r="H592" s="23">
        <v>20250301</v>
      </c>
      <c r="I592" s="23" t="str">
        <f>TEXT(DATE(LEFT(H592,4), MID(H592,5,2), RIGHT(H592,2)), "M/d/yyyy")</f>
        <v>3/1/2025</v>
      </c>
      <c r="J592" s="25">
        <v>20210501</v>
      </c>
      <c r="K592" s="23" t="str">
        <f>TEXT(DATE(LEFT(J592,4), MID(J592,5,2), RIGHT(J592,2)), "M/d/yyyy")</f>
        <v>5/1/2021</v>
      </c>
      <c r="L592" s="24" t="s">
        <v>78</v>
      </c>
      <c r="M592" s="26">
        <v>1</v>
      </c>
      <c r="N592" s="25">
        <v>20</v>
      </c>
      <c r="O592" s="27">
        <v>20</v>
      </c>
      <c r="P592" s="22" t="s">
        <v>3831</v>
      </c>
    </row>
    <row r="593" spans="1:16" s="22" customFormat="1" ht="15" customHeight="1" x14ac:dyDescent="0.2">
      <c r="A593" s="22" t="s">
        <v>3785</v>
      </c>
      <c r="B593" s="22">
        <v>19200754</v>
      </c>
      <c r="C593" s="23">
        <v>1</v>
      </c>
      <c r="D593" s="23">
        <v>921625973</v>
      </c>
      <c r="E593" s="23">
        <v>921625973</v>
      </c>
      <c r="F593" s="24" t="s">
        <v>1879</v>
      </c>
      <c r="G593" s="23">
        <v>0</v>
      </c>
      <c r="H593" s="23">
        <v>20250301</v>
      </c>
      <c r="I593" s="23" t="str">
        <f>TEXT(DATE(LEFT(H593,4), MID(H593,5,2), RIGHT(H593,2)), "M/d/yyyy")</f>
        <v>3/1/2025</v>
      </c>
      <c r="J593" s="25">
        <v>20221201</v>
      </c>
      <c r="K593" s="23" t="str">
        <f>TEXT(DATE(LEFT(J593,4), MID(J593,5,2), RIGHT(J593,2)), "M/d/yyyy")</f>
        <v>12/1/2022</v>
      </c>
      <c r="L593" s="24" t="s">
        <v>78</v>
      </c>
      <c r="M593" s="26">
        <v>1</v>
      </c>
      <c r="N593" s="25">
        <v>20</v>
      </c>
      <c r="O593" s="27">
        <v>20</v>
      </c>
      <c r="P593" s="22" t="s">
        <v>3831</v>
      </c>
    </row>
    <row r="594" spans="1:16" s="22" customFormat="1" ht="15" customHeight="1" x14ac:dyDescent="0.2">
      <c r="A594" s="22" t="s">
        <v>3785</v>
      </c>
      <c r="B594" s="22">
        <v>19200754</v>
      </c>
      <c r="C594" s="23">
        <v>1</v>
      </c>
      <c r="D594" s="23">
        <v>921706883</v>
      </c>
      <c r="E594" s="23">
        <v>921706883</v>
      </c>
      <c r="F594" s="24" t="s">
        <v>1899</v>
      </c>
      <c r="G594" s="23">
        <v>0</v>
      </c>
      <c r="H594" s="23">
        <v>20250301</v>
      </c>
      <c r="I594" s="23" t="str">
        <f>TEXT(DATE(LEFT(H594,4), MID(H594,5,2), RIGHT(H594,2)), "M/d/yyyy")</f>
        <v>3/1/2025</v>
      </c>
      <c r="J594" s="25">
        <v>20240201</v>
      </c>
      <c r="K594" s="23" t="str">
        <f>TEXT(DATE(LEFT(J594,4), MID(J594,5,2), RIGHT(J594,2)), "M/d/yyyy")</f>
        <v>2/1/2024</v>
      </c>
      <c r="L594" s="24" t="s">
        <v>78</v>
      </c>
      <c r="M594" s="26">
        <v>1</v>
      </c>
      <c r="N594" s="25">
        <v>20</v>
      </c>
      <c r="O594" s="27">
        <v>20</v>
      </c>
      <c r="P594" s="22" t="s">
        <v>3831</v>
      </c>
    </row>
    <row r="595" spans="1:16" s="22" customFormat="1" ht="15" customHeight="1" x14ac:dyDescent="0.2">
      <c r="A595" s="22" t="s">
        <v>3785</v>
      </c>
      <c r="B595" s="22">
        <v>19200754</v>
      </c>
      <c r="C595" s="23">
        <v>1</v>
      </c>
      <c r="D595" s="23">
        <v>921675547</v>
      </c>
      <c r="E595" s="23">
        <v>921675547</v>
      </c>
      <c r="F595" s="24" t="s">
        <v>1887</v>
      </c>
      <c r="G595" s="23">
        <v>0</v>
      </c>
      <c r="H595" s="23">
        <v>20250201</v>
      </c>
      <c r="I595" s="23" t="str">
        <f>TEXT(DATE(LEFT(H595,4), MID(H595,5,2), RIGHT(H595,2)), "M/d/yyyy")</f>
        <v>2/1/2025</v>
      </c>
      <c r="J595" s="25">
        <v>20241101</v>
      </c>
      <c r="K595" s="23" t="str">
        <f>TEXT(DATE(LEFT(J595,4), MID(J595,5,2), RIGHT(J595,2)), "M/d/yyyy")</f>
        <v>11/1/2024</v>
      </c>
      <c r="L595" s="24" t="s">
        <v>78</v>
      </c>
      <c r="M595" s="26">
        <v>1</v>
      </c>
      <c r="N595" s="25">
        <v>25</v>
      </c>
      <c r="O595" s="27">
        <v>25</v>
      </c>
      <c r="P595" s="22" t="s">
        <v>3831</v>
      </c>
    </row>
    <row r="596" spans="1:16" s="22" customFormat="1" ht="15" customHeight="1" x14ac:dyDescent="0.2">
      <c r="A596" s="22" t="s">
        <v>3785</v>
      </c>
      <c r="B596" s="22">
        <v>19200754</v>
      </c>
      <c r="C596" s="23">
        <v>1</v>
      </c>
      <c r="D596" s="23">
        <v>921712039</v>
      </c>
      <c r="E596" s="23">
        <v>921712039</v>
      </c>
      <c r="F596" s="24" t="s">
        <v>1901</v>
      </c>
      <c r="G596" s="23">
        <v>0</v>
      </c>
      <c r="H596" s="23">
        <v>20250301</v>
      </c>
      <c r="I596" s="23" t="str">
        <f>TEXT(DATE(LEFT(H596,4), MID(H596,5,2), RIGHT(H596,2)), "M/d/yyyy")</f>
        <v>3/1/2025</v>
      </c>
      <c r="J596" s="25">
        <v>20240301</v>
      </c>
      <c r="K596" s="23" t="str">
        <f>TEXT(DATE(LEFT(J596,4), MID(J596,5,2), RIGHT(J596,2)), "M/d/yyyy")</f>
        <v>3/1/2024</v>
      </c>
      <c r="L596" s="24" t="s">
        <v>78</v>
      </c>
      <c r="M596" s="26">
        <v>1</v>
      </c>
      <c r="N596" s="25">
        <v>25</v>
      </c>
      <c r="O596" s="27">
        <v>25</v>
      </c>
      <c r="P596" s="22" t="s">
        <v>3831</v>
      </c>
    </row>
    <row r="597" spans="1:16" s="22" customFormat="1" ht="15" customHeight="1" x14ac:dyDescent="0.2">
      <c r="A597" s="22" t="s">
        <v>3785</v>
      </c>
      <c r="B597" s="22">
        <v>19200754</v>
      </c>
      <c r="C597" s="23">
        <v>1</v>
      </c>
      <c r="D597" s="23">
        <v>921713365</v>
      </c>
      <c r="E597" s="23">
        <v>921713365</v>
      </c>
      <c r="F597" s="24" t="s">
        <v>1903</v>
      </c>
      <c r="G597" s="23">
        <v>0</v>
      </c>
      <c r="H597" s="23">
        <v>20250301</v>
      </c>
      <c r="I597" s="23" t="str">
        <f>TEXT(DATE(LEFT(H597,4), MID(H597,5,2), RIGHT(H597,2)), "M/d/yyyy")</f>
        <v>3/1/2025</v>
      </c>
      <c r="J597" s="25">
        <v>20240301</v>
      </c>
      <c r="K597" s="23" t="str">
        <f>TEXT(DATE(LEFT(J597,4), MID(J597,5,2), RIGHT(J597,2)), "M/d/yyyy")</f>
        <v>3/1/2024</v>
      </c>
      <c r="L597" s="24" t="s">
        <v>78</v>
      </c>
      <c r="M597" s="26">
        <v>1</v>
      </c>
      <c r="N597" s="25">
        <v>25</v>
      </c>
      <c r="O597" s="27">
        <v>25</v>
      </c>
      <c r="P597" s="22" t="s">
        <v>3831</v>
      </c>
    </row>
    <row r="598" spans="1:16" s="22" customFormat="1" ht="15" customHeight="1" x14ac:dyDescent="0.2">
      <c r="A598" s="22" t="s">
        <v>3785</v>
      </c>
      <c r="B598" s="22">
        <v>19200754</v>
      </c>
      <c r="C598" s="23">
        <v>1</v>
      </c>
      <c r="D598" s="23">
        <v>921713365</v>
      </c>
      <c r="E598" s="23">
        <v>921713365</v>
      </c>
      <c r="F598" s="24" t="s">
        <v>1903</v>
      </c>
      <c r="G598" s="23">
        <v>0</v>
      </c>
      <c r="H598" s="23">
        <v>20250201</v>
      </c>
      <c r="I598" s="23" t="str">
        <f>TEXT(DATE(LEFT(H598,4), MID(H598,5,2), RIGHT(H598,2)), "M/d/yyyy")</f>
        <v>2/1/2025</v>
      </c>
      <c r="J598" s="25">
        <v>20240301</v>
      </c>
      <c r="K598" s="23" t="str">
        <f>TEXT(DATE(LEFT(J598,4), MID(J598,5,2), RIGHT(J598,2)), "M/d/yyyy")</f>
        <v>3/1/2024</v>
      </c>
      <c r="L598" s="24" t="s">
        <v>78</v>
      </c>
      <c r="M598" s="26">
        <v>1</v>
      </c>
      <c r="N598" s="25">
        <v>25</v>
      </c>
      <c r="O598" s="27">
        <v>25</v>
      </c>
      <c r="P598" s="22" t="s">
        <v>3831</v>
      </c>
    </row>
    <row r="599" spans="1:16" s="22" customFormat="1" ht="15" customHeight="1" x14ac:dyDescent="0.2">
      <c r="A599" s="22" t="s">
        <v>3785</v>
      </c>
      <c r="B599" s="22">
        <v>19200754</v>
      </c>
      <c r="C599" s="23">
        <v>1</v>
      </c>
      <c r="D599" s="23">
        <v>921749386</v>
      </c>
      <c r="E599" s="23">
        <v>921749386</v>
      </c>
      <c r="F599" s="24" t="s">
        <v>1910</v>
      </c>
      <c r="G599" s="23">
        <v>0</v>
      </c>
      <c r="H599" s="23">
        <v>20250301</v>
      </c>
      <c r="I599" s="23" t="str">
        <f>TEXT(DATE(LEFT(H599,4), MID(H599,5,2), RIGHT(H599,2)), "M/d/yyyy")</f>
        <v>3/1/2025</v>
      </c>
      <c r="J599" s="25">
        <v>20250101</v>
      </c>
      <c r="K599" s="23" t="str">
        <f>TEXT(DATE(LEFT(J599,4), MID(J599,5,2), RIGHT(J599,2)), "M/d/yyyy")</f>
        <v>1/1/2025</v>
      </c>
      <c r="L599" s="24" t="s">
        <v>78</v>
      </c>
      <c r="M599" s="26">
        <v>1</v>
      </c>
      <c r="N599" s="25">
        <v>25</v>
      </c>
      <c r="O599" s="27">
        <v>25</v>
      </c>
      <c r="P599" s="22" t="s">
        <v>3831</v>
      </c>
    </row>
    <row r="600" spans="1:16" s="22" customFormat="1" ht="15" customHeight="1" x14ac:dyDescent="0.2">
      <c r="A600" s="22" t="s">
        <v>3785</v>
      </c>
      <c r="B600" s="22">
        <v>19200754</v>
      </c>
      <c r="C600" s="23">
        <v>1</v>
      </c>
      <c r="D600" s="23">
        <v>921756422</v>
      </c>
      <c r="E600" s="23">
        <v>921756422</v>
      </c>
      <c r="F600" s="24" t="s">
        <v>1912</v>
      </c>
      <c r="G600" s="23">
        <v>0</v>
      </c>
      <c r="H600" s="23">
        <v>20250301</v>
      </c>
      <c r="I600" s="23" t="str">
        <f>TEXT(DATE(LEFT(H600,4), MID(H600,5,2), RIGHT(H600,2)), "M/d/yyyy")</f>
        <v>3/1/2025</v>
      </c>
      <c r="J600" s="25">
        <v>20250101</v>
      </c>
      <c r="K600" s="23" t="str">
        <f>TEXT(DATE(LEFT(J600,4), MID(J600,5,2), RIGHT(J600,2)), "M/d/yyyy")</f>
        <v>1/1/2025</v>
      </c>
      <c r="L600" s="24" t="s">
        <v>78</v>
      </c>
      <c r="M600" s="26">
        <v>1</v>
      </c>
      <c r="N600" s="25">
        <v>25</v>
      </c>
      <c r="O600" s="27">
        <v>25</v>
      </c>
      <c r="P600" s="22" t="s">
        <v>3831</v>
      </c>
    </row>
    <row r="601" spans="1:16" s="22" customFormat="1" ht="15" customHeight="1" x14ac:dyDescent="0.2">
      <c r="A601" s="22" t="s">
        <v>3785</v>
      </c>
      <c r="B601" s="22">
        <v>19200754</v>
      </c>
      <c r="C601" s="23">
        <v>1</v>
      </c>
      <c r="D601" s="23">
        <v>921762373</v>
      </c>
      <c r="E601" s="23">
        <v>921762373</v>
      </c>
      <c r="F601" s="24" t="s">
        <v>1914</v>
      </c>
      <c r="G601" s="23">
        <v>0</v>
      </c>
      <c r="H601" s="23">
        <v>20250301</v>
      </c>
      <c r="I601" s="23" t="str">
        <f>TEXT(DATE(LEFT(H601,4), MID(H601,5,2), RIGHT(H601,2)), "M/d/yyyy")</f>
        <v>3/1/2025</v>
      </c>
      <c r="J601" s="25">
        <v>20250101</v>
      </c>
      <c r="K601" s="23" t="str">
        <f>TEXT(DATE(LEFT(J601,4), MID(J601,5,2), RIGHT(J601,2)), "M/d/yyyy")</f>
        <v>1/1/2025</v>
      </c>
      <c r="L601" s="24" t="s">
        <v>78</v>
      </c>
      <c r="M601" s="26">
        <v>1</v>
      </c>
      <c r="N601" s="25">
        <v>25</v>
      </c>
      <c r="O601" s="27">
        <v>25</v>
      </c>
      <c r="P601" s="22" t="s">
        <v>3831</v>
      </c>
    </row>
    <row r="602" spans="1:16" s="22" customFormat="1" ht="15" customHeight="1" x14ac:dyDescent="0.2">
      <c r="A602" s="22" t="s">
        <v>3785</v>
      </c>
      <c r="B602" s="22">
        <v>19200754</v>
      </c>
      <c r="C602" s="23">
        <v>2</v>
      </c>
      <c r="D602" s="23">
        <v>921595331</v>
      </c>
      <c r="E602" s="23">
        <v>921595331</v>
      </c>
      <c r="F602" s="24" t="s">
        <v>1877</v>
      </c>
      <c r="G602" s="23">
        <v>0</v>
      </c>
      <c r="H602" s="23">
        <v>20250301</v>
      </c>
      <c r="I602" s="23" t="str">
        <f>TEXT(DATE(LEFT(H602,4), MID(H602,5,2), RIGHT(H602,2)), "M/d/yyyy")</f>
        <v>3/1/2025</v>
      </c>
      <c r="J602" s="25">
        <v>20250101</v>
      </c>
      <c r="K602" s="23" t="str">
        <f>TEXT(DATE(LEFT(J602,4), MID(J602,5,2), RIGHT(J602,2)), "M/d/yyyy")</f>
        <v>1/1/2025</v>
      </c>
      <c r="L602" s="24" t="s">
        <v>78</v>
      </c>
      <c r="M602" s="26">
        <v>1</v>
      </c>
      <c r="N602" s="25">
        <v>25</v>
      </c>
      <c r="O602" s="27">
        <v>50</v>
      </c>
      <c r="P602" s="22" t="s">
        <v>3831</v>
      </c>
    </row>
    <row r="603" spans="1:16" s="22" customFormat="1" ht="15" customHeight="1" x14ac:dyDescent="0.2">
      <c r="A603" s="22" t="s">
        <v>3787</v>
      </c>
      <c r="B603" s="22">
        <v>16633294</v>
      </c>
      <c r="C603" s="24" t="s">
        <v>588</v>
      </c>
      <c r="D603" s="23">
        <v>890592904</v>
      </c>
      <c r="E603" s="23">
        <v>890592904</v>
      </c>
      <c r="F603" s="24" t="s">
        <v>2060</v>
      </c>
      <c r="G603" s="23">
        <v>0</v>
      </c>
      <c r="H603" s="23">
        <v>20250201</v>
      </c>
      <c r="I603" s="23" t="str">
        <f>TEXT(DATE(LEFT(H603,4), MID(H603,5,2), RIGHT(H603,2)), "M/d/yyyy")</f>
        <v>2/1/2025</v>
      </c>
      <c r="J603" s="25">
        <v>20230101</v>
      </c>
      <c r="K603" s="23" t="str">
        <f>TEXT(DATE(LEFT(J603,4), MID(J603,5,2), RIGHT(J603,2)), "M/d/yyyy")</f>
        <v>1/1/2023</v>
      </c>
      <c r="L603" s="24" t="s">
        <v>78</v>
      </c>
      <c r="M603" s="26">
        <v>1</v>
      </c>
      <c r="N603" s="25">
        <v>20</v>
      </c>
      <c r="O603" s="27">
        <v>-20</v>
      </c>
      <c r="P603" s="22" t="s">
        <v>3831</v>
      </c>
    </row>
    <row r="604" spans="1:16" s="22" customFormat="1" ht="15" customHeight="1" x14ac:dyDescent="0.2">
      <c r="A604" s="22" t="s">
        <v>3787</v>
      </c>
      <c r="B604" s="22">
        <v>16633294</v>
      </c>
      <c r="C604" s="23">
        <v>1</v>
      </c>
      <c r="D604" s="23">
        <v>921033174</v>
      </c>
      <c r="E604" s="23">
        <v>921033174</v>
      </c>
      <c r="F604" s="24" t="s">
        <v>2068</v>
      </c>
      <c r="G604" s="23">
        <v>0</v>
      </c>
      <c r="H604" s="23">
        <v>20250301</v>
      </c>
      <c r="I604" s="23" t="str">
        <f>TEXT(DATE(LEFT(H604,4), MID(H604,5,2), RIGHT(H604,2)), "M/d/yyyy")</f>
        <v>3/1/2025</v>
      </c>
      <c r="J604" s="25">
        <v>20170101</v>
      </c>
      <c r="K604" s="23" t="str">
        <f>TEXT(DATE(LEFT(J604,4), MID(J604,5,2), RIGHT(J604,2)), "M/d/yyyy")</f>
        <v>1/1/2017</v>
      </c>
      <c r="L604" s="24" t="s">
        <v>78</v>
      </c>
      <c r="M604" s="26">
        <v>1</v>
      </c>
      <c r="N604" s="25">
        <v>20</v>
      </c>
      <c r="O604" s="27">
        <v>20</v>
      </c>
      <c r="P604" s="22" t="s">
        <v>3831</v>
      </c>
    </row>
    <row r="605" spans="1:16" s="22" customFormat="1" ht="15" customHeight="1" x14ac:dyDescent="0.2">
      <c r="A605" s="22" t="s">
        <v>3787</v>
      </c>
      <c r="B605" s="22">
        <v>16633294</v>
      </c>
      <c r="C605" s="23">
        <v>1</v>
      </c>
      <c r="D605" s="23">
        <v>921512482</v>
      </c>
      <c r="E605" s="23">
        <v>921512482</v>
      </c>
      <c r="F605" s="24" t="s">
        <v>2088</v>
      </c>
      <c r="G605" s="23">
        <v>0</v>
      </c>
      <c r="H605" s="23">
        <v>20250301</v>
      </c>
      <c r="I605" s="23" t="str">
        <f>TEXT(DATE(LEFT(H605,4), MID(H605,5,2), RIGHT(H605,2)), "M/d/yyyy")</f>
        <v>3/1/2025</v>
      </c>
      <c r="J605" s="25">
        <v>20230901</v>
      </c>
      <c r="K605" s="23" t="str">
        <f>TEXT(DATE(LEFT(J605,4), MID(J605,5,2), RIGHT(J605,2)), "M/d/yyyy")</f>
        <v>9/1/2023</v>
      </c>
      <c r="L605" s="24" t="s">
        <v>78</v>
      </c>
      <c r="M605" s="26">
        <v>1</v>
      </c>
      <c r="N605" s="25">
        <v>20</v>
      </c>
      <c r="O605" s="27">
        <v>20</v>
      </c>
      <c r="P605" s="22" t="s">
        <v>3831</v>
      </c>
    </row>
    <row r="606" spans="1:16" s="22" customFormat="1" ht="15" customHeight="1" x14ac:dyDescent="0.2">
      <c r="A606" s="22" t="s">
        <v>3787</v>
      </c>
      <c r="B606" s="22">
        <v>16633294</v>
      </c>
      <c r="C606" s="23">
        <v>1</v>
      </c>
      <c r="D606" s="23">
        <v>921538664</v>
      </c>
      <c r="E606" s="23">
        <v>921538664</v>
      </c>
      <c r="F606" s="24" t="s">
        <v>2096</v>
      </c>
      <c r="G606" s="23">
        <v>0</v>
      </c>
      <c r="H606" s="23">
        <v>20250301</v>
      </c>
      <c r="I606" s="23" t="str">
        <f>TEXT(DATE(LEFT(H606,4), MID(H606,5,2), RIGHT(H606,2)), "M/d/yyyy")</f>
        <v>3/1/2025</v>
      </c>
      <c r="J606" s="25">
        <v>20210101</v>
      </c>
      <c r="K606" s="23" t="str">
        <f>TEXT(DATE(LEFT(J606,4), MID(J606,5,2), RIGHT(J606,2)), "M/d/yyyy")</f>
        <v>1/1/2021</v>
      </c>
      <c r="L606" s="24" t="s">
        <v>78</v>
      </c>
      <c r="M606" s="26">
        <v>1</v>
      </c>
      <c r="N606" s="25">
        <v>20</v>
      </c>
      <c r="O606" s="27">
        <v>20</v>
      </c>
      <c r="P606" s="22" t="s">
        <v>3831</v>
      </c>
    </row>
    <row r="607" spans="1:16" s="22" customFormat="1" ht="15" customHeight="1" x14ac:dyDescent="0.2">
      <c r="A607" s="22" t="s">
        <v>3787</v>
      </c>
      <c r="B607" s="22">
        <v>16633294</v>
      </c>
      <c r="C607" s="23">
        <v>1</v>
      </c>
      <c r="D607" s="23">
        <v>921571172</v>
      </c>
      <c r="E607" s="23">
        <v>921571172</v>
      </c>
      <c r="F607" s="24" t="s">
        <v>2104</v>
      </c>
      <c r="G607" s="23">
        <v>0</v>
      </c>
      <c r="H607" s="23">
        <v>20250301</v>
      </c>
      <c r="I607" s="23" t="str">
        <f>TEXT(DATE(LEFT(H607,4), MID(H607,5,2), RIGHT(H607,2)), "M/d/yyyy")</f>
        <v>3/1/2025</v>
      </c>
      <c r="J607" s="25">
        <v>20210601</v>
      </c>
      <c r="K607" s="23" t="str">
        <f>TEXT(DATE(LEFT(J607,4), MID(J607,5,2), RIGHT(J607,2)), "M/d/yyyy")</f>
        <v>6/1/2021</v>
      </c>
      <c r="L607" s="24" t="s">
        <v>78</v>
      </c>
      <c r="M607" s="26">
        <v>1</v>
      </c>
      <c r="N607" s="25">
        <v>20</v>
      </c>
      <c r="O607" s="27">
        <v>20</v>
      </c>
      <c r="P607" s="22" t="s">
        <v>3831</v>
      </c>
    </row>
    <row r="608" spans="1:16" s="22" customFormat="1" ht="15" customHeight="1" x14ac:dyDescent="0.2">
      <c r="A608" s="22" t="s">
        <v>3787</v>
      </c>
      <c r="B608" s="22">
        <v>16633294</v>
      </c>
      <c r="C608" s="23">
        <v>1</v>
      </c>
      <c r="D608" s="23">
        <v>921631997</v>
      </c>
      <c r="E608" s="23">
        <v>921631997</v>
      </c>
      <c r="F608" s="24" t="s">
        <v>2114</v>
      </c>
      <c r="G608" s="23">
        <v>0</v>
      </c>
      <c r="H608" s="23">
        <v>20250301</v>
      </c>
      <c r="I608" s="23" t="str">
        <f>TEXT(DATE(LEFT(H608,4), MID(H608,5,2), RIGHT(H608,2)), "M/d/yyyy")</f>
        <v>3/1/2025</v>
      </c>
      <c r="J608" s="25">
        <v>20230101</v>
      </c>
      <c r="K608" s="23" t="str">
        <f>TEXT(DATE(LEFT(J608,4), MID(J608,5,2), RIGHT(J608,2)), "M/d/yyyy")</f>
        <v>1/1/2023</v>
      </c>
      <c r="L608" s="24" t="s">
        <v>78</v>
      </c>
      <c r="M608" s="26">
        <v>1</v>
      </c>
      <c r="N608" s="25">
        <v>20</v>
      </c>
      <c r="O608" s="27">
        <v>20</v>
      </c>
      <c r="P608" s="22" t="s">
        <v>3831</v>
      </c>
    </row>
    <row r="609" spans="1:16" s="22" customFormat="1" ht="15" customHeight="1" x14ac:dyDescent="0.2">
      <c r="A609" s="22" t="s">
        <v>3787</v>
      </c>
      <c r="B609" s="22">
        <v>16633294</v>
      </c>
      <c r="C609" s="23">
        <v>1</v>
      </c>
      <c r="D609" s="23">
        <v>921644463</v>
      </c>
      <c r="E609" s="23">
        <v>921644463</v>
      </c>
      <c r="F609" s="24" t="s">
        <v>2118</v>
      </c>
      <c r="G609" s="23">
        <v>0</v>
      </c>
      <c r="H609" s="23">
        <v>20250301</v>
      </c>
      <c r="I609" s="23" t="str">
        <f>TEXT(DATE(LEFT(H609,4), MID(H609,5,2), RIGHT(H609,2)), "M/d/yyyy")</f>
        <v>3/1/2025</v>
      </c>
      <c r="J609" s="25">
        <v>20230101</v>
      </c>
      <c r="K609" s="23" t="str">
        <f>TEXT(DATE(LEFT(J609,4), MID(J609,5,2), RIGHT(J609,2)), "M/d/yyyy")</f>
        <v>1/1/2023</v>
      </c>
      <c r="L609" s="24" t="s">
        <v>78</v>
      </c>
      <c r="M609" s="26">
        <v>1</v>
      </c>
      <c r="N609" s="25">
        <v>20</v>
      </c>
      <c r="O609" s="27">
        <v>20</v>
      </c>
      <c r="P609" s="22" t="s">
        <v>3831</v>
      </c>
    </row>
    <row r="610" spans="1:16" s="22" customFormat="1" ht="15" customHeight="1" x14ac:dyDescent="0.2">
      <c r="A610" s="22" t="s">
        <v>3787</v>
      </c>
      <c r="B610" s="22">
        <v>16633294</v>
      </c>
      <c r="C610" s="23">
        <v>1</v>
      </c>
      <c r="D610" s="23">
        <v>921653408</v>
      </c>
      <c r="E610" s="23">
        <v>921653408</v>
      </c>
      <c r="F610" s="24" t="s">
        <v>2122</v>
      </c>
      <c r="G610" s="23">
        <v>0</v>
      </c>
      <c r="H610" s="23">
        <v>20250301</v>
      </c>
      <c r="I610" s="23" t="str">
        <f>TEXT(DATE(LEFT(H610,4), MID(H610,5,2), RIGHT(H610,2)), "M/d/yyyy")</f>
        <v>3/1/2025</v>
      </c>
      <c r="J610" s="25">
        <v>20230301</v>
      </c>
      <c r="K610" s="23" t="str">
        <f>TEXT(DATE(LEFT(J610,4), MID(J610,5,2), RIGHT(J610,2)), "M/d/yyyy")</f>
        <v>3/1/2023</v>
      </c>
      <c r="L610" s="24" t="s">
        <v>78</v>
      </c>
      <c r="M610" s="26">
        <v>1</v>
      </c>
      <c r="N610" s="25">
        <v>20</v>
      </c>
      <c r="O610" s="27">
        <v>20</v>
      </c>
      <c r="P610" s="22" t="s">
        <v>3831</v>
      </c>
    </row>
    <row r="611" spans="1:16" s="22" customFormat="1" ht="15" customHeight="1" x14ac:dyDescent="0.2">
      <c r="A611" s="22" t="s">
        <v>3787</v>
      </c>
      <c r="B611" s="22">
        <v>16633294</v>
      </c>
      <c r="C611" s="23">
        <v>1</v>
      </c>
      <c r="D611" s="23">
        <v>921679779</v>
      </c>
      <c r="E611" s="23">
        <v>921679779</v>
      </c>
      <c r="F611" s="24" t="s">
        <v>2130</v>
      </c>
      <c r="G611" s="23">
        <v>0</v>
      </c>
      <c r="H611" s="23">
        <v>20250301</v>
      </c>
      <c r="I611" s="23" t="str">
        <f>TEXT(DATE(LEFT(H611,4), MID(H611,5,2), RIGHT(H611,2)), "M/d/yyyy")</f>
        <v>3/1/2025</v>
      </c>
      <c r="J611" s="25">
        <v>20240101</v>
      </c>
      <c r="K611" s="23" t="str">
        <f>TEXT(DATE(LEFT(J611,4), MID(J611,5,2), RIGHT(J611,2)), "M/d/yyyy")</f>
        <v>1/1/2024</v>
      </c>
      <c r="L611" s="24" t="s">
        <v>78</v>
      </c>
      <c r="M611" s="26">
        <v>1</v>
      </c>
      <c r="N611" s="25">
        <v>20</v>
      </c>
      <c r="O611" s="27">
        <v>20</v>
      </c>
      <c r="P611" s="22" t="s">
        <v>3831</v>
      </c>
    </row>
    <row r="612" spans="1:16" s="22" customFormat="1" ht="15" customHeight="1" x14ac:dyDescent="0.2">
      <c r="A612" s="22" t="s">
        <v>3787</v>
      </c>
      <c r="B612" s="22">
        <v>16633294</v>
      </c>
      <c r="C612" s="23">
        <v>1</v>
      </c>
      <c r="D612" s="23">
        <v>921737365</v>
      </c>
      <c r="E612" s="23">
        <v>921737365</v>
      </c>
      <c r="F612" s="24" t="s">
        <v>2138</v>
      </c>
      <c r="G612" s="23">
        <v>0</v>
      </c>
      <c r="H612" s="23">
        <v>20250301</v>
      </c>
      <c r="I612" s="23" t="str">
        <f>TEXT(DATE(LEFT(H612,4), MID(H612,5,2), RIGHT(H612,2)), "M/d/yyyy")</f>
        <v>3/1/2025</v>
      </c>
      <c r="J612" s="25">
        <v>20240901</v>
      </c>
      <c r="K612" s="23" t="str">
        <f>TEXT(DATE(LEFT(J612,4), MID(J612,5,2), RIGHT(J612,2)), "M/d/yyyy")</f>
        <v>9/1/2024</v>
      </c>
      <c r="L612" s="24" t="s">
        <v>78</v>
      </c>
      <c r="M612" s="26">
        <v>1</v>
      </c>
      <c r="N612" s="25">
        <v>25</v>
      </c>
      <c r="O612" s="27">
        <v>25</v>
      </c>
      <c r="P612" s="22" t="s">
        <v>3831</v>
      </c>
    </row>
    <row r="613" spans="1:16" s="22" customFormat="1" ht="15" customHeight="1" x14ac:dyDescent="0.2">
      <c r="A613" s="22" t="s">
        <v>3787</v>
      </c>
      <c r="B613" s="22">
        <v>16633294</v>
      </c>
      <c r="C613" s="23">
        <v>1</v>
      </c>
      <c r="D613" s="23">
        <v>921737764</v>
      </c>
      <c r="E613" s="23">
        <v>921737764</v>
      </c>
      <c r="F613" s="24" t="s">
        <v>2140</v>
      </c>
      <c r="G613" s="23">
        <v>0</v>
      </c>
      <c r="H613" s="23">
        <v>20250301</v>
      </c>
      <c r="I613" s="23" t="str">
        <f>TEXT(DATE(LEFT(H613,4), MID(H613,5,2), RIGHT(H613,2)), "M/d/yyyy")</f>
        <v>3/1/2025</v>
      </c>
      <c r="J613" s="25">
        <v>20240901</v>
      </c>
      <c r="K613" s="23" t="str">
        <f>TEXT(DATE(LEFT(J613,4), MID(J613,5,2), RIGHT(J613,2)), "M/d/yyyy")</f>
        <v>9/1/2024</v>
      </c>
      <c r="L613" s="24" t="s">
        <v>78</v>
      </c>
      <c r="M613" s="26">
        <v>1</v>
      </c>
      <c r="N613" s="25">
        <v>25</v>
      </c>
      <c r="O613" s="27">
        <v>25</v>
      </c>
      <c r="P613" s="22" t="s">
        <v>3831</v>
      </c>
    </row>
    <row r="614" spans="1:16" s="22" customFormat="1" ht="15" customHeight="1" x14ac:dyDescent="0.2">
      <c r="A614" s="22" t="s">
        <v>3787</v>
      </c>
      <c r="B614" s="22">
        <v>16633294</v>
      </c>
      <c r="C614" s="23">
        <v>2</v>
      </c>
      <c r="D614" s="23">
        <v>921512523</v>
      </c>
      <c r="E614" s="23">
        <v>921512523</v>
      </c>
      <c r="F614" s="24" t="s">
        <v>2090</v>
      </c>
      <c r="G614" s="23">
        <v>0</v>
      </c>
      <c r="H614" s="23">
        <v>20250301</v>
      </c>
      <c r="I614" s="23" t="str">
        <f>TEXT(DATE(LEFT(H614,4), MID(H614,5,2), RIGHT(H614,2)), "M/d/yyyy")</f>
        <v>3/1/2025</v>
      </c>
      <c r="J614" s="25">
        <v>20200201</v>
      </c>
      <c r="K614" s="23" t="str">
        <f>TEXT(DATE(LEFT(J614,4), MID(J614,5,2), RIGHT(J614,2)), "M/d/yyyy")</f>
        <v>2/1/2020</v>
      </c>
      <c r="L614" s="24" t="s">
        <v>78</v>
      </c>
      <c r="M614" s="26">
        <v>1</v>
      </c>
      <c r="N614" s="25">
        <v>20</v>
      </c>
      <c r="O614" s="27">
        <v>40</v>
      </c>
      <c r="P614" s="22" t="s">
        <v>3831</v>
      </c>
    </row>
    <row r="615" spans="1:16" s="22" customFormat="1" ht="15" customHeight="1" x14ac:dyDescent="0.2">
      <c r="A615" s="22" t="s">
        <v>3787</v>
      </c>
      <c r="B615" s="22">
        <v>16633294</v>
      </c>
      <c r="C615" s="23">
        <v>3</v>
      </c>
      <c r="D615" s="23">
        <v>921052920</v>
      </c>
      <c r="E615" s="23">
        <v>921052920</v>
      </c>
      <c r="F615" s="24" t="s">
        <v>2070</v>
      </c>
      <c r="G615" s="23">
        <v>0</v>
      </c>
      <c r="H615" s="23">
        <v>20250201</v>
      </c>
      <c r="I615" s="23" t="str">
        <f>TEXT(DATE(LEFT(H615,4), MID(H615,5,2), RIGHT(H615,2)), "M/d/yyyy")</f>
        <v>2/1/2025</v>
      </c>
      <c r="J615" s="25">
        <v>20240101</v>
      </c>
      <c r="K615" s="23" t="str">
        <f>TEXT(DATE(LEFT(J615,4), MID(J615,5,2), RIGHT(J615,2)), "M/d/yyyy")</f>
        <v>1/1/2024</v>
      </c>
      <c r="L615" s="24" t="s">
        <v>78</v>
      </c>
      <c r="M615" s="26">
        <v>1</v>
      </c>
      <c r="N615" s="25">
        <v>20</v>
      </c>
      <c r="O615" s="27">
        <v>60</v>
      </c>
      <c r="P615" s="22" t="s">
        <v>3831</v>
      </c>
    </row>
    <row r="616" spans="1:16" s="22" customFormat="1" ht="15" customHeight="1" x14ac:dyDescent="0.2">
      <c r="A616" s="22" t="s">
        <v>3809</v>
      </c>
      <c r="B616" s="22">
        <v>19615078</v>
      </c>
      <c r="C616" s="23">
        <v>1</v>
      </c>
      <c r="D616" s="23">
        <v>921633015</v>
      </c>
      <c r="E616" s="23">
        <v>921633015</v>
      </c>
      <c r="F616" s="24" t="s">
        <v>3356</v>
      </c>
      <c r="G616" s="23">
        <v>0</v>
      </c>
      <c r="H616" s="23">
        <v>20250301</v>
      </c>
      <c r="I616" s="23" t="str">
        <f>TEXT(DATE(LEFT(H616,4), MID(H616,5,2), RIGHT(H616,2)), "M/d/yyyy")</f>
        <v>3/1/2025</v>
      </c>
      <c r="J616" s="25">
        <v>20230101</v>
      </c>
      <c r="K616" s="23" t="str">
        <f>TEXT(DATE(LEFT(J616,4), MID(J616,5,2), RIGHT(J616,2)), "M/d/yyyy")</f>
        <v>1/1/2023</v>
      </c>
      <c r="L616" s="24" t="s">
        <v>78</v>
      </c>
      <c r="M616" s="26">
        <v>1</v>
      </c>
      <c r="N616" s="25">
        <v>20</v>
      </c>
      <c r="O616" s="27">
        <v>20</v>
      </c>
      <c r="P616" s="22" t="s">
        <v>3831</v>
      </c>
    </row>
    <row r="617" spans="1:16" s="22" customFormat="1" ht="15" customHeight="1" x14ac:dyDescent="0.2">
      <c r="A617" s="22" t="s">
        <v>3775</v>
      </c>
      <c r="B617" s="22">
        <v>8977234</v>
      </c>
      <c r="C617" s="23">
        <v>1</v>
      </c>
      <c r="D617" s="23">
        <v>920730191</v>
      </c>
      <c r="E617" s="23">
        <v>920730191</v>
      </c>
      <c r="F617" s="24" t="s">
        <v>407</v>
      </c>
      <c r="G617" s="23">
        <v>0</v>
      </c>
      <c r="H617" s="23">
        <v>20250301</v>
      </c>
      <c r="I617" s="23" t="str">
        <f>TEXT(DATE(LEFT(H617,4), MID(H617,5,2), RIGHT(H617,2)), "M/d/yyyy")</f>
        <v>3/1/2025</v>
      </c>
      <c r="J617" s="25">
        <v>20150101</v>
      </c>
      <c r="K617" s="23" t="str">
        <f>TEXT(DATE(LEFT(J617,4), MID(J617,5,2), RIGHT(J617,2)), "M/d/yyyy")</f>
        <v>1/1/2015</v>
      </c>
      <c r="L617" s="24" t="s">
        <v>78</v>
      </c>
      <c r="M617" s="26">
        <v>1</v>
      </c>
      <c r="N617" s="25">
        <v>20</v>
      </c>
      <c r="O617" s="27">
        <v>20</v>
      </c>
      <c r="P617" s="22" t="s">
        <v>3831</v>
      </c>
    </row>
    <row r="618" spans="1:16" s="22" customFormat="1" ht="15" customHeight="1" x14ac:dyDescent="0.2">
      <c r="A618" s="22" t="s">
        <v>3775</v>
      </c>
      <c r="B618" s="22">
        <v>8977234</v>
      </c>
      <c r="C618" s="23">
        <v>1</v>
      </c>
      <c r="D618" s="23">
        <v>920955115</v>
      </c>
      <c r="E618" s="23">
        <v>920955115</v>
      </c>
      <c r="F618" s="24" t="s">
        <v>420</v>
      </c>
      <c r="G618" s="23">
        <v>0</v>
      </c>
      <c r="H618" s="23">
        <v>20250301</v>
      </c>
      <c r="I618" s="23" t="str">
        <f>TEXT(DATE(LEFT(H618,4), MID(H618,5,2), RIGHT(H618,2)), "M/d/yyyy")</f>
        <v>3/1/2025</v>
      </c>
      <c r="J618" s="25">
        <v>20141001</v>
      </c>
      <c r="K618" s="23" t="str">
        <f>TEXT(DATE(LEFT(J618,4), MID(J618,5,2), RIGHT(J618,2)), "M/d/yyyy")</f>
        <v>10/1/2014</v>
      </c>
      <c r="L618" s="24" t="s">
        <v>78</v>
      </c>
      <c r="M618" s="26">
        <v>1</v>
      </c>
      <c r="N618" s="25">
        <v>20</v>
      </c>
      <c r="O618" s="27">
        <v>20</v>
      </c>
      <c r="P618" s="22" t="s">
        <v>3831</v>
      </c>
    </row>
    <row r="619" spans="1:16" s="22" customFormat="1" ht="15" customHeight="1" x14ac:dyDescent="0.2">
      <c r="A619" s="22" t="s">
        <v>3775</v>
      </c>
      <c r="B619" s="22">
        <v>8977234</v>
      </c>
      <c r="C619" s="23">
        <v>1</v>
      </c>
      <c r="D619" s="23">
        <v>920981974</v>
      </c>
      <c r="E619" s="23">
        <v>920981974</v>
      </c>
      <c r="F619" s="24" t="s">
        <v>432</v>
      </c>
      <c r="G619" s="23">
        <v>0</v>
      </c>
      <c r="H619" s="23">
        <v>20250301</v>
      </c>
      <c r="I619" s="23" t="str">
        <f>TEXT(DATE(LEFT(H619,4), MID(H619,5,2), RIGHT(H619,2)), "M/d/yyyy")</f>
        <v>3/1/2025</v>
      </c>
      <c r="J619" s="25">
        <v>20150101</v>
      </c>
      <c r="K619" s="23" t="str">
        <f>TEXT(DATE(LEFT(J619,4), MID(J619,5,2), RIGHT(J619,2)), "M/d/yyyy")</f>
        <v>1/1/2015</v>
      </c>
      <c r="L619" s="24" t="s">
        <v>78</v>
      </c>
      <c r="M619" s="26">
        <v>1</v>
      </c>
      <c r="N619" s="25">
        <v>20</v>
      </c>
      <c r="O619" s="27">
        <v>20</v>
      </c>
      <c r="P619" s="22" t="s">
        <v>3831</v>
      </c>
    </row>
    <row r="620" spans="1:16" s="22" customFormat="1" ht="15" customHeight="1" x14ac:dyDescent="0.2">
      <c r="A620" s="22" t="s">
        <v>3775</v>
      </c>
      <c r="B620" s="22">
        <v>8977234</v>
      </c>
      <c r="C620" s="23">
        <v>1</v>
      </c>
      <c r="D620" s="23">
        <v>921481823</v>
      </c>
      <c r="E620" s="23">
        <v>921481823</v>
      </c>
      <c r="F620" s="24" t="s">
        <v>440</v>
      </c>
      <c r="G620" s="23">
        <v>0</v>
      </c>
      <c r="H620" s="23">
        <v>20250301</v>
      </c>
      <c r="I620" s="23" t="str">
        <f>TEXT(DATE(LEFT(H620,4), MID(H620,5,2), RIGHT(H620,2)), "M/d/yyyy")</f>
        <v>3/1/2025</v>
      </c>
      <c r="J620" s="25">
        <v>20190901</v>
      </c>
      <c r="K620" s="23" t="str">
        <f>TEXT(DATE(LEFT(J620,4), MID(J620,5,2), RIGHT(J620,2)), "M/d/yyyy")</f>
        <v>9/1/2019</v>
      </c>
      <c r="L620" s="24" t="s">
        <v>78</v>
      </c>
      <c r="M620" s="26">
        <v>1</v>
      </c>
      <c r="N620" s="25">
        <v>20</v>
      </c>
      <c r="O620" s="27">
        <v>20</v>
      </c>
      <c r="P620" s="22" t="s">
        <v>3831</v>
      </c>
    </row>
    <row r="621" spans="1:16" s="22" customFormat="1" ht="15" customHeight="1" x14ac:dyDescent="0.2">
      <c r="A621" s="22" t="s">
        <v>3775</v>
      </c>
      <c r="B621" s="22">
        <v>8977234</v>
      </c>
      <c r="C621" s="23">
        <v>1</v>
      </c>
      <c r="D621" s="23">
        <v>921525444</v>
      </c>
      <c r="E621" s="23">
        <v>921525444</v>
      </c>
      <c r="F621" s="24" t="s">
        <v>449</v>
      </c>
      <c r="G621" s="23">
        <v>0</v>
      </c>
      <c r="H621" s="23">
        <v>20250301</v>
      </c>
      <c r="I621" s="23" t="str">
        <f>TEXT(DATE(LEFT(H621,4), MID(H621,5,2), RIGHT(H621,2)), "M/d/yyyy")</f>
        <v>3/1/2025</v>
      </c>
      <c r="J621" s="25">
        <v>20200701</v>
      </c>
      <c r="K621" s="23" t="str">
        <f>TEXT(DATE(LEFT(J621,4), MID(J621,5,2), RIGHT(J621,2)), "M/d/yyyy")</f>
        <v>7/1/2020</v>
      </c>
      <c r="L621" s="24" t="s">
        <v>78</v>
      </c>
      <c r="M621" s="26">
        <v>1</v>
      </c>
      <c r="N621" s="25">
        <v>20</v>
      </c>
      <c r="O621" s="27">
        <v>20</v>
      </c>
      <c r="P621" s="22" t="s">
        <v>3831</v>
      </c>
    </row>
    <row r="622" spans="1:16" s="22" customFormat="1" ht="15" customHeight="1" x14ac:dyDescent="0.2">
      <c r="A622" s="22" t="s">
        <v>3775</v>
      </c>
      <c r="B622" s="22">
        <v>8977234</v>
      </c>
      <c r="C622" s="23">
        <v>1</v>
      </c>
      <c r="D622" s="23">
        <v>921571977</v>
      </c>
      <c r="E622" s="23">
        <v>921571977</v>
      </c>
      <c r="F622" s="24" t="s">
        <v>461</v>
      </c>
      <c r="G622" s="23">
        <v>0</v>
      </c>
      <c r="H622" s="23">
        <v>20250301</v>
      </c>
      <c r="I622" s="23" t="str">
        <f>TEXT(DATE(LEFT(H622,4), MID(H622,5,2), RIGHT(H622,2)), "M/d/yyyy")</f>
        <v>3/1/2025</v>
      </c>
      <c r="J622" s="25">
        <v>20210701</v>
      </c>
      <c r="K622" s="23" t="str">
        <f>TEXT(DATE(LEFT(J622,4), MID(J622,5,2), RIGHT(J622,2)), "M/d/yyyy")</f>
        <v>7/1/2021</v>
      </c>
      <c r="L622" s="24" t="s">
        <v>78</v>
      </c>
      <c r="M622" s="26">
        <v>1</v>
      </c>
      <c r="N622" s="25">
        <v>20</v>
      </c>
      <c r="O622" s="27">
        <v>20</v>
      </c>
      <c r="P622" s="22" t="s">
        <v>3831</v>
      </c>
    </row>
    <row r="623" spans="1:16" s="22" customFormat="1" ht="15" customHeight="1" x14ac:dyDescent="0.2">
      <c r="A623" s="22" t="s">
        <v>3775</v>
      </c>
      <c r="B623" s="22">
        <v>8977234</v>
      </c>
      <c r="C623" s="23">
        <v>1</v>
      </c>
      <c r="D623" s="23">
        <v>921624310</v>
      </c>
      <c r="E623" s="23">
        <v>921624310</v>
      </c>
      <c r="F623" s="24" t="s">
        <v>468</v>
      </c>
      <c r="G623" s="23">
        <v>0</v>
      </c>
      <c r="H623" s="23">
        <v>20250301</v>
      </c>
      <c r="I623" s="23" t="str">
        <f>TEXT(DATE(LEFT(H623,4), MID(H623,5,2), RIGHT(H623,2)), "M/d/yyyy")</f>
        <v>3/1/2025</v>
      </c>
      <c r="J623" s="25">
        <v>20221101</v>
      </c>
      <c r="K623" s="23" t="str">
        <f>TEXT(DATE(LEFT(J623,4), MID(J623,5,2), RIGHT(J623,2)), "M/d/yyyy")</f>
        <v>11/1/2022</v>
      </c>
      <c r="L623" s="24" t="s">
        <v>78</v>
      </c>
      <c r="M623" s="26">
        <v>1</v>
      </c>
      <c r="N623" s="25">
        <v>20</v>
      </c>
      <c r="O623" s="27">
        <v>20</v>
      </c>
      <c r="P623" s="22" t="s">
        <v>3831</v>
      </c>
    </row>
    <row r="624" spans="1:16" s="22" customFormat="1" ht="15" customHeight="1" x14ac:dyDescent="0.2">
      <c r="A624" s="22" t="s">
        <v>3775</v>
      </c>
      <c r="B624" s="22">
        <v>8977234</v>
      </c>
      <c r="C624" s="23">
        <v>1</v>
      </c>
      <c r="D624" s="23">
        <v>921663446</v>
      </c>
      <c r="E624" s="23">
        <v>921663446</v>
      </c>
      <c r="F624" s="24" t="s">
        <v>476</v>
      </c>
      <c r="G624" s="23">
        <v>0</v>
      </c>
      <c r="H624" s="23">
        <v>20250301</v>
      </c>
      <c r="I624" s="23" t="str">
        <f>TEXT(DATE(LEFT(H624,4), MID(H624,5,2), RIGHT(H624,2)), "M/d/yyyy")</f>
        <v>3/1/2025</v>
      </c>
      <c r="J624" s="25">
        <v>20230701</v>
      </c>
      <c r="K624" s="23" t="str">
        <f>TEXT(DATE(LEFT(J624,4), MID(J624,5,2), RIGHT(J624,2)), "M/d/yyyy")</f>
        <v>7/1/2023</v>
      </c>
      <c r="L624" s="24" t="s">
        <v>78</v>
      </c>
      <c r="M624" s="26">
        <v>1</v>
      </c>
      <c r="N624" s="25">
        <v>20</v>
      </c>
      <c r="O624" s="27">
        <v>20</v>
      </c>
      <c r="P624" s="22" t="s">
        <v>3831</v>
      </c>
    </row>
    <row r="625" spans="1:16" s="22" customFormat="1" ht="15" customHeight="1" x14ac:dyDescent="0.2">
      <c r="A625" s="22" t="s">
        <v>3775</v>
      </c>
      <c r="B625" s="22">
        <v>8977234</v>
      </c>
      <c r="C625" s="23">
        <v>1</v>
      </c>
      <c r="D625" s="23">
        <v>921688598</v>
      </c>
      <c r="E625" s="23">
        <v>921688598</v>
      </c>
      <c r="F625" s="24" t="s">
        <v>482</v>
      </c>
      <c r="G625" s="23">
        <v>0</v>
      </c>
      <c r="H625" s="23">
        <v>20250301</v>
      </c>
      <c r="I625" s="23" t="str">
        <f>TEXT(DATE(LEFT(H625,4), MID(H625,5,2), RIGHT(H625,2)), "M/d/yyyy")</f>
        <v>3/1/2025</v>
      </c>
      <c r="J625" s="25">
        <v>20240101</v>
      </c>
      <c r="K625" s="23" t="str">
        <f>TEXT(DATE(LEFT(J625,4), MID(J625,5,2), RIGHT(J625,2)), "M/d/yyyy")</f>
        <v>1/1/2024</v>
      </c>
      <c r="L625" s="24" t="s">
        <v>78</v>
      </c>
      <c r="M625" s="26">
        <v>1</v>
      </c>
      <c r="N625" s="25">
        <v>20</v>
      </c>
      <c r="O625" s="27">
        <v>20</v>
      </c>
      <c r="P625" s="22" t="s">
        <v>3831</v>
      </c>
    </row>
    <row r="626" spans="1:16" s="22" customFormat="1" ht="15" customHeight="1" x14ac:dyDescent="0.2">
      <c r="A626" s="22" t="s">
        <v>3775</v>
      </c>
      <c r="B626" s="22">
        <v>8977234</v>
      </c>
      <c r="C626" s="23">
        <v>1</v>
      </c>
      <c r="D626" s="23">
        <v>921715827</v>
      </c>
      <c r="E626" s="23">
        <v>921715827</v>
      </c>
      <c r="F626" s="24" t="s">
        <v>488</v>
      </c>
      <c r="G626" s="23">
        <v>0</v>
      </c>
      <c r="H626" s="23">
        <v>20250301</v>
      </c>
      <c r="I626" s="23" t="str">
        <f>TEXT(DATE(LEFT(H626,4), MID(H626,5,2), RIGHT(H626,2)), "M/d/yyyy")</f>
        <v>3/1/2025</v>
      </c>
      <c r="J626" s="25">
        <v>20240401</v>
      </c>
      <c r="K626" s="23" t="str">
        <f>TEXT(DATE(LEFT(J626,4), MID(J626,5,2), RIGHT(J626,2)), "M/d/yyyy")</f>
        <v>4/1/2024</v>
      </c>
      <c r="L626" s="24" t="s">
        <v>78</v>
      </c>
      <c r="M626" s="26">
        <v>1</v>
      </c>
      <c r="N626" s="25">
        <v>25</v>
      </c>
      <c r="O626" s="27">
        <v>25</v>
      </c>
      <c r="P626" s="22" t="s">
        <v>3831</v>
      </c>
    </row>
    <row r="627" spans="1:16" s="22" customFormat="1" ht="15" customHeight="1" x14ac:dyDescent="0.2">
      <c r="A627" s="22" t="s">
        <v>3775</v>
      </c>
      <c r="B627" s="22">
        <v>8977234</v>
      </c>
      <c r="C627" s="23">
        <v>1</v>
      </c>
      <c r="D627" s="23">
        <v>921729226</v>
      </c>
      <c r="E627" s="23">
        <v>921729226</v>
      </c>
      <c r="F627" s="24" t="s">
        <v>490</v>
      </c>
      <c r="G627" s="23">
        <v>0</v>
      </c>
      <c r="H627" s="23">
        <v>20250301</v>
      </c>
      <c r="I627" s="23" t="str">
        <f>TEXT(DATE(LEFT(H627,4), MID(H627,5,2), RIGHT(H627,2)), "M/d/yyyy")</f>
        <v>3/1/2025</v>
      </c>
      <c r="J627" s="25">
        <v>20240701</v>
      </c>
      <c r="K627" s="23" t="str">
        <f>TEXT(DATE(LEFT(J627,4), MID(J627,5,2), RIGHT(J627,2)), "M/d/yyyy")</f>
        <v>7/1/2024</v>
      </c>
      <c r="L627" s="24" t="s">
        <v>78</v>
      </c>
      <c r="M627" s="26">
        <v>1</v>
      </c>
      <c r="N627" s="25">
        <v>25</v>
      </c>
      <c r="O627" s="27">
        <v>25</v>
      </c>
      <c r="P627" s="22" t="s">
        <v>3831</v>
      </c>
    </row>
    <row r="628" spans="1:16" s="22" customFormat="1" ht="15" customHeight="1" x14ac:dyDescent="0.2">
      <c r="A628" s="22" t="s">
        <v>3775</v>
      </c>
      <c r="B628" s="22">
        <v>8977234</v>
      </c>
      <c r="C628" s="23">
        <v>1</v>
      </c>
      <c r="D628" s="23">
        <v>921741288</v>
      </c>
      <c r="E628" s="23">
        <v>921741288</v>
      </c>
      <c r="F628" s="24" t="s">
        <v>492</v>
      </c>
      <c r="G628" s="23">
        <v>0</v>
      </c>
      <c r="H628" s="23">
        <v>20250301</v>
      </c>
      <c r="I628" s="23" t="str">
        <f>TEXT(DATE(LEFT(H628,4), MID(H628,5,2), RIGHT(H628,2)), "M/d/yyyy")</f>
        <v>3/1/2025</v>
      </c>
      <c r="J628" s="25">
        <v>20241101</v>
      </c>
      <c r="K628" s="23" t="str">
        <f>TEXT(DATE(LEFT(J628,4), MID(J628,5,2), RIGHT(J628,2)), "M/d/yyyy")</f>
        <v>11/1/2024</v>
      </c>
      <c r="L628" s="24" t="s">
        <v>78</v>
      </c>
      <c r="M628" s="26">
        <v>1</v>
      </c>
      <c r="N628" s="25">
        <v>25</v>
      </c>
      <c r="O628" s="27">
        <v>25</v>
      </c>
      <c r="P628" s="22" t="s">
        <v>3831</v>
      </c>
    </row>
    <row r="629" spans="1:16" s="22" customFormat="1" ht="15" customHeight="1" x14ac:dyDescent="0.2">
      <c r="A629" s="22" t="s">
        <v>3775</v>
      </c>
      <c r="B629" s="22">
        <v>8977234</v>
      </c>
      <c r="C629" s="23">
        <v>2</v>
      </c>
      <c r="D629" s="23">
        <v>920830927</v>
      </c>
      <c r="E629" s="23">
        <v>920830927</v>
      </c>
      <c r="F629" s="24" t="s">
        <v>413</v>
      </c>
      <c r="G629" s="23">
        <v>0</v>
      </c>
      <c r="H629" s="23">
        <v>20250301</v>
      </c>
      <c r="I629" s="23" t="str">
        <f>TEXT(DATE(LEFT(H629,4), MID(H629,5,2), RIGHT(H629,2)), "M/d/yyyy")</f>
        <v>3/1/2025</v>
      </c>
      <c r="J629" s="25">
        <v>20150101</v>
      </c>
      <c r="K629" s="23" t="str">
        <f>TEXT(DATE(LEFT(J629,4), MID(J629,5,2), RIGHT(J629,2)), "M/d/yyyy")</f>
        <v>1/1/2015</v>
      </c>
      <c r="L629" s="24" t="s">
        <v>78</v>
      </c>
      <c r="M629" s="26">
        <v>1</v>
      </c>
      <c r="N629" s="25">
        <v>20</v>
      </c>
      <c r="O629" s="27">
        <v>40</v>
      </c>
      <c r="P629" s="22" t="s">
        <v>3831</v>
      </c>
    </row>
    <row r="630" spans="1:16" s="22" customFormat="1" ht="15" customHeight="1" x14ac:dyDescent="0.2">
      <c r="A630" s="22" t="s">
        <v>3775</v>
      </c>
      <c r="B630" s="22">
        <v>8977234</v>
      </c>
      <c r="C630" s="23">
        <v>2</v>
      </c>
      <c r="D630" s="23">
        <v>921775979</v>
      </c>
      <c r="E630" s="23">
        <v>921775979</v>
      </c>
      <c r="F630" s="24" t="s">
        <v>500</v>
      </c>
      <c r="G630" s="23">
        <v>0</v>
      </c>
      <c r="H630" s="23">
        <v>20250301</v>
      </c>
      <c r="I630" s="23" t="str">
        <f>TEXT(DATE(LEFT(H630,4), MID(H630,5,2), RIGHT(H630,2)), "M/d/yyyy")</f>
        <v>3/1/2025</v>
      </c>
      <c r="J630" s="25">
        <v>20250201</v>
      </c>
      <c r="K630" s="23" t="str">
        <f>TEXT(DATE(LEFT(J630,4), MID(J630,5,2), RIGHT(J630,2)), "M/d/yyyy")</f>
        <v>2/1/2025</v>
      </c>
      <c r="L630" s="24" t="s">
        <v>78</v>
      </c>
      <c r="M630" s="26">
        <v>1</v>
      </c>
      <c r="N630" s="25">
        <v>25</v>
      </c>
      <c r="O630" s="27">
        <v>50</v>
      </c>
      <c r="P630" s="22" t="s">
        <v>3831</v>
      </c>
    </row>
    <row r="631" spans="1:16" s="22" customFormat="1" ht="15" customHeight="1" x14ac:dyDescent="0.2">
      <c r="A631" s="22" t="s">
        <v>3775</v>
      </c>
      <c r="B631" s="22">
        <v>8977234</v>
      </c>
      <c r="C631" s="23">
        <v>3</v>
      </c>
      <c r="D631" s="23">
        <v>921022638</v>
      </c>
      <c r="E631" s="23">
        <v>921022638</v>
      </c>
      <c r="F631" s="24" t="s">
        <v>434</v>
      </c>
      <c r="G631" s="23">
        <v>0</v>
      </c>
      <c r="H631" s="23">
        <v>20250301</v>
      </c>
      <c r="I631" s="23" t="str">
        <f>TEXT(DATE(LEFT(H631,4), MID(H631,5,2), RIGHT(H631,2)), "M/d/yyyy")</f>
        <v>3/1/2025</v>
      </c>
      <c r="J631" s="25">
        <v>20230501</v>
      </c>
      <c r="K631" s="23" t="str">
        <f>TEXT(DATE(LEFT(J631,4), MID(J631,5,2), RIGHT(J631,2)), "M/d/yyyy")</f>
        <v>5/1/2023</v>
      </c>
      <c r="L631" s="24" t="s">
        <v>78</v>
      </c>
      <c r="M631" s="26">
        <v>1</v>
      </c>
      <c r="N631" s="25">
        <v>20</v>
      </c>
      <c r="O631" s="27">
        <v>60</v>
      </c>
      <c r="P631" s="22" t="s">
        <v>3831</v>
      </c>
    </row>
    <row r="632" spans="1:16" s="22" customFormat="1" ht="15" customHeight="1" x14ac:dyDescent="0.2">
      <c r="A632" s="22" t="s">
        <v>3775</v>
      </c>
      <c r="B632" s="22">
        <v>8977234</v>
      </c>
      <c r="C632" s="23">
        <v>4</v>
      </c>
      <c r="D632" s="23">
        <v>921574576</v>
      </c>
      <c r="E632" s="23">
        <v>921574576</v>
      </c>
      <c r="F632" s="24" t="s">
        <v>463</v>
      </c>
      <c r="G632" s="23">
        <v>0</v>
      </c>
      <c r="H632" s="23">
        <v>20250201</v>
      </c>
      <c r="I632" s="23" t="str">
        <f>TEXT(DATE(LEFT(H632,4), MID(H632,5,2), RIGHT(H632,2)), "M/d/yyyy")</f>
        <v>2/1/2025</v>
      </c>
      <c r="J632" s="25">
        <v>20210701</v>
      </c>
      <c r="K632" s="23" t="str">
        <f>TEXT(DATE(LEFT(J632,4), MID(J632,5,2), RIGHT(J632,2)), "M/d/yyyy")</f>
        <v>7/1/2021</v>
      </c>
      <c r="L632" s="24" t="s">
        <v>78</v>
      </c>
      <c r="M632" s="26">
        <v>1</v>
      </c>
      <c r="N632" s="25">
        <v>20</v>
      </c>
      <c r="O632" s="27">
        <v>80</v>
      </c>
      <c r="P632" s="22" t="s">
        <v>3831</v>
      </c>
    </row>
    <row r="633" spans="1:16" s="22" customFormat="1" ht="15" customHeight="1" x14ac:dyDescent="0.2">
      <c r="A633" s="22" t="s">
        <v>3775</v>
      </c>
      <c r="B633" s="22">
        <v>8977234</v>
      </c>
      <c r="C633" s="23">
        <v>5</v>
      </c>
      <c r="D633" s="23">
        <v>921628689</v>
      </c>
      <c r="E633" s="23">
        <v>921628689</v>
      </c>
      <c r="F633" s="24" t="s">
        <v>474</v>
      </c>
      <c r="G633" s="23">
        <v>0</v>
      </c>
      <c r="H633" s="23">
        <v>20250301</v>
      </c>
      <c r="I633" s="23" t="str">
        <f>TEXT(DATE(LEFT(H633,4), MID(H633,5,2), RIGHT(H633,2)), "M/d/yyyy")</f>
        <v>3/1/2025</v>
      </c>
      <c r="J633" s="25">
        <v>20230101</v>
      </c>
      <c r="K633" s="23" t="str">
        <f>TEXT(DATE(LEFT(J633,4), MID(J633,5,2), RIGHT(J633,2)), "M/d/yyyy")</f>
        <v>1/1/2023</v>
      </c>
      <c r="L633" s="24" t="s">
        <v>78</v>
      </c>
      <c r="M633" s="26">
        <v>1</v>
      </c>
      <c r="N633" s="25">
        <v>20</v>
      </c>
      <c r="O633" s="27">
        <v>100</v>
      </c>
      <c r="P633" s="22" t="s">
        <v>3831</v>
      </c>
    </row>
    <row r="634" spans="1:16" s="22" customFormat="1" ht="15" customHeight="1" x14ac:dyDescent="0.2">
      <c r="A634" s="22" t="s">
        <v>3775</v>
      </c>
      <c r="B634" s="22">
        <v>8977234</v>
      </c>
      <c r="C634" s="23">
        <v>5</v>
      </c>
      <c r="D634" s="23">
        <v>921743524</v>
      </c>
      <c r="E634" s="23">
        <v>921743524</v>
      </c>
      <c r="F634" s="24" t="s">
        <v>494</v>
      </c>
      <c r="G634" s="23">
        <v>0</v>
      </c>
      <c r="H634" s="23">
        <v>20250301</v>
      </c>
      <c r="I634" s="23" t="str">
        <f>TEXT(DATE(LEFT(H634,4), MID(H634,5,2), RIGHT(H634,2)), "M/d/yyyy")</f>
        <v>3/1/2025</v>
      </c>
      <c r="J634" s="25">
        <v>20241101</v>
      </c>
      <c r="K634" s="23" t="str">
        <f>TEXT(DATE(LEFT(J634,4), MID(J634,5,2), RIGHT(J634,2)), "M/d/yyyy")</f>
        <v>11/1/2024</v>
      </c>
      <c r="L634" s="24" t="s">
        <v>78</v>
      </c>
      <c r="M634" s="26">
        <v>1</v>
      </c>
      <c r="N634" s="25">
        <v>25</v>
      </c>
      <c r="O634" s="27">
        <v>125</v>
      </c>
      <c r="P634" s="22" t="s">
        <v>3831</v>
      </c>
    </row>
    <row r="635" spans="1:16" s="22" customFormat="1" ht="15" customHeight="1" x14ac:dyDescent="0.2">
      <c r="A635" s="22" t="s">
        <v>3793</v>
      </c>
      <c r="B635" s="22">
        <v>19396223</v>
      </c>
      <c r="C635" s="23">
        <v>1</v>
      </c>
      <c r="D635" s="23">
        <v>890142304</v>
      </c>
      <c r="E635" s="23">
        <v>890142304</v>
      </c>
      <c r="F635" s="24" t="s">
        <v>2555</v>
      </c>
      <c r="G635" s="23">
        <v>0</v>
      </c>
      <c r="H635" s="23">
        <v>20250201</v>
      </c>
      <c r="I635" s="23" t="str">
        <f>TEXT(DATE(LEFT(H635,4), MID(H635,5,2), RIGHT(H635,2)), "M/d/yyyy")</f>
        <v>2/1/2025</v>
      </c>
      <c r="J635" s="25">
        <v>20200101</v>
      </c>
      <c r="K635" s="23" t="str">
        <f>TEXT(DATE(LEFT(J635,4), MID(J635,5,2), RIGHT(J635,2)), "M/d/yyyy")</f>
        <v>1/1/2020</v>
      </c>
      <c r="L635" s="24" t="s">
        <v>78</v>
      </c>
      <c r="M635" s="26">
        <v>1</v>
      </c>
      <c r="N635" s="25">
        <v>20</v>
      </c>
      <c r="O635" s="27">
        <v>20</v>
      </c>
      <c r="P635" s="22" t="s">
        <v>3831</v>
      </c>
    </row>
    <row r="636" spans="1:16" s="22" customFormat="1" ht="15" customHeight="1" x14ac:dyDescent="0.2">
      <c r="A636" s="22" t="s">
        <v>3793</v>
      </c>
      <c r="B636" s="22">
        <v>19396223</v>
      </c>
      <c r="C636" s="23">
        <v>1</v>
      </c>
      <c r="D636" s="23">
        <v>921549744</v>
      </c>
      <c r="E636" s="23">
        <v>921549744</v>
      </c>
      <c r="F636" s="24" t="s">
        <v>2582</v>
      </c>
      <c r="G636" s="23">
        <v>0</v>
      </c>
      <c r="H636" s="23">
        <v>20250201</v>
      </c>
      <c r="I636" s="23" t="str">
        <f>TEXT(DATE(LEFT(H636,4), MID(H636,5,2), RIGHT(H636,2)), "M/d/yyyy")</f>
        <v>2/1/2025</v>
      </c>
      <c r="J636" s="25">
        <v>20210101</v>
      </c>
      <c r="K636" s="23" t="str">
        <f>TEXT(DATE(LEFT(J636,4), MID(J636,5,2), RIGHT(J636,2)), "M/d/yyyy")</f>
        <v>1/1/2021</v>
      </c>
      <c r="L636" s="24" t="s">
        <v>78</v>
      </c>
      <c r="M636" s="26">
        <v>1</v>
      </c>
      <c r="N636" s="25">
        <v>20</v>
      </c>
      <c r="O636" s="27">
        <v>20</v>
      </c>
      <c r="P636" s="22" t="s">
        <v>3831</v>
      </c>
    </row>
    <row r="637" spans="1:16" s="22" customFormat="1" ht="15" customHeight="1" x14ac:dyDescent="0.2">
      <c r="A637" s="22" t="s">
        <v>3793</v>
      </c>
      <c r="B637" s="22">
        <v>19396223</v>
      </c>
      <c r="C637" s="23">
        <v>1</v>
      </c>
      <c r="D637" s="23">
        <v>921665726</v>
      </c>
      <c r="E637" s="23">
        <v>921665726</v>
      </c>
      <c r="F637" s="24" t="s">
        <v>2606</v>
      </c>
      <c r="G637" s="23">
        <v>0</v>
      </c>
      <c r="H637" s="23">
        <v>20250301</v>
      </c>
      <c r="I637" s="23" t="str">
        <f>TEXT(DATE(LEFT(H637,4), MID(H637,5,2), RIGHT(H637,2)), "M/d/yyyy")</f>
        <v>3/1/2025</v>
      </c>
      <c r="J637" s="25">
        <v>20230801</v>
      </c>
      <c r="K637" s="23" t="str">
        <f>TEXT(DATE(LEFT(J637,4), MID(J637,5,2), RIGHT(J637,2)), "M/d/yyyy")</f>
        <v>8/1/2023</v>
      </c>
      <c r="L637" s="24" t="s">
        <v>78</v>
      </c>
      <c r="M637" s="26">
        <v>1</v>
      </c>
      <c r="N637" s="25">
        <v>20</v>
      </c>
      <c r="O637" s="27">
        <v>20</v>
      </c>
      <c r="P637" s="22" t="s">
        <v>3831</v>
      </c>
    </row>
    <row r="638" spans="1:16" s="22" customFormat="1" ht="15" customHeight="1" x14ac:dyDescent="0.2">
      <c r="A638" s="22" t="s">
        <v>3793</v>
      </c>
      <c r="B638" s="22">
        <v>19396223</v>
      </c>
      <c r="C638" s="23">
        <v>1</v>
      </c>
      <c r="D638" s="23">
        <v>921683547</v>
      </c>
      <c r="E638" s="23">
        <v>921683547</v>
      </c>
      <c r="F638" s="24" t="s">
        <v>2612</v>
      </c>
      <c r="G638" s="23">
        <v>0</v>
      </c>
      <c r="H638" s="23">
        <v>20250301</v>
      </c>
      <c r="I638" s="23" t="str">
        <f>TEXT(DATE(LEFT(H638,4), MID(H638,5,2), RIGHT(H638,2)), "M/d/yyyy")</f>
        <v>3/1/2025</v>
      </c>
      <c r="J638" s="25">
        <v>20240101</v>
      </c>
      <c r="K638" s="23" t="str">
        <f>TEXT(DATE(LEFT(J638,4), MID(J638,5,2), RIGHT(J638,2)), "M/d/yyyy")</f>
        <v>1/1/2024</v>
      </c>
      <c r="L638" s="24" t="s">
        <v>78</v>
      </c>
      <c r="M638" s="26">
        <v>1</v>
      </c>
      <c r="N638" s="25">
        <v>20</v>
      </c>
      <c r="O638" s="27">
        <v>20</v>
      </c>
      <c r="P638" s="22" t="s">
        <v>3831</v>
      </c>
    </row>
    <row r="639" spans="1:16" s="22" customFormat="1" ht="15" customHeight="1" x14ac:dyDescent="0.2">
      <c r="A639" s="22" t="s">
        <v>3793</v>
      </c>
      <c r="B639" s="22">
        <v>19396223</v>
      </c>
      <c r="C639" s="23">
        <v>1</v>
      </c>
      <c r="D639" s="23">
        <v>921322323</v>
      </c>
      <c r="E639" s="23">
        <v>921322323</v>
      </c>
      <c r="F639" s="24" t="s">
        <v>2576</v>
      </c>
      <c r="G639" s="23">
        <v>0</v>
      </c>
      <c r="H639" s="23">
        <v>20250301</v>
      </c>
      <c r="I639" s="23" t="str">
        <f>TEXT(DATE(LEFT(H639,4), MID(H639,5,2), RIGHT(H639,2)), "M/d/yyyy")</f>
        <v>3/1/2025</v>
      </c>
      <c r="J639" s="25">
        <v>20241201</v>
      </c>
      <c r="K639" s="23" t="str">
        <f>TEXT(DATE(LEFT(J639,4), MID(J639,5,2), RIGHT(J639,2)), "M/d/yyyy")</f>
        <v>12/1/2024</v>
      </c>
      <c r="L639" s="24" t="s">
        <v>78</v>
      </c>
      <c r="M639" s="26">
        <v>1</v>
      </c>
      <c r="N639" s="25">
        <v>25</v>
      </c>
      <c r="O639" s="27">
        <v>25</v>
      </c>
      <c r="P639" s="22" t="s">
        <v>3831</v>
      </c>
    </row>
    <row r="640" spans="1:16" s="22" customFormat="1" ht="15" customHeight="1" x14ac:dyDescent="0.2">
      <c r="A640" s="22" t="s">
        <v>3793</v>
      </c>
      <c r="B640" s="22">
        <v>19396223</v>
      </c>
      <c r="C640" s="23">
        <v>1</v>
      </c>
      <c r="D640" s="23">
        <v>921322323</v>
      </c>
      <c r="E640" s="23">
        <v>921322323</v>
      </c>
      <c r="F640" s="24" t="s">
        <v>2576</v>
      </c>
      <c r="G640" s="23">
        <v>0</v>
      </c>
      <c r="H640" s="23">
        <v>20250201</v>
      </c>
      <c r="I640" s="23" t="str">
        <f>TEXT(DATE(LEFT(H640,4), MID(H640,5,2), RIGHT(H640,2)), "M/d/yyyy")</f>
        <v>2/1/2025</v>
      </c>
      <c r="J640" s="25">
        <v>20241201</v>
      </c>
      <c r="K640" s="23" t="str">
        <f>TEXT(DATE(LEFT(J640,4), MID(J640,5,2), RIGHT(J640,2)), "M/d/yyyy")</f>
        <v>12/1/2024</v>
      </c>
      <c r="L640" s="24" t="s">
        <v>78</v>
      </c>
      <c r="M640" s="26">
        <v>1</v>
      </c>
      <c r="N640" s="25">
        <v>25</v>
      </c>
      <c r="O640" s="27">
        <v>25</v>
      </c>
      <c r="P640" s="22" t="s">
        <v>3831</v>
      </c>
    </row>
    <row r="641" spans="1:16" s="22" customFormat="1" ht="15" customHeight="1" x14ac:dyDescent="0.2">
      <c r="A641" s="22" t="s">
        <v>3793</v>
      </c>
      <c r="B641" s="22">
        <v>19396223</v>
      </c>
      <c r="C641" s="23">
        <v>1</v>
      </c>
      <c r="D641" s="23">
        <v>921762668</v>
      </c>
      <c r="E641" s="23">
        <v>921762668</v>
      </c>
      <c r="F641" s="24" t="s">
        <v>2645</v>
      </c>
      <c r="G641" s="23">
        <v>0</v>
      </c>
      <c r="H641" s="23">
        <v>20250301</v>
      </c>
      <c r="I641" s="23" t="str">
        <f>TEXT(DATE(LEFT(H641,4), MID(H641,5,2), RIGHT(H641,2)), "M/d/yyyy")</f>
        <v>3/1/2025</v>
      </c>
      <c r="J641" s="25">
        <v>20250101</v>
      </c>
      <c r="K641" s="23" t="str">
        <f>TEXT(DATE(LEFT(J641,4), MID(J641,5,2), RIGHT(J641,2)), "M/d/yyyy")</f>
        <v>1/1/2025</v>
      </c>
      <c r="L641" s="24" t="s">
        <v>78</v>
      </c>
      <c r="M641" s="26">
        <v>1</v>
      </c>
      <c r="N641" s="25">
        <v>25</v>
      </c>
      <c r="O641" s="27">
        <v>25</v>
      </c>
      <c r="P641" s="22" t="s">
        <v>3831</v>
      </c>
    </row>
    <row r="642" spans="1:16" s="22" customFormat="1" ht="15" customHeight="1" x14ac:dyDescent="0.2">
      <c r="A642" s="22" t="s">
        <v>3793</v>
      </c>
      <c r="B642" s="22">
        <v>19396223</v>
      </c>
      <c r="C642" s="23">
        <v>1</v>
      </c>
      <c r="D642" s="23">
        <v>921764010</v>
      </c>
      <c r="E642" s="23">
        <v>921764010</v>
      </c>
      <c r="F642" s="24" t="s">
        <v>2647</v>
      </c>
      <c r="G642" s="23">
        <v>0</v>
      </c>
      <c r="H642" s="23">
        <v>20250301</v>
      </c>
      <c r="I642" s="23" t="str">
        <f>TEXT(DATE(LEFT(H642,4), MID(H642,5,2), RIGHT(H642,2)), "M/d/yyyy")</f>
        <v>3/1/2025</v>
      </c>
      <c r="J642" s="25">
        <v>20250101</v>
      </c>
      <c r="K642" s="23" t="str">
        <f>TEXT(DATE(LEFT(J642,4), MID(J642,5,2), RIGHT(J642,2)), "M/d/yyyy")</f>
        <v>1/1/2025</v>
      </c>
      <c r="L642" s="24" t="s">
        <v>78</v>
      </c>
      <c r="M642" s="26">
        <v>1</v>
      </c>
      <c r="N642" s="25">
        <v>25</v>
      </c>
      <c r="O642" s="27">
        <v>25</v>
      </c>
      <c r="P642" s="22" t="s">
        <v>3831</v>
      </c>
    </row>
    <row r="643" spans="1:16" s="22" customFormat="1" ht="15" customHeight="1" x14ac:dyDescent="0.2">
      <c r="A643" s="22" t="s">
        <v>3793</v>
      </c>
      <c r="B643" s="22">
        <v>19396223</v>
      </c>
      <c r="C643" s="23">
        <v>1</v>
      </c>
      <c r="D643" s="23">
        <v>921769369</v>
      </c>
      <c r="E643" s="23">
        <v>921769369</v>
      </c>
      <c r="F643" s="24" t="s">
        <v>2654</v>
      </c>
      <c r="G643" s="23">
        <v>0</v>
      </c>
      <c r="H643" s="23">
        <v>20250301</v>
      </c>
      <c r="I643" s="23" t="str">
        <f>TEXT(DATE(LEFT(H643,4), MID(H643,5,2), RIGHT(H643,2)), "M/d/yyyy")</f>
        <v>3/1/2025</v>
      </c>
      <c r="J643" s="25">
        <v>20250201</v>
      </c>
      <c r="K643" s="23" t="str">
        <f>TEXT(DATE(LEFT(J643,4), MID(J643,5,2), RIGHT(J643,2)), "M/d/yyyy")</f>
        <v>2/1/2025</v>
      </c>
      <c r="L643" s="24" t="s">
        <v>78</v>
      </c>
      <c r="M643" s="26">
        <v>1</v>
      </c>
      <c r="N643" s="25">
        <v>25</v>
      </c>
      <c r="O643" s="27">
        <v>25</v>
      </c>
      <c r="P643" s="22" t="s">
        <v>3831</v>
      </c>
    </row>
    <row r="644" spans="1:16" s="22" customFormat="1" ht="15" customHeight="1" x14ac:dyDescent="0.2">
      <c r="A644" s="22" t="s">
        <v>3793</v>
      </c>
      <c r="B644" s="22">
        <v>19396223</v>
      </c>
      <c r="C644" s="23">
        <v>1</v>
      </c>
      <c r="D644" s="23">
        <v>921773404</v>
      </c>
      <c r="E644" s="23">
        <v>921773404</v>
      </c>
      <c r="F644" s="24" t="s">
        <v>2662</v>
      </c>
      <c r="G644" s="23">
        <v>0</v>
      </c>
      <c r="H644" s="23">
        <v>20250301</v>
      </c>
      <c r="I644" s="23" t="str">
        <f>TEXT(DATE(LEFT(H644,4), MID(H644,5,2), RIGHT(H644,2)), "M/d/yyyy")</f>
        <v>3/1/2025</v>
      </c>
      <c r="J644" s="25">
        <v>20250201</v>
      </c>
      <c r="K644" s="23" t="str">
        <f>TEXT(DATE(LEFT(J644,4), MID(J644,5,2), RIGHT(J644,2)), "M/d/yyyy")</f>
        <v>2/1/2025</v>
      </c>
      <c r="L644" s="24" t="s">
        <v>78</v>
      </c>
      <c r="M644" s="26">
        <v>1</v>
      </c>
      <c r="N644" s="25">
        <v>25</v>
      </c>
      <c r="O644" s="27">
        <v>25</v>
      </c>
      <c r="P644" s="22" t="s">
        <v>3831</v>
      </c>
    </row>
    <row r="645" spans="1:16" s="22" customFormat="1" ht="15" customHeight="1" x14ac:dyDescent="0.2">
      <c r="A645" s="22" t="s">
        <v>3793</v>
      </c>
      <c r="B645" s="22">
        <v>19396223</v>
      </c>
      <c r="C645" s="23">
        <v>4</v>
      </c>
      <c r="D645" s="23">
        <v>921540321</v>
      </c>
      <c r="E645" s="23">
        <v>921540321</v>
      </c>
      <c r="F645" s="24" t="s">
        <v>2580</v>
      </c>
      <c r="G645" s="23">
        <v>0</v>
      </c>
      <c r="H645" s="23">
        <v>20250301</v>
      </c>
      <c r="I645" s="23" t="str">
        <f>TEXT(DATE(LEFT(H645,4), MID(H645,5,2), RIGHT(H645,2)), "M/d/yyyy")</f>
        <v>3/1/2025</v>
      </c>
      <c r="J645" s="25">
        <v>20210101</v>
      </c>
      <c r="K645" s="23" t="str">
        <f>TEXT(DATE(LEFT(J645,4), MID(J645,5,2), RIGHT(J645,2)), "M/d/yyyy")</f>
        <v>1/1/2021</v>
      </c>
      <c r="L645" s="24" t="s">
        <v>78</v>
      </c>
      <c r="M645" s="26">
        <v>1</v>
      </c>
      <c r="N645" s="25">
        <v>20</v>
      </c>
      <c r="O645" s="27">
        <v>80</v>
      </c>
      <c r="P645" s="22" t="s">
        <v>3831</v>
      </c>
    </row>
    <row r="646" spans="1:16" s="22" customFormat="1" ht="15" customHeight="1" x14ac:dyDescent="0.2">
      <c r="A646" s="22" t="s">
        <v>3793</v>
      </c>
      <c r="B646" s="22">
        <v>19396223</v>
      </c>
      <c r="C646" s="23">
        <v>5</v>
      </c>
      <c r="D646" s="23">
        <v>921655802</v>
      </c>
      <c r="E646" s="23">
        <v>921655802</v>
      </c>
      <c r="F646" s="24" t="s">
        <v>2602</v>
      </c>
      <c r="G646" s="23">
        <v>0</v>
      </c>
      <c r="H646" s="23">
        <v>20250301</v>
      </c>
      <c r="I646" s="23" t="str">
        <f>TEXT(DATE(LEFT(H646,4), MID(H646,5,2), RIGHT(H646,2)), "M/d/yyyy")</f>
        <v>3/1/2025</v>
      </c>
      <c r="J646" s="25">
        <v>20230401</v>
      </c>
      <c r="K646" s="23" t="str">
        <f>TEXT(DATE(LEFT(J646,4), MID(J646,5,2), RIGHT(J646,2)), "M/d/yyyy")</f>
        <v>4/1/2023</v>
      </c>
      <c r="L646" s="24" t="s">
        <v>78</v>
      </c>
      <c r="M646" s="26">
        <v>1</v>
      </c>
      <c r="N646" s="25">
        <v>20</v>
      </c>
      <c r="O646" s="27">
        <v>100</v>
      </c>
      <c r="P646" s="22" t="s">
        <v>3831</v>
      </c>
    </row>
    <row r="647" spans="1:16" s="22" customFormat="1" ht="15" customHeight="1" x14ac:dyDescent="0.2">
      <c r="A647" s="22" t="s">
        <v>3793</v>
      </c>
      <c r="B647" s="22">
        <v>19396223</v>
      </c>
      <c r="C647" s="23">
        <v>5</v>
      </c>
      <c r="D647" s="23">
        <v>921770452</v>
      </c>
      <c r="E647" s="23">
        <v>921770452</v>
      </c>
      <c r="F647" s="24" t="s">
        <v>2656</v>
      </c>
      <c r="G647" s="23">
        <v>0</v>
      </c>
      <c r="H647" s="23">
        <v>20250301</v>
      </c>
      <c r="I647" s="23" t="str">
        <f>TEXT(DATE(LEFT(H647,4), MID(H647,5,2), RIGHT(H647,2)), "M/d/yyyy")</f>
        <v>3/1/2025</v>
      </c>
      <c r="J647" s="25">
        <v>20250101</v>
      </c>
      <c r="K647" s="23" t="str">
        <f>TEXT(DATE(LEFT(J647,4), MID(J647,5,2), RIGHT(J647,2)), "M/d/yyyy")</f>
        <v>1/1/2025</v>
      </c>
      <c r="L647" s="24" t="s">
        <v>78</v>
      </c>
      <c r="M647" s="26">
        <v>1</v>
      </c>
      <c r="N647" s="25">
        <v>25</v>
      </c>
      <c r="O647" s="27">
        <v>125</v>
      </c>
      <c r="P647" s="22" t="s">
        <v>3831</v>
      </c>
    </row>
    <row r="648" spans="1:16" s="22" customFormat="1" ht="15" customHeight="1" x14ac:dyDescent="0.2">
      <c r="A648" s="22" t="s">
        <v>3793</v>
      </c>
      <c r="B648" s="22">
        <v>19396223</v>
      </c>
      <c r="C648" s="23">
        <v>5</v>
      </c>
      <c r="D648" s="23">
        <v>921770452</v>
      </c>
      <c r="E648" s="23">
        <v>921770452</v>
      </c>
      <c r="F648" s="24" t="s">
        <v>2656</v>
      </c>
      <c r="G648" s="23">
        <v>0</v>
      </c>
      <c r="H648" s="23">
        <v>20250201</v>
      </c>
      <c r="I648" s="23" t="str">
        <f>TEXT(DATE(LEFT(H648,4), MID(H648,5,2), RIGHT(H648,2)), "M/d/yyyy")</f>
        <v>2/1/2025</v>
      </c>
      <c r="J648" s="25">
        <v>20250101</v>
      </c>
      <c r="K648" s="23" t="str">
        <f>TEXT(DATE(LEFT(J648,4), MID(J648,5,2), RIGHT(J648,2)), "M/d/yyyy")</f>
        <v>1/1/2025</v>
      </c>
      <c r="L648" s="24" t="s">
        <v>78</v>
      </c>
      <c r="M648" s="26">
        <v>1</v>
      </c>
      <c r="N648" s="25">
        <v>25</v>
      </c>
      <c r="O648" s="27">
        <v>125</v>
      </c>
      <c r="P648" s="22" t="s">
        <v>3831</v>
      </c>
    </row>
    <row r="649" spans="1:16" s="22" customFormat="1" ht="15" customHeight="1" x14ac:dyDescent="0.2">
      <c r="A649" s="22" t="s">
        <v>3794</v>
      </c>
      <c r="B649" s="22">
        <v>17126004</v>
      </c>
      <c r="C649" s="23">
        <v>1</v>
      </c>
      <c r="D649" s="23">
        <v>920893529</v>
      </c>
      <c r="E649" s="23">
        <v>920893529</v>
      </c>
      <c r="F649" s="24" t="s">
        <v>2679</v>
      </c>
      <c r="G649" s="23">
        <v>0</v>
      </c>
      <c r="H649" s="23">
        <v>20250201</v>
      </c>
      <c r="I649" s="23" t="str">
        <f>TEXT(DATE(LEFT(H649,4), MID(H649,5,2), RIGHT(H649,2)), "M/d/yyyy")</f>
        <v>2/1/2025</v>
      </c>
      <c r="J649" s="25">
        <v>20150101</v>
      </c>
      <c r="K649" s="23" t="str">
        <f>TEXT(DATE(LEFT(J649,4), MID(J649,5,2), RIGHT(J649,2)), "M/d/yyyy")</f>
        <v>1/1/2015</v>
      </c>
      <c r="L649" s="24" t="s">
        <v>78</v>
      </c>
      <c r="M649" s="26">
        <v>1</v>
      </c>
      <c r="N649" s="25">
        <v>20</v>
      </c>
      <c r="O649" s="27">
        <v>20</v>
      </c>
      <c r="P649" s="22" t="s">
        <v>3831</v>
      </c>
    </row>
    <row r="650" spans="1:16" s="22" customFormat="1" ht="15" customHeight="1" x14ac:dyDescent="0.2">
      <c r="A650" s="22" t="s">
        <v>3794</v>
      </c>
      <c r="B650" s="22">
        <v>17126004</v>
      </c>
      <c r="C650" s="23">
        <v>1</v>
      </c>
      <c r="D650" s="23">
        <v>920914774</v>
      </c>
      <c r="E650" s="23">
        <v>920914774</v>
      </c>
      <c r="F650" s="24" t="s">
        <v>2682</v>
      </c>
      <c r="G650" s="23">
        <v>0</v>
      </c>
      <c r="H650" s="23">
        <v>20250301</v>
      </c>
      <c r="I650" s="23" t="str">
        <f>TEXT(DATE(LEFT(H650,4), MID(H650,5,2), RIGHT(H650,2)), "M/d/yyyy")</f>
        <v>3/1/2025</v>
      </c>
      <c r="J650" s="25">
        <v>20140501</v>
      </c>
      <c r="K650" s="23" t="str">
        <f>TEXT(DATE(LEFT(J650,4), MID(J650,5,2), RIGHT(J650,2)), "M/d/yyyy")</f>
        <v>5/1/2014</v>
      </c>
      <c r="L650" s="24" t="s">
        <v>78</v>
      </c>
      <c r="M650" s="26">
        <v>1</v>
      </c>
      <c r="N650" s="25">
        <v>20</v>
      </c>
      <c r="O650" s="27">
        <v>20</v>
      </c>
      <c r="P650" s="22" t="s">
        <v>3831</v>
      </c>
    </row>
    <row r="651" spans="1:16" s="22" customFormat="1" ht="15" customHeight="1" x14ac:dyDescent="0.2">
      <c r="A651" s="22" t="s">
        <v>3794</v>
      </c>
      <c r="B651" s="22">
        <v>17126004</v>
      </c>
      <c r="C651" s="23">
        <v>1</v>
      </c>
      <c r="D651" s="23">
        <v>921663718</v>
      </c>
      <c r="E651" s="23">
        <v>921663718</v>
      </c>
      <c r="F651" s="24" t="s">
        <v>2690</v>
      </c>
      <c r="G651" s="23">
        <v>0</v>
      </c>
      <c r="H651" s="23">
        <v>20250301</v>
      </c>
      <c r="I651" s="23" t="str">
        <f>TEXT(DATE(LEFT(H651,4), MID(H651,5,2), RIGHT(H651,2)), "M/d/yyyy")</f>
        <v>3/1/2025</v>
      </c>
      <c r="J651" s="25">
        <v>20230701</v>
      </c>
      <c r="K651" s="23" t="str">
        <f>TEXT(DATE(LEFT(J651,4), MID(J651,5,2), RIGHT(J651,2)), "M/d/yyyy")</f>
        <v>7/1/2023</v>
      </c>
      <c r="L651" s="24" t="s">
        <v>78</v>
      </c>
      <c r="M651" s="26">
        <v>1</v>
      </c>
      <c r="N651" s="25">
        <v>20</v>
      </c>
      <c r="O651" s="27">
        <v>20</v>
      </c>
      <c r="P651" s="22" t="s">
        <v>3831</v>
      </c>
    </row>
    <row r="652" spans="1:16" s="22" customFormat="1" ht="15" customHeight="1" x14ac:dyDescent="0.2">
      <c r="A652" s="22" t="s">
        <v>3794</v>
      </c>
      <c r="B652" s="22">
        <v>17126004</v>
      </c>
      <c r="C652" s="23">
        <v>1</v>
      </c>
      <c r="D652" s="23">
        <v>921756382</v>
      </c>
      <c r="E652" s="23">
        <v>921756382</v>
      </c>
      <c r="F652" s="24" t="s">
        <v>2702</v>
      </c>
      <c r="G652" s="23">
        <v>0</v>
      </c>
      <c r="H652" s="23">
        <v>20250301</v>
      </c>
      <c r="I652" s="23" t="str">
        <f>TEXT(DATE(LEFT(H652,4), MID(H652,5,2), RIGHT(H652,2)), "M/d/yyyy")</f>
        <v>3/1/2025</v>
      </c>
      <c r="J652" s="25">
        <v>20250101</v>
      </c>
      <c r="K652" s="23" t="str">
        <f>TEXT(DATE(LEFT(J652,4), MID(J652,5,2), RIGHT(J652,2)), "M/d/yyyy")</f>
        <v>1/1/2025</v>
      </c>
      <c r="L652" s="24" t="s">
        <v>78</v>
      </c>
      <c r="M652" s="26">
        <v>1</v>
      </c>
      <c r="N652" s="25">
        <v>25</v>
      </c>
      <c r="O652" s="27">
        <v>25</v>
      </c>
      <c r="P652" s="22" t="s">
        <v>3831</v>
      </c>
    </row>
    <row r="653" spans="1:16" s="22" customFormat="1" ht="15" customHeight="1" x14ac:dyDescent="0.2">
      <c r="A653" s="22" t="s">
        <v>3780</v>
      </c>
      <c r="B653" s="22">
        <v>18581063</v>
      </c>
      <c r="C653" s="23">
        <v>1</v>
      </c>
      <c r="D653" s="23">
        <v>890147974</v>
      </c>
      <c r="E653" s="23">
        <v>890147974</v>
      </c>
      <c r="F653" s="24" t="s">
        <v>648</v>
      </c>
      <c r="G653" s="23">
        <v>0</v>
      </c>
      <c r="H653" s="23">
        <v>20250301</v>
      </c>
      <c r="I653" s="23" t="str">
        <f>TEXT(DATE(LEFT(H653,4), MID(H653,5,2), RIGHT(H653,2)), "M/d/yyyy")</f>
        <v>3/1/2025</v>
      </c>
      <c r="J653" s="25">
        <v>20200101</v>
      </c>
      <c r="K653" s="23" t="str">
        <f>TEXT(DATE(LEFT(J653,4), MID(J653,5,2), RIGHT(J653,2)), "M/d/yyyy")</f>
        <v>1/1/2020</v>
      </c>
      <c r="L653" s="24" t="s">
        <v>78</v>
      </c>
      <c r="M653" s="26">
        <v>1</v>
      </c>
      <c r="N653" s="25">
        <v>20</v>
      </c>
      <c r="O653" s="27">
        <v>20</v>
      </c>
      <c r="P653" s="22" t="s">
        <v>3831</v>
      </c>
    </row>
    <row r="654" spans="1:16" s="22" customFormat="1" ht="15" customHeight="1" x14ac:dyDescent="0.2">
      <c r="A654" s="22" t="s">
        <v>3780</v>
      </c>
      <c r="B654" s="22">
        <v>18581063</v>
      </c>
      <c r="C654" s="23">
        <v>1</v>
      </c>
      <c r="D654" s="23">
        <v>921708287</v>
      </c>
      <c r="E654" s="23">
        <v>921708287</v>
      </c>
      <c r="F654" s="24" t="s">
        <v>656</v>
      </c>
      <c r="G654" s="23">
        <v>0</v>
      </c>
      <c r="H654" s="23">
        <v>20250301</v>
      </c>
      <c r="I654" s="23" t="str">
        <f>TEXT(DATE(LEFT(H654,4), MID(H654,5,2), RIGHT(H654,2)), "M/d/yyyy")</f>
        <v>3/1/2025</v>
      </c>
      <c r="J654" s="25">
        <v>20240201</v>
      </c>
      <c r="K654" s="23" t="str">
        <f>TEXT(DATE(LEFT(J654,4), MID(J654,5,2), RIGHT(J654,2)), "M/d/yyyy")</f>
        <v>2/1/2024</v>
      </c>
      <c r="L654" s="24" t="s">
        <v>78</v>
      </c>
      <c r="M654" s="26">
        <v>1</v>
      </c>
      <c r="N654" s="25">
        <v>20</v>
      </c>
      <c r="O654" s="27">
        <v>20</v>
      </c>
      <c r="P654" s="22" t="s">
        <v>3831</v>
      </c>
    </row>
    <row r="655" spans="1:16" s="22" customFormat="1" ht="15" customHeight="1" x14ac:dyDescent="0.2">
      <c r="A655" s="22" t="s">
        <v>3780</v>
      </c>
      <c r="B655" s="22">
        <v>18581063</v>
      </c>
      <c r="C655" s="23">
        <v>4</v>
      </c>
      <c r="D655" s="23">
        <v>921487022</v>
      </c>
      <c r="E655" s="23">
        <v>921487022</v>
      </c>
      <c r="F655" s="24" t="s">
        <v>650</v>
      </c>
      <c r="G655" s="23">
        <v>0</v>
      </c>
      <c r="H655" s="23">
        <v>20250201</v>
      </c>
      <c r="I655" s="23" t="str">
        <f>TEXT(DATE(LEFT(H655,4), MID(H655,5,2), RIGHT(H655,2)), "M/d/yyyy")</f>
        <v>2/1/2025</v>
      </c>
      <c r="J655" s="25">
        <v>20191101</v>
      </c>
      <c r="K655" s="23" t="str">
        <f>TEXT(DATE(LEFT(J655,4), MID(J655,5,2), RIGHT(J655,2)), "M/d/yyyy")</f>
        <v>11/1/2019</v>
      </c>
      <c r="L655" s="24" t="s">
        <v>78</v>
      </c>
      <c r="M655" s="26">
        <v>1</v>
      </c>
      <c r="N655" s="25">
        <v>20</v>
      </c>
      <c r="O655" s="27">
        <v>80</v>
      </c>
      <c r="P655" s="22" t="s">
        <v>3831</v>
      </c>
    </row>
    <row r="656" spans="1:16" s="22" customFormat="1" ht="15" customHeight="1" x14ac:dyDescent="0.2">
      <c r="A656" s="22" t="s">
        <v>3804</v>
      </c>
      <c r="B656" s="22">
        <v>20490188</v>
      </c>
      <c r="C656" s="24" t="s">
        <v>588</v>
      </c>
      <c r="D656" s="23">
        <v>921683072</v>
      </c>
      <c r="E656" s="23">
        <v>921683072</v>
      </c>
      <c r="F656" s="24" t="s">
        <v>3107</v>
      </c>
      <c r="G656" s="23">
        <v>0</v>
      </c>
      <c r="H656" s="23">
        <v>20250201</v>
      </c>
      <c r="I656" s="23" t="str">
        <f>TEXT(DATE(LEFT(H656,4), MID(H656,5,2), RIGHT(H656,2)), "M/d/yyyy")</f>
        <v>2/1/2025</v>
      </c>
      <c r="J656" s="25">
        <v>20231201</v>
      </c>
      <c r="K656" s="23" t="str">
        <f>TEXT(DATE(LEFT(J656,4), MID(J656,5,2), RIGHT(J656,2)), "M/d/yyyy")</f>
        <v>12/1/2023</v>
      </c>
      <c r="L656" s="24" t="s">
        <v>78</v>
      </c>
      <c r="M656" s="26">
        <v>1</v>
      </c>
      <c r="N656" s="25">
        <v>20</v>
      </c>
      <c r="O656" s="27">
        <v>-20</v>
      </c>
      <c r="P656" s="22" t="s">
        <v>3831</v>
      </c>
    </row>
    <row r="657" spans="1:16" s="22" customFormat="1" ht="15" customHeight="1" x14ac:dyDescent="0.2">
      <c r="A657" s="22" t="s">
        <v>3804</v>
      </c>
      <c r="B657" s="22">
        <v>20490188</v>
      </c>
      <c r="C657" s="23">
        <v>1</v>
      </c>
      <c r="D657" s="23">
        <v>921625956</v>
      </c>
      <c r="E657" s="23">
        <v>921625956</v>
      </c>
      <c r="F657" s="24" t="s">
        <v>3103</v>
      </c>
      <c r="G657" s="23">
        <v>0</v>
      </c>
      <c r="H657" s="23">
        <v>20250301</v>
      </c>
      <c r="I657" s="23" t="str">
        <f>TEXT(DATE(LEFT(H657,4), MID(H657,5,2), RIGHT(H657,2)), "M/d/yyyy")</f>
        <v>3/1/2025</v>
      </c>
      <c r="J657" s="25">
        <v>20221101</v>
      </c>
      <c r="K657" s="23" t="str">
        <f>TEXT(DATE(LEFT(J657,4), MID(J657,5,2), RIGHT(J657,2)), "M/d/yyyy")</f>
        <v>11/1/2022</v>
      </c>
      <c r="L657" s="24" t="s">
        <v>78</v>
      </c>
      <c r="M657" s="26">
        <v>1</v>
      </c>
      <c r="N657" s="25">
        <v>20</v>
      </c>
      <c r="O657" s="27">
        <v>20</v>
      </c>
      <c r="P657" s="22" t="s">
        <v>3831</v>
      </c>
    </row>
    <row r="658" spans="1:16" s="22" customFormat="1" ht="15" customHeight="1" x14ac:dyDescent="0.2">
      <c r="A658" s="22" t="s">
        <v>3804</v>
      </c>
      <c r="B658" s="22">
        <v>20490188</v>
      </c>
      <c r="C658" s="23">
        <v>1</v>
      </c>
      <c r="D658" s="23">
        <v>921654944</v>
      </c>
      <c r="E658" s="23">
        <v>921654944</v>
      </c>
      <c r="F658" s="24" t="s">
        <v>3105</v>
      </c>
      <c r="G658" s="23">
        <v>0</v>
      </c>
      <c r="H658" s="23">
        <v>20250301</v>
      </c>
      <c r="I658" s="23" t="str">
        <f>TEXT(DATE(LEFT(H658,4), MID(H658,5,2), RIGHT(H658,2)), "M/d/yyyy")</f>
        <v>3/1/2025</v>
      </c>
      <c r="J658" s="25">
        <v>20230401</v>
      </c>
      <c r="K658" s="23" t="str">
        <f>TEXT(DATE(LEFT(J658,4), MID(J658,5,2), RIGHT(J658,2)), "M/d/yyyy")</f>
        <v>4/1/2023</v>
      </c>
      <c r="L658" s="24" t="s">
        <v>78</v>
      </c>
      <c r="M658" s="26">
        <v>1</v>
      </c>
      <c r="N658" s="25">
        <v>20</v>
      </c>
      <c r="O658" s="27">
        <v>20</v>
      </c>
      <c r="P658" s="22" t="s">
        <v>3831</v>
      </c>
    </row>
    <row r="659" spans="1:16" s="22" customFormat="1" ht="15" customHeight="1" x14ac:dyDescent="0.2">
      <c r="A659" s="22" t="s">
        <v>3804</v>
      </c>
      <c r="B659" s="22">
        <v>20490188</v>
      </c>
      <c r="C659" s="23">
        <v>1</v>
      </c>
      <c r="D659" s="23">
        <v>921685986</v>
      </c>
      <c r="E659" s="23">
        <v>921685986</v>
      </c>
      <c r="F659" s="24" t="s">
        <v>3109</v>
      </c>
      <c r="G659" s="23">
        <v>0</v>
      </c>
      <c r="H659" s="23">
        <v>20250301</v>
      </c>
      <c r="I659" s="23" t="str">
        <f>TEXT(DATE(LEFT(H659,4), MID(H659,5,2), RIGHT(H659,2)), "M/d/yyyy")</f>
        <v>3/1/2025</v>
      </c>
      <c r="J659" s="25">
        <v>20240101</v>
      </c>
      <c r="K659" s="23" t="str">
        <f>TEXT(DATE(LEFT(J659,4), MID(J659,5,2), RIGHT(J659,2)), "M/d/yyyy")</f>
        <v>1/1/2024</v>
      </c>
      <c r="L659" s="24" t="s">
        <v>78</v>
      </c>
      <c r="M659" s="26">
        <v>1</v>
      </c>
      <c r="N659" s="25">
        <v>20</v>
      </c>
      <c r="O659" s="27">
        <v>20</v>
      </c>
      <c r="P659" s="22" t="s">
        <v>3831</v>
      </c>
    </row>
    <row r="660" spans="1:16" s="22" customFormat="1" ht="15" customHeight="1" x14ac:dyDescent="0.2">
      <c r="A660" s="22" t="s">
        <v>3804</v>
      </c>
      <c r="B660" s="22">
        <v>20490188</v>
      </c>
      <c r="C660" s="23">
        <v>1</v>
      </c>
      <c r="D660" s="23">
        <v>921687411</v>
      </c>
      <c r="E660" s="23">
        <v>921687411</v>
      </c>
      <c r="F660" s="24" t="s">
        <v>3111</v>
      </c>
      <c r="G660" s="23">
        <v>0</v>
      </c>
      <c r="H660" s="23">
        <v>20250301</v>
      </c>
      <c r="I660" s="23" t="str">
        <f>TEXT(DATE(LEFT(H660,4), MID(H660,5,2), RIGHT(H660,2)), "M/d/yyyy")</f>
        <v>3/1/2025</v>
      </c>
      <c r="J660" s="25">
        <v>20240101</v>
      </c>
      <c r="K660" s="23" t="str">
        <f>TEXT(DATE(LEFT(J660,4), MID(J660,5,2), RIGHT(J660,2)), "M/d/yyyy")</f>
        <v>1/1/2024</v>
      </c>
      <c r="L660" s="24" t="s">
        <v>78</v>
      </c>
      <c r="M660" s="26">
        <v>1</v>
      </c>
      <c r="N660" s="25">
        <v>20</v>
      </c>
      <c r="O660" s="27">
        <v>20</v>
      </c>
      <c r="P660" s="22" t="s">
        <v>3831</v>
      </c>
    </row>
    <row r="661" spans="1:16" s="22" customFormat="1" ht="15" customHeight="1" x14ac:dyDescent="0.2">
      <c r="A661" s="22" t="s">
        <v>3804</v>
      </c>
      <c r="B661" s="22">
        <v>20490188</v>
      </c>
      <c r="C661" s="23">
        <v>1</v>
      </c>
      <c r="D661" s="23">
        <v>921704033</v>
      </c>
      <c r="E661" s="23">
        <v>921704033</v>
      </c>
      <c r="F661" s="24" t="s">
        <v>3113</v>
      </c>
      <c r="G661" s="23">
        <v>0</v>
      </c>
      <c r="H661" s="23">
        <v>20250301</v>
      </c>
      <c r="I661" s="23" t="str">
        <f>TEXT(DATE(LEFT(H661,4), MID(H661,5,2), RIGHT(H661,2)), "M/d/yyyy")</f>
        <v>3/1/2025</v>
      </c>
      <c r="J661" s="25">
        <v>20240101</v>
      </c>
      <c r="K661" s="23" t="str">
        <f>TEXT(DATE(LEFT(J661,4), MID(J661,5,2), RIGHT(J661,2)), "M/d/yyyy")</f>
        <v>1/1/2024</v>
      </c>
      <c r="L661" s="24" t="s">
        <v>78</v>
      </c>
      <c r="M661" s="26">
        <v>1</v>
      </c>
      <c r="N661" s="25">
        <v>20</v>
      </c>
      <c r="O661" s="27">
        <v>20</v>
      </c>
      <c r="P661" s="22" t="s">
        <v>3831</v>
      </c>
    </row>
    <row r="662" spans="1:16" s="22" customFormat="1" ht="15" customHeight="1" x14ac:dyDescent="0.2">
      <c r="A662" s="22" t="s">
        <v>3804</v>
      </c>
      <c r="B662" s="22">
        <v>20490188</v>
      </c>
      <c r="C662" s="23">
        <v>1</v>
      </c>
      <c r="D662" s="23">
        <v>890314576</v>
      </c>
      <c r="E662" s="23">
        <v>890314576</v>
      </c>
      <c r="F662" s="24" t="s">
        <v>3093</v>
      </c>
      <c r="G662" s="23">
        <v>0</v>
      </c>
      <c r="H662" s="23">
        <v>20250301</v>
      </c>
      <c r="I662" s="23" t="str">
        <f>TEXT(DATE(LEFT(H662,4), MID(H662,5,2), RIGHT(H662,2)), "M/d/yyyy")</f>
        <v>3/1/2025</v>
      </c>
      <c r="J662" s="25">
        <v>20250101</v>
      </c>
      <c r="K662" s="23" t="str">
        <f>TEXT(DATE(LEFT(J662,4), MID(J662,5,2), RIGHT(J662,2)), "M/d/yyyy")</f>
        <v>1/1/2025</v>
      </c>
      <c r="L662" s="24" t="s">
        <v>78</v>
      </c>
      <c r="M662" s="26">
        <v>1</v>
      </c>
      <c r="N662" s="25">
        <v>25</v>
      </c>
      <c r="O662" s="27">
        <v>25</v>
      </c>
      <c r="P662" s="22" t="s">
        <v>3831</v>
      </c>
    </row>
    <row r="663" spans="1:16" s="22" customFormat="1" ht="15" customHeight="1" x14ac:dyDescent="0.2">
      <c r="A663" s="22" t="s">
        <v>3804</v>
      </c>
      <c r="B663" s="22">
        <v>20490188</v>
      </c>
      <c r="C663" s="23">
        <v>1</v>
      </c>
      <c r="D663" s="23">
        <v>890646180</v>
      </c>
      <c r="E663" s="23">
        <v>890646180</v>
      </c>
      <c r="F663" s="24" t="s">
        <v>3095</v>
      </c>
      <c r="G663" s="23">
        <v>0</v>
      </c>
      <c r="H663" s="23">
        <v>20250301</v>
      </c>
      <c r="I663" s="23" t="str">
        <f>TEXT(DATE(LEFT(H663,4), MID(H663,5,2), RIGHT(H663,2)), "M/d/yyyy")</f>
        <v>3/1/2025</v>
      </c>
      <c r="J663" s="25">
        <v>20240601</v>
      </c>
      <c r="K663" s="23" t="str">
        <f>TEXT(DATE(LEFT(J663,4), MID(J663,5,2), RIGHT(J663,2)), "M/d/yyyy")</f>
        <v>6/1/2024</v>
      </c>
      <c r="L663" s="24" t="s">
        <v>78</v>
      </c>
      <c r="M663" s="26">
        <v>1</v>
      </c>
      <c r="N663" s="25">
        <v>25</v>
      </c>
      <c r="O663" s="27">
        <v>25</v>
      </c>
      <c r="P663" s="22" t="s">
        <v>3831</v>
      </c>
    </row>
    <row r="664" spans="1:16" s="22" customFormat="1" ht="15" customHeight="1" x14ac:dyDescent="0.2">
      <c r="A664" s="22" t="s">
        <v>3804</v>
      </c>
      <c r="B664" s="22">
        <v>20490188</v>
      </c>
      <c r="C664" s="23">
        <v>1</v>
      </c>
      <c r="D664" s="23">
        <v>921502568</v>
      </c>
      <c r="E664" s="23">
        <v>921502568</v>
      </c>
      <c r="F664" s="24" t="s">
        <v>3099</v>
      </c>
      <c r="G664" s="23">
        <v>0</v>
      </c>
      <c r="H664" s="23">
        <v>20250301</v>
      </c>
      <c r="I664" s="23" t="str">
        <f>TEXT(DATE(LEFT(H664,4), MID(H664,5,2), RIGHT(H664,2)), "M/d/yyyy")</f>
        <v>3/1/2025</v>
      </c>
      <c r="J664" s="25">
        <v>20250101</v>
      </c>
      <c r="K664" s="23" t="str">
        <f>TEXT(DATE(LEFT(J664,4), MID(J664,5,2), RIGHT(J664,2)), "M/d/yyyy")</f>
        <v>1/1/2025</v>
      </c>
      <c r="L664" s="24" t="s">
        <v>78</v>
      </c>
      <c r="M664" s="26">
        <v>1</v>
      </c>
      <c r="N664" s="25">
        <v>25</v>
      </c>
      <c r="O664" s="27">
        <v>25</v>
      </c>
      <c r="P664" s="22" t="s">
        <v>3831</v>
      </c>
    </row>
    <row r="665" spans="1:16" s="22" customFormat="1" ht="15" customHeight="1" x14ac:dyDescent="0.2">
      <c r="A665" s="22" t="s">
        <v>3804</v>
      </c>
      <c r="B665" s="22">
        <v>20490188</v>
      </c>
      <c r="C665" s="23">
        <v>1</v>
      </c>
      <c r="D665" s="23">
        <v>921502568</v>
      </c>
      <c r="E665" s="23">
        <v>921502568</v>
      </c>
      <c r="F665" s="24" t="s">
        <v>3099</v>
      </c>
      <c r="G665" s="23">
        <v>0</v>
      </c>
      <c r="H665" s="23">
        <v>20250201</v>
      </c>
      <c r="I665" s="23" t="str">
        <f>TEXT(DATE(LEFT(H665,4), MID(H665,5,2), RIGHT(H665,2)), "M/d/yyyy")</f>
        <v>2/1/2025</v>
      </c>
      <c r="J665" s="25">
        <v>20250101</v>
      </c>
      <c r="K665" s="23" t="str">
        <f>TEXT(DATE(LEFT(J665,4), MID(J665,5,2), RIGHT(J665,2)), "M/d/yyyy")</f>
        <v>1/1/2025</v>
      </c>
      <c r="L665" s="24" t="s">
        <v>78</v>
      </c>
      <c r="M665" s="26">
        <v>1</v>
      </c>
      <c r="N665" s="25">
        <v>25</v>
      </c>
      <c r="O665" s="27">
        <v>25</v>
      </c>
      <c r="P665" s="22" t="s">
        <v>3831</v>
      </c>
    </row>
    <row r="666" spans="1:16" s="22" customFormat="1" ht="15" customHeight="1" x14ac:dyDescent="0.2">
      <c r="A666" s="22" t="s">
        <v>3804</v>
      </c>
      <c r="B666" s="22">
        <v>20490188</v>
      </c>
      <c r="C666" s="23">
        <v>1</v>
      </c>
      <c r="D666" s="23">
        <v>921737642</v>
      </c>
      <c r="E666" s="23">
        <v>921737642</v>
      </c>
      <c r="F666" s="24" t="s">
        <v>3115</v>
      </c>
      <c r="G666" s="23">
        <v>0</v>
      </c>
      <c r="H666" s="23">
        <v>20250301</v>
      </c>
      <c r="I666" s="23" t="str">
        <f>TEXT(DATE(LEFT(H666,4), MID(H666,5,2), RIGHT(H666,2)), "M/d/yyyy")</f>
        <v>3/1/2025</v>
      </c>
      <c r="J666" s="25">
        <v>20240901</v>
      </c>
      <c r="K666" s="23" t="str">
        <f>TEXT(DATE(LEFT(J666,4), MID(J666,5,2), RIGHT(J666,2)), "M/d/yyyy")</f>
        <v>9/1/2024</v>
      </c>
      <c r="L666" s="24" t="s">
        <v>78</v>
      </c>
      <c r="M666" s="26">
        <v>1</v>
      </c>
      <c r="N666" s="25">
        <v>25</v>
      </c>
      <c r="O666" s="27">
        <v>25</v>
      </c>
      <c r="P666" s="22" t="s">
        <v>3831</v>
      </c>
    </row>
    <row r="667" spans="1:16" s="22" customFormat="1" ht="15" customHeight="1" x14ac:dyDescent="0.2">
      <c r="A667" s="22" t="s">
        <v>3804</v>
      </c>
      <c r="B667" s="22">
        <v>20490188</v>
      </c>
      <c r="C667" s="23">
        <v>1</v>
      </c>
      <c r="D667" s="23">
        <v>921756431</v>
      </c>
      <c r="E667" s="23">
        <v>921756431</v>
      </c>
      <c r="F667" s="24" t="s">
        <v>3119</v>
      </c>
      <c r="G667" s="23">
        <v>0</v>
      </c>
      <c r="H667" s="23">
        <v>20250301</v>
      </c>
      <c r="I667" s="23" t="str">
        <f>TEXT(DATE(LEFT(H667,4), MID(H667,5,2), RIGHT(H667,2)), "M/d/yyyy")</f>
        <v>3/1/2025</v>
      </c>
      <c r="J667" s="25">
        <v>20250101</v>
      </c>
      <c r="K667" s="23" t="str">
        <f>TEXT(DATE(LEFT(J667,4), MID(J667,5,2), RIGHT(J667,2)), "M/d/yyyy")</f>
        <v>1/1/2025</v>
      </c>
      <c r="L667" s="24" t="s">
        <v>78</v>
      </c>
      <c r="M667" s="26">
        <v>1</v>
      </c>
      <c r="N667" s="25">
        <v>25</v>
      </c>
      <c r="O667" s="27">
        <v>25</v>
      </c>
      <c r="P667" s="22" t="s">
        <v>3831</v>
      </c>
    </row>
    <row r="668" spans="1:16" s="22" customFormat="1" ht="15" customHeight="1" x14ac:dyDescent="0.2">
      <c r="A668" s="22" t="s">
        <v>3804</v>
      </c>
      <c r="B668" s="22">
        <v>20490188</v>
      </c>
      <c r="C668" s="23">
        <v>1</v>
      </c>
      <c r="D668" s="23">
        <v>921759989</v>
      </c>
      <c r="E668" s="23">
        <v>921759989</v>
      </c>
      <c r="F668" s="24" t="s">
        <v>3121</v>
      </c>
      <c r="G668" s="23">
        <v>0</v>
      </c>
      <c r="H668" s="23">
        <v>20250301</v>
      </c>
      <c r="I668" s="23" t="str">
        <f>TEXT(DATE(LEFT(H668,4), MID(H668,5,2), RIGHT(H668,2)), "M/d/yyyy")</f>
        <v>3/1/2025</v>
      </c>
      <c r="J668" s="25">
        <v>20250101</v>
      </c>
      <c r="K668" s="23" t="str">
        <f>TEXT(DATE(LEFT(J668,4), MID(J668,5,2), RIGHT(J668,2)), "M/d/yyyy")</f>
        <v>1/1/2025</v>
      </c>
      <c r="L668" s="24" t="s">
        <v>78</v>
      </c>
      <c r="M668" s="26">
        <v>1</v>
      </c>
      <c r="N668" s="25">
        <v>25</v>
      </c>
      <c r="O668" s="27">
        <v>25</v>
      </c>
      <c r="P668" s="22" t="s">
        <v>3831</v>
      </c>
    </row>
    <row r="669" spans="1:16" s="22" customFormat="1" ht="15" customHeight="1" x14ac:dyDescent="0.2">
      <c r="A669" s="22" t="s">
        <v>3804</v>
      </c>
      <c r="B669" s="22">
        <v>20490188</v>
      </c>
      <c r="C669" s="23">
        <v>1</v>
      </c>
      <c r="D669" s="23">
        <v>921761471</v>
      </c>
      <c r="E669" s="23">
        <v>921761471</v>
      </c>
      <c r="F669" s="24" t="s">
        <v>3123</v>
      </c>
      <c r="G669" s="23">
        <v>0</v>
      </c>
      <c r="H669" s="23">
        <v>20250301</v>
      </c>
      <c r="I669" s="23" t="str">
        <f>TEXT(DATE(LEFT(H669,4), MID(H669,5,2), RIGHT(H669,2)), "M/d/yyyy")</f>
        <v>3/1/2025</v>
      </c>
      <c r="J669" s="25">
        <v>20250101</v>
      </c>
      <c r="K669" s="23" t="str">
        <f>TEXT(DATE(LEFT(J669,4), MID(J669,5,2), RIGHT(J669,2)), "M/d/yyyy")</f>
        <v>1/1/2025</v>
      </c>
      <c r="L669" s="24" t="s">
        <v>78</v>
      </c>
      <c r="M669" s="26">
        <v>1</v>
      </c>
      <c r="N669" s="25">
        <v>25</v>
      </c>
      <c r="O669" s="27">
        <v>25</v>
      </c>
      <c r="P669" s="22" t="s">
        <v>3831</v>
      </c>
    </row>
    <row r="670" spans="1:16" s="22" customFormat="1" ht="15" customHeight="1" x14ac:dyDescent="0.2">
      <c r="A670" s="22" t="s">
        <v>3804</v>
      </c>
      <c r="B670" s="22">
        <v>20490188</v>
      </c>
      <c r="C670" s="23">
        <v>4</v>
      </c>
      <c r="D670" s="23">
        <v>921608884</v>
      </c>
      <c r="E670" s="23">
        <v>921608884</v>
      </c>
      <c r="F670" s="24" t="s">
        <v>3101</v>
      </c>
      <c r="G670" s="23">
        <v>0</v>
      </c>
      <c r="H670" s="23">
        <v>20250301</v>
      </c>
      <c r="I670" s="23" t="str">
        <f>TEXT(DATE(LEFT(H670,4), MID(H670,5,2), RIGHT(H670,2)), "M/d/yyyy")</f>
        <v>3/1/2025</v>
      </c>
      <c r="J670" s="25">
        <v>20250101</v>
      </c>
      <c r="K670" s="23" t="str">
        <f>TEXT(DATE(LEFT(J670,4), MID(J670,5,2), RIGHT(J670,2)), "M/d/yyyy")</f>
        <v>1/1/2025</v>
      </c>
      <c r="L670" s="24" t="s">
        <v>78</v>
      </c>
      <c r="M670" s="26">
        <v>1</v>
      </c>
      <c r="N670" s="25">
        <v>25</v>
      </c>
      <c r="O670" s="27">
        <v>100</v>
      </c>
      <c r="P670" s="22" t="s">
        <v>3831</v>
      </c>
    </row>
    <row r="671" spans="1:16" s="22" customFormat="1" ht="15" customHeight="1" x14ac:dyDescent="0.2">
      <c r="A671" s="22" t="s">
        <v>3784</v>
      </c>
      <c r="B671" s="22">
        <v>8244481</v>
      </c>
      <c r="C671" s="23">
        <v>1</v>
      </c>
      <c r="D671" s="23">
        <v>921429402</v>
      </c>
      <c r="E671" s="23">
        <v>921429402</v>
      </c>
      <c r="F671" s="24" t="s">
        <v>1422</v>
      </c>
      <c r="G671" s="23">
        <v>0</v>
      </c>
      <c r="H671" s="23">
        <v>20241201</v>
      </c>
      <c r="I671" s="23" t="str">
        <f>TEXT(DATE(LEFT(H671,4), MID(H671,5,2), RIGHT(H671,2)), "M/d/yyyy")</f>
        <v>12/1/2024</v>
      </c>
      <c r="J671" s="25">
        <v>20240701</v>
      </c>
      <c r="K671" s="23" t="str">
        <f>TEXT(DATE(LEFT(J671,4), MID(J671,5,2), RIGHT(J671,2)), "M/d/yyyy")</f>
        <v>7/1/2024</v>
      </c>
      <c r="L671" s="24" t="s">
        <v>78</v>
      </c>
      <c r="M671" s="26">
        <v>1</v>
      </c>
      <c r="N671" s="25">
        <v>15</v>
      </c>
      <c r="O671" s="27">
        <v>15</v>
      </c>
      <c r="P671" s="22" t="s">
        <v>3832</v>
      </c>
    </row>
    <row r="672" spans="1:16" s="22" customFormat="1" ht="15" customHeight="1" x14ac:dyDescent="0.2">
      <c r="A672" s="22" t="s">
        <v>3792</v>
      </c>
      <c r="B672" s="22">
        <v>16912722</v>
      </c>
      <c r="C672" s="23">
        <v>1</v>
      </c>
      <c r="D672" s="23">
        <v>921382321</v>
      </c>
      <c r="E672" s="23">
        <v>921382321</v>
      </c>
      <c r="F672" s="24" t="s">
        <v>2519</v>
      </c>
      <c r="G672" s="23">
        <v>0</v>
      </c>
      <c r="H672" s="23">
        <v>20250301</v>
      </c>
      <c r="I672" s="23" t="str">
        <f>TEXT(DATE(LEFT(H672,4), MID(H672,5,2), RIGHT(H672,2)), "M/d/yyyy")</f>
        <v>3/1/2025</v>
      </c>
      <c r="J672" s="25">
        <v>20180101</v>
      </c>
      <c r="K672" s="23" t="str">
        <f>TEXT(DATE(LEFT(J672,4), MID(J672,5,2), RIGHT(J672,2)), "M/d/yyyy")</f>
        <v>1/1/2018</v>
      </c>
      <c r="L672" s="24" t="s">
        <v>197</v>
      </c>
      <c r="M672" s="26">
        <v>1</v>
      </c>
      <c r="N672" s="25">
        <v>15</v>
      </c>
      <c r="O672" s="27">
        <v>15</v>
      </c>
      <c r="P672" s="22" t="s">
        <v>3843</v>
      </c>
    </row>
    <row r="673" spans="1:16" s="22" customFormat="1" ht="15" customHeight="1" x14ac:dyDescent="0.2">
      <c r="A673" s="22" t="s">
        <v>3792</v>
      </c>
      <c r="B673" s="22">
        <v>16912722</v>
      </c>
      <c r="C673" s="23">
        <v>1</v>
      </c>
      <c r="D673" s="23">
        <v>921759663</v>
      </c>
      <c r="E673" s="23">
        <v>921759663</v>
      </c>
      <c r="F673" s="24" t="s">
        <v>2534</v>
      </c>
      <c r="G673" s="23">
        <v>0</v>
      </c>
      <c r="H673" s="23">
        <v>20250301</v>
      </c>
      <c r="I673" s="23" t="str">
        <f>TEXT(DATE(LEFT(H673,4), MID(H673,5,2), RIGHT(H673,2)), "M/d/yyyy")</f>
        <v>3/1/2025</v>
      </c>
      <c r="J673" s="25">
        <v>20250101</v>
      </c>
      <c r="K673" s="23" t="str">
        <f>TEXT(DATE(LEFT(J673,4), MID(J673,5,2), RIGHT(J673,2)), "M/d/yyyy")</f>
        <v>1/1/2025</v>
      </c>
      <c r="L673" s="24" t="s">
        <v>197</v>
      </c>
      <c r="M673" s="26">
        <v>1</v>
      </c>
      <c r="N673" s="25">
        <v>20</v>
      </c>
      <c r="O673" s="27">
        <v>20</v>
      </c>
      <c r="P673" s="22" t="s">
        <v>3843</v>
      </c>
    </row>
    <row r="674" spans="1:16" s="22" customFormat="1" ht="15" customHeight="1" x14ac:dyDescent="0.2">
      <c r="A674" s="22" t="s">
        <v>3792</v>
      </c>
      <c r="B674" s="22">
        <v>16912722</v>
      </c>
      <c r="C674" s="23">
        <v>1</v>
      </c>
      <c r="D674" s="23">
        <v>921764777</v>
      </c>
      <c r="E674" s="23">
        <v>921764777</v>
      </c>
      <c r="F674" s="24" t="s">
        <v>2536</v>
      </c>
      <c r="G674" s="23">
        <v>0</v>
      </c>
      <c r="H674" s="23">
        <v>20250301</v>
      </c>
      <c r="I674" s="23" t="str">
        <f>TEXT(DATE(LEFT(H674,4), MID(H674,5,2), RIGHT(H674,2)), "M/d/yyyy")</f>
        <v>3/1/2025</v>
      </c>
      <c r="J674" s="25">
        <v>20250101</v>
      </c>
      <c r="K674" s="23" t="str">
        <f>TEXT(DATE(LEFT(J674,4), MID(J674,5,2), RIGHT(J674,2)), "M/d/yyyy")</f>
        <v>1/1/2025</v>
      </c>
      <c r="L674" s="24" t="s">
        <v>197</v>
      </c>
      <c r="M674" s="26">
        <v>1</v>
      </c>
      <c r="N674" s="25">
        <v>20</v>
      </c>
      <c r="O674" s="27">
        <v>20</v>
      </c>
      <c r="P674" s="22" t="s">
        <v>3843</v>
      </c>
    </row>
    <row r="675" spans="1:16" s="22" customFormat="1" ht="15" customHeight="1" x14ac:dyDescent="0.2">
      <c r="A675" s="22" t="s">
        <v>3792</v>
      </c>
      <c r="B675" s="22">
        <v>16912722</v>
      </c>
      <c r="C675" s="23">
        <v>1</v>
      </c>
      <c r="D675" s="23">
        <v>921765101</v>
      </c>
      <c r="E675" s="23">
        <v>921765101</v>
      </c>
      <c r="F675" s="24" t="s">
        <v>2538</v>
      </c>
      <c r="G675" s="23">
        <v>0</v>
      </c>
      <c r="H675" s="23">
        <v>20250301</v>
      </c>
      <c r="I675" s="23" t="str">
        <f>TEXT(DATE(LEFT(H675,4), MID(H675,5,2), RIGHT(H675,2)), "M/d/yyyy")</f>
        <v>3/1/2025</v>
      </c>
      <c r="J675" s="25">
        <v>20250101</v>
      </c>
      <c r="K675" s="23" t="str">
        <f>TEXT(DATE(LEFT(J675,4), MID(J675,5,2), RIGHT(J675,2)), "M/d/yyyy")</f>
        <v>1/1/2025</v>
      </c>
      <c r="L675" s="24" t="s">
        <v>197</v>
      </c>
      <c r="M675" s="26">
        <v>1</v>
      </c>
      <c r="N675" s="25">
        <v>20</v>
      </c>
      <c r="O675" s="27">
        <v>20</v>
      </c>
      <c r="P675" s="22" t="s">
        <v>3843</v>
      </c>
    </row>
    <row r="676" spans="1:16" s="22" customFormat="1" ht="15" customHeight="1" x14ac:dyDescent="0.2">
      <c r="A676" s="22" t="s">
        <v>3792</v>
      </c>
      <c r="B676" s="22">
        <v>16912722</v>
      </c>
      <c r="C676" s="23">
        <v>3</v>
      </c>
      <c r="D676" s="23">
        <v>921776147</v>
      </c>
      <c r="E676" s="23">
        <v>921776147</v>
      </c>
      <c r="F676" s="24" t="s">
        <v>2540</v>
      </c>
      <c r="G676" s="23">
        <v>0</v>
      </c>
      <c r="H676" s="23">
        <v>20250301</v>
      </c>
      <c r="I676" s="23" t="str">
        <f>TEXT(DATE(LEFT(H676,4), MID(H676,5,2), RIGHT(H676,2)), "M/d/yyyy")</f>
        <v>3/1/2025</v>
      </c>
      <c r="J676" s="25">
        <v>20250201</v>
      </c>
      <c r="K676" s="23" t="str">
        <f>TEXT(DATE(LEFT(J676,4), MID(J676,5,2), RIGHT(J676,2)), "M/d/yyyy")</f>
        <v>2/1/2025</v>
      </c>
      <c r="L676" s="24" t="s">
        <v>197</v>
      </c>
      <c r="M676" s="26">
        <v>1</v>
      </c>
      <c r="N676" s="25">
        <v>20</v>
      </c>
      <c r="O676" s="27">
        <v>60</v>
      </c>
      <c r="P676" s="22" t="s">
        <v>3843</v>
      </c>
    </row>
    <row r="677" spans="1:16" s="22" customFormat="1" ht="15" customHeight="1" x14ac:dyDescent="0.2">
      <c r="A677" s="22" t="s">
        <v>3782</v>
      </c>
      <c r="B677" s="22">
        <v>7470776</v>
      </c>
      <c r="C677" s="23">
        <v>1</v>
      </c>
      <c r="D677" s="23">
        <v>920744320</v>
      </c>
      <c r="E677" s="23">
        <v>920744320</v>
      </c>
      <c r="F677" s="24" t="s">
        <v>978</v>
      </c>
      <c r="G677" s="23">
        <v>0</v>
      </c>
      <c r="H677" s="23">
        <v>20250201</v>
      </c>
      <c r="I677" s="23" t="str">
        <f>TEXT(DATE(LEFT(H677,4), MID(H677,5,2), RIGHT(H677,2)), "M/d/yyyy")</f>
        <v>2/1/2025</v>
      </c>
      <c r="J677" s="25">
        <v>20240101</v>
      </c>
      <c r="K677" s="23" t="str">
        <f>TEXT(DATE(LEFT(J677,4), MID(J677,5,2), RIGHT(J677,2)), "M/d/yyyy")</f>
        <v>1/1/2024</v>
      </c>
      <c r="L677" s="24" t="s">
        <v>197</v>
      </c>
      <c r="M677" s="26">
        <v>1</v>
      </c>
      <c r="N677" s="25">
        <v>15</v>
      </c>
      <c r="O677" s="27">
        <v>15</v>
      </c>
      <c r="P677" s="22" t="s">
        <v>3843</v>
      </c>
    </row>
    <row r="678" spans="1:16" s="22" customFormat="1" ht="15" customHeight="1" x14ac:dyDescent="0.2">
      <c r="A678" s="22" t="s">
        <v>3782</v>
      </c>
      <c r="B678" s="22">
        <v>7470776</v>
      </c>
      <c r="C678" s="23">
        <v>1</v>
      </c>
      <c r="D678" s="23">
        <v>920858983</v>
      </c>
      <c r="E678" s="23">
        <v>920858983</v>
      </c>
      <c r="F678" s="24" t="s">
        <v>1003</v>
      </c>
      <c r="G678" s="23">
        <v>0</v>
      </c>
      <c r="H678" s="23">
        <v>20250301</v>
      </c>
      <c r="I678" s="23" t="str">
        <f>TEXT(DATE(LEFT(H678,4), MID(H678,5,2), RIGHT(H678,2)), "M/d/yyyy")</f>
        <v>3/1/2025</v>
      </c>
      <c r="J678" s="25">
        <v>20240101</v>
      </c>
      <c r="K678" s="23" t="str">
        <f>TEXT(DATE(LEFT(J678,4), MID(J678,5,2), RIGHT(J678,2)), "M/d/yyyy")</f>
        <v>1/1/2024</v>
      </c>
      <c r="L678" s="24" t="s">
        <v>197</v>
      </c>
      <c r="M678" s="26">
        <v>1</v>
      </c>
      <c r="N678" s="25">
        <v>15</v>
      </c>
      <c r="O678" s="27">
        <v>15</v>
      </c>
      <c r="P678" s="22" t="s">
        <v>3843</v>
      </c>
    </row>
    <row r="679" spans="1:16" s="22" customFormat="1" ht="15" customHeight="1" x14ac:dyDescent="0.2">
      <c r="A679" s="22" t="s">
        <v>3782</v>
      </c>
      <c r="B679" s="22">
        <v>7470776</v>
      </c>
      <c r="C679" s="23">
        <v>1</v>
      </c>
      <c r="D679" s="23">
        <v>921027219</v>
      </c>
      <c r="E679" s="23">
        <v>921027219</v>
      </c>
      <c r="F679" s="24" t="s">
        <v>1018</v>
      </c>
      <c r="G679" s="23">
        <v>0</v>
      </c>
      <c r="H679" s="23">
        <v>20250301</v>
      </c>
      <c r="I679" s="23" t="str">
        <f>TEXT(DATE(LEFT(H679,4), MID(H679,5,2), RIGHT(H679,2)), "M/d/yyyy")</f>
        <v>3/1/2025</v>
      </c>
      <c r="J679" s="25">
        <v>20170101</v>
      </c>
      <c r="K679" s="23" t="str">
        <f>TEXT(DATE(LEFT(J679,4), MID(J679,5,2), RIGHT(J679,2)), "M/d/yyyy")</f>
        <v>1/1/2017</v>
      </c>
      <c r="L679" s="24" t="s">
        <v>197</v>
      </c>
      <c r="M679" s="26">
        <v>1</v>
      </c>
      <c r="N679" s="25">
        <v>15</v>
      </c>
      <c r="O679" s="27">
        <v>15</v>
      </c>
      <c r="P679" s="22" t="s">
        <v>3843</v>
      </c>
    </row>
    <row r="680" spans="1:16" s="22" customFormat="1" ht="15" customHeight="1" x14ac:dyDescent="0.2">
      <c r="A680" s="22" t="s">
        <v>3782</v>
      </c>
      <c r="B680" s="22">
        <v>7470776</v>
      </c>
      <c r="C680" s="23">
        <v>1</v>
      </c>
      <c r="D680" s="23">
        <v>921034873</v>
      </c>
      <c r="E680" s="23">
        <v>921034873</v>
      </c>
      <c r="F680" s="24" t="s">
        <v>1022</v>
      </c>
      <c r="G680" s="23">
        <v>0</v>
      </c>
      <c r="H680" s="23">
        <v>20250301</v>
      </c>
      <c r="I680" s="23" t="str">
        <f>TEXT(DATE(LEFT(H680,4), MID(H680,5,2), RIGHT(H680,2)), "M/d/yyyy")</f>
        <v>3/1/2025</v>
      </c>
      <c r="J680" s="25">
        <v>20170101</v>
      </c>
      <c r="K680" s="23" t="str">
        <f>TEXT(DATE(LEFT(J680,4), MID(J680,5,2), RIGHT(J680,2)), "M/d/yyyy")</f>
        <v>1/1/2017</v>
      </c>
      <c r="L680" s="24" t="s">
        <v>197</v>
      </c>
      <c r="M680" s="26">
        <v>1</v>
      </c>
      <c r="N680" s="25">
        <v>15</v>
      </c>
      <c r="O680" s="27">
        <v>15</v>
      </c>
      <c r="P680" s="22" t="s">
        <v>3843</v>
      </c>
    </row>
    <row r="681" spans="1:16" s="22" customFormat="1" ht="15" customHeight="1" x14ac:dyDescent="0.2">
      <c r="A681" s="22" t="s">
        <v>3782</v>
      </c>
      <c r="B681" s="22">
        <v>7470776</v>
      </c>
      <c r="C681" s="23">
        <v>1</v>
      </c>
      <c r="D681" s="23">
        <v>921285702</v>
      </c>
      <c r="E681" s="23">
        <v>921285702</v>
      </c>
      <c r="F681" s="24" t="s">
        <v>1040</v>
      </c>
      <c r="G681" s="23">
        <v>0</v>
      </c>
      <c r="H681" s="23">
        <v>20250301</v>
      </c>
      <c r="I681" s="23" t="str">
        <f>TEXT(DATE(LEFT(H681,4), MID(H681,5,2), RIGHT(H681,2)), "M/d/yyyy")</f>
        <v>3/1/2025</v>
      </c>
      <c r="J681" s="25">
        <v>20240201</v>
      </c>
      <c r="K681" s="23" t="str">
        <f>TEXT(DATE(LEFT(J681,4), MID(J681,5,2), RIGHT(J681,2)), "M/d/yyyy")</f>
        <v>2/1/2024</v>
      </c>
      <c r="L681" s="24" t="s">
        <v>197</v>
      </c>
      <c r="M681" s="26">
        <v>1</v>
      </c>
      <c r="N681" s="25">
        <v>15</v>
      </c>
      <c r="O681" s="27">
        <v>15</v>
      </c>
      <c r="P681" s="22" t="s">
        <v>3843</v>
      </c>
    </row>
    <row r="682" spans="1:16" s="22" customFormat="1" ht="15" customHeight="1" x14ac:dyDescent="0.2">
      <c r="A682" s="22" t="s">
        <v>3782</v>
      </c>
      <c r="B682" s="22">
        <v>7470776</v>
      </c>
      <c r="C682" s="23">
        <v>1</v>
      </c>
      <c r="D682" s="23">
        <v>921409379</v>
      </c>
      <c r="E682" s="23">
        <v>921409379</v>
      </c>
      <c r="F682" s="24" t="s">
        <v>1060</v>
      </c>
      <c r="G682" s="23">
        <v>0</v>
      </c>
      <c r="H682" s="23">
        <v>20250301</v>
      </c>
      <c r="I682" s="23" t="str">
        <f>TEXT(DATE(LEFT(H682,4), MID(H682,5,2), RIGHT(H682,2)), "M/d/yyyy")</f>
        <v>3/1/2025</v>
      </c>
      <c r="J682" s="25">
        <v>20180201</v>
      </c>
      <c r="K682" s="23" t="str">
        <f>TEXT(DATE(LEFT(J682,4), MID(J682,5,2), RIGHT(J682,2)), "M/d/yyyy")</f>
        <v>2/1/2018</v>
      </c>
      <c r="L682" s="24" t="s">
        <v>197</v>
      </c>
      <c r="M682" s="26">
        <v>1</v>
      </c>
      <c r="N682" s="25">
        <v>15</v>
      </c>
      <c r="O682" s="27">
        <v>15</v>
      </c>
      <c r="P682" s="22" t="s">
        <v>3843</v>
      </c>
    </row>
    <row r="683" spans="1:16" s="22" customFormat="1" ht="15" customHeight="1" x14ac:dyDescent="0.2">
      <c r="A683" s="22" t="s">
        <v>3782</v>
      </c>
      <c r="B683" s="22">
        <v>7470776</v>
      </c>
      <c r="C683" s="23">
        <v>1</v>
      </c>
      <c r="D683" s="23">
        <v>921689866</v>
      </c>
      <c r="E683" s="23">
        <v>921689866</v>
      </c>
      <c r="F683" s="24" t="s">
        <v>1155</v>
      </c>
      <c r="G683" s="23">
        <v>0</v>
      </c>
      <c r="H683" s="23">
        <v>20250301</v>
      </c>
      <c r="I683" s="23" t="str">
        <f>TEXT(DATE(LEFT(H683,4), MID(H683,5,2), RIGHT(H683,2)), "M/d/yyyy")</f>
        <v>3/1/2025</v>
      </c>
      <c r="J683" s="25">
        <v>20240101</v>
      </c>
      <c r="K683" s="23" t="str">
        <f>TEXT(DATE(LEFT(J683,4), MID(J683,5,2), RIGHT(J683,2)), "M/d/yyyy")</f>
        <v>1/1/2024</v>
      </c>
      <c r="L683" s="24" t="s">
        <v>197</v>
      </c>
      <c r="M683" s="26">
        <v>1</v>
      </c>
      <c r="N683" s="25">
        <v>15</v>
      </c>
      <c r="O683" s="27">
        <v>15</v>
      </c>
      <c r="P683" s="22" t="s">
        <v>3843</v>
      </c>
    </row>
    <row r="684" spans="1:16" s="22" customFormat="1" ht="15" customHeight="1" x14ac:dyDescent="0.2">
      <c r="A684" s="22" t="s">
        <v>3782</v>
      </c>
      <c r="B684" s="22">
        <v>7470776</v>
      </c>
      <c r="C684" s="23">
        <v>1</v>
      </c>
      <c r="D684" s="23">
        <v>921702424</v>
      </c>
      <c r="E684" s="23">
        <v>921702424</v>
      </c>
      <c r="F684" s="24" t="s">
        <v>1161</v>
      </c>
      <c r="G684" s="23">
        <v>0</v>
      </c>
      <c r="H684" s="23">
        <v>20250301</v>
      </c>
      <c r="I684" s="23" t="str">
        <f>TEXT(DATE(LEFT(H684,4), MID(H684,5,2), RIGHT(H684,2)), "M/d/yyyy")</f>
        <v>3/1/2025</v>
      </c>
      <c r="J684" s="25">
        <v>20240201</v>
      </c>
      <c r="K684" s="23" t="str">
        <f>TEXT(DATE(LEFT(J684,4), MID(J684,5,2), RIGHT(J684,2)), "M/d/yyyy")</f>
        <v>2/1/2024</v>
      </c>
      <c r="L684" s="24" t="s">
        <v>197</v>
      </c>
      <c r="M684" s="26">
        <v>1</v>
      </c>
      <c r="N684" s="25">
        <v>15</v>
      </c>
      <c r="O684" s="27">
        <v>15</v>
      </c>
      <c r="P684" s="22" t="s">
        <v>3843</v>
      </c>
    </row>
    <row r="685" spans="1:16" s="22" customFormat="1" ht="15" customHeight="1" x14ac:dyDescent="0.2">
      <c r="A685" s="22" t="s">
        <v>3782</v>
      </c>
      <c r="B685" s="22">
        <v>7470776</v>
      </c>
      <c r="C685" s="23">
        <v>1</v>
      </c>
      <c r="D685" s="23">
        <v>920981538</v>
      </c>
      <c r="E685" s="23">
        <v>920981538</v>
      </c>
      <c r="F685" s="24" t="s">
        <v>1009</v>
      </c>
      <c r="G685" s="23">
        <v>0</v>
      </c>
      <c r="H685" s="23">
        <v>20250301</v>
      </c>
      <c r="I685" s="23" t="str">
        <f>TEXT(DATE(LEFT(H685,4), MID(H685,5,2), RIGHT(H685,2)), "M/d/yyyy")</f>
        <v>3/1/2025</v>
      </c>
      <c r="J685" s="25">
        <v>20250101</v>
      </c>
      <c r="K685" s="23" t="str">
        <f>TEXT(DATE(LEFT(J685,4), MID(J685,5,2), RIGHT(J685,2)), "M/d/yyyy")</f>
        <v>1/1/2025</v>
      </c>
      <c r="L685" s="24" t="s">
        <v>197</v>
      </c>
      <c r="M685" s="26">
        <v>1</v>
      </c>
      <c r="N685" s="25">
        <v>20</v>
      </c>
      <c r="O685" s="27">
        <v>20</v>
      </c>
      <c r="P685" s="22" t="s">
        <v>3843</v>
      </c>
    </row>
    <row r="686" spans="1:16" s="22" customFormat="1" ht="15" customHeight="1" x14ac:dyDescent="0.2">
      <c r="A686" s="22" t="s">
        <v>3782</v>
      </c>
      <c r="B686" s="22">
        <v>7470776</v>
      </c>
      <c r="C686" s="23">
        <v>1</v>
      </c>
      <c r="D686" s="23">
        <v>921395518</v>
      </c>
      <c r="E686" s="23">
        <v>921395518</v>
      </c>
      <c r="F686" s="24" t="s">
        <v>1058</v>
      </c>
      <c r="G686" s="23">
        <v>0</v>
      </c>
      <c r="H686" s="23">
        <v>20250301</v>
      </c>
      <c r="I686" s="23" t="str">
        <f>TEXT(DATE(LEFT(H686,4), MID(H686,5,2), RIGHT(H686,2)), "M/d/yyyy")</f>
        <v>3/1/2025</v>
      </c>
      <c r="J686" s="25">
        <v>20250101</v>
      </c>
      <c r="K686" s="23" t="str">
        <f>TEXT(DATE(LEFT(J686,4), MID(J686,5,2), RIGHT(J686,2)), "M/d/yyyy")</f>
        <v>1/1/2025</v>
      </c>
      <c r="L686" s="24" t="s">
        <v>197</v>
      </c>
      <c r="M686" s="26">
        <v>1</v>
      </c>
      <c r="N686" s="25">
        <v>20</v>
      </c>
      <c r="O686" s="27">
        <v>20</v>
      </c>
      <c r="P686" s="22" t="s">
        <v>3843</v>
      </c>
    </row>
    <row r="687" spans="1:16" s="22" customFormat="1" ht="15" customHeight="1" x14ac:dyDescent="0.2">
      <c r="A687" s="22" t="s">
        <v>3782</v>
      </c>
      <c r="B687" s="22">
        <v>7470776</v>
      </c>
      <c r="C687" s="23">
        <v>1</v>
      </c>
      <c r="D687" s="23">
        <v>921727315</v>
      </c>
      <c r="E687" s="23">
        <v>921727315</v>
      </c>
      <c r="F687" s="24" t="s">
        <v>1183</v>
      </c>
      <c r="G687" s="23">
        <v>0</v>
      </c>
      <c r="H687" s="23">
        <v>20250301</v>
      </c>
      <c r="I687" s="23" t="str">
        <f>TEXT(DATE(LEFT(H687,4), MID(H687,5,2), RIGHT(H687,2)), "M/d/yyyy")</f>
        <v>3/1/2025</v>
      </c>
      <c r="J687" s="25">
        <v>20240701</v>
      </c>
      <c r="K687" s="23" t="str">
        <f>TEXT(DATE(LEFT(J687,4), MID(J687,5,2), RIGHT(J687,2)), "M/d/yyyy")</f>
        <v>7/1/2024</v>
      </c>
      <c r="L687" s="24" t="s">
        <v>197</v>
      </c>
      <c r="M687" s="26">
        <v>1</v>
      </c>
      <c r="N687" s="25">
        <v>20</v>
      </c>
      <c r="O687" s="27">
        <v>20</v>
      </c>
      <c r="P687" s="22" t="s">
        <v>3843</v>
      </c>
    </row>
    <row r="688" spans="1:16" s="22" customFormat="1" ht="15" customHeight="1" x14ac:dyDescent="0.2">
      <c r="A688" s="22" t="s">
        <v>3782</v>
      </c>
      <c r="B688" s="22">
        <v>7470776</v>
      </c>
      <c r="C688" s="23">
        <v>1</v>
      </c>
      <c r="D688" s="23">
        <v>921735744</v>
      </c>
      <c r="E688" s="23">
        <v>921735744</v>
      </c>
      <c r="F688" s="24" t="s">
        <v>1198</v>
      </c>
      <c r="G688" s="23">
        <v>0</v>
      </c>
      <c r="H688" s="23">
        <v>20250301</v>
      </c>
      <c r="I688" s="23" t="str">
        <f>TEXT(DATE(LEFT(H688,4), MID(H688,5,2), RIGHT(H688,2)), "M/d/yyyy")</f>
        <v>3/1/2025</v>
      </c>
      <c r="J688" s="25">
        <v>20240901</v>
      </c>
      <c r="K688" s="23" t="str">
        <f>TEXT(DATE(LEFT(J688,4), MID(J688,5,2), RIGHT(J688,2)), "M/d/yyyy")</f>
        <v>9/1/2024</v>
      </c>
      <c r="L688" s="24" t="s">
        <v>197</v>
      </c>
      <c r="M688" s="26">
        <v>1</v>
      </c>
      <c r="N688" s="25">
        <v>20</v>
      </c>
      <c r="O688" s="27">
        <v>20</v>
      </c>
      <c r="P688" s="22" t="s">
        <v>3843</v>
      </c>
    </row>
    <row r="689" spans="1:16" s="22" customFormat="1" ht="15" customHeight="1" x14ac:dyDescent="0.2">
      <c r="A689" s="22" t="s">
        <v>3782</v>
      </c>
      <c r="B689" s="22">
        <v>7470776</v>
      </c>
      <c r="C689" s="23">
        <v>1</v>
      </c>
      <c r="D689" s="23">
        <v>921735744</v>
      </c>
      <c r="E689" s="23">
        <v>921735744</v>
      </c>
      <c r="F689" s="24" t="s">
        <v>1198</v>
      </c>
      <c r="G689" s="23">
        <v>0</v>
      </c>
      <c r="H689" s="23">
        <v>20250201</v>
      </c>
      <c r="I689" s="23" t="str">
        <f>TEXT(DATE(LEFT(H689,4), MID(H689,5,2), RIGHT(H689,2)), "M/d/yyyy")</f>
        <v>2/1/2025</v>
      </c>
      <c r="J689" s="25">
        <v>20240901</v>
      </c>
      <c r="K689" s="23" t="str">
        <f>TEXT(DATE(LEFT(J689,4), MID(J689,5,2), RIGHT(J689,2)), "M/d/yyyy")</f>
        <v>9/1/2024</v>
      </c>
      <c r="L689" s="24" t="s">
        <v>197</v>
      </c>
      <c r="M689" s="26">
        <v>1</v>
      </c>
      <c r="N689" s="25">
        <v>20</v>
      </c>
      <c r="O689" s="27">
        <v>20</v>
      </c>
      <c r="P689" s="22" t="s">
        <v>3843</v>
      </c>
    </row>
    <row r="690" spans="1:16" s="22" customFormat="1" ht="15" customHeight="1" x14ac:dyDescent="0.2">
      <c r="A690" s="22" t="s">
        <v>3782</v>
      </c>
      <c r="B690" s="22">
        <v>7470776</v>
      </c>
      <c r="C690" s="23">
        <v>1</v>
      </c>
      <c r="D690" s="23">
        <v>921747803</v>
      </c>
      <c r="E690" s="23">
        <v>921747803</v>
      </c>
      <c r="F690" s="24" t="s">
        <v>1225</v>
      </c>
      <c r="G690" s="23">
        <v>0</v>
      </c>
      <c r="H690" s="23">
        <v>20250301</v>
      </c>
      <c r="I690" s="23" t="str">
        <f>TEXT(DATE(LEFT(H690,4), MID(H690,5,2), RIGHT(H690,2)), "M/d/yyyy")</f>
        <v>3/1/2025</v>
      </c>
      <c r="J690" s="25">
        <v>20250101</v>
      </c>
      <c r="K690" s="23" t="str">
        <f>TEXT(DATE(LEFT(J690,4), MID(J690,5,2), RIGHT(J690,2)), "M/d/yyyy")</f>
        <v>1/1/2025</v>
      </c>
      <c r="L690" s="24" t="s">
        <v>197</v>
      </c>
      <c r="M690" s="26">
        <v>1</v>
      </c>
      <c r="N690" s="25">
        <v>20</v>
      </c>
      <c r="O690" s="27">
        <v>20</v>
      </c>
      <c r="P690" s="22" t="s">
        <v>3843</v>
      </c>
    </row>
    <row r="691" spans="1:16" s="22" customFormat="1" ht="15" customHeight="1" x14ac:dyDescent="0.2">
      <c r="A691" s="22" t="s">
        <v>3782</v>
      </c>
      <c r="B691" s="22">
        <v>7470776</v>
      </c>
      <c r="C691" s="23">
        <v>1</v>
      </c>
      <c r="D691" s="23">
        <v>921748118</v>
      </c>
      <c r="E691" s="23">
        <v>921748118</v>
      </c>
      <c r="F691" s="24" t="s">
        <v>1227</v>
      </c>
      <c r="G691" s="23">
        <v>0</v>
      </c>
      <c r="H691" s="23">
        <v>20250301</v>
      </c>
      <c r="I691" s="23" t="str">
        <f>TEXT(DATE(LEFT(H691,4), MID(H691,5,2), RIGHT(H691,2)), "M/d/yyyy")</f>
        <v>3/1/2025</v>
      </c>
      <c r="J691" s="25">
        <v>20250101</v>
      </c>
      <c r="K691" s="23" t="str">
        <f>TEXT(DATE(LEFT(J691,4), MID(J691,5,2), RIGHT(J691,2)), "M/d/yyyy")</f>
        <v>1/1/2025</v>
      </c>
      <c r="L691" s="24" t="s">
        <v>197</v>
      </c>
      <c r="M691" s="26">
        <v>1</v>
      </c>
      <c r="N691" s="25">
        <v>20</v>
      </c>
      <c r="O691" s="27">
        <v>20</v>
      </c>
      <c r="P691" s="22" t="s">
        <v>3843</v>
      </c>
    </row>
    <row r="692" spans="1:16" s="22" customFormat="1" ht="15" customHeight="1" x14ac:dyDescent="0.2">
      <c r="A692" s="22" t="s">
        <v>3782</v>
      </c>
      <c r="B692" s="22">
        <v>7470776</v>
      </c>
      <c r="C692" s="23">
        <v>1</v>
      </c>
      <c r="D692" s="23">
        <v>921749422</v>
      </c>
      <c r="E692" s="23">
        <v>921749422</v>
      </c>
      <c r="F692" s="24" t="s">
        <v>1231</v>
      </c>
      <c r="G692" s="23">
        <v>0</v>
      </c>
      <c r="H692" s="23">
        <v>20250301</v>
      </c>
      <c r="I692" s="23" t="str">
        <f>TEXT(DATE(LEFT(H692,4), MID(H692,5,2), RIGHT(H692,2)), "M/d/yyyy")</f>
        <v>3/1/2025</v>
      </c>
      <c r="J692" s="25">
        <v>20250101</v>
      </c>
      <c r="K692" s="23" t="str">
        <f>TEXT(DATE(LEFT(J692,4), MID(J692,5,2), RIGHT(J692,2)), "M/d/yyyy")</f>
        <v>1/1/2025</v>
      </c>
      <c r="L692" s="24" t="s">
        <v>197</v>
      </c>
      <c r="M692" s="26">
        <v>1</v>
      </c>
      <c r="N692" s="25">
        <v>20</v>
      </c>
      <c r="O692" s="27">
        <v>20</v>
      </c>
      <c r="P692" s="22" t="s">
        <v>3843</v>
      </c>
    </row>
    <row r="693" spans="1:16" s="22" customFormat="1" ht="15" customHeight="1" x14ac:dyDescent="0.2">
      <c r="A693" s="22" t="s">
        <v>3782</v>
      </c>
      <c r="B693" s="22">
        <v>7470776</v>
      </c>
      <c r="C693" s="23">
        <v>1</v>
      </c>
      <c r="D693" s="23">
        <v>921758961</v>
      </c>
      <c r="E693" s="23">
        <v>921758961</v>
      </c>
      <c r="F693" s="24" t="s">
        <v>1247</v>
      </c>
      <c r="G693" s="23">
        <v>0</v>
      </c>
      <c r="H693" s="23">
        <v>20250301</v>
      </c>
      <c r="I693" s="23" t="str">
        <f>TEXT(DATE(LEFT(H693,4), MID(H693,5,2), RIGHT(H693,2)), "M/d/yyyy")</f>
        <v>3/1/2025</v>
      </c>
      <c r="J693" s="25">
        <v>20250101</v>
      </c>
      <c r="K693" s="23" t="str">
        <f>TEXT(DATE(LEFT(J693,4), MID(J693,5,2), RIGHT(J693,2)), "M/d/yyyy")</f>
        <v>1/1/2025</v>
      </c>
      <c r="L693" s="24" t="s">
        <v>197</v>
      </c>
      <c r="M693" s="26">
        <v>1</v>
      </c>
      <c r="N693" s="25">
        <v>20</v>
      </c>
      <c r="O693" s="27">
        <v>20</v>
      </c>
      <c r="P693" s="22" t="s">
        <v>3843</v>
      </c>
    </row>
    <row r="694" spans="1:16" s="22" customFormat="1" ht="15" customHeight="1" x14ac:dyDescent="0.2">
      <c r="A694" s="22" t="s">
        <v>3782</v>
      </c>
      <c r="B694" s="22">
        <v>7470776</v>
      </c>
      <c r="C694" s="23">
        <v>1</v>
      </c>
      <c r="D694" s="23">
        <v>921759094</v>
      </c>
      <c r="E694" s="23">
        <v>921759094</v>
      </c>
      <c r="F694" s="24" t="s">
        <v>1249</v>
      </c>
      <c r="G694" s="23">
        <v>0</v>
      </c>
      <c r="H694" s="23">
        <v>20250301</v>
      </c>
      <c r="I694" s="23" t="str">
        <f>TEXT(DATE(LEFT(H694,4), MID(H694,5,2), RIGHT(H694,2)), "M/d/yyyy")</f>
        <v>3/1/2025</v>
      </c>
      <c r="J694" s="25">
        <v>20250101</v>
      </c>
      <c r="K694" s="23" t="str">
        <f>TEXT(DATE(LEFT(J694,4), MID(J694,5,2), RIGHT(J694,2)), "M/d/yyyy")</f>
        <v>1/1/2025</v>
      </c>
      <c r="L694" s="24" t="s">
        <v>197</v>
      </c>
      <c r="M694" s="26">
        <v>1</v>
      </c>
      <c r="N694" s="25">
        <v>20</v>
      </c>
      <c r="O694" s="27">
        <v>20</v>
      </c>
      <c r="P694" s="22" t="s">
        <v>3843</v>
      </c>
    </row>
    <row r="695" spans="1:16" s="22" customFormat="1" ht="15" customHeight="1" x14ac:dyDescent="0.2">
      <c r="A695" s="22" t="s">
        <v>3782</v>
      </c>
      <c r="B695" s="22">
        <v>7470776</v>
      </c>
      <c r="C695" s="23">
        <v>2</v>
      </c>
      <c r="D695" s="23">
        <v>921184910</v>
      </c>
      <c r="E695" s="23">
        <v>921184910</v>
      </c>
      <c r="F695" s="24" t="s">
        <v>1036</v>
      </c>
      <c r="G695" s="23">
        <v>0</v>
      </c>
      <c r="H695" s="23">
        <v>20250301</v>
      </c>
      <c r="I695" s="23" t="str">
        <f>TEXT(DATE(LEFT(H695,4), MID(H695,5,2), RIGHT(H695,2)), "M/d/yyyy")</f>
        <v>3/1/2025</v>
      </c>
      <c r="J695" s="25">
        <v>20240101</v>
      </c>
      <c r="K695" s="23" t="str">
        <f>TEXT(DATE(LEFT(J695,4), MID(J695,5,2), RIGHT(J695,2)), "M/d/yyyy")</f>
        <v>1/1/2024</v>
      </c>
      <c r="L695" s="24" t="s">
        <v>197</v>
      </c>
      <c r="M695" s="26">
        <v>1</v>
      </c>
      <c r="N695" s="25">
        <v>15</v>
      </c>
      <c r="O695" s="27">
        <v>30</v>
      </c>
      <c r="P695" s="22" t="s">
        <v>3843</v>
      </c>
    </row>
    <row r="696" spans="1:16" s="22" customFormat="1" ht="15" customHeight="1" x14ac:dyDescent="0.2">
      <c r="A696" s="22" t="s">
        <v>3782</v>
      </c>
      <c r="B696" s="22">
        <v>7470776</v>
      </c>
      <c r="C696" s="23">
        <v>2</v>
      </c>
      <c r="D696" s="23">
        <v>921172606</v>
      </c>
      <c r="E696" s="23">
        <v>921172606</v>
      </c>
      <c r="F696" s="24" t="s">
        <v>1032</v>
      </c>
      <c r="G696" s="23">
        <v>0</v>
      </c>
      <c r="H696" s="23">
        <v>20250301</v>
      </c>
      <c r="I696" s="23" t="str">
        <f>TEXT(DATE(LEFT(H696,4), MID(H696,5,2), RIGHT(H696,2)), "M/d/yyyy")</f>
        <v>3/1/2025</v>
      </c>
      <c r="J696" s="25">
        <v>20250101</v>
      </c>
      <c r="K696" s="23" t="str">
        <f>TEXT(DATE(LEFT(J696,4), MID(J696,5,2), RIGHT(J696,2)), "M/d/yyyy")</f>
        <v>1/1/2025</v>
      </c>
      <c r="L696" s="24" t="s">
        <v>197</v>
      </c>
      <c r="M696" s="26">
        <v>1</v>
      </c>
      <c r="N696" s="25">
        <v>20</v>
      </c>
      <c r="O696" s="27">
        <v>40</v>
      </c>
      <c r="P696" s="22" t="s">
        <v>3843</v>
      </c>
    </row>
    <row r="697" spans="1:16" s="22" customFormat="1" ht="15" customHeight="1" x14ac:dyDescent="0.2">
      <c r="A697" s="22" t="s">
        <v>3782</v>
      </c>
      <c r="B697" s="22">
        <v>7470776</v>
      </c>
      <c r="C697" s="23">
        <v>2</v>
      </c>
      <c r="D697" s="23">
        <v>921179348</v>
      </c>
      <c r="E697" s="23">
        <v>921179348</v>
      </c>
      <c r="F697" s="24" t="s">
        <v>1034</v>
      </c>
      <c r="G697" s="23">
        <v>0</v>
      </c>
      <c r="H697" s="23">
        <v>20250301</v>
      </c>
      <c r="I697" s="23" t="str">
        <f>TEXT(DATE(LEFT(H697,4), MID(H697,5,2), RIGHT(H697,2)), "M/d/yyyy")</f>
        <v>3/1/2025</v>
      </c>
      <c r="J697" s="25">
        <v>20240901</v>
      </c>
      <c r="K697" s="23" t="str">
        <f>TEXT(DATE(LEFT(J697,4), MID(J697,5,2), RIGHT(J697,2)), "M/d/yyyy")</f>
        <v>9/1/2024</v>
      </c>
      <c r="L697" s="24" t="s">
        <v>197</v>
      </c>
      <c r="M697" s="26">
        <v>1</v>
      </c>
      <c r="N697" s="25">
        <v>20</v>
      </c>
      <c r="O697" s="27">
        <v>40</v>
      </c>
      <c r="P697" s="22" t="s">
        <v>3843</v>
      </c>
    </row>
    <row r="698" spans="1:16" s="22" customFormat="1" ht="15" customHeight="1" x14ac:dyDescent="0.2">
      <c r="A698" s="22" t="s">
        <v>3782</v>
      </c>
      <c r="B698" s="22">
        <v>7470776</v>
      </c>
      <c r="C698" s="23">
        <v>2</v>
      </c>
      <c r="D698" s="23">
        <v>921685824</v>
      </c>
      <c r="E698" s="23">
        <v>921685824</v>
      </c>
      <c r="F698" s="24" t="s">
        <v>1147</v>
      </c>
      <c r="G698" s="23">
        <v>0</v>
      </c>
      <c r="H698" s="23">
        <v>20250301</v>
      </c>
      <c r="I698" s="23" t="str">
        <f>TEXT(DATE(LEFT(H698,4), MID(H698,5,2), RIGHT(H698,2)), "M/d/yyyy")</f>
        <v>3/1/2025</v>
      </c>
      <c r="J698" s="25">
        <v>20240801</v>
      </c>
      <c r="K698" s="23" t="str">
        <f>TEXT(DATE(LEFT(J698,4), MID(J698,5,2), RIGHT(J698,2)), "M/d/yyyy")</f>
        <v>8/1/2024</v>
      </c>
      <c r="L698" s="24" t="s">
        <v>197</v>
      </c>
      <c r="M698" s="26">
        <v>1</v>
      </c>
      <c r="N698" s="25">
        <v>20</v>
      </c>
      <c r="O698" s="27">
        <v>40</v>
      </c>
      <c r="P698" s="22" t="s">
        <v>3843</v>
      </c>
    </row>
    <row r="699" spans="1:16" s="22" customFormat="1" ht="15" customHeight="1" x14ac:dyDescent="0.2">
      <c r="A699" s="22" t="s">
        <v>3782</v>
      </c>
      <c r="B699" s="22">
        <v>7470776</v>
      </c>
      <c r="C699" s="23">
        <v>2</v>
      </c>
      <c r="D699" s="23">
        <v>921752115</v>
      </c>
      <c r="E699" s="23">
        <v>921752115</v>
      </c>
      <c r="F699" s="24" t="s">
        <v>1241</v>
      </c>
      <c r="G699" s="23">
        <v>0</v>
      </c>
      <c r="H699" s="23">
        <v>20250301</v>
      </c>
      <c r="I699" s="23" t="str">
        <f>TEXT(DATE(LEFT(H699,4), MID(H699,5,2), RIGHT(H699,2)), "M/d/yyyy")</f>
        <v>3/1/2025</v>
      </c>
      <c r="J699" s="25">
        <v>20250101</v>
      </c>
      <c r="K699" s="23" t="str">
        <f>TEXT(DATE(LEFT(J699,4), MID(J699,5,2), RIGHT(J699,2)), "M/d/yyyy")</f>
        <v>1/1/2025</v>
      </c>
      <c r="L699" s="24" t="s">
        <v>197</v>
      </c>
      <c r="M699" s="26">
        <v>1</v>
      </c>
      <c r="N699" s="25">
        <v>20</v>
      </c>
      <c r="O699" s="27">
        <v>40</v>
      </c>
      <c r="P699" s="22" t="s">
        <v>3843</v>
      </c>
    </row>
    <row r="700" spans="1:16" s="22" customFormat="1" ht="15" customHeight="1" x14ac:dyDescent="0.2">
      <c r="A700" s="22" t="s">
        <v>3782</v>
      </c>
      <c r="B700" s="22">
        <v>7470776</v>
      </c>
      <c r="C700" s="23">
        <v>3</v>
      </c>
      <c r="D700" s="23">
        <v>921373822</v>
      </c>
      <c r="E700" s="23">
        <v>921373822</v>
      </c>
      <c r="F700" s="24" t="s">
        <v>1053</v>
      </c>
      <c r="G700" s="23">
        <v>0</v>
      </c>
      <c r="H700" s="23">
        <v>20250301</v>
      </c>
      <c r="I700" s="23" t="str">
        <f>TEXT(DATE(LEFT(H700,4), MID(H700,5,2), RIGHT(H700,2)), "M/d/yyyy")</f>
        <v>3/1/2025</v>
      </c>
      <c r="J700" s="25">
        <v>20240101</v>
      </c>
      <c r="K700" s="23" t="str">
        <f>TEXT(DATE(LEFT(J700,4), MID(J700,5,2), RIGHT(J700,2)), "M/d/yyyy")</f>
        <v>1/1/2024</v>
      </c>
      <c r="L700" s="24" t="s">
        <v>197</v>
      </c>
      <c r="M700" s="26">
        <v>1</v>
      </c>
      <c r="N700" s="25">
        <v>15</v>
      </c>
      <c r="O700" s="27">
        <v>45</v>
      </c>
      <c r="P700" s="22" t="s">
        <v>3843</v>
      </c>
    </row>
    <row r="701" spans="1:16" s="22" customFormat="1" ht="15" customHeight="1" x14ac:dyDescent="0.2">
      <c r="A701" s="22" t="s">
        <v>3782</v>
      </c>
      <c r="B701" s="22">
        <v>7470776</v>
      </c>
      <c r="C701" s="23">
        <v>3</v>
      </c>
      <c r="D701" s="23">
        <v>921373822</v>
      </c>
      <c r="E701" s="23">
        <v>921373822</v>
      </c>
      <c r="F701" s="24" t="s">
        <v>1053</v>
      </c>
      <c r="G701" s="23">
        <v>0</v>
      </c>
      <c r="H701" s="23">
        <v>20250201</v>
      </c>
      <c r="I701" s="23" t="str">
        <f>TEXT(DATE(LEFT(H701,4), MID(H701,5,2), RIGHT(H701,2)), "M/d/yyyy")</f>
        <v>2/1/2025</v>
      </c>
      <c r="J701" s="25">
        <v>20240101</v>
      </c>
      <c r="K701" s="23" t="str">
        <f>TEXT(DATE(LEFT(J701,4), MID(J701,5,2), RIGHT(J701,2)), "M/d/yyyy")</f>
        <v>1/1/2024</v>
      </c>
      <c r="L701" s="24" t="s">
        <v>197</v>
      </c>
      <c r="M701" s="26">
        <v>1</v>
      </c>
      <c r="N701" s="25">
        <v>15</v>
      </c>
      <c r="O701" s="27">
        <v>45</v>
      </c>
      <c r="P701" s="22" t="s">
        <v>3843</v>
      </c>
    </row>
    <row r="702" spans="1:16" s="22" customFormat="1" ht="15" customHeight="1" x14ac:dyDescent="0.2">
      <c r="A702" s="22" t="s">
        <v>3782</v>
      </c>
      <c r="B702" s="22">
        <v>7470776</v>
      </c>
      <c r="C702" s="23">
        <v>3</v>
      </c>
      <c r="D702" s="23">
        <v>921755354</v>
      </c>
      <c r="E702" s="23">
        <v>921755354</v>
      </c>
      <c r="F702" s="24" t="s">
        <v>1243</v>
      </c>
      <c r="G702" s="23">
        <v>0</v>
      </c>
      <c r="H702" s="23">
        <v>20250301</v>
      </c>
      <c r="I702" s="23" t="str">
        <f>TEXT(DATE(LEFT(H702,4), MID(H702,5,2), RIGHT(H702,2)), "M/d/yyyy")</f>
        <v>3/1/2025</v>
      </c>
      <c r="J702" s="25">
        <v>20250101</v>
      </c>
      <c r="K702" s="23" t="str">
        <f>TEXT(DATE(LEFT(J702,4), MID(J702,5,2), RIGHT(J702,2)), "M/d/yyyy")</f>
        <v>1/1/2025</v>
      </c>
      <c r="L702" s="24" t="s">
        <v>197</v>
      </c>
      <c r="M702" s="26">
        <v>1</v>
      </c>
      <c r="N702" s="25">
        <v>20</v>
      </c>
      <c r="O702" s="27">
        <v>60</v>
      </c>
      <c r="P702" s="22" t="s">
        <v>3843</v>
      </c>
    </row>
    <row r="703" spans="1:16" s="22" customFormat="1" ht="15" customHeight="1" x14ac:dyDescent="0.2">
      <c r="A703" s="22" t="s">
        <v>3782</v>
      </c>
      <c r="B703" s="22">
        <v>7470776</v>
      </c>
      <c r="C703" s="23">
        <v>5</v>
      </c>
      <c r="D703" s="23">
        <v>921775120</v>
      </c>
      <c r="E703" s="23">
        <v>921775120</v>
      </c>
      <c r="F703" s="24" t="s">
        <v>1259</v>
      </c>
      <c r="G703" s="23">
        <v>0</v>
      </c>
      <c r="H703" s="23">
        <v>20250301</v>
      </c>
      <c r="I703" s="23" t="str">
        <f>TEXT(DATE(LEFT(H703,4), MID(H703,5,2), RIGHT(H703,2)), "M/d/yyyy")</f>
        <v>3/1/2025</v>
      </c>
      <c r="J703" s="25">
        <v>20250201</v>
      </c>
      <c r="K703" s="23" t="str">
        <f>TEXT(DATE(LEFT(J703,4), MID(J703,5,2), RIGHT(J703,2)), "M/d/yyyy")</f>
        <v>2/1/2025</v>
      </c>
      <c r="L703" s="24" t="s">
        <v>197</v>
      </c>
      <c r="M703" s="26">
        <v>1</v>
      </c>
      <c r="N703" s="25">
        <v>20</v>
      </c>
      <c r="O703" s="27">
        <v>100</v>
      </c>
      <c r="P703" s="22" t="s">
        <v>3843</v>
      </c>
    </row>
    <row r="704" spans="1:16" s="22" customFormat="1" ht="15" customHeight="1" x14ac:dyDescent="0.2">
      <c r="A704" s="22" t="s">
        <v>3820</v>
      </c>
      <c r="B704" s="22">
        <v>7146581</v>
      </c>
      <c r="C704" s="23">
        <v>1</v>
      </c>
      <c r="D704" s="23">
        <v>921442441</v>
      </c>
      <c r="E704" s="23">
        <v>921442441</v>
      </c>
      <c r="F704" s="24" t="s">
        <v>3610</v>
      </c>
      <c r="G704" s="23">
        <v>0</v>
      </c>
      <c r="H704" s="23">
        <v>20250201</v>
      </c>
      <c r="I704" s="23" t="str">
        <f>TEXT(DATE(LEFT(H704,4), MID(H704,5,2), RIGHT(H704,2)), "M/d/yyyy")</f>
        <v>2/1/2025</v>
      </c>
      <c r="J704" s="25">
        <v>20240201</v>
      </c>
      <c r="K704" s="23" t="str">
        <f>TEXT(DATE(LEFT(J704,4), MID(J704,5,2), RIGHT(J704,2)), "M/d/yyyy")</f>
        <v>2/1/2024</v>
      </c>
      <c r="L704" s="24" t="s">
        <v>197</v>
      </c>
      <c r="M704" s="26">
        <v>1</v>
      </c>
      <c r="N704" s="25">
        <v>20</v>
      </c>
      <c r="O704" s="27">
        <v>20</v>
      </c>
      <c r="P704" s="22" t="s">
        <v>3843</v>
      </c>
    </row>
    <row r="705" spans="1:16" s="22" customFormat="1" ht="15" customHeight="1" x14ac:dyDescent="0.2">
      <c r="A705" s="22" t="s">
        <v>3820</v>
      </c>
      <c r="B705" s="22">
        <v>7146581</v>
      </c>
      <c r="C705" s="23">
        <v>1</v>
      </c>
      <c r="D705" s="23">
        <v>921755936</v>
      </c>
      <c r="E705" s="23">
        <v>921755936</v>
      </c>
      <c r="F705" s="24" t="s">
        <v>3700</v>
      </c>
      <c r="G705" s="23">
        <v>0</v>
      </c>
      <c r="H705" s="23">
        <v>20250301</v>
      </c>
      <c r="I705" s="23" t="str">
        <f>TEXT(DATE(LEFT(H705,4), MID(H705,5,2), RIGHT(H705,2)), "M/d/yyyy")</f>
        <v>3/1/2025</v>
      </c>
      <c r="J705" s="25">
        <v>20250101</v>
      </c>
      <c r="K705" s="23" t="str">
        <f>TEXT(DATE(LEFT(J705,4), MID(J705,5,2), RIGHT(J705,2)), "M/d/yyyy")</f>
        <v>1/1/2025</v>
      </c>
      <c r="L705" s="24" t="s">
        <v>197</v>
      </c>
      <c r="M705" s="26">
        <v>1</v>
      </c>
      <c r="N705" s="25">
        <v>20</v>
      </c>
      <c r="O705" s="27">
        <v>20</v>
      </c>
      <c r="P705" s="22" t="s">
        <v>3843</v>
      </c>
    </row>
    <row r="706" spans="1:16" s="22" customFormat="1" ht="15" customHeight="1" x14ac:dyDescent="0.2">
      <c r="A706" s="22" t="s">
        <v>3816</v>
      </c>
      <c r="B706" s="22">
        <v>21348299</v>
      </c>
      <c r="C706" s="23">
        <v>1</v>
      </c>
      <c r="D706" s="23">
        <v>921754273</v>
      </c>
      <c r="E706" s="23">
        <v>921754273</v>
      </c>
      <c r="F706" s="24" t="s">
        <v>3485</v>
      </c>
      <c r="G706" s="23">
        <v>0</v>
      </c>
      <c r="H706" s="23">
        <v>20250301</v>
      </c>
      <c r="I706" s="23" t="str">
        <f>TEXT(DATE(LEFT(H706,4), MID(H706,5,2), RIGHT(H706,2)), "M/d/yyyy")</f>
        <v>3/1/2025</v>
      </c>
      <c r="J706" s="25">
        <v>20250101</v>
      </c>
      <c r="K706" s="23" t="str">
        <f>TEXT(DATE(LEFT(J706,4), MID(J706,5,2), RIGHT(J706,2)), "M/d/yyyy")</f>
        <v>1/1/2025</v>
      </c>
      <c r="L706" s="24" t="s">
        <v>197</v>
      </c>
      <c r="M706" s="26">
        <v>1</v>
      </c>
      <c r="N706" s="25">
        <v>20</v>
      </c>
      <c r="O706" s="27">
        <v>20</v>
      </c>
      <c r="P706" s="22" t="s">
        <v>3843</v>
      </c>
    </row>
    <row r="707" spans="1:16" s="22" customFormat="1" ht="15" customHeight="1" x14ac:dyDescent="0.2">
      <c r="A707" s="22" t="s">
        <v>3816</v>
      </c>
      <c r="B707" s="22">
        <v>21348299</v>
      </c>
      <c r="C707" s="23">
        <v>1</v>
      </c>
      <c r="D707" s="23">
        <v>921757425</v>
      </c>
      <c r="E707" s="23">
        <v>921757425</v>
      </c>
      <c r="F707" s="24" t="s">
        <v>3487</v>
      </c>
      <c r="G707" s="23">
        <v>0</v>
      </c>
      <c r="H707" s="23">
        <v>20250301</v>
      </c>
      <c r="I707" s="23" t="str">
        <f>TEXT(DATE(LEFT(H707,4), MID(H707,5,2), RIGHT(H707,2)), "M/d/yyyy")</f>
        <v>3/1/2025</v>
      </c>
      <c r="J707" s="25">
        <v>20250101</v>
      </c>
      <c r="K707" s="23" t="str">
        <f>TEXT(DATE(LEFT(J707,4), MID(J707,5,2), RIGHT(J707,2)), "M/d/yyyy")</f>
        <v>1/1/2025</v>
      </c>
      <c r="L707" s="24" t="s">
        <v>197</v>
      </c>
      <c r="M707" s="26">
        <v>1</v>
      </c>
      <c r="N707" s="25">
        <v>20</v>
      </c>
      <c r="O707" s="27">
        <v>20</v>
      </c>
      <c r="P707" s="22" t="s">
        <v>3843</v>
      </c>
    </row>
    <row r="708" spans="1:16" s="22" customFormat="1" ht="15" customHeight="1" x14ac:dyDescent="0.2">
      <c r="A708" s="22" t="s">
        <v>3816</v>
      </c>
      <c r="B708" s="22">
        <v>21348299</v>
      </c>
      <c r="C708" s="23">
        <v>1</v>
      </c>
      <c r="D708" s="23">
        <v>921757733</v>
      </c>
      <c r="E708" s="23">
        <v>921757733</v>
      </c>
      <c r="F708" s="24" t="s">
        <v>3489</v>
      </c>
      <c r="G708" s="23">
        <v>0</v>
      </c>
      <c r="H708" s="23">
        <v>20250301</v>
      </c>
      <c r="I708" s="23" t="str">
        <f>TEXT(DATE(LEFT(H708,4), MID(H708,5,2), RIGHT(H708,2)), "M/d/yyyy")</f>
        <v>3/1/2025</v>
      </c>
      <c r="J708" s="25">
        <v>20250101</v>
      </c>
      <c r="K708" s="23" t="str">
        <f>TEXT(DATE(LEFT(J708,4), MID(J708,5,2), RIGHT(J708,2)), "M/d/yyyy")</f>
        <v>1/1/2025</v>
      </c>
      <c r="L708" s="24" t="s">
        <v>197</v>
      </c>
      <c r="M708" s="26">
        <v>1</v>
      </c>
      <c r="N708" s="25">
        <v>20</v>
      </c>
      <c r="O708" s="27">
        <v>20</v>
      </c>
      <c r="P708" s="22" t="s">
        <v>3843</v>
      </c>
    </row>
    <row r="709" spans="1:16" s="22" customFormat="1" ht="15" customHeight="1" x14ac:dyDescent="0.2">
      <c r="A709" s="22" t="s">
        <v>3790</v>
      </c>
      <c r="B709" s="22">
        <v>19586992</v>
      </c>
      <c r="C709" s="23">
        <v>1</v>
      </c>
      <c r="D709" s="23">
        <v>921723906</v>
      </c>
      <c r="E709" s="23">
        <v>921723906</v>
      </c>
      <c r="F709" s="24" t="s">
        <v>2464</v>
      </c>
      <c r="G709" s="23">
        <v>0</v>
      </c>
      <c r="H709" s="23">
        <v>20250301</v>
      </c>
      <c r="I709" s="23" t="str">
        <f>TEXT(DATE(LEFT(H709,4), MID(H709,5,2), RIGHT(H709,2)), "M/d/yyyy")</f>
        <v>3/1/2025</v>
      </c>
      <c r="J709" s="25">
        <v>20240601</v>
      </c>
      <c r="K709" s="23" t="str">
        <f>TEXT(DATE(LEFT(J709,4), MID(J709,5,2), RIGHT(J709,2)), "M/d/yyyy")</f>
        <v>6/1/2024</v>
      </c>
      <c r="L709" s="24" t="s">
        <v>197</v>
      </c>
      <c r="M709" s="26">
        <v>1</v>
      </c>
      <c r="N709" s="25">
        <v>20</v>
      </c>
      <c r="O709" s="27">
        <v>20</v>
      </c>
      <c r="P709" s="22" t="s">
        <v>3843</v>
      </c>
    </row>
    <row r="710" spans="1:16" s="22" customFormat="1" ht="15" customHeight="1" x14ac:dyDescent="0.2">
      <c r="A710" s="22" t="s">
        <v>3790</v>
      </c>
      <c r="B710" s="22">
        <v>19586992</v>
      </c>
      <c r="C710" s="23">
        <v>1</v>
      </c>
      <c r="D710" s="23">
        <v>921731241</v>
      </c>
      <c r="E710" s="23">
        <v>921731241</v>
      </c>
      <c r="F710" s="24" t="s">
        <v>2466</v>
      </c>
      <c r="G710" s="23">
        <v>0</v>
      </c>
      <c r="H710" s="23">
        <v>20250301</v>
      </c>
      <c r="I710" s="23" t="str">
        <f>TEXT(DATE(LEFT(H710,4), MID(H710,5,2), RIGHT(H710,2)), "M/d/yyyy")</f>
        <v>3/1/2025</v>
      </c>
      <c r="J710" s="25">
        <v>20240801</v>
      </c>
      <c r="K710" s="23" t="str">
        <f>TEXT(DATE(LEFT(J710,4), MID(J710,5,2), RIGHT(J710,2)), "M/d/yyyy")</f>
        <v>8/1/2024</v>
      </c>
      <c r="L710" s="24" t="s">
        <v>197</v>
      </c>
      <c r="M710" s="26">
        <v>1</v>
      </c>
      <c r="N710" s="25">
        <v>20</v>
      </c>
      <c r="O710" s="27">
        <v>20</v>
      </c>
      <c r="P710" s="22" t="s">
        <v>3843</v>
      </c>
    </row>
    <row r="711" spans="1:16" s="22" customFormat="1" ht="15" customHeight="1" x14ac:dyDescent="0.2">
      <c r="A711" s="22" t="s">
        <v>3801</v>
      </c>
      <c r="B711" s="22">
        <v>21104854</v>
      </c>
      <c r="C711" s="23">
        <v>1</v>
      </c>
      <c r="D711" s="23">
        <v>920825168</v>
      </c>
      <c r="E711" s="23">
        <v>920825168</v>
      </c>
      <c r="F711" s="24" t="s">
        <v>3034</v>
      </c>
      <c r="G711" s="23">
        <v>0</v>
      </c>
      <c r="H711" s="23">
        <v>20250201</v>
      </c>
      <c r="I711" s="23" t="str">
        <f>TEXT(DATE(LEFT(H711,4), MID(H711,5,2), RIGHT(H711,2)), "M/d/yyyy")</f>
        <v>2/1/2025</v>
      </c>
      <c r="J711" s="25">
        <v>20250101</v>
      </c>
      <c r="K711" s="23" t="str">
        <f>TEXT(DATE(LEFT(J711,4), MID(J711,5,2), RIGHT(J711,2)), "M/d/yyyy")</f>
        <v>1/1/2025</v>
      </c>
      <c r="L711" s="24" t="s">
        <v>197</v>
      </c>
      <c r="M711" s="26">
        <v>1</v>
      </c>
      <c r="N711" s="25">
        <v>20</v>
      </c>
      <c r="O711" s="27">
        <v>20</v>
      </c>
      <c r="P711" s="22" t="s">
        <v>3843</v>
      </c>
    </row>
    <row r="712" spans="1:16" s="22" customFormat="1" ht="15" customHeight="1" x14ac:dyDescent="0.2">
      <c r="A712" s="22" t="s">
        <v>3801</v>
      </c>
      <c r="B712" s="22">
        <v>21104854</v>
      </c>
      <c r="C712" s="23">
        <v>1</v>
      </c>
      <c r="D712" s="23">
        <v>921773888</v>
      </c>
      <c r="E712" s="23">
        <v>921773888</v>
      </c>
      <c r="F712" s="24" t="s">
        <v>3047</v>
      </c>
      <c r="G712" s="23">
        <v>0</v>
      </c>
      <c r="H712" s="23">
        <v>20250301</v>
      </c>
      <c r="I712" s="23" t="str">
        <f>TEXT(DATE(LEFT(H712,4), MID(H712,5,2), RIGHT(H712,2)), "M/d/yyyy")</f>
        <v>3/1/2025</v>
      </c>
      <c r="J712" s="25">
        <v>20250201</v>
      </c>
      <c r="K712" s="23" t="str">
        <f>TEXT(DATE(LEFT(J712,4), MID(J712,5,2), RIGHT(J712,2)), "M/d/yyyy")</f>
        <v>2/1/2025</v>
      </c>
      <c r="L712" s="24" t="s">
        <v>197</v>
      </c>
      <c r="M712" s="26">
        <v>1</v>
      </c>
      <c r="N712" s="25">
        <v>20</v>
      </c>
      <c r="O712" s="27">
        <v>20</v>
      </c>
      <c r="P712" s="22" t="s">
        <v>3843</v>
      </c>
    </row>
    <row r="713" spans="1:16" s="22" customFormat="1" ht="15" customHeight="1" x14ac:dyDescent="0.2">
      <c r="A713" s="22" t="s">
        <v>3789</v>
      </c>
      <c r="B713" s="22">
        <v>19681796</v>
      </c>
      <c r="C713" s="23">
        <v>1</v>
      </c>
      <c r="D713" s="23">
        <v>890568876</v>
      </c>
      <c r="E713" s="23">
        <v>890568876</v>
      </c>
      <c r="F713" s="24" t="s">
        <v>2346</v>
      </c>
      <c r="G713" s="23">
        <v>0</v>
      </c>
      <c r="H713" s="23">
        <v>20250301</v>
      </c>
      <c r="I713" s="23" t="str">
        <f>TEXT(DATE(LEFT(H713,4), MID(H713,5,2), RIGHT(H713,2)), "M/d/yyyy")</f>
        <v>3/1/2025</v>
      </c>
      <c r="J713" s="25">
        <v>20250101</v>
      </c>
      <c r="K713" s="23" t="str">
        <f>TEXT(DATE(LEFT(J713,4), MID(J713,5,2), RIGHT(J713,2)), "M/d/yyyy")</f>
        <v>1/1/2025</v>
      </c>
      <c r="L713" s="24" t="s">
        <v>197</v>
      </c>
      <c r="M713" s="26">
        <v>1</v>
      </c>
      <c r="N713" s="25">
        <v>20</v>
      </c>
      <c r="O713" s="27">
        <v>20</v>
      </c>
      <c r="P713" s="22" t="s">
        <v>3843</v>
      </c>
    </row>
    <row r="714" spans="1:16" s="22" customFormat="1" ht="15" customHeight="1" x14ac:dyDescent="0.2">
      <c r="A714" s="22" t="s">
        <v>3789</v>
      </c>
      <c r="B714" s="22">
        <v>19681796</v>
      </c>
      <c r="C714" s="23">
        <v>2</v>
      </c>
      <c r="D714" s="23">
        <v>921728956</v>
      </c>
      <c r="E714" s="23">
        <v>921728956</v>
      </c>
      <c r="F714" s="24" t="s">
        <v>2395</v>
      </c>
      <c r="G714" s="23">
        <v>0</v>
      </c>
      <c r="H714" s="23">
        <v>20250301</v>
      </c>
      <c r="I714" s="23" t="str">
        <f>TEXT(DATE(LEFT(H714,4), MID(H714,5,2), RIGHT(H714,2)), "M/d/yyyy")</f>
        <v>3/1/2025</v>
      </c>
      <c r="J714" s="25">
        <v>20250101</v>
      </c>
      <c r="K714" s="23" t="str">
        <f>TEXT(DATE(LEFT(J714,4), MID(J714,5,2), RIGHT(J714,2)), "M/d/yyyy")</f>
        <v>1/1/2025</v>
      </c>
      <c r="L714" s="24" t="s">
        <v>197</v>
      </c>
      <c r="M714" s="26">
        <v>1</v>
      </c>
      <c r="N714" s="25">
        <v>20</v>
      </c>
      <c r="O714" s="27">
        <v>40</v>
      </c>
      <c r="P714" s="22" t="s">
        <v>3843</v>
      </c>
    </row>
    <row r="715" spans="1:16" s="22" customFormat="1" ht="15" customHeight="1" x14ac:dyDescent="0.2">
      <c r="A715" s="22" t="s">
        <v>3789</v>
      </c>
      <c r="B715" s="22">
        <v>19681796</v>
      </c>
      <c r="C715" s="23">
        <v>3</v>
      </c>
      <c r="D715" s="23">
        <v>921772693</v>
      </c>
      <c r="E715" s="23">
        <v>921772693</v>
      </c>
      <c r="F715" s="24" t="s">
        <v>2403</v>
      </c>
      <c r="G715" s="23">
        <v>0</v>
      </c>
      <c r="H715" s="23">
        <v>20250301</v>
      </c>
      <c r="I715" s="23" t="str">
        <f>TEXT(DATE(LEFT(H715,4), MID(H715,5,2), RIGHT(H715,2)), "M/d/yyyy")</f>
        <v>3/1/2025</v>
      </c>
      <c r="J715" s="25">
        <v>20250201</v>
      </c>
      <c r="K715" s="23" t="str">
        <f>TEXT(DATE(LEFT(J715,4), MID(J715,5,2), RIGHT(J715,2)), "M/d/yyyy")</f>
        <v>2/1/2025</v>
      </c>
      <c r="L715" s="24" t="s">
        <v>197</v>
      </c>
      <c r="M715" s="26">
        <v>1</v>
      </c>
      <c r="N715" s="25">
        <v>20</v>
      </c>
      <c r="O715" s="27">
        <v>60</v>
      </c>
      <c r="P715" s="22" t="s">
        <v>3843</v>
      </c>
    </row>
    <row r="716" spans="1:16" s="22" customFormat="1" ht="15" customHeight="1" x14ac:dyDescent="0.2">
      <c r="A716" s="22" t="s">
        <v>3777</v>
      </c>
      <c r="B716" s="22">
        <v>17437820</v>
      </c>
      <c r="C716" s="23">
        <v>1</v>
      </c>
      <c r="D716" s="23">
        <v>920843306</v>
      </c>
      <c r="E716" s="23">
        <v>920843306</v>
      </c>
      <c r="F716" s="24" t="s">
        <v>541</v>
      </c>
      <c r="G716" s="23">
        <v>0</v>
      </c>
      <c r="H716" s="23">
        <v>20250301</v>
      </c>
      <c r="I716" s="23" t="str">
        <f>TEXT(DATE(LEFT(H716,4), MID(H716,5,2), RIGHT(H716,2)), "M/d/yyyy")</f>
        <v>3/1/2025</v>
      </c>
      <c r="J716" s="25">
        <v>20140401</v>
      </c>
      <c r="K716" s="23" t="str">
        <f>TEXT(DATE(LEFT(J716,4), MID(J716,5,2), RIGHT(J716,2)), "M/d/yyyy")</f>
        <v>4/1/2014</v>
      </c>
      <c r="L716" s="24" t="s">
        <v>197</v>
      </c>
      <c r="M716" s="26">
        <v>1</v>
      </c>
      <c r="N716" s="25">
        <v>15</v>
      </c>
      <c r="O716" s="27">
        <v>15</v>
      </c>
      <c r="P716" s="22" t="s">
        <v>3843</v>
      </c>
    </row>
    <row r="717" spans="1:16" s="22" customFormat="1" ht="15" customHeight="1" x14ac:dyDescent="0.2">
      <c r="A717" s="22" t="s">
        <v>3777</v>
      </c>
      <c r="B717" s="22">
        <v>17437820</v>
      </c>
      <c r="C717" s="23">
        <v>1</v>
      </c>
      <c r="D717" s="23">
        <v>921532153</v>
      </c>
      <c r="E717" s="23">
        <v>921532153</v>
      </c>
      <c r="F717" s="24" t="s">
        <v>585</v>
      </c>
      <c r="G717" s="23">
        <v>0</v>
      </c>
      <c r="H717" s="23">
        <v>20250301</v>
      </c>
      <c r="I717" s="23" t="str">
        <f>TEXT(DATE(LEFT(H717,4), MID(H717,5,2), RIGHT(H717,2)), "M/d/yyyy")</f>
        <v>3/1/2025</v>
      </c>
      <c r="J717" s="25">
        <v>20250101</v>
      </c>
      <c r="K717" s="23" t="str">
        <f>TEXT(DATE(LEFT(J717,4), MID(J717,5,2), RIGHT(J717,2)), "M/d/yyyy")</f>
        <v>1/1/2025</v>
      </c>
      <c r="L717" s="24" t="s">
        <v>197</v>
      </c>
      <c r="M717" s="26">
        <v>1</v>
      </c>
      <c r="N717" s="25">
        <v>20</v>
      </c>
      <c r="O717" s="27">
        <v>20</v>
      </c>
      <c r="P717" s="22" t="s">
        <v>3843</v>
      </c>
    </row>
    <row r="718" spans="1:16" s="22" customFormat="1" ht="15" customHeight="1" x14ac:dyDescent="0.2">
      <c r="A718" s="22" t="s">
        <v>3777</v>
      </c>
      <c r="B718" s="22">
        <v>17437820</v>
      </c>
      <c r="C718" s="23">
        <v>3</v>
      </c>
      <c r="D718" s="23">
        <v>921753579</v>
      </c>
      <c r="E718" s="23">
        <v>921753579</v>
      </c>
      <c r="F718" s="24" t="s">
        <v>628</v>
      </c>
      <c r="G718" s="23">
        <v>0</v>
      </c>
      <c r="H718" s="23">
        <v>20250301</v>
      </c>
      <c r="I718" s="23" t="str">
        <f>TEXT(DATE(LEFT(H718,4), MID(H718,5,2), RIGHT(H718,2)), "M/d/yyyy")</f>
        <v>3/1/2025</v>
      </c>
      <c r="J718" s="25">
        <v>20250101</v>
      </c>
      <c r="K718" s="23" t="str">
        <f>TEXT(DATE(LEFT(J718,4), MID(J718,5,2), RIGHT(J718,2)), "M/d/yyyy")</f>
        <v>1/1/2025</v>
      </c>
      <c r="L718" s="24" t="s">
        <v>197</v>
      </c>
      <c r="M718" s="26">
        <v>1</v>
      </c>
      <c r="N718" s="25">
        <v>20</v>
      </c>
      <c r="O718" s="27">
        <v>60</v>
      </c>
      <c r="P718" s="22" t="s">
        <v>3843</v>
      </c>
    </row>
    <row r="719" spans="1:16" s="22" customFormat="1" ht="15" customHeight="1" x14ac:dyDescent="0.2">
      <c r="A719" s="22" t="s">
        <v>3805</v>
      </c>
      <c r="B719" s="22">
        <v>8325282</v>
      </c>
      <c r="C719" s="23">
        <v>1</v>
      </c>
      <c r="D719" s="23">
        <v>921629549</v>
      </c>
      <c r="E719" s="23">
        <v>921629549</v>
      </c>
      <c r="F719" s="24" t="s">
        <v>3233</v>
      </c>
      <c r="G719" s="23">
        <v>0</v>
      </c>
      <c r="H719" s="23">
        <v>20250301</v>
      </c>
      <c r="I719" s="23" t="str">
        <f>TEXT(DATE(LEFT(H719,4), MID(H719,5,2), RIGHT(H719,2)), "M/d/yyyy")</f>
        <v>3/1/2025</v>
      </c>
      <c r="J719" s="25">
        <v>20230101</v>
      </c>
      <c r="K719" s="23" t="str">
        <f>TEXT(DATE(LEFT(J719,4), MID(J719,5,2), RIGHT(J719,2)), "M/d/yyyy")</f>
        <v>1/1/2023</v>
      </c>
      <c r="L719" s="24" t="s">
        <v>197</v>
      </c>
      <c r="M719" s="26">
        <v>1</v>
      </c>
      <c r="N719" s="25">
        <v>15</v>
      </c>
      <c r="O719" s="27">
        <v>15</v>
      </c>
      <c r="P719" s="22" t="s">
        <v>3843</v>
      </c>
    </row>
    <row r="720" spans="1:16" s="22" customFormat="1" ht="15" customHeight="1" x14ac:dyDescent="0.2">
      <c r="A720" s="22" t="s">
        <v>3805</v>
      </c>
      <c r="B720" s="22">
        <v>8325282</v>
      </c>
      <c r="C720" s="23">
        <v>1</v>
      </c>
      <c r="D720" s="23">
        <v>920747803</v>
      </c>
      <c r="E720" s="23">
        <v>920747803</v>
      </c>
      <c r="F720" s="24" t="s">
        <v>3150</v>
      </c>
      <c r="G720" s="23">
        <v>0</v>
      </c>
      <c r="H720" s="23">
        <v>20250201</v>
      </c>
      <c r="I720" s="23" t="str">
        <f>TEXT(DATE(LEFT(H720,4), MID(H720,5,2), RIGHT(H720,2)), "M/d/yyyy")</f>
        <v>2/1/2025</v>
      </c>
      <c r="J720" s="25">
        <v>20250101</v>
      </c>
      <c r="K720" s="23" t="str">
        <f>TEXT(DATE(LEFT(J720,4), MID(J720,5,2), RIGHT(J720,2)), "M/d/yyyy")</f>
        <v>1/1/2025</v>
      </c>
      <c r="L720" s="24" t="s">
        <v>197</v>
      </c>
      <c r="M720" s="26">
        <v>1</v>
      </c>
      <c r="N720" s="25">
        <v>20</v>
      </c>
      <c r="O720" s="27">
        <v>20</v>
      </c>
      <c r="P720" s="22" t="s">
        <v>3843</v>
      </c>
    </row>
    <row r="721" spans="1:16" s="22" customFormat="1" ht="15" customHeight="1" x14ac:dyDescent="0.2">
      <c r="A721" s="22" t="s">
        <v>3805</v>
      </c>
      <c r="B721" s="22">
        <v>8325282</v>
      </c>
      <c r="C721" s="23">
        <v>1</v>
      </c>
      <c r="D721" s="23">
        <v>920943822</v>
      </c>
      <c r="E721" s="23">
        <v>920943822</v>
      </c>
      <c r="F721" s="24" t="s">
        <v>3160</v>
      </c>
      <c r="G721" s="23">
        <v>0</v>
      </c>
      <c r="H721" s="23">
        <v>20250301</v>
      </c>
      <c r="I721" s="23" t="str">
        <f>TEXT(DATE(LEFT(H721,4), MID(H721,5,2), RIGHT(H721,2)), "M/d/yyyy")</f>
        <v>3/1/2025</v>
      </c>
      <c r="J721" s="25">
        <v>20241201</v>
      </c>
      <c r="K721" s="23" t="str">
        <f>TEXT(DATE(LEFT(J721,4), MID(J721,5,2), RIGHT(J721,2)), "M/d/yyyy")</f>
        <v>12/1/2024</v>
      </c>
      <c r="L721" s="24" t="s">
        <v>197</v>
      </c>
      <c r="M721" s="26">
        <v>1</v>
      </c>
      <c r="N721" s="25">
        <v>20</v>
      </c>
      <c r="O721" s="27">
        <v>20</v>
      </c>
      <c r="P721" s="22" t="s">
        <v>3843</v>
      </c>
    </row>
    <row r="722" spans="1:16" s="22" customFormat="1" ht="15" customHeight="1" x14ac:dyDescent="0.2">
      <c r="A722" s="22" t="s">
        <v>3805</v>
      </c>
      <c r="B722" s="22">
        <v>8325282</v>
      </c>
      <c r="C722" s="23">
        <v>1</v>
      </c>
      <c r="D722" s="23">
        <v>920943822</v>
      </c>
      <c r="E722" s="23">
        <v>920943822</v>
      </c>
      <c r="F722" s="24" t="s">
        <v>3160</v>
      </c>
      <c r="G722" s="23">
        <v>0</v>
      </c>
      <c r="H722" s="23">
        <v>20250201</v>
      </c>
      <c r="I722" s="23" t="str">
        <f>TEXT(DATE(LEFT(H722,4), MID(H722,5,2), RIGHT(H722,2)), "M/d/yyyy")</f>
        <v>2/1/2025</v>
      </c>
      <c r="J722" s="25">
        <v>20241201</v>
      </c>
      <c r="K722" s="23" t="str">
        <f>TEXT(DATE(LEFT(J722,4), MID(J722,5,2), RIGHT(J722,2)), "M/d/yyyy")</f>
        <v>12/1/2024</v>
      </c>
      <c r="L722" s="24" t="s">
        <v>197</v>
      </c>
      <c r="M722" s="26">
        <v>1</v>
      </c>
      <c r="N722" s="25">
        <v>20</v>
      </c>
      <c r="O722" s="27">
        <v>20</v>
      </c>
      <c r="P722" s="22" t="s">
        <v>3843</v>
      </c>
    </row>
    <row r="723" spans="1:16" s="22" customFormat="1" ht="15" customHeight="1" x14ac:dyDescent="0.2">
      <c r="A723" s="22" t="s">
        <v>3805</v>
      </c>
      <c r="B723" s="22">
        <v>8325282</v>
      </c>
      <c r="C723" s="23">
        <v>1</v>
      </c>
      <c r="D723" s="23">
        <v>921765817</v>
      </c>
      <c r="E723" s="23">
        <v>921765817</v>
      </c>
      <c r="F723" s="24" t="s">
        <v>3283</v>
      </c>
      <c r="G723" s="23">
        <v>0</v>
      </c>
      <c r="H723" s="23">
        <v>20250301</v>
      </c>
      <c r="I723" s="23" t="str">
        <f>TEXT(DATE(LEFT(H723,4), MID(H723,5,2), RIGHT(H723,2)), "M/d/yyyy")</f>
        <v>3/1/2025</v>
      </c>
      <c r="J723" s="25">
        <v>20250101</v>
      </c>
      <c r="K723" s="23" t="str">
        <f>TEXT(DATE(LEFT(J723,4), MID(J723,5,2), RIGHT(J723,2)), "M/d/yyyy")</f>
        <v>1/1/2025</v>
      </c>
      <c r="L723" s="24" t="s">
        <v>197</v>
      </c>
      <c r="M723" s="26">
        <v>1</v>
      </c>
      <c r="N723" s="25">
        <v>20</v>
      </c>
      <c r="O723" s="27">
        <v>20</v>
      </c>
      <c r="P723" s="22" t="s">
        <v>3843</v>
      </c>
    </row>
    <row r="724" spans="1:16" s="22" customFormat="1" ht="15" customHeight="1" x14ac:dyDescent="0.2">
      <c r="A724" s="22" t="s">
        <v>3805</v>
      </c>
      <c r="B724" s="22">
        <v>8325282</v>
      </c>
      <c r="C724" s="23">
        <v>2</v>
      </c>
      <c r="D724" s="23">
        <v>921712330</v>
      </c>
      <c r="E724" s="23">
        <v>921712330</v>
      </c>
      <c r="F724" s="24" t="s">
        <v>3258</v>
      </c>
      <c r="G724" s="23">
        <v>0</v>
      </c>
      <c r="H724" s="23">
        <v>20250301</v>
      </c>
      <c r="I724" s="23" t="str">
        <f>TEXT(DATE(LEFT(H724,4), MID(H724,5,2), RIGHT(H724,2)), "M/d/yyyy")</f>
        <v>3/1/2025</v>
      </c>
      <c r="J724" s="25">
        <v>20250101</v>
      </c>
      <c r="K724" s="23" t="str">
        <f>TEXT(DATE(LEFT(J724,4), MID(J724,5,2), RIGHT(J724,2)), "M/d/yyyy")</f>
        <v>1/1/2025</v>
      </c>
      <c r="L724" s="24" t="s">
        <v>197</v>
      </c>
      <c r="M724" s="26">
        <v>1</v>
      </c>
      <c r="N724" s="25">
        <v>20</v>
      </c>
      <c r="O724" s="27">
        <v>40</v>
      </c>
      <c r="P724" s="22" t="s">
        <v>3843</v>
      </c>
    </row>
    <row r="725" spans="1:16" s="22" customFormat="1" ht="15" customHeight="1" x14ac:dyDescent="0.2">
      <c r="A725" s="22" t="s">
        <v>3797</v>
      </c>
      <c r="B725" s="22">
        <v>17301495</v>
      </c>
      <c r="C725" s="23">
        <v>1</v>
      </c>
      <c r="D725" s="23">
        <v>921480992</v>
      </c>
      <c r="E725" s="23">
        <v>921480992</v>
      </c>
      <c r="F725" s="24" t="s">
        <v>2874</v>
      </c>
      <c r="G725" s="23">
        <v>0</v>
      </c>
      <c r="H725" s="23">
        <v>20250301</v>
      </c>
      <c r="I725" s="23" t="str">
        <f>TEXT(DATE(LEFT(H725,4), MID(H725,5,2), RIGHT(H725,2)), "M/d/yyyy")</f>
        <v>3/1/2025</v>
      </c>
      <c r="J725" s="25">
        <v>20230101</v>
      </c>
      <c r="K725" s="23" t="str">
        <f>TEXT(DATE(LEFT(J725,4), MID(J725,5,2), RIGHT(J725,2)), "M/d/yyyy")</f>
        <v>1/1/2023</v>
      </c>
      <c r="L725" s="24" t="s">
        <v>197</v>
      </c>
      <c r="M725" s="26">
        <v>1</v>
      </c>
      <c r="N725" s="25">
        <v>15</v>
      </c>
      <c r="O725" s="27">
        <v>15</v>
      </c>
      <c r="P725" s="22" t="s">
        <v>3843</v>
      </c>
    </row>
    <row r="726" spans="1:16" s="22" customFormat="1" ht="15" customHeight="1" x14ac:dyDescent="0.2">
      <c r="A726" s="22" t="s">
        <v>3797</v>
      </c>
      <c r="B726" s="22">
        <v>17301495</v>
      </c>
      <c r="C726" s="23">
        <v>1</v>
      </c>
      <c r="D726" s="23">
        <v>921500141</v>
      </c>
      <c r="E726" s="23">
        <v>921500141</v>
      </c>
      <c r="F726" s="24" t="s">
        <v>2878</v>
      </c>
      <c r="G726" s="23">
        <v>0</v>
      </c>
      <c r="H726" s="23">
        <v>20250301</v>
      </c>
      <c r="I726" s="23" t="str">
        <f>TEXT(DATE(LEFT(H726,4), MID(H726,5,2), RIGHT(H726,2)), "M/d/yyyy")</f>
        <v>3/1/2025</v>
      </c>
      <c r="J726" s="25">
        <v>20200101</v>
      </c>
      <c r="K726" s="23" t="str">
        <f>TEXT(DATE(LEFT(J726,4), MID(J726,5,2), RIGHT(J726,2)), "M/d/yyyy")</f>
        <v>1/1/2020</v>
      </c>
      <c r="L726" s="24" t="s">
        <v>197</v>
      </c>
      <c r="M726" s="26">
        <v>1</v>
      </c>
      <c r="N726" s="25">
        <v>15</v>
      </c>
      <c r="O726" s="27">
        <v>15</v>
      </c>
      <c r="P726" s="22" t="s">
        <v>3843</v>
      </c>
    </row>
    <row r="727" spans="1:16" s="22" customFormat="1" ht="15" customHeight="1" x14ac:dyDescent="0.2">
      <c r="A727" s="22" t="s">
        <v>3797</v>
      </c>
      <c r="B727" s="22">
        <v>17301495</v>
      </c>
      <c r="C727" s="23">
        <v>1</v>
      </c>
      <c r="D727" s="23">
        <v>921689009</v>
      </c>
      <c r="E727" s="23">
        <v>921689009</v>
      </c>
      <c r="F727" s="24" t="s">
        <v>2894</v>
      </c>
      <c r="G727" s="23">
        <v>0</v>
      </c>
      <c r="H727" s="23">
        <v>20250301</v>
      </c>
      <c r="I727" s="23" t="str">
        <f>TEXT(DATE(LEFT(H727,4), MID(H727,5,2), RIGHT(H727,2)), "M/d/yyyy")</f>
        <v>3/1/2025</v>
      </c>
      <c r="J727" s="25">
        <v>20240101</v>
      </c>
      <c r="K727" s="23" t="str">
        <f>TEXT(DATE(LEFT(J727,4), MID(J727,5,2), RIGHT(J727,2)), "M/d/yyyy")</f>
        <v>1/1/2024</v>
      </c>
      <c r="L727" s="24" t="s">
        <v>197</v>
      </c>
      <c r="M727" s="26">
        <v>1</v>
      </c>
      <c r="N727" s="25">
        <v>15</v>
      </c>
      <c r="O727" s="27">
        <v>15</v>
      </c>
      <c r="P727" s="22" t="s">
        <v>3843</v>
      </c>
    </row>
    <row r="728" spans="1:16" s="22" customFormat="1" ht="15" customHeight="1" x14ac:dyDescent="0.2">
      <c r="A728" s="22" t="s">
        <v>3797</v>
      </c>
      <c r="B728" s="22">
        <v>17301495</v>
      </c>
      <c r="C728" s="23">
        <v>1</v>
      </c>
      <c r="D728" s="23">
        <v>921772181</v>
      </c>
      <c r="E728" s="23">
        <v>921772181</v>
      </c>
      <c r="F728" s="24" t="s">
        <v>2896</v>
      </c>
      <c r="G728" s="23">
        <v>0</v>
      </c>
      <c r="H728" s="23">
        <v>20250301</v>
      </c>
      <c r="I728" s="23" t="str">
        <f>TEXT(DATE(LEFT(H728,4), MID(H728,5,2), RIGHT(H728,2)), "M/d/yyyy")</f>
        <v>3/1/2025</v>
      </c>
      <c r="J728" s="25">
        <v>20250201</v>
      </c>
      <c r="K728" s="23" t="str">
        <f>TEXT(DATE(LEFT(J728,4), MID(J728,5,2), RIGHT(J728,2)), "M/d/yyyy")</f>
        <v>2/1/2025</v>
      </c>
      <c r="L728" s="24" t="s">
        <v>197</v>
      </c>
      <c r="M728" s="26">
        <v>1</v>
      </c>
      <c r="N728" s="25">
        <v>20</v>
      </c>
      <c r="O728" s="27">
        <v>20</v>
      </c>
      <c r="P728" s="22" t="s">
        <v>3843</v>
      </c>
    </row>
    <row r="729" spans="1:16" s="22" customFormat="1" ht="15" customHeight="1" x14ac:dyDescent="0.2">
      <c r="A729" s="22" t="s">
        <v>3797</v>
      </c>
      <c r="B729" s="22">
        <v>17301495</v>
      </c>
      <c r="C729" s="23">
        <v>2</v>
      </c>
      <c r="D729" s="23">
        <v>921660934</v>
      </c>
      <c r="E729" s="23">
        <v>921660934</v>
      </c>
      <c r="F729" s="24" t="s">
        <v>2890</v>
      </c>
      <c r="G729" s="23">
        <v>0</v>
      </c>
      <c r="H729" s="23">
        <v>20250301</v>
      </c>
      <c r="I729" s="23" t="str">
        <f>TEXT(DATE(LEFT(H729,4), MID(H729,5,2), RIGHT(H729,2)), "M/d/yyyy")</f>
        <v>3/1/2025</v>
      </c>
      <c r="J729" s="25">
        <v>20230601</v>
      </c>
      <c r="K729" s="23" t="str">
        <f>TEXT(DATE(LEFT(J729,4), MID(J729,5,2), RIGHT(J729,2)), "M/d/yyyy")</f>
        <v>6/1/2023</v>
      </c>
      <c r="L729" s="24" t="s">
        <v>197</v>
      </c>
      <c r="M729" s="26">
        <v>1</v>
      </c>
      <c r="N729" s="25">
        <v>15</v>
      </c>
      <c r="O729" s="27">
        <v>30</v>
      </c>
      <c r="P729" s="22" t="s">
        <v>3843</v>
      </c>
    </row>
    <row r="730" spans="1:16" s="22" customFormat="1" ht="15" customHeight="1" x14ac:dyDescent="0.2">
      <c r="A730" s="22" t="s">
        <v>3786</v>
      </c>
      <c r="B730" s="22">
        <v>8814784</v>
      </c>
      <c r="C730" s="23">
        <v>1</v>
      </c>
      <c r="D730" s="23">
        <v>921640271</v>
      </c>
      <c r="E730" s="23">
        <v>921640271</v>
      </c>
      <c r="F730" s="24" t="s">
        <v>2010</v>
      </c>
      <c r="G730" s="23">
        <v>0</v>
      </c>
      <c r="H730" s="23">
        <v>20250301</v>
      </c>
      <c r="I730" s="23" t="str">
        <f>TEXT(DATE(LEFT(H730,4), MID(H730,5,2), RIGHT(H730,2)), "M/d/yyyy")</f>
        <v>3/1/2025</v>
      </c>
      <c r="J730" s="25">
        <v>20230101</v>
      </c>
      <c r="K730" s="23" t="str">
        <f>TEXT(DATE(LEFT(J730,4), MID(J730,5,2), RIGHT(J730,2)), "M/d/yyyy")</f>
        <v>1/1/2023</v>
      </c>
      <c r="L730" s="24" t="s">
        <v>197</v>
      </c>
      <c r="M730" s="26">
        <v>1</v>
      </c>
      <c r="N730" s="25">
        <v>15</v>
      </c>
      <c r="O730" s="27">
        <v>15</v>
      </c>
      <c r="P730" s="22" t="s">
        <v>3843</v>
      </c>
    </row>
    <row r="731" spans="1:16" s="22" customFormat="1" ht="15" customHeight="1" x14ac:dyDescent="0.2">
      <c r="A731" s="22" t="s">
        <v>3786</v>
      </c>
      <c r="B731" s="22">
        <v>8814784</v>
      </c>
      <c r="C731" s="23">
        <v>1</v>
      </c>
      <c r="D731" s="23">
        <v>920927833</v>
      </c>
      <c r="E731" s="23">
        <v>920927833</v>
      </c>
      <c r="F731" s="24" t="s">
        <v>1953</v>
      </c>
      <c r="G731" s="23">
        <v>0</v>
      </c>
      <c r="H731" s="23">
        <v>20250301</v>
      </c>
      <c r="I731" s="23" t="str">
        <f>TEXT(DATE(LEFT(H731,4), MID(H731,5,2), RIGHT(H731,2)), "M/d/yyyy")</f>
        <v>3/1/2025</v>
      </c>
      <c r="J731" s="25">
        <v>20250101</v>
      </c>
      <c r="K731" s="23" t="str">
        <f>TEXT(DATE(LEFT(J731,4), MID(J731,5,2), RIGHT(J731,2)), "M/d/yyyy")</f>
        <v>1/1/2025</v>
      </c>
      <c r="L731" s="24" t="s">
        <v>197</v>
      </c>
      <c r="M731" s="26">
        <v>1</v>
      </c>
      <c r="N731" s="25">
        <v>20</v>
      </c>
      <c r="O731" s="27">
        <v>20</v>
      </c>
      <c r="P731" s="22" t="s">
        <v>3843</v>
      </c>
    </row>
    <row r="732" spans="1:16" s="22" customFormat="1" ht="15" customHeight="1" x14ac:dyDescent="0.2">
      <c r="A732" s="22" t="s">
        <v>3786</v>
      </c>
      <c r="B732" s="22">
        <v>8814784</v>
      </c>
      <c r="C732" s="23">
        <v>1</v>
      </c>
      <c r="D732" s="23">
        <v>921760538</v>
      </c>
      <c r="E732" s="23">
        <v>921760538</v>
      </c>
      <c r="F732" s="24" t="s">
        <v>2038</v>
      </c>
      <c r="G732" s="23">
        <v>0</v>
      </c>
      <c r="H732" s="23">
        <v>20250301</v>
      </c>
      <c r="I732" s="23" t="str">
        <f>TEXT(DATE(LEFT(H732,4), MID(H732,5,2), RIGHT(H732,2)), "M/d/yyyy")</f>
        <v>3/1/2025</v>
      </c>
      <c r="J732" s="25">
        <v>20250101</v>
      </c>
      <c r="K732" s="23" t="str">
        <f>TEXT(DATE(LEFT(J732,4), MID(J732,5,2), RIGHT(J732,2)), "M/d/yyyy")</f>
        <v>1/1/2025</v>
      </c>
      <c r="L732" s="24" t="s">
        <v>197</v>
      </c>
      <c r="M732" s="26">
        <v>1</v>
      </c>
      <c r="N732" s="25">
        <v>20</v>
      </c>
      <c r="O732" s="27">
        <v>20</v>
      </c>
      <c r="P732" s="22" t="s">
        <v>3843</v>
      </c>
    </row>
    <row r="733" spans="1:16" s="22" customFormat="1" ht="15" customHeight="1" x14ac:dyDescent="0.2">
      <c r="A733" s="22" t="s">
        <v>3781</v>
      </c>
      <c r="B733" s="22">
        <v>9213293</v>
      </c>
      <c r="C733" s="23">
        <v>1</v>
      </c>
      <c r="D733" s="23">
        <v>921626737</v>
      </c>
      <c r="E733" s="23">
        <v>921626737</v>
      </c>
      <c r="F733" s="24" t="s">
        <v>835</v>
      </c>
      <c r="G733" s="23">
        <v>0</v>
      </c>
      <c r="H733" s="23">
        <v>20250301</v>
      </c>
      <c r="I733" s="23" t="str">
        <f>TEXT(DATE(LEFT(H733,4), MID(H733,5,2), RIGHT(H733,2)), "M/d/yyyy")</f>
        <v>3/1/2025</v>
      </c>
      <c r="J733" s="25">
        <v>20230101</v>
      </c>
      <c r="K733" s="23" t="str">
        <f>TEXT(DATE(LEFT(J733,4), MID(J733,5,2), RIGHT(J733,2)), "M/d/yyyy")</f>
        <v>1/1/2023</v>
      </c>
      <c r="L733" s="24" t="s">
        <v>197</v>
      </c>
      <c r="M733" s="26">
        <v>1</v>
      </c>
      <c r="N733" s="25">
        <v>15</v>
      </c>
      <c r="O733" s="27">
        <v>15</v>
      </c>
      <c r="P733" s="22" t="s">
        <v>3843</v>
      </c>
    </row>
    <row r="734" spans="1:16" s="22" customFormat="1" ht="15" customHeight="1" x14ac:dyDescent="0.2">
      <c r="A734" s="22" t="s">
        <v>3781</v>
      </c>
      <c r="B734" s="22">
        <v>9213293</v>
      </c>
      <c r="C734" s="23">
        <v>1</v>
      </c>
      <c r="D734" s="23">
        <v>921659289</v>
      </c>
      <c r="E734" s="23">
        <v>921659289</v>
      </c>
      <c r="F734" s="24" t="s">
        <v>849</v>
      </c>
      <c r="G734" s="23">
        <v>0</v>
      </c>
      <c r="H734" s="23">
        <v>20250301</v>
      </c>
      <c r="I734" s="23" t="str">
        <f>TEXT(DATE(LEFT(H734,4), MID(H734,5,2), RIGHT(H734,2)), "M/d/yyyy")</f>
        <v>3/1/2025</v>
      </c>
      <c r="J734" s="25">
        <v>20230601</v>
      </c>
      <c r="K734" s="23" t="str">
        <f>TEXT(DATE(LEFT(J734,4), MID(J734,5,2), RIGHT(J734,2)), "M/d/yyyy")</f>
        <v>6/1/2023</v>
      </c>
      <c r="L734" s="24" t="s">
        <v>197</v>
      </c>
      <c r="M734" s="26">
        <v>1</v>
      </c>
      <c r="N734" s="25">
        <v>15</v>
      </c>
      <c r="O734" s="27">
        <v>15</v>
      </c>
      <c r="P734" s="22" t="s">
        <v>3843</v>
      </c>
    </row>
    <row r="735" spans="1:16" s="22" customFormat="1" ht="15" customHeight="1" x14ac:dyDescent="0.2">
      <c r="A735" s="22" t="s">
        <v>3781</v>
      </c>
      <c r="B735" s="22">
        <v>9213293</v>
      </c>
      <c r="C735" s="23">
        <v>1</v>
      </c>
      <c r="D735" s="23">
        <v>921676615</v>
      </c>
      <c r="E735" s="23">
        <v>921676615</v>
      </c>
      <c r="F735" s="24" t="s">
        <v>864</v>
      </c>
      <c r="G735" s="23">
        <v>0</v>
      </c>
      <c r="H735" s="23">
        <v>20250301</v>
      </c>
      <c r="I735" s="23" t="str">
        <f>TEXT(DATE(LEFT(H735,4), MID(H735,5,2), RIGHT(H735,2)), "M/d/yyyy")</f>
        <v>3/1/2025</v>
      </c>
      <c r="J735" s="25">
        <v>20230930</v>
      </c>
      <c r="K735" s="23" t="str">
        <f>TEXT(DATE(LEFT(J735,4), MID(J735,5,2), RIGHT(J735,2)), "M/d/yyyy")</f>
        <v>9/30/2023</v>
      </c>
      <c r="L735" s="24" t="s">
        <v>197</v>
      </c>
      <c r="M735" s="26">
        <v>1</v>
      </c>
      <c r="N735" s="25">
        <v>15</v>
      </c>
      <c r="O735" s="27">
        <v>15</v>
      </c>
      <c r="P735" s="22" t="s">
        <v>3843</v>
      </c>
    </row>
    <row r="736" spans="1:16" s="22" customFormat="1" ht="15" customHeight="1" x14ac:dyDescent="0.2">
      <c r="A736" s="22" t="s">
        <v>3781</v>
      </c>
      <c r="B736" s="22">
        <v>9213293</v>
      </c>
      <c r="C736" s="23">
        <v>1</v>
      </c>
      <c r="D736" s="23">
        <v>921086560</v>
      </c>
      <c r="E736" s="23">
        <v>921086560</v>
      </c>
      <c r="F736" s="24" t="s">
        <v>706</v>
      </c>
      <c r="G736" s="23">
        <v>0</v>
      </c>
      <c r="H736" s="23">
        <v>20250301</v>
      </c>
      <c r="I736" s="23" t="str">
        <f>TEXT(DATE(LEFT(H736,4), MID(H736,5,2), RIGHT(H736,2)), "M/d/yyyy")</f>
        <v>3/1/2025</v>
      </c>
      <c r="J736" s="25">
        <v>20240601</v>
      </c>
      <c r="K736" s="23" t="str">
        <f>TEXT(DATE(LEFT(J736,4), MID(J736,5,2), RIGHT(J736,2)), "M/d/yyyy")</f>
        <v>6/1/2024</v>
      </c>
      <c r="L736" s="24" t="s">
        <v>197</v>
      </c>
      <c r="M736" s="26">
        <v>1</v>
      </c>
      <c r="N736" s="25">
        <v>20</v>
      </c>
      <c r="O736" s="27">
        <v>20</v>
      </c>
      <c r="P736" s="22" t="s">
        <v>3843</v>
      </c>
    </row>
    <row r="737" spans="1:16" s="22" customFormat="1" ht="15" customHeight="1" x14ac:dyDescent="0.2">
      <c r="A737" s="22" t="s">
        <v>3781</v>
      </c>
      <c r="B737" s="22">
        <v>9213293</v>
      </c>
      <c r="C737" s="23">
        <v>1</v>
      </c>
      <c r="D737" s="23">
        <v>921086560</v>
      </c>
      <c r="E737" s="23">
        <v>921086560</v>
      </c>
      <c r="F737" s="24" t="s">
        <v>706</v>
      </c>
      <c r="G737" s="23">
        <v>0</v>
      </c>
      <c r="H737" s="23">
        <v>20250201</v>
      </c>
      <c r="I737" s="23" t="str">
        <f>TEXT(DATE(LEFT(H737,4), MID(H737,5,2), RIGHT(H737,2)), "M/d/yyyy")</f>
        <v>2/1/2025</v>
      </c>
      <c r="J737" s="25">
        <v>20240601</v>
      </c>
      <c r="K737" s="23" t="str">
        <f>TEXT(DATE(LEFT(J737,4), MID(J737,5,2), RIGHT(J737,2)), "M/d/yyyy")</f>
        <v>6/1/2024</v>
      </c>
      <c r="L737" s="24" t="s">
        <v>197</v>
      </c>
      <c r="M737" s="26">
        <v>1</v>
      </c>
      <c r="N737" s="25">
        <v>20</v>
      </c>
      <c r="O737" s="27">
        <v>20</v>
      </c>
      <c r="P737" s="22" t="s">
        <v>3843</v>
      </c>
    </row>
    <row r="738" spans="1:16" s="22" customFormat="1" ht="15" customHeight="1" x14ac:dyDescent="0.2">
      <c r="A738" s="22" t="s">
        <v>3781</v>
      </c>
      <c r="B738" s="22">
        <v>9213293</v>
      </c>
      <c r="C738" s="23">
        <v>1</v>
      </c>
      <c r="D738" s="23">
        <v>921747583</v>
      </c>
      <c r="E738" s="23">
        <v>921747583</v>
      </c>
      <c r="F738" s="24" t="s">
        <v>887</v>
      </c>
      <c r="G738" s="23">
        <v>0</v>
      </c>
      <c r="H738" s="23">
        <v>20250301</v>
      </c>
      <c r="I738" s="23" t="str">
        <f>TEXT(DATE(LEFT(H738,4), MID(H738,5,2), RIGHT(H738,2)), "M/d/yyyy")</f>
        <v>3/1/2025</v>
      </c>
      <c r="J738" s="25">
        <v>20250101</v>
      </c>
      <c r="K738" s="23" t="str">
        <f>TEXT(DATE(LEFT(J738,4), MID(J738,5,2), RIGHT(J738,2)), "M/d/yyyy")</f>
        <v>1/1/2025</v>
      </c>
      <c r="L738" s="24" t="s">
        <v>197</v>
      </c>
      <c r="M738" s="26">
        <v>1</v>
      </c>
      <c r="N738" s="25">
        <v>20</v>
      </c>
      <c r="O738" s="27">
        <v>20</v>
      </c>
      <c r="P738" s="22" t="s">
        <v>3843</v>
      </c>
    </row>
    <row r="739" spans="1:16" s="22" customFormat="1" ht="15" customHeight="1" x14ac:dyDescent="0.2">
      <c r="A739" s="22" t="s">
        <v>3781</v>
      </c>
      <c r="B739" s="22">
        <v>9213293</v>
      </c>
      <c r="C739" s="23">
        <v>1</v>
      </c>
      <c r="D739" s="23">
        <v>921747583</v>
      </c>
      <c r="E739" s="23">
        <v>921747583</v>
      </c>
      <c r="F739" s="24" t="s">
        <v>887</v>
      </c>
      <c r="G739" s="23">
        <v>0</v>
      </c>
      <c r="H739" s="23">
        <v>20250201</v>
      </c>
      <c r="I739" s="23" t="str">
        <f>TEXT(DATE(LEFT(H739,4), MID(H739,5,2), RIGHT(H739,2)), "M/d/yyyy")</f>
        <v>2/1/2025</v>
      </c>
      <c r="J739" s="25">
        <v>20250101</v>
      </c>
      <c r="K739" s="23" t="str">
        <f>TEXT(DATE(LEFT(J739,4), MID(J739,5,2), RIGHT(J739,2)), "M/d/yyyy")</f>
        <v>1/1/2025</v>
      </c>
      <c r="L739" s="24" t="s">
        <v>197</v>
      </c>
      <c r="M739" s="26">
        <v>1</v>
      </c>
      <c r="N739" s="25">
        <v>20</v>
      </c>
      <c r="O739" s="27">
        <v>20</v>
      </c>
      <c r="P739" s="22" t="s">
        <v>3843</v>
      </c>
    </row>
    <row r="740" spans="1:16" s="22" customFormat="1" ht="15" customHeight="1" x14ac:dyDescent="0.2">
      <c r="A740" s="22" t="s">
        <v>3781</v>
      </c>
      <c r="B740" s="22">
        <v>9213293</v>
      </c>
      <c r="C740" s="23">
        <v>1</v>
      </c>
      <c r="D740" s="23">
        <v>921753401</v>
      </c>
      <c r="E740" s="23">
        <v>921753401</v>
      </c>
      <c r="F740" s="24" t="s">
        <v>891</v>
      </c>
      <c r="G740" s="23">
        <v>0</v>
      </c>
      <c r="H740" s="23">
        <v>20250301</v>
      </c>
      <c r="I740" s="23" t="str">
        <f>TEXT(DATE(LEFT(H740,4), MID(H740,5,2), RIGHT(H740,2)), "M/d/yyyy")</f>
        <v>3/1/2025</v>
      </c>
      <c r="J740" s="25">
        <v>20250101</v>
      </c>
      <c r="K740" s="23" t="str">
        <f>TEXT(DATE(LEFT(J740,4), MID(J740,5,2), RIGHT(J740,2)), "M/d/yyyy")</f>
        <v>1/1/2025</v>
      </c>
      <c r="L740" s="24" t="s">
        <v>197</v>
      </c>
      <c r="M740" s="26">
        <v>1</v>
      </c>
      <c r="N740" s="25">
        <v>20</v>
      </c>
      <c r="O740" s="27">
        <v>20</v>
      </c>
      <c r="P740" s="22" t="s">
        <v>3843</v>
      </c>
    </row>
    <row r="741" spans="1:16" s="22" customFormat="1" ht="15" customHeight="1" x14ac:dyDescent="0.2">
      <c r="A741" s="22" t="s">
        <v>3781</v>
      </c>
      <c r="B741" s="22">
        <v>9213293</v>
      </c>
      <c r="C741" s="23">
        <v>1</v>
      </c>
      <c r="D741" s="23">
        <v>921768367</v>
      </c>
      <c r="E741" s="23">
        <v>921768367</v>
      </c>
      <c r="F741" s="24" t="s">
        <v>907</v>
      </c>
      <c r="G741" s="23">
        <v>0</v>
      </c>
      <c r="H741" s="23">
        <v>20250301</v>
      </c>
      <c r="I741" s="23" t="str">
        <f>TEXT(DATE(LEFT(H741,4), MID(H741,5,2), RIGHT(H741,2)), "M/d/yyyy")</f>
        <v>3/1/2025</v>
      </c>
      <c r="J741" s="25">
        <v>20250201</v>
      </c>
      <c r="K741" s="23" t="str">
        <f>TEXT(DATE(LEFT(J741,4), MID(J741,5,2), RIGHT(J741,2)), "M/d/yyyy")</f>
        <v>2/1/2025</v>
      </c>
      <c r="L741" s="24" t="s">
        <v>197</v>
      </c>
      <c r="M741" s="26">
        <v>1</v>
      </c>
      <c r="N741" s="25">
        <v>20</v>
      </c>
      <c r="O741" s="27">
        <v>20</v>
      </c>
      <c r="P741" s="22" t="s">
        <v>3843</v>
      </c>
    </row>
    <row r="742" spans="1:16" s="22" customFormat="1" ht="15" customHeight="1" x14ac:dyDescent="0.2">
      <c r="A742" s="22" t="s">
        <v>3781</v>
      </c>
      <c r="B742" s="22">
        <v>9213293</v>
      </c>
      <c r="C742" s="23">
        <v>1</v>
      </c>
      <c r="D742" s="23">
        <v>924089354</v>
      </c>
      <c r="E742" s="23">
        <v>924089354</v>
      </c>
      <c r="F742" s="24" t="s">
        <v>909</v>
      </c>
      <c r="G742" s="23">
        <v>0</v>
      </c>
      <c r="H742" s="23">
        <v>20250301</v>
      </c>
      <c r="I742" s="23" t="str">
        <f>TEXT(DATE(LEFT(H742,4), MID(H742,5,2), RIGHT(H742,2)), "M/d/yyyy")</f>
        <v>3/1/2025</v>
      </c>
      <c r="J742" s="25">
        <v>20250201</v>
      </c>
      <c r="K742" s="23" t="str">
        <f>TEXT(DATE(LEFT(J742,4), MID(J742,5,2), RIGHT(J742,2)), "M/d/yyyy")</f>
        <v>2/1/2025</v>
      </c>
      <c r="L742" s="24" t="s">
        <v>197</v>
      </c>
      <c r="M742" s="26">
        <v>1</v>
      </c>
      <c r="N742" s="25">
        <v>20</v>
      </c>
      <c r="O742" s="27">
        <v>20</v>
      </c>
      <c r="P742" s="22" t="s">
        <v>3843</v>
      </c>
    </row>
    <row r="743" spans="1:16" s="22" customFormat="1" ht="15" customHeight="1" x14ac:dyDescent="0.2">
      <c r="A743" s="22" t="s">
        <v>3781</v>
      </c>
      <c r="B743" s="22">
        <v>9213293</v>
      </c>
      <c r="C743" s="23">
        <v>2</v>
      </c>
      <c r="D743" s="23">
        <v>921123556</v>
      </c>
      <c r="E743" s="23">
        <v>921123556</v>
      </c>
      <c r="F743" s="24" t="s">
        <v>712</v>
      </c>
      <c r="G743" s="23">
        <v>0</v>
      </c>
      <c r="H743" s="23">
        <v>20250301</v>
      </c>
      <c r="I743" s="23" t="str">
        <f>TEXT(DATE(LEFT(H743,4), MID(H743,5,2), RIGHT(H743,2)), "M/d/yyyy")</f>
        <v>3/1/2025</v>
      </c>
      <c r="J743" s="25">
        <v>20240101</v>
      </c>
      <c r="K743" s="23" t="str">
        <f>TEXT(DATE(LEFT(J743,4), MID(J743,5,2), RIGHT(J743,2)), "M/d/yyyy")</f>
        <v>1/1/2024</v>
      </c>
      <c r="L743" s="24" t="s">
        <v>197</v>
      </c>
      <c r="M743" s="26">
        <v>1</v>
      </c>
      <c r="N743" s="25">
        <v>15</v>
      </c>
      <c r="O743" s="27">
        <v>30</v>
      </c>
      <c r="P743" s="22" t="s">
        <v>3843</v>
      </c>
    </row>
    <row r="744" spans="1:16" s="22" customFormat="1" ht="15" customHeight="1" x14ac:dyDescent="0.2">
      <c r="A744" s="22" t="s">
        <v>3781</v>
      </c>
      <c r="B744" s="22">
        <v>9213293</v>
      </c>
      <c r="C744" s="23">
        <v>2</v>
      </c>
      <c r="D744" s="23">
        <v>921123556</v>
      </c>
      <c r="E744" s="23">
        <v>921123556</v>
      </c>
      <c r="F744" s="24" t="s">
        <v>712</v>
      </c>
      <c r="G744" s="23">
        <v>0</v>
      </c>
      <c r="H744" s="23">
        <v>20250201</v>
      </c>
      <c r="I744" s="23" t="str">
        <f>TEXT(DATE(LEFT(H744,4), MID(H744,5,2), RIGHT(H744,2)), "M/d/yyyy")</f>
        <v>2/1/2025</v>
      </c>
      <c r="J744" s="25">
        <v>20240101</v>
      </c>
      <c r="K744" s="23" t="str">
        <f>TEXT(DATE(LEFT(J744,4), MID(J744,5,2), RIGHT(J744,2)), "M/d/yyyy")</f>
        <v>1/1/2024</v>
      </c>
      <c r="L744" s="24" t="s">
        <v>197</v>
      </c>
      <c r="M744" s="26">
        <v>1</v>
      </c>
      <c r="N744" s="25">
        <v>15</v>
      </c>
      <c r="O744" s="27">
        <v>30</v>
      </c>
      <c r="P744" s="22" t="s">
        <v>3843</v>
      </c>
    </row>
    <row r="745" spans="1:16" s="22" customFormat="1" ht="15" customHeight="1" x14ac:dyDescent="0.2">
      <c r="A745" s="22" t="s">
        <v>3781</v>
      </c>
      <c r="B745" s="22">
        <v>9213293</v>
      </c>
      <c r="C745" s="23">
        <v>2</v>
      </c>
      <c r="D745" s="23">
        <v>921768367</v>
      </c>
      <c r="E745" s="23">
        <v>921768367</v>
      </c>
      <c r="F745" s="24" t="s">
        <v>907</v>
      </c>
      <c r="G745" s="23">
        <v>0</v>
      </c>
      <c r="H745" s="23">
        <v>20250301</v>
      </c>
      <c r="I745" s="23" t="str">
        <f>TEXT(DATE(LEFT(H745,4), MID(H745,5,2), RIGHT(H745,2)), "M/d/yyyy")</f>
        <v>3/1/2025</v>
      </c>
      <c r="J745" s="25">
        <v>20250201</v>
      </c>
      <c r="K745" s="23" t="str">
        <f>TEXT(DATE(LEFT(J745,4), MID(J745,5,2), RIGHT(J745,2)), "M/d/yyyy")</f>
        <v>2/1/2025</v>
      </c>
      <c r="L745" s="24" t="s">
        <v>197</v>
      </c>
      <c r="M745" s="26">
        <v>1</v>
      </c>
      <c r="N745" s="25">
        <v>20</v>
      </c>
      <c r="O745" s="27">
        <v>40</v>
      </c>
      <c r="P745" s="22" t="s">
        <v>3843</v>
      </c>
    </row>
    <row r="746" spans="1:16" s="22" customFormat="1" ht="15" customHeight="1" x14ac:dyDescent="0.2">
      <c r="A746" s="22" t="s">
        <v>3807</v>
      </c>
      <c r="B746" s="22">
        <v>17094718</v>
      </c>
      <c r="C746" s="23">
        <v>1</v>
      </c>
      <c r="D746" s="23">
        <v>921767270</v>
      </c>
      <c r="E746" s="23">
        <v>921767270</v>
      </c>
      <c r="F746" s="24" t="s">
        <v>3339</v>
      </c>
      <c r="G746" s="23">
        <v>0</v>
      </c>
      <c r="H746" s="23">
        <v>20250201</v>
      </c>
      <c r="I746" s="23" t="str">
        <f>TEXT(DATE(LEFT(H746,4), MID(H746,5,2), RIGHT(H746,2)), "M/d/yyyy")</f>
        <v>2/1/2025</v>
      </c>
      <c r="J746" s="25">
        <v>20250101</v>
      </c>
      <c r="K746" s="23" t="str">
        <f>TEXT(DATE(LEFT(J746,4), MID(J746,5,2), RIGHT(J746,2)), "M/d/yyyy")</f>
        <v>1/1/2025</v>
      </c>
      <c r="L746" s="24" t="s">
        <v>197</v>
      </c>
      <c r="M746" s="26">
        <v>1</v>
      </c>
      <c r="N746" s="25">
        <v>20</v>
      </c>
      <c r="O746" s="27">
        <v>20</v>
      </c>
      <c r="P746" s="22" t="s">
        <v>3843</v>
      </c>
    </row>
    <row r="747" spans="1:16" s="22" customFormat="1" ht="15" customHeight="1" x14ac:dyDescent="0.2">
      <c r="A747" s="22" t="s">
        <v>3774</v>
      </c>
      <c r="B747" s="22">
        <v>8307933</v>
      </c>
      <c r="C747" s="23">
        <v>1</v>
      </c>
      <c r="D747" s="23">
        <v>921555423</v>
      </c>
      <c r="E747" s="23">
        <v>921555423</v>
      </c>
      <c r="F747" s="24" t="s">
        <v>256</v>
      </c>
      <c r="G747" s="23">
        <v>0</v>
      </c>
      <c r="H747" s="23">
        <v>20250301</v>
      </c>
      <c r="I747" s="23" t="str">
        <f>TEXT(DATE(LEFT(H747,4), MID(H747,5,2), RIGHT(H747,2)), "M/d/yyyy")</f>
        <v>3/1/2025</v>
      </c>
      <c r="J747" s="25">
        <v>20210201</v>
      </c>
      <c r="K747" s="23" t="str">
        <f>TEXT(DATE(LEFT(J747,4), MID(J747,5,2), RIGHT(J747,2)), "M/d/yyyy")</f>
        <v>2/1/2021</v>
      </c>
      <c r="L747" s="24" t="s">
        <v>197</v>
      </c>
      <c r="M747" s="26">
        <v>1</v>
      </c>
      <c r="N747" s="25">
        <v>15</v>
      </c>
      <c r="O747" s="27">
        <v>15</v>
      </c>
      <c r="P747" s="22" t="s">
        <v>3843</v>
      </c>
    </row>
    <row r="748" spans="1:16" s="22" customFormat="1" ht="15" customHeight="1" x14ac:dyDescent="0.2">
      <c r="A748" s="22" t="s">
        <v>3774</v>
      </c>
      <c r="B748" s="22">
        <v>8307933</v>
      </c>
      <c r="C748" s="23">
        <v>1</v>
      </c>
      <c r="D748" s="23">
        <v>921339518</v>
      </c>
      <c r="E748" s="23">
        <v>921339518</v>
      </c>
      <c r="F748" s="24" t="s">
        <v>204</v>
      </c>
      <c r="G748" s="23">
        <v>0</v>
      </c>
      <c r="H748" s="23">
        <v>20250301</v>
      </c>
      <c r="I748" s="23" t="str">
        <f>TEXT(DATE(LEFT(H748,4), MID(H748,5,2), RIGHT(H748,2)), "M/d/yyyy")</f>
        <v>3/1/2025</v>
      </c>
      <c r="J748" s="25">
        <v>20250101</v>
      </c>
      <c r="K748" s="23" t="str">
        <f>TEXT(DATE(LEFT(J748,4), MID(J748,5,2), RIGHT(J748,2)), "M/d/yyyy")</f>
        <v>1/1/2025</v>
      </c>
      <c r="L748" s="24" t="s">
        <v>197</v>
      </c>
      <c r="M748" s="26">
        <v>1</v>
      </c>
      <c r="N748" s="25">
        <v>20</v>
      </c>
      <c r="O748" s="27">
        <v>20</v>
      </c>
      <c r="P748" s="22" t="s">
        <v>3843</v>
      </c>
    </row>
    <row r="749" spans="1:16" s="22" customFormat="1" ht="15" customHeight="1" x14ac:dyDescent="0.2">
      <c r="A749" s="22" t="s">
        <v>3774</v>
      </c>
      <c r="B749" s="22">
        <v>8307933</v>
      </c>
      <c r="C749" s="23">
        <v>1</v>
      </c>
      <c r="D749" s="23">
        <v>921604394</v>
      </c>
      <c r="E749" s="23">
        <v>921604394</v>
      </c>
      <c r="F749" s="24" t="s">
        <v>300</v>
      </c>
      <c r="G749" s="23">
        <v>0</v>
      </c>
      <c r="H749" s="23">
        <v>20250301</v>
      </c>
      <c r="I749" s="23" t="str">
        <f>TEXT(DATE(LEFT(H749,4), MID(H749,5,2), RIGHT(H749,2)), "M/d/yyyy")</f>
        <v>3/1/2025</v>
      </c>
      <c r="J749" s="25">
        <v>20240401</v>
      </c>
      <c r="K749" s="23" t="str">
        <f>TEXT(DATE(LEFT(J749,4), MID(J749,5,2), RIGHT(J749,2)), "M/d/yyyy")</f>
        <v>4/1/2024</v>
      </c>
      <c r="L749" s="24" t="s">
        <v>197</v>
      </c>
      <c r="M749" s="26">
        <v>1</v>
      </c>
      <c r="N749" s="25">
        <v>20</v>
      </c>
      <c r="O749" s="27">
        <v>20</v>
      </c>
      <c r="P749" s="22" t="s">
        <v>3843</v>
      </c>
    </row>
    <row r="750" spans="1:16" s="22" customFormat="1" ht="15" customHeight="1" x14ac:dyDescent="0.2">
      <c r="A750" s="22" t="s">
        <v>3774</v>
      </c>
      <c r="B750" s="22">
        <v>8307933</v>
      </c>
      <c r="C750" s="23">
        <v>1</v>
      </c>
      <c r="D750" s="23">
        <v>921751114</v>
      </c>
      <c r="E750" s="23">
        <v>921751114</v>
      </c>
      <c r="F750" s="24" t="s">
        <v>389</v>
      </c>
      <c r="G750" s="23">
        <v>0</v>
      </c>
      <c r="H750" s="23">
        <v>20250301</v>
      </c>
      <c r="I750" s="23" t="str">
        <f>TEXT(DATE(LEFT(H750,4), MID(H750,5,2), RIGHT(H750,2)), "M/d/yyyy")</f>
        <v>3/1/2025</v>
      </c>
      <c r="J750" s="25">
        <v>20250101</v>
      </c>
      <c r="K750" s="23" t="str">
        <f>TEXT(DATE(LEFT(J750,4), MID(J750,5,2), RIGHT(J750,2)), "M/d/yyyy")</f>
        <v>1/1/2025</v>
      </c>
      <c r="L750" s="24" t="s">
        <v>197</v>
      </c>
      <c r="M750" s="26">
        <v>1</v>
      </c>
      <c r="N750" s="25">
        <v>20</v>
      </c>
      <c r="O750" s="27">
        <v>20</v>
      </c>
      <c r="P750" s="22" t="s">
        <v>3843</v>
      </c>
    </row>
    <row r="751" spans="1:16" s="22" customFormat="1" ht="15" customHeight="1" x14ac:dyDescent="0.2">
      <c r="A751" s="22" t="s">
        <v>3774</v>
      </c>
      <c r="B751" s="22">
        <v>8307933</v>
      </c>
      <c r="C751" s="23">
        <v>2</v>
      </c>
      <c r="D751" s="23">
        <v>921752866</v>
      </c>
      <c r="E751" s="23">
        <v>921752866</v>
      </c>
      <c r="F751" s="24" t="s">
        <v>393</v>
      </c>
      <c r="G751" s="23">
        <v>0</v>
      </c>
      <c r="H751" s="23">
        <v>20250301</v>
      </c>
      <c r="I751" s="23" t="str">
        <f>TEXT(DATE(LEFT(H751,4), MID(H751,5,2), RIGHT(H751,2)), "M/d/yyyy")</f>
        <v>3/1/2025</v>
      </c>
      <c r="J751" s="25">
        <v>20250101</v>
      </c>
      <c r="K751" s="23" t="str">
        <f>TEXT(DATE(LEFT(J751,4), MID(J751,5,2), RIGHT(J751,2)), "M/d/yyyy")</f>
        <v>1/1/2025</v>
      </c>
      <c r="L751" s="24" t="s">
        <v>197</v>
      </c>
      <c r="M751" s="26">
        <v>1</v>
      </c>
      <c r="N751" s="25">
        <v>20</v>
      </c>
      <c r="O751" s="27">
        <v>40</v>
      </c>
      <c r="P751" s="22" t="s">
        <v>3843</v>
      </c>
    </row>
    <row r="752" spans="1:16" s="22" customFormat="1" ht="15" customHeight="1" x14ac:dyDescent="0.2">
      <c r="A752" s="22" t="s">
        <v>3788</v>
      </c>
      <c r="B752" s="22">
        <v>18754354</v>
      </c>
      <c r="C752" s="23">
        <v>1</v>
      </c>
      <c r="D752" s="23">
        <v>921426418</v>
      </c>
      <c r="E752" s="23">
        <v>921426418</v>
      </c>
      <c r="F752" s="24" t="s">
        <v>2201</v>
      </c>
      <c r="G752" s="23">
        <v>0</v>
      </c>
      <c r="H752" s="23">
        <v>20250301</v>
      </c>
      <c r="I752" s="23" t="str">
        <f>TEXT(DATE(LEFT(H752,4), MID(H752,5,2), RIGHT(H752,2)), "M/d/yyyy")</f>
        <v>3/1/2025</v>
      </c>
      <c r="J752" s="25">
        <v>20250101</v>
      </c>
      <c r="K752" s="23" t="str">
        <f>TEXT(DATE(LEFT(J752,4), MID(J752,5,2), RIGHT(J752,2)), "M/d/yyyy")</f>
        <v>1/1/2025</v>
      </c>
      <c r="L752" s="24" t="s">
        <v>197</v>
      </c>
      <c r="M752" s="26">
        <v>1</v>
      </c>
      <c r="N752" s="25">
        <v>20</v>
      </c>
      <c r="O752" s="27">
        <v>20</v>
      </c>
      <c r="P752" s="22" t="s">
        <v>3843</v>
      </c>
    </row>
    <row r="753" spans="1:16" s="22" customFormat="1" ht="15" customHeight="1" x14ac:dyDescent="0.2">
      <c r="A753" s="22" t="s">
        <v>3788</v>
      </c>
      <c r="B753" s="22">
        <v>18754354</v>
      </c>
      <c r="C753" s="23">
        <v>1</v>
      </c>
      <c r="D753" s="23">
        <v>921495810</v>
      </c>
      <c r="E753" s="23">
        <v>921495810</v>
      </c>
      <c r="F753" s="24" t="s">
        <v>2221</v>
      </c>
      <c r="G753" s="23">
        <v>0</v>
      </c>
      <c r="H753" s="23">
        <v>20250301</v>
      </c>
      <c r="I753" s="23" t="str">
        <f>TEXT(DATE(LEFT(H753,4), MID(H753,5,2), RIGHT(H753,2)), "M/d/yyyy")</f>
        <v>3/1/2025</v>
      </c>
      <c r="J753" s="25">
        <v>20250101</v>
      </c>
      <c r="K753" s="23" t="str">
        <f>TEXT(DATE(LEFT(J753,4), MID(J753,5,2), RIGHT(J753,2)), "M/d/yyyy")</f>
        <v>1/1/2025</v>
      </c>
      <c r="L753" s="24" t="s">
        <v>197</v>
      </c>
      <c r="M753" s="26">
        <v>1</v>
      </c>
      <c r="N753" s="25">
        <v>20</v>
      </c>
      <c r="O753" s="27">
        <v>20</v>
      </c>
      <c r="P753" s="22" t="s">
        <v>3843</v>
      </c>
    </row>
    <row r="754" spans="1:16" s="22" customFormat="1" ht="15" customHeight="1" x14ac:dyDescent="0.2">
      <c r="A754" s="22" t="s">
        <v>3788</v>
      </c>
      <c r="B754" s="22">
        <v>18754354</v>
      </c>
      <c r="C754" s="23">
        <v>1</v>
      </c>
      <c r="D754" s="23">
        <v>921754913</v>
      </c>
      <c r="E754" s="23">
        <v>921754913</v>
      </c>
      <c r="F754" s="24" t="s">
        <v>2305</v>
      </c>
      <c r="G754" s="23">
        <v>0</v>
      </c>
      <c r="H754" s="23">
        <v>20250301</v>
      </c>
      <c r="I754" s="23" t="str">
        <f>TEXT(DATE(LEFT(H754,4), MID(H754,5,2), RIGHT(H754,2)), "M/d/yyyy")</f>
        <v>3/1/2025</v>
      </c>
      <c r="J754" s="25">
        <v>20250101</v>
      </c>
      <c r="K754" s="23" t="str">
        <f>TEXT(DATE(LEFT(J754,4), MID(J754,5,2), RIGHT(J754,2)), "M/d/yyyy")</f>
        <v>1/1/2025</v>
      </c>
      <c r="L754" s="24" t="s">
        <v>197</v>
      </c>
      <c r="M754" s="26">
        <v>1</v>
      </c>
      <c r="N754" s="25">
        <v>20</v>
      </c>
      <c r="O754" s="27">
        <v>20</v>
      </c>
      <c r="P754" s="22" t="s">
        <v>3843</v>
      </c>
    </row>
    <row r="755" spans="1:16" s="22" customFormat="1" ht="15" customHeight="1" x14ac:dyDescent="0.2">
      <c r="A755" s="22" t="s">
        <v>3788</v>
      </c>
      <c r="B755" s="22">
        <v>18754354</v>
      </c>
      <c r="C755" s="23">
        <v>1</v>
      </c>
      <c r="D755" s="23">
        <v>921760904</v>
      </c>
      <c r="E755" s="23">
        <v>921760904</v>
      </c>
      <c r="F755" s="24" t="s">
        <v>2309</v>
      </c>
      <c r="G755" s="23">
        <v>0</v>
      </c>
      <c r="H755" s="23">
        <v>20250301</v>
      </c>
      <c r="I755" s="23" t="str">
        <f>TEXT(DATE(LEFT(H755,4), MID(H755,5,2), RIGHT(H755,2)), "M/d/yyyy")</f>
        <v>3/1/2025</v>
      </c>
      <c r="J755" s="25">
        <v>20250101</v>
      </c>
      <c r="K755" s="23" t="str">
        <f>TEXT(DATE(LEFT(J755,4), MID(J755,5,2), RIGHT(J755,2)), "M/d/yyyy")</f>
        <v>1/1/2025</v>
      </c>
      <c r="L755" s="24" t="s">
        <v>197</v>
      </c>
      <c r="M755" s="26">
        <v>1</v>
      </c>
      <c r="N755" s="25">
        <v>20</v>
      </c>
      <c r="O755" s="27">
        <v>20</v>
      </c>
      <c r="P755" s="22" t="s">
        <v>3843</v>
      </c>
    </row>
    <row r="756" spans="1:16" s="22" customFormat="1" ht="15" customHeight="1" x14ac:dyDescent="0.2">
      <c r="A756" s="22" t="s">
        <v>3788</v>
      </c>
      <c r="B756" s="22">
        <v>18754354</v>
      </c>
      <c r="C756" s="23">
        <v>1</v>
      </c>
      <c r="D756" s="23">
        <v>921776082</v>
      </c>
      <c r="E756" s="23">
        <v>921776082</v>
      </c>
      <c r="F756" s="24" t="s">
        <v>2319</v>
      </c>
      <c r="G756" s="23">
        <v>0</v>
      </c>
      <c r="H756" s="23">
        <v>20250301</v>
      </c>
      <c r="I756" s="23" t="str">
        <f>TEXT(DATE(LEFT(H756,4), MID(H756,5,2), RIGHT(H756,2)), "M/d/yyyy")</f>
        <v>3/1/2025</v>
      </c>
      <c r="J756" s="25">
        <v>20250201</v>
      </c>
      <c r="K756" s="23" t="str">
        <f>TEXT(DATE(LEFT(J756,4), MID(J756,5,2), RIGHT(J756,2)), "M/d/yyyy")</f>
        <v>2/1/2025</v>
      </c>
      <c r="L756" s="24" t="s">
        <v>197</v>
      </c>
      <c r="M756" s="26">
        <v>1</v>
      </c>
      <c r="N756" s="25">
        <v>20</v>
      </c>
      <c r="O756" s="27">
        <v>20</v>
      </c>
      <c r="P756" s="22" t="s">
        <v>3843</v>
      </c>
    </row>
    <row r="757" spans="1:16" s="22" customFormat="1" ht="15" customHeight="1" x14ac:dyDescent="0.2">
      <c r="A757" s="22" t="s">
        <v>3788</v>
      </c>
      <c r="B757" s="22">
        <v>18754354</v>
      </c>
      <c r="C757" s="23">
        <v>2</v>
      </c>
      <c r="D757" s="23">
        <v>921702310</v>
      </c>
      <c r="E757" s="23">
        <v>921702310</v>
      </c>
      <c r="F757" s="24" t="s">
        <v>2274</v>
      </c>
      <c r="G757" s="23">
        <v>0</v>
      </c>
      <c r="H757" s="23">
        <v>20250301</v>
      </c>
      <c r="I757" s="23" t="str">
        <f>TEXT(DATE(LEFT(H757,4), MID(H757,5,2), RIGHT(H757,2)), "M/d/yyyy")</f>
        <v>3/1/2025</v>
      </c>
      <c r="J757" s="25">
        <v>20240201</v>
      </c>
      <c r="K757" s="23" t="str">
        <f>TEXT(DATE(LEFT(J757,4), MID(J757,5,2), RIGHT(J757,2)), "M/d/yyyy")</f>
        <v>2/1/2024</v>
      </c>
      <c r="L757" s="24" t="s">
        <v>197</v>
      </c>
      <c r="M757" s="26">
        <v>1</v>
      </c>
      <c r="N757" s="25">
        <v>15</v>
      </c>
      <c r="O757" s="27">
        <v>30</v>
      </c>
      <c r="P757" s="22" t="s">
        <v>3843</v>
      </c>
    </row>
    <row r="758" spans="1:16" s="22" customFormat="1" ht="15" customHeight="1" x14ac:dyDescent="0.2">
      <c r="A758" s="22" t="s">
        <v>3788</v>
      </c>
      <c r="B758" s="22">
        <v>18754354</v>
      </c>
      <c r="C758" s="23">
        <v>2</v>
      </c>
      <c r="D758" s="23">
        <v>921444438</v>
      </c>
      <c r="E758" s="23">
        <v>921444438</v>
      </c>
      <c r="F758" s="24" t="s">
        <v>2209</v>
      </c>
      <c r="G758" s="23">
        <v>0</v>
      </c>
      <c r="H758" s="23">
        <v>20250301</v>
      </c>
      <c r="I758" s="23" t="str">
        <f>TEXT(DATE(LEFT(H758,4), MID(H758,5,2), RIGHT(H758,2)), "M/d/yyyy")</f>
        <v>3/1/2025</v>
      </c>
      <c r="J758" s="25">
        <v>20250101</v>
      </c>
      <c r="K758" s="23" t="str">
        <f>TEXT(DATE(LEFT(J758,4), MID(J758,5,2), RIGHT(J758,2)), "M/d/yyyy")</f>
        <v>1/1/2025</v>
      </c>
      <c r="L758" s="24" t="s">
        <v>197</v>
      </c>
      <c r="M758" s="26">
        <v>1</v>
      </c>
      <c r="N758" s="25">
        <v>20</v>
      </c>
      <c r="O758" s="27">
        <v>40</v>
      </c>
      <c r="P758" s="22" t="s">
        <v>3843</v>
      </c>
    </row>
    <row r="759" spans="1:16" s="22" customFormat="1" ht="15" customHeight="1" x14ac:dyDescent="0.2">
      <c r="A759" s="22" t="s">
        <v>3788</v>
      </c>
      <c r="B759" s="22">
        <v>18754354</v>
      </c>
      <c r="C759" s="23">
        <v>2</v>
      </c>
      <c r="D759" s="23">
        <v>921702310</v>
      </c>
      <c r="E759" s="23">
        <v>921702310</v>
      </c>
      <c r="F759" s="24" t="s">
        <v>2274</v>
      </c>
      <c r="G759" s="23">
        <v>0</v>
      </c>
      <c r="H759" s="23">
        <v>20250201</v>
      </c>
      <c r="I759" s="23" t="str">
        <f>TEXT(DATE(LEFT(H759,4), MID(H759,5,2), RIGHT(H759,2)), "M/d/yyyy")</f>
        <v>2/1/2025</v>
      </c>
      <c r="J759" s="25">
        <v>20240201</v>
      </c>
      <c r="K759" s="23" t="str">
        <f>TEXT(DATE(LEFT(J759,4), MID(J759,5,2), RIGHT(J759,2)), "M/d/yyyy")</f>
        <v>2/1/2024</v>
      </c>
      <c r="L759" s="24" t="s">
        <v>197</v>
      </c>
      <c r="M759" s="26">
        <v>1</v>
      </c>
      <c r="N759" s="25">
        <v>20</v>
      </c>
      <c r="O759" s="27">
        <v>40</v>
      </c>
      <c r="P759" s="22" t="s">
        <v>3843</v>
      </c>
    </row>
    <row r="760" spans="1:16" s="22" customFormat="1" ht="15" customHeight="1" x14ac:dyDescent="0.2">
      <c r="A760" s="22" t="s">
        <v>3788</v>
      </c>
      <c r="B760" s="22">
        <v>18754354</v>
      </c>
      <c r="C760" s="23">
        <v>2</v>
      </c>
      <c r="D760" s="23">
        <v>921747273</v>
      </c>
      <c r="E760" s="23">
        <v>921747273</v>
      </c>
      <c r="F760" s="24" t="s">
        <v>2301</v>
      </c>
      <c r="G760" s="23">
        <v>0</v>
      </c>
      <c r="H760" s="23">
        <v>20250301</v>
      </c>
      <c r="I760" s="23" t="str">
        <f>TEXT(DATE(LEFT(H760,4), MID(H760,5,2), RIGHT(H760,2)), "M/d/yyyy")</f>
        <v>3/1/2025</v>
      </c>
      <c r="J760" s="25">
        <v>20250101</v>
      </c>
      <c r="K760" s="23" t="str">
        <f>TEXT(DATE(LEFT(J760,4), MID(J760,5,2), RIGHT(J760,2)), "M/d/yyyy")</f>
        <v>1/1/2025</v>
      </c>
      <c r="L760" s="24" t="s">
        <v>197</v>
      </c>
      <c r="M760" s="26">
        <v>1</v>
      </c>
      <c r="N760" s="25">
        <v>20</v>
      </c>
      <c r="O760" s="27">
        <v>40</v>
      </c>
      <c r="P760" s="22" t="s">
        <v>3843</v>
      </c>
    </row>
    <row r="761" spans="1:16" s="22" customFormat="1" ht="15" customHeight="1" x14ac:dyDescent="0.2">
      <c r="A761" s="22" t="s">
        <v>3788</v>
      </c>
      <c r="B761" s="22">
        <v>18754354</v>
      </c>
      <c r="C761" s="23">
        <v>2</v>
      </c>
      <c r="D761" s="23">
        <v>921776092</v>
      </c>
      <c r="E761" s="23">
        <v>921776092</v>
      </c>
      <c r="F761" s="24" t="s">
        <v>2321</v>
      </c>
      <c r="G761" s="23">
        <v>0</v>
      </c>
      <c r="H761" s="23">
        <v>20250301</v>
      </c>
      <c r="I761" s="23" t="str">
        <f>TEXT(DATE(LEFT(H761,4), MID(H761,5,2), RIGHT(H761,2)), "M/d/yyyy")</f>
        <v>3/1/2025</v>
      </c>
      <c r="J761" s="25">
        <v>20250201</v>
      </c>
      <c r="K761" s="23" t="str">
        <f>TEXT(DATE(LEFT(J761,4), MID(J761,5,2), RIGHT(J761,2)), "M/d/yyyy")</f>
        <v>2/1/2025</v>
      </c>
      <c r="L761" s="24" t="s">
        <v>197</v>
      </c>
      <c r="M761" s="26">
        <v>1</v>
      </c>
      <c r="N761" s="25">
        <v>20</v>
      </c>
      <c r="O761" s="27">
        <v>40</v>
      </c>
      <c r="P761" s="22" t="s">
        <v>3843</v>
      </c>
    </row>
    <row r="762" spans="1:16" s="22" customFormat="1" ht="15" customHeight="1" x14ac:dyDescent="0.2">
      <c r="A762" s="22" t="s">
        <v>3806</v>
      </c>
      <c r="B762" s="22">
        <v>16683808</v>
      </c>
      <c r="C762" s="23">
        <v>1</v>
      </c>
      <c r="D762" s="23">
        <v>921619207</v>
      </c>
      <c r="E762" s="23">
        <v>921619207</v>
      </c>
      <c r="F762" s="24" t="s">
        <v>3325</v>
      </c>
      <c r="G762" s="23">
        <v>0</v>
      </c>
      <c r="H762" s="23">
        <v>20250301</v>
      </c>
      <c r="I762" s="23" t="str">
        <f>TEXT(DATE(LEFT(H762,4), MID(H762,5,2), RIGHT(H762,2)), "M/d/yyyy")</f>
        <v>3/1/2025</v>
      </c>
      <c r="J762" s="25">
        <v>20250101</v>
      </c>
      <c r="K762" s="23" t="str">
        <f>TEXT(DATE(LEFT(J762,4), MID(J762,5,2), RIGHT(J762,2)), "M/d/yyyy")</f>
        <v>1/1/2025</v>
      </c>
      <c r="L762" s="24" t="s">
        <v>197</v>
      </c>
      <c r="M762" s="26">
        <v>1</v>
      </c>
      <c r="N762" s="25">
        <v>20</v>
      </c>
      <c r="O762" s="27">
        <v>20</v>
      </c>
      <c r="P762" s="22" t="s">
        <v>3843</v>
      </c>
    </row>
    <row r="763" spans="1:16" s="22" customFormat="1" ht="15" customHeight="1" x14ac:dyDescent="0.2">
      <c r="A763" s="22" t="s">
        <v>3806</v>
      </c>
      <c r="B763" s="22">
        <v>16683808</v>
      </c>
      <c r="C763" s="23">
        <v>1</v>
      </c>
      <c r="D763" s="23">
        <v>921754649</v>
      </c>
      <c r="E763" s="23">
        <v>921754649</v>
      </c>
      <c r="F763" s="24" t="s">
        <v>3329</v>
      </c>
      <c r="G763" s="23">
        <v>0</v>
      </c>
      <c r="H763" s="23">
        <v>20250301</v>
      </c>
      <c r="I763" s="23" t="str">
        <f>TEXT(DATE(LEFT(H763,4), MID(H763,5,2), RIGHT(H763,2)), "M/d/yyyy")</f>
        <v>3/1/2025</v>
      </c>
      <c r="J763" s="25">
        <v>20250101</v>
      </c>
      <c r="K763" s="23" t="str">
        <f>TEXT(DATE(LEFT(J763,4), MID(J763,5,2), RIGHT(J763,2)), "M/d/yyyy")</f>
        <v>1/1/2025</v>
      </c>
      <c r="L763" s="24" t="s">
        <v>197</v>
      </c>
      <c r="M763" s="26">
        <v>1</v>
      </c>
      <c r="N763" s="25">
        <v>20</v>
      </c>
      <c r="O763" s="27">
        <v>20</v>
      </c>
      <c r="P763" s="22" t="s">
        <v>3843</v>
      </c>
    </row>
    <row r="764" spans="1:16" s="22" customFormat="1" ht="15" customHeight="1" x14ac:dyDescent="0.2">
      <c r="A764" s="22" t="s">
        <v>3806</v>
      </c>
      <c r="B764" s="22">
        <v>16683808</v>
      </c>
      <c r="C764" s="23">
        <v>1</v>
      </c>
      <c r="D764" s="23">
        <v>921758795</v>
      </c>
      <c r="E764" s="23">
        <v>921758795</v>
      </c>
      <c r="F764" s="24" t="s">
        <v>3331</v>
      </c>
      <c r="G764" s="23">
        <v>0</v>
      </c>
      <c r="H764" s="23">
        <v>20250301</v>
      </c>
      <c r="I764" s="23" t="str">
        <f>TEXT(DATE(LEFT(H764,4), MID(H764,5,2), RIGHT(H764,2)), "M/d/yyyy")</f>
        <v>3/1/2025</v>
      </c>
      <c r="J764" s="25">
        <v>20250101</v>
      </c>
      <c r="K764" s="23" t="str">
        <f>TEXT(DATE(LEFT(J764,4), MID(J764,5,2), RIGHT(J764,2)), "M/d/yyyy")</f>
        <v>1/1/2025</v>
      </c>
      <c r="L764" s="24" t="s">
        <v>197</v>
      </c>
      <c r="M764" s="26">
        <v>1</v>
      </c>
      <c r="N764" s="25">
        <v>20</v>
      </c>
      <c r="O764" s="27">
        <v>20</v>
      </c>
      <c r="P764" s="22" t="s">
        <v>3843</v>
      </c>
    </row>
    <row r="765" spans="1:16" s="22" customFormat="1" ht="15" customHeight="1" x14ac:dyDescent="0.2">
      <c r="A765" s="22" t="s">
        <v>3806</v>
      </c>
      <c r="B765" s="22">
        <v>16683808</v>
      </c>
      <c r="C765" s="23">
        <v>1</v>
      </c>
      <c r="D765" s="23">
        <v>921763571</v>
      </c>
      <c r="E765" s="23">
        <v>921763571</v>
      </c>
      <c r="F765" s="24" t="s">
        <v>3333</v>
      </c>
      <c r="G765" s="23">
        <v>0</v>
      </c>
      <c r="H765" s="23">
        <v>20250301</v>
      </c>
      <c r="I765" s="23" t="str">
        <f>TEXT(DATE(LEFT(H765,4), MID(H765,5,2), RIGHT(H765,2)), "M/d/yyyy")</f>
        <v>3/1/2025</v>
      </c>
      <c r="J765" s="25">
        <v>20250101</v>
      </c>
      <c r="K765" s="23" t="str">
        <f>TEXT(DATE(LEFT(J765,4), MID(J765,5,2), RIGHT(J765,2)), "M/d/yyyy")</f>
        <v>1/1/2025</v>
      </c>
      <c r="L765" s="24" t="s">
        <v>197</v>
      </c>
      <c r="M765" s="26">
        <v>1</v>
      </c>
      <c r="N765" s="25">
        <v>20</v>
      </c>
      <c r="O765" s="27">
        <v>20</v>
      </c>
      <c r="P765" s="22" t="s">
        <v>3843</v>
      </c>
    </row>
    <row r="766" spans="1:16" s="22" customFormat="1" ht="15" customHeight="1" x14ac:dyDescent="0.2">
      <c r="A766" s="22" t="s">
        <v>3814</v>
      </c>
      <c r="B766" s="22">
        <v>14177521</v>
      </c>
      <c r="C766" s="23">
        <v>1</v>
      </c>
      <c r="D766" s="23">
        <v>921055011</v>
      </c>
      <c r="E766" s="23">
        <v>921055011</v>
      </c>
      <c r="F766" s="24" t="s">
        <v>3445</v>
      </c>
      <c r="G766" s="23">
        <v>0</v>
      </c>
      <c r="H766" s="23">
        <v>20250201</v>
      </c>
      <c r="I766" s="23" t="str">
        <f>TEXT(DATE(LEFT(H766,4), MID(H766,5,2), RIGHT(H766,2)), "M/d/yyyy")</f>
        <v>2/1/2025</v>
      </c>
      <c r="J766" s="25">
        <v>20230101</v>
      </c>
      <c r="K766" s="23" t="str">
        <f>TEXT(DATE(LEFT(J766,4), MID(J766,5,2), RIGHT(J766,2)), "M/d/yyyy")</f>
        <v>1/1/2023</v>
      </c>
      <c r="L766" s="24" t="s">
        <v>197</v>
      </c>
      <c r="M766" s="26">
        <v>1</v>
      </c>
      <c r="N766" s="25">
        <v>15</v>
      </c>
      <c r="O766" s="27">
        <v>15</v>
      </c>
      <c r="P766" s="22" t="s">
        <v>3843</v>
      </c>
    </row>
    <row r="767" spans="1:16" s="22" customFormat="1" ht="15" customHeight="1" x14ac:dyDescent="0.2">
      <c r="A767" s="22" t="s">
        <v>3814</v>
      </c>
      <c r="B767" s="22">
        <v>14177521</v>
      </c>
      <c r="C767" s="23">
        <v>1</v>
      </c>
      <c r="D767" s="23">
        <v>921200779</v>
      </c>
      <c r="E767" s="23">
        <v>921200779</v>
      </c>
      <c r="F767" s="24" t="s">
        <v>3447</v>
      </c>
      <c r="G767" s="23">
        <v>0</v>
      </c>
      <c r="H767" s="23">
        <v>20250301</v>
      </c>
      <c r="I767" s="23" t="str">
        <f>TEXT(DATE(LEFT(H767,4), MID(H767,5,2), RIGHT(H767,2)), "M/d/yyyy")</f>
        <v>3/1/2025</v>
      </c>
      <c r="J767" s="25">
        <v>20240101</v>
      </c>
      <c r="K767" s="23" t="str">
        <f>TEXT(DATE(LEFT(J767,4), MID(J767,5,2), RIGHT(J767,2)), "M/d/yyyy")</f>
        <v>1/1/2024</v>
      </c>
      <c r="L767" s="24" t="s">
        <v>197</v>
      </c>
      <c r="M767" s="26">
        <v>1</v>
      </c>
      <c r="N767" s="25">
        <v>15</v>
      </c>
      <c r="O767" s="27">
        <v>15</v>
      </c>
      <c r="P767" s="22" t="s">
        <v>3843</v>
      </c>
    </row>
    <row r="768" spans="1:16" s="22" customFormat="1" ht="15" customHeight="1" x14ac:dyDescent="0.2">
      <c r="A768" s="22" t="s">
        <v>3814</v>
      </c>
      <c r="B768" s="22">
        <v>14177521</v>
      </c>
      <c r="C768" s="23">
        <v>1</v>
      </c>
      <c r="D768" s="23">
        <v>921498605</v>
      </c>
      <c r="E768" s="23">
        <v>921498605</v>
      </c>
      <c r="F768" s="24" t="s">
        <v>3454</v>
      </c>
      <c r="G768" s="23">
        <v>0</v>
      </c>
      <c r="H768" s="23">
        <v>20250301</v>
      </c>
      <c r="I768" s="23" t="str">
        <f>TEXT(DATE(LEFT(H768,4), MID(H768,5,2), RIGHT(H768,2)), "M/d/yyyy")</f>
        <v>3/1/2025</v>
      </c>
      <c r="J768" s="25">
        <v>20230101</v>
      </c>
      <c r="K768" s="23" t="str">
        <f>TEXT(DATE(LEFT(J768,4), MID(J768,5,2), RIGHT(J768,2)), "M/d/yyyy")</f>
        <v>1/1/2023</v>
      </c>
      <c r="L768" s="24" t="s">
        <v>197</v>
      </c>
      <c r="M768" s="26">
        <v>1</v>
      </c>
      <c r="N768" s="25">
        <v>15</v>
      </c>
      <c r="O768" s="27">
        <v>15</v>
      </c>
      <c r="P768" s="22" t="s">
        <v>3843</v>
      </c>
    </row>
    <row r="769" spans="1:16" s="22" customFormat="1" ht="15" customHeight="1" x14ac:dyDescent="0.2">
      <c r="A769" s="22" t="s">
        <v>3814</v>
      </c>
      <c r="B769" s="22">
        <v>14177521</v>
      </c>
      <c r="C769" s="23">
        <v>1</v>
      </c>
      <c r="D769" s="23">
        <v>921627056</v>
      </c>
      <c r="E769" s="23">
        <v>921627056</v>
      </c>
      <c r="F769" s="24" t="s">
        <v>3460</v>
      </c>
      <c r="G769" s="23">
        <v>0</v>
      </c>
      <c r="H769" s="23">
        <v>20250301</v>
      </c>
      <c r="I769" s="23" t="str">
        <f>TEXT(DATE(LEFT(H769,4), MID(H769,5,2), RIGHT(H769,2)), "M/d/yyyy")</f>
        <v>3/1/2025</v>
      </c>
      <c r="J769" s="25">
        <v>20230101</v>
      </c>
      <c r="K769" s="23" t="str">
        <f>TEXT(DATE(LEFT(J769,4), MID(J769,5,2), RIGHT(J769,2)), "M/d/yyyy")</f>
        <v>1/1/2023</v>
      </c>
      <c r="L769" s="24" t="s">
        <v>197</v>
      </c>
      <c r="M769" s="26">
        <v>1</v>
      </c>
      <c r="N769" s="25">
        <v>15</v>
      </c>
      <c r="O769" s="27">
        <v>15</v>
      </c>
      <c r="P769" s="22" t="s">
        <v>3843</v>
      </c>
    </row>
    <row r="770" spans="1:16" s="22" customFormat="1" ht="15" customHeight="1" x14ac:dyDescent="0.2">
      <c r="A770" s="22" t="s">
        <v>3814</v>
      </c>
      <c r="B770" s="22">
        <v>14177521</v>
      </c>
      <c r="C770" s="23">
        <v>1</v>
      </c>
      <c r="D770" s="23">
        <v>921627056</v>
      </c>
      <c r="E770" s="23">
        <v>921627056</v>
      </c>
      <c r="F770" s="24" t="s">
        <v>3460</v>
      </c>
      <c r="G770" s="23">
        <v>0</v>
      </c>
      <c r="H770" s="23">
        <v>20250201</v>
      </c>
      <c r="I770" s="23" t="str">
        <f>TEXT(DATE(LEFT(H770,4), MID(H770,5,2), RIGHT(H770,2)), "M/d/yyyy")</f>
        <v>2/1/2025</v>
      </c>
      <c r="J770" s="25">
        <v>20230101</v>
      </c>
      <c r="K770" s="23" t="str">
        <f>TEXT(DATE(LEFT(J770,4), MID(J770,5,2), RIGHT(J770,2)), "M/d/yyyy")</f>
        <v>1/1/2023</v>
      </c>
      <c r="L770" s="24" t="s">
        <v>197</v>
      </c>
      <c r="M770" s="26">
        <v>1</v>
      </c>
      <c r="N770" s="25">
        <v>15</v>
      </c>
      <c r="O770" s="27">
        <v>15</v>
      </c>
      <c r="P770" s="22" t="s">
        <v>3843</v>
      </c>
    </row>
    <row r="771" spans="1:16" s="22" customFormat="1" ht="15" customHeight="1" x14ac:dyDescent="0.2">
      <c r="A771" s="22" t="s">
        <v>3778</v>
      </c>
      <c r="B771" s="22">
        <v>19206583</v>
      </c>
      <c r="C771" s="23">
        <v>1</v>
      </c>
      <c r="D771" s="23">
        <v>921611719</v>
      </c>
      <c r="E771" s="23">
        <v>921611719</v>
      </c>
      <c r="F771" s="24" t="s">
        <v>631</v>
      </c>
      <c r="G771" s="23">
        <v>0</v>
      </c>
      <c r="H771" s="23">
        <v>20250301</v>
      </c>
      <c r="I771" s="23" t="str">
        <f>TEXT(DATE(LEFT(H771,4), MID(H771,5,2), RIGHT(H771,2)), "M/d/yyyy")</f>
        <v>3/1/2025</v>
      </c>
      <c r="J771" s="25">
        <v>20220301</v>
      </c>
      <c r="K771" s="23" t="str">
        <f>TEXT(DATE(LEFT(J771,4), MID(J771,5,2), RIGHT(J771,2)), "M/d/yyyy")</f>
        <v>3/1/2022</v>
      </c>
      <c r="L771" s="24" t="s">
        <v>197</v>
      </c>
      <c r="M771" s="26">
        <v>1</v>
      </c>
      <c r="N771" s="25">
        <v>15</v>
      </c>
      <c r="O771" s="27">
        <v>15</v>
      </c>
      <c r="P771" s="22" t="s">
        <v>3843</v>
      </c>
    </row>
    <row r="772" spans="1:16" s="22" customFormat="1" ht="15" customHeight="1" x14ac:dyDescent="0.2">
      <c r="A772" s="22" t="s">
        <v>3795</v>
      </c>
      <c r="B772" s="22">
        <v>20220688</v>
      </c>
      <c r="C772" s="23">
        <v>1</v>
      </c>
      <c r="D772" s="23">
        <v>921686738</v>
      </c>
      <c r="E772" s="23">
        <v>921686738</v>
      </c>
      <c r="F772" s="24" t="s">
        <v>2724</v>
      </c>
      <c r="G772" s="23">
        <v>0</v>
      </c>
      <c r="H772" s="23">
        <v>20250301</v>
      </c>
      <c r="I772" s="23" t="str">
        <f>TEXT(DATE(LEFT(H772,4), MID(H772,5,2), RIGHT(H772,2)), "M/d/yyyy")</f>
        <v>3/1/2025</v>
      </c>
      <c r="J772" s="25">
        <v>20240101</v>
      </c>
      <c r="K772" s="23" t="str">
        <f>TEXT(DATE(LEFT(J772,4), MID(J772,5,2), RIGHT(J772,2)), "M/d/yyyy")</f>
        <v>1/1/2024</v>
      </c>
      <c r="L772" s="24" t="s">
        <v>197</v>
      </c>
      <c r="M772" s="26">
        <v>1</v>
      </c>
      <c r="N772" s="25">
        <v>15</v>
      </c>
      <c r="O772" s="27">
        <v>15</v>
      </c>
      <c r="P772" s="22" t="s">
        <v>3843</v>
      </c>
    </row>
    <row r="773" spans="1:16" s="22" customFormat="1" ht="15" customHeight="1" x14ac:dyDescent="0.2">
      <c r="A773" s="22" t="s">
        <v>3795</v>
      </c>
      <c r="B773" s="22">
        <v>20220688</v>
      </c>
      <c r="C773" s="23">
        <v>1</v>
      </c>
      <c r="D773" s="23">
        <v>921700565</v>
      </c>
      <c r="E773" s="23">
        <v>921700565</v>
      </c>
      <c r="F773" s="24" t="s">
        <v>2730</v>
      </c>
      <c r="G773" s="23">
        <v>0</v>
      </c>
      <c r="H773" s="23">
        <v>20250301</v>
      </c>
      <c r="I773" s="23" t="str">
        <f>TEXT(DATE(LEFT(H773,4), MID(H773,5,2), RIGHT(H773,2)), "M/d/yyyy")</f>
        <v>3/1/2025</v>
      </c>
      <c r="J773" s="25">
        <v>20240201</v>
      </c>
      <c r="K773" s="23" t="str">
        <f>TEXT(DATE(LEFT(J773,4), MID(J773,5,2), RIGHT(J773,2)), "M/d/yyyy")</f>
        <v>2/1/2024</v>
      </c>
      <c r="L773" s="24" t="s">
        <v>197</v>
      </c>
      <c r="M773" s="26">
        <v>1</v>
      </c>
      <c r="N773" s="25">
        <v>15</v>
      </c>
      <c r="O773" s="27">
        <v>15</v>
      </c>
      <c r="P773" s="22" t="s">
        <v>3843</v>
      </c>
    </row>
    <row r="774" spans="1:16" s="22" customFormat="1" ht="15" customHeight="1" x14ac:dyDescent="0.2">
      <c r="A774" s="22" t="s">
        <v>3795</v>
      </c>
      <c r="B774" s="22">
        <v>20220688</v>
      </c>
      <c r="C774" s="23">
        <v>1</v>
      </c>
      <c r="D774" s="23">
        <v>920829671</v>
      </c>
      <c r="E774" s="23">
        <v>920829671</v>
      </c>
      <c r="F774" s="24" t="s">
        <v>2707</v>
      </c>
      <c r="G774" s="23">
        <v>0</v>
      </c>
      <c r="H774" s="23">
        <v>20250301</v>
      </c>
      <c r="I774" s="23" t="str">
        <f>TEXT(DATE(LEFT(H774,4), MID(H774,5,2), RIGHT(H774,2)), "M/d/yyyy")</f>
        <v>3/1/2025</v>
      </c>
      <c r="J774" s="25">
        <v>20250101</v>
      </c>
      <c r="K774" s="23" t="str">
        <f>TEXT(DATE(LEFT(J774,4), MID(J774,5,2), RIGHT(J774,2)), "M/d/yyyy")</f>
        <v>1/1/2025</v>
      </c>
      <c r="L774" s="24" t="s">
        <v>197</v>
      </c>
      <c r="M774" s="26">
        <v>1</v>
      </c>
      <c r="N774" s="25">
        <v>20</v>
      </c>
      <c r="O774" s="27">
        <v>20</v>
      </c>
      <c r="P774" s="22" t="s">
        <v>3843</v>
      </c>
    </row>
    <row r="775" spans="1:16" s="22" customFormat="1" ht="15" customHeight="1" x14ac:dyDescent="0.2">
      <c r="A775" s="22" t="s">
        <v>3795</v>
      </c>
      <c r="B775" s="22">
        <v>20220688</v>
      </c>
      <c r="C775" s="23">
        <v>1</v>
      </c>
      <c r="D775" s="23">
        <v>921610346</v>
      </c>
      <c r="E775" s="23">
        <v>921610346</v>
      </c>
      <c r="F775" s="24" t="s">
        <v>2710</v>
      </c>
      <c r="G775" s="23">
        <v>0</v>
      </c>
      <c r="H775" s="23">
        <v>20250301</v>
      </c>
      <c r="I775" s="23" t="str">
        <f>TEXT(DATE(LEFT(H775,4), MID(H775,5,2), RIGHT(H775,2)), "M/d/yyyy")</f>
        <v>3/1/2025</v>
      </c>
      <c r="J775" s="25">
        <v>20250101</v>
      </c>
      <c r="K775" s="23" t="str">
        <f>TEXT(DATE(LEFT(J775,4), MID(J775,5,2), RIGHT(J775,2)), "M/d/yyyy")</f>
        <v>1/1/2025</v>
      </c>
      <c r="L775" s="24" t="s">
        <v>197</v>
      </c>
      <c r="M775" s="26">
        <v>1</v>
      </c>
      <c r="N775" s="25">
        <v>20</v>
      </c>
      <c r="O775" s="27">
        <v>20</v>
      </c>
      <c r="P775" s="22" t="s">
        <v>3843</v>
      </c>
    </row>
    <row r="776" spans="1:16" s="22" customFormat="1" ht="15" customHeight="1" x14ac:dyDescent="0.2">
      <c r="A776" s="22" t="s">
        <v>3795</v>
      </c>
      <c r="B776" s="22">
        <v>20220688</v>
      </c>
      <c r="C776" s="23">
        <v>1</v>
      </c>
      <c r="D776" s="23">
        <v>921641771</v>
      </c>
      <c r="E776" s="23">
        <v>921641771</v>
      </c>
      <c r="F776" s="24" t="s">
        <v>2714</v>
      </c>
      <c r="G776" s="23">
        <v>0</v>
      </c>
      <c r="H776" s="23">
        <v>20250301</v>
      </c>
      <c r="I776" s="23" t="str">
        <f>TEXT(DATE(LEFT(H776,4), MID(H776,5,2), RIGHT(H776,2)), "M/d/yyyy")</f>
        <v>3/1/2025</v>
      </c>
      <c r="J776" s="25">
        <v>20250101</v>
      </c>
      <c r="K776" s="23" t="str">
        <f>TEXT(DATE(LEFT(J776,4), MID(J776,5,2), RIGHT(J776,2)), "M/d/yyyy")</f>
        <v>1/1/2025</v>
      </c>
      <c r="L776" s="24" t="s">
        <v>197</v>
      </c>
      <c r="M776" s="26">
        <v>1</v>
      </c>
      <c r="N776" s="25">
        <v>20</v>
      </c>
      <c r="O776" s="27">
        <v>20</v>
      </c>
      <c r="P776" s="22" t="s">
        <v>3843</v>
      </c>
    </row>
    <row r="777" spans="1:16" s="22" customFormat="1" ht="15" customHeight="1" x14ac:dyDescent="0.2">
      <c r="A777" s="22" t="s">
        <v>3795</v>
      </c>
      <c r="B777" s="22">
        <v>20220688</v>
      </c>
      <c r="C777" s="23">
        <v>1</v>
      </c>
      <c r="D777" s="23">
        <v>921653564</v>
      </c>
      <c r="E777" s="23">
        <v>921653564</v>
      </c>
      <c r="F777" s="24" t="s">
        <v>2716</v>
      </c>
      <c r="G777" s="23">
        <v>0</v>
      </c>
      <c r="H777" s="23">
        <v>20250301</v>
      </c>
      <c r="I777" s="23" t="str">
        <f>TEXT(DATE(LEFT(H777,4), MID(H777,5,2), RIGHT(H777,2)), "M/d/yyyy")</f>
        <v>3/1/2025</v>
      </c>
      <c r="J777" s="25">
        <v>20250101</v>
      </c>
      <c r="K777" s="23" t="str">
        <f>TEXT(DATE(LEFT(J777,4), MID(J777,5,2), RIGHT(J777,2)), "M/d/yyyy")</f>
        <v>1/1/2025</v>
      </c>
      <c r="L777" s="24" t="s">
        <v>197</v>
      </c>
      <c r="M777" s="26">
        <v>1</v>
      </c>
      <c r="N777" s="25">
        <v>20</v>
      </c>
      <c r="O777" s="27">
        <v>20</v>
      </c>
      <c r="P777" s="22" t="s">
        <v>3843</v>
      </c>
    </row>
    <row r="778" spans="1:16" s="22" customFormat="1" ht="15" customHeight="1" x14ac:dyDescent="0.2">
      <c r="A778" s="22" t="s">
        <v>3795</v>
      </c>
      <c r="B778" s="22">
        <v>20220688</v>
      </c>
      <c r="C778" s="23">
        <v>1</v>
      </c>
      <c r="D778" s="23">
        <v>921657856</v>
      </c>
      <c r="E778" s="23">
        <v>921657856</v>
      </c>
      <c r="F778" s="24" t="s">
        <v>2718</v>
      </c>
      <c r="G778" s="23">
        <v>0</v>
      </c>
      <c r="H778" s="23">
        <v>20250301</v>
      </c>
      <c r="I778" s="23" t="str">
        <f>TEXT(DATE(LEFT(H778,4), MID(H778,5,2), RIGHT(H778,2)), "M/d/yyyy")</f>
        <v>3/1/2025</v>
      </c>
      <c r="J778" s="25">
        <v>20250101</v>
      </c>
      <c r="K778" s="23" t="str">
        <f>TEXT(DATE(LEFT(J778,4), MID(J778,5,2), RIGHT(J778,2)), "M/d/yyyy")</f>
        <v>1/1/2025</v>
      </c>
      <c r="L778" s="24" t="s">
        <v>197</v>
      </c>
      <c r="M778" s="26">
        <v>1</v>
      </c>
      <c r="N778" s="25">
        <v>20</v>
      </c>
      <c r="O778" s="27">
        <v>20</v>
      </c>
      <c r="P778" s="22" t="s">
        <v>3843</v>
      </c>
    </row>
    <row r="779" spans="1:16" s="22" customFormat="1" ht="15" customHeight="1" x14ac:dyDescent="0.2">
      <c r="A779" s="22" t="s">
        <v>3795</v>
      </c>
      <c r="B779" s="22">
        <v>20220688</v>
      </c>
      <c r="C779" s="23">
        <v>1</v>
      </c>
      <c r="D779" s="23">
        <v>921657856</v>
      </c>
      <c r="E779" s="23">
        <v>921657856</v>
      </c>
      <c r="F779" s="24" t="s">
        <v>2718</v>
      </c>
      <c r="G779" s="23">
        <v>0</v>
      </c>
      <c r="H779" s="23">
        <v>20250201</v>
      </c>
      <c r="I779" s="23" t="str">
        <f>TEXT(DATE(LEFT(H779,4), MID(H779,5,2), RIGHT(H779,2)), "M/d/yyyy")</f>
        <v>2/1/2025</v>
      </c>
      <c r="J779" s="25">
        <v>20250101</v>
      </c>
      <c r="K779" s="23" t="str">
        <f>TEXT(DATE(LEFT(J779,4), MID(J779,5,2), RIGHT(J779,2)), "M/d/yyyy")</f>
        <v>1/1/2025</v>
      </c>
      <c r="L779" s="24" t="s">
        <v>197</v>
      </c>
      <c r="M779" s="26">
        <v>1</v>
      </c>
      <c r="N779" s="25">
        <v>20</v>
      </c>
      <c r="O779" s="27">
        <v>20</v>
      </c>
      <c r="P779" s="22" t="s">
        <v>3843</v>
      </c>
    </row>
    <row r="780" spans="1:16" s="22" customFormat="1" ht="15" customHeight="1" x14ac:dyDescent="0.2">
      <c r="A780" s="22" t="s">
        <v>3795</v>
      </c>
      <c r="B780" s="22">
        <v>20220688</v>
      </c>
      <c r="C780" s="23">
        <v>1</v>
      </c>
      <c r="D780" s="23">
        <v>921678765</v>
      </c>
      <c r="E780" s="23">
        <v>921678765</v>
      </c>
      <c r="F780" s="24" t="s">
        <v>2722</v>
      </c>
      <c r="G780" s="23">
        <v>0</v>
      </c>
      <c r="H780" s="23">
        <v>20250301</v>
      </c>
      <c r="I780" s="23" t="str">
        <f>TEXT(DATE(LEFT(H780,4), MID(H780,5,2), RIGHT(H780,2)), "M/d/yyyy")</f>
        <v>3/1/2025</v>
      </c>
      <c r="J780" s="25">
        <v>20250201</v>
      </c>
      <c r="K780" s="23" t="str">
        <f>TEXT(DATE(LEFT(J780,4), MID(J780,5,2), RIGHT(J780,2)), "M/d/yyyy")</f>
        <v>2/1/2025</v>
      </c>
      <c r="L780" s="24" t="s">
        <v>197</v>
      </c>
      <c r="M780" s="26">
        <v>1</v>
      </c>
      <c r="N780" s="25">
        <v>20</v>
      </c>
      <c r="O780" s="27">
        <v>20</v>
      </c>
      <c r="P780" s="22" t="s">
        <v>3843</v>
      </c>
    </row>
    <row r="781" spans="1:16" s="22" customFormat="1" ht="15" customHeight="1" x14ac:dyDescent="0.2">
      <c r="A781" s="22" t="s">
        <v>3795</v>
      </c>
      <c r="B781" s="22">
        <v>20220688</v>
      </c>
      <c r="C781" s="23">
        <v>1</v>
      </c>
      <c r="D781" s="23">
        <v>921722560</v>
      </c>
      <c r="E781" s="23">
        <v>921722560</v>
      </c>
      <c r="F781" s="24" t="s">
        <v>2738</v>
      </c>
      <c r="G781" s="23">
        <v>0</v>
      </c>
      <c r="H781" s="23">
        <v>20250301</v>
      </c>
      <c r="I781" s="23" t="str">
        <f>TEXT(DATE(LEFT(H781,4), MID(H781,5,2), RIGHT(H781,2)), "M/d/yyyy")</f>
        <v>3/1/2025</v>
      </c>
      <c r="J781" s="25">
        <v>20240501</v>
      </c>
      <c r="K781" s="23" t="str">
        <f>TEXT(DATE(LEFT(J781,4), MID(J781,5,2), RIGHT(J781,2)), "M/d/yyyy")</f>
        <v>5/1/2024</v>
      </c>
      <c r="L781" s="24" t="s">
        <v>197</v>
      </c>
      <c r="M781" s="26">
        <v>1</v>
      </c>
      <c r="N781" s="25">
        <v>20</v>
      </c>
      <c r="O781" s="27">
        <v>20</v>
      </c>
      <c r="P781" s="22" t="s">
        <v>3843</v>
      </c>
    </row>
    <row r="782" spans="1:16" s="22" customFormat="1" ht="15" customHeight="1" x14ac:dyDescent="0.2">
      <c r="A782" s="22" t="s">
        <v>3795</v>
      </c>
      <c r="B782" s="22">
        <v>20220688</v>
      </c>
      <c r="C782" s="23">
        <v>1</v>
      </c>
      <c r="D782" s="23">
        <v>921729969</v>
      </c>
      <c r="E782" s="23">
        <v>921729969</v>
      </c>
      <c r="F782" s="24" t="s">
        <v>2740</v>
      </c>
      <c r="G782" s="23">
        <v>0</v>
      </c>
      <c r="H782" s="23">
        <v>20250301</v>
      </c>
      <c r="I782" s="23" t="str">
        <f>TEXT(DATE(LEFT(H782,4), MID(H782,5,2), RIGHT(H782,2)), "M/d/yyyy")</f>
        <v>3/1/2025</v>
      </c>
      <c r="J782" s="25">
        <v>20250101</v>
      </c>
      <c r="K782" s="23" t="str">
        <f>TEXT(DATE(LEFT(J782,4), MID(J782,5,2), RIGHT(J782,2)), "M/d/yyyy")</f>
        <v>1/1/2025</v>
      </c>
      <c r="L782" s="24" t="s">
        <v>197</v>
      </c>
      <c r="M782" s="26">
        <v>1</v>
      </c>
      <c r="N782" s="25">
        <v>20</v>
      </c>
      <c r="O782" s="27">
        <v>20</v>
      </c>
      <c r="P782" s="22" t="s">
        <v>3843</v>
      </c>
    </row>
    <row r="783" spans="1:16" s="22" customFormat="1" ht="15" customHeight="1" x14ac:dyDescent="0.2">
      <c r="A783" s="22" t="s">
        <v>3795</v>
      </c>
      <c r="B783" s="22">
        <v>20220688</v>
      </c>
      <c r="C783" s="23">
        <v>1</v>
      </c>
      <c r="D783" s="23">
        <v>921736153</v>
      </c>
      <c r="E783" s="23">
        <v>921736153</v>
      </c>
      <c r="F783" s="24" t="s">
        <v>2744</v>
      </c>
      <c r="G783" s="23">
        <v>0</v>
      </c>
      <c r="H783" s="23">
        <v>20250301</v>
      </c>
      <c r="I783" s="23" t="str">
        <f>TEXT(DATE(LEFT(H783,4), MID(H783,5,2), RIGHT(H783,2)), "M/d/yyyy")</f>
        <v>3/1/2025</v>
      </c>
      <c r="J783" s="25">
        <v>20240901</v>
      </c>
      <c r="K783" s="23" t="str">
        <f>TEXT(DATE(LEFT(J783,4), MID(J783,5,2), RIGHT(J783,2)), "M/d/yyyy")</f>
        <v>9/1/2024</v>
      </c>
      <c r="L783" s="24" t="s">
        <v>197</v>
      </c>
      <c r="M783" s="26">
        <v>1</v>
      </c>
      <c r="N783" s="25">
        <v>20</v>
      </c>
      <c r="O783" s="27">
        <v>20</v>
      </c>
      <c r="P783" s="22" t="s">
        <v>3843</v>
      </c>
    </row>
    <row r="784" spans="1:16" s="22" customFormat="1" ht="15" customHeight="1" x14ac:dyDescent="0.2">
      <c r="A784" s="22" t="s">
        <v>3795</v>
      </c>
      <c r="B784" s="22">
        <v>20220688</v>
      </c>
      <c r="C784" s="23">
        <v>1</v>
      </c>
      <c r="D784" s="23">
        <v>921738851</v>
      </c>
      <c r="E784" s="23">
        <v>921738851</v>
      </c>
      <c r="F784" s="24" t="s">
        <v>2750</v>
      </c>
      <c r="G784" s="23">
        <v>0</v>
      </c>
      <c r="H784" s="23">
        <v>20250301</v>
      </c>
      <c r="I784" s="23" t="str">
        <f>TEXT(DATE(LEFT(H784,4), MID(H784,5,2), RIGHT(H784,2)), "M/d/yyyy")</f>
        <v>3/1/2025</v>
      </c>
      <c r="J784" s="25">
        <v>20241001</v>
      </c>
      <c r="K784" s="23" t="str">
        <f>TEXT(DATE(LEFT(J784,4), MID(J784,5,2), RIGHT(J784,2)), "M/d/yyyy")</f>
        <v>10/1/2024</v>
      </c>
      <c r="L784" s="24" t="s">
        <v>197</v>
      </c>
      <c r="M784" s="26">
        <v>1</v>
      </c>
      <c r="N784" s="25">
        <v>20</v>
      </c>
      <c r="O784" s="27">
        <v>20</v>
      </c>
      <c r="P784" s="22" t="s">
        <v>3843</v>
      </c>
    </row>
    <row r="785" spans="1:16" s="22" customFormat="1" ht="15" customHeight="1" x14ac:dyDescent="0.2">
      <c r="A785" s="22" t="s">
        <v>3795</v>
      </c>
      <c r="B785" s="22">
        <v>20220688</v>
      </c>
      <c r="C785" s="23">
        <v>1</v>
      </c>
      <c r="D785" s="23">
        <v>921745105</v>
      </c>
      <c r="E785" s="23">
        <v>921745105</v>
      </c>
      <c r="F785" s="24" t="s">
        <v>2764</v>
      </c>
      <c r="G785" s="23">
        <v>0</v>
      </c>
      <c r="H785" s="23">
        <v>20250301</v>
      </c>
      <c r="I785" s="23" t="str">
        <f>TEXT(DATE(LEFT(H785,4), MID(H785,5,2), RIGHT(H785,2)), "M/d/yyyy")</f>
        <v>3/1/2025</v>
      </c>
      <c r="J785" s="25">
        <v>20250101</v>
      </c>
      <c r="K785" s="23" t="str">
        <f>TEXT(DATE(LEFT(J785,4), MID(J785,5,2), RIGHT(J785,2)), "M/d/yyyy")</f>
        <v>1/1/2025</v>
      </c>
      <c r="L785" s="24" t="s">
        <v>197</v>
      </c>
      <c r="M785" s="26">
        <v>1</v>
      </c>
      <c r="N785" s="25">
        <v>20</v>
      </c>
      <c r="O785" s="27">
        <v>20</v>
      </c>
      <c r="P785" s="22" t="s">
        <v>3843</v>
      </c>
    </row>
    <row r="786" spans="1:16" s="22" customFormat="1" ht="15" customHeight="1" x14ac:dyDescent="0.2">
      <c r="A786" s="22" t="s">
        <v>3795</v>
      </c>
      <c r="B786" s="22">
        <v>20220688</v>
      </c>
      <c r="C786" s="23">
        <v>1</v>
      </c>
      <c r="D786" s="23">
        <v>921746276</v>
      </c>
      <c r="E786" s="23">
        <v>921746276</v>
      </c>
      <c r="F786" s="24" t="s">
        <v>2766</v>
      </c>
      <c r="G786" s="23">
        <v>0</v>
      </c>
      <c r="H786" s="23">
        <v>20250301</v>
      </c>
      <c r="I786" s="23" t="str">
        <f>TEXT(DATE(LEFT(H786,4), MID(H786,5,2), RIGHT(H786,2)), "M/d/yyyy")</f>
        <v>3/1/2025</v>
      </c>
      <c r="J786" s="25">
        <v>20241201</v>
      </c>
      <c r="K786" s="23" t="str">
        <f>TEXT(DATE(LEFT(J786,4), MID(J786,5,2), RIGHT(J786,2)), "M/d/yyyy")</f>
        <v>12/1/2024</v>
      </c>
      <c r="L786" s="24" t="s">
        <v>197</v>
      </c>
      <c r="M786" s="26">
        <v>1</v>
      </c>
      <c r="N786" s="25">
        <v>20</v>
      </c>
      <c r="O786" s="27">
        <v>20</v>
      </c>
      <c r="P786" s="22" t="s">
        <v>3843</v>
      </c>
    </row>
    <row r="787" spans="1:16" s="22" customFormat="1" ht="15" customHeight="1" x14ac:dyDescent="0.2">
      <c r="A787" s="22" t="s">
        <v>3795</v>
      </c>
      <c r="B787" s="22">
        <v>20220688</v>
      </c>
      <c r="C787" s="23">
        <v>1</v>
      </c>
      <c r="D787" s="23">
        <v>921746276</v>
      </c>
      <c r="E787" s="23">
        <v>921746276</v>
      </c>
      <c r="F787" s="24" t="s">
        <v>2766</v>
      </c>
      <c r="G787" s="23">
        <v>0</v>
      </c>
      <c r="H787" s="23">
        <v>20250201</v>
      </c>
      <c r="I787" s="23" t="str">
        <f>TEXT(DATE(LEFT(H787,4), MID(H787,5,2), RIGHT(H787,2)), "M/d/yyyy")</f>
        <v>2/1/2025</v>
      </c>
      <c r="J787" s="25">
        <v>20241201</v>
      </c>
      <c r="K787" s="23" t="str">
        <f>TEXT(DATE(LEFT(J787,4), MID(J787,5,2), RIGHT(J787,2)), "M/d/yyyy")</f>
        <v>12/1/2024</v>
      </c>
      <c r="L787" s="24" t="s">
        <v>197</v>
      </c>
      <c r="M787" s="26">
        <v>1</v>
      </c>
      <c r="N787" s="25">
        <v>20</v>
      </c>
      <c r="O787" s="27">
        <v>20</v>
      </c>
      <c r="P787" s="22" t="s">
        <v>3843</v>
      </c>
    </row>
    <row r="788" spans="1:16" s="22" customFormat="1" ht="15" customHeight="1" x14ac:dyDescent="0.2">
      <c r="A788" s="22" t="s">
        <v>3795</v>
      </c>
      <c r="B788" s="22">
        <v>20220688</v>
      </c>
      <c r="C788" s="23">
        <v>1</v>
      </c>
      <c r="D788" s="23">
        <v>921746485</v>
      </c>
      <c r="E788" s="23">
        <v>921746485</v>
      </c>
      <c r="F788" s="24" t="s">
        <v>2768</v>
      </c>
      <c r="G788" s="23">
        <v>0</v>
      </c>
      <c r="H788" s="23">
        <v>20250301</v>
      </c>
      <c r="I788" s="23" t="str">
        <f>TEXT(DATE(LEFT(H788,4), MID(H788,5,2), RIGHT(H788,2)), "M/d/yyyy")</f>
        <v>3/1/2025</v>
      </c>
      <c r="J788" s="25">
        <v>20241201</v>
      </c>
      <c r="K788" s="23" t="str">
        <f>TEXT(DATE(LEFT(J788,4), MID(J788,5,2), RIGHT(J788,2)), "M/d/yyyy")</f>
        <v>12/1/2024</v>
      </c>
      <c r="L788" s="24" t="s">
        <v>197</v>
      </c>
      <c r="M788" s="26">
        <v>1</v>
      </c>
      <c r="N788" s="25">
        <v>20</v>
      </c>
      <c r="O788" s="27">
        <v>20</v>
      </c>
      <c r="P788" s="22" t="s">
        <v>3843</v>
      </c>
    </row>
    <row r="789" spans="1:16" s="22" customFormat="1" ht="15" customHeight="1" x14ac:dyDescent="0.2">
      <c r="A789" s="22" t="s">
        <v>3795</v>
      </c>
      <c r="B789" s="22">
        <v>20220688</v>
      </c>
      <c r="C789" s="23">
        <v>1</v>
      </c>
      <c r="D789" s="23">
        <v>921746677</v>
      </c>
      <c r="E789" s="23">
        <v>921746677</v>
      </c>
      <c r="F789" s="24" t="s">
        <v>2770</v>
      </c>
      <c r="G789" s="23">
        <v>0</v>
      </c>
      <c r="H789" s="23">
        <v>20250301</v>
      </c>
      <c r="I789" s="23" t="str">
        <f>TEXT(DATE(LEFT(H789,4), MID(H789,5,2), RIGHT(H789,2)), "M/d/yyyy")</f>
        <v>3/1/2025</v>
      </c>
      <c r="J789" s="25">
        <v>20250101</v>
      </c>
      <c r="K789" s="23" t="str">
        <f>TEXT(DATE(LEFT(J789,4), MID(J789,5,2), RIGHT(J789,2)), "M/d/yyyy")</f>
        <v>1/1/2025</v>
      </c>
      <c r="L789" s="24" t="s">
        <v>197</v>
      </c>
      <c r="M789" s="26">
        <v>1</v>
      </c>
      <c r="N789" s="25">
        <v>20</v>
      </c>
      <c r="O789" s="27">
        <v>20</v>
      </c>
      <c r="P789" s="22" t="s">
        <v>3843</v>
      </c>
    </row>
    <row r="790" spans="1:16" s="22" customFormat="1" ht="15" customHeight="1" x14ac:dyDescent="0.2">
      <c r="A790" s="22" t="s">
        <v>3795</v>
      </c>
      <c r="B790" s="22">
        <v>20220688</v>
      </c>
      <c r="C790" s="23">
        <v>1</v>
      </c>
      <c r="D790" s="23">
        <v>921746749</v>
      </c>
      <c r="E790" s="23">
        <v>921746749</v>
      </c>
      <c r="F790" s="24" t="s">
        <v>2772</v>
      </c>
      <c r="G790" s="23">
        <v>0</v>
      </c>
      <c r="H790" s="23">
        <v>20250301</v>
      </c>
      <c r="I790" s="23" t="str">
        <f>TEXT(DATE(LEFT(H790,4), MID(H790,5,2), RIGHT(H790,2)), "M/d/yyyy")</f>
        <v>3/1/2025</v>
      </c>
      <c r="J790" s="25">
        <v>20250101</v>
      </c>
      <c r="K790" s="23" t="str">
        <f>TEXT(DATE(LEFT(J790,4), MID(J790,5,2), RIGHT(J790,2)), "M/d/yyyy")</f>
        <v>1/1/2025</v>
      </c>
      <c r="L790" s="24" t="s">
        <v>197</v>
      </c>
      <c r="M790" s="26">
        <v>1</v>
      </c>
      <c r="N790" s="25">
        <v>20</v>
      </c>
      <c r="O790" s="27">
        <v>20</v>
      </c>
      <c r="P790" s="22" t="s">
        <v>3843</v>
      </c>
    </row>
    <row r="791" spans="1:16" s="22" customFormat="1" ht="15" customHeight="1" x14ac:dyDescent="0.2">
      <c r="A791" s="22" t="s">
        <v>3795</v>
      </c>
      <c r="B791" s="22">
        <v>20220688</v>
      </c>
      <c r="C791" s="23">
        <v>1</v>
      </c>
      <c r="D791" s="23">
        <v>921747764</v>
      </c>
      <c r="E791" s="23">
        <v>921747764</v>
      </c>
      <c r="F791" s="24" t="s">
        <v>2778</v>
      </c>
      <c r="G791" s="23">
        <v>0</v>
      </c>
      <c r="H791" s="23">
        <v>20250301</v>
      </c>
      <c r="I791" s="23" t="str">
        <f>TEXT(DATE(LEFT(H791,4), MID(H791,5,2), RIGHT(H791,2)), "M/d/yyyy")</f>
        <v>3/1/2025</v>
      </c>
      <c r="J791" s="25">
        <v>20250101</v>
      </c>
      <c r="K791" s="23" t="str">
        <f>TEXT(DATE(LEFT(J791,4), MID(J791,5,2), RIGHT(J791,2)), "M/d/yyyy")</f>
        <v>1/1/2025</v>
      </c>
      <c r="L791" s="24" t="s">
        <v>197</v>
      </c>
      <c r="M791" s="26">
        <v>1</v>
      </c>
      <c r="N791" s="25">
        <v>20</v>
      </c>
      <c r="O791" s="27">
        <v>20</v>
      </c>
      <c r="P791" s="22" t="s">
        <v>3843</v>
      </c>
    </row>
    <row r="792" spans="1:16" s="22" customFormat="1" ht="15" customHeight="1" x14ac:dyDescent="0.2">
      <c r="A792" s="22" t="s">
        <v>3795</v>
      </c>
      <c r="B792" s="22">
        <v>20220688</v>
      </c>
      <c r="C792" s="23">
        <v>1</v>
      </c>
      <c r="D792" s="23">
        <v>921747768</v>
      </c>
      <c r="E792" s="23">
        <v>921747768</v>
      </c>
      <c r="F792" s="24" t="s">
        <v>2780</v>
      </c>
      <c r="G792" s="23">
        <v>0</v>
      </c>
      <c r="H792" s="23">
        <v>20250301</v>
      </c>
      <c r="I792" s="23" t="str">
        <f>TEXT(DATE(LEFT(H792,4), MID(H792,5,2), RIGHT(H792,2)), "M/d/yyyy")</f>
        <v>3/1/2025</v>
      </c>
      <c r="J792" s="25">
        <v>20250101</v>
      </c>
      <c r="K792" s="23" t="str">
        <f>TEXT(DATE(LEFT(J792,4), MID(J792,5,2), RIGHT(J792,2)), "M/d/yyyy")</f>
        <v>1/1/2025</v>
      </c>
      <c r="L792" s="24" t="s">
        <v>197</v>
      </c>
      <c r="M792" s="26">
        <v>1</v>
      </c>
      <c r="N792" s="25">
        <v>20</v>
      </c>
      <c r="O792" s="27">
        <v>20</v>
      </c>
      <c r="P792" s="22" t="s">
        <v>3843</v>
      </c>
    </row>
    <row r="793" spans="1:16" s="22" customFormat="1" ht="15" customHeight="1" x14ac:dyDescent="0.2">
      <c r="A793" s="22" t="s">
        <v>3795</v>
      </c>
      <c r="B793" s="22">
        <v>20220688</v>
      </c>
      <c r="C793" s="23">
        <v>1</v>
      </c>
      <c r="D793" s="23">
        <v>921748281</v>
      </c>
      <c r="E793" s="23">
        <v>921748281</v>
      </c>
      <c r="F793" s="24" t="s">
        <v>2782</v>
      </c>
      <c r="G793" s="23">
        <v>0</v>
      </c>
      <c r="H793" s="23">
        <v>20250301</v>
      </c>
      <c r="I793" s="23" t="str">
        <f>TEXT(DATE(LEFT(H793,4), MID(H793,5,2), RIGHT(H793,2)), "M/d/yyyy")</f>
        <v>3/1/2025</v>
      </c>
      <c r="J793" s="25">
        <v>20250101</v>
      </c>
      <c r="K793" s="23" t="str">
        <f>TEXT(DATE(LEFT(J793,4), MID(J793,5,2), RIGHT(J793,2)), "M/d/yyyy")</f>
        <v>1/1/2025</v>
      </c>
      <c r="L793" s="24" t="s">
        <v>197</v>
      </c>
      <c r="M793" s="26">
        <v>1</v>
      </c>
      <c r="N793" s="25">
        <v>20</v>
      </c>
      <c r="O793" s="27">
        <v>20</v>
      </c>
      <c r="P793" s="22" t="s">
        <v>3843</v>
      </c>
    </row>
    <row r="794" spans="1:16" s="22" customFormat="1" ht="15" customHeight="1" x14ac:dyDescent="0.2">
      <c r="A794" s="22" t="s">
        <v>3795</v>
      </c>
      <c r="B794" s="22">
        <v>20220688</v>
      </c>
      <c r="C794" s="23">
        <v>1</v>
      </c>
      <c r="D794" s="23">
        <v>921748537</v>
      </c>
      <c r="E794" s="23">
        <v>921748537</v>
      </c>
      <c r="F794" s="24" t="s">
        <v>2786</v>
      </c>
      <c r="G794" s="23">
        <v>0</v>
      </c>
      <c r="H794" s="23">
        <v>20250201</v>
      </c>
      <c r="I794" s="23" t="str">
        <f>TEXT(DATE(LEFT(H794,4), MID(H794,5,2), RIGHT(H794,2)), "M/d/yyyy")</f>
        <v>2/1/2025</v>
      </c>
      <c r="J794" s="25">
        <v>20241201</v>
      </c>
      <c r="K794" s="23" t="str">
        <f>TEXT(DATE(LEFT(J794,4), MID(J794,5,2), RIGHT(J794,2)), "M/d/yyyy")</f>
        <v>12/1/2024</v>
      </c>
      <c r="L794" s="24" t="s">
        <v>197</v>
      </c>
      <c r="M794" s="26">
        <v>1</v>
      </c>
      <c r="N794" s="25">
        <v>20</v>
      </c>
      <c r="O794" s="27">
        <v>20</v>
      </c>
      <c r="P794" s="22" t="s">
        <v>3843</v>
      </c>
    </row>
    <row r="795" spans="1:16" s="22" customFormat="1" ht="15" customHeight="1" x14ac:dyDescent="0.2">
      <c r="A795" s="22" t="s">
        <v>3795</v>
      </c>
      <c r="B795" s="22">
        <v>20220688</v>
      </c>
      <c r="C795" s="23">
        <v>1</v>
      </c>
      <c r="D795" s="23">
        <v>921748561</v>
      </c>
      <c r="E795" s="23">
        <v>921748561</v>
      </c>
      <c r="F795" s="24" t="s">
        <v>2788</v>
      </c>
      <c r="G795" s="23">
        <v>0</v>
      </c>
      <c r="H795" s="23">
        <v>20250301</v>
      </c>
      <c r="I795" s="23" t="str">
        <f>TEXT(DATE(LEFT(H795,4), MID(H795,5,2), RIGHT(H795,2)), "M/d/yyyy")</f>
        <v>3/1/2025</v>
      </c>
      <c r="J795" s="25">
        <v>20250101</v>
      </c>
      <c r="K795" s="23" t="str">
        <f>TEXT(DATE(LEFT(J795,4), MID(J795,5,2), RIGHT(J795,2)), "M/d/yyyy")</f>
        <v>1/1/2025</v>
      </c>
      <c r="L795" s="24" t="s">
        <v>197</v>
      </c>
      <c r="M795" s="26">
        <v>1</v>
      </c>
      <c r="N795" s="25">
        <v>20</v>
      </c>
      <c r="O795" s="27">
        <v>20</v>
      </c>
      <c r="P795" s="22" t="s">
        <v>3843</v>
      </c>
    </row>
    <row r="796" spans="1:16" s="22" customFormat="1" ht="15" customHeight="1" x14ac:dyDescent="0.2">
      <c r="A796" s="22" t="s">
        <v>3795</v>
      </c>
      <c r="B796" s="22">
        <v>20220688</v>
      </c>
      <c r="C796" s="23">
        <v>1</v>
      </c>
      <c r="D796" s="23">
        <v>921749087</v>
      </c>
      <c r="E796" s="23">
        <v>921749087</v>
      </c>
      <c r="F796" s="24" t="s">
        <v>2792</v>
      </c>
      <c r="G796" s="23">
        <v>0</v>
      </c>
      <c r="H796" s="23">
        <v>20250301</v>
      </c>
      <c r="I796" s="23" t="str">
        <f>TEXT(DATE(LEFT(H796,4), MID(H796,5,2), RIGHT(H796,2)), "M/d/yyyy")</f>
        <v>3/1/2025</v>
      </c>
      <c r="J796" s="25">
        <v>20241201</v>
      </c>
      <c r="K796" s="23" t="str">
        <f>TEXT(DATE(LEFT(J796,4), MID(J796,5,2), RIGHT(J796,2)), "M/d/yyyy")</f>
        <v>12/1/2024</v>
      </c>
      <c r="L796" s="24" t="s">
        <v>197</v>
      </c>
      <c r="M796" s="26">
        <v>1</v>
      </c>
      <c r="N796" s="25">
        <v>20</v>
      </c>
      <c r="O796" s="27">
        <v>20</v>
      </c>
      <c r="P796" s="22" t="s">
        <v>3843</v>
      </c>
    </row>
    <row r="797" spans="1:16" s="22" customFormat="1" ht="15" customHeight="1" x14ac:dyDescent="0.2">
      <c r="A797" s="22" t="s">
        <v>3795</v>
      </c>
      <c r="B797" s="22">
        <v>20220688</v>
      </c>
      <c r="C797" s="23">
        <v>1</v>
      </c>
      <c r="D797" s="23">
        <v>921749763</v>
      </c>
      <c r="E797" s="23">
        <v>921749763</v>
      </c>
      <c r="F797" s="24" t="s">
        <v>2794</v>
      </c>
      <c r="G797" s="23">
        <v>0</v>
      </c>
      <c r="H797" s="23">
        <v>20250301</v>
      </c>
      <c r="I797" s="23" t="str">
        <f>TEXT(DATE(LEFT(H797,4), MID(H797,5,2), RIGHT(H797,2)), "M/d/yyyy")</f>
        <v>3/1/2025</v>
      </c>
      <c r="J797" s="25">
        <v>20250101</v>
      </c>
      <c r="K797" s="23" t="str">
        <f>TEXT(DATE(LEFT(J797,4), MID(J797,5,2), RIGHT(J797,2)), "M/d/yyyy")</f>
        <v>1/1/2025</v>
      </c>
      <c r="L797" s="24" t="s">
        <v>197</v>
      </c>
      <c r="M797" s="26">
        <v>1</v>
      </c>
      <c r="N797" s="25">
        <v>20</v>
      </c>
      <c r="O797" s="27">
        <v>20</v>
      </c>
      <c r="P797" s="22" t="s">
        <v>3843</v>
      </c>
    </row>
    <row r="798" spans="1:16" s="22" customFormat="1" ht="15" customHeight="1" x14ac:dyDescent="0.2">
      <c r="A798" s="22" t="s">
        <v>3795</v>
      </c>
      <c r="B798" s="22">
        <v>20220688</v>
      </c>
      <c r="C798" s="23">
        <v>1</v>
      </c>
      <c r="D798" s="23">
        <v>921750193</v>
      </c>
      <c r="E798" s="23">
        <v>921750193</v>
      </c>
      <c r="F798" s="24" t="s">
        <v>2796</v>
      </c>
      <c r="G798" s="23">
        <v>0</v>
      </c>
      <c r="H798" s="23">
        <v>20250301</v>
      </c>
      <c r="I798" s="23" t="str">
        <f>TEXT(DATE(LEFT(H798,4), MID(H798,5,2), RIGHT(H798,2)), "M/d/yyyy")</f>
        <v>3/1/2025</v>
      </c>
      <c r="J798" s="25">
        <v>20250101</v>
      </c>
      <c r="K798" s="23" t="str">
        <f>TEXT(DATE(LEFT(J798,4), MID(J798,5,2), RIGHT(J798,2)), "M/d/yyyy")</f>
        <v>1/1/2025</v>
      </c>
      <c r="L798" s="24" t="s">
        <v>197</v>
      </c>
      <c r="M798" s="26">
        <v>1</v>
      </c>
      <c r="N798" s="25">
        <v>20</v>
      </c>
      <c r="O798" s="27">
        <v>20</v>
      </c>
      <c r="P798" s="22" t="s">
        <v>3843</v>
      </c>
    </row>
    <row r="799" spans="1:16" s="22" customFormat="1" ht="15" customHeight="1" x14ac:dyDescent="0.2">
      <c r="A799" s="22" t="s">
        <v>3795</v>
      </c>
      <c r="B799" s="22">
        <v>20220688</v>
      </c>
      <c r="C799" s="23">
        <v>1</v>
      </c>
      <c r="D799" s="23">
        <v>921750363</v>
      </c>
      <c r="E799" s="23">
        <v>921750363</v>
      </c>
      <c r="F799" s="24" t="s">
        <v>2800</v>
      </c>
      <c r="G799" s="23">
        <v>0</v>
      </c>
      <c r="H799" s="23">
        <v>20250301</v>
      </c>
      <c r="I799" s="23" t="str">
        <f>TEXT(DATE(LEFT(H799,4), MID(H799,5,2), RIGHT(H799,2)), "M/d/yyyy")</f>
        <v>3/1/2025</v>
      </c>
      <c r="J799" s="25">
        <v>20250101</v>
      </c>
      <c r="K799" s="23" t="str">
        <f>TEXT(DATE(LEFT(J799,4), MID(J799,5,2), RIGHT(J799,2)), "M/d/yyyy")</f>
        <v>1/1/2025</v>
      </c>
      <c r="L799" s="24" t="s">
        <v>197</v>
      </c>
      <c r="M799" s="26">
        <v>1</v>
      </c>
      <c r="N799" s="25">
        <v>20</v>
      </c>
      <c r="O799" s="27">
        <v>20</v>
      </c>
      <c r="P799" s="22" t="s">
        <v>3843</v>
      </c>
    </row>
    <row r="800" spans="1:16" s="22" customFormat="1" ht="15" customHeight="1" x14ac:dyDescent="0.2">
      <c r="A800" s="22" t="s">
        <v>3795</v>
      </c>
      <c r="B800" s="22">
        <v>20220688</v>
      </c>
      <c r="C800" s="23">
        <v>1</v>
      </c>
      <c r="D800" s="23">
        <v>921750380</v>
      </c>
      <c r="E800" s="23">
        <v>921750380</v>
      </c>
      <c r="F800" s="24" t="s">
        <v>2802</v>
      </c>
      <c r="G800" s="23">
        <v>0</v>
      </c>
      <c r="H800" s="23">
        <v>20250301</v>
      </c>
      <c r="I800" s="23" t="str">
        <f>TEXT(DATE(LEFT(H800,4), MID(H800,5,2), RIGHT(H800,2)), "M/d/yyyy")</f>
        <v>3/1/2025</v>
      </c>
      <c r="J800" s="25">
        <v>20250101</v>
      </c>
      <c r="K800" s="23" t="str">
        <f>TEXT(DATE(LEFT(J800,4), MID(J800,5,2), RIGHT(J800,2)), "M/d/yyyy")</f>
        <v>1/1/2025</v>
      </c>
      <c r="L800" s="24" t="s">
        <v>197</v>
      </c>
      <c r="M800" s="26">
        <v>1</v>
      </c>
      <c r="N800" s="25">
        <v>20</v>
      </c>
      <c r="O800" s="27">
        <v>20</v>
      </c>
      <c r="P800" s="22" t="s">
        <v>3843</v>
      </c>
    </row>
    <row r="801" spans="1:16" s="22" customFormat="1" ht="15" customHeight="1" x14ac:dyDescent="0.2">
      <c r="A801" s="22" t="s">
        <v>3795</v>
      </c>
      <c r="B801" s="22">
        <v>20220688</v>
      </c>
      <c r="C801" s="23">
        <v>1</v>
      </c>
      <c r="D801" s="23">
        <v>921751641</v>
      </c>
      <c r="E801" s="23">
        <v>921751641</v>
      </c>
      <c r="F801" s="24" t="s">
        <v>2808</v>
      </c>
      <c r="G801" s="23">
        <v>0</v>
      </c>
      <c r="H801" s="23">
        <v>20250301</v>
      </c>
      <c r="I801" s="23" t="str">
        <f>TEXT(DATE(LEFT(H801,4), MID(H801,5,2), RIGHT(H801,2)), "M/d/yyyy")</f>
        <v>3/1/2025</v>
      </c>
      <c r="J801" s="25">
        <v>20250101</v>
      </c>
      <c r="K801" s="23" t="str">
        <f>TEXT(DATE(LEFT(J801,4), MID(J801,5,2), RIGHT(J801,2)), "M/d/yyyy")</f>
        <v>1/1/2025</v>
      </c>
      <c r="L801" s="24" t="s">
        <v>197</v>
      </c>
      <c r="M801" s="26">
        <v>1</v>
      </c>
      <c r="N801" s="25">
        <v>20</v>
      </c>
      <c r="O801" s="27">
        <v>20</v>
      </c>
      <c r="P801" s="22" t="s">
        <v>3843</v>
      </c>
    </row>
    <row r="802" spans="1:16" s="22" customFormat="1" ht="15" customHeight="1" x14ac:dyDescent="0.2">
      <c r="A802" s="22" t="s">
        <v>3795</v>
      </c>
      <c r="B802" s="22">
        <v>20220688</v>
      </c>
      <c r="C802" s="23">
        <v>1</v>
      </c>
      <c r="D802" s="23">
        <v>921752090</v>
      </c>
      <c r="E802" s="23">
        <v>921752090</v>
      </c>
      <c r="F802" s="24" t="s">
        <v>2810</v>
      </c>
      <c r="G802" s="23">
        <v>0</v>
      </c>
      <c r="H802" s="23">
        <v>20250301</v>
      </c>
      <c r="I802" s="23" t="str">
        <f>TEXT(DATE(LEFT(H802,4), MID(H802,5,2), RIGHT(H802,2)), "M/d/yyyy")</f>
        <v>3/1/2025</v>
      </c>
      <c r="J802" s="25">
        <v>20250101</v>
      </c>
      <c r="K802" s="23" t="str">
        <f>TEXT(DATE(LEFT(J802,4), MID(J802,5,2), RIGHT(J802,2)), "M/d/yyyy")</f>
        <v>1/1/2025</v>
      </c>
      <c r="L802" s="24" t="s">
        <v>197</v>
      </c>
      <c r="M802" s="26">
        <v>1</v>
      </c>
      <c r="N802" s="25">
        <v>20</v>
      </c>
      <c r="O802" s="27">
        <v>20</v>
      </c>
      <c r="P802" s="22" t="s">
        <v>3843</v>
      </c>
    </row>
    <row r="803" spans="1:16" s="22" customFormat="1" ht="15" customHeight="1" x14ac:dyDescent="0.2">
      <c r="A803" s="22" t="s">
        <v>3795</v>
      </c>
      <c r="B803" s="22">
        <v>20220688</v>
      </c>
      <c r="C803" s="23">
        <v>1</v>
      </c>
      <c r="D803" s="23">
        <v>921752496</v>
      </c>
      <c r="E803" s="23">
        <v>921752496</v>
      </c>
      <c r="F803" s="24" t="s">
        <v>2812</v>
      </c>
      <c r="G803" s="23">
        <v>0</v>
      </c>
      <c r="H803" s="23">
        <v>20250301</v>
      </c>
      <c r="I803" s="23" t="str">
        <f>TEXT(DATE(LEFT(H803,4), MID(H803,5,2), RIGHT(H803,2)), "M/d/yyyy")</f>
        <v>3/1/2025</v>
      </c>
      <c r="J803" s="25">
        <v>20250101</v>
      </c>
      <c r="K803" s="23" t="str">
        <f>TEXT(DATE(LEFT(J803,4), MID(J803,5,2), RIGHT(J803,2)), "M/d/yyyy")</f>
        <v>1/1/2025</v>
      </c>
      <c r="L803" s="24" t="s">
        <v>197</v>
      </c>
      <c r="M803" s="26">
        <v>1</v>
      </c>
      <c r="N803" s="25">
        <v>20</v>
      </c>
      <c r="O803" s="27">
        <v>20</v>
      </c>
      <c r="P803" s="22" t="s">
        <v>3843</v>
      </c>
    </row>
    <row r="804" spans="1:16" s="22" customFormat="1" ht="15" customHeight="1" x14ac:dyDescent="0.2">
      <c r="A804" s="22" t="s">
        <v>3795</v>
      </c>
      <c r="B804" s="22">
        <v>20220688</v>
      </c>
      <c r="C804" s="23">
        <v>1</v>
      </c>
      <c r="D804" s="23">
        <v>921755686</v>
      </c>
      <c r="E804" s="23">
        <v>921755686</v>
      </c>
      <c r="F804" s="24" t="s">
        <v>2822</v>
      </c>
      <c r="G804" s="23">
        <v>0</v>
      </c>
      <c r="H804" s="23">
        <v>20250301</v>
      </c>
      <c r="I804" s="23" t="str">
        <f>TEXT(DATE(LEFT(H804,4), MID(H804,5,2), RIGHT(H804,2)), "M/d/yyyy")</f>
        <v>3/1/2025</v>
      </c>
      <c r="J804" s="25">
        <v>20250101</v>
      </c>
      <c r="K804" s="23" t="str">
        <f>TEXT(DATE(LEFT(J804,4), MID(J804,5,2), RIGHT(J804,2)), "M/d/yyyy")</f>
        <v>1/1/2025</v>
      </c>
      <c r="L804" s="24" t="s">
        <v>197</v>
      </c>
      <c r="M804" s="26">
        <v>1</v>
      </c>
      <c r="N804" s="25">
        <v>20</v>
      </c>
      <c r="O804" s="27">
        <v>20</v>
      </c>
      <c r="P804" s="22" t="s">
        <v>3843</v>
      </c>
    </row>
    <row r="805" spans="1:16" s="22" customFormat="1" ht="15" customHeight="1" x14ac:dyDescent="0.2">
      <c r="A805" s="22" t="s">
        <v>3795</v>
      </c>
      <c r="B805" s="22">
        <v>20220688</v>
      </c>
      <c r="C805" s="23">
        <v>1</v>
      </c>
      <c r="D805" s="23">
        <v>921756543</v>
      </c>
      <c r="E805" s="23">
        <v>921756543</v>
      </c>
      <c r="F805" s="24" t="s">
        <v>2824</v>
      </c>
      <c r="G805" s="23">
        <v>0</v>
      </c>
      <c r="H805" s="23">
        <v>20250301</v>
      </c>
      <c r="I805" s="23" t="str">
        <f>TEXT(DATE(LEFT(H805,4), MID(H805,5,2), RIGHT(H805,2)), "M/d/yyyy")</f>
        <v>3/1/2025</v>
      </c>
      <c r="J805" s="25">
        <v>20250101</v>
      </c>
      <c r="K805" s="23" t="str">
        <f>TEXT(DATE(LEFT(J805,4), MID(J805,5,2), RIGHT(J805,2)), "M/d/yyyy")</f>
        <v>1/1/2025</v>
      </c>
      <c r="L805" s="24" t="s">
        <v>197</v>
      </c>
      <c r="M805" s="26">
        <v>1</v>
      </c>
      <c r="N805" s="25">
        <v>20</v>
      </c>
      <c r="O805" s="27">
        <v>20</v>
      </c>
      <c r="P805" s="22" t="s">
        <v>3843</v>
      </c>
    </row>
    <row r="806" spans="1:16" s="22" customFormat="1" ht="15" customHeight="1" x14ac:dyDescent="0.2">
      <c r="A806" s="22" t="s">
        <v>3795</v>
      </c>
      <c r="B806" s="22">
        <v>20220688</v>
      </c>
      <c r="C806" s="23">
        <v>1</v>
      </c>
      <c r="D806" s="23">
        <v>921758975</v>
      </c>
      <c r="E806" s="23">
        <v>921758975</v>
      </c>
      <c r="F806" s="24" t="s">
        <v>2826</v>
      </c>
      <c r="G806" s="23">
        <v>0</v>
      </c>
      <c r="H806" s="23">
        <v>20250301</v>
      </c>
      <c r="I806" s="23" t="str">
        <f>TEXT(DATE(LEFT(H806,4), MID(H806,5,2), RIGHT(H806,2)), "M/d/yyyy")</f>
        <v>3/1/2025</v>
      </c>
      <c r="J806" s="25">
        <v>20250101</v>
      </c>
      <c r="K806" s="23" t="str">
        <f>TEXT(DATE(LEFT(J806,4), MID(J806,5,2), RIGHT(J806,2)), "M/d/yyyy")</f>
        <v>1/1/2025</v>
      </c>
      <c r="L806" s="24" t="s">
        <v>197</v>
      </c>
      <c r="M806" s="26">
        <v>1</v>
      </c>
      <c r="N806" s="25">
        <v>20</v>
      </c>
      <c r="O806" s="27">
        <v>20</v>
      </c>
      <c r="P806" s="22" t="s">
        <v>3843</v>
      </c>
    </row>
    <row r="807" spans="1:16" s="22" customFormat="1" ht="15" customHeight="1" x14ac:dyDescent="0.2">
      <c r="A807" s="22" t="s">
        <v>3795</v>
      </c>
      <c r="B807" s="22">
        <v>20220688</v>
      </c>
      <c r="C807" s="23">
        <v>1</v>
      </c>
      <c r="D807" s="23">
        <v>921761589</v>
      </c>
      <c r="E807" s="23">
        <v>921761589</v>
      </c>
      <c r="F807" s="24" t="s">
        <v>2832</v>
      </c>
      <c r="G807" s="23">
        <v>0</v>
      </c>
      <c r="H807" s="23">
        <v>20250301</v>
      </c>
      <c r="I807" s="23" t="str">
        <f>TEXT(DATE(LEFT(H807,4), MID(H807,5,2), RIGHT(H807,2)), "M/d/yyyy")</f>
        <v>3/1/2025</v>
      </c>
      <c r="J807" s="25">
        <v>20250101</v>
      </c>
      <c r="K807" s="23" t="str">
        <f>TEXT(DATE(LEFT(J807,4), MID(J807,5,2), RIGHT(J807,2)), "M/d/yyyy")</f>
        <v>1/1/2025</v>
      </c>
      <c r="L807" s="24" t="s">
        <v>197</v>
      </c>
      <c r="M807" s="26">
        <v>1</v>
      </c>
      <c r="N807" s="25">
        <v>20</v>
      </c>
      <c r="O807" s="27">
        <v>20</v>
      </c>
      <c r="P807" s="22" t="s">
        <v>3843</v>
      </c>
    </row>
    <row r="808" spans="1:16" s="22" customFormat="1" ht="15" customHeight="1" x14ac:dyDescent="0.2">
      <c r="A808" s="22" t="s">
        <v>3795</v>
      </c>
      <c r="B808" s="22">
        <v>20220688</v>
      </c>
      <c r="C808" s="23">
        <v>1</v>
      </c>
      <c r="D808" s="23">
        <v>921761807</v>
      </c>
      <c r="E808" s="23">
        <v>921761807</v>
      </c>
      <c r="F808" s="24" t="s">
        <v>2836</v>
      </c>
      <c r="G808" s="23">
        <v>0</v>
      </c>
      <c r="H808" s="23">
        <v>20250301</v>
      </c>
      <c r="I808" s="23" t="str">
        <f>TEXT(DATE(LEFT(H808,4), MID(H808,5,2), RIGHT(H808,2)), "M/d/yyyy")</f>
        <v>3/1/2025</v>
      </c>
      <c r="J808" s="25">
        <v>20250101</v>
      </c>
      <c r="K808" s="23" t="str">
        <f>TEXT(DATE(LEFT(J808,4), MID(J808,5,2), RIGHT(J808,2)), "M/d/yyyy")</f>
        <v>1/1/2025</v>
      </c>
      <c r="L808" s="24" t="s">
        <v>197</v>
      </c>
      <c r="M808" s="26">
        <v>1</v>
      </c>
      <c r="N808" s="25">
        <v>20</v>
      </c>
      <c r="O808" s="27">
        <v>20</v>
      </c>
      <c r="P808" s="22" t="s">
        <v>3843</v>
      </c>
    </row>
    <row r="809" spans="1:16" s="22" customFormat="1" ht="15" customHeight="1" x14ac:dyDescent="0.2">
      <c r="A809" s="22" t="s">
        <v>3795</v>
      </c>
      <c r="B809" s="22">
        <v>20220688</v>
      </c>
      <c r="C809" s="23">
        <v>1</v>
      </c>
      <c r="D809" s="23">
        <v>921762274</v>
      </c>
      <c r="E809" s="23">
        <v>921762274</v>
      </c>
      <c r="F809" s="24" t="s">
        <v>2838</v>
      </c>
      <c r="G809" s="23">
        <v>0</v>
      </c>
      <c r="H809" s="23">
        <v>20250301</v>
      </c>
      <c r="I809" s="23" t="str">
        <f>TEXT(DATE(LEFT(H809,4), MID(H809,5,2), RIGHT(H809,2)), "M/d/yyyy")</f>
        <v>3/1/2025</v>
      </c>
      <c r="J809" s="25">
        <v>20250101</v>
      </c>
      <c r="K809" s="23" t="str">
        <f>TEXT(DATE(LEFT(J809,4), MID(J809,5,2), RIGHT(J809,2)), "M/d/yyyy")</f>
        <v>1/1/2025</v>
      </c>
      <c r="L809" s="24" t="s">
        <v>197</v>
      </c>
      <c r="M809" s="26">
        <v>1</v>
      </c>
      <c r="N809" s="25">
        <v>20</v>
      </c>
      <c r="O809" s="27">
        <v>20</v>
      </c>
      <c r="P809" s="22" t="s">
        <v>3843</v>
      </c>
    </row>
    <row r="810" spans="1:16" s="22" customFormat="1" ht="15" customHeight="1" x14ac:dyDescent="0.2">
      <c r="A810" s="22" t="s">
        <v>3795</v>
      </c>
      <c r="B810" s="22">
        <v>20220688</v>
      </c>
      <c r="C810" s="23">
        <v>1</v>
      </c>
      <c r="D810" s="23">
        <v>921768201</v>
      </c>
      <c r="E810" s="23">
        <v>921768201</v>
      </c>
      <c r="F810" s="24" t="s">
        <v>2840</v>
      </c>
      <c r="G810" s="23">
        <v>0</v>
      </c>
      <c r="H810" s="23">
        <v>20250301</v>
      </c>
      <c r="I810" s="23" t="str">
        <f>TEXT(DATE(LEFT(H810,4), MID(H810,5,2), RIGHT(H810,2)), "M/d/yyyy")</f>
        <v>3/1/2025</v>
      </c>
      <c r="J810" s="25">
        <v>20250101</v>
      </c>
      <c r="K810" s="23" t="str">
        <f>TEXT(DATE(LEFT(J810,4), MID(J810,5,2), RIGHT(J810,2)), "M/d/yyyy")</f>
        <v>1/1/2025</v>
      </c>
      <c r="L810" s="24" t="s">
        <v>197</v>
      </c>
      <c r="M810" s="26">
        <v>1</v>
      </c>
      <c r="N810" s="25">
        <v>20</v>
      </c>
      <c r="O810" s="27">
        <v>20</v>
      </c>
      <c r="P810" s="22" t="s">
        <v>3843</v>
      </c>
    </row>
    <row r="811" spans="1:16" s="22" customFormat="1" ht="15" customHeight="1" x14ac:dyDescent="0.2">
      <c r="A811" s="22" t="s">
        <v>3795</v>
      </c>
      <c r="B811" s="22">
        <v>20220688</v>
      </c>
      <c r="C811" s="23">
        <v>1</v>
      </c>
      <c r="D811" s="23">
        <v>921768201</v>
      </c>
      <c r="E811" s="23">
        <v>921768201</v>
      </c>
      <c r="F811" s="24" t="s">
        <v>2840</v>
      </c>
      <c r="G811" s="23">
        <v>0</v>
      </c>
      <c r="H811" s="23">
        <v>20250201</v>
      </c>
      <c r="I811" s="23" t="str">
        <f>TEXT(DATE(LEFT(H811,4), MID(H811,5,2), RIGHT(H811,2)), "M/d/yyyy")</f>
        <v>2/1/2025</v>
      </c>
      <c r="J811" s="25">
        <v>20250101</v>
      </c>
      <c r="K811" s="23" t="str">
        <f>TEXT(DATE(LEFT(J811,4), MID(J811,5,2), RIGHT(J811,2)), "M/d/yyyy")</f>
        <v>1/1/2025</v>
      </c>
      <c r="L811" s="24" t="s">
        <v>197</v>
      </c>
      <c r="M811" s="26">
        <v>1</v>
      </c>
      <c r="N811" s="25">
        <v>20</v>
      </c>
      <c r="O811" s="27">
        <v>20</v>
      </c>
      <c r="P811" s="22" t="s">
        <v>3843</v>
      </c>
    </row>
    <row r="812" spans="1:16" s="22" customFormat="1" ht="15" customHeight="1" x14ac:dyDescent="0.2">
      <c r="A812" s="22" t="s">
        <v>3795</v>
      </c>
      <c r="B812" s="22">
        <v>20220688</v>
      </c>
      <c r="C812" s="23">
        <v>1</v>
      </c>
      <c r="D812" s="23">
        <v>921768634</v>
      </c>
      <c r="E812" s="23">
        <v>921768634</v>
      </c>
      <c r="F812" s="24" t="s">
        <v>2842</v>
      </c>
      <c r="G812" s="23">
        <v>0</v>
      </c>
      <c r="H812" s="23">
        <v>20250301</v>
      </c>
      <c r="I812" s="23" t="str">
        <f>TEXT(DATE(LEFT(H812,4), MID(H812,5,2), RIGHT(H812,2)), "M/d/yyyy")</f>
        <v>3/1/2025</v>
      </c>
      <c r="J812" s="25">
        <v>20250201</v>
      </c>
      <c r="K812" s="23" t="str">
        <f>TEXT(DATE(LEFT(J812,4), MID(J812,5,2), RIGHT(J812,2)), "M/d/yyyy")</f>
        <v>2/1/2025</v>
      </c>
      <c r="L812" s="24" t="s">
        <v>197</v>
      </c>
      <c r="M812" s="26">
        <v>1</v>
      </c>
      <c r="N812" s="25">
        <v>20</v>
      </c>
      <c r="O812" s="27">
        <v>20</v>
      </c>
      <c r="P812" s="22" t="s">
        <v>3843</v>
      </c>
    </row>
    <row r="813" spans="1:16" s="22" customFormat="1" ht="15" customHeight="1" x14ac:dyDescent="0.2">
      <c r="A813" s="22" t="s">
        <v>3795</v>
      </c>
      <c r="B813" s="22">
        <v>20220688</v>
      </c>
      <c r="C813" s="23">
        <v>1</v>
      </c>
      <c r="D813" s="23">
        <v>921769118</v>
      </c>
      <c r="E813" s="23">
        <v>921769118</v>
      </c>
      <c r="F813" s="24" t="s">
        <v>2846</v>
      </c>
      <c r="G813" s="23">
        <v>0</v>
      </c>
      <c r="H813" s="23">
        <v>20250301</v>
      </c>
      <c r="I813" s="23" t="str">
        <f>TEXT(DATE(LEFT(H813,4), MID(H813,5,2), RIGHT(H813,2)), "M/d/yyyy")</f>
        <v>3/1/2025</v>
      </c>
      <c r="J813" s="25">
        <v>20250201</v>
      </c>
      <c r="K813" s="23" t="str">
        <f>TEXT(DATE(LEFT(J813,4), MID(J813,5,2), RIGHT(J813,2)), "M/d/yyyy")</f>
        <v>2/1/2025</v>
      </c>
      <c r="L813" s="24" t="s">
        <v>197</v>
      </c>
      <c r="M813" s="26">
        <v>1</v>
      </c>
      <c r="N813" s="25">
        <v>20</v>
      </c>
      <c r="O813" s="27">
        <v>20</v>
      </c>
      <c r="P813" s="22" t="s">
        <v>3843</v>
      </c>
    </row>
    <row r="814" spans="1:16" s="22" customFormat="1" ht="15" customHeight="1" x14ac:dyDescent="0.2">
      <c r="A814" s="22" t="s">
        <v>3795</v>
      </c>
      <c r="B814" s="22">
        <v>20220688</v>
      </c>
      <c r="C814" s="23">
        <v>1</v>
      </c>
      <c r="D814" s="23">
        <v>921769768</v>
      </c>
      <c r="E814" s="23">
        <v>921769768</v>
      </c>
      <c r="F814" s="24" t="s">
        <v>2848</v>
      </c>
      <c r="G814" s="23">
        <v>0</v>
      </c>
      <c r="H814" s="23">
        <v>20250301</v>
      </c>
      <c r="I814" s="23" t="str">
        <f>TEXT(DATE(LEFT(H814,4), MID(H814,5,2), RIGHT(H814,2)), "M/d/yyyy")</f>
        <v>3/1/2025</v>
      </c>
      <c r="J814" s="25">
        <v>20250201</v>
      </c>
      <c r="K814" s="23" t="str">
        <f>TEXT(DATE(LEFT(J814,4), MID(J814,5,2), RIGHT(J814,2)), "M/d/yyyy")</f>
        <v>2/1/2025</v>
      </c>
      <c r="L814" s="24" t="s">
        <v>197</v>
      </c>
      <c r="M814" s="26">
        <v>1</v>
      </c>
      <c r="N814" s="25">
        <v>20</v>
      </c>
      <c r="O814" s="27">
        <v>20</v>
      </c>
      <c r="P814" s="22" t="s">
        <v>3843</v>
      </c>
    </row>
    <row r="815" spans="1:16" s="22" customFormat="1" ht="15" customHeight="1" x14ac:dyDescent="0.2">
      <c r="A815" s="22" t="s">
        <v>3795</v>
      </c>
      <c r="B815" s="22">
        <v>20220688</v>
      </c>
      <c r="C815" s="23">
        <v>2</v>
      </c>
      <c r="D815" s="23">
        <v>921698942</v>
      </c>
      <c r="E815" s="23">
        <v>921698942</v>
      </c>
      <c r="F815" s="24" t="s">
        <v>2728</v>
      </c>
      <c r="G815" s="23">
        <v>0</v>
      </c>
      <c r="H815" s="23">
        <v>20250301</v>
      </c>
      <c r="I815" s="23" t="str">
        <f>TEXT(DATE(LEFT(H815,4), MID(H815,5,2), RIGHT(H815,2)), "M/d/yyyy")</f>
        <v>3/1/2025</v>
      </c>
      <c r="J815" s="25">
        <v>20240101</v>
      </c>
      <c r="K815" s="23" t="str">
        <f>TEXT(DATE(LEFT(J815,4), MID(J815,5,2), RIGHT(J815,2)), "M/d/yyyy")</f>
        <v>1/1/2024</v>
      </c>
      <c r="L815" s="24" t="s">
        <v>197</v>
      </c>
      <c r="M815" s="26">
        <v>1</v>
      </c>
      <c r="N815" s="25">
        <v>15</v>
      </c>
      <c r="O815" s="27">
        <v>30</v>
      </c>
      <c r="P815" s="22" t="s">
        <v>3843</v>
      </c>
    </row>
    <row r="816" spans="1:16" s="22" customFormat="1" ht="15" customHeight="1" x14ac:dyDescent="0.2">
      <c r="A816" s="22" t="s">
        <v>3795</v>
      </c>
      <c r="B816" s="22">
        <v>20220688</v>
      </c>
      <c r="C816" s="23">
        <v>2</v>
      </c>
      <c r="D816" s="23">
        <v>921702794</v>
      </c>
      <c r="E816" s="23">
        <v>921702794</v>
      </c>
      <c r="F816" s="24" t="s">
        <v>2732</v>
      </c>
      <c r="G816" s="23">
        <v>0</v>
      </c>
      <c r="H816" s="23">
        <v>20250301</v>
      </c>
      <c r="I816" s="23" t="str">
        <f>TEXT(DATE(LEFT(H816,4), MID(H816,5,2), RIGHT(H816,2)), "M/d/yyyy")</f>
        <v>3/1/2025</v>
      </c>
      <c r="J816" s="25">
        <v>20240201</v>
      </c>
      <c r="K816" s="23" t="str">
        <f>TEXT(DATE(LEFT(J816,4), MID(J816,5,2), RIGHT(J816,2)), "M/d/yyyy")</f>
        <v>2/1/2024</v>
      </c>
      <c r="L816" s="24" t="s">
        <v>197</v>
      </c>
      <c r="M816" s="26">
        <v>1</v>
      </c>
      <c r="N816" s="25">
        <v>15</v>
      </c>
      <c r="O816" s="27">
        <v>30</v>
      </c>
      <c r="P816" s="22" t="s">
        <v>3843</v>
      </c>
    </row>
    <row r="817" spans="1:16" s="22" customFormat="1" ht="15" customHeight="1" x14ac:dyDescent="0.2">
      <c r="A817" s="22" t="s">
        <v>3795</v>
      </c>
      <c r="B817" s="22">
        <v>20220688</v>
      </c>
      <c r="C817" s="23">
        <v>2</v>
      </c>
      <c r="D817" s="23">
        <v>921736429</v>
      </c>
      <c r="E817" s="23">
        <v>921736429</v>
      </c>
      <c r="F817" s="24" t="s">
        <v>2746</v>
      </c>
      <c r="G817" s="23">
        <v>0</v>
      </c>
      <c r="H817" s="23">
        <v>20250301</v>
      </c>
      <c r="I817" s="23" t="str">
        <f>TEXT(DATE(LEFT(H817,4), MID(H817,5,2), RIGHT(H817,2)), "M/d/yyyy")</f>
        <v>3/1/2025</v>
      </c>
      <c r="J817" s="25">
        <v>20240901</v>
      </c>
      <c r="K817" s="23" t="str">
        <f>TEXT(DATE(LEFT(J817,4), MID(J817,5,2), RIGHT(J817,2)), "M/d/yyyy")</f>
        <v>9/1/2024</v>
      </c>
      <c r="L817" s="24" t="s">
        <v>197</v>
      </c>
      <c r="M817" s="26">
        <v>1</v>
      </c>
      <c r="N817" s="25">
        <v>20</v>
      </c>
      <c r="O817" s="27">
        <v>40</v>
      </c>
      <c r="P817" s="22" t="s">
        <v>3843</v>
      </c>
    </row>
    <row r="818" spans="1:16" s="22" customFormat="1" ht="15" customHeight="1" x14ac:dyDescent="0.2">
      <c r="A818" s="22" t="s">
        <v>3795</v>
      </c>
      <c r="B818" s="22">
        <v>20220688</v>
      </c>
      <c r="C818" s="23">
        <v>2</v>
      </c>
      <c r="D818" s="23">
        <v>921736594</v>
      </c>
      <c r="E818" s="23">
        <v>921736594</v>
      </c>
      <c r="F818" s="24" t="s">
        <v>2748</v>
      </c>
      <c r="G818" s="23">
        <v>0</v>
      </c>
      <c r="H818" s="23">
        <v>20250301</v>
      </c>
      <c r="I818" s="23" t="str">
        <f>TEXT(DATE(LEFT(H818,4), MID(H818,5,2), RIGHT(H818,2)), "M/d/yyyy")</f>
        <v>3/1/2025</v>
      </c>
      <c r="J818" s="25">
        <v>20240901</v>
      </c>
      <c r="K818" s="23" t="str">
        <f>TEXT(DATE(LEFT(J818,4), MID(J818,5,2), RIGHT(J818,2)), "M/d/yyyy")</f>
        <v>9/1/2024</v>
      </c>
      <c r="L818" s="24" t="s">
        <v>197</v>
      </c>
      <c r="M818" s="26">
        <v>1</v>
      </c>
      <c r="N818" s="25">
        <v>20</v>
      </c>
      <c r="O818" s="27">
        <v>40</v>
      </c>
      <c r="P818" s="22" t="s">
        <v>3843</v>
      </c>
    </row>
    <row r="819" spans="1:16" s="22" customFormat="1" ht="15" customHeight="1" x14ac:dyDescent="0.2">
      <c r="A819" s="22" t="s">
        <v>3795</v>
      </c>
      <c r="B819" s="22">
        <v>20220688</v>
      </c>
      <c r="C819" s="23">
        <v>2</v>
      </c>
      <c r="D819" s="23">
        <v>921740632</v>
      </c>
      <c r="E819" s="23">
        <v>921740632</v>
      </c>
      <c r="F819" s="24" t="s">
        <v>2754</v>
      </c>
      <c r="G819" s="23">
        <v>0</v>
      </c>
      <c r="H819" s="23">
        <v>20250301</v>
      </c>
      <c r="I819" s="23" t="str">
        <f>TEXT(DATE(LEFT(H819,4), MID(H819,5,2), RIGHT(H819,2)), "M/d/yyyy")</f>
        <v>3/1/2025</v>
      </c>
      <c r="J819" s="25">
        <v>20241001</v>
      </c>
      <c r="K819" s="23" t="str">
        <f>TEXT(DATE(LEFT(J819,4), MID(J819,5,2), RIGHT(J819,2)), "M/d/yyyy")</f>
        <v>10/1/2024</v>
      </c>
      <c r="L819" s="24" t="s">
        <v>197</v>
      </c>
      <c r="M819" s="26">
        <v>1</v>
      </c>
      <c r="N819" s="25">
        <v>20</v>
      </c>
      <c r="O819" s="27">
        <v>40</v>
      </c>
      <c r="P819" s="22" t="s">
        <v>3843</v>
      </c>
    </row>
    <row r="820" spans="1:16" s="22" customFormat="1" ht="15" customHeight="1" x14ac:dyDescent="0.2">
      <c r="A820" s="22" t="s">
        <v>3795</v>
      </c>
      <c r="B820" s="22">
        <v>20220688</v>
      </c>
      <c r="C820" s="23">
        <v>2</v>
      </c>
      <c r="D820" s="23">
        <v>921742014</v>
      </c>
      <c r="E820" s="23">
        <v>921742014</v>
      </c>
      <c r="F820" s="24" t="s">
        <v>2756</v>
      </c>
      <c r="G820" s="23">
        <v>0</v>
      </c>
      <c r="H820" s="23">
        <v>20250301</v>
      </c>
      <c r="I820" s="23" t="str">
        <f>TEXT(DATE(LEFT(H820,4), MID(H820,5,2), RIGHT(H820,2)), "M/d/yyyy")</f>
        <v>3/1/2025</v>
      </c>
      <c r="J820" s="25">
        <v>20241001</v>
      </c>
      <c r="K820" s="23" t="str">
        <f>TEXT(DATE(LEFT(J820,4), MID(J820,5,2), RIGHT(J820,2)), "M/d/yyyy")</f>
        <v>10/1/2024</v>
      </c>
      <c r="L820" s="24" t="s">
        <v>197</v>
      </c>
      <c r="M820" s="26">
        <v>1</v>
      </c>
      <c r="N820" s="25">
        <v>20</v>
      </c>
      <c r="O820" s="27">
        <v>40</v>
      </c>
      <c r="P820" s="22" t="s">
        <v>3843</v>
      </c>
    </row>
    <row r="821" spans="1:16" s="22" customFormat="1" ht="15" customHeight="1" x14ac:dyDescent="0.2">
      <c r="A821" s="22" t="s">
        <v>3795</v>
      </c>
      <c r="B821" s="22">
        <v>20220688</v>
      </c>
      <c r="C821" s="23">
        <v>2</v>
      </c>
      <c r="D821" s="23">
        <v>921744568</v>
      </c>
      <c r="E821" s="23">
        <v>921744568</v>
      </c>
      <c r="F821" s="24" t="s">
        <v>2758</v>
      </c>
      <c r="G821" s="23">
        <v>0</v>
      </c>
      <c r="H821" s="23">
        <v>20250301</v>
      </c>
      <c r="I821" s="23" t="str">
        <f>TEXT(DATE(LEFT(H821,4), MID(H821,5,2), RIGHT(H821,2)), "M/d/yyyy")</f>
        <v>3/1/2025</v>
      </c>
      <c r="J821" s="25">
        <v>20250101</v>
      </c>
      <c r="K821" s="23" t="str">
        <f>TEXT(DATE(LEFT(J821,4), MID(J821,5,2), RIGHT(J821,2)), "M/d/yyyy")</f>
        <v>1/1/2025</v>
      </c>
      <c r="L821" s="24" t="s">
        <v>197</v>
      </c>
      <c r="M821" s="26">
        <v>1</v>
      </c>
      <c r="N821" s="25">
        <v>20</v>
      </c>
      <c r="O821" s="27">
        <v>40</v>
      </c>
      <c r="P821" s="22" t="s">
        <v>3843</v>
      </c>
    </row>
    <row r="822" spans="1:16" s="22" customFormat="1" ht="15" customHeight="1" x14ac:dyDescent="0.2">
      <c r="A822" s="22" t="s">
        <v>3795</v>
      </c>
      <c r="B822" s="22">
        <v>20220688</v>
      </c>
      <c r="C822" s="23">
        <v>2</v>
      </c>
      <c r="D822" s="23">
        <v>921744861</v>
      </c>
      <c r="E822" s="23">
        <v>921744861</v>
      </c>
      <c r="F822" s="24" t="s">
        <v>2760</v>
      </c>
      <c r="G822" s="23">
        <v>0</v>
      </c>
      <c r="H822" s="23">
        <v>20250301</v>
      </c>
      <c r="I822" s="23" t="str">
        <f>TEXT(DATE(LEFT(H822,4), MID(H822,5,2), RIGHT(H822,2)), "M/d/yyyy")</f>
        <v>3/1/2025</v>
      </c>
      <c r="J822" s="25">
        <v>20250101</v>
      </c>
      <c r="K822" s="23" t="str">
        <f>TEXT(DATE(LEFT(J822,4), MID(J822,5,2), RIGHT(J822,2)), "M/d/yyyy")</f>
        <v>1/1/2025</v>
      </c>
      <c r="L822" s="24" t="s">
        <v>197</v>
      </c>
      <c r="M822" s="26">
        <v>1</v>
      </c>
      <c r="N822" s="25">
        <v>20</v>
      </c>
      <c r="O822" s="27">
        <v>40</v>
      </c>
      <c r="P822" s="22" t="s">
        <v>3843</v>
      </c>
    </row>
    <row r="823" spans="1:16" s="22" customFormat="1" ht="15" customHeight="1" x14ac:dyDescent="0.2">
      <c r="A823" s="22" t="s">
        <v>3795</v>
      </c>
      <c r="B823" s="22">
        <v>20220688</v>
      </c>
      <c r="C823" s="23">
        <v>2</v>
      </c>
      <c r="D823" s="23">
        <v>921745067</v>
      </c>
      <c r="E823" s="23">
        <v>921745067</v>
      </c>
      <c r="F823" s="24" t="s">
        <v>2762</v>
      </c>
      <c r="G823" s="23">
        <v>0</v>
      </c>
      <c r="H823" s="23">
        <v>20250301</v>
      </c>
      <c r="I823" s="23" t="str">
        <f>TEXT(DATE(LEFT(H823,4), MID(H823,5,2), RIGHT(H823,2)), "M/d/yyyy")</f>
        <v>3/1/2025</v>
      </c>
      <c r="J823" s="25">
        <v>20250101</v>
      </c>
      <c r="K823" s="23" t="str">
        <f>TEXT(DATE(LEFT(J823,4), MID(J823,5,2), RIGHT(J823,2)), "M/d/yyyy")</f>
        <v>1/1/2025</v>
      </c>
      <c r="L823" s="24" t="s">
        <v>197</v>
      </c>
      <c r="M823" s="26">
        <v>1</v>
      </c>
      <c r="N823" s="25">
        <v>20</v>
      </c>
      <c r="O823" s="27">
        <v>40</v>
      </c>
      <c r="P823" s="22" t="s">
        <v>3843</v>
      </c>
    </row>
    <row r="824" spans="1:16" s="22" customFormat="1" ht="15" customHeight="1" x14ac:dyDescent="0.2">
      <c r="A824" s="22" t="s">
        <v>3795</v>
      </c>
      <c r="B824" s="22">
        <v>20220688</v>
      </c>
      <c r="C824" s="23">
        <v>2</v>
      </c>
      <c r="D824" s="23">
        <v>921747344</v>
      </c>
      <c r="E824" s="23">
        <v>921747344</v>
      </c>
      <c r="F824" s="24" t="s">
        <v>2776</v>
      </c>
      <c r="G824" s="23">
        <v>0</v>
      </c>
      <c r="H824" s="23">
        <v>20250301</v>
      </c>
      <c r="I824" s="23" t="str">
        <f>TEXT(DATE(LEFT(H824,4), MID(H824,5,2), RIGHT(H824,2)), "M/d/yyyy")</f>
        <v>3/1/2025</v>
      </c>
      <c r="J824" s="25">
        <v>20250101</v>
      </c>
      <c r="K824" s="23" t="str">
        <f>TEXT(DATE(LEFT(J824,4), MID(J824,5,2), RIGHT(J824,2)), "M/d/yyyy")</f>
        <v>1/1/2025</v>
      </c>
      <c r="L824" s="24" t="s">
        <v>197</v>
      </c>
      <c r="M824" s="26">
        <v>1</v>
      </c>
      <c r="N824" s="25">
        <v>20</v>
      </c>
      <c r="O824" s="27">
        <v>40</v>
      </c>
      <c r="P824" s="22" t="s">
        <v>3843</v>
      </c>
    </row>
    <row r="825" spans="1:16" s="22" customFormat="1" ht="15" customHeight="1" x14ac:dyDescent="0.2">
      <c r="A825" s="22" t="s">
        <v>3795</v>
      </c>
      <c r="B825" s="22">
        <v>20220688</v>
      </c>
      <c r="C825" s="23">
        <v>2</v>
      </c>
      <c r="D825" s="23">
        <v>921748447</v>
      </c>
      <c r="E825" s="23">
        <v>921748447</v>
      </c>
      <c r="F825" s="24" t="s">
        <v>2784</v>
      </c>
      <c r="G825" s="23">
        <v>0</v>
      </c>
      <c r="H825" s="23">
        <v>20250301</v>
      </c>
      <c r="I825" s="23" t="str">
        <f>TEXT(DATE(LEFT(H825,4), MID(H825,5,2), RIGHT(H825,2)), "M/d/yyyy")</f>
        <v>3/1/2025</v>
      </c>
      <c r="J825" s="25">
        <v>20250101</v>
      </c>
      <c r="K825" s="23" t="str">
        <f>TEXT(DATE(LEFT(J825,4), MID(J825,5,2), RIGHT(J825,2)), "M/d/yyyy")</f>
        <v>1/1/2025</v>
      </c>
      <c r="L825" s="24" t="s">
        <v>197</v>
      </c>
      <c r="M825" s="26">
        <v>1</v>
      </c>
      <c r="N825" s="25">
        <v>20</v>
      </c>
      <c r="O825" s="27">
        <v>40</v>
      </c>
      <c r="P825" s="22" t="s">
        <v>3843</v>
      </c>
    </row>
    <row r="826" spans="1:16" s="22" customFormat="1" ht="15" customHeight="1" x14ac:dyDescent="0.2">
      <c r="A826" s="22" t="s">
        <v>3795</v>
      </c>
      <c r="B826" s="22">
        <v>20220688</v>
      </c>
      <c r="C826" s="23">
        <v>2</v>
      </c>
      <c r="D826" s="23">
        <v>921748847</v>
      </c>
      <c r="E826" s="23">
        <v>921748847</v>
      </c>
      <c r="F826" s="24" t="s">
        <v>2790</v>
      </c>
      <c r="G826" s="23">
        <v>0</v>
      </c>
      <c r="H826" s="23">
        <v>20250301</v>
      </c>
      <c r="I826" s="23" t="str">
        <f>TEXT(DATE(LEFT(H826,4), MID(H826,5,2), RIGHT(H826,2)), "M/d/yyyy")</f>
        <v>3/1/2025</v>
      </c>
      <c r="J826" s="25">
        <v>20250101</v>
      </c>
      <c r="K826" s="23" t="str">
        <f>TEXT(DATE(LEFT(J826,4), MID(J826,5,2), RIGHT(J826,2)), "M/d/yyyy")</f>
        <v>1/1/2025</v>
      </c>
      <c r="L826" s="24" t="s">
        <v>197</v>
      </c>
      <c r="M826" s="26">
        <v>1</v>
      </c>
      <c r="N826" s="25">
        <v>20</v>
      </c>
      <c r="O826" s="27">
        <v>40</v>
      </c>
      <c r="P826" s="22" t="s">
        <v>3843</v>
      </c>
    </row>
    <row r="827" spans="1:16" s="22" customFormat="1" ht="15" customHeight="1" x14ac:dyDescent="0.2">
      <c r="A827" s="22" t="s">
        <v>3795</v>
      </c>
      <c r="B827" s="22">
        <v>20220688</v>
      </c>
      <c r="C827" s="23">
        <v>2</v>
      </c>
      <c r="D827" s="23">
        <v>921750291</v>
      </c>
      <c r="E827" s="23">
        <v>921750291</v>
      </c>
      <c r="F827" s="24" t="s">
        <v>2798</v>
      </c>
      <c r="G827" s="23">
        <v>0</v>
      </c>
      <c r="H827" s="23">
        <v>20250301</v>
      </c>
      <c r="I827" s="23" t="str">
        <f>TEXT(DATE(LEFT(H827,4), MID(H827,5,2), RIGHT(H827,2)), "M/d/yyyy")</f>
        <v>3/1/2025</v>
      </c>
      <c r="J827" s="25">
        <v>20250101</v>
      </c>
      <c r="K827" s="23" t="str">
        <f>TEXT(DATE(LEFT(J827,4), MID(J827,5,2), RIGHT(J827,2)), "M/d/yyyy")</f>
        <v>1/1/2025</v>
      </c>
      <c r="L827" s="24" t="s">
        <v>197</v>
      </c>
      <c r="M827" s="26">
        <v>1</v>
      </c>
      <c r="N827" s="25">
        <v>20</v>
      </c>
      <c r="O827" s="27">
        <v>40</v>
      </c>
      <c r="P827" s="22" t="s">
        <v>3843</v>
      </c>
    </row>
    <row r="828" spans="1:16" s="22" customFormat="1" ht="15" customHeight="1" x14ac:dyDescent="0.2">
      <c r="A828" s="22" t="s">
        <v>3795</v>
      </c>
      <c r="B828" s="22">
        <v>20220688</v>
      </c>
      <c r="C828" s="23">
        <v>2</v>
      </c>
      <c r="D828" s="23">
        <v>921751082</v>
      </c>
      <c r="E828" s="23">
        <v>921751082</v>
      </c>
      <c r="F828" s="24" t="s">
        <v>2804</v>
      </c>
      <c r="G828" s="23">
        <v>0</v>
      </c>
      <c r="H828" s="23">
        <v>20250301</v>
      </c>
      <c r="I828" s="23" t="str">
        <f>TEXT(DATE(LEFT(H828,4), MID(H828,5,2), RIGHT(H828,2)), "M/d/yyyy")</f>
        <v>3/1/2025</v>
      </c>
      <c r="J828" s="25">
        <v>20250101</v>
      </c>
      <c r="K828" s="23" t="str">
        <f>TEXT(DATE(LEFT(J828,4), MID(J828,5,2), RIGHT(J828,2)), "M/d/yyyy")</f>
        <v>1/1/2025</v>
      </c>
      <c r="L828" s="24" t="s">
        <v>197</v>
      </c>
      <c r="M828" s="26">
        <v>1</v>
      </c>
      <c r="N828" s="25">
        <v>20</v>
      </c>
      <c r="O828" s="27">
        <v>40</v>
      </c>
      <c r="P828" s="22" t="s">
        <v>3843</v>
      </c>
    </row>
    <row r="829" spans="1:16" s="22" customFormat="1" ht="15" customHeight="1" x14ac:dyDescent="0.2">
      <c r="A829" s="22" t="s">
        <v>3795</v>
      </c>
      <c r="B829" s="22">
        <v>20220688</v>
      </c>
      <c r="C829" s="23">
        <v>2</v>
      </c>
      <c r="D829" s="23">
        <v>921751638</v>
      </c>
      <c r="E829" s="23">
        <v>921751638</v>
      </c>
      <c r="F829" s="24" t="s">
        <v>2806</v>
      </c>
      <c r="G829" s="23">
        <v>0</v>
      </c>
      <c r="H829" s="23">
        <v>20250301</v>
      </c>
      <c r="I829" s="23" t="str">
        <f>TEXT(DATE(LEFT(H829,4), MID(H829,5,2), RIGHT(H829,2)), "M/d/yyyy")</f>
        <v>3/1/2025</v>
      </c>
      <c r="J829" s="25">
        <v>20250101</v>
      </c>
      <c r="K829" s="23" t="str">
        <f>TEXT(DATE(LEFT(J829,4), MID(J829,5,2), RIGHT(J829,2)), "M/d/yyyy")</f>
        <v>1/1/2025</v>
      </c>
      <c r="L829" s="24" t="s">
        <v>197</v>
      </c>
      <c r="M829" s="26">
        <v>1</v>
      </c>
      <c r="N829" s="25">
        <v>20</v>
      </c>
      <c r="O829" s="27">
        <v>40</v>
      </c>
      <c r="P829" s="22" t="s">
        <v>3843</v>
      </c>
    </row>
    <row r="830" spans="1:16" s="22" customFormat="1" ht="15" customHeight="1" x14ac:dyDescent="0.2">
      <c r="A830" s="22" t="s">
        <v>3795</v>
      </c>
      <c r="B830" s="22">
        <v>20220688</v>
      </c>
      <c r="C830" s="23">
        <v>2</v>
      </c>
      <c r="D830" s="23">
        <v>921752531</v>
      </c>
      <c r="E830" s="23">
        <v>921752531</v>
      </c>
      <c r="F830" s="24" t="s">
        <v>2814</v>
      </c>
      <c r="G830" s="23">
        <v>0</v>
      </c>
      <c r="H830" s="23">
        <v>20250301</v>
      </c>
      <c r="I830" s="23" t="str">
        <f>TEXT(DATE(LEFT(H830,4), MID(H830,5,2), RIGHT(H830,2)), "M/d/yyyy")</f>
        <v>3/1/2025</v>
      </c>
      <c r="J830" s="25">
        <v>20250101</v>
      </c>
      <c r="K830" s="23" t="str">
        <f>TEXT(DATE(LEFT(J830,4), MID(J830,5,2), RIGHT(J830,2)), "M/d/yyyy")</f>
        <v>1/1/2025</v>
      </c>
      <c r="L830" s="24" t="s">
        <v>197</v>
      </c>
      <c r="M830" s="26">
        <v>1</v>
      </c>
      <c r="N830" s="25">
        <v>20</v>
      </c>
      <c r="O830" s="27">
        <v>40</v>
      </c>
      <c r="P830" s="22" t="s">
        <v>3843</v>
      </c>
    </row>
    <row r="831" spans="1:16" s="22" customFormat="1" ht="15" customHeight="1" x14ac:dyDescent="0.2">
      <c r="A831" s="22" t="s">
        <v>3795</v>
      </c>
      <c r="B831" s="22">
        <v>20220688</v>
      </c>
      <c r="C831" s="23">
        <v>2</v>
      </c>
      <c r="D831" s="23">
        <v>921753994</v>
      </c>
      <c r="E831" s="23">
        <v>921753994</v>
      </c>
      <c r="F831" s="24" t="s">
        <v>2816</v>
      </c>
      <c r="G831" s="23">
        <v>0</v>
      </c>
      <c r="H831" s="23">
        <v>20250301</v>
      </c>
      <c r="I831" s="23" t="str">
        <f>TEXT(DATE(LEFT(H831,4), MID(H831,5,2), RIGHT(H831,2)), "M/d/yyyy")</f>
        <v>3/1/2025</v>
      </c>
      <c r="J831" s="25">
        <v>20250101</v>
      </c>
      <c r="K831" s="23" t="str">
        <f>TEXT(DATE(LEFT(J831,4), MID(J831,5,2), RIGHT(J831,2)), "M/d/yyyy")</f>
        <v>1/1/2025</v>
      </c>
      <c r="L831" s="24" t="s">
        <v>197</v>
      </c>
      <c r="M831" s="26">
        <v>1</v>
      </c>
      <c r="N831" s="25">
        <v>20</v>
      </c>
      <c r="O831" s="27">
        <v>40</v>
      </c>
      <c r="P831" s="22" t="s">
        <v>3843</v>
      </c>
    </row>
    <row r="832" spans="1:16" s="22" customFormat="1" ht="15" customHeight="1" x14ac:dyDescent="0.2">
      <c r="A832" s="22" t="s">
        <v>3795</v>
      </c>
      <c r="B832" s="22">
        <v>20220688</v>
      </c>
      <c r="C832" s="23">
        <v>2</v>
      </c>
      <c r="D832" s="23">
        <v>921755395</v>
      </c>
      <c r="E832" s="23">
        <v>921755395</v>
      </c>
      <c r="F832" s="24" t="s">
        <v>2820</v>
      </c>
      <c r="G832" s="23">
        <v>0</v>
      </c>
      <c r="H832" s="23">
        <v>20250301</v>
      </c>
      <c r="I832" s="23" t="str">
        <f>TEXT(DATE(LEFT(H832,4), MID(H832,5,2), RIGHT(H832,2)), "M/d/yyyy")</f>
        <v>3/1/2025</v>
      </c>
      <c r="J832" s="25">
        <v>20250101</v>
      </c>
      <c r="K832" s="23" t="str">
        <f>TEXT(DATE(LEFT(J832,4), MID(J832,5,2), RIGHT(J832,2)), "M/d/yyyy")</f>
        <v>1/1/2025</v>
      </c>
      <c r="L832" s="24" t="s">
        <v>197</v>
      </c>
      <c r="M832" s="26">
        <v>1</v>
      </c>
      <c r="N832" s="25">
        <v>20</v>
      </c>
      <c r="O832" s="27">
        <v>40</v>
      </c>
      <c r="P832" s="22" t="s">
        <v>3843</v>
      </c>
    </row>
    <row r="833" spans="1:16" s="22" customFormat="1" ht="15" customHeight="1" x14ac:dyDescent="0.2">
      <c r="A833" s="22" t="s">
        <v>3795</v>
      </c>
      <c r="B833" s="22">
        <v>20220688</v>
      </c>
      <c r="C833" s="23">
        <v>2</v>
      </c>
      <c r="D833" s="23">
        <v>921760507</v>
      </c>
      <c r="E833" s="23">
        <v>921760507</v>
      </c>
      <c r="F833" s="24" t="s">
        <v>2830</v>
      </c>
      <c r="G833" s="23">
        <v>0</v>
      </c>
      <c r="H833" s="23">
        <v>20250301</v>
      </c>
      <c r="I833" s="23" t="str">
        <f>TEXT(DATE(LEFT(H833,4), MID(H833,5,2), RIGHT(H833,2)), "M/d/yyyy")</f>
        <v>3/1/2025</v>
      </c>
      <c r="J833" s="25">
        <v>20250101</v>
      </c>
      <c r="K833" s="23" t="str">
        <f>TEXT(DATE(LEFT(J833,4), MID(J833,5,2), RIGHT(J833,2)), "M/d/yyyy")</f>
        <v>1/1/2025</v>
      </c>
      <c r="L833" s="24" t="s">
        <v>197</v>
      </c>
      <c r="M833" s="26">
        <v>1</v>
      </c>
      <c r="N833" s="25">
        <v>20</v>
      </c>
      <c r="O833" s="27">
        <v>40</v>
      </c>
      <c r="P833" s="22" t="s">
        <v>3843</v>
      </c>
    </row>
    <row r="834" spans="1:16" s="22" customFormat="1" ht="15" customHeight="1" x14ac:dyDescent="0.2">
      <c r="A834" s="22" t="s">
        <v>3795</v>
      </c>
      <c r="B834" s="22">
        <v>20220688</v>
      </c>
      <c r="C834" s="23">
        <v>2</v>
      </c>
      <c r="D834" s="23">
        <v>921761622</v>
      </c>
      <c r="E834" s="23">
        <v>921761622</v>
      </c>
      <c r="F834" s="24" t="s">
        <v>2834</v>
      </c>
      <c r="G834" s="23">
        <v>0</v>
      </c>
      <c r="H834" s="23">
        <v>20250301</v>
      </c>
      <c r="I834" s="23" t="str">
        <f>TEXT(DATE(LEFT(H834,4), MID(H834,5,2), RIGHT(H834,2)), "M/d/yyyy")</f>
        <v>3/1/2025</v>
      </c>
      <c r="J834" s="25">
        <v>20250101</v>
      </c>
      <c r="K834" s="23" t="str">
        <f>TEXT(DATE(LEFT(J834,4), MID(J834,5,2), RIGHT(J834,2)), "M/d/yyyy")</f>
        <v>1/1/2025</v>
      </c>
      <c r="L834" s="24" t="s">
        <v>197</v>
      </c>
      <c r="M834" s="26">
        <v>1</v>
      </c>
      <c r="N834" s="25">
        <v>20</v>
      </c>
      <c r="O834" s="27">
        <v>40</v>
      </c>
      <c r="P834" s="22" t="s">
        <v>3843</v>
      </c>
    </row>
    <row r="835" spans="1:16" s="22" customFormat="1" ht="15" customHeight="1" x14ac:dyDescent="0.2">
      <c r="A835" s="22" t="s">
        <v>3795</v>
      </c>
      <c r="B835" s="22">
        <v>20220688</v>
      </c>
      <c r="C835" s="23">
        <v>2</v>
      </c>
      <c r="D835" s="23">
        <v>921768673</v>
      </c>
      <c r="E835" s="23">
        <v>921768673</v>
      </c>
      <c r="F835" s="24" t="s">
        <v>2844</v>
      </c>
      <c r="G835" s="23">
        <v>0</v>
      </c>
      <c r="H835" s="23">
        <v>20250301</v>
      </c>
      <c r="I835" s="23" t="str">
        <f>TEXT(DATE(LEFT(H835,4), MID(H835,5,2), RIGHT(H835,2)), "M/d/yyyy")</f>
        <v>3/1/2025</v>
      </c>
      <c r="J835" s="25">
        <v>20250201</v>
      </c>
      <c r="K835" s="23" t="str">
        <f>TEXT(DATE(LEFT(J835,4), MID(J835,5,2), RIGHT(J835,2)), "M/d/yyyy")</f>
        <v>2/1/2025</v>
      </c>
      <c r="L835" s="24" t="s">
        <v>197</v>
      </c>
      <c r="M835" s="26">
        <v>1</v>
      </c>
      <c r="N835" s="25">
        <v>20</v>
      </c>
      <c r="O835" s="27">
        <v>40</v>
      </c>
      <c r="P835" s="22" t="s">
        <v>3843</v>
      </c>
    </row>
    <row r="836" spans="1:16" s="22" customFormat="1" ht="15" customHeight="1" x14ac:dyDescent="0.2">
      <c r="A836" s="22" t="s">
        <v>3795</v>
      </c>
      <c r="B836" s="22">
        <v>20220688</v>
      </c>
      <c r="C836" s="23">
        <v>2</v>
      </c>
      <c r="D836" s="23">
        <v>921771418</v>
      </c>
      <c r="E836" s="23">
        <v>921771418</v>
      </c>
      <c r="F836" s="24" t="s">
        <v>2850</v>
      </c>
      <c r="G836" s="23">
        <v>0</v>
      </c>
      <c r="H836" s="23">
        <v>20250301</v>
      </c>
      <c r="I836" s="23" t="str">
        <f>TEXT(DATE(LEFT(H836,4), MID(H836,5,2), RIGHT(H836,2)), "M/d/yyyy")</f>
        <v>3/1/2025</v>
      </c>
      <c r="J836" s="25">
        <v>20250201</v>
      </c>
      <c r="K836" s="23" t="str">
        <f>TEXT(DATE(LEFT(J836,4), MID(J836,5,2), RIGHT(J836,2)), "M/d/yyyy")</f>
        <v>2/1/2025</v>
      </c>
      <c r="L836" s="24" t="s">
        <v>197</v>
      </c>
      <c r="M836" s="26">
        <v>1</v>
      </c>
      <c r="N836" s="25">
        <v>20</v>
      </c>
      <c r="O836" s="27">
        <v>40</v>
      </c>
      <c r="P836" s="22" t="s">
        <v>3843</v>
      </c>
    </row>
    <row r="837" spans="1:16" s="22" customFormat="1" ht="15" customHeight="1" x14ac:dyDescent="0.2">
      <c r="A837" s="22" t="s">
        <v>3795</v>
      </c>
      <c r="B837" s="22">
        <v>20220688</v>
      </c>
      <c r="C837" s="23">
        <v>3</v>
      </c>
      <c r="D837" s="23">
        <v>921754199</v>
      </c>
      <c r="E837" s="23">
        <v>921754199</v>
      </c>
      <c r="F837" s="24" t="s">
        <v>2818</v>
      </c>
      <c r="G837" s="23">
        <v>0</v>
      </c>
      <c r="H837" s="23">
        <v>20250301</v>
      </c>
      <c r="I837" s="23" t="str">
        <f>TEXT(DATE(LEFT(H837,4), MID(H837,5,2), RIGHT(H837,2)), "M/d/yyyy")</f>
        <v>3/1/2025</v>
      </c>
      <c r="J837" s="25">
        <v>20250101</v>
      </c>
      <c r="K837" s="23" t="str">
        <f>TEXT(DATE(LEFT(J837,4), MID(J837,5,2), RIGHT(J837,2)), "M/d/yyyy")</f>
        <v>1/1/2025</v>
      </c>
      <c r="L837" s="24" t="s">
        <v>197</v>
      </c>
      <c r="M837" s="26">
        <v>1</v>
      </c>
      <c r="N837" s="25">
        <v>20</v>
      </c>
      <c r="O837" s="27">
        <v>60</v>
      </c>
      <c r="P837" s="22" t="s">
        <v>3843</v>
      </c>
    </row>
    <row r="838" spans="1:16" s="22" customFormat="1" ht="15" customHeight="1" x14ac:dyDescent="0.2">
      <c r="A838" s="22" t="s">
        <v>3815</v>
      </c>
      <c r="B838" s="22">
        <v>20999157</v>
      </c>
      <c r="C838" s="23">
        <v>1</v>
      </c>
      <c r="D838" s="23">
        <v>921615275</v>
      </c>
      <c r="E838" s="23">
        <v>921615275</v>
      </c>
      <c r="F838" s="24" t="s">
        <v>3470</v>
      </c>
      <c r="G838" s="23">
        <v>0</v>
      </c>
      <c r="H838" s="23">
        <v>20250301</v>
      </c>
      <c r="I838" s="23" t="str">
        <f>TEXT(DATE(LEFT(H838,4), MID(H838,5,2), RIGHT(H838,2)), "M/d/yyyy")</f>
        <v>3/1/2025</v>
      </c>
      <c r="J838" s="25">
        <v>20220701</v>
      </c>
      <c r="K838" s="23" t="str">
        <f>TEXT(DATE(LEFT(J838,4), MID(J838,5,2), RIGHT(J838,2)), "M/d/yyyy")</f>
        <v>7/1/2022</v>
      </c>
      <c r="L838" s="24" t="s">
        <v>197</v>
      </c>
      <c r="M838" s="26">
        <v>1</v>
      </c>
      <c r="N838" s="25">
        <v>15</v>
      </c>
      <c r="O838" s="27">
        <v>15</v>
      </c>
      <c r="P838" s="22" t="s">
        <v>3843</v>
      </c>
    </row>
    <row r="839" spans="1:16" s="22" customFormat="1" ht="15" customHeight="1" x14ac:dyDescent="0.2">
      <c r="A839" s="22" t="s">
        <v>3815</v>
      </c>
      <c r="B839" s="22">
        <v>20999157</v>
      </c>
      <c r="C839" s="23">
        <v>1</v>
      </c>
      <c r="D839" s="23">
        <v>921769541</v>
      </c>
      <c r="E839" s="23">
        <v>921769541</v>
      </c>
      <c r="F839" s="24" t="s">
        <v>3475</v>
      </c>
      <c r="G839" s="23">
        <v>0</v>
      </c>
      <c r="H839" s="23">
        <v>20250301</v>
      </c>
      <c r="I839" s="23" t="str">
        <f>TEXT(DATE(LEFT(H839,4), MID(H839,5,2), RIGHT(H839,2)), "M/d/yyyy")</f>
        <v>3/1/2025</v>
      </c>
      <c r="J839" s="25">
        <v>20250201</v>
      </c>
      <c r="K839" s="23" t="str">
        <f>TEXT(DATE(LEFT(J839,4), MID(J839,5,2), RIGHT(J839,2)), "M/d/yyyy")</f>
        <v>2/1/2025</v>
      </c>
      <c r="L839" s="24" t="s">
        <v>197</v>
      </c>
      <c r="M839" s="26">
        <v>1</v>
      </c>
      <c r="N839" s="25">
        <v>20</v>
      </c>
      <c r="O839" s="27">
        <v>20</v>
      </c>
      <c r="P839" s="22" t="s">
        <v>3843</v>
      </c>
    </row>
    <row r="840" spans="1:16" s="22" customFormat="1" ht="15" customHeight="1" x14ac:dyDescent="0.2">
      <c r="A840" s="22" t="s">
        <v>3815</v>
      </c>
      <c r="B840" s="22">
        <v>20999157</v>
      </c>
      <c r="C840" s="23">
        <v>1</v>
      </c>
      <c r="D840" s="23">
        <v>921772995</v>
      </c>
      <c r="E840" s="23">
        <v>921772995</v>
      </c>
      <c r="F840" s="24" t="s">
        <v>3477</v>
      </c>
      <c r="G840" s="23">
        <v>0</v>
      </c>
      <c r="H840" s="23">
        <v>20250301</v>
      </c>
      <c r="I840" s="23" t="str">
        <f>TEXT(DATE(LEFT(H840,4), MID(H840,5,2), RIGHT(H840,2)), "M/d/yyyy")</f>
        <v>3/1/2025</v>
      </c>
      <c r="J840" s="25">
        <v>20250201</v>
      </c>
      <c r="K840" s="23" t="str">
        <f>TEXT(DATE(LEFT(J840,4), MID(J840,5,2), RIGHT(J840,2)), "M/d/yyyy")</f>
        <v>2/1/2025</v>
      </c>
      <c r="L840" s="24" t="s">
        <v>197</v>
      </c>
      <c r="M840" s="26">
        <v>1</v>
      </c>
      <c r="N840" s="25">
        <v>20</v>
      </c>
      <c r="O840" s="27">
        <v>20</v>
      </c>
      <c r="P840" s="22" t="s">
        <v>3843</v>
      </c>
    </row>
    <row r="841" spans="1:16" s="22" customFormat="1" ht="15" customHeight="1" x14ac:dyDescent="0.2">
      <c r="A841" s="22" t="s">
        <v>3815</v>
      </c>
      <c r="B841" s="22">
        <v>20999157</v>
      </c>
      <c r="C841" s="23">
        <v>2</v>
      </c>
      <c r="D841" s="23">
        <v>921755426</v>
      </c>
      <c r="E841" s="23">
        <v>921755426</v>
      </c>
      <c r="F841" s="24" t="s">
        <v>3473</v>
      </c>
      <c r="G841" s="23">
        <v>0</v>
      </c>
      <c r="H841" s="23">
        <v>20250301</v>
      </c>
      <c r="I841" s="23" t="str">
        <f>TEXT(DATE(LEFT(H841,4), MID(H841,5,2), RIGHT(H841,2)), "M/d/yyyy")</f>
        <v>3/1/2025</v>
      </c>
      <c r="J841" s="25">
        <v>20250101</v>
      </c>
      <c r="K841" s="23" t="str">
        <f>TEXT(DATE(LEFT(J841,4), MID(J841,5,2), RIGHT(J841,2)), "M/d/yyyy")</f>
        <v>1/1/2025</v>
      </c>
      <c r="L841" s="24" t="s">
        <v>197</v>
      </c>
      <c r="M841" s="26">
        <v>1</v>
      </c>
      <c r="N841" s="25">
        <v>20</v>
      </c>
      <c r="O841" s="27">
        <v>40</v>
      </c>
      <c r="P841" s="22" t="s">
        <v>3843</v>
      </c>
    </row>
    <row r="842" spans="1:16" s="22" customFormat="1" ht="15" customHeight="1" x14ac:dyDescent="0.2">
      <c r="A842" s="22" t="s">
        <v>3784</v>
      </c>
      <c r="B842" s="22">
        <v>8244481</v>
      </c>
      <c r="C842" s="23">
        <v>1</v>
      </c>
      <c r="D842" s="23">
        <v>921747473</v>
      </c>
      <c r="E842" s="23">
        <v>921747473</v>
      </c>
      <c r="F842" s="24" t="s">
        <v>1640</v>
      </c>
      <c r="G842" s="23">
        <v>0</v>
      </c>
      <c r="H842" s="23">
        <v>20250301</v>
      </c>
      <c r="I842" s="23" t="str">
        <f>TEXT(DATE(LEFT(H842,4), MID(H842,5,2), RIGHT(H842,2)), "M/d/yyyy")</f>
        <v>3/1/2025</v>
      </c>
      <c r="J842" s="25">
        <v>20241201</v>
      </c>
      <c r="K842" s="23" t="str">
        <f>TEXT(DATE(LEFT(J842,4), MID(J842,5,2), RIGHT(J842,2)), "M/d/yyyy")</f>
        <v>12/1/2024</v>
      </c>
      <c r="L842" s="24" t="s">
        <v>197</v>
      </c>
      <c r="M842" s="26">
        <v>1</v>
      </c>
      <c r="N842" s="25">
        <v>20</v>
      </c>
      <c r="O842" s="27">
        <v>20</v>
      </c>
      <c r="P842" s="22" t="s">
        <v>3843</v>
      </c>
    </row>
    <row r="843" spans="1:16" s="22" customFormat="1" ht="15" customHeight="1" x14ac:dyDescent="0.2">
      <c r="A843" s="22" t="s">
        <v>3784</v>
      </c>
      <c r="B843" s="22">
        <v>8244481</v>
      </c>
      <c r="C843" s="23">
        <v>1</v>
      </c>
      <c r="D843" s="23">
        <v>921747473</v>
      </c>
      <c r="E843" s="23">
        <v>921747473</v>
      </c>
      <c r="F843" s="24" t="s">
        <v>1640</v>
      </c>
      <c r="G843" s="23">
        <v>0</v>
      </c>
      <c r="H843" s="23">
        <v>20250201</v>
      </c>
      <c r="I843" s="23" t="str">
        <f>TEXT(DATE(LEFT(H843,4), MID(H843,5,2), RIGHT(H843,2)), "M/d/yyyy")</f>
        <v>2/1/2025</v>
      </c>
      <c r="J843" s="25">
        <v>20241201</v>
      </c>
      <c r="K843" s="23" t="str">
        <f>TEXT(DATE(LEFT(J843,4), MID(J843,5,2), RIGHT(J843,2)), "M/d/yyyy")</f>
        <v>12/1/2024</v>
      </c>
      <c r="L843" s="24" t="s">
        <v>197</v>
      </c>
      <c r="M843" s="26">
        <v>1</v>
      </c>
      <c r="N843" s="25">
        <v>20</v>
      </c>
      <c r="O843" s="27">
        <v>20</v>
      </c>
      <c r="P843" s="22" t="s">
        <v>3843</v>
      </c>
    </row>
    <row r="844" spans="1:16" s="22" customFormat="1" ht="15" customHeight="1" x14ac:dyDescent="0.2">
      <c r="A844" s="22" t="s">
        <v>3785</v>
      </c>
      <c r="B844" s="22">
        <v>19200754</v>
      </c>
      <c r="C844" s="23">
        <v>1</v>
      </c>
      <c r="D844" s="23">
        <v>920750023</v>
      </c>
      <c r="E844" s="23">
        <v>920750023</v>
      </c>
      <c r="F844" s="24" t="s">
        <v>1839</v>
      </c>
      <c r="G844" s="23">
        <v>0</v>
      </c>
      <c r="H844" s="23">
        <v>20250301</v>
      </c>
      <c r="I844" s="23" t="str">
        <f>TEXT(DATE(LEFT(H844,4), MID(H844,5,2), RIGHT(H844,2)), "M/d/yyyy")</f>
        <v>3/1/2025</v>
      </c>
      <c r="J844" s="25">
        <v>20230701</v>
      </c>
      <c r="K844" s="23" t="str">
        <f>TEXT(DATE(LEFT(J844,4), MID(J844,5,2), RIGHT(J844,2)), "M/d/yyyy")</f>
        <v>7/1/2023</v>
      </c>
      <c r="L844" s="24" t="s">
        <v>197</v>
      </c>
      <c r="M844" s="26">
        <v>1</v>
      </c>
      <c r="N844" s="25">
        <v>15</v>
      </c>
      <c r="O844" s="27">
        <v>15</v>
      </c>
      <c r="P844" s="22" t="s">
        <v>3843</v>
      </c>
    </row>
    <row r="845" spans="1:16" s="22" customFormat="1" ht="15" customHeight="1" x14ac:dyDescent="0.2">
      <c r="A845" s="22" t="s">
        <v>3785</v>
      </c>
      <c r="B845" s="22">
        <v>19200754</v>
      </c>
      <c r="C845" s="23">
        <v>1</v>
      </c>
      <c r="D845" s="23">
        <v>921385663</v>
      </c>
      <c r="E845" s="23">
        <v>921385663</v>
      </c>
      <c r="F845" s="24" t="s">
        <v>1856</v>
      </c>
      <c r="G845" s="23">
        <v>0</v>
      </c>
      <c r="H845" s="23">
        <v>20250301</v>
      </c>
      <c r="I845" s="23" t="str">
        <f>TEXT(DATE(LEFT(H845,4), MID(H845,5,2), RIGHT(H845,2)), "M/d/yyyy")</f>
        <v>3/1/2025</v>
      </c>
      <c r="J845" s="25">
        <v>20230101</v>
      </c>
      <c r="K845" s="23" t="str">
        <f>TEXT(DATE(LEFT(J845,4), MID(J845,5,2), RIGHT(J845,2)), "M/d/yyyy")</f>
        <v>1/1/2023</v>
      </c>
      <c r="L845" s="24" t="s">
        <v>197</v>
      </c>
      <c r="M845" s="26">
        <v>1</v>
      </c>
      <c r="N845" s="25">
        <v>15</v>
      </c>
      <c r="O845" s="27">
        <v>15</v>
      </c>
      <c r="P845" s="22" t="s">
        <v>3843</v>
      </c>
    </row>
    <row r="846" spans="1:16" s="22" customFormat="1" ht="15" customHeight="1" x14ac:dyDescent="0.2">
      <c r="A846" s="22" t="s">
        <v>3785</v>
      </c>
      <c r="B846" s="22">
        <v>19200754</v>
      </c>
      <c r="C846" s="23">
        <v>1</v>
      </c>
      <c r="D846" s="23">
        <v>921701331</v>
      </c>
      <c r="E846" s="23">
        <v>921701331</v>
      </c>
      <c r="F846" s="24" t="s">
        <v>1893</v>
      </c>
      <c r="G846" s="23">
        <v>0</v>
      </c>
      <c r="H846" s="23">
        <v>20250201</v>
      </c>
      <c r="I846" s="23" t="str">
        <f>TEXT(DATE(LEFT(H846,4), MID(H846,5,2), RIGHT(H846,2)), "M/d/yyyy")</f>
        <v>2/1/2025</v>
      </c>
      <c r="J846" s="25">
        <v>20240201</v>
      </c>
      <c r="K846" s="23" t="str">
        <f>TEXT(DATE(LEFT(J846,4), MID(J846,5,2), RIGHT(J846,2)), "M/d/yyyy")</f>
        <v>2/1/2024</v>
      </c>
      <c r="L846" s="24" t="s">
        <v>197</v>
      </c>
      <c r="M846" s="26">
        <v>1</v>
      </c>
      <c r="N846" s="25">
        <v>20</v>
      </c>
      <c r="O846" s="27">
        <v>20</v>
      </c>
      <c r="P846" s="22" t="s">
        <v>3843</v>
      </c>
    </row>
    <row r="847" spans="1:16" s="22" customFormat="1" ht="15" customHeight="1" x14ac:dyDescent="0.2">
      <c r="A847" s="22" t="s">
        <v>3785</v>
      </c>
      <c r="B847" s="22">
        <v>19200754</v>
      </c>
      <c r="C847" s="23">
        <v>1</v>
      </c>
      <c r="D847" s="23">
        <v>921728151</v>
      </c>
      <c r="E847" s="23">
        <v>921728151</v>
      </c>
      <c r="F847" s="24" t="s">
        <v>1908</v>
      </c>
      <c r="G847" s="23">
        <v>0</v>
      </c>
      <c r="H847" s="23">
        <v>20250301</v>
      </c>
      <c r="I847" s="23" t="str">
        <f>TEXT(DATE(LEFT(H847,4), MID(H847,5,2), RIGHT(H847,2)), "M/d/yyyy")</f>
        <v>3/1/2025</v>
      </c>
      <c r="J847" s="25">
        <v>20240701</v>
      </c>
      <c r="K847" s="23" t="str">
        <f>TEXT(DATE(LEFT(J847,4), MID(J847,5,2), RIGHT(J847,2)), "M/d/yyyy")</f>
        <v>7/1/2024</v>
      </c>
      <c r="L847" s="24" t="s">
        <v>197</v>
      </c>
      <c r="M847" s="26">
        <v>1</v>
      </c>
      <c r="N847" s="25">
        <v>20</v>
      </c>
      <c r="O847" s="27">
        <v>20</v>
      </c>
      <c r="P847" s="22" t="s">
        <v>3843</v>
      </c>
    </row>
    <row r="848" spans="1:16" s="22" customFormat="1" ht="15" customHeight="1" x14ac:dyDescent="0.2">
      <c r="A848" s="22" t="s">
        <v>3785</v>
      </c>
      <c r="B848" s="22">
        <v>19200754</v>
      </c>
      <c r="C848" s="23">
        <v>1</v>
      </c>
      <c r="D848" s="23">
        <v>921772500</v>
      </c>
      <c r="E848" s="23">
        <v>921772500</v>
      </c>
      <c r="F848" s="24" t="s">
        <v>1918</v>
      </c>
      <c r="G848" s="23">
        <v>0</v>
      </c>
      <c r="H848" s="23">
        <v>20250301</v>
      </c>
      <c r="I848" s="23" t="str">
        <f>TEXT(DATE(LEFT(H848,4), MID(H848,5,2), RIGHT(H848,2)), "M/d/yyyy")</f>
        <v>3/1/2025</v>
      </c>
      <c r="J848" s="25">
        <v>20250201</v>
      </c>
      <c r="K848" s="23" t="str">
        <f>TEXT(DATE(LEFT(J848,4), MID(J848,5,2), RIGHT(J848,2)), "M/d/yyyy")</f>
        <v>2/1/2025</v>
      </c>
      <c r="L848" s="24" t="s">
        <v>197</v>
      </c>
      <c r="M848" s="26">
        <v>1</v>
      </c>
      <c r="N848" s="25">
        <v>20</v>
      </c>
      <c r="O848" s="27">
        <v>20</v>
      </c>
      <c r="P848" s="22" t="s">
        <v>3843</v>
      </c>
    </row>
    <row r="849" spans="1:16" s="22" customFormat="1" ht="15" customHeight="1" x14ac:dyDescent="0.2">
      <c r="A849" s="22" t="s">
        <v>3785</v>
      </c>
      <c r="B849" s="22">
        <v>19200754</v>
      </c>
      <c r="C849" s="23">
        <v>4</v>
      </c>
      <c r="D849" s="23">
        <v>921081522</v>
      </c>
      <c r="E849" s="23">
        <v>921081522</v>
      </c>
      <c r="F849" s="24" t="s">
        <v>1850</v>
      </c>
      <c r="G849" s="23">
        <v>0</v>
      </c>
      <c r="H849" s="23">
        <v>20250301</v>
      </c>
      <c r="I849" s="23" t="str">
        <f>TEXT(DATE(LEFT(H849,4), MID(H849,5,2), RIGHT(H849,2)), "M/d/yyyy")</f>
        <v>3/1/2025</v>
      </c>
      <c r="J849" s="25">
        <v>20250101</v>
      </c>
      <c r="K849" s="23" t="str">
        <f>TEXT(DATE(LEFT(J849,4), MID(J849,5,2), RIGHT(J849,2)), "M/d/yyyy")</f>
        <v>1/1/2025</v>
      </c>
      <c r="L849" s="24" t="s">
        <v>197</v>
      </c>
      <c r="M849" s="26">
        <v>1</v>
      </c>
      <c r="N849" s="25">
        <v>20</v>
      </c>
      <c r="O849" s="27">
        <v>80</v>
      </c>
      <c r="P849" s="22" t="s">
        <v>3843</v>
      </c>
    </row>
    <row r="850" spans="1:16" s="22" customFormat="1" ht="15" customHeight="1" x14ac:dyDescent="0.2">
      <c r="A850" s="22" t="s">
        <v>3787</v>
      </c>
      <c r="B850" s="22">
        <v>16633294</v>
      </c>
      <c r="C850" s="23">
        <v>1</v>
      </c>
      <c r="D850" s="23">
        <v>920863815</v>
      </c>
      <c r="E850" s="23">
        <v>920863815</v>
      </c>
      <c r="F850" s="24" t="s">
        <v>2066</v>
      </c>
      <c r="G850" s="23">
        <v>0</v>
      </c>
      <c r="H850" s="23">
        <v>20250301</v>
      </c>
      <c r="I850" s="23" t="str">
        <f>TEXT(DATE(LEFT(H850,4), MID(H850,5,2), RIGHT(H850,2)), "M/d/yyyy")</f>
        <v>3/1/2025</v>
      </c>
      <c r="J850" s="25">
        <v>20250201</v>
      </c>
      <c r="K850" s="23" t="str">
        <f>TEXT(DATE(LEFT(J850,4), MID(J850,5,2), RIGHT(J850,2)), "M/d/yyyy")</f>
        <v>2/1/2025</v>
      </c>
      <c r="L850" s="24" t="s">
        <v>197</v>
      </c>
      <c r="M850" s="26">
        <v>1</v>
      </c>
      <c r="N850" s="25">
        <v>20</v>
      </c>
      <c r="O850" s="27">
        <v>20</v>
      </c>
      <c r="P850" s="22" t="s">
        <v>3843</v>
      </c>
    </row>
    <row r="851" spans="1:16" s="22" customFormat="1" ht="15" customHeight="1" x14ac:dyDescent="0.2">
      <c r="A851" s="22" t="s">
        <v>3787</v>
      </c>
      <c r="B851" s="22">
        <v>16633294</v>
      </c>
      <c r="C851" s="23">
        <v>1</v>
      </c>
      <c r="D851" s="23">
        <v>921737016</v>
      </c>
      <c r="E851" s="23">
        <v>921737016</v>
      </c>
      <c r="F851" s="24" t="s">
        <v>2136</v>
      </c>
      <c r="G851" s="23">
        <v>0</v>
      </c>
      <c r="H851" s="23">
        <v>20250301</v>
      </c>
      <c r="I851" s="23" t="str">
        <f>TEXT(DATE(LEFT(H851,4), MID(H851,5,2), RIGHT(H851,2)), "M/d/yyyy")</f>
        <v>3/1/2025</v>
      </c>
      <c r="J851" s="25">
        <v>20240901</v>
      </c>
      <c r="K851" s="23" t="str">
        <f>TEXT(DATE(LEFT(J851,4), MID(J851,5,2), RIGHT(J851,2)), "M/d/yyyy")</f>
        <v>9/1/2024</v>
      </c>
      <c r="L851" s="24" t="s">
        <v>197</v>
      </c>
      <c r="M851" s="26">
        <v>1</v>
      </c>
      <c r="N851" s="25">
        <v>20</v>
      </c>
      <c r="O851" s="27">
        <v>20</v>
      </c>
      <c r="P851" s="22" t="s">
        <v>3843</v>
      </c>
    </row>
    <row r="852" spans="1:16" s="22" customFormat="1" ht="15" customHeight="1" x14ac:dyDescent="0.2">
      <c r="A852" s="22" t="s">
        <v>3787</v>
      </c>
      <c r="B852" s="22">
        <v>16633294</v>
      </c>
      <c r="C852" s="23">
        <v>1</v>
      </c>
      <c r="D852" s="23">
        <v>921749141</v>
      </c>
      <c r="E852" s="23">
        <v>921749141</v>
      </c>
      <c r="F852" s="24" t="s">
        <v>2142</v>
      </c>
      <c r="G852" s="23">
        <v>0</v>
      </c>
      <c r="H852" s="23">
        <v>20250301</v>
      </c>
      <c r="I852" s="23" t="str">
        <f>TEXT(DATE(LEFT(H852,4), MID(H852,5,2), RIGHT(H852,2)), "M/d/yyyy")</f>
        <v>3/1/2025</v>
      </c>
      <c r="J852" s="25">
        <v>20250101</v>
      </c>
      <c r="K852" s="23" t="str">
        <f>TEXT(DATE(LEFT(J852,4), MID(J852,5,2), RIGHT(J852,2)), "M/d/yyyy")</f>
        <v>1/1/2025</v>
      </c>
      <c r="L852" s="24" t="s">
        <v>197</v>
      </c>
      <c r="M852" s="26">
        <v>1</v>
      </c>
      <c r="N852" s="25">
        <v>20</v>
      </c>
      <c r="O852" s="27">
        <v>20</v>
      </c>
      <c r="P852" s="22" t="s">
        <v>3843</v>
      </c>
    </row>
    <row r="853" spans="1:16" s="22" customFormat="1" ht="15" customHeight="1" x14ac:dyDescent="0.2">
      <c r="A853" s="22" t="s">
        <v>3787</v>
      </c>
      <c r="B853" s="22">
        <v>16633294</v>
      </c>
      <c r="C853" s="23">
        <v>1</v>
      </c>
      <c r="D853" s="23">
        <v>921769703</v>
      </c>
      <c r="E853" s="23">
        <v>921769703</v>
      </c>
      <c r="F853" s="24" t="s">
        <v>2148</v>
      </c>
      <c r="G853" s="23">
        <v>0</v>
      </c>
      <c r="H853" s="23">
        <v>20250301</v>
      </c>
      <c r="I853" s="23" t="str">
        <f>TEXT(DATE(LEFT(H853,4), MID(H853,5,2), RIGHT(H853,2)), "M/d/yyyy")</f>
        <v>3/1/2025</v>
      </c>
      <c r="J853" s="25">
        <v>20250201</v>
      </c>
      <c r="K853" s="23" t="str">
        <f>TEXT(DATE(LEFT(J853,4), MID(J853,5,2), RIGHT(J853,2)), "M/d/yyyy")</f>
        <v>2/1/2025</v>
      </c>
      <c r="L853" s="24" t="s">
        <v>197</v>
      </c>
      <c r="M853" s="26">
        <v>1</v>
      </c>
      <c r="N853" s="25">
        <v>20</v>
      </c>
      <c r="O853" s="27">
        <v>20</v>
      </c>
      <c r="P853" s="22" t="s">
        <v>3843</v>
      </c>
    </row>
    <row r="854" spans="1:16" s="22" customFormat="1" ht="15" customHeight="1" x14ac:dyDescent="0.2">
      <c r="A854" s="22" t="s">
        <v>3787</v>
      </c>
      <c r="B854" s="22">
        <v>16633294</v>
      </c>
      <c r="C854" s="23">
        <v>1</v>
      </c>
      <c r="D854" s="23">
        <v>921771397</v>
      </c>
      <c r="E854" s="23">
        <v>921771397</v>
      </c>
      <c r="F854" s="24" t="s">
        <v>2150</v>
      </c>
      <c r="G854" s="23">
        <v>0</v>
      </c>
      <c r="H854" s="23">
        <v>20250301</v>
      </c>
      <c r="I854" s="23" t="str">
        <f>TEXT(DATE(LEFT(H854,4), MID(H854,5,2), RIGHT(H854,2)), "M/d/yyyy")</f>
        <v>3/1/2025</v>
      </c>
      <c r="J854" s="25">
        <v>20250201</v>
      </c>
      <c r="K854" s="23" t="str">
        <f>TEXT(DATE(LEFT(J854,4), MID(J854,5,2), RIGHT(J854,2)), "M/d/yyyy")</f>
        <v>2/1/2025</v>
      </c>
      <c r="L854" s="24" t="s">
        <v>197</v>
      </c>
      <c r="M854" s="26">
        <v>1</v>
      </c>
      <c r="N854" s="25">
        <v>20</v>
      </c>
      <c r="O854" s="27">
        <v>20</v>
      </c>
      <c r="P854" s="22" t="s">
        <v>3843</v>
      </c>
    </row>
    <row r="855" spans="1:16" s="22" customFormat="1" ht="15" customHeight="1" x14ac:dyDescent="0.2">
      <c r="A855" s="22" t="s">
        <v>3787</v>
      </c>
      <c r="B855" s="22">
        <v>16633294</v>
      </c>
      <c r="C855" s="23">
        <v>1</v>
      </c>
      <c r="D855" s="23">
        <v>921775272</v>
      </c>
      <c r="E855" s="23">
        <v>921775272</v>
      </c>
      <c r="F855" s="24" t="s">
        <v>2154</v>
      </c>
      <c r="G855" s="23">
        <v>0</v>
      </c>
      <c r="H855" s="23">
        <v>20250301</v>
      </c>
      <c r="I855" s="23" t="str">
        <f>TEXT(DATE(LEFT(H855,4), MID(H855,5,2), RIGHT(H855,2)), "M/d/yyyy")</f>
        <v>3/1/2025</v>
      </c>
      <c r="J855" s="25">
        <v>20250201</v>
      </c>
      <c r="K855" s="23" t="str">
        <f>TEXT(DATE(LEFT(J855,4), MID(J855,5,2), RIGHT(J855,2)), "M/d/yyyy")</f>
        <v>2/1/2025</v>
      </c>
      <c r="L855" s="24" t="s">
        <v>197</v>
      </c>
      <c r="M855" s="26">
        <v>1</v>
      </c>
      <c r="N855" s="25">
        <v>20</v>
      </c>
      <c r="O855" s="27">
        <v>20</v>
      </c>
      <c r="P855" s="22" t="s">
        <v>3843</v>
      </c>
    </row>
    <row r="856" spans="1:16" s="22" customFormat="1" ht="15" customHeight="1" x14ac:dyDescent="0.2">
      <c r="A856" s="22" t="s">
        <v>3787</v>
      </c>
      <c r="B856" s="22">
        <v>16633294</v>
      </c>
      <c r="C856" s="23">
        <v>2</v>
      </c>
      <c r="D856" s="23">
        <v>890070450</v>
      </c>
      <c r="E856" s="23">
        <v>890070450</v>
      </c>
      <c r="F856" s="24" t="s">
        <v>2058</v>
      </c>
      <c r="G856" s="23">
        <v>0</v>
      </c>
      <c r="H856" s="23">
        <v>20250301</v>
      </c>
      <c r="I856" s="23" t="str">
        <f>TEXT(DATE(LEFT(H856,4), MID(H856,5,2), RIGHT(H856,2)), "M/d/yyyy")</f>
        <v>3/1/2025</v>
      </c>
      <c r="J856" s="25">
        <v>20240101</v>
      </c>
      <c r="K856" s="23" t="str">
        <f>TEXT(DATE(LEFT(J856,4), MID(J856,5,2), RIGHT(J856,2)), "M/d/yyyy")</f>
        <v>1/1/2024</v>
      </c>
      <c r="L856" s="24" t="s">
        <v>197</v>
      </c>
      <c r="M856" s="26">
        <v>1</v>
      </c>
      <c r="N856" s="25">
        <v>15</v>
      </c>
      <c r="O856" s="27">
        <v>30</v>
      </c>
      <c r="P856" s="22" t="s">
        <v>3843</v>
      </c>
    </row>
    <row r="857" spans="1:16" s="22" customFormat="1" ht="15" customHeight="1" x14ac:dyDescent="0.2">
      <c r="A857" s="22" t="s">
        <v>3787</v>
      </c>
      <c r="B857" s="22">
        <v>16633294</v>
      </c>
      <c r="C857" s="23">
        <v>2</v>
      </c>
      <c r="D857" s="23">
        <v>921085713</v>
      </c>
      <c r="E857" s="23">
        <v>921085713</v>
      </c>
      <c r="F857" s="24" t="s">
        <v>2074</v>
      </c>
      <c r="G857" s="23">
        <v>0</v>
      </c>
      <c r="H857" s="23">
        <v>20250301</v>
      </c>
      <c r="I857" s="23" t="str">
        <f>TEXT(DATE(LEFT(H857,4), MID(H857,5,2), RIGHT(H857,2)), "M/d/yyyy")</f>
        <v>3/1/2025</v>
      </c>
      <c r="J857" s="25">
        <v>20250101</v>
      </c>
      <c r="K857" s="23" t="str">
        <f>TEXT(DATE(LEFT(J857,4), MID(J857,5,2), RIGHT(J857,2)), "M/d/yyyy")</f>
        <v>1/1/2025</v>
      </c>
      <c r="L857" s="24" t="s">
        <v>197</v>
      </c>
      <c r="M857" s="26">
        <v>1</v>
      </c>
      <c r="N857" s="25">
        <v>20</v>
      </c>
      <c r="O857" s="27">
        <v>40</v>
      </c>
      <c r="P857" s="22" t="s">
        <v>3843</v>
      </c>
    </row>
    <row r="858" spans="1:16" s="22" customFormat="1" ht="15" customHeight="1" x14ac:dyDescent="0.2">
      <c r="A858" s="22" t="s">
        <v>3787</v>
      </c>
      <c r="B858" s="22">
        <v>16633294</v>
      </c>
      <c r="C858" s="23">
        <v>2</v>
      </c>
      <c r="D858" s="23">
        <v>921765577</v>
      </c>
      <c r="E858" s="23">
        <v>921765577</v>
      </c>
      <c r="F858" s="24" t="s">
        <v>2146</v>
      </c>
      <c r="G858" s="23">
        <v>0</v>
      </c>
      <c r="H858" s="23">
        <v>20250301</v>
      </c>
      <c r="I858" s="23" t="str">
        <f>TEXT(DATE(LEFT(H858,4), MID(H858,5,2), RIGHT(H858,2)), "M/d/yyyy")</f>
        <v>3/1/2025</v>
      </c>
      <c r="J858" s="25">
        <v>20250101</v>
      </c>
      <c r="K858" s="23" t="str">
        <f>TEXT(DATE(LEFT(J858,4), MID(J858,5,2), RIGHT(J858,2)), "M/d/yyyy")</f>
        <v>1/1/2025</v>
      </c>
      <c r="L858" s="24" t="s">
        <v>197</v>
      </c>
      <c r="M858" s="26">
        <v>1</v>
      </c>
      <c r="N858" s="25">
        <v>20</v>
      </c>
      <c r="O858" s="27">
        <v>40</v>
      </c>
      <c r="P858" s="22" t="s">
        <v>3843</v>
      </c>
    </row>
    <row r="859" spans="1:16" s="22" customFormat="1" ht="15" customHeight="1" x14ac:dyDescent="0.2">
      <c r="A859" s="22" t="s">
        <v>3809</v>
      </c>
      <c r="B859" s="22">
        <v>19615078</v>
      </c>
      <c r="C859" s="23">
        <v>1</v>
      </c>
      <c r="D859" s="23">
        <v>890162352</v>
      </c>
      <c r="E859" s="23">
        <v>890162352</v>
      </c>
      <c r="F859" s="24" t="s">
        <v>3354</v>
      </c>
      <c r="G859" s="23">
        <v>0</v>
      </c>
      <c r="H859" s="23">
        <v>20250301</v>
      </c>
      <c r="I859" s="23" t="str">
        <f>TEXT(DATE(LEFT(H859,4), MID(H859,5,2), RIGHT(H859,2)), "M/d/yyyy")</f>
        <v>3/1/2025</v>
      </c>
      <c r="J859" s="25">
        <v>20170101</v>
      </c>
      <c r="K859" s="23" t="str">
        <f>TEXT(DATE(LEFT(J859,4), MID(J859,5,2), RIGHT(J859,2)), "M/d/yyyy")</f>
        <v>1/1/2017</v>
      </c>
      <c r="L859" s="24" t="s">
        <v>197</v>
      </c>
      <c r="M859" s="26">
        <v>1</v>
      </c>
      <c r="N859" s="25">
        <v>15</v>
      </c>
      <c r="O859" s="27">
        <v>15</v>
      </c>
      <c r="P859" s="22" t="s">
        <v>3843</v>
      </c>
    </row>
    <row r="860" spans="1:16" s="22" customFormat="1" ht="15" customHeight="1" x14ac:dyDescent="0.2">
      <c r="A860" s="22" t="s">
        <v>3775</v>
      </c>
      <c r="B860" s="22">
        <v>8977234</v>
      </c>
      <c r="C860" s="23">
        <v>1</v>
      </c>
      <c r="D860" s="23">
        <v>920903863</v>
      </c>
      <c r="E860" s="23">
        <v>920903863</v>
      </c>
      <c r="F860" s="24" t="s">
        <v>416</v>
      </c>
      <c r="G860" s="23">
        <v>0</v>
      </c>
      <c r="H860" s="23">
        <v>20250301</v>
      </c>
      <c r="I860" s="23" t="str">
        <f>TEXT(DATE(LEFT(H860,4), MID(H860,5,2), RIGHT(H860,2)), "M/d/yyyy")</f>
        <v>3/1/2025</v>
      </c>
      <c r="J860" s="25">
        <v>20140501</v>
      </c>
      <c r="K860" s="23" t="str">
        <f>TEXT(DATE(LEFT(J860,4), MID(J860,5,2), RIGHT(J860,2)), "M/d/yyyy")</f>
        <v>5/1/2014</v>
      </c>
      <c r="L860" s="24" t="s">
        <v>197</v>
      </c>
      <c r="M860" s="26">
        <v>1</v>
      </c>
      <c r="N860" s="25">
        <v>15</v>
      </c>
      <c r="O860" s="27">
        <v>15</v>
      </c>
      <c r="P860" s="22" t="s">
        <v>3843</v>
      </c>
    </row>
    <row r="861" spans="1:16" s="22" customFormat="1" ht="15" customHeight="1" x14ac:dyDescent="0.2">
      <c r="A861" s="22" t="s">
        <v>3775</v>
      </c>
      <c r="B861" s="22">
        <v>8977234</v>
      </c>
      <c r="C861" s="23">
        <v>1</v>
      </c>
      <c r="D861" s="23">
        <v>920981701</v>
      </c>
      <c r="E861" s="23">
        <v>920981701</v>
      </c>
      <c r="F861" s="24" t="s">
        <v>427</v>
      </c>
      <c r="G861" s="23">
        <v>0</v>
      </c>
      <c r="H861" s="23">
        <v>20250301</v>
      </c>
      <c r="I861" s="23" t="str">
        <f>TEXT(DATE(LEFT(H861,4), MID(H861,5,2), RIGHT(H861,2)), "M/d/yyyy")</f>
        <v>3/1/2025</v>
      </c>
      <c r="J861" s="25">
        <v>20220401</v>
      </c>
      <c r="K861" s="23" t="str">
        <f>TEXT(DATE(LEFT(J861,4), MID(J861,5,2), RIGHT(J861,2)), "M/d/yyyy")</f>
        <v>4/1/2022</v>
      </c>
      <c r="L861" s="24" t="s">
        <v>197</v>
      </c>
      <c r="M861" s="26">
        <v>1</v>
      </c>
      <c r="N861" s="25">
        <v>15</v>
      </c>
      <c r="O861" s="27">
        <v>15</v>
      </c>
      <c r="P861" s="22" t="s">
        <v>3843</v>
      </c>
    </row>
    <row r="862" spans="1:16" s="22" customFormat="1" ht="15" customHeight="1" x14ac:dyDescent="0.2">
      <c r="A862" s="22" t="s">
        <v>3775</v>
      </c>
      <c r="B862" s="22">
        <v>8977234</v>
      </c>
      <c r="C862" s="23">
        <v>1</v>
      </c>
      <c r="D862" s="23">
        <v>920981701</v>
      </c>
      <c r="E862" s="23">
        <v>920981701</v>
      </c>
      <c r="F862" s="24" t="s">
        <v>427</v>
      </c>
      <c r="G862" s="23">
        <v>0</v>
      </c>
      <c r="H862" s="23">
        <v>20250201</v>
      </c>
      <c r="I862" s="23" t="str">
        <f>TEXT(DATE(LEFT(H862,4), MID(H862,5,2), RIGHT(H862,2)), "M/d/yyyy")</f>
        <v>2/1/2025</v>
      </c>
      <c r="J862" s="25">
        <v>20220401</v>
      </c>
      <c r="K862" s="23" t="str">
        <f>TEXT(DATE(LEFT(J862,4), MID(J862,5,2), RIGHT(J862,2)), "M/d/yyyy")</f>
        <v>4/1/2022</v>
      </c>
      <c r="L862" s="24" t="s">
        <v>197</v>
      </c>
      <c r="M862" s="26">
        <v>1</v>
      </c>
      <c r="N862" s="25">
        <v>15</v>
      </c>
      <c r="O862" s="27">
        <v>15</v>
      </c>
      <c r="P862" s="22" t="s">
        <v>3843</v>
      </c>
    </row>
    <row r="863" spans="1:16" s="22" customFormat="1" ht="15" customHeight="1" x14ac:dyDescent="0.2">
      <c r="A863" s="22" t="s">
        <v>3775</v>
      </c>
      <c r="B863" s="22">
        <v>8977234</v>
      </c>
      <c r="C863" s="23">
        <v>1</v>
      </c>
      <c r="D863" s="23">
        <v>921035908</v>
      </c>
      <c r="E863" s="23">
        <v>921035908</v>
      </c>
      <c r="F863" s="24" t="s">
        <v>436</v>
      </c>
      <c r="G863" s="23">
        <v>0</v>
      </c>
      <c r="H863" s="23">
        <v>20250301</v>
      </c>
      <c r="I863" s="23" t="str">
        <f>TEXT(DATE(LEFT(H863,4), MID(H863,5,2), RIGHT(H863,2)), "M/d/yyyy")</f>
        <v>3/1/2025</v>
      </c>
      <c r="J863" s="25">
        <v>20150101</v>
      </c>
      <c r="K863" s="23" t="str">
        <f>TEXT(DATE(LEFT(J863,4), MID(J863,5,2), RIGHT(J863,2)), "M/d/yyyy")</f>
        <v>1/1/2015</v>
      </c>
      <c r="L863" s="24" t="s">
        <v>197</v>
      </c>
      <c r="M863" s="26">
        <v>1</v>
      </c>
      <c r="N863" s="25">
        <v>15</v>
      </c>
      <c r="O863" s="27">
        <v>15</v>
      </c>
      <c r="P863" s="22" t="s">
        <v>3843</v>
      </c>
    </row>
    <row r="864" spans="1:16" s="22" customFormat="1" ht="15" customHeight="1" x14ac:dyDescent="0.2">
      <c r="A864" s="22" t="s">
        <v>3775</v>
      </c>
      <c r="B864" s="22">
        <v>8977234</v>
      </c>
      <c r="C864" s="23">
        <v>1</v>
      </c>
      <c r="D864" s="23">
        <v>921183633</v>
      </c>
      <c r="E864" s="23">
        <v>921183633</v>
      </c>
      <c r="F864" s="24" t="s">
        <v>438</v>
      </c>
      <c r="G864" s="23">
        <v>0</v>
      </c>
      <c r="H864" s="23">
        <v>20250301</v>
      </c>
      <c r="I864" s="23" t="str">
        <f>TEXT(DATE(LEFT(H864,4), MID(H864,5,2), RIGHT(H864,2)), "M/d/yyyy")</f>
        <v>3/1/2025</v>
      </c>
      <c r="J864" s="25">
        <v>20240701</v>
      </c>
      <c r="K864" s="23" t="str">
        <f>TEXT(DATE(LEFT(J864,4), MID(J864,5,2), RIGHT(J864,2)), "M/d/yyyy")</f>
        <v>7/1/2024</v>
      </c>
      <c r="L864" s="24" t="s">
        <v>197</v>
      </c>
      <c r="M864" s="26">
        <v>1</v>
      </c>
      <c r="N864" s="25">
        <v>20</v>
      </c>
      <c r="O864" s="27">
        <v>20</v>
      </c>
      <c r="P864" s="22" t="s">
        <v>3843</v>
      </c>
    </row>
    <row r="865" spans="1:16" s="22" customFormat="1" ht="15" customHeight="1" x14ac:dyDescent="0.2">
      <c r="A865" s="22" t="s">
        <v>3775</v>
      </c>
      <c r="B865" s="22">
        <v>8977234</v>
      </c>
      <c r="C865" s="23">
        <v>1</v>
      </c>
      <c r="D865" s="23">
        <v>921748122</v>
      </c>
      <c r="E865" s="23">
        <v>921748122</v>
      </c>
      <c r="F865" s="24" t="s">
        <v>498</v>
      </c>
      <c r="G865" s="23">
        <v>0</v>
      </c>
      <c r="H865" s="23">
        <v>20250301</v>
      </c>
      <c r="I865" s="23" t="str">
        <f>TEXT(DATE(LEFT(H865,4), MID(H865,5,2), RIGHT(H865,2)), "M/d/yyyy")</f>
        <v>3/1/2025</v>
      </c>
      <c r="J865" s="25">
        <v>20250101</v>
      </c>
      <c r="K865" s="23" t="str">
        <f>TEXT(DATE(LEFT(J865,4), MID(J865,5,2), RIGHT(J865,2)), "M/d/yyyy")</f>
        <v>1/1/2025</v>
      </c>
      <c r="L865" s="24" t="s">
        <v>197</v>
      </c>
      <c r="M865" s="26">
        <v>1</v>
      </c>
      <c r="N865" s="25">
        <v>20</v>
      </c>
      <c r="O865" s="27">
        <v>20</v>
      </c>
      <c r="P865" s="22" t="s">
        <v>3843</v>
      </c>
    </row>
    <row r="866" spans="1:16" s="22" customFormat="1" ht="15" customHeight="1" x14ac:dyDescent="0.2">
      <c r="A866" s="22" t="s">
        <v>3793</v>
      </c>
      <c r="B866" s="22">
        <v>19396223</v>
      </c>
      <c r="C866" s="23">
        <v>1</v>
      </c>
      <c r="D866" s="23">
        <v>920934309</v>
      </c>
      <c r="E866" s="23">
        <v>920934309</v>
      </c>
      <c r="F866" s="24" t="s">
        <v>2563</v>
      </c>
      <c r="G866" s="23">
        <v>0</v>
      </c>
      <c r="H866" s="23">
        <v>20250301</v>
      </c>
      <c r="I866" s="23" t="str">
        <f>TEXT(DATE(LEFT(H866,4), MID(H866,5,2), RIGHT(H866,2)), "M/d/yyyy")</f>
        <v>3/1/2025</v>
      </c>
      <c r="J866" s="25">
        <v>20240101</v>
      </c>
      <c r="K866" s="23" t="str">
        <f>TEXT(DATE(LEFT(J866,4), MID(J866,5,2), RIGHT(J866,2)), "M/d/yyyy")</f>
        <v>1/1/2024</v>
      </c>
      <c r="L866" s="24" t="s">
        <v>197</v>
      </c>
      <c r="M866" s="26">
        <v>1</v>
      </c>
      <c r="N866" s="25">
        <v>15</v>
      </c>
      <c r="O866" s="27">
        <v>15</v>
      </c>
      <c r="P866" s="22" t="s">
        <v>3843</v>
      </c>
    </row>
    <row r="867" spans="1:16" s="22" customFormat="1" ht="15" customHeight="1" x14ac:dyDescent="0.2">
      <c r="A867" s="22" t="s">
        <v>3793</v>
      </c>
      <c r="B867" s="22">
        <v>19396223</v>
      </c>
      <c r="C867" s="23">
        <v>1</v>
      </c>
      <c r="D867" s="23">
        <v>920934309</v>
      </c>
      <c r="E867" s="23">
        <v>920934309</v>
      </c>
      <c r="F867" s="24" t="s">
        <v>2563</v>
      </c>
      <c r="G867" s="23">
        <v>0</v>
      </c>
      <c r="H867" s="23">
        <v>20250201</v>
      </c>
      <c r="I867" s="23" t="str">
        <f>TEXT(DATE(LEFT(H867,4), MID(H867,5,2), RIGHT(H867,2)), "M/d/yyyy")</f>
        <v>2/1/2025</v>
      </c>
      <c r="J867" s="25">
        <v>20240101</v>
      </c>
      <c r="K867" s="23" t="str">
        <f>TEXT(DATE(LEFT(J867,4), MID(J867,5,2), RIGHT(J867,2)), "M/d/yyyy")</f>
        <v>1/1/2024</v>
      </c>
      <c r="L867" s="24" t="s">
        <v>197</v>
      </c>
      <c r="M867" s="26">
        <v>1</v>
      </c>
      <c r="N867" s="25">
        <v>15</v>
      </c>
      <c r="O867" s="27">
        <v>15</v>
      </c>
      <c r="P867" s="22" t="s">
        <v>3843</v>
      </c>
    </row>
    <row r="868" spans="1:16" s="22" customFormat="1" ht="15" customHeight="1" x14ac:dyDescent="0.2">
      <c r="A868" s="22" t="s">
        <v>3793</v>
      </c>
      <c r="B868" s="22">
        <v>19396223</v>
      </c>
      <c r="C868" s="23">
        <v>1</v>
      </c>
      <c r="D868" s="23">
        <v>921690056</v>
      </c>
      <c r="E868" s="23">
        <v>921690056</v>
      </c>
      <c r="F868" s="24" t="s">
        <v>2618</v>
      </c>
      <c r="G868" s="23">
        <v>0</v>
      </c>
      <c r="H868" s="23">
        <v>20250301</v>
      </c>
      <c r="I868" s="23" t="str">
        <f>TEXT(DATE(LEFT(H868,4), MID(H868,5,2), RIGHT(H868,2)), "M/d/yyyy")</f>
        <v>3/1/2025</v>
      </c>
      <c r="J868" s="25">
        <v>20240101</v>
      </c>
      <c r="K868" s="23" t="str">
        <f>TEXT(DATE(LEFT(J868,4), MID(J868,5,2), RIGHT(J868,2)), "M/d/yyyy")</f>
        <v>1/1/2024</v>
      </c>
      <c r="L868" s="24" t="s">
        <v>197</v>
      </c>
      <c r="M868" s="26">
        <v>1</v>
      </c>
      <c r="N868" s="25">
        <v>15</v>
      </c>
      <c r="O868" s="27">
        <v>15</v>
      </c>
      <c r="P868" s="22" t="s">
        <v>3843</v>
      </c>
    </row>
    <row r="869" spans="1:16" s="22" customFormat="1" ht="15" customHeight="1" x14ac:dyDescent="0.2">
      <c r="A869" s="22" t="s">
        <v>3793</v>
      </c>
      <c r="B869" s="22">
        <v>19396223</v>
      </c>
      <c r="C869" s="23">
        <v>1</v>
      </c>
      <c r="D869" s="23">
        <v>921315563</v>
      </c>
      <c r="E869" s="23">
        <v>921315563</v>
      </c>
      <c r="F869" s="24" t="s">
        <v>2574</v>
      </c>
      <c r="G869" s="23">
        <v>0</v>
      </c>
      <c r="H869" s="23">
        <v>20250301</v>
      </c>
      <c r="I869" s="23" t="str">
        <f>TEXT(DATE(LEFT(H869,4), MID(H869,5,2), RIGHT(H869,2)), "M/d/yyyy")</f>
        <v>3/1/2025</v>
      </c>
      <c r="J869" s="25">
        <v>20250101</v>
      </c>
      <c r="K869" s="23" t="str">
        <f>TEXT(DATE(LEFT(J869,4), MID(J869,5,2), RIGHT(J869,2)), "M/d/yyyy")</f>
        <v>1/1/2025</v>
      </c>
      <c r="L869" s="24" t="s">
        <v>197</v>
      </c>
      <c r="M869" s="26">
        <v>1</v>
      </c>
      <c r="N869" s="25">
        <v>20</v>
      </c>
      <c r="O869" s="27">
        <v>20</v>
      </c>
      <c r="P869" s="22" t="s">
        <v>3843</v>
      </c>
    </row>
    <row r="870" spans="1:16" s="22" customFormat="1" ht="15" customHeight="1" x14ac:dyDescent="0.2">
      <c r="A870" s="22" t="s">
        <v>3793</v>
      </c>
      <c r="B870" s="22">
        <v>19396223</v>
      </c>
      <c r="C870" s="23">
        <v>1</v>
      </c>
      <c r="D870" s="23">
        <v>921767314</v>
      </c>
      <c r="E870" s="23">
        <v>921767314</v>
      </c>
      <c r="F870" s="24" t="s">
        <v>2652</v>
      </c>
      <c r="G870" s="23">
        <v>0</v>
      </c>
      <c r="H870" s="23">
        <v>20250301</v>
      </c>
      <c r="I870" s="23" t="str">
        <f>TEXT(DATE(LEFT(H870,4), MID(H870,5,2), RIGHT(H870,2)), "M/d/yyyy")</f>
        <v>3/1/2025</v>
      </c>
      <c r="J870" s="25">
        <v>20250201</v>
      </c>
      <c r="K870" s="23" t="str">
        <f>TEXT(DATE(LEFT(J870,4), MID(J870,5,2), RIGHT(J870,2)), "M/d/yyyy")</f>
        <v>2/1/2025</v>
      </c>
      <c r="L870" s="24" t="s">
        <v>197</v>
      </c>
      <c r="M870" s="26">
        <v>1</v>
      </c>
      <c r="N870" s="25">
        <v>20</v>
      </c>
      <c r="O870" s="27">
        <v>20</v>
      </c>
      <c r="P870" s="22" t="s">
        <v>3843</v>
      </c>
    </row>
    <row r="871" spans="1:16" s="22" customFormat="1" ht="15" customHeight="1" x14ac:dyDescent="0.2">
      <c r="A871" s="22" t="s">
        <v>3793</v>
      </c>
      <c r="B871" s="22">
        <v>19396223</v>
      </c>
      <c r="C871" s="23">
        <v>1</v>
      </c>
      <c r="D871" s="23">
        <v>921770955</v>
      </c>
      <c r="E871" s="23">
        <v>921770955</v>
      </c>
      <c r="F871" s="24" t="s">
        <v>2658</v>
      </c>
      <c r="G871" s="23">
        <v>0</v>
      </c>
      <c r="H871" s="23">
        <v>20250301</v>
      </c>
      <c r="I871" s="23" t="str">
        <f>TEXT(DATE(LEFT(H871,4), MID(H871,5,2), RIGHT(H871,2)), "M/d/yyyy")</f>
        <v>3/1/2025</v>
      </c>
      <c r="J871" s="25">
        <v>20250201</v>
      </c>
      <c r="K871" s="23" t="str">
        <f>TEXT(DATE(LEFT(J871,4), MID(J871,5,2), RIGHT(J871,2)), "M/d/yyyy")</f>
        <v>2/1/2025</v>
      </c>
      <c r="L871" s="24" t="s">
        <v>197</v>
      </c>
      <c r="M871" s="26">
        <v>1</v>
      </c>
      <c r="N871" s="25">
        <v>20</v>
      </c>
      <c r="O871" s="27">
        <v>20</v>
      </c>
      <c r="P871" s="22" t="s">
        <v>3843</v>
      </c>
    </row>
    <row r="872" spans="1:16" s="22" customFormat="1" ht="15" customHeight="1" x14ac:dyDescent="0.2">
      <c r="A872" s="22" t="s">
        <v>3793</v>
      </c>
      <c r="B872" s="22">
        <v>19396223</v>
      </c>
      <c r="C872" s="23">
        <v>1</v>
      </c>
      <c r="D872" s="23">
        <v>921773402</v>
      </c>
      <c r="E872" s="23">
        <v>921773402</v>
      </c>
      <c r="F872" s="24" t="s">
        <v>2660</v>
      </c>
      <c r="G872" s="23">
        <v>0</v>
      </c>
      <c r="H872" s="23">
        <v>20250301</v>
      </c>
      <c r="I872" s="23" t="str">
        <f>TEXT(DATE(LEFT(H872,4), MID(H872,5,2), RIGHT(H872,2)), "M/d/yyyy")</f>
        <v>3/1/2025</v>
      </c>
      <c r="J872" s="25">
        <v>20250201</v>
      </c>
      <c r="K872" s="23" t="str">
        <f>TEXT(DATE(LEFT(J872,4), MID(J872,5,2), RIGHT(J872,2)), "M/d/yyyy")</f>
        <v>2/1/2025</v>
      </c>
      <c r="L872" s="24" t="s">
        <v>197</v>
      </c>
      <c r="M872" s="26">
        <v>1</v>
      </c>
      <c r="N872" s="25">
        <v>20</v>
      </c>
      <c r="O872" s="27">
        <v>20</v>
      </c>
      <c r="P872" s="22" t="s">
        <v>3843</v>
      </c>
    </row>
    <row r="873" spans="1:16" s="22" customFormat="1" ht="15" customHeight="1" x14ac:dyDescent="0.2">
      <c r="A873" s="22" t="s">
        <v>3793</v>
      </c>
      <c r="B873" s="22">
        <v>19396223</v>
      </c>
      <c r="C873" s="23">
        <v>2</v>
      </c>
      <c r="D873" s="23">
        <v>921634607</v>
      </c>
      <c r="E873" s="23">
        <v>921634607</v>
      </c>
      <c r="F873" s="24" t="s">
        <v>2598</v>
      </c>
      <c r="G873" s="23">
        <v>0</v>
      </c>
      <c r="H873" s="23">
        <v>20250301</v>
      </c>
      <c r="I873" s="23" t="str">
        <f>TEXT(DATE(LEFT(H873,4), MID(H873,5,2), RIGHT(H873,2)), "M/d/yyyy")</f>
        <v>3/1/2025</v>
      </c>
      <c r="J873" s="25">
        <v>20230101</v>
      </c>
      <c r="K873" s="23" t="str">
        <f>TEXT(DATE(LEFT(J873,4), MID(J873,5,2), RIGHT(J873,2)), "M/d/yyyy")</f>
        <v>1/1/2023</v>
      </c>
      <c r="L873" s="24" t="s">
        <v>197</v>
      </c>
      <c r="M873" s="26">
        <v>1</v>
      </c>
      <c r="N873" s="25">
        <v>15</v>
      </c>
      <c r="O873" s="27">
        <v>30</v>
      </c>
      <c r="P873" s="22" t="s">
        <v>3843</v>
      </c>
    </row>
    <row r="874" spans="1:16" s="22" customFormat="1" ht="15" customHeight="1" x14ac:dyDescent="0.2">
      <c r="A874" s="22" t="s">
        <v>3793</v>
      </c>
      <c r="B874" s="22">
        <v>19396223</v>
      </c>
      <c r="C874" s="23">
        <v>2</v>
      </c>
      <c r="D874" s="23">
        <v>890570747</v>
      </c>
      <c r="E874" s="23">
        <v>890570747</v>
      </c>
      <c r="F874" s="24" t="s">
        <v>2559</v>
      </c>
      <c r="G874" s="23">
        <v>0</v>
      </c>
      <c r="H874" s="23">
        <v>20250301</v>
      </c>
      <c r="I874" s="23" t="str">
        <f>TEXT(DATE(LEFT(H874,4), MID(H874,5,2), RIGHT(H874,2)), "M/d/yyyy")</f>
        <v>3/1/2025</v>
      </c>
      <c r="J874" s="25">
        <v>20250201</v>
      </c>
      <c r="K874" s="23" t="str">
        <f>TEXT(DATE(LEFT(J874,4), MID(J874,5,2), RIGHT(J874,2)), "M/d/yyyy")</f>
        <v>2/1/2025</v>
      </c>
      <c r="L874" s="24" t="s">
        <v>197</v>
      </c>
      <c r="M874" s="26">
        <v>1</v>
      </c>
      <c r="N874" s="25">
        <v>20</v>
      </c>
      <c r="O874" s="27">
        <v>40</v>
      </c>
      <c r="P874" s="22" t="s">
        <v>3843</v>
      </c>
    </row>
    <row r="875" spans="1:16" s="22" customFormat="1" ht="15" customHeight="1" x14ac:dyDescent="0.2">
      <c r="A875" s="22" t="s">
        <v>3793</v>
      </c>
      <c r="B875" s="22">
        <v>19396223</v>
      </c>
      <c r="C875" s="23">
        <v>2</v>
      </c>
      <c r="D875" s="23">
        <v>921750683</v>
      </c>
      <c r="E875" s="23">
        <v>921750683</v>
      </c>
      <c r="F875" s="24" t="s">
        <v>2641</v>
      </c>
      <c r="G875" s="23">
        <v>0</v>
      </c>
      <c r="H875" s="23">
        <v>20250301</v>
      </c>
      <c r="I875" s="23" t="str">
        <f>TEXT(DATE(LEFT(H875,4), MID(H875,5,2), RIGHT(H875,2)), "M/d/yyyy")</f>
        <v>3/1/2025</v>
      </c>
      <c r="J875" s="25">
        <v>20250101</v>
      </c>
      <c r="K875" s="23" t="str">
        <f>TEXT(DATE(LEFT(J875,4), MID(J875,5,2), RIGHT(J875,2)), "M/d/yyyy")</f>
        <v>1/1/2025</v>
      </c>
      <c r="L875" s="24" t="s">
        <v>197</v>
      </c>
      <c r="M875" s="26">
        <v>1</v>
      </c>
      <c r="N875" s="25">
        <v>20</v>
      </c>
      <c r="O875" s="27">
        <v>40</v>
      </c>
      <c r="P875" s="22" t="s">
        <v>3843</v>
      </c>
    </row>
    <row r="876" spans="1:16" s="22" customFormat="1" ht="15" customHeight="1" x14ac:dyDescent="0.2">
      <c r="A876" s="22" t="s">
        <v>3793</v>
      </c>
      <c r="B876" s="22">
        <v>19396223</v>
      </c>
      <c r="C876" s="23">
        <v>4</v>
      </c>
      <c r="D876" s="23">
        <v>890430268</v>
      </c>
      <c r="E876" s="23">
        <v>890430268</v>
      </c>
      <c r="F876" s="24" t="s">
        <v>2557</v>
      </c>
      <c r="G876" s="23">
        <v>0</v>
      </c>
      <c r="H876" s="23">
        <v>20250301</v>
      </c>
      <c r="I876" s="23" t="str">
        <f>TEXT(DATE(LEFT(H876,4), MID(H876,5,2), RIGHT(H876,2)), "M/d/yyyy")</f>
        <v>3/1/2025</v>
      </c>
      <c r="J876" s="25">
        <v>20201201</v>
      </c>
      <c r="K876" s="23" t="str">
        <f>TEXT(DATE(LEFT(J876,4), MID(J876,5,2), RIGHT(J876,2)), "M/d/yyyy")</f>
        <v>12/1/2020</v>
      </c>
      <c r="L876" s="24" t="s">
        <v>197</v>
      </c>
      <c r="M876" s="26">
        <v>1</v>
      </c>
      <c r="N876" s="25">
        <v>15</v>
      </c>
      <c r="O876" s="27">
        <v>60</v>
      </c>
      <c r="P876" s="22" t="s">
        <v>3843</v>
      </c>
    </row>
    <row r="877" spans="1:16" s="22" customFormat="1" ht="15" customHeight="1" x14ac:dyDescent="0.2">
      <c r="A877" s="22" t="s">
        <v>3783</v>
      </c>
      <c r="B877" s="22">
        <v>19645587</v>
      </c>
      <c r="C877" s="23">
        <v>1</v>
      </c>
      <c r="D877" s="23">
        <v>921761683</v>
      </c>
      <c r="E877" s="23">
        <v>921761683</v>
      </c>
      <c r="F877" s="24" t="s">
        <v>1281</v>
      </c>
      <c r="G877" s="23">
        <v>0</v>
      </c>
      <c r="H877" s="23">
        <v>20250301</v>
      </c>
      <c r="I877" s="23" t="str">
        <f>TEXT(DATE(LEFT(H877,4), MID(H877,5,2), RIGHT(H877,2)), "M/d/yyyy")</f>
        <v>3/1/2025</v>
      </c>
      <c r="J877" s="25">
        <v>20250101</v>
      </c>
      <c r="K877" s="23" t="str">
        <f>TEXT(DATE(LEFT(J877,4), MID(J877,5,2), RIGHT(J877,2)), "M/d/yyyy")</f>
        <v>1/1/2025</v>
      </c>
      <c r="L877" s="24" t="s">
        <v>197</v>
      </c>
      <c r="M877" s="26">
        <v>1</v>
      </c>
      <c r="N877" s="25">
        <v>20</v>
      </c>
      <c r="O877" s="27">
        <v>20</v>
      </c>
      <c r="P877" s="22" t="s">
        <v>3843</v>
      </c>
    </row>
    <row r="878" spans="1:16" s="22" customFormat="1" ht="15" customHeight="1" x14ac:dyDescent="0.2">
      <c r="A878" s="22" t="s">
        <v>3794</v>
      </c>
      <c r="B878" s="22">
        <v>17126004</v>
      </c>
      <c r="C878" s="23">
        <v>1</v>
      </c>
      <c r="D878" s="23">
        <v>921771955</v>
      </c>
      <c r="E878" s="23">
        <v>921771955</v>
      </c>
      <c r="F878" s="24" t="s">
        <v>2704</v>
      </c>
      <c r="G878" s="23">
        <v>0</v>
      </c>
      <c r="H878" s="23">
        <v>20250301</v>
      </c>
      <c r="I878" s="23" t="str">
        <f>TEXT(DATE(LEFT(H878,4), MID(H878,5,2), RIGHT(H878,2)), "M/d/yyyy")</f>
        <v>3/1/2025</v>
      </c>
      <c r="J878" s="25">
        <v>20250201</v>
      </c>
      <c r="K878" s="23" t="str">
        <f>TEXT(DATE(LEFT(J878,4), MID(J878,5,2), RIGHT(J878,2)), "M/d/yyyy")</f>
        <v>2/1/2025</v>
      </c>
      <c r="L878" s="24" t="s">
        <v>197</v>
      </c>
      <c r="M878" s="26">
        <v>1</v>
      </c>
      <c r="N878" s="25">
        <v>20</v>
      </c>
      <c r="O878" s="27">
        <v>20</v>
      </c>
      <c r="P878" s="22" t="s">
        <v>3843</v>
      </c>
    </row>
    <row r="879" spans="1:16" s="22" customFormat="1" ht="15" customHeight="1" x14ac:dyDescent="0.2">
      <c r="A879" s="22" t="s">
        <v>3794</v>
      </c>
      <c r="B879" s="22">
        <v>17126004</v>
      </c>
      <c r="C879" s="23">
        <v>2</v>
      </c>
      <c r="D879" s="23">
        <v>921754814</v>
      </c>
      <c r="E879" s="23">
        <v>921754814</v>
      </c>
      <c r="F879" s="24" t="s">
        <v>2700</v>
      </c>
      <c r="G879" s="23">
        <v>0</v>
      </c>
      <c r="H879" s="23">
        <v>20250301</v>
      </c>
      <c r="I879" s="23" t="str">
        <f>TEXT(DATE(LEFT(H879,4), MID(H879,5,2), RIGHT(H879,2)), "M/d/yyyy")</f>
        <v>3/1/2025</v>
      </c>
      <c r="J879" s="25">
        <v>20250101</v>
      </c>
      <c r="K879" s="23" t="str">
        <f>TEXT(DATE(LEFT(J879,4), MID(J879,5,2), RIGHT(J879,2)), "M/d/yyyy")</f>
        <v>1/1/2025</v>
      </c>
      <c r="L879" s="24" t="s">
        <v>197</v>
      </c>
      <c r="M879" s="26">
        <v>1</v>
      </c>
      <c r="N879" s="25">
        <v>20</v>
      </c>
      <c r="O879" s="27">
        <v>40</v>
      </c>
      <c r="P879" s="22" t="s">
        <v>3843</v>
      </c>
    </row>
    <row r="880" spans="1:16" s="22" customFormat="1" ht="15" customHeight="1" x14ac:dyDescent="0.2">
      <c r="A880" s="22" t="s">
        <v>3817</v>
      </c>
      <c r="B880" s="22">
        <v>20098658</v>
      </c>
      <c r="C880" s="23">
        <v>1</v>
      </c>
      <c r="D880" s="23">
        <v>920796493</v>
      </c>
      <c r="E880" s="23">
        <v>920796493</v>
      </c>
      <c r="F880" s="24" t="s">
        <v>3492</v>
      </c>
      <c r="G880" s="23">
        <v>0</v>
      </c>
      <c r="H880" s="23">
        <v>20250301</v>
      </c>
      <c r="I880" s="23" t="str">
        <f>TEXT(DATE(LEFT(H880,4), MID(H880,5,2), RIGHT(H880,2)), "M/d/yyyy")</f>
        <v>3/1/2025</v>
      </c>
      <c r="J880" s="25">
        <v>20250101</v>
      </c>
      <c r="K880" s="23" t="str">
        <f>TEXT(DATE(LEFT(J880,4), MID(J880,5,2), RIGHT(J880,2)), "M/d/yyyy")</f>
        <v>1/1/2025</v>
      </c>
      <c r="L880" s="24" t="s">
        <v>197</v>
      </c>
      <c r="M880" s="26">
        <v>1</v>
      </c>
      <c r="N880" s="25">
        <v>20</v>
      </c>
      <c r="O880" s="27">
        <v>20</v>
      </c>
      <c r="P880" s="22" t="s">
        <v>3843</v>
      </c>
    </row>
    <row r="881" spans="1:16" s="22" customFormat="1" ht="15" customHeight="1" x14ac:dyDescent="0.2">
      <c r="A881" s="22" t="s">
        <v>3780</v>
      </c>
      <c r="B881" s="22">
        <v>18581063</v>
      </c>
      <c r="C881" s="23">
        <v>4</v>
      </c>
      <c r="D881" s="23">
        <v>921774098</v>
      </c>
      <c r="E881" s="23">
        <v>921774098</v>
      </c>
      <c r="F881" s="24" t="s">
        <v>659</v>
      </c>
      <c r="G881" s="23">
        <v>0</v>
      </c>
      <c r="H881" s="23">
        <v>20250301</v>
      </c>
      <c r="I881" s="23" t="str">
        <f>TEXT(DATE(LEFT(H881,4), MID(H881,5,2), RIGHT(H881,2)), "M/d/yyyy")</f>
        <v>3/1/2025</v>
      </c>
      <c r="J881" s="25">
        <v>20250201</v>
      </c>
      <c r="K881" s="23" t="str">
        <f>TEXT(DATE(LEFT(J881,4), MID(J881,5,2), RIGHT(J881,2)), "M/d/yyyy")</f>
        <v>2/1/2025</v>
      </c>
      <c r="L881" s="24" t="s">
        <v>197</v>
      </c>
      <c r="M881" s="26">
        <v>1</v>
      </c>
      <c r="N881" s="25">
        <v>20</v>
      </c>
      <c r="O881" s="27">
        <v>80</v>
      </c>
      <c r="P881" s="22" t="s">
        <v>3843</v>
      </c>
    </row>
    <row r="882" spans="1:16" s="22" customFormat="1" ht="15" customHeight="1" x14ac:dyDescent="0.2">
      <c r="A882" s="22" t="s">
        <v>3804</v>
      </c>
      <c r="B882" s="22">
        <v>20490188</v>
      </c>
      <c r="C882" s="23">
        <v>1</v>
      </c>
      <c r="D882" s="23">
        <v>921769734</v>
      </c>
      <c r="E882" s="23">
        <v>921769734</v>
      </c>
      <c r="F882" s="24" t="s">
        <v>3125</v>
      </c>
      <c r="G882" s="23">
        <v>0</v>
      </c>
      <c r="H882" s="23">
        <v>20250301</v>
      </c>
      <c r="I882" s="23" t="str">
        <f>TEXT(DATE(LEFT(H882,4), MID(H882,5,2), RIGHT(H882,2)), "M/d/yyyy")</f>
        <v>3/1/2025</v>
      </c>
      <c r="J882" s="25">
        <v>20250201</v>
      </c>
      <c r="K882" s="23" t="str">
        <f>TEXT(DATE(LEFT(J882,4), MID(J882,5,2), RIGHT(J882,2)), "M/d/yyyy")</f>
        <v>2/1/2025</v>
      </c>
      <c r="L882" s="24" t="s">
        <v>197</v>
      </c>
      <c r="M882" s="26">
        <v>1</v>
      </c>
      <c r="N882" s="25">
        <v>20</v>
      </c>
      <c r="O882" s="27">
        <v>20</v>
      </c>
      <c r="P882" s="22" t="s">
        <v>3843</v>
      </c>
    </row>
    <row r="883" spans="1:16" s="22" customFormat="1" ht="15" customHeight="1" x14ac:dyDescent="0.2">
      <c r="A883" s="22" t="s">
        <v>3813</v>
      </c>
      <c r="B883" s="22">
        <v>21283956</v>
      </c>
      <c r="C883" s="23">
        <v>1</v>
      </c>
      <c r="D883" s="23">
        <v>921617380</v>
      </c>
      <c r="E883" s="23">
        <v>921617380</v>
      </c>
      <c r="F883" s="24" t="s">
        <v>3415</v>
      </c>
      <c r="G883" s="23">
        <v>0</v>
      </c>
      <c r="H883" s="23">
        <v>20250301</v>
      </c>
      <c r="I883" s="23" t="str">
        <f>TEXT(DATE(LEFT(H883,4), MID(H883,5,2), RIGHT(H883,2)), "M/d/yyyy")</f>
        <v>3/1/2025</v>
      </c>
      <c r="J883" s="25">
        <v>20220701</v>
      </c>
      <c r="K883" s="23" t="str">
        <f>TEXT(DATE(LEFT(J883,4), MID(J883,5,2), RIGHT(J883,2)), "M/d/yyyy")</f>
        <v>7/1/2022</v>
      </c>
      <c r="L883" s="24" t="s">
        <v>197</v>
      </c>
      <c r="M883" s="26">
        <v>1</v>
      </c>
      <c r="N883" s="25">
        <v>15</v>
      </c>
      <c r="O883" s="27">
        <v>15</v>
      </c>
      <c r="P883" s="22" t="s">
        <v>3843</v>
      </c>
    </row>
    <row r="884" spans="1:16" s="22" customFormat="1" ht="15" customHeight="1" x14ac:dyDescent="0.2">
      <c r="A884" s="22" t="s">
        <v>3813</v>
      </c>
      <c r="B884" s="22">
        <v>21283956</v>
      </c>
      <c r="C884" s="23">
        <v>1</v>
      </c>
      <c r="D884" s="23">
        <v>921743474</v>
      </c>
      <c r="E884" s="23">
        <v>921743474</v>
      </c>
      <c r="F884" s="24" t="s">
        <v>3423</v>
      </c>
      <c r="G884" s="23">
        <v>0</v>
      </c>
      <c r="H884" s="23">
        <v>20250301</v>
      </c>
      <c r="I884" s="23" t="str">
        <f>TEXT(DATE(LEFT(H884,4), MID(H884,5,2), RIGHT(H884,2)), "M/d/yyyy")</f>
        <v>3/1/2025</v>
      </c>
      <c r="J884" s="25">
        <v>20241101</v>
      </c>
      <c r="K884" s="23" t="str">
        <f>TEXT(DATE(LEFT(J884,4), MID(J884,5,2), RIGHT(J884,2)), "M/d/yyyy")</f>
        <v>11/1/2024</v>
      </c>
      <c r="L884" s="24" t="s">
        <v>197</v>
      </c>
      <c r="M884" s="26">
        <v>1</v>
      </c>
      <c r="N884" s="25">
        <v>20</v>
      </c>
      <c r="O884" s="27">
        <v>20</v>
      </c>
      <c r="P884" s="22" t="s">
        <v>3843</v>
      </c>
    </row>
    <row r="885" spans="1:16" s="22" customFormat="1" ht="15" customHeight="1" x14ac:dyDescent="0.2">
      <c r="A885" s="22" t="s">
        <v>3813</v>
      </c>
      <c r="B885" s="22">
        <v>21283956</v>
      </c>
      <c r="C885" s="23">
        <v>1</v>
      </c>
      <c r="D885" s="23">
        <v>921765929</v>
      </c>
      <c r="E885" s="23">
        <v>921765929</v>
      </c>
      <c r="F885" s="24" t="s">
        <v>3429</v>
      </c>
      <c r="G885" s="23">
        <v>0</v>
      </c>
      <c r="H885" s="23">
        <v>20250301</v>
      </c>
      <c r="I885" s="23" t="str">
        <f>TEXT(DATE(LEFT(H885,4), MID(H885,5,2), RIGHT(H885,2)), "M/d/yyyy")</f>
        <v>3/1/2025</v>
      </c>
      <c r="J885" s="25">
        <v>20250101</v>
      </c>
      <c r="K885" s="23" t="str">
        <f>TEXT(DATE(LEFT(J885,4), MID(J885,5,2), RIGHT(J885,2)), "M/d/yyyy")</f>
        <v>1/1/2025</v>
      </c>
      <c r="L885" s="24" t="s">
        <v>197</v>
      </c>
      <c r="M885" s="26">
        <v>1</v>
      </c>
      <c r="N885" s="25">
        <v>20</v>
      </c>
      <c r="O885" s="27">
        <v>20</v>
      </c>
      <c r="P885" s="22" t="s">
        <v>3843</v>
      </c>
    </row>
    <row r="886" spans="1:16" s="22" customFormat="1" ht="15" customHeight="1" x14ac:dyDescent="0.2">
      <c r="A886" s="22" t="s">
        <v>3792</v>
      </c>
      <c r="B886" s="22">
        <v>16912722</v>
      </c>
      <c r="C886" s="23">
        <v>1</v>
      </c>
      <c r="D886" s="23">
        <v>921637697</v>
      </c>
      <c r="E886" s="23">
        <v>921637697</v>
      </c>
      <c r="F886" s="24" t="s">
        <v>2522</v>
      </c>
      <c r="G886" s="23">
        <v>0</v>
      </c>
      <c r="H886" s="23">
        <v>20250301</v>
      </c>
      <c r="I886" s="23" t="str">
        <f>TEXT(DATE(LEFT(H886,4), MID(H886,5,2), RIGHT(H886,2)), "M/d/yyyy")</f>
        <v>3/1/2025</v>
      </c>
      <c r="J886" s="25">
        <v>20230101</v>
      </c>
      <c r="K886" s="23" t="str">
        <f>TEXT(DATE(LEFT(J886,4), MID(J886,5,2), RIGHT(J886,2)), "M/d/yyyy")</f>
        <v>1/1/2023</v>
      </c>
      <c r="L886" s="24" t="s">
        <v>60</v>
      </c>
      <c r="M886" s="26">
        <v>1</v>
      </c>
      <c r="N886" s="25">
        <v>25</v>
      </c>
      <c r="O886" s="27">
        <v>25</v>
      </c>
      <c r="P886" s="22" t="s">
        <v>3833</v>
      </c>
    </row>
    <row r="887" spans="1:16" s="22" customFormat="1" ht="15" customHeight="1" x14ac:dyDescent="0.2">
      <c r="A887" s="22" t="s">
        <v>3792</v>
      </c>
      <c r="B887" s="22">
        <v>16912722</v>
      </c>
      <c r="C887" s="23">
        <v>1</v>
      </c>
      <c r="D887" s="23">
        <v>921751940</v>
      </c>
      <c r="E887" s="23">
        <v>921751940</v>
      </c>
      <c r="F887" s="24" t="s">
        <v>2532</v>
      </c>
      <c r="G887" s="23">
        <v>0</v>
      </c>
      <c r="H887" s="23">
        <v>20250301</v>
      </c>
      <c r="I887" s="23" t="str">
        <f>TEXT(DATE(LEFT(H887,4), MID(H887,5,2), RIGHT(H887,2)), "M/d/yyyy")</f>
        <v>3/1/2025</v>
      </c>
      <c r="J887" s="25">
        <v>20250101</v>
      </c>
      <c r="K887" s="23" t="str">
        <f>TEXT(DATE(LEFT(J887,4), MID(J887,5,2), RIGHT(J887,2)), "M/d/yyyy")</f>
        <v>1/1/2025</v>
      </c>
      <c r="L887" s="24" t="s">
        <v>60</v>
      </c>
      <c r="M887" s="26">
        <v>1</v>
      </c>
      <c r="N887" s="25">
        <v>30</v>
      </c>
      <c r="O887" s="27">
        <v>30</v>
      </c>
      <c r="P887" s="22" t="s">
        <v>3833</v>
      </c>
    </row>
    <row r="888" spans="1:16" s="22" customFormat="1" ht="15" customHeight="1" x14ac:dyDescent="0.2">
      <c r="A888" s="22" t="s">
        <v>3782</v>
      </c>
      <c r="B888" s="22">
        <v>7470776</v>
      </c>
      <c r="C888" s="23">
        <v>1</v>
      </c>
      <c r="D888" s="23">
        <v>920832176</v>
      </c>
      <c r="E888" s="23">
        <v>920832176</v>
      </c>
      <c r="F888" s="24" t="s">
        <v>999</v>
      </c>
      <c r="G888" s="23">
        <v>0</v>
      </c>
      <c r="H888" s="23">
        <v>20250301</v>
      </c>
      <c r="I888" s="23" t="str">
        <f>TEXT(DATE(LEFT(H888,4), MID(H888,5,2), RIGHT(H888,2)), "M/d/yyyy")</f>
        <v>3/1/2025</v>
      </c>
      <c r="J888" s="25">
        <v>20220101</v>
      </c>
      <c r="K888" s="23" t="str">
        <f>TEXT(DATE(LEFT(J888,4), MID(J888,5,2), RIGHT(J888,2)), "M/d/yyyy")</f>
        <v>1/1/2022</v>
      </c>
      <c r="L888" s="24" t="s">
        <v>60</v>
      </c>
      <c r="M888" s="26">
        <v>1</v>
      </c>
      <c r="N888" s="25">
        <v>25</v>
      </c>
      <c r="O888" s="27">
        <v>25</v>
      </c>
      <c r="P888" s="22" t="s">
        <v>3833</v>
      </c>
    </row>
    <row r="889" spans="1:16" s="22" customFormat="1" ht="15" customHeight="1" x14ac:dyDescent="0.2">
      <c r="A889" s="22" t="s">
        <v>3782</v>
      </c>
      <c r="B889" s="22">
        <v>7470776</v>
      </c>
      <c r="C889" s="23">
        <v>1</v>
      </c>
      <c r="D889" s="23">
        <v>921014166</v>
      </c>
      <c r="E889" s="23">
        <v>921014166</v>
      </c>
      <c r="F889" s="24" t="s">
        <v>1011</v>
      </c>
      <c r="G889" s="23">
        <v>0</v>
      </c>
      <c r="H889" s="23">
        <v>20250301</v>
      </c>
      <c r="I889" s="23" t="str">
        <f>TEXT(DATE(LEFT(H889,4), MID(H889,5,2), RIGHT(H889,2)), "M/d/yyyy")</f>
        <v>3/1/2025</v>
      </c>
      <c r="J889" s="25">
        <v>20170101</v>
      </c>
      <c r="K889" s="23" t="str">
        <f>TEXT(DATE(LEFT(J889,4), MID(J889,5,2), RIGHT(J889,2)), "M/d/yyyy")</f>
        <v>1/1/2017</v>
      </c>
      <c r="L889" s="24" t="s">
        <v>60</v>
      </c>
      <c r="M889" s="26">
        <v>1</v>
      </c>
      <c r="N889" s="25">
        <v>25</v>
      </c>
      <c r="O889" s="27">
        <v>25</v>
      </c>
      <c r="P889" s="22" t="s">
        <v>3833</v>
      </c>
    </row>
    <row r="890" spans="1:16" s="22" customFormat="1" ht="15" customHeight="1" x14ac:dyDescent="0.2">
      <c r="A890" s="22" t="s">
        <v>3782</v>
      </c>
      <c r="B890" s="22">
        <v>7470776</v>
      </c>
      <c r="C890" s="23">
        <v>1</v>
      </c>
      <c r="D890" s="23">
        <v>921033394</v>
      </c>
      <c r="E890" s="23">
        <v>921033394</v>
      </c>
      <c r="F890" s="24" t="s">
        <v>1020</v>
      </c>
      <c r="G890" s="23">
        <v>0</v>
      </c>
      <c r="H890" s="23">
        <v>20250301</v>
      </c>
      <c r="I890" s="23" t="str">
        <f>TEXT(DATE(LEFT(H890,4), MID(H890,5,2), RIGHT(H890,2)), "M/d/yyyy")</f>
        <v>3/1/2025</v>
      </c>
      <c r="J890" s="25">
        <v>20230201</v>
      </c>
      <c r="K890" s="23" t="str">
        <f>TEXT(DATE(LEFT(J890,4), MID(J890,5,2), RIGHT(J890,2)), "M/d/yyyy")</f>
        <v>2/1/2023</v>
      </c>
      <c r="L890" s="24" t="s">
        <v>60</v>
      </c>
      <c r="M890" s="26">
        <v>1</v>
      </c>
      <c r="N890" s="25">
        <v>25</v>
      </c>
      <c r="O890" s="27">
        <v>25</v>
      </c>
      <c r="P890" s="22" t="s">
        <v>3833</v>
      </c>
    </row>
    <row r="891" spans="1:16" s="22" customFormat="1" ht="15" customHeight="1" x14ac:dyDescent="0.2">
      <c r="A891" s="22" t="s">
        <v>3782</v>
      </c>
      <c r="B891" s="22">
        <v>7470776</v>
      </c>
      <c r="C891" s="23">
        <v>1</v>
      </c>
      <c r="D891" s="23">
        <v>921434825</v>
      </c>
      <c r="E891" s="23">
        <v>921434825</v>
      </c>
      <c r="F891" s="24" t="s">
        <v>1067</v>
      </c>
      <c r="G891" s="23">
        <v>0</v>
      </c>
      <c r="H891" s="23">
        <v>20250301</v>
      </c>
      <c r="I891" s="23" t="str">
        <f>TEXT(DATE(LEFT(H891,4), MID(H891,5,2), RIGHT(H891,2)), "M/d/yyyy")</f>
        <v>3/1/2025</v>
      </c>
      <c r="J891" s="25">
        <v>20190101</v>
      </c>
      <c r="K891" s="23" t="str">
        <f>TEXT(DATE(LEFT(J891,4), MID(J891,5,2), RIGHT(J891,2)), "M/d/yyyy")</f>
        <v>1/1/2019</v>
      </c>
      <c r="L891" s="24" t="s">
        <v>60</v>
      </c>
      <c r="M891" s="26">
        <v>1</v>
      </c>
      <c r="N891" s="25">
        <v>25</v>
      </c>
      <c r="O891" s="27">
        <v>25</v>
      </c>
      <c r="P891" s="22" t="s">
        <v>3833</v>
      </c>
    </row>
    <row r="892" spans="1:16" s="22" customFormat="1" ht="15" customHeight="1" x14ac:dyDescent="0.2">
      <c r="A892" s="22" t="s">
        <v>3782</v>
      </c>
      <c r="B892" s="22">
        <v>7470776</v>
      </c>
      <c r="C892" s="23">
        <v>1</v>
      </c>
      <c r="D892" s="23">
        <v>921586372</v>
      </c>
      <c r="E892" s="23">
        <v>921586372</v>
      </c>
      <c r="F892" s="24" t="s">
        <v>1091</v>
      </c>
      <c r="G892" s="23">
        <v>0</v>
      </c>
      <c r="H892" s="23">
        <v>20250301</v>
      </c>
      <c r="I892" s="23" t="str">
        <f>TEXT(DATE(LEFT(H892,4), MID(H892,5,2), RIGHT(H892,2)), "M/d/yyyy")</f>
        <v>3/1/2025</v>
      </c>
      <c r="J892" s="25">
        <v>20211101</v>
      </c>
      <c r="K892" s="23" t="str">
        <f>TEXT(DATE(LEFT(J892,4), MID(J892,5,2), RIGHT(J892,2)), "M/d/yyyy")</f>
        <v>11/1/2021</v>
      </c>
      <c r="L892" s="24" t="s">
        <v>60</v>
      </c>
      <c r="M892" s="26">
        <v>1</v>
      </c>
      <c r="N892" s="25">
        <v>25</v>
      </c>
      <c r="O892" s="27">
        <v>25</v>
      </c>
      <c r="P892" s="22" t="s">
        <v>3833</v>
      </c>
    </row>
    <row r="893" spans="1:16" s="22" customFormat="1" ht="15" customHeight="1" x14ac:dyDescent="0.2">
      <c r="A893" s="22" t="s">
        <v>3782</v>
      </c>
      <c r="B893" s="22">
        <v>7470776</v>
      </c>
      <c r="C893" s="23">
        <v>1</v>
      </c>
      <c r="D893" s="23">
        <v>921626899</v>
      </c>
      <c r="E893" s="23">
        <v>921626899</v>
      </c>
      <c r="F893" s="24" t="s">
        <v>1121</v>
      </c>
      <c r="G893" s="23">
        <v>0</v>
      </c>
      <c r="H893" s="23">
        <v>20250301</v>
      </c>
      <c r="I893" s="23" t="str">
        <f>TEXT(DATE(LEFT(H893,4), MID(H893,5,2), RIGHT(H893,2)), "M/d/yyyy")</f>
        <v>3/1/2025</v>
      </c>
      <c r="J893" s="25">
        <v>20230101</v>
      </c>
      <c r="K893" s="23" t="str">
        <f>TEXT(DATE(LEFT(J893,4), MID(J893,5,2), RIGHT(J893,2)), "M/d/yyyy")</f>
        <v>1/1/2023</v>
      </c>
      <c r="L893" s="24" t="s">
        <v>60</v>
      </c>
      <c r="M893" s="26">
        <v>1</v>
      </c>
      <c r="N893" s="25">
        <v>25</v>
      </c>
      <c r="O893" s="27">
        <v>25</v>
      </c>
      <c r="P893" s="22" t="s">
        <v>3833</v>
      </c>
    </row>
    <row r="894" spans="1:16" s="22" customFormat="1" ht="15" customHeight="1" x14ac:dyDescent="0.2">
      <c r="A894" s="22" t="s">
        <v>3782</v>
      </c>
      <c r="B894" s="22">
        <v>7470776</v>
      </c>
      <c r="C894" s="23">
        <v>1</v>
      </c>
      <c r="D894" s="23">
        <v>921678630</v>
      </c>
      <c r="E894" s="23">
        <v>921678630</v>
      </c>
      <c r="F894" s="24" t="s">
        <v>1141</v>
      </c>
      <c r="G894" s="23">
        <v>0</v>
      </c>
      <c r="H894" s="23">
        <v>20250301</v>
      </c>
      <c r="I894" s="23" t="str">
        <f>TEXT(DATE(LEFT(H894,4), MID(H894,5,2), RIGHT(H894,2)), "M/d/yyyy")</f>
        <v>3/1/2025</v>
      </c>
      <c r="J894" s="25">
        <v>20240101</v>
      </c>
      <c r="K894" s="23" t="str">
        <f>TEXT(DATE(LEFT(J894,4), MID(J894,5,2), RIGHT(J894,2)), "M/d/yyyy")</f>
        <v>1/1/2024</v>
      </c>
      <c r="L894" s="24" t="s">
        <v>60</v>
      </c>
      <c r="M894" s="26">
        <v>1</v>
      </c>
      <c r="N894" s="25">
        <v>25</v>
      </c>
      <c r="O894" s="27">
        <v>25</v>
      </c>
      <c r="P894" s="22" t="s">
        <v>3833</v>
      </c>
    </row>
    <row r="895" spans="1:16" s="22" customFormat="1" ht="15" customHeight="1" x14ac:dyDescent="0.2">
      <c r="A895" s="22" t="s">
        <v>3782</v>
      </c>
      <c r="B895" s="22">
        <v>7470776</v>
      </c>
      <c r="C895" s="23">
        <v>1</v>
      </c>
      <c r="D895" s="23">
        <v>921688344</v>
      </c>
      <c r="E895" s="23">
        <v>921688344</v>
      </c>
      <c r="F895" s="24" t="s">
        <v>1153</v>
      </c>
      <c r="G895" s="23">
        <v>0</v>
      </c>
      <c r="H895" s="23">
        <v>20250301</v>
      </c>
      <c r="I895" s="23" t="str">
        <f>TEXT(DATE(LEFT(H895,4), MID(H895,5,2), RIGHT(H895,2)), "M/d/yyyy")</f>
        <v>3/1/2025</v>
      </c>
      <c r="J895" s="25">
        <v>20240101</v>
      </c>
      <c r="K895" s="23" t="str">
        <f>TEXT(DATE(LEFT(J895,4), MID(J895,5,2), RIGHT(J895,2)), "M/d/yyyy")</f>
        <v>1/1/2024</v>
      </c>
      <c r="L895" s="24" t="s">
        <v>60</v>
      </c>
      <c r="M895" s="26">
        <v>1</v>
      </c>
      <c r="N895" s="25">
        <v>25</v>
      </c>
      <c r="O895" s="27">
        <v>25</v>
      </c>
      <c r="P895" s="22" t="s">
        <v>3833</v>
      </c>
    </row>
    <row r="896" spans="1:16" s="22" customFormat="1" ht="15" customHeight="1" x14ac:dyDescent="0.2">
      <c r="A896" s="22" t="s">
        <v>3782</v>
      </c>
      <c r="B896" s="22">
        <v>7470776</v>
      </c>
      <c r="C896" s="23">
        <v>1</v>
      </c>
      <c r="D896" s="23">
        <v>890198388</v>
      </c>
      <c r="E896" s="23">
        <v>890198388</v>
      </c>
      <c r="F896" s="24" t="s">
        <v>970</v>
      </c>
      <c r="G896" s="23">
        <v>0</v>
      </c>
      <c r="H896" s="23">
        <v>20250301</v>
      </c>
      <c r="I896" s="23" t="str">
        <f>TEXT(DATE(LEFT(H896,4), MID(H896,5,2), RIGHT(H896,2)), "M/d/yyyy")</f>
        <v>3/1/2025</v>
      </c>
      <c r="J896" s="25">
        <v>20250101</v>
      </c>
      <c r="K896" s="23" t="str">
        <f>TEXT(DATE(LEFT(J896,4), MID(J896,5,2), RIGHT(J896,2)), "M/d/yyyy")</f>
        <v>1/1/2025</v>
      </c>
      <c r="L896" s="24" t="s">
        <v>60</v>
      </c>
      <c r="M896" s="26">
        <v>1</v>
      </c>
      <c r="N896" s="25">
        <v>30</v>
      </c>
      <c r="O896" s="27">
        <v>30</v>
      </c>
      <c r="P896" s="22" t="s">
        <v>3833</v>
      </c>
    </row>
    <row r="897" spans="1:16" s="22" customFormat="1" ht="15" customHeight="1" x14ac:dyDescent="0.2">
      <c r="A897" s="22" t="s">
        <v>3782</v>
      </c>
      <c r="B897" s="22">
        <v>7470776</v>
      </c>
      <c r="C897" s="23">
        <v>1</v>
      </c>
      <c r="D897" s="23">
        <v>921063478</v>
      </c>
      <c r="E897" s="23">
        <v>921063478</v>
      </c>
      <c r="F897" s="24" t="s">
        <v>1028</v>
      </c>
      <c r="G897" s="23">
        <v>0</v>
      </c>
      <c r="H897" s="23">
        <v>20250301</v>
      </c>
      <c r="I897" s="23" t="str">
        <f>TEXT(DATE(LEFT(H897,4), MID(H897,5,2), RIGHT(H897,2)), "M/d/yyyy")</f>
        <v>3/1/2025</v>
      </c>
      <c r="J897" s="25">
        <v>20250201</v>
      </c>
      <c r="K897" s="23" t="str">
        <f>TEXT(DATE(LEFT(J897,4), MID(J897,5,2), RIGHT(J897,2)), "M/d/yyyy")</f>
        <v>2/1/2025</v>
      </c>
      <c r="L897" s="24" t="s">
        <v>60</v>
      </c>
      <c r="M897" s="26">
        <v>1</v>
      </c>
      <c r="N897" s="25">
        <v>30</v>
      </c>
      <c r="O897" s="27">
        <v>30</v>
      </c>
      <c r="P897" s="22" t="s">
        <v>3833</v>
      </c>
    </row>
    <row r="898" spans="1:16" s="22" customFormat="1" ht="15" customHeight="1" x14ac:dyDescent="0.2">
      <c r="A898" s="22" t="s">
        <v>3782</v>
      </c>
      <c r="B898" s="22">
        <v>7470776</v>
      </c>
      <c r="C898" s="23">
        <v>1</v>
      </c>
      <c r="D898" s="23">
        <v>921334668</v>
      </c>
      <c r="E898" s="23">
        <v>921334668</v>
      </c>
      <c r="F898" s="24" t="s">
        <v>1048</v>
      </c>
      <c r="G898" s="23">
        <v>0</v>
      </c>
      <c r="H898" s="23">
        <v>20250301</v>
      </c>
      <c r="I898" s="23" t="str">
        <f>TEXT(DATE(LEFT(H898,4), MID(H898,5,2), RIGHT(H898,2)), "M/d/yyyy")</f>
        <v>3/1/2025</v>
      </c>
      <c r="J898" s="25">
        <v>20250101</v>
      </c>
      <c r="K898" s="23" t="str">
        <f>TEXT(DATE(LEFT(J898,4), MID(J898,5,2), RIGHT(J898,2)), "M/d/yyyy")</f>
        <v>1/1/2025</v>
      </c>
      <c r="L898" s="24" t="s">
        <v>60</v>
      </c>
      <c r="M898" s="26">
        <v>1</v>
      </c>
      <c r="N898" s="25">
        <v>30</v>
      </c>
      <c r="O898" s="27">
        <v>30</v>
      </c>
      <c r="P898" s="22" t="s">
        <v>3833</v>
      </c>
    </row>
    <row r="899" spans="1:16" s="22" customFormat="1" ht="15" customHeight="1" x14ac:dyDescent="0.2">
      <c r="A899" s="22" t="s">
        <v>3782</v>
      </c>
      <c r="B899" s="22">
        <v>7470776</v>
      </c>
      <c r="C899" s="23">
        <v>1</v>
      </c>
      <c r="D899" s="23">
        <v>921428727</v>
      </c>
      <c r="E899" s="23">
        <v>921428727</v>
      </c>
      <c r="F899" s="24" t="s">
        <v>1065</v>
      </c>
      <c r="G899" s="23">
        <v>0</v>
      </c>
      <c r="H899" s="23">
        <v>20250301</v>
      </c>
      <c r="I899" s="23" t="str">
        <f>TEXT(DATE(LEFT(H899,4), MID(H899,5,2), RIGHT(H899,2)), "M/d/yyyy")</f>
        <v>3/1/2025</v>
      </c>
      <c r="J899" s="25">
        <v>20250101</v>
      </c>
      <c r="K899" s="23" t="str">
        <f>TEXT(DATE(LEFT(J899,4), MID(J899,5,2), RIGHT(J899,2)), "M/d/yyyy")</f>
        <v>1/1/2025</v>
      </c>
      <c r="L899" s="24" t="s">
        <v>60</v>
      </c>
      <c r="M899" s="26">
        <v>1</v>
      </c>
      <c r="N899" s="25">
        <v>30</v>
      </c>
      <c r="O899" s="27">
        <v>30</v>
      </c>
      <c r="P899" s="22" t="s">
        <v>3833</v>
      </c>
    </row>
    <row r="900" spans="1:16" s="22" customFormat="1" ht="15" customHeight="1" x14ac:dyDescent="0.2">
      <c r="A900" s="22" t="s">
        <v>3782</v>
      </c>
      <c r="B900" s="22">
        <v>7470776</v>
      </c>
      <c r="C900" s="23">
        <v>1</v>
      </c>
      <c r="D900" s="23">
        <v>921455757</v>
      </c>
      <c r="E900" s="23">
        <v>921455757</v>
      </c>
      <c r="F900" s="24" t="s">
        <v>1069</v>
      </c>
      <c r="G900" s="23">
        <v>0</v>
      </c>
      <c r="H900" s="23">
        <v>20250301</v>
      </c>
      <c r="I900" s="23" t="str">
        <f>TEXT(DATE(LEFT(H900,4), MID(H900,5,2), RIGHT(H900,2)), "M/d/yyyy")</f>
        <v>3/1/2025</v>
      </c>
      <c r="J900" s="25">
        <v>20250101</v>
      </c>
      <c r="K900" s="23" t="str">
        <f>TEXT(DATE(LEFT(J900,4), MID(J900,5,2), RIGHT(J900,2)), "M/d/yyyy")</f>
        <v>1/1/2025</v>
      </c>
      <c r="L900" s="24" t="s">
        <v>60</v>
      </c>
      <c r="M900" s="26">
        <v>1</v>
      </c>
      <c r="N900" s="25">
        <v>30</v>
      </c>
      <c r="O900" s="27">
        <v>30</v>
      </c>
      <c r="P900" s="22" t="s">
        <v>3833</v>
      </c>
    </row>
    <row r="901" spans="1:16" s="22" customFormat="1" ht="15" customHeight="1" x14ac:dyDescent="0.2">
      <c r="A901" s="22" t="s">
        <v>3782</v>
      </c>
      <c r="B901" s="22">
        <v>7470776</v>
      </c>
      <c r="C901" s="23">
        <v>1</v>
      </c>
      <c r="D901" s="23">
        <v>921686195</v>
      </c>
      <c r="E901" s="23">
        <v>921686195</v>
      </c>
      <c r="F901" s="24" t="s">
        <v>1149</v>
      </c>
      <c r="G901" s="23">
        <v>0</v>
      </c>
      <c r="H901" s="23">
        <v>20250301</v>
      </c>
      <c r="I901" s="23" t="str">
        <f>TEXT(DATE(LEFT(H901,4), MID(H901,5,2), RIGHT(H901,2)), "M/d/yyyy")</f>
        <v>3/1/2025</v>
      </c>
      <c r="J901" s="25">
        <v>20241001</v>
      </c>
      <c r="K901" s="23" t="str">
        <f>TEXT(DATE(LEFT(J901,4), MID(J901,5,2), RIGHT(J901,2)), "M/d/yyyy")</f>
        <v>10/1/2024</v>
      </c>
      <c r="L901" s="24" t="s">
        <v>60</v>
      </c>
      <c r="M901" s="26">
        <v>1</v>
      </c>
      <c r="N901" s="25">
        <v>30</v>
      </c>
      <c r="O901" s="27">
        <v>30</v>
      </c>
      <c r="P901" s="22" t="s">
        <v>3833</v>
      </c>
    </row>
    <row r="902" spans="1:16" s="22" customFormat="1" ht="15" customHeight="1" x14ac:dyDescent="0.2">
      <c r="A902" s="22" t="s">
        <v>3782</v>
      </c>
      <c r="B902" s="22">
        <v>7470776</v>
      </c>
      <c r="C902" s="23">
        <v>1</v>
      </c>
      <c r="D902" s="23">
        <v>921709144</v>
      </c>
      <c r="E902" s="23">
        <v>921709144</v>
      </c>
      <c r="F902" s="24" t="s">
        <v>1163</v>
      </c>
      <c r="G902" s="23">
        <v>0</v>
      </c>
      <c r="H902" s="23">
        <v>20250301</v>
      </c>
      <c r="I902" s="23" t="str">
        <f>TEXT(DATE(LEFT(H902,4), MID(H902,5,2), RIGHT(H902,2)), "M/d/yyyy")</f>
        <v>3/1/2025</v>
      </c>
      <c r="J902" s="25">
        <v>20240301</v>
      </c>
      <c r="K902" s="23" t="str">
        <f>TEXT(DATE(LEFT(J902,4), MID(J902,5,2), RIGHT(J902,2)), "M/d/yyyy")</f>
        <v>3/1/2024</v>
      </c>
      <c r="L902" s="24" t="s">
        <v>60</v>
      </c>
      <c r="M902" s="26">
        <v>1</v>
      </c>
      <c r="N902" s="25">
        <v>30</v>
      </c>
      <c r="O902" s="27">
        <v>30</v>
      </c>
      <c r="P902" s="22" t="s">
        <v>3833</v>
      </c>
    </row>
    <row r="903" spans="1:16" s="22" customFormat="1" ht="15" customHeight="1" x14ac:dyDescent="0.2">
      <c r="A903" s="22" t="s">
        <v>3782</v>
      </c>
      <c r="B903" s="22">
        <v>7470776</v>
      </c>
      <c r="C903" s="23">
        <v>1</v>
      </c>
      <c r="D903" s="23">
        <v>921715869</v>
      </c>
      <c r="E903" s="23">
        <v>921715869</v>
      </c>
      <c r="F903" s="24" t="s">
        <v>1167</v>
      </c>
      <c r="G903" s="23">
        <v>0</v>
      </c>
      <c r="H903" s="23">
        <v>20250301</v>
      </c>
      <c r="I903" s="23" t="str">
        <f>TEXT(DATE(LEFT(H903,4), MID(H903,5,2), RIGHT(H903,2)), "M/d/yyyy")</f>
        <v>3/1/2025</v>
      </c>
      <c r="J903" s="25">
        <v>20240401</v>
      </c>
      <c r="K903" s="23" t="str">
        <f>TEXT(DATE(LEFT(J903,4), MID(J903,5,2), RIGHT(J903,2)), "M/d/yyyy")</f>
        <v>4/1/2024</v>
      </c>
      <c r="L903" s="24" t="s">
        <v>60</v>
      </c>
      <c r="M903" s="26">
        <v>1</v>
      </c>
      <c r="N903" s="25">
        <v>30</v>
      </c>
      <c r="O903" s="27">
        <v>30</v>
      </c>
      <c r="P903" s="22" t="s">
        <v>3833</v>
      </c>
    </row>
    <row r="904" spans="1:16" s="22" customFormat="1" ht="15" customHeight="1" x14ac:dyDescent="0.2">
      <c r="A904" s="22" t="s">
        <v>3782</v>
      </c>
      <c r="B904" s="22">
        <v>7470776</v>
      </c>
      <c r="C904" s="23">
        <v>1</v>
      </c>
      <c r="D904" s="23">
        <v>921721458</v>
      </c>
      <c r="E904" s="23">
        <v>921721458</v>
      </c>
      <c r="F904" s="24" t="s">
        <v>1175</v>
      </c>
      <c r="G904" s="23">
        <v>0</v>
      </c>
      <c r="H904" s="23">
        <v>20250201</v>
      </c>
      <c r="I904" s="23" t="str">
        <f>TEXT(DATE(LEFT(H904,4), MID(H904,5,2), RIGHT(H904,2)), "M/d/yyyy")</f>
        <v>2/1/2025</v>
      </c>
      <c r="J904" s="25">
        <v>20240501</v>
      </c>
      <c r="K904" s="23" t="str">
        <f>TEXT(DATE(LEFT(J904,4), MID(J904,5,2), RIGHT(J904,2)), "M/d/yyyy")</f>
        <v>5/1/2024</v>
      </c>
      <c r="L904" s="24" t="s">
        <v>60</v>
      </c>
      <c r="M904" s="26">
        <v>1</v>
      </c>
      <c r="N904" s="25">
        <v>30</v>
      </c>
      <c r="O904" s="27">
        <v>30</v>
      </c>
      <c r="P904" s="22" t="s">
        <v>3833</v>
      </c>
    </row>
    <row r="905" spans="1:16" s="22" customFormat="1" ht="15" customHeight="1" x14ac:dyDescent="0.2">
      <c r="A905" s="22" t="s">
        <v>3782</v>
      </c>
      <c r="B905" s="22">
        <v>7470776</v>
      </c>
      <c r="C905" s="23">
        <v>1</v>
      </c>
      <c r="D905" s="23">
        <v>921728029</v>
      </c>
      <c r="E905" s="23">
        <v>921728029</v>
      </c>
      <c r="F905" s="24" t="s">
        <v>1185</v>
      </c>
      <c r="G905" s="23">
        <v>0</v>
      </c>
      <c r="H905" s="23">
        <v>20250301</v>
      </c>
      <c r="I905" s="23" t="str">
        <f>TEXT(DATE(LEFT(H905,4), MID(H905,5,2), RIGHT(H905,2)), "M/d/yyyy")</f>
        <v>3/1/2025</v>
      </c>
      <c r="J905" s="25">
        <v>20240701</v>
      </c>
      <c r="K905" s="23" t="str">
        <f>TEXT(DATE(LEFT(J905,4), MID(J905,5,2), RIGHT(J905,2)), "M/d/yyyy")</f>
        <v>7/1/2024</v>
      </c>
      <c r="L905" s="24" t="s">
        <v>60</v>
      </c>
      <c r="M905" s="26">
        <v>1</v>
      </c>
      <c r="N905" s="25">
        <v>30</v>
      </c>
      <c r="O905" s="27">
        <v>30</v>
      </c>
      <c r="P905" s="22" t="s">
        <v>3833</v>
      </c>
    </row>
    <row r="906" spans="1:16" s="22" customFormat="1" ht="15" customHeight="1" x14ac:dyDescent="0.2">
      <c r="A906" s="22" t="s">
        <v>3782</v>
      </c>
      <c r="B906" s="22">
        <v>7470776</v>
      </c>
      <c r="C906" s="23">
        <v>1</v>
      </c>
      <c r="D906" s="23">
        <v>921731126</v>
      </c>
      <c r="E906" s="23">
        <v>921731126</v>
      </c>
      <c r="F906" s="24" t="s">
        <v>1193</v>
      </c>
      <c r="G906" s="23">
        <v>0</v>
      </c>
      <c r="H906" s="23">
        <v>20250301</v>
      </c>
      <c r="I906" s="23" t="str">
        <f>TEXT(DATE(LEFT(H906,4), MID(H906,5,2), RIGHT(H906,2)), "M/d/yyyy")</f>
        <v>3/1/2025</v>
      </c>
      <c r="J906" s="25">
        <v>20240801</v>
      </c>
      <c r="K906" s="23" t="str">
        <f>TEXT(DATE(LEFT(J906,4), MID(J906,5,2), RIGHT(J906,2)), "M/d/yyyy")</f>
        <v>8/1/2024</v>
      </c>
      <c r="L906" s="24" t="s">
        <v>60</v>
      </c>
      <c r="M906" s="26">
        <v>1</v>
      </c>
      <c r="N906" s="25">
        <v>30</v>
      </c>
      <c r="O906" s="27">
        <v>30</v>
      </c>
      <c r="P906" s="22" t="s">
        <v>3833</v>
      </c>
    </row>
    <row r="907" spans="1:16" s="22" customFormat="1" ht="15" customHeight="1" x14ac:dyDescent="0.2">
      <c r="A907" s="22" t="s">
        <v>3782</v>
      </c>
      <c r="B907" s="22">
        <v>7470776</v>
      </c>
      <c r="C907" s="23">
        <v>1</v>
      </c>
      <c r="D907" s="23">
        <v>921736838</v>
      </c>
      <c r="E907" s="23">
        <v>921736838</v>
      </c>
      <c r="F907" s="24" t="s">
        <v>1200</v>
      </c>
      <c r="G907" s="23">
        <v>0</v>
      </c>
      <c r="H907" s="23">
        <v>20250301</v>
      </c>
      <c r="I907" s="23" t="str">
        <f>TEXT(DATE(LEFT(H907,4), MID(H907,5,2), RIGHT(H907,2)), "M/d/yyyy")</f>
        <v>3/1/2025</v>
      </c>
      <c r="J907" s="25">
        <v>20240901</v>
      </c>
      <c r="K907" s="23" t="str">
        <f>TEXT(DATE(LEFT(J907,4), MID(J907,5,2), RIGHT(J907,2)), "M/d/yyyy")</f>
        <v>9/1/2024</v>
      </c>
      <c r="L907" s="24" t="s">
        <v>60</v>
      </c>
      <c r="M907" s="26">
        <v>1</v>
      </c>
      <c r="N907" s="25">
        <v>30</v>
      </c>
      <c r="O907" s="27">
        <v>30</v>
      </c>
      <c r="P907" s="22" t="s">
        <v>3833</v>
      </c>
    </row>
    <row r="908" spans="1:16" s="22" customFormat="1" ht="15" customHeight="1" x14ac:dyDescent="0.2">
      <c r="A908" s="22" t="s">
        <v>3782</v>
      </c>
      <c r="B908" s="22">
        <v>7470776</v>
      </c>
      <c r="C908" s="23">
        <v>1</v>
      </c>
      <c r="D908" s="23">
        <v>921740024</v>
      </c>
      <c r="E908" s="23">
        <v>921740024</v>
      </c>
      <c r="F908" s="24" t="s">
        <v>1208</v>
      </c>
      <c r="G908" s="23">
        <v>0</v>
      </c>
      <c r="H908" s="23">
        <v>20250301</v>
      </c>
      <c r="I908" s="23" t="str">
        <f>TEXT(DATE(LEFT(H908,4), MID(H908,5,2), RIGHT(H908,2)), "M/d/yyyy")</f>
        <v>3/1/2025</v>
      </c>
      <c r="J908" s="25">
        <v>20241001</v>
      </c>
      <c r="K908" s="23" t="str">
        <f>TEXT(DATE(LEFT(J908,4), MID(J908,5,2), RIGHT(J908,2)), "M/d/yyyy")</f>
        <v>10/1/2024</v>
      </c>
      <c r="L908" s="24" t="s">
        <v>60</v>
      </c>
      <c r="M908" s="26">
        <v>1</v>
      </c>
      <c r="N908" s="25">
        <v>30</v>
      </c>
      <c r="O908" s="27">
        <v>30</v>
      </c>
      <c r="P908" s="22" t="s">
        <v>3833</v>
      </c>
    </row>
    <row r="909" spans="1:16" s="22" customFormat="1" ht="15" customHeight="1" x14ac:dyDescent="0.2">
      <c r="A909" s="22" t="s">
        <v>3782</v>
      </c>
      <c r="B909" s="22">
        <v>7470776</v>
      </c>
      <c r="C909" s="23">
        <v>1</v>
      </c>
      <c r="D909" s="23">
        <v>921746655</v>
      </c>
      <c r="E909" s="23">
        <v>921746655</v>
      </c>
      <c r="F909" s="24" t="s">
        <v>1218</v>
      </c>
      <c r="G909" s="23">
        <v>0</v>
      </c>
      <c r="H909" s="23">
        <v>20250301</v>
      </c>
      <c r="I909" s="23" t="str">
        <f>TEXT(DATE(LEFT(H909,4), MID(H909,5,2), RIGHT(H909,2)), "M/d/yyyy")</f>
        <v>3/1/2025</v>
      </c>
      <c r="J909" s="25">
        <v>20250101</v>
      </c>
      <c r="K909" s="23" t="str">
        <f>TEXT(DATE(LEFT(J909,4), MID(J909,5,2), RIGHT(J909,2)), "M/d/yyyy")</f>
        <v>1/1/2025</v>
      </c>
      <c r="L909" s="24" t="s">
        <v>60</v>
      </c>
      <c r="M909" s="26">
        <v>1</v>
      </c>
      <c r="N909" s="25">
        <v>30</v>
      </c>
      <c r="O909" s="27">
        <v>30</v>
      </c>
      <c r="P909" s="22" t="s">
        <v>3833</v>
      </c>
    </row>
    <row r="910" spans="1:16" s="22" customFormat="1" ht="15" customHeight="1" x14ac:dyDescent="0.2">
      <c r="A910" s="22" t="s">
        <v>3782</v>
      </c>
      <c r="B910" s="22">
        <v>7470776</v>
      </c>
      <c r="C910" s="23">
        <v>1</v>
      </c>
      <c r="D910" s="23">
        <v>921748899</v>
      </c>
      <c r="E910" s="23">
        <v>921748899</v>
      </c>
      <c r="F910" s="24" t="s">
        <v>1229</v>
      </c>
      <c r="G910" s="23">
        <v>0</v>
      </c>
      <c r="H910" s="23">
        <v>20250301</v>
      </c>
      <c r="I910" s="23" t="str">
        <f>TEXT(DATE(LEFT(H910,4), MID(H910,5,2), RIGHT(H910,2)), "M/d/yyyy")</f>
        <v>3/1/2025</v>
      </c>
      <c r="J910" s="25">
        <v>20250101</v>
      </c>
      <c r="K910" s="23" t="str">
        <f>TEXT(DATE(LEFT(J910,4), MID(J910,5,2), RIGHT(J910,2)), "M/d/yyyy")</f>
        <v>1/1/2025</v>
      </c>
      <c r="L910" s="24" t="s">
        <v>60</v>
      </c>
      <c r="M910" s="26">
        <v>1</v>
      </c>
      <c r="N910" s="25">
        <v>30</v>
      </c>
      <c r="O910" s="27">
        <v>30</v>
      </c>
      <c r="P910" s="22" t="s">
        <v>3833</v>
      </c>
    </row>
    <row r="911" spans="1:16" s="22" customFormat="1" ht="15" customHeight="1" x14ac:dyDescent="0.2">
      <c r="A911" s="22" t="s">
        <v>3782</v>
      </c>
      <c r="B911" s="22">
        <v>7470776</v>
      </c>
      <c r="C911" s="23">
        <v>2</v>
      </c>
      <c r="D911" s="23">
        <v>921611747</v>
      </c>
      <c r="E911" s="23">
        <v>921611747</v>
      </c>
      <c r="F911" s="24" t="s">
        <v>1099</v>
      </c>
      <c r="G911" s="23">
        <v>0</v>
      </c>
      <c r="H911" s="23">
        <v>20250301</v>
      </c>
      <c r="I911" s="23" t="str">
        <f>TEXT(DATE(LEFT(H911,4), MID(H911,5,2), RIGHT(H911,2)), "M/d/yyyy")</f>
        <v>3/1/2025</v>
      </c>
      <c r="J911" s="25">
        <v>20220501</v>
      </c>
      <c r="K911" s="23" t="str">
        <f>TEXT(DATE(LEFT(J911,4), MID(J911,5,2), RIGHT(J911,2)), "M/d/yyyy")</f>
        <v>5/1/2022</v>
      </c>
      <c r="L911" s="24" t="s">
        <v>60</v>
      </c>
      <c r="M911" s="26">
        <v>1</v>
      </c>
      <c r="N911" s="25">
        <v>25</v>
      </c>
      <c r="O911" s="27">
        <v>50</v>
      </c>
      <c r="P911" s="22" t="s">
        <v>3833</v>
      </c>
    </row>
    <row r="912" spans="1:16" s="22" customFormat="1" ht="15" customHeight="1" x14ac:dyDescent="0.2">
      <c r="A912" s="22" t="s">
        <v>3782</v>
      </c>
      <c r="B912" s="22">
        <v>7470776</v>
      </c>
      <c r="C912" s="23">
        <v>2</v>
      </c>
      <c r="D912" s="23">
        <v>921626886</v>
      </c>
      <c r="E912" s="23">
        <v>921626886</v>
      </c>
      <c r="F912" s="24" t="s">
        <v>1119</v>
      </c>
      <c r="G912" s="23">
        <v>0</v>
      </c>
      <c r="H912" s="23">
        <v>20250301</v>
      </c>
      <c r="I912" s="23" t="str">
        <f>TEXT(DATE(LEFT(H912,4), MID(H912,5,2), RIGHT(H912,2)), "M/d/yyyy")</f>
        <v>3/1/2025</v>
      </c>
      <c r="J912" s="25">
        <v>20230101</v>
      </c>
      <c r="K912" s="23" t="str">
        <f>TEXT(DATE(LEFT(J912,4), MID(J912,5,2), RIGHT(J912,2)), "M/d/yyyy")</f>
        <v>1/1/2023</v>
      </c>
      <c r="L912" s="24" t="s">
        <v>60</v>
      </c>
      <c r="M912" s="26">
        <v>1</v>
      </c>
      <c r="N912" s="25">
        <v>25</v>
      </c>
      <c r="O912" s="27">
        <v>50</v>
      </c>
      <c r="P912" s="22" t="s">
        <v>3833</v>
      </c>
    </row>
    <row r="913" spans="1:16" s="22" customFormat="1" ht="15" customHeight="1" x14ac:dyDescent="0.2">
      <c r="A913" s="22" t="s">
        <v>3782</v>
      </c>
      <c r="B913" s="22">
        <v>7470776</v>
      </c>
      <c r="C913" s="23">
        <v>2</v>
      </c>
      <c r="D913" s="23">
        <v>920823109</v>
      </c>
      <c r="E913" s="23">
        <v>920823109</v>
      </c>
      <c r="F913" s="24" t="s">
        <v>995</v>
      </c>
      <c r="G913" s="23">
        <v>0</v>
      </c>
      <c r="H913" s="23">
        <v>20250301</v>
      </c>
      <c r="I913" s="23" t="str">
        <f>TEXT(DATE(LEFT(H913,4), MID(H913,5,2), RIGHT(H913,2)), "M/d/yyyy")</f>
        <v>3/1/2025</v>
      </c>
      <c r="J913" s="25">
        <v>20250101</v>
      </c>
      <c r="K913" s="23" t="str">
        <f>TEXT(DATE(LEFT(J913,4), MID(J913,5,2), RIGHT(J913,2)), "M/d/yyyy")</f>
        <v>1/1/2025</v>
      </c>
      <c r="L913" s="24" t="s">
        <v>60</v>
      </c>
      <c r="M913" s="26">
        <v>1</v>
      </c>
      <c r="N913" s="25">
        <v>30</v>
      </c>
      <c r="O913" s="27">
        <v>60</v>
      </c>
      <c r="P913" s="22" t="s">
        <v>3833</v>
      </c>
    </row>
    <row r="914" spans="1:16" s="22" customFormat="1" ht="15" customHeight="1" x14ac:dyDescent="0.2">
      <c r="A914" s="22" t="s">
        <v>3782</v>
      </c>
      <c r="B914" s="22">
        <v>7470776</v>
      </c>
      <c r="C914" s="23">
        <v>2</v>
      </c>
      <c r="D914" s="23">
        <v>921715555</v>
      </c>
      <c r="E914" s="23">
        <v>921715555</v>
      </c>
      <c r="F914" s="24" t="s">
        <v>1165</v>
      </c>
      <c r="G914" s="23">
        <v>0</v>
      </c>
      <c r="H914" s="23">
        <v>20250301</v>
      </c>
      <c r="I914" s="23" t="str">
        <f>TEXT(DATE(LEFT(H914,4), MID(H914,5,2), RIGHT(H914,2)), "M/d/yyyy")</f>
        <v>3/1/2025</v>
      </c>
      <c r="J914" s="25">
        <v>20250101</v>
      </c>
      <c r="K914" s="23" t="str">
        <f>TEXT(DATE(LEFT(J914,4), MID(J914,5,2), RIGHT(J914,2)), "M/d/yyyy")</f>
        <v>1/1/2025</v>
      </c>
      <c r="L914" s="24" t="s">
        <v>60</v>
      </c>
      <c r="M914" s="26">
        <v>1</v>
      </c>
      <c r="N914" s="25">
        <v>30</v>
      </c>
      <c r="O914" s="27">
        <v>60</v>
      </c>
      <c r="P914" s="22" t="s">
        <v>3833</v>
      </c>
    </row>
    <row r="915" spans="1:16" s="22" customFormat="1" ht="15" customHeight="1" x14ac:dyDescent="0.2">
      <c r="A915" s="22" t="s">
        <v>3782</v>
      </c>
      <c r="B915" s="22">
        <v>7470776</v>
      </c>
      <c r="C915" s="23">
        <v>2</v>
      </c>
      <c r="D915" s="23">
        <v>921719797</v>
      </c>
      <c r="E915" s="23">
        <v>921719797</v>
      </c>
      <c r="F915" s="24" t="s">
        <v>1171</v>
      </c>
      <c r="G915" s="23">
        <v>0</v>
      </c>
      <c r="H915" s="23">
        <v>20250301</v>
      </c>
      <c r="I915" s="23" t="str">
        <f>TEXT(DATE(LEFT(H915,4), MID(H915,5,2), RIGHT(H915,2)), "M/d/yyyy")</f>
        <v>3/1/2025</v>
      </c>
      <c r="J915" s="25">
        <v>20240501</v>
      </c>
      <c r="K915" s="23" t="str">
        <f>TEXT(DATE(LEFT(J915,4), MID(J915,5,2), RIGHT(J915,2)), "M/d/yyyy")</f>
        <v>5/1/2024</v>
      </c>
      <c r="L915" s="24" t="s">
        <v>60</v>
      </c>
      <c r="M915" s="26">
        <v>1</v>
      </c>
      <c r="N915" s="25">
        <v>30</v>
      </c>
      <c r="O915" s="27">
        <v>60</v>
      </c>
      <c r="P915" s="22" t="s">
        <v>3833</v>
      </c>
    </row>
    <row r="916" spans="1:16" s="22" customFormat="1" ht="15" customHeight="1" x14ac:dyDescent="0.2">
      <c r="A916" s="22" t="s">
        <v>3782</v>
      </c>
      <c r="B916" s="22">
        <v>7470776</v>
      </c>
      <c r="C916" s="23">
        <v>2</v>
      </c>
      <c r="D916" s="23">
        <v>921773420</v>
      </c>
      <c r="E916" s="23">
        <v>921773420</v>
      </c>
      <c r="F916" s="24" t="s">
        <v>1253</v>
      </c>
      <c r="G916" s="23">
        <v>0</v>
      </c>
      <c r="H916" s="23">
        <v>20250301</v>
      </c>
      <c r="I916" s="23" t="str">
        <f>TEXT(DATE(LEFT(H916,4), MID(H916,5,2), RIGHT(H916,2)), "M/d/yyyy")</f>
        <v>3/1/2025</v>
      </c>
      <c r="J916" s="25">
        <v>20250201</v>
      </c>
      <c r="K916" s="23" t="str">
        <f>TEXT(DATE(LEFT(J916,4), MID(J916,5,2), RIGHT(J916,2)), "M/d/yyyy")</f>
        <v>2/1/2025</v>
      </c>
      <c r="L916" s="24" t="s">
        <v>60</v>
      </c>
      <c r="M916" s="26">
        <v>1</v>
      </c>
      <c r="N916" s="25">
        <v>30</v>
      </c>
      <c r="O916" s="27">
        <v>60</v>
      </c>
      <c r="P916" s="22" t="s">
        <v>3833</v>
      </c>
    </row>
    <row r="917" spans="1:16" s="22" customFormat="1" ht="15" customHeight="1" x14ac:dyDescent="0.2">
      <c r="A917" s="22" t="s">
        <v>3782</v>
      </c>
      <c r="B917" s="22">
        <v>7470776</v>
      </c>
      <c r="C917" s="23">
        <v>3</v>
      </c>
      <c r="D917" s="23">
        <v>921701950</v>
      </c>
      <c r="E917" s="23">
        <v>921701950</v>
      </c>
      <c r="F917" s="24" t="s">
        <v>1159</v>
      </c>
      <c r="G917" s="23">
        <v>0</v>
      </c>
      <c r="H917" s="23">
        <v>20250301</v>
      </c>
      <c r="I917" s="23" t="str">
        <f>TEXT(DATE(LEFT(H917,4), MID(H917,5,2), RIGHT(H917,2)), "M/d/yyyy")</f>
        <v>3/1/2025</v>
      </c>
      <c r="J917" s="25">
        <v>20240201</v>
      </c>
      <c r="K917" s="23" t="str">
        <f>TEXT(DATE(LEFT(J917,4), MID(J917,5,2), RIGHT(J917,2)), "M/d/yyyy")</f>
        <v>2/1/2024</v>
      </c>
      <c r="L917" s="24" t="s">
        <v>60</v>
      </c>
      <c r="M917" s="26">
        <v>1</v>
      </c>
      <c r="N917" s="25">
        <v>25</v>
      </c>
      <c r="O917" s="27">
        <v>75</v>
      </c>
      <c r="P917" s="22" t="s">
        <v>3833</v>
      </c>
    </row>
    <row r="918" spans="1:16" s="22" customFormat="1" ht="15" customHeight="1" x14ac:dyDescent="0.2">
      <c r="A918" s="22" t="s">
        <v>3782</v>
      </c>
      <c r="B918" s="22">
        <v>7470776</v>
      </c>
      <c r="C918" s="23">
        <v>4</v>
      </c>
      <c r="D918" s="23">
        <v>921747592</v>
      </c>
      <c r="E918" s="23">
        <v>921747592</v>
      </c>
      <c r="F918" s="24" t="s">
        <v>1222</v>
      </c>
      <c r="G918" s="23">
        <v>0</v>
      </c>
      <c r="H918" s="23">
        <v>20250301</v>
      </c>
      <c r="I918" s="23" t="str">
        <f>TEXT(DATE(LEFT(H918,4), MID(H918,5,2), RIGHT(H918,2)), "M/d/yyyy")</f>
        <v>3/1/2025</v>
      </c>
      <c r="J918" s="25">
        <v>20250101</v>
      </c>
      <c r="K918" s="23" t="str">
        <f>TEXT(DATE(LEFT(J918,4), MID(J918,5,2), RIGHT(J918,2)), "M/d/yyyy")</f>
        <v>1/1/2025</v>
      </c>
      <c r="L918" s="24" t="s">
        <v>60</v>
      </c>
      <c r="M918" s="26">
        <v>1</v>
      </c>
      <c r="N918" s="25">
        <v>30</v>
      </c>
      <c r="O918" s="27">
        <v>120</v>
      </c>
      <c r="P918" s="22" t="s">
        <v>3833</v>
      </c>
    </row>
    <row r="919" spans="1:16" s="22" customFormat="1" ht="15" customHeight="1" x14ac:dyDescent="0.2">
      <c r="A919" s="22" t="s">
        <v>3782</v>
      </c>
      <c r="B919" s="22">
        <v>7470776</v>
      </c>
      <c r="C919" s="23">
        <v>4</v>
      </c>
      <c r="D919" s="23">
        <v>921747592</v>
      </c>
      <c r="E919" s="23">
        <v>921747592</v>
      </c>
      <c r="F919" s="24" t="s">
        <v>1222</v>
      </c>
      <c r="G919" s="23">
        <v>0</v>
      </c>
      <c r="H919" s="23">
        <v>20250201</v>
      </c>
      <c r="I919" s="23" t="str">
        <f>TEXT(DATE(LEFT(H919,4), MID(H919,5,2), RIGHT(H919,2)), "M/d/yyyy")</f>
        <v>2/1/2025</v>
      </c>
      <c r="J919" s="25">
        <v>20250101</v>
      </c>
      <c r="K919" s="23" t="str">
        <f>TEXT(DATE(LEFT(J919,4), MID(J919,5,2), RIGHT(J919,2)), "M/d/yyyy")</f>
        <v>1/1/2025</v>
      </c>
      <c r="L919" s="24" t="s">
        <v>60</v>
      </c>
      <c r="M919" s="26">
        <v>1</v>
      </c>
      <c r="N919" s="25">
        <v>30</v>
      </c>
      <c r="O919" s="27">
        <v>120</v>
      </c>
      <c r="P919" s="22" t="s">
        <v>3833</v>
      </c>
    </row>
    <row r="920" spans="1:16" s="22" customFormat="1" ht="15" customHeight="1" x14ac:dyDescent="0.2">
      <c r="A920" s="22" t="s">
        <v>3782</v>
      </c>
      <c r="B920" s="22">
        <v>7470776</v>
      </c>
      <c r="C920" s="23">
        <v>4</v>
      </c>
      <c r="D920" s="23">
        <v>921755629</v>
      </c>
      <c r="E920" s="23">
        <v>921755629</v>
      </c>
      <c r="F920" s="24" t="s">
        <v>1245</v>
      </c>
      <c r="G920" s="23">
        <v>0</v>
      </c>
      <c r="H920" s="23">
        <v>20250301</v>
      </c>
      <c r="I920" s="23" t="str">
        <f>TEXT(DATE(LEFT(H920,4), MID(H920,5,2), RIGHT(H920,2)), "M/d/yyyy")</f>
        <v>3/1/2025</v>
      </c>
      <c r="J920" s="25">
        <v>20250101</v>
      </c>
      <c r="K920" s="23" t="str">
        <f>TEXT(DATE(LEFT(J920,4), MID(J920,5,2), RIGHT(J920,2)), "M/d/yyyy")</f>
        <v>1/1/2025</v>
      </c>
      <c r="L920" s="24" t="s">
        <v>60</v>
      </c>
      <c r="M920" s="26">
        <v>1</v>
      </c>
      <c r="N920" s="25">
        <v>30</v>
      </c>
      <c r="O920" s="27">
        <v>120</v>
      </c>
      <c r="P920" s="22" t="s">
        <v>3833</v>
      </c>
    </row>
    <row r="921" spans="1:16" s="22" customFormat="1" ht="15" customHeight="1" x14ac:dyDescent="0.2">
      <c r="A921" s="22" t="s">
        <v>3782</v>
      </c>
      <c r="B921" s="22">
        <v>7470776</v>
      </c>
      <c r="C921" s="23">
        <v>5</v>
      </c>
      <c r="D921" s="23">
        <v>921733050</v>
      </c>
      <c r="E921" s="23">
        <v>921733050</v>
      </c>
      <c r="F921" s="24" t="s">
        <v>1195</v>
      </c>
      <c r="G921" s="23">
        <v>0</v>
      </c>
      <c r="H921" s="23">
        <v>20250301</v>
      </c>
      <c r="I921" s="23" t="str">
        <f>TEXT(DATE(LEFT(H921,4), MID(H921,5,2), RIGHT(H921,2)), "M/d/yyyy")</f>
        <v>3/1/2025</v>
      </c>
      <c r="J921" s="25">
        <v>20240801</v>
      </c>
      <c r="K921" s="23" t="str">
        <f>TEXT(DATE(LEFT(J921,4), MID(J921,5,2), RIGHT(J921,2)), "M/d/yyyy")</f>
        <v>8/1/2024</v>
      </c>
      <c r="L921" s="24" t="s">
        <v>60</v>
      </c>
      <c r="M921" s="26">
        <v>1</v>
      </c>
      <c r="N921" s="25">
        <v>30</v>
      </c>
      <c r="O921" s="27">
        <v>150</v>
      </c>
      <c r="P921" s="22" t="s">
        <v>3833</v>
      </c>
    </row>
    <row r="922" spans="1:16" s="22" customFormat="1" ht="15" customHeight="1" x14ac:dyDescent="0.2">
      <c r="A922" s="22" t="s">
        <v>3820</v>
      </c>
      <c r="B922" s="22">
        <v>7146581</v>
      </c>
      <c r="C922" s="24" t="s">
        <v>209</v>
      </c>
      <c r="D922" s="23">
        <v>890408763</v>
      </c>
      <c r="E922" s="23">
        <v>890408763</v>
      </c>
      <c r="F922" s="24" t="s">
        <v>3532</v>
      </c>
      <c r="G922" s="23">
        <v>0</v>
      </c>
      <c r="H922" s="23">
        <v>20250201</v>
      </c>
      <c r="I922" s="23" t="str">
        <f>TEXT(DATE(LEFT(H922,4), MID(H922,5,2), RIGHT(H922,2)), "M/d/yyyy")</f>
        <v>2/1/2025</v>
      </c>
      <c r="J922" s="25">
        <v>20140101</v>
      </c>
      <c r="K922" s="23" t="str">
        <f>TEXT(DATE(LEFT(J922,4), MID(J922,5,2), RIGHT(J922,2)), "M/d/yyyy")</f>
        <v>1/1/2014</v>
      </c>
      <c r="L922" s="24" t="s">
        <v>60</v>
      </c>
      <c r="M922" s="26">
        <v>1</v>
      </c>
      <c r="N922" s="25">
        <v>25</v>
      </c>
      <c r="O922" s="27">
        <v>-100</v>
      </c>
      <c r="P922" s="22" t="s">
        <v>3833</v>
      </c>
    </row>
    <row r="923" spans="1:16" s="22" customFormat="1" ht="15" customHeight="1" x14ac:dyDescent="0.2">
      <c r="A923" s="22" t="s">
        <v>3820</v>
      </c>
      <c r="B923" s="22">
        <v>7146581</v>
      </c>
      <c r="C923" s="23">
        <v>1</v>
      </c>
      <c r="D923" s="23">
        <v>920792870</v>
      </c>
      <c r="E923" s="23">
        <v>920792870</v>
      </c>
      <c r="F923" s="24" t="s">
        <v>3551</v>
      </c>
      <c r="G923" s="23">
        <v>0</v>
      </c>
      <c r="H923" s="23">
        <v>20250301</v>
      </c>
      <c r="I923" s="23" t="str">
        <f>TEXT(DATE(LEFT(H923,4), MID(H923,5,2), RIGHT(H923,2)), "M/d/yyyy")</f>
        <v>3/1/2025</v>
      </c>
      <c r="J923" s="25">
        <v>20230401</v>
      </c>
      <c r="K923" s="23" t="str">
        <f>TEXT(DATE(LEFT(J923,4), MID(J923,5,2), RIGHT(J923,2)), "M/d/yyyy")</f>
        <v>4/1/2023</v>
      </c>
      <c r="L923" s="24" t="s">
        <v>60</v>
      </c>
      <c r="M923" s="26">
        <v>1</v>
      </c>
      <c r="N923" s="25">
        <v>25</v>
      </c>
      <c r="O923" s="27">
        <v>25</v>
      </c>
      <c r="P923" s="22" t="s">
        <v>3833</v>
      </c>
    </row>
    <row r="924" spans="1:16" s="22" customFormat="1" ht="15" customHeight="1" x14ac:dyDescent="0.2">
      <c r="A924" s="22" t="s">
        <v>3820</v>
      </c>
      <c r="B924" s="22">
        <v>7146581</v>
      </c>
      <c r="C924" s="23">
        <v>1</v>
      </c>
      <c r="D924" s="23">
        <v>920792870</v>
      </c>
      <c r="E924" s="23">
        <v>920792870</v>
      </c>
      <c r="F924" s="24" t="s">
        <v>3551</v>
      </c>
      <c r="G924" s="23">
        <v>0</v>
      </c>
      <c r="H924" s="23">
        <v>20250201</v>
      </c>
      <c r="I924" s="23" t="str">
        <f>TEXT(DATE(LEFT(H924,4), MID(H924,5,2), RIGHT(H924,2)), "M/d/yyyy")</f>
        <v>2/1/2025</v>
      </c>
      <c r="J924" s="25">
        <v>20230401</v>
      </c>
      <c r="K924" s="23" t="str">
        <f>TEXT(DATE(LEFT(J924,4), MID(J924,5,2), RIGHT(J924,2)), "M/d/yyyy")</f>
        <v>4/1/2023</v>
      </c>
      <c r="L924" s="24" t="s">
        <v>60</v>
      </c>
      <c r="M924" s="26">
        <v>1</v>
      </c>
      <c r="N924" s="25">
        <v>25</v>
      </c>
      <c r="O924" s="27">
        <v>25</v>
      </c>
      <c r="P924" s="22" t="s">
        <v>3833</v>
      </c>
    </row>
    <row r="925" spans="1:16" s="22" customFormat="1" ht="15" customHeight="1" x14ac:dyDescent="0.2">
      <c r="A925" s="22" t="s">
        <v>3820</v>
      </c>
      <c r="B925" s="22">
        <v>7146581</v>
      </c>
      <c r="C925" s="23">
        <v>1</v>
      </c>
      <c r="D925" s="23">
        <v>920862291</v>
      </c>
      <c r="E925" s="23">
        <v>920862291</v>
      </c>
      <c r="F925" s="24" t="s">
        <v>3553</v>
      </c>
      <c r="G925" s="23">
        <v>0</v>
      </c>
      <c r="H925" s="23">
        <v>20250301</v>
      </c>
      <c r="I925" s="23" t="str">
        <f>TEXT(DATE(LEFT(H925,4), MID(H925,5,2), RIGHT(H925,2)), "M/d/yyyy")</f>
        <v>3/1/2025</v>
      </c>
      <c r="J925" s="25">
        <v>20231201</v>
      </c>
      <c r="K925" s="23" t="str">
        <f>TEXT(DATE(LEFT(J925,4), MID(J925,5,2), RIGHT(J925,2)), "M/d/yyyy")</f>
        <v>12/1/2023</v>
      </c>
      <c r="L925" s="24" t="s">
        <v>60</v>
      </c>
      <c r="M925" s="26">
        <v>1</v>
      </c>
      <c r="N925" s="25">
        <v>25</v>
      </c>
      <c r="O925" s="27">
        <v>25</v>
      </c>
      <c r="P925" s="22" t="s">
        <v>3833</v>
      </c>
    </row>
    <row r="926" spans="1:16" s="22" customFormat="1" ht="15" customHeight="1" x14ac:dyDescent="0.2">
      <c r="A926" s="22" t="s">
        <v>3820</v>
      </c>
      <c r="B926" s="22">
        <v>7146581</v>
      </c>
      <c r="C926" s="23">
        <v>1</v>
      </c>
      <c r="D926" s="23">
        <v>921027671</v>
      </c>
      <c r="E926" s="23">
        <v>921027671</v>
      </c>
      <c r="F926" s="24" t="s">
        <v>3569</v>
      </c>
      <c r="G926" s="23">
        <v>0</v>
      </c>
      <c r="H926" s="23">
        <v>20250301</v>
      </c>
      <c r="I926" s="23" t="str">
        <f>TEXT(DATE(LEFT(H926,4), MID(H926,5,2), RIGHT(H926,2)), "M/d/yyyy")</f>
        <v>3/1/2025</v>
      </c>
      <c r="J926" s="25">
        <v>20150101</v>
      </c>
      <c r="K926" s="23" t="str">
        <f>TEXT(DATE(LEFT(J926,4), MID(J926,5,2), RIGHT(J926,2)), "M/d/yyyy")</f>
        <v>1/1/2015</v>
      </c>
      <c r="L926" s="24" t="s">
        <v>60</v>
      </c>
      <c r="M926" s="26">
        <v>1</v>
      </c>
      <c r="N926" s="25">
        <v>25</v>
      </c>
      <c r="O926" s="27">
        <v>25</v>
      </c>
      <c r="P926" s="22" t="s">
        <v>3833</v>
      </c>
    </row>
    <row r="927" spans="1:16" s="22" customFormat="1" ht="15" customHeight="1" x14ac:dyDescent="0.2">
      <c r="A927" s="22" t="s">
        <v>3820</v>
      </c>
      <c r="B927" s="22">
        <v>7146581</v>
      </c>
      <c r="C927" s="23">
        <v>1</v>
      </c>
      <c r="D927" s="23">
        <v>921212612</v>
      </c>
      <c r="E927" s="23">
        <v>921212612</v>
      </c>
      <c r="F927" s="24" t="s">
        <v>3579</v>
      </c>
      <c r="G927" s="23">
        <v>0</v>
      </c>
      <c r="H927" s="23">
        <v>20250201</v>
      </c>
      <c r="I927" s="23" t="str">
        <f>TEXT(DATE(LEFT(H927,4), MID(H927,5,2), RIGHT(H927,2)), "M/d/yyyy")</f>
        <v>2/1/2025</v>
      </c>
      <c r="J927" s="25">
        <v>20230101</v>
      </c>
      <c r="K927" s="23" t="str">
        <f>TEXT(DATE(LEFT(J927,4), MID(J927,5,2), RIGHT(J927,2)), "M/d/yyyy")</f>
        <v>1/1/2023</v>
      </c>
      <c r="L927" s="24" t="s">
        <v>60</v>
      </c>
      <c r="M927" s="26">
        <v>1</v>
      </c>
      <c r="N927" s="25">
        <v>25</v>
      </c>
      <c r="O927" s="27">
        <v>25</v>
      </c>
      <c r="P927" s="22" t="s">
        <v>3833</v>
      </c>
    </row>
    <row r="928" spans="1:16" s="22" customFormat="1" ht="15" customHeight="1" x14ac:dyDescent="0.2">
      <c r="A928" s="22" t="s">
        <v>3820</v>
      </c>
      <c r="B928" s="22">
        <v>7146581</v>
      </c>
      <c r="C928" s="23">
        <v>1</v>
      </c>
      <c r="D928" s="23">
        <v>921491463</v>
      </c>
      <c r="E928" s="23">
        <v>921491463</v>
      </c>
      <c r="F928" s="24" t="s">
        <v>3620</v>
      </c>
      <c r="G928" s="23">
        <v>0</v>
      </c>
      <c r="H928" s="23">
        <v>20250301</v>
      </c>
      <c r="I928" s="23" t="str">
        <f>TEXT(DATE(LEFT(H928,4), MID(H928,5,2), RIGHT(H928,2)), "M/d/yyyy")</f>
        <v>3/1/2025</v>
      </c>
      <c r="J928" s="25">
        <v>20191201</v>
      </c>
      <c r="K928" s="23" t="str">
        <f>TEXT(DATE(LEFT(J928,4), MID(J928,5,2), RIGHT(J928,2)), "M/d/yyyy")</f>
        <v>12/1/2019</v>
      </c>
      <c r="L928" s="24" t="s">
        <v>60</v>
      </c>
      <c r="M928" s="26">
        <v>1</v>
      </c>
      <c r="N928" s="25">
        <v>25</v>
      </c>
      <c r="O928" s="27">
        <v>25</v>
      </c>
      <c r="P928" s="22" t="s">
        <v>3833</v>
      </c>
    </row>
    <row r="929" spans="1:16" s="22" customFormat="1" ht="15" customHeight="1" x14ac:dyDescent="0.2">
      <c r="A929" s="22" t="s">
        <v>3820</v>
      </c>
      <c r="B929" s="22">
        <v>7146581</v>
      </c>
      <c r="C929" s="23">
        <v>1</v>
      </c>
      <c r="D929" s="23">
        <v>921622567</v>
      </c>
      <c r="E929" s="23">
        <v>921622567</v>
      </c>
      <c r="F929" s="24" t="s">
        <v>3638</v>
      </c>
      <c r="G929" s="23">
        <v>0</v>
      </c>
      <c r="H929" s="23">
        <v>20250301</v>
      </c>
      <c r="I929" s="23" t="str">
        <f>TEXT(DATE(LEFT(H929,4), MID(H929,5,2), RIGHT(H929,2)), "M/d/yyyy")</f>
        <v>3/1/2025</v>
      </c>
      <c r="J929" s="25">
        <v>20221001</v>
      </c>
      <c r="K929" s="23" t="str">
        <f>TEXT(DATE(LEFT(J929,4), MID(J929,5,2), RIGHT(J929,2)), "M/d/yyyy")</f>
        <v>10/1/2022</v>
      </c>
      <c r="L929" s="24" t="s">
        <v>60</v>
      </c>
      <c r="M929" s="26">
        <v>1</v>
      </c>
      <c r="N929" s="25">
        <v>25</v>
      </c>
      <c r="O929" s="27">
        <v>25</v>
      </c>
      <c r="P929" s="22" t="s">
        <v>3833</v>
      </c>
    </row>
    <row r="930" spans="1:16" s="22" customFormat="1" ht="15" customHeight="1" x14ac:dyDescent="0.2">
      <c r="A930" s="22" t="s">
        <v>3820</v>
      </c>
      <c r="B930" s="22">
        <v>7146581</v>
      </c>
      <c r="C930" s="23">
        <v>1</v>
      </c>
      <c r="D930" s="23">
        <v>921652029</v>
      </c>
      <c r="E930" s="23">
        <v>921652029</v>
      </c>
      <c r="F930" s="24" t="s">
        <v>3648</v>
      </c>
      <c r="G930" s="23">
        <v>0</v>
      </c>
      <c r="H930" s="23">
        <v>20250301</v>
      </c>
      <c r="I930" s="23" t="str">
        <f>TEXT(DATE(LEFT(H930,4), MID(H930,5,2), RIGHT(H930,2)), "M/d/yyyy")</f>
        <v>3/1/2025</v>
      </c>
      <c r="J930" s="25">
        <v>20230301</v>
      </c>
      <c r="K930" s="23" t="str">
        <f>TEXT(DATE(LEFT(J930,4), MID(J930,5,2), RIGHT(J930,2)), "M/d/yyyy")</f>
        <v>3/1/2023</v>
      </c>
      <c r="L930" s="24" t="s">
        <v>60</v>
      </c>
      <c r="M930" s="26">
        <v>1</v>
      </c>
      <c r="N930" s="25">
        <v>25</v>
      </c>
      <c r="O930" s="27">
        <v>25</v>
      </c>
      <c r="P930" s="22" t="s">
        <v>3833</v>
      </c>
    </row>
    <row r="931" spans="1:16" s="22" customFormat="1" ht="15" customHeight="1" x14ac:dyDescent="0.2">
      <c r="A931" s="22" t="s">
        <v>3820</v>
      </c>
      <c r="B931" s="22">
        <v>7146581</v>
      </c>
      <c r="C931" s="23">
        <v>1</v>
      </c>
      <c r="D931" s="23">
        <v>921652793</v>
      </c>
      <c r="E931" s="23">
        <v>921652793</v>
      </c>
      <c r="F931" s="24" t="s">
        <v>3650</v>
      </c>
      <c r="G931" s="23">
        <v>0</v>
      </c>
      <c r="H931" s="23">
        <v>20250301</v>
      </c>
      <c r="I931" s="23" t="str">
        <f>TEXT(DATE(LEFT(H931,4), MID(H931,5,2), RIGHT(H931,2)), "M/d/yyyy")</f>
        <v>3/1/2025</v>
      </c>
      <c r="J931" s="25">
        <v>20230301</v>
      </c>
      <c r="K931" s="23" t="str">
        <f>TEXT(DATE(LEFT(J931,4), MID(J931,5,2), RIGHT(J931,2)), "M/d/yyyy")</f>
        <v>3/1/2023</v>
      </c>
      <c r="L931" s="24" t="s">
        <v>60</v>
      </c>
      <c r="M931" s="26">
        <v>1</v>
      </c>
      <c r="N931" s="25">
        <v>25</v>
      </c>
      <c r="O931" s="27">
        <v>25</v>
      </c>
      <c r="P931" s="22" t="s">
        <v>3833</v>
      </c>
    </row>
    <row r="932" spans="1:16" s="22" customFormat="1" ht="15" customHeight="1" x14ac:dyDescent="0.2">
      <c r="A932" s="22" t="s">
        <v>3820</v>
      </c>
      <c r="B932" s="22">
        <v>7146581</v>
      </c>
      <c r="C932" s="23">
        <v>1</v>
      </c>
      <c r="D932" s="23">
        <v>921657874</v>
      </c>
      <c r="E932" s="23">
        <v>921657874</v>
      </c>
      <c r="F932" s="24" t="s">
        <v>3658</v>
      </c>
      <c r="G932" s="23">
        <v>0</v>
      </c>
      <c r="H932" s="23">
        <v>20250301</v>
      </c>
      <c r="I932" s="23" t="str">
        <f>TEXT(DATE(LEFT(H932,4), MID(H932,5,2), RIGHT(H932,2)), "M/d/yyyy")</f>
        <v>3/1/2025</v>
      </c>
      <c r="J932" s="25">
        <v>20230401</v>
      </c>
      <c r="K932" s="23" t="str">
        <f>TEXT(DATE(LEFT(J932,4), MID(J932,5,2), RIGHT(J932,2)), "M/d/yyyy")</f>
        <v>4/1/2023</v>
      </c>
      <c r="L932" s="24" t="s">
        <v>60</v>
      </c>
      <c r="M932" s="26">
        <v>1</v>
      </c>
      <c r="N932" s="25">
        <v>25</v>
      </c>
      <c r="O932" s="27">
        <v>25</v>
      </c>
      <c r="P932" s="22" t="s">
        <v>3833</v>
      </c>
    </row>
    <row r="933" spans="1:16" s="22" customFormat="1" ht="15" customHeight="1" x14ac:dyDescent="0.2">
      <c r="A933" s="22" t="s">
        <v>3820</v>
      </c>
      <c r="B933" s="22">
        <v>7146581</v>
      </c>
      <c r="C933" s="23">
        <v>1</v>
      </c>
      <c r="D933" s="23">
        <v>921681063</v>
      </c>
      <c r="E933" s="23">
        <v>921681063</v>
      </c>
      <c r="F933" s="24" t="s">
        <v>3666</v>
      </c>
      <c r="G933" s="23">
        <v>0</v>
      </c>
      <c r="H933" s="23">
        <v>20250301</v>
      </c>
      <c r="I933" s="23" t="str">
        <f>TEXT(DATE(LEFT(H933,4), MID(H933,5,2), RIGHT(H933,2)), "M/d/yyyy")</f>
        <v>3/1/2025</v>
      </c>
      <c r="J933" s="25">
        <v>20231201</v>
      </c>
      <c r="K933" s="23" t="str">
        <f>TEXT(DATE(LEFT(J933,4), MID(J933,5,2), RIGHT(J933,2)), "M/d/yyyy")</f>
        <v>12/1/2023</v>
      </c>
      <c r="L933" s="24" t="s">
        <v>60</v>
      </c>
      <c r="M933" s="26">
        <v>1</v>
      </c>
      <c r="N933" s="25">
        <v>25</v>
      </c>
      <c r="O933" s="27">
        <v>25</v>
      </c>
      <c r="P933" s="22" t="s">
        <v>3833</v>
      </c>
    </row>
    <row r="934" spans="1:16" s="22" customFormat="1" ht="15" customHeight="1" x14ac:dyDescent="0.2">
      <c r="A934" s="22" t="s">
        <v>3820</v>
      </c>
      <c r="B934" s="22">
        <v>7146581</v>
      </c>
      <c r="C934" s="23">
        <v>1</v>
      </c>
      <c r="D934" s="23">
        <v>921695630</v>
      </c>
      <c r="E934" s="23">
        <v>921695630</v>
      </c>
      <c r="F934" s="24" t="s">
        <v>3670</v>
      </c>
      <c r="G934" s="23">
        <v>0</v>
      </c>
      <c r="H934" s="23">
        <v>20250301</v>
      </c>
      <c r="I934" s="23" t="str">
        <f>TEXT(DATE(LEFT(H934,4), MID(H934,5,2), RIGHT(H934,2)), "M/d/yyyy")</f>
        <v>3/1/2025</v>
      </c>
      <c r="J934" s="25">
        <v>20240101</v>
      </c>
      <c r="K934" s="23" t="str">
        <f>TEXT(DATE(LEFT(J934,4), MID(J934,5,2), RIGHT(J934,2)), "M/d/yyyy")</f>
        <v>1/1/2024</v>
      </c>
      <c r="L934" s="24" t="s">
        <v>60</v>
      </c>
      <c r="M934" s="26">
        <v>1</v>
      </c>
      <c r="N934" s="25">
        <v>25</v>
      </c>
      <c r="O934" s="27">
        <v>25</v>
      </c>
      <c r="P934" s="22" t="s">
        <v>3833</v>
      </c>
    </row>
    <row r="935" spans="1:16" s="22" customFormat="1" ht="15" customHeight="1" x14ac:dyDescent="0.2">
      <c r="A935" s="22" t="s">
        <v>3820</v>
      </c>
      <c r="B935" s="22">
        <v>7146581</v>
      </c>
      <c r="C935" s="23">
        <v>1</v>
      </c>
      <c r="D935" s="23">
        <v>921109095</v>
      </c>
      <c r="E935" s="23">
        <v>921109095</v>
      </c>
      <c r="F935" s="24" t="s">
        <v>3575</v>
      </c>
      <c r="G935" s="23">
        <v>0</v>
      </c>
      <c r="H935" s="23">
        <v>20250301</v>
      </c>
      <c r="I935" s="23" t="str">
        <f>TEXT(DATE(LEFT(H935,4), MID(H935,5,2), RIGHT(H935,2)), "M/d/yyyy")</f>
        <v>3/1/2025</v>
      </c>
      <c r="J935" s="25">
        <v>20240901</v>
      </c>
      <c r="K935" s="23" t="str">
        <f>TEXT(DATE(LEFT(J935,4), MID(J935,5,2), RIGHT(J935,2)), "M/d/yyyy")</f>
        <v>9/1/2024</v>
      </c>
      <c r="L935" s="24" t="s">
        <v>60</v>
      </c>
      <c r="M935" s="26">
        <v>1</v>
      </c>
      <c r="N935" s="25">
        <v>30</v>
      </c>
      <c r="O935" s="27">
        <v>30</v>
      </c>
      <c r="P935" s="22" t="s">
        <v>3833</v>
      </c>
    </row>
    <row r="936" spans="1:16" s="22" customFormat="1" ht="15" customHeight="1" x14ac:dyDescent="0.2">
      <c r="A936" s="22" t="s">
        <v>3820</v>
      </c>
      <c r="B936" s="22">
        <v>7146581</v>
      </c>
      <c r="C936" s="23">
        <v>1</v>
      </c>
      <c r="D936" s="23">
        <v>921738169</v>
      </c>
      <c r="E936" s="23">
        <v>921738169</v>
      </c>
      <c r="F936" s="24" t="s">
        <v>3684</v>
      </c>
      <c r="G936" s="23">
        <v>0</v>
      </c>
      <c r="H936" s="23">
        <v>20250301</v>
      </c>
      <c r="I936" s="23" t="str">
        <f>TEXT(DATE(LEFT(H936,4), MID(H936,5,2), RIGHT(H936,2)), "M/d/yyyy")</f>
        <v>3/1/2025</v>
      </c>
      <c r="J936" s="25">
        <v>20241001</v>
      </c>
      <c r="K936" s="23" t="str">
        <f>TEXT(DATE(LEFT(J936,4), MID(J936,5,2), RIGHT(J936,2)), "M/d/yyyy")</f>
        <v>10/1/2024</v>
      </c>
      <c r="L936" s="24" t="s">
        <v>60</v>
      </c>
      <c r="M936" s="26">
        <v>1</v>
      </c>
      <c r="N936" s="25">
        <v>30</v>
      </c>
      <c r="O936" s="27">
        <v>30</v>
      </c>
      <c r="P936" s="22" t="s">
        <v>3833</v>
      </c>
    </row>
    <row r="937" spans="1:16" s="22" customFormat="1" ht="15" customHeight="1" x14ac:dyDescent="0.2">
      <c r="A937" s="22" t="s">
        <v>3820</v>
      </c>
      <c r="B937" s="22">
        <v>7146581</v>
      </c>
      <c r="C937" s="23">
        <v>1</v>
      </c>
      <c r="D937" s="23">
        <v>921743515</v>
      </c>
      <c r="E937" s="23">
        <v>921743515</v>
      </c>
      <c r="F937" s="24" t="s">
        <v>3688</v>
      </c>
      <c r="G937" s="23">
        <v>0</v>
      </c>
      <c r="H937" s="23">
        <v>20250301</v>
      </c>
      <c r="I937" s="23" t="str">
        <f>TEXT(DATE(LEFT(H937,4), MID(H937,5,2), RIGHT(H937,2)), "M/d/yyyy")</f>
        <v>3/1/2025</v>
      </c>
      <c r="J937" s="25">
        <v>20241101</v>
      </c>
      <c r="K937" s="23" t="str">
        <f>TEXT(DATE(LEFT(J937,4), MID(J937,5,2), RIGHT(J937,2)), "M/d/yyyy")</f>
        <v>11/1/2024</v>
      </c>
      <c r="L937" s="24" t="s">
        <v>60</v>
      </c>
      <c r="M937" s="26">
        <v>1</v>
      </c>
      <c r="N937" s="25">
        <v>30</v>
      </c>
      <c r="O937" s="27">
        <v>30</v>
      </c>
      <c r="P937" s="22" t="s">
        <v>3833</v>
      </c>
    </row>
    <row r="938" spans="1:16" s="22" customFormat="1" ht="15" customHeight="1" x14ac:dyDescent="0.2">
      <c r="A938" s="22" t="s">
        <v>3820</v>
      </c>
      <c r="B938" s="22">
        <v>7146581</v>
      </c>
      <c r="C938" s="23">
        <v>1</v>
      </c>
      <c r="D938" s="23">
        <v>921745254</v>
      </c>
      <c r="E938" s="23">
        <v>921745254</v>
      </c>
      <c r="F938" s="24" t="s">
        <v>3690</v>
      </c>
      <c r="G938" s="23">
        <v>0</v>
      </c>
      <c r="H938" s="23">
        <v>20250301</v>
      </c>
      <c r="I938" s="23" t="str">
        <f>TEXT(DATE(LEFT(H938,4), MID(H938,5,2), RIGHT(H938,2)), "M/d/yyyy")</f>
        <v>3/1/2025</v>
      </c>
      <c r="J938" s="25">
        <v>20250101</v>
      </c>
      <c r="K938" s="23" t="str">
        <f>TEXT(DATE(LEFT(J938,4), MID(J938,5,2), RIGHT(J938,2)), "M/d/yyyy")</f>
        <v>1/1/2025</v>
      </c>
      <c r="L938" s="24" t="s">
        <v>60</v>
      </c>
      <c r="M938" s="26">
        <v>1</v>
      </c>
      <c r="N938" s="25">
        <v>30</v>
      </c>
      <c r="O938" s="27">
        <v>30</v>
      </c>
      <c r="P938" s="22" t="s">
        <v>3833</v>
      </c>
    </row>
    <row r="939" spans="1:16" s="22" customFormat="1" ht="15" customHeight="1" x14ac:dyDescent="0.2">
      <c r="A939" s="22" t="s">
        <v>3820</v>
      </c>
      <c r="B939" s="22">
        <v>7146581</v>
      </c>
      <c r="C939" s="23">
        <v>1</v>
      </c>
      <c r="D939" s="23">
        <v>921747568</v>
      </c>
      <c r="E939" s="23">
        <v>921747568</v>
      </c>
      <c r="F939" s="24" t="s">
        <v>3692</v>
      </c>
      <c r="G939" s="23">
        <v>0</v>
      </c>
      <c r="H939" s="23">
        <v>20250301</v>
      </c>
      <c r="I939" s="23" t="str">
        <f>TEXT(DATE(LEFT(H939,4), MID(H939,5,2), RIGHT(H939,2)), "M/d/yyyy")</f>
        <v>3/1/2025</v>
      </c>
      <c r="J939" s="25">
        <v>20241201</v>
      </c>
      <c r="K939" s="23" t="str">
        <f>TEXT(DATE(LEFT(J939,4), MID(J939,5,2), RIGHT(J939,2)), "M/d/yyyy")</f>
        <v>12/1/2024</v>
      </c>
      <c r="L939" s="24" t="s">
        <v>60</v>
      </c>
      <c r="M939" s="26">
        <v>1</v>
      </c>
      <c r="N939" s="25">
        <v>30</v>
      </c>
      <c r="O939" s="27">
        <v>30</v>
      </c>
      <c r="P939" s="22" t="s">
        <v>3833</v>
      </c>
    </row>
    <row r="940" spans="1:16" s="22" customFormat="1" ht="15" customHeight="1" x14ac:dyDescent="0.2">
      <c r="A940" s="22" t="s">
        <v>3820</v>
      </c>
      <c r="B940" s="22">
        <v>7146581</v>
      </c>
      <c r="C940" s="23">
        <v>1</v>
      </c>
      <c r="D940" s="23">
        <v>921774851</v>
      </c>
      <c r="E940" s="23">
        <v>921774851</v>
      </c>
      <c r="F940" s="24" t="s">
        <v>3708</v>
      </c>
      <c r="G940" s="23">
        <v>0</v>
      </c>
      <c r="H940" s="23">
        <v>20250301</v>
      </c>
      <c r="I940" s="23" t="str">
        <f>TEXT(DATE(LEFT(H940,4), MID(H940,5,2), RIGHT(H940,2)), "M/d/yyyy")</f>
        <v>3/1/2025</v>
      </c>
      <c r="J940" s="25">
        <v>20250201</v>
      </c>
      <c r="K940" s="23" t="str">
        <f>TEXT(DATE(LEFT(J940,4), MID(J940,5,2), RIGHT(J940,2)), "M/d/yyyy")</f>
        <v>2/1/2025</v>
      </c>
      <c r="L940" s="24" t="s">
        <v>60</v>
      </c>
      <c r="M940" s="26">
        <v>1</v>
      </c>
      <c r="N940" s="25">
        <v>30</v>
      </c>
      <c r="O940" s="27">
        <v>30</v>
      </c>
      <c r="P940" s="22" t="s">
        <v>3833</v>
      </c>
    </row>
    <row r="941" spans="1:16" s="22" customFormat="1" ht="15" customHeight="1" x14ac:dyDescent="0.2">
      <c r="A941" s="22" t="s">
        <v>3820</v>
      </c>
      <c r="B941" s="22">
        <v>7146581</v>
      </c>
      <c r="C941" s="23">
        <v>1</v>
      </c>
      <c r="D941" s="23">
        <v>921775093</v>
      </c>
      <c r="E941" s="23">
        <v>921775093</v>
      </c>
      <c r="F941" s="24" t="s">
        <v>3711</v>
      </c>
      <c r="G941" s="23">
        <v>0</v>
      </c>
      <c r="H941" s="23">
        <v>20250301</v>
      </c>
      <c r="I941" s="23" t="str">
        <f>TEXT(DATE(LEFT(H941,4), MID(H941,5,2), RIGHT(H941,2)), "M/d/yyyy")</f>
        <v>3/1/2025</v>
      </c>
      <c r="J941" s="25">
        <v>20250201</v>
      </c>
      <c r="K941" s="23" t="str">
        <f>TEXT(DATE(LEFT(J941,4), MID(J941,5,2), RIGHT(J941,2)), "M/d/yyyy")</f>
        <v>2/1/2025</v>
      </c>
      <c r="L941" s="24" t="s">
        <v>60</v>
      </c>
      <c r="M941" s="26">
        <v>1</v>
      </c>
      <c r="N941" s="25">
        <v>30</v>
      </c>
      <c r="O941" s="27">
        <v>30</v>
      </c>
      <c r="P941" s="22" t="s">
        <v>3833</v>
      </c>
    </row>
    <row r="942" spans="1:16" s="22" customFormat="1" ht="15" customHeight="1" x14ac:dyDescent="0.2">
      <c r="A942" s="22" t="s">
        <v>3820</v>
      </c>
      <c r="B942" s="22">
        <v>7146581</v>
      </c>
      <c r="C942" s="23">
        <v>2</v>
      </c>
      <c r="D942" s="23">
        <v>920885497</v>
      </c>
      <c r="E942" s="23">
        <v>920885497</v>
      </c>
      <c r="F942" s="24" t="s">
        <v>3559</v>
      </c>
      <c r="G942" s="23">
        <v>0</v>
      </c>
      <c r="H942" s="23">
        <v>20250301</v>
      </c>
      <c r="I942" s="23" t="str">
        <f>TEXT(DATE(LEFT(H942,4), MID(H942,5,2), RIGHT(H942,2)), "M/d/yyyy")</f>
        <v>3/1/2025</v>
      </c>
      <c r="J942" s="25">
        <v>20150101</v>
      </c>
      <c r="K942" s="23" t="str">
        <f>TEXT(DATE(LEFT(J942,4), MID(J942,5,2), RIGHT(J942,2)), "M/d/yyyy")</f>
        <v>1/1/2015</v>
      </c>
      <c r="L942" s="24" t="s">
        <v>60</v>
      </c>
      <c r="M942" s="26">
        <v>1</v>
      </c>
      <c r="N942" s="25">
        <v>25</v>
      </c>
      <c r="O942" s="27">
        <v>50</v>
      </c>
      <c r="P942" s="22" t="s">
        <v>3833</v>
      </c>
    </row>
    <row r="943" spans="1:16" s="22" customFormat="1" ht="15" customHeight="1" x14ac:dyDescent="0.2">
      <c r="A943" s="22" t="s">
        <v>3820</v>
      </c>
      <c r="B943" s="22">
        <v>7146581</v>
      </c>
      <c r="C943" s="23">
        <v>2</v>
      </c>
      <c r="D943" s="23">
        <v>920937200</v>
      </c>
      <c r="E943" s="23">
        <v>920937200</v>
      </c>
      <c r="F943" s="24" t="s">
        <v>3565</v>
      </c>
      <c r="G943" s="23">
        <v>0</v>
      </c>
      <c r="H943" s="23">
        <v>20250301</v>
      </c>
      <c r="I943" s="23" t="str">
        <f>TEXT(DATE(LEFT(H943,4), MID(H943,5,2), RIGHT(H943,2)), "M/d/yyyy")</f>
        <v>3/1/2025</v>
      </c>
      <c r="J943" s="25">
        <v>20240101</v>
      </c>
      <c r="K943" s="23" t="str">
        <f>TEXT(DATE(LEFT(J943,4), MID(J943,5,2), RIGHT(J943,2)), "M/d/yyyy")</f>
        <v>1/1/2024</v>
      </c>
      <c r="L943" s="24" t="s">
        <v>60</v>
      </c>
      <c r="M943" s="26">
        <v>1</v>
      </c>
      <c r="N943" s="25">
        <v>25</v>
      </c>
      <c r="O943" s="27">
        <v>50</v>
      </c>
      <c r="P943" s="22" t="s">
        <v>3833</v>
      </c>
    </row>
    <row r="944" spans="1:16" s="22" customFormat="1" ht="15" customHeight="1" x14ac:dyDescent="0.2">
      <c r="A944" s="22" t="s">
        <v>3820</v>
      </c>
      <c r="B944" s="22">
        <v>7146581</v>
      </c>
      <c r="C944" s="23">
        <v>2</v>
      </c>
      <c r="D944" s="23">
        <v>921230443</v>
      </c>
      <c r="E944" s="23">
        <v>921230443</v>
      </c>
      <c r="F944" s="24" t="s">
        <v>3581</v>
      </c>
      <c r="G944" s="23">
        <v>0</v>
      </c>
      <c r="H944" s="23">
        <v>20250301</v>
      </c>
      <c r="I944" s="23" t="str">
        <f>TEXT(DATE(LEFT(H944,4), MID(H944,5,2), RIGHT(H944,2)), "M/d/yyyy")</f>
        <v>3/1/2025</v>
      </c>
      <c r="J944" s="25">
        <v>20200101</v>
      </c>
      <c r="K944" s="23" t="str">
        <f>TEXT(DATE(LEFT(J944,4), MID(J944,5,2), RIGHT(J944,2)), "M/d/yyyy")</f>
        <v>1/1/2020</v>
      </c>
      <c r="L944" s="24" t="s">
        <v>60</v>
      </c>
      <c r="M944" s="26">
        <v>1</v>
      </c>
      <c r="N944" s="25">
        <v>25</v>
      </c>
      <c r="O944" s="27">
        <v>50</v>
      </c>
      <c r="P944" s="22" t="s">
        <v>3833</v>
      </c>
    </row>
    <row r="945" spans="1:16" s="22" customFormat="1" ht="15" customHeight="1" x14ac:dyDescent="0.2">
      <c r="A945" s="22" t="s">
        <v>3820</v>
      </c>
      <c r="B945" s="22">
        <v>7146581</v>
      </c>
      <c r="C945" s="23">
        <v>2</v>
      </c>
      <c r="D945" s="23">
        <v>921323837</v>
      </c>
      <c r="E945" s="23">
        <v>921323837</v>
      </c>
      <c r="F945" s="24" t="s">
        <v>3592</v>
      </c>
      <c r="G945" s="23">
        <v>0</v>
      </c>
      <c r="H945" s="23">
        <v>20250301</v>
      </c>
      <c r="I945" s="23" t="str">
        <f>TEXT(DATE(LEFT(H945,4), MID(H945,5,2), RIGHT(H945,2)), "M/d/yyyy")</f>
        <v>3/1/2025</v>
      </c>
      <c r="J945" s="25">
        <v>20180101</v>
      </c>
      <c r="K945" s="23" t="str">
        <f>TEXT(DATE(LEFT(J945,4), MID(J945,5,2), RIGHT(J945,2)), "M/d/yyyy")</f>
        <v>1/1/2018</v>
      </c>
      <c r="L945" s="24" t="s">
        <v>60</v>
      </c>
      <c r="M945" s="26">
        <v>1</v>
      </c>
      <c r="N945" s="25">
        <v>25</v>
      </c>
      <c r="O945" s="27">
        <v>50</v>
      </c>
      <c r="P945" s="22" t="s">
        <v>3833</v>
      </c>
    </row>
    <row r="946" spans="1:16" s="22" customFormat="1" ht="15" customHeight="1" x14ac:dyDescent="0.2">
      <c r="A946" s="22" t="s">
        <v>3820</v>
      </c>
      <c r="B946" s="22">
        <v>7146581</v>
      </c>
      <c r="C946" s="23">
        <v>2</v>
      </c>
      <c r="D946" s="23">
        <v>921499974</v>
      </c>
      <c r="E946" s="23">
        <v>921499974</v>
      </c>
      <c r="F946" s="24" t="s">
        <v>3622</v>
      </c>
      <c r="G946" s="23">
        <v>0</v>
      </c>
      <c r="H946" s="23">
        <v>20250301</v>
      </c>
      <c r="I946" s="23" t="str">
        <f>TEXT(DATE(LEFT(H946,4), MID(H946,5,2), RIGHT(H946,2)), "M/d/yyyy")</f>
        <v>3/1/2025</v>
      </c>
      <c r="J946" s="25">
        <v>20200601</v>
      </c>
      <c r="K946" s="23" t="str">
        <f>TEXT(DATE(LEFT(J946,4), MID(J946,5,2), RIGHT(J946,2)), "M/d/yyyy")</f>
        <v>6/1/2020</v>
      </c>
      <c r="L946" s="24" t="s">
        <v>60</v>
      </c>
      <c r="M946" s="26">
        <v>1</v>
      </c>
      <c r="N946" s="25">
        <v>25</v>
      </c>
      <c r="O946" s="27">
        <v>50</v>
      </c>
      <c r="P946" s="22" t="s">
        <v>3833</v>
      </c>
    </row>
    <row r="947" spans="1:16" s="22" customFormat="1" ht="15" customHeight="1" x14ac:dyDescent="0.2">
      <c r="A947" s="22" t="s">
        <v>3820</v>
      </c>
      <c r="B947" s="22">
        <v>7146581</v>
      </c>
      <c r="C947" s="23">
        <v>2</v>
      </c>
      <c r="D947" s="23">
        <v>921644691</v>
      </c>
      <c r="E947" s="23">
        <v>921644691</v>
      </c>
      <c r="F947" s="24" t="s">
        <v>3644</v>
      </c>
      <c r="G947" s="23">
        <v>0</v>
      </c>
      <c r="H947" s="23">
        <v>20250301</v>
      </c>
      <c r="I947" s="23" t="str">
        <f>TEXT(DATE(LEFT(H947,4), MID(H947,5,2), RIGHT(H947,2)), "M/d/yyyy")</f>
        <v>3/1/2025</v>
      </c>
      <c r="J947" s="25">
        <v>20230101</v>
      </c>
      <c r="K947" s="23" t="str">
        <f>TEXT(DATE(LEFT(J947,4), MID(J947,5,2), RIGHT(J947,2)), "M/d/yyyy")</f>
        <v>1/1/2023</v>
      </c>
      <c r="L947" s="24" t="s">
        <v>60</v>
      </c>
      <c r="M947" s="26">
        <v>1</v>
      </c>
      <c r="N947" s="25">
        <v>25</v>
      </c>
      <c r="O947" s="27">
        <v>50</v>
      </c>
      <c r="P947" s="22" t="s">
        <v>3833</v>
      </c>
    </row>
    <row r="948" spans="1:16" s="22" customFormat="1" ht="15" customHeight="1" x14ac:dyDescent="0.2">
      <c r="A948" s="22" t="s">
        <v>3820</v>
      </c>
      <c r="B948" s="22">
        <v>7146581</v>
      </c>
      <c r="C948" s="23">
        <v>2</v>
      </c>
      <c r="D948" s="23">
        <v>890204280</v>
      </c>
      <c r="E948" s="23">
        <v>890204280</v>
      </c>
      <c r="F948" s="24" t="s">
        <v>3530</v>
      </c>
      <c r="G948" s="23">
        <v>0</v>
      </c>
      <c r="H948" s="23">
        <v>20250301</v>
      </c>
      <c r="I948" s="23" t="str">
        <f>TEXT(DATE(LEFT(H948,4), MID(H948,5,2), RIGHT(H948,2)), "M/d/yyyy")</f>
        <v>3/1/2025</v>
      </c>
      <c r="J948" s="25">
        <v>20250201</v>
      </c>
      <c r="K948" s="23" t="str">
        <f>TEXT(DATE(LEFT(J948,4), MID(J948,5,2), RIGHT(J948,2)), "M/d/yyyy")</f>
        <v>2/1/2025</v>
      </c>
      <c r="L948" s="24" t="s">
        <v>60</v>
      </c>
      <c r="M948" s="26">
        <v>1</v>
      </c>
      <c r="N948" s="25">
        <v>30</v>
      </c>
      <c r="O948" s="27">
        <v>60</v>
      </c>
      <c r="P948" s="22" t="s">
        <v>3833</v>
      </c>
    </row>
    <row r="949" spans="1:16" s="22" customFormat="1" ht="15" customHeight="1" x14ac:dyDescent="0.2">
      <c r="A949" s="22" t="s">
        <v>3820</v>
      </c>
      <c r="B949" s="22">
        <v>7146581</v>
      </c>
      <c r="C949" s="23">
        <v>2</v>
      </c>
      <c r="D949" s="23">
        <v>921512188</v>
      </c>
      <c r="E949" s="23">
        <v>921512188</v>
      </c>
      <c r="F949" s="24" t="s">
        <v>3624</v>
      </c>
      <c r="G949" s="23">
        <v>0</v>
      </c>
      <c r="H949" s="23">
        <v>20250301</v>
      </c>
      <c r="I949" s="23" t="str">
        <f>TEXT(DATE(LEFT(H949,4), MID(H949,5,2), RIGHT(H949,2)), "M/d/yyyy")</f>
        <v>3/1/2025</v>
      </c>
      <c r="J949" s="25">
        <v>20250101</v>
      </c>
      <c r="K949" s="23" t="str">
        <f>TEXT(DATE(LEFT(J949,4), MID(J949,5,2), RIGHT(J949,2)), "M/d/yyyy")</f>
        <v>1/1/2025</v>
      </c>
      <c r="L949" s="24" t="s">
        <v>60</v>
      </c>
      <c r="M949" s="26">
        <v>1</v>
      </c>
      <c r="N949" s="25">
        <v>30</v>
      </c>
      <c r="O949" s="27">
        <v>60</v>
      </c>
      <c r="P949" s="22" t="s">
        <v>3833</v>
      </c>
    </row>
    <row r="950" spans="1:16" s="22" customFormat="1" ht="15" customHeight="1" x14ac:dyDescent="0.2">
      <c r="A950" s="22" t="s">
        <v>3820</v>
      </c>
      <c r="B950" s="22">
        <v>7146581</v>
      </c>
      <c r="C950" s="23">
        <v>2</v>
      </c>
      <c r="D950" s="23">
        <v>921727311</v>
      </c>
      <c r="E950" s="23">
        <v>921727311</v>
      </c>
      <c r="F950" s="24" t="s">
        <v>3676</v>
      </c>
      <c r="G950" s="23">
        <v>0</v>
      </c>
      <c r="H950" s="23">
        <v>20250301</v>
      </c>
      <c r="I950" s="23" t="str">
        <f>TEXT(DATE(LEFT(H950,4), MID(H950,5,2), RIGHT(H950,2)), "M/d/yyyy")</f>
        <v>3/1/2025</v>
      </c>
      <c r="J950" s="25">
        <v>20240701</v>
      </c>
      <c r="K950" s="23" t="str">
        <f>TEXT(DATE(LEFT(J950,4), MID(J950,5,2), RIGHT(J950,2)), "M/d/yyyy")</f>
        <v>7/1/2024</v>
      </c>
      <c r="L950" s="24" t="s">
        <v>60</v>
      </c>
      <c r="M950" s="26">
        <v>1</v>
      </c>
      <c r="N950" s="25">
        <v>30</v>
      </c>
      <c r="O950" s="27">
        <v>60</v>
      </c>
      <c r="P950" s="22" t="s">
        <v>3833</v>
      </c>
    </row>
    <row r="951" spans="1:16" s="22" customFormat="1" ht="15" customHeight="1" x14ac:dyDescent="0.2">
      <c r="A951" s="22" t="s">
        <v>3820</v>
      </c>
      <c r="B951" s="22">
        <v>7146581</v>
      </c>
      <c r="C951" s="23">
        <v>2</v>
      </c>
      <c r="D951" s="23">
        <v>921733611</v>
      </c>
      <c r="E951" s="23">
        <v>921733611</v>
      </c>
      <c r="F951" s="24" t="s">
        <v>3678</v>
      </c>
      <c r="G951" s="23">
        <v>0</v>
      </c>
      <c r="H951" s="23">
        <v>20250301</v>
      </c>
      <c r="I951" s="23" t="str">
        <f>TEXT(DATE(LEFT(H951,4), MID(H951,5,2), RIGHT(H951,2)), "M/d/yyyy")</f>
        <v>3/1/2025</v>
      </c>
      <c r="J951" s="25">
        <v>20240801</v>
      </c>
      <c r="K951" s="23" t="str">
        <f>TEXT(DATE(LEFT(J951,4), MID(J951,5,2), RIGHT(J951,2)), "M/d/yyyy")</f>
        <v>8/1/2024</v>
      </c>
      <c r="L951" s="24" t="s">
        <v>60</v>
      </c>
      <c r="M951" s="26">
        <v>1</v>
      </c>
      <c r="N951" s="25">
        <v>30</v>
      </c>
      <c r="O951" s="27">
        <v>60</v>
      </c>
      <c r="P951" s="22" t="s">
        <v>3833</v>
      </c>
    </row>
    <row r="952" spans="1:16" s="22" customFormat="1" ht="15" customHeight="1" x14ac:dyDescent="0.2">
      <c r="A952" s="22" t="s">
        <v>3820</v>
      </c>
      <c r="B952" s="22">
        <v>7146581</v>
      </c>
      <c r="C952" s="23">
        <v>2</v>
      </c>
      <c r="D952" s="23">
        <v>921735859</v>
      </c>
      <c r="E952" s="23">
        <v>921735859</v>
      </c>
      <c r="F952" s="24" t="s">
        <v>3682</v>
      </c>
      <c r="G952" s="23">
        <v>0</v>
      </c>
      <c r="H952" s="23">
        <v>20250301</v>
      </c>
      <c r="I952" s="23" t="str">
        <f>TEXT(DATE(LEFT(H952,4), MID(H952,5,2), RIGHT(H952,2)), "M/d/yyyy")</f>
        <v>3/1/2025</v>
      </c>
      <c r="J952" s="25">
        <v>20240901</v>
      </c>
      <c r="K952" s="23" t="str">
        <f>TEXT(DATE(LEFT(J952,4), MID(J952,5,2), RIGHT(J952,2)), "M/d/yyyy")</f>
        <v>9/1/2024</v>
      </c>
      <c r="L952" s="24" t="s">
        <v>60</v>
      </c>
      <c r="M952" s="26">
        <v>1</v>
      </c>
      <c r="N952" s="25">
        <v>30</v>
      </c>
      <c r="O952" s="27">
        <v>60</v>
      </c>
      <c r="P952" s="22" t="s">
        <v>3833</v>
      </c>
    </row>
    <row r="953" spans="1:16" s="22" customFormat="1" ht="15" customHeight="1" x14ac:dyDescent="0.2">
      <c r="A953" s="22" t="s">
        <v>3820</v>
      </c>
      <c r="B953" s="22">
        <v>7146581</v>
      </c>
      <c r="C953" s="23">
        <v>2</v>
      </c>
      <c r="D953" s="23">
        <v>921748758</v>
      </c>
      <c r="E953" s="23">
        <v>921748758</v>
      </c>
      <c r="F953" s="24" t="s">
        <v>3696</v>
      </c>
      <c r="G953" s="23">
        <v>0</v>
      </c>
      <c r="H953" s="23">
        <v>20250301</v>
      </c>
      <c r="I953" s="23" t="str">
        <f>TEXT(DATE(LEFT(H953,4), MID(H953,5,2), RIGHT(H953,2)), "M/d/yyyy")</f>
        <v>3/1/2025</v>
      </c>
      <c r="J953" s="25">
        <v>20250101</v>
      </c>
      <c r="K953" s="23" t="str">
        <f>TEXT(DATE(LEFT(J953,4), MID(J953,5,2), RIGHT(J953,2)), "M/d/yyyy")</f>
        <v>1/1/2025</v>
      </c>
      <c r="L953" s="24" t="s">
        <v>60</v>
      </c>
      <c r="M953" s="26">
        <v>1</v>
      </c>
      <c r="N953" s="25">
        <v>30</v>
      </c>
      <c r="O953" s="27">
        <v>60</v>
      </c>
      <c r="P953" s="22" t="s">
        <v>3833</v>
      </c>
    </row>
    <row r="954" spans="1:16" s="22" customFormat="1" ht="15" customHeight="1" x14ac:dyDescent="0.2">
      <c r="A954" s="22" t="s">
        <v>3820</v>
      </c>
      <c r="B954" s="22">
        <v>7146581</v>
      </c>
      <c r="C954" s="23">
        <v>2</v>
      </c>
      <c r="D954" s="23">
        <v>921749411</v>
      </c>
      <c r="E954" s="23">
        <v>921749411</v>
      </c>
      <c r="F954" s="24" t="s">
        <v>3698</v>
      </c>
      <c r="G954" s="23">
        <v>0</v>
      </c>
      <c r="H954" s="23">
        <v>20250301</v>
      </c>
      <c r="I954" s="23" t="str">
        <f>TEXT(DATE(LEFT(H954,4), MID(H954,5,2), RIGHT(H954,2)), "M/d/yyyy")</f>
        <v>3/1/2025</v>
      </c>
      <c r="J954" s="25">
        <v>20250101</v>
      </c>
      <c r="K954" s="23" t="str">
        <f>TEXT(DATE(LEFT(J954,4), MID(J954,5,2), RIGHT(J954,2)), "M/d/yyyy")</f>
        <v>1/1/2025</v>
      </c>
      <c r="L954" s="24" t="s">
        <v>60</v>
      </c>
      <c r="M954" s="26">
        <v>1</v>
      </c>
      <c r="N954" s="25">
        <v>30</v>
      </c>
      <c r="O954" s="27">
        <v>60</v>
      </c>
      <c r="P954" s="22" t="s">
        <v>3833</v>
      </c>
    </row>
    <row r="955" spans="1:16" s="22" customFormat="1" ht="15" customHeight="1" x14ac:dyDescent="0.2">
      <c r="A955" s="22" t="s">
        <v>3820</v>
      </c>
      <c r="B955" s="22">
        <v>7146581</v>
      </c>
      <c r="C955" s="23">
        <v>3</v>
      </c>
      <c r="D955" s="23">
        <v>920887150</v>
      </c>
      <c r="E955" s="23">
        <v>920887150</v>
      </c>
      <c r="F955" s="24" t="s">
        <v>3561</v>
      </c>
      <c r="G955" s="23">
        <v>0</v>
      </c>
      <c r="H955" s="23">
        <v>20250301</v>
      </c>
      <c r="I955" s="23" t="str">
        <f>TEXT(DATE(LEFT(H955,4), MID(H955,5,2), RIGHT(H955,2)), "M/d/yyyy")</f>
        <v>3/1/2025</v>
      </c>
      <c r="J955" s="25">
        <v>20231101</v>
      </c>
      <c r="K955" s="23" t="str">
        <f>TEXT(DATE(LEFT(J955,4), MID(J955,5,2), RIGHT(J955,2)), "M/d/yyyy")</f>
        <v>11/1/2023</v>
      </c>
      <c r="L955" s="24" t="s">
        <v>60</v>
      </c>
      <c r="M955" s="26">
        <v>1</v>
      </c>
      <c r="N955" s="25">
        <v>25</v>
      </c>
      <c r="O955" s="27">
        <v>75</v>
      </c>
      <c r="P955" s="22" t="s">
        <v>3833</v>
      </c>
    </row>
    <row r="956" spans="1:16" s="22" customFormat="1" ht="15" customHeight="1" x14ac:dyDescent="0.2">
      <c r="A956" s="22" t="s">
        <v>3820</v>
      </c>
      <c r="B956" s="22">
        <v>7146581</v>
      </c>
      <c r="C956" s="23">
        <v>4</v>
      </c>
      <c r="D956" s="23">
        <v>890408763</v>
      </c>
      <c r="E956" s="23">
        <v>890408763</v>
      </c>
      <c r="F956" s="24" t="s">
        <v>3532</v>
      </c>
      <c r="G956" s="23">
        <v>0</v>
      </c>
      <c r="H956" s="23">
        <v>20250301</v>
      </c>
      <c r="I956" s="23" t="str">
        <f>TEXT(DATE(LEFT(H956,4), MID(H956,5,2), RIGHT(H956,2)), "M/d/yyyy")</f>
        <v>3/1/2025</v>
      </c>
      <c r="J956" s="25">
        <v>20140101</v>
      </c>
      <c r="K956" s="23" t="str">
        <f>TEXT(DATE(LEFT(J956,4), MID(J956,5,2), RIGHT(J956,2)), "M/d/yyyy")</f>
        <v>1/1/2014</v>
      </c>
      <c r="L956" s="24" t="s">
        <v>60</v>
      </c>
      <c r="M956" s="26">
        <v>1</v>
      </c>
      <c r="N956" s="25">
        <v>25</v>
      </c>
      <c r="O956" s="27">
        <v>100</v>
      </c>
      <c r="P956" s="22" t="s">
        <v>3833</v>
      </c>
    </row>
    <row r="957" spans="1:16" s="22" customFormat="1" ht="15" customHeight="1" x14ac:dyDescent="0.2">
      <c r="A957" s="22" t="s">
        <v>3820</v>
      </c>
      <c r="B957" s="22">
        <v>7146581</v>
      </c>
      <c r="C957" s="23">
        <v>4</v>
      </c>
      <c r="D957" s="23">
        <v>890408763</v>
      </c>
      <c r="E957" s="23">
        <v>890408763</v>
      </c>
      <c r="F957" s="24" t="s">
        <v>3532</v>
      </c>
      <c r="G957" s="23">
        <v>0</v>
      </c>
      <c r="H957" s="23">
        <v>20250201</v>
      </c>
      <c r="I957" s="23" t="str">
        <f>TEXT(DATE(LEFT(H957,4), MID(H957,5,2), RIGHT(H957,2)), "M/d/yyyy")</f>
        <v>2/1/2025</v>
      </c>
      <c r="J957" s="25">
        <v>20140101</v>
      </c>
      <c r="K957" s="23" t="str">
        <f>TEXT(DATE(LEFT(J957,4), MID(J957,5,2), RIGHT(J957,2)), "M/d/yyyy")</f>
        <v>1/1/2014</v>
      </c>
      <c r="L957" s="24" t="s">
        <v>60</v>
      </c>
      <c r="M957" s="26">
        <v>1</v>
      </c>
      <c r="N957" s="25">
        <v>25</v>
      </c>
      <c r="O957" s="27">
        <v>100</v>
      </c>
      <c r="P957" s="22" t="s">
        <v>3833</v>
      </c>
    </row>
    <row r="958" spans="1:16" s="22" customFormat="1" ht="15" customHeight="1" x14ac:dyDescent="0.2">
      <c r="A958" s="22" t="s">
        <v>3790</v>
      </c>
      <c r="B958" s="22">
        <v>19586992</v>
      </c>
      <c r="C958" s="23">
        <v>1</v>
      </c>
      <c r="D958" s="23">
        <v>921720485</v>
      </c>
      <c r="E958" s="23">
        <v>921720485</v>
      </c>
      <c r="F958" s="24" t="s">
        <v>2462</v>
      </c>
      <c r="G958" s="23">
        <v>0</v>
      </c>
      <c r="H958" s="23">
        <v>20250301</v>
      </c>
      <c r="I958" s="23" t="str">
        <f>TEXT(DATE(LEFT(H958,4), MID(H958,5,2), RIGHT(H958,2)), "M/d/yyyy")</f>
        <v>3/1/2025</v>
      </c>
      <c r="J958" s="25">
        <v>20240601</v>
      </c>
      <c r="K958" s="23" t="str">
        <f>TEXT(DATE(LEFT(J958,4), MID(J958,5,2), RIGHT(J958,2)), "M/d/yyyy")</f>
        <v>6/1/2024</v>
      </c>
      <c r="L958" s="24" t="s">
        <v>60</v>
      </c>
      <c r="M958" s="26">
        <v>1</v>
      </c>
      <c r="N958" s="25">
        <v>30</v>
      </c>
      <c r="O958" s="27">
        <v>30</v>
      </c>
      <c r="P958" s="22" t="s">
        <v>3833</v>
      </c>
    </row>
    <row r="959" spans="1:16" s="22" customFormat="1" ht="15" customHeight="1" x14ac:dyDescent="0.2">
      <c r="A959" s="22" t="s">
        <v>3790</v>
      </c>
      <c r="B959" s="22">
        <v>19586992</v>
      </c>
      <c r="C959" s="23">
        <v>2</v>
      </c>
      <c r="D959" s="23">
        <v>921735463</v>
      </c>
      <c r="E959" s="23">
        <v>921735463</v>
      </c>
      <c r="F959" s="24" t="s">
        <v>2470</v>
      </c>
      <c r="G959" s="23">
        <v>0</v>
      </c>
      <c r="H959" s="23">
        <v>20250301</v>
      </c>
      <c r="I959" s="23" t="str">
        <f>TEXT(DATE(LEFT(H959,4), MID(H959,5,2), RIGHT(H959,2)), "M/d/yyyy")</f>
        <v>3/1/2025</v>
      </c>
      <c r="J959" s="25">
        <v>20240901</v>
      </c>
      <c r="K959" s="23" t="str">
        <f>TEXT(DATE(LEFT(J959,4), MID(J959,5,2), RIGHT(J959,2)), "M/d/yyyy")</f>
        <v>9/1/2024</v>
      </c>
      <c r="L959" s="24" t="s">
        <v>60</v>
      </c>
      <c r="M959" s="26">
        <v>1</v>
      </c>
      <c r="N959" s="25">
        <v>30</v>
      </c>
      <c r="O959" s="27">
        <v>60</v>
      </c>
      <c r="P959" s="22" t="s">
        <v>3833</v>
      </c>
    </row>
    <row r="960" spans="1:16" s="22" customFormat="1" ht="15" customHeight="1" x14ac:dyDescent="0.2">
      <c r="A960" s="22" t="s">
        <v>3801</v>
      </c>
      <c r="B960" s="22">
        <v>21104854</v>
      </c>
      <c r="C960" s="23">
        <v>2</v>
      </c>
      <c r="D960" s="23">
        <v>921739499</v>
      </c>
      <c r="E960" s="23">
        <v>921739499</v>
      </c>
      <c r="F960" s="24" t="s">
        <v>3043</v>
      </c>
      <c r="G960" s="23">
        <v>0</v>
      </c>
      <c r="H960" s="23">
        <v>20250301</v>
      </c>
      <c r="I960" s="23" t="str">
        <f>TEXT(DATE(LEFT(H960,4), MID(H960,5,2), RIGHT(H960,2)), "M/d/yyyy")</f>
        <v>3/1/2025</v>
      </c>
      <c r="J960" s="25">
        <v>20241001</v>
      </c>
      <c r="K960" s="23" t="str">
        <f>TEXT(DATE(LEFT(J960,4), MID(J960,5,2), RIGHT(J960,2)), "M/d/yyyy")</f>
        <v>10/1/2024</v>
      </c>
      <c r="L960" s="24" t="s">
        <v>60</v>
      </c>
      <c r="M960" s="26">
        <v>1</v>
      </c>
      <c r="N960" s="25">
        <v>30</v>
      </c>
      <c r="O960" s="27">
        <v>60</v>
      </c>
      <c r="P960" s="22" t="s">
        <v>3833</v>
      </c>
    </row>
    <row r="961" spans="1:16" s="22" customFormat="1" ht="15" customHeight="1" x14ac:dyDescent="0.2">
      <c r="A961" s="22" t="s">
        <v>3803</v>
      </c>
      <c r="B961" s="22">
        <v>20003537</v>
      </c>
      <c r="C961" s="23">
        <v>1</v>
      </c>
      <c r="D961" s="23">
        <v>921594843</v>
      </c>
      <c r="E961" s="23">
        <v>921594843</v>
      </c>
      <c r="F961" s="24" t="s">
        <v>3073</v>
      </c>
      <c r="G961" s="23">
        <v>0</v>
      </c>
      <c r="H961" s="23">
        <v>20250301</v>
      </c>
      <c r="I961" s="23" t="str">
        <f>TEXT(DATE(LEFT(H961,4), MID(H961,5,2), RIGHT(H961,2)), "M/d/yyyy")</f>
        <v>3/1/2025</v>
      </c>
      <c r="J961" s="25">
        <v>20240101</v>
      </c>
      <c r="K961" s="23" t="str">
        <f>TEXT(DATE(LEFT(J961,4), MID(J961,5,2), RIGHT(J961,2)), "M/d/yyyy")</f>
        <v>1/1/2024</v>
      </c>
      <c r="L961" s="24" t="s">
        <v>60</v>
      </c>
      <c r="M961" s="26">
        <v>1</v>
      </c>
      <c r="N961" s="25">
        <v>25</v>
      </c>
      <c r="O961" s="27">
        <v>25</v>
      </c>
      <c r="P961" s="22" t="s">
        <v>3833</v>
      </c>
    </row>
    <row r="962" spans="1:16" s="22" customFormat="1" ht="15" customHeight="1" x14ac:dyDescent="0.2">
      <c r="A962" s="22" t="s">
        <v>3803</v>
      </c>
      <c r="B962" s="22">
        <v>20003537</v>
      </c>
      <c r="C962" s="23">
        <v>1</v>
      </c>
      <c r="D962" s="23">
        <v>921614734</v>
      </c>
      <c r="E962" s="23">
        <v>921614734</v>
      </c>
      <c r="F962" s="24" t="s">
        <v>3075</v>
      </c>
      <c r="G962" s="23">
        <v>0</v>
      </c>
      <c r="H962" s="23">
        <v>20250301</v>
      </c>
      <c r="I962" s="23" t="str">
        <f>TEXT(DATE(LEFT(H962,4), MID(H962,5,2), RIGHT(H962,2)), "M/d/yyyy")</f>
        <v>3/1/2025</v>
      </c>
      <c r="J962" s="25">
        <v>20231101</v>
      </c>
      <c r="K962" s="23" t="str">
        <f>TEXT(DATE(LEFT(J962,4), MID(J962,5,2), RIGHT(J962,2)), "M/d/yyyy")</f>
        <v>11/1/2023</v>
      </c>
      <c r="L962" s="24" t="s">
        <v>60</v>
      </c>
      <c r="M962" s="26">
        <v>1</v>
      </c>
      <c r="N962" s="25">
        <v>25</v>
      </c>
      <c r="O962" s="27">
        <v>25</v>
      </c>
      <c r="P962" s="22" t="s">
        <v>3833</v>
      </c>
    </row>
    <row r="963" spans="1:16" s="22" customFormat="1" ht="15" customHeight="1" x14ac:dyDescent="0.2">
      <c r="A963" s="22" t="s">
        <v>3803</v>
      </c>
      <c r="B963" s="22">
        <v>20003537</v>
      </c>
      <c r="C963" s="23">
        <v>1</v>
      </c>
      <c r="D963" s="23">
        <v>921655868</v>
      </c>
      <c r="E963" s="23">
        <v>921655868</v>
      </c>
      <c r="F963" s="24" t="s">
        <v>3085</v>
      </c>
      <c r="G963" s="23">
        <v>0</v>
      </c>
      <c r="H963" s="23">
        <v>20250301</v>
      </c>
      <c r="I963" s="23" t="str">
        <f>TEXT(DATE(LEFT(H963,4), MID(H963,5,2), RIGHT(H963,2)), "M/d/yyyy")</f>
        <v>3/1/2025</v>
      </c>
      <c r="J963" s="25">
        <v>20230401</v>
      </c>
      <c r="K963" s="23" t="str">
        <f>TEXT(DATE(LEFT(J963,4), MID(J963,5,2), RIGHT(J963,2)), "M/d/yyyy")</f>
        <v>4/1/2023</v>
      </c>
      <c r="L963" s="24" t="s">
        <v>60</v>
      </c>
      <c r="M963" s="26">
        <v>1</v>
      </c>
      <c r="N963" s="25">
        <v>25</v>
      </c>
      <c r="O963" s="27">
        <v>25</v>
      </c>
      <c r="P963" s="22" t="s">
        <v>3833</v>
      </c>
    </row>
    <row r="964" spans="1:16" s="22" customFormat="1" ht="15" customHeight="1" x14ac:dyDescent="0.2">
      <c r="A964" s="22" t="s">
        <v>3803</v>
      </c>
      <c r="B964" s="22">
        <v>20003537</v>
      </c>
      <c r="C964" s="23">
        <v>1</v>
      </c>
      <c r="D964" s="23">
        <v>921258551</v>
      </c>
      <c r="E964" s="23">
        <v>921258551</v>
      </c>
      <c r="F964" s="24" t="s">
        <v>3069</v>
      </c>
      <c r="G964" s="23">
        <v>0</v>
      </c>
      <c r="H964" s="23">
        <v>20250301</v>
      </c>
      <c r="I964" s="23" t="str">
        <f>TEXT(DATE(LEFT(H964,4), MID(H964,5,2), RIGHT(H964,2)), "M/d/yyyy")</f>
        <v>3/1/2025</v>
      </c>
      <c r="J964" s="25">
        <v>20240301</v>
      </c>
      <c r="K964" s="23" t="str">
        <f>TEXT(DATE(LEFT(J964,4), MID(J964,5,2), RIGHT(J964,2)), "M/d/yyyy")</f>
        <v>3/1/2024</v>
      </c>
      <c r="L964" s="24" t="s">
        <v>60</v>
      </c>
      <c r="M964" s="26">
        <v>1</v>
      </c>
      <c r="N964" s="25">
        <v>30</v>
      </c>
      <c r="O964" s="27">
        <v>30</v>
      </c>
      <c r="P964" s="22" t="s">
        <v>3833</v>
      </c>
    </row>
    <row r="965" spans="1:16" s="22" customFormat="1" ht="15" customHeight="1" x14ac:dyDescent="0.2">
      <c r="A965" s="22" t="s">
        <v>3789</v>
      </c>
      <c r="B965" s="22">
        <v>19681796</v>
      </c>
      <c r="C965" s="23">
        <v>1</v>
      </c>
      <c r="D965" s="23">
        <v>920898622</v>
      </c>
      <c r="E965" s="23">
        <v>920898622</v>
      </c>
      <c r="F965" s="24" t="s">
        <v>2350</v>
      </c>
      <c r="G965" s="23">
        <v>0</v>
      </c>
      <c r="H965" s="23">
        <v>20250301</v>
      </c>
      <c r="I965" s="23" t="str">
        <f>TEXT(DATE(LEFT(H965,4), MID(H965,5,2), RIGHT(H965,2)), "M/d/yyyy")</f>
        <v>3/1/2025</v>
      </c>
      <c r="J965" s="25">
        <v>20220101</v>
      </c>
      <c r="K965" s="23" t="str">
        <f>TEXT(DATE(LEFT(J965,4), MID(J965,5,2), RIGHT(J965,2)), "M/d/yyyy")</f>
        <v>1/1/2022</v>
      </c>
      <c r="L965" s="24" t="s">
        <v>60</v>
      </c>
      <c r="M965" s="26">
        <v>1</v>
      </c>
      <c r="N965" s="25">
        <v>25</v>
      </c>
      <c r="O965" s="27">
        <v>25</v>
      </c>
      <c r="P965" s="22" t="s">
        <v>3833</v>
      </c>
    </row>
    <row r="966" spans="1:16" s="22" customFormat="1" ht="15" customHeight="1" x14ac:dyDescent="0.2">
      <c r="A966" s="22" t="s">
        <v>3789</v>
      </c>
      <c r="B966" s="22">
        <v>19681796</v>
      </c>
      <c r="C966" s="23">
        <v>1</v>
      </c>
      <c r="D966" s="23">
        <v>921627609</v>
      </c>
      <c r="E966" s="23">
        <v>921627609</v>
      </c>
      <c r="F966" s="24" t="s">
        <v>2377</v>
      </c>
      <c r="G966" s="23">
        <v>0</v>
      </c>
      <c r="H966" s="23">
        <v>20250301</v>
      </c>
      <c r="I966" s="23" t="str">
        <f>TEXT(DATE(LEFT(H966,4), MID(H966,5,2), RIGHT(H966,2)), "M/d/yyyy")</f>
        <v>3/1/2025</v>
      </c>
      <c r="J966" s="25">
        <v>20230101</v>
      </c>
      <c r="K966" s="23" t="str">
        <f>TEXT(DATE(LEFT(J966,4), MID(J966,5,2), RIGHT(J966,2)), "M/d/yyyy")</f>
        <v>1/1/2023</v>
      </c>
      <c r="L966" s="24" t="s">
        <v>60</v>
      </c>
      <c r="M966" s="26">
        <v>1</v>
      </c>
      <c r="N966" s="25">
        <v>25</v>
      </c>
      <c r="O966" s="27">
        <v>25</v>
      </c>
      <c r="P966" s="22" t="s">
        <v>3833</v>
      </c>
    </row>
    <row r="967" spans="1:16" s="22" customFormat="1" ht="15" customHeight="1" x14ac:dyDescent="0.2">
      <c r="A967" s="22" t="s">
        <v>3789</v>
      </c>
      <c r="B967" s="22">
        <v>19681796</v>
      </c>
      <c r="C967" s="23">
        <v>1</v>
      </c>
      <c r="D967" s="23">
        <v>921325526</v>
      </c>
      <c r="E967" s="23">
        <v>921325526</v>
      </c>
      <c r="F967" s="24" t="s">
        <v>2355</v>
      </c>
      <c r="G967" s="23">
        <v>0</v>
      </c>
      <c r="H967" s="23">
        <v>20250301</v>
      </c>
      <c r="I967" s="23" t="str">
        <f>TEXT(DATE(LEFT(H967,4), MID(H967,5,2), RIGHT(H967,2)), "M/d/yyyy")</f>
        <v>3/1/2025</v>
      </c>
      <c r="J967" s="25">
        <v>20250101</v>
      </c>
      <c r="K967" s="23" t="str">
        <f>TEXT(DATE(LEFT(J967,4), MID(J967,5,2), RIGHT(J967,2)), "M/d/yyyy")</f>
        <v>1/1/2025</v>
      </c>
      <c r="L967" s="24" t="s">
        <v>60</v>
      </c>
      <c r="M967" s="26">
        <v>1</v>
      </c>
      <c r="N967" s="25">
        <v>30</v>
      </c>
      <c r="O967" s="27">
        <v>30</v>
      </c>
      <c r="P967" s="22" t="s">
        <v>3833</v>
      </c>
    </row>
    <row r="968" spans="1:16" s="22" customFormat="1" ht="15" customHeight="1" x14ac:dyDescent="0.2">
      <c r="A968" s="22" t="s">
        <v>3789</v>
      </c>
      <c r="B968" s="22">
        <v>19681796</v>
      </c>
      <c r="C968" s="23">
        <v>1</v>
      </c>
      <c r="D968" s="23">
        <v>921718522</v>
      </c>
      <c r="E968" s="23">
        <v>921718522</v>
      </c>
      <c r="F968" s="24" t="s">
        <v>2391</v>
      </c>
      <c r="G968" s="23">
        <v>0</v>
      </c>
      <c r="H968" s="23">
        <v>20250301</v>
      </c>
      <c r="I968" s="23" t="str">
        <f>TEXT(DATE(LEFT(H968,4), MID(H968,5,2), RIGHT(H968,2)), "M/d/yyyy")</f>
        <v>3/1/2025</v>
      </c>
      <c r="J968" s="25">
        <v>20240401</v>
      </c>
      <c r="K968" s="23" t="str">
        <f>TEXT(DATE(LEFT(J968,4), MID(J968,5,2), RIGHT(J968,2)), "M/d/yyyy")</f>
        <v>4/1/2024</v>
      </c>
      <c r="L968" s="24" t="s">
        <v>60</v>
      </c>
      <c r="M968" s="26">
        <v>1</v>
      </c>
      <c r="N968" s="25">
        <v>30</v>
      </c>
      <c r="O968" s="27">
        <v>30</v>
      </c>
      <c r="P968" s="22" t="s">
        <v>3833</v>
      </c>
    </row>
    <row r="969" spans="1:16" s="22" customFormat="1" ht="15" customHeight="1" x14ac:dyDescent="0.2">
      <c r="A969" s="22" t="s">
        <v>3789</v>
      </c>
      <c r="B969" s="22">
        <v>19681796</v>
      </c>
      <c r="C969" s="23">
        <v>1</v>
      </c>
      <c r="D969" s="23">
        <v>921737741</v>
      </c>
      <c r="E969" s="23">
        <v>921737741</v>
      </c>
      <c r="F969" s="24" t="s">
        <v>2399</v>
      </c>
      <c r="G969" s="23">
        <v>0</v>
      </c>
      <c r="H969" s="23">
        <v>20250301</v>
      </c>
      <c r="I969" s="23" t="str">
        <f>TEXT(DATE(LEFT(H969,4), MID(H969,5,2), RIGHT(H969,2)), "M/d/yyyy")</f>
        <v>3/1/2025</v>
      </c>
      <c r="J969" s="25">
        <v>20240901</v>
      </c>
      <c r="K969" s="23" t="str">
        <f>TEXT(DATE(LEFT(J969,4), MID(J969,5,2), RIGHT(J969,2)), "M/d/yyyy")</f>
        <v>9/1/2024</v>
      </c>
      <c r="L969" s="24" t="s">
        <v>60</v>
      </c>
      <c r="M969" s="26">
        <v>1</v>
      </c>
      <c r="N969" s="25">
        <v>30</v>
      </c>
      <c r="O969" s="27">
        <v>30</v>
      </c>
      <c r="P969" s="22" t="s">
        <v>3833</v>
      </c>
    </row>
    <row r="970" spans="1:16" s="22" customFormat="1" ht="15" customHeight="1" x14ac:dyDescent="0.2">
      <c r="A970" s="22" t="s">
        <v>3789</v>
      </c>
      <c r="B970" s="22">
        <v>19681796</v>
      </c>
      <c r="C970" s="23">
        <v>2</v>
      </c>
      <c r="D970" s="23">
        <v>921751126</v>
      </c>
      <c r="E970" s="23">
        <v>921751126</v>
      </c>
      <c r="F970" s="24" t="s">
        <v>2401</v>
      </c>
      <c r="G970" s="23">
        <v>0</v>
      </c>
      <c r="H970" s="23">
        <v>20250301</v>
      </c>
      <c r="I970" s="23" t="str">
        <f>TEXT(DATE(LEFT(H970,4), MID(H970,5,2), RIGHT(H970,2)), "M/d/yyyy")</f>
        <v>3/1/2025</v>
      </c>
      <c r="J970" s="25">
        <v>20250101</v>
      </c>
      <c r="K970" s="23" t="str">
        <f>TEXT(DATE(LEFT(J970,4), MID(J970,5,2), RIGHT(J970,2)), "M/d/yyyy")</f>
        <v>1/1/2025</v>
      </c>
      <c r="L970" s="24" t="s">
        <v>60</v>
      </c>
      <c r="M970" s="26">
        <v>1</v>
      </c>
      <c r="N970" s="25">
        <v>30</v>
      </c>
      <c r="O970" s="27">
        <v>60</v>
      </c>
      <c r="P970" s="22" t="s">
        <v>3833</v>
      </c>
    </row>
    <row r="971" spans="1:16" s="22" customFormat="1" ht="15" customHeight="1" x14ac:dyDescent="0.2">
      <c r="A971" s="22" t="s">
        <v>3789</v>
      </c>
      <c r="B971" s="22">
        <v>19681796</v>
      </c>
      <c r="C971" s="23">
        <v>3</v>
      </c>
      <c r="D971" s="23">
        <v>921674010</v>
      </c>
      <c r="E971" s="23">
        <v>921674010</v>
      </c>
      <c r="F971" s="24" t="s">
        <v>2383</v>
      </c>
      <c r="G971" s="23">
        <v>0</v>
      </c>
      <c r="H971" s="23">
        <v>20250201</v>
      </c>
      <c r="I971" s="23" t="str">
        <f>TEXT(DATE(LEFT(H971,4), MID(H971,5,2), RIGHT(H971,2)), "M/d/yyyy")</f>
        <v>2/1/2025</v>
      </c>
      <c r="J971" s="25">
        <v>20231001</v>
      </c>
      <c r="K971" s="23" t="str">
        <f>TEXT(DATE(LEFT(J971,4), MID(J971,5,2), RIGHT(J971,2)), "M/d/yyyy")</f>
        <v>10/1/2023</v>
      </c>
      <c r="L971" s="24" t="s">
        <v>60</v>
      </c>
      <c r="M971" s="26">
        <v>1</v>
      </c>
      <c r="N971" s="25">
        <v>25</v>
      </c>
      <c r="O971" s="27">
        <v>75</v>
      </c>
      <c r="P971" s="22" t="s">
        <v>3833</v>
      </c>
    </row>
    <row r="972" spans="1:16" s="22" customFormat="1" ht="15" customHeight="1" x14ac:dyDescent="0.2">
      <c r="A972" s="22" t="s">
        <v>3777</v>
      </c>
      <c r="B972" s="22">
        <v>17437820</v>
      </c>
      <c r="C972" s="23">
        <v>1</v>
      </c>
      <c r="D972" s="23">
        <v>921065097</v>
      </c>
      <c r="E972" s="23">
        <v>921065097</v>
      </c>
      <c r="F972" s="24" t="s">
        <v>556</v>
      </c>
      <c r="G972" s="23">
        <v>0</v>
      </c>
      <c r="H972" s="23">
        <v>20250301</v>
      </c>
      <c r="I972" s="23" t="str">
        <f>TEXT(DATE(LEFT(H972,4), MID(H972,5,2), RIGHT(H972,2)), "M/d/yyyy")</f>
        <v>3/1/2025</v>
      </c>
      <c r="J972" s="25">
        <v>20150201</v>
      </c>
      <c r="K972" s="23" t="str">
        <f>TEXT(DATE(LEFT(J972,4), MID(J972,5,2), RIGHT(J972,2)), "M/d/yyyy")</f>
        <v>2/1/2015</v>
      </c>
      <c r="L972" s="24" t="s">
        <v>60</v>
      </c>
      <c r="M972" s="26">
        <v>1</v>
      </c>
      <c r="N972" s="25">
        <v>25</v>
      </c>
      <c r="O972" s="27">
        <v>25</v>
      </c>
      <c r="P972" s="22" t="s">
        <v>3833</v>
      </c>
    </row>
    <row r="973" spans="1:16" s="22" customFormat="1" ht="15" customHeight="1" x14ac:dyDescent="0.2">
      <c r="A973" s="22" t="s">
        <v>3777</v>
      </c>
      <c r="B973" s="22">
        <v>17437820</v>
      </c>
      <c r="C973" s="23">
        <v>1</v>
      </c>
      <c r="D973" s="23">
        <v>921194798</v>
      </c>
      <c r="E973" s="23">
        <v>921194798</v>
      </c>
      <c r="F973" s="24" t="s">
        <v>569</v>
      </c>
      <c r="G973" s="23">
        <v>0</v>
      </c>
      <c r="H973" s="23">
        <v>20250301</v>
      </c>
      <c r="I973" s="23" t="str">
        <f>TEXT(DATE(LEFT(H973,4), MID(H973,5,2), RIGHT(H973,2)), "M/d/yyyy")</f>
        <v>3/1/2025</v>
      </c>
      <c r="J973" s="25">
        <v>20231101</v>
      </c>
      <c r="K973" s="23" t="str">
        <f>TEXT(DATE(LEFT(J973,4), MID(J973,5,2), RIGHT(J973,2)), "M/d/yyyy")</f>
        <v>11/1/2023</v>
      </c>
      <c r="L973" s="24" t="s">
        <v>60</v>
      </c>
      <c r="M973" s="26">
        <v>1</v>
      </c>
      <c r="N973" s="25">
        <v>25</v>
      </c>
      <c r="O973" s="27">
        <v>25</v>
      </c>
      <c r="P973" s="22" t="s">
        <v>3833</v>
      </c>
    </row>
    <row r="974" spans="1:16" s="22" customFormat="1" ht="15" customHeight="1" x14ac:dyDescent="0.2">
      <c r="A974" s="22" t="s">
        <v>3777</v>
      </c>
      <c r="B974" s="22">
        <v>17437820</v>
      </c>
      <c r="C974" s="23">
        <v>1</v>
      </c>
      <c r="D974" s="23">
        <v>921616642</v>
      </c>
      <c r="E974" s="23">
        <v>921616642</v>
      </c>
      <c r="F974" s="24" t="s">
        <v>607</v>
      </c>
      <c r="G974" s="23">
        <v>0</v>
      </c>
      <c r="H974" s="23">
        <v>20250301</v>
      </c>
      <c r="I974" s="23" t="str">
        <f>TEXT(DATE(LEFT(H974,4), MID(H974,5,2), RIGHT(H974,2)), "M/d/yyyy")</f>
        <v>3/1/2025</v>
      </c>
      <c r="J974" s="25">
        <v>20220701</v>
      </c>
      <c r="K974" s="23" t="str">
        <f>TEXT(DATE(LEFT(J974,4), MID(J974,5,2), RIGHT(J974,2)), "M/d/yyyy")</f>
        <v>7/1/2022</v>
      </c>
      <c r="L974" s="24" t="s">
        <v>60</v>
      </c>
      <c r="M974" s="26">
        <v>1</v>
      </c>
      <c r="N974" s="25">
        <v>25</v>
      </c>
      <c r="O974" s="27">
        <v>25</v>
      </c>
      <c r="P974" s="22" t="s">
        <v>3833</v>
      </c>
    </row>
    <row r="975" spans="1:16" s="22" customFormat="1" ht="15" customHeight="1" x14ac:dyDescent="0.2">
      <c r="A975" s="22" t="s">
        <v>3777</v>
      </c>
      <c r="B975" s="22">
        <v>17437820</v>
      </c>
      <c r="C975" s="23">
        <v>1</v>
      </c>
      <c r="D975" s="23">
        <v>921571517</v>
      </c>
      <c r="E975" s="23">
        <v>921571517</v>
      </c>
      <c r="F975" s="24" t="s">
        <v>599</v>
      </c>
      <c r="G975" s="23">
        <v>0</v>
      </c>
      <c r="H975" s="23">
        <v>20250201</v>
      </c>
      <c r="I975" s="23" t="str">
        <f>TEXT(DATE(LEFT(H975,4), MID(H975,5,2), RIGHT(H975,2)), "M/d/yyyy")</f>
        <v>2/1/2025</v>
      </c>
      <c r="J975" s="25">
        <v>20240901</v>
      </c>
      <c r="K975" s="23" t="str">
        <f>TEXT(DATE(LEFT(J975,4), MID(J975,5,2), RIGHT(J975,2)), "M/d/yyyy")</f>
        <v>9/1/2024</v>
      </c>
      <c r="L975" s="24" t="s">
        <v>60</v>
      </c>
      <c r="M975" s="26">
        <v>1</v>
      </c>
      <c r="N975" s="25">
        <v>30</v>
      </c>
      <c r="O975" s="27">
        <v>30</v>
      </c>
      <c r="P975" s="22" t="s">
        <v>3833</v>
      </c>
    </row>
    <row r="976" spans="1:16" s="22" customFormat="1" ht="15" customHeight="1" x14ac:dyDescent="0.2">
      <c r="A976" s="22" t="s">
        <v>3777</v>
      </c>
      <c r="B976" s="22">
        <v>17437820</v>
      </c>
      <c r="C976" s="23">
        <v>1</v>
      </c>
      <c r="D976" s="23">
        <v>921588661</v>
      </c>
      <c r="E976" s="23">
        <v>921588661</v>
      </c>
      <c r="F976" s="24" t="s">
        <v>601</v>
      </c>
      <c r="G976" s="23">
        <v>0</v>
      </c>
      <c r="H976" s="23">
        <v>20250201</v>
      </c>
      <c r="I976" s="23" t="str">
        <f>TEXT(DATE(LEFT(H976,4), MID(H976,5,2), RIGHT(H976,2)), "M/d/yyyy")</f>
        <v>2/1/2025</v>
      </c>
      <c r="J976" s="25">
        <v>20241201</v>
      </c>
      <c r="K976" s="23" t="str">
        <f>TEXT(DATE(LEFT(J976,4), MID(J976,5,2), RIGHT(J976,2)), "M/d/yyyy")</f>
        <v>12/1/2024</v>
      </c>
      <c r="L976" s="24" t="s">
        <v>60</v>
      </c>
      <c r="M976" s="26">
        <v>1</v>
      </c>
      <c r="N976" s="25">
        <v>30</v>
      </c>
      <c r="O976" s="27">
        <v>30</v>
      </c>
      <c r="P976" s="22" t="s">
        <v>3833</v>
      </c>
    </row>
    <row r="977" spans="1:16" s="22" customFormat="1" ht="15" customHeight="1" x14ac:dyDescent="0.2">
      <c r="A977" s="22" t="s">
        <v>3777</v>
      </c>
      <c r="B977" s="22">
        <v>17437820</v>
      </c>
      <c r="C977" s="23">
        <v>2</v>
      </c>
      <c r="D977" s="23">
        <v>921529579</v>
      </c>
      <c r="E977" s="23">
        <v>921529579</v>
      </c>
      <c r="F977" s="24" t="s">
        <v>582</v>
      </c>
      <c r="G977" s="23">
        <v>0</v>
      </c>
      <c r="H977" s="23">
        <v>20250201</v>
      </c>
      <c r="I977" s="23" t="str">
        <f>TEXT(DATE(LEFT(H977,4), MID(H977,5,2), RIGHT(H977,2)), "M/d/yyyy")</f>
        <v>2/1/2025</v>
      </c>
      <c r="J977" s="25">
        <v>20200901</v>
      </c>
      <c r="K977" s="23" t="str">
        <f>TEXT(DATE(LEFT(J977,4), MID(J977,5,2), RIGHT(J977,2)), "M/d/yyyy")</f>
        <v>9/1/2020</v>
      </c>
      <c r="L977" s="24" t="s">
        <v>60</v>
      </c>
      <c r="M977" s="26">
        <v>1</v>
      </c>
      <c r="N977" s="25">
        <v>25</v>
      </c>
      <c r="O977" s="27">
        <v>50</v>
      </c>
      <c r="P977" s="22" t="s">
        <v>3833</v>
      </c>
    </row>
    <row r="978" spans="1:16" s="22" customFormat="1" ht="15" customHeight="1" x14ac:dyDescent="0.2">
      <c r="A978" s="22" t="s">
        <v>3777</v>
      </c>
      <c r="B978" s="22">
        <v>17437820</v>
      </c>
      <c r="C978" s="23">
        <v>2</v>
      </c>
      <c r="D978" s="23">
        <v>921529579</v>
      </c>
      <c r="E978" s="23">
        <v>921529579</v>
      </c>
      <c r="F978" s="24" t="s">
        <v>582</v>
      </c>
      <c r="G978" s="23">
        <v>0</v>
      </c>
      <c r="H978" s="23">
        <v>20250101</v>
      </c>
      <c r="I978" s="23" t="str">
        <f>TEXT(DATE(LEFT(H978,4), MID(H978,5,2), RIGHT(H978,2)), "M/d/yyyy")</f>
        <v>1/1/2025</v>
      </c>
      <c r="J978" s="25">
        <v>20200901</v>
      </c>
      <c r="K978" s="23" t="str">
        <f>TEXT(DATE(LEFT(J978,4), MID(J978,5,2), RIGHT(J978,2)), "M/d/yyyy")</f>
        <v>9/1/2020</v>
      </c>
      <c r="L978" s="24" t="s">
        <v>60</v>
      </c>
      <c r="M978" s="26">
        <v>1</v>
      </c>
      <c r="N978" s="25">
        <v>25</v>
      </c>
      <c r="O978" s="27">
        <v>50</v>
      </c>
      <c r="P978" s="22" t="s">
        <v>3833</v>
      </c>
    </row>
    <row r="979" spans="1:16" s="22" customFormat="1" ht="15" customHeight="1" x14ac:dyDescent="0.2">
      <c r="A979" s="22" t="s">
        <v>3777</v>
      </c>
      <c r="B979" s="22">
        <v>17437820</v>
      </c>
      <c r="C979" s="23">
        <v>5</v>
      </c>
      <c r="D979" s="23">
        <v>920811116</v>
      </c>
      <c r="E979" s="23">
        <v>920811116</v>
      </c>
      <c r="F979" s="24" t="s">
        <v>539</v>
      </c>
      <c r="G979" s="23">
        <v>0</v>
      </c>
      <c r="H979" s="23">
        <v>20250301</v>
      </c>
      <c r="I979" s="23" t="str">
        <f>TEXT(DATE(LEFT(H979,4), MID(H979,5,2), RIGHT(H979,2)), "M/d/yyyy")</f>
        <v>3/1/2025</v>
      </c>
      <c r="J979" s="25">
        <v>20240101</v>
      </c>
      <c r="K979" s="23" t="str">
        <f>TEXT(DATE(LEFT(J979,4), MID(J979,5,2), RIGHT(J979,2)), "M/d/yyyy")</f>
        <v>1/1/2024</v>
      </c>
      <c r="L979" s="24" t="s">
        <v>60</v>
      </c>
      <c r="M979" s="26">
        <v>1</v>
      </c>
      <c r="N979" s="25">
        <v>25</v>
      </c>
      <c r="O979" s="27">
        <v>125</v>
      </c>
      <c r="P979" s="22" t="s">
        <v>3833</v>
      </c>
    </row>
    <row r="980" spans="1:16" s="22" customFormat="1" ht="15" customHeight="1" x14ac:dyDescent="0.2">
      <c r="A980" s="22" t="s">
        <v>3777</v>
      </c>
      <c r="B980" s="22">
        <v>17437820</v>
      </c>
      <c r="C980" s="23">
        <v>5</v>
      </c>
      <c r="D980" s="23">
        <v>920936858</v>
      </c>
      <c r="E980" s="23">
        <v>920936858</v>
      </c>
      <c r="F980" s="24" t="s">
        <v>549</v>
      </c>
      <c r="G980" s="23">
        <v>0</v>
      </c>
      <c r="H980" s="23">
        <v>20250301</v>
      </c>
      <c r="I980" s="23" t="str">
        <f>TEXT(DATE(LEFT(H980,4), MID(H980,5,2), RIGHT(H980,2)), "M/d/yyyy")</f>
        <v>3/1/2025</v>
      </c>
      <c r="J980" s="25">
        <v>20210501</v>
      </c>
      <c r="K980" s="23" t="str">
        <f>TEXT(DATE(LEFT(J980,4), MID(J980,5,2), RIGHT(J980,2)), "M/d/yyyy")</f>
        <v>5/1/2021</v>
      </c>
      <c r="L980" s="24" t="s">
        <v>60</v>
      </c>
      <c r="M980" s="26">
        <v>1</v>
      </c>
      <c r="N980" s="25">
        <v>25</v>
      </c>
      <c r="O980" s="27">
        <v>125</v>
      </c>
      <c r="P980" s="22" t="s">
        <v>3833</v>
      </c>
    </row>
    <row r="981" spans="1:16" s="22" customFormat="1" ht="15" customHeight="1" x14ac:dyDescent="0.2">
      <c r="A981" s="22" t="s">
        <v>3805</v>
      </c>
      <c r="B981" s="22">
        <v>8325282</v>
      </c>
      <c r="C981" s="24" t="s">
        <v>588</v>
      </c>
      <c r="D981" s="23">
        <v>921749527</v>
      </c>
      <c r="E981" s="23">
        <v>921749527</v>
      </c>
      <c r="F981" s="24" t="s">
        <v>3270</v>
      </c>
      <c r="G981" s="23">
        <v>0</v>
      </c>
      <c r="H981" s="23">
        <v>20250201</v>
      </c>
      <c r="I981" s="23" t="str">
        <f>TEXT(DATE(LEFT(H981,4), MID(H981,5,2), RIGHT(H981,2)), "M/d/yyyy")</f>
        <v>2/1/2025</v>
      </c>
      <c r="J981" s="25">
        <v>20250101</v>
      </c>
      <c r="K981" s="23" t="str">
        <f>TEXT(DATE(LEFT(J981,4), MID(J981,5,2), RIGHT(J981,2)), "M/d/yyyy")</f>
        <v>1/1/2025</v>
      </c>
      <c r="L981" s="24" t="s">
        <v>60</v>
      </c>
      <c r="M981" s="26">
        <v>1</v>
      </c>
      <c r="N981" s="25">
        <v>30</v>
      </c>
      <c r="O981" s="27">
        <v>-30</v>
      </c>
      <c r="P981" s="22" t="s">
        <v>3833</v>
      </c>
    </row>
    <row r="982" spans="1:16" s="22" customFormat="1" ht="15" customHeight="1" x14ac:dyDescent="0.2">
      <c r="A982" s="22" t="s">
        <v>3805</v>
      </c>
      <c r="B982" s="22">
        <v>8325282</v>
      </c>
      <c r="C982" s="23">
        <v>1</v>
      </c>
      <c r="D982" s="23">
        <v>921331639</v>
      </c>
      <c r="E982" s="23">
        <v>921331639</v>
      </c>
      <c r="F982" s="24" t="s">
        <v>3170</v>
      </c>
      <c r="G982" s="23">
        <v>0</v>
      </c>
      <c r="H982" s="23">
        <v>20250301</v>
      </c>
      <c r="I982" s="23" t="str">
        <f>TEXT(DATE(LEFT(H982,4), MID(H982,5,2), RIGHT(H982,2)), "M/d/yyyy")</f>
        <v>3/1/2025</v>
      </c>
      <c r="J982" s="25">
        <v>20170101</v>
      </c>
      <c r="K982" s="23" t="str">
        <f>TEXT(DATE(LEFT(J982,4), MID(J982,5,2), RIGHT(J982,2)), "M/d/yyyy")</f>
        <v>1/1/2017</v>
      </c>
      <c r="L982" s="24" t="s">
        <v>60</v>
      </c>
      <c r="M982" s="26">
        <v>1</v>
      </c>
      <c r="N982" s="25">
        <v>25</v>
      </c>
      <c r="O982" s="27">
        <v>25</v>
      </c>
      <c r="P982" s="22" t="s">
        <v>3833</v>
      </c>
    </row>
    <row r="983" spans="1:16" s="22" customFormat="1" ht="15" customHeight="1" x14ac:dyDescent="0.2">
      <c r="A983" s="22" t="s">
        <v>3805</v>
      </c>
      <c r="B983" s="22">
        <v>8325282</v>
      </c>
      <c r="C983" s="23">
        <v>1</v>
      </c>
      <c r="D983" s="23">
        <v>921361689</v>
      </c>
      <c r="E983" s="23">
        <v>921361689</v>
      </c>
      <c r="F983" s="24" t="s">
        <v>1688</v>
      </c>
      <c r="G983" s="23">
        <v>0</v>
      </c>
      <c r="H983" s="23">
        <v>20250301</v>
      </c>
      <c r="I983" s="23" t="str">
        <f>TEXT(DATE(LEFT(H983,4), MID(H983,5,2), RIGHT(H983,2)), "M/d/yyyy")</f>
        <v>3/1/2025</v>
      </c>
      <c r="J983" s="25">
        <v>20170901</v>
      </c>
      <c r="K983" s="23" t="str">
        <f>TEXT(DATE(LEFT(J983,4), MID(J983,5,2), RIGHT(J983,2)), "M/d/yyyy")</f>
        <v>9/1/2017</v>
      </c>
      <c r="L983" s="24" t="s">
        <v>60</v>
      </c>
      <c r="M983" s="26">
        <v>1</v>
      </c>
      <c r="N983" s="25">
        <v>25</v>
      </c>
      <c r="O983" s="27">
        <v>25</v>
      </c>
      <c r="P983" s="22" t="s">
        <v>3833</v>
      </c>
    </row>
    <row r="984" spans="1:16" s="22" customFormat="1" ht="15" customHeight="1" x14ac:dyDescent="0.2">
      <c r="A984" s="22" t="s">
        <v>3805</v>
      </c>
      <c r="B984" s="22">
        <v>8325282</v>
      </c>
      <c r="C984" s="23">
        <v>1</v>
      </c>
      <c r="D984" s="23">
        <v>921425918</v>
      </c>
      <c r="E984" s="23">
        <v>921425918</v>
      </c>
      <c r="F984" s="24" t="s">
        <v>3182</v>
      </c>
      <c r="G984" s="23">
        <v>0</v>
      </c>
      <c r="H984" s="23">
        <v>20250301</v>
      </c>
      <c r="I984" s="23" t="str">
        <f>TEXT(DATE(LEFT(H984,4), MID(H984,5,2), RIGHT(H984,2)), "M/d/yyyy")</f>
        <v>3/1/2025</v>
      </c>
      <c r="J984" s="25">
        <v>20180901</v>
      </c>
      <c r="K984" s="23" t="str">
        <f>TEXT(DATE(LEFT(J984,4), MID(J984,5,2), RIGHT(J984,2)), "M/d/yyyy")</f>
        <v>9/1/2018</v>
      </c>
      <c r="L984" s="24" t="s">
        <v>60</v>
      </c>
      <c r="M984" s="26">
        <v>1</v>
      </c>
      <c r="N984" s="25">
        <v>25</v>
      </c>
      <c r="O984" s="27">
        <v>25</v>
      </c>
      <c r="P984" s="22" t="s">
        <v>3833</v>
      </c>
    </row>
    <row r="985" spans="1:16" s="22" customFormat="1" ht="15" customHeight="1" x14ac:dyDescent="0.2">
      <c r="A985" s="22" t="s">
        <v>3805</v>
      </c>
      <c r="B985" s="22">
        <v>8325282</v>
      </c>
      <c r="C985" s="23">
        <v>1</v>
      </c>
      <c r="D985" s="23">
        <v>921480505</v>
      </c>
      <c r="E985" s="23">
        <v>921480505</v>
      </c>
      <c r="F985" s="24" t="s">
        <v>3193</v>
      </c>
      <c r="G985" s="23">
        <v>0</v>
      </c>
      <c r="H985" s="23">
        <v>20250301</v>
      </c>
      <c r="I985" s="23" t="str">
        <f>TEXT(DATE(LEFT(H985,4), MID(H985,5,2), RIGHT(H985,2)), "M/d/yyyy")</f>
        <v>3/1/2025</v>
      </c>
      <c r="J985" s="25">
        <v>20190901</v>
      </c>
      <c r="K985" s="23" t="str">
        <f>TEXT(DATE(LEFT(J985,4), MID(J985,5,2), RIGHT(J985,2)), "M/d/yyyy")</f>
        <v>9/1/2019</v>
      </c>
      <c r="L985" s="24" t="s">
        <v>60</v>
      </c>
      <c r="M985" s="26">
        <v>1</v>
      </c>
      <c r="N985" s="25">
        <v>25</v>
      </c>
      <c r="O985" s="27">
        <v>25</v>
      </c>
      <c r="P985" s="22" t="s">
        <v>3833</v>
      </c>
    </row>
    <row r="986" spans="1:16" s="22" customFormat="1" ht="15" customHeight="1" x14ac:dyDescent="0.2">
      <c r="A986" s="22" t="s">
        <v>3805</v>
      </c>
      <c r="B986" s="22">
        <v>8325282</v>
      </c>
      <c r="C986" s="23">
        <v>1</v>
      </c>
      <c r="D986" s="23">
        <v>921491611</v>
      </c>
      <c r="E986" s="23">
        <v>921491611</v>
      </c>
      <c r="F986" s="24" t="s">
        <v>3195</v>
      </c>
      <c r="G986" s="23">
        <v>0</v>
      </c>
      <c r="H986" s="23">
        <v>20250201</v>
      </c>
      <c r="I986" s="23" t="str">
        <f>TEXT(DATE(LEFT(H986,4), MID(H986,5,2), RIGHT(H986,2)), "M/d/yyyy")</f>
        <v>2/1/2025</v>
      </c>
      <c r="J986" s="25">
        <v>20230101</v>
      </c>
      <c r="K986" s="23" t="str">
        <f>TEXT(DATE(LEFT(J986,4), MID(J986,5,2), RIGHT(J986,2)), "M/d/yyyy")</f>
        <v>1/1/2023</v>
      </c>
      <c r="L986" s="24" t="s">
        <v>60</v>
      </c>
      <c r="M986" s="26">
        <v>1</v>
      </c>
      <c r="N986" s="25">
        <v>25</v>
      </c>
      <c r="O986" s="27">
        <v>25</v>
      </c>
      <c r="P986" s="22" t="s">
        <v>3833</v>
      </c>
    </row>
    <row r="987" spans="1:16" s="22" customFormat="1" ht="15" customHeight="1" x14ac:dyDescent="0.2">
      <c r="A987" s="22" t="s">
        <v>3805</v>
      </c>
      <c r="B987" s="22">
        <v>8325282</v>
      </c>
      <c r="C987" s="23">
        <v>1</v>
      </c>
      <c r="D987" s="23">
        <v>921531601</v>
      </c>
      <c r="E987" s="23">
        <v>921531601</v>
      </c>
      <c r="F987" s="24" t="s">
        <v>3201</v>
      </c>
      <c r="G987" s="23">
        <v>0</v>
      </c>
      <c r="H987" s="23">
        <v>20250301</v>
      </c>
      <c r="I987" s="23" t="str">
        <f>TEXT(DATE(LEFT(H987,4), MID(H987,5,2), RIGHT(H987,2)), "M/d/yyyy")</f>
        <v>3/1/2025</v>
      </c>
      <c r="J987" s="25">
        <v>20231201</v>
      </c>
      <c r="K987" s="23" t="str">
        <f>TEXT(DATE(LEFT(J987,4), MID(J987,5,2), RIGHT(J987,2)), "M/d/yyyy")</f>
        <v>12/1/2023</v>
      </c>
      <c r="L987" s="24" t="s">
        <v>60</v>
      </c>
      <c r="M987" s="26">
        <v>1</v>
      </c>
      <c r="N987" s="25">
        <v>25</v>
      </c>
      <c r="O987" s="27">
        <v>25</v>
      </c>
      <c r="P987" s="22" t="s">
        <v>3833</v>
      </c>
    </row>
    <row r="988" spans="1:16" s="22" customFormat="1" ht="15" customHeight="1" x14ac:dyDescent="0.2">
      <c r="A988" s="22" t="s">
        <v>3805</v>
      </c>
      <c r="B988" s="22">
        <v>8325282</v>
      </c>
      <c r="C988" s="23">
        <v>1</v>
      </c>
      <c r="D988" s="23">
        <v>921559300</v>
      </c>
      <c r="E988" s="23">
        <v>921559300</v>
      </c>
      <c r="F988" s="24" t="s">
        <v>3211</v>
      </c>
      <c r="G988" s="23">
        <v>0</v>
      </c>
      <c r="H988" s="23">
        <v>20250201</v>
      </c>
      <c r="I988" s="23" t="str">
        <f>TEXT(DATE(LEFT(H988,4), MID(H988,5,2), RIGHT(H988,2)), "M/d/yyyy")</f>
        <v>2/1/2025</v>
      </c>
      <c r="J988" s="25">
        <v>20230201</v>
      </c>
      <c r="K988" s="23" t="str">
        <f>TEXT(DATE(LEFT(J988,4), MID(J988,5,2), RIGHT(J988,2)), "M/d/yyyy")</f>
        <v>2/1/2023</v>
      </c>
      <c r="L988" s="24" t="s">
        <v>60</v>
      </c>
      <c r="M988" s="26">
        <v>1</v>
      </c>
      <c r="N988" s="25">
        <v>25</v>
      </c>
      <c r="O988" s="27">
        <v>25</v>
      </c>
      <c r="P988" s="22" t="s">
        <v>3833</v>
      </c>
    </row>
    <row r="989" spans="1:16" s="22" customFormat="1" ht="15" customHeight="1" x14ac:dyDescent="0.2">
      <c r="A989" s="22" t="s">
        <v>3805</v>
      </c>
      <c r="B989" s="22">
        <v>8325282</v>
      </c>
      <c r="C989" s="23">
        <v>1</v>
      </c>
      <c r="D989" s="23">
        <v>921749527</v>
      </c>
      <c r="E989" s="23">
        <v>921749527</v>
      </c>
      <c r="F989" s="24" t="s">
        <v>3270</v>
      </c>
      <c r="G989" s="23">
        <v>0</v>
      </c>
      <c r="H989" s="23">
        <v>20250301</v>
      </c>
      <c r="I989" s="23" t="str">
        <f>TEXT(DATE(LEFT(H989,4), MID(H989,5,2), RIGHT(H989,2)), "M/d/yyyy")</f>
        <v>3/1/2025</v>
      </c>
      <c r="J989" s="25">
        <v>20250101</v>
      </c>
      <c r="K989" s="23" t="str">
        <f>TEXT(DATE(LEFT(J989,4), MID(J989,5,2), RIGHT(J989,2)), "M/d/yyyy")</f>
        <v>1/1/2025</v>
      </c>
      <c r="L989" s="24" t="s">
        <v>60</v>
      </c>
      <c r="M989" s="26">
        <v>1</v>
      </c>
      <c r="N989" s="25">
        <v>30</v>
      </c>
      <c r="O989" s="27">
        <v>30</v>
      </c>
      <c r="P989" s="22" t="s">
        <v>3833</v>
      </c>
    </row>
    <row r="990" spans="1:16" s="22" customFormat="1" ht="15" customHeight="1" x14ac:dyDescent="0.2">
      <c r="A990" s="22" t="s">
        <v>3805</v>
      </c>
      <c r="B990" s="22">
        <v>8325282</v>
      </c>
      <c r="C990" s="23">
        <v>1</v>
      </c>
      <c r="D990" s="23">
        <v>921749527</v>
      </c>
      <c r="E990" s="23">
        <v>921749527</v>
      </c>
      <c r="F990" s="24" t="s">
        <v>3270</v>
      </c>
      <c r="G990" s="23">
        <v>0</v>
      </c>
      <c r="H990" s="23">
        <v>20250201</v>
      </c>
      <c r="I990" s="23" t="str">
        <f>TEXT(DATE(LEFT(H990,4), MID(H990,5,2), RIGHT(H990,2)), "M/d/yyyy")</f>
        <v>2/1/2025</v>
      </c>
      <c r="J990" s="25">
        <v>20250101</v>
      </c>
      <c r="K990" s="23" t="str">
        <f>TEXT(DATE(LEFT(J990,4), MID(J990,5,2), RIGHT(J990,2)), "M/d/yyyy")</f>
        <v>1/1/2025</v>
      </c>
      <c r="L990" s="24" t="s">
        <v>60</v>
      </c>
      <c r="M990" s="26">
        <v>1</v>
      </c>
      <c r="N990" s="25">
        <v>30</v>
      </c>
      <c r="O990" s="27">
        <v>30</v>
      </c>
      <c r="P990" s="22" t="s">
        <v>3833</v>
      </c>
    </row>
    <row r="991" spans="1:16" s="22" customFormat="1" ht="15" customHeight="1" x14ac:dyDescent="0.2">
      <c r="A991" s="22" t="s">
        <v>3805</v>
      </c>
      <c r="B991" s="22">
        <v>8325282</v>
      </c>
      <c r="C991" s="23">
        <v>1</v>
      </c>
      <c r="D991" s="23">
        <v>921753448</v>
      </c>
      <c r="E991" s="23">
        <v>921753448</v>
      </c>
      <c r="F991" s="24" t="s">
        <v>3277</v>
      </c>
      <c r="G991" s="23">
        <v>0</v>
      </c>
      <c r="H991" s="23">
        <v>20250301</v>
      </c>
      <c r="I991" s="23" t="str">
        <f>TEXT(DATE(LEFT(H991,4), MID(H991,5,2), RIGHT(H991,2)), "M/d/yyyy")</f>
        <v>3/1/2025</v>
      </c>
      <c r="J991" s="25">
        <v>20250101</v>
      </c>
      <c r="K991" s="23" t="str">
        <f>TEXT(DATE(LEFT(J991,4), MID(J991,5,2), RIGHT(J991,2)), "M/d/yyyy")</f>
        <v>1/1/2025</v>
      </c>
      <c r="L991" s="24" t="s">
        <v>60</v>
      </c>
      <c r="M991" s="26">
        <v>1</v>
      </c>
      <c r="N991" s="25">
        <v>30</v>
      </c>
      <c r="O991" s="27">
        <v>30</v>
      </c>
      <c r="P991" s="22" t="s">
        <v>3833</v>
      </c>
    </row>
    <row r="992" spans="1:16" s="22" customFormat="1" ht="15" customHeight="1" x14ac:dyDescent="0.2">
      <c r="A992" s="22" t="s">
        <v>3805</v>
      </c>
      <c r="B992" s="22">
        <v>8325282</v>
      </c>
      <c r="C992" s="23">
        <v>1</v>
      </c>
      <c r="D992" s="23">
        <v>921753939</v>
      </c>
      <c r="E992" s="23">
        <v>921753939</v>
      </c>
      <c r="F992" s="24" t="s">
        <v>3279</v>
      </c>
      <c r="G992" s="23">
        <v>0</v>
      </c>
      <c r="H992" s="23">
        <v>20250301</v>
      </c>
      <c r="I992" s="23" t="str">
        <f>TEXT(DATE(LEFT(H992,4), MID(H992,5,2), RIGHT(H992,2)), "M/d/yyyy")</f>
        <v>3/1/2025</v>
      </c>
      <c r="J992" s="25">
        <v>20250101</v>
      </c>
      <c r="K992" s="23" t="str">
        <f>TEXT(DATE(LEFT(J992,4), MID(J992,5,2), RIGHT(J992,2)), "M/d/yyyy")</f>
        <v>1/1/2025</v>
      </c>
      <c r="L992" s="24" t="s">
        <v>60</v>
      </c>
      <c r="M992" s="26">
        <v>1</v>
      </c>
      <c r="N992" s="25">
        <v>30</v>
      </c>
      <c r="O992" s="27">
        <v>30</v>
      </c>
      <c r="P992" s="22" t="s">
        <v>3833</v>
      </c>
    </row>
    <row r="993" spans="1:16" s="22" customFormat="1" ht="15" customHeight="1" x14ac:dyDescent="0.2">
      <c r="A993" s="22" t="s">
        <v>3805</v>
      </c>
      <c r="B993" s="22">
        <v>8325282</v>
      </c>
      <c r="C993" s="23">
        <v>1</v>
      </c>
      <c r="D993" s="23">
        <v>921770026</v>
      </c>
      <c r="E993" s="23">
        <v>921770026</v>
      </c>
      <c r="F993" s="24" t="s">
        <v>3288</v>
      </c>
      <c r="G993" s="23">
        <v>0</v>
      </c>
      <c r="H993" s="23">
        <v>20250301</v>
      </c>
      <c r="I993" s="23" t="str">
        <f>TEXT(DATE(LEFT(H993,4), MID(H993,5,2), RIGHT(H993,2)), "M/d/yyyy")</f>
        <v>3/1/2025</v>
      </c>
      <c r="J993" s="25">
        <v>20250201</v>
      </c>
      <c r="K993" s="23" t="str">
        <f>TEXT(DATE(LEFT(J993,4), MID(J993,5,2), RIGHT(J993,2)), "M/d/yyyy")</f>
        <v>2/1/2025</v>
      </c>
      <c r="L993" s="24" t="s">
        <v>60</v>
      </c>
      <c r="M993" s="26">
        <v>1</v>
      </c>
      <c r="N993" s="25">
        <v>30</v>
      </c>
      <c r="O993" s="27">
        <v>30</v>
      </c>
      <c r="P993" s="22" t="s">
        <v>3833</v>
      </c>
    </row>
    <row r="994" spans="1:16" s="22" customFormat="1" ht="15" customHeight="1" x14ac:dyDescent="0.2">
      <c r="A994" s="22" t="s">
        <v>3805</v>
      </c>
      <c r="B994" s="22">
        <v>8325282</v>
      </c>
      <c r="C994" s="23">
        <v>1</v>
      </c>
      <c r="D994" s="23">
        <v>921771373</v>
      </c>
      <c r="E994" s="23">
        <v>921771373</v>
      </c>
      <c r="F994" s="24" t="s">
        <v>3290</v>
      </c>
      <c r="G994" s="23">
        <v>0</v>
      </c>
      <c r="H994" s="23">
        <v>20250301</v>
      </c>
      <c r="I994" s="23" t="str">
        <f>TEXT(DATE(LEFT(H994,4), MID(H994,5,2), RIGHT(H994,2)), "M/d/yyyy")</f>
        <v>3/1/2025</v>
      </c>
      <c r="J994" s="25">
        <v>20250201</v>
      </c>
      <c r="K994" s="23" t="str">
        <f>TEXT(DATE(LEFT(J994,4), MID(J994,5,2), RIGHT(J994,2)), "M/d/yyyy")</f>
        <v>2/1/2025</v>
      </c>
      <c r="L994" s="24" t="s">
        <v>60</v>
      </c>
      <c r="M994" s="26">
        <v>1</v>
      </c>
      <c r="N994" s="25">
        <v>30</v>
      </c>
      <c r="O994" s="27">
        <v>30</v>
      </c>
      <c r="P994" s="22" t="s">
        <v>3833</v>
      </c>
    </row>
    <row r="995" spans="1:16" s="22" customFormat="1" ht="15" customHeight="1" x14ac:dyDescent="0.2">
      <c r="A995" s="22" t="s">
        <v>3805</v>
      </c>
      <c r="B995" s="22">
        <v>8325282</v>
      </c>
      <c r="C995" s="23">
        <v>2</v>
      </c>
      <c r="D995" s="23">
        <v>921060189</v>
      </c>
      <c r="E995" s="23">
        <v>921060189</v>
      </c>
      <c r="F995" s="24" t="s">
        <v>3162</v>
      </c>
      <c r="G995" s="23">
        <v>0</v>
      </c>
      <c r="H995" s="23">
        <v>20250301</v>
      </c>
      <c r="I995" s="23" t="str">
        <f>TEXT(DATE(LEFT(H995,4), MID(H995,5,2), RIGHT(H995,2)), "M/d/yyyy")</f>
        <v>3/1/2025</v>
      </c>
      <c r="J995" s="25">
        <v>20150101</v>
      </c>
      <c r="K995" s="23" t="str">
        <f>TEXT(DATE(LEFT(J995,4), MID(J995,5,2), RIGHT(J995,2)), "M/d/yyyy")</f>
        <v>1/1/2015</v>
      </c>
      <c r="L995" s="24" t="s">
        <v>60</v>
      </c>
      <c r="M995" s="26">
        <v>1</v>
      </c>
      <c r="N995" s="25">
        <v>25</v>
      </c>
      <c r="O995" s="27">
        <v>50</v>
      </c>
      <c r="P995" s="22" t="s">
        <v>3833</v>
      </c>
    </row>
    <row r="996" spans="1:16" s="22" customFormat="1" ht="15" customHeight="1" x14ac:dyDescent="0.2">
      <c r="A996" s="22" t="s">
        <v>3805</v>
      </c>
      <c r="B996" s="22">
        <v>8325282</v>
      </c>
      <c r="C996" s="23">
        <v>2</v>
      </c>
      <c r="D996" s="23">
        <v>921410093</v>
      </c>
      <c r="E996" s="23">
        <v>921410093</v>
      </c>
      <c r="F996" s="24" t="s">
        <v>3180</v>
      </c>
      <c r="G996" s="23">
        <v>0</v>
      </c>
      <c r="H996" s="23">
        <v>20250301</v>
      </c>
      <c r="I996" s="23" t="str">
        <f>TEXT(DATE(LEFT(H996,4), MID(H996,5,2), RIGHT(H996,2)), "M/d/yyyy")</f>
        <v>3/1/2025</v>
      </c>
      <c r="J996" s="25">
        <v>20180201</v>
      </c>
      <c r="K996" s="23" t="str">
        <f>TEXT(DATE(LEFT(J996,4), MID(J996,5,2), RIGHT(J996,2)), "M/d/yyyy")</f>
        <v>2/1/2018</v>
      </c>
      <c r="L996" s="24" t="s">
        <v>60</v>
      </c>
      <c r="M996" s="26">
        <v>1</v>
      </c>
      <c r="N996" s="25">
        <v>25</v>
      </c>
      <c r="O996" s="27">
        <v>50</v>
      </c>
      <c r="P996" s="22" t="s">
        <v>3833</v>
      </c>
    </row>
    <row r="997" spans="1:16" s="22" customFormat="1" ht="15" customHeight="1" x14ac:dyDescent="0.2">
      <c r="A997" s="22" t="s">
        <v>3805</v>
      </c>
      <c r="B997" s="22">
        <v>8325282</v>
      </c>
      <c r="C997" s="23">
        <v>2</v>
      </c>
      <c r="D997" s="23">
        <v>921560384</v>
      </c>
      <c r="E997" s="23">
        <v>921560384</v>
      </c>
      <c r="F997" s="24" t="s">
        <v>3213</v>
      </c>
      <c r="G997" s="23">
        <v>0</v>
      </c>
      <c r="H997" s="23">
        <v>20250301</v>
      </c>
      <c r="I997" s="23" t="str">
        <f>TEXT(DATE(LEFT(H997,4), MID(H997,5,2), RIGHT(H997,2)), "M/d/yyyy")</f>
        <v>3/1/2025</v>
      </c>
      <c r="J997" s="25">
        <v>20210301</v>
      </c>
      <c r="K997" s="23" t="str">
        <f>TEXT(DATE(LEFT(J997,4), MID(J997,5,2), RIGHT(J997,2)), "M/d/yyyy")</f>
        <v>3/1/2021</v>
      </c>
      <c r="L997" s="24" t="s">
        <v>60</v>
      </c>
      <c r="M997" s="26">
        <v>1</v>
      </c>
      <c r="N997" s="25">
        <v>25</v>
      </c>
      <c r="O997" s="27">
        <v>50</v>
      </c>
      <c r="P997" s="22" t="s">
        <v>3833</v>
      </c>
    </row>
    <row r="998" spans="1:16" s="22" customFormat="1" ht="15" customHeight="1" x14ac:dyDescent="0.2">
      <c r="A998" s="22" t="s">
        <v>3805</v>
      </c>
      <c r="B998" s="22">
        <v>8325282</v>
      </c>
      <c r="C998" s="23">
        <v>3</v>
      </c>
      <c r="D998" s="23">
        <v>921761322</v>
      </c>
      <c r="E998" s="23">
        <v>921761322</v>
      </c>
      <c r="F998" s="24" t="s">
        <v>3281</v>
      </c>
      <c r="G998" s="23">
        <v>0</v>
      </c>
      <c r="H998" s="23">
        <v>20250301</v>
      </c>
      <c r="I998" s="23" t="str">
        <f>TEXT(DATE(LEFT(H998,4), MID(H998,5,2), RIGHT(H998,2)), "M/d/yyyy")</f>
        <v>3/1/2025</v>
      </c>
      <c r="J998" s="25">
        <v>20250101</v>
      </c>
      <c r="K998" s="23" t="str">
        <f>TEXT(DATE(LEFT(J998,4), MID(J998,5,2), RIGHT(J998,2)), "M/d/yyyy")</f>
        <v>1/1/2025</v>
      </c>
      <c r="L998" s="24" t="s">
        <v>60</v>
      </c>
      <c r="M998" s="26">
        <v>1</v>
      </c>
      <c r="N998" s="25">
        <v>30</v>
      </c>
      <c r="O998" s="27">
        <v>90</v>
      </c>
      <c r="P998" s="22" t="s">
        <v>3833</v>
      </c>
    </row>
    <row r="999" spans="1:16" s="22" customFormat="1" ht="15" customHeight="1" x14ac:dyDescent="0.2">
      <c r="A999" s="22" t="s">
        <v>3805</v>
      </c>
      <c r="B999" s="22">
        <v>8325282</v>
      </c>
      <c r="C999" s="23">
        <v>3</v>
      </c>
      <c r="D999" s="23">
        <v>921775848</v>
      </c>
      <c r="E999" s="23">
        <v>921775848</v>
      </c>
      <c r="F999" s="24" t="s">
        <v>3297</v>
      </c>
      <c r="G999" s="23">
        <v>0</v>
      </c>
      <c r="H999" s="23">
        <v>20250301</v>
      </c>
      <c r="I999" s="23" t="str">
        <f>TEXT(DATE(LEFT(H999,4), MID(H999,5,2), RIGHT(H999,2)), "M/d/yyyy")</f>
        <v>3/1/2025</v>
      </c>
      <c r="J999" s="25">
        <v>20250201</v>
      </c>
      <c r="K999" s="23" t="str">
        <f>TEXT(DATE(LEFT(J999,4), MID(J999,5,2), RIGHT(J999,2)), "M/d/yyyy")</f>
        <v>2/1/2025</v>
      </c>
      <c r="L999" s="24" t="s">
        <v>60</v>
      </c>
      <c r="M999" s="26">
        <v>1</v>
      </c>
      <c r="N999" s="25">
        <v>30</v>
      </c>
      <c r="O999" s="27">
        <v>90</v>
      </c>
      <c r="P999" s="22" t="s">
        <v>3833</v>
      </c>
    </row>
    <row r="1000" spans="1:16" s="22" customFormat="1" ht="15" customHeight="1" x14ac:dyDescent="0.2">
      <c r="A1000" s="22" t="s">
        <v>3797</v>
      </c>
      <c r="B1000" s="22">
        <v>17301495</v>
      </c>
      <c r="C1000" s="23">
        <v>1</v>
      </c>
      <c r="D1000" s="23">
        <v>920913321</v>
      </c>
      <c r="E1000" s="23">
        <v>920913321</v>
      </c>
      <c r="F1000" s="24" t="s">
        <v>2872</v>
      </c>
      <c r="G1000" s="23">
        <v>0</v>
      </c>
      <c r="H1000" s="23">
        <v>20250301</v>
      </c>
      <c r="I1000" s="23" t="str">
        <f>TEXT(DATE(LEFT(H1000,4), MID(H1000,5,2), RIGHT(H1000,2)), "M/d/yyyy")</f>
        <v>3/1/2025</v>
      </c>
      <c r="J1000" s="25">
        <v>20240201</v>
      </c>
      <c r="K1000" s="23" t="str">
        <f>TEXT(DATE(LEFT(J1000,4), MID(J1000,5,2), RIGHT(J1000,2)), "M/d/yyyy")</f>
        <v>2/1/2024</v>
      </c>
      <c r="L1000" s="24" t="s">
        <v>60</v>
      </c>
      <c r="M1000" s="26">
        <v>1</v>
      </c>
      <c r="N1000" s="25">
        <v>25</v>
      </c>
      <c r="O1000" s="27">
        <v>25</v>
      </c>
      <c r="P1000" s="22" t="s">
        <v>3833</v>
      </c>
    </row>
    <row r="1001" spans="1:16" s="22" customFormat="1" ht="15" customHeight="1" x14ac:dyDescent="0.2">
      <c r="A1001" s="22" t="s">
        <v>3797</v>
      </c>
      <c r="B1001" s="22">
        <v>17301495</v>
      </c>
      <c r="C1001" s="23">
        <v>1</v>
      </c>
      <c r="D1001" s="23">
        <v>921613196</v>
      </c>
      <c r="E1001" s="23">
        <v>921613196</v>
      </c>
      <c r="F1001" s="24" t="s">
        <v>2888</v>
      </c>
      <c r="G1001" s="23">
        <v>0</v>
      </c>
      <c r="H1001" s="23">
        <v>20250301</v>
      </c>
      <c r="I1001" s="23" t="str">
        <f>TEXT(DATE(LEFT(H1001,4), MID(H1001,5,2), RIGHT(H1001,2)), "M/d/yyyy")</f>
        <v>3/1/2025</v>
      </c>
      <c r="J1001" s="25">
        <v>20220501</v>
      </c>
      <c r="K1001" s="23" t="str">
        <f>TEXT(DATE(LEFT(J1001,4), MID(J1001,5,2), RIGHT(J1001,2)), "M/d/yyyy")</f>
        <v>5/1/2022</v>
      </c>
      <c r="L1001" s="24" t="s">
        <v>60</v>
      </c>
      <c r="M1001" s="26">
        <v>1</v>
      </c>
      <c r="N1001" s="25">
        <v>25</v>
      </c>
      <c r="O1001" s="27">
        <v>25</v>
      </c>
      <c r="P1001" s="22" t="s">
        <v>3833</v>
      </c>
    </row>
    <row r="1002" spans="1:16" s="22" customFormat="1" ht="15" customHeight="1" x14ac:dyDescent="0.2">
      <c r="A1002" s="22" t="s">
        <v>3786</v>
      </c>
      <c r="B1002" s="22">
        <v>8814784</v>
      </c>
      <c r="C1002" s="24" t="s">
        <v>588</v>
      </c>
      <c r="D1002" s="23">
        <v>921768375</v>
      </c>
      <c r="E1002" s="23">
        <v>921768375</v>
      </c>
      <c r="F1002" s="24" t="s">
        <v>2042</v>
      </c>
      <c r="G1002" s="23">
        <v>0</v>
      </c>
      <c r="H1002" s="23">
        <v>20250301</v>
      </c>
      <c r="I1002" s="23" t="str">
        <f>TEXT(DATE(LEFT(H1002,4), MID(H1002,5,2), RIGHT(H1002,2)), "M/d/yyyy")</f>
        <v>3/1/2025</v>
      </c>
      <c r="J1002" s="25">
        <v>20250201</v>
      </c>
      <c r="K1002" s="23" t="str">
        <f>TEXT(DATE(LEFT(J1002,4), MID(J1002,5,2), RIGHT(J1002,2)), "M/d/yyyy")</f>
        <v>2/1/2025</v>
      </c>
      <c r="L1002" s="24" t="s">
        <v>60</v>
      </c>
      <c r="M1002" s="26">
        <v>1</v>
      </c>
      <c r="N1002" s="25">
        <v>30</v>
      </c>
      <c r="O1002" s="27">
        <v>-30</v>
      </c>
      <c r="P1002" s="22" t="s">
        <v>3833</v>
      </c>
    </row>
    <row r="1003" spans="1:16" s="22" customFormat="1" ht="15" customHeight="1" x14ac:dyDescent="0.2">
      <c r="A1003" s="22" t="s">
        <v>3786</v>
      </c>
      <c r="B1003" s="22">
        <v>8814784</v>
      </c>
      <c r="C1003" s="23">
        <v>1</v>
      </c>
      <c r="D1003" s="23">
        <v>920760884</v>
      </c>
      <c r="E1003" s="23">
        <v>920760884</v>
      </c>
      <c r="F1003" s="24" t="s">
        <v>1942</v>
      </c>
      <c r="G1003" s="23">
        <v>0</v>
      </c>
      <c r="H1003" s="23">
        <v>20250301</v>
      </c>
      <c r="I1003" s="23" t="str">
        <f>TEXT(DATE(LEFT(H1003,4), MID(H1003,5,2), RIGHT(H1003,2)), "M/d/yyyy")</f>
        <v>3/1/2025</v>
      </c>
      <c r="J1003" s="25">
        <v>20230101</v>
      </c>
      <c r="K1003" s="23" t="str">
        <f>TEXT(DATE(LEFT(J1003,4), MID(J1003,5,2), RIGHT(J1003,2)), "M/d/yyyy")</f>
        <v>1/1/2023</v>
      </c>
      <c r="L1003" s="24" t="s">
        <v>60</v>
      </c>
      <c r="M1003" s="26">
        <v>1</v>
      </c>
      <c r="N1003" s="25">
        <v>25</v>
      </c>
      <c r="O1003" s="27">
        <v>25</v>
      </c>
      <c r="P1003" s="22" t="s">
        <v>3833</v>
      </c>
    </row>
    <row r="1004" spans="1:16" s="22" customFormat="1" ht="15" customHeight="1" x14ac:dyDescent="0.2">
      <c r="A1004" s="22" t="s">
        <v>3786</v>
      </c>
      <c r="B1004" s="22">
        <v>8814784</v>
      </c>
      <c r="C1004" s="23">
        <v>1</v>
      </c>
      <c r="D1004" s="23">
        <v>920775423</v>
      </c>
      <c r="E1004" s="23">
        <v>920775423</v>
      </c>
      <c r="F1004" s="24" t="s">
        <v>1945</v>
      </c>
      <c r="G1004" s="23">
        <v>0</v>
      </c>
      <c r="H1004" s="23">
        <v>20250301</v>
      </c>
      <c r="I1004" s="23" t="str">
        <f>TEXT(DATE(LEFT(H1004,4), MID(H1004,5,2), RIGHT(H1004,2)), "M/d/yyyy")</f>
        <v>3/1/2025</v>
      </c>
      <c r="J1004" s="25">
        <v>20140301</v>
      </c>
      <c r="K1004" s="23" t="str">
        <f>TEXT(DATE(LEFT(J1004,4), MID(J1004,5,2), RIGHT(J1004,2)), "M/d/yyyy")</f>
        <v>3/1/2014</v>
      </c>
      <c r="L1004" s="24" t="s">
        <v>60</v>
      </c>
      <c r="M1004" s="26">
        <v>1</v>
      </c>
      <c r="N1004" s="25">
        <v>25</v>
      </c>
      <c r="O1004" s="27">
        <v>25</v>
      </c>
      <c r="P1004" s="22" t="s">
        <v>3833</v>
      </c>
    </row>
    <row r="1005" spans="1:16" s="22" customFormat="1" ht="15" customHeight="1" x14ac:dyDescent="0.2">
      <c r="A1005" s="22" t="s">
        <v>3786</v>
      </c>
      <c r="B1005" s="22">
        <v>8814784</v>
      </c>
      <c r="C1005" s="23">
        <v>1</v>
      </c>
      <c r="D1005" s="23">
        <v>920861836</v>
      </c>
      <c r="E1005" s="23">
        <v>920861836</v>
      </c>
      <c r="F1005" s="24" t="s">
        <v>1949</v>
      </c>
      <c r="G1005" s="23">
        <v>0</v>
      </c>
      <c r="H1005" s="23">
        <v>20250301</v>
      </c>
      <c r="I1005" s="23" t="str">
        <f>TEXT(DATE(LEFT(H1005,4), MID(H1005,5,2), RIGHT(H1005,2)), "M/d/yyyy")</f>
        <v>3/1/2025</v>
      </c>
      <c r="J1005" s="25">
        <v>20140401</v>
      </c>
      <c r="K1005" s="23" t="str">
        <f>TEXT(DATE(LEFT(J1005,4), MID(J1005,5,2), RIGHT(J1005,2)), "M/d/yyyy")</f>
        <v>4/1/2014</v>
      </c>
      <c r="L1005" s="24" t="s">
        <v>60</v>
      </c>
      <c r="M1005" s="26">
        <v>1</v>
      </c>
      <c r="N1005" s="25">
        <v>25</v>
      </c>
      <c r="O1005" s="27">
        <v>25</v>
      </c>
      <c r="P1005" s="22" t="s">
        <v>3833</v>
      </c>
    </row>
    <row r="1006" spans="1:16" s="22" customFormat="1" ht="15" customHeight="1" x14ac:dyDescent="0.2">
      <c r="A1006" s="22" t="s">
        <v>3786</v>
      </c>
      <c r="B1006" s="22">
        <v>8814784</v>
      </c>
      <c r="C1006" s="23">
        <v>1</v>
      </c>
      <c r="D1006" s="23">
        <v>920869125</v>
      </c>
      <c r="E1006" s="23">
        <v>920869125</v>
      </c>
      <c r="F1006" s="24" t="s">
        <v>1951</v>
      </c>
      <c r="G1006" s="23">
        <v>0</v>
      </c>
      <c r="H1006" s="23">
        <v>20250301</v>
      </c>
      <c r="I1006" s="23" t="str">
        <f>TEXT(DATE(LEFT(H1006,4), MID(H1006,5,2), RIGHT(H1006,2)), "M/d/yyyy")</f>
        <v>3/1/2025</v>
      </c>
      <c r="J1006" s="25">
        <v>20170101</v>
      </c>
      <c r="K1006" s="23" t="str">
        <f>TEXT(DATE(LEFT(J1006,4), MID(J1006,5,2), RIGHT(J1006,2)), "M/d/yyyy")</f>
        <v>1/1/2017</v>
      </c>
      <c r="L1006" s="24" t="s">
        <v>60</v>
      </c>
      <c r="M1006" s="26">
        <v>1</v>
      </c>
      <c r="N1006" s="25">
        <v>25</v>
      </c>
      <c r="O1006" s="27">
        <v>25</v>
      </c>
      <c r="P1006" s="22" t="s">
        <v>3833</v>
      </c>
    </row>
    <row r="1007" spans="1:16" s="22" customFormat="1" ht="15" customHeight="1" x14ac:dyDescent="0.2">
      <c r="A1007" s="22" t="s">
        <v>3786</v>
      </c>
      <c r="B1007" s="22">
        <v>8814784</v>
      </c>
      <c r="C1007" s="23">
        <v>1</v>
      </c>
      <c r="D1007" s="23">
        <v>921037040</v>
      </c>
      <c r="E1007" s="23">
        <v>921037040</v>
      </c>
      <c r="F1007" s="24" t="s">
        <v>1959</v>
      </c>
      <c r="G1007" s="23">
        <v>0</v>
      </c>
      <c r="H1007" s="23">
        <v>20250301</v>
      </c>
      <c r="I1007" s="23" t="str">
        <f>TEXT(DATE(LEFT(H1007,4), MID(H1007,5,2), RIGHT(H1007,2)), "M/d/yyyy")</f>
        <v>3/1/2025</v>
      </c>
      <c r="J1007" s="25">
        <v>20200101</v>
      </c>
      <c r="K1007" s="23" t="str">
        <f>TEXT(DATE(LEFT(J1007,4), MID(J1007,5,2), RIGHT(J1007,2)), "M/d/yyyy")</f>
        <v>1/1/2020</v>
      </c>
      <c r="L1007" s="24" t="s">
        <v>60</v>
      </c>
      <c r="M1007" s="26">
        <v>1</v>
      </c>
      <c r="N1007" s="25">
        <v>25</v>
      </c>
      <c r="O1007" s="27">
        <v>25</v>
      </c>
      <c r="P1007" s="22" t="s">
        <v>3833</v>
      </c>
    </row>
    <row r="1008" spans="1:16" s="22" customFormat="1" ht="15" customHeight="1" x14ac:dyDescent="0.2">
      <c r="A1008" s="22" t="s">
        <v>3786</v>
      </c>
      <c r="B1008" s="22">
        <v>8814784</v>
      </c>
      <c r="C1008" s="23">
        <v>1</v>
      </c>
      <c r="D1008" s="23">
        <v>921372537</v>
      </c>
      <c r="E1008" s="23">
        <v>921372537</v>
      </c>
      <c r="F1008" s="24" t="s">
        <v>1979</v>
      </c>
      <c r="G1008" s="23">
        <v>0</v>
      </c>
      <c r="H1008" s="23">
        <v>20250301</v>
      </c>
      <c r="I1008" s="23" t="str">
        <f>TEXT(DATE(LEFT(H1008,4), MID(H1008,5,2), RIGHT(H1008,2)), "M/d/yyyy")</f>
        <v>3/1/2025</v>
      </c>
      <c r="J1008" s="25">
        <v>20200101</v>
      </c>
      <c r="K1008" s="23" t="str">
        <f>TEXT(DATE(LEFT(J1008,4), MID(J1008,5,2), RIGHT(J1008,2)), "M/d/yyyy")</f>
        <v>1/1/2020</v>
      </c>
      <c r="L1008" s="24" t="s">
        <v>60</v>
      </c>
      <c r="M1008" s="26">
        <v>1</v>
      </c>
      <c r="N1008" s="25">
        <v>25</v>
      </c>
      <c r="O1008" s="27">
        <v>25</v>
      </c>
      <c r="P1008" s="22" t="s">
        <v>3833</v>
      </c>
    </row>
    <row r="1009" spans="1:16" s="22" customFormat="1" ht="15" customHeight="1" x14ac:dyDescent="0.2">
      <c r="A1009" s="22" t="s">
        <v>3786</v>
      </c>
      <c r="B1009" s="22">
        <v>8814784</v>
      </c>
      <c r="C1009" s="23">
        <v>1</v>
      </c>
      <c r="D1009" s="23">
        <v>921506116</v>
      </c>
      <c r="E1009" s="23">
        <v>921506116</v>
      </c>
      <c r="F1009" s="24" t="s">
        <v>1993</v>
      </c>
      <c r="G1009" s="23">
        <v>0</v>
      </c>
      <c r="H1009" s="23">
        <v>20250301</v>
      </c>
      <c r="I1009" s="23" t="str">
        <f>TEXT(DATE(LEFT(H1009,4), MID(H1009,5,2), RIGHT(H1009,2)), "M/d/yyyy")</f>
        <v>3/1/2025</v>
      </c>
      <c r="J1009" s="25">
        <v>20200101</v>
      </c>
      <c r="K1009" s="23" t="str">
        <f>TEXT(DATE(LEFT(J1009,4), MID(J1009,5,2), RIGHT(J1009,2)), "M/d/yyyy")</f>
        <v>1/1/2020</v>
      </c>
      <c r="L1009" s="24" t="s">
        <v>60</v>
      </c>
      <c r="M1009" s="26">
        <v>1</v>
      </c>
      <c r="N1009" s="25">
        <v>25</v>
      </c>
      <c r="O1009" s="27">
        <v>25</v>
      </c>
      <c r="P1009" s="22" t="s">
        <v>3833</v>
      </c>
    </row>
    <row r="1010" spans="1:16" s="22" customFormat="1" ht="15" customHeight="1" x14ac:dyDescent="0.2">
      <c r="A1010" s="22" t="s">
        <v>3786</v>
      </c>
      <c r="B1010" s="22">
        <v>8814784</v>
      </c>
      <c r="C1010" s="23">
        <v>1</v>
      </c>
      <c r="D1010" s="23">
        <v>921614291</v>
      </c>
      <c r="E1010" s="23">
        <v>921614291</v>
      </c>
      <c r="F1010" s="24" t="s">
        <v>2004</v>
      </c>
      <c r="G1010" s="23">
        <v>0</v>
      </c>
      <c r="H1010" s="23">
        <v>20250301</v>
      </c>
      <c r="I1010" s="23" t="str">
        <f>TEXT(DATE(LEFT(H1010,4), MID(H1010,5,2), RIGHT(H1010,2)), "M/d/yyyy")</f>
        <v>3/1/2025</v>
      </c>
      <c r="J1010" s="25">
        <v>20220601</v>
      </c>
      <c r="K1010" s="23" t="str">
        <f>TEXT(DATE(LEFT(J1010,4), MID(J1010,5,2), RIGHT(J1010,2)), "M/d/yyyy")</f>
        <v>6/1/2022</v>
      </c>
      <c r="L1010" s="24" t="s">
        <v>60</v>
      </c>
      <c r="M1010" s="26">
        <v>1</v>
      </c>
      <c r="N1010" s="25">
        <v>25</v>
      </c>
      <c r="O1010" s="27">
        <v>25</v>
      </c>
      <c r="P1010" s="22" t="s">
        <v>3833</v>
      </c>
    </row>
    <row r="1011" spans="1:16" s="22" customFormat="1" ht="15" customHeight="1" x14ac:dyDescent="0.2">
      <c r="A1011" s="22" t="s">
        <v>3786</v>
      </c>
      <c r="B1011" s="22">
        <v>8814784</v>
      </c>
      <c r="C1011" s="23">
        <v>1</v>
      </c>
      <c r="D1011" s="23">
        <v>921637408</v>
      </c>
      <c r="E1011" s="23">
        <v>921637408</v>
      </c>
      <c r="F1011" s="24" t="s">
        <v>2008</v>
      </c>
      <c r="G1011" s="23">
        <v>0</v>
      </c>
      <c r="H1011" s="23">
        <v>20250301</v>
      </c>
      <c r="I1011" s="23" t="str">
        <f>TEXT(DATE(LEFT(H1011,4), MID(H1011,5,2), RIGHT(H1011,2)), "M/d/yyyy")</f>
        <v>3/1/2025</v>
      </c>
      <c r="J1011" s="25">
        <v>20230101</v>
      </c>
      <c r="K1011" s="23" t="str">
        <f>TEXT(DATE(LEFT(J1011,4), MID(J1011,5,2), RIGHT(J1011,2)), "M/d/yyyy")</f>
        <v>1/1/2023</v>
      </c>
      <c r="L1011" s="24" t="s">
        <v>60</v>
      </c>
      <c r="M1011" s="26">
        <v>1</v>
      </c>
      <c r="N1011" s="25">
        <v>25</v>
      </c>
      <c r="O1011" s="27">
        <v>25</v>
      </c>
      <c r="P1011" s="22" t="s">
        <v>3833</v>
      </c>
    </row>
    <row r="1012" spans="1:16" s="22" customFormat="1" ht="15" customHeight="1" x14ac:dyDescent="0.2">
      <c r="A1012" s="22" t="s">
        <v>3786</v>
      </c>
      <c r="B1012" s="22">
        <v>8814784</v>
      </c>
      <c r="C1012" s="23">
        <v>1</v>
      </c>
      <c r="D1012" s="23">
        <v>921641638</v>
      </c>
      <c r="E1012" s="23">
        <v>921641638</v>
      </c>
      <c r="F1012" s="24" t="s">
        <v>2012</v>
      </c>
      <c r="G1012" s="23">
        <v>0</v>
      </c>
      <c r="H1012" s="23">
        <v>20250301</v>
      </c>
      <c r="I1012" s="23" t="str">
        <f>TEXT(DATE(LEFT(H1012,4), MID(H1012,5,2), RIGHT(H1012,2)), "M/d/yyyy")</f>
        <v>3/1/2025</v>
      </c>
      <c r="J1012" s="25">
        <v>20230101</v>
      </c>
      <c r="K1012" s="23" t="str">
        <f>TEXT(DATE(LEFT(J1012,4), MID(J1012,5,2), RIGHT(J1012,2)), "M/d/yyyy")</f>
        <v>1/1/2023</v>
      </c>
      <c r="L1012" s="24" t="s">
        <v>60</v>
      </c>
      <c r="M1012" s="26">
        <v>1</v>
      </c>
      <c r="N1012" s="25">
        <v>25</v>
      </c>
      <c r="O1012" s="27">
        <v>25</v>
      </c>
      <c r="P1012" s="22" t="s">
        <v>3833</v>
      </c>
    </row>
    <row r="1013" spans="1:16" s="22" customFormat="1" ht="15" customHeight="1" x14ac:dyDescent="0.2">
      <c r="A1013" s="22" t="s">
        <v>3786</v>
      </c>
      <c r="B1013" s="22">
        <v>8814784</v>
      </c>
      <c r="C1013" s="23">
        <v>1</v>
      </c>
      <c r="D1013" s="23">
        <v>921655241</v>
      </c>
      <c r="E1013" s="23">
        <v>921655241</v>
      </c>
      <c r="F1013" s="24" t="s">
        <v>2014</v>
      </c>
      <c r="G1013" s="23">
        <v>0</v>
      </c>
      <c r="H1013" s="23">
        <v>20250301</v>
      </c>
      <c r="I1013" s="23" t="str">
        <f>TEXT(DATE(LEFT(H1013,4), MID(H1013,5,2), RIGHT(H1013,2)), "M/d/yyyy")</f>
        <v>3/1/2025</v>
      </c>
      <c r="J1013" s="25">
        <v>20230401</v>
      </c>
      <c r="K1013" s="23" t="str">
        <f>TEXT(DATE(LEFT(J1013,4), MID(J1013,5,2), RIGHT(J1013,2)), "M/d/yyyy")</f>
        <v>4/1/2023</v>
      </c>
      <c r="L1013" s="24" t="s">
        <v>60</v>
      </c>
      <c r="M1013" s="26">
        <v>1</v>
      </c>
      <c r="N1013" s="25">
        <v>25</v>
      </c>
      <c r="O1013" s="27">
        <v>25</v>
      </c>
      <c r="P1013" s="22" t="s">
        <v>3833</v>
      </c>
    </row>
    <row r="1014" spans="1:16" s="22" customFormat="1" ht="15" customHeight="1" x14ac:dyDescent="0.2">
      <c r="A1014" s="22" t="s">
        <v>3786</v>
      </c>
      <c r="B1014" s="22">
        <v>8814784</v>
      </c>
      <c r="C1014" s="23">
        <v>1</v>
      </c>
      <c r="D1014" s="23">
        <v>921153608</v>
      </c>
      <c r="E1014" s="23">
        <v>921153608</v>
      </c>
      <c r="F1014" s="24" t="s">
        <v>1965</v>
      </c>
      <c r="G1014" s="23">
        <v>0</v>
      </c>
      <c r="H1014" s="23">
        <v>20250301</v>
      </c>
      <c r="I1014" s="23" t="str">
        <f>TEXT(DATE(LEFT(H1014,4), MID(H1014,5,2), RIGHT(H1014,2)), "M/d/yyyy")</f>
        <v>3/1/2025</v>
      </c>
      <c r="J1014" s="25">
        <v>20250201</v>
      </c>
      <c r="K1014" s="23" t="str">
        <f>TEXT(DATE(LEFT(J1014,4), MID(J1014,5,2), RIGHT(J1014,2)), "M/d/yyyy")</f>
        <v>2/1/2025</v>
      </c>
      <c r="L1014" s="24" t="s">
        <v>60</v>
      </c>
      <c r="M1014" s="26">
        <v>1</v>
      </c>
      <c r="N1014" s="25">
        <v>30</v>
      </c>
      <c r="O1014" s="27">
        <v>30</v>
      </c>
      <c r="P1014" s="22" t="s">
        <v>3833</v>
      </c>
    </row>
    <row r="1015" spans="1:16" s="22" customFormat="1" ht="15" customHeight="1" x14ac:dyDescent="0.2">
      <c r="A1015" s="22" t="s">
        <v>3786</v>
      </c>
      <c r="B1015" s="22">
        <v>8814784</v>
      </c>
      <c r="C1015" s="23">
        <v>1</v>
      </c>
      <c r="D1015" s="23">
        <v>921737260</v>
      </c>
      <c r="E1015" s="23">
        <v>921737260</v>
      </c>
      <c r="F1015" s="24" t="s">
        <v>2032</v>
      </c>
      <c r="G1015" s="23">
        <v>0</v>
      </c>
      <c r="H1015" s="23">
        <v>20250301</v>
      </c>
      <c r="I1015" s="23" t="str">
        <f>TEXT(DATE(LEFT(H1015,4), MID(H1015,5,2), RIGHT(H1015,2)), "M/d/yyyy")</f>
        <v>3/1/2025</v>
      </c>
      <c r="J1015" s="25">
        <v>20240901</v>
      </c>
      <c r="K1015" s="23" t="str">
        <f>TEXT(DATE(LEFT(J1015,4), MID(J1015,5,2), RIGHT(J1015,2)), "M/d/yyyy")</f>
        <v>9/1/2024</v>
      </c>
      <c r="L1015" s="24" t="s">
        <v>60</v>
      </c>
      <c r="M1015" s="26">
        <v>1</v>
      </c>
      <c r="N1015" s="25">
        <v>30</v>
      </c>
      <c r="O1015" s="27">
        <v>30</v>
      </c>
      <c r="P1015" s="22" t="s">
        <v>3833</v>
      </c>
    </row>
    <row r="1016" spans="1:16" s="22" customFormat="1" ht="15" customHeight="1" x14ac:dyDescent="0.2">
      <c r="A1016" s="22" t="s">
        <v>3786</v>
      </c>
      <c r="B1016" s="22">
        <v>8814784</v>
      </c>
      <c r="C1016" s="23">
        <v>1</v>
      </c>
      <c r="D1016" s="23">
        <v>921757617</v>
      </c>
      <c r="E1016" s="23">
        <v>921757617</v>
      </c>
      <c r="F1016" s="24" t="s">
        <v>2036</v>
      </c>
      <c r="G1016" s="23">
        <v>0</v>
      </c>
      <c r="H1016" s="23">
        <v>20250301</v>
      </c>
      <c r="I1016" s="23" t="str">
        <f>TEXT(DATE(LEFT(H1016,4), MID(H1016,5,2), RIGHT(H1016,2)), "M/d/yyyy")</f>
        <v>3/1/2025</v>
      </c>
      <c r="J1016" s="25">
        <v>20250101</v>
      </c>
      <c r="K1016" s="23" t="str">
        <f>TEXT(DATE(LEFT(J1016,4), MID(J1016,5,2), RIGHT(J1016,2)), "M/d/yyyy")</f>
        <v>1/1/2025</v>
      </c>
      <c r="L1016" s="24" t="s">
        <v>60</v>
      </c>
      <c r="M1016" s="26">
        <v>1</v>
      </c>
      <c r="N1016" s="25">
        <v>30</v>
      </c>
      <c r="O1016" s="27">
        <v>30</v>
      </c>
      <c r="P1016" s="22" t="s">
        <v>3833</v>
      </c>
    </row>
    <row r="1017" spans="1:16" s="22" customFormat="1" ht="15" customHeight="1" x14ac:dyDescent="0.2">
      <c r="A1017" s="22" t="s">
        <v>3786</v>
      </c>
      <c r="B1017" s="22">
        <v>8814784</v>
      </c>
      <c r="C1017" s="23">
        <v>2</v>
      </c>
      <c r="D1017" s="23">
        <v>921054464</v>
      </c>
      <c r="E1017" s="23">
        <v>921054464</v>
      </c>
      <c r="F1017" s="24" t="s">
        <v>1961</v>
      </c>
      <c r="G1017" s="23">
        <v>0</v>
      </c>
      <c r="H1017" s="23">
        <v>20250301</v>
      </c>
      <c r="I1017" s="23" t="str">
        <f>TEXT(DATE(LEFT(H1017,4), MID(H1017,5,2), RIGHT(H1017,2)), "M/d/yyyy")</f>
        <v>3/1/2025</v>
      </c>
      <c r="J1017" s="25">
        <v>20230101</v>
      </c>
      <c r="K1017" s="23" t="str">
        <f>TEXT(DATE(LEFT(J1017,4), MID(J1017,5,2), RIGHT(J1017,2)), "M/d/yyyy")</f>
        <v>1/1/2023</v>
      </c>
      <c r="L1017" s="24" t="s">
        <v>60</v>
      </c>
      <c r="M1017" s="26">
        <v>1</v>
      </c>
      <c r="N1017" s="25">
        <v>25</v>
      </c>
      <c r="O1017" s="27">
        <v>50</v>
      </c>
      <c r="P1017" s="22" t="s">
        <v>3833</v>
      </c>
    </row>
    <row r="1018" spans="1:16" s="22" customFormat="1" ht="15" customHeight="1" x14ac:dyDescent="0.2">
      <c r="A1018" s="22" t="s">
        <v>3786</v>
      </c>
      <c r="B1018" s="22">
        <v>8814784</v>
      </c>
      <c r="C1018" s="23">
        <v>2</v>
      </c>
      <c r="D1018" s="23">
        <v>921544809</v>
      </c>
      <c r="E1018" s="23">
        <v>921544809</v>
      </c>
      <c r="F1018" s="24" t="s">
        <v>1995</v>
      </c>
      <c r="G1018" s="23">
        <v>0</v>
      </c>
      <c r="H1018" s="23">
        <v>20250201</v>
      </c>
      <c r="I1018" s="23" t="str">
        <f>TEXT(DATE(LEFT(H1018,4), MID(H1018,5,2), RIGHT(H1018,2)), "M/d/yyyy")</f>
        <v>2/1/2025</v>
      </c>
      <c r="J1018" s="25">
        <v>20210101</v>
      </c>
      <c r="K1018" s="23" t="str">
        <f>TEXT(DATE(LEFT(J1018,4), MID(J1018,5,2), RIGHT(J1018,2)), "M/d/yyyy")</f>
        <v>1/1/2021</v>
      </c>
      <c r="L1018" s="24" t="s">
        <v>60</v>
      </c>
      <c r="M1018" s="26">
        <v>1</v>
      </c>
      <c r="N1018" s="25">
        <v>25</v>
      </c>
      <c r="O1018" s="27">
        <v>50</v>
      </c>
      <c r="P1018" s="22" t="s">
        <v>3833</v>
      </c>
    </row>
    <row r="1019" spans="1:16" s="22" customFormat="1" ht="15" customHeight="1" x14ac:dyDescent="0.2">
      <c r="A1019" s="22" t="s">
        <v>3786</v>
      </c>
      <c r="B1019" s="22">
        <v>8814784</v>
      </c>
      <c r="C1019" s="23">
        <v>2</v>
      </c>
      <c r="D1019" s="23">
        <v>921768375</v>
      </c>
      <c r="E1019" s="23">
        <v>921768375</v>
      </c>
      <c r="F1019" s="24" t="s">
        <v>2042</v>
      </c>
      <c r="G1019" s="23">
        <v>0</v>
      </c>
      <c r="H1019" s="23">
        <v>20250301</v>
      </c>
      <c r="I1019" s="23" t="str">
        <f>TEXT(DATE(LEFT(H1019,4), MID(H1019,5,2), RIGHT(H1019,2)), "M/d/yyyy")</f>
        <v>3/1/2025</v>
      </c>
      <c r="J1019" s="25">
        <v>20250201</v>
      </c>
      <c r="K1019" s="23" t="str">
        <f>TEXT(DATE(LEFT(J1019,4), MID(J1019,5,2), RIGHT(J1019,2)), "M/d/yyyy")</f>
        <v>2/1/2025</v>
      </c>
      <c r="L1019" s="24" t="s">
        <v>60</v>
      </c>
      <c r="M1019" s="26">
        <v>1</v>
      </c>
      <c r="N1019" s="25">
        <v>30</v>
      </c>
      <c r="O1019" s="27">
        <v>60</v>
      </c>
      <c r="P1019" s="22" t="s">
        <v>3833</v>
      </c>
    </row>
    <row r="1020" spans="1:16" s="22" customFormat="1" ht="15" customHeight="1" x14ac:dyDescent="0.2">
      <c r="A1020" s="22" t="s">
        <v>3786</v>
      </c>
      <c r="B1020" s="22">
        <v>8814784</v>
      </c>
      <c r="C1020" s="23">
        <v>2</v>
      </c>
      <c r="D1020" s="23">
        <v>921768375</v>
      </c>
      <c r="E1020" s="23">
        <v>921768375</v>
      </c>
      <c r="F1020" s="24" t="s">
        <v>2042</v>
      </c>
      <c r="G1020" s="23">
        <v>0</v>
      </c>
      <c r="H1020" s="23">
        <v>20250301</v>
      </c>
      <c r="I1020" s="23" t="str">
        <f>TEXT(DATE(LEFT(H1020,4), MID(H1020,5,2), RIGHT(H1020,2)), "M/d/yyyy")</f>
        <v>3/1/2025</v>
      </c>
      <c r="J1020" s="25">
        <v>20250201</v>
      </c>
      <c r="K1020" s="23" t="str">
        <f>TEXT(DATE(LEFT(J1020,4), MID(J1020,5,2), RIGHT(J1020,2)), "M/d/yyyy")</f>
        <v>2/1/2025</v>
      </c>
      <c r="L1020" s="24" t="s">
        <v>60</v>
      </c>
      <c r="M1020" s="26">
        <v>1</v>
      </c>
      <c r="N1020" s="25">
        <v>30</v>
      </c>
      <c r="O1020" s="27">
        <v>60</v>
      </c>
      <c r="P1020" s="22" t="s">
        <v>3833</v>
      </c>
    </row>
    <row r="1021" spans="1:16" s="22" customFormat="1" ht="15" customHeight="1" x14ac:dyDescent="0.2">
      <c r="A1021" s="22" t="s">
        <v>3786</v>
      </c>
      <c r="B1021" s="22">
        <v>8814784</v>
      </c>
      <c r="C1021" s="23">
        <v>3</v>
      </c>
      <c r="D1021" s="23">
        <v>921686958</v>
      </c>
      <c r="E1021" s="23">
        <v>921686958</v>
      </c>
      <c r="F1021" s="24" t="s">
        <v>2022</v>
      </c>
      <c r="G1021" s="23">
        <v>0</v>
      </c>
      <c r="H1021" s="23">
        <v>20250301</v>
      </c>
      <c r="I1021" s="23" t="str">
        <f>TEXT(DATE(LEFT(H1021,4), MID(H1021,5,2), RIGHT(H1021,2)), "M/d/yyyy")</f>
        <v>3/1/2025</v>
      </c>
      <c r="J1021" s="25">
        <v>20240101</v>
      </c>
      <c r="K1021" s="23" t="str">
        <f>TEXT(DATE(LEFT(J1021,4), MID(J1021,5,2), RIGHT(J1021,2)), "M/d/yyyy")</f>
        <v>1/1/2024</v>
      </c>
      <c r="L1021" s="24" t="s">
        <v>60</v>
      </c>
      <c r="M1021" s="26">
        <v>1</v>
      </c>
      <c r="N1021" s="25">
        <v>25</v>
      </c>
      <c r="O1021" s="27">
        <v>75</v>
      </c>
      <c r="P1021" s="22" t="s">
        <v>3833</v>
      </c>
    </row>
    <row r="1022" spans="1:16" s="22" customFormat="1" ht="15" customHeight="1" x14ac:dyDescent="0.2">
      <c r="A1022" s="22" t="s">
        <v>3786</v>
      </c>
      <c r="B1022" s="22">
        <v>8814784</v>
      </c>
      <c r="C1022" s="23">
        <v>4</v>
      </c>
      <c r="D1022" s="23">
        <v>890262018</v>
      </c>
      <c r="E1022" s="23">
        <v>890262018</v>
      </c>
      <c r="F1022" s="24" t="s">
        <v>1934</v>
      </c>
      <c r="G1022" s="23">
        <v>0</v>
      </c>
      <c r="H1022" s="23">
        <v>20250301</v>
      </c>
      <c r="I1022" s="23" t="str">
        <f>TEXT(DATE(LEFT(H1022,4), MID(H1022,5,2), RIGHT(H1022,2)), "M/d/yyyy")</f>
        <v>3/1/2025</v>
      </c>
      <c r="J1022" s="25">
        <v>20250101</v>
      </c>
      <c r="K1022" s="23" t="str">
        <f>TEXT(DATE(LEFT(J1022,4), MID(J1022,5,2), RIGHT(J1022,2)), "M/d/yyyy")</f>
        <v>1/1/2025</v>
      </c>
      <c r="L1022" s="24" t="s">
        <v>60</v>
      </c>
      <c r="M1022" s="26">
        <v>1</v>
      </c>
      <c r="N1022" s="25">
        <v>30</v>
      </c>
      <c r="O1022" s="27">
        <v>120</v>
      </c>
      <c r="P1022" s="22" t="s">
        <v>3833</v>
      </c>
    </row>
    <row r="1023" spans="1:16" s="22" customFormat="1" ht="15" customHeight="1" x14ac:dyDescent="0.2">
      <c r="A1023" s="22" t="s">
        <v>3781</v>
      </c>
      <c r="B1023" s="22">
        <v>9213293</v>
      </c>
      <c r="C1023" s="24" t="s">
        <v>588</v>
      </c>
      <c r="D1023" s="23">
        <v>921387647</v>
      </c>
      <c r="E1023" s="23">
        <v>921387647</v>
      </c>
      <c r="F1023" s="24" t="s">
        <v>750</v>
      </c>
      <c r="G1023" s="23">
        <v>0</v>
      </c>
      <c r="H1023" s="23">
        <v>20250301</v>
      </c>
      <c r="I1023" s="23" t="str">
        <f>TEXT(DATE(LEFT(H1023,4), MID(H1023,5,2), RIGHT(H1023,2)), "M/d/yyyy")</f>
        <v>3/1/2025</v>
      </c>
      <c r="J1023" s="25">
        <v>20210601</v>
      </c>
      <c r="K1023" s="23" t="str">
        <f>TEXT(DATE(LEFT(J1023,4), MID(J1023,5,2), RIGHT(J1023,2)), "M/d/yyyy")</f>
        <v>6/1/2021</v>
      </c>
      <c r="L1023" s="24" t="s">
        <v>60</v>
      </c>
      <c r="M1023" s="26">
        <v>1</v>
      </c>
      <c r="N1023" s="25">
        <v>25</v>
      </c>
      <c r="O1023" s="27">
        <v>-25</v>
      </c>
      <c r="P1023" s="22" t="s">
        <v>3833</v>
      </c>
    </row>
    <row r="1024" spans="1:16" s="22" customFormat="1" ht="15" customHeight="1" x14ac:dyDescent="0.2">
      <c r="A1024" s="22" t="s">
        <v>3781</v>
      </c>
      <c r="B1024" s="22">
        <v>9213293</v>
      </c>
      <c r="C1024" s="24" t="s">
        <v>588</v>
      </c>
      <c r="D1024" s="23">
        <v>921387647</v>
      </c>
      <c r="E1024" s="23">
        <v>921387647</v>
      </c>
      <c r="F1024" s="24" t="s">
        <v>750</v>
      </c>
      <c r="G1024" s="23">
        <v>0</v>
      </c>
      <c r="H1024" s="23">
        <v>20250201</v>
      </c>
      <c r="I1024" s="23" t="str">
        <f>TEXT(DATE(LEFT(H1024,4), MID(H1024,5,2), RIGHT(H1024,2)), "M/d/yyyy")</f>
        <v>2/1/2025</v>
      </c>
      <c r="J1024" s="25">
        <v>20210601</v>
      </c>
      <c r="K1024" s="23" t="str">
        <f>TEXT(DATE(LEFT(J1024,4), MID(J1024,5,2), RIGHT(J1024,2)), "M/d/yyyy")</f>
        <v>6/1/2021</v>
      </c>
      <c r="L1024" s="24" t="s">
        <v>60</v>
      </c>
      <c r="M1024" s="26">
        <v>1</v>
      </c>
      <c r="N1024" s="25">
        <v>25</v>
      </c>
      <c r="O1024" s="27">
        <v>-25</v>
      </c>
      <c r="P1024" s="22" t="s">
        <v>3833</v>
      </c>
    </row>
    <row r="1025" spans="1:16" s="22" customFormat="1" ht="15" customHeight="1" x14ac:dyDescent="0.2">
      <c r="A1025" s="22" t="s">
        <v>3781</v>
      </c>
      <c r="B1025" s="22">
        <v>9213293</v>
      </c>
      <c r="C1025" s="24" t="s">
        <v>588</v>
      </c>
      <c r="D1025" s="23">
        <v>921533556</v>
      </c>
      <c r="E1025" s="23">
        <v>921533556</v>
      </c>
      <c r="F1025" s="24" t="s">
        <v>782</v>
      </c>
      <c r="G1025" s="23">
        <v>0</v>
      </c>
      <c r="H1025" s="23">
        <v>20250201</v>
      </c>
      <c r="I1025" s="23" t="str">
        <f>TEXT(DATE(LEFT(H1025,4), MID(H1025,5,2), RIGHT(H1025,2)), "M/d/yyyy")</f>
        <v>2/1/2025</v>
      </c>
      <c r="J1025" s="25">
        <v>20210101</v>
      </c>
      <c r="K1025" s="23" t="str">
        <f>TEXT(DATE(LEFT(J1025,4), MID(J1025,5,2), RIGHT(J1025,2)), "M/d/yyyy")</f>
        <v>1/1/2021</v>
      </c>
      <c r="L1025" s="24" t="s">
        <v>60</v>
      </c>
      <c r="M1025" s="26">
        <v>1</v>
      </c>
      <c r="N1025" s="25">
        <v>25</v>
      </c>
      <c r="O1025" s="27">
        <v>-25</v>
      </c>
      <c r="P1025" s="22" t="s">
        <v>3833</v>
      </c>
    </row>
    <row r="1026" spans="1:16" s="22" customFormat="1" ht="15" customHeight="1" x14ac:dyDescent="0.2">
      <c r="A1026" s="22" t="s">
        <v>3781</v>
      </c>
      <c r="B1026" s="22">
        <v>9213293</v>
      </c>
      <c r="C1026" s="24" t="s">
        <v>588</v>
      </c>
      <c r="D1026" s="23">
        <v>921679337</v>
      </c>
      <c r="E1026" s="23">
        <v>921679337</v>
      </c>
      <c r="F1026" s="24" t="s">
        <v>867</v>
      </c>
      <c r="G1026" s="23">
        <v>0</v>
      </c>
      <c r="H1026" s="23">
        <v>20250201</v>
      </c>
      <c r="I1026" s="23" t="str">
        <f>TEXT(DATE(LEFT(H1026,4), MID(H1026,5,2), RIGHT(H1026,2)), "M/d/yyyy")</f>
        <v>2/1/2025</v>
      </c>
      <c r="J1026" s="25">
        <v>20240101</v>
      </c>
      <c r="K1026" s="23" t="str">
        <f>TEXT(DATE(LEFT(J1026,4), MID(J1026,5,2), RIGHT(J1026,2)), "M/d/yyyy")</f>
        <v>1/1/2024</v>
      </c>
      <c r="L1026" s="24" t="s">
        <v>60</v>
      </c>
      <c r="M1026" s="26">
        <v>1</v>
      </c>
      <c r="N1026" s="25">
        <v>25</v>
      </c>
      <c r="O1026" s="27">
        <v>-25</v>
      </c>
      <c r="P1026" s="22" t="s">
        <v>3833</v>
      </c>
    </row>
    <row r="1027" spans="1:16" s="22" customFormat="1" ht="15" customHeight="1" x14ac:dyDescent="0.2">
      <c r="A1027" s="22" t="s">
        <v>3781</v>
      </c>
      <c r="B1027" s="22">
        <v>9213293</v>
      </c>
      <c r="C1027" s="23">
        <v>1</v>
      </c>
      <c r="D1027" s="23">
        <v>921106627</v>
      </c>
      <c r="E1027" s="23">
        <v>921106627</v>
      </c>
      <c r="F1027" s="24" t="s">
        <v>708</v>
      </c>
      <c r="G1027" s="23">
        <v>0</v>
      </c>
      <c r="H1027" s="23">
        <v>20250301</v>
      </c>
      <c r="I1027" s="23" t="str">
        <f>TEXT(DATE(LEFT(H1027,4), MID(H1027,5,2), RIGHT(H1027,2)), "M/d/yyyy")</f>
        <v>3/1/2025</v>
      </c>
      <c r="J1027" s="25">
        <v>20150701</v>
      </c>
      <c r="K1027" s="23" t="str">
        <f>TEXT(DATE(LEFT(J1027,4), MID(J1027,5,2), RIGHT(J1027,2)), "M/d/yyyy")</f>
        <v>7/1/2015</v>
      </c>
      <c r="L1027" s="24" t="s">
        <v>60</v>
      </c>
      <c r="M1027" s="26">
        <v>1</v>
      </c>
      <c r="N1027" s="25">
        <v>25</v>
      </c>
      <c r="O1027" s="27">
        <v>25</v>
      </c>
      <c r="P1027" s="22" t="s">
        <v>3833</v>
      </c>
    </row>
    <row r="1028" spans="1:16" s="22" customFormat="1" ht="15" customHeight="1" x14ac:dyDescent="0.2">
      <c r="A1028" s="22" t="s">
        <v>3781</v>
      </c>
      <c r="B1028" s="22">
        <v>9213293</v>
      </c>
      <c r="C1028" s="23">
        <v>1</v>
      </c>
      <c r="D1028" s="23">
        <v>921337456</v>
      </c>
      <c r="E1028" s="23">
        <v>921337456</v>
      </c>
      <c r="F1028" s="24" t="s">
        <v>729</v>
      </c>
      <c r="G1028" s="23">
        <v>0</v>
      </c>
      <c r="H1028" s="23">
        <v>20250301</v>
      </c>
      <c r="I1028" s="23" t="str">
        <f>TEXT(DATE(LEFT(H1028,4), MID(H1028,5,2), RIGHT(H1028,2)), "M/d/yyyy")</f>
        <v>3/1/2025</v>
      </c>
      <c r="J1028" s="25">
        <v>20170201</v>
      </c>
      <c r="K1028" s="23" t="str">
        <f>TEXT(DATE(LEFT(J1028,4), MID(J1028,5,2), RIGHT(J1028,2)), "M/d/yyyy")</f>
        <v>2/1/2017</v>
      </c>
      <c r="L1028" s="24" t="s">
        <v>60</v>
      </c>
      <c r="M1028" s="26">
        <v>1</v>
      </c>
      <c r="N1028" s="25">
        <v>25</v>
      </c>
      <c r="O1028" s="27">
        <v>25</v>
      </c>
      <c r="P1028" s="22" t="s">
        <v>3833</v>
      </c>
    </row>
    <row r="1029" spans="1:16" s="22" customFormat="1" ht="15" customHeight="1" x14ac:dyDescent="0.2">
      <c r="A1029" s="22" t="s">
        <v>3781</v>
      </c>
      <c r="B1029" s="22">
        <v>9213293</v>
      </c>
      <c r="C1029" s="23">
        <v>1</v>
      </c>
      <c r="D1029" s="23">
        <v>921344567</v>
      </c>
      <c r="E1029" s="23">
        <v>921344567</v>
      </c>
      <c r="F1029" s="24" t="s">
        <v>740</v>
      </c>
      <c r="G1029" s="23">
        <v>0</v>
      </c>
      <c r="H1029" s="23">
        <v>20250301</v>
      </c>
      <c r="I1029" s="23" t="str">
        <f>TEXT(DATE(LEFT(H1029,4), MID(H1029,5,2), RIGHT(H1029,2)), "M/d/yyyy")</f>
        <v>3/1/2025</v>
      </c>
      <c r="J1029" s="25">
        <v>20210501</v>
      </c>
      <c r="K1029" s="23" t="str">
        <f>TEXT(DATE(LEFT(J1029,4), MID(J1029,5,2), RIGHT(J1029,2)), "M/d/yyyy")</f>
        <v>5/1/2021</v>
      </c>
      <c r="L1029" s="24" t="s">
        <v>60</v>
      </c>
      <c r="M1029" s="26">
        <v>1</v>
      </c>
      <c r="N1029" s="25">
        <v>25</v>
      </c>
      <c r="O1029" s="27">
        <v>25</v>
      </c>
      <c r="P1029" s="22" t="s">
        <v>3833</v>
      </c>
    </row>
    <row r="1030" spans="1:16" s="22" customFormat="1" ht="15" customHeight="1" x14ac:dyDescent="0.2">
      <c r="A1030" s="22" t="s">
        <v>3781</v>
      </c>
      <c r="B1030" s="22">
        <v>9213293</v>
      </c>
      <c r="C1030" s="23">
        <v>1</v>
      </c>
      <c r="D1030" s="23">
        <v>921368213</v>
      </c>
      <c r="E1030" s="23">
        <v>921368213</v>
      </c>
      <c r="F1030" s="24" t="s">
        <v>744</v>
      </c>
      <c r="G1030" s="23">
        <v>0</v>
      </c>
      <c r="H1030" s="23">
        <v>20250301</v>
      </c>
      <c r="I1030" s="23" t="str">
        <f>TEXT(DATE(LEFT(H1030,4), MID(H1030,5,2), RIGHT(H1030,2)), "M/d/yyyy")</f>
        <v>3/1/2025</v>
      </c>
      <c r="J1030" s="25">
        <v>20180101</v>
      </c>
      <c r="K1030" s="23" t="str">
        <f>TEXT(DATE(LEFT(J1030,4), MID(J1030,5,2), RIGHT(J1030,2)), "M/d/yyyy")</f>
        <v>1/1/2018</v>
      </c>
      <c r="L1030" s="24" t="s">
        <v>60</v>
      </c>
      <c r="M1030" s="26">
        <v>1</v>
      </c>
      <c r="N1030" s="25">
        <v>25</v>
      </c>
      <c r="O1030" s="27">
        <v>25</v>
      </c>
      <c r="P1030" s="22" t="s">
        <v>3833</v>
      </c>
    </row>
    <row r="1031" spans="1:16" s="22" customFormat="1" ht="15" customHeight="1" x14ac:dyDescent="0.2">
      <c r="A1031" s="22" t="s">
        <v>3781</v>
      </c>
      <c r="B1031" s="22">
        <v>9213293</v>
      </c>
      <c r="C1031" s="23">
        <v>1</v>
      </c>
      <c r="D1031" s="23">
        <v>921387647</v>
      </c>
      <c r="E1031" s="23">
        <v>921387647</v>
      </c>
      <c r="F1031" s="24" t="s">
        <v>750</v>
      </c>
      <c r="G1031" s="23">
        <v>0</v>
      </c>
      <c r="H1031" s="23">
        <v>20250301</v>
      </c>
      <c r="I1031" s="23" t="str">
        <f>TEXT(DATE(LEFT(H1031,4), MID(H1031,5,2), RIGHT(H1031,2)), "M/d/yyyy")</f>
        <v>3/1/2025</v>
      </c>
      <c r="J1031" s="25">
        <v>20210601</v>
      </c>
      <c r="K1031" s="23" t="str">
        <f>TEXT(DATE(LEFT(J1031,4), MID(J1031,5,2), RIGHT(J1031,2)), "M/d/yyyy")</f>
        <v>6/1/2021</v>
      </c>
      <c r="L1031" s="24" t="s">
        <v>60</v>
      </c>
      <c r="M1031" s="26">
        <v>1</v>
      </c>
      <c r="N1031" s="25">
        <v>25</v>
      </c>
      <c r="O1031" s="27">
        <v>25</v>
      </c>
      <c r="P1031" s="22" t="s">
        <v>3833</v>
      </c>
    </row>
    <row r="1032" spans="1:16" s="22" customFormat="1" ht="15" customHeight="1" x14ac:dyDescent="0.2">
      <c r="A1032" s="22" t="s">
        <v>3781</v>
      </c>
      <c r="B1032" s="22">
        <v>9213293</v>
      </c>
      <c r="C1032" s="23">
        <v>1</v>
      </c>
      <c r="D1032" s="23">
        <v>921431227</v>
      </c>
      <c r="E1032" s="23">
        <v>921431227</v>
      </c>
      <c r="F1032" s="24" t="s">
        <v>759</v>
      </c>
      <c r="G1032" s="23">
        <v>0</v>
      </c>
      <c r="H1032" s="23">
        <v>20250301</v>
      </c>
      <c r="I1032" s="23" t="str">
        <f>TEXT(DATE(LEFT(H1032,4), MID(H1032,5,2), RIGHT(H1032,2)), "M/d/yyyy")</f>
        <v>3/1/2025</v>
      </c>
      <c r="J1032" s="25">
        <v>20231201</v>
      </c>
      <c r="K1032" s="23" t="str">
        <f>TEXT(DATE(LEFT(J1032,4), MID(J1032,5,2), RIGHT(J1032,2)), "M/d/yyyy")</f>
        <v>12/1/2023</v>
      </c>
      <c r="L1032" s="24" t="s">
        <v>60</v>
      </c>
      <c r="M1032" s="26">
        <v>1</v>
      </c>
      <c r="N1032" s="25">
        <v>25</v>
      </c>
      <c r="O1032" s="27">
        <v>25</v>
      </c>
      <c r="P1032" s="22" t="s">
        <v>3833</v>
      </c>
    </row>
    <row r="1033" spans="1:16" s="22" customFormat="1" ht="15" customHeight="1" x14ac:dyDescent="0.2">
      <c r="A1033" s="22" t="s">
        <v>3781</v>
      </c>
      <c r="B1033" s="22">
        <v>9213293</v>
      </c>
      <c r="C1033" s="23">
        <v>1</v>
      </c>
      <c r="D1033" s="23">
        <v>921489948</v>
      </c>
      <c r="E1033" s="23">
        <v>921489948</v>
      </c>
      <c r="F1033" s="24" t="s">
        <v>765</v>
      </c>
      <c r="G1033" s="23">
        <v>0</v>
      </c>
      <c r="H1033" s="23">
        <v>20250301</v>
      </c>
      <c r="I1033" s="23" t="str">
        <f>TEXT(DATE(LEFT(H1033,4), MID(H1033,5,2), RIGHT(H1033,2)), "M/d/yyyy")</f>
        <v>3/1/2025</v>
      </c>
      <c r="J1033" s="25">
        <v>20191101</v>
      </c>
      <c r="K1033" s="23" t="str">
        <f>TEXT(DATE(LEFT(J1033,4), MID(J1033,5,2), RIGHT(J1033,2)), "M/d/yyyy")</f>
        <v>11/1/2019</v>
      </c>
      <c r="L1033" s="24" t="s">
        <v>60</v>
      </c>
      <c r="M1033" s="26">
        <v>1</v>
      </c>
      <c r="N1033" s="25">
        <v>25</v>
      </c>
      <c r="O1033" s="27">
        <v>25</v>
      </c>
      <c r="P1033" s="22" t="s">
        <v>3833</v>
      </c>
    </row>
    <row r="1034" spans="1:16" s="22" customFormat="1" ht="15" customHeight="1" x14ac:dyDescent="0.2">
      <c r="A1034" s="22" t="s">
        <v>3781</v>
      </c>
      <c r="B1034" s="22">
        <v>9213293</v>
      </c>
      <c r="C1034" s="23">
        <v>1</v>
      </c>
      <c r="D1034" s="23">
        <v>921491009</v>
      </c>
      <c r="E1034" s="23">
        <v>921491009</v>
      </c>
      <c r="F1034" s="24" t="s">
        <v>768</v>
      </c>
      <c r="G1034" s="23">
        <v>0</v>
      </c>
      <c r="H1034" s="23">
        <v>20250301</v>
      </c>
      <c r="I1034" s="23" t="str">
        <f>TEXT(DATE(LEFT(H1034,4), MID(H1034,5,2), RIGHT(H1034,2)), "M/d/yyyy")</f>
        <v>3/1/2025</v>
      </c>
      <c r="J1034" s="25">
        <v>20191201</v>
      </c>
      <c r="K1034" s="23" t="str">
        <f>TEXT(DATE(LEFT(J1034,4), MID(J1034,5,2), RIGHT(J1034,2)), "M/d/yyyy")</f>
        <v>12/1/2019</v>
      </c>
      <c r="L1034" s="24" t="s">
        <v>60</v>
      </c>
      <c r="M1034" s="26">
        <v>1</v>
      </c>
      <c r="N1034" s="25">
        <v>25</v>
      </c>
      <c r="O1034" s="27">
        <v>25</v>
      </c>
      <c r="P1034" s="22" t="s">
        <v>3833</v>
      </c>
    </row>
    <row r="1035" spans="1:16" s="22" customFormat="1" ht="15" customHeight="1" x14ac:dyDescent="0.2">
      <c r="A1035" s="22" t="s">
        <v>3781</v>
      </c>
      <c r="B1035" s="22">
        <v>9213293</v>
      </c>
      <c r="C1035" s="23">
        <v>1</v>
      </c>
      <c r="D1035" s="23">
        <v>921491139</v>
      </c>
      <c r="E1035" s="23">
        <v>921491139</v>
      </c>
      <c r="F1035" s="24" t="s">
        <v>771</v>
      </c>
      <c r="G1035" s="23">
        <v>0</v>
      </c>
      <c r="H1035" s="23">
        <v>20250301</v>
      </c>
      <c r="I1035" s="23" t="str">
        <f>TEXT(DATE(LEFT(H1035,4), MID(H1035,5,2), RIGHT(H1035,2)), "M/d/yyyy")</f>
        <v>3/1/2025</v>
      </c>
      <c r="J1035" s="25">
        <v>20200201</v>
      </c>
      <c r="K1035" s="23" t="str">
        <f>TEXT(DATE(LEFT(J1035,4), MID(J1035,5,2), RIGHT(J1035,2)), "M/d/yyyy")</f>
        <v>2/1/2020</v>
      </c>
      <c r="L1035" s="24" t="s">
        <v>60</v>
      </c>
      <c r="M1035" s="26">
        <v>1</v>
      </c>
      <c r="N1035" s="25">
        <v>25</v>
      </c>
      <c r="O1035" s="27">
        <v>25</v>
      </c>
      <c r="P1035" s="22" t="s">
        <v>3833</v>
      </c>
    </row>
    <row r="1036" spans="1:16" s="22" customFormat="1" ht="15" customHeight="1" x14ac:dyDescent="0.2">
      <c r="A1036" s="22" t="s">
        <v>3781</v>
      </c>
      <c r="B1036" s="22">
        <v>9213293</v>
      </c>
      <c r="C1036" s="23">
        <v>1</v>
      </c>
      <c r="D1036" s="23">
        <v>921533946</v>
      </c>
      <c r="E1036" s="23">
        <v>921533946</v>
      </c>
      <c r="F1036" s="24" t="s">
        <v>784</v>
      </c>
      <c r="G1036" s="23">
        <v>0</v>
      </c>
      <c r="H1036" s="23">
        <v>20250301</v>
      </c>
      <c r="I1036" s="23" t="str">
        <f>TEXT(DATE(LEFT(H1036,4), MID(H1036,5,2), RIGHT(H1036,2)), "M/d/yyyy")</f>
        <v>3/1/2025</v>
      </c>
      <c r="J1036" s="25">
        <v>20240201</v>
      </c>
      <c r="K1036" s="23" t="str">
        <f>TEXT(DATE(LEFT(J1036,4), MID(J1036,5,2), RIGHT(J1036,2)), "M/d/yyyy")</f>
        <v>2/1/2024</v>
      </c>
      <c r="L1036" s="24" t="s">
        <v>60</v>
      </c>
      <c r="M1036" s="26">
        <v>1</v>
      </c>
      <c r="N1036" s="25">
        <v>25</v>
      </c>
      <c r="O1036" s="27">
        <v>25</v>
      </c>
      <c r="P1036" s="22" t="s">
        <v>3833</v>
      </c>
    </row>
    <row r="1037" spans="1:16" s="22" customFormat="1" ht="15" customHeight="1" x14ac:dyDescent="0.2">
      <c r="A1037" s="22" t="s">
        <v>3781</v>
      </c>
      <c r="B1037" s="22">
        <v>9213293</v>
      </c>
      <c r="C1037" s="23">
        <v>1</v>
      </c>
      <c r="D1037" s="23">
        <v>921571775</v>
      </c>
      <c r="E1037" s="23">
        <v>921571775</v>
      </c>
      <c r="F1037" s="24" t="s">
        <v>799</v>
      </c>
      <c r="G1037" s="23">
        <v>0</v>
      </c>
      <c r="H1037" s="23">
        <v>20250301</v>
      </c>
      <c r="I1037" s="23" t="str">
        <f>TEXT(DATE(LEFT(H1037,4), MID(H1037,5,2), RIGHT(H1037,2)), "M/d/yyyy")</f>
        <v>3/1/2025</v>
      </c>
      <c r="J1037" s="25">
        <v>20240101</v>
      </c>
      <c r="K1037" s="23" t="str">
        <f>TEXT(DATE(LEFT(J1037,4), MID(J1037,5,2), RIGHT(J1037,2)), "M/d/yyyy")</f>
        <v>1/1/2024</v>
      </c>
      <c r="L1037" s="24" t="s">
        <v>60</v>
      </c>
      <c r="M1037" s="26">
        <v>1</v>
      </c>
      <c r="N1037" s="25">
        <v>25</v>
      </c>
      <c r="O1037" s="27">
        <v>25</v>
      </c>
      <c r="P1037" s="22" t="s">
        <v>3833</v>
      </c>
    </row>
    <row r="1038" spans="1:16" s="22" customFormat="1" ht="15" customHeight="1" x14ac:dyDescent="0.2">
      <c r="A1038" s="22" t="s">
        <v>3781</v>
      </c>
      <c r="B1038" s="22">
        <v>9213293</v>
      </c>
      <c r="C1038" s="23">
        <v>1</v>
      </c>
      <c r="D1038" s="23">
        <v>921595294</v>
      </c>
      <c r="E1038" s="23">
        <v>921595294</v>
      </c>
      <c r="F1038" s="24" t="s">
        <v>809</v>
      </c>
      <c r="G1038" s="23">
        <v>0</v>
      </c>
      <c r="H1038" s="23">
        <v>20250301</v>
      </c>
      <c r="I1038" s="23" t="str">
        <f>TEXT(DATE(LEFT(H1038,4), MID(H1038,5,2), RIGHT(H1038,2)), "M/d/yyyy")</f>
        <v>3/1/2025</v>
      </c>
      <c r="J1038" s="25">
        <v>20220101</v>
      </c>
      <c r="K1038" s="23" t="str">
        <f>TEXT(DATE(LEFT(J1038,4), MID(J1038,5,2), RIGHT(J1038,2)), "M/d/yyyy")</f>
        <v>1/1/2022</v>
      </c>
      <c r="L1038" s="24" t="s">
        <v>60</v>
      </c>
      <c r="M1038" s="26">
        <v>1</v>
      </c>
      <c r="N1038" s="25">
        <v>25</v>
      </c>
      <c r="O1038" s="27">
        <v>25</v>
      </c>
      <c r="P1038" s="22" t="s">
        <v>3833</v>
      </c>
    </row>
    <row r="1039" spans="1:16" s="22" customFormat="1" ht="15" customHeight="1" x14ac:dyDescent="0.2">
      <c r="A1039" s="22" t="s">
        <v>3781</v>
      </c>
      <c r="B1039" s="22">
        <v>9213293</v>
      </c>
      <c r="C1039" s="23">
        <v>1</v>
      </c>
      <c r="D1039" s="23">
        <v>921597480</v>
      </c>
      <c r="E1039" s="23">
        <v>921597480</v>
      </c>
      <c r="F1039" s="24" t="s">
        <v>813</v>
      </c>
      <c r="G1039" s="23">
        <v>0</v>
      </c>
      <c r="H1039" s="23">
        <v>20250301</v>
      </c>
      <c r="I1039" s="23" t="str">
        <f>TEXT(DATE(LEFT(H1039,4), MID(H1039,5,2), RIGHT(H1039,2)), "M/d/yyyy")</f>
        <v>3/1/2025</v>
      </c>
      <c r="J1039" s="25">
        <v>20220101</v>
      </c>
      <c r="K1039" s="23" t="str">
        <f>TEXT(DATE(LEFT(J1039,4), MID(J1039,5,2), RIGHT(J1039,2)), "M/d/yyyy")</f>
        <v>1/1/2022</v>
      </c>
      <c r="L1039" s="24" t="s">
        <v>60</v>
      </c>
      <c r="M1039" s="26">
        <v>1</v>
      </c>
      <c r="N1039" s="25">
        <v>25</v>
      </c>
      <c r="O1039" s="27">
        <v>25</v>
      </c>
      <c r="P1039" s="22" t="s">
        <v>3833</v>
      </c>
    </row>
    <row r="1040" spans="1:16" s="22" customFormat="1" ht="15" customHeight="1" x14ac:dyDescent="0.2">
      <c r="A1040" s="22" t="s">
        <v>3781</v>
      </c>
      <c r="B1040" s="22">
        <v>9213293</v>
      </c>
      <c r="C1040" s="23">
        <v>1</v>
      </c>
      <c r="D1040" s="23">
        <v>921602662</v>
      </c>
      <c r="E1040" s="23">
        <v>921602662</v>
      </c>
      <c r="F1040" s="24" t="s">
        <v>817</v>
      </c>
      <c r="G1040" s="23">
        <v>0</v>
      </c>
      <c r="H1040" s="23">
        <v>20250201</v>
      </c>
      <c r="I1040" s="23" t="str">
        <f>TEXT(DATE(LEFT(H1040,4), MID(H1040,5,2), RIGHT(H1040,2)), "M/d/yyyy")</f>
        <v>2/1/2025</v>
      </c>
      <c r="J1040" s="25">
        <v>20220201</v>
      </c>
      <c r="K1040" s="23" t="str">
        <f>TEXT(DATE(LEFT(J1040,4), MID(J1040,5,2), RIGHT(J1040,2)), "M/d/yyyy")</f>
        <v>2/1/2022</v>
      </c>
      <c r="L1040" s="24" t="s">
        <v>60</v>
      </c>
      <c r="M1040" s="26">
        <v>1</v>
      </c>
      <c r="N1040" s="25">
        <v>25</v>
      </c>
      <c r="O1040" s="27">
        <v>25</v>
      </c>
      <c r="P1040" s="22" t="s">
        <v>3833</v>
      </c>
    </row>
    <row r="1041" spans="1:16" s="22" customFormat="1" ht="15" customHeight="1" x14ac:dyDescent="0.2">
      <c r="A1041" s="22" t="s">
        <v>3781</v>
      </c>
      <c r="B1041" s="22">
        <v>9213293</v>
      </c>
      <c r="C1041" s="23">
        <v>1</v>
      </c>
      <c r="D1041" s="23">
        <v>921622438</v>
      </c>
      <c r="E1041" s="23">
        <v>921622438</v>
      </c>
      <c r="F1041" s="24" t="s">
        <v>833</v>
      </c>
      <c r="G1041" s="23">
        <v>0</v>
      </c>
      <c r="H1041" s="23">
        <v>20250301</v>
      </c>
      <c r="I1041" s="23" t="str">
        <f>TEXT(DATE(LEFT(H1041,4), MID(H1041,5,2), RIGHT(H1041,2)), "M/d/yyyy")</f>
        <v>3/1/2025</v>
      </c>
      <c r="J1041" s="25">
        <v>20221001</v>
      </c>
      <c r="K1041" s="23" t="str">
        <f>TEXT(DATE(LEFT(J1041,4), MID(J1041,5,2), RIGHT(J1041,2)), "M/d/yyyy")</f>
        <v>10/1/2022</v>
      </c>
      <c r="L1041" s="24" t="s">
        <v>60</v>
      </c>
      <c r="M1041" s="26">
        <v>1</v>
      </c>
      <c r="N1041" s="25">
        <v>25</v>
      </c>
      <c r="O1041" s="27">
        <v>25</v>
      </c>
      <c r="P1041" s="22" t="s">
        <v>3833</v>
      </c>
    </row>
    <row r="1042" spans="1:16" s="22" customFormat="1" ht="15" customHeight="1" x14ac:dyDescent="0.2">
      <c r="A1042" s="22" t="s">
        <v>3781</v>
      </c>
      <c r="B1042" s="22">
        <v>9213293</v>
      </c>
      <c r="C1042" s="23">
        <v>1</v>
      </c>
      <c r="D1042" s="23">
        <v>921629608</v>
      </c>
      <c r="E1042" s="23">
        <v>921629608</v>
      </c>
      <c r="F1042" s="24" t="s">
        <v>841</v>
      </c>
      <c r="G1042" s="23">
        <v>0</v>
      </c>
      <c r="H1042" s="23">
        <v>20250301</v>
      </c>
      <c r="I1042" s="23" t="str">
        <f>TEXT(DATE(LEFT(H1042,4), MID(H1042,5,2), RIGHT(H1042,2)), "M/d/yyyy")</f>
        <v>3/1/2025</v>
      </c>
      <c r="J1042" s="25">
        <v>20230101</v>
      </c>
      <c r="K1042" s="23" t="str">
        <f>TEXT(DATE(LEFT(J1042,4), MID(J1042,5,2), RIGHT(J1042,2)), "M/d/yyyy")</f>
        <v>1/1/2023</v>
      </c>
      <c r="L1042" s="24" t="s">
        <v>60</v>
      </c>
      <c r="M1042" s="26">
        <v>1</v>
      </c>
      <c r="N1042" s="25">
        <v>25</v>
      </c>
      <c r="O1042" s="27">
        <v>25</v>
      </c>
      <c r="P1042" s="22" t="s">
        <v>3833</v>
      </c>
    </row>
    <row r="1043" spans="1:16" s="22" customFormat="1" ht="15" customHeight="1" x14ac:dyDescent="0.2">
      <c r="A1043" s="22" t="s">
        <v>3781</v>
      </c>
      <c r="B1043" s="22">
        <v>9213293</v>
      </c>
      <c r="C1043" s="23">
        <v>1</v>
      </c>
      <c r="D1043" s="23">
        <v>921644790</v>
      </c>
      <c r="E1043" s="23">
        <v>921644790</v>
      </c>
      <c r="F1043" s="24" t="s">
        <v>843</v>
      </c>
      <c r="G1043" s="23">
        <v>0</v>
      </c>
      <c r="H1043" s="23">
        <v>20250301</v>
      </c>
      <c r="I1043" s="23" t="str">
        <f>TEXT(DATE(LEFT(H1043,4), MID(H1043,5,2), RIGHT(H1043,2)), "M/d/yyyy")</f>
        <v>3/1/2025</v>
      </c>
      <c r="J1043" s="25">
        <v>20240101</v>
      </c>
      <c r="K1043" s="23" t="str">
        <f>TEXT(DATE(LEFT(J1043,4), MID(J1043,5,2), RIGHT(J1043,2)), "M/d/yyyy")</f>
        <v>1/1/2024</v>
      </c>
      <c r="L1043" s="24" t="s">
        <v>60</v>
      </c>
      <c r="M1043" s="26">
        <v>1</v>
      </c>
      <c r="N1043" s="25">
        <v>25</v>
      </c>
      <c r="O1043" s="27">
        <v>25</v>
      </c>
      <c r="P1043" s="22" t="s">
        <v>3833</v>
      </c>
    </row>
    <row r="1044" spans="1:16" s="22" customFormat="1" ht="15" customHeight="1" x14ac:dyDescent="0.2">
      <c r="A1044" s="22" t="s">
        <v>3781</v>
      </c>
      <c r="B1044" s="22">
        <v>9213293</v>
      </c>
      <c r="C1044" s="23">
        <v>1</v>
      </c>
      <c r="D1044" s="23">
        <v>921646053</v>
      </c>
      <c r="E1044" s="23">
        <v>921646053</v>
      </c>
      <c r="F1044" s="24" t="s">
        <v>845</v>
      </c>
      <c r="G1044" s="23">
        <v>0</v>
      </c>
      <c r="H1044" s="23">
        <v>20250301</v>
      </c>
      <c r="I1044" s="23" t="str">
        <f>TEXT(DATE(LEFT(H1044,4), MID(H1044,5,2), RIGHT(H1044,2)), "M/d/yyyy")</f>
        <v>3/1/2025</v>
      </c>
      <c r="J1044" s="25">
        <v>20230201</v>
      </c>
      <c r="K1044" s="23" t="str">
        <f>TEXT(DATE(LEFT(J1044,4), MID(J1044,5,2), RIGHT(J1044,2)), "M/d/yyyy")</f>
        <v>2/1/2023</v>
      </c>
      <c r="L1044" s="24" t="s">
        <v>60</v>
      </c>
      <c r="M1044" s="26">
        <v>1</v>
      </c>
      <c r="N1044" s="25">
        <v>25</v>
      </c>
      <c r="O1044" s="27">
        <v>25</v>
      </c>
      <c r="P1044" s="22" t="s">
        <v>3833</v>
      </c>
    </row>
    <row r="1045" spans="1:16" s="22" customFormat="1" ht="15" customHeight="1" x14ac:dyDescent="0.2">
      <c r="A1045" s="22" t="s">
        <v>3781</v>
      </c>
      <c r="B1045" s="22">
        <v>9213293</v>
      </c>
      <c r="C1045" s="23">
        <v>1</v>
      </c>
      <c r="D1045" s="23">
        <v>921646053</v>
      </c>
      <c r="E1045" s="23">
        <v>921646053</v>
      </c>
      <c r="F1045" s="24" t="s">
        <v>845</v>
      </c>
      <c r="G1045" s="23">
        <v>0</v>
      </c>
      <c r="H1045" s="23">
        <v>20250201</v>
      </c>
      <c r="I1045" s="23" t="str">
        <f>TEXT(DATE(LEFT(H1045,4), MID(H1045,5,2), RIGHT(H1045,2)), "M/d/yyyy")</f>
        <v>2/1/2025</v>
      </c>
      <c r="J1045" s="25">
        <v>20230201</v>
      </c>
      <c r="K1045" s="23" t="str">
        <f>TEXT(DATE(LEFT(J1045,4), MID(J1045,5,2), RIGHT(J1045,2)), "M/d/yyyy")</f>
        <v>2/1/2023</v>
      </c>
      <c r="L1045" s="24" t="s">
        <v>60</v>
      </c>
      <c r="M1045" s="26">
        <v>1</v>
      </c>
      <c r="N1045" s="25">
        <v>25</v>
      </c>
      <c r="O1045" s="27">
        <v>25</v>
      </c>
      <c r="P1045" s="22" t="s">
        <v>3833</v>
      </c>
    </row>
    <row r="1046" spans="1:16" s="22" customFormat="1" ht="15" customHeight="1" x14ac:dyDescent="0.2">
      <c r="A1046" s="22" t="s">
        <v>3781</v>
      </c>
      <c r="B1046" s="22">
        <v>9213293</v>
      </c>
      <c r="C1046" s="23">
        <v>1</v>
      </c>
      <c r="D1046" s="23">
        <v>921667480</v>
      </c>
      <c r="E1046" s="23">
        <v>921667480</v>
      </c>
      <c r="F1046" s="24" t="s">
        <v>854</v>
      </c>
      <c r="G1046" s="23">
        <v>0</v>
      </c>
      <c r="H1046" s="23">
        <v>20250301</v>
      </c>
      <c r="I1046" s="23" t="str">
        <f>TEXT(DATE(LEFT(H1046,4), MID(H1046,5,2), RIGHT(H1046,2)), "M/d/yyyy")</f>
        <v>3/1/2025</v>
      </c>
      <c r="J1046" s="25">
        <v>20230901</v>
      </c>
      <c r="K1046" s="23" t="str">
        <f>TEXT(DATE(LEFT(J1046,4), MID(J1046,5,2), RIGHT(J1046,2)), "M/d/yyyy")</f>
        <v>9/1/2023</v>
      </c>
      <c r="L1046" s="24" t="s">
        <v>60</v>
      </c>
      <c r="M1046" s="26">
        <v>1</v>
      </c>
      <c r="N1046" s="25">
        <v>25</v>
      </c>
      <c r="O1046" s="27">
        <v>25</v>
      </c>
      <c r="P1046" s="22" t="s">
        <v>3833</v>
      </c>
    </row>
    <row r="1047" spans="1:16" s="22" customFormat="1" ht="15" customHeight="1" x14ac:dyDescent="0.2">
      <c r="A1047" s="22" t="s">
        <v>3781</v>
      </c>
      <c r="B1047" s="22">
        <v>9213293</v>
      </c>
      <c r="C1047" s="23">
        <v>1</v>
      </c>
      <c r="D1047" s="23">
        <v>921672098</v>
      </c>
      <c r="E1047" s="23">
        <v>921672098</v>
      </c>
      <c r="F1047" s="24" t="s">
        <v>858</v>
      </c>
      <c r="G1047" s="23">
        <v>0</v>
      </c>
      <c r="H1047" s="23">
        <v>20250301</v>
      </c>
      <c r="I1047" s="23" t="str">
        <f>TEXT(DATE(LEFT(H1047,4), MID(H1047,5,2), RIGHT(H1047,2)), "M/d/yyyy")</f>
        <v>3/1/2025</v>
      </c>
      <c r="J1047" s="25">
        <v>20231001</v>
      </c>
      <c r="K1047" s="23" t="str">
        <f>TEXT(DATE(LEFT(J1047,4), MID(J1047,5,2), RIGHT(J1047,2)), "M/d/yyyy")</f>
        <v>10/1/2023</v>
      </c>
      <c r="L1047" s="24" t="s">
        <v>60</v>
      </c>
      <c r="M1047" s="26">
        <v>1</v>
      </c>
      <c r="N1047" s="25">
        <v>25</v>
      </c>
      <c r="O1047" s="27">
        <v>25</v>
      </c>
      <c r="P1047" s="22" t="s">
        <v>3833</v>
      </c>
    </row>
    <row r="1048" spans="1:16" s="22" customFormat="1" ht="15" customHeight="1" x14ac:dyDescent="0.2">
      <c r="A1048" s="22" t="s">
        <v>3781</v>
      </c>
      <c r="B1048" s="22">
        <v>9213293</v>
      </c>
      <c r="C1048" s="23">
        <v>1</v>
      </c>
      <c r="D1048" s="23">
        <v>920933743</v>
      </c>
      <c r="E1048" s="23">
        <v>920933743</v>
      </c>
      <c r="F1048" s="24" t="s">
        <v>698</v>
      </c>
      <c r="G1048" s="23">
        <v>0</v>
      </c>
      <c r="H1048" s="23">
        <v>20250301</v>
      </c>
      <c r="I1048" s="23" t="str">
        <f>TEXT(DATE(LEFT(H1048,4), MID(H1048,5,2), RIGHT(H1048,2)), "M/d/yyyy")</f>
        <v>3/1/2025</v>
      </c>
      <c r="J1048" s="25">
        <v>20250101</v>
      </c>
      <c r="K1048" s="23" t="str">
        <f>TEXT(DATE(LEFT(J1048,4), MID(J1048,5,2), RIGHT(J1048,2)), "M/d/yyyy")</f>
        <v>1/1/2025</v>
      </c>
      <c r="L1048" s="24" t="s">
        <v>60</v>
      </c>
      <c r="M1048" s="26">
        <v>1</v>
      </c>
      <c r="N1048" s="25">
        <v>30</v>
      </c>
      <c r="O1048" s="27">
        <v>30</v>
      </c>
      <c r="P1048" s="22" t="s">
        <v>3833</v>
      </c>
    </row>
    <row r="1049" spans="1:16" s="22" customFormat="1" ht="15" customHeight="1" x14ac:dyDescent="0.2">
      <c r="A1049" s="22" t="s">
        <v>3781</v>
      </c>
      <c r="B1049" s="22">
        <v>9213293</v>
      </c>
      <c r="C1049" s="23">
        <v>1</v>
      </c>
      <c r="D1049" s="23">
        <v>921034787</v>
      </c>
      <c r="E1049" s="23">
        <v>921034787</v>
      </c>
      <c r="F1049" s="24" t="s">
        <v>704</v>
      </c>
      <c r="G1049" s="23">
        <v>0</v>
      </c>
      <c r="H1049" s="23">
        <v>20250301</v>
      </c>
      <c r="I1049" s="23" t="str">
        <f>TEXT(DATE(LEFT(H1049,4), MID(H1049,5,2), RIGHT(H1049,2)), "M/d/yyyy")</f>
        <v>3/1/2025</v>
      </c>
      <c r="J1049" s="25">
        <v>20240501</v>
      </c>
      <c r="K1049" s="23" t="str">
        <f>TEXT(DATE(LEFT(J1049,4), MID(J1049,5,2), RIGHT(J1049,2)), "M/d/yyyy")</f>
        <v>5/1/2024</v>
      </c>
      <c r="L1049" s="24" t="s">
        <v>60</v>
      </c>
      <c r="M1049" s="26">
        <v>1</v>
      </c>
      <c r="N1049" s="25">
        <v>30</v>
      </c>
      <c r="O1049" s="27">
        <v>30</v>
      </c>
      <c r="P1049" s="22" t="s">
        <v>3833</v>
      </c>
    </row>
    <row r="1050" spans="1:16" s="22" customFormat="1" ht="15" customHeight="1" x14ac:dyDescent="0.2">
      <c r="A1050" s="22" t="s">
        <v>3781</v>
      </c>
      <c r="B1050" s="22">
        <v>9213293</v>
      </c>
      <c r="C1050" s="23">
        <v>1</v>
      </c>
      <c r="D1050" s="23">
        <v>921533946</v>
      </c>
      <c r="E1050" s="23">
        <v>921533946</v>
      </c>
      <c r="F1050" s="24" t="s">
        <v>784</v>
      </c>
      <c r="G1050" s="23">
        <v>0</v>
      </c>
      <c r="H1050" s="23">
        <v>20250201</v>
      </c>
      <c r="I1050" s="23" t="str">
        <f>TEXT(DATE(LEFT(H1050,4), MID(H1050,5,2), RIGHT(H1050,2)), "M/d/yyyy")</f>
        <v>2/1/2025</v>
      </c>
      <c r="J1050" s="25">
        <v>20240201</v>
      </c>
      <c r="K1050" s="23" t="str">
        <f>TEXT(DATE(LEFT(J1050,4), MID(J1050,5,2), RIGHT(J1050,2)), "M/d/yyyy")</f>
        <v>2/1/2024</v>
      </c>
      <c r="L1050" s="24" t="s">
        <v>60</v>
      </c>
      <c r="M1050" s="26">
        <v>1</v>
      </c>
      <c r="N1050" s="25">
        <v>30</v>
      </c>
      <c r="O1050" s="27">
        <v>30</v>
      </c>
      <c r="P1050" s="22" t="s">
        <v>3833</v>
      </c>
    </row>
    <row r="1051" spans="1:16" s="22" customFormat="1" ht="15" customHeight="1" x14ac:dyDescent="0.2">
      <c r="A1051" s="22" t="s">
        <v>3781</v>
      </c>
      <c r="B1051" s="22">
        <v>9213293</v>
      </c>
      <c r="C1051" s="23">
        <v>1</v>
      </c>
      <c r="D1051" s="23">
        <v>921568641</v>
      </c>
      <c r="E1051" s="23">
        <v>921568641</v>
      </c>
      <c r="F1051" s="24" t="s">
        <v>797</v>
      </c>
      <c r="G1051" s="23">
        <v>0</v>
      </c>
      <c r="H1051" s="23">
        <v>20250301</v>
      </c>
      <c r="I1051" s="23" t="str">
        <f>TEXT(DATE(LEFT(H1051,4), MID(H1051,5,2), RIGHT(H1051,2)), "M/d/yyyy")</f>
        <v>3/1/2025</v>
      </c>
      <c r="J1051" s="25">
        <v>20250101</v>
      </c>
      <c r="K1051" s="23" t="str">
        <f>TEXT(DATE(LEFT(J1051,4), MID(J1051,5,2), RIGHT(J1051,2)), "M/d/yyyy")</f>
        <v>1/1/2025</v>
      </c>
      <c r="L1051" s="24" t="s">
        <v>60</v>
      </c>
      <c r="M1051" s="26">
        <v>1</v>
      </c>
      <c r="N1051" s="25">
        <v>30</v>
      </c>
      <c r="O1051" s="27">
        <v>30</v>
      </c>
      <c r="P1051" s="22" t="s">
        <v>3833</v>
      </c>
    </row>
    <row r="1052" spans="1:16" s="22" customFormat="1" ht="15" customHeight="1" x14ac:dyDescent="0.2">
      <c r="A1052" s="22" t="s">
        <v>3781</v>
      </c>
      <c r="B1052" s="22">
        <v>9213293</v>
      </c>
      <c r="C1052" s="23">
        <v>1</v>
      </c>
      <c r="D1052" s="23">
        <v>921581876</v>
      </c>
      <c r="E1052" s="23">
        <v>921581876</v>
      </c>
      <c r="F1052" s="24" t="s">
        <v>805</v>
      </c>
      <c r="G1052" s="23">
        <v>0</v>
      </c>
      <c r="H1052" s="23">
        <v>20250301</v>
      </c>
      <c r="I1052" s="23" t="str">
        <f>TEXT(DATE(LEFT(H1052,4), MID(H1052,5,2), RIGHT(H1052,2)), "M/d/yyyy")</f>
        <v>3/1/2025</v>
      </c>
      <c r="J1052" s="25">
        <v>20240601</v>
      </c>
      <c r="K1052" s="23" t="str">
        <f>TEXT(DATE(LEFT(J1052,4), MID(J1052,5,2), RIGHT(J1052,2)), "M/d/yyyy")</f>
        <v>6/1/2024</v>
      </c>
      <c r="L1052" s="24" t="s">
        <v>60</v>
      </c>
      <c r="M1052" s="26">
        <v>1</v>
      </c>
      <c r="N1052" s="25">
        <v>30</v>
      </c>
      <c r="O1052" s="27">
        <v>30</v>
      </c>
      <c r="P1052" s="22" t="s">
        <v>3833</v>
      </c>
    </row>
    <row r="1053" spans="1:16" s="22" customFormat="1" ht="15" customHeight="1" x14ac:dyDescent="0.2">
      <c r="A1053" s="22" t="s">
        <v>3781</v>
      </c>
      <c r="B1053" s="22">
        <v>9213293</v>
      </c>
      <c r="C1053" s="23">
        <v>1</v>
      </c>
      <c r="D1053" s="23">
        <v>921712325</v>
      </c>
      <c r="E1053" s="23">
        <v>921712325</v>
      </c>
      <c r="F1053" s="24" t="s">
        <v>879</v>
      </c>
      <c r="G1053" s="23">
        <v>0</v>
      </c>
      <c r="H1053" s="23">
        <v>20250301</v>
      </c>
      <c r="I1053" s="23" t="str">
        <f>TEXT(DATE(LEFT(H1053,4), MID(H1053,5,2), RIGHT(H1053,2)), "M/d/yyyy")</f>
        <v>3/1/2025</v>
      </c>
      <c r="J1053" s="25">
        <v>20240301</v>
      </c>
      <c r="K1053" s="23" t="str">
        <f>TEXT(DATE(LEFT(J1053,4), MID(J1053,5,2), RIGHT(J1053,2)), "M/d/yyyy")</f>
        <v>3/1/2024</v>
      </c>
      <c r="L1053" s="24" t="s">
        <v>60</v>
      </c>
      <c r="M1053" s="26">
        <v>1</v>
      </c>
      <c r="N1053" s="25">
        <v>30</v>
      </c>
      <c r="O1053" s="27">
        <v>30</v>
      </c>
      <c r="P1053" s="22" t="s">
        <v>3833</v>
      </c>
    </row>
    <row r="1054" spans="1:16" s="22" customFormat="1" ht="15" customHeight="1" x14ac:dyDescent="0.2">
      <c r="A1054" s="22" t="s">
        <v>3781</v>
      </c>
      <c r="B1054" s="22">
        <v>9213293</v>
      </c>
      <c r="C1054" s="23">
        <v>1</v>
      </c>
      <c r="D1054" s="23">
        <v>921752169</v>
      </c>
      <c r="E1054" s="23">
        <v>921752169</v>
      </c>
      <c r="F1054" s="24" t="s">
        <v>889</v>
      </c>
      <c r="G1054" s="23">
        <v>0</v>
      </c>
      <c r="H1054" s="23">
        <v>20250301</v>
      </c>
      <c r="I1054" s="23" t="str">
        <f>TEXT(DATE(LEFT(H1054,4), MID(H1054,5,2), RIGHT(H1054,2)), "M/d/yyyy")</f>
        <v>3/1/2025</v>
      </c>
      <c r="J1054" s="25">
        <v>20250101</v>
      </c>
      <c r="K1054" s="23" t="str">
        <f>TEXT(DATE(LEFT(J1054,4), MID(J1054,5,2), RIGHT(J1054,2)), "M/d/yyyy")</f>
        <v>1/1/2025</v>
      </c>
      <c r="L1054" s="24" t="s">
        <v>60</v>
      </c>
      <c r="M1054" s="26">
        <v>1</v>
      </c>
      <c r="N1054" s="25">
        <v>30</v>
      </c>
      <c r="O1054" s="27">
        <v>30</v>
      </c>
      <c r="P1054" s="22" t="s">
        <v>3833</v>
      </c>
    </row>
    <row r="1055" spans="1:16" s="22" customFormat="1" ht="15" customHeight="1" x14ac:dyDescent="0.2">
      <c r="A1055" s="22" t="s">
        <v>3781</v>
      </c>
      <c r="B1055" s="22">
        <v>9213293</v>
      </c>
      <c r="C1055" s="23">
        <v>2</v>
      </c>
      <c r="D1055" s="23">
        <v>920901616</v>
      </c>
      <c r="E1055" s="23">
        <v>920901616</v>
      </c>
      <c r="F1055" s="24" t="s">
        <v>696</v>
      </c>
      <c r="G1055" s="23">
        <v>0</v>
      </c>
      <c r="H1055" s="23">
        <v>20250301</v>
      </c>
      <c r="I1055" s="23" t="str">
        <f>TEXT(DATE(LEFT(H1055,4), MID(H1055,5,2), RIGHT(H1055,2)), "M/d/yyyy")</f>
        <v>3/1/2025</v>
      </c>
      <c r="J1055" s="25">
        <v>20230101</v>
      </c>
      <c r="K1055" s="23" t="str">
        <f>TEXT(DATE(LEFT(J1055,4), MID(J1055,5,2), RIGHT(J1055,2)), "M/d/yyyy")</f>
        <v>1/1/2023</v>
      </c>
      <c r="L1055" s="24" t="s">
        <v>60</v>
      </c>
      <c r="M1055" s="26">
        <v>1</v>
      </c>
      <c r="N1055" s="25">
        <v>25</v>
      </c>
      <c r="O1055" s="27">
        <v>50</v>
      </c>
      <c r="P1055" s="22" t="s">
        <v>3833</v>
      </c>
    </row>
    <row r="1056" spans="1:16" s="22" customFormat="1" ht="15" customHeight="1" x14ac:dyDescent="0.2">
      <c r="A1056" s="22" t="s">
        <v>3781</v>
      </c>
      <c r="B1056" s="22">
        <v>9213293</v>
      </c>
      <c r="C1056" s="23">
        <v>2</v>
      </c>
      <c r="D1056" s="23">
        <v>920983142</v>
      </c>
      <c r="E1056" s="23">
        <v>920983142</v>
      </c>
      <c r="F1056" s="24" t="s">
        <v>700</v>
      </c>
      <c r="G1056" s="23">
        <v>0</v>
      </c>
      <c r="H1056" s="23">
        <v>20250301</v>
      </c>
      <c r="I1056" s="23" t="str">
        <f>TEXT(DATE(LEFT(H1056,4), MID(H1056,5,2), RIGHT(H1056,2)), "M/d/yyyy")</f>
        <v>3/1/2025</v>
      </c>
      <c r="J1056" s="25">
        <v>20141201</v>
      </c>
      <c r="K1056" s="23" t="str">
        <f>TEXT(DATE(LEFT(J1056,4), MID(J1056,5,2), RIGHT(J1056,2)), "M/d/yyyy")</f>
        <v>12/1/2014</v>
      </c>
      <c r="L1056" s="24" t="s">
        <v>60</v>
      </c>
      <c r="M1056" s="26">
        <v>1</v>
      </c>
      <c r="N1056" s="25">
        <v>25</v>
      </c>
      <c r="O1056" s="27">
        <v>50</v>
      </c>
      <c r="P1056" s="22" t="s">
        <v>3833</v>
      </c>
    </row>
    <row r="1057" spans="1:16" s="22" customFormat="1" ht="15" customHeight="1" x14ac:dyDescent="0.2">
      <c r="A1057" s="22" t="s">
        <v>3781</v>
      </c>
      <c r="B1057" s="22">
        <v>9213293</v>
      </c>
      <c r="C1057" s="23">
        <v>2</v>
      </c>
      <c r="D1057" s="23">
        <v>921337457</v>
      </c>
      <c r="E1057" s="23">
        <v>921337457</v>
      </c>
      <c r="F1057" s="24" t="s">
        <v>732</v>
      </c>
      <c r="G1057" s="23">
        <v>0</v>
      </c>
      <c r="H1057" s="23">
        <v>20250301</v>
      </c>
      <c r="I1057" s="23" t="str">
        <f>TEXT(DATE(LEFT(H1057,4), MID(H1057,5,2), RIGHT(H1057,2)), "M/d/yyyy")</f>
        <v>3/1/2025</v>
      </c>
      <c r="J1057" s="25">
        <v>20170201</v>
      </c>
      <c r="K1057" s="23" t="str">
        <f>TEXT(DATE(LEFT(J1057,4), MID(J1057,5,2), RIGHT(J1057,2)), "M/d/yyyy")</f>
        <v>2/1/2017</v>
      </c>
      <c r="L1057" s="24" t="s">
        <v>60</v>
      </c>
      <c r="M1057" s="26">
        <v>1</v>
      </c>
      <c r="N1057" s="25">
        <v>25</v>
      </c>
      <c r="O1057" s="27">
        <v>50</v>
      </c>
      <c r="P1057" s="22" t="s">
        <v>3833</v>
      </c>
    </row>
    <row r="1058" spans="1:16" s="22" customFormat="1" ht="15" customHeight="1" x14ac:dyDescent="0.2">
      <c r="A1058" s="22" t="s">
        <v>3781</v>
      </c>
      <c r="B1058" s="22">
        <v>9213293</v>
      </c>
      <c r="C1058" s="23">
        <v>2</v>
      </c>
      <c r="D1058" s="23">
        <v>921576971</v>
      </c>
      <c r="E1058" s="23">
        <v>921576971</v>
      </c>
      <c r="F1058" s="24" t="s">
        <v>803</v>
      </c>
      <c r="G1058" s="23">
        <v>0</v>
      </c>
      <c r="H1058" s="23">
        <v>20250301</v>
      </c>
      <c r="I1058" s="23" t="str">
        <f>TEXT(DATE(LEFT(H1058,4), MID(H1058,5,2), RIGHT(H1058,2)), "M/d/yyyy")</f>
        <v>3/1/2025</v>
      </c>
      <c r="J1058" s="25">
        <v>20210801</v>
      </c>
      <c r="K1058" s="23" t="str">
        <f>TEXT(DATE(LEFT(J1058,4), MID(J1058,5,2), RIGHT(J1058,2)), "M/d/yyyy")</f>
        <v>8/1/2021</v>
      </c>
      <c r="L1058" s="24" t="s">
        <v>60</v>
      </c>
      <c r="M1058" s="26">
        <v>1</v>
      </c>
      <c r="N1058" s="25">
        <v>25</v>
      </c>
      <c r="O1058" s="27">
        <v>50</v>
      </c>
      <c r="P1058" s="22" t="s">
        <v>3833</v>
      </c>
    </row>
    <row r="1059" spans="1:16" s="22" customFormat="1" ht="15" customHeight="1" x14ac:dyDescent="0.2">
      <c r="A1059" s="22" t="s">
        <v>3781</v>
      </c>
      <c r="B1059" s="22">
        <v>9213293</v>
      </c>
      <c r="C1059" s="23">
        <v>2</v>
      </c>
      <c r="D1059" s="23">
        <v>921647863</v>
      </c>
      <c r="E1059" s="23">
        <v>921647863</v>
      </c>
      <c r="F1059" s="24" t="s">
        <v>847</v>
      </c>
      <c r="G1059" s="23">
        <v>0</v>
      </c>
      <c r="H1059" s="23">
        <v>20250301</v>
      </c>
      <c r="I1059" s="23" t="str">
        <f>TEXT(DATE(LEFT(H1059,4), MID(H1059,5,2), RIGHT(H1059,2)), "M/d/yyyy")</f>
        <v>3/1/2025</v>
      </c>
      <c r="J1059" s="25">
        <v>20230201</v>
      </c>
      <c r="K1059" s="23" t="str">
        <f>TEXT(DATE(LEFT(J1059,4), MID(J1059,5,2), RIGHT(J1059,2)), "M/d/yyyy")</f>
        <v>2/1/2023</v>
      </c>
      <c r="L1059" s="24" t="s">
        <v>60</v>
      </c>
      <c r="M1059" s="26">
        <v>1</v>
      </c>
      <c r="N1059" s="25">
        <v>25</v>
      </c>
      <c r="O1059" s="27">
        <v>50</v>
      </c>
      <c r="P1059" s="22" t="s">
        <v>3833</v>
      </c>
    </row>
    <row r="1060" spans="1:16" s="22" customFormat="1" ht="15" customHeight="1" x14ac:dyDescent="0.2">
      <c r="A1060" s="22" t="s">
        <v>3781</v>
      </c>
      <c r="B1060" s="22">
        <v>9213293</v>
      </c>
      <c r="C1060" s="23">
        <v>2</v>
      </c>
      <c r="D1060" s="23">
        <v>921647863</v>
      </c>
      <c r="E1060" s="23">
        <v>921647863</v>
      </c>
      <c r="F1060" s="24" t="s">
        <v>847</v>
      </c>
      <c r="G1060" s="23">
        <v>0</v>
      </c>
      <c r="H1060" s="23">
        <v>20250201</v>
      </c>
      <c r="I1060" s="23" t="str">
        <f>TEXT(DATE(LEFT(H1060,4), MID(H1060,5,2), RIGHT(H1060,2)), "M/d/yyyy")</f>
        <v>2/1/2025</v>
      </c>
      <c r="J1060" s="25">
        <v>20230201</v>
      </c>
      <c r="K1060" s="23" t="str">
        <f>TEXT(DATE(LEFT(J1060,4), MID(J1060,5,2), RIGHT(J1060,2)), "M/d/yyyy")</f>
        <v>2/1/2023</v>
      </c>
      <c r="L1060" s="24" t="s">
        <v>60</v>
      </c>
      <c r="M1060" s="26">
        <v>1</v>
      </c>
      <c r="N1060" s="25">
        <v>25</v>
      </c>
      <c r="O1060" s="27">
        <v>50</v>
      </c>
      <c r="P1060" s="22" t="s">
        <v>3833</v>
      </c>
    </row>
    <row r="1061" spans="1:16" s="22" customFormat="1" ht="15" customHeight="1" x14ac:dyDescent="0.2">
      <c r="A1061" s="22" t="s">
        <v>3781</v>
      </c>
      <c r="B1061" s="22">
        <v>9213293</v>
      </c>
      <c r="C1061" s="23">
        <v>4</v>
      </c>
      <c r="D1061" s="23">
        <v>921347604</v>
      </c>
      <c r="E1061" s="23">
        <v>921347604</v>
      </c>
      <c r="F1061" s="24" t="s">
        <v>742</v>
      </c>
      <c r="G1061" s="23">
        <v>0</v>
      </c>
      <c r="H1061" s="23">
        <v>20250301</v>
      </c>
      <c r="I1061" s="23" t="str">
        <f>TEXT(DATE(LEFT(H1061,4), MID(H1061,5,2), RIGHT(H1061,2)), "M/d/yyyy")</f>
        <v>3/1/2025</v>
      </c>
      <c r="J1061" s="25">
        <v>20170301</v>
      </c>
      <c r="K1061" s="23" t="str">
        <f>TEXT(DATE(LEFT(J1061,4), MID(J1061,5,2), RIGHT(J1061,2)), "M/d/yyyy")</f>
        <v>3/1/2017</v>
      </c>
      <c r="L1061" s="24" t="s">
        <v>60</v>
      </c>
      <c r="M1061" s="26">
        <v>1</v>
      </c>
      <c r="N1061" s="25">
        <v>25</v>
      </c>
      <c r="O1061" s="27">
        <v>100</v>
      </c>
      <c r="P1061" s="22" t="s">
        <v>3833</v>
      </c>
    </row>
    <row r="1062" spans="1:16" s="22" customFormat="1" ht="15" customHeight="1" x14ac:dyDescent="0.2">
      <c r="A1062" s="22" t="s">
        <v>3781</v>
      </c>
      <c r="B1062" s="22">
        <v>9213293</v>
      </c>
      <c r="C1062" s="23">
        <v>4</v>
      </c>
      <c r="D1062" s="23">
        <v>921377954</v>
      </c>
      <c r="E1062" s="23">
        <v>921377954</v>
      </c>
      <c r="F1062" s="24" t="s">
        <v>748</v>
      </c>
      <c r="G1062" s="23">
        <v>0</v>
      </c>
      <c r="H1062" s="23">
        <v>20250301</v>
      </c>
      <c r="I1062" s="23" t="str">
        <f>TEXT(DATE(LEFT(H1062,4), MID(H1062,5,2), RIGHT(H1062,2)), "M/d/yyyy")</f>
        <v>3/1/2025</v>
      </c>
      <c r="J1062" s="25">
        <v>20180101</v>
      </c>
      <c r="K1062" s="23" t="str">
        <f>TEXT(DATE(LEFT(J1062,4), MID(J1062,5,2), RIGHT(J1062,2)), "M/d/yyyy")</f>
        <v>1/1/2018</v>
      </c>
      <c r="L1062" s="24" t="s">
        <v>60</v>
      </c>
      <c r="M1062" s="26">
        <v>1</v>
      </c>
      <c r="N1062" s="25">
        <v>25</v>
      </c>
      <c r="O1062" s="27">
        <v>100</v>
      </c>
      <c r="P1062" s="22" t="s">
        <v>3833</v>
      </c>
    </row>
    <row r="1063" spans="1:16" s="22" customFormat="1" ht="15" customHeight="1" x14ac:dyDescent="0.2">
      <c r="A1063" s="22" t="s">
        <v>3774</v>
      </c>
      <c r="B1063" s="22">
        <v>8307933</v>
      </c>
      <c r="C1063" s="23">
        <v>1</v>
      </c>
      <c r="D1063" s="23">
        <v>921300992</v>
      </c>
      <c r="E1063" s="23">
        <v>921300992</v>
      </c>
      <c r="F1063" s="24" t="s">
        <v>199</v>
      </c>
      <c r="G1063" s="23">
        <v>0</v>
      </c>
      <c r="H1063" s="23">
        <v>20250301</v>
      </c>
      <c r="I1063" s="23" t="str">
        <f>TEXT(DATE(LEFT(H1063,4), MID(H1063,5,2), RIGHT(H1063,2)), "M/d/yyyy")</f>
        <v>3/1/2025</v>
      </c>
      <c r="J1063" s="25">
        <v>20220101</v>
      </c>
      <c r="K1063" s="23" t="str">
        <f>TEXT(DATE(LEFT(J1063,4), MID(J1063,5,2), RIGHT(J1063,2)), "M/d/yyyy")</f>
        <v>1/1/2022</v>
      </c>
      <c r="L1063" s="24" t="s">
        <v>60</v>
      </c>
      <c r="M1063" s="26">
        <v>1</v>
      </c>
      <c r="N1063" s="25">
        <v>25</v>
      </c>
      <c r="O1063" s="27">
        <v>25</v>
      </c>
      <c r="P1063" s="22" t="s">
        <v>3833</v>
      </c>
    </row>
    <row r="1064" spans="1:16" s="22" customFormat="1" ht="15" customHeight="1" x14ac:dyDescent="0.2">
      <c r="A1064" s="22" t="s">
        <v>3774</v>
      </c>
      <c r="B1064" s="22">
        <v>8307933</v>
      </c>
      <c r="C1064" s="23">
        <v>1</v>
      </c>
      <c r="D1064" s="23">
        <v>921462867</v>
      </c>
      <c r="E1064" s="23">
        <v>921462867</v>
      </c>
      <c r="F1064" s="24" t="s">
        <v>216</v>
      </c>
      <c r="G1064" s="23">
        <v>0</v>
      </c>
      <c r="H1064" s="23">
        <v>20250301</v>
      </c>
      <c r="I1064" s="23" t="str">
        <f>TEXT(DATE(LEFT(H1064,4), MID(H1064,5,2), RIGHT(H1064,2)), "M/d/yyyy")</f>
        <v>3/1/2025</v>
      </c>
      <c r="J1064" s="25">
        <v>20190101</v>
      </c>
      <c r="K1064" s="23" t="str">
        <f>TEXT(DATE(LEFT(J1064,4), MID(J1064,5,2), RIGHT(J1064,2)), "M/d/yyyy")</f>
        <v>1/1/2019</v>
      </c>
      <c r="L1064" s="24" t="s">
        <v>60</v>
      </c>
      <c r="M1064" s="26">
        <v>1</v>
      </c>
      <c r="N1064" s="25">
        <v>25</v>
      </c>
      <c r="O1064" s="27">
        <v>25</v>
      </c>
      <c r="P1064" s="22" t="s">
        <v>3833</v>
      </c>
    </row>
    <row r="1065" spans="1:16" s="22" customFormat="1" ht="15" customHeight="1" x14ac:dyDescent="0.2">
      <c r="A1065" s="22" t="s">
        <v>3774</v>
      </c>
      <c r="B1065" s="22">
        <v>8307933</v>
      </c>
      <c r="C1065" s="23">
        <v>1</v>
      </c>
      <c r="D1065" s="23">
        <v>921544469</v>
      </c>
      <c r="E1065" s="23">
        <v>921544469</v>
      </c>
      <c r="F1065" s="24" t="s">
        <v>250</v>
      </c>
      <c r="G1065" s="23">
        <v>0</v>
      </c>
      <c r="H1065" s="23">
        <v>20250301</v>
      </c>
      <c r="I1065" s="23" t="str">
        <f>TEXT(DATE(LEFT(H1065,4), MID(H1065,5,2), RIGHT(H1065,2)), "M/d/yyyy")</f>
        <v>3/1/2025</v>
      </c>
      <c r="J1065" s="25">
        <v>20210101</v>
      </c>
      <c r="K1065" s="23" t="str">
        <f>TEXT(DATE(LEFT(J1065,4), MID(J1065,5,2), RIGHT(J1065,2)), "M/d/yyyy")</f>
        <v>1/1/2021</v>
      </c>
      <c r="L1065" s="24" t="s">
        <v>60</v>
      </c>
      <c r="M1065" s="26">
        <v>1</v>
      </c>
      <c r="N1065" s="25">
        <v>25</v>
      </c>
      <c r="O1065" s="27">
        <v>25</v>
      </c>
      <c r="P1065" s="22" t="s">
        <v>3833</v>
      </c>
    </row>
    <row r="1066" spans="1:16" s="22" customFormat="1" ht="15" customHeight="1" x14ac:dyDescent="0.2">
      <c r="A1066" s="22" t="s">
        <v>3774</v>
      </c>
      <c r="B1066" s="22">
        <v>8307933</v>
      </c>
      <c r="C1066" s="23">
        <v>1</v>
      </c>
      <c r="D1066" s="23">
        <v>921567248</v>
      </c>
      <c r="E1066" s="23">
        <v>921567248</v>
      </c>
      <c r="F1066" s="24" t="s">
        <v>266</v>
      </c>
      <c r="G1066" s="23">
        <v>0</v>
      </c>
      <c r="H1066" s="23">
        <v>20250301</v>
      </c>
      <c r="I1066" s="23" t="str">
        <f>TEXT(DATE(LEFT(H1066,4), MID(H1066,5,2), RIGHT(H1066,2)), "M/d/yyyy")</f>
        <v>3/1/2025</v>
      </c>
      <c r="J1066" s="25">
        <v>20210601</v>
      </c>
      <c r="K1066" s="23" t="str">
        <f>TEXT(DATE(LEFT(J1066,4), MID(J1066,5,2), RIGHT(J1066,2)), "M/d/yyyy")</f>
        <v>6/1/2021</v>
      </c>
      <c r="L1066" s="24" t="s">
        <v>60</v>
      </c>
      <c r="M1066" s="26">
        <v>1</v>
      </c>
      <c r="N1066" s="25">
        <v>25</v>
      </c>
      <c r="O1066" s="27">
        <v>25</v>
      </c>
      <c r="P1066" s="22" t="s">
        <v>3833</v>
      </c>
    </row>
    <row r="1067" spans="1:16" s="22" customFormat="1" ht="15" customHeight="1" x14ac:dyDescent="0.2">
      <c r="A1067" s="22" t="s">
        <v>3774</v>
      </c>
      <c r="B1067" s="22">
        <v>8307933</v>
      </c>
      <c r="C1067" s="23">
        <v>1</v>
      </c>
      <c r="D1067" s="23">
        <v>921577896</v>
      </c>
      <c r="E1067" s="23">
        <v>921577896</v>
      </c>
      <c r="F1067" s="24" t="s">
        <v>277</v>
      </c>
      <c r="G1067" s="23">
        <v>0</v>
      </c>
      <c r="H1067" s="23">
        <v>20250301</v>
      </c>
      <c r="I1067" s="23" t="str">
        <f>TEXT(DATE(LEFT(H1067,4), MID(H1067,5,2), RIGHT(H1067,2)), "M/d/yyyy")</f>
        <v>3/1/2025</v>
      </c>
      <c r="J1067" s="25">
        <v>20210801</v>
      </c>
      <c r="K1067" s="23" t="str">
        <f>TEXT(DATE(LEFT(J1067,4), MID(J1067,5,2), RIGHT(J1067,2)), "M/d/yyyy")</f>
        <v>8/1/2021</v>
      </c>
      <c r="L1067" s="24" t="s">
        <v>60</v>
      </c>
      <c r="M1067" s="26">
        <v>1</v>
      </c>
      <c r="N1067" s="25">
        <v>25</v>
      </c>
      <c r="O1067" s="27">
        <v>25</v>
      </c>
      <c r="P1067" s="22" t="s">
        <v>3833</v>
      </c>
    </row>
    <row r="1068" spans="1:16" s="22" customFormat="1" ht="15" customHeight="1" x14ac:dyDescent="0.2">
      <c r="A1068" s="22" t="s">
        <v>3774</v>
      </c>
      <c r="B1068" s="22">
        <v>8307933</v>
      </c>
      <c r="C1068" s="23">
        <v>1</v>
      </c>
      <c r="D1068" s="23">
        <v>921641060</v>
      </c>
      <c r="E1068" s="23">
        <v>921641060</v>
      </c>
      <c r="F1068" s="24" t="s">
        <v>318</v>
      </c>
      <c r="G1068" s="23">
        <v>0</v>
      </c>
      <c r="H1068" s="23">
        <v>20250301</v>
      </c>
      <c r="I1068" s="23" t="str">
        <f>TEXT(DATE(LEFT(H1068,4), MID(H1068,5,2), RIGHT(H1068,2)), "M/d/yyyy")</f>
        <v>3/1/2025</v>
      </c>
      <c r="J1068" s="25">
        <v>20230101</v>
      </c>
      <c r="K1068" s="23" t="str">
        <f>TEXT(DATE(LEFT(J1068,4), MID(J1068,5,2), RIGHT(J1068,2)), "M/d/yyyy")</f>
        <v>1/1/2023</v>
      </c>
      <c r="L1068" s="24" t="s">
        <v>60</v>
      </c>
      <c r="M1068" s="26">
        <v>1</v>
      </c>
      <c r="N1068" s="25">
        <v>25</v>
      </c>
      <c r="O1068" s="27">
        <v>25</v>
      </c>
      <c r="P1068" s="22" t="s">
        <v>3833</v>
      </c>
    </row>
    <row r="1069" spans="1:16" s="22" customFormat="1" ht="15" customHeight="1" x14ac:dyDescent="0.2">
      <c r="A1069" s="22" t="s">
        <v>3774</v>
      </c>
      <c r="B1069" s="22">
        <v>8307933</v>
      </c>
      <c r="C1069" s="23">
        <v>1</v>
      </c>
      <c r="D1069" s="23">
        <v>921641942</v>
      </c>
      <c r="E1069" s="23">
        <v>921641942</v>
      </c>
      <c r="F1069" s="24" t="s">
        <v>320</v>
      </c>
      <c r="G1069" s="23">
        <v>0</v>
      </c>
      <c r="H1069" s="23">
        <v>20250301</v>
      </c>
      <c r="I1069" s="23" t="str">
        <f>TEXT(DATE(LEFT(H1069,4), MID(H1069,5,2), RIGHT(H1069,2)), "M/d/yyyy")</f>
        <v>3/1/2025</v>
      </c>
      <c r="J1069" s="25">
        <v>20230101</v>
      </c>
      <c r="K1069" s="23" t="str">
        <f>TEXT(DATE(LEFT(J1069,4), MID(J1069,5,2), RIGHT(J1069,2)), "M/d/yyyy")</f>
        <v>1/1/2023</v>
      </c>
      <c r="L1069" s="24" t="s">
        <v>60</v>
      </c>
      <c r="M1069" s="26">
        <v>1</v>
      </c>
      <c r="N1069" s="25">
        <v>25</v>
      </c>
      <c r="O1069" s="27">
        <v>25</v>
      </c>
      <c r="P1069" s="22" t="s">
        <v>3833</v>
      </c>
    </row>
    <row r="1070" spans="1:16" s="22" customFormat="1" ht="15" customHeight="1" x14ac:dyDescent="0.2">
      <c r="A1070" s="22" t="s">
        <v>3774</v>
      </c>
      <c r="B1070" s="22">
        <v>8307933</v>
      </c>
      <c r="C1070" s="23">
        <v>1</v>
      </c>
      <c r="D1070" s="23">
        <v>921662305</v>
      </c>
      <c r="E1070" s="23">
        <v>921662305</v>
      </c>
      <c r="F1070" s="24" t="s">
        <v>332</v>
      </c>
      <c r="G1070" s="23">
        <v>0</v>
      </c>
      <c r="H1070" s="23">
        <v>20250301</v>
      </c>
      <c r="I1070" s="23" t="str">
        <f>TEXT(DATE(LEFT(H1070,4), MID(H1070,5,2), RIGHT(H1070,2)), "M/d/yyyy")</f>
        <v>3/1/2025</v>
      </c>
      <c r="J1070" s="25">
        <v>20230701</v>
      </c>
      <c r="K1070" s="23" t="str">
        <f>TEXT(DATE(LEFT(J1070,4), MID(J1070,5,2), RIGHT(J1070,2)), "M/d/yyyy")</f>
        <v>7/1/2023</v>
      </c>
      <c r="L1070" s="24" t="s">
        <v>60</v>
      </c>
      <c r="M1070" s="26">
        <v>1</v>
      </c>
      <c r="N1070" s="25">
        <v>25</v>
      </c>
      <c r="O1070" s="27">
        <v>25</v>
      </c>
      <c r="P1070" s="22" t="s">
        <v>3833</v>
      </c>
    </row>
    <row r="1071" spans="1:16" s="22" customFormat="1" ht="15" customHeight="1" x14ac:dyDescent="0.2">
      <c r="A1071" s="22" t="s">
        <v>3774</v>
      </c>
      <c r="B1071" s="22">
        <v>8307933</v>
      </c>
      <c r="C1071" s="23">
        <v>1</v>
      </c>
      <c r="D1071" s="23">
        <v>921701817</v>
      </c>
      <c r="E1071" s="23">
        <v>921701817</v>
      </c>
      <c r="F1071" s="24" t="s">
        <v>354</v>
      </c>
      <c r="G1071" s="23">
        <v>0</v>
      </c>
      <c r="H1071" s="23">
        <v>20250301</v>
      </c>
      <c r="I1071" s="23" t="str">
        <f>TEXT(DATE(LEFT(H1071,4), MID(H1071,5,2), RIGHT(H1071,2)), "M/d/yyyy")</f>
        <v>3/1/2025</v>
      </c>
      <c r="J1071" s="25">
        <v>20240201</v>
      </c>
      <c r="K1071" s="23" t="str">
        <f>TEXT(DATE(LEFT(J1071,4), MID(J1071,5,2), RIGHT(J1071,2)), "M/d/yyyy")</f>
        <v>2/1/2024</v>
      </c>
      <c r="L1071" s="24" t="s">
        <v>60</v>
      </c>
      <c r="M1071" s="26">
        <v>1</v>
      </c>
      <c r="N1071" s="25">
        <v>25</v>
      </c>
      <c r="O1071" s="27">
        <v>25</v>
      </c>
      <c r="P1071" s="22" t="s">
        <v>3833</v>
      </c>
    </row>
    <row r="1072" spans="1:16" s="22" customFormat="1" ht="15" customHeight="1" x14ac:dyDescent="0.2">
      <c r="A1072" s="22" t="s">
        <v>3774</v>
      </c>
      <c r="B1072" s="22">
        <v>8307933</v>
      </c>
      <c r="C1072" s="23">
        <v>1</v>
      </c>
      <c r="D1072" s="23">
        <v>921115069</v>
      </c>
      <c r="E1072" s="23">
        <v>921115069</v>
      </c>
      <c r="F1072" s="24" t="s">
        <v>180</v>
      </c>
      <c r="G1072" s="23">
        <v>0</v>
      </c>
      <c r="H1072" s="23">
        <v>20250301</v>
      </c>
      <c r="I1072" s="23" t="str">
        <f>TEXT(DATE(LEFT(H1072,4), MID(H1072,5,2), RIGHT(H1072,2)), "M/d/yyyy")</f>
        <v>3/1/2025</v>
      </c>
      <c r="J1072" s="25">
        <v>20240501</v>
      </c>
      <c r="K1072" s="23" t="str">
        <f>TEXT(DATE(LEFT(J1072,4), MID(J1072,5,2), RIGHT(J1072,2)), "M/d/yyyy")</f>
        <v>5/1/2024</v>
      </c>
      <c r="L1072" s="24" t="s">
        <v>60</v>
      </c>
      <c r="M1072" s="26">
        <v>1</v>
      </c>
      <c r="N1072" s="25">
        <v>30</v>
      </c>
      <c r="O1072" s="27">
        <v>30</v>
      </c>
      <c r="P1072" s="22" t="s">
        <v>3833</v>
      </c>
    </row>
    <row r="1073" spans="1:16" s="22" customFormat="1" ht="15" customHeight="1" x14ac:dyDescent="0.2">
      <c r="A1073" s="22" t="s">
        <v>3774</v>
      </c>
      <c r="B1073" s="22">
        <v>8307933</v>
      </c>
      <c r="C1073" s="23">
        <v>1</v>
      </c>
      <c r="D1073" s="23">
        <v>921625646</v>
      </c>
      <c r="E1073" s="23">
        <v>921625646</v>
      </c>
      <c r="F1073" s="24" t="s">
        <v>311</v>
      </c>
      <c r="G1073" s="23">
        <v>0</v>
      </c>
      <c r="H1073" s="23">
        <v>20250301</v>
      </c>
      <c r="I1073" s="23" t="str">
        <f>TEXT(DATE(LEFT(H1073,4), MID(H1073,5,2), RIGHT(H1073,2)), "M/d/yyyy")</f>
        <v>3/1/2025</v>
      </c>
      <c r="J1073" s="25">
        <v>20240701</v>
      </c>
      <c r="K1073" s="23" t="str">
        <f>TEXT(DATE(LEFT(J1073,4), MID(J1073,5,2), RIGHT(J1073,2)), "M/d/yyyy")</f>
        <v>7/1/2024</v>
      </c>
      <c r="L1073" s="24" t="s">
        <v>60</v>
      </c>
      <c r="M1073" s="26">
        <v>1</v>
      </c>
      <c r="N1073" s="25">
        <v>30</v>
      </c>
      <c r="O1073" s="27">
        <v>30</v>
      </c>
      <c r="P1073" s="22" t="s">
        <v>3833</v>
      </c>
    </row>
    <row r="1074" spans="1:16" s="22" customFormat="1" ht="15" customHeight="1" x14ac:dyDescent="0.2">
      <c r="A1074" s="22" t="s">
        <v>3774</v>
      </c>
      <c r="B1074" s="22">
        <v>8307933</v>
      </c>
      <c r="C1074" s="23">
        <v>1</v>
      </c>
      <c r="D1074" s="23">
        <v>921720602</v>
      </c>
      <c r="E1074" s="23">
        <v>921720602</v>
      </c>
      <c r="F1074" s="24" t="s">
        <v>365</v>
      </c>
      <c r="G1074" s="23">
        <v>0</v>
      </c>
      <c r="H1074" s="23">
        <v>20250301</v>
      </c>
      <c r="I1074" s="23" t="str">
        <f>TEXT(DATE(LEFT(H1074,4), MID(H1074,5,2), RIGHT(H1074,2)), "M/d/yyyy")</f>
        <v>3/1/2025</v>
      </c>
      <c r="J1074" s="25">
        <v>20240501</v>
      </c>
      <c r="K1074" s="23" t="str">
        <f>TEXT(DATE(LEFT(J1074,4), MID(J1074,5,2), RIGHT(J1074,2)), "M/d/yyyy")</f>
        <v>5/1/2024</v>
      </c>
      <c r="L1074" s="24" t="s">
        <v>60</v>
      </c>
      <c r="M1074" s="26">
        <v>1</v>
      </c>
      <c r="N1074" s="25">
        <v>30</v>
      </c>
      <c r="O1074" s="27">
        <v>30</v>
      </c>
      <c r="P1074" s="22" t="s">
        <v>3833</v>
      </c>
    </row>
    <row r="1075" spans="1:16" s="22" customFormat="1" ht="15" customHeight="1" x14ac:dyDescent="0.2">
      <c r="A1075" s="22" t="s">
        <v>3774</v>
      </c>
      <c r="B1075" s="22">
        <v>8307933</v>
      </c>
      <c r="C1075" s="23">
        <v>1</v>
      </c>
      <c r="D1075" s="23">
        <v>921729559</v>
      </c>
      <c r="E1075" s="23">
        <v>921729559</v>
      </c>
      <c r="F1075" s="24" t="s">
        <v>371</v>
      </c>
      <c r="G1075" s="23">
        <v>0</v>
      </c>
      <c r="H1075" s="23">
        <v>20250301</v>
      </c>
      <c r="I1075" s="23" t="str">
        <f>TEXT(DATE(LEFT(H1075,4), MID(H1075,5,2), RIGHT(H1075,2)), "M/d/yyyy")</f>
        <v>3/1/2025</v>
      </c>
      <c r="J1075" s="25">
        <v>20240601</v>
      </c>
      <c r="K1075" s="23" t="str">
        <f>TEXT(DATE(LEFT(J1075,4), MID(J1075,5,2), RIGHT(J1075,2)), "M/d/yyyy")</f>
        <v>6/1/2024</v>
      </c>
      <c r="L1075" s="24" t="s">
        <v>60</v>
      </c>
      <c r="M1075" s="26">
        <v>1</v>
      </c>
      <c r="N1075" s="25">
        <v>30</v>
      </c>
      <c r="O1075" s="27">
        <v>30</v>
      </c>
      <c r="P1075" s="22" t="s">
        <v>3833</v>
      </c>
    </row>
    <row r="1076" spans="1:16" s="22" customFormat="1" ht="15" customHeight="1" x14ac:dyDescent="0.2">
      <c r="A1076" s="22" t="s">
        <v>3774</v>
      </c>
      <c r="B1076" s="22">
        <v>8307933</v>
      </c>
      <c r="C1076" s="23">
        <v>1</v>
      </c>
      <c r="D1076" s="23">
        <v>921733663</v>
      </c>
      <c r="E1076" s="23">
        <v>921733663</v>
      </c>
      <c r="F1076" s="24" t="s">
        <v>373</v>
      </c>
      <c r="G1076" s="23">
        <v>0</v>
      </c>
      <c r="H1076" s="23">
        <v>20250301</v>
      </c>
      <c r="I1076" s="23" t="str">
        <f>TEXT(DATE(LEFT(H1076,4), MID(H1076,5,2), RIGHT(H1076,2)), "M/d/yyyy")</f>
        <v>3/1/2025</v>
      </c>
      <c r="J1076" s="25">
        <v>20240801</v>
      </c>
      <c r="K1076" s="23" t="str">
        <f>TEXT(DATE(LEFT(J1076,4), MID(J1076,5,2), RIGHT(J1076,2)), "M/d/yyyy")</f>
        <v>8/1/2024</v>
      </c>
      <c r="L1076" s="24" t="s">
        <v>60</v>
      </c>
      <c r="M1076" s="26">
        <v>1</v>
      </c>
      <c r="N1076" s="25">
        <v>30</v>
      </c>
      <c r="O1076" s="27">
        <v>30</v>
      </c>
      <c r="P1076" s="22" t="s">
        <v>3833</v>
      </c>
    </row>
    <row r="1077" spans="1:16" s="22" customFormat="1" ht="15" customHeight="1" x14ac:dyDescent="0.2">
      <c r="A1077" s="22" t="s">
        <v>3774</v>
      </c>
      <c r="B1077" s="22">
        <v>8307933</v>
      </c>
      <c r="C1077" s="23">
        <v>1</v>
      </c>
      <c r="D1077" s="23">
        <v>921743807</v>
      </c>
      <c r="E1077" s="23">
        <v>921743807</v>
      </c>
      <c r="F1077" s="24" t="s">
        <v>381</v>
      </c>
      <c r="G1077" s="23">
        <v>0</v>
      </c>
      <c r="H1077" s="23">
        <v>20250301</v>
      </c>
      <c r="I1077" s="23" t="str">
        <f>TEXT(DATE(LEFT(H1077,4), MID(H1077,5,2), RIGHT(H1077,2)), "M/d/yyyy")</f>
        <v>3/1/2025</v>
      </c>
      <c r="J1077" s="25">
        <v>20241101</v>
      </c>
      <c r="K1077" s="23" t="str">
        <f>TEXT(DATE(LEFT(J1077,4), MID(J1077,5,2), RIGHT(J1077,2)), "M/d/yyyy")</f>
        <v>11/1/2024</v>
      </c>
      <c r="L1077" s="24" t="s">
        <v>60</v>
      </c>
      <c r="M1077" s="26">
        <v>1</v>
      </c>
      <c r="N1077" s="25">
        <v>30</v>
      </c>
      <c r="O1077" s="27">
        <v>30</v>
      </c>
      <c r="P1077" s="22" t="s">
        <v>3833</v>
      </c>
    </row>
    <row r="1078" spans="1:16" s="22" customFormat="1" ht="15" customHeight="1" x14ac:dyDescent="0.2">
      <c r="A1078" s="22" t="s">
        <v>3774</v>
      </c>
      <c r="B1078" s="22">
        <v>8307933</v>
      </c>
      <c r="C1078" s="23">
        <v>2</v>
      </c>
      <c r="D1078" s="23">
        <v>921202225</v>
      </c>
      <c r="E1078" s="23">
        <v>921202225</v>
      </c>
      <c r="F1078" s="24" t="s">
        <v>185</v>
      </c>
      <c r="G1078" s="23">
        <v>0</v>
      </c>
      <c r="H1078" s="23">
        <v>20250301</v>
      </c>
      <c r="I1078" s="23" t="str">
        <f>TEXT(DATE(LEFT(H1078,4), MID(H1078,5,2), RIGHT(H1078,2)), "M/d/yyyy")</f>
        <v>3/1/2025</v>
      </c>
      <c r="J1078" s="25">
        <v>20160101</v>
      </c>
      <c r="K1078" s="23" t="str">
        <f>TEXT(DATE(LEFT(J1078,4), MID(J1078,5,2), RIGHT(J1078,2)), "M/d/yyyy")</f>
        <v>1/1/2016</v>
      </c>
      <c r="L1078" s="24" t="s">
        <v>60</v>
      </c>
      <c r="M1078" s="26">
        <v>1</v>
      </c>
      <c r="N1078" s="25">
        <v>25</v>
      </c>
      <c r="O1078" s="27">
        <v>50</v>
      </c>
      <c r="P1078" s="22" t="s">
        <v>3833</v>
      </c>
    </row>
    <row r="1079" spans="1:16" s="22" customFormat="1" ht="15" customHeight="1" x14ac:dyDescent="0.2">
      <c r="A1079" s="22" t="s">
        <v>3774</v>
      </c>
      <c r="B1079" s="22">
        <v>8307933</v>
      </c>
      <c r="C1079" s="23">
        <v>2</v>
      </c>
      <c r="D1079" s="23">
        <v>921479653</v>
      </c>
      <c r="E1079" s="23">
        <v>921479653</v>
      </c>
      <c r="F1079" s="24" t="s">
        <v>224</v>
      </c>
      <c r="G1079" s="23">
        <v>0</v>
      </c>
      <c r="H1079" s="23">
        <v>20250301</v>
      </c>
      <c r="I1079" s="23" t="str">
        <f>TEXT(DATE(LEFT(H1079,4), MID(H1079,5,2), RIGHT(H1079,2)), "M/d/yyyy")</f>
        <v>3/1/2025</v>
      </c>
      <c r="J1079" s="25">
        <v>20190801</v>
      </c>
      <c r="K1079" s="23" t="str">
        <f>TEXT(DATE(LEFT(J1079,4), MID(J1079,5,2), RIGHT(J1079,2)), "M/d/yyyy")</f>
        <v>8/1/2019</v>
      </c>
      <c r="L1079" s="24" t="s">
        <v>60</v>
      </c>
      <c r="M1079" s="26">
        <v>1</v>
      </c>
      <c r="N1079" s="25">
        <v>25</v>
      </c>
      <c r="O1079" s="27">
        <v>50</v>
      </c>
      <c r="P1079" s="22" t="s">
        <v>3833</v>
      </c>
    </row>
    <row r="1080" spans="1:16" s="22" customFormat="1" ht="15" customHeight="1" x14ac:dyDescent="0.2">
      <c r="A1080" s="22" t="s">
        <v>3774</v>
      </c>
      <c r="B1080" s="22">
        <v>8307933</v>
      </c>
      <c r="C1080" s="23">
        <v>2</v>
      </c>
      <c r="D1080" s="23">
        <v>921622828</v>
      </c>
      <c r="E1080" s="23">
        <v>921622828</v>
      </c>
      <c r="F1080" s="24" t="s">
        <v>308</v>
      </c>
      <c r="G1080" s="23">
        <v>0</v>
      </c>
      <c r="H1080" s="23">
        <v>20250301</v>
      </c>
      <c r="I1080" s="23" t="str">
        <f>TEXT(DATE(LEFT(H1080,4), MID(H1080,5,2), RIGHT(H1080,2)), "M/d/yyyy")</f>
        <v>3/1/2025</v>
      </c>
      <c r="J1080" s="25">
        <v>20221001</v>
      </c>
      <c r="K1080" s="23" t="str">
        <f>TEXT(DATE(LEFT(J1080,4), MID(J1080,5,2), RIGHT(J1080,2)), "M/d/yyyy")</f>
        <v>10/1/2022</v>
      </c>
      <c r="L1080" s="24" t="s">
        <v>60</v>
      </c>
      <c r="M1080" s="26">
        <v>1</v>
      </c>
      <c r="N1080" s="25">
        <v>25</v>
      </c>
      <c r="O1080" s="27">
        <v>50</v>
      </c>
      <c r="P1080" s="22" t="s">
        <v>3833</v>
      </c>
    </row>
    <row r="1081" spans="1:16" s="22" customFormat="1" ht="15" customHeight="1" x14ac:dyDescent="0.2">
      <c r="A1081" s="22" t="s">
        <v>3774</v>
      </c>
      <c r="B1081" s="22">
        <v>8307933</v>
      </c>
      <c r="C1081" s="23">
        <v>2</v>
      </c>
      <c r="D1081" s="23">
        <v>921701836</v>
      </c>
      <c r="E1081" s="23">
        <v>921701836</v>
      </c>
      <c r="F1081" s="24" t="s">
        <v>357</v>
      </c>
      <c r="G1081" s="23">
        <v>0</v>
      </c>
      <c r="H1081" s="23">
        <v>20250301</v>
      </c>
      <c r="I1081" s="23" t="str">
        <f>TEXT(DATE(LEFT(H1081,4), MID(H1081,5,2), RIGHT(H1081,2)), "M/d/yyyy")</f>
        <v>3/1/2025</v>
      </c>
      <c r="J1081" s="25">
        <v>20240201</v>
      </c>
      <c r="K1081" s="23" t="str">
        <f>TEXT(DATE(LEFT(J1081,4), MID(J1081,5,2), RIGHT(J1081,2)), "M/d/yyyy")</f>
        <v>2/1/2024</v>
      </c>
      <c r="L1081" s="24" t="s">
        <v>60</v>
      </c>
      <c r="M1081" s="26">
        <v>1</v>
      </c>
      <c r="N1081" s="25">
        <v>25</v>
      </c>
      <c r="O1081" s="27">
        <v>50</v>
      </c>
      <c r="P1081" s="22" t="s">
        <v>3833</v>
      </c>
    </row>
    <row r="1082" spans="1:16" s="22" customFormat="1" ht="15" customHeight="1" x14ac:dyDescent="0.2">
      <c r="A1082" s="22" t="s">
        <v>3774</v>
      </c>
      <c r="B1082" s="22">
        <v>8307933</v>
      </c>
      <c r="C1082" s="23">
        <v>2</v>
      </c>
      <c r="D1082" s="23">
        <v>921752543</v>
      </c>
      <c r="E1082" s="23">
        <v>921752543</v>
      </c>
      <c r="F1082" s="24" t="s">
        <v>391</v>
      </c>
      <c r="G1082" s="23">
        <v>0</v>
      </c>
      <c r="H1082" s="23">
        <v>20250301</v>
      </c>
      <c r="I1082" s="23" t="str">
        <f>TEXT(DATE(LEFT(H1082,4), MID(H1082,5,2), RIGHT(H1082,2)), "M/d/yyyy")</f>
        <v>3/1/2025</v>
      </c>
      <c r="J1082" s="25">
        <v>20250101</v>
      </c>
      <c r="K1082" s="23" t="str">
        <f>TEXT(DATE(LEFT(J1082,4), MID(J1082,5,2), RIGHT(J1082,2)), "M/d/yyyy")</f>
        <v>1/1/2025</v>
      </c>
      <c r="L1082" s="24" t="s">
        <v>60</v>
      </c>
      <c r="M1082" s="26">
        <v>1</v>
      </c>
      <c r="N1082" s="25">
        <v>30</v>
      </c>
      <c r="O1082" s="27">
        <v>60</v>
      </c>
      <c r="P1082" s="22" t="s">
        <v>3833</v>
      </c>
    </row>
    <row r="1083" spans="1:16" s="22" customFormat="1" ht="15" customHeight="1" x14ac:dyDescent="0.2">
      <c r="A1083" s="22" t="s">
        <v>3774</v>
      </c>
      <c r="B1083" s="22">
        <v>8307933</v>
      </c>
      <c r="C1083" s="23">
        <v>3</v>
      </c>
      <c r="D1083" s="23">
        <v>921582482</v>
      </c>
      <c r="E1083" s="23">
        <v>921582482</v>
      </c>
      <c r="F1083" s="24" t="s">
        <v>282</v>
      </c>
      <c r="G1083" s="23">
        <v>0</v>
      </c>
      <c r="H1083" s="23">
        <v>20250301</v>
      </c>
      <c r="I1083" s="23" t="str">
        <f>TEXT(DATE(LEFT(H1083,4), MID(H1083,5,2), RIGHT(H1083,2)), "M/d/yyyy")</f>
        <v>3/1/2025</v>
      </c>
      <c r="J1083" s="25">
        <v>20210901</v>
      </c>
      <c r="K1083" s="23" t="str">
        <f>TEXT(DATE(LEFT(J1083,4), MID(J1083,5,2), RIGHT(J1083,2)), "M/d/yyyy")</f>
        <v>9/1/2021</v>
      </c>
      <c r="L1083" s="24" t="s">
        <v>60</v>
      </c>
      <c r="M1083" s="26">
        <v>1</v>
      </c>
      <c r="N1083" s="25">
        <v>25</v>
      </c>
      <c r="O1083" s="27">
        <v>75</v>
      </c>
      <c r="P1083" s="22" t="s">
        <v>3833</v>
      </c>
    </row>
    <row r="1084" spans="1:16" s="22" customFormat="1" ht="15" customHeight="1" x14ac:dyDescent="0.2">
      <c r="A1084" s="22" t="s">
        <v>3774</v>
      </c>
      <c r="B1084" s="22">
        <v>8307933</v>
      </c>
      <c r="C1084" s="23">
        <v>3</v>
      </c>
      <c r="D1084" s="23">
        <v>925238193</v>
      </c>
      <c r="E1084" s="23">
        <v>925238193</v>
      </c>
      <c r="F1084" s="24" t="s">
        <v>397</v>
      </c>
      <c r="G1084" s="23">
        <v>0</v>
      </c>
      <c r="H1084" s="23">
        <v>20250301</v>
      </c>
      <c r="I1084" s="23" t="str">
        <f>TEXT(DATE(LEFT(H1084,4), MID(H1084,5,2), RIGHT(H1084,2)), "M/d/yyyy")</f>
        <v>3/1/2025</v>
      </c>
      <c r="J1084" s="25">
        <v>20230101</v>
      </c>
      <c r="K1084" s="23" t="str">
        <f>TEXT(DATE(LEFT(J1084,4), MID(J1084,5,2), RIGHT(J1084,2)), "M/d/yyyy")</f>
        <v>1/1/2023</v>
      </c>
      <c r="L1084" s="24" t="s">
        <v>60</v>
      </c>
      <c r="M1084" s="26">
        <v>1</v>
      </c>
      <c r="N1084" s="25">
        <v>25</v>
      </c>
      <c r="O1084" s="27">
        <v>75</v>
      </c>
      <c r="P1084" s="22" t="s">
        <v>3833</v>
      </c>
    </row>
    <row r="1085" spans="1:16" s="22" customFormat="1" ht="15" customHeight="1" x14ac:dyDescent="0.2">
      <c r="A1085" s="22" t="s">
        <v>3774</v>
      </c>
      <c r="B1085" s="22">
        <v>8307933</v>
      </c>
      <c r="C1085" s="23">
        <v>5</v>
      </c>
      <c r="D1085" s="23">
        <v>921513874</v>
      </c>
      <c r="E1085" s="23">
        <v>921513874</v>
      </c>
      <c r="F1085" s="24" t="s">
        <v>233</v>
      </c>
      <c r="G1085" s="23">
        <v>0</v>
      </c>
      <c r="H1085" s="23">
        <v>20250301</v>
      </c>
      <c r="I1085" s="23" t="str">
        <f>TEXT(DATE(LEFT(H1085,4), MID(H1085,5,2), RIGHT(H1085,2)), "M/d/yyyy")</f>
        <v>3/1/2025</v>
      </c>
      <c r="J1085" s="25">
        <v>20240101</v>
      </c>
      <c r="K1085" s="23" t="str">
        <f>TEXT(DATE(LEFT(J1085,4), MID(J1085,5,2), RIGHT(J1085,2)), "M/d/yyyy")</f>
        <v>1/1/2024</v>
      </c>
      <c r="L1085" s="24" t="s">
        <v>60</v>
      </c>
      <c r="M1085" s="26">
        <v>1</v>
      </c>
      <c r="N1085" s="25">
        <v>25</v>
      </c>
      <c r="O1085" s="27">
        <v>125</v>
      </c>
      <c r="P1085" s="22" t="s">
        <v>3833</v>
      </c>
    </row>
    <row r="1086" spans="1:16" s="22" customFormat="1" ht="15" customHeight="1" x14ac:dyDescent="0.2">
      <c r="A1086" s="22" t="s">
        <v>3796</v>
      </c>
      <c r="B1086" s="22">
        <v>16865615</v>
      </c>
      <c r="C1086" s="23">
        <v>1</v>
      </c>
      <c r="D1086" s="23">
        <v>921738749</v>
      </c>
      <c r="E1086" s="23">
        <v>921738749</v>
      </c>
      <c r="F1086" s="24" t="s">
        <v>2860</v>
      </c>
      <c r="G1086" s="23">
        <v>0</v>
      </c>
      <c r="H1086" s="23">
        <v>20250301</v>
      </c>
      <c r="I1086" s="23" t="str">
        <f>TEXT(DATE(LEFT(H1086,4), MID(H1086,5,2), RIGHT(H1086,2)), "M/d/yyyy")</f>
        <v>3/1/2025</v>
      </c>
      <c r="J1086" s="25">
        <v>20240901</v>
      </c>
      <c r="K1086" s="23" t="str">
        <f>TEXT(DATE(LEFT(J1086,4), MID(J1086,5,2), RIGHT(J1086,2)), "M/d/yyyy")</f>
        <v>9/1/2024</v>
      </c>
      <c r="L1086" s="24" t="s">
        <v>60</v>
      </c>
      <c r="M1086" s="26">
        <v>1</v>
      </c>
      <c r="N1086" s="25">
        <v>30</v>
      </c>
      <c r="O1086" s="27">
        <v>30</v>
      </c>
      <c r="P1086" s="22" t="s">
        <v>3833</v>
      </c>
    </row>
    <row r="1087" spans="1:16" s="22" customFormat="1" ht="15" customHeight="1" x14ac:dyDescent="0.2">
      <c r="A1087" s="22" t="s">
        <v>3796</v>
      </c>
      <c r="B1087" s="22">
        <v>16865615</v>
      </c>
      <c r="C1087" s="23">
        <v>1</v>
      </c>
      <c r="D1087" s="23">
        <v>921738749</v>
      </c>
      <c r="E1087" s="23">
        <v>921738749</v>
      </c>
      <c r="F1087" s="24" t="s">
        <v>2860</v>
      </c>
      <c r="G1087" s="23">
        <v>0</v>
      </c>
      <c r="H1087" s="23">
        <v>20250201</v>
      </c>
      <c r="I1087" s="23" t="str">
        <f>TEXT(DATE(LEFT(H1087,4), MID(H1087,5,2), RIGHT(H1087,2)), "M/d/yyyy")</f>
        <v>2/1/2025</v>
      </c>
      <c r="J1087" s="25">
        <v>20240901</v>
      </c>
      <c r="K1087" s="23" t="str">
        <f>TEXT(DATE(LEFT(J1087,4), MID(J1087,5,2), RIGHT(J1087,2)), "M/d/yyyy")</f>
        <v>9/1/2024</v>
      </c>
      <c r="L1087" s="24" t="s">
        <v>60</v>
      </c>
      <c r="M1087" s="26">
        <v>1</v>
      </c>
      <c r="N1087" s="25">
        <v>30</v>
      </c>
      <c r="O1087" s="27">
        <v>30</v>
      </c>
      <c r="P1087" s="22" t="s">
        <v>3833</v>
      </c>
    </row>
    <row r="1088" spans="1:16" s="22" customFormat="1" ht="15" customHeight="1" x14ac:dyDescent="0.2">
      <c r="A1088" s="22" t="s">
        <v>3796</v>
      </c>
      <c r="B1088" s="22">
        <v>16865615</v>
      </c>
      <c r="C1088" s="23">
        <v>1</v>
      </c>
      <c r="D1088" s="23">
        <v>921743493</v>
      </c>
      <c r="E1088" s="23">
        <v>921743493</v>
      </c>
      <c r="F1088" s="24" t="s">
        <v>2862</v>
      </c>
      <c r="G1088" s="23">
        <v>0</v>
      </c>
      <c r="H1088" s="23">
        <v>20250201</v>
      </c>
      <c r="I1088" s="23" t="str">
        <f>TEXT(DATE(LEFT(H1088,4), MID(H1088,5,2), RIGHT(H1088,2)), "M/d/yyyy")</f>
        <v>2/1/2025</v>
      </c>
      <c r="J1088" s="25">
        <v>20241101</v>
      </c>
      <c r="K1088" s="23" t="str">
        <f>TEXT(DATE(LEFT(J1088,4), MID(J1088,5,2), RIGHT(J1088,2)), "M/d/yyyy")</f>
        <v>11/1/2024</v>
      </c>
      <c r="L1088" s="24" t="s">
        <v>60</v>
      </c>
      <c r="M1088" s="26">
        <v>1</v>
      </c>
      <c r="N1088" s="25">
        <v>30</v>
      </c>
      <c r="O1088" s="27">
        <v>30</v>
      </c>
      <c r="P1088" s="22" t="s">
        <v>3833</v>
      </c>
    </row>
    <row r="1089" spans="1:16" s="22" customFormat="1" ht="15" customHeight="1" x14ac:dyDescent="0.2">
      <c r="A1089" s="22" t="s">
        <v>3796</v>
      </c>
      <c r="B1089" s="22">
        <v>16865615</v>
      </c>
      <c r="C1089" s="23">
        <v>1</v>
      </c>
      <c r="D1089" s="23">
        <v>921743493</v>
      </c>
      <c r="E1089" s="23">
        <v>921743493</v>
      </c>
      <c r="F1089" s="24" t="s">
        <v>2862</v>
      </c>
      <c r="G1089" s="23">
        <v>0</v>
      </c>
      <c r="H1089" s="23">
        <v>20250101</v>
      </c>
      <c r="I1089" s="23" t="str">
        <f>TEXT(DATE(LEFT(H1089,4), MID(H1089,5,2), RIGHT(H1089,2)), "M/d/yyyy")</f>
        <v>1/1/2025</v>
      </c>
      <c r="J1089" s="25">
        <v>20241101</v>
      </c>
      <c r="K1089" s="23" t="str">
        <f>TEXT(DATE(LEFT(J1089,4), MID(J1089,5,2), RIGHT(J1089,2)), "M/d/yyyy")</f>
        <v>11/1/2024</v>
      </c>
      <c r="L1089" s="24" t="s">
        <v>60</v>
      </c>
      <c r="M1089" s="26">
        <v>1</v>
      </c>
      <c r="N1089" s="25">
        <v>30</v>
      </c>
      <c r="O1089" s="27">
        <v>30</v>
      </c>
      <c r="P1089" s="22" t="s">
        <v>3833</v>
      </c>
    </row>
    <row r="1090" spans="1:16" s="22" customFormat="1" ht="15" customHeight="1" x14ac:dyDescent="0.2">
      <c r="A1090" s="22" t="s">
        <v>3796</v>
      </c>
      <c r="B1090" s="22">
        <v>16865615</v>
      </c>
      <c r="C1090" s="23">
        <v>2</v>
      </c>
      <c r="D1090" s="23">
        <v>921100154</v>
      </c>
      <c r="E1090" s="23">
        <v>921100154</v>
      </c>
      <c r="F1090" s="24" t="s">
        <v>2853</v>
      </c>
      <c r="G1090" s="23">
        <v>0</v>
      </c>
      <c r="H1090" s="23">
        <v>20250301</v>
      </c>
      <c r="I1090" s="23" t="str">
        <f>TEXT(DATE(LEFT(H1090,4), MID(H1090,5,2), RIGHT(H1090,2)), "M/d/yyyy")</f>
        <v>3/1/2025</v>
      </c>
      <c r="J1090" s="25">
        <v>20200101</v>
      </c>
      <c r="K1090" s="23" t="str">
        <f>TEXT(DATE(LEFT(J1090,4), MID(J1090,5,2), RIGHT(J1090,2)), "M/d/yyyy")</f>
        <v>1/1/2020</v>
      </c>
      <c r="L1090" s="24" t="s">
        <v>60</v>
      </c>
      <c r="M1090" s="26">
        <v>1</v>
      </c>
      <c r="N1090" s="25">
        <v>25</v>
      </c>
      <c r="O1090" s="27">
        <v>50</v>
      </c>
      <c r="P1090" s="22" t="s">
        <v>3833</v>
      </c>
    </row>
    <row r="1091" spans="1:16" s="22" customFormat="1" ht="15" customHeight="1" x14ac:dyDescent="0.2">
      <c r="A1091" s="22" t="s">
        <v>3788</v>
      </c>
      <c r="B1091" s="22">
        <v>18754354</v>
      </c>
      <c r="C1091" s="24" t="s">
        <v>1557</v>
      </c>
      <c r="D1091" s="23">
        <v>921622374</v>
      </c>
      <c r="E1091" s="23">
        <v>921622374</v>
      </c>
      <c r="F1091" s="24" t="s">
        <v>2250</v>
      </c>
      <c r="G1091" s="23">
        <v>0</v>
      </c>
      <c r="H1091" s="23">
        <v>20250301</v>
      </c>
      <c r="I1091" s="23" t="str">
        <f>TEXT(DATE(LEFT(H1091,4), MID(H1091,5,2), RIGHT(H1091,2)), "M/d/yyyy")</f>
        <v>3/1/2025</v>
      </c>
      <c r="J1091" s="25">
        <v>20221001</v>
      </c>
      <c r="K1091" s="23" t="str">
        <f>TEXT(DATE(LEFT(J1091,4), MID(J1091,5,2), RIGHT(J1091,2)), "M/d/yyyy")</f>
        <v>10/1/2022</v>
      </c>
      <c r="L1091" s="24" t="s">
        <v>60</v>
      </c>
      <c r="M1091" s="26">
        <v>1</v>
      </c>
      <c r="N1091" s="25">
        <v>25</v>
      </c>
      <c r="O1091" s="27">
        <v>-50</v>
      </c>
      <c r="P1091" s="22" t="s">
        <v>3833</v>
      </c>
    </row>
    <row r="1092" spans="1:16" s="22" customFormat="1" ht="15" customHeight="1" x14ac:dyDescent="0.2">
      <c r="A1092" s="22" t="s">
        <v>3788</v>
      </c>
      <c r="B1092" s="22">
        <v>18754354</v>
      </c>
      <c r="C1092" s="24" t="s">
        <v>588</v>
      </c>
      <c r="D1092" s="23">
        <v>921712158</v>
      </c>
      <c r="E1092" s="23">
        <v>921712158</v>
      </c>
      <c r="F1092" s="24" t="s">
        <v>2278</v>
      </c>
      <c r="G1092" s="23">
        <v>0</v>
      </c>
      <c r="H1092" s="23">
        <v>20250201</v>
      </c>
      <c r="I1092" s="23" t="str">
        <f>TEXT(DATE(LEFT(H1092,4), MID(H1092,5,2), RIGHT(H1092,2)), "M/d/yyyy")</f>
        <v>2/1/2025</v>
      </c>
      <c r="J1092" s="25">
        <v>20240301</v>
      </c>
      <c r="K1092" s="23" t="str">
        <f>TEXT(DATE(LEFT(J1092,4), MID(J1092,5,2), RIGHT(J1092,2)), "M/d/yyyy")</f>
        <v>3/1/2024</v>
      </c>
      <c r="L1092" s="24" t="s">
        <v>60</v>
      </c>
      <c r="M1092" s="26">
        <v>1</v>
      </c>
      <c r="N1092" s="25">
        <v>30</v>
      </c>
      <c r="O1092" s="27">
        <v>-30</v>
      </c>
      <c r="P1092" s="22" t="s">
        <v>3833</v>
      </c>
    </row>
    <row r="1093" spans="1:16" s="22" customFormat="1" ht="15" customHeight="1" x14ac:dyDescent="0.2">
      <c r="A1093" s="22" t="s">
        <v>3788</v>
      </c>
      <c r="B1093" s="22">
        <v>18754354</v>
      </c>
      <c r="C1093" s="23">
        <v>1</v>
      </c>
      <c r="D1093" s="23">
        <v>920838670</v>
      </c>
      <c r="E1093" s="23">
        <v>920838670</v>
      </c>
      <c r="F1093" s="24" t="s">
        <v>2179</v>
      </c>
      <c r="G1093" s="23">
        <v>0</v>
      </c>
      <c r="H1093" s="23">
        <v>20250301</v>
      </c>
      <c r="I1093" s="23" t="str">
        <f>TEXT(DATE(LEFT(H1093,4), MID(H1093,5,2), RIGHT(H1093,2)), "M/d/yyyy")</f>
        <v>3/1/2025</v>
      </c>
      <c r="J1093" s="25">
        <v>20230701</v>
      </c>
      <c r="K1093" s="23" t="str">
        <f>TEXT(DATE(LEFT(J1093,4), MID(J1093,5,2), RIGHT(J1093,2)), "M/d/yyyy")</f>
        <v>7/1/2023</v>
      </c>
      <c r="L1093" s="24" t="s">
        <v>60</v>
      </c>
      <c r="M1093" s="26">
        <v>1</v>
      </c>
      <c r="N1093" s="25">
        <v>25</v>
      </c>
      <c r="O1093" s="27">
        <v>25</v>
      </c>
      <c r="P1093" s="22" t="s">
        <v>3833</v>
      </c>
    </row>
    <row r="1094" spans="1:16" s="22" customFormat="1" ht="15" customHeight="1" x14ac:dyDescent="0.2">
      <c r="A1094" s="22" t="s">
        <v>3788</v>
      </c>
      <c r="B1094" s="22">
        <v>18754354</v>
      </c>
      <c r="C1094" s="23">
        <v>1</v>
      </c>
      <c r="D1094" s="23">
        <v>921384956</v>
      </c>
      <c r="E1094" s="23">
        <v>921384956</v>
      </c>
      <c r="F1094" s="24" t="s">
        <v>2199</v>
      </c>
      <c r="G1094" s="23">
        <v>0</v>
      </c>
      <c r="H1094" s="23">
        <v>20250301</v>
      </c>
      <c r="I1094" s="23" t="str">
        <f>TEXT(DATE(LEFT(H1094,4), MID(H1094,5,2), RIGHT(H1094,2)), "M/d/yyyy")</f>
        <v>3/1/2025</v>
      </c>
      <c r="J1094" s="25">
        <v>20180101</v>
      </c>
      <c r="K1094" s="23" t="str">
        <f>TEXT(DATE(LEFT(J1094,4), MID(J1094,5,2), RIGHT(J1094,2)), "M/d/yyyy")</f>
        <v>1/1/2018</v>
      </c>
      <c r="L1094" s="24" t="s">
        <v>60</v>
      </c>
      <c r="M1094" s="26">
        <v>1</v>
      </c>
      <c r="N1094" s="25">
        <v>25</v>
      </c>
      <c r="O1094" s="27">
        <v>25</v>
      </c>
      <c r="P1094" s="22" t="s">
        <v>3833</v>
      </c>
    </row>
    <row r="1095" spans="1:16" s="22" customFormat="1" ht="15" customHeight="1" x14ac:dyDescent="0.2">
      <c r="A1095" s="22" t="s">
        <v>3788</v>
      </c>
      <c r="B1095" s="22">
        <v>18754354</v>
      </c>
      <c r="C1095" s="23">
        <v>1</v>
      </c>
      <c r="D1095" s="23">
        <v>921433010</v>
      </c>
      <c r="E1095" s="23">
        <v>921433010</v>
      </c>
      <c r="F1095" s="24" t="s">
        <v>2207</v>
      </c>
      <c r="G1095" s="23">
        <v>0</v>
      </c>
      <c r="H1095" s="23">
        <v>20250301</v>
      </c>
      <c r="I1095" s="23" t="str">
        <f>TEXT(DATE(LEFT(H1095,4), MID(H1095,5,2), RIGHT(H1095,2)), "M/d/yyyy")</f>
        <v>3/1/2025</v>
      </c>
      <c r="J1095" s="25">
        <v>20190101</v>
      </c>
      <c r="K1095" s="23" t="str">
        <f>TEXT(DATE(LEFT(J1095,4), MID(J1095,5,2), RIGHT(J1095,2)), "M/d/yyyy")</f>
        <v>1/1/2019</v>
      </c>
      <c r="L1095" s="24" t="s">
        <v>60</v>
      </c>
      <c r="M1095" s="26">
        <v>1</v>
      </c>
      <c r="N1095" s="25">
        <v>25</v>
      </c>
      <c r="O1095" s="27">
        <v>25</v>
      </c>
      <c r="P1095" s="22" t="s">
        <v>3833</v>
      </c>
    </row>
    <row r="1096" spans="1:16" s="22" customFormat="1" ht="15" customHeight="1" x14ac:dyDescent="0.2">
      <c r="A1096" s="22" t="s">
        <v>3788</v>
      </c>
      <c r="B1096" s="22">
        <v>18754354</v>
      </c>
      <c r="C1096" s="23">
        <v>1</v>
      </c>
      <c r="D1096" s="23">
        <v>921448927</v>
      </c>
      <c r="E1096" s="23">
        <v>921448927</v>
      </c>
      <c r="F1096" s="24" t="s">
        <v>2211</v>
      </c>
      <c r="G1096" s="23">
        <v>0</v>
      </c>
      <c r="H1096" s="23">
        <v>20250301</v>
      </c>
      <c r="I1096" s="23" t="str">
        <f>TEXT(DATE(LEFT(H1096,4), MID(H1096,5,2), RIGHT(H1096,2)), "M/d/yyyy")</f>
        <v>3/1/2025</v>
      </c>
      <c r="J1096" s="25">
        <v>20190101</v>
      </c>
      <c r="K1096" s="23" t="str">
        <f>TEXT(DATE(LEFT(J1096,4), MID(J1096,5,2), RIGHT(J1096,2)), "M/d/yyyy")</f>
        <v>1/1/2019</v>
      </c>
      <c r="L1096" s="24" t="s">
        <v>60</v>
      </c>
      <c r="M1096" s="26">
        <v>1</v>
      </c>
      <c r="N1096" s="25">
        <v>25</v>
      </c>
      <c r="O1096" s="27">
        <v>25</v>
      </c>
      <c r="P1096" s="22" t="s">
        <v>3833</v>
      </c>
    </row>
    <row r="1097" spans="1:16" s="22" customFormat="1" ht="15" customHeight="1" x14ac:dyDescent="0.2">
      <c r="A1097" s="22" t="s">
        <v>3788</v>
      </c>
      <c r="B1097" s="22">
        <v>18754354</v>
      </c>
      <c r="C1097" s="23">
        <v>1</v>
      </c>
      <c r="D1097" s="23">
        <v>921494184</v>
      </c>
      <c r="E1097" s="23">
        <v>921494184</v>
      </c>
      <c r="F1097" s="24" t="s">
        <v>2219</v>
      </c>
      <c r="G1097" s="23">
        <v>0</v>
      </c>
      <c r="H1097" s="23">
        <v>20250301</v>
      </c>
      <c r="I1097" s="23" t="str">
        <f>TEXT(DATE(LEFT(H1097,4), MID(H1097,5,2), RIGHT(H1097,2)), "M/d/yyyy")</f>
        <v>3/1/2025</v>
      </c>
      <c r="J1097" s="25">
        <v>20200101</v>
      </c>
      <c r="K1097" s="23" t="str">
        <f>TEXT(DATE(LEFT(J1097,4), MID(J1097,5,2), RIGHT(J1097,2)), "M/d/yyyy")</f>
        <v>1/1/2020</v>
      </c>
      <c r="L1097" s="24" t="s">
        <v>60</v>
      </c>
      <c r="M1097" s="26">
        <v>1</v>
      </c>
      <c r="N1097" s="25">
        <v>25</v>
      </c>
      <c r="O1097" s="27">
        <v>25</v>
      </c>
      <c r="P1097" s="22" t="s">
        <v>3833</v>
      </c>
    </row>
    <row r="1098" spans="1:16" s="22" customFormat="1" ht="15" customHeight="1" x14ac:dyDescent="0.2">
      <c r="A1098" s="22" t="s">
        <v>3788</v>
      </c>
      <c r="B1098" s="22">
        <v>18754354</v>
      </c>
      <c r="C1098" s="23">
        <v>1</v>
      </c>
      <c r="D1098" s="23">
        <v>921614967</v>
      </c>
      <c r="E1098" s="23">
        <v>921614967</v>
      </c>
      <c r="F1098" s="24" t="s">
        <v>2241</v>
      </c>
      <c r="G1098" s="23">
        <v>0</v>
      </c>
      <c r="H1098" s="23">
        <v>20250301</v>
      </c>
      <c r="I1098" s="23" t="str">
        <f>TEXT(DATE(LEFT(H1098,4), MID(H1098,5,2), RIGHT(H1098,2)), "M/d/yyyy")</f>
        <v>3/1/2025</v>
      </c>
      <c r="J1098" s="25">
        <v>20220701</v>
      </c>
      <c r="K1098" s="23" t="str">
        <f>TEXT(DATE(LEFT(J1098,4), MID(J1098,5,2), RIGHT(J1098,2)), "M/d/yyyy")</f>
        <v>7/1/2022</v>
      </c>
      <c r="L1098" s="24" t="s">
        <v>60</v>
      </c>
      <c r="M1098" s="26">
        <v>1</v>
      </c>
      <c r="N1098" s="25">
        <v>25</v>
      </c>
      <c r="O1098" s="27">
        <v>25</v>
      </c>
      <c r="P1098" s="22" t="s">
        <v>3833</v>
      </c>
    </row>
    <row r="1099" spans="1:16" s="22" customFormat="1" ht="15" customHeight="1" x14ac:dyDescent="0.2">
      <c r="A1099" s="22" t="s">
        <v>3788</v>
      </c>
      <c r="B1099" s="22">
        <v>18754354</v>
      </c>
      <c r="C1099" s="23">
        <v>1</v>
      </c>
      <c r="D1099" s="23">
        <v>921615656</v>
      </c>
      <c r="E1099" s="23">
        <v>921615656</v>
      </c>
      <c r="F1099" s="24" t="s">
        <v>2243</v>
      </c>
      <c r="G1099" s="23">
        <v>0</v>
      </c>
      <c r="H1099" s="23">
        <v>20250301</v>
      </c>
      <c r="I1099" s="23" t="str">
        <f>TEXT(DATE(LEFT(H1099,4), MID(H1099,5,2), RIGHT(H1099,2)), "M/d/yyyy")</f>
        <v>3/1/2025</v>
      </c>
      <c r="J1099" s="25">
        <v>20220701</v>
      </c>
      <c r="K1099" s="23" t="str">
        <f>TEXT(DATE(LEFT(J1099,4), MID(J1099,5,2), RIGHT(J1099,2)), "M/d/yyyy")</f>
        <v>7/1/2022</v>
      </c>
      <c r="L1099" s="24" t="s">
        <v>60</v>
      </c>
      <c r="M1099" s="26">
        <v>1</v>
      </c>
      <c r="N1099" s="25">
        <v>25</v>
      </c>
      <c r="O1099" s="27">
        <v>25</v>
      </c>
      <c r="P1099" s="22" t="s">
        <v>3833</v>
      </c>
    </row>
    <row r="1100" spans="1:16" s="22" customFormat="1" ht="15" customHeight="1" x14ac:dyDescent="0.2">
      <c r="A1100" s="22" t="s">
        <v>3788</v>
      </c>
      <c r="B1100" s="22">
        <v>18754354</v>
      </c>
      <c r="C1100" s="23">
        <v>1</v>
      </c>
      <c r="D1100" s="23">
        <v>921677646</v>
      </c>
      <c r="E1100" s="23">
        <v>921677646</v>
      </c>
      <c r="F1100" s="24" t="s">
        <v>2268</v>
      </c>
      <c r="G1100" s="23">
        <v>0</v>
      </c>
      <c r="H1100" s="23">
        <v>20250301</v>
      </c>
      <c r="I1100" s="23" t="str">
        <f>TEXT(DATE(LEFT(H1100,4), MID(H1100,5,2), RIGHT(H1100,2)), "M/d/yyyy")</f>
        <v>3/1/2025</v>
      </c>
      <c r="J1100" s="25">
        <v>20231101</v>
      </c>
      <c r="K1100" s="23" t="str">
        <f>TEXT(DATE(LEFT(J1100,4), MID(J1100,5,2), RIGHT(J1100,2)), "M/d/yyyy")</f>
        <v>11/1/2023</v>
      </c>
      <c r="L1100" s="24" t="s">
        <v>60</v>
      </c>
      <c r="M1100" s="26">
        <v>1</v>
      </c>
      <c r="N1100" s="25">
        <v>25</v>
      </c>
      <c r="O1100" s="27">
        <v>25</v>
      </c>
      <c r="P1100" s="22" t="s">
        <v>3833</v>
      </c>
    </row>
    <row r="1101" spans="1:16" s="22" customFormat="1" ht="15" customHeight="1" x14ac:dyDescent="0.2">
      <c r="A1101" s="22" t="s">
        <v>3788</v>
      </c>
      <c r="B1101" s="22">
        <v>18754354</v>
      </c>
      <c r="C1101" s="23">
        <v>1</v>
      </c>
      <c r="D1101" s="23">
        <v>921694892</v>
      </c>
      <c r="E1101" s="23">
        <v>921694892</v>
      </c>
      <c r="F1101" s="24" t="s">
        <v>2272</v>
      </c>
      <c r="G1101" s="23">
        <v>0</v>
      </c>
      <c r="H1101" s="23">
        <v>20250301</v>
      </c>
      <c r="I1101" s="23" t="str">
        <f>TEXT(DATE(LEFT(H1101,4), MID(H1101,5,2), RIGHT(H1101,2)), "M/d/yyyy")</f>
        <v>3/1/2025</v>
      </c>
      <c r="J1101" s="25">
        <v>20240101</v>
      </c>
      <c r="K1101" s="23" t="str">
        <f>TEXT(DATE(LEFT(J1101,4), MID(J1101,5,2), RIGHT(J1101,2)), "M/d/yyyy")</f>
        <v>1/1/2024</v>
      </c>
      <c r="L1101" s="24" t="s">
        <v>60</v>
      </c>
      <c r="M1101" s="26">
        <v>1</v>
      </c>
      <c r="N1101" s="25">
        <v>25</v>
      </c>
      <c r="O1101" s="27">
        <v>25</v>
      </c>
      <c r="P1101" s="22" t="s">
        <v>3833</v>
      </c>
    </row>
    <row r="1102" spans="1:16" s="22" customFormat="1" ht="15" customHeight="1" x14ac:dyDescent="0.2">
      <c r="A1102" s="22" t="s">
        <v>3788</v>
      </c>
      <c r="B1102" s="22">
        <v>18754354</v>
      </c>
      <c r="C1102" s="23">
        <v>1</v>
      </c>
      <c r="D1102" s="23">
        <v>921562490</v>
      </c>
      <c r="E1102" s="23">
        <v>921562490</v>
      </c>
      <c r="F1102" s="24" t="s">
        <v>2235</v>
      </c>
      <c r="G1102" s="23">
        <v>0</v>
      </c>
      <c r="H1102" s="23">
        <v>20250301</v>
      </c>
      <c r="I1102" s="23" t="str">
        <f>TEXT(DATE(LEFT(H1102,4), MID(H1102,5,2), RIGHT(H1102,2)), "M/d/yyyy")</f>
        <v>3/1/2025</v>
      </c>
      <c r="J1102" s="25">
        <v>20240501</v>
      </c>
      <c r="K1102" s="23" t="str">
        <f>TEXT(DATE(LEFT(J1102,4), MID(J1102,5,2), RIGHT(J1102,2)), "M/d/yyyy")</f>
        <v>5/1/2024</v>
      </c>
      <c r="L1102" s="24" t="s">
        <v>60</v>
      </c>
      <c r="M1102" s="26">
        <v>1</v>
      </c>
      <c r="N1102" s="25">
        <v>30</v>
      </c>
      <c r="O1102" s="27">
        <v>30</v>
      </c>
      <c r="P1102" s="22" t="s">
        <v>3833</v>
      </c>
    </row>
    <row r="1103" spans="1:16" s="22" customFormat="1" ht="15" customHeight="1" x14ac:dyDescent="0.2">
      <c r="A1103" s="22" t="s">
        <v>3788</v>
      </c>
      <c r="B1103" s="22">
        <v>18754354</v>
      </c>
      <c r="C1103" s="23">
        <v>1</v>
      </c>
      <c r="D1103" s="23">
        <v>921714712</v>
      </c>
      <c r="E1103" s="23">
        <v>921714712</v>
      </c>
      <c r="F1103" s="24" t="s">
        <v>2280</v>
      </c>
      <c r="G1103" s="23">
        <v>0</v>
      </c>
      <c r="H1103" s="23">
        <v>20250301</v>
      </c>
      <c r="I1103" s="23" t="str">
        <f>TEXT(DATE(LEFT(H1103,4), MID(H1103,5,2), RIGHT(H1103,2)), "M/d/yyyy")</f>
        <v>3/1/2025</v>
      </c>
      <c r="J1103" s="25">
        <v>20240301</v>
      </c>
      <c r="K1103" s="23" t="str">
        <f>TEXT(DATE(LEFT(J1103,4), MID(J1103,5,2), RIGHT(J1103,2)), "M/d/yyyy")</f>
        <v>3/1/2024</v>
      </c>
      <c r="L1103" s="24" t="s">
        <v>60</v>
      </c>
      <c r="M1103" s="26">
        <v>1</v>
      </c>
      <c r="N1103" s="25">
        <v>30</v>
      </c>
      <c r="O1103" s="27">
        <v>30</v>
      </c>
      <c r="P1103" s="22" t="s">
        <v>3833</v>
      </c>
    </row>
    <row r="1104" spans="1:16" s="22" customFormat="1" ht="15" customHeight="1" x14ac:dyDescent="0.2">
      <c r="A1104" s="22" t="s">
        <v>3788</v>
      </c>
      <c r="B1104" s="22">
        <v>18754354</v>
      </c>
      <c r="C1104" s="23">
        <v>1</v>
      </c>
      <c r="D1104" s="23">
        <v>921751625</v>
      </c>
      <c r="E1104" s="23">
        <v>921751625</v>
      </c>
      <c r="F1104" s="24" t="s">
        <v>2303</v>
      </c>
      <c r="G1104" s="23">
        <v>0</v>
      </c>
      <c r="H1104" s="23">
        <v>20250301</v>
      </c>
      <c r="I1104" s="23" t="str">
        <f>TEXT(DATE(LEFT(H1104,4), MID(H1104,5,2), RIGHT(H1104,2)), "M/d/yyyy")</f>
        <v>3/1/2025</v>
      </c>
      <c r="J1104" s="25">
        <v>20250101</v>
      </c>
      <c r="K1104" s="23" t="str">
        <f>TEXT(DATE(LEFT(J1104,4), MID(J1104,5,2), RIGHT(J1104,2)), "M/d/yyyy")</f>
        <v>1/1/2025</v>
      </c>
      <c r="L1104" s="24" t="s">
        <v>60</v>
      </c>
      <c r="M1104" s="26">
        <v>1</v>
      </c>
      <c r="N1104" s="25">
        <v>30</v>
      </c>
      <c r="O1104" s="27">
        <v>30</v>
      </c>
      <c r="P1104" s="22" t="s">
        <v>3833</v>
      </c>
    </row>
    <row r="1105" spans="1:16" s="22" customFormat="1" ht="15" customHeight="1" x14ac:dyDescent="0.2">
      <c r="A1105" s="22" t="s">
        <v>3788</v>
      </c>
      <c r="B1105" s="22">
        <v>18754354</v>
      </c>
      <c r="C1105" s="23">
        <v>1</v>
      </c>
      <c r="D1105" s="23">
        <v>921762372</v>
      </c>
      <c r="E1105" s="23">
        <v>921762372</v>
      </c>
      <c r="F1105" s="24" t="s">
        <v>2311</v>
      </c>
      <c r="G1105" s="23">
        <v>0</v>
      </c>
      <c r="H1105" s="23">
        <v>20250301</v>
      </c>
      <c r="I1105" s="23" t="str">
        <f>TEXT(DATE(LEFT(H1105,4), MID(H1105,5,2), RIGHT(H1105,2)), "M/d/yyyy")</f>
        <v>3/1/2025</v>
      </c>
      <c r="J1105" s="25">
        <v>20250101</v>
      </c>
      <c r="K1105" s="23" t="str">
        <f>TEXT(DATE(LEFT(J1105,4), MID(J1105,5,2), RIGHT(J1105,2)), "M/d/yyyy")</f>
        <v>1/1/2025</v>
      </c>
      <c r="L1105" s="24" t="s">
        <v>60</v>
      </c>
      <c r="M1105" s="26">
        <v>1</v>
      </c>
      <c r="N1105" s="25">
        <v>30</v>
      </c>
      <c r="O1105" s="27">
        <v>30</v>
      </c>
      <c r="P1105" s="22" t="s">
        <v>3833</v>
      </c>
    </row>
    <row r="1106" spans="1:16" s="22" customFormat="1" ht="15" customHeight="1" x14ac:dyDescent="0.2">
      <c r="A1106" s="22" t="s">
        <v>3788</v>
      </c>
      <c r="B1106" s="22">
        <v>18754354</v>
      </c>
      <c r="C1106" s="23">
        <v>2</v>
      </c>
      <c r="D1106" s="23">
        <v>921544055</v>
      </c>
      <c r="E1106" s="23">
        <v>921544055</v>
      </c>
      <c r="F1106" s="24" t="s">
        <v>2229</v>
      </c>
      <c r="G1106" s="23">
        <v>0</v>
      </c>
      <c r="H1106" s="23">
        <v>20250301</v>
      </c>
      <c r="I1106" s="23" t="str">
        <f>TEXT(DATE(LEFT(H1106,4), MID(H1106,5,2), RIGHT(H1106,2)), "M/d/yyyy")</f>
        <v>3/1/2025</v>
      </c>
      <c r="J1106" s="25">
        <v>20201201</v>
      </c>
      <c r="K1106" s="23" t="str">
        <f>TEXT(DATE(LEFT(J1106,4), MID(J1106,5,2), RIGHT(J1106,2)), "M/d/yyyy")</f>
        <v>12/1/2020</v>
      </c>
      <c r="L1106" s="24" t="s">
        <v>60</v>
      </c>
      <c r="M1106" s="26">
        <v>1</v>
      </c>
      <c r="N1106" s="25">
        <v>25</v>
      </c>
      <c r="O1106" s="27">
        <v>50</v>
      </c>
      <c r="P1106" s="22" t="s">
        <v>3833</v>
      </c>
    </row>
    <row r="1107" spans="1:16" s="22" customFormat="1" ht="15" customHeight="1" x14ac:dyDescent="0.2">
      <c r="A1107" s="22" t="s">
        <v>3788</v>
      </c>
      <c r="B1107" s="22">
        <v>18754354</v>
      </c>
      <c r="C1107" s="23">
        <v>2</v>
      </c>
      <c r="D1107" s="23">
        <v>921600102</v>
      </c>
      <c r="E1107" s="23">
        <v>921600102</v>
      </c>
      <c r="F1107" s="24" t="s">
        <v>2239</v>
      </c>
      <c r="G1107" s="23">
        <v>0</v>
      </c>
      <c r="H1107" s="23">
        <v>20250301</v>
      </c>
      <c r="I1107" s="23" t="str">
        <f>TEXT(DATE(LEFT(H1107,4), MID(H1107,5,2), RIGHT(H1107,2)), "M/d/yyyy")</f>
        <v>3/1/2025</v>
      </c>
      <c r="J1107" s="25">
        <v>20240101</v>
      </c>
      <c r="K1107" s="23" t="str">
        <f>TEXT(DATE(LEFT(J1107,4), MID(J1107,5,2), RIGHT(J1107,2)), "M/d/yyyy")</f>
        <v>1/1/2024</v>
      </c>
      <c r="L1107" s="24" t="s">
        <v>60</v>
      </c>
      <c r="M1107" s="26">
        <v>1</v>
      </c>
      <c r="N1107" s="25">
        <v>25</v>
      </c>
      <c r="O1107" s="27">
        <v>50</v>
      </c>
      <c r="P1107" s="22" t="s">
        <v>3833</v>
      </c>
    </row>
    <row r="1108" spans="1:16" s="22" customFormat="1" ht="15" customHeight="1" x14ac:dyDescent="0.2">
      <c r="A1108" s="22" t="s">
        <v>3788</v>
      </c>
      <c r="B1108" s="22">
        <v>18754354</v>
      </c>
      <c r="C1108" s="23">
        <v>2</v>
      </c>
      <c r="D1108" s="23">
        <v>921622374</v>
      </c>
      <c r="E1108" s="23">
        <v>921622374</v>
      </c>
      <c r="F1108" s="24" t="s">
        <v>2250</v>
      </c>
      <c r="G1108" s="23">
        <v>0</v>
      </c>
      <c r="H1108" s="23">
        <v>20250301</v>
      </c>
      <c r="I1108" s="23" t="str">
        <f>TEXT(DATE(LEFT(H1108,4), MID(H1108,5,2), RIGHT(H1108,2)), "M/d/yyyy")</f>
        <v>3/1/2025</v>
      </c>
      <c r="J1108" s="25">
        <v>20221001</v>
      </c>
      <c r="K1108" s="23" t="str">
        <f>TEXT(DATE(LEFT(J1108,4), MID(J1108,5,2), RIGHT(J1108,2)), "M/d/yyyy")</f>
        <v>10/1/2022</v>
      </c>
      <c r="L1108" s="24" t="s">
        <v>60</v>
      </c>
      <c r="M1108" s="26">
        <v>1</v>
      </c>
      <c r="N1108" s="25">
        <v>25</v>
      </c>
      <c r="O1108" s="27">
        <v>50</v>
      </c>
      <c r="P1108" s="22" t="s">
        <v>3833</v>
      </c>
    </row>
    <row r="1109" spans="1:16" s="22" customFormat="1" ht="15" customHeight="1" x14ac:dyDescent="0.2">
      <c r="A1109" s="22" t="s">
        <v>3788</v>
      </c>
      <c r="B1109" s="22">
        <v>18754354</v>
      </c>
      <c r="C1109" s="23">
        <v>2</v>
      </c>
      <c r="D1109" s="23">
        <v>921729211</v>
      </c>
      <c r="E1109" s="23">
        <v>921729211</v>
      </c>
      <c r="F1109" s="24" t="s">
        <v>2288</v>
      </c>
      <c r="G1109" s="23">
        <v>0</v>
      </c>
      <c r="H1109" s="23">
        <v>20250201</v>
      </c>
      <c r="I1109" s="23" t="str">
        <f>TEXT(DATE(LEFT(H1109,4), MID(H1109,5,2), RIGHT(H1109,2)), "M/d/yyyy")</f>
        <v>2/1/2025</v>
      </c>
      <c r="J1109" s="25">
        <v>20240701</v>
      </c>
      <c r="K1109" s="23" t="str">
        <f>TEXT(DATE(LEFT(J1109,4), MID(J1109,5,2), RIGHT(J1109,2)), "M/d/yyyy")</f>
        <v>7/1/2024</v>
      </c>
      <c r="L1109" s="24" t="s">
        <v>60</v>
      </c>
      <c r="M1109" s="26">
        <v>1</v>
      </c>
      <c r="N1109" s="25">
        <v>30</v>
      </c>
      <c r="O1109" s="27">
        <v>60</v>
      </c>
      <c r="P1109" s="22" t="s">
        <v>3833</v>
      </c>
    </row>
    <row r="1110" spans="1:16" s="22" customFormat="1" ht="15" customHeight="1" x14ac:dyDescent="0.2">
      <c r="A1110" s="22" t="s">
        <v>3788</v>
      </c>
      <c r="B1110" s="22">
        <v>18754354</v>
      </c>
      <c r="C1110" s="23">
        <v>3</v>
      </c>
      <c r="D1110" s="23">
        <v>890600429</v>
      </c>
      <c r="E1110" s="23">
        <v>890600429</v>
      </c>
      <c r="F1110" s="24" t="s">
        <v>2170</v>
      </c>
      <c r="G1110" s="23">
        <v>0</v>
      </c>
      <c r="H1110" s="23">
        <v>20250301</v>
      </c>
      <c r="I1110" s="23" t="str">
        <f>TEXT(DATE(LEFT(H1110,4), MID(H1110,5,2), RIGHT(H1110,2)), "M/d/yyyy")</f>
        <v>3/1/2025</v>
      </c>
      <c r="J1110" s="25">
        <v>20160101</v>
      </c>
      <c r="K1110" s="23" t="str">
        <f>TEXT(DATE(LEFT(J1110,4), MID(J1110,5,2), RIGHT(J1110,2)), "M/d/yyyy")</f>
        <v>1/1/2016</v>
      </c>
      <c r="L1110" s="24" t="s">
        <v>60</v>
      </c>
      <c r="M1110" s="26">
        <v>1</v>
      </c>
      <c r="N1110" s="25">
        <v>25</v>
      </c>
      <c r="O1110" s="27">
        <v>75</v>
      </c>
      <c r="P1110" s="22" t="s">
        <v>3833</v>
      </c>
    </row>
    <row r="1111" spans="1:16" s="22" customFormat="1" ht="15" customHeight="1" x14ac:dyDescent="0.2">
      <c r="A1111" s="22" t="s">
        <v>3788</v>
      </c>
      <c r="B1111" s="22">
        <v>18754354</v>
      </c>
      <c r="C1111" s="23">
        <v>3</v>
      </c>
      <c r="D1111" s="23">
        <v>890600429</v>
      </c>
      <c r="E1111" s="23">
        <v>890600429</v>
      </c>
      <c r="F1111" s="24" t="s">
        <v>2170</v>
      </c>
      <c r="G1111" s="23">
        <v>0</v>
      </c>
      <c r="H1111" s="23">
        <v>20250201</v>
      </c>
      <c r="I1111" s="23" t="str">
        <f>TEXT(DATE(LEFT(H1111,4), MID(H1111,5,2), RIGHT(H1111,2)), "M/d/yyyy")</f>
        <v>2/1/2025</v>
      </c>
      <c r="J1111" s="25">
        <v>20160101</v>
      </c>
      <c r="K1111" s="23" t="str">
        <f>TEXT(DATE(LEFT(J1111,4), MID(J1111,5,2), RIGHT(J1111,2)), "M/d/yyyy")</f>
        <v>1/1/2016</v>
      </c>
      <c r="L1111" s="24" t="s">
        <v>60</v>
      </c>
      <c r="M1111" s="26">
        <v>1</v>
      </c>
      <c r="N1111" s="25">
        <v>25</v>
      </c>
      <c r="O1111" s="27">
        <v>75</v>
      </c>
      <c r="P1111" s="22" t="s">
        <v>3833</v>
      </c>
    </row>
    <row r="1112" spans="1:16" s="22" customFormat="1" ht="15" customHeight="1" x14ac:dyDescent="0.2">
      <c r="A1112" s="22" t="s">
        <v>3788</v>
      </c>
      <c r="B1112" s="22">
        <v>18754354</v>
      </c>
      <c r="C1112" s="23">
        <v>5</v>
      </c>
      <c r="D1112" s="23">
        <v>921032769</v>
      </c>
      <c r="E1112" s="23">
        <v>921032769</v>
      </c>
      <c r="F1112" s="24" t="s">
        <v>2187</v>
      </c>
      <c r="G1112" s="23">
        <v>0</v>
      </c>
      <c r="H1112" s="23">
        <v>20250301</v>
      </c>
      <c r="I1112" s="23" t="str">
        <f>TEXT(DATE(LEFT(H1112,4), MID(H1112,5,2), RIGHT(H1112,2)), "M/d/yyyy")</f>
        <v>3/1/2025</v>
      </c>
      <c r="J1112" s="25">
        <v>20210101</v>
      </c>
      <c r="K1112" s="23" t="str">
        <f>TEXT(DATE(LEFT(J1112,4), MID(J1112,5,2), RIGHT(J1112,2)), "M/d/yyyy")</f>
        <v>1/1/2021</v>
      </c>
      <c r="L1112" s="24" t="s">
        <v>60</v>
      </c>
      <c r="M1112" s="26">
        <v>1</v>
      </c>
      <c r="N1112" s="25">
        <v>25</v>
      </c>
      <c r="O1112" s="27">
        <v>125</v>
      </c>
      <c r="P1112" s="22" t="s">
        <v>3833</v>
      </c>
    </row>
    <row r="1113" spans="1:16" s="22" customFormat="1" ht="15" customHeight="1" x14ac:dyDescent="0.2">
      <c r="A1113" s="22" t="s">
        <v>3791</v>
      </c>
      <c r="B1113" s="22">
        <v>2158366</v>
      </c>
      <c r="C1113" s="23">
        <v>1</v>
      </c>
      <c r="D1113" s="23">
        <v>920991180</v>
      </c>
      <c r="E1113" s="23">
        <v>920991180</v>
      </c>
      <c r="F1113" s="24" t="s">
        <v>2492</v>
      </c>
      <c r="G1113" s="23">
        <v>0</v>
      </c>
      <c r="H1113" s="23">
        <v>20250301</v>
      </c>
      <c r="I1113" s="23" t="str">
        <f>TEXT(DATE(LEFT(H1113,4), MID(H1113,5,2), RIGHT(H1113,2)), "M/d/yyyy")</f>
        <v>3/1/2025</v>
      </c>
      <c r="J1113" s="25">
        <v>20150101</v>
      </c>
      <c r="K1113" s="23" t="str">
        <f>TEXT(DATE(LEFT(J1113,4), MID(J1113,5,2), RIGHT(J1113,2)), "M/d/yyyy")</f>
        <v>1/1/2015</v>
      </c>
      <c r="L1113" s="24" t="s">
        <v>60</v>
      </c>
      <c r="M1113" s="26">
        <v>1</v>
      </c>
      <c r="N1113" s="25">
        <v>25</v>
      </c>
      <c r="O1113" s="27">
        <v>25</v>
      </c>
      <c r="P1113" s="22" t="s">
        <v>3833</v>
      </c>
    </row>
    <row r="1114" spans="1:16" s="22" customFormat="1" ht="15" customHeight="1" x14ac:dyDescent="0.2">
      <c r="A1114" s="22" t="s">
        <v>3791</v>
      </c>
      <c r="B1114" s="22">
        <v>2158366</v>
      </c>
      <c r="C1114" s="23">
        <v>1</v>
      </c>
      <c r="D1114" s="23">
        <v>920991180</v>
      </c>
      <c r="E1114" s="23">
        <v>920991180</v>
      </c>
      <c r="F1114" s="24" t="s">
        <v>2492</v>
      </c>
      <c r="G1114" s="23">
        <v>0</v>
      </c>
      <c r="H1114" s="23">
        <v>20250201</v>
      </c>
      <c r="I1114" s="23" t="str">
        <f>TEXT(DATE(LEFT(H1114,4), MID(H1114,5,2), RIGHT(H1114,2)), "M/d/yyyy")</f>
        <v>2/1/2025</v>
      </c>
      <c r="J1114" s="25">
        <v>20150101</v>
      </c>
      <c r="K1114" s="23" t="str">
        <f>TEXT(DATE(LEFT(J1114,4), MID(J1114,5,2), RIGHT(J1114,2)), "M/d/yyyy")</f>
        <v>1/1/2015</v>
      </c>
      <c r="L1114" s="24" t="s">
        <v>60</v>
      </c>
      <c r="M1114" s="26">
        <v>1</v>
      </c>
      <c r="N1114" s="25">
        <v>25</v>
      </c>
      <c r="O1114" s="27">
        <v>25</v>
      </c>
      <c r="P1114" s="22" t="s">
        <v>3833</v>
      </c>
    </row>
    <row r="1115" spans="1:16" s="22" customFormat="1" ht="15" customHeight="1" x14ac:dyDescent="0.2">
      <c r="A1115" s="22" t="s">
        <v>3791</v>
      </c>
      <c r="B1115" s="22">
        <v>2158366</v>
      </c>
      <c r="C1115" s="23">
        <v>1</v>
      </c>
      <c r="D1115" s="23">
        <v>921682677</v>
      </c>
      <c r="E1115" s="23">
        <v>921682677</v>
      </c>
      <c r="F1115" s="24" t="s">
        <v>2504</v>
      </c>
      <c r="G1115" s="23">
        <v>0</v>
      </c>
      <c r="H1115" s="23">
        <v>20250301</v>
      </c>
      <c r="I1115" s="23" t="str">
        <f>TEXT(DATE(LEFT(H1115,4), MID(H1115,5,2), RIGHT(H1115,2)), "M/d/yyyy")</f>
        <v>3/1/2025</v>
      </c>
      <c r="J1115" s="25">
        <v>20231201</v>
      </c>
      <c r="K1115" s="23" t="str">
        <f>TEXT(DATE(LEFT(J1115,4), MID(J1115,5,2), RIGHT(J1115,2)), "M/d/yyyy")</f>
        <v>12/1/2023</v>
      </c>
      <c r="L1115" s="24" t="s">
        <v>60</v>
      </c>
      <c r="M1115" s="26">
        <v>1</v>
      </c>
      <c r="N1115" s="25">
        <v>25</v>
      </c>
      <c r="O1115" s="27">
        <v>25</v>
      </c>
      <c r="P1115" s="22" t="s">
        <v>3833</v>
      </c>
    </row>
    <row r="1116" spans="1:16" s="22" customFormat="1" ht="15" customHeight="1" x14ac:dyDescent="0.2">
      <c r="A1116" s="22" t="s">
        <v>3791</v>
      </c>
      <c r="B1116" s="22">
        <v>2158366</v>
      </c>
      <c r="C1116" s="23">
        <v>3</v>
      </c>
      <c r="D1116" s="23">
        <v>921579647</v>
      </c>
      <c r="E1116" s="23">
        <v>921579647</v>
      </c>
      <c r="F1116" s="24" t="s">
        <v>2502</v>
      </c>
      <c r="G1116" s="23">
        <v>0</v>
      </c>
      <c r="H1116" s="23">
        <v>20250301</v>
      </c>
      <c r="I1116" s="23" t="str">
        <f>TEXT(DATE(LEFT(H1116,4), MID(H1116,5,2), RIGHT(H1116,2)), "M/d/yyyy")</f>
        <v>3/1/2025</v>
      </c>
      <c r="J1116" s="25">
        <v>20210901</v>
      </c>
      <c r="K1116" s="23" t="str">
        <f>TEXT(DATE(LEFT(J1116,4), MID(J1116,5,2), RIGHT(J1116,2)), "M/d/yyyy")</f>
        <v>9/1/2021</v>
      </c>
      <c r="L1116" s="24" t="s">
        <v>60</v>
      </c>
      <c r="M1116" s="26">
        <v>1</v>
      </c>
      <c r="N1116" s="25">
        <v>25</v>
      </c>
      <c r="O1116" s="27">
        <v>75</v>
      </c>
      <c r="P1116" s="22" t="s">
        <v>3833</v>
      </c>
    </row>
    <row r="1117" spans="1:16" s="22" customFormat="1" ht="15" customHeight="1" x14ac:dyDescent="0.2">
      <c r="A1117" s="22" t="s">
        <v>3808</v>
      </c>
      <c r="B1117" s="22">
        <v>20212926</v>
      </c>
      <c r="C1117" s="23">
        <v>5</v>
      </c>
      <c r="D1117" s="23">
        <v>921710459</v>
      </c>
      <c r="E1117" s="23">
        <v>921710459</v>
      </c>
      <c r="F1117" s="24" t="s">
        <v>3346</v>
      </c>
      <c r="G1117" s="23">
        <v>0</v>
      </c>
      <c r="H1117" s="23">
        <v>20250301</v>
      </c>
      <c r="I1117" s="23" t="str">
        <f>TEXT(DATE(LEFT(H1117,4), MID(H1117,5,2), RIGHT(H1117,2)), "M/d/yyyy")</f>
        <v>3/1/2025</v>
      </c>
      <c r="J1117" s="25">
        <v>20241001</v>
      </c>
      <c r="K1117" s="23" t="str">
        <f>TEXT(DATE(LEFT(J1117,4), MID(J1117,5,2), RIGHT(J1117,2)), "M/d/yyyy")</f>
        <v>10/1/2024</v>
      </c>
      <c r="L1117" s="24" t="s">
        <v>60</v>
      </c>
      <c r="M1117" s="26">
        <v>1</v>
      </c>
      <c r="N1117" s="25">
        <v>30</v>
      </c>
      <c r="O1117" s="27">
        <v>150</v>
      </c>
      <c r="P1117" s="22" t="s">
        <v>3833</v>
      </c>
    </row>
    <row r="1118" spans="1:16" s="22" customFormat="1" ht="15" customHeight="1" x14ac:dyDescent="0.2">
      <c r="A1118" s="22" t="s">
        <v>3814</v>
      </c>
      <c r="B1118" s="22">
        <v>14177521</v>
      </c>
      <c r="C1118" s="23">
        <v>1</v>
      </c>
      <c r="D1118" s="23">
        <v>890662686</v>
      </c>
      <c r="E1118" s="23">
        <v>890662686</v>
      </c>
      <c r="F1118" s="24" t="s">
        <v>3435</v>
      </c>
      <c r="G1118" s="23">
        <v>0</v>
      </c>
      <c r="H1118" s="23">
        <v>20250301</v>
      </c>
      <c r="I1118" s="23" t="str">
        <f>TEXT(DATE(LEFT(H1118,4), MID(H1118,5,2), RIGHT(H1118,2)), "M/d/yyyy")</f>
        <v>3/1/2025</v>
      </c>
      <c r="J1118" s="25">
        <v>20230101</v>
      </c>
      <c r="K1118" s="23" t="str">
        <f>TEXT(DATE(LEFT(J1118,4), MID(J1118,5,2), RIGHT(J1118,2)), "M/d/yyyy")</f>
        <v>1/1/2023</v>
      </c>
      <c r="L1118" s="24" t="s">
        <v>60</v>
      </c>
      <c r="M1118" s="26">
        <v>1</v>
      </c>
      <c r="N1118" s="25">
        <v>25</v>
      </c>
      <c r="O1118" s="27">
        <v>25</v>
      </c>
      <c r="P1118" s="22" t="s">
        <v>3833</v>
      </c>
    </row>
    <row r="1119" spans="1:16" s="22" customFormat="1" ht="15" customHeight="1" x14ac:dyDescent="0.2">
      <c r="A1119" s="22" t="s">
        <v>3814</v>
      </c>
      <c r="B1119" s="22">
        <v>14177521</v>
      </c>
      <c r="C1119" s="23">
        <v>1</v>
      </c>
      <c r="D1119" s="23">
        <v>890662686</v>
      </c>
      <c r="E1119" s="23">
        <v>890662686</v>
      </c>
      <c r="F1119" s="24" t="s">
        <v>3435</v>
      </c>
      <c r="G1119" s="23">
        <v>0</v>
      </c>
      <c r="H1119" s="23">
        <v>20250201</v>
      </c>
      <c r="I1119" s="23" t="str">
        <f>TEXT(DATE(LEFT(H1119,4), MID(H1119,5,2), RIGHT(H1119,2)), "M/d/yyyy")</f>
        <v>2/1/2025</v>
      </c>
      <c r="J1119" s="25">
        <v>20230101</v>
      </c>
      <c r="K1119" s="23" t="str">
        <f>TEXT(DATE(LEFT(J1119,4), MID(J1119,5,2), RIGHT(J1119,2)), "M/d/yyyy")</f>
        <v>1/1/2023</v>
      </c>
      <c r="L1119" s="24" t="s">
        <v>60</v>
      </c>
      <c r="M1119" s="26">
        <v>1</v>
      </c>
      <c r="N1119" s="25">
        <v>25</v>
      </c>
      <c r="O1119" s="27">
        <v>25</v>
      </c>
      <c r="P1119" s="22" t="s">
        <v>3833</v>
      </c>
    </row>
    <row r="1120" spans="1:16" s="22" customFormat="1" ht="15" customHeight="1" x14ac:dyDescent="0.2">
      <c r="A1120" s="22" t="s">
        <v>3814</v>
      </c>
      <c r="B1120" s="22">
        <v>14177521</v>
      </c>
      <c r="C1120" s="23">
        <v>1</v>
      </c>
      <c r="D1120" s="23">
        <v>921494779</v>
      </c>
      <c r="E1120" s="23">
        <v>921494779</v>
      </c>
      <c r="F1120" s="24" t="s">
        <v>3452</v>
      </c>
      <c r="G1120" s="23">
        <v>0</v>
      </c>
      <c r="H1120" s="23">
        <v>20250301</v>
      </c>
      <c r="I1120" s="23" t="str">
        <f>TEXT(DATE(LEFT(H1120,4), MID(H1120,5,2), RIGHT(H1120,2)), "M/d/yyyy")</f>
        <v>3/1/2025</v>
      </c>
      <c r="J1120" s="25">
        <v>20230101</v>
      </c>
      <c r="K1120" s="23" t="str">
        <f>TEXT(DATE(LEFT(J1120,4), MID(J1120,5,2), RIGHT(J1120,2)), "M/d/yyyy")</f>
        <v>1/1/2023</v>
      </c>
      <c r="L1120" s="24" t="s">
        <v>60</v>
      </c>
      <c r="M1120" s="26">
        <v>1</v>
      </c>
      <c r="N1120" s="25">
        <v>25</v>
      </c>
      <c r="O1120" s="27">
        <v>25</v>
      </c>
      <c r="P1120" s="22" t="s">
        <v>3833</v>
      </c>
    </row>
    <row r="1121" spans="1:16" s="22" customFormat="1" ht="15" customHeight="1" x14ac:dyDescent="0.2">
      <c r="A1121" s="22" t="s">
        <v>3814</v>
      </c>
      <c r="B1121" s="22">
        <v>14177521</v>
      </c>
      <c r="C1121" s="23">
        <v>1</v>
      </c>
      <c r="D1121" s="23">
        <v>921576096</v>
      </c>
      <c r="E1121" s="23">
        <v>921576096</v>
      </c>
      <c r="F1121" s="24" t="s">
        <v>3458</v>
      </c>
      <c r="G1121" s="23">
        <v>0</v>
      </c>
      <c r="H1121" s="23">
        <v>20250301</v>
      </c>
      <c r="I1121" s="23" t="str">
        <f>TEXT(DATE(LEFT(H1121,4), MID(H1121,5,2), RIGHT(H1121,2)), "M/d/yyyy")</f>
        <v>3/1/2025</v>
      </c>
      <c r="J1121" s="25">
        <v>20210801</v>
      </c>
      <c r="K1121" s="23" t="str">
        <f>TEXT(DATE(LEFT(J1121,4), MID(J1121,5,2), RIGHT(J1121,2)), "M/d/yyyy")</f>
        <v>8/1/2021</v>
      </c>
      <c r="L1121" s="24" t="s">
        <v>60</v>
      </c>
      <c r="M1121" s="26">
        <v>1</v>
      </c>
      <c r="N1121" s="25">
        <v>25</v>
      </c>
      <c r="O1121" s="27">
        <v>25</v>
      </c>
      <c r="P1121" s="22" t="s">
        <v>3833</v>
      </c>
    </row>
    <row r="1122" spans="1:16" s="22" customFormat="1" ht="15" customHeight="1" x14ac:dyDescent="0.2">
      <c r="A1122" s="22" t="s">
        <v>3814</v>
      </c>
      <c r="B1122" s="22">
        <v>14177521</v>
      </c>
      <c r="C1122" s="23">
        <v>1</v>
      </c>
      <c r="D1122" s="23">
        <v>921633094</v>
      </c>
      <c r="E1122" s="23">
        <v>921633094</v>
      </c>
      <c r="F1122" s="24" t="s">
        <v>3462</v>
      </c>
      <c r="G1122" s="23">
        <v>0</v>
      </c>
      <c r="H1122" s="23">
        <v>20250301</v>
      </c>
      <c r="I1122" s="23" t="str">
        <f>TEXT(DATE(LEFT(H1122,4), MID(H1122,5,2), RIGHT(H1122,2)), "M/d/yyyy")</f>
        <v>3/1/2025</v>
      </c>
      <c r="J1122" s="25">
        <v>20230101</v>
      </c>
      <c r="K1122" s="23" t="str">
        <f>TEXT(DATE(LEFT(J1122,4), MID(J1122,5,2), RIGHT(J1122,2)), "M/d/yyyy")</f>
        <v>1/1/2023</v>
      </c>
      <c r="L1122" s="24" t="s">
        <v>60</v>
      </c>
      <c r="M1122" s="26">
        <v>1</v>
      </c>
      <c r="N1122" s="25">
        <v>25</v>
      </c>
      <c r="O1122" s="27">
        <v>25</v>
      </c>
      <c r="P1122" s="22" t="s">
        <v>3833</v>
      </c>
    </row>
    <row r="1123" spans="1:16" s="22" customFormat="1" ht="15" customHeight="1" x14ac:dyDescent="0.2">
      <c r="A1123" s="22" t="s">
        <v>3814</v>
      </c>
      <c r="B1123" s="22">
        <v>14177521</v>
      </c>
      <c r="C1123" s="23">
        <v>4</v>
      </c>
      <c r="D1123" s="23">
        <v>890261732</v>
      </c>
      <c r="E1123" s="23">
        <v>890261732</v>
      </c>
      <c r="F1123" s="24" t="s">
        <v>3432</v>
      </c>
      <c r="G1123" s="23">
        <v>0</v>
      </c>
      <c r="H1123" s="23">
        <v>20250301</v>
      </c>
      <c r="I1123" s="23" t="str">
        <f>TEXT(DATE(LEFT(H1123,4), MID(H1123,5,2), RIGHT(H1123,2)), "M/d/yyyy")</f>
        <v>3/1/2025</v>
      </c>
      <c r="J1123" s="25">
        <v>20220101</v>
      </c>
      <c r="K1123" s="23" t="str">
        <f>TEXT(DATE(LEFT(J1123,4), MID(J1123,5,2), RIGHT(J1123,2)), "M/d/yyyy")</f>
        <v>1/1/2022</v>
      </c>
      <c r="L1123" s="24" t="s">
        <v>60</v>
      </c>
      <c r="M1123" s="26">
        <v>1</v>
      </c>
      <c r="N1123" s="25">
        <v>25</v>
      </c>
      <c r="O1123" s="27">
        <v>100</v>
      </c>
      <c r="P1123" s="22" t="s">
        <v>3833</v>
      </c>
    </row>
    <row r="1124" spans="1:16" s="22" customFormat="1" ht="15" customHeight="1" x14ac:dyDescent="0.2">
      <c r="A1124" s="22" t="s">
        <v>3795</v>
      </c>
      <c r="B1124" s="22">
        <v>20220688</v>
      </c>
      <c r="C1124" s="23">
        <v>1</v>
      </c>
      <c r="D1124" s="23">
        <v>921675701</v>
      </c>
      <c r="E1124" s="23">
        <v>921675701</v>
      </c>
      <c r="F1124" s="24" t="s">
        <v>2720</v>
      </c>
      <c r="G1124" s="23">
        <v>0</v>
      </c>
      <c r="H1124" s="23">
        <v>20250301</v>
      </c>
      <c r="I1124" s="23" t="str">
        <f>TEXT(DATE(LEFT(H1124,4), MID(H1124,5,2), RIGHT(H1124,2)), "M/d/yyyy")</f>
        <v>3/1/2025</v>
      </c>
      <c r="J1124" s="25">
        <v>20231101</v>
      </c>
      <c r="K1124" s="23" t="str">
        <f>TEXT(DATE(LEFT(J1124,4), MID(J1124,5,2), RIGHT(J1124,2)), "M/d/yyyy")</f>
        <v>11/1/2023</v>
      </c>
      <c r="L1124" s="24" t="s">
        <v>60</v>
      </c>
      <c r="M1124" s="26">
        <v>1</v>
      </c>
      <c r="N1124" s="25">
        <v>25</v>
      </c>
      <c r="O1124" s="27">
        <v>25</v>
      </c>
      <c r="P1124" s="22" t="s">
        <v>3833</v>
      </c>
    </row>
    <row r="1125" spans="1:16" s="22" customFormat="1" ht="15" customHeight="1" x14ac:dyDescent="0.2">
      <c r="A1125" s="22" t="s">
        <v>3795</v>
      </c>
      <c r="B1125" s="22">
        <v>20220688</v>
      </c>
      <c r="C1125" s="23">
        <v>1</v>
      </c>
      <c r="D1125" s="23">
        <v>921709712</v>
      </c>
      <c r="E1125" s="23">
        <v>921709712</v>
      </c>
      <c r="F1125" s="24" t="s">
        <v>2734</v>
      </c>
      <c r="G1125" s="23">
        <v>0</v>
      </c>
      <c r="H1125" s="23">
        <v>20250301</v>
      </c>
      <c r="I1125" s="23" t="str">
        <f>TEXT(DATE(LEFT(H1125,4), MID(H1125,5,2), RIGHT(H1125,2)), "M/d/yyyy")</f>
        <v>3/1/2025</v>
      </c>
      <c r="J1125" s="25">
        <v>20240201</v>
      </c>
      <c r="K1125" s="23" t="str">
        <f>TEXT(DATE(LEFT(J1125,4), MID(J1125,5,2), RIGHT(J1125,2)), "M/d/yyyy")</f>
        <v>2/1/2024</v>
      </c>
      <c r="L1125" s="24" t="s">
        <v>60</v>
      </c>
      <c r="M1125" s="26">
        <v>1</v>
      </c>
      <c r="N1125" s="25">
        <v>25</v>
      </c>
      <c r="O1125" s="27">
        <v>25</v>
      </c>
      <c r="P1125" s="22" t="s">
        <v>3833</v>
      </c>
    </row>
    <row r="1126" spans="1:16" s="22" customFormat="1" ht="15" customHeight="1" x14ac:dyDescent="0.2">
      <c r="A1126" s="22" t="s">
        <v>3795</v>
      </c>
      <c r="B1126" s="22">
        <v>20220688</v>
      </c>
      <c r="C1126" s="23">
        <v>1</v>
      </c>
      <c r="D1126" s="23">
        <v>921709712</v>
      </c>
      <c r="E1126" s="23">
        <v>921709712</v>
      </c>
      <c r="F1126" s="24" t="s">
        <v>2734</v>
      </c>
      <c r="G1126" s="23">
        <v>0</v>
      </c>
      <c r="H1126" s="23">
        <v>20250201</v>
      </c>
      <c r="I1126" s="23" t="str">
        <f>TEXT(DATE(LEFT(H1126,4), MID(H1126,5,2), RIGHT(H1126,2)), "M/d/yyyy")</f>
        <v>2/1/2025</v>
      </c>
      <c r="J1126" s="25">
        <v>20240201</v>
      </c>
      <c r="K1126" s="23" t="str">
        <f>TEXT(DATE(LEFT(J1126,4), MID(J1126,5,2), RIGHT(J1126,2)), "M/d/yyyy")</f>
        <v>2/1/2024</v>
      </c>
      <c r="L1126" s="24" t="s">
        <v>60</v>
      </c>
      <c r="M1126" s="26">
        <v>1</v>
      </c>
      <c r="N1126" s="25">
        <v>30</v>
      </c>
      <c r="O1126" s="27">
        <v>30</v>
      </c>
      <c r="P1126" s="22" t="s">
        <v>3833</v>
      </c>
    </row>
    <row r="1127" spans="1:16" s="22" customFormat="1" ht="15" customHeight="1" x14ac:dyDescent="0.2">
      <c r="A1127" s="22" t="s">
        <v>3795</v>
      </c>
      <c r="B1127" s="22">
        <v>20220688</v>
      </c>
      <c r="C1127" s="23">
        <v>1</v>
      </c>
      <c r="D1127" s="23">
        <v>921722448</v>
      </c>
      <c r="E1127" s="23">
        <v>921722448</v>
      </c>
      <c r="F1127" s="24" t="s">
        <v>2736</v>
      </c>
      <c r="G1127" s="23">
        <v>0</v>
      </c>
      <c r="H1127" s="23">
        <v>20250301</v>
      </c>
      <c r="I1127" s="23" t="str">
        <f>TEXT(DATE(LEFT(H1127,4), MID(H1127,5,2), RIGHT(H1127,2)), "M/d/yyyy")</f>
        <v>3/1/2025</v>
      </c>
      <c r="J1127" s="25">
        <v>20240501</v>
      </c>
      <c r="K1127" s="23" t="str">
        <f>TEXT(DATE(LEFT(J1127,4), MID(J1127,5,2), RIGHT(J1127,2)), "M/d/yyyy")</f>
        <v>5/1/2024</v>
      </c>
      <c r="L1127" s="24" t="s">
        <v>60</v>
      </c>
      <c r="M1127" s="26">
        <v>1</v>
      </c>
      <c r="N1127" s="25">
        <v>30</v>
      </c>
      <c r="O1127" s="27">
        <v>30</v>
      </c>
      <c r="P1127" s="22" t="s">
        <v>3833</v>
      </c>
    </row>
    <row r="1128" spans="1:16" s="22" customFormat="1" ht="15" customHeight="1" x14ac:dyDescent="0.2">
      <c r="A1128" s="22" t="s">
        <v>3795</v>
      </c>
      <c r="B1128" s="22">
        <v>20220688</v>
      </c>
      <c r="C1128" s="23">
        <v>1</v>
      </c>
      <c r="D1128" s="23">
        <v>921722448</v>
      </c>
      <c r="E1128" s="23">
        <v>921722448</v>
      </c>
      <c r="F1128" s="24" t="s">
        <v>2736</v>
      </c>
      <c r="G1128" s="23">
        <v>0</v>
      </c>
      <c r="H1128" s="23">
        <v>20250201</v>
      </c>
      <c r="I1128" s="23" t="str">
        <f>TEXT(DATE(LEFT(H1128,4), MID(H1128,5,2), RIGHT(H1128,2)), "M/d/yyyy")</f>
        <v>2/1/2025</v>
      </c>
      <c r="J1128" s="25">
        <v>20240501</v>
      </c>
      <c r="K1128" s="23" t="str">
        <f>TEXT(DATE(LEFT(J1128,4), MID(J1128,5,2), RIGHT(J1128,2)), "M/d/yyyy")</f>
        <v>5/1/2024</v>
      </c>
      <c r="L1128" s="24" t="s">
        <v>60</v>
      </c>
      <c r="M1128" s="26">
        <v>1</v>
      </c>
      <c r="N1128" s="25">
        <v>30</v>
      </c>
      <c r="O1128" s="27">
        <v>30</v>
      </c>
      <c r="P1128" s="22" t="s">
        <v>3833</v>
      </c>
    </row>
    <row r="1129" spans="1:16" s="22" customFormat="1" ht="15" customHeight="1" x14ac:dyDescent="0.2">
      <c r="A1129" s="22" t="s">
        <v>3795</v>
      </c>
      <c r="B1129" s="22">
        <v>20220688</v>
      </c>
      <c r="C1129" s="23">
        <v>1</v>
      </c>
      <c r="D1129" s="23">
        <v>921735619</v>
      </c>
      <c r="E1129" s="23">
        <v>921735619</v>
      </c>
      <c r="F1129" s="24" t="s">
        <v>2742</v>
      </c>
      <c r="G1129" s="23">
        <v>0</v>
      </c>
      <c r="H1129" s="23">
        <v>20250301</v>
      </c>
      <c r="I1129" s="23" t="str">
        <f>TEXT(DATE(LEFT(H1129,4), MID(H1129,5,2), RIGHT(H1129,2)), "M/d/yyyy")</f>
        <v>3/1/2025</v>
      </c>
      <c r="J1129" s="25">
        <v>20240901</v>
      </c>
      <c r="K1129" s="23" t="str">
        <f>TEXT(DATE(LEFT(J1129,4), MID(J1129,5,2), RIGHT(J1129,2)), "M/d/yyyy")</f>
        <v>9/1/2024</v>
      </c>
      <c r="L1129" s="24" t="s">
        <v>60</v>
      </c>
      <c r="M1129" s="26">
        <v>1</v>
      </c>
      <c r="N1129" s="25">
        <v>30</v>
      </c>
      <c r="O1129" s="27">
        <v>30</v>
      </c>
      <c r="P1129" s="22" t="s">
        <v>3833</v>
      </c>
    </row>
    <row r="1130" spans="1:16" s="22" customFormat="1" ht="15" customHeight="1" x14ac:dyDescent="0.2">
      <c r="A1130" s="22" t="s">
        <v>3795</v>
      </c>
      <c r="B1130" s="22">
        <v>20220688</v>
      </c>
      <c r="C1130" s="23">
        <v>1</v>
      </c>
      <c r="D1130" s="23">
        <v>921738996</v>
      </c>
      <c r="E1130" s="23">
        <v>921738996</v>
      </c>
      <c r="F1130" s="24" t="s">
        <v>2752</v>
      </c>
      <c r="G1130" s="23">
        <v>0</v>
      </c>
      <c r="H1130" s="23">
        <v>20250301</v>
      </c>
      <c r="I1130" s="23" t="str">
        <f>TEXT(DATE(LEFT(H1130,4), MID(H1130,5,2), RIGHT(H1130,2)), "M/d/yyyy")</f>
        <v>3/1/2025</v>
      </c>
      <c r="J1130" s="25">
        <v>20241001</v>
      </c>
      <c r="K1130" s="23" t="str">
        <f>TEXT(DATE(LEFT(J1130,4), MID(J1130,5,2), RIGHT(J1130,2)), "M/d/yyyy")</f>
        <v>10/1/2024</v>
      </c>
      <c r="L1130" s="24" t="s">
        <v>60</v>
      </c>
      <c r="M1130" s="26">
        <v>1</v>
      </c>
      <c r="N1130" s="25">
        <v>30</v>
      </c>
      <c r="O1130" s="27">
        <v>30</v>
      </c>
      <c r="P1130" s="22" t="s">
        <v>3833</v>
      </c>
    </row>
    <row r="1131" spans="1:16" s="22" customFormat="1" ht="15" customHeight="1" x14ac:dyDescent="0.2">
      <c r="A1131" s="22" t="s">
        <v>3795</v>
      </c>
      <c r="B1131" s="22">
        <v>20220688</v>
      </c>
      <c r="C1131" s="23">
        <v>1</v>
      </c>
      <c r="D1131" s="23">
        <v>921747266</v>
      </c>
      <c r="E1131" s="23">
        <v>921747266</v>
      </c>
      <c r="F1131" s="24" t="s">
        <v>2774</v>
      </c>
      <c r="G1131" s="23">
        <v>0</v>
      </c>
      <c r="H1131" s="23">
        <v>20250301</v>
      </c>
      <c r="I1131" s="23" t="str">
        <f>TEXT(DATE(LEFT(H1131,4), MID(H1131,5,2), RIGHT(H1131,2)), "M/d/yyyy")</f>
        <v>3/1/2025</v>
      </c>
      <c r="J1131" s="25">
        <v>20250101</v>
      </c>
      <c r="K1131" s="23" t="str">
        <f>TEXT(DATE(LEFT(J1131,4), MID(J1131,5,2), RIGHT(J1131,2)), "M/d/yyyy")</f>
        <v>1/1/2025</v>
      </c>
      <c r="L1131" s="24" t="s">
        <v>60</v>
      </c>
      <c r="M1131" s="26">
        <v>1</v>
      </c>
      <c r="N1131" s="25">
        <v>30</v>
      </c>
      <c r="O1131" s="27">
        <v>30</v>
      </c>
      <c r="P1131" s="22" t="s">
        <v>3833</v>
      </c>
    </row>
    <row r="1132" spans="1:16" s="22" customFormat="1" ht="15" customHeight="1" x14ac:dyDescent="0.2">
      <c r="A1132" s="22" t="s">
        <v>3795</v>
      </c>
      <c r="B1132" s="22">
        <v>20220688</v>
      </c>
      <c r="C1132" s="23">
        <v>1</v>
      </c>
      <c r="D1132" s="23">
        <v>921747266</v>
      </c>
      <c r="E1132" s="23">
        <v>921747266</v>
      </c>
      <c r="F1132" s="24" t="s">
        <v>2774</v>
      </c>
      <c r="G1132" s="23">
        <v>0</v>
      </c>
      <c r="H1132" s="23">
        <v>20250201</v>
      </c>
      <c r="I1132" s="23" t="str">
        <f>TEXT(DATE(LEFT(H1132,4), MID(H1132,5,2), RIGHT(H1132,2)), "M/d/yyyy")</f>
        <v>2/1/2025</v>
      </c>
      <c r="J1132" s="25">
        <v>20250101</v>
      </c>
      <c r="K1132" s="23" t="str">
        <f>TEXT(DATE(LEFT(J1132,4), MID(J1132,5,2), RIGHT(J1132,2)), "M/d/yyyy")</f>
        <v>1/1/2025</v>
      </c>
      <c r="L1132" s="24" t="s">
        <v>60</v>
      </c>
      <c r="M1132" s="26">
        <v>1</v>
      </c>
      <c r="N1132" s="25">
        <v>30</v>
      </c>
      <c r="O1132" s="27">
        <v>30</v>
      </c>
      <c r="P1132" s="22" t="s">
        <v>3833</v>
      </c>
    </row>
    <row r="1133" spans="1:16" s="22" customFormat="1" ht="15" customHeight="1" x14ac:dyDescent="0.2">
      <c r="A1133" s="22" t="s">
        <v>3795</v>
      </c>
      <c r="B1133" s="22">
        <v>20220688</v>
      </c>
      <c r="C1133" s="23">
        <v>1</v>
      </c>
      <c r="D1133" s="23">
        <v>921759225</v>
      </c>
      <c r="E1133" s="23">
        <v>921759225</v>
      </c>
      <c r="F1133" s="24" t="s">
        <v>2828</v>
      </c>
      <c r="G1133" s="23">
        <v>0</v>
      </c>
      <c r="H1133" s="23">
        <v>20250301</v>
      </c>
      <c r="I1133" s="23" t="str">
        <f>TEXT(DATE(LEFT(H1133,4), MID(H1133,5,2), RIGHT(H1133,2)), "M/d/yyyy")</f>
        <v>3/1/2025</v>
      </c>
      <c r="J1133" s="25">
        <v>20250101</v>
      </c>
      <c r="K1133" s="23" t="str">
        <f>TEXT(DATE(LEFT(J1133,4), MID(J1133,5,2), RIGHT(J1133,2)), "M/d/yyyy")</f>
        <v>1/1/2025</v>
      </c>
      <c r="L1133" s="24" t="s">
        <v>60</v>
      </c>
      <c r="M1133" s="26">
        <v>1</v>
      </c>
      <c r="N1133" s="25">
        <v>30</v>
      </c>
      <c r="O1133" s="27">
        <v>30</v>
      </c>
      <c r="P1133" s="22" t="s">
        <v>3833</v>
      </c>
    </row>
    <row r="1134" spans="1:16" s="22" customFormat="1" ht="15" customHeight="1" x14ac:dyDescent="0.2">
      <c r="A1134" s="22" t="s">
        <v>3795</v>
      </c>
      <c r="B1134" s="22">
        <v>20220688</v>
      </c>
      <c r="C1134" s="23">
        <v>2</v>
      </c>
      <c r="D1134" s="23">
        <v>921637686</v>
      </c>
      <c r="E1134" s="23">
        <v>921637686</v>
      </c>
      <c r="F1134" s="24" t="s">
        <v>2712</v>
      </c>
      <c r="G1134" s="23">
        <v>0</v>
      </c>
      <c r="H1134" s="23">
        <v>20250301</v>
      </c>
      <c r="I1134" s="23" t="str">
        <f>TEXT(DATE(LEFT(H1134,4), MID(H1134,5,2), RIGHT(H1134,2)), "M/d/yyyy")</f>
        <v>3/1/2025</v>
      </c>
      <c r="J1134" s="25">
        <v>20250101</v>
      </c>
      <c r="K1134" s="23" t="str">
        <f>TEXT(DATE(LEFT(J1134,4), MID(J1134,5,2), RIGHT(J1134,2)), "M/d/yyyy")</f>
        <v>1/1/2025</v>
      </c>
      <c r="L1134" s="24" t="s">
        <v>60</v>
      </c>
      <c r="M1134" s="26">
        <v>1</v>
      </c>
      <c r="N1134" s="25">
        <v>30</v>
      </c>
      <c r="O1134" s="27">
        <v>60</v>
      </c>
      <c r="P1134" s="22" t="s">
        <v>3833</v>
      </c>
    </row>
    <row r="1135" spans="1:16" s="22" customFormat="1" ht="15" customHeight="1" x14ac:dyDescent="0.2">
      <c r="A1135" s="22" t="s">
        <v>3784</v>
      </c>
      <c r="B1135" s="22">
        <v>8244481</v>
      </c>
      <c r="C1135" s="24" t="s">
        <v>588</v>
      </c>
      <c r="D1135" s="23">
        <v>921567439</v>
      </c>
      <c r="E1135" s="23">
        <v>921567439</v>
      </c>
      <c r="F1135" s="24" t="s">
        <v>1479</v>
      </c>
      <c r="G1135" s="23">
        <v>0</v>
      </c>
      <c r="H1135" s="23">
        <v>20250201</v>
      </c>
      <c r="I1135" s="23" t="str">
        <f>TEXT(DATE(LEFT(H1135,4), MID(H1135,5,2), RIGHT(H1135,2)), "M/d/yyyy")</f>
        <v>2/1/2025</v>
      </c>
      <c r="J1135" s="25">
        <v>20210501</v>
      </c>
      <c r="K1135" s="23" t="str">
        <f>TEXT(DATE(LEFT(J1135,4), MID(J1135,5,2), RIGHT(J1135,2)), "M/d/yyyy")</f>
        <v>5/1/2021</v>
      </c>
      <c r="L1135" s="24" t="s">
        <v>60</v>
      </c>
      <c r="M1135" s="26">
        <v>1</v>
      </c>
      <c r="N1135" s="25">
        <v>25</v>
      </c>
      <c r="O1135" s="27">
        <v>-25</v>
      </c>
      <c r="P1135" s="22" t="s">
        <v>3833</v>
      </c>
    </row>
    <row r="1136" spans="1:16" s="22" customFormat="1" ht="15" customHeight="1" x14ac:dyDescent="0.2">
      <c r="A1136" s="22" t="s">
        <v>3784</v>
      </c>
      <c r="B1136" s="22">
        <v>8244481</v>
      </c>
      <c r="C1136" s="23">
        <v>1</v>
      </c>
      <c r="D1136" s="23">
        <v>921658237</v>
      </c>
      <c r="E1136" s="23">
        <v>921658237</v>
      </c>
      <c r="F1136" s="24" t="s">
        <v>1532</v>
      </c>
      <c r="G1136" s="23">
        <v>0</v>
      </c>
      <c r="H1136" s="23">
        <v>20250301</v>
      </c>
      <c r="I1136" s="23" t="str">
        <f>TEXT(DATE(LEFT(H1136,4), MID(H1136,5,2), RIGHT(H1136,2)), "M/d/yyyy")</f>
        <v>3/1/2025</v>
      </c>
      <c r="J1136" s="25">
        <v>20230501</v>
      </c>
      <c r="K1136" s="23" t="str">
        <f>TEXT(DATE(LEFT(J1136,4), MID(J1136,5,2), RIGHT(J1136,2)), "M/d/yyyy")</f>
        <v>5/1/2023</v>
      </c>
      <c r="L1136" s="24" t="s">
        <v>60</v>
      </c>
      <c r="M1136" s="26">
        <v>1</v>
      </c>
      <c r="N1136" s="25">
        <v>25</v>
      </c>
      <c r="O1136" s="27">
        <v>25</v>
      </c>
      <c r="P1136" s="22" t="s">
        <v>3833</v>
      </c>
    </row>
    <row r="1137" spans="1:16" s="22" customFormat="1" ht="15" customHeight="1" x14ac:dyDescent="0.2">
      <c r="A1137" s="22" t="s">
        <v>3784</v>
      </c>
      <c r="B1137" s="22">
        <v>8244481</v>
      </c>
      <c r="C1137" s="23">
        <v>1</v>
      </c>
      <c r="D1137" s="23">
        <v>921184433</v>
      </c>
      <c r="E1137" s="23">
        <v>921184433</v>
      </c>
      <c r="F1137" s="24" t="s">
        <v>57</v>
      </c>
      <c r="G1137" s="23">
        <v>0</v>
      </c>
      <c r="H1137" s="23">
        <v>20250301</v>
      </c>
      <c r="I1137" s="23" t="str">
        <f>TEXT(DATE(LEFT(H1137,4), MID(H1137,5,2), RIGHT(H1137,2)), "M/d/yyyy")</f>
        <v>3/1/2025</v>
      </c>
      <c r="J1137" s="23">
        <v>20250101</v>
      </c>
      <c r="K1137" s="23" t="str">
        <f>TEXT(DATE(LEFT(J1137,4), MID(J1137,5,2), RIGHT(J1137,2)), "M/d/yyyy")</f>
        <v>1/1/2025</v>
      </c>
      <c r="L1137" s="24" t="s">
        <v>60</v>
      </c>
      <c r="M1137" s="26">
        <v>1</v>
      </c>
      <c r="N1137" s="25">
        <v>30</v>
      </c>
      <c r="O1137" s="27">
        <v>30</v>
      </c>
      <c r="P1137" s="22" t="s">
        <v>3833</v>
      </c>
    </row>
    <row r="1138" spans="1:16" s="22" customFormat="1" ht="15" customHeight="1" x14ac:dyDescent="0.2">
      <c r="A1138" s="22" t="s">
        <v>3784</v>
      </c>
      <c r="B1138" s="22">
        <v>8244481</v>
      </c>
      <c r="C1138" s="23">
        <v>1</v>
      </c>
      <c r="D1138" s="23">
        <v>921379937</v>
      </c>
      <c r="E1138" s="23">
        <v>921379937</v>
      </c>
      <c r="F1138" s="24" t="s">
        <v>65</v>
      </c>
      <c r="G1138" s="23">
        <v>0</v>
      </c>
      <c r="H1138" s="23">
        <v>20250301</v>
      </c>
      <c r="I1138" s="23" t="str">
        <f>TEXT(DATE(LEFT(H1138,4), MID(H1138,5,2), RIGHT(H1138,2)), "M/d/yyyy")</f>
        <v>3/1/2025</v>
      </c>
      <c r="J1138" s="23">
        <v>20250101</v>
      </c>
      <c r="K1138" s="23" t="str">
        <f>TEXT(DATE(LEFT(J1138,4), MID(J1138,5,2), RIGHT(J1138,2)), "M/d/yyyy")</f>
        <v>1/1/2025</v>
      </c>
      <c r="L1138" s="24" t="s">
        <v>60</v>
      </c>
      <c r="M1138" s="26">
        <v>1</v>
      </c>
      <c r="N1138" s="25">
        <v>30</v>
      </c>
      <c r="O1138" s="27">
        <v>30</v>
      </c>
      <c r="P1138" s="22" t="s">
        <v>3833</v>
      </c>
    </row>
    <row r="1139" spans="1:16" s="22" customFormat="1" ht="15" customHeight="1" x14ac:dyDescent="0.2">
      <c r="A1139" s="22" t="s">
        <v>3784</v>
      </c>
      <c r="B1139" s="22">
        <v>8244481</v>
      </c>
      <c r="C1139" s="23">
        <v>1</v>
      </c>
      <c r="D1139" s="23">
        <v>921751918</v>
      </c>
      <c r="E1139" s="23">
        <v>921751918</v>
      </c>
      <c r="F1139" s="24" t="s">
        <v>120</v>
      </c>
      <c r="G1139" s="23">
        <v>0</v>
      </c>
      <c r="H1139" s="23">
        <v>20250301</v>
      </c>
      <c r="I1139" s="23" t="str">
        <f>TEXT(DATE(LEFT(H1139,4), MID(H1139,5,2), RIGHT(H1139,2)), "M/d/yyyy")</f>
        <v>3/1/2025</v>
      </c>
      <c r="J1139" s="25">
        <v>20250101</v>
      </c>
      <c r="K1139" s="23" t="str">
        <f>TEXT(DATE(LEFT(J1139,4), MID(J1139,5,2), RIGHT(J1139,2)), "M/d/yyyy")</f>
        <v>1/1/2025</v>
      </c>
      <c r="L1139" s="24" t="s">
        <v>60</v>
      </c>
      <c r="M1139" s="26">
        <v>1</v>
      </c>
      <c r="N1139" s="25">
        <v>30</v>
      </c>
      <c r="O1139" s="27">
        <v>30</v>
      </c>
      <c r="P1139" s="22" t="s">
        <v>3833</v>
      </c>
    </row>
    <row r="1140" spans="1:16" s="22" customFormat="1" ht="15" customHeight="1" x14ac:dyDescent="0.2">
      <c r="A1140" s="22" t="s">
        <v>3784</v>
      </c>
      <c r="B1140" s="22">
        <v>8244481</v>
      </c>
      <c r="C1140" s="23">
        <v>1</v>
      </c>
      <c r="D1140" s="23">
        <v>921764752</v>
      </c>
      <c r="E1140" s="23">
        <v>921764752</v>
      </c>
      <c r="F1140" s="24" t="s">
        <v>125</v>
      </c>
      <c r="G1140" s="23">
        <v>0</v>
      </c>
      <c r="H1140" s="23">
        <v>20250301</v>
      </c>
      <c r="I1140" s="23" t="str">
        <f>TEXT(DATE(LEFT(H1140,4), MID(H1140,5,2), RIGHT(H1140,2)), "M/d/yyyy")</f>
        <v>3/1/2025</v>
      </c>
      <c r="J1140" s="25">
        <v>20250101</v>
      </c>
      <c r="K1140" s="23" t="str">
        <f>TEXT(DATE(LEFT(J1140,4), MID(J1140,5,2), RIGHT(J1140,2)), "M/d/yyyy")</f>
        <v>1/1/2025</v>
      </c>
      <c r="L1140" s="24" t="s">
        <v>60</v>
      </c>
      <c r="M1140" s="26">
        <v>1</v>
      </c>
      <c r="N1140" s="25">
        <v>30</v>
      </c>
      <c r="O1140" s="27">
        <v>30</v>
      </c>
      <c r="P1140" s="22" t="s">
        <v>3833</v>
      </c>
    </row>
    <row r="1141" spans="1:16" s="22" customFormat="1" ht="15" customHeight="1" x14ac:dyDescent="0.2">
      <c r="A1141" s="22" t="s">
        <v>3784</v>
      </c>
      <c r="B1141" s="22">
        <v>8244481</v>
      </c>
      <c r="C1141" s="23">
        <v>1</v>
      </c>
      <c r="D1141" s="23">
        <v>921316212</v>
      </c>
      <c r="E1141" s="23">
        <v>921316212</v>
      </c>
      <c r="F1141" s="24" t="s">
        <v>1380</v>
      </c>
      <c r="G1141" s="23">
        <v>0</v>
      </c>
      <c r="H1141" s="23">
        <v>20250201</v>
      </c>
      <c r="I1141" s="23" t="str">
        <f>TEXT(DATE(LEFT(H1141,4), MID(H1141,5,2), RIGHT(H1141,2)), "M/d/yyyy")</f>
        <v>2/1/2025</v>
      </c>
      <c r="J1141" s="25">
        <v>20250101</v>
      </c>
      <c r="K1141" s="23" t="str">
        <f>TEXT(DATE(LEFT(J1141,4), MID(J1141,5,2), RIGHT(J1141,2)), "M/d/yyyy")</f>
        <v>1/1/2025</v>
      </c>
      <c r="L1141" s="24" t="s">
        <v>60</v>
      </c>
      <c r="M1141" s="26">
        <v>1</v>
      </c>
      <c r="N1141" s="25">
        <v>30</v>
      </c>
      <c r="O1141" s="27">
        <v>30</v>
      </c>
      <c r="P1141" s="22" t="s">
        <v>3833</v>
      </c>
    </row>
    <row r="1142" spans="1:16" s="22" customFormat="1" ht="15" customHeight="1" x14ac:dyDescent="0.2">
      <c r="A1142" s="22" t="s">
        <v>3784</v>
      </c>
      <c r="B1142" s="22">
        <v>8244481</v>
      </c>
      <c r="C1142" s="23">
        <v>1</v>
      </c>
      <c r="D1142" s="23">
        <v>921746998</v>
      </c>
      <c r="E1142" s="23">
        <v>921746998</v>
      </c>
      <c r="F1142" s="24" t="s">
        <v>1636</v>
      </c>
      <c r="G1142" s="23">
        <v>0</v>
      </c>
      <c r="H1142" s="23">
        <v>20250301</v>
      </c>
      <c r="I1142" s="23" t="str">
        <f>TEXT(DATE(LEFT(H1142,4), MID(H1142,5,2), RIGHT(H1142,2)), "M/d/yyyy")</f>
        <v>3/1/2025</v>
      </c>
      <c r="J1142" s="25">
        <v>20250101</v>
      </c>
      <c r="K1142" s="23" t="str">
        <f>TEXT(DATE(LEFT(J1142,4), MID(J1142,5,2), RIGHT(J1142,2)), "M/d/yyyy")</f>
        <v>1/1/2025</v>
      </c>
      <c r="L1142" s="24" t="s">
        <v>60</v>
      </c>
      <c r="M1142" s="26">
        <v>1</v>
      </c>
      <c r="N1142" s="25">
        <v>30</v>
      </c>
      <c r="O1142" s="27">
        <v>30</v>
      </c>
      <c r="P1142" s="22" t="s">
        <v>3833</v>
      </c>
    </row>
    <row r="1143" spans="1:16" s="22" customFormat="1" ht="15" customHeight="1" x14ac:dyDescent="0.2">
      <c r="A1143" s="22" t="s">
        <v>3784</v>
      </c>
      <c r="B1143" s="22">
        <v>8244481</v>
      </c>
      <c r="C1143" s="23">
        <v>3</v>
      </c>
      <c r="D1143" s="23">
        <v>921252130</v>
      </c>
      <c r="E1143" s="23">
        <v>921252130</v>
      </c>
      <c r="F1143" s="24" t="s">
        <v>1370</v>
      </c>
      <c r="G1143" s="23">
        <v>0</v>
      </c>
      <c r="H1143" s="23">
        <v>20250301</v>
      </c>
      <c r="I1143" s="23" t="str">
        <f>TEXT(DATE(LEFT(H1143,4), MID(H1143,5,2), RIGHT(H1143,2)), "M/d/yyyy")</f>
        <v>3/1/2025</v>
      </c>
      <c r="J1143" s="25">
        <v>20240101</v>
      </c>
      <c r="K1143" s="23" t="str">
        <f>TEXT(DATE(LEFT(J1143,4), MID(J1143,5,2), RIGHT(J1143,2)), "M/d/yyyy")</f>
        <v>1/1/2024</v>
      </c>
      <c r="L1143" s="24" t="s">
        <v>60</v>
      </c>
      <c r="M1143" s="26">
        <v>1</v>
      </c>
      <c r="N1143" s="25">
        <v>25</v>
      </c>
      <c r="O1143" s="27">
        <v>75</v>
      </c>
      <c r="P1143" s="22" t="s">
        <v>3833</v>
      </c>
    </row>
    <row r="1144" spans="1:16" s="22" customFormat="1" ht="15" customHeight="1" x14ac:dyDescent="0.2">
      <c r="A1144" s="22" t="s">
        <v>3784</v>
      </c>
      <c r="B1144" s="22">
        <v>8244481</v>
      </c>
      <c r="C1144" s="23">
        <v>5</v>
      </c>
      <c r="D1144" s="23">
        <v>921752202</v>
      </c>
      <c r="E1144" s="23">
        <v>921752202</v>
      </c>
      <c r="F1144" s="24" t="s">
        <v>1654</v>
      </c>
      <c r="G1144" s="23">
        <v>0</v>
      </c>
      <c r="H1144" s="23">
        <v>20250301</v>
      </c>
      <c r="I1144" s="23" t="str">
        <f>TEXT(DATE(LEFT(H1144,4), MID(H1144,5,2), RIGHT(H1144,2)), "M/d/yyyy")</f>
        <v>3/1/2025</v>
      </c>
      <c r="J1144" s="25">
        <v>20250101</v>
      </c>
      <c r="K1144" s="23" t="str">
        <f>TEXT(DATE(LEFT(J1144,4), MID(J1144,5,2), RIGHT(J1144,2)), "M/d/yyyy")</f>
        <v>1/1/2025</v>
      </c>
      <c r="L1144" s="24" t="s">
        <v>60</v>
      </c>
      <c r="M1144" s="26">
        <v>1</v>
      </c>
      <c r="N1144" s="25">
        <v>30</v>
      </c>
      <c r="O1144" s="27">
        <v>150</v>
      </c>
      <c r="P1144" s="22" t="s">
        <v>3833</v>
      </c>
    </row>
    <row r="1145" spans="1:16" s="22" customFormat="1" ht="15" customHeight="1" x14ac:dyDescent="0.2">
      <c r="A1145" s="22" t="s">
        <v>3811</v>
      </c>
      <c r="B1145" s="22">
        <v>8405446</v>
      </c>
      <c r="C1145" s="23">
        <v>1</v>
      </c>
      <c r="D1145" s="23">
        <v>920939671</v>
      </c>
      <c r="E1145" s="23">
        <v>920939671</v>
      </c>
      <c r="F1145" s="24" t="s">
        <v>3400</v>
      </c>
      <c r="G1145" s="23">
        <v>0</v>
      </c>
      <c r="H1145" s="23">
        <v>20250301</v>
      </c>
      <c r="I1145" s="23" t="str">
        <f>TEXT(DATE(LEFT(H1145,4), MID(H1145,5,2), RIGHT(H1145,2)), "M/d/yyyy")</f>
        <v>3/1/2025</v>
      </c>
      <c r="J1145" s="25">
        <v>20190101</v>
      </c>
      <c r="K1145" s="23" t="str">
        <f>TEXT(DATE(LEFT(J1145,4), MID(J1145,5,2), RIGHT(J1145,2)), "M/d/yyyy")</f>
        <v>1/1/2019</v>
      </c>
      <c r="L1145" s="24" t="s">
        <v>60</v>
      </c>
      <c r="M1145" s="26">
        <v>1</v>
      </c>
      <c r="N1145" s="25">
        <v>25</v>
      </c>
      <c r="O1145" s="27">
        <v>25</v>
      </c>
      <c r="P1145" s="22" t="s">
        <v>3833</v>
      </c>
    </row>
    <row r="1146" spans="1:16" s="22" customFormat="1" ht="15" customHeight="1" x14ac:dyDescent="0.2">
      <c r="A1146" s="22" t="s">
        <v>3811</v>
      </c>
      <c r="B1146" s="22">
        <v>8405446</v>
      </c>
      <c r="C1146" s="23">
        <v>2</v>
      </c>
      <c r="D1146" s="23">
        <v>921095680</v>
      </c>
      <c r="E1146" s="23">
        <v>921095680</v>
      </c>
      <c r="F1146" s="24" t="s">
        <v>3402</v>
      </c>
      <c r="G1146" s="23">
        <v>0</v>
      </c>
      <c r="H1146" s="23">
        <v>20250301</v>
      </c>
      <c r="I1146" s="23" t="str">
        <f>TEXT(DATE(LEFT(H1146,4), MID(H1146,5,2), RIGHT(H1146,2)), "M/d/yyyy")</f>
        <v>3/1/2025</v>
      </c>
      <c r="J1146" s="25">
        <v>20210601</v>
      </c>
      <c r="K1146" s="23" t="str">
        <f>TEXT(DATE(LEFT(J1146,4), MID(J1146,5,2), RIGHT(J1146,2)), "M/d/yyyy")</f>
        <v>6/1/2021</v>
      </c>
      <c r="L1146" s="24" t="s">
        <v>60</v>
      </c>
      <c r="M1146" s="26">
        <v>1</v>
      </c>
      <c r="N1146" s="25">
        <v>25</v>
      </c>
      <c r="O1146" s="27">
        <v>50</v>
      </c>
      <c r="P1146" s="22" t="s">
        <v>3833</v>
      </c>
    </row>
    <row r="1147" spans="1:16" s="22" customFormat="1" ht="15" customHeight="1" x14ac:dyDescent="0.2">
      <c r="A1147" s="22" t="s">
        <v>3811</v>
      </c>
      <c r="B1147" s="22">
        <v>8405446</v>
      </c>
      <c r="C1147" s="23">
        <v>2</v>
      </c>
      <c r="D1147" s="23">
        <v>921555974</v>
      </c>
      <c r="E1147" s="23">
        <v>921555974</v>
      </c>
      <c r="F1147" s="24" t="s">
        <v>3404</v>
      </c>
      <c r="G1147" s="23">
        <v>0</v>
      </c>
      <c r="H1147" s="23">
        <v>20250301</v>
      </c>
      <c r="I1147" s="23" t="str">
        <f>TEXT(DATE(LEFT(H1147,4), MID(H1147,5,2), RIGHT(H1147,2)), "M/d/yyyy")</f>
        <v>3/1/2025</v>
      </c>
      <c r="J1147" s="25">
        <v>20210201</v>
      </c>
      <c r="K1147" s="23" t="str">
        <f>TEXT(DATE(LEFT(J1147,4), MID(J1147,5,2), RIGHT(J1147,2)), "M/d/yyyy")</f>
        <v>2/1/2021</v>
      </c>
      <c r="L1147" s="24" t="s">
        <v>60</v>
      </c>
      <c r="M1147" s="26">
        <v>1</v>
      </c>
      <c r="N1147" s="25">
        <v>25</v>
      </c>
      <c r="O1147" s="27">
        <v>50</v>
      </c>
      <c r="P1147" s="22" t="s">
        <v>3833</v>
      </c>
    </row>
    <row r="1148" spans="1:16" s="22" customFormat="1" ht="15" customHeight="1" x14ac:dyDescent="0.2">
      <c r="A1148" s="22" t="s">
        <v>3785</v>
      </c>
      <c r="B1148" s="22">
        <v>19200754</v>
      </c>
      <c r="C1148" s="23">
        <v>1</v>
      </c>
      <c r="D1148" s="23">
        <v>921112149</v>
      </c>
      <c r="E1148" s="23">
        <v>921112149</v>
      </c>
      <c r="F1148" s="24" t="s">
        <v>1852</v>
      </c>
      <c r="G1148" s="23">
        <v>0</v>
      </c>
      <c r="H1148" s="23">
        <v>20250301</v>
      </c>
      <c r="I1148" s="23" t="str">
        <f>TEXT(DATE(LEFT(H1148,4), MID(H1148,5,2), RIGHT(H1148,2)), "M/d/yyyy")</f>
        <v>3/1/2025</v>
      </c>
      <c r="J1148" s="25">
        <v>20210101</v>
      </c>
      <c r="K1148" s="23" t="str">
        <f>TEXT(DATE(LEFT(J1148,4), MID(J1148,5,2), RIGHT(J1148,2)), "M/d/yyyy")</f>
        <v>1/1/2021</v>
      </c>
      <c r="L1148" s="24" t="s">
        <v>60</v>
      </c>
      <c r="M1148" s="26">
        <v>1</v>
      </c>
      <c r="N1148" s="25">
        <v>25</v>
      </c>
      <c r="O1148" s="27">
        <v>25</v>
      </c>
      <c r="P1148" s="22" t="s">
        <v>3833</v>
      </c>
    </row>
    <row r="1149" spans="1:16" s="22" customFormat="1" ht="15" customHeight="1" x14ac:dyDescent="0.2">
      <c r="A1149" s="22" t="s">
        <v>3785</v>
      </c>
      <c r="B1149" s="22">
        <v>19200754</v>
      </c>
      <c r="C1149" s="23">
        <v>1</v>
      </c>
      <c r="D1149" s="23">
        <v>921146622</v>
      </c>
      <c r="E1149" s="23">
        <v>921146622</v>
      </c>
      <c r="F1149" s="24" t="s">
        <v>1854</v>
      </c>
      <c r="G1149" s="23">
        <v>0</v>
      </c>
      <c r="H1149" s="23">
        <v>20250201</v>
      </c>
      <c r="I1149" s="23" t="str">
        <f>TEXT(DATE(LEFT(H1149,4), MID(H1149,5,2), RIGHT(H1149,2)), "M/d/yyyy")</f>
        <v>2/1/2025</v>
      </c>
      <c r="J1149" s="25">
        <v>20231201</v>
      </c>
      <c r="K1149" s="23" t="str">
        <f>TEXT(DATE(LEFT(J1149,4), MID(J1149,5,2), RIGHT(J1149,2)), "M/d/yyyy")</f>
        <v>12/1/2023</v>
      </c>
      <c r="L1149" s="24" t="s">
        <v>60</v>
      </c>
      <c r="M1149" s="26">
        <v>1</v>
      </c>
      <c r="N1149" s="25">
        <v>25</v>
      </c>
      <c r="O1149" s="27">
        <v>25</v>
      </c>
      <c r="P1149" s="22" t="s">
        <v>3833</v>
      </c>
    </row>
    <row r="1150" spans="1:16" s="22" customFormat="1" ht="15" customHeight="1" x14ac:dyDescent="0.2">
      <c r="A1150" s="22" t="s">
        <v>3785</v>
      </c>
      <c r="B1150" s="22">
        <v>19200754</v>
      </c>
      <c r="C1150" s="23">
        <v>1</v>
      </c>
      <c r="D1150" s="23">
        <v>921689456</v>
      </c>
      <c r="E1150" s="23">
        <v>921689456</v>
      </c>
      <c r="F1150" s="24" t="s">
        <v>1891</v>
      </c>
      <c r="G1150" s="23">
        <v>0</v>
      </c>
      <c r="H1150" s="23">
        <v>20250301</v>
      </c>
      <c r="I1150" s="23" t="str">
        <f>TEXT(DATE(LEFT(H1150,4), MID(H1150,5,2), RIGHT(H1150,2)), "M/d/yyyy")</f>
        <v>3/1/2025</v>
      </c>
      <c r="J1150" s="25">
        <v>20240101</v>
      </c>
      <c r="K1150" s="23" t="str">
        <f>TEXT(DATE(LEFT(J1150,4), MID(J1150,5,2), RIGHT(J1150,2)), "M/d/yyyy")</f>
        <v>1/1/2024</v>
      </c>
      <c r="L1150" s="24" t="s">
        <v>60</v>
      </c>
      <c r="M1150" s="26">
        <v>1</v>
      </c>
      <c r="N1150" s="25">
        <v>25</v>
      </c>
      <c r="O1150" s="27">
        <v>25</v>
      </c>
      <c r="P1150" s="22" t="s">
        <v>3833</v>
      </c>
    </row>
    <row r="1151" spans="1:16" s="22" customFormat="1" ht="15" customHeight="1" x14ac:dyDescent="0.2">
      <c r="A1151" s="22" t="s">
        <v>3785</v>
      </c>
      <c r="B1151" s="22">
        <v>19200754</v>
      </c>
      <c r="C1151" s="23">
        <v>1</v>
      </c>
      <c r="D1151" s="23">
        <v>921703965</v>
      </c>
      <c r="E1151" s="23">
        <v>921703965</v>
      </c>
      <c r="F1151" s="24" t="s">
        <v>1895</v>
      </c>
      <c r="G1151" s="23">
        <v>0</v>
      </c>
      <c r="H1151" s="23">
        <v>20250301</v>
      </c>
      <c r="I1151" s="23" t="str">
        <f>TEXT(DATE(LEFT(H1151,4), MID(H1151,5,2), RIGHT(H1151,2)), "M/d/yyyy")</f>
        <v>3/1/2025</v>
      </c>
      <c r="J1151" s="25">
        <v>20240201</v>
      </c>
      <c r="K1151" s="23" t="str">
        <f>TEXT(DATE(LEFT(J1151,4), MID(J1151,5,2), RIGHT(J1151,2)), "M/d/yyyy")</f>
        <v>2/1/2024</v>
      </c>
      <c r="L1151" s="24" t="s">
        <v>60</v>
      </c>
      <c r="M1151" s="26">
        <v>1</v>
      </c>
      <c r="N1151" s="25">
        <v>25</v>
      </c>
      <c r="O1151" s="27">
        <v>25</v>
      </c>
      <c r="P1151" s="22" t="s">
        <v>3833</v>
      </c>
    </row>
    <row r="1152" spans="1:16" s="22" customFormat="1" ht="15" customHeight="1" x14ac:dyDescent="0.2">
      <c r="A1152" s="22" t="s">
        <v>3785</v>
      </c>
      <c r="B1152" s="22">
        <v>19200754</v>
      </c>
      <c r="C1152" s="23">
        <v>1</v>
      </c>
      <c r="D1152" s="23">
        <v>921669599</v>
      </c>
      <c r="E1152" s="23">
        <v>921669599</v>
      </c>
      <c r="F1152" s="24" t="s">
        <v>1885</v>
      </c>
      <c r="G1152" s="23">
        <v>0</v>
      </c>
      <c r="H1152" s="23">
        <v>20250301</v>
      </c>
      <c r="I1152" s="23" t="str">
        <f>TEXT(DATE(LEFT(H1152,4), MID(H1152,5,2), RIGHT(H1152,2)), "M/d/yyyy")</f>
        <v>3/1/2025</v>
      </c>
      <c r="J1152" s="25">
        <v>20250101</v>
      </c>
      <c r="K1152" s="23" t="str">
        <f>TEXT(DATE(LEFT(J1152,4), MID(J1152,5,2), RIGHT(J1152,2)), "M/d/yyyy")</f>
        <v>1/1/2025</v>
      </c>
      <c r="L1152" s="24" t="s">
        <v>60</v>
      </c>
      <c r="M1152" s="26">
        <v>1</v>
      </c>
      <c r="N1152" s="25">
        <v>30</v>
      </c>
      <c r="O1152" s="27">
        <v>30</v>
      </c>
      <c r="P1152" s="22" t="s">
        <v>3833</v>
      </c>
    </row>
    <row r="1153" spans="1:16" s="22" customFormat="1" ht="15" customHeight="1" x14ac:dyDescent="0.2">
      <c r="A1153" s="22" t="s">
        <v>3785</v>
      </c>
      <c r="B1153" s="22">
        <v>19200754</v>
      </c>
      <c r="C1153" s="23">
        <v>1</v>
      </c>
      <c r="D1153" s="23">
        <v>921716847</v>
      </c>
      <c r="E1153" s="23">
        <v>921716847</v>
      </c>
      <c r="F1153" s="24" t="s">
        <v>1905</v>
      </c>
      <c r="G1153" s="23">
        <v>0</v>
      </c>
      <c r="H1153" s="23">
        <v>20250301</v>
      </c>
      <c r="I1153" s="23" t="str">
        <f>TEXT(DATE(LEFT(H1153,4), MID(H1153,5,2), RIGHT(H1153,2)), "M/d/yyyy")</f>
        <v>3/1/2025</v>
      </c>
      <c r="J1153" s="25">
        <v>20240501</v>
      </c>
      <c r="K1153" s="23" t="str">
        <f>TEXT(DATE(LEFT(J1153,4), MID(J1153,5,2), RIGHT(J1153,2)), "M/d/yyyy")</f>
        <v>5/1/2024</v>
      </c>
      <c r="L1153" s="24" t="s">
        <v>60</v>
      </c>
      <c r="M1153" s="26">
        <v>1</v>
      </c>
      <c r="N1153" s="25">
        <v>30</v>
      </c>
      <c r="O1153" s="27">
        <v>30</v>
      </c>
      <c r="P1153" s="22" t="s">
        <v>3833</v>
      </c>
    </row>
    <row r="1154" spans="1:16" s="22" customFormat="1" ht="15" customHeight="1" x14ac:dyDescent="0.2">
      <c r="A1154" s="22" t="s">
        <v>3785</v>
      </c>
      <c r="B1154" s="22">
        <v>19200754</v>
      </c>
      <c r="C1154" s="23">
        <v>4</v>
      </c>
      <c r="D1154" s="23">
        <v>921773339</v>
      </c>
      <c r="E1154" s="23">
        <v>921773339</v>
      </c>
      <c r="F1154" s="24" t="s">
        <v>1920</v>
      </c>
      <c r="G1154" s="23">
        <v>0</v>
      </c>
      <c r="H1154" s="23">
        <v>20250301</v>
      </c>
      <c r="I1154" s="23" t="str">
        <f>TEXT(DATE(LEFT(H1154,4), MID(H1154,5,2), RIGHT(H1154,2)), "M/d/yyyy")</f>
        <v>3/1/2025</v>
      </c>
      <c r="J1154" s="25">
        <v>20250201</v>
      </c>
      <c r="K1154" s="23" t="str">
        <f>TEXT(DATE(LEFT(J1154,4), MID(J1154,5,2), RIGHT(J1154,2)), "M/d/yyyy")</f>
        <v>2/1/2025</v>
      </c>
      <c r="L1154" s="24" t="s">
        <v>60</v>
      </c>
      <c r="M1154" s="26">
        <v>1</v>
      </c>
      <c r="N1154" s="25">
        <v>30</v>
      </c>
      <c r="O1154" s="27">
        <v>120</v>
      </c>
      <c r="P1154" s="22" t="s">
        <v>3833</v>
      </c>
    </row>
    <row r="1155" spans="1:16" s="22" customFormat="1" ht="15" customHeight="1" x14ac:dyDescent="0.2">
      <c r="A1155" s="22" t="s">
        <v>3787</v>
      </c>
      <c r="B1155" s="22">
        <v>16633294</v>
      </c>
      <c r="C1155" s="24" t="s">
        <v>588</v>
      </c>
      <c r="D1155" s="23">
        <v>921639427</v>
      </c>
      <c r="E1155" s="23">
        <v>921639427</v>
      </c>
      <c r="F1155" s="24" t="s">
        <v>2116</v>
      </c>
      <c r="G1155" s="23">
        <v>0</v>
      </c>
      <c r="H1155" s="23">
        <v>20250201</v>
      </c>
      <c r="I1155" s="23" t="str">
        <f>TEXT(DATE(LEFT(H1155,4), MID(H1155,5,2), RIGHT(H1155,2)), "M/d/yyyy")</f>
        <v>2/1/2025</v>
      </c>
      <c r="J1155" s="25">
        <v>20230101</v>
      </c>
      <c r="K1155" s="23" t="str">
        <f>TEXT(DATE(LEFT(J1155,4), MID(J1155,5,2), RIGHT(J1155,2)), "M/d/yyyy")</f>
        <v>1/1/2023</v>
      </c>
      <c r="L1155" s="24" t="s">
        <v>60</v>
      </c>
      <c r="M1155" s="26">
        <v>1</v>
      </c>
      <c r="N1155" s="25">
        <v>25</v>
      </c>
      <c r="O1155" s="27">
        <v>-25</v>
      </c>
      <c r="P1155" s="22" t="s">
        <v>3833</v>
      </c>
    </row>
    <row r="1156" spans="1:16" s="22" customFormat="1" ht="15" customHeight="1" x14ac:dyDescent="0.2">
      <c r="A1156" s="22" t="s">
        <v>3787</v>
      </c>
      <c r="B1156" s="22">
        <v>16633294</v>
      </c>
      <c r="C1156" s="23">
        <v>1</v>
      </c>
      <c r="D1156" s="23">
        <v>920791902</v>
      </c>
      <c r="E1156" s="23">
        <v>920791902</v>
      </c>
      <c r="F1156" s="24" t="s">
        <v>2062</v>
      </c>
      <c r="G1156" s="23">
        <v>0</v>
      </c>
      <c r="H1156" s="23">
        <v>20250301</v>
      </c>
      <c r="I1156" s="23" t="str">
        <f>TEXT(DATE(LEFT(H1156,4), MID(H1156,5,2), RIGHT(H1156,2)), "M/d/yyyy")</f>
        <v>3/1/2025</v>
      </c>
      <c r="J1156" s="25">
        <v>20180101</v>
      </c>
      <c r="K1156" s="23" t="str">
        <f>TEXT(DATE(LEFT(J1156,4), MID(J1156,5,2), RIGHT(J1156,2)), "M/d/yyyy")</f>
        <v>1/1/2018</v>
      </c>
      <c r="L1156" s="24" t="s">
        <v>60</v>
      </c>
      <c r="M1156" s="26">
        <v>1</v>
      </c>
      <c r="N1156" s="25">
        <v>25</v>
      </c>
      <c r="O1156" s="27">
        <v>25</v>
      </c>
      <c r="P1156" s="22" t="s">
        <v>3833</v>
      </c>
    </row>
    <row r="1157" spans="1:16" s="22" customFormat="1" ht="15" customHeight="1" x14ac:dyDescent="0.2">
      <c r="A1157" s="22" t="s">
        <v>3787</v>
      </c>
      <c r="B1157" s="22">
        <v>16633294</v>
      </c>
      <c r="C1157" s="23">
        <v>1</v>
      </c>
      <c r="D1157" s="23">
        <v>921053033</v>
      </c>
      <c r="E1157" s="23">
        <v>921053033</v>
      </c>
      <c r="F1157" s="24" t="s">
        <v>2072</v>
      </c>
      <c r="G1157" s="23">
        <v>0</v>
      </c>
      <c r="H1157" s="23">
        <v>20250201</v>
      </c>
      <c r="I1157" s="23" t="str">
        <f>TEXT(DATE(LEFT(H1157,4), MID(H1157,5,2), RIGHT(H1157,2)), "M/d/yyyy")</f>
        <v>2/1/2025</v>
      </c>
      <c r="J1157" s="25">
        <v>20150101</v>
      </c>
      <c r="K1157" s="23" t="str">
        <f>TEXT(DATE(LEFT(J1157,4), MID(J1157,5,2), RIGHT(J1157,2)), "M/d/yyyy")</f>
        <v>1/1/2015</v>
      </c>
      <c r="L1157" s="24" t="s">
        <v>60</v>
      </c>
      <c r="M1157" s="26">
        <v>1</v>
      </c>
      <c r="N1157" s="25">
        <v>25</v>
      </c>
      <c r="O1157" s="27">
        <v>25</v>
      </c>
      <c r="P1157" s="22" t="s">
        <v>3833</v>
      </c>
    </row>
    <row r="1158" spans="1:16" s="22" customFormat="1" ht="15" customHeight="1" x14ac:dyDescent="0.2">
      <c r="A1158" s="22" t="s">
        <v>3787</v>
      </c>
      <c r="B1158" s="22">
        <v>16633294</v>
      </c>
      <c r="C1158" s="23">
        <v>1</v>
      </c>
      <c r="D1158" s="23">
        <v>921190036</v>
      </c>
      <c r="E1158" s="23">
        <v>921190036</v>
      </c>
      <c r="F1158" s="24" t="s">
        <v>2076</v>
      </c>
      <c r="G1158" s="23">
        <v>0</v>
      </c>
      <c r="H1158" s="23">
        <v>20250301</v>
      </c>
      <c r="I1158" s="23" t="str">
        <f>TEXT(DATE(LEFT(H1158,4), MID(H1158,5,2), RIGHT(H1158,2)), "M/d/yyyy")</f>
        <v>3/1/2025</v>
      </c>
      <c r="J1158" s="25">
        <v>20190101</v>
      </c>
      <c r="K1158" s="23" t="str">
        <f>TEXT(DATE(LEFT(J1158,4), MID(J1158,5,2), RIGHT(J1158,2)), "M/d/yyyy")</f>
        <v>1/1/2019</v>
      </c>
      <c r="L1158" s="24" t="s">
        <v>60</v>
      </c>
      <c r="M1158" s="26">
        <v>1</v>
      </c>
      <c r="N1158" s="25">
        <v>25</v>
      </c>
      <c r="O1158" s="27">
        <v>25</v>
      </c>
      <c r="P1158" s="22" t="s">
        <v>3833</v>
      </c>
    </row>
    <row r="1159" spans="1:16" s="22" customFormat="1" ht="15" customHeight="1" x14ac:dyDescent="0.2">
      <c r="A1159" s="22" t="s">
        <v>3787</v>
      </c>
      <c r="B1159" s="22">
        <v>16633294</v>
      </c>
      <c r="C1159" s="23">
        <v>1</v>
      </c>
      <c r="D1159" s="23">
        <v>921651990</v>
      </c>
      <c r="E1159" s="23">
        <v>921651990</v>
      </c>
      <c r="F1159" s="24" t="s">
        <v>2120</v>
      </c>
      <c r="G1159" s="23">
        <v>0</v>
      </c>
      <c r="H1159" s="23">
        <v>20250301</v>
      </c>
      <c r="I1159" s="23" t="str">
        <f>TEXT(DATE(LEFT(H1159,4), MID(H1159,5,2), RIGHT(H1159,2)), "M/d/yyyy")</f>
        <v>3/1/2025</v>
      </c>
      <c r="J1159" s="25">
        <v>20230301</v>
      </c>
      <c r="K1159" s="23" t="str">
        <f>TEXT(DATE(LEFT(J1159,4), MID(J1159,5,2), RIGHT(J1159,2)), "M/d/yyyy")</f>
        <v>3/1/2023</v>
      </c>
      <c r="L1159" s="24" t="s">
        <v>60</v>
      </c>
      <c r="M1159" s="26">
        <v>1</v>
      </c>
      <c r="N1159" s="25">
        <v>25</v>
      </c>
      <c r="O1159" s="27">
        <v>25</v>
      </c>
      <c r="P1159" s="22" t="s">
        <v>3833</v>
      </c>
    </row>
    <row r="1160" spans="1:16" s="22" customFormat="1" ht="15" customHeight="1" x14ac:dyDescent="0.2">
      <c r="A1160" s="22" t="s">
        <v>3787</v>
      </c>
      <c r="B1160" s="22">
        <v>16633294</v>
      </c>
      <c r="C1160" s="23">
        <v>1</v>
      </c>
      <c r="D1160" s="23">
        <v>921689366</v>
      </c>
      <c r="E1160" s="23">
        <v>921689366</v>
      </c>
      <c r="F1160" s="24" t="s">
        <v>2132</v>
      </c>
      <c r="G1160" s="23">
        <v>0</v>
      </c>
      <c r="H1160" s="23">
        <v>20250301</v>
      </c>
      <c r="I1160" s="23" t="str">
        <f>TEXT(DATE(LEFT(H1160,4), MID(H1160,5,2), RIGHT(H1160,2)), "M/d/yyyy")</f>
        <v>3/1/2025</v>
      </c>
      <c r="J1160" s="25">
        <v>20240101</v>
      </c>
      <c r="K1160" s="23" t="str">
        <f>TEXT(DATE(LEFT(J1160,4), MID(J1160,5,2), RIGHT(J1160,2)), "M/d/yyyy")</f>
        <v>1/1/2024</v>
      </c>
      <c r="L1160" s="24" t="s">
        <v>60</v>
      </c>
      <c r="M1160" s="26">
        <v>1</v>
      </c>
      <c r="N1160" s="25">
        <v>25</v>
      </c>
      <c r="O1160" s="27">
        <v>25</v>
      </c>
      <c r="P1160" s="22" t="s">
        <v>3833</v>
      </c>
    </row>
    <row r="1161" spans="1:16" s="22" customFormat="1" ht="15" customHeight="1" x14ac:dyDescent="0.2">
      <c r="A1161" s="22" t="s">
        <v>3787</v>
      </c>
      <c r="B1161" s="22">
        <v>16633294</v>
      </c>
      <c r="C1161" s="23">
        <v>1</v>
      </c>
      <c r="D1161" s="23">
        <v>921453217</v>
      </c>
      <c r="E1161" s="23">
        <v>921453217</v>
      </c>
      <c r="F1161" s="24" t="s">
        <v>2084</v>
      </c>
      <c r="G1161" s="23">
        <v>0</v>
      </c>
      <c r="H1161" s="23">
        <v>20250301</v>
      </c>
      <c r="I1161" s="23" t="str">
        <f>TEXT(DATE(LEFT(H1161,4), MID(H1161,5,2), RIGHT(H1161,2)), "M/d/yyyy")</f>
        <v>3/1/2025</v>
      </c>
      <c r="J1161" s="25">
        <v>20250201</v>
      </c>
      <c r="K1161" s="23" t="str">
        <f>TEXT(DATE(LEFT(J1161,4), MID(J1161,5,2), RIGHT(J1161,2)), "M/d/yyyy")</f>
        <v>2/1/2025</v>
      </c>
      <c r="L1161" s="24" t="s">
        <v>60</v>
      </c>
      <c r="M1161" s="26">
        <v>1</v>
      </c>
      <c r="N1161" s="25">
        <v>30</v>
      </c>
      <c r="O1161" s="27">
        <v>30</v>
      </c>
      <c r="P1161" s="22" t="s">
        <v>3833</v>
      </c>
    </row>
    <row r="1162" spans="1:16" s="22" customFormat="1" ht="15" customHeight="1" x14ac:dyDescent="0.2">
      <c r="A1162" s="22" t="s">
        <v>3787</v>
      </c>
      <c r="B1162" s="22">
        <v>16633294</v>
      </c>
      <c r="C1162" s="23">
        <v>1</v>
      </c>
      <c r="D1162" s="23">
        <v>921546978</v>
      </c>
      <c r="E1162" s="23">
        <v>921546978</v>
      </c>
      <c r="F1162" s="24" t="s">
        <v>2098</v>
      </c>
      <c r="G1162" s="23">
        <v>0</v>
      </c>
      <c r="H1162" s="23">
        <v>20250201</v>
      </c>
      <c r="I1162" s="23" t="str">
        <f>TEXT(DATE(LEFT(H1162,4), MID(H1162,5,2), RIGHT(H1162,2)), "M/d/yyyy")</f>
        <v>2/1/2025</v>
      </c>
      <c r="J1162" s="25">
        <v>20240601</v>
      </c>
      <c r="K1162" s="23" t="str">
        <f>TEXT(DATE(LEFT(J1162,4), MID(J1162,5,2), RIGHT(J1162,2)), "M/d/yyyy")</f>
        <v>6/1/2024</v>
      </c>
      <c r="L1162" s="24" t="s">
        <v>60</v>
      </c>
      <c r="M1162" s="26">
        <v>1</v>
      </c>
      <c r="N1162" s="25">
        <v>30</v>
      </c>
      <c r="O1162" s="27">
        <v>30</v>
      </c>
      <c r="P1162" s="22" t="s">
        <v>3833</v>
      </c>
    </row>
    <row r="1163" spans="1:16" s="22" customFormat="1" ht="15" customHeight="1" x14ac:dyDescent="0.2">
      <c r="A1163" s="22" t="s">
        <v>3787</v>
      </c>
      <c r="B1163" s="22">
        <v>16633294</v>
      </c>
      <c r="C1163" s="23">
        <v>1</v>
      </c>
      <c r="D1163" s="23">
        <v>921737016</v>
      </c>
      <c r="E1163" s="23">
        <v>921737016</v>
      </c>
      <c r="F1163" s="24" t="s">
        <v>2136</v>
      </c>
      <c r="G1163" s="23">
        <v>0</v>
      </c>
      <c r="H1163" s="23">
        <v>20250201</v>
      </c>
      <c r="I1163" s="23" t="str">
        <f>TEXT(DATE(LEFT(H1163,4), MID(H1163,5,2), RIGHT(H1163,2)), "M/d/yyyy")</f>
        <v>2/1/2025</v>
      </c>
      <c r="J1163" s="25">
        <v>20240901</v>
      </c>
      <c r="K1163" s="23" t="str">
        <f>TEXT(DATE(LEFT(J1163,4), MID(J1163,5,2), RIGHT(J1163,2)), "M/d/yyyy")</f>
        <v>9/1/2024</v>
      </c>
      <c r="L1163" s="24" t="s">
        <v>60</v>
      </c>
      <c r="M1163" s="26">
        <v>1</v>
      </c>
      <c r="N1163" s="25">
        <v>30</v>
      </c>
      <c r="O1163" s="27">
        <v>30</v>
      </c>
      <c r="P1163" s="22" t="s">
        <v>3833</v>
      </c>
    </row>
    <row r="1164" spans="1:16" s="22" customFormat="1" ht="15" customHeight="1" x14ac:dyDescent="0.2">
      <c r="A1164" s="22" t="s">
        <v>3787</v>
      </c>
      <c r="B1164" s="22">
        <v>16633294</v>
      </c>
      <c r="C1164" s="23">
        <v>1</v>
      </c>
      <c r="D1164" s="23">
        <v>921760733</v>
      </c>
      <c r="E1164" s="23">
        <v>921760733</v>
      </c>
      <c r="F1164" s="24" t="s">
        <v>2144</v>
      </c>
      <c r="G1164" s="23">
        <v>0</v>
      </c>
      <c r="H1164" s="23">
        <v>20250301</v>
      </c>
      <c r="I1164" s="23" t="str">
        <f>TEXT(DATE(LEFT(H1164,4), MID(H1164,5,2), RIGHT(H1164,2)), "M/d/yyyy")</f>
        <v>3/1/2025</v>
      </c>
      <c r="J1164" s="25">
        <v>20250101</v>
      </c>
      <c r="K1164" s="23" t="str">
        <f>TEXT(DATE(LEFT(J1164,4), MID(J1164,5,2), RIGHT(J1164,2)), "M/d/yyyy")</f>
        <v>1/1/2025</v>
      </c>
      <c r="L1164" s="24" t="s">
        <v>60</v>
      </c>
      <c r="M1164" s="26">
        <v>1</v>
      </c>
      <c r="N1164" s="25">
        <v>30</v>
      </c>
      <c r="O1164" s="27">
        <v>30</v>
      </c>
      <c r="P1164" s="22" t="s">
        <v>3833</v>
      </c>
    </row>
    <row r="1165" spans="1:16" s="22" customFormat="1" ht="15" customHeight="1" x14ac:dyDescent="0.2">
      <c r="A1165" s="22" t="s">
        <v>3787</v>
      </c>
      <c r="B1165" s="22">
        <v>16633294</v>
      </c>
      <c r="C1165" s="23">
        <v>1</v>
      </c>
      <c r="D1165" s="23">
        <v>921775187</v>
      </c>
      <c r="E1165" s="23">
        <v>921775187</v>
      </c>
      <c r="F1165" s="24" t="s">
        <v>2152</v>
      </c>
      <c r="G1165" s="23">
        <v>0</v>
      </c>
      <c r="H1165" s="23">
        <v>20250301</v>
      </c>
      <c r="I1165" s="23" t="str">
        <f>TEXT(DATE(LEFT(H1165,4), MID(H1165,5,2), RIGHT(H1165,2)), "M/d/yyyy")</f>
        <v>3/1/2025</v>
      </c>
      <c r="J1165" s="25">
        <v>20250201</v>
      </c>
      <c r="K1165" s="23" t="str">
        <f>TEXT(DATE(LEFT(J1165,4), MID(J1165,5,2), RIGHT(J1165,2)), "M/d/yyyy")</f>
        <v>2/1/2025</v>
      </c>
      <c r="L1165" s="24" t="s">
        <v>60</v>
      </c>
      <c r="M1165" s="26">
        <v>1</v>
      </c>
      <c r="N1165" s="25">
        <v>30</v>
      </c>
      <c r="O1165" s="27">
        <v>30</v>
      </c>
      <c r="P1165" s="22" t="s">
        <v>3833</v>
      </c>
    </row>
    <row r="1166" spans="1:16" s="22" customFormat="1" ht="15" customHeight="1" x14ac:dyDescent="0.2">
      <c r="A1166" s="22" t="s">
        <v>3787</v>
      </c>
      <c r="B1166" s="22">
        <v>16633294</v>
      </c>
      <c r="C1166" s="23">
        <v>2</v>
      </c>
      <c r="D1166" s="23">
        <v>920819028</v>
      </c>
      <c r="E1166" s="23">
        <v>920819028</v>
      </c>
      <c r="F1166" s="24" t="s">
        <v>2064</v>
      </c>
      <c r="G1166" s="23">
        <v>0</v>
      </c>
      <c r="H1166" s="23">
        <v>20250301</v>
      </c>
      <c r="I1166" s="23" t="str">
        <f>TEXT(DATE(LEFT(H1166,4), MID(H1166,5,2), RIGHT(H1166,2)), "M/d/yyyy")</f>
        <v>3/1/2025</v>
      </c>
      <c r="J1166" s="25">
        <v>20250101</v>
      </c>
      <c r="K1166" s="23" t="str">
        <f>TEXT(DATE(LEFT(J1166,4), MID(J1166,5,2), RIGHT(J1166,2)), "M/d/yyyy")</f>
        <v>1/1/2025</v>
      </c>
      <c r="L1166" s="24" t="s">
        <v>60</v>
      </c>
      <c r="M1166" s="26">
        <v>1</v>
      </c>
      <c r="N1166" s="25">
        <v>30</v>
      </c>
      <c r="O1166" s="27">
        <v>60</v>
      </c>
      <c r="P1166" s="22" t="s">
        <v>3833</v>
      </c>
    </row>
    <row r="1167" spans="1:16" s="22" customFormat="1" ht="15" customHeight="1" x14ac:dyDescent="0.2">
      <c r="A1167" s="22" t="s">
        <v>3787</v>
      </c>
      <c r="B1167" s="22">
        <v>16633294</v>
      </c>
      <c r="C1167" s="23">
        <v>2</v>
      </c>
      <c r="D1167" s="23">
        <v>921590339</v>
      </c>
      <c r="E1167" s="23">
        <v>921590339</v>
      </c>
      <c r="F1167" s="24" t="s">
        <v>2106</v>
      </c>
      <c r="G1167" s="23">
        <v>0</v>
      </c>
      <c r="H1167" s="23">
        <v>20250301</v>
      </c>
      <c r="I1167" s="23" t="str">
        <f>TEXT(DATE(LEFT(H1167,4), MID(H1167,5,2), RIGHT(H1167,2)), "M/d/yyyy")</f>
        <v>3/1/2025</v>
      </c>
      <c r="J1167" s="25">
        <v>20250101</v>
      </c>
      <c r="K1167" s="23" t="str">
        <f>TEXT(DATE(LEFT(J1167,4), MID(J1167,5,2), RIGHT(J1167,2)), "M/d/yyyy")</f>
        <v>1/1/2025</v>
      </c>
      <c r="L1167" s="24" t="s">
        <v>60</v>
      </c>
      <c r="M1167" s="26">
        <v>1</v>
      </c>
      <c r="N1167" s="25">
        <v>30</v>
      </c>
      <c r="O1167" s="27">
        <v>60</v>
      </c>
      <c r="P1167" s="22" t="s">
        <v>3833</v>
      </c>
    </row>
    <row r="1168" spans="1:16" s="22" customFormat="1" ht="15" customHeight="1" x14ac:dyDescent="0.2">
      <c r="A1168" s="22" t="s">
        <v>3787</v>
      </c>
      <c r="B1168" s="22">
        <v>16633294</v>
      </c>
      <c r="C1168" s="23">
        <v>3</v>
      </c>
      <c r="D1168" s="23">
        <v>921382324</v>
      </c>
      <c r="E1168" s="23">
        <v>921382324</v>
      </c>
      <c r="F1168" s="24" t="s">
        <v>2082</v>
      </c>
      <c r="G1168" s="23">
        <v>0</v>
      </c>
      <c r="H1168" s="23">
        <v>20250301</v>
      </c>
      <c r="I1168" s="23" t="str">
        <f>TEXT(DATE(LEFT(H1168,4), MID(H1168,5,2), RIGHT(H1168,2)), "M/d/yyyy")</f>
        <v>3/1/2025</v>
      </c>
      <c r="J1168" s="25">
        <v>20180101</v>
      </c>
      <c r="K1168" s="23" t="str">
        <f>TEXT(DATE(LEFT(J1168,4), MID(J1168,5,2), RIGHT(J1168,2)), "M/d/yyyy")</f>
        <v>1/1/2018</v>
      </c>
      <c r="L1168" s="24" t="s">
        <v>60</v>
      </c>
      <c r="M1168" s="26">
        <v>1</v>
      </c>
      <c r="N1168" s="25">
        <v>25</v>
      </c>
      <c r="O1168" s="27">
        <v>75</v>
      </c>
      <c r="P1168" s="22" t="s">
        <v>3833</v>
      </c>
    </row>
    <row r="1169" spans="1:16" s="22" customFormat="1" ht="15" customHeight="1" x14ac:dyDescent="0.2">
      <c r="A1169" s="22" t="s">
        <v>3809</v>
      </c>
      <c r="B1169" s="22">
        <v>19615078</v>
      </c>
      <c r="C1169" s="23">
        <v>1</v>
      </c>
      <c r="D1169" s="23">
        <v>921639756</v>
      </c>
      <c r="E1169" s="23">
        <v>921639756</v>
      </c>
      <c r="F1169" s="24" t="s">
        <v>3358</v>
      </c>
      <c r="G1169" s="23">
        <v>0</v>
      </c>
      <c r="H1169" s="23">
        <v>20250301</v>
      </c>
      <c r="I1169" s="23" t="str">
        <f>TEXT(DATE(LEFT(H1169,4), MID(H1169,5,2), RIGHT(H1169,2)), "M/d/yyyy")</f>
        <v>3/1/2025</v>
      </c>
      <c r="J1169" s="25">
        <v>20230101</v>
      </c>
      <c r="K1169" s="23" t="str">
        <f>TEXT(DATE(LEFT(J1169,4), MID(J1169,5,2), RIGHT(J1169,2)), "M/d/yyyy")</f>
        <v>1/1/2023</v>
      </c>
      <c r="L1169" s="24" t="s">
        <v>60</v>
      </c>
      <c r="M1169" s="26">
        <v>1</v>
      </c>
      <c r="N1169" s="25">
        <v>25</v>
      </c>
      <c r="O1169" s="27">
        <v>25</v>
      </c>
      <c r="P1169" s="22" t="s">
        <v>3833</v>
      </c>
    </row>
    <row r="1170" spans="1:16" s="22" customFormat="1" ht="15" customHeight="1" x14ac:dyDescent="0.2">
      <c r="A1170" s="22" t="s">
        <v>3775</v>
      </c>
      <c r="B1170" s="22">
        <v>8977234</v>
      </c>
      <c r="C1170" s="23">
        <v>1</v>
      </c>
      <c r="D1170" s="23">
        <v>920749347</v>
      </c>
      <c r="E1170" s="23">
        <v>920749347</v>
      </c>
      <c r="F1170" s="24" t="s">
        <v>411</v>
      </c>
      <c r="G1170" s="23">
        <v>0</v>
      </c>
      <c r="H1170" s="23">
        <v>20250201</v>
      </c>
      <c r="I1170" s="23" t="str">
        <f>TEXT(DATE(LEFT(H1170,4), MID(H1170,5,2), RIGHT(H1170,2)), "M/d/yyyy")</f>
        <v>2/1/2025</v>
      </c>
      <c r="J1170" s="25">
        <v>20230101</v>
      </c>
      <c r="K1170" s="23" t="str">
        <f>TEXT(DATE(LEFT(J1170,4), MID(J1170,5,2), RIGHT(J1170,2)), "M/d/yyyy")</f>
        <v>1/1/2023</v>
      </c>
      <c r="L1170" s="24" t="s">
        <v>60</v>
      </c>
      <c r="M1170" s="26">
        <v>1</v>
      </c>
      <c r="N1170" s="25">
        <v>25</v>
      </c>
      <c r="O1170" s="27">
        <v>25</v>
      </c>
      <c r="P1170" s="22" t="s">
        <v>3833</v>
      </c>
    </row>
    <row r="1171" spans="1:16" s="22" customFormat="1" ht="15" customHeight="1" x14ac:dyDescent="0.2">
      <c r="A1171" s="22" t="s">
        <v>3775</v>
      </c>
      <c r="B1171" s="22">
        <v>8977234</v>
      </c>
      <c r="C1171" s="23">
        <v>1</v>
      </c>
      <c r="D1171" s="23">
        <v>921537221</v>
      </c>
      <c r="E1171" s="23">
        <v>921537221</v>
      </c>
      <c r="F1171" s="24" t="s">
        <v>453</v>
      </c>
      <c r="G1171" s="23">
        <v>0</v>
      </c>
      <c r="H1171" s="23">
        <v>20250301</v>
      </c>
      <c r="I1171" s="23" t="str">
        <f>TEXT(DATE(LEFT(H1171,4), MID(H1171,5,2), RIGHT(H1171,2)), "M/d/yyyy")</f>
        <v>3/1/2025</v>
      </c>
      <c r="J1171" s="25">
        <v>20230301</v>
      </c>
      <c r="K1171" s="23" t="str">
        <f>TEXT(DATE(LEFT(J1171,4), MID(J1171,5,2), RIGHT(J1171,2)), "M/d/yyyy")</f>
        <v>3/1/2023</v>
      </c>
      <c r="L1171" s="24" t="s">
        <v>60</v>
      </c>
      <c r="M1171" s="26">
        <v>1</v>
      </c>
      <c r="N1171" s="25">
        <v>25</v>
      </c>
      <c r="O1171" s="27">
        <v>25</v>
      </c>
      <c r="P1171" s="22" t="s">
        <v>3833</v>
      </c>
    </row>
    <row r="1172" spans="1:16" s="22" customFormat="1" ht="15" customHeight="1" x14ac:dyDescent="0.2">
      <c r="A1172" s="22" t="s">
        <v>3775</v>
      </c>
      <c r="B1172" s="22">
        <v>8977234</v>
      </c>
      <c r="C1172" s="23">
        <v>1</v>
      </c>
      <c r="D1172" s="23">
        <v>921539279</v>
      </c>
      <c r="E1172" s="23">
        <v>921539279</v>
      </c>
      <c r="F1172" s="24" t="s">
        <v>457</v>
      </c>
      <c r="G1172" s="23">
        <v>0</v>
      </c>
      <c r="H1172" s="23">
        <v>20250301</v>
      </c>
      <c r="I1172" s="23" t="str">
        <f>TEXT(DATE(LEFT(H1172,4), MID(H1172,5,2), RIGHT(H1172,2)), "M/d/yyyy")</f>
        <v>3/1/2025</v>
      </c>
      <c r="J1172" s="25">
        <v>20210101</v>
      </c>
      <c r="K1172" s="23" t="str">
        <f>TEXT(DATE(LEFT(J1172,4), MID(J1172,5,2), RIGHT(J1172,2)), "M/d/yyyy")</f>
        <v>1/1/2021</v>
      </c>
      <c r="L1172" s="24" t="s">
        <v>60</v>
      </c>
      <c r="M1172" s="26">
        <v>1</v>
      </c>
      <c r="N1172" s="25">
        <v>25</v>
      </c>
      <c r="O1172" s="27">
        <v>25</v>
      </c>
      <c r="P1172" s="22" t="s">
        <v>3833</v>
      </c>
    </row>
    <row r="1173" spans="1:16" s="22" customFormat="1" ht="15" customHeight="1" x14ac:dyDescent="0.2">
      <c r="A1173" s="22" t="s">
        <v>3775</v>
      </c>
      <c r="B1173" s="22">
        <v>8977234</v>
      </c>
      <c r="C1173" s="23">
        <v>1</v>
      </c>
      <c r="D1173" s="23">
        <v>921571971</v>
      </c>
      <c r="E1173" s="23">
        <v>921571971</v>
      </c>
      <c r="F1173" s="24" t="s">
        <v>459</v>
      </c>
      <c r="G1173" s="23">
        <v>0</v>
      </c>
      <c r="H1173" s="23">
        <v>20250301</v>
      </c>
      <c r="I1173" s="23" t="str">
        <f>TEXT(DATE(LEFT(H1173,4), MID(H1173,5,2), RIGHT(H1173,2)), "M/d/yyyy")</f>
        <v>3/1/2025</v>
      </c>
      <c r="J1173" s="25">
        <v>20210601</v>
      </c>
      <c r="K1173" s="23" t="str">
        <f>TEXT(DATE(LEFT(J1173,4), MID(J1173,5,2), RIGHT(J1173,2)), "M/d/yyyy")</f>
        <v>6/1/2021</v>
      </c>
      <c r="L1173" s="24" t="s">
        <v>60</v>
      </c>
      <c r="M1173" s="26">
        <v>1</v>
      </c>
      <c r="N1173" s="25">
        <v>25</v>
      </c>
      <c r="O1173" s="27">
        <v>25</v>
      </c>
      <c r="P1173" s="22" t="s">
        <v>3833</v>
      </c>
    </row>
    <row r="1174" spans="1:16" s="22" customFormat="1" ht="15" customHeight="1" x14ac:dyDescent="0.2">
      <c r="A1174" s="22" t="s">
        <v>3775</v>
      </c>
      <c r="B1174" s="22">
        <v>8977234</v>
      </c>
      <c r="C1174" s="23">
        <v>1</v>
      </c>
      <c r="D1174" s="23">
        <v>921592861</v>
      </c>
      <c r="E1174" s="23">
        <v>921592861</v>
      </c>
      <c r="F1174" s="24" t="s">
        <v>466</v>
      </c>
      <c r="G1174" s="23">
        <v>0</v>
      </c>
      <c r="H1174" s="23">
        <v>20250301</v>
      </c>
      <c r="I1174" s="23" t="str">
        <f>TEXT(DATE(LEFT(H1174,4), MID(H1174,5,2), RIGHT(H1174,2)), "M/d/yyyy")</f>
        <v>3/1/2025</v>
      </c>
      <c r="J1174" s="25">
        <v>20220101</v>
      </c>
      <c r="K1174" s="23" t="str">
        <f>TEXT(DATE(LEFT(J1174,4), MID(J1174,5,2), RIGHT(J1174,2)), "M/d/yyyy")</f>
        <v>1/1/2022</v>
      </c>
      <c r="L1174" s="24" t="s">
        <v>60</v>
      </c>
      <c r="M1174" s="26">
        <v>1</v>
      </c>
      <c r="N1174" s="25">
        <v>25</v>
      </c>
      <c r="O1174" s="27">
        <v>25</v>
      </c>
      <c r="P1174" s="22" t="s">
        <v>3833</v>
      </c>
    </row>
    <row r="1175" spans="1:16" s="22" customFormat="1" ht="15" customHeight="1" x14ac:dyDescent="0.2">
      <c r="A1175" s="22" t="s">
        <v>3775</v>
      </c>
      <c r="B1175" s="22">
        <v>8977234</v>
      </c>
      <c r="C1175" s="23">
        <v>1</v>
      </c>
      <c r="D1175" s="23">
        <v>921625249</v>
      </c>
      <c r="E1175" s="23">
        <v>921625249</v>
      </c>
      <c r="F1175" s="24" t="s">
        <v>472</v>
      </c>
      <c r="G1175" s="23">
        <v>0</v>
      </c>
      <c r="H1175" s="23">
        <v>20250301</v>
      </c>
      <c r="I1175" s="23" t="str">
        <f>TEXT(DATE(LEFT(H1175,4), MID(H1175,5,2), RIGHT(H1175,2)), "M/d/yyyy")</f>
        <v>3/1/2025</v>
      </c>
      <c r="J1175" s="25">
        <v>20230101</v>
      </c>
      <c r="K1175" s="23" t="str">
        <f>TEXT(DATE(LEFT(J1175,4), MID(J1175,5,2), RIGHT(J1175,2)), "M/d/yyyy")</f>
        <v>1/1/2023</v>
      </c>
      <c r="L1175" s="24" t="s">
        <v>60</v>
      </c>
      <c r="M1175" s="26">
        <v>1</v>
      </c>
      <c r="N1175" s="25">
        <v>25</v>
      </c>
      <c r="O1175" s="27">
        <v>25</v>
      </c>
      <c r="P1175" s="22" t="s">
        <v>3833</v>
      </c>
    </row>
    <row r="1176" spans="1:16" s="22" customFormat="1" ht="15" customHeight="1" x14ac:dyDescent="0.2">
      <c r="A1176" s="22" t="s">
        <v>3775</v>
      </c>
      <c r="B1176" s="22">
        <v>8977234</v>
      </c>
      <c r="C1176" s="23">
        <v>1</v>
      </c>
      <c r="D1176" s="23">
        <v>921677876</v>
      </c>
      <c r="E1176" s="23">
        <v>921677876</v>
      </c>
      <c r="F1176" s="24" t="s">
        <v>478</v>
      </c>
      <c r="G1176" s="23">
        <v>0</v>
      </c>
      <c r="H1176" s="23">
        <v>20250301</v>
      </c>
      <c r="I1176" s="23" t="str">
        <f>TEXT(DATE(LEFT(H1176,4), MID(H1176,5,2), RIGHT(H1176,2)), "M/d/yyyy")</f>
        <v>3/1/2025</v>
      </c>
      <c r="J1176" s="25">
        <v>20240101</v>
      </c>
      <c r="K1176" s="23" t="str">
        <f>TEXT(DATE(LEFT(J1176,4), MID(J1176,5,2), RIGHT(J1176,2)), "M/d/yyyy")</f>
        <v>1/1/2024</v>
      </c>
      <c r="L1176" s="24" t="s">
        <v>60</v>
      </c>
      <c r="M1176" s="26">
        <v>1</v>
      </c>
      <c r="N1176" s="25">
        <v>25</v>
      </c>
      <c r="O1176" s="27">
        <v>25</v>
      </c>
      <c r="P1176" s="22" t="s">
        <v>3833</v>
      </c>
    </row>
    <row r="1177" spans="1:16" s="22" customFormat="1" ht="15" customHeight="1" x14ac:dyDescent="0.2">
      <c r="A1177" s="22" t="s">
        <v>3775</v>
      </c>
      <c r="B1177" s="22">
        <v>8977234</v>
      </c>
      <c r="C1177" s="23">
        <v>1</v>
      </c>
      <c r="D1177" s="23">
        <v>921685178</v>
      </c>
      <c r="E1177" s="23">
        <v>921685178</v>
      </c>
      <c r="F1177" s="24" t="s">
        <v>480</v>
      </c>
      <c r="G1177" s="23">
        <v>0</v>
      </c>
      <c r="H1177" s="23">
        <v>20250301</v>
      </c>
      <c r="I1177" s="23" t="str">
        <f>TEXT(DATE(LEFT(H1177,4), MID(H1177,5,2), RIGHT(H1177,2)), "M/d/yyyy")</f>
        <v>3/1/2025</v>
      </c>
      <c r="J1177" s="25">
        <v>20240101</v>
      </c>
      <c r="K1177" s="23" t="str">
        <f>TEXT(DATE(LEFT(J1177,4), MID(J1177,5,2), RIGHT(J1177,2)), "M/d/yyyy")</f>
        <v>1/1/2024</v>
      </c>
      <c r="L1177" s="24" t="s">
        <v>60</v>
      </c>
      <c r="M1177" s="26">
        <v>1</v>
      </c>
      <c r="N1177" s="25">
        <v>25</v>
      </c>
      <c r="O1177" s="27">
        <v>25</v>
      </c>
      <c r="P1177" s="22" t="s">
        <v>3833</v>
      </c>
    </row>
    <row r="1178" spans="1:16" s="22" customFormat="1" ht="15" customHeight="1" x14ac:dyDescent="0.2">
      <c r="A1178" s="22" t="s">
        <v>3775</v>
      </c>
      <c r="B1178" s="22">
        <v>8977234</v>
      </c>
      <c r="C1178" s="23">
        <v>1</v>
      </c>
      <c r="D1178" s="23">
        <v>921712494</v>
      </c>
      <c r="E1178" s="23">
        <v>921712494</v>
      </c>
      <c r="F1178" s="24" t="s">
        <v>486</v>
      </c>
      <c r="G1178" s="23">
        <v>0</v>
      </c>
      <c r="H1178" s="23">
        <v>20250301</v>
      </c>
      <c r="I1178" s="23" t="str">
        <f>TEXT(DATE(LEFT(H1178,4), MID(H1178,5,2), RIGHT(H1178,2)), "M/d/yyyy")</f>
        <v>3/1/2025</v>
      </c>
      <c r="J1178" s="25">
        <v>20240301</v>
      </c>
      <c r="K1178" s="23" t="str">
        <f>TEXT(DATE(LEFT(J1178,4), MID(J1178,5,2), RIGHT(J1178,2)), "M/d/yyyy")</f>
        <v>3/1/2024</v>
      </c>
      <c r="L1178" s="24" t="s">
        <v>60</v>
      </c>
      <c r="M1178" s="26">
        <v>1</v>
      </c>
      <c r="N1178" s="25">
        <v>30</v>
      </c>
      <c r="O1178" s="27">
        <v>30</v>
      </c>
      <c r="P1178" s="22" t="s">
        <v>3833</v>
      </c>
    </row>
    <row r="1179" spans="1:16" s="22" customFormat="1" ht="15" customHeight="1" x14ac:dyDescent="0.2">
      <c r="A1179" s="22" t="s">
        <v>3775</v>
      </c>
      <c r="B1179" s="22">
        <v>8977234</v>
      </c>
      <c r="C1179" s="23">
        <v>1</v>
      </c>
      <c r="D1179" s="23">
        <v>921746658</v>
      </c>
      <c r="E1179" s="23">
        <v>921746658</v>
      </c>
      <c r="F1179" s="24" t="s">
        <v>496</v>
      </c>
      <c r="G1179" s="23">
        <v>0</v>
      </c>
      <c r="H1179" s="23">
        <v>20250301</v>
      </c>
      <c r="I1179" s="23" t="str">
        <f>TEXT(DATE(LEFT(H1179,4), MID(H1179,5,2), RIGHT(H1179,2)), "M/d/yyyy")</f>
        <v>3/1/2025</v>
      </c>
      <c r="J1179" s="25">
        <v>20250101</v>
      </c>
      <c r="K1179" s="23" t="str">
        <f>TEXT(DATE(LEFT(J1179,4), MID(J1179,5,2), RIGHT(J1179,2)), "M/d/yyyy")</f>
        <v>1/1/2025</v>
      </c>
      <c r="L1179" s="24" t="s">
        <v>60</v>
      </c>
      <c r="M1179" s="26">
        <v>1</v>
      </c>
      <c r="N1179" s="25">
        <v>30</v>
      </c>
      <c r="O1179" s="27">
        <v>30</v>
      </c>
      <c r="P1179" s="22" t="s">
        <v>3833</v>
      </c>
    </row>
    <row r="1180" spans="1:16" s="22" customFormat="1" ht="15" customHeight="1" x14ac:dyDescent="0.2">
      <c r="A1180" s="22" t="s">
        <v>3775</v>
      </c>
      <c r="B1180" s="22">
        <v>8977234</v>
      </c>
      <c r="C1180" s="23">
        <v>2</v>
      </c>
      <c r="D1180" s="23">
        <v>921537558</v>
      </c>
      <c r="E1180" s="23">
        <v>921537558</v>
      </c>
      <c r="F1180" s="24" t="s">
        <v>455</v>
      </c>
      <c r="G1180" s="23">
        <v>0</v>
      </c>
      <c r="H1180" s="23">
        <v>20250301</v>
      </c>
      <c r="I1180" s="23" t="str">
        <f>TEXT(DATE(LEFT(H1180,4), MID(H1180,5,2), RIGHT(H1180,2)), "M/d/yyyy")</f>
        <v>3/1/2025</v>
      </c>
      <c r="J1180" s="25">
        <v>20210101</v>
      </c>
      <c r="K1180" s="23" t="str">
        <f>TEXT(DATE(LEFT(J1180,4), MID(J1180,5,2), RIGHT(J1180,2)), "M/d/yyyy")</f>
        <v>1/1/2021</v>
      </c>
      <c r="L1180" s="24" t="s">
        <v>60</v>
      </c>
      <c r="M1180" s="26">
        <v>1</v>
      </c>
      <c r="N1180" s="25">
        <v>25</v>
      </c>
      <c r="O1180" s="27">
        <v>50</v>
      </c>
      <c r="P1180" s="22" t="s">
        <v>3833</v>
      </c>
    </row>
    <row r="1181" spans="1:16" s="22" customFormat="1" ht="15" customHeight="1" x14ac:dyDescent="0.2">
      <c r="A1181" s="22" t="s">
        <v>3775</v>
      </c>
      <c r="B1181" s="22">
        <v>8977234</v>
      </c>
      <c r="C1181" s="23">
        <v>4</v>
      </c>
      <c r="D1181" s="23">
        <v>921505326</v>
      </c>
      <c r="E1181" s="23">
        <v>921505326</v>
      </c>
      <c r="F1181" s="24" t="s">
        <v>445</v>
      </c>
      <c r="G1181" s="23">
        <v>0</v>
      </c>
      <c r="H1181" s="23">
        <v>20250301</v>
      </c>
      <c r="I1181" s="23" t="str">
        <f>TEXT(DATE(LEFT(H1181,4), MID(H1181,5,2), RIGHT(H1181,2)), "M/d/yyyy")</f>
        <v>3/1/2025</v>
      </c>
      <c r="J1181" s="25">
        <v>20200101</v>
      </c>
      <c r="K1181" s="23" t="str">
        <f>TEXT(DATE(LEFT(J1181,4), MID(J1181,5,2), RIGHT(J1181,2)), "M/d/yyyy")</f>
        <v>1/1/2020</v>
      </c>
      <c r="L1181" s="24" t="s">
        <v>60</v>
      </c>
      <c r="M1181" s="26">
        <v>1</v>
      </c>
      <c r="N1181" s="25">
        <v>25</v>
      </c>
      <c r="O1181" s="27">
        <v>100</v>
      </c>
      <c r="P1181" s="22" t="s">
        <v>3833</v>
      </c>
    </row>
    <row r="1182" spans="1:16" s="22" customFormat="1" ht="15" customHeight="1" x14ac:dyDescent="0.2">
      <c r="A1182" s="22" t="s">
        <v>3793</v>
      </c>
      <c r="B1182" s="22">
        <v>19396223</v>
      </c>
      <c r="C1182" s="24" t="s">
        <v>588</v>
      </c>
      <c r="D1182" s="23">
        <v>920872407</v>
      </c>
      <c r="E1182" s="23">
        <v>920872407</v>
      </c>
      <c r="F1182" s="24" t="s">
        <v>2561</v>
      </c>
      <c r="G1182" s="23">
        <v>0</v>
      </c>
      <c r="H1182" s="23">
        <v>20250201</v>
      </c>
      <c r="I1182" s="23" t="str">
        <f>TEXT(DATE(LEFT(H1182,4), MID(H1182,5,2), RIGHT(H1182,2)), "M/d/yyyy")</f>
        <v>2/1/2025</v>
      </c>
      <c r="J1182" s="25">
        <v>20230101</v>
      </c>
      <c r="K1182" s="23" t="str">
        <f>TEXT(DATE(LEFT(J1182,4), MID(J1182,5,2), RIGHT(J1182,2)), "M/d/yyyy")</f>
        <v>1/1/2023</v>
      </c>
      <c r="L1182" s="24" t="s">
        <v>60</v>
      </c>
      <c r="M1182" s="26">
        <v>1</v>
      </c>
      <c r="N1182" s="25">
        <v>25</v>
      </c>
      <c r="O1182" s="27">
        <v>-25</v>
      </c>
      <c r="P1182" s="22" t="s">
        <v>3833</v>
      </c>
    </row>
    <row r="1183" spans="1:16" s="22" customFormat="1" ht="15" customHeight="1" x14ac:dyDescent="0.2">
      <c r="A1183" s="22" t="s">
        <v>3793</v>
      </c>
      <c r="B1183" s="22">
        <v>19396223</v>
      </c>
      <c r="C1183" s="24" t="s">
        <v>588</v>
      </c>
      <c r="D1183" s="23">
        <v>921500396</v>
      </c>
      <c r="E1183" s="23">
        <v>921500396</v>
      </c>
      <c r="F1183" s="24" t="s">
        <v>2578</v>
      </c>
      <c r="G1183" s="23">
        <v>0</v>
      </c>
      <c r="H1183" s="23">
        <v>20250201</v>
      </c>
      <c r="I1183" s="23" t="str">
        <f>TEXT(DATE(LEFT(H1183,4), MID(H1183,5,2), RIGHT(H1183,2)), "M/d/yyyy")</f>
        <v>2/1/2025</v>
      </c>
      <c r="J1183" s="25">
        <v>20200101</v>
      </c>
      <c r="K1183" s="23" t="str">
        <f>TEXT(DATE(LEFT(J1183,4), MID(J1183,5,2), RIGHT(J1183,2)), "M/d/yyyy")</f>
        <v>1/1/2020</v>
      </c>
      <c r="L1183" s="24" t="s">
        <v>60</v>
      </c>
      <c r="M1183" s="26">
        <v>1</v>
      </c>
      <c r="N1183" s="25">
        <v>25</v>
      </c>
      <c r="O1183" s="27">
        <v>-25</v>
      </c>
      <c r="P1183" s="22" t="s">
        <v>3833</v>
      </c>
    </row>
    <row r="1184" spans="1:16" s="22" customFormat="1" ht="15" customHeight="1" x14ac:dyDescent="0.2">
      <c r="A1184" s="22" t="s">
        <v>3793</v>
      </c>
      <c r="B1184" s="22">
        <v>19396223</v>
      </c>
      <c r="C1184" s="23">
        <v>1</v>
      </c>
      <c r="D1184" s="23">
        <v>921500396</v>
      </c>
      <c r="E1184" s="23">
        <v>921500396</v>
      </c>
      <c r="F1184" s="24" t="s">
        <v>2578</v>
      </c>
      <c r="G1184" s="23">
        <v>0</v>
      </c>
      <c r="H1184" s="23">
        <v>20250201</v>
      </c>
      <c r="I1184" s="23" t="str">
        <f>TEXT(DATE(LEFT(H1184,4), MID(H1184,5,2), RIGHT(H1184,2)), "M/d/yyyy")</f>
        <v>2/1/2025</v>
      </c>
      <c r="J1184" s="25">
        <v>20200101</v>
      </c>
      <c r="K1184" s="23" t="str">
        <f>TEXT(DATE(LEFT(J1184,4), MID(J1184,5,2), RIGHT(J1184,2)), "M/d/yyyy")</f>
        <v>1/1/2020</v>
      </c>
      <c r="L1184" s="24" t="s">
        <v>60</v>
      </c>
      <c r="M1184" s="26">
        <v>1</v>
      </c>
      <c r="N1184" s="25">
        <v>25</v>
      </c>
      <c r="O1184" s="27">
        <v>25</v>
      </c>
      <c r="P1184" s="22" t="s">
        <v>3833</v>
      </c>
    </row>
    <row r="1185" spans="1:16" s="22" customFormat="1" ht="15" customHeight="1" x14ac:dyDescent="0.2">
      <c r="A1185" s="22" t="s">
        <v>3793</v>
      </c>
      <c r="B1185" s="22">
        <v>19396223</v>
      </c>
      <c r="C1185" s="23">
        <v>1</v>
      </c>
      <c r="D1185" s="23">
        <v>921591179</v>
      </c>
      <c r="E1185" s="23">
        <v>921591179</v>
      </c>
      <c r="F1185" s="24" t="s">
        <v>2587</v>
      </c>
      <c r="G1185" s="23">
        <v>0</v>
      </c>
      <c r="H1185" s="23">
        <v>20250301</v>
      </c>
      <c r="I1185" s="23" t="str">
        <f>TEXT(DATE(LEFT(H1185,4), MID(H1185,5,2), RIGHT(H1185,2)), "M/d/yyyy")</f>
        <v>3/1/2025</v>
      </c>
      <c r="J1185" s="25">
        <v>20240101</v>
      </c>
      <c r="K1185" s="23" t="str">
        <f>TEXT(DATE(LEFT(J1185,4), MID(J1185,5,2), RIGHT(J1185,2)), "M/d/yyyy")</f>
        <v>1/1/2024</v>
      </c>
      <c r="L1185" s="24" t="s">
        <v>60</v>
      </c>
      <c r="M1185" s="26">
        <v>1</v>
      </c>
      <c r="N1185" s="25">
        <v>25</v>
      </c>
      <c r="O1185" s="27">
        <v>25</v>
      </c>
      <c r="P1185" s="22" t="s">
        <v>3833</v>
      </c>
    </row>
    <row r="1186" spans="1:16" s="22" customFormat="1" ht="15" customHeight="1" x14ac:dyDescent="0.2">
      <c r="A1186" s="22" t="s">
        <v>3793</v>
      </c>
      <c r="B1186" s="22">
        <v>19396223</v>
      </c>
      <c r="C1186" s="23">
        <v>1</v>
      </c>
      <c r="D1186" s="23">
        <v>921609601</v>
      </c>
      <c r="E1186" s="23">
        <v>921609601</v>
      </c>
      <c r="F1186" s="24" t="s">
        <v>2589</v>
      </c>
      <c r="G1186" s="23">
        <v>0</v>
      </c>
      <c r="H1186" s="23">
        <v>20250301</v>
      </c>
      <c r="I1186" s="23" t="str">
        <f>TEXT(DATE(LEFT(H1186,4), MID(H1186,5,2), RIGHT(H1186,2)), "M/d/yyyy")</f>
        <v>3/1/2025</v>
      </c>
      <c r="J1186" s="25">
        <v>20220401</v>
      </c>
      <c r="K1186" s="23" t="str">
        <f>TEXT(DATE(LEFT(J1186,4), MID(J1186,5,2), RIGHT(J1186,2)), "M/d/yyyy")</f>
        <v>4/1/2022</v>
      </c>
      <c r="L1186" s="24" t="s">
        <v>60</v>
      </c>
      <c r="M1186" s="26">
        <v>1</v>
      </c>
      <c r="N1186" s="25">
        <v>25</v>
      </c>
      <c r="O1186" s="27">
        <v>25</v>
      </c>
      <c r="P1186" s="22" t="s">
        <v>3833</v>
      </c>
    </row>
    <row r="1187" spans="1:16" s="22" customFormat="1" ht="15" customHeight="1" x14ac:dyDescent="0.2">
      <c r="A1187" s="22" t="s">
        <v>3793</v>
      </c>
      <c r="B1187" s="22">
        <v>19396223</v>
      </c>
      <c r="C1187" s="23">
        <v>1</v>
      </c>
      <c r="D1187" s="23">
        <v>921626440</v>
      </c>
      <c r="E1187" s="23">
        <v>921626440</v>
      </c>
      <c r="F1187" s="24" t="s">
        <v>2594</v>
      </c>
      <c r="G1187" s="23">
        <v>0</v>
      </c>
      <c r="H1187" s="23">
        <v>20250301</v>
      </c>
      <c r="I1187" s="23" t="str">
        <f>TEXT(DATE(LEFT(H1187,4), MID(H1187,5,2), RIGHT(H1187,2)), "M/d/yyyy")</f>
        <v>3/1/2025</v>
      </c>
      <c r="J1187" s="25">
        <v>20230101</v>
      </c>
      <c r="K1187" s="23" t="str">
        <f>TEXT(DATE(LEFT(J1187,4), MID(J1187,5,2), RIGHT(J1187,2)), "M/d/yyyy")</f>
        <v>1/1/2023</v>
      </c>
      <c r="L1187" s="24" t="s">
        <v>60</v>
      </c>
      <c r="M1187" s="26">
        <v>1</v>
      </c>
      <c r="N1187" s="25">
        <v>25</v>
      </c>
      <c r="O1187" s="27">
        <v>25</v>
      </c>
      <c r="P1187" s="22" t="s">
        <v>3833</v>
      </c>
    </row>
    <row r="1188" spans="1:16" s="22" customFormat="1" ht="15" customHeight="1" x14ac:dyDescent="0.2">
      <c r="A1188" s="22" t="s">
        <v>3793</v>
      </c>
      <c r="B1188" s="22">
        <v>19396223</v>
      </c>
      <c r="C1188" s="23">
        <v>1</v>
      </c>
      <c r="D1188" s="23">
        <v>921633364</v>
      </c>
      <c r="E1188" s="23">
        <v>921633364</v>
      </c>
      <c r="F1188" s="24" t="s">
        <v>2596</v>
      </c>
      <c r="G1188" s="23">
        <v>0</v>
      </c>
      <c r="H1188" s="23">
        <v>20250301</v>
      </c>
      <c r="I1188" s="23" t="str">
        <f>TEXT(DATE(LEFT(H1188,4), MID(H1188,5,2), RIGHT(H1188,2)), "M/d/yyyy")</f>
        <v>3/1/2025</v>
      </c>
      <c r="J1188" s="25">
        <v>20230101</v>
      </c>
      <c r="K1188" s="23" t="str">
        <f>TEXT(DATE(LEFT(J1188,4), MID(J1188,5,2), RIGHT(J1188,2)), "M/d/yyyy")</f>
        <v>1/1/2023</v>
      </c>
      <c r="L1188" s="24" t="s">
        <v>60</v>
      </c>
      <c r="M1188" s="26">
        <v>1</v>
      </c>
      <c r="N1188" s="25">
        <v>25</v>
      </c>
      <c r="O1188" s="27">
        <v>25</v>
      </c>
      <c r="P1188" s="22" t="s">
        <v>3833</v>
      </c>
    </row>
    <row r="1189" spans="1:16" s="22" customFormat="1" ht="15" customHeight="1" x14ac:dyDescent="0.2">
      <c r="A1189" s="22" t="s">
        <v>3793</v>
      </c>
      <c r="B1189" s="22">
        <v>19396223</v>
      </c>
      <c r="C1189" s="23">
        <v>1</v>
      </c>
      <c r="D1189" s="23">
        <v>921679852</v>
      </c>
      <c r="E1189" s="23">
        <v>921679852</v>
      </c>
      <c r="F1189" s="24" t="s">
        <v>2610</v>
      </c>
      <c r="G1189" s="23">
        <v>0</v>
      </c>
      <c r="H1189" s="23">
        <v>20250301</v>
      </c>
      <c r="I1189" s="23" t="str">
        <f>TEXT(DATE(LEFT(H1189,4), MID(H1189,5,2), RIGHT(H1189,2)), "M/d/yyyy")</f>
        <v>3/1/2025</v>
      </c>
      <c r="J1189" s="25">
        <v>20240101</v>
      </c>
      <c r="K1189" s="23" t="str">
        <f>TEXT(DATE(LEFT(J1189,4), MID(J1189,5,2), RIGHT(J1189,2)), "M/d/yyyy")</f>
        <v>1/1/2024</v>
      </c>
      <c r="L1189" s="24" t="s">
        <v>60</v>
      </c>
      <c r="M1189" s="26">
        <v>1</v>
      </c>
      <c r="N1189" s="25">
        <v>25</v>
      </c>
      <c r="O1189" s="27">
        <v>25</v>
      </c>
      <c r="P1189" s="22" t="s">
        <v>3833</v>
      </c>
    </row>
    <row r="1190" spans="1:16" s="22" customFormat="1" ht="15" customHeight="1" x14ac:dyDescent="0.2">
      <c r="A1190" s="22" t="s">
        <v>3793</v>
      </c>
      <c r="B1190" s="22">
        <v>19396223</v>
      </c>
      <c r="C1190" s="23">
        <v>1</v>
      </c>
      <c r="D1190" s="23">
        <v>921683851</v>
      </c>
      <c r="E1190" s="23">
        <v>921683851</v>
      </c>
      <c r="F1190" s="24" t="s">
        <v>2614</v>
      </c>
      <c r="G1190" s="23">
        <v>0</v>
      </c>
      <c r="H1190" s="23">
        <v>20250201</v>
      </c>
      <c r="I1190" s="23" t="str">
        <f>TEXT(DATE(LEFT(H1190,4), MID(H1190,5,2), RIGHT(H1190,2)), "M/d/yyyy")</f>
        <v>2/1/2025</v>
      </c>
      <c r="J1190" s="25">
        <v>20240101</v>
      </c>
      <c r="K1190" s="23" t="str">
        <f>TEXT(DATE(LEFT(J1190,4), MID(J1190,5,2), RIGHT(J1190,2)), "M/d/yyyy")</f>
        <v>1/1/2024</v>
      </c>
      <c r="L1190" s="24" t="s">
        <v>60</v>
      </c>
      <c r="M1190" s="26">
        <v>1</v>
      </c>
      <c r="N1190" s="25">
        <v>25</v>
      </c>
      <c r="O1190" s="27">
        <v>25</v>
      </c>
      <c r="P1190" s="22" t="s">
        <v>3833</v>
      </c>
    </row>
    <row r="1191" spans="1:16" s="22" customFormat="1" ht="15" customHeight="1" x14ac:dyDescent="0.2">
      <c r="A1191" s="22" t="s">
        <v>3793</v>
      </c>
      <c r="B1191" s="22">
        <v>19396223</v>
      </c>
      <c r="C1191" s="23">
        <v>1</v>
      </c>
      <c r="D1191" s="23">
        <v>921687552</v>
      </c>
      <c r="E1191" s="23">
        <v>921687552</v>
      </c>
      <c r="F1191" s="24" t="s">
        <v>2616</v>
      </c>
      <c r="G1191" s="23">
        <v>0</v>
      </c>
      <c r="H1191" s="23">
        <v>20250301</v>
      </c>
      <c r="I1191" s="23" t="str">
        <f>TEXT(DATE(LEFT(H1191,4), MID(H1191,5,2), RIGHT(H1191,2)), "M/d/yyyy")</f>
        <v>3/1/2025</v>
      </c>
      <c r="J1191" s="25">
        <v>20240101</v>
      </c>
      <c r="K1191" s="23" t="str">
        <f>TEXT(DATE(LEFT(J1191,4), MID(J1191,5,2), RIGHT(J1191,2)), "M/d/yyyy")</f>
        <v>1/1/2024</v>
      </c>
      <c r="L1191" s="24" t="s">
        <v>60</v>
      </c>
      <c r="M1191" s="26">
        <v>1</v>
      </c>
      <c r="N1191" s="25">
        <v>25</v>
      </c>
      <c r="O1191" s="27">
        <v>25</v>
      </c>
      <c r="P1191" s="22" t="s">
        <v>3833</v>
      </c>
    </row>
    <row r="1192" spans="1:16" s="22" customFormat="1" ht="15" customHeight="1" x14ac:dyDescent="0.2">
      <c r="A1192" s="22" t="s">
        <v>3793</v>
      </c>
      <c r="B1192" s="22">
        <v>19396223</v>
      </c>
      <c r="C1192" s="23">
        <v>1</v>
      </c>
      <c r="D1192" s="23">
        <v>921692051</v>
      </c>
      <c r="E1192" s="23">
        <v>921692051</v>
      </c>
      <c r="F1192" s="24" t="s">
        <v>2620</v>
      </c>
      <c r="G1192" s="23">
        <v>0</v>
      </c>
      <c r="H1192" s="23">
        <v>20250301</v>
      </c>
      <c r="I1192" s="23" t="str">
        <f>TEXT(DATE(LEFT(H1192,4), MID(H1192,5,2), RIGHT(H1192,2)), "M/d/yyyy")</f>
        <v>3/1/2025</v>
      </c>
      <c r="J1192" s="25">
        <v>20240101</v>
      </c>
      <c r="K1192" s="23" t="str">
        <f>TEXT(DATE(LEFT(J1192,4), MID(J1192,5,2), RIGHT(J1192,2)), "M/d/yyyy")</f>
        <v>1/1/2024</v>
      </c>
      <c r="L1192" s="24" t="s">
        <v>60</v>
      </c>
      <c r="M1192" s="26">
        <v>1</v>
      </c>
      <c r="N1192" s="25">
        <v>25</v>
      </c>
      <c r="O1192" s="27">
        <v>25</v>
      </c>
      <c r="P1192" s="22" t="s">
        <v>3833</v>
      </c>
    </row>
    <row r="1193" spans="1:16" s="22" customFormat="1" ht="15" customHeight="1" x14ac:dyDescent="0.2">
      <c r="A1193" s="22" t="s">
        <v>3793</v>
      </c>
      <c r="B1193" s="22">
        <v>19396223</v>
      </c>
      <c r="C1193" s="23">
        <v>1</v>
      </c>
      <c r="D1193" s="23">
        <v>921200310</v>
      </c>
      <c r="E1193" s="23">
        <v>921200310</v>
      </c>
      <c r="F1193" s="24" t="s">
        <v>2567</v>
      </c>
      <c r="G1193" s="23">
        <v>0</v>
      </c>
      <c r="H1193" s="23">
        <v>20250301</v>
      </c>
      <c r="I1193" s="23" t="str">
        <f>TEXT(DATE(LEFT(H1193,4), MID(H1193,5,2), RIGHT(H1193,2)), "M/d/yyyy")</f>
        <v>3/1/2025</v>
      </c>
      <c r="J1193" s="25">
        <v>20250101</v>
      </c>
      <c r="K1193" s="23" t="str">
        <f>TEXT(DATE(LEFT(J1193,4), MID(J1193,5,2), RIGHT(J1193,2)), "M/d/yyyy")</f>
        <v>1/1/2025</v>
      </c>
      <c r="L1193" s="24" t="s">
        <v>60</v>
      </c>
      <c r="M1193" s="26">
        <v>1</v>
      </c>
      <c r="N1193" s="25">
        <v>30</v>
      </c>
      <c r="O1193" s="27">
        <v>30</v>
      </c>
      <c r="P1193" s="22" t="s">
        <v>3833</v>
      </c>
    </row>
    <row r="1194" spans="1:16" s="22" customFormat="1" ht="15" customHeight="1" x14ac:dyDescent="0.2">
      <c r="A1194" s="22" t="s">
        <v>3793</v>
      </c>
      <c r="B1194" s="22">
        <v>19396223</v>
      </c>
      <c r="C1194" s="23">
        <v>1</v>
      </c>
      <c r="D1194" s="23">
        <v>921292424</v>
      </c>
      <c r="E1194" s="23">
        <v>921292424</v>
      </c>
      <c r="F1194" s="24" t="s">
        <v>2572</v>
      </c>
      <c r="G1194" s="23">
        <v>0</v>
      </c>
      <c r="H1194" s="23">
        <v>20250301</v>
      </c>
      <c r="I1194" s="23" t="str">
        <f>TEXT(DATE(LEFT(H1194,4), MID(H1194,5,2), RIGHT(H1194,2)), "M/d/yyyy")</f>
        <v>3/1/2025</v>
      </c>
      <c r="J1194" s="25">
        <v>20250101</v>
      </c>
      <c r="K1194" s="23" t="str">
        <f>TEXT(DATE(LEFT(J1194,4), MID(J1194,5,2), RIGHT(J1194,2)), "M/d/yyyy")</f>
        <v>1/1/2025</v>
      </c>
      <c r="L1194" s="24" t="s">
        <v>60</v>
      </c>
      <c r="M1194" s="26">
        <v>1</v>
      </c>
      <c r="N1194" s="25">
        <v>30</v>
      </c>
      <c r="O1194" s="27">
        <v>30</v>
      </c>
      <c r="P1194" s="22" t="s">
        <v>3833</v>
      </c>
    </row>
    <row r="1195" spans="1:16" s="22" customFormat="1" ht="15" customHeight="1" x14ac:dyDescent="0.2">
      <c r="A1195" s="22" t="s">
        <v>3793</v>
      </c>
      <c r="B1195" s="22">
        <v>19396223</v>
      </c>
      <c r="C1195" s="23">
        <v>1</v>
      </c>
      <c r="D1195" s="23">
        <v>921292424</v>
      </c>
      <c r="E1195" s="23">
        <v>921292424</v>
      </c>
      <c r="F1195" s="24" t="s">
        <v>2572</v>
      </c>
      <c r="G1195" s="23">
        <v>0</v>
      </c>
      <c r="H1195" s="23">
        <v>20250201</v>
      </c>
      <c r="I1195" s="23" t="str">
        <f>TEXT(DATE(LEFT(H1195,4), MID(H1195,5,2), RIGHT(H1195,2)), "M/d/yyyy")</f>
        <v>2/1/2025</v>
      </c>
      <c r="J1195" s="25">
        <v>20250101</v>
      </c>
      <c r="K1195" s="23" t="str">
        <f>TEXT(DATE(LEFT(J1195,4), MID(J1195,5,2), RIGHT(J1195,2)), "M/d/yyyy")</f>
        <v>1/1/2025</v>
      </c>
      <c r="L1195" s="24" t="s">
        <v>60</v>
      </c>
      <c r="M1195" s="26">
        <v>1</v>
      </c>
      <c r="N1195" s="25">
        <v>30</v>
      </c>
      <c r="O1195" s="27">
        <v>30</v>
      </c>
      <c r="P1195" s="22" t="s">
        <v>3833</v>
      </c>
    </row>
    <row r="1196" spans="1:16" s="22" customFormat="1" ht="15" customHeight="1" x14ac:dyDescent="0.2">
      <c r="A1196" s="22" t="s">
        <v>3793</v>
      </c>
      <c r="B1196" s="22">
        <v>19396223</v>
      </c>
      <c r="C1196" s="23">
        <v>1</v>
      </c>
      <c r="D1196" s="23">
        <v>921712145</v>
      </c>
      <c r="E1196" s="23">
        <v>921712145</v>
      </c>
      <c r="F1196" s="24" t="s">
        <v>2624</v>
      </c>
      <c r="G1196" s="23">
        <v>0</v>
      </c>
      <c r="H1196" s="23">
        <v>20250301</v>
      </c>
      <c r="I1196" s="23" t="str">
        <f>TEXT(DATE(LEFT(H1196,4), MID(H1196,5,2), RIGHT(H1196,2)), "M/d/yyyy")</f>
        <v>3/1/2025</v>
      </c>
      <c r="J1196" s="25">
        <v>20240301</v>
      </c>
      <c r="K1196" s="23" t="str">
        <f>TEXT(DATE(LEFT(J1196,4), MID(J1196,5,2), RIGHT(J1196,2)), "M/d/yyyy")</f>
        <v>3/1/2024</v>
      </c>
      <c r="L1196" s="24" t="s">
        <v>60</v>
      </c>
      <c r="M1196" s="26">
        <v>1</v>
      </c>
      <c r="N1196" s="25">
        <v>30</v>
      </c>
      <c r="O1196" s="27">
        <v>30</v>
      </c>
      <c r="P1196" s="22" t="s">
        <v>3833</v>
      </c>
    </row>
    <row r="1197" spans="1:16" s="22" customFormat="1" ht="15" customHeight="1" x14ac:dyDescent="0.2">
      <c r="A1197" s="22" t="s">
        <v>3793</v>
      </c>
      <c r="B1197" s="22">
        <v>19396223</v>
      </c>
      <c r="C1197" s="23">
        <v>1</v>
      </c>
      <c r="D1197" s="23">
        <v>921712172</v>
      </c>
      <c r="E1197" s="23">
        <v>921712172</v>
      </c>
      <c r="F1197" s="24" t="s">
        <v>2626</v>
      </c>
      <c r="G1197" s="23">
        <v>0</v>
      </c>
      <c r="H1197" s="23">
        <v>20250301</v>
      </c>
      <c r="I1197" s="23" t="str">
        <f>TEXT(DATE(LEFT(H1197,4), MID(H1197,5,2), RIGHT(H1197,2)), "M/d/yyyy")</f>
        <v>3/1/2025</v>
      </c>
      <c r="J1197" s="25">
        <v>20240301</v>
      </c>
      <c r="K1197" s="23" t="str">
        <f>TEXT(DATE(LEFT(J1197,4), MID(J1197,5,2), RIGHT(J1197,2)), "M/d/yyyy")</f>
        <v>3/1/2024</v>
      </c>
      <c r="L1197" s="24" t="s">
        <v>60</v>
      </c>
      <c r="M1197" s="26">
        <v>1</v>
      </c>
      <c r="N1197" s="25">
        <v>30</v>
      </c>
      <c r="O1197" s="27">
        <v>30</v>
      </c>
      <c r="P1197" s="22" t="s">
        <v>3833</v>
      </c>
    </row>
    <row r="1198" spans="1:16" s="22" customFormat="1" ht="15" customHeight="1" x14ac:dyDescent="0.2">
      <c r="A1198" s="22" t="s">
        <v>3793</v>
      </c>
      <c r="B1198" s="22">
        <v>19396223</v>
      </c>
      <c r="C1198" s="23">
        <v>1</v>
      </c>
      <c r="D1198" s="23">
        <v>921712180</v>
      </c>
      <c r="E1198" s="23">
        <v>921712180</v>
      </c>
      <c r="F1198" s="24" t="s">
        <v>2628</v>
      </c>
      <c r="G1198" s="23">
        <v>0</v>
      </c>
      <c r="H1198" s="23">
        <v>20250301</v>
      </c>
      <c r="I1198" s="23" t="str">
        <f>TEXT(DATE(LEFT(H1198,4), MID(H1198,5,2), RIGHT(H1198,2)), "M/d/yyyy")</f>
        <v>3/1/2025</v>
      </c>
      <c r="J1198" s="25">
        <v>20240301</v>
      </c>
      <c r="K1198" s="23" t="str">
        <f>TEXT(DATE(LEFT(J1198,4), MID(J1198,5,2), RIGHT(J1198,2)), "M/d/yyyy")</f>
        <v>3/1/2024</v>
      </c>
      <c r="L1198" s="24" t="s">
        <v>60</v>
      </c>
      <c r="M1198" s="26">
        <v>1</v>
      </c>
      <c r="N1198" s="25">
        <v>30</v>
      </c>
      <c r="O1198" s="27">
        <v>30</v>
      </c>
      <c r="P1198" s="22" t="s">
        <v>3833</v>
      </c>
    </row>
    <row r="1199" spans="1:16" s="22" customFormat="1" ht="15" customHeight="1" x14ac:dyDescent="0.2">
      <c r="A1199" s="22" t="s">
        <v>3793</v>
      </c>
      <c r="B1199" s="22">
        <v>19396223</v>
      </c>
      <c r="C1199" s="23">
        <v>1</v>
      </c>
      <c r="D1199" s="23">
        <v>921740652</v>
      </c>
      <c r="E1199" s="23">
        <v>921740652</v>
      </c>
      <c r="F1199" s="24" t="s">
        <v>2634</v>
      </c>
      <c r="G1199" s="23">
        <v>0</v>
      </c>
      <c r="H1199" s="23">
        <v>20250301</v>
      </c>
      <c r="I1199" s="23" t="str">
        <f>TEXT(DATE(LEFT(H1199,4), MID(H1199,5,2), RIGHT(H1199,2)), "M/d/yyyy")</f>
        <v>3/1/2025</v>
      </c>
      <c r="J1199" s="25">
        <v>20241001</v>
      </c>
      <c r="K1199" s="23" t="str">
        <f>TEXT(DATE(LEFT(J1199,4), MID(J1199,5,2), RIGHT(J1199,2)), "M/d/yyyy")</f>
        <v>10/1/2024</v>
      </c>
      <c r="L1199" s="24" t="s">
        <v>60</v>
      </c>
      <c r="M1199" s="26">
        <v>1</v>
      </c>
      <c r="N1199" s="25">
        <v>30</v>
      </c>
      <c r="O1199" s="27">
        <v>30</v>
      </c>
      <c r="P1199" s="22" t="s">
        <v>3833</v>
      </c>
    </row>
    <row r="1200" spans="1:16" s="22" customFormat="1" ht="15" customHeight="1" x14ac:dyDescent="0.2">
      <c r="A1200" s="22" t="s">
        <v>3793</v>
      </c>
      <c r="B1200" s="22">
        <v>19396223</v>
      </c>
      <c r="C1200" s="23">
        <v>1</v>
      </c>
      <c r="D1200" s="23">
        <v>921743680</v>
      </c>
      <c r="E1200" s="23">
        <v>921743680</v>
      </c>
      <c r="F1200" s="24" t="s">
        <v>2636</v>
      </c>
      <c r="G1200" s="23">
        <v>0</v>
      </c>
      <c r="H1200" s="23">
        <v>20250301</v>
      </c>
      <c r="I1200" s="23" t="str">
        <f>TEXT(DATE(LEFT(H1200,4), MID(H1200,5,2), RIGHT(H1200,2)), "M/d/yyyy")</f>
        <v>3/1/2025</v>
      </c>
      <c r="J1200" s="25">
        <v>20240821</v>
      </c>
      <c r="K1200" s="23" t="str">
        <f>TEXT(DATE(LEFT(J1200,4), MID(J1200,5,2), RIGHT(J1200,2)), "M/d/yyyy")</f>
        <v>8/21/2024</v>
      </c>
      <c r="L1200" s="24" t="s">
        <v>60</v>
      </c>
      <c r="M1200" s="26">
        <v>1</v>
      </c>
      <c r="N1200" s="25">
        <v>30</v>
      </c>
      <c r="O1200" s="27">
        <v>30</v>
      </c>
      <c r="P1200" s="22" t="s">
        <v>3833</v>
      </c>
    </row>
    <row r="1201" spans="1:16" s="22" customFormat="1" ht="15" customHeight="1" x14ac:dyDescent="0.2">
      <c r="A1201" s="22" t="s">
        <v>3793</v>
      </c>
      <c r="B1201" s="22">
        <v>19396223</v>
      </c>
      <c r="C1201" s="23">
        <v>1</v>
      </c>
      <c r="D1201" s="23">
        <v>921750393</v>
      </c>
      <c r="E1201" s="23">
        <v>921750393</v>
      </c>
      <c r="F1201" s="24" t="s">
        <v>2639</v>
      </c>
      <c r="G1201" s="23">
        <v>0</v>
      </c>
      <c r="H1201" s="23">
        <v>20250301</v>
      </c>
      <c r="I1201" s="23" t="str">
        <f>TEXT(DATE(LEFT(H1201,4), MID(H1201,5,2), RIGHT(H1201,2)), "M/d/yyyy")</f>
        <v>3/1/2025</v>
      </c>
      <c r="J1201" s="25">
        <v>20250101</v>
      </c>
      <c r="K1201" s="23" t="str">
        <f>TEXT(DATE(LEFT(J1201,4), MID(J1201,5,2), RIGHT(J1201,2)), "M/d/yyyy")</f>
        <v>1/1/2025</v>
      </c>
      <c r="L1201" s="24" t="s">
        <v>60</v>
      </c>
      <c r="M1201" s="26">
        <v>1</v>
      </c>
      <c r="N1201" s="25">
        <v>30</v>
      </c>
      <c r="O1201" s="27">
        <v>30</v>
      </c>
      <c r="P1201" s="22" t="s">
        <v>3833</v>
      </c>
    </row>
    <row r="1202" spans="1:16" s="22" customFormat="1" ht="15" customHeight="1" x14ac:dyDescent="0.2">
      <c r="A1202" s="22" t="s">
        <v>3793</v>
      </c>
      <c r="B1202" s="22">
        <v>19396223</v>
      </c>
      <c r="C1202" s="23">
        <v>1</v>
      </c>
      <c r="D1202" s="23">
        <v>921760647</v>
      </c>
      <c r="E1202" s="23">
        <v>921760647</v>
      </c>
      <c r="F1202" s="24" t="s">
        <v>2643</v>
      </c>
      <c r="G1202" s="23">
        <v>0</v>
      </c>
      <c r="H1202" s="23">
        <v>20250301</v>
      </c>
      <c r="I1202" s="23" t="str">
        <f>TEXT(DATE(LEFT(H1202,4), MID(H1202,5,2), RIGHT(H1202,2)), "M/d/yyyy")</f>
        <v>3/1/2025</v>
      </c>
      <c r="J1202" s="25">
        <v>20250101</v>
      </c>
      <c r="K1202" s="23" t="str">
        <f>TEXT(DATE(LEFT(J1202,4), MID(J1202,5,2), RIGHT(J1202,2)), "M/d/yyyy")</f>
        <v>1/1/2025</v>
      </c>
      <c r="L1202" s="24" t="s">
        <v>60</v>
      </c>
      <c r="M1202" s="26">
        <v>1</v>
      </c>
      <c r="N1202" s="25">
        <v>30</v>
      </c>
      <c r="O1202" s="27">
        <v>30</v>
      </c>
      <c r="P1202" s="22" t="s">
        <v>3833</v>
      </c>
    </row>
    <row r="1203" spans="1:16" s="22" customFormat="1" ht="15" customHeight="1" x14ac:dyDescent="0.2">
      <c r="A1203" s="22" t="s">
        <v>3793</v>
      </c>
      <c r="B1203" s="22">
        <v>19396223</v>
      </c>
      <c r="C1203" s="23">
        <v>1</v>
      </c>
      <c r="D1203" s="23">
        <v>921775352</v>
      </c>
      <c r="E1203" s="23">
        <v>921775352</v>
      </c>
      <c r="F1203" s="24" t="s">
        <v>2666</v>
      </c>
      <c r="G1203" s="23">
        <v>0</v>
      </c>
      <c r="H1203" s="23">
        <v>20250301</v>
      </c>
      <c r="I1203" s="23" t="str">
        <f>TEXT(DATE(LEFT(H1203,4), MID(H1203,5,2), RIGHT(H1203,2)), "M/d/yyyy")</f>
        <v>3/1/2025</v>
      </c>
      <c r="J1203" s="25">
        <v>20250201</v>
      </c>
      <c r="K1203" s="23" t="str">
        <f>TEXT(DATE(LEFT(J1203,4), MID(J1203,5,2), RIGHT(J1203,2)), "M/d/yyyy")</f>
        <v>2/1/2025</v>
      </c>
      <c r="L1203" s="24" t="s">
        <v>60</v>
      </c>
      <c r="M1203" s="26">
        <v>1</v>
      </c>
      <c r="N1203" s="25">
        <v>30</v>
      </c>
      <c r="O1203" s="27">
        <v>30</v>
      </c>
      <c r="P1203" s="22" t="s">
        <v>3833</v>
      </c>
    </row>
    <row r="1204" spans="1:16" s="22" customFormat="1" ht="15" customHeight="1" x14ac:dyDescent="0.2">
      <c r="A1204" s="22" t="s">
        <v>3793</v>
      </c>
      <c r="B1204" s="22">
        <v>19396223</v>
      </c>
      <c r="C1204" s="23">
        <v>2</v>
      </c>
      <c r="D1204" s="23">
        <v>921679309</v>
      </c>
      <c r="E1204" s="23">
        <v>921679309</v>
      </c>
      <c r="F1204" s="24" t="s">
        <v>2608</v>
      </c>
      <c r="G1204" s="23">
        <v>0</v>
      </c>
      <c r="H1204" s="23">
        <v>20250301</v>
      </c>
      <c r="I1204" s="23" t="str">
        <f>TEXT(DATE(LEFT(H1204,4), MID(H1204,5,2), RIGHT(H1204,2)), "M/d/yyyy")</f>
        <v>3/1/2025</v>
      </c>
      <c r="J1204" s="25">
        <v>20240101</v>
      </c>
      <c r="K1204" s="23" t="str">
        <f>TEXT(DATE(LEFT(J1204,4), MID(J1204,5,2), RIGHT(J1204,2)), "M/d/yyyy")</f>
        <v>1/1/2024</v>
      </c>
      <c r="L1204" s="24" t="s">
        <v>60</v>
      </c>
      <c r="M1204" s="26">
        <v>1</v>
      </c>
      <c r="N1204" s="25">
        <v>25</v>
      </c>
      <c r="O1204" s="27">
        <v>50</v>
      </c>
      <c r="P1204" s="22" t="s">
        <v>3833</v>
      </c>
    </row>
    <row r="1205" spans="1:16" s="22" customFormat="1" ht="15" customHeight="1" x14ac:dyDescent="0.2">
      <c r="A1205" s="22" t="s">
        <v>3793</v>
      </c>
      <c r="B1205" s="22">
        <v>19396223</v>
      </c>
      <c r="C1205" s="23">
        <v>2</v>
      </c>
      <c r="D1205" s="23">
        <v>890126199</v>
      </c>
      <c r="E1205" s="23">
        <v>890126199</v>
      </c>
      <c r="F1205" s="24" t="s">
        <v>2553</v>
      </c>
      <c r="G1205" s="23">
        <v>0</v>
      </c>
      <c r="H1205" s="23">
        <v>20250301</v>
      </c>
      <c r="I1205" s="23" t="str">
        <f>TEXT(DATE(LEFT(H1205,4), MID(H1205,5,2), RIGHT(H1205,2)), "M/d/yyyy")</f>
        <v>3/1/2025</v>
      </c>
      <c r="J1205" s="25">
        <v>20240901</v>
      </c>
      <c r="K1205" s="23" t="str">
        <f>TEXT(DATE(LEFT(J1205,4), MID(J1205,5,2), RIGHT(J1205,2)), "M/d/yyyy")</f>
        <v>9/1/2024</v>
      </c>
      <c r="L1205" s="24" t="s">
        <v>60</v>
      </c>
      <c r="M1205" s="26">
        <v>1</v>
      </c>
      <c r="N1205" s="25">
        <v>30</v>
      </c>
      <c r="O1205" s="27">
        <v>60</v>
      </c>
      <c r="P1205" s="22" t="s">
        <v>3833</v>
      </c>
    </row>
    <row r="1206" spans="1:16" s="22" customFormat="1" ht="15" customHeight="1" x14ac:dyDescent="0.2">
      <c r="A1206" s="22" t="s">
        <v>3793</v>
      </c>
      <c r="B1206" s="22">
        <v>19396223</v>
      </c>
      <c r="C1206" s="23">
        <v>2</v>
      </c>
      <c r="D1206" s="23">
        <v>921714544</v>
      </c>
      <c r="E1206" s="23">
        <v>921714544</v>
      </c>
      <c r="F1206" s="24" t="s">
        <v>2630</v>
      </c>
      <c r="G1206" s="23">
        <v>0</v>
      </c>
      <c r="H1206" s="23">
        <v>20250301</v>
      </c>
      <c r="I1206" s="23" t="str">
        <f>TEXT(DATE(LEFT(H1206,4), MID(H1206,5,2), RIGHT(H1206,2)), "M/d/yyyy")</f>
        <v>3/1/2025</v>
      </c>
      <c r="J1206" s="25">
        <v>20240401</v>
      </c>
      <c r="K1206" s="23" t="str">
        <f>TEXT(DATE(LEFT(J1206,4), MID(J1206,5,2), RIGHT(J1206,2)), "M/d/yyyy")</f>
        <v>4/1/2024</v>
      </c>
      <c r="L1206" s="24" t="s">
        <v>60</v>
      </c>
      <c r="M1206" s="26">
        <v>1</v>
      </c>
      <c r="N1206" s="25">
        <v>30</v>
      </c>
      <c r="O1206" s="27">
        <v>60</v>
      </c>
      <c r="P1206" s="22" t="s">
        <v>3833</v>
      </c>
    </row>
    <row r="1207" spans="1:16" s="22" customFormat="1" ht="15" customHeight="1" x14ac:dyDescent="0.2">
      <c r="A1207" s="22" t="s">
        <v>3793</v>
      </c>
      <c r="B1207" s="22">
        <v>19396223</v>
      </c>
      <c r="C1207" s="23">
        <v>3</v>
      </c>
      <c r="D1207" s="23">
        <v>921764026</v>
      </c>
      <c r="E1207" s="23">
        <v>921764026</v>
      </c>
      <c r="F1207" s="24" t="s">
        <v>2649</v>
      </c>
      <c r="G1207" s="23">
        <v>0</v>
      </c>
      <c r="H1207" s="23">
        <v>20250301</v>
      </c>
      <c r="I1207" s="23" t="str">
        <f>TEXT(DATE(LEFT(H1207,4), MID(H1207,5,2), RIGHT(H1207,2)), "M/d/yyyy")</f>
        <v>3/1/2025</v>
      </c>
      <c r="J1207" s="25">
        <v>20250101</v>
      </c>
      <c r="K1207" s="23" t="str">
        <f>TEXT(DATE(LEFT(J1207,4), MID(J1207,5,2), RIGHT(J1207,2)), "M/d/yyyy")</f>
        <v>1/1/2025</v>
      </c>
      <c r="L1207" s="24" t="s">
        <v>60</v>
      </c>
      <c r="M1207" s="26">
        <v>1</v>
      </c>
      <c r="N1207" s="25">
        <v>30</v>
      </c>
      <c r="O1207" s="27">
        <v>90</v>
      </c>
      <c r="P1207" s="22" t="s">
        <v>3833</v>
      </c>
    </row>
    <row r="1208" spans="1:16" s="22" customFormat="1" ht="15" customHeight="1" x14ac:dyDescent="0.2">
      <c r="A1208" s="22" t="s">
        <v>3793</v>
      </c>
      <c r="B1208" s="22">
        <v>19396223</v>
      </c>
      <c r="C1208" s="23">
        <v>5</v>
      </c>
      <c r="D1208" s="23">
        <v>921774395</v>
      </c>
      <c r="E1208" s="23">
        <v>921774395</v>
      </c>
      <c r="F1208" s="24" t="s">
        <v>2664</v>
      </c>
      <c r="G1208" s="23">
        <v>0</v>
      </c>
      <c r="H1208" s="23">
        <v>20250301</v>
      </c>
      <c r="I1208" s="23" t="str">
        <f>TEXT(DATE(LEFT(H1208,4), MID(H1208,5,2), RIGHT(H1208,2)), "M/d/yyyy")</f>
        <v>3/1/2025</v>
      </c>
      <c r="J1208" s="25">
        <v>20250201</v>
      </c>
      <c r="K1208" s="23" t="str">
        <f>TEXT(DATE(LEFT(J1208,4), MID(J1208,5,2), RIGHT(J1208,2)), "M/d/yyyy")</f>
        <v>2/1/2025</v>
      </c>
      <c r="L1208" s="24" t="s">
        <v>60</v>
      </c>
      <c r="M1208" s="26">
        <v>1</v>
      </c>
      <c r="N1208" s="25">
        <v>30</v>
      </c>
      <c r="O1208" s="27">
        <v>150</v>
      </c>
      <c r="P1208" s="22" t="s">
        <v>3833</v>
      </c>
    </row>
    <row r="1209" spans="1:16" s="22" customFormat="1" ht="15" customHeight="1" x14ac:dyDescent="0.2">
      <c r="A1209" s="22" t="s">
        <v>3794</v>
      </c>
      <c r="B1209" s="22">
        <v>17126004</v>
      </c>
      <c r="C1209" s="24" t="s">
        <v>588</v>
      </c>
      <c r="D1209" s="23">
        <v>921654827</v>
      </c>
      <c r="E1209" s="23">
        <v>921654827</v>
      </c>
      <c r="F1209" s="24" t="s">
        <v>2688</v>
      </c>
      <c r="G1209" s="23">
        <v>0</v>
      </c>
      <c r="H1209" s="23">
        <v>20250201</v>
      </c>
      <c r="I1209" s="23" t="str">
        <f>TEXT(DATE(LEFT(H1209,4), MID(H1209,5,2), RIGHT(H1209,2)), "M/d/yyyy")</f>
        <v>2/1/2025</v>
      </c>
      <c r="J1209" s="25">
        <v>20230401</v>
      </c>
      <c r="K1209" s="23" t="str">
        <f>TEXT(DATE(LEFT(J1209,4), MID(J1209,5,2), RIGHT(J1209,2)), "M/d/yyyy")</f>
        <v>4/1/2023</v>
      </c>
      <c r="L1209" s="24" t="s">
        <v>60</v>
      </c>
      <c r="M1209" s="26">
        <v>1</v>
      </c>
      <c r="N1209" s="25">
        <v>25</v>
      </c>
      <c r="O1209" s="27">
        <v>-25</v>
      </c>
      <c r="P1209" s="22" t="s">
        <v>3833</v>
      </c>
    </row>
    <row r="1210" spans="1:16" s="22" customFormat="1" ht="15" customHeight="1" x14ac:dyDescent="0.2">
      <c r="A1210" s="22" t="s">
        <v>3794</v>
      </c>
      <c r="B1210" s="22">
        <v>17126004</v>
      </c>
      <c r="C1210" s="23">
        <v>1</v>
      </c>
      <c r="D1210" s="23">
        <v>921654827</v>
      </c>
      <c r="E1210" s="23">
        <v>921654827</v>
      </c>
      <c r="F1210" s="24" t="s">
        <v>2688</v>
      </c>
      <c r="G1210" s="23">
        <v>0</v>
      </c>
      <c r="H1210" s="23">
        <v>20250301</v>
      </c>
      <c r="I1210" s="23" t="str">
        <f>TEXT(DATE(LEFT(H1210,4), MID(H1210,5,2), RIGHT(H1210,2)), "M/d/yyyy")</f>
        <v>3/1/2025</v>
      </c>
      <c r="J1210" s="25">
        <v>20230401</v>
      </c>
      <c r="K1210" s="23" t="str">
        <f>TEXT(DATE(LEFT(J1210,4), MID(J1210,5,2), RIGHT(J1210,2)), "M/d/yyyy")</f>
        <v>4/1/2023</v>
      </c>
      <c r="L1210" s="24" t="s">
        <v>60</v>
      </c>
      <c r="M1210" s="26">
        <v>1</v>
      </c>
      <c r="N1210" s="25">
        <v>25</v>
      </c>
      <c r="O1210" s="27">
        <v>25</v>
      </c>
      <c r="P1210" s="22" t="s">
        <v>3833</v>
      </c>
    </row>
    <row r="1211" spans="1:16" s="22" customFormat="1" ht="15" customHeight="1" x14ac:dyDescent="0.2">
      <c r="A1211" s="22" t="s">
        <v>3794</v>
      </c>
      <c r="B1211" s="22">
        <v>17126004</v>
      </c>
      <c r="C1211" s="23">
        <v>1</v>
      </c>
      <c r="D1211" s="23">
        <v>921654827</v>
      </c>
      <c r="E1211" s="23">
        <v>921654827</v>
      </c>
      <c r="F1211" s="24" t="s">
        <v>2688</v>
      </c>
      <c r="G1211" s="23">
        <v>0</v>
      </c>
      <c r="H1211" s="23">
        <v>20250201</v>
      </c>
      <c r="I1211" s="23" t="str">
        <f>TEXT(DATE(LEFT(H1211,4), MID(H1211,5,2), RIGHT(H1211,2)), "M/d/yyyy")</f>
        <v>2/1/2025</v>
      </c>
      <c r="J1211" s="25">
        <v>20230401</v>
      </c>
      <c r="K1211" s="23" t="str">
        <f>TEXT(DATE(LEFT(J1211,4), MID(J1211,5,2), RIGHT(J1211,2)), "M/d/yyyy")</f>
        <v>4/1/2023</v>
      </c>
      <c r="L1211" s="24" t="s">
        <v>60</v>
      </c>
      <c r="M1211" s="26">
        <v>1</v>
      </c>
      <c r="N1211" s="25">
        <v>25</v>
      </c>
      <c r="O1211" s="27">
        <v>25</v>
      </c>
      <c r="P1211" s="22" t="s">
        <v>3833</v>
      </c>
    </row>
    <row r="1212" spans="1:16" s="22" customFormat="1" ht="15" customHeight="1" x14ac:dyDescent="0.2">
      <c r="A1212" s="22" t="s">
        <v>3794</v>
      </c>
      <c r="B1212" s="22">
        <v>17126004</v>
      </c>
      <c r="C1212" s="23">
        <v>1</v>
      </c>
      <c r="D1212" s="23">
        <v>921663738</v>
      </c>
      <c r="E1212" s="23">
        <v>921663738</v>
      </c>
      <c r="F1212" s="24" t="s">
        <v>2692</v>
      </c>
      <c r="G1212" s="23">
        <v>0</v>
      </c>
      <c r="H1212" s="23">
        <v>20250101</v>
      </c>
      <c r="I1212" s="23" t="str">
        <f>TEXT(DATE(LEFT(H1212,4), MID(H1212,5,2), RIGHT(H1212,2)), "M/d/yyyy")</f>
        <v>1/1/2025</v>
      </c>
      <c r="J1212" s="25">
        <v>20240901</v>
      </c>
      <c r="K1212" s="23" t="str">
        <f>TEXT(DATE(LEFT(J1212,4), MID(J1212,5,2), RIGHT(J1212,2)), "M/d/yyyy")</f>
        <v>9/1/2024</v>
      </c>
      <c r="L1212" s="24" t="s">
        <v>60</v>
      </c>
      <c r="M1212" s="26">
        <v>1</v>
      </c>
      <c r="N1212" s="25">
        <v>30</v>
      </c>
      <c r="O1212" s="27">
        <v>30</v>
      </c>
      <c r="P1212" s="22" t="s">
        <v>3833</v>
      </c>
    </row>
    <row r="1213" spans="1:16" s="22" customFormat="1" ht="15" customHeight="1" x14ac:dyDescent="0.2">
      <c r="A1213" s="22" t="s">
        <v>3794</v>
      </c>
      <c r="B1213" s="22">
        <v>17126004</v>
      </c>
      <c r="C1213" s="23">
        <v>1</v>
      </c>
      <c r="D1213" s="23">
        <v>921716008</v>
      </c>
      <c r="E1213" s="23">
        <v>921716008</v>
      </c>
      <c r="F1213" s="24" t="s">
        <v>2698</v>
      </c>
      <c r="G1213" s="23">
        <v>0</v>
      </c>
      <c r="H1213" s="23">
        <v>20250301</v>
      </c>
      <c r="I1213" s="23" t="str">
        <f>TEXT(DATE(LEFT(H1213,4), MID(H1213,5,2), RIGHT(H1213,2)), "M/d/yyyy")</f>
        <v>3/1/2025</v>
      </c>
      <c r="J1213" s="25">
        <v>20240401</v>
      </c>
      <c r="K1213" s="23" t="str">
        <f>TEXT(DATE(LEFT(J1213,4), MID(J1213,5,2), RIGHT(J1213,2)), "M/d/yyyy")</f>
        <v>4/1/2024</v>
      </c>
      <c r="L1213" s="24" t="s">
        <v>60</v>
      </c>
      <c r="M1213" s="26">
        <v>1</v>
      </c>
      <c r="N1213" s="25">
        <v>30</v>
      </c>
      <c r="O1213" s="27">
        <v>30</v>
      </c>
      <c r="P1213" s="22" t="s">
        <v>3833</v>
      </c>
    </row>
    <row r="1214" spans="1:16" s="22" customFormat="1" ht="15" customHeight="1" x14ac:dyDescent="0.2">
      <c r="A1214" s="22" t="s">
        <v>3802</v>
      </c>
      <c r="B1214" s="28">
        <v>371819</v>
      </c>
      <c r="C1214" s="23">
        <v>1</v>
      </c>
      <c r="D1214" s="23">
        <v>921735115</v>
      </c>
      <c r="E1214" s="23">
        <v>921735115</v>
      </c>
      <c r="F1214" s="24" t="s">
        <v>3059</v>
      </c>
      <c r="G1214" s="23">
        <v>0</v>
      </c>
      <c r="H1214" s="23">
        <v>20250301</v>
      </c>
      <c r="I1214" s="23" t="str">
        <f>TEXT(DATE(LEFT(H1214,4), MID(H1214,5,2), RIGHT(H1214,2)), "M/d/yyyy")</f>
        <v>3/1/2025</v>
      </c>
      <c r="J1214" s="25">
        <v>20240901</v>
      </c>
      <c r="K1214" s="23" t="str">
        <f>TEXT(DATE(LEFT(J1214,4), MID(J1214,5,2), RIGHT(J1214,2)), "M/d/yyyy")</f>
        <v>9/1/2024</v>
      </c>
      <c r="L1214" s="24" t="s">
        <v>60</v>
      </c>
      <c r="M1214" s="26">
        <v>1</v>
      </c>
      <c r="N1214" s="25">
        <v>30</v>
      </c>
      <c r="O1214" s="27">
        <v>30</v>
      </c>
      <c r="P1214" s="22" t="s">
        <v>3833</v>
      </c>
    </row>
    <row r="1215" spans="1:16" s="22" customFormat="1" ht="15" customHeight="1" x14ac:dyDescent="0.2">
      <c r="A1215" s="22" t="s">
        <v>3780</v>
      </c>
      <c r="B1215" s="22">
        <v>18581063</v>
      </c>
      <c r="C1215" s="23">
        <v>1</v>
      </c>
      <c r="D1215" s="23">
        <v>921579057</v>
      </c>
      <c r="E1215" s="23">
        <v>921579057</v>
      </c>
      <c r="F1215" s="24" t="s">
        <v>654</v>
      </c>
      <c r="G1215" s="23">
        <v>0</v>
      </c>
      <c r="H1215" s="23">
        <v>20250301</v>
      </c>
      <c r="I1215" s="23" t="str">
        <f>TEXT(DATE(LEFT(H1215,4), MID(H1215,5,2), RIGHT(H1215,2)), "M/d/yyyy")</f>
        <v>3/1/2025</v>
      </c>
      <c r="J1215" s="25">
        <v>20210801</v>
      </c>
      <c r="K1215" s="23" t="str">
        <f>TEXT(DATE(LEFT(J1215,4), MID(J1215,5,2), RIGHT(J1215,2)), "M/d/yyyy")</f>
        <v>8/1/2021</v>
      </c>
      <c r="L1215" s="24" t="s">
        <v>60</v>
      </c>
      <c r="M1215" s="26">
        <v>1</v>
      </c>
      <c r="N1215" s="25">
        <v>25</v>
      </c>
      <c r="O1215" s="27">
        <v>25</v>
      </c>
      <c r="P1215" s="22" t="s">
        <v>3833</v>
      </c>
    </row>
    <row r="1216" spans="1:16" s="22" customFormat="1" ht="15" customHeight="1" x14ac:dyDescent="0.2">
      <c r="A1216" s="22" t="s">
        <v>3780</v>
      </c>
      <c r="B1216" s="22">
        <v>18581063</v>
      </c>
      <c r="C1216" s="23">
        <v>1</v>
      </c>
      <c r="D1216" s="23">
        <v>921579057</v>
      </c>
      <c r="E1216" s="23">
        <v>921579057</v>
      </c>
      <c r="F1216" s="24" t="s">
        <v>654</v>
      </c>
      <c r="G1216" s="23">
        <v>0</v>
      </c>
      <c r="H1216" s="23">
        <v>20250201</v>
      </c>
      <c r="I1216" s="23" t="str">
        <f>TEXT(DATE(LEFT(H1216,4), MID(H1216,5,2), RIGHT(H1216,2)), "M/d/yyyy")</f>
        <v>2/1/2025</v>
      </c>
      <c r="J1216" s="25">
        <v>20210801</v>
      </c>
      <c r="K1216" s="23" t="str">
        <f>TEXT(DATE(LEFT(J1216,4), MID(J1216,5,2), RIGHT(J1216,2)), "M/d/yyyy")</f>
        <v>8/1/2021</v>
      </c>
      <c r="L1216" s="24" t="s">
        <v>60</v>
      </c>
      <c r="M1216" s="26">
        <v>1</v>
      </c>
      <c r="N1216" s="25">
        <v>25</v>
      </c>
      <c r="O1216" s="27">
        <v>25</v>
      </c>
      <c r="P1216" s="22" t="s">
        <v>3833</v>
      </c>
    </row>
    <row r="1217" spans="1:16" s="22" customFormat="1" ht="15" customHeight="1" x14ac:dyDescent="0.2">
      <c r="A1217" s="22" t="s">
        <v>3804</v>
      </c>
      <c r="B1217" s="22">
        <v>20490188</v>
      </c>
      <c r="C1217" s="23">
        <v>1</v>
      </c>
      <c r="D1217" s="23">
        <v>921744197</v>
      </c>
      <c r="E1217" s="23">
        <v>921744197</v>
      </c>
      <c r="F1217" s="24" t="s">
        <v>3117</v>
      </c>
      <c r="G1217" s="23">
        <v>0</v>
      </c>
      <c r="H1217" s="23">
        <v>20250301</v>
      </c>
      <c r="I1217" s="23" t="str">
        <f>TEXT(DATE(LEFT(H1217,4), MID(H1217,5,2), RIGHT(H1217,2)), "M/d/yyyy")</f>
        <v>3/1/2025</v>
      </c>
      <c r="J1217" s="25">
        <v>20241101</v>
      </c>
      <c r="K1217" s="23" t="str">
        <f>TEXT(DATE(LEFT(J1217,4), MID(J1217,5,2), RIGHT(J1217,2)), "M/d/yyyy")</f>
        <v>11/1/2024</v>
      </c>
      <c r="L1217" s="24" t="s">
        <v>60</v>
      </c>
      <c r="M1217" s="26">
        <v>1</v>
      </c>
      <c r="N1217" s="25">
        <v>30</v>
      </c>
      <c r="O1217" s="27">
        <v>30</v>
      </c>
      <c r="P1217" s="22" t="s">
        <v>3833</v>
      </c>
    </row>
    <row r="1218" spans="1:16" s="22" customFormat="1" ht="15" customHeight="1" x14ac:dyDescent="0.2">
      <c r="A1218" s="22" t="s">
        <v>3813</v>
      </c>
      <c r="B1218" s="22">
        <v>21283956</v>
      </c>
      <c r="C1218" s="23">
        <v>1</v>
      </c>
      <c r="D1218" s="23">
        <v>921724104</v>
      </c>
      <c r="E1218" s="23">
        <v>921724104</v>
      </c>
      <c r="F1218" s="24" t="s">
        <v>3419</v>
      </c>
      <c r="G1218" s="23">
        <v>0</v>
      </c>
      <c r="H1218" s="23">
        <v>20250301</v>
      </c>
      <c r="I1218" s="23" t="str">
        <f>TEXT(DATE(LEFT(H1218,4), MID(H1218,5,2), RIGHT(H1218,2)), "M/d/yyyy")</f>
        <v>3/1/2025</v>
      </c>
      <c r="J1218" s="25">
        <v>20240501</v>
      </c>
      <c r="K1218" s="23" t="str">
        <f>TEXT(DATE(LEFT(J1218,4), MID(J1218,5,2), RIGHT(J1218,2)), "M/d/yyyy")</f>
        <v>5/1/2024</v>
      </c>
      <c r="L1218" s="24" t="s">
        <v>60</v>
      </c>
      <c r="M1218" s="26">
        <v>1</v>
      </c>
      <c r="N1218" s="25">
        <v>30</v>
      </c>
      <c r="O1218" s="27">
        <v>30</v>
      </c>
      <c r="P1218" s="22" t="s">
        <v>3833</v>
      </c>
    </row>
    <row r="1219" spans="1:16" s="22" customFormat="1" ht="15" customHeight="1" x14ac:dyDescent="0.2">
      <c r="A1219" s="22" t="s">
        <v>3813</v>
      </c>
      <c r="B1219" s="22">
        <v>21283956</v>
      </c>
      <c r="C1219" s="23">
        <v>1</v>
      </c>
      <c r="D1219" s="23">
        <v>921759933</v>
      </c>
      <c r="E1219" s="23">
        <v>921759933</v>
      </c>
      <c r="F1219" s="24" t="s">
        <v>3427</v>
      </c>
      <c r="G1219" s="23">
        <v>0</v>
      </c>
      <c r="H1219" s="23">
        <v>20250301</v>
      </c>
      <c r="I1219" s="23" t="str">
        <f>TEXT(DATE(LEFT(H1219,4), MID(H1219,5,2), RIGHT(H1219,2)), "M/d/yyyy")</f>
        <v>3/1/2025</v>
      </c>
      <c r="J1219" s="25">
        <v>20250101</v>
      </c>
      <c r="K1219" s="23" t="str">
        <f>TEXT(DATE(LEFT(J1219,4), MID(J1219,5,2), RIGHT(J1219,2)), "M/d/yyyy")</f>
        <v>1/1/2025</v>
      </c>
      <c r="L1219" s="24" t="s">
        <v>60</v>
      </c>
      <c r="M1219" s="26">
        <v>1</v>
      </c>
      <c r="N1219" s="25">
        <v>30</v>
      </c>
      <c r="O1219" s="27">
        <v>30</v>
      </c>
      <c r="P1219" s="22" t="s">
        <v>3833</v>
      </c>
    </row>
    <row r="1220" spans="1:16" s="22" customFormat="1" ht="15" customHeight="1" x14ac:dyDescent="0.2">
      <c r="A1220" s="22" t="s">
        <v>3792</v>
      </c>
      <c r="B1220" s="22">
        <v>16912722</v>
      </c>
      <c r="C1220" s="23">
        <v>1</v>
      </c>
      <c r="D1220" s="23">
        <v>921724471</v>
      </c>
      <c r="E1220" s="23">
        <v>921724471</v>
      </c>
      <c r="F1220" s="24" t="s">
        <v>2526</v>
      </c>
      <c r="G1220" s="23">
        <v>0</v>
      </c>
      <c r="H1220" s="23">
        <v>20250301</v>
      </c>
      <c r="I1220" s="23" t="str">
        <f>TEXT(DATE(LEFT(H1220,4), MID(H1220,5,2), RIGHT(H1220,2)), "M/d/yyyy")</f>
        <v>3/1/2025</v>
      </c>
      <c r="J1220" s="25">
        <v>20240601</v>
      </c>
      <c r="K1220" s="23" t="str">
        <f>TEXT(DATE(LEFT(J1220,4), MID(J1220,5,2), RIGHT(J1220,2)), "M/d/yyyy")</f>
        <v>6/1/2024</v>
      </c>
      <c r="L1220" s="24" t="s">
        <v>135</v>
      </c>
      <c r="M1220" s="26">
        <v>1</v>
      </c>
      <c r="N1220" s="25">
        <v>25</v>
      </c>
      <c r="O1220" s="27">
        <v>25</v>
      </c>
      <c r="P1220" s="22" t="s">
        <v>3830</v>
      </c>
    </row>
    <row r="1221" spans="1:16" s="22" customFormat="1" ht="15" customHeight="1" x14ac:dyDescent="0.2">
      <c r="A1221" s="22" t="s">
        <v>3782</v>
      </c>
      <c r="B1221" s="22">
        <v>7470776</v>
      </c>
      <c r="C1221" s="24" t="s">
        <v>588</v>
      </c>
      <c r="D1221" s="23">
        <v>921729823</v>
      </c>
      <c r="E1221" s="23">
        <v>921729823</v>
      </c>
      <c r="F1221" s="24" t="s">
        <v>1191</v>
      </c>
      <c r="G1221" s="23">
        <v>0</v>
      </c>
      <c r="H1221" s="23">
        <v>20250201</v>
      </c>
      <c r="I1221" s="23" t="str">
        <f>TEXT(DATE(LEFT(H1221,4), MID(H1221,5,2), RIGHT(H1221,2)), "M/d/yyyy")</f>
        <v>2/1/2025</v>
      </c>
      <c r="J1221" s="25">
        <v>20240701</v>
      </c>
      <c r="K1221" s="23" t="str">
        <f>TEXT(DATE(LEFT(J1221,4), MID(J1221,5,2), RIGHT(J1221,2)), "M/d/yyyy")</f>
        <v>7/1/2024</v>
      </c>
      <c r="L1221" s="24" t="s">
        <v>135</v>
      </c>
      <c r="M1221" s="26">
        <v>1</v>
      </c>
      <c r="N1221" s="25">
        <v>25</v>
      </c>
      <c r="O1221" s="27">
        <v>-25</v>
      </c>
      <c r="P1221" s="22" t="s">
        <v>3830</v>
      </c>
    </row>
    <row r="1222" spans="1:16" s="22" customFormat="1" ht="15" customHeight="1" x14ac:dyDescent="0.2">
      <c r="A1222" s="22" t="s">
        <v>3782</v>
      </c>
      <c r="B1222" s="22">
        <v>7470776</v>
      </c>
      <c r="C1222" s="23">
        <v>1</v>
      </c>
      <c r="D1222" s="23">
        <v>920731862</v>
      </c>
      <c r="E1222" s="23">
        <v>920731862</v>
      </c>
      <c r="F1222" s="24" t="s">
        <v>974</v>
      </c>
      <c r="G1222" s="23">
        <v>0</v>
      </c>
      <c r="H1222" s="23">
        <v>20250201</v>
      </c>
      <c r="I1222" s="23" t="str">
        <f>TEXT(DATE(LEFT(H1222,4), MID(H1222,5,2), RIGHT(H1222,2)), "M/d/yyyy")</f>
        <v>2/1/2025</v>
      </c>
      <c r="J1222" s="25">
        <v>20140101</v>
      </c>
      <c r="K1222" s="23" t="str">
        <f>TEXT(DATE(LEFT(J1222,4), MID(J1222,5,2), RIGHT(J1222,2)), "M/d/yyyy")</f>
        <v>1/1/2014</v>
      </c>
      <c r="L1222" s="24" t="s">
        <v>135</v>
      </c>
      <c r="M1222" s="26">
        <v>1</v>
      </c>
      <c r="N1222" s="25">
        <v>20</v>
      </c>
      <c r="O1222" s="27">
        <v>20</v>
      </c>
      <c r="P1222" s="22" t="s">
        <v>3830</v>
      </c>
    </row>
    <row r="1223" spans="1:16" s="22" customFormat="1" ht="15" customHeight="1" x14ac:dyDescent="0.2">
      <c r="A1223" s="22" t="s">
        <v>3782</v>
      </c>
      <c r="B1223" s="22">
        <v>7470776</v>
      </c>
      <c r="C1223" s="23">
        <v>1</v>
      </c>
      <c r="D1223" s="23">
        <v>921041648</v>
      </c>
      <c r="E1223" s="23">
        <v>921041648</v>
      </c>
      <c r="F1223" s="24" t="s">
        <v>1024</v>
      </c>
      <c r="G1223" s="23">
        <v>0</v>
      </c>
      <c r="H1223" s="23">
        <v>20250301</v>
      </c>
      <c r="I1223" s="23" t="str">
        <f>TEXT(DATE(LEFT(H1223,4), MID(H1223,5,2), RIGHT(H1223,2)), "M/d/yyyy")</f>
        <v>3/1/2025</v>
      </c>
      <c r="J1223" s="25">
        <v>20240101</v>
      </c>
      <c r="K1223" s="23" t="str">
        <f>TEXT(DATE(LEFT(J1223,4), MID(J1223,5,2), RIGHT(J1223,2)), "M/d/yyyy")</f>
        <v>1/1/2024</v>
      </c>
      <c r="L1223" s="24" t="s">
        <v>135</v>
      </c>
      <c r="M1223" s="26">
        <v>1</v>
      </c>
      <c r="N1223" s="25">
        <v>20</v>
      </c>
      <c r="O1223" s="27">
        <v>20</v>
      </c>
      <c r="P1223" s="22" t="s">
        <v>3830</v>
      </c>
    </row>
    <row r="1224" spans="1:16" s="22" customFormat="1" ht="15" customHeight="1" x14ac:dyDescent="0.2">
      <c r="A1224" s="22" t="s">
        <v>3782</v>
      </c>
      <c r="B1224" s="22">
        <v>7470776</v>
      </c>
      <c r="C1224" s="23">
        <v>1</v>
      </c>
      <c r="D1224" s="23">
        <v>921284503</v>
      </c>
      <c r="E1224" s="23">
        <v>921284503</v>
      </c>
      <c r="F1224" s="24" t="s">
        <v>1038</v>
      </c>
      <c r="G1224" s="23">
        <v>0</v>
      </c>
      <c r="H1224" s="23">
        <v>20250301</v>
      </c>
      <c r="I1224" s="23" t="str">
        <f>TEXT(DATE(LEFT(H1224,4), MID(H1224,5,2), RIGHT(H1224,2)), "M/d/yyyy")</f>
        <v>3/1/2025</v>
      </c>
      <c r="J1224" s="25">
        <v>20210101</v>
      </c>
      <c r="K1224" s="23" t="str">
        <f>TEXT(DATE(LEFT(J1224,4), MID(J1224,5,2), RIGHT(J1224,2)), "M/d/yyyy")</f>
        <v>1/1/2021</v>
      </c>
      <c r="L1224" s="24" t="s">
        <v>135</v>
      </c>
      <c r="M1224" s="26">
        <v>1</v>
      </c>
      <c r="N1224" s="25">
        <v>20</v>
      </c>
      <c r="O1224" s="27">
        <v>20</v>
      </c>
      <c r="P1224" s="22" t="s">
        <v>3830</v>
      </c>
    </row>
    <row r="1225" spans="1:16" s="22" customFormat="1" ht="15" customHeight="1" x14ac:dyDescent="0.2">
      <c r="A1225" s="22" t="s">
        <v>3782</v>
      </c>
      <c r="B1225" s="22">
        <v>7470776</v>
      </c>
      <c r="C1225" s="23">
        <v>1</v>
      </c>
      <c r="D1225" s="23">
        <v>921498630</v>
      </c>
      <c r="E1225" s="23">
        <v>921498630</v>
      </c>
      <c r="F1225" s="24" t="s">
        <v>1080</v>
      </c>
      <c r="G1225" s="23">
        <v>0</v>
      </c>
      <c r="H1225" s="23">
        <v>20250301</v>
      </c>
      <c r="I1225" s="23" t="str">
        <f>TEXT(DATE(LEFT(H1225,4), MID(H1225,5,2), RIGHT(H1225,2)), "M/d/yyyy")</f>
        <v>3/1/2025</v>
      </c>
      <c r="J1225" s="25">
        <v>20200101</v>
      </c>
      <c r="K1225" s="23" t="str">
        <f>TEXT(DATE(LEFT(J1225,4), MID(J1225,5,2), RIGHT(J1225,2)), "M/d/yyyy")</f>
        <v>1/1/2020</v>
      </c>
      <c r="L1225" s="24" t="s">
        <v>135</v>
      </c>
      <c r="M1225" s="26">
        <v>1</v>
      </c>
      <c r="N1225" s="25">
        <v>20</v>
      </c>
      <c r="O1225" s="27">
        <v>20</v>
      </c>
      <c r="P1225" s="22" t="s">
        <v>3830</v>
      </c>
    </row>
    <row r="1226" spans="1:16" s="22" customFormat="1" ht="15" customHeight="1" x14ac:dyDescent="0.2">
      <c r="A1226" s="22" t="s">
        <v>3782</v>
      </c>
      <c r="B1226" s="22">
        <v>7470776</v>
      </c>
      <c r="C1226" s="23">
        <v>1</v>
      </c>
      <c r="D1226" s="23">
        <v>921626460</v>
      </c>
      <c r="E1226" s="23">
        <v>921626460</v>
      </c>
      <c r="F1226" s="24" t="s">
        <v>1105</v>
      </c>
      <c r="G1226" s="23">
        <v>0</v>
      </c>
      <c r="H1226" s="23">
        <v>20250301</v>
      </c>
      <c r="I1226" s="23" t="str">
        <f>TEXT(DATE(LEFT(H1226,4), MID(H1226,5,2), RIGHT(H1226,2)), "M/d/yyyy")</f>
        <v>3/1/2025</v>
      </c>
      <c r="J1226" s="25">
        <v>20221201</v>
      </c>
      <c r="K1226" s="23" t="str">
        <f>TEXT(DATE(LEFT(J1226,4), MID(J1226,5,2), RIGHT(J1226,2)), "M/d/yyyy")</f>
        <v>12/1/2022</v>
      </c>
      <c r="L1226" s="24" t="s">
        <v>135</v>
      </c>
      <c r="M1226" s="26">
        <v>1</v>
      </c>
      <c r="N1226" s="25">
        <v>20</v>
      </c>
      <c r="O1226" s="27">
        <v>20</v>
      </c>
      <c r="P1226" s="22" t="s">
        <v>3830</v>
      </c>
    </row>
    <row r="1227" spans="1:16" s="22" customFormat="1" ht="15" customHeight="1" x14ac:dyDescent="0.2">
      <c r="A1227" s="22" t="s">
        <v>3782</v>
      </c>
      <c r="B1227" s="22">
        <v>7470776</v>
      </c>
      <c r="C1227" s="23">
        <v>1</v>
      </c>
      <c r="D1227" s="23">
        <v>921626562</v>
      </c>
      <c r="E1227" s="23">
        <v>921626562</v>
      </c>
      <c r="F1227" s="24" t="s">
        <v>1109</v>
      </c>
      <c r="G1227" s="23">
        <v>0</v>
      </c>
      <c r="H1227" s="23">
        <v>20250301</v>
      </c>
      <c r="I1227" s="23" t="str">
        <f>TEXT(DATE(LEFT(H1227,4), MID(H1227,5,2), RIGHT(H1227,2)), "M/d/yyyy")</f>
        <v>3/1/2025</v>
      </c>
      <c r="J1227" s="25">
        <v>20230101</v>
      </c>
      <c r="K1227" s="23" t="str">
        <f>TEXT(DATE(LEFT(J1227,4), MID(J1227,5,2), RIGHT(J1227,2)), "M/d/yyyy")</f>
        <v>1/1/2023</v>
      </c>
      <c r="L1227" s="24" t="s">
        <v>135</v>
      </c>
      <c r="M1227" s="26">
        <v>1</v>
      </c>
      <c r="N1227" s="25">
        <v>20</v>
      </c>
      <c r="O1227" s="27">
        <v>20</v>
      </c>
      <c r="P1227" s="22" t="s">
        <v>3830</v>
      </c>
    </row>
    <row r="1228" spans="1:16" s="22" customFormat="1" ht="15" customHeight="1" x14ac:dyDescent="0.2">
      <c r="A1228" s="22" t="s">
        <v>3782</v>
      </c>
      <c r="B1228" s="22">
        <v>7470776</v>
      </c>
      <c r="C1228" s="23">
        <v>1</v>
      </c>
      <c r="D1228" s="23">
        <v>921665441</v>
      </c>
      <c r="E1228" s="23">
        <v>921665441</v>
      </c>
      <c r="F1228" s="24" t="s">
        <v>1129</v>
      </c>
      <c r="G1228" s="23">
        <v>0</v>
      </c>
      <c r="H1228" s="23">
        <v>20250301</v>
      </c>
      <c r="I1228" s="23" t="str">
        <f>TEXT(DATE(LEFT(H1228,4), MID(H1228,5,2), RIGHT(H1228,2)), "M/d/yyyy")</f>
        <v>3/1/2025</v>
      </c>
      <c r="J1228" s="25">
        <v>20230801</v>
      </c>
      <c r="K1228" s="23" t="str">
        <f>TEXT(DATE(LEFT(J1228,4), MID(J1228,5,2), RIGHT(J1228,2)), "M/d/yyyy")</f>
        <v>8/1/2023</v>
      </c>
      <c r="L1228" s="24" t="s">
        <v>135</v>
      </c>
      <c r="M1228" s="26">
        <v>1</v>
      </c>
      <c r="N1228" s="25">
        <v>20</v>
      </c>
      <c r="O1228" s="27">
        <v>20</v>
      </c>
      <c r="P1228" s="22" t="s">
        <v>3830</v>
      </c>
    </row>
    <row r="1229" spans="1:16" s="22" customFormat="1" ht="15" customHeight="1" x14ac:dyDescent="0.2">
      <c r="A1229" s="22" t="s">
        <v>3782</v>
      </c>
      <c r="B1229" s="22">
        <v>7470776</v>
      </c>
      <c r="C1229" s="23">
        <v>1</v>
      </c>
      <c r="D1229" s="23">
        <v>921669678</v>
      </c>
      <c r="E1229" s="23">
        <v>921669678</v>
      </c>
      <c r="F1229" s="24" t="s">
        <v>1131</v>
      </c>
      <c r="G1229" s="23">
        <v>0</v>
      </c>
      <c r="H1229" s="23">
        <v>20250301</v>
      </c>
      <c r="I1229" s="23" t="str">
        <f>TEXT(DATE(LEFT(H1229,4), MID(H1229,5,2), RIGHT(H1229,2)), "M/d/yyyy")</f>
        <v>3/1/2025</v>
      </c>
      <c r="J1229" s="25">
        <v>20230901</v>
      </c>
      <c r="K1229" s="23" t="str">
        <f>TEXT(DATE(LEFT(J1229,4), MID(J1229,5,2), RIGHT(J1229,2)), "M/d/yyyy")</f>
        <v>9/1/2023</v>
      </c>
      <c r="L1229" s="24" t="s">
        <v>135</v>
      </c>
      <c r="M1229" s="26">
        <v>1</v>
      </c>
      <c r="N1229" s="25">
        <v>20</v>
      </c>
      <c r="O1229" s="27">
        <v>20</v>
      </c>
      <c r="P1229" s="22" t="s">
        <v>3830</v>
      </c>
    </row>
    <row r="1230" spans="1:16" s="22" customFormat="1" ht="15" customHeight="1" x14ac:dyDescent="0.2">
      <c r="A1230" s="22" t="s">
        <v>3782</v>
      </c>
      <c r="B1230" s="22">
        <v>7470776</v>
      </c>
      <c r="C1230" s="23">
        <v>1</v>
      </c>
      <c r="D1230" s="23">
        <v>921671201</v>
      </c>
      <c r="E1230" s="23">
        <v>921671201</v>
      </c>
      <c r="F1230" s="24" t="s">
        <v>1135</v>
      </c>
      <c r="G1230" s="23">
        <v>0</v>
      </c>
      <c r="H1230" s="23">
        <v>20250301</v>
      </c>
      <c r="I1230" s="23" t="str">
        <f>TEXT(DATE(LEFT(H1230,4), MID(H1230,5,2), RIGHT(H1230,2)), "M/d/yyyy")</f>
        <v>3/1/2025</v>
      </c>
      <c r="J1230" s="25">
        <v>20231001</v>
      </c>
      <c r="K1230" s="23" t="str">
        <f>TEXT(DATE(LEFT(J1230,4), MID(J1230,5,2), RIGHT(J1230,2)), "M/d/yyyy")</f>
        <v>10/1/2023</v>
      </c>
      <c r="L1230" s="24" t="s">
        <v>135</v>
      </c>
      <c r="M1230" s="26">
        <v>1</v>
      </c>
      <c r="N1230" s="25">
        <v>20</v>
      </c>
      <c r="O1230" s="27">
        <v>20</v>
      </c>
      <c r="P1230" s="22" t="s">
        <v>3830</v>
      </c>
    </row>
    <row r="1231" spans="1:16" s="22" customFormat="1" ht="15" customHeight="1" x14ac:dyDescent="0.2">
      <c r="A1231" s="22" t="s">
        <v>3782</v>
      </c>
      <c r="B1231" s="22">
        <v>7470776</v>
      </c>
      <c r="C1231" s="23">
        <v>1</v>
      </c>
      <c r="D1231" s="23">
        <v>921672709</v>
      </c>
      <c r="E1231" s="23">
        <v>921672709</v>
      </c>
      <c r="F1231" s="24" t="s">
        <v>1137</v>
      </c>
      <c r="G1231" s="23">
        <v>0</v>
      </c>
      <c r="H1231" s="23">
        <v>20250301</v>
      </c>
      <c r="I1231" s="23" t="str">
        <f>TEXT(DATE(LEFT(H1231,4), MID(H1231,5,2), RIGHT(H1231,2)), "M/d/yyyy")</f>
        <v>3/1/2025</v>
      </c>
      <c r="J1231" s="25">
        <v>20231001</v>
      </c>
      <c r="K1231" s="23" t="str">
        <f>TEXT(DATE(LEFT(J1231,4), MID(J1231,5,2), RIGHT(J1231,2)), "M/d/yyyy")</f>
        <v>10/1/2023</v>
      </c>
      <c r="L1231" s="24" t="s">
        <v>135</v>
      </c>
      <c r="M1231" s="26">
        <v>1</v>
      </c>
      <c r="N1231" s="25">
        <v>20</v>
      </c>
      <c r="O1231" s="27">
        <v>20</v>
      </c>
      <c r="P1231" s="22" t="s">
        <v>3830</v>
      </c>
    </row>
    <row r="1232" spans="1:16" s="22" customFormat="1" ht="15" customHeight="1" x14ac:dyDescent="0.2">
      <c r="A1232" s="22" t="s">
        <v>3782</v>
      </c>
      <c r="B1232" s="22">
        <v>7470776</v>
      </c>
      <c r="C1232" s="23">
        <v>1</v>
      </c>
      <c r="D1232" s="23">
        <v>920829633</v>
      </c>
      <c r="E1232" s="23">
        <v>920829633</v>
      </c>
      <c r="F1232" s="24" t="s">
        <v>997</v>
      </c>
      <c r="G1232" s="23">
        <v>0</v>
      </c>
      <c r="H1232" s="23">
        <v>20250301</v>
      </c>
      <c r="I1232" s="23" t="str">
        <f>TEXT(DATE(LEFT(H1232,4), MID(H1232,5,2), RIGHT(H1232,2)), "M/d/yyyy")</f>
        <v>3/1/2025</v>
      </c>
      <c r="J1232" s="25">
        <v>20241001</v>
      </c>
      <c r="K1232" s="23" t="str">
        <f>TEXT(DATE(LEFT(J1232,4), MID(J1232,5,2), RIGHT(J1232,2)), "M/d/yyyy")</f>
        <v>10/1/2024</v>
      </c>
      <c r="L1232" s="24" t="s">
        <v>135</v>
      </c>
      <c r="M1232" s="26">
        <v>1</v>
      </c>
      <c r="N1232" s="25">
        <v>25</v>
      </c>
      <c r="O1232" s="27">
        <v>25</v>
      </c>
      <c r="P1232" s="22" t="s">
        <v>3830</v>
      </c>
    </row>
    <row r="1233" spans="1:16" s="22" customFormat="1" ht="15" customHeight="1" x14ac:dyDescent="0.2">
      <c r="A1233" s="22" t="s">
        <v>3782</v>
      </c>
      <c r="B1233" s="22">
        <v>7470776</v>
      </c>
      <c r="C1233" s="23">
        <v>1</v>
      </c>
      <c r="D1233" s="23">
        <v>921065609</v>
      </c>
      <c r="E1233" s="23">
        <v>921065609</v>
      </c>
      <c r="F1233" s="24" t="s">
        <v>1030</v>
      </c>
      <c r="G1233" s="23">
        <v>0</v>
      </c>
      <c r="H1233" s="23">
        <v>20250301</v>
      </c>
      <c r="I1233" s="23" t="str">
        <f>TEXT(DATE(LEFT(H1233,4), MID(H1233,5,2), RIGHT(H1233,2)), "M/d/yyyy")</f>
        <v>3/1/2025</v>
      </c>
      <c r="J1233" s="25">
        <v>20250101</v>
      </c>
      <c r="K1233" s="23" t="str">
        <f>TEXT(DATE(LEFT(J1233,4), MID(J1233,5,2), RIGHT(J1233,2)), "M/d/yyyy")</f>
        <v>1/1/2025</v>
      </c>
      <c r="L1233" s="24" t="s">
        <v>135</v>
      </c>
      <c r="M1233" s="26">
        <v>1</v>
      </c>
      <c r="N1233" s="25">
        <v>25</v>
      </c>
      <c r="O1233" s="27">
        <v>25</v>
      </c>
      <c r="P1233" s="22" t="s">
        <v>3830</v>
      </c>
    </row>
    <row r="1234" spans="1:16" s="22" customFormat="1" ht="15" customHeight="1" x14ac:dyDescent="0.2">
      <c r="A1234" s="22" t="s">
        <v>3782</v>
      </c>
      <c r="B1234" s="22">
        <v>7470776</v>
      </c>
      <c r="C1234" s="23">
        <v>1</v>
      </c>
      <c r="D1234" s="23">
        <v>921671193</v>
      </c>
      <c r="E1234" s="23">
        <v>921671193</v>
      </c>
      <c r="F1234" s="24" t="s">
        <v>1133</v>
      </c>
      <c r="G1234" s="23">
        <v>0</v>
      </c>
      <c r="H1234" s="23">
        <v>20250301</v>
      </c>
      <c r="I1234" s="23" t="str">
        <f>TEXT(DATE(LEFT(H1234,4), MID(H1234,5,2), RIGHT(H1234,2)), "M/d/yyyy")</f>
        <v>3/1/2025</v>
      </c>
      <c r="J1234" s="25">
        <v>20250101</v>
      </c>
      <c r="K1234" s="23" t="str">
        <f>TEXT(DATE(LEFT(J1234,4), MID(J1234,5,2), RIGHT(J1234,2)), "M/d/yyyy")</f>
        <v>1/1/2025</v>
      </c>
      <c r="L1234" s="24" t="s">
        <v>135</v>
      </c>
      <c r="M1234" s="26">
        <v>1</v>
      </c>
      <c r="N1234" s="25">
        <v>25</v>
      </c>
      <c r="O1234" s="27">
        <v>25</v>
      </c>
      <c r="P1234" s="22" t="s">
        <v>3830</v>
      </c>
    </row>
    <row r="1235" spans="1:16" s="22" customFormat="1" ht="15" customHeight="1" x14ac:dyDescent="0.2">
      <c r="A1235" s="22" t="s">
        <v>3782</v>
      </c>
      <c r="B1235" s="22">
        <v>7470776</v>
      </c>
      <c r="C1235" s="23">
        <v>1</v>
      </c>
      <c r="D1235" s="23">
        <v>921724369</v>
      </c>
      <c r="E1235" s="23">
        <v>921724369</v>
      </c>
      <c r="F1235" s="24" t="s">
        <v>1179</v>
      </c>
      <c r="G1235" s="23">
        <v>0</v>
      </c>
      <c r="H1235" s="23">
        <v>20250301</v>
      </c>
      <c r="I1235" s="23" t="str">
        <f>TEXT(DATE(LEFT(H1235,4), MID(H1235,5,2), RIGHT(H1235,2)), "M/d/yyyy")</f>
        <v>3/1/2025</v>
      </c>
      <c r="J1235" s="25">
        <v>20240701</v>
      </c>
      <c r="K1235" s="23" t="str">
        <f>TEXT(DATE(LEFT(J1235,4), MID(J1235,5,2), RIGHT(J1235,2)), "M/d/yyyy")</f>
        <v>7/1/2024</v>
      </c>
      <c r="L1235" s="24" t="s">
        <v>135</v>
      </c>
      <c r="M1235" s="26">
        <v>1</v>
      </c>
      <c r="N1235" s="25">
        <v>25</v>
      </c>
      <c r="O1235" s="27">
        <v>25</v>
      </c>
      <c r="P1235" s="22" t="s">
        <v>3830</v>
      </c>
    </row>
    <row r="1236" spans="1:16" s="22" customFormat="1" ht="15" customHeight="1" x14ac:dyDescent="0.2">
      <c r="A1236" s="22" t="s">
        <v>3782</v>
      </c>
      <c r="B1236" s="22">
        <v>7470776</v>
      </c>
      <c r="C1236" s="23">
        <v>1</v>
      </c>
      <c r="D1236" s="23">
        <v>921728128</v>
      </c>
      <c r="E1236" s="23">
        <v>921728128</v>
      </c>
      <c r="F1236" s="24" t="s">
        <v>1187</v>
      </c>
      <c r="G1236" s="23">
        <v>0</v>
      </c>
      <c r="H1236" s="23">
        <v>20250301</v>
      </c>
      <c r="I1236" s="23" t="str">
        <f>TEXT(DATE(LEFT(H1236,4), MID(H1236,5,2), RIGHT(H1236,2)), "M/d/yyyy")</f>
        <v>3/1/2025</v>
      </c>
      <c r="J1236" s="25">
        <v>20240701</v>
      </c>
      <c r="K1236" s="23" t="str">
        <f>TEXT(DATE(LEFT(J1236,4), MID(J1236,5,2), RIGHT(J1236,2)), "M/d/yyyy")</f>
        <v>7/1/2024</v>
      </c>
      <c r="L1236" s="24" t="s">
        <v>135</v>
      </c>
      <c r="M1236" s="26">
        <v>1</v>
      </c>
      <c r="N1236" s="25">
        <v>25</v>
      </c>
      <c r="O1236" s="27">
        <v>25</v>
      </c>
      <c r="P1236" s="22" t="s">
        <v>3830</v>
      </c>
    </row>
    <row r="1237" spans="1:16" s="22" customFormat="1" ht="15" customHeight="1" x14ac:dyDescent="0.2">
      <c r="A1237" s="22" t="s">
        <v>3782</v>
      </c>
      <c r="B1237" s="22">
        <v>7470776</v>
      </c>
      <c r="C1237" s="23">
        <v>1</v>
      </c>
      <c r="D1237" s="23">
        <v>921744359</v>
      </c>
      <c r="E1237" s="23">
        <v>921744359</v>
      </c>
      <c r="F1237" s="24" t="s">
        <v>1214</v>
      </c>
      <c r="G1237" s="23">
        <v>0</v>
      </c>
      <c r="H1237" s="23">
        <v>20250201</v>
      </c>
      <c r="I1237" s="23" t="str">
        <f>TEXT(DATE(LEFT(H1237,4), MID(H1237,5,2), RIGHT(H1237,2)), "M/d/yyyy")</f>
        <v>2/1/2025</v>
      </c>
      <c r="J1237" s="25">
        <v>20241101</v>
      </c>
      <c r="K1237" s="23" t="str">
        <f>TEXT(DATE(LEFT(J1237,4), MID(J1237,5,2), RIGHT(J1237,2)), "M/d/yyyy")</f>
        <v>11/1/2024</v>
      </c>
      <c r="L1237" s="24" t="s">
        <v>135</v>
      </c>
      <c r="M1237" s="26">
        <v>1</v>
      </c>
      <c r="N1237" s="25">
        <v>25</v>
      </c>
      <c r="O1237" s="27">
        <v>25</v>
      </c>
      <c r="P1237" s="22" t="s">
        <v>3830</v>
      </c>
    </row>
    <row r="1238" spans="1:16" s="22" customFormat="1" ht="15" customHeight="1" x14ac:dyDescent="0.2">
      <c r="A1238" s="22" t="s">
        <v>3782</v>
      </c>
      <c r="B1238" s="22">
        <v>7470776</v>
      </c>
      <c r="C1238" s="23">
        <v>1</v>
      </c>
      <c r="D1238" s="23">
        <v>921773760</v>
      </c>
      <c r="E1238" s="23">
        <v>921773760</v>
      </c>
      <c r="F1238" s="24" t="s">
        <v>1255</v>
      </c>
      <c r="G1238" s="23">
        <v>0</v>
      </c>
      <c r="H1238" s="23">
        <v>20250301</v>
      </c>
      <c r="I1238" s="23" t="str">
        <f>TEXT(DATE(LEFT(H1238,4), MID(H1238,5,2), RIGHT(H1238,2)), "M/d/yyyy")</f>
        <v>3/1/2025</v>
      </c>
      <c r="J1238" s="25">
        <v>20250201</v>
      </c>
      <c r="K1238" s="23" t="str">
        <f>TEXT(DATE(LEFT(J1238,4), MID(J1238,5,2), RIGHT(J1238,2)), "M/d/yyyy")</f>
        <v>2/1/2025</v>
      </c>
      <c r="L1238" s="24" t="s">
        <v>135</v>
      </c>
      <c r="M1238" s="26">
        <v>1</v>
      </c>
      <c r="N1238" s="25">
        <v>25</v>
      </c>
      <c r="O1238" s="27">
        <v>25</v>
      </c>
      <c r="P1238" s="22" t="s">
        <v>3830</v>
      </c>
    </row>
    <row r="1239" spans="1:16" s="22" customFormat="1" ht="15" customHeight="1" x14ac:dyDescent="0.2">
      <c r="A1239" s="22" t="s">
        <v>3782</v>
      </c>
      <c r="B1239" s="22">
        <v>7470776</v>
      </c>
      <c r="C1239" s="23">
        <v>2</v>
      </c>
      <c r="D1239" s="23">
        <v>921682749</v>
      </c>
      <c r="E1239" s="23">
        <v>921682749</v>
      </c>
      <c r="F1239" s="24" t="s">
        <v>1145</v>
      </c>
      <c r="G1239" s="23">
        <v>0</v>
      </c>
      <c r="H1239" s="23">
        <v>20250301</v>
      </c>
      <c r="I1239" s="23" t="str">
        <f>TEXT(DATE(LEFT(H1239,4), MID(H1239,5,2), RIGHT(H1239,2)), "M/d/yyyy")</f>
        <v>3/1/2025</v>
      </c>
      <c r="J1239" s="25">
        <v>20240101</v>
      </c>
      <c r="K1239" s="23" t="str">
        <f>TEXT(DATE(LEFT(J1239,4), MID(J1239,5,2), RIGHT(J1239,2)), "M/d/yyyy")</f>
        <v>1/1/2024</v>
      </c>
      <c r="L1239" s="24" t="s">
        <v>135</v>
      </c>
      <c r="M1239" s="26">
        <v>1</v>
      </c>
      <c r="N1239" s="25">
        <v>20</v>
      </c>
      <c r="O1239" s="27">
        <v>40</v>
      </c>
      <c r="P1239" s="22" t="s">
        <v>3830</v>
      </c>
    </row>
    <row r="1240" spans="1:16" s="22" customFormat="1" ht="15" customHeight="1" x14ac:dyDescent="0.2">
      <c r="A1240" s="22" t="s">
        <v>3782</v>
      </c>
      <c r="B1240" s="22">
        <v>7470776</v>
      </c>
      <c r="C1240" s="23">
        <v>2</v>
      </c>
      <c r="D1240" s="23">
        <v>921740188</v>
      </c>
      <c r="E1240" s="23">
        <v>921740188</v>
      </c>
      <c r="F1240" s="24" t="s">
        <v>1210</v>
      </c>
      <c r="G1240" s="23">
        <v>0</v>
      </c>
      <c r="H1240" s="23">
        <v>20250301</v>
      </c>
      <c r="I1240" s="23" t="str">
        <f>TEXT(DATE(LEFT(H1240,4), MID(H1240,5,2), RIGHT(H1240,2)), "M/d/yyyy")</f>
        <v>3/1/2025</v>
      </c>
      <c r="J1240" s="25">
        <v>20241001</v>
      </c>
      <c r="K1240" s="23" t="str">
        <f>TEXT(DATE(LEFT(J1240,4), MID(J1240,5,2), RIGHT(J1240,2)), "M/d/yyyy")</f>
        <v>10/1/2024</v>
      </c>
      <c r="L1240" s="24" t="s">
        <v>135</v>
      </c>
      <c r="M1240" s="26">
        <v>1</v>
      </c>
      <c r="N1240" s="25">
        <v>25</v>
      </c>
      <c r="O1240" s="27">
        <v>50</v>
      </c>
      <c r="P1240" s="22" t="s">
        <v>3830</v>
      </c>
    </row>
    <row r="1241" spans="1:16" s="22" customFormat="1" ht="15" customHeight="1" x14ac:dyDescent="0.2">
      <c r="A1241" s="22" t="s">
        <v>3782</v>
      </c>
      <c r="B1241" s="22">
        <v>7470776</v>
      </c>
      <c r="C1241" s="23">
        <v>3</v>
      </c>
      <c r="D1241" s="23">
        <v>921296679</v>
      </c>
      <c r="E1241" s="23">
        <v>921296679</v>
      </c>
      <c r="F1241" s="24" t="s">
        <v>1042</v>
      </c>
      <c r="G1241" s="23">
        <v>0</v>
      </c>
      <c r="H1241" s="23">
        <v>20250301</v>
      </c>
      <c r="I1241" s="23" t="str">
        <f>TEXT(DATE(LEFT(H1241,4), MID(H1241,5,2), RIGHT(H1241,2)), "M/d/yyyy")</f>
        <v>3/1/2025</v>
      </c>
      <c r="J1241" s="25">
        <v>20220101</v>
      </c>
      <c r="K1241" s="23" t="str">
        <f>TEXT(DATE(LEFT(J1241,4), MID(J1241,5,2), RIGHT(J1241,2)), "M/d/yyyy")</f>
        <v>1/1/2022</v>
      </c>
      <c r="L1241" s="24" t="s">
        <v>135</v>
      </c>
      <c r="M1241" s="26">
        <v>1</v>
      </c>
      <c r="N1241" s="25">
        <v>20</v>
      </c>
      <c r="O1241" s="27">
        <v>60</v>
      </c>
      <c r="P1241" s="22" t="s">
        <v>3830</v>
      </c>
    </row>
    <row r="1242" spans="1:16" s="22" customFormat="1" ht="15" customHeight="1" x14ac:dyDescent="0.2">
      <c r="A1242" s="22" t="s">
        <v>3782</v>
      </c>
      <c r="B1242" s="22">
        <v>7470776</v>
      </c>
      <c r="C1242" s="23">
        <v>3</v>
      </c>
      <c r="D1242" s="23">
        <v>921493684</v>
      </c>
      <c r="E1242" s="23">
        <v>921493684</v>
      </c>
      <c r="F1242" s="24" t="s">
        <v>1075</v>
      </c>
      <c r="G1242" s="23">
        <v>0</v>
      </c>
      <c r="H1242" s="23">
        <v>20250301</v>
      </c>
      <c r="I1242" s="23" t="str">
        <f>TEXT(DATE(LEFT(H1242,4), MID(H1242,5,2), RIGHT(H1242,2)), "M/d/yyyy")</f>
        <v>3/1/2025</v>
      </c>
      <c r="J1242" s="25">
        <v>20240101</v>
      </c>
      <c r="K1242" s="23" t="str">
        <f>TEXT(DATE(LEFT(J1242,4), MID(J1242,5,2), RIGHT(J1242,2)), "M/d/yyyy")</f>
        <v>1/1/2024</v>
      </c>
      <c r="L1242" s="24" t="s">
        <v>135</v>
      </c>
      <c r="M1242" s="26">
        <v>1</v>
      </c>
      <c r="N1242" s="25">
        <v>20</v>
      </c>
      <c r="O1242" s="27">
        <v>60</v>
      </c>
      <c r="P1242" s="22" t="s">
        <v>3830</v>
      </c>
    </row>
    <row r="1243" spans="1:16" s="22" customFormat="1" ht="15" customHeight="1" x14ac:dyDescent="0.2">
      <c r="A1243" s="22" t="s">
        <v>3782</v>
      </c>
      <c r="B1243" s="22">
        <v>7470776</v>
      </c>
      <c r="C1243" s="23">
        <v>3</v>
      </c>
      <c r="D1243" s="23">
        <v>921680773</v>
      </c>
      <c r="E1243" s="23">
        <v>921680773</v>
      </c>
      <c r="F1243" s="24" t="s">
        <v>1143</v>
      </c>
      <c r="G1243" s="23">
        <v>0</v>
      </c>
      <c r="H1243" s="23">
        <v>20250301</v>
      </c>
      <c r="I1243" s="23" t="str">
        <f>TEXT(DATE(LEFT(H1243,4), MID(H1243,5,2), RIGHT(H1243,2)), "M/d/yyyy")</f>
        <v>3/1/2025</v>
      </c>
      <c r="J1243" s="25">
        <v>20240101</v>
      </c>
      <c r="K1243" s="23" t="str">
        <f>TEXT(DATE(LEFT(J1243,4), MID(J1243,5,2), RIGHT(J1243,2)), "M/d/yyyy")</f>
        <v>1/1/2024</v>
      </c>
      <c r="L1243" s="24" t="s">
        <v>135</v>
      </c>
      <c r="M1243" s="26">
        <v>1</v>
      </c>
      <c r="N1243" s="25">
        <v>20</v>
      </c>
      <c r="O1243" s="27">
        <v>60</v>
      </c>
      <c r="P1243" s="22" t="s">
        <v>3830</v>
      </c>
    </row>
    <row r="1244" spans="1:16" s="22" customFormat="1" ht="15" customHeight="1" x14ac:dyDescent="0.2">
      <c r="A1244" s="22" t="s">
        <v>3820</v>
      </c>
      <c r="B1244" s="22">
        <v>7146581</v>
      </c>
      <c r="C1244" s="23">
        <v>1</v>
      </c>
      <c r="D1244" s="23">
        <v>920776236</v>
      </c>
      <c r="E1244" s="23">
        <v>920776236</v>
      </c>
      <c r="F1244" s="24" t="s">
        <v>3547</v>
      </c>
      <c r="G1244" s="23">
        <v>0</v>
      </c>
      <c r="H1244" s="23">
        <v>20250301</v>
      </c>
      <c r="I1244" s="23" t="str">
        <f>TEXT(DATE(LEFT(H1244,4), MID(H1244,5,2), RIGHT(H1244,2)), "M/d/yyyy")</f>
        <v>3/1/2025</v>
      </c>
      <c r="J1244" s="25">
        <v>20210101</v>
      </c>
      <c r="K1244" s="23" t="str">
        <f>TEXT(DATE(LEFT(J1244,4), MID(J1244,5,2), RIGHT(J1244,2)), "M/d/yyyy")</f>
        <v>1/1/2021</v>
      </c>
      <c r="L1244" s="24" t="s">
        <v>135</v>
      </c>
      <c r="M1244" s="26">
        <v>1</v>
      </c>
      <c r="N1244" s="25">
        <v>20</v>
      </c>
      <c r="O1244" s="27">
        <v>20</v>
      </c>
      <c r="P1244" s="22" t="s">
        <v>3830</v>
      </c>
    </row>
    <row r="1245" spans="1:16" s="22" customFormat="1" ht="15" customHeight="1" x14ac:dyDescent="0.2">
      <c r="A1245" s="22" t="s">
        <v>3820</v>
      </c>
      <c r="B1245" s="22">
        <v>7146581</v>
      </c>
      <c r="C1245" s="23">
        <v>1</v>
      </c>
      <c r="D1245" s="23">
        <v>921360562</v>
      </c>
      <c r="E1245" s="23">
        <v>921360562</v>
      </c>
      <c r="F1245" s="24" t="s">
        <v>3594</v>
      </c>
      <c r="G1245" s="23">
        <v>0</v>
      </c>
      <c r="H1245" s="23">
        <v>20250301</v>
      </c>
      <c r="I1245" s="23" t="str">
        <f>TEXT(DATE(LEFT(H1245,4), MID(H1245,5,2), RIGHT(H1245,2)), "M/d/yyyy")</f>
        <v>3/1/2025</v>
      </c>
      <c r="J1245" s="25">
        <v>20231001</v>
      </c>
      <c r="K1245" s="23" t="str">
        <f>TEXT(DATE(LEFT(J1245,4), MID(J1245,5,2), RIGHT(J1245,2)), "M/d/yyyy")</f>
        <v>10/1/2023</v>
      </c>
      <c r="L1245" s="24" t="s">
        <v>135</v>
      </c>
      <c r="M1245" s="26">
        <v>1</v>
      </c>
      <c r="N1245" s="25">
        <v>20</v>
      </c>
      <c r="O1245" s="27">
        <v>20</v>
      </c>
      <c r="P1245" s="22" t="s">
        <v>3830</v>
      </c>
    </row>
    <row r="1246" spans="1:16" s="22" customFormat="1" ht="15" customHeight="1" x14ac:dyDescent="0.2">
      <c r="A1246" s="22" t="s">
        <v>3820</v>
      </c>
      <c r="B1246" s="22">
        <v>7146581</v>
      </c>
      <c r="C1246" s="23">
        <v>1</v>
      </c>
      <c r="D1246" s="23">
        <v>921362789</v>
      </c>
      <c r="E1246" s="23">
        <v>921362789</v>
      </c>
      <c r="F1246" s="24" t="s">
        <v>3596</v>
      </c>
      <c r="G1246" s="23">
        <v>0</v>
      </c>
      <c r="H1246" s="23">
        <v>20250301</v>
      </c>
      <c r="I1246" s="23" t="str">
        <f>TEXT(DATE(LEFT(H1246,4), MID(H1246,5,2), RIGHT(H1246,2)), "M/d/yyyy")</f>
        <v>3/1/2025</v>
      </c>
      <c r="J1246" s="25">
        <v>20170901</v>
      </c>
      <c r="K1246" s="23" t="str">
        <f>TEXT(DATE(LEFT(J1246,4), MID(J1246,5,2), RIGHT(J1246,2)), "M/d/yyyy")</f>
        <v>9/1/2017</v>
      </c>
      <c r="L1246" s="24" t="s">
        <v>135</v>
      </c>
      <c r="M1246" s="26">
        <v>1</v>
      </c>
      <c r="N1246" s="25">
        <v>20</v>
      </c>
      <c r="O1246" s="27">
        <v>20</v>
      </c>
      <c r="P1246" s="22" t="s">
        <v>3830</v>
      </c>
    </row>
    <row r="1247" spans="1:16" s="22" customFormat="1" ht="15" customHeight="1" x14ac:dyDescent="0.2">
      <c r="A1247" s="22" t="s">
        <v>3820</v>
      </c>
      <c r="B1247" s="22">
        <v>7146581</v>
      </c>
      <c r="C1247" s="23">
        <v>1</v>
      </c>
      <c r="D1247" s="23">
        <v>921377875</v>
      </c>
      <c r="E1247" s="23">
        <v>921377875</v>
      </c>
      <c r="F1247" s="24" t="s">
        <v>3598</v>
      </c>
      <c r="G1247" s="23">
        <v>0</v>
      </c>
      <c r="H1247" s="23">
        <v>20250301</v>
      </c>
      <c r="I1247" s="23" t="str">
        <f>TEXT(DATE(LEFT(H1247,4), MID(H1247,5,2), RIGHT(H1247,2)), "M/d/yyyy")</f>
        <v>3/1/2025</v>
      </c>
      <c r="J1247" s="25">
        <v>20180101</v>
      </c>
      <c r="K1247" s="23" t="str">
        <f>TEXT(DATE(LEFT(J1247,4), MID(J1247,5,2), RIGHT(J1247,2)), "M/d/yyyy")</f>
        <v>1/1/2018</v>
      </c>
      <c r="L1247" s="24" t="s">
        <v>135</v>
      </c>
      <c r="M1247" s="26">
        <v>1</v>
      </c>
      <c r="N1247" s="25">
        <v>20</v>
      </c>
      <c r="O1247" s="27">
        <v>20</v>
      </c>
      <c r="P1247" s="22" t="s">
        <v>3830</v>
      </c>
    </row>
    <row r="1248" spans="1:16" s="22" customFormat="1" ht="15" customHeight="1" x14ac:dyDescent="0.2">
      <c r="A1248" s="22" t="s">
        <v>3820</v>
      </c>
      <c r="B1248" s="22">
        <v>7146581</v>
      </c>
      <c r="C1248" s="23">
        <v>1</v>
      </c>
      <c r="D1248" s="23">
        <v>921377875</v>
      </c>
      <c r="E1248" s="23">
        <v>921377875</v>
      </c>
      <c r="F1248" s="24" t="s">
        <v>3598</v>
      </c>
      <c r="G1248" s="23">
        <v>0</v>
      </c>
      <c r="H1248" s="23">
        <v>20250201</v>
      </c>
      <c r="I1248" s="23" t="str">
        <f>TEXT(DATE(LEFT(H1248,4), MID(H1248,5,2), RIGHT(H1248,2)), "M/d/yyyy")</f>
        <v>2/1/2025</v>
      </c>
      <c r="J1248" s="25">
        <v>20180101</v>
      </c>
      <c r="K1248" s="23" t="str">
        <f>TEXT(DATE(LEFT(J1248,4), MID(J1248,5,2), RIGHT(J1248,2)), "M/d/yyyy")</f>
        <v>1/1/2018</v>
      </c>
      <c r="L1248" s="24" t="s">
        <v>135</v>
      </c>
      <c r="M1248" s="26">
        <v>1</v>
      </c>
      <c r="N1248" s="25">
        <v>20</v>
      </c>
      <c r="O1248" s="27">
        <v>20</v>
      </c>
      <c r="P1248" s="22" t="s">
        <v>3830</v>
      </c>
    </row>
    <row r="1249" spans="1:16" s="22" customFormat="1" ht="15" customHeight="1" x14ac:dyDescent="0.2">
      <c r="A1249" s="22" t="s">
        <v>3820</v>
      </c>
      <c r="B1249" s="22">
        <v>7146581</v>
      </c>
      <c r="C1249" s="23">
        <v>1</v>
      </c>
      <c r="D1249" s="23">
        <v>921435591</v>
      </c>
      <c r="E1249" s="23">
        <v>921435591</v>
      </c>
      <c r="F1249" s="24" t="s">
        <v>3606</v>
      </c>
      <c r="G1249" s="23">
        <v>0</v>
      </c>
      <c r="H1249" s="23">
        <v>20250301</v>
      </c>
      <c r="I1249" s="23" t="str">
        <f>TEXT(DATE(LEFT(H1249,4), MID(H1249,5,2), RIGHT(H1249,2)), "M/d/yyyy")</f>
        <v>3/1/2025</v>
      </c>
      <c r="J1249" s="25">
        <v>20190101</v>
      </c>
      <c r="K1249" s="23" t="str">
        <f>TEXT(DATE(LEFT(J1249,4), MID(J1249,5,2), RIGHT(J1249,2)), "M/d/yyyy")</f>
        <v>1/1/2019</v>
      </c>
      <c r="L1249" s="24" t="s">
        <v>135</v>
      </c>
      <c r="M1249" s="26">
        <v>1</v>
      </c>
      <c r="N1249" s="25">
        <v>20</v>
      </c>
      <c r="O1249" s="27">
        <v>20</v>
      </c>
      <c r="P1249" s="22" t="s">
        <v>3830</v>
      </c>
    </row>
    <row r="1250" spans="1:16" s="22" customFormat="1" ht="15" customHeight="1" x14ac:dyDescent="0.2">
      <c r="A1250" s="22" t="s">
        <v>3820</v>
      </c>
      <c r="B1250" s="22">
        <v>7146581</v>
      </c>
      <c r="C1250" s="23">
        <v>1</v>
      </c>
      <c r="D1250" s="23">
        <v>921517353</v>
      </c>
      <c r="E1250" s="23">
        <v>921517353</v>
      </c>
      <c r="F1250" s="24" t="s">
        <v>3626</v>
      </c>
      <c r="G1250" s="23">
        <v>0</v>
      </c>
      <c r="H1250" s="23">
        <v>20250301</v>
      </c>
      <c r="I1250" s="23" t="str">
        <f>TEXT(DATE(LEFT(H1250,4), MID(H1250,5,2), RIGHT(H1250,2)), "M/d/yyyy")</f>
        <v>3/1/2025</v>
      </c>
      <c r="J1250" s="25">
        <v>20200401</v>
      </c>
      <c r="K1250" s="23" t="str">
        <f>TEXT(DATE(LEFT(J1250,4), MID(J1250,5,2), RIGHT(J1250,2)), "M/d/yyyy")</f>
        <v>4/1/2020</v>
      </c>
      <c r="L1250" s="24" t="s">
        <v>135</v>
      </c>
      <c r="M1250" s="26">
        <v>1</v>
      </c>
      <c r="N1250" s="25">
        <v>20</v>
      </c>
      <c r="O1250" s="27">
        <v>20</v>
      </c>
      <c r="P1250" s="22" t="s">
        <v>3830</v>
      </c>
    </row>
    <row r="1251" spans="1:16" s="22" customFormat="1" ht="15" customHeight="1" x14ac:dyDescent="0.2">
      <c r="A1251" s="22" t="s">
        <v>3820</v>
      </c>
      <c r="B1251" s="22">
        <v>7146581</v>
      </c>
      <c r="C1251" s="23">
        <v>1</v>
      </c>
      <c r="D1251" s="23">
        <v>921574346</v>
      </c>
      <c r="E1251" s="23">
        <v>921574346</v>
      </c>
      <c r="F1251" s="24" t="s">
        <v>3628</v>
      </c>
      <c r="G1251" s="23">
        <v>0</v>
      </c>
      <c r="H1251" s="23">
        <v>20250301</v>
      </c>
      <c r="I1251" s="23" t="str">
        <f>TEXT(DATE(LEFT(H1251,4), MID(H1251,5,2), RIGHT(H1251,2)), "M/d/yyyy")</f>
        <v>3/1/2025</v>
      </c>
      <c r="J1251" s="25">
        <v>20210701</v>
      </c>
      <c r="K1251" s="23" t="str">
        <f>TEXT(DATE(LEFT(J1251,4), MID(J1251,5,2), RIGHT(J1251,2)), "M/d/yyyy")</f>
        <v>7/1/2021</v>
      </c>
      <c r="L1251" s="24" t="s">
        <v>135</v>
      </c>
      <c r="M1251" s="26">
        <v>1</v>
      </c>
      <c r="N1251" s="25">
        <v>20</v>
      </c>
      <c r="O1251" s="27">
        <v>20</v>
      </c>
      <c r="P1251" s="22" t="s">
        <v>3830</v>
      </c>
    </row>
    <row r="1252" spans="1:16" s="22" customFormat="1" ht="15" customHeight="1" x14ac:dyDescent="0.2">
      <c r="A1252" s="22" t="s">
        <v>3820</v>
      </c>
      <c r="B1252" s="22">
        <v>7146581</v>
      </c>
      <c r="C1252" s="23">
        <v>1</v>
      </c>
      <c r="D1252" s="23">
        <v>921625641</v>
      </c>
      <c r="E1252" s="23">
        <v>921625641</v>
      </c>
      <c r="F1252" s="24" t="s">
        <v>3640</v>
      </c>
      <c r="G1252" s="23">
        <v>0</v>
      </c>
      <c r="H1252" s="23">
        <v>20250301</v>
      </c>
      <c r="I1252" s="23" t="str">
        <f>TEXT(DATE(LEFT(H1252,4), MID(H1252,5,2), RIGHT(H1252,2)), "M/d/yyyy")</f>
        <v>3/1/2025</v>
      </c>
      <c r="J1252" s="25">
        <v>20221101</v>
      </c>
      <c r="K1252" s="23" t="str">
        <f>TEXT(DATE(LEFT(J1252,4), MID(J1252,5,2), RIGHT(J1252,2)), "M/d/yyyy")</f>
        <v>11/1/2022</v>
      </c>
      <c r="L1252" s="24" t="s">
        <v>135</v>
      </c>
      <c r="M1252" s="26">
        <v>1</v>
      </c>
      <c r="N1252" s="25">
        <v>20</v>
      </c>
      <c r="O1252" s="27">
        <v>20</v>
      </c>
      <c r="P1252" s="22" t="s">
        <v>3830</v>
      </c>
    </row>
    <row r="1253" spans="1:16" s="22" customFormat="1" ht="15" customHeight="1" x14ac:dyDescent="0.2">
      <c r="A1253" s="22" t="s">
        <v>3820</v>
      </c>
      <c r="B1253" s="22">
        <v>7146581</v>
      </c>
      <c r="C1253" s="23">
        <v>1</v>
      </c>
      <c r="D1253" s="23">
        <v>921637899</v>
      </c>
      <c r="E1253" s="23">
        <v>921637899</v>
      </c>
      <c r="F1253" s="24" t="s">
        <v>3642</v>
      </c>
      <c r="G1253" s="23">
        <v>0</v>
      </c>
      <c r="H1253" s="23">
        <v>20250301</v>
      </c>
      <c r="I1253" s="23" t="str">
        <f>TEXT(DATE(LEFT(H1253,4), MID(H1253,5,2), RIGHT(H1253,2)), "M/d/yyyy")</f>
        <v>3/1/2025</v>
      </c>
      <c r="J1253" s="25">
        <v>20230101</v>
      </c>
      <c r="K1253" s="23" t="str">
        <f>TEXT(DATE(LEFT(J1253,4), MID(J1253,5,2), RIGHT(J1253,2)), "M/d/yyyy")</f>
        <v>1/1/2023</v>
      </c>
      <c r="L1253" s="24" t="s">
        <v>135</v>
      </c>
      <c r="M1253" s="26">
        <v>1</v>
      </c>
      <c r="N1253" s="25">
        <v>20</v>
      </c>
      <c r="O1253" s="27">
        <v>20</v>
      </c>
      <c r="P1253" s="22" t="s">
        <v>3830</v>
      </c>
    </row>
    <row r="1254" spans="1:16" s="22" customFormat="1" ht="15" customHeight="1" x14ac:dyDescent="0.2">
      <c r="A1254" s="22" t="s">
        <v>3820</v>
      </c>
      <c r="B1254" s="22">
        <v>7146581</v>
      </c>
      <c r="C1254" s="23">
        <v>1</v>
      </c>
      <c r="D1254" s="23">
        <v>921306747</v>
      </c>
      <c r="E1254" s="23">
        <v>921306747</v>
      </c>
      <c r="F1254" s="24" t="s">
        <v>3588</v>
      </c>
      <c r="G1254" s="23">
        <v>0</v>
      </c>
      <c r="H1254" s="23">
        <v>20250301</v>
      </c>
      <c r="I1254" s="23" t="str">
        <f>TEXT(DATE(LEFT(H1254,4), MID(H1254,5,2), RIGHT(H1254,2)), "M/d/yyyy")</f>
        <v>3/1/2025</v>
      </c>
      <c r="J1254" s="25">
        <v>20250201</v>
      </c>
      <c r="K1254" s="23" t="str">
        <f>TEXT(DATE(LEFT(J1254,4), MID(J1254,5,2), RIGHT(J1254,2)), "M/d/yyyy")</f>
        <v>2/1/2025</v>
      </c>
      <c r="L1254" s="24" t="s">
        <v>135</v>
      </c>
      <c r="M1254" s="26">
        <v>1</v>
      </c>
      <c r="N1254" s="25">
        <v>25</v>
      </c>
      <c r="O1254" s="27">
        <v>25</v>
      </c>
      <c r="P1254" s="22" t="s">
        <v>3830</v>
      </c>
    </row>
    <row r="1255" spans="1:16" s="22" customFormat="1" ht="15" customHeight="1" x14ac:dyDescent="0.2">
      <c r="A1255" s="22" t="s">
        <v>3820</v>
      </c>
      <c r="B1255" s="22">
        <v>7146581</v>
      </c>
      <c r="C1255" s="23">
        <v>2</v>
      </c>
      <c r="D1255" s="23">
        <v>890529838</v>
      </c>
      <c r="E1255" s="23">
        <v>890529838</v>
      </c>
      <c r="F1255" s="24" t="s">
        <v>3535</v>
      </c>
      <c r="G1255" s="23">
        <v>0</v>
      </c>
      <c r="H1255" s="23">
        <v>20250301</v>
      </c>
      <c r="I1255" s="23" t="str">
        <f>TEXT(DATE(LEFT(H1255,4), MID(H1255,5,2), RIGHT(H1255,2)), "M/d/yyyy")</f>
        <v>3/1/2025</v>
      </c>
      <c r="J1255" s="25">
        <v>20170101</v>
      </c>
      <c r="K1255" s="23" t="str">
        <f>TEXT(DATE(LEFT(J1255,4), MID(J1255,5,2), RIGHT(J1255,2)), "M/d/yyyy")</f>
        <v>1/1/2017</v>
      </c>
      <c r="L1255" s="24" t="s">
        <v>135</v>
      </c>
      <c r="M1255" s="26">
        <v>1</v>
      </c>
      <c r="N1255" s="25">
        <v>20</v>
      </c>
      <c r="O1255" s="27">
        <v>40</v>
      </c>
      <c r="P1255" s="22" t="s">
        <v>3830</v>
      </c>
    </row>
    <row r="1256" spans="1:16" s="22" customFormat="1" ht="15" customHeight="1" x14ac:dyDescent="0.2">
      <c r="A1256" s="22" t="s">
        <v>3820</v>
      </c>
      <c r="B1256" s="22">
        <v>7146581</v>
      </c>
      <c r="C1256" s="23">
        <v>2</v>
      </c>
      <c r="D1256" s="23">
        <v>921656286</v>
      </c>
      <c r="E1256" s="23">
        <v>921656286</v>
      </c>
      <c r="F1256" s="24" t="s">
        <v>3654</v>
      </c>
      <c r="G1256" s="23">
        <v>0</v>
      </c>
      <c r="H1256" s="23">
        <v>20250301</v>
      </c>
      <c r="I1256" s="23" t="str">
        <f>TEXT(DATE(LEFT(H1256,4), MID(H1256,5,2), RIGHT(H1256,2)), "M/d/yyyy")</f>
        <v>3/1/2025</v>
      </c>
      <c r="J1256" s="25">
        <v>20230401</v>
      </c>
      <c r="K1256" s="23" t="str">
        <f>TEXT(DATE(LEFT(J1256,4), MID(J1256,5,2), RIGHT(J1256,2)), "M/d/yyyy")</f>
        <v>4/1/2023</v>
      </c>
      <c r="L1256" s="24" t="s">
        <v>135</v>
      </c>
      <c r="M1256" s="26">
        <v>1</v>
      </c>
      <c r="N1256" s="25">
        <v>20</v>
      </c>
      <c r="O1256" s="27">
        <v>40</v>
      </c>
      <c r="P1256" s="22" t="s">
        <v>3830</v>
      </c>
    </row>
    <row r="1257" spans="1:16" s="22" customFormat="1" ht="15" customHeight="1" x14ac:dyDescent="0.2">
      <c r="A1257" s="22" t="s">
        <v>3820</v>
      </c>
      <c r="B1257" s="22">
        <v>7146581</v>
      </c>
      <c r="C1257" s="23">
        <v>5</v>
      </c>
      <c r="D1257" s="23">
        <v>921318489</v>
      </c>
      <c r="E1257" s="23">
        <v>921318489</v>
      </c>
      <c r="F1257" s="24" t="s">
        <v>3590</v>
      </c>
      <c r="G1257" s="23">
        <v>0</v>
      </c>
      <c r="H1257" s="23">
        <v>20250301</v>
      </c>
      <c r="I1257" s="23" t="str">
        <f>TEXT(DATE(LEFT(H1257,4), MID(H1257,5,2), RIGHT(H1257,2)), "M/d/yyyy")</f>
        <v>3/1/2025</v>
      </c>
      <c r="J1257" s="25">
        <v>20190101</v>
      </c>
      <c r="K1257" s="23" t="str">
        <f>TEXT(DATE(LEFT(J1257,4), MID(J1257,5,2), RIGHT(J1257,2)), "M/d/yyyy")</f>
        <v>1/1/2019</v>
      </c>
      <c r="L1257" s="24" t="s">
        <v>135</v>
      </c>
      <c r="M1257" s="26">
        <v>1</v>
      </c>
      <c r="N1257" s="25">
        <v>20</v>
      </c>
      <c r="O1257" s="27">
        <v>100</v>
      </c>
      <c r="P1257" s="22" t="s">
        <v>3830</v>
      </c>
    </row>
    <row r="1258" spans="1:16" s="22" customFormat="1" ht="15" customHeight="1" x14ac:dyDescent="0.2">
      <c r="A1258" s="22" t="s">
        <v>3801</v>
      </c>
      <c r="B1258" s="22">
        <v>21104854</v>
      </c>
      <c r="C1258" s="23">
        <v>1</v>
      </c>
      <c r="D1258" s="23">
        <v>921663457</v>
      </c>
      <c r="E1258" s="23">
        <v>921663457</v>
      </c>
      <c r="F1258" s="24" t="s">
        <v>3040</v>
      </c>
      <c r="G1258" s="23">
        <v>0</v>
      </c>
      <c r="H1258" s="23">
        <v>20250301</v>
      </c>
      <c r="I1258" s="23" t="str">
        <f>TEXT(DATE(LEFT(H1258,4), MID(H1258,5,2), RIGHT(H1258,2)), "M/d/yyyy")</f>
        <v>3/1/2025</v>
      </c>
      <c r="J1258" s="25">
        <v>20230701</v>
      </c>
      <c r="K1258" s="23" t="str">
        <f>TEXT(DATE(LEFT(J1258,4), MID(J1258,5,2), RIGHT(J1258,2)), "M/d/yyyy")</f>
        <v>7/1/2023</v>
      </c>
      <c r="L1258" s="24" t="s">
        <v>135</v>
      </c>
      <c r="M1258" s="26">
        <v>1</v>
      </c>
      <c r="N1258" s="25">
        <v>20</v>
      </c>
      <c r="O1258" s="27">
        <v>20</v>
      </c>
      <c r="P1258" s="22" t="s">
        <v>3830</v>
      </c>
    </row>
    <row r="1259" spans="1:16" s="22" customFormat="1" ht="15" customHeight="1" x14ac:dyDescent="0.2">
      <c r="A1259" s="22" t="s">
        <v>3789</v>
      </c>
      <c r="B1259" s="22">
        <v>19681796</v>
      </c>
      <c r="C1259" s="23">
        <v>1</v>
      </c>
      <c r="D1259" s="23">
        <v>890410489</v>
      </c>
      <c r="E1259" s="23">
        <v>890410489</v>
      </c>
      <c r="F1259" s="24" t="s">
        <v>2344</v>
      </c>
      <c r="G1259" s="23">
        <v>0</v>
      </c>
      <c r="H1259" s="23">
        <v>20250301</v>
      </c>
      <c r="I1259" s="23" t="str">
        <f>TEXT(DATE(LEFT(H1259,4), MID(H1259,5,2), RIGHT(H1259,2)), "M/d/yyyy")</f>
        <v>3/1/2025</v>
      </c>
      <c r="J1259" s="25">
        <v>20160301</v>
      </c>
      <c r="K1259" s="23" t="str">
        <f>TEXT(DATE(LEFT(J1259,4), MID(J1259,5,2), RIGHT(J1259,2)), "M/d/yyyy")</f>
        <v>3/1/2016</v>
      </c>
      <c r="L1259" s="24" t="s">
        <v>135</v>
      </c>
      <c r="M1259" s="26">
        <v>1</v>
      </c>
      <c r="N1259" s="25">
        <v>20</v>
      </c>
      <c r="O1259" s="27">
        <v>20</v>
      </c>
      <c r="P1259" s="22" t="s">
        <v>3830</v>
      </c>
    </row>
    <row r="1260" spans="1:16" s="22" customFormat="1" ht="15" customHeight="1" x14ac:dyDescent="0.2">
      <c r="A1260" s="22" t="s">
        <v>3789</v>
      </c>
      <c r="B1260" s="22">
        <v>19681796</v>
      </c>
      <c r="C1260" s="23">
        <v>1</v>
      </c>
      <c r="D1260" s="23">
        <v>921550048</v>
      </c>
      <c r="E1260" s="23">
        <v>921550048</v>
      </c>
      <c r="F1260" s="24" t="s">
        <v>2365</v>
      </c>
      <c r="G1260" s="23">
        <v>0</v>
      </c>
      <c r="H1260" s="23">
        <v>20250301</v>
      </c>
      <c r="I1260" s="23" t="str">
        <f>TEXT(DATE(LEFT(H1260,4), MID(H1260,5,2), RIGHT(H1260,2)), "M/d/yyyy")</f>
        <v>3/1/2025</v>
      </c>
      <c r="J1260" s="25">
        <v>20210101</v>
      </c>
      <c r="K1260" s="23" t="str">
        <f>TEXT(DATE(LEFT(J1260,4), MID(J1260,5,2), RIGHT(J1260,2)), "M/d/yyyy")</f>
        <v>1/1/2021</v>
      </c>
      <c r="L1260" s="24" t="s">
        <v>135</v>
      </c>
      <c r="M1260" s="26">
        <v>1</v>
      </c>
      <c r="N1260" s="25">
        <v>20</v>
      </c>
      <c r="O1260" s="27">
        <v>20</v>
      </c>
      <c r="P1260" s="22" t="s">
        <v>3830</v>
      </c>
    </row>
    <row r="1261" spans="1:16" s="22" customFormat="1" ht="15" customHeight="1" x14ac:dyDescent="0.2">
      <c r="A1261" s="22" t="s">
        <v>3789</v>
      </c>
      <c r="B1261" s="22">
        <v>19681796</v>
      </c>
      <c r="C1261" s="23">
        <v>1</v>
      </c>
      <c r="D1261" s="23">
        <v>921613300</v>
      </c>
      <c r="E1261" s="23">
        <v>921613300</v>
      </c>
      <c r="F1261" s="24" t="s">
        <v>2373</v>
      </c>
      <c r="G1261" s="23">
        <v>0</v>
      </c>
      <c r="H1261" s="23">
        <v>20250301</v>
      </c>
      <c r="I1261" s="23" t="str">
        <f>TEXT(DATE(LEFT(H1261,4), MID(H1261,5,2), RIGHT(H1261,2)), "M/d/yyyy")</f>
        <v>3/1/2025</v>
      </c>
      <c r="J1261" s="25">
        <v>20220601</v>
      </c>
      <c r="K1261" s="23" t="str">
        <f>TEXT(DATE(LEFT(J1261,4), MID(J1261,5,2), RIGHT(J1261,2)), "M/d/yyyy")</f>
        <v>6/1/2022</v>
      </c>
      <c r="L1261" s="24" t="s">
        <v>135</v>
      </c>
      <c r="M1261" s="26">
        <v>1</v>
      </c>
      <c r="N1261" s="25">
        <v>20</v>
      </c>
      <c r="O1261" s="27">
        <v>20</v>
      </c>
      <c r="P1261" s="22" t="s">
        <v>3830</v>
      </c>
    </row>
    <row r="1262" spans="1:16" s="22" customFormat="1" ht="15" customHeight="1" x14ac:dyDescent="0.2">
      <c r="A1262" s="22" t="s">
        <v>3789</v>
      </c>
      <c r="B1262" s="22">
        <v>19681796</v>
      </c>
      <c r="C1262" s="23">
        <v>1</v>
      </c>
      <c r="D1262" s="23">
        <v>921624679</v>
      </c>
      <c r="E1262" s="23">
        <v>921624679</v>
      </c>
      <c r="F1262" s="24" t="s">
        <v>2375</v>
      </c>
      <c r="G1262" s="23">
        <v>0</v>
      </c>
      <c r="H1262" s="23">
        <v>20250301</v>
      </c>
      <c r="I1262" s="23" t="str">
        <f>TEXT(DATE(LEFT(H1262,4), MID(H1262,5,2), RIGHT(H1262,2)), "M/d/yyyy")</f>
        <v>3/1/2025</v>
      </c>
      <c r="J1262" s="25">
        <v>20221101</v>
      </c>
      <c r="K1262" s="23" t="str">
        <f>TEXT(DATE(LEFT(J1262,4), MID(J1262,5,2), RIGHT(J1262,2)), "M/d/yyyy")</f>
        <v>11/1/2022</v>
      </c>
      <c r="L1262" s="24" t="s">
        <v>135</v>
      </c>
      <c r="M1262" s="26">
        <v>1</v>
      </c>
      <c r="N1262" s="25">
        <v>20</v>
      </c>
      <c r="O1262" s="27">
        <v>20</v>
      </c>
      <c r="P1262" s="22" t="s">
        <v>3830</v>
      </c>
    </row>
    <row r="1263" spans="1:16" s="22" customFormat="1" ht="15" customHeight="1" x14ac:dyDescent="0.2">
      <c r="A1263" s="22" t="s">
        <v>3789</v>
      </c>
      <c r="B1263" s="22">
        <v>19681796</v>
      </c>
      <c r="C1263" s="23">
        <v>1</v>
      </c>
      <c r="D1263" s="23">
        <v>921517589</v>
      </c>
      <c r="E1263" s="23">
        <v>921517589</v>
      </c>
      <c r="F1263" s="24" t="s">
        <v>2363</v>
      </c>
      <c r="G1263" s="23">
        <v>0</v>
      </c>
      <c r="H1263" s="23">
        <v>20250301</v>
      </c>
      <c r="I1263" s="23" t="str">
        <f>TEXT(DATE(LEFT(H1263,4), MID(H1263,5,2), RIGHT(H1263,2)), "M/d/yyyy")</f>
        <v>3/1/2025</v>
      </c>
      <c r="J1263" s="25">
        <v>20240401</v>
      </c>
      <c r="K1263" s="23" t="str">
        <f>TEXT(DATE(LEFT(J1263,4), MID(J1263,5,2), RIGHT(J1263,2)), "M/d/yyyy")</f>
        <v>4/1/2024</v>
      </c>
      <c r="L1263" s="24" t="s">
        <v>135</v>
      </c>
      <c r="M1263" s="26">
        <v>1</v>
      </c>
      <c r="N1263" s="25">
        <v>25</v>
      </c>
      <c r="O1263" s="27">
        <v>25</v>
      </c>
      <c r="P1263" s="22" t="s">
        <v>3830</v>
      </c>
    </row>
    <row r="1264" spans="1:16" s="22" customFormat="1" ht="15" customHeight="1" x14ac:dyDescent="0.2">
      <c r="A1264" s="22" t="s">
        <v>3789</v>
      </c>
      <c r="B1264" s="22">
        <v>19681796</v>
      </c>
      <c r="C1264" s="23">
        <v>1</v>
      </c>
      <c r="D1264" s="23">
        <v>921721880</v>
      </c>
      <c r="E1264" s="23">
        <v>921721880</v>
      </c>
      <c r="F1264" s="24" t="s">
        <v>2393</v>
      </c>
      <c r="G1264" s="23">
        <v>0</v>
      </c>
      <c r="H1264" s="23">
        <v>20250301</v>
      </c>
      <c r="I1264" s="23" t="str">
        <f>TEXT(DATE(LEFT(H1264,4), MID(H1264,5,2), RIGHT(H1264,2)), "M/d/yyyy")</f>
        <v>3/1/2025</v>
      </c>
      <c r="J1264" s="25">
        <v>20240501</v>
      </c>
      <c r="K1264" s="23" t="str">
        <f>TEXT(DATE(LEFT(J1264,4), MID(J1264,5,2), RIGHT(J1264,2)), "M/d/yyyy")</f>
        <v>5/1/2024</v>
      </c>
      <c r="L1264" s="24" t="s">
        <v>135</v>
      </c>
      <c r="M1264" s="26">
        <v>1</v>
      </c>
      <c r="N1264" s="25">
        <v>25</v>
      </c>
      <c r="O1264" s="27">
        <v>25</v>
      </c>
      <c r="P1264" s="22" t="s">
        <v>3830</v>
      </c>
    </row>
    <row r="1265" spans="1:16" s="22" customFormat="1" ht="15" customHeight="1" x14ac:dyDescent="0.2">
      <c r="A1265" s="22" t="s">
        <v>3777</v>
      </c>
      <c r="B1265" s="22">
        <v>17437820</v>
      </c>
      <c r="C1265" s="23">
        <v>1</v>
      </c>
      <c r="D1265" s="23">
        <v>921101342</v>
      </c>
      <c r="E1265" s="23">
        <v>921101342</v>
      </c>
      <c r="F1265" s="24" t="s">
        <v>561</v>
      </c>
      <c r="G1265" s="23">
        <v>0</v>
      </c>
      <c r="H1265" s="23">
        <v>20250301</v>
      </c>
      <c r="I1265" s="23" t="str">
        <f>TEXT(DATE(LEFT(H1265,4), MID(H1265,5,2), RIGHT(H1265,2)), "M/d/yyyy")</f>
        <v>3/1/2025</v>
      </c>
      <c r="J1265" s="25">
        <v>20210101</v>
      </c>
      <c r="K1265" s="23" t="str">
        <f>TEXT(DATE(LEFT(J1265,4), MID(J1265,5,2), RIGHT(J1265,2)), "M/d/yyyy")</f>
        <v>1/1/2021</v>
      </c>
      <c r="L1265" s="24" t="s">
        <v>135</v>
      </c>
      <c r="M1265" s="26">
        <v>1</v>
      </c>
      <c r="N1265" s="25">
        <v>20</v>
      </c>
      <c r="O1265" s="27">
        <v>20</v>
      </c>
      <c r="P1265" s="22" t="s">
        <v>3830</v>
      </c>
    </row>
    <row r="1266" spans="1:16" s="22" customFormat="1" ht="15" customHeight="1" x14ac:dyDescent="0.2">
      <c r="A1266" s="22" t="s">
        <v>3777</v>
      </c>
      <c r="B1266" s="22">
        <v>17437820</v>
      </c>
      <c r="C1266" s="23">
        <v>1</v>
      </c>
      <c r="D1266" s="23">
        <v>921588661</v>
      </c>
      <c r="E1266" s="23">
        <v>921588661</v>
      </c>
      <c r="F1266" s="24" t="s">
        <v>601</v>
      </c>
      <c r="G1266" s="23">
        <v>0</v>
      </c>
      <c r="H1266" s="23">
        <v>20250301</v>
      </c>
      <c r="I1266" s="23" t="str">
        <f>TEXT(DATE(LEFT(H1266,4), MID(H1266,5,2), RIGHT(H1266,2)), "M/d/yyyy")</f>
        <v>3/1/2025</v>
      </c>
      <c r="J1266" s="25">
        <v>20241201</v>
      </c>
      <c r="K1266" s="23" t="str">
        <f>TEXT(DATE(LEFT(J1266,4), MID(J1266,5,2), RIGHT(J1266,2)), "M/d/yyyy")</f>
        <v>12/1/2024</v>
      </c>
      <c r="L1266" s="24" t="s">
        <v>135</v>
      </c>
      <c r="M1266" s="26">
        <v>1</v>
      </c>
      <c r="N1266" s="25">
        <v>25</v>
      </c>
      <c r="O1266" s="27">
        <v>25</v>
      </c>
      <c r="P1266" s="22" t="s">
        <v>3830</v>
      </c>
    </row>
    <row r="1267" spans="1:16" s="22" customFormat="1" ht="15" customHeight="1" x14ac:dyDescent="0.2">
      <c r="A1267" s="22" t="s">
        <v>3777</v>
      </c>
      <c r="B1267" s="22">
        <v>17437820</v>
      </c>
      <c r="C1267" s="23">
        <v>2</v>
      </c>
      <c r="D1267" s="23">
        <v>921271595</v>
      </c>
      <c r="E1267" s="23">
        <v>921271595</v>
      </c>
      <c r="F1267" s="24" t="s">
        <v>573</v>
      </c>
      <c r="G1267" s="23">
        <v>0</v>
      </c>
      <c r="H1267" s="23">
        <v>20250201</v>
      </c>
      <c r="I1267" s="23" t="str">
        <f>TEXT(DATE(LEFT(H1267,4), MID(H1267,5,2), RIGHT(H1267,2)), "M/d/yyyy")</f>
        <v>2/1/2025</v>
      </c>
      <c r="J1267" s="25">
        <v>20230501</v>
      </c>
      <c r="K1267" s="23" t="str">
        <f>TEXT(DATE(LEFT(J1267,4), MID(J1267,5,2), RIGHT(J1267,2)), "M/d/yyyy")</f>
        <v>5/1/2023</v>
      </c>
      <c r="L1267" s="24" t="s">
        <v>135</v>
      </c>
      <c r="M1267" s="26">
        <v>1</v>
      </c>
      <c r="N1267" s="25">
        <v>20</v>
      </c>
      <c r="O1267" s="27">
        <v>40</v>
      </c>
      <c r="P1267" s="22" t="s">
        <v>3830</v>
      </c>
    </row>
    <row r="1268" spans="1:16" s="22" customFormat="1" ht="15" customHeight="1" x14ac:dyDescent="0.2">
      <c r="A1268" s="22" t="s">
        <v>3805</v>
      </c>
      <c r="B1268" s="22">
        <v>8325282</v>
      </c>
      <c r="C1268" s="24" t="s">
        <v>1557</v>
      </c>
      <c r="D1268" s="23">
        <v>921636009</v>
      </c>
      <c r="E1268" s="23">
        <v>921636009</v>
      </c>
      <c r="F1268" s="24" t="s">
        <v>3235</v>
      </c>
      <c r="G1268" s="23">
        <v>0</v>
      </c>
      <c r="H1268" s="23">
        <v>20250201</v>
      </c>
      <c r="I1268" s="23" t="str">
        <f>TEXT(DATE(LEFT(H1268,4), MID(H1268,5,2), RIGHT(H1268,2)), "M/d/yyyy")</f>
        <v>2/1/2025</v>
      </c>
      <c r="J1268" s="25">
        <v>20230101</v>
      </c>
      <c r="K1268" s="23" t="str">
        <f>TEXT(DATE(LEFT(J1268,4), MID(J1268,5,2), RIGHT(J1268,2)), "M/d/yyyy")</f>
        <v>1/1/2023</v>
      </c>
      <c r="L1268" s="24" t="s">
        <v>135</v>
      </c>
      <c r="M1268" s="26">
        <v>1</v>
      </c>
      <c r="N1268" s="25">
        <v>20</v>
      </c>
      <c r="O1268" s="27">
        <v>-40</v>
      </c>
      <c r="P1268" s="22" t="s">
        <v>3830</v>
      </c>
    </row>
    <row r="1269" spans="1:16" s="22" customFormat="1" ht="15" customHeight="1" x14ac:dyDescent="0.2">
      <c r="A1269" s="22" t="s">
        <v>3805</v>
      </c>
      <c r="B1269" s="22">
        <v>8325282</v>
      </c>
      <c r="C1269" s="23">
        <v>1</v>
      </c>
      <c r="D1269" s="23">
        <v>921549194</v>
      </c>
      <c r="E1269" s="23">
        <v>921549194</v>
      </c>
      <c r="F1269" s="24" t="s">
        <v>3205</v>
      </c>
      <c r="G1269" s="23">
        <v>0</v>
      </c>
      <c r="H1269" s="23">
        <v>20250201</v>
      </c>
      <c r="I1269" s="23" t="str">
        <f>TEXT(DATE(LEFT(H1269,4), MID(H1269,5,2), RIGHT(H1269,2)), "M/d/yyyy")</f>
        <v>2/1/2025</v>
      </c>
      <c r="J1269" s="25">
        <v>20210101</v>
      </c>
      <c r="K1269" s="23" t="str">
        <f>TEXT(DATE(LEFT(J1269,4), MID(J1269,5,2), RIGHT(J1269,2)), "M/d/yyyy")</f>
        <v>1/1/2021</v>
      </c>
      <c r="L1269" s="24" t="s">
        <v>135</v>
      </c>
      <c r="M1269" s="26">
        <v>1</v>
      </c>
      <c r="N1269" s="25">
        <v>20</v>
      </c>
      <c r="O1269" s="27">
        <v>20</v>
      </c>
      <c r="P1269" s="22" t="s">
        <v>3830</v>
      </c>
    </row>
    <row r="1270" spans="1:16" s="22" customFormat="1" ht="15" customHeight="1" x14ac:dyDescent="0.2">
      <c r="A1270" s="22" t="s">
        <v>3805</v>
      </c>
      <c r="B1270" s="22">
        <v>8325282</v>
      </c>
      <c r="C1270" s="23">
        <v>1</v>
      </c>
      <c r="D1270" s="23">
        <v>921572037</v>
      </c>
      <c r="E1270" s="23">
        <v>921572037</v>
      </c>
      <c r="F1270" s="24" t="s">
        <v>3221</v>
      </c>
      <c r="G1270" s="23">
        <v>0</v>
      </c>
      <c r="H1270" s="23">
        <v>20250301</v>
      </c>
      <c r="I1270" s="23" t="str">
        <f>TEXT(DATE(LEFT(H1270,4), MID(H1270,5,2), RIGHT(H1270,2)), "M/d/yyyy")</f>
        <v>3/1/2025</v>
      </c>
      <c r="J1270" s="25">
        <v>20210701</v>
      </c>
      <c r="K1270" s="23" t="str">
        <f>TEXT(DATE(LEFT(J1270,4), MID(J1270,5,2), RIGHT(J1270,2)), "M/d/yyyy")</f>
        <v>7/1/2021</v>
      </c>
      <c r="L1270" s="24" t="s">
        <v>135</v>
      </c>
      <c r="M1270" s="26">
        <v>1</v>
      </c>
      <c r="N1270" s="25">
        <v>20</v>
      </c>
      <c r="O1270" s="27">
        <v>20</v>
      </c>
      <c r="P1270" s="22" t="s">
        <v>3830</v>
      </c>
    </row>
    <row r="1271" spans="1:16" s="22" customFormat="1" ht="15" customHeight="1" x14ac:dyDescent="0.2">
      <c r="A1271" s="22" t="s">
        <v>3805</v>
      </c>
      <c r="B1271" s="22">
        <v>8325282</v>
      </c>
      <c r="C1271" s="23">
        <v>1</v>
      </c>
      <c r="D1271" s="23">
        <v>921657715</v>
      </c>
      <c r="E1271" s="23">
        <v>921657715</v>
      </c>
      <c r="F1271" s="24" t="s">
        <v>3243</v>
      </c>
      <c r="G1271" s="23">
        <v>0</v>
      </c>
      <c r="H1271" s="23">
        <v>20250301</v>
      </c>
      <c r="I1271" s="23" t="str">
        <f>TEXT(DATE(LEFT(H1271,4), MID(H1271,5,2), RIGHT(H1271,2)), "M/d/yyyy")</f>
        <v>3/1/2025</v>
      </c>
      <c r="J1271" s="25">
        <v>20230501</v>
      </c>
      <c r="K1271" s="23" t="str">
        <f>TEXT(DATE(LEFT(J1271,4), MID(J1271,5,2), RIGHT(J1271,2)), "M/d/yyyy")</f>
        <v>5/1/2023</v>
      </c>
      <c r="L1271" s="24" t="s">
        <v>135</v>
      </c>
      <c r="M1271" s="26">
        <v>1</v>
      </c>
      <c r="N1271" s="25">
        <v>20</v>
      </c>
      <c r="O1271" s="27">
        <v>20</v>
      </c>
      <c r="P1271" s="22" t="s">
        <v>3830</v>
      </c>
    </row>
    <row r="1272" spans="1:16" s="22" customFormat="1" ht="15" customHeight="1" x14ac:dyDescent="0.2">
      <c r="A1272" s="22" t="s">
        <v>3805</v>
      </c>
      <c r="B1272" s="22">
        <v>8325282</v>
      </c>
      <c r="C1272" s="23">
        <v>2</v>
      </c>
      <c r="D1272" s="23">
        <v>921608326</v>
      </c>
      <c r="E1272" s="23">
        <v>921608326</v>
      </c>
      <c r="F1272" s="24" t="s">
        <v>3227</v>
      </c>
      <c r="G1272" s="23">
        <v>0</v>
      </c>
      <c r="H1272" s="23">
        <v>20250301</v>
      </c>
      <c r="I1272" s="23" t="str">
        <f>TEXT(DATE(LEFT(H1272,4), MID(H1272,5,2), RIGHT(H1272,2)), "M/d/yyyy")</f>
        <v>3/1/2025</v>
      </c>
      <c r="J1272" s="25">
        <v>20220301</v>
      </c>
      <c r="K1272" s="23" t="str">
        <f>TEXT(DATE(LEFT(J1272,4), MID(J1272,5,2), RIGHT(J1272,2)), "M/d/yyyy")</f>
        <v>3/1/2022</v>
      </c>
      <c r="L1272" s="24" t="s">
        <v>135</v>
      </c>
      <c r="M1272" s="26">
        <v>1</v>
      </c>
      <c r="N1272" s="25">
        <v>20</v>
      </c>
      <c r="O1272" s="27">
        <v>40</v>
      </c>
      <c r="P1272" s="22" t="s">
        <v>3830</v>
      </c>
    </row>
    <row r="1273" spans="1:16" s="22" customFormat="1" ht="15" customHeight="1" x14ac:dyDescent="0.2">
      <c r="A1273" s="22" t="s">
        <v>3797</v>
      </c>
      <c r="B1273" s="22">
        <v>17301495</v>
      </c>
      <c r="C1273" s="23">
        <v>1</v>
      </c>
      <c r="D1273" s="23">
        <v>921493746</v>
      </c>
      <c r="E1273" s="23">
        <v>921493746</v>
      </c>
      <c r="F1273" s="24" t="s">
        <v>2876</v>
      </c>
      <c r="G1273" s="23">
        <v>0</v>
      </c>
      <c r="H1273" s="23">
        <v>20250301</v>
      </c>
      <c r="I1273" s="23" t="str">
        <f>TEXT(DATE(LEFT(H1273,4), MID(H1273,5,2), RIGHT(H1273,2)), "M/d/yyyy")</f>
        <v>3/1/2025</v>
      </c>
      <c r="J1273" s="25">
        <v>20210701</v>
      </c>
      <c r="K1273" s="23" t="str">
        <f>TEXT(DATE(LEFT(J1273,4), MID(J1273,5,2), RIGHT(J1273,2)), "M/d/yyyy")</f>
        <v>7/1/2021</v>
      </c>
      <c r="L1273" s="24" t="s">
        <v>135</v>
      </c>
      <c r="M1273" s="26">
        <v>1</v>
      </c>
      <c r="N1273" s="25">
        <v>20</v>
      </c>
      <c r="O1273" s="27">
        <v>20</v>
      </c>
      <c r="P1273" s="22" t="s">
        <v>3830</v>
      </c>
    </row>
    <row r="1274" spans="1:16" s="22" customFormat="1" ht="15" customHeight="1" x14ac:dyDescent="0.2">
      <c r="A1274" s="22" t="s">
        <v>3797</v>
      </c>
      <c r="B1274" s="22">
        <v>17301495</v>
      </c>
      <c r="C1274" s="23">
        <v>1</v>
      </c>
      <c r="D1274" s="23">
        <v>921511219</v>
      </c>
      <c r="E1274" s="23">
        <v>921511219</v>
      </c>
      <c r="F1274" s="24" t="s">
        <v>2880</v>
      </c>
      <c r="G1274" s="23">
        <v>0</v>
      </c>
      <c r="H1274" s="23">
        <v>20250301</v>
      </c>
      <c r="I1274" s="23" t="str">
        <f>TEXT(DATE(LEFT(H1274,4), MID(H1274,5,2), RIGHT(H1274,2)), "M/d/yyyy")</f>
        <v>3/1/2025</v>
      </c>
      <c r="J1274" s="25">
        <v>20200201</v>
      </c>
      <c r="K1274" s="23" t="str">
        <f>TEXT(DATE(LEFT(J1274,4), MID(J1274,5,2), RIGHT(J1274,2)), "M/d/yyyy")</f>
        <v>2/1/2020</v>
      </c>
      <c r="L1274" s="24" t="s">
        <v>135</v>
      </c>
      <c r="M1274" s="26">
        <v>1</v>
      </c>
      <c r="N1274" s="25">
        <v>20</v>
      </c>
      <c r="O1274" s="27">
        <v>20</v>
      </c>
      <c r="P1274" s="22" t="s">
        <v>3830</v>
      </c>
    </row>
    <row r="1275" spans="1:16" s="22" customFormat="1" ht="15" customHeight="1" x14ac:dyDescent="0.2">
      <c r="A1275" s="22" t="s">
        <v>3797</v>
      </c>
      <c r="B1275" s="22">
        <v>17301495</v>
      </c>
      <c r="C1275" s="23">
        <v>1</v>
      </c>
      <c r="D1275" s="23">
        <v>921577108</v>
      </c>
      <c r="E1275" s="23">
        <v>921577108</v>
      </c>
      <c r="F1275" s="24" t="s">
        <v>2886</v>
      </c>
      <c r="G1275" s="23">
        <v>0</v>
      </c>
      <c r="H1275" s="23">
        <v>20250301</v>
      </c>
      <c r="I1275" s="23" t="str">
        <f>TEXT(DATE(LEFT(H1275,4), MID(H1275,5,2), RIGHT(H1275,2)), "M/d/yyyy")</f>
        <v>3/1/2025</v>
      </c>
      <c r="J1275" s="25">
        <v>20210801</v>
      </c>
      <c r="K1275" s="23" t="str">
        <f>TEXT(DATE(LEFT(J1275,4), MID(J1275,5,2), RIGHT(J1275,2)), "M/d/yyyy")</f>
        <v>8/1/2021</v>
      </c>
      <c r="L1275" s="24" t="s">
        <v>135</v>
      </c>
      <c r="M1275" s="26">
        <v>1</v>
      </c>
      <c r="N1275" s="25">
        <v>20</v>
      </c>
      <c r="O1275" s="27">
        <v>20</v>
      </c>
      <c r="P1275" s="22" t="s">
        <v>3830</v>
      </c>
    </row>
    <row r="1276" spans="1:16" s="22" customFormat="1" ht="15" customHeight="1" x14ac:dyDescent="0.2">
      <c r="A1276" s="22" t="s">
        <v>3786</v>
      </c>
      <c r="B1276" s="22">
        <v>8814784</v>
      </c>
      <c r="C1276" s="23">
        <v>1</v>
      </c>
      <c r="D1276" s="23">
        <v>890208523</v>
      </c>
      <c r="E1276" s="23">
        <v>890208523</v>
      </c>
      <c r="F1276" s="24" t="s">
        <v>1932</v>
      </c>
      <c r="G1276" s="23">
        <v>0</v>
      </c>
      <c r="H1276" s="23">
        <v>20250301</v>
      </c>
      <c r="I1276" s="23" t="str">
        <f>TEXT(DATE(LEFT(H1276,4), MID(H1276,5,2), RIGHT(H1276,2)), "M/d/yyyy")</f>
        <v>3/1/2025</v>
      </c>
      <c r="J1276" s="25">
        <v>20170101</v>
      </c>
      <c r="K1276" s="23" t="str">
        <f>TEXT(DATE(LEFT(J1276,4), MID(J1276,5,2), RIGHT(J1276,2)), "M/d/yyyy")</f>
        <v>1/1/2017</v>
      </c>
      <c r="L1276" s="24" t="s">
        <v>135</v>
      </c>
      <c r="M1276" s="26">
        <v>1</v>
      </c>
      <c r="N1276" s="25">
        <v>20</v>
      </c>
      <c r="O1276" s="27">
        <v>20</v>
      </c>
      <c r="P1276" s="22" t="s">
        <v>3830</v>
      </c>
    </row>
    <row r="1277" spans="1:16" s="22" customFormat="1" ht="15" customHeight="1" x14ac:dyDescent="0.2">
      <c r="A1277" s="22" t="s">
        <v>3786</v>
      </c>
      <c r="B1277" s="22">
        <v>8814784</v>
      </c>
      <c r="C1277" s="23">
        <v>1</v>
      </c>
      <c r="D1277" s="23">
        <v>890208523</v>
      </c>
      <c r="E1277" s="23">
        <v>890208523</v>
      </c>
      <c r="F1277" s="24" t="s">
        <v>1932</v>
      </c>
      <c r="G1277" s="23">
        <v>0</v>
      </c>
      <c r="H1277" s="23">
        <v>20250201</v>
      </c>
      <c r="I1277" s="23" t="str">
        <f>TEXT(DATE(LEFT(H1277,4), MID(H1277,5,2), RIGHT(H1277,2)), "M/d/yyyy")</f>
        <v>2/1/2025</v>
      </c>
      <c r="J1277" s="25">
        <v>20170101</v>
      </c>
      <c r="K1277" s="23" t="str">
        <f>TEXT(DATE(LEFT(J1277,4), MID(J1277,5,2), RIGHT(J1277,2)), "M/d/yyyy")</f>
        <v>1/1/2017</v>
      </c>
      <c r="L1277" s="24" t="s">
        <v>135</v>
      </c>
      <c r="M1277" s="26">
        <v>1</v>
      </c>
      <c r="N1277" s="25">
        <v>20</v>
      </c>
      <c r="O1277" s="27">
        <v>20</v>
      </c>
      <c r="P1277" s="22" t="s">
        <v>3830</v>
      </c>
    </row>
    <row r="1278" spans="1:16" s="22" customFormat="1" ht="15" customHeight="1" x14ac:dyDescent="0.2">
      <c r="A1278" s="22" t="s">
        <v>3786</v>
      </c>
      <c r="B1278" s="22">
        <v>8814784</v>
      </c>
      <c r="C1278" s="23">
        <v>1</v>
      </c>
      <c r="D1278" s="23">
        <v>920932458</v>
      </c>
      <c r="E1278" s="23">
        <v>920932458</v>
      </c>
      <c r="F1278" s="24" t="s">
        <v>1955</v>
      </c>
      <c r="G1278" s="23">
        <v>0</v>
      </c>
      <c r="H1278" s="23">
        <v>20250301</v>
      </c>
      <c r="I1278" s="23" t="str">
        <f>TEXT(DATE(LEFT(H1278,4), MID(H1278,5,2), RIGHT(H1278,2)), "M/d/yyyy")</f>
        <v>3/1/2025</v>
      </c>
      <c r="J1278" s="25">
        <v>20180101</v>
      </c>
      <c r="K1278" s="23" t="str">
        <f>TEXT(DATE(LEFT(J1278,4), MID(J1278,5,2), RIGHT(J1278,2)), "M/d/yyyy")</f>
        <v>1/1/2018</v>
      </c>
      <c r="L1278" s="24" t="s">
        <v>135</v>
      </c>
      <c r="M1278" s="26">
        <v>1</v>
      </c>
      <c r="N1278" s="25">
        <v>20</v>
      </c>
      <c r="O1278" s="27">
        <v>20</v>
      </c>
      <c r="P1278" s="22" t="s">
        <v>3830</v>
      </c>
    </row>
    <row r="1279" spans="1:16" s="22" customFormat="1" ht="15" customHeight="1" x14ac:dyDescent="0.2">
      <c r="A1279" s="22" t="s">
        <v>3786</v>
      </c>
      <c r="B1279" s="22">
        <v>8814784</v>
      </c>
      <c r="C1279" s="23">
        <v>1</v>
      </c>
      <c r="D1279" s="23">
        <v>921399067</v>
      </c>
      <c r="E1279" s="23">
        <v>921399067</v>
      </c>
      <c r="F1279" s="24" t="s">
        <v>1985</v>
      </c>
      <c r="G1279" s="23">
        <v>0</v>
      </c>
      <c r="H1279" s="23">
        <v>20250301</v>
      </c>
      <c r="I1279" s="23" t="str">
        <f>TEXT(DATE(LEFT(H1279,4), MID(H1279,5,2), RIGHT(H1279,2)), "M/d/yyyy")</f>
        <v>3/1/2025</v>
      </c>
      <c r="J1279" s="25">
        <v>20230401</v>
      </c>
      <c r="K1279" s="23" t="str">
        <f>TEXT(DATE(LEFT(J1279,4), MID(J1279,5,2), RIGHT(J1279,2)), "M/d/yyyy")</f>
        <v>4/1/2023</v>
      </c>
      <c r="L1279" s="24" t="s">
        <v>135</v>
      </c>
      <c r="M1279" s="26">
        <v>1</v>
      </c>
      <c r="N1279" s="25">
        <v>20</v>
      </c>
      <c r="O1279" s="27">
        <v>20</v>
      </c>
      <c r="P1279" s="22" t="s">
        <v>3830</v>
      </c>
    </row>
    <row r="1280" spans="1:16" s="22" customFormat="1" ht="15" customHeight="1" x14ac:dyDescent="0.2">
      <c r="A1280" s="22" t="s">
        <v>3786</v>
      </c>
      <c r="B1280" s="22">
        <v>8814784</v>
      </c>
      <c r="C1280" s="23">
        <v>1</v>
      </c>
      <c r="D1280" s="23">
        <v>921439239</v>
      </c>
      <c r="E1280" s="23">
        <v>921439239</v>
      </c>
      <c r="F1280" s="24" t="s">
        <v>1989</v>
      </c>
      <c r="G1280" s="23">
        <v>0</v>
      </c>
      <c r="H1280" s="23">
        <v>20250301</v>
      </c>
      <c r="I1280" s="23" t="str">
        <f>TEXT(DATE(LEFT(H1280,4), MID(H1280,5,2), RIGHT(H1280,2)), "M/d/yyyy")</f>
        <v>3/1/2025</v>
      </c>
      <c r="J1280" s="25">
        <v>20190101</v>
      </c>
      <c r="K1280" s="23" t="str">
        <f>TEXT(DATE(LEFT(J1280,4), MID(J1280,5,2), RIGHT(J1280,2)), "M/d/yyyy")</f>
        <v>1/1/2019</v>
      </c>
      <c r="L1280" s="24" t="s">
        <v>135</v>
      </c>
      <c r="M1280" s="26">
        <v>1</v>
      </c>
      <c r="N1280" s="25">
        <v>20</v>
      </c>
      <c r="O1280" s="27">
        <v>20</v>
      </c>
      <c r="P1280" s="22" t="s">
        <v>3830</v>
      </c>
    </row>
    <row r="1281" spans="1:16" s="22" customFormat="1" ht="15" customHeight="1" x14ac:dyDescent="0.2">
      <c r="A1281" s="22" t="s">
        <v>3786</v>
      </c>
      <c r="B1281" s="22">
        <v>8814784</v>
      </c>
      <c r="C1281" s="23">
        <v>1</v>
      </c>
      <c r="D1281" s="23">
        <v>921670999</v>
      </c>
      <c r="E1281" s="23">
        <v>921670999</v>
      </c>
      <c r="F1281" s="24" t="s">
        <v>2018</v>
      </c>
      <c r="G1281" s="23">
        <v>0</v>
      </c>
      <c r="H1281" s="23">
        <v>20250301</v>
      </c>
      <c r="I1281" s="23" t="str">
        <f>TEXT(DATE(LEFT(H1281,4), MID(H1281,5,2), RIGHT(H1281,2)), "M/d/yyyy")</f>
        <v>3/1/2025</v>
      </c>
      <c r="J1281" s="25">
        <v>20231001</v>
      </c>
      <c r="K1281" s="23" t="str">
        <f>TEXT(DATE(LEFT(J1281,4), MID(J1281,5,2), RIGHT(J1281,2)), "M/d/yyyy")</f>
        <v>10/1/2023</v>
      </c>
      <c r="L1281" s="24" t="s">
        <v>135</v>
      </c>
      <c r="M1281" s="26">
        <v>1</v>
      </c>
      <c r="N1281" s="25">
        <v>20</v>
      </c>
      <c r="O1281" s="27">
        <v>20</v>
      </c>
      <c r="P1281" s="22" t="s">
        <v>3830</v>
      </c>
    </row>
    <row r="1282" spans="1:16" s="22" customFormat="1" ht="15" customHeight="1" x14ac:dyDescent="0.2">
      <c r="A1282" s="22" t="s">
        <v>3786</v>
      </c>
      <c r="B1282" s="22">
        <v>8814784</v>
      </c>
      <c r="C1282" s="23">
        <v>1</v>
      </c>
      <c r="D1282" s="23">
        <v>921699934</v>
      </c>
      <c r="E1282" s="23">
        <v>921699934</v>
      </c>
      <c r="F1282" s="24" t="s">
        <v>2024</v>
      </c>
      <c r="G1282" s="23">
        <v>0</v>
      </c>
      <c r="H1282" s="23">
        <v>20250301</v>
      </c>
      <c r="I1282" s="23" t="str">
        <f>TEXT(DATE(LEFT(H1282,4), MID(H1282,5,2), RIGHT(H1282,2)), "M/d/yyyy")</f>
        <v>3/1/2025</v>
      </c>
      <c r="J1282" s="25">
        <v>20240101</v>
      </c>
      <c r="K1282" s="23" t="str">
        <f>TEXT(DATE(LEFT(J1282,4), MID(J1282,5,2), RIGHT(J1282,2)), "M/d/yyyy")</f>
        <v>1/1/2024</v>
      </c>
      <c r="L1282" s="24" t="s">
        <v>135</v>
      </c>
      <c r="M1282" s="26">
        <v>1</v>
      </c>
      <c r="N1282" s="25">
        <v>20</v>
      </c>
      <c r="O1282" s="27">
        <v>20</v>
      </c>
      <c r="P1282" s="22" t="s">
        <v>3830</v>
      </c>
    </row>
    <row r="1283" spans="1:16" s="22" customFormat="1" ht="15" customHeight="1" x14ac:dyDescent="0.2">
      <c r="A1283" s="22" t="s">
        <v>3786</v>
      </c>
      <c r="B1283" s="22">
        <v>8814784</v>
      </c>
      <c r="C1283" s="23">
        <v>2</v>
      </c>
      <c r="D1283" s="23">
        <v>921060236</v>
      </c>
      <c r="E1283" s="23">
        <v>921060236</v>
      </c>
      <c r="F1283" s="24" t="s">
        <v>1963</v>
      </c>
      <c r="G1283" s="23">
        <v>0</v>
      </c>
      <c r="H1283" s="23">
        <v>20250301</v>
      </c>
      <c r="I1283" s="23" t="str">
        <f>TEXT(DATE(LEFT(H1283,4), MID(H1283,5,2), RIGHT(H1283,2)), "M/d/yyyy")</f>
        <v>3/1/2025</v>
      </c>
      <c r="J1283" s="25">
        <v>20191101</v>
      </c>
      <c r="K1283" s="23" t="str">
        <f>TEXT(DATE(LEFT(J1283,4), MID(J1283,5,2), RIGHT(J1283,2)), "M/d/yyyy")</f>
        <v>11/1/2019</v>
      </c>
      <c r="L1283" s="24" t="s">
        <v>135</v>
      </c>
      <c r="M1283" s="26">
        <v>1</v>
      </c>
      <c r="N1283" s="25">
        <v>20</v>
      </c>
      <c r="O1283" s="27">
        <v>40</v>
      </c>
      <c r="P1283" s="22" t="s">
        <v>3830</v>
      </c>
    </row>
    <row r="1284" spans="1:16" s="22" customFormat="1" ht="15" customHeight="1" x14ac:dyDescent="0.2">
      <c r="A1284" s="22" t="s">
        <v>3786</v>
      </c>
      <c r="B1284" s="22">
        <v>8814784</v>
      </c>
      <c r="C1284" s="23">
        <v>2</v>
      </c>
      <c r="D1284" s="23">
        <v>921720586</v>
      </c>
      <c r="E1284" s="23">
        <v>921720586</v>
      </c>
      <c r="F1284" s="24" t="s">
        <v>2030</v>
      </c>
      <c r="G1284" s="23">
        <v>0</v>
      </c>
      <c r="H1284" s="23">
        <v>20250301</v>
      </c>
      <c r="I1284" s="23" t="str">
        <f>TEXT(DATE(LEFT(H1284,4), MID(H1284,5,2), RIGHT(H1284,2)), "M/d/yyyy")</f>
        <v>3/1/2025</v>
      </c>
      <c r="J1284" s="25">
        <v>20240501</v>
      </c>
      <c r="K1284" s="23" t="str">
        <f>TEXT(DATE(LEFT(J1284,4), MID(J1284,5,2), RIGHT(J1284,2)), "M/d/yyyy")</f>
        <v>5/1/2024</v>
      </c>
      <c r="L1284" s="24" t="s">
        <v>135</v>
      </c>
      <c r="M1284" s="26">
        <v>1</v>
      </c>
      <c r="N1284" s="25">
        <v>25</v>
      </c>
      <c r="O1284" s="27">
        <v>50</v>
      </c>
      <c r="P1284" s="22" t="s">
        <v>3830</v>
      </c>
    </row>
    <row r="1285" spans="1:16" s="22" customFormat="1" ht="15" customHeight="1" x14ac:dyDescent="0.2">
      <c r="A1285" s="22" t="s">
        <v>3786</v>
      </c>
      <c r="B1285" s="22">
        <v>8814784</v>
      </c>
      <c r="C1285" s="23">
        <v>4</v>
      </c>
      <c r="D1285" s="23">
        <v>921182822</v>
      </c>
      <c r="E1285" s="23">
        <v>921182822</v>
      </c>
      <c r="F1285" s="24" t="s">
        <v>1969</v>
      </c>
      <c r="G1285" s="23">
        <v>0</v>
      </c>
      <c r="H1285" s="23">
        <v>20250301</v>
      </c>
      <c r="I1285" s="23" t="str">
        <f>TEXT(DATE(LEFT(H1285,4), MID(H1285,5,2), RIGHT(H1285,2)), "M/d/yyyy")</f>
        <v>3/1/2025</v>
      </c>
      <c r="J1285" s="25">
        <v>20220101</v>
      </c>
      <c r="K1285" s="23" t="str">
        <f>TEXT(DATE(LEFT(J1285,4), MID(J1285,5,2), RIGHT(J1285,2)), "M/d/yyyy")</f>
        <v>1/1/2022</v>
      </c>
      <c r="L1285" s="24" t="s">
        <v>135</v>
      </c>
      <c r="M1285" s="26">
        <v>1</v>
      </c>
      <c r="N1285" s="25">
        <v>20</v>
      </c>
      <c r="O1285" s="27">
        <v>80</v>
      </c>
      <c r="P1285" s="22" t="s">
        <v>3830</v>
      </c>
    </row>
    <row r="1286" spans="1:16" s="22" customFormat="1" ht="15" customHeight="1" x14ac:dyDescent="0.2">
      <c r="A1286" s="22" t="s">
        <v>3781</v>
      </c>
      <c r="B1286" s="22">
        <v>9213293</v>
      </c>
      <c r="C1286" s="23">
        <v>1</v>
      </c>
      <c r="D1286" s="23">
        <v>890371264</v>
      </c>
      <c r="E1286" s="23">
        <v>890371264</v>
      </c>
      <c r="F1286" s="24" t="s">
        <v>681</v>
      </c>
      <c r="G1286" s="23">
        <v>0</v>
      </c>
      <c r="H1286" s="23">
        <v>20250301</v>
      </c>
      <c r="I1286" s="23" t="str">
        <f>TEXT(DATE(LEFT(H1286,4), MID(H1286,5,2), RIGHT(H1286,2)), "M/d/yyyy")</f>
        <v>3/1/2025</v>
      </c>
      <c r="J1286" s="25">
        <v>20170101</v>
      </c>
      <c r="K1286" s="23" t="str">
        <f>TEXT(DATE(LEFT(J1286,4), MID(J1286,5,2), RIGHT(J1286,2)), "M/d/yyyy")</f>
        <v>1/1/2017</v>
      </c>
      <c r="L1286" s="24" t="s">
        <v>135</v>
      </c>
      <c r="M1286" s="26">
        <v>1</v>
      </c>
      <c r="N1286" s="25">
        <v>20</v>
      </c>
      <c r="O1286" s="27">
        <v>20</v>
      </c>
      <c r="P1286" s="22" t="s">
        <v>3830</v>
      </c>
    </row>
    <row r="1287" spans="1:16" s="22" customFormat="1" ht="15" customHeight="1" x14ac:dyDescent="0.2">
      <c r="A1287" s="22" t="s">
        <v>3781</v>
      </c>
      <c r="B1287" s="22">
        <v>9213293</v>
      </c>
      <c r="C1287" s="23">
        <v>1</v>
      </c>
      <c r="D1287" s="23">
        <v>890371264</v>
      </c>
      <c r="E1287" s="23">
        <v>890371264</v>
      </c>
      <c r="F1287" s="24" t="s">
        <v>681</v>
      </c>
      <c r="G1287" s="23">
        <v>0</v>
      </c>
      <c r="H1287" s="23">
        <v>20250201</v>
      </c>
      <c r="I1287" s="23" t="str">
        <f>TEXT(DATE(LEFT(H1287,4), MID(H1287,5,2), RIGHT(H1287,2)), "M/d/yyyy")</f>
        <v>2/1/2025</v>
      </c>
      <c r="J1287" s="25">
        <v>20170101</v>
      </c>
      <c r="K1287" s="23" t="str">
        <f>TEXT(DATE(LEFT(J1287,4), MID(J1287,5,2), RIGHT(J1287,2)), "M/d/yyyy")</f>
        <v>1/1/2017</v>
      </c>
      <c r="L1287" s="24" t="s">
        <v>135</v>
      </c>
      <c r="M1287" s="26">
        <v>1</v>
      </c>
      <c r="N1287" s="25">
        <v>20</v>
      </c>
      <c r="O1287" s="27">
        <v>20</v>
      </c>
      <c r="P1287" s="22" t="s">
        <v>3830</v>
      </c>
    </row>
    <row r="1288" spans="1:16" s="22" customFormat="1" ht="15" customHeight="1" x14ac:dyDescent="0.2">
      <c r="A1288" s="22" t="s">
        <v>3781</v>
      </c>
      <c r="B1288" s="22">
        <v>9213293</v>
      </c>
      <c r="C1288" s="23">
        <v>1</v>
      </c>
      <c r="D1288" s="23">
        <v>921244967</v>
      </c>
      <c r="E1288" s="23">
        <v>921244967</v>
      </c>
      <c r="F1288" s="24" t="s">
        <v>716</v>
      </c>
      <c r="G1288" s="23">
        <v>0</v>
      </c>
      <c r="H1288" s="23">
        <v>20250301</v>
      </c>
      <c r="I1288" s="23" t="str">
        <f>TEXT(DATE(LEFT(H1288,4), MID(H1288,5,2), RIGHT(H1288,2)), "M/d/yyyy")</f>
        <v>3/1/2025</v>
      </c>
      <c r="J1288" s="25">
        <v>20180101</v>
      </c>
      <c r="K1288" s="23" t="str">
        <f>TEXT(DATE(LEFT(J1288,4), MID(J1288,5,2), RIGHT(J1288,2)), "M/d/yyyy")</f>
        <v>1/1/2018</v>
      </c>
      <c r="L1288" s="24" t="s">
        <v>135</v>
      </c>
      <c r="M1288" s="26">
        <v>1</v>
      </c>
      <c r="N1288" s="25">
        <v>20</v>
      </c>
      <c r="O1288" s="27">
        <v>20</v>
      </c>
      <c r="P1288" s="22" t="s">
        <v>3830</v>
      </c>
    </row>
    <row r="1289" spans="1:16" s="22" customFormat="1" ht="15" customHeight="1" x14ac:dyDescent="0.2">
      <c r="A1289" s="22" t="s">
        <v>3781</v>
      </c>
      <c r="B1289" s="22">
        <v>9213293</v>
      </c>
      <c r="C1289" s="23">
        <v>1</v>
      </c>
      <c r="D1289" s="23">
        <v>921537511</v>
      </c>
      <c r="E1289" s="23">
        <v>921537511</v>
      </c>
      <c r="F1289" s="24" t="s">
        <v>786</v>
      </c>
      <c r="G1289" s="23">
        <v>0</v>
      </c>
      <c r="H1289" s="23">
        <v>20250301</v>
      </c>
      <c r="I1289" s="23" t="str">
        <f>TEXT(DATE(LEFT(H1289,4), MID(H1289,5,2), RIGHT(H1289,2)), "M/d/yyyy")</f>
        <v>3/1/2025</v>
      </c>
      <c r="J1289" s="25">
        <v>20210101</v>
      </c>
      <c r="K1289" s="23" t="str">
        <f>TEXT(DATE(LEFT(J1289,4), MID(J1289,5,2), RIGHT(J1289,2)), "M/d/yyyy")</f>
        <v>1/1/2021</v>
      </c>
      <c r="L1289" s="24" t="s">
        <v>135</v>
      </c>
      <c r="M1289" s="26">
        <v>1</v>
      </c>
      <c r="N1289" s="25">
        <v>20</v>
      </c>
      <c r="O1289" s="27">
        <v>20</v>
      </c>
      <c r="P1289" s="22" t="s">
        <v>3830</v>
      </c>
    </row>
    <row r="1290" spans="1:16" s="22" customFormat="1" ht="15" customHeight="1" x14ac:dyDescent="0.2">
      <c r="A1290" s="22" t="s">
        <v>3781</v>
      </c>
      <c r="B1290" s="22">
        <v>9213293</v>
      </c>
      <c r="C1290" s="23">
        <v>1</v>
      </c>
      <c r="D1290" s="23">
        <v>921587989</v>
      </c>
      <c r="E1290" s="23">
        <v>921587989</v>
      </c>
      <c r="F1290" s="24" t="s">
        <v>807</v>
      </c>
      <c r="G1290" s="23">
        <v>0</v>
      </c>
      <c r="H1290" s="23">
        <v>20250301</v>
      </c>
      <c r="I1290" s="23" t="str">
        <f>TEXT(DATE(LEFT(H1290,4), MID(H1290,5,2), RIGHT(H1290,2)), "M/d/yyyy")</f>
        <v>3/1/2025</v>
      </c>
      <c r="J1290" s="25">
        <v>20220101</v>
      </c>
      <c r="K1290" s="23" t="str">
        <f>TEXT(DATE(LEFT(J1290,4), MID(J1290,5,2), RIGHT(J1290,2)), "M/d/yyyy")</f>
        <v>1/1/2022</v>
      </c>
      <c r="L1290" s="24" t="s">
        <v>135</v>
      </c>
      <c r="M1290" s="26">
        <v>1</v>
      </c>
      <c r="N1290" s="25">
        <v>20</v>
      </c>
      <c r="O1290" s="27">
        <v>20</v>
      </c>
      <c r="P1290" s="22" t="s">
        <v>3830</v>
      </c>
    </row>
    <row r="1291" spans="1:16" s="22" customFormat="1" ht="15" customHeight="1" x14ac:dyDescent="0.2">
      <c r="A1291" s="22" t="s">
        <v>3781</v>
      </c>
      <c r="B1291" s="22">
        <v>9213293</v>
      </c>
      <c r="C1291" s="23">
        <v>1</v>
      </c>
      <c r="D1291" s="23">
        <v>921602893</v>
      </c>
      <c r="E1291" s="23">
        <v>921602893</v>
      </c>
      <c r="F1291" s="24" t="s">
        <v>820</v>
      </c>
      <c r="G1291" s="23">
        <v>0</v>
      </c>
      <c r="H1291" s="23">
        <v>20250301</v>
      </c>
      <c r="I1291" s="23" t="str">
        <f>TEXT(DATE(LEFT(H1291,4), MID(H1291,5,2), RIGHT(H1291,2)), "M/d/yyyy")</f>
        <v>3/1/2025</v>
      </c>
      <c r="J1291" s="25">
        <v>20220201</v>
      </c>
      <c r="K1291" s="23" t="str">
        <f>TEXT(DATE(LEFT(J1291,4), MID(J1291,5,2), RIGHT(J1291,2)), "M/d/yyyy")</f>
        <v>2/1/2022</v>
      </c>
      <c r="L1291" s="24" t="s">
        <v>135</v>
      </c>
      <c r="M1291" s="26">
        <v>1</v>
      </c>
      <c r="N1291" s="25">
        <v>20</v>
      </c>
      <c r="O1291" s="27">
        <v>20</v>
      </c>
      <c r="P1291" s="22" t="s">
        <v>3830</v>
      </c>
    </row>
    <row r="1292" spans="1:16" s="22" customFormat="1" ht="15" customHeight="1" x14ac:dyDescent="0.2">
      <c r="A1292" s="22" t="s">
        <v>3781</v>
      </c>
      <c r="B1292" s="22">
        <v>9213293</v>
      </c>
      <c r="C1292" s="23">
        <v>1</v>
      </c>
      <c r="D1292" s="23">
        <v>921612575</v>
      </c>
      <c r="E1292" s="23">
        <v>921612575</v>
      </c>
      <c r="F1292" s="24" t="s">
        <v>824</v>
      </c>
      <c r="G1292" s="23">
        <v>0</v>
      </c>
      <c r="H1292" s="23">
        <v>20250301</v>
      </c>
      <c r="I1292" s="23" t="str">
        <f>TEXT(DATE(LEFT(H1292,4), MID(H1292,5,2), RIGHT(H1292,2)), "M/d/yyyy")</f>
        <v>3/1/2025</v>
      </c>
      <c r="J1292" s="25">
        <v>20220501</v>
      </c>
      <c r="K1292" s="23" t="str">
        <f>TEXT(DATE(LEFT(J1292,4), MID(J1292,5,2), RIGHT(J1292,2)), "M/d/yyyy")</f>
        <v>5/1/2022</v>
      </c>
      <c r="L1292" s="24" t="s">
        <v>135</v>
      </c>
      <c r="M1292" s="26">
        <v>1</v>
      </c>
      <c r="N1292" s="25">
        <v>20</v>
      </c>
      <c r="O1292" s="27">
        <v>20</v>
      </c>
      <c r="P1292" s="22" t="s">
        <v>3830</v>
      </c>
    </row>
    <row r="1293" spans="1:16" s="22" customFormat="1" ht="15" customHeight="1" x14ac:dyDescent="0.2">
      <c r="A1293" s="22" t="s">
        <v>3781</v>
      </c>
      <c r="B1293" s="22">
        <v>9213293</v>
      </c>
      <c r="C1293" s="23">
        <v>1</v>
      </c>
      <c r="D1293" s="23">
        <v>921613480</v>
      </c>
      <c r="E1293" s="23">
        <v>921613480</v>
      </c>
      <c r="F1293" s="24" t="s">
        <v>827</v>
      </c>
      <c r="G1293" s="23">
        <v>0</v>
      </c>
      <c r="H1293" s="23">
        <v>20250301</v>
      </c>
      <c r="I1293" s="23" t="str">
        <f>TEXT(DATE(LEFT(H1293,4), MID(H1293,5,2), RIGHT(H1293,2)), "M/d/yyyy")</f>
        <v>3/1/2025</v>
      </c>
      <c r="J1293" s="25">
        <v>20220601</v>
      </c>
      <c r="K1293" s="23" t="str">
        <f>TEXT(DATE(LEFT(J1293,4), MID(J1293,5,2), RIGHT(J1293,2)), "M/d/yyyy")</f>
        <v>6/1/2022</v>
      </c>
      <c r="L1293" s="24" t="s">
        <v>135</v>
      </c>
      <c r="M1293" s="26">
        <v>1</v>
      </c>
      <c r="N1293" s="25">
        <v>20</v>
      </c>
      <c r="O1293" s="27">
        <v>20</v>
      </c>
      <c r="P1293" s="22" t="s">
        <v>3830</v>
      </c>
    </row>
    <row r="1294" spans="1:16" s="22" customFormat="1" ht="15" customHeight="1" x14ac:dyDescent="0.2">
      <c r="A1294" s="22" t="s">
        <v>3781</v>
      </c>
      <c r="B1294" s="22">
        <v>9213293</v>
      </c>
      <c r="C1294" s="23">
        <v>1</v>
      </c>
      <c r="D1294" s="23">
        <v>921668515</v>
      </c>
      <c r="E1294" s="23">
        <v>921668515</v>
      </c>
      <c r="F1294" s="24" t="s">
        <v>856</v>
      </c>
      <c r="G1294" s="23">
        <v>0</v>
      </c>
      <c r="H1294" s="23">
        <v>20250301</v>
      </c>
      <c r="I1294" s="23" t="str">
        <f>TEXT(DATE(LEFT(H1294,4), MID(H1294,5,2), RIGHT(H1294,2)), "M/d/yyyy")</f>
        <v>3/1/2025</v>
      </c>
      <c r="J1294" s="25">
        <v>20230901</v>
      </c>
      <c r="K1294" s="23" t="str">
        <f>TEXT(DATE(LEFT(J1294,4), MID(J1294,5,2), RIGHT(J1294,2)), "M/d/yyyy")</f>
        <v>9/1/2023</v>
      </c>
      <c r="L1294" s="24" t="s">
        <v>135</v>
      </c>
      <c r="M1294" s="26">
        <v>1</v>
      </c>
      <c r="N1294" s="25">
        <v>20</v>
      </c>
      <c r="O1294" s="27">
        <v>20</v>
      </c>
      <c r="P1294" s="22" t="s">
        <v>3830</v>
      </c>
    </row>
    <row r="1295" spans="1:16" s="22" customFormat="1" ht="15" customHeight="1" x14ac:dyDescent="0.2">
      <c r="A1295" s="22" t="s">
        <v>3781</v>
      </c>
      <c r="B1295" s="22">
        <v>9213293</v>
      </c>
      <c r="C1295" s="23">
        <v>1</v>
      </c>
      <c r="D1295" s="23">
        <v>920856141</v>
      </c>
      <c r="E1295" s="23">
        <v>920856141</v>
      </c>
      <c r="F1295" s="24" t="s">
        <v>692</v>
      </c>
      <c r="G1295" s="23">
        <v>0</v>
      </c>
      <c r="H1295" s="23">
        <v>20250301</v>
      </c>
      <c r="I1295" s="23" t="str">
        <f>TEXT(DATE(LEFT(H1295,4), MID(H1295,5,2), RIGHT(H1295,2)), "M/d/yyyy")</f>
        <v>3/1/2025</v>
      </c>
      <c r="J1295" s="25">
        <v>20250101</v>
      </c>
      <c r="K1295" s="23" t="str">
        <f>TEXT(DATE(LEFT(J1295,4), MID(J1295,5,2), RIGHT(J1295,2)), "M/d/yyyy")</f>
        <v>1/1/2025</v>
      </c>
      <c r="L1295" s="24" t="s">
        <v>135</v>
      </c>
      <c r="M1295" s="26">
        <v>1</v>
      </c>
      <c r="N1295" s="25">
        <v>25</v>
      </c>
      <c r="O1295" s="27">
        <v>25</v>
      </c>
      <c r="P1295" s="22" t="s">
        <v>3830</v>
      </c>
    </row>
    <row r="1296" spans="1:16" s="22" customFormat="1" ht="15" customHeight="1" x14ac:dyDescent="0.2">
      <c r="A1296" s="22" t="s">
        <v>3781</v>
      </c>
      <c r="B1296" s="22">
        <v>9213293</v>
      </c>
      <c r="C1296" s="23">
        <v>1</v>
      </c>
      <c r="D1296" s="23">
        <v>920856141</v>
      </c>
      <c r="E1296" s="23">
        <v>920856141</v>
      </c>
      <c r="F1296" s="24" t="s">
        <v>692</v>
      </c>
      <c r="G1296" s="23">
        <v>0</v>
      </c>
      <c r="H1296" s="23">
        <v>20250201</v>
      </c>
      <c r="I1296" s="23" t="str">
        <f>TEXT(DATE(LEFT(H1296,4), MID(H1296,5,2), RIGHT(H1296,2)), "M/d/yyyy")</f>
        <v>2/1/2025</v>
      </c>
      <c r="J1296" s="25">
        <v>20250101</v>
      </c>
      <c r="K1296" s="23" t="str">
        <f>TEXT(DATE(LEFT(J1296,4), MID(J1296,5,2), RIGHT(J1296,2)), "M/d/yyyy")</f>
        <v>1/1/2025</v>
      </c>
      <c r="L1296" s="24" t="s">
        <v>135</v>
      </c>
      <c r="M1296" s="26">
        <v>1</v>
      </c>
      <c r="N1296" s="25">
        <v>25</v>
      </c>
      <c r="O1296" s="27">
        <v>25</v>
      </c>
      <c r="P1296" s="22" t="s">
        <v>3830</v>
      </c>
    </row>
    <row r="1297" spans="1:16" s="22" customFormat="1" ht="15" customHeight="1" x14ac:dyDescent="0.2">
      <c r="A1297" s="22" t="s">
        <v>3781</v>
      </c>
      <c r="B1297" s="22">
        <v>9213293</v>
      </c>
      <c r="C1297" s="23">
        <v>1</v>
      </c>
      <c r="D1297" s="23">
        <v>921715402</v>
      </c>
      <c r="E1297" s="23">
        <v>921715402</v>
      </c>
      <c r="F1297" s="24" t="s">
        <v>883</v>
      </c>
      <c r="G1297" s="23">
        <v>0</v>
      </c>
      <c r="H1297" s="23">
        <v>20250301</v>
      </c>
      <c r="I1297" s="23" t="str">
        <f>TEXT(DATE(LEFT(H1297,4), MID(H1297,5,2), RIGHT(H1297,2)), "M/d/yyyy")</f>
        <v>3/1/2025</v>
      </c>
      <c r="J1297" s="25">
        <v>20240401</v>
      </c>
      <c r="K1297" s="23" t="str">
        <f>TEXT(DATE(LEFT(J1297,4), MID(J1297,5,2), RIGHT(J1297,2)), "M/d/yyyy")</f>
        <v>4/1/2024</v>
      </c>
      <c r="L1297" s="24" t="s">
        <v>135</v>
      </c>
      <c r="M1297" s="26">
        <v>1</v>
      </c>
      <c r="N1297" s="25">
        <v>25</v>
      </c>
      <c r="O1297" s="27">
        <v>25</v>
      </c>
      <c r="P1297" s="22" t="s">
        <v>3830</v>
      </c>
    </row>
    <row r="1298" spans="1:16" s="22" customFormat="1" ht="15" customHeight="1" x14ac:dyDescent="0.2">
      <c r="A1298" s="22" t="s">
        <v>3781</v>
      </c>
      <c r="B1298" s="22">
        <v>9213293</v>
      </c>
      <c r="C1298" s="23">
        <v>1</v>
      </c>
      <c r="D1298" s="23">
        <v>921733363</v>
      </c>
      <c r="E1298" s="23">
        <v>921733363</v>
      </c>
      <c r="F1298" s="24" t="s">
        <v>885</v>
      </c>
      <c r="G1298" s="23">
        <v>0</v>
      </c>
      <c r="H1298" s="23">
        <v>20250301</v>
      </c>
      <c r="I1298" s="23" t="str">
        <f>TEXT(DATE(LEFT(H1298,4), MID(H1298,5,2), RIGHT(H1298,2)), "M/d/yyyy")</f>
        <v>3/1/2025</v>
      </c>
      <c r="J1298" s="25">
        <v>20240901</v>
      </c>
      <c r="K1298" s="23" t="str">
        <f>TEXT(DATE(LEFT(J1298,4), MID(J1298,5,2), RIGHT(J1298,2)), "M/d/yyyy")</f>
        <v>9/1/2024</v>
      </c>
      <c r="L1298" s="24" t="s">
        <v>135</v>
      </c>
      <c r="M1298" s="26">
        <v>1</v>
      </c>
      <c r="N1298" s="25">
        <v>25</v>
      </c>
      <c r="O1298" s="27">
        <v>25</v>
      </c>
      <c r="P1298" s="22" t="s">
        <v>3830</v>
      </c>
    </row>
    <row r="1299" spans="1:16" s="22" customFormat="1" ht="15" customHeight="1" x14ac:dyDescent="0.2">
      <c r="A1299" s="22" t="s">
        <v>3781</v>
      </c>
      <c r="B1299" s="22">
        <v>9213293</v>
      </c>
      <c r="C1299" s="23">
        <v>1</v>
      </c>
      <c r="D1299" s="23">
        <v>921755338</v>
      </c>
      <c r="E1299" s="23">
        <v>921755338</v>
      </c>
      <c r="F1299" s="24" t="s">
        <v>893</v>
      </c>
      <c r="G1299" s="23">
        <v>0</v>
      </c>
      <c r="H1299" s="23">
        <v>20250301</v>
      </c>
      <c r="I1299" s="23" t="str">
        <f>TEXT(DATE(LEFT(H1299,4), MID(H1299,5,2), RIGHT(H1299,2)), "M/d/yyyy")</f>
        <v>3/1/2025</v>
      </c>
      <c r="J1299" s="25">
        <v>20250101</v>
      </c>
      <c r="K1299" s="23" t="str">
        <f>TEXT(DATE(LEFT(J1299,4), MID(J1299,5,2), RIGHT(J1299,2)), "M/d/yyyy")</f>
        <v>1/1/2025</v>
      </c>
      <c r="L1299" s="24" t="s">
        <v>135</v>
      </c>
      <c r="M1299" s="26">
        <v>1</v>
      </c>
      <c r="N1299" s="25">
        <v>25</v>
      </c>
      <c r="O1299" s="27">
        <v>25</v>
      </c>
      <c r="P1299" s="22" t="s">
        <v>3830</v>
      </c>
    </row>
    <row r="1300" spans="1:16" s="22" customFormat="1" ht="15" customHeight="1" x14ac:dyDescent="0.2">
      <c r="A1300" s="22" t="s">
        <v>3781</v>
      </c>
      <c r="B1300" s="22">
        <v>9213293</v>
      </c>
      <c r="C1300" s="23">
        <v>2</v>
      </c>
      <c r="D1300" s="23">
        <v>921576876</v>
      </c>
      <c r="E1300" s="23">
        <v>921576876</v>
      </c>
      <c r="F1300" s="24" t="s">
        <v>801</v>
      </c>
      <c r="G1300" s="23">
        <v>0</v>
      </c>
      <c r="H1300" s="23">
        <v>20250301</v>
      </c>
      <c r="I1300" s="23" t="str">
        <f>TEXT(DATE(LEFT(H1300,4), MID(H1300,5,2), RIGHT(H1300,2)), "M/d/yyyy")</f>
        <v>3/1/2025</v>
      </c>
      <c r="J1300" s="25">
        <v>20210801</v>
      </c>
      <c r="K1300" s="23" t="str">
        <f>TEXT(DATE(LEFT(J1300,4), MID(J1300,5,2), RIGHT(J1300,2)), "M/d/yyyy")</f>
        <v>8/1/2021</v>
      </c>
      <c r="L1300" s="24" t="s">
        <v>135</v>
      </c>
      <c r="M1300" s="26">
        <v>1</v>
      </c>
      <c r="N1300" s="25">
        <v>20</v>
      </c>
      <c r="O1300" s="27">
        <v>40</v>
      </c>
      <c r="P1300" s="22" t="s">
        <v>3830</v>
      </c>
    </row>
    <row r="1301" spans="1:16" s="22" customFormat="1" ht="15" customHeight="1" x14ac:dyDescent="0.2">
      <c r="A1301" s="22" t="s">
        <v>3781</v>
      </c>
      <c r="B1301" s="22">
        <v>9213293</v>
      </c>
      <c r="C1301" s="23">
        <v>2</v>
      </c>
      <c r="D1301" s="23">
        <v>921621668</v>
      </c>
      <c r="E1301" s="23">
        <v>921621668</v>
      </c>
      <c r="F1301" s="24" t="s">
        <v>831</v>
      </c>
      <c r="G1301" s="23">
        <v>0</v>
      </c>
      <c r="H1301" s="23">
        <v>20250301</v>
      </c>
      <c r="I1301" s="23" t="str">
        <f>TEXT(DATE(LEFT(H1301,4), MID(H1301,5,2), RIGHT(H1301,2)), "M/d/yyyy")</f>
        <v>3/1/2025</v>
      </c>
      <c r="J1301" s="25">
        <v>20221001</v>
      </c>
      <c r="K1301" s="23" t="str">
        <f>TEXT(DATE(LEFT(J1301,4), MID(J1301,5,2), RIGHT(J1301,2)), "M/d/yyyy")</f>
        <v>10/1/2022</v>
      </c>
      <c r="L1301" s="24" t="s">
        <v>135</v>
      </c>
      <c r="M1301" s="26">
        <v>1</v>
      </c>
      <c r="N1301" s="25">
        <v>20</v>
      </c>
      <c r="O1301" s="27">
        <v>40</v>
      </c>
      <c r="P1301" s="22" t="s">
        <v>3830</v>
      </c>
    </row>
    <row r="1302" spans="1:16" s="22" customFormat="1" ht="15" customHeight="1" x14ac:dyDescent="0.2">
      <c r="A1302" s="22" t="s">
        <v>3781</v>
      </c>
      <c r="B1302" s="22">
        <v>9213293</v>
      </c>
      <c r="C1302" s="23">
        <v>5</v>
      </c>
      <c r="D1302" s="23">
        <v>921309084</v>
      </c>
      <c r="E1302" s="23">
        <v>921309084</v>
      </c>
      <c r="F1302" s="24" t="s">
        <v>725</v>
      </c>
      <c r="G1302" s="23">
        <v>0</v>
      </c>
      <c r="H1302" s="23">
        <v>20250301</v>
      </c>
      <c r="I1302" s="23" t="str">
        <f>TEXT(DATE(LEFT(H1302,4), MID(H1302,5,2), RIGHT(H1302,2)), "M/d/yyyy")</f>
        <v>3/1/2025</v>
      </c>
      <c r="J1302" s="25">
        <v>20170101</v>
      </c>
      <c r="K1302" s="23" t="str">
        <f>TEXT(DATE(LEFT(J1302,4), MID(J1302,5,2), RIGHT(J1302,2)), "M/d/yyyy")</f>
        <v>1/1/2017</v>
      </c>
      <c r="L1302" s="24" t="s">
        <v>135</v>
      </c>
      <c r="M1302" s="26">
        <v>1</v>
      </c>
      <c r="N1302" s="25">
        <v>20</v>
      </c>
      <c r="O1302" s="27">
        <v>100</v>
      </c>
      <c r="P1302" s="22" t="s">
        <v>3830</v>
      </c>
    </row>
    <row r="1303" spans="1:16" s="22" customFormat="1" ht="15" customHeight="1" x14ac:dyDescent="0.2">
      <c r="A1303" s="22" t="s">
        <v>3774</v>
      </c>
      <c r="B1303" s="22">
        <v>8307933</v>
      </c>
      <c r="C1303" s="24" t="s">
        <v>209</v>
      </c>
      <c r="D1303" s="23">
        <v>921424259</v>
      </c>
      <c r="E1303" s="23">
        <v>921424259</v>
      </c>
      <c r="F1303" s="24" t="s">
        <v>211</v>
      </c>
      <c r="G1303" s="23">
        <v>0</v>
      </c>
      <c r="H1303" s="23">
        <v>20250201</v>
      </c>
      <c r="I1303" s="23" t="str">
        <f>TEXT(DATE(LEFT(H1303,4), MID(H1303,5,2), RIGHT(H1303,2)), "M/d/yyyy")</f>
        <v>2/1/2025</v>
      </c>
      <c r="J1303" s="25">
        <v>20211001</v>
      </c>
      <c r="K1303" s="23" t="str">
        <f>TEXT(DATE(LEFT(J1303,4), MID(J1303,5,2), RIGHT(J1303,2)), "M/d/yyyy")</f>
        <v>10/1/2021</v>
      </c>
      <c r="L1303" s="24" t="s">
        <v>135</v>
      </c>
      <c r="M1303" s="26">
        <v>1</v>
      </c>
      <c r="N1303" s="25">
        <v>20</v>
      </c>
      <c r="O1303" s="27">
        <v>-80</v>
      </c>
      <c r="P1303" s="22" t="s">
        <v>3830</v>
      </c>
    </row>
    <row r="1304" spans="1:16" s="22" customFormat="1" ht="15" customHeight="1" x14ac:dyDescent="0.2">
      <c r="A1304" s="22" t="s">
        <v>3774</v>
      </c>
      <c r="B1304" s="22">
        <v>8307933</v>
      </c>
      <c r="C1304" s="23">
        <v>1</v>
      </c>
      <c r="D1304" s="23">
        <v>890201904</v>
      </c>
      <c r="E1304" s="23">
        <v>890201904</v>
      </c>
      <c r="F1304" s="24" t="s">
        <v>132</v>
      </c>
      <c r="G1304" s="23">
        <v>0</v>
      </c>
      <c r="H1304" s="23">
        <v>20250301</v>
      </c>
      <c r="I1304" s="23" t="str">
        <f>TEXT(DATE(LEFT(H1304,4), MID(H1304,5,2), RIGHT(H1304,2)), "M/d/yyyy")</f>
        <v>3/1/2025</v>
      </c>
      <c r="J1304" s="25">
        <v>20141201</v>
      </c>
      <c r="K1304" s="23" t="str">
        <f>TEXT(DATE(LEFT(J1304,4), MID(J1304,5,2), RIGHT(J1304,2)), "M/d/yyyy")</f>
        <v>12/1/2014</v>
      </c>
      <c r="L1304" s="24" t="s">
        <v>135</v>
      </c>
      <c r="M1304" s="26">
        <v>1</v>
      </c>
      <c r="N1304" s="25">
        <v>20</v>
      </c>
      <c r="O1304" s="27">
        <v>20</v>
      </c>
      <c r="P1304" s="22" t="s">
        <v>3830</v>
      </c>
    </row>
    <row r="1305" spans="1:16" s="22" customFormat="1" ht="15" customHeight="1" x14ac:dyDescent="0.2">
      <c r="A1305" s="22" t="s">
        <v>3774</v>
      </c>
      <c r="B1305" s="22">
        <v>8307933</v>
      </c>
      <c r="C1305" s="23">
        <v>1</v>
      </c>
      <c r="D1305" s="23">
        <v>921027292</v>
      </c>
      <c r="E1305" s="23">
        <v>921027292</v>
      </c>
      <c r="F1305" s="24" t="s">
        <v>161</v>
      </c>
      <c r="G1305" s="23">
        <v>0</v>
      </c>
      <c r="H1305" s="23">
        <v>20250301</v>
      </c>
      <c r="I1305" s="23" t="str">
        <f>TEXT(DATE(LEFT(H1305,4), MID(H1305,5,2), RIGHT(H1305,2)), "M/d/yyyy")</f>
        <v>3/1/2025</v>
      </c>
      <c r="J1305" s="25">
        <v>20201201</v>
      </c>
      <c r="K1305" s="23" t="str">
        <f>TEXT(DATE(LEFT(J1305,4), MID(J1305,5,2), RIGHT(J1305,2)), "M/d/yyyy")</f>
        <v>12/1/2020</v>
      </c>
      <c r="L1305" s="24" t="s">
        <v>135</v>
      </c>
      <c r="M1305" s="26">
        <v>1</v>
      </c>
      <c r="N1305" s="25">
        <v>20</v>
      </c>
      <c r="O1305" s="27">
        <v>20</v>
      </c>
      <c r="P1305" s="22" t="s">
        <v>3830</v>
      </c>
    </row>
    <row r="1306" spans="1:16" s="22" customFormat="1" ht="15" customHeight="1" x14ac:dyDescent="0.2">
      <c r="A1306" s="22" t="s">
        <v>3774</v>
      </c>
      <c r="B1306" s="22">
        <v>8307933</v>
      </c>
      <c r="C1306" s="23">
        <v>1</v>
      </c>
      <c r="D1306" s="23">
        <v>921546691</v>
      </c>
      <c r="E1306" s="23">
        <v>921546691</v>
      </c>
      <c r="F1306" s="24" t="s">
        <v>252</v>
      </c>
      <c r="G1306" s="23">
        <v>0</v>
      </c>
      <c r="H1306" s="23">
        <v>20250301</v>
      </c>
      <c r="I1306" s="23" t="str">
        <f>TEXT(DATE(LEFT(H1306,4), MID(H1306,5,2), RIGHT(H1306,2)), "M/d/yyyy")</f>
        <v>3/1/2025</v>
      </c>
      <c r="J1306" s="25">
        <v>20210101</v>
      </c>
      <c r="K1306" s="23" t="str">
        <f>TEXT(DATE(LEFT(J1306,4), MID(J1306,5,2), RIGHT(J1306,2)), "M/d/yyyy")</f>
        <v>1/1/2021</v>
      </c>
      <c r="L1306" s="24" t="s">
        <v>135</v>
      </c>
      <c r="M1306" s="26">
        <v>1</v>
      </c>
      <c r="N1306" s="25">
        <v>20</v>
      </c>
      <c r="O1306" s="27">
        <v>20</v>
      </c>
      <c r="P1306" s="22" t="s">
        <v>3830</v>
      </c>
    </row>
    <row r="1307" spans="1:16" s="22" customFormat="1" ht="15" customHeight="1" x14ac:dyDescent="0.2">
      <c r="A1307" s="22" t="s">
        <v>3774</v>
      </c>
      <c r="B1307" s="22">
        <v>8307933</v>
      </c>
      <c r="C1307" s="23">
        <v>1</v>
      </c>
      <c r="D1307" s="23">
        <v>921597241</v>
      </c>
      <c r="E1307" s="23">
        <v>921597241</v>
      </c>
      <c r="F1307" s="24" t="s">
        <v>296</v>
      </c>
      <c r="G1307" s="23">
        <v>0</v>
      </c>
      <c r="H1307" s="23">
        <v>20250301</v>
      </c>
      <c r="I1307" s="23" t="str">
        <f>TEXT(DATE(LEFT(H1307,4), MID(H1307,5,2), RIGHT(H1307,2)), "M/d/yyyy")</f>
        <v>3/1/2025</v>
      </c>
      <c r="J1307" s="25">
        <v>20220101</v>
      </c>
      <c r="K1307" s="23" t="str">
        <f>TEXT(DATE(LEFT(J1307,4), MID(J1307,5,2), RIGHT(J1307,2)), "M/d/yyyy")</f>
        <v>1/1/2022</v>
      </c>
      <c r="L1307" s="24" t="s">
        <v>135</v>
      </c>
      <c r="M1307" s="26">
        <v>1</v>
      </c>
      <c r="N1307" s="25">
        <v>20</v>
      </c>
      <c r="O1307" s="27">
        <v>20</v>
      </c>
      <c r="P1307" s="22" t="s">
        <v>3830</v>
      </c>
    </row>
    <row r="1308" spans="1:16" s="22" customFormat="1" ht="15" customHeight="1" x14ac:dyDescent="0.2">
      <c r="A1308" s="22" t="s">
        <v>3774</v>
      </c>
      <c r="B1308" s="22">
        <v>8307933</v>
      </c>
      <c r="C1308" s="23">
        <v>1</v>
      </c>
      <c r="D1308" s="23">
        <v>921681086</v>
      </c>
      <c r="E1308" s="23">
        <v>921681086</v>
      </c>
      <c r="F1308" s="24" t="s">
        <v>348</v>
      </c>
      <c r="G1308" s="23">
        <v>0</v>
      </c>
      <c r="H1308" s="23">
        <v>20250301</v>
      </c>
      <c r="I1308" s="23" t="str">
        <f>TEXT(DATE(LEFT(H1308,4), MID(H1308,5,2), RIGHT(H1308,2)), "M/d/yyyy")</f>
        <v>3/1/2025</v>
      </c>
      <c r="J1308" s="25">
        <v>20240101</v>
      </c>
      <c r="K1308" s="23" t="str">
        <f>TEXT(DATE(LEFT(J1308,4), MID(J1308,5,2), RIGHT(J1308,2)), "M/d/yyyy")</f>
        <v>1/1/2024</v>
      </c>
      <c r="L1308" s="24" t="s">
        <v>135</v>
      </c>
      <c r="M1308" s="26">
        <v>1</v>
      </c>
      <c r="N1308" s="25">
        <v>20</v>
      </c>
      <c r="O1308" s="27">
        <v>20</v>
      </c>
      <c r="P1308" s="22" t="s">
        <v>3830</v>
      </c>
    </row>
    <row r="1309" spans="1:16" s="22" customFormat="1" ht="15" customHeight="1" x14ac:dyDescent="0.2">
      <c r="A1309" s="22" t="s">
        <v>3774</v>
      </c>
      <c r="B1309" s="22">
        <v>8307933</v>
      </c>
      <c r="C1309" s="23">
        <v>1</v>
      </c>
      <c r="D1309" s="23">
        <v>921712012</v>
      </c>
      <c r="E1309" s="23">
        <v>921712012</v>
      </c>
      <c r="F1309" s="24" t="s">
        <v>359</v>
      </c>
      <c r="G1309" s="23">
        <v>0</v>
      </c>
      <c r="H1309" s="23">
        <v>20250301</v>
      </c>
      <c r="I1309" s="23" t="str">
        <f>TEXT(DATE(LEFT(H1309,4), MID(H1309,5,2), RIGHT(H1309,2)), "M/d/yyyy")</f>
        <v>3/1/2025</v>
      </c>
      <c r="J1309" s="25">
        <v>20240301</v>
      </c>
      <c r="K1309" s="23" t="str">
        <f>TEXT(DATE(LEFT(J1309,4), MID(J1309,5,2), RIGHT(J1309,2)), "M/d/yyyy")</f>
        <v>3/1/2024</v>
      </c>
      <c r="L1309" s="24" t="s">
        <v>135</v>
      </c>
      <c r="M1309" s="26">
        <v>1</v>
      </c>
      <c r="N1309" s="25">
        <v>25</v>
      </c>
      <c r="O1309" s="27">
        <v>25</v>
      </c>
      <c r="P1309" s="22" t="s">
        <v>3830</v>
      </c>
    </row>
    <row r="1310" spans="1:16" s="22" customFormat="1" ht="15" customHeight="1" x14ac:dyDescent="0.2">
      <c r="A1310" s="22" t="s">
        <v>3774</v>
      </c>
      <c r="B1310" s="22">
        <v>8307933</v>
      </c>
      <c r="C1310" s="23">
        <v>1</v>
      </c>
      <c r="D1310" s="23">
        <v>921717898</v>
      </c>
      <c r="E1310" s="23">
        <v>921717898</v>
      </c>
      <c r="F1310" s="24" t="s">
        <v>363</v>
      </c>
      <c r="G1310" s="23">
        <v>0</v>
      </c>
      <c r="H1310" s="23">
        <v>20250301</v>
      </c>
      <c r="I1310" s="23" t="str">
        <f>TEXT(DATE(LEFT(H1310,4), MID(H1310,5,2), RIGHT(H1310,2)), "M/d/yyyy")</f>
        <v>3/1/2025</v>
      </c>
      <c r="J1310" s="25">
        <v>20240301</v>
      </c>
      <c r="K1310" s="23" t="str">
        <f>TEXT(DATE(LEFT(J1310,4), MID(J1310,5,2), RIGHT(J1310,2)), "M/d/yyyy")</f>
        <v>3/1/2024</v>
      </c>
      <c r="L1310" s="24" t="s">
        <v>135</v>
      </c>
      <c r="M1310" s="26">
        <v>1</v>
      </c>
      <c r="N1310" s="25">
        <v>25</v>
      </c>
      <c r="O1310" s="27">
        <v>25</v>
      </c>
      <c r="P1310" s="22" t="s">
        <v>3830</v>
      </c>
    </row>
    <row r="1311" spans="1:16" s="22" customFormat="1" ht="15" customHeight="1" x14ac:dyDescent="0.2">
      <c r="A1311" s="22" t="s">
        <v>3774</v>
      </c>
      <c r="B1311" s="22">
        <v>8307933</v>
      </c>
      <c r="C1311" s="23">
        <v>1</v>
      </c>
      <c r="D1311" s="23">
        <v>921720708</v>
      </c>
      <c r="E1311" s="23">
        <v>921720708</v>
      </c>
      <c r="F1311" s="24" t="s">
        <v>367</v>
      </c>
      <c r="G1311" s="23">
        <v>0</v>
      </c>
      <c r="H1311" s="23">
        <v>20250301</v>
      </c>
      <c r="I1311" s="23" t="str">
        <f>TEXT(DATE(LEFT(H1311,4), MID(H1311,5,2), RIGHT(H1311,2)), "M/d/yyyy")</f>
        <v>3/1/2025</v>
      </c>
      <c r="J1311" s="25">
        <v>20240501</v>
      </c>
      <c r="K1311" s="23" t="str">
        <f>TEXT(DATE(LEFT(J1311,4), MID(J1311,5,2), RIGHT(J1311,2)), "M/d/yyyy")</f>
        <v>5/1/2024</v>
      </c>
      <c r="L1311" s="24" t="s">
        <v>135</v>
      </c>
      <c r="M1311" s="26">
        <v>1</v>
      </c>
      <c r="N1311" s="25">
        <v>25</v>
      </c>
      <c r="O1311" s="27">
        <v>25</v>
      </c>
      <c r="P1311" s="22" t="s">
        <v>3830</v>
      </c>
    </row>
    <row r="1312" spans="1:16" s="22" customFormat="1" ht="15" customHeight="1" x14ac:dyDescent="0.2">
      <c r="A1312" s="22" t="s">
        <v>3774</v>
      </c>
      <c r="B1312" s="22">
        <v>8307933</v>
      </c>
      <c r="C1312" s="23">
        <v>2</v>
      </c>
      <c r="D1312" s="23">
        <v>920793160</v>
      </c>
      <c r="E1312" s="23">
        <v>920793160</v>
      </c>
      <c r="F1312" s="24" t="s">
        <v>145</v>
      </c>
      <c r="G1312" s="23">
        <v>0</v>
      </c>
      <c r="H1312" s="23">
        <v>20250301</v>
      </c>
      <c r="I1312" s="23" t="str">
        <f>TEXT(DATE(LEFT(H1312,4), MID(H1312,5,2), RIGHT(H1312,2)), "M/d/yyyy")</f>
        <v>3/1/2025</v>
      </c>
      <c r="J1312" s="25">
        <v>20230901</v>
      </c>
      <c r="K1312" s="23" t="str">
        <f>TEXT(DATE(LEFT(J1312,4), MID(J1312,5,2), RIGHT(J1312,2)), "M/d/yyyy")</f>
        <v>9/1/2023</v>
      </c>
      <c r="L1312" s="24" t="s">
        <v>135</v>
      </c>
      <c r="M1312" s="26">
        <v>1</v>
      </c>
      <c r="N1312" s="25">
        <v>20</v>
      </c>
      <c r="O1312" s="27">
        <v>40</v>
      </c>
      <c r="P1312" s="22" t="s">
        <v>3830</v>
      </c>
    </row>
    <row r="1313" spans="1:16" s="22" customFormat="1" ht="15" customHeight="1" x14ac:dyDescent="0.2">
      <c r="A1313" s="22" t="s">
        <v>3774</v>
      </c>
      <c r="B1313" s="22">
        <v>8307933</v>
      </c>
      <c r="C1313" s="23">
        <v>2</v>
      </c>
      <c r="D1313" s="23">
        <v>921562893</v>
      </c>
      <c r="E1313" s="23">
        <v>921562893</v>
      </c>
      <c r="F1313" s="24" t="s">
        <v>262</v>
      </c>
      <c r="G1313" s="23">
        <v>0</v>
      </c>
      <c r="H1313" s="23">
        <v>20250301</v>
      </c>
      <c r="I1313" s="23" t="str">
        <f>TEXT(DATE(LEFT(H1313,4), MID(H1313,5,2), RIGHT(H1313,2)), "M/d/yyyy")</f>
        <v>3/1/2025</v>
      </c>
      <c r="J1313" s="25">
        <v>20210501</v>
      </c>
      <c r="K1313" s="23" t="str">
        <f>TEXT(DATE(LEFT(J1313,4), MID(J1313,5,2), RIGHT(J1313,2)), "M/d/yyyy")</f>
        <v>5/1/2021</v>
      </c>
      <c r="L1313" s="24" t="s">
        <v>135</v>
      </c>
      <c r="M1313" s="26">
        <v>1</v>
      </c>
      <c r="N1313" s="25">
        <v>20</v>
      </c>
      <c r="O1313" s="27">
        <v>40</v>
      </c>
      <c r="P1313" s="22" t="s">
        <v>3830</v>
      </c>
    </row>
    <row r="1314" spans="1:16" s="22" customFormat="1" ht="15" customHeight="1" x14ac:dyDescent="0.2">
      <c r="A1314" s="22" t="s">
        <v>3788</v>
      </c>
      <c r="B1314" s="22">
        <v>18754354</v>
      </c>
      <c r="C1314" s="23">
        <v>1</v>
      </c>
      <c r="D1314" s="23">
        <v>920818458</v>
      </c>
      <c r="E1314" s="23">
        <v>920818458</v>
      </c>
      <c r="F1314" s="24" t="s">
        <v>2176</v>
      </c>
      <c r="G1314" s="23">
        <v>0</v>
      </c>
      <c r="H1314" s="23">
        <v>20250301</v>
      </c>
      <c r="I1314" s="23" t="str">
        <f>TEXT(DATE(LEFT(H1314,4), MID(H1314,5,2), RIGHT(H1314,2)), "M/d/yyyy")</f>
        <v>3/1/2025</v>
      </c>
      <c r="J1314" s="25">
        <v>20140401</v>
      </c>
      <c r="K1314" s="23" t="str">
        <f>TEXT(DATE(LEFT(J1314,4), MID(J1314,5,2), RIGHT(J1314,2)), "M/d/yyyy")</f>
        <v>4/1/2014</v>
      </c>
      <c r="L1314" s="24" t="s">
        <v>135</v>
      </c>
      <c r="M1314" s="26">
        <v>1</v>
      </c>
      <c r="N1314" s="25">
        <v>20</v>
      </c>
      <c r="O1314" s="27">
        <v>20</v>
      </c>
      <c r="P1314" s="22" t="s">
        <v>3830</v>
      </c>
    </row>
    <row r="1315" spans="1:16" s="22" customFormat="1" ht="15" customHeight="1" x14ac:dyDescent="0.2">
      <c r="A1315" s="22" t="s">
        <v>3788</v>
      </c>
      <c r="B1315" s="22">
        <v>18754354</v>
      </c>
      <c r="C1315" s="23">
        <v>1</v>
      </c>
      <c r="D1315" s="23">
        <v>921429882</v>
      </c>
      <c r="E1315" s="23">
        <v>921429882</v>
      </c>
      <c r="F1315" s="24" t="s">
        <v>2203</v>
      </c>
      <c r="G1315" s="23">
        <v>0</v>
      </c>
      <c r="H1315" s="23">
        <v>20250301</v>
      </c>
      <c r="I1315" s="23" t="str">
        <f>TEXT(DATE(LEFT(H1315,4), MID(H1315,5,2), RIGHT(H1315,2)), "M/d/yyyy")</f>
        <v>3/1/2025</v>
      </c>
      <c r="J1315" s="25">
        <v>20181101</v>
      </c>
      <c r="K1315" s="23" t="str">
        <f>TEXT(DATE(LEFT(J1315,4), MID(J1315,5,2), RIGHT(J1315,2)), "M/d/yyyy")</f>
        <v>11/1/2018</v>
      </c>
      <c r="L1315" s="24" t="s">
        <v>135</v>
      </c>
      <c r="M1315" s="26">
        <v>1</v>
      </c>
      <c r="N1315" s="25">
        <v>20</v>
      </c>
      <c r="O1315" s="27">
        <v>20</v>
      </c>
      <c r="P1315" s="22" t="s">
        <v>3830</v>
      </c>
    </row>
    <row r="1316" spans="1:16" s="22" customFormat="1" ht="15" customHeight="1" x14ac:dyDescent="0.2">
      <c r="A1316" s="22" t="s">
        <v>3788</v>
      </c>
      <c r="B1316" s="22">
        <v>18754354</v>
      </c>
      <c r="C1316" s="23">
        <v>1</v>
      </c>
      <c r="D1316" s="23">
        <v>921525550</v>
      </c>
      <c r="E1316" s="23">
        <v>921525550</v>
      </c>
      <c r="F1316" s="24" t="s">
        <v>2225</v>
      </c>
      <c r="G1316" s="23">
        <v>0</v>
      </c>
      <c r="H1316" s="23">
        <v>20250301</v>
      </c>
      <c r="I1316" s="23" t="str">
        <f>TEXT(DATE(LEFT(H1316,4), MID(H1316,5,2), RIGHT(H1316,2)), "M/d/yyyy")</f>
        <v>3/1/2025</v>
      </c>
      <c r="J1316" s="25">
        <v>20200801</v>
      </c>
      <c r="K1316" s="23" t="str">
        <f>TEXT(DATE(LEFT(J1316,4), MID(J1316,5,2), RIGHT(J1316,2)), "M/d/yyyy")</f>
        <v>8/1/2020</v>
      </c>
      <c r="L1316" s="24" t="s">
        <v>135</v>
      </c>
      <c r="M1316" s="26">
        <v>1</v>
      </c>
      <c r="N1316" s="25">
        <v>20</v>
      </c>
      <c r="O1316" s="27">
        <v>20</v>
      </c>
      <c r="P1316" s="22" t="s">
        <v>3830</v>
      </c>
    </row>
    <row r="1317" spans="1:16" s="22" customFormat="1" ht="15" customHeight="1" x14ac:dyDescent="0.2">
      <c r="A1317" s="22" t="s">
        <v>3788</v>
      </c>
      <c r="B1317" s="22">
        <v>18754354</v>
      </c>
      <c r="C1317" s="23">
        <v>1</v>
      </c>
      <c r="D1317" s="23">
        <v>921566557</v>
      </c>
      <c r="E1317" s="23">
        <v>921566557</v>
      </c>
      <c r="F1317" s="24" t="s">
        <v>2237</v>
      </c>
      <c r="G1317" s="23">
        <v>0</v>
      </c>
      <c r="H1317" s="23">
        <v>20250301</v>
      </c>
      <c r="I1317" s="23" t="str">
        <f>TEXT(DATE(LEFT(H1317,4), MID(H1317,5,2), RIGHT(H1317,2)), "M/d/yyyy")</f>
        <v>3/1/2025</v>
      </c>
      <c r="J1317" s="25">
        <v>20210501</v>
      </c>
      <c r="K1317" s="23" t="str">
        <f>TEXT(DATE(LEFT(J1317,4), MID(J1317,5,2), RIGHT(J1317,2)), "M/d/yyyy")</f>
        <v>5/1/2021</v>
      </c>
      <c r="L1317" s="24" t="s">
        <v>135</v>
      </c>
      <c r="M1317" s="26">
        <v>1</v>
      </c>
      <c r="N1317" s="25">
        <v>20</v>
      </c>
      <c r="O1317" s="27">
        <v>20</v>
      </c>
      <c r="P1317" s="22" t="s">
        <v>3830</v>
      </c>
    </row>
    <row r="1318" spans="1:16" s="22" customFormat="1" ht="15" customHeight="1" x14ac:dyDescent="0.2">
      <c r="A1318" s="22" t="s">
        <v>3788</v>
      </c>
      <c r="B1318" s="22">
        <v>18754354</v>
      </c>
      <c r="C1318" s="23">
        <v>1</v>
      </c>
      <c r="D1318" s="23">
        <v>921727218</v>
      </c>
      <c r="E1318" s="23">
        <v>921727218</v>
      </c>
      <c r="F1318" s="24" t="s">
        <v>2286</v>
      </c>
      <c r="G1318" s="23">
        <v>0</v>
      </c>
      <c r="H1318" s="23">
        <v>20250301</v>
      </c>
      <c r="I1318" s="23" t="str">
        <f>TEXT(DATE(LEFT(H1318,4), MID(H1318,5,2), RIGHT(H1318,2)), "M/d/yyyy")</f>
        <v>3/1/2025</v>
      </c>
      <c r="J1318" s="25">
        <v>20240601</v>
      </c>
      <c r="K1318" s="23" t="str">
        <f>TEXT(DATE(LEFT(J1318,4), MID(J1318,5,2), RIGHT(J1318,2)), "M/d/yyyy")</f>
        <v>6/1/2024</v>
      </c>
      <c r="L1318" s="24" t="s">
        <v>135</v>
      </c>
      <c r="M1318" s="26">
        <v>1</v>
      </c>
      <c r="N1318" s="25">
        <v>25</v>
      </c>
      <c r="O1318" s="27">
        <v>25</v>
      </c>
      <c r="P1318" s="22" t="s">
        <v>3830</v>
      </c>
    </row>
    <row r="1319" spans="1:16" s="22" customFormat="1" ht="15" customHeight="1" x14ac:dyDescent="0.2">
      <c r="A1319" s="22" t="s">
        <v>3788</v>
      </c>
      <c r="B1319" s="22">
        <v>18754354</v>
      </c>
      <c r="C1319" s="23">
        <v>5</v>
      </c>
      <c r="D1319" s="23">
        <v>921463570</v>
      </c>
      <c r="E1319" s="23">
        <v>921463570</v>
      </c>
      <c r="F1319" s="24" t="s">
        <v>2213</v>
      </c>
      <c r="G1319" s="23">
        <v>0</v>
      </c>
      <c r="H1319" s="23">
        <v>20250301</v>
      </c>
      <c r="I1319" s="23" t="str">
        <f>TEXT(DATE(LEFT(H1319,4), MID(H1319,5,2), RIGHT(H1319,2)), "M/d/yyyy")</f>
        <v>3/1/2025</v>
      </c>
      <c r="J1319" s="25">
        <v>20190101</v>
      </c>
      <c r="K1319" s="23" t="str">
        <f>TEXT(DATE(LEFT(J1319,4), MID(J1319,5,2), RIGHT(J1319,2)), "M/d/yyyy")</f>
        <v>1/1/2019</v>
      </c>
      <c r="L1319" s="24" t="s">
        <v>135</v>
      </c>
      <c r="M1319" s="26">
        <v>1</v>
      </c>
      <c r="N1319" s="25">
        <v>20</v>
      </c>
      <c r="O1319" s="27">
        <v>100</v>
      </c>
      <c r="P1319" s="22" t="s">
        <v>3830</v>
      </c>
    </row>
    <row r="1320" spans="1:16" s="22" customFormat="1" ht="15" customHeight="1" x14ac:dyDescent="0.2">
      <c r="A1320" s="22" t="s">
        <v>3791</v>
      </c>
      <c r="B1320" s="22">
        <v>2158366</v>
      </c>
      <c r="C1320" s="23">
        <v>1</v>
      </c>
      <c r="D1320" s="23">
        <v>921514651</v>
      </c>
      <c r="E1320" s="23">
        <v>921514651</v>
      </c>
      <c r="F1320" s="24" t="s">
        <v>2498</v>
      </c>
      <c r="G1320" s="23">
        <v>0</v>
      </c>
      <c r="H1320" s="23">
        <v>20250301</v>
      </c>
      <c r="I1320" s="23" t="str">
        <f>TEXT(DATE(LEFT(H1320,4), MID(H1320,5,2), RIGHT(H1320,2)), "M/d/yyyy")</f>
        <v>3/1/2025</v>
      </c>
      <c r="J1320" s="25">
        <v>20200301</v>
      </c>
      <c r="K1320" s="23" t="str">
        <f>TEXT(DATE(LEFT(J1320,4), MID(J1320,5,2), RIGHT(J1320,2)), "M/d/yyyy")</f>
        <v>3/1/2020</v>
      </c>
      <c r="L1320" s="24" t="s">
        <v>135</v>
      </c>
      <c r="M1320" s="26">
        <v>1</v>
      </c>
      <c r="N1320" s="25">
        <v>20</v>
      </c>
      <c r="O1320" s="27">
        <v>20</v>
      </c>
      <c r="P1320" s="22" t="s">
        <v>3830</v>
      </c>
    </row>
    <row r="1321" spans="1:16" s="22" customFormat="1" ht="15" customHeight="1" x14ac:dyDescent="0.2">
      <c r="A1321" s="22" t="s">
        <v>3784</v>
      </c>
      <c r="B1321" s="22">
        <v>8244481</v>
      </c>
      <c r="C1321" s="23">
        <v>2</v>
      </c>
      <c r="D1321" s="23">
        <v>921285003</v>
      </c>
      <c r="E1321" s="23">
        <v>921285003</v>
      </c>
      <c r="F1321" s="24" t="s">
        <v>1374</v>
      </c>
      <c r="G1321" s="23">
        <v>0</v>
      </c>
      <c r="H1321" s="23">
        <v>20250301</v>
      </c>
      <c r="I1321" s="23" t="str">
        <f>TEXT(DATE(LEFT(H1321,4), MID(H1321,5,2), RIGHT(H1321,2)), "M/d/yyyy")</f>
        <v>3/1/2025</v>
      </c>
      <c r="J1321" s="25">
        <v>20210201</v>
      </c>
      <c r="K1321" s="23" t="str">
        <f>TEXT(DATE(LEFT(J1321,4), MID(J1321,5,2), RIGHT(J1321,2)), "M/d/yyyy")</f>
        <v>2/1/2021</v>
      </c>
      <c r="L1321" s="24" t="s">
        <v>135</v>
      </c>
      <c r="M1321" s="26">
        <v>1</v>
      </c>
      <c r="N1321" s="25">
        <v>20</v>
      </c>
      <c r="O1321" s="27">
        <v>40</v>
      </c>
      <c r="P1321" s="22" t="s">
        <v>3830</v>
      </c>
    </row>
    <row r="1322" spans="1:16" s="22" customFormat="1" ht="15" customHeight="1" x14ac:dyDescent="0.2">
      <c r="A1322" s="22" t="s">
        <v>3785</v>
      </c>
      <c r="B1322" s="22">
        <v>19200754</v>
      </c>
      <c r="C1322" s="23">
        <v>1</v>
      </c>
      <c r="D1322" s="23">
        <v>920832838</v>
      </c>
      <c r="E1322" s="23">
        <v>920832838</v>
      </c>
      <c r="F1322" s="24" t="s">
        <v>1842</v>
      </c>
      <c r="G1322" s="23">
        <v>0</v>
      </c>
      <c r="H1322" s="23">
        <v>20250301</v>
      </c>
      <c r="I1322" s="23" t="str">
        <f>TEXT(DATE(LEFT(H1322,4), MID(H1322,5,2), RIGHT(H1322,2)), "M/d/yyyy")</f>
        <v>3/1/2025</v>
      </c>
      <c r="J1322" s="25">
        <v>20140401</v>
      </c>
      <c r="K1322" s="23" t="str">
        <f>TEXT(DATE(LEFT(J1322,4), MID(J1322,5,2), RIGHT(J1322,2)), "M/d/yyyy")</f>
        <v>4/1/2014</v>
      </c>
      <c r="L1322" s="24" t="s">
        <v>135</v>
      </c>
      <c r="M1322" s="26">
        <v>1</v>
      </c>
      <c r="N1322" s="25">
        <v>20</v>
      </c>
      <c r="O1322" s="27">
        <v>20</v>
      </c>
      <c r="P1322" s="22" t="s">
        <v>3830</v>
      </c>
    </row>
    <row r="1323" spans="1:16" s="22" customFormat="1" ht="15" customHeight="1" x14ac:dyDescent="0.2">
      <c r="A1323" s="22" t="s">
        <v>3785</v>
      </c>
      <c r="B1323" s="22">
        <v>19200754</v>
      </c>
      <c r="C1323" s="23">
        <v>1</v>
      </c>
      <c r="D1323" s="23">
        <v>920875325</v>
      </c>
      <c r="E1323" s="23">
        <v>920875325</v>
      </c>
      <c r="F1323" s="24" t="s">
        <v>1844</v>
      </c>
      <c r="G1323" s="23">
        <v>0</v>
      </c>
      <c r="H1323" s="23">
        <v>20250301</v>
      </c>
      <c r="I1323" s="23" t="str">
        <f>TEXT(DATE(LEFT(H1323,4), MID(H1323,5,2), RIGHT(H1323,2)), "M/d/yyyy")</f>
        <v>3/1/2025</v>
      </c>
      <c r="J1323" s="25">
        <v>20140501</v>
      </c>
      <c r="K1323" s="23" t="str">
        <f>TEXT(DATE(LEFT(J1323,4), MID(J1323,5,2), RIGHT(J1323,2)), "M/d/yyyy")</f>
        <v>5/1/2014</v>
      </c>
      <c r="L1323" s="24" t="s">
        <v>135</v>
      </c>
      <c r="M1323" s="26">
        <v>1</v>
      </c>
      <c r="N1323" s="25">
        <v>20</v>
      </c>
      <c r="O1323" s="27">
        <v>20</v>
      </c>
      <c r="P1323" s="22" t="s">
        <v>3830</v>
      </c>
    </row>
    <row r="1324" spans="1:16" s="22" customFormat="1" ht="15" customHeight="1" x14ac:dyDescent="0.2">
      <c r="A1324" s="22" t="s">
        <v>3785</v>
      </c>
      <c r="B1324" s="22">
        <v>19200754</v>
      </c>
      <c r="C1324" s="23">
        <v>1</v>
      </c>
      <c r="D1324" s="23">
        <v>921506239</v>
      </c>
      <c r="E1324" s="23">
        <v>921506239</v>
      </c>
      <c r="F1324" s="24" t="s">
        <v>1863</v>
      </c>
      <c r="G1324" s="23">
        <v>0</v>
      </c>
      <c r="H1324" s="23">
        <v>20250301</v>
      </c>
      <c r="I1324" s="23" t="str">
        <f>TEXT(DATE(LEFT(H1324,4), MID(H1324,5,2), RIGHT(H1324,2)), "M/d/yyyy")</f>
        <v>3/1/2025</v>
      </c>
      <c r="J1324" s="25">
        <v>20200101</v>
      </c>
      <c r="K1324" s="23" t="str">
        <f>TEXT(DATE(LEFT(J1324,4), MID(J1324,5,2), RIGHT(J1324,2)), "M/d/yyyy")</f>
        <v>1/1/2020</v>
      </c>
      <c r="L1324" s="24" t="s">
        <v>135</v>
      </c>
      <c r="M1324" s="26">
        <v>1</v>
      </c>
      <c r="N1324" s="25">
        <v>20</v>
      </c>
      <c r="O1324" s="27">
        <v>20</v>
      </c>
      <c r="P1324" s="22" t="s">
        <v>3830</v>
      </c>
    </row>
    <row r="1325" spans="1:16" s="22" customFormat="1" ht="15" customHeight="1" x14ac:dyDescent="0.2">
      <c r="A1325" s="22" t="s">
        <v>3785</v>
      </c>
      <c r="B1325" s="22">
        <v>19200754</v>
      </c>
      <c r="C1325" s="23">
        <v>1</v>
      </c>
      <c r="D1325" s="23">
        <v>921549994</v>
      </c>
      <c r="E1325" s="23">
        <v>921549994</v>
      </c>
      <c r="F1325" s="24" t="s">
        <v>1865</v>
      </c>
      <c r="G1325" s="23">
        <v>0</v>
      </c>
      <c r="H1325" s="23">
        <v>20250301</v>
      </c>
      <c r="I1325" s="23" t="str">
        <f>TEXT(DATE(LEFT(H1325,4), MID(H1325,5,2), RIGHT(H1325,2)), "M/d/yyyy")</f>
        <v>3/1/2025</v>
      </c>
      <c r="J1325" s="25">
        <v>20210101</v>
      </c>
      <c r="K1325" s="23" t="str">
        <f>TEXT(DATE(LEFT(J1325,4), MID(J1325,5,2), RIGHT(J1325,2)), "M/d/yyyy")</f>
        <v>1/1/2021</v>
      </c>
      <c r="L1325" s="24" t="s">
        <v>135</v>
      </c>
      <c r="M1325" s="26">
        <v>1</v>
      </c>
      <c r="N1325" s="25">
        <v>20</v>
      </c>
      <c r="O1325" s="27">
        <v>20</v>
      </c>
      <c r="P1325" s="22" t="s">
        <v>3830</v>
      </c>
    </row>
    <row r="1326" spans="1:16" s="22" customFormat="1" ht="15" customHeight="1" x14ac:dyDescent="0.2">
      <c r="A1326" s="22" t="s">
        <v>3785</v>
      </c>
      <c r="B1326" s="22">
        <v>19200754</v>
      </c>
      <c r="C1326" s="23">
        <v>1</v>
      </c>
      <c r="D1326" s="23">
        <v>921556561</v>
      </c>
      <c r="E1326" s="23">
        <v>921556561</v>
      </c>
      <c r="F1326" s="24" t="s">
        <v>1869</v>
      </c>
      <c r="G1326" s="23">
        <v>0</v>
      </c>
      <c r="H1326" s="23">
        <v>20250301</v>
      </c>
      <c r="I1326" s="23" t="str">
        <f>TEXT(DATE(LEFT(H1326,4), MID(H1326,5,2), RIGHT(H1326,2)), "M/d/yyyy")</f>
        <v>3/1/2025</v>
      </c>
      <c r="J1326" s="25">
        <v>20210301</v>
      </c>
      <c r="K1326" s="23" t="str">
        <f>TEXT(DATE(LEFT(J1326,4), MID(J1326,5,2), RIGHT(J1326,2)), "M/d/yyyy")</f>
        <v>3/1/2021</v>
      </c>
      <c r="L1326" s="24" t="s">
        <v>135</v>
      </c>
      <c r="M1326" s="26">
        <v>1</v>
      </c>
      <c r="N1326" s="25">
        <v>20</v>
      </c>
      <c r="O1326" s="27">
        <v>20</v>
      </c>
      <c r="P1326" s="22" t="s">
        <v>3830</v>
      </c>
    </row>
    <row r="1327" spans="1:16" s="22" customFormat="1" ht="15" customHeight="1" x14ac:dyDescent="0.2">
      <c r="A1327" s="22" t="s">
        <v>3785</v>
      </c>
      <c r="B1327" s="22">
        <v>19200754</v>
      </c>
      <c r="C1327" s="23">
        <v>1</v>
      </c>
      <c r="D1327" s="23">
        <v>920928420</v>
      </c>
      <c r="E1327" s="23">
        <v>920928420</v>
      </c>
      <c r="F1327" s="24" t="s">
        <v>1846</v>
      </c>
      <c r="G1327" s="23">
        <v>0</v>
      </c>
      <c r="H1327" s="23">
        <v>20250301</v>
      </c>
      <c r="I1327" s="23" t="str">
        <f>TEXT(DATE(LEFT(H1327,4), MID(H1327,5,2), RIGHT(H1327,2)), "M/d/yyyy")</f>
        <v>3/1/2025</v>
      </c>
      <c r="J1327" s="25">
        <v>20240501</v>
      </c>
      <c r="K1327" s="23" t="str">
        <f>TEXT(DATE(LEFT(J1327,4), MID(J1327,5,2), RIGHT(J1327,2)), "M/d/yyyy")</f>
        <v>5/1/2024</v>
      </c>
      <c r="L1327" s="24" t="s">
        <v>135</v>
      </c>
      <c r="M1327" s="26">
        <v>1</v>
      </c>
      <c r="N1327" s="25">
        <v>25</v>
      </c>
      <c r="O1327" s="27">
        <v>25</v>
      </c>
      <c r="P1327" s="22" t="s">
        <v>3830</v>
      </c>
    </row>
    <row r="1328" spans="1:16" s="22" customFormat="1" ht="15" customHeight="1" x14ac:dyDescent="0.2">
      <c r="A1328" s="22" t="s">
        <v>3785</v>
      </c>
      <c r="B1328" s="22">
        <v>19200754</v>
      </c>
      <c r="C1328" s="23">
        <v>1</v>
      </c>
      <c r="D1328" s="23">
        <v>921061677</v>
      </c>
      <c r="E1328" s="23">
        <v>921061677</v>
      </c>
      <c r="F1328" s="24" t="s">
        <v>1848</v>
      </c>
      <c r="G1328" s="23">
        <v>0</v>
      </c>
      <c r="H1328" s="23">
        <v>20250301</v>
      </c>
      <c r="I1328" s="23" t="str">
        <f>TEXT(DATE(LEFT(H1328,4), MID(H1328,5,2), RIGHT(H1328,2)), "M/d/yyyy")</f>
        <v>3/1/2025</v>
      </c>
      <c r="J1328" s="25">
        <v>20250201</v>
      </c>
      <c r="K1328" s="23" t="str">
        <f>TEXT(DATE(LEFT(J1328,4), MID(J1328,5,2), RIGHT(J1328,2)), "M/d/yyyy")</f>
        <v>2/1/2025</v>
      </c>
      <c r="L1328" s="24" t="s">
        <v>135</v>
      </c>
      <c r="M1328" s="26">
        <v>1</v>
      </c>
      <c r="N1328" s="25">
        <v>25</v>
      </c>
      <c r="O1328" s="27">
        <v>25</v>
      </c>
      <c r="P1328" s="22" t="s">
        <v>3830</v>
      </c>
    </row>
    <row r="1329" spans="1:16" s="22" customFormat="1" ht="15" customHeight="1" x14ac:dyDescent="0.2">
      <c r="A1329" s="22" t="s">
        <v>3785</v>
      </c>
      <c r="B1329" s="22">
        <v>19200754</v>
      </c>
      <c r="C1329" s="23">
        <v>1</v>
      </c>
      <c r="D1329" s="23">
        <v>921498135</v>
      </c>
      <c r="E1329" s="23">
        <v>921498135</v>
      </c>
      <c r="F1329" s="24" t="s">
        <v>1858</v>
      </c>
      <c r="G1329" s="23">
        <v>0</v>
      </c>
      <c r="H1329" s="23">
        <v>20250301</v>
      </c>
      <c r="I1329" s="23" t="str">
        <f>TEXT(DATE(LEFT(H1329,4), MID(H1329,5,2), RIGHT(H1329,2)), "M/d/yyyy")</f>
        <v>3/1/2025</v>
      </c>
      <c r="J1329" s="25">
        <v>20240501</v>
      </c>
      <c r="K1329" s="23" t="str">
        <f>TEXT(DATE(LEFT(J1329,4), MID(J1329,5,2), RIGHT(J1329,2)), "M/d/yyyy")</f>
        <v>5/1/2024</v>
      </c>
      <c r="L1329" s="24" t="s">
        <v>135</v>
      </c>
      <c r="M1329" s="26">
        <v>1</v>
      </c>
      <c r="N1329" s="25">
        <v>25</v>
      </c>
      <c r="O1329" s="27">
        <v>25</v>
      </c>
      <c r="P1329" s="22" t="s">
        <v>3830</v>
      </c>
    </row>
    <row r="1330" spans="1:16" s="22" customFormat="1" ht="15" customHeight="1" x14ac:dyDescent="0.2">
      <c r="A1330" s="22" t="s">
        <v>3785</v>
      </c>
      <c r="B1330" s="22">
        <v>19200754</v>
      </c>
      <c r="C1330" s="23">
        <v>2</v>
      </c>
      <c r="D1330" s="23">
        <v>921678645</v>
      </c>
      <c r="E1330" s="23">
        <v>921678645</v>
      </c>
      <c r="F1330" s="24" t="s">
        <v>1889</v>
      </c>
      <c r="G1330" s="23">
        <v>0</v>
      </c>
      <c r="H1330" s="23">
        <v>20250301</v>
      </c>
      <c r="I1330" s="23" t="str">
        <f>TEXT(DATE(LEFT(H1330,4), MID(H1330,5,2), RIGHT(H1330,2)), "M/d/yyyy")</f>
        <v>3/1/2025</v>
      </c>
      <c r="J1330" s="25">
        <v>20240101</v>
      </c>
      <c r="K1330" s="23" t="str">
        <f>TEXT(DATE(LEFT(J1330,4), MID(J1330,5,2), RIGHT(J1330,2)), "M/d/yyyy")</f>
        <v>1/1/2024</v>
      </c>
      <c r="L1330" s="24" t="s">
        <v>135</v>
      </c>
      <c r="M1330" s="26">
        <v>1</v>
      </c>
      <c r="N1330" s="25">
        <v>20</v>
      </c>
      <c r="O1330" s="27">
        <v>40</v>
      </c>
      <c r="P1330" s="22" t="s">
        <v>3830</v>
      </c>
    </row>
    <row r="1331" spans="1:16" s="22" customFormat="1" ht="15" customHeight="1" x14ac:dyDescent="0.2">
      <c r="A1331" s="22" t="s">
        <v>3785</v>
      </c>
      <c r="B1331" s="22">
        <v>19200754</v>
      </c>
      <c r="C1331" s="23">
        <v>2</v>
      </c>
      <c r="D1331" s="23">
        <v>921771894</v>
      </c>
      <c r="E1331" s="23">
        <v>921771894</v>
      </c>
      <c r="F1331" s="24" t="s">
        <v>1916</v>
      </c>
      <c r="G1331" s="23">
        <v>0</v>
      </c>
      <c r="H1331" s="23">
        <v>20250301</v>
      </c>
      <c r="I1331" s="23" t="str">
        <f>TEXT(DATE(LEFT(H1331,4), MID(H1331,5,2), RIGHT(H1331,2)), "M/d/yyyy")</f>
        <v>3/1/2025</v>
      </c>
      <c r="J1331" s="25">
        <v>20250201</v>
      </c>
      <c r="K1331" s="23" t="str">
        <f>TEXT(DATE(LEFT(J1331,4), MID(J1331,5,2), RIGHT(J1331,2)), "M/d/yyyy")</f>
        <v>2/1/2025</v>
      </c>
      <c r="L1331" s="24" t="s">
        <v>135</v>
      </c>
      <c r="M1331" s="26">
        <v>1</v>
      </c>
      <c r="N1331" s="25">
        <v>25</v>
      </c>
      <c r="O1331" s="27">
        <v>50</v>
      </c>
      <c r="P1331" s="22" t="s">
        <v>3830</v>
      </c>
    </row>
    <row r="1332" spans="1:16" s="22" customFormat="1" ht="15" customHeight="1" x14ac:dyDescent="0.2">
      <c r="A1332" s="22" t="s">
        <v>3785</v>
      </c>
      <c r="B1332" s="22">
        <v>19200754</v>
      </c>
      <c r="C1332" s="23">
        <v>4</v>
      </c>
      <c r="D1332" s="23">
        <v>921669510</v>
      </c>
      <c r="E1332" s="23">
        <v>921669510</v>
      </c>
      <c r="F1332" s="24" t="s">
        <v>1883</v>
      </c>
      <c r="G1332" s="23">
        <v>0</v>
      </c>
      <c r="H1332" s="23">
        <v>20250301</v>
      </c>
      <c r="I1332" s="23" t="str">
        <f>TEXT(DATE(LEFT(H1332,4), MID(H1332,5,2), RIGHT(H1332,2)), "M/d/yyyy")</f>
        <v>3/1/2025</v>
      </c>
      <c r="J1332" s="25">
        <v>20230901</v>
      </c>
      <c r="K1332" s="23" t="str">
        <f>TEXT(DATE(LEFT(J1332,4), MID(J1332,5,2), RIGHT(J1332,2)), "M/d/yyyy")</f>
        <v>9/1/2023</v>
      </c>
      <c r="L1332" s="24" t="s">
        <v>135</v>
      </c>
      <c r="M1332" s="26">
        <v>1</v>
      </c>
      <c r="N1332" s="25">
        <v>20</v>
      </c>
      <c r="O1332" s="27">
        <v>80</v>
      </c>
      <c r="P1332" s="22" t="s">
        <v>3830</v>
      </c>
    </row>
    <row r="1333" spans="1:16" s="22" customFormat="1" ht="15" customHeight="1" x14ac:dyDescent="0.2">
      <c r="A1333" s="22" t="s">
        <v>3785</v>
      </c>
      <c r="B1333" s="22">
        <v>19200754</v>
      </c>
      <c r="C1333" s="23">
        <v>5</v>
      </c>
      <c r="D1333" s="23">
        <v>921646054</v>
      </c>
      <c r="E1333" s="23">
        <v>921646054</v>
      </c>
      <c r="F1333" s="24" t="s">
        <v>1881</v>
      </c>
      <c r="G1333" s="23">
        <v>0</v>
      </c>
      <c r="H1333" s="23">
        <v>20250301</v>
      </c>
      <c r="I1333" s="23" t="str">
        <f>TEXT(DATE(LEFT(H1333,4), MID(H1333,5,2), RIGHT(H1333,2)), "M/d/yyyy")</f>
        <v>3/1/2025</v>
      </c>
      <c r="J1333" s="25">
        <v>20230201</v>
      </c>
      <c r="K1333" s="23" t="str">
        <f>TEXT(DATE(LEFT(J1333,4), MID(J1333,5,2), RIGHT(J1333,2)), "M/d/yyyy")</f>
        <v>2/1/2023</v>
      </c>
      <c r="L1333" s="24" t="s">
        <v>135</v>
      </c>
      <c r="M1333" s="26">
        <v>1</v>
      </c>
      <c r="N1333" s="25">
        <v>20</v>
      </c>
      <c r="O1333" s="27">
        <v>100</v>
      </c>
      <c r="P1333" s="22" t="s">
        <v>3830</v>
      </c>
    </row>
    <row r="1334" spans="1:16" s="22" customFormat="1" ht="15" customHeight="1" x14ac:dyDescent="0.2">
      <c r="A1334" s="22" t="s">
        <v>3787</v>
      </c>
      <c r="B1334" s="22">
        <v>16633294</v>
      </c>
      <c r="C1334" s="24" t="s">
        <v>588</v>
      </c>
      <c r="D1334" s="23">
        <v>921609665</v>
      </c>
      <c r="E1334" s="23">
        <v>921609665</v>
      </c>
      <c r="F1334" s="24" t="s">
        <v>2110</v>
      </c>
      <c r="G1334" s="23">
        <v>0</v>
      </c>
      <c r="H1334" s="23">
        <v>20250301</v>
      </c>
      <c r="I1334" s="23" t="str">
        <f>TEXT(DATE(LEFT(H1334,4), MID(H1334,5,2), RIGHT(H1334,2)), "M/d/yyyy")</f>
        <v>3/1/2025</v>
      </c>
      <c r="J1334" s="25">
        <v>20220401</v>
      </c>
      <c r="K1334" s="23" t="str">
        <f>TEXT(DATE(LEFT(J1334,4), MID(J1334,5,2), RIGHT(J1334,2)), "M/d/yyyy")</f>
        <v>4/1/2022</v>
      </c>
      <c r="L1334" s="24" t="s">
        <v>135</v>
      </c>
      <c r="M1334" s="26">
        <v>1</v>
      </c>
      <c r="N1334" s="25">
        <v>20</v>
      </c>
      <c r="O1334" s="27">
        <v>-20</v>
      </c>
      <c r="P1334" s="22" t="s">
        <v>3830</v>
      </c>
    </row>
    <row r="1335" spans="1:16" s="22" customFormat="1" ht="15" customHeight="1" x14ac:dyDescent="0.2">
      <c r="A1335" s="22" t="s">
        <v>3787</v>
      </c>
      <c r="B1335" s="22">
        <v>16633294</v>
      </c>
      <c r="C1335" s="23">
        <v>1</v>
      </c>
      <c r="D1335" s="23">
        <v>921503760</v>
      </c>
      <c r="E1335" s="23">
        <v>921503760</v>
      </c>
      <c r="F1335" s="24" t="s">
        <v>2086</v>
      </c>
      <c r="G1335" s="23">
        <v>0</v>
      </c>
      <c r="H1335" s="23">
        <v>20250301</v>
      </c>
      <c r="I1335" s="23" t="str">
        <f>TEXT(DATE(LEFT(H1335,4), MID(H1335,5,2), RIGHT(H1335,2)), "M/d/yyyy")</f>
        <v>3/1/2025</v>
      </c>
      <c r="J1335" s="25">
        <v>20200101</v>
      </c>
      <c r="K1335" s="23" t="str">
        <f>TEXT(DATE(LEFT(J1335,4), MID(J1335,5,2), RIGHT(J1335,2)), "M/d/yyyy")</f>
        <v>1/1/2020</v>
      </c>
      <c r="L1335" s="24" t="s">
        <v>135</v>
      </c>
      <c r="M1335" s="26">
        <v>1</v>
      </c>
      <c r="N1335" s="25">
        <v>20</v>
      </c>
      <c r="O1335" s="27">
        <v>20</v>
      </c>
      <c r="P1335" s="22" t="s">
        <v>3830</v>
      </c>
    </row>
    <row r="1336" spans="1:16" s="22" customFormat="1" ht="15" customHeight="1" x14ac:dyDescent="0.2">
      <c r="A1336" s="22" t="s">
        <v>3787</v>
      </c>
      <c r="B1336" s="22">
        <v>16633294</v>
      </c>
      <c r="C1336" s="23">
        <v>1</v>
      </c>
      <c r="D1336" s="23">
        <v>921523821</v>
      </c>
      <c r="E1336" s="23">
        <v>921523821</v>
      </c>
      <c r="F1336" s="24" t="s">
        <v>2092</v>
      </c>
      <c r="G1336" s="23">
        <v>0</v>
      </c>
      <c r="H1336" s="23">
        <v>20250301</v>
      </c>
      <c r="I1336" s="23" t="str">
        <f>TEXT(DATE(LEFT(H1336,4), MID(H1336,5,2), RIGHT(H1336,2)), "M/d/yyyy")</f>
        <v>3/1/2025</v>
      </c>
      <c r="J1336" s="25">
        <v>20230801</v>
      </c>
      <c r="K1336" s="23" t="str">
        <f>TEXT(DATE(LEFT(J1336,4), MID(J1336,5,2), RIGHT(J1336,2)), "M/d/yyyy")</f>
        <v>8/1/2023</v>
      </c>
      <c r="L1336" s="24" t="s">
        <v>135</v>
      </c>
      <c r="M1336" s="26">
        <v>1</v>
      </c>
      <c r="N1336" s="25">
        <v>20</v>
      </c>
      <c r="O1336" s="27">
        <v>20</v>
      </c>
      <c r="P1336" s="22" t="s">
        <v>3830</v>
      </c>
    </row>
    <row r="1337" spans="1:16" s="22" customFormat="1" ht="15" customHeight="1" x14ac:dyDescent="0.2">
      <c r="A1337" s="22" t="s">
        <v>3787</v>
      </c>
      <c r="B1337" s="22">
        <v>16633294</v>
      </c>
      <c r="C1337" s="23">
        <v>1</v>
      </c>
      <c r="D1337" s="23">
        <v>921529342</v>
      </c>
      <c r="E1337" s="23">
        <v>921529342</v>
      </c>
      <c r="F1337" s="24" t="s">
        <v>2094</v>
      </c>
      <c r="G1337" s="23">
        <v>0</v>
      </c>
      <c r="H1337" s="23">
        <v>20250301</v>
      </c>
      <c r="I1337" s="23" t="str">
        <f>TEXT(DATE(LEFT(H1337,4), MID(H1337,5,2), RIGHT(H1337,2)), "M/d/yyyy")</f>
        <v>3/1/2025</v>
      </c>
      <c r="J1337" s="25">
        <v>20200901</v>
      </c>
      <c r="K1337" s="23" t="str">
        <f>TEXT(DATE(LEFT(J1337,4), MID(J1337,5,2), RIGHT(J1337,2)), "M/d/yyyy")</f>
        <v>9/1/2020</v>
      </c>
      <c r="L1337" s="24" t="s">
        <v>135</v>
      </c>
      <c r="M1337" s="26">
        <v>1</v>
      </c>
      <c r="N1337" s="25">
        <v>20</v>
      </c>
      <c r="O1337" s="27">
        <v>20</v>
      </c>
      <c r="P1337" s="22" t="s">
        <v>3830</v>
      </c>
    </row>
    <row r="1338" spans="1:16" s="22" customFormat="1" ht="15" customHeight="1" x14ac:dyDescent="0.2">
      <c r="A1338" s="22" t="s">
        <v>3787</v>
      </c>
      <c r="B1338" s="22">
        <v>16633294</v>
      </c>
      <c r="C1338" s="23">
        <v>1</v>
      </c>
      <c r="D1338" s="23">
        <v>921562319</v>
      </c>
      <c r="E1338" s="23">
        <v>921562319</v>
      </c>
      <c r="F1338" s="24" t="s">
        <v>2102</v>
      </c>
      <c r="G1338" s="23">
        <v>0</v>
      </c>
      <c r="H1338" s="23">
        <v>20250301</v>
      </c>
      <c r="I1338" s="23" t="str">
        <f>TEXT(DATE(LEFT(H1338,4), MID(H1338,5,2), RIGHT(H1338,2)), "M/d/yyyy")</f>
        <v>3/1/2025</v>
      </c>
      <c r="J1338" s="25">
        <v>20210401</v>
      </c>
      <c r="K1338" s="23" t="str">
        <f>TEXT(DATE(LEFT(J1338,4), MID(J1338,5,2), RIGHT(J1338,2)), "M/d/yyyy")</f>
        <v>4/1/2021</v>
      </c>
      <c r="L1338" s="24" t="s">
        <v>135</v>
      </c>
      <c r="M1338" s="26">
        <v>1</v>
      </c>
      <c r="N1338" s="25">
        <v>20</v>
      </c>
      <c r="O1338" s="27">
        <v>20</v>
      </c>
      <c r="P1338" s="22" t="s">
        <v>3830</v>
      </c>
    </row>
    <row r="1339" spans="1:16" s="22" customFormat="1" ht="15" customHeight="1" x14ac:dyDescent="0.2">
      <c r="A1339" s="22" t="s">
        <v>3787</v>
      </c>
      <c r="B1339" s="22">
        <v>16633294</v>
      </c>
      <c r="C1339" s="23">
        <v>1</v>
      </c>
      <c r="D1339" s="23">
        <v>921609665</v>
      </c>
      <c r="E1339" s="23">
        <v>921609665</v>
      </c>
      <c r="F1339" s="24" t="s">
        <v>2110</v>
      </c>
      <c r="G1339" s="23">
        <v>0</v>
      </c>
      <c r="H1339" s="23">
        <v>20250301</v>
      </c>
      <c r="I1339" s="23" t="str">
        <f>TEXT(DATE(LEFT(H1339,4), MID(H1339,5,2), RIGHT(H1339,2)), "M/d/yyyy")</f>
        <v>3/1/2025</v>
      </c>
      <c r="J1339" s="25">
        <v>20220401</v>
      </c>
      <c r="K1339" s="23" t="str">
        <f>TEXT(DATE(LEFT(J1339,4), MID(J1339,5,2), RIGHT(J1339,2)), "M/d/yyyy")</f>
        <v>4/1/2022</v>
      </c>
      <c r="L1339" s="24" t="s">
        <v>135</v>
      </c>
      <c r="M1339" s="26">
        <v>1</v>
      </c>
      <c r="N1339" s="25">
        <v>20</v>
      </c>
      <c r="O1339" s="27">
        <v>20</v>
      </c>
      <c r="P1339" s="22" t="s">
        <v>3830</v>
      </c>
    </row>
    <row r="1340" spans="1:16" s="22" customFormat="1" ht="15" customHeight="1" x14ac:dyDescent="0.2">
      <c r="A1340" s="22" t="s">
        <v>3787</v>
      </c>
      <c r="B1340" s="22">
        <v>16633294</v>
      </c>
      <c r="C1340" s="23">
        <v>1</v>
      </c>
      <c r="D1340" s="23">
        <v>921659302</v>
      </c>
      <c r="E1340" s="23">
        <v>921659302</v>
      </c>
      <c r="F1340" s="24" t="s">
        <v>2124</v>
      </c>
      <c r="G1340" s="23">
        <v>0</v>
      </c>
      <c r="H1340" s="23">
        <v>20250301</v>
      </c>
      <c r="I1340" s="23" t="str">
        <f>TEXT(DATE(LEFT(H1340,4), MID(H1340,5,2), RIGHT(H1340,2)), "M/d/yyyy")</f>
        <v>3/1/2025</v>
      </c>
      <c r="J1340" s="25">
        <v>20230601</v>
      </c>
      <c r="K1340" s="23" t="str">
        <f>TEXT(DATE(LEFT(J1340,4), MID(J1340,5,2), RIGHT(J1340,2)), "M/d/yyyy")</f>
        <v>6/1/2023</v>
      </c>
      <c r="L1340" s="24" t="s">
        <v>135</v>
      </c>
      <c r="M1340" s="26">
        <v>1</v>
      </c>
      <c r="N1340" s="25">
        <v>20</v>
      </c>
      <c r="O1340" s="27">
        <v>20</v>
      </c>
      <c r="P1340" s="22" t="s">
        <v>3830</v>
      </c>
    </row>
    <row r="1341" spans="1:16" s="22" customFormat="1" ht="15" customHeight="1" x14ac:dyDescent="0.2">
      <c r="A1341" s="22" t="s">
        <v>3787</v>
      </c>
      <c r="B1341" s="22">
        <v>16633294</v>
      </c>
      <c r="C1341" s="23">
        <v>1</v>
      </c>
      <c r="D1341" s="23">
        <v>921669487</v>
      </c>
      <c r="E1341" s="23">
        <v>921669487</v>
      </c>
      <c r="F1341" s="24" t="s">
        <v>2126</v>
      </c>
      <c r="G1341" s="23">
        <v>0</v>
      </c>
      <c r="H1341" s="23">
        <v>20250301</v>
      </c>
      <c r="I1341" s="23" t="str">
        <f>TEXT(DATE(LEFT(H1341,4), MID(H1341,5,2), RIGHT(H1341,2)), "M/d/yyyy")</f>
        <v>3/1/2025</v>
      </c>
      <c r="J1341" s="25">
        <v>20230901</v>
      </c>
      <c r="K1341" s="23" t="str">
        <f>TEXT(DATE(LEFT(J1341,4), MID(J1341,5,2), RIGHT(J1341,2)), "M/d/yyyy")</f>
        <v>9/1/2023</v>
      </c>
      <c r="L1341" s="24" t="s">
        <v>135</v>
      </c>
      <c r="M1341" s="26">
        <v>1</v>
      </c>
      <c r="N1341" s="25">
        <v>20</v>
      </c>
      <c r="O1341" s="27">
        <v>20</v>
      </c>
      <c r="P1341" s="22" t="s">
        <v>3830</v>
      </c>
    </row>
    <row r="1342" spans="1:16" s="22" customFormat="1" ht="15" customHeight="1" x14ac:dyDescent="0.2">
      <c r="A1342" s="22" t="s">
        <v>3787</v>
      </c>
      <c r="B1342" s="22">
        <v>16633294</v>
      </c>
      <c r="C1342" s="23">
        <v>1</v>
      </c>
      <c r="D1342" s="23">
        <v>921671307</v>
      </c>
      <c r="E1342" s="23">
        <v>921671307</v>
      </c>
      <c r="F1342" s="24" t="s">
        <v>2128</v>
      </c>
      <c r="G1342" s="23">
        <v>0</v>
      </c>
      <c r="H1342" s="23">
        <v>20250301</v>
      </c>
      <c r="I1342" s="23" t="str">
        <f>TEXT(DATE(LEFT(H1342,4), MID(H1342,5,2), RIGHT(H1342,2)), "M/d/yyyy")</f>
        <v>3/1/2025</v>
      </c>
      <c r="J1342" s="25">
        <v>20231001</v>
      </c>
      <c r="K1342" s="23" t="str">
        <f>TEXT(DATE(LEFT(J1342,4), MID(J1342,5,2), RIGHT(J1342,2)), "M/d/yyyy")</f>
        <v>10/1/2023</v>
      </c>
      <c r="L1342" s="24" t="s">
        <v>135</v>
      </c>
      <c r="M1342" s="26">
        <v>1</v>
      </c>
      <c r="N1342" s="25">
        <v>20</v>
      </c>
      <c r="O1342" s="27">
        <v>20</v>
      </c>
      <c r="P1342" s="22" t="s">
        <v>3830</v>
      </c>
    </row>
    <row r="1343" spans="1:16" s="22" customFormat="1" ht="15" customHeight="1" x14ac:dyDescent="0.2">
      <c r="A1343" s="22" t="s">
        <v>3787</v>
      </c>
      <c r="B1343" s="22">
        <v>16633294</v>
      </c>
      <c r="C1343" s="23">
        <v>2</v>
      </c>
      <c r="D1343" s="23">
        <v>921606777</v>
      </c>
      <c r="E1343" s="23">
        <v>921606777</v>
      </c>
      <c r="F1343" s="24" t="s">
        <v>2108</v>
      </c>
      <c r="G1343" s="23">
        <v>0</v>
      </c>
      <c r="H1343" s="23">
        <v>20250301</v>
      </c>
      <c r="I1343" s="23" t="str">
        <f>TEXT(DATE(LEFT(H1343,4), MID(H1343,5,2), RIGHT(H1343,2)), "M/d/yyyy")</f>
        <v>3/1/2025</v>
      </c>
      <c r="J1343" s="25">
        <v>20220201</v>
      </c>
      <c r="K1343" s="23" t="str">
        <f>TEXT(DATE(LEFT(J1343,4), MID(J1343,5,2), RIGHT(J1343,2)), "M/d/yyyy")</f>
        <v>2/1/2022</v>
      </c>
      <c r="L1343" s="24" t="s">
        <v>135</v>
      </c>
      <c r="M1343" s="26">
        <v>1</v>
      </c>
      <c r="N1343" s="25">
        <v>20</v>
      </c>
      <c r="O1343" s="27">
        <v>40</v>
      </c>
      <c r="P1343" s="22" t="s">
        <v>3830</v>
      </c>
    </row>
    <row r="1344" spans="1:16" s="22" customFormat="1" ht="15" customHeight="1" x14ac:dyDescent="0.2">
      <c r="A1344" s="22" t="s">
        <v>3787</v>
      </c>
      <c r="B1344" s="22">
        <v>16633294</v>
      </c>
      <c r="C1344" s="23">
        <v>5</v>
      </c>
      <c r="D1344" s="23">
        <v>921623897</v>
      </c>
      <c r="E1344" s="23">
        <v>921623897</v>
      </c>
      <c r="F1344" s="24" t="s">
        <v>2112</v>
      </c>
      <c r="G1344" s="23">
        <v>0</v>
      </c>
      <c r="H1344" s="23">
        <v>20250301</v>
      </c>
      <c r="I1344" s="23" t="str">
        <f>TEXT(DATE(LEFT(H1344,4), MID(H1344,5,2), RIGHT(H1344,2)), "M/d/yyyy")</f>
        <v>3/1/2025</v>
      </c>
      <c r="J1344" s="25">
        <v>20221001</v>
      </c>
      <c r="K1344" s="23" t="str">
        <f>TEXT(DATE(LEFT(J1344,4), MID(J1344,5,2), RIGHT(J1344,2)), "M/d/yyyy")</f>
        <v>10/1/2022</v>
      </c>
      <c r="L1344" s="24" t="s">
        <v>135</v>
      </c>
      <c r="M1344" s="26">
        <v>1</v>
      </c>
      <c r="N1344" s="25">
        <v>20</v>
      </c>
      <c r="O1344" s="27">
        <v>100</v>
      </c>
      <c r="P1344" s="22" t="s">
        <v>3830</v>
      </c>
    </row>
    <row r="1345" spans="1:16" s="22" customFormat="1" ht="15" customHeight="1" x14ac:dyDescent="0.2">
      <c r="A1345" s="22" t="s">
        <v>3809</v>
      </c>
      <c r="B1345" s="22">
        <v>19615078</v>
      </c>
      <c r="C1345" s="24" t="s">
        <v>1557</v>
      </c>
      <c r="D1345" s="23">
        <v>921646883</v>
      </c>
      <c r="E1345" s="23">
        <v>921646883</v>
      </c>
      <c r="F1345" s="24" t="s">
        <v>3360</v>
      </c>
      <c r="G1345" s="23">
        <v>0</v>
      </c>
      <c r="H1345" s="23">
        <v>20250201</v>
      </c>
      <c r="I1345" s="23" t="str">
        <f>TEXT(DATE(LEFT(H1345,4), MID(H1345,5,2), RIGHT(H1345,2)), "M/d/yyyy")</f>
        <v>2/1/2025</v>
      </c>
      <c r="J1345" s="25">
        <v>20230101</v>
      </c>
      <c r="K1345" s="23" t="str">
        <f>TEXT(DATE(LEFT(J1345,4), MID(J1345,5,2), RIGHT(J1345,2)), "M/d/yyyy")</f>
        <v>1/1/2023</v>
      </c>
      <c r="L1345" s="24" t="s">
        <v>135</v>
      </c>
      <c r="M1345" s="26">
        <v>1</v>
      </c>
      <c r="N1345" s="25">
        <v>20</v>
      </c>
      <c r="O1345" s="27">
        <v>-40</v>
      </c>
      <c r="P1345" s="22" t="s">
        <v>3830</v>
      </c>
    </row>
    <row r="1346" spans="1:16" s="22" customFormat="1" ht="15" customHeight="1" x14ac:dyDescent="0.2">
      <c r="A1346" s="22" t="s">
        <v>3809</v>
      </c>
      <c r="B1346" s="22">
        <v>19615078</v>
      </c>
      <c r="C1346" s="23">
        <v>2</v>
      </c>
      <c r="D1346" s="23">
        <v>921646883</v>
      </c>
      <c r="E1346" s="23">
        <v>921646883</v>
      </c>
      <c r="F1346" s="24" t="s">
        <v>3360</v>
      </c>
      <c r="G1346" s="23">
        <v>0</v>
      </c>
      <c r="H1346" s="23">
        <v>20250301</v>
      </c>
      <c r="I1346" s="23" t="str">
        <f>TEXT(DATE(LEFT(H1346,4), MID(H1346,5,2), RIGHT(H1346,2)), "M/d/yyyy")</f>
        <v>3/1/2025</v>
      </c>
      <c r="J1346" s="25">
        <v>20230101</v>
      </c>
      <c r="K1346" s="23" t="str">
        <f>TEXT(DATE(LEFT(J1346,4), MID(J1346,5,2), RIGHT(J1346,2)), "M/d/yyyy")</f>
        <v>1/1/2023</v>
      </c>
      <c r="L1346" s="24" t="s">
        <v>135</v>
      </c>
      <c r="M1346" s="26">
        <v>1</v>
      </c>
      <c r="N1346" s="25">
        <v>20</v>
      </c>
      <c r="O1346" s="27">
        <v>40</v>
      </c>
      <c r="P1346" s="22" t="s">
        <v>3830</v>
      </c>
    </row>
    <row r="1347" spans="1:16" s="22" customFormat="1" ht="15" customHeight="1" x14ac:dyDescent="0.2">
      <c r="A1347" s="22" t="s">
        <v>3809</v>
      </c>
      <c r="B1347" s="22">
        <v>19615078</v>
      </c>
      <c r="C1347" s="23">
        <v>2</v>
      </c>
      <c r="D1347" s="23">
        <v>921646883</v>
      </c>
      <c r="E1347" s="23">
        <v>921646883</v>
      </c>
      <c r="F1347" s="24" t="s">
        <v>3360</v>
      </c>
      <c r="G1347" s="23">
        <v>0</v>
      </c>
      <c r="H1347" s="23">
        <v>20250201</v>
      </c>
      <c r="I1347" s="23" t="str">
        <f>TEXT(DATE(LEFT(H1347,4), MID(H1347,5,2), RIGHT(H1347,2)), "M/d/yyyy")</f>
        <v>2/1/2025</v>
      </c>
      <c r="J1347" s="25">
        <v>20230101</v>
      </c>
      <c r="K1347" s="23" t="str">
        <f>TEXT(DATE(LEFT(J1347,4), MID(J1347,5,2), RIGHT(J1347,2)), "M/d/yyyy")</f>
        <v>1/1/2023</v>
      </c>
      <c r="L1347" s="24" t="s">
        <v>135</v>
      </c>
      <c r="M1347" s="26">
        <v>1</v>
      </c>
      <c r="N1347" s="25">
        <v>20</v>
      </c>
      <c r="O1347" s="27">
        <v>40</v>
      </c>
      <c r="P1347" s="22" t="s">
        <v>3830</v>
      </c>
    </row>
    <row r="1348" spans="1:16" s="22" customFormat="1" ht="15" customHeight="1" x14ac:dyDescent="0.2">
      <c r="A1348" s="22" t="s">
        <v>3793</v>
      </c>
      <c r="B1348" s="22">
        <v>19396223</v>
      </c>
      <c r="C1348" s="23">
        <v>1</v>
      </c>
      <c r="D1348" s="23">
        <v>921612005</v>
      </c>
      <c r="E1348" s="23">
        <v>921612005</v>
      </c>
      <c r="F1348" s="24" t="s">
        <v>2591</v>
      </c>
      <c r="G1348" s="23">
        <v>0</v>
      </c>
      <c r="H1348" s="23">
        <v>20250301</v>
      </c>
      <c r="I1348" s="23" t="str">
        <f>TEXT(DATE(LEFT(H1348,4), MID(H1348,5,2), RIGHT(H1348,2)), "M/d/yyyy")</f>
        <v>3/1/2025</v>
      </c>
      <c r="J1348" s="25">
        <v>20220331</v>
      </c>
      <c r="K1348" s="23" t="str">
        <f>TEXT(DATE(LEFT(J1348,4), MID(J1348,5,2), RIGHT(J1348,2)), "M/d/yyyy")</f>
        <v>3/31/2022</v>
      </c>
      <c r="L1348" s="24" t="s">
        <v>135</v>
      </c>
      <c r="M1348" s="26">
        <v>1</v>
      </c>
      <c r="N1348" s="25">
        <v>20</v>
      </c>
      <c r="O1348" s="27">
        <v>20</v>
      </c>
      <c r="P1348" s="22" t="s">
        <v>3830</v>
      </c>
    </row>
    <row r="1349" spans="1:16" s="22" customFormat="1" ht="15" customHeight="1" x14ac:dyDescent="0.2">
      <c r="A1349" s="22" t="s">
        <v>3793</v>
      </c>
      <c r="B1349" s="22">
        <v>19396223</v>
      </c>
      <c r="C1349" s="23">
        <v>1</v>
      </c>
      <c r="D1349" s="23">
        <v>921695547</v>
      </c>
      <c r="E1349" s="23">
        <v>921695547</v>
      </c>
      <c r="F1349" s="24" t="s">
        <v>2622</v>
      </c>
      <c r="G1349" s="23">
        <v>0</v>
      </c>
      <c r="H1349" s="23">
        <v>20250301</v>
      </c>
      <c r="I1349" s="23" t="str">
        <f>TEXT(DATE(LEFT(H1349,4), MID(H1349,5,2), RIGHT(H1349,2)), "M/d/yyyy")</f>
        <v>3/1/2025</v>
      </c>
      <c r="J1349" s="25">
        <v>20240101</v>
      </c>
      <c r="K1349" s="23" t="str">
        <f>TEXT(DATE(LEFT(J1349,4), MID(J1349,5,2), RIGHT(J1349,2)), "M/d/yyyy")</f>
        <v>1/1/2024</v>
      </c>
      <c r="L1349" s="24" t="s">
        <v>135</v>
      </c>
      <c r="M1349" s="26">
        <v>1</v>
      </c>
      <c r="N1349" s="25">
        <v>20</v>
      </c>
      <c r="O1349" s="27">
        <v>20</v>
      </c>
      <c r="P1349" s="22" t="s">
        <v>3830</v>
      </c>
    </row>
    <row r="1350" spans="1:16" s="22" customFormat="1" ht="15" customHeight="1" x14ac:dyDescent="0.2">
      <c r="A1350" s="22" t="s">
        <v>3793</v>
      </c>
      <c r="B1350" s="22">
        <v>19396223</v>
      </c>
      <c r="C1350" s="23">
        <v>3</v>
      </c>
      <c r="D1350" s="23">
        <v>921735271</v>
      </c>
      <c r="E1350" s="23">
        <v>921735271</v>
      </c>
      <c r="F1350" s="24" t="s">
        <v>2632</v>
      </c>
      <c r="G1350" s="23">
        <v>0</v>
      </c>
      <c r="H1350" s="23">
        <v>20250301</v>
      </c>
      <c r="I1350" s="23" t="str">
        <f>TEXT(DATE(LEFT(H1350,4), MID(H1350,5,2), RIGHT(H1350,2)), "M/d/yyyy")</f>
        <v>3/1/2025</v>
      </c>
      <c r="J1350" s="25">
        <v>20240901</v>
      </c>
      <c r="K1350" s="23" t="str">
        <f>TEXT(DATE(LEFT(J1350,4), MID(J1350,5,2), RIGHT(J1350,2)), "M/d/yyyy")</f>
        <v>9/1/2024</v>
      </c>
      <c r="L1350" s="24" t="s">
        <v>135</v>
      </c>
      <c r="M1350" s="26">
        <v>1</v>
      </c>
      <c r="N1350" s="25">
        <v>25</v>
      </c>
      <c r="O1350" s="27">
        <v>75</v>
      </c>
      <c r="P1350" s="22" t="s">
        <v>3830</v>
      </c>
    </row>
    <row r="1351" spans="1:16" s="22" customFormat="1" ht="15" customHeight="1" x14ac:dyDescent="0.2">
      <c r="A1351" s="22" t="s">
        <v>3783</v>
      </c>
      <c r="B1351" s="22">
        <v>19645587</v>
      </c>
      <c r="C1351" s="23">
        <v>2</v>
      </c>
      <c r="D1351" s="23">
        <v>921725212</v>
      </c>
      <c r="E1351" s="23">
        <v>921725212</v>
      </c>
      <c r="F1351" s="24" t="s">
        <v>1279</v>
      </c>
      <c r="G1351" s="23">
        <v>0</v>
      </c>
      <c r="H1351" s="23">
        <v>20250301</v>
      </c>
      <c r="I1351" s="23" t="str">
        <f>TEXT(DATE(LEFT(H1351,4), MID(H1351,5,2), RIGHT(H1351,2)), "M/d/yyyy")</f>
        <v>3/1/2025</v>
      </c>
      <c r="J1351" s="25">
        <v>20240501</v>
      </c>
      <c r="K1351" s="23" t="str">
        <f>TEXT(DATE(LEFT(J1351,4), MID(J1351,5,2), RIGHT(J1351,2)), "M/d/yyyy")</f>
        <v>5/1/2024</v>
      </c>
      <c r="L1351" s="24" t="s">
        <v>135</v>
      </c>
      <c r="M1351" s="26">
        <v>1</v>
      </c>
      <c r="N1351" s="25">
        <v>25</v>
      </c>
      <c r="O1351" s="27">
        <v>50</v>
      </c>
      <c r="P1351" s="22" t="s">
        <v>3830</v>
      </c>
    </row>
    <row r="1352" spans="1:16" s="22" customFormat="1" ht="15" customHeight="1" x14ac:dyDescent="0.2">
      <c r="A1352" s="22" t="s">
        <v>3783</v>
      </c>
      <c r="B1352" s="22">
        <v>19645587</v>
      </c>
      <c r="C1352" s="23">
        <v>2</v>
      </c>
      <c r="D1352" s="23">
        <v>921725212</v>
      </c>
      <c r="E1352" s="23">
        <v>921725212</v>
      </c>
      <c r="F1352" s="24" t="s">
        <v>1279</v>
      </c>
      <c r="G1352" s="23">
        <v>0</v>
      </c>
      <c r="H1352" s="23">
        <v>20250201</v>
      </c>
      <c r="I1352" s="23" t="str">
        <f>TEXT(DATE(LEFT(H1352,4), MID(H1352,5,2), RIGHT(H1352,2)), "M/d/yyyy")</f>
        <v>2/1/2025</v>
      </c>
      <c r="J1352" s="25">
        <v>20240501</v>
      </c>
      <c r="K1352" s="23" t="str">
        <f>TEXT(DATE(LEFT(J1352,4), MID(J1352,5,2), RIGHT(J1352,2)), "M/d/yyyy")</f>
        <v>5/1/2024</v>
      </c>
      <c r="L1352" s="24" t="s">
        <v>135</v>
      </c>
      <c r="M1352" s="26">
        <v>1</v>
      </c>
      <c r="N1352" s="25">
        <v>25</v>
      </c>
      <c r="O1352" s="27">
        <v>50</v>
      </c>
      <c r="P1352" s="22" t="s">
        <v>3830</v>
      </c>
    </row>
    <row r="1353" spans="1:16" s="22" customFormat="1" ht="15" customHeight="1" x14ac:dyDescent="0.2">
      <c r="A1353" s="22" t="s">
        <v>3794</v>
      </c>
      <c r="B1353" s="22">
        <v>17126004</v>
      </c>
      <c r="C1353" s="23">
        <v>1</v>
      </c>
      <c r="D1353" s="23">
        <v>921260152</v>
      </c>
      <c r="E1353" s="23">
        <v>921260152</v>
      </c>
      <c r="F1353" s="24" t="s">
        <v>2684</v>
      </c>
      <c r="G1353" s="23">
        <v>0</v>
      </c>
      <c r="H1353" s="23">
        <v>20250301</v>
      </c>
      <c r="I1353" s="23" t="str">
        <f>TEXT(DATE(LEFT(H1353,4), MID(H1353,5,2), RIGHT(H1353,2)), "M/d/yyyy")</f>
        <v>3/1/2025</v>
      </c>
      <c r="J1353" s="25">
        <v>20180101</v>
      </c>
      <c r="K1353" s="23" t="str">
        <f>TEXT(DATE(LEFT(J1353,4), MID(J1353,5,2), RIGHT(J1353,2)), "M/d/yyyy")</f>
        <v>1/1/2018</v>
      </c>
      <c r="L1353" s="24" t="s">
        <v>135</v>
      </c>
      <c r="M1353" s="26">
        <v>1</v>
      </c>
      <c r="N1353" s="25">
        <v>20</v>
      </c>
      <c r="O1353" s="27">
        <v>20</v>
      </c>
      <c r="P1353" s="22" t="s">
        <v>3830</v>
      </c>
    </row>
    <row r="1354" spans="1:16" s="22" customFormat="1" ht="15" customHeight="1" x14ac:dyDescent="0.2">
      <c r="A1354" s="22" t="s">
        <v>3794</v>
      </c>
      <c r="B1354" s="22">
        <v>17126004</v>
      </c>
      <c r="C1354" s="23">
        <v>1</v>
      </c>
      <c r="D1354" s="23">
        <v>921698526</v>
      </c>
      <c r="E1354" s="23">
        <v>921698526</v>
      </c>
      <c r="F1354" s="24" t="s">
        <v>2696</v>
      </c>
      <c r="G1354" s="23">
        <v>0</v>
      </c>
      <c r="H1354" s="23">
        <v>20250301</v>
      </c>
      <c r="I1354" s="23" t="str">
        <f>TEXT(DATE(LEFT(H1354,4), MID(H1354,5,2), RIGHT(H1354,2)), "M/d/yyyy")</f>
        <v>3/1/2025</v>
      </c>
      <c r="J1354" s="25">
        <v>20240101</v>
      </c>
      <c r="K1354" s="23" t="str">
        <f>TEXT(DATE(LEFT(J1354,4), MID(J1354,5,2), RIGHT(J1354,2)), "M/d/yyyy")</f>
        <v>1/1/2024</v>
      </c>
      <c r="L1354" s="24" t="s">
        <v>135</v>
      </c>
      <c r="M1354" s="26">
        <v>1</v>
      </c>
      <c r="N1354" s="25">
        <v>20</v>
      </c>
      <c r="O1354" s="27">
        <v>20</v>
      </c>
      <c r="P1354" s="22" t="s">
        <v>3830</v>
      </c>
    </row>
    <row r="1355" spans="1:16" s="22" customFormat="1" ht="15" customHeight="1" x14ac:dyDescent="0.2">
      <c r="A1355" s="22" t="s">
        <v>3813</v>
      </c>
      <c r="B1355" s="22">
        <v>21283956</v>
      </c>
      <c r="C1355" s="23">
        <v>2</v>
      </c>
      <c r="D1355" s="23">
        <v>921137543</v>
      </c>
      <c r="E1355" s="23">
        <v>921137543</v>
      </c>
      <c r="F1355" s="24" t="s">
        <v>3412</v>
      </c>
      <c r="G1355" s="23">
        <v>0</v>
      </c>
      <c r="H1355" s="23">
        <v>20250301</v>
      </c>
      <c r="I1355" s="23" t="str">
        <f>TEXT(DATE(LEFT(H1355,4), MID(H1355,5,2), RIGHT(H1355,2)), "M/d/yyyy")</f>
        <v>3/1/2025</v>
      </c>
      <c r="J1355" s="25">
        <v>20170101</v>
      </c>
      <c r="K1355" s="23" t="str">
        <f>TEXT(DATE(LEFT(J1355,4), MID(J1355,5,2), RIGHT(J1355,2)), "M/d/yyyy")</f>
        <v>1/1/2017</v>
      </c>
      <c r="L1355" s="24" t="s">
        <v>135</v>
      </c>
      <c r="M1355" s="26">
        <v>1</v>
      </c>
      <c r="N1355" s="25">
        <v>20</v>
      </c>
      <c r="O1355" s="27">
        <v>40</v>
      </c>
      <c r="P1355" s="22" t="s">
        <v>3830</v>
      </c>
    </row>
    <row r="1356" spans="1:16" s="22" customFormat="1" ht="15" customHeight="1" x14ac:dyDescent="0.2">
      <c r="A1356" s="22" t="s">
        <v>3813</v>
      </c>
      <c r="B1356" s="22">
        <v>21283956</v>
      </c>
      <c r="C1356" s="23">
        <v>2</v>
      </c>
      <c r="D1356" s="23">
        <v>921757381</v>
      </c>
      <c r="E1356" s="23">
        <v>921757381</v>
      </c>
      <c r="F1356" s="24" t="s">
        <v>3425</v>
      </c>
      <c r="G1356" s="23">
        <v>0</v>
      </c>
      <c r="H1356" s="23">
        <v>20250301</v>
      </c>
      <c r="I1356" s="23" t="str">
        <f>TEXT(DATE(LEFT(H1356,4), MID(H1356,5,2), RIGHT(H1356,2)), "M/d/yyyy")</f>
        <v>3/1/2025</v>
      </c>
      <c r="J1356" s="25">
        <v>20250101</v>
      </c>
      <c r="K1356" s="23" t="str">
        <f>TEXT(DATE(LEFT(J1356,4), MID(J1356,5,2), RIGHT(J1356,2)), "M/d/yyyy")</f>
        <v>1/1/2025</v>
      </c>
      <c r="L1356" s="24" t="s">
        <v>135</v>
      </c>
      <c r="M1356" s="26">
        <v>1</v>
      </c>
      <c r="N1356" s="25">
        <v>25</v>
      </c>
      <c r="O1356" s="27">
        <v>50</v>
      </c>
      <c r="P1356" s="22" t="s">
        <v>3830</v>
      </c>
    </row>
    <row r="1357" spans="1:16" s="22" customFormat="1" ht="15" customHeight="1" x14ac:dyDescent="0.2">
      <c r="A1357" s="22" t="s">
        <v>3820</v>
      </c>
      <c r="B1357" s="22">
        <v>7146581</v>
      </c>
      <c r="C1357" s="30"/>
      <c r="D1357" s="23">
        <v>921482123</v>
      </c>
      <c r="E1357" s="25" t="str">
        <f>CONCATENATE(1,D1357)</f>
        <v>1921482123</v>
      </c>
      <c r="F1357" s="24" t="s">
        <v>3616</v>
      </c>
      <c r="G1357" s="23">
        <v>71.290000000000006</v>
      </c>
      <c r="H1357" s="23">
        <v>20250301</v>
      </c>
      <c r="I1357" s="23" t="str">
        <f>TEXT(DATE(LEFT(H1357,4), MID(H1357,5,2), RIGHT(H1357,2)), "M/d/yyyy")</f>
        <v>3/1/2025</v>
      </c>
      <c r="J1357" s="25">
        <v>20240101</v>
      </c>
      <c r="K1357" s="23" t="str">
        <f>TEXT(DATE(LEFT(J1357,4), MID(J1357,5,2), RIGHT(J1357,2)), "M/d/yyyy")</f>
        <v>1/1/2024</v>
      </c>
      <c r="L1357" s="24" t="s">
        <v>114</v>
      </c>
      <c r="M1357" s="25">
        <v>100</v>
      </c>
      <c r="N1357" s="25">
        <v>0.04</v>
      </c>
      <c r="O1357" s="27">
        <v>2.85</v>
      </c>
      <c r="P1357" s="22" t="s">
        <v>3845</v>
      </c>
    </row>
    <row r="1358" spans="1:16" s="22" customFormat="1" ht="15" customHeight="1" x14ac:dyDescent="0.2">
      <c r="A1358" s="22" t="s">
        <v>3820</v>
      </c>
      <c r="B1358" s="22">
        <v>7146581</v>
      </c>
      <c r="C1358" s="30"/>
      <c r="D1358" s="23">
        <v>920887150</v>
      </c>
      <c r="E1358" s="25" t="str">
        <f t="shared" ref="E1358:E1380" si="0">CONCATENATE(1,D1358)</f>
        <v>1920887150</v>
      </c>
      <c r="F1358" s="24" t="s">
        <v>3561</v>
      </c>
      <c r="G1358" s="23">
        <v>108.28</v>
      </c>
      <c r="H1358" s="23">
        <v>20250301</v>
      </c>
      <c r="I1358" s="23" t="str">
        <f>TEXT(DATE(LEFT(H1358,4), MID(H1358,5,2), RIGHT(H1358,2)), "M/d/yyyy")</f>
        <v>3/1/2025</v>
      </c>
      <c r="J1358" s="25">
        <v>20250101</v>
      </c>
      <c r="K1358" s="23" t="str">
        <f>TEXT(DATE(LEFT(J1358,4), MID(J1358,5,2), RIGHT(J1358,2)), "M/d/yyyy")</f>
        <v>1/1/2025</v>
      </c>
      <c r="L1358" s="24" t="s">
        <v>114</v>
      </c>
      <c r="M1358" s="25">
        <v>100</v>
      </c>
      <c r="N1358" s="25">
        <v>0.06</v>
      </c>
      <c r="O1358" s="27">
        <v>6.5</v>
      </c>
      <c r="P1358" s="22" t="s">
        <v>3845</v>
      </c>
    </row>
    <row r="1359" spans="1:16" s="22" customFormat="1" ht="15" customHeight="1" x14ac:dyDescent="0.2">
      <c r="A1359" s="22" t="s">
        <v>3801</v>
      </c>
      <c r="B1359" s="22">
        <v>21104854</v>
      </c>
      <c r="C1359" s="30"/>
      <c r="D1359" s="23">
        <v>921663457</v>
      </c>
      <c r="E1359" s="25" t="str">
        <f t="shared" si="0"/>
        <v>1921663457</v>
      </c>
      <c r="F1359" s="24" t="s">
        <v>3040</v>
      </c>
      <c r="G1359" s="23">
        <v>18.04</v>
      </c>
      <c r="H1359" s="23">
        <v>20250301</v>
      </c>
      <c r="I1359" s="23" t="str">
        <f>TEXT(DATE(LEFT(H1359,4), MID(H1359,5,2), RIGHT(H1359,2)), "M/d/yyyy")</f>
        <v>3/1/2025</v>
      </c>
      <c r="J1359" s="25">
        <v>20250101</v>
      </c>
      <c r="K1359" s="23" t="str">
        <f>TEXT(DATE(LEFT(J1359,4), MID(J1359,5,2), RIGHT(J1359,2)), "M/d/yyyy")</f>
        <v>1/1/2025</v>
      </c>
      <c r="L1359" s="24" t="s">
        <v>114</v>
      </c>
      <c r="M1359" s="25">
        <v>100</v>
      </c>
      <c r="N1359" s="25">
        <v>0.06</v>
      </c>
      <c r="O1359" s="27">
        <v>1.08</v>
      </c>
      <c r="P1359" s="22" t="s">
        <v>3845</v>
      </c>
    </row>
    <row r="1360" spans="1:16" s="22" customFormat="1" ht="15" customHeight="1" x14ac:dyDescent="0.2">
      <c r="A1360" s="22" t="s">
        <v>3777</v>
      </c>
      <c r="B1360" s="22">
        <v>17437820</v>
      </c>
      <c r="C1360" s="30"/>
      <c r="D1360" s="23">
        <v>890574813</v>
      </c>
      <c r="E1360" s="25" t="str">
        <f t="shared" si="0"/>
        <v>1890574813</v>
      </c>
      <c r="F1360" s="24" t="s">
        <v>526</v>
      </c>
      <c r="G1360" s="23">
        <v>19.52</v>
      </c>
      <c r="H1360" s="23">
        <v>20250301</v>
      </c>
      <c r="I1360" s="23" t="str">
        <f>TEXT(DATE(LEFT(H1360,4), MID(H1360,5,2), RIGHT(H1360,2)), "M/d/yyyy")</f>
        <v>3/1/2025</v>
      </c>
      <c r="J1360" s="25">
        <v>20240101</v>
      </c>
      <c r="K1360" s="23" t="str">
        <f>TEXT(DATE(LEFT(J1360,4), MID(J1360,5,2), RIGHT(J1360,2)), "M/d/yyyy")</f>
        <v>1/1/2024</v>
      </c>
      <c r="L1360" s="24" t="s">
        <v>114</v>
      </c>
      <c r="M1360" s="25">
        <v>100</v>
      </c>
      <c r="N1360" s="25">
        <v>0.04</v>
      </c>
      <c r="O1360" s="27">
        <v>0.78</v>
      </c>
      <c r="P1360" s="22" t="s">
        <v>3845</v>
      </c>
    </row>
    <row r="1361" spans="1:16" s="22" customFormat="1" ht="15" customHeight="1" x14ac:dyDescent="0.2">
      <c r="A1361" s="22" t="s">
        <v>3777</v>
      </c>
      <c r="B1361" s="22">
        <v>17437820</v>
      </c>
      <c r="C1361" s="30"/>
      <c r="D1361" s="23">
        <v>921022343</v>
      </c>
      <c r="E1361" s="25" t="str">
        <f t="shared" si="0"/>
        <v>1921022343</v>
      </c>
      <c r="F1361" s="24" t="s">
        <v>551</v>
      </c>
      <c r="G1361" s="23">
        <v>23.98</v>
      </c>
      <c r="H1361" s="23">
        <v>20250301</v>
      </c>
      <c r="I1361" s="23" t="str">
        <f>TEXT(DATE(LEFT(H1361,4), MID(H1361,5,2), RIGHT(H1361,2)), "M/d/yyyy")</f>
        <v>3/1/2025</v>
      </c>
      <c r="J1361" s="25">
        <v>20240101</v>
      </c>
      <c r="K1361" s="23" t="str">
        <f>TEXT(DATE(LEFT(J1361,4), MID(J1361,5,2), RIGHT(J1361,2)), "M/d/yyyy")</f>
        <v>1/1/2024</v>
      </c>
      <c r="L1361" s="24" t="s">
        <v>114</v>
      </c>
      <c r="M1361" s="25">
        <v>100</v>
      </c>
      <c r="N1361" s="25">
        <v>0.04</v>
      </c>
      <c r="O1361" s="27">
        <v>0.96</v>
      </c>
      <c r="P1361" s="22" t="s">
        <v>3845</v>
      </c>
    </row>
    <row r="1362" spans="1:16" s="22" customFormat="1" ht="15" customHeight="1" x14ac:dyDescent="0.2">
      <c r="A1362" s="22" t="s">
        <v>3777</v>
      </c>
      <c r="B1362" s="22">
        <v>17437820</v>
      </c>
      <c r="C1362" s="30"/>
      <c r="D1362" s="23">
        <v>921065097</v>
      </c>
      <c r="E1362" s="25" t="str">
        <f t="shared" si="0"/>
        <v>1921065097</v>
      </c>
      <c r="F1362" s="24" t="s">
        <v>556</v>
      </c>
      <c r="G1362" s="23">
        <v>35.729999999999997</v>
      </c>
      <c r="H1362" s="23">
        <v>20250301</v>
      </c>
      <c r="I1362" s="23" t="str">
        <f>TEXT(DATE(LEFT(H1362,4), MID(H1362,5,2), RIGHT(H1362,2)), "M/d/yyyy")</f>
        <v>3/1/2025</v>
      </c>
      <c r="J1362" s="25">
        <v>20250101</v>
      </c>
      <c r="K1362" s="23" t="str">
        <f>TEXT(DATE(LEFT(J1362,4), MID(J1362,5,2), RIGHT(J1362,2)), "M/d/yyyy")</f>
        <v>1/1/2025</v>
      </c>
      <c r="L1362" s="24" t="s">
        <v>114</v>
      </c>
      <c r="M1362" s="25">
        <v>100</v>
      </c>
      <c r="N1362" s="25">
        <v>0.06</v>
      </c>
      <c r="O1362" s="27">
        <v>2.14</v>
      </c>
      <c r="P1362" s="22" t="s">
        <v>3845</v>
      </c>
    </row>
    <row r="1363" spans="1:16" s="22" customFormat="1" ht="15" customHeight="1" x14ac:dyDescent="0.2">
      <c r="A1363" s="22" t="s">
        <v>3777</v>
      </c>
      <c r="B1363" s="22">
        <v>17437820</v>
      </c>
      <c r="C1363" s="30"/>
      <c r="D1363" s="23">
        <v>890008999</v>
      </c>
      <c r="E1363" s="25" t="str">
        <f t="shared" si="0"/>
        <v>1890008999</v>
      </c>
      <c r="F1363" s="24" t="s">
        <v>512</v>
      </c>
      <c r="G1363" s="23">
        <v>107.02</v>
      </c>
      <c r="H1363" s="23">
        <v>20250301</v>
      </c>
      <c r="I1363" s="23" t="str">
        <f>TEXT(DATE(LEFT(H1363,4), MID(H1363,5,2), RIGHT(H1363,2)), "M/d/yyyy")</f>
        <v>3/1/2025</v>
      </c>
      <c r="J1363" s="25">
        <v>20240101</v>
      </c>
      <c r="K1363" s="23" t="str">
        <f>TEXT(DATE(LEFT(J1363,4), MID(J1363,5,2), RIGHT(J1363,2)), "M/d/yyyy")</f>
        <v>1/1/2024</v>
      </c>
      <c r="L1363" s="24" t="s">
        <v>114</v>
      </c>
      <c r="M1363" s="25">
        <v>100</v>
      </c>
      <c r="N1363" s="25">
        <v>0.04</v>
      </c>
      <c r="O1363" s="27">
        <v>4.28</v>
      </c>
      <c r="P1363" s="22" t="s">
        <v>3845</v>
      </c>
    </row>
    <row r="1364" spans="1:16" s="22" customFormat="1" ht="15" customHeight="1" x14ac:dyDescent="0.2">
      <c r="A1364" s="22" t="s">
        <v>3805</v>
      </c>
      <c r="B1364" s="22">
        <v>8325282</v>
      </c>
      <c r="C1364" s="30"/>
      <c r="D1364" s="23">
        <v>921712330</v>
      </c>
      <c r="E1364" s="25" t="str">
        <f t="shared" si="0"/>
        <v>1921712330</v>
      </c>
      <c r="F1364" s="24" t="s">
        <v>3258</v>
      </c>
      <c r="G1364" s="23">
        <v>30.66</v>
      </c>
      <c r="H1364" s="23">
        <v>20250301</v>
      </c>
      <c r="I1364" s="23" t="str">
        <f>TEXT(DATE(LEFT(H1364,4), MID(H1364,5,2), RIGHT(H1364,2)), "M/d/yyyy")</f>
        <v>3/1/2025</v>
      </c>
      <c r="J1364" s="25">
        <v>20250101</v>
      </c>
      <c r="K1364" s="23" t="str">
        <f>TEXT(DATE(LEFT(J1364,4), MID(J1364,5,2), RIGHT(J1364,2)), "M/d/yyyy")</f>
        <v>1/1/2025</v>
      </c>
      <c r="L1364" s="24" t="s">
        <v>114</v>
      </c>
      <c r="M1364" s="25">
        <v>100</v>
      </c>
      <c r="N1364" s="25">
        <v>0.06</v>
      </c>
      <c r="O1364" s="27">
        <v>1.84</v>
      </c>
      <c r="P1364" s="22" t="s">
        <v>3845</v>
      </c>
    </row>
    <row r="1365" spans="1:16" s="22" customFormat="1" ht="15" customHeight="1" x14ac:dyDescent="0.2">
      <c r="A1365" s="22" t="s">
        <v>3805</v>
      </c>
      <c r="B1365" s="22">
        <v>8325282</v>
      </c>
      <c r="C1365" s="30"/>
      <c r="D1365" s="23">
        <v>921331639</v>
      </c>
      <c r="E1365" s="25" t="str">
        <f t="shared" si="0"/>
        <v>1921331639</v>
      </c>
      <c r="F1365" s="24" t="s">
        <v>3170</v>
      </c>
      <c r="G1365" s="23">
        <v>35.729999999999997</v>
      </c>
      <c r="H1365" s="23">
        <v>20250301</v>
      </c>
      <c r="I1365" s="23" t="str">
        <f>TEXT(DATE(LEFT(H1365,4), MID(H1365,5,2), RIGHT(H1365,2)), "M/d/yyyy")</f>
        <v>3/1/2025</v>
      </c>
      <c r="J1365" s="25">
        <v>20250101</v>
      </c>
      <c r="K1365" s="23" t="str">
        <f>TEXT(DATE(LEFT(J1365,4), MID(J1365,5,2), RIGHT(J1365,2)), "M/d/yyyy")</f>
        <v>1/1/2025</v>
      </c>
      <c r="L1365" s="24" t="s">
        <v>114</v>
      </c>
      <c r="M1365" s="25">
        <v>100</v>
      </c>
      <c r="N1365" s="25">
        <v>0.06</v>
      </c>
      <c r="O1365" s="27">
        <v>2.14</v>
      </c>
      <c r="P1365" s="22" t="s">
        <v>3845</v>
      </c>
    </row>
    <row r="1366" spans="1:16" s="22" customFormat="1" ht="15" customHeight="1" x14ac:dyDescent="0.2">
      <c r="A1366" s="22" t="s">
        <v>3776</v>
      </c>
      <c r="B1366" s="22">
        <v>12047257</v>
      </c>
      <c r="C1366" s="30"/>
      <c r="D1366" s="23">
        <v>921667063</v>
      </c>
      <c r="E1366" s="25" t="str">
        <f t="shared" si="0"/>
        <v>1921667063</v>
      </c>
      <c r="F1366" s="24" t="s">
        <v>503</v>
      </c>
      <c r="G1366" s="23">
        <v>19.52</v>
      </c>
      <c r="H1366" s="23">
        <v>20250301</v>
      </c>
      <c r="I1366" s="23" t="str">
        <f>TEXT(DATE(LEFT(H1366,4), MID(H1366,5,2), RIGHT(H1366,2)), "M/d/yyyy")</f>
        <v>3/1/2025</v>
      </c>
      <c r="J1366" s="25">
        <v>20250101</v>
      </c>
      <c r="K1366" s="23" t="str">
        <f>TEXT(DATE(LEFT(J1366,4), MID(J1366,5,2), RIGHT(J1366,2)), "M/d/yyyy")</f>
        <v>1/1/2025</v>
      </c>
      <c r="L1366" s="24" t="s">
        <v>114</v>
      </c>
      <c r="M1366" s="25">
        <v>100</v>
      </c>
      <c r="N1366" s="25">
        <v>0.06</v>
      </c>
      <c r="O1366" s="27">
        <v>1.17</v>
      </c>
      <c r="P1366" s="22" t="s">
        <v>3845</v>
      </c>
    </row>
    <row r="1367" spans="1:16" s="22" customFormat="1" ht="15" customHeight="1" x14ac:dyDescent="0.2">
      <c r="A1367" s="22" t="s">
        <v>3786</v>
      </c>
      <c r="B1367" s="22">
        <v>8814784</v>
      </c>
      <c r="C1367" s="30"/>
      <c r="D1367" s="23">
        <v>890545645</v>
      </c>
      <c r="E1367" s="25" t="str">
        <f t="shared" si="0"/>
        <v>1890545645</v>
      </c>
      <c r="F1367" s="24" t="s">
        <v>1936</v>
      </c>
      <c r="G1367" s="23">
        <v>29.08</v>
      </c>
      <c r="H1367" s="23">
        <v>20250301</v>
      </c>
      <c r="I1367" s="23" t="str">
        <f>TEXT(DATE(LEFT(H1367,4), MID(H1367,5,2), RIGHT(H1367,2)), "M/d/yyyy")</f>
        <v>3/1/2025</v>
      </c>
      <c r="J1367" s="25">
        <v>20240101</v>
      </c>
      <c r="K1367" s="23" t="str">
        <f>TEXT(DATE(LEFT(J1367,4), MID(J1367,5,2), RIGHT(J1367,2)), "M/d/yyyy")</f>
        <v>1/1/2024</v>
      </c>
      <c r="L1367" s="24" t="s">
        <v>114</v>
      </c>
      <c r="M1367" s="25">
        <v>100</v>
      </c>
      <c r="N1367" s="25">
        <v>0.04</v>
      </c>
      <c r="O1367" s="27">
        <v>1.1599999999999999</v>
      </c>
      <c r="P1367" s="22" t="s">
        <v>3845</v>
      </c>
    </row>
    <row r="1368" spans="1:16" s="22" customFormat="1" ht="15" customHeight="1" x14ac:dyDescent="0.2">
      <c r="A1368" s="22" t="s">
        <v>3786</v>
      </c>
      <c r="B1368" s="22">
        <v>8814784</v>
      </c>
      <c r="C1368" s="30"/>
      <c r="D1368" s="23">
        <v>920760884</v>
      </c>
      <c r="E1368" s="25" t="str">
        <f t="shared" si="0"/>
        <v>1920760884</v>
      </c>
      <c r="F1368" s="24" t="s">
        <v>1942</v>
      </c>
      <c r="G1368" s="23">
        <v>35.729999999999997</v>
      </c>
      <c r="H1368" s="23">
        <v>20250301</v>
      </c>
      <c r="I1368" s="23" t="str">
        <f>TEXT(DATE(LEFT(H1368,4), MID(H1368,5,2), RIGHT(H1368,2)), "M/d/yyyy")</f>
        <v>3/1/2025</v>
      </c>
      <c r="J1368" s="25">
        <v>20240101</v>
      </c>
      <c r="K1368" s="23" t="str">
        <f>TEXT(DATE(LEFT(J1368,4), MID(J1368,5,2), RIGHT(J1368,2)), "M/d/yyyy")</f>
        <v>1/1/2024</v>
      </c>
      <c r="L1368" s="24" t="s">
        <v>114</v>
      </c>
      <c r="M1368" s="25">
        <v>100</v>
      </c>
      <c r="N1368" s="25">
        <v>0.04</v>
      </c>
      <c r="O1368" s="27">
        <v>1.43</v>
      </c>
      <c r="P1368" s="22" t="s">
        <v>3845</v>
      </c>
    </row>
    <row r="1369" spans="1:16" s="22" customFormat="1" ht="15" customHeight="1" x14ac:dyDescent="0.2">
      <c r="A1369" s="22" t="s">
        <v>3786</v>
      </c>
      <c r="B1369" s="22">
        <v>8814784</v>
      </c>
      <c r="C1369" s="30"/>
      <c r="D1369" s="23">
        <v>921243078</v>
      </c>
      <c r="E1369" s="25" t="str">
        <f t="shared" si="0"/>
        <v>1921243078</v>
      </c>
      <c r="F1369" s="24" t="s">
        <v>1971</v>
      </c>
      <c r="G1369" s="23">
        <v>71.94</v>
      </c>
      <c r="H1369" s="23">
        <v>20250301</v>
      </c>
      <c r="I1369" s="23" t="str">
        <f>TEXT(DATE(LEFT(H1369,4), MID(H1369,5,2), RIGHT(H1369,2)), "M/d/yyyy")</f>
        <v>3/1/2025</v>
      </c>
      <c r="J1369" s="25">
        <v>20240101</v>
      </c>
      <c r="K1369" s="23" t="str">
        <f>TEXT(DATE(LEFT(J1369,4), MID(J1369,5,2), RIGHT(J1369,2)), "M/d/yyyy")</f>
        <v>1/1/2024</v>
      </c>
      <c r="L1369" s="24" t="s">
        <v>114</v>
      </c>
      <c r="M1369" s="25">
        <v>100</v>
      </c>
      <c r="N1369" s="25">
        <v>0.04</v>
      </c>
      <c r="O1369" s="27">
        <v>2.88</v>
      </c>
      <c r="P1369" s="22" t="s">
        <v>3845</v>
      </c>
    </row>
    <row r="1370" spans="1:16" s="22" customFormat="1" ht="15" customHeight="1" x14ac:dyDescent="0.2">
      <c r="A1370" s="22" t="s">
        <v>3781</v>
      </c>
      <c r="B1370" s="22">
        <v>9213293</v>
      </c>
      <c r="C1370" s="30"/>
      <c r="D1370" s="23">
        <v>921387647</v>
      </c>
      <c r="E1370" s="25" t="str">
        <f t="shared" si="0"/>
        <v>1921387647</v>
      </c>
      <c r="F1370" s="24" t="s">
        <v>750</v>
      </c>
      <c r="G1370" s="23">
        <v>29.08</v>
      </c>
      <c r="H1370" s="23">
        <v>20250301</v>
      </c>
      <c r="I1370" s="23" t="str">
        <f>TEXT(DATE(LEFT(H1370,4), MID(H1370,5,2), RIGHT(H1370,2)), "M/d/yyyy")</f>
        <v>3/1/2025</v>
      </c>
      <c r="J1370" s="25">
        <v>20240101</v>
      </c>
      <c r="K1370" s="23" t="str">
        <f>TEXT(DATE(LEFT(J1370,4), MID(J1370,5,2), RIGHT(J1370,2)), "M/d/yyyy")</f>
        <v>1/1/2024</v>
      </c>
      <c r="L1370" s="24" t="s">
        <v>114</v>
      </c>
      <c r="M1370" s="25">
        <v>100</v>
      </c>
      <c r="N1370" s="25">
        <v>0.04</v>
      </c>
      <c r="O1370" s="27">
        <v>1.1599999999999999</v>
      </c>
      <c r="P1370" s="22" t="s">
        <v>3845</v>
      </c>
    </row>
    <row r="1371" spans="1:16" s="22" customFormat="1" ht="15" customHeight="1" x14ac:dyDescent="0.2">
      <c r="A1371" s="22" t="s">
        <v>3781</v>
      </c>
      <c r="B1371" s="22">
        <v>9213293</v>
      </c>
      <c r="C1371" s="30"/>
      <c r="D1371" s="23">
        <v>921542136</v>
      </c>
      <c r="E1371" s="25" t="str">
        <f t="shared" si="0"/>
        <v>1921542136</v>
      </c>
      <c r="F1371" s="24" t="s">
        <v>791</v>
      </c>
      <c r="G1371" s="23">
        <v>35.729999999999997</v>
      </c>
      <c r="H1371" s="23">
        <v>20250301</v>
      </c>
      <c r="I1371" s="23" t="str">
        <f>TEXT(DATE(LEFT(H1371,4), MID(H1371,5,2), RIGHT(H1371,2)), "M/d/yyyy")</f>
        <v>3/1/2025</v>
      </c>
      <c r="J1371" s="25">
        <v>20240101</v>
      </c>
      <c r="K1371" s="23" t="str">
        <f>TEXT(DATE(LEFT(J1371,4), MID(J1371,5,2), RIGHT(J1371,2)), "M/d/yyyy")</f>
        <v>1/1/2024</v>
      </c>
      <c r="L1371" s="24" t="s">
        <v>114</v>
      </c>
      <c r="M1371" s="25">
        <v>100</v>
      </c>
      <c r="N1371" s="25">
        <v>0.04</v>
      </c>
      <c r="O1371" s="27">
        <v>1.43</v>
      </c>
      <c r="P1371" s="22" t="s">
        <v>3845</v>
      </c>
    </row>
    <row r="1372" spans="1:16" s="22" customFormat="1" ht="15" customHeight="1" x14ac:dyDescent="0.2">
      <c r="A1372" s="22" t="s">
        <v>3774</v>
      </c>
      <c r="B1372" s="22">
        <v>8307933</v>
      </c>
      <c r="C1372" s="30"/>
      <c r="D1372" s="23">
        <v>921531868</v>
      </c>
      <c r="E1372" s="25" t="str">
        <f t="shared" si="0"/>
        <v>1921531868</v>
      </c>
      <c r="F1372" s="24" t="s">
        <v>238</v>
      </c>
      <c r="G1372" s="23">
        <v>18.04</v>
      </c>
      <c r="H1372" s="23">
        <v>20250301</v>
      </c>
      <c r="I1372" s="23" t="str">
        <f>TEXT(DATE(LEFT(H1372,4), MID(H1372,5,2), RIGHT(H1372,2)), "M/d/yyyy")</f>
        <v>3/1/2025</v>
      </c>
      <c r="J1372" s="25">
        <v>20240101</v>
      </c>
      <c r="K1372" s="23" t="str">
        <f>TEXT(DATE(LEFT(J1372,4), MID(J1372,5,2), RIGHT(J1372,2)), "M/d/yyyy")</f>
        <v>1/1/2024</v>
      </c>
      <c r="L1372" s="24" t="s">
        <v>114</v>
      </c>
      <c r="M1372" s="25">
        <v>100</v>
      </c>
      <c r="N1372" s="25">
        <v>0.04</v>
      </c>
      <c r="O1372" s="27">
        <v>0.72</v>
      </c>
      <c r="P1372" s="22" t="s">
        <v>3845</v>
      </c>
    </row>
    <row r="1373" spans="1:16" s="22" customFormat="1" ht="15" customHeight="1" x14ac:dyDescent="0.2">
      <c r="A1373" s="22" t="s">
        <v>3788</v>
      </c>
      <c r="B1373" s="22">
        <v>18754354</v>
      </c>
      <c r="C1373" s="30"/>
      <c r="D1373" s="23">
        <v>920818458</v>
      </c>
      <c r="E1373" s="25" t="str">
        <f t="shared" si="0"/>
        <v>1920818458</v>
      </c>
      <c r="F1373" s="24" t="s">
        <v>2176</v>
      </c>
      <c r="G1373" s="23">
        <v>23.98</v>
      </c>
      <c r="H1373" s="23">
        <v>20250301</v>
      </c>
      <c r="I1373" s="23" t="str">
        <f>TEXT(DATE(LEFT(H1373,4), MID(H1373,5,2), RIGHT(H1373,2)), "M/d/yyyy")</f>
        <v>3/1/2025</v>
      </c>
      <c r="J1373" s="25">
        <v>20250101</v>
      </c>
      <c r="K1373" s="23" t="str">
        <f>TEXT(DATE(LEFT(J1373,4), MID(J1373,5,2), RIGHT(J1373,2)), "M/d/yyyy")</f>
        <v>1/1/2025</v>
      </c>
      <c r="L1373" s="24" t="s">
        <v>114</v>
      </c>
      <c r="M1373" s="25">
        <v>100</v>
      </c>
      <c r="N1373" s="25">
        <v>0.06</v>
      </c>
      <c r="O1373" s="27">
        <v>1.44</v>
      </c>
      <c r="P1373" s="22" t="s">
        <v>3845</v>
      </c>
    </row>
    <row r="1374" spans="1:16" s="22" customFormat="1" ht="15" customHeight="1" x14ac:dyDescent="0.2">
      <c r="A1374" s="22" t="s">
        <v>3784</v>
      </c>
      <c r="B1374" s="22">
        <v>8244481</v>
      </c>
      <c r="C1374" s="30"/>
      <c r="D1374" s="23">
        <v>921366675</v>
      </c>
      <c r="E1374" s="25" t="str">
        <f t="shared" si="0"/>
        <v>1921366675</v>
      </c>
      <c r="F1374" s="24" t="s">
        <v>1400</v>
      </c>
      <c r="G1374" s="23">
        <v>12.47</v>
      </c>
      <c r="H1374" s="23">
        <v>20250301</v>
      </c>
      <c r="I1374" s="23" t="str">
        <f>TEXT(DATE(LEFT(H1374,4), MID(H1374,5,2), RIGHT(H1374,2)), "M/d/yyyy")</f>
        <v>3/1/2025</v>
      </c>
      <c r="J1374" s="25">
        <v>20240201</v>
      </c>
      <c r="K1374" s="23" t="str">
        <f>TEXT(DATE(LEFT(J1374,4), MID(J1374,5,2), RIGHT(J1374,2)), "M/d/yyyy")</f>
        <v>2/1/2024</v>
      </c>
      <c r="L1374" s="24" t="s">
        <v>114</v>
      </c>
      <c r="M1374" s="25">
        <v>100</v>
      </c>
      <c r="N1374" s="25">
        <v>0.04</v>
      </c>
      <c r="O1374" s="27">
        <v>0.5</v>
      </c>
      <c r="P1374" s="22" t="s">
        <v>3845</v>
      </c>
    </row>
    <row r="1375" spans="1:16" s="22" customFormat="1" ht="15" customHeight="1" x14ac:dyDescent="0.2">
      <c r="A1375" s="22" t="s">
        <v>3787</v>
      </c>
      <c r="B1375" s="22">
        <v>16633294</v>
      </c>
      <c r="C1375" s="30"/>
      <c r="D1375" s="23">
        <v>921751437</v>
      </c>
      <c r="E1375" s="25" t="str">
        <f t="shared" si="0"/>
        <v>1921751437</v>
      </c>
      <c r="F1375" s="24" t="s">
        <v>112</v>
      </c>
      <c r="G1375" s="23">
        <v>15.33</v>
      </c>
      <c r="H1375" s="23">
        <v>20250301</v>
      </c>
      <c r="I1375" s="23" t="str">
        <f>TEXT(DATE(LEFT(H1375,4), MID(H1375,5,2), RIGHT(H1375,2)), "M/d/yyyy")</f>
        <v>3/1/2025</v>
      </c>
      <c r="J1375" s="25">
        <v>20250101</v>
      </c>
      <c r="K1375" s="23" t="str">
        <f>TEXT(DATE(LEFT(J1375,4), MID(J1375,5,2), RIGHT(J1375,2)), "M/d/yyyy")</f>
        <v>1/1/2025</v>
      </c>
      <c r="L1375" s="24" t="s">
        <v>114</v>
      </c>
      <c r="M1375" s="25">
        <v>100</v>
      </c>
      <c r="N1375" s="25">
        <v>0.06</v>
      </c>
      <c r="O1375" s="27">
        <v>0.92</v>
      </c>
      <c r="P1375" s="22" t="s">
        <v>3845</v>
      </c>
    </row>
    <row r="1376" spans="1:16" s="22" customFormat="1" ht="15" customHeight="1" x14ac:dyDescent="0.2">
      <c r="A1376" s="22" t="s">
        <v>3787</v>
      </c>
      <c r="B1376" s="22">
        <v>16633294</v>
      </c>
      <c r="C1376" s="30"/>
      <c r="D1376" s="23">
        <v>921538664</v>
      </c>
      <c r="E1376" s="25" t="str">
        <f t="shared" si="0"/>
        <v>1921538664</v>
      </c>
      <c r="F1376" s="24" t="s">
        <v>2096</v>
      </c>
      <c r="G1376" s="23">
        <v>35.729999999999997</v>
      </c>
      <c r="H1376" s="23">
        <v>20250301</v>
      </c>
      <c r="I1376" s="23" t="str">
        <f>TEXT(DATE(LEFT(H1376,4), MID(H1376,5,2), RIGHT(H1376,2)), "M/d/yyyy")</f>
        <v>3/1/2025</v>
      </c>
      <c r="J1376" s="25">
        <v>20240101</v>
      </c>
      <c r="K1376" s="23" t="str">
        <f>TEXT(DATE(LEFT(J1376,4), MID(J1376,5,2), RIGHT(J1376,2)), "M/d/yyyy")</f>
        <v>1/1/2024</v>
      </c>
      <c r="L1376" s="24" t="s">
        <v>114</v>
      </c>
      <c r="M1376" s="25">
        <v>100</v>
      </c>
      <c r="N1376" s="25">
        <v>0.04</v>
      </c>
      <c r="O1376" s="27">
        <v>1.43</v>
      </c>
      <c r="P1376" s="22" t="s">
        <v>3845</v>
      </c>
    </row>
    <row r="1377" spans="1:17" s="22" customFormat="1" ht="15" customHeight="1" x14ac:dyDescent="0.2">
      <c r="A1377" s="22" t="s">
        <v>3775</v>
      </c>
      <c r="B1377" s="22">
        <v>8977234</v>
      </c>
      <c r="C1377" s="30"/>
      <c r="D1377" s="23">
        <v>920955115</v>
      </c>
      <c r="E1377" s="25" t="str">
        <f t="shared" si="0"/>
        <v>1920955115</v>
      </c>
      <c r="F1377" s="24" t="s">
        <v>420</v>
      </c>
      <c r="G1377" s="23">
        <v>35.729999999999997</v>
      </c>
      <c r="H1377" s="23">
        <v>20250301</v>
      </c>
      <c r="I1377" s="23" t="str">
        <f>TEXT(DATE(LEFT(H1377,4), MID(H1377,5,2), RIGHT(H1377,2)), "M/d/yyyy")</f>
        <v>3/1/2025</v>
      </c>
      <c r="J1377" s="25">
        <v>20240101</v>
      </c>
      <c r="K1377" s="23" t="str">
        <f>TEXT(DATE(LEFT(J1377,4), MID(J1377,5,2), RIGHT(J1377,2)), "M/d/yyyy")</f>
        <v>1/1/2024</v>
      </c>
      <c r="L1377" s="24" t="s">
        <v>114</v>
      </c>
      <c r="M1377" s="25">
        <v>100</v>
      </c>
      <c r="N1377" s="25">
        <v>0.04</v>
      </c>
      <c r="O1377" s="27">
        <v>1.43</v>
      </c>
      <c r="P1377" s="22" t="s">
        <v>3845</v>
      </c>
    </row>
    <row r="1378" spans="1:17" s="22" customFormat="1" ht="15" customHeight="1" x14ac:dyDescent="0.2">
      <c r="A1378" s="22" t="s">
        <v>3793</v>
      </c>
      <c r="B1378" s="22">
        <v>19396223</v>
      </c>
      <c r="C1378" s="30"/>
      <c r="D1378" s="23">
        <v>921640623</v>
      </c>
      <c r="E1378" s="25" t="str">
        <f t="shared" si="0"/>
        <v>1921640623</v>
      </c>
      <c r="F1378" s="24" t="s">
        <v>2600</v>
      </c>
      <c r="G1378" s="23">
        <v>23.98</v>
      </c>
      <c r="H1378" s="23">
        <v>20250301</v>
      </c>
      <c r="I1378" s="23" t="str">
        <f>TEXT(DATE(LEFT(H1378,4), MID(H1378,5,2), RIGHT(H1378,2)), "M/d/yyyy")</f>
        <v>3/1/2025</v>
      </c>
      <c r="J1378" s="25">
        <v>20250101</v>
      </c>
      <c r="K1378" s="23" t="str">
        <f>TEXT(DATE(LEFT(J1378,4), MID(J1378,5,2), RIGHT(J1378,2)), "M/d/yyyy")</f>
        <v>1/1/2025</v>
      </c>
      <c r="L1378" s="24" t="s">
        <v>114</v>
      </c>
      <c r="M1378" s="25">
        <v>100</v>
      </c>
      <c r="N1378" s="25">
        <v>0.06</v>
      </c>
      <c r="O1378" s="27">
        <v>1.44</v>
      </c>
      <c r="P1378" s="22" t="s">
        <v>3845</v>
      </c>
    </row>
    <row r="1379" spans="1:17" s="22" customFormat="1" ht="15" customHeight="1" x14ac:dyDescent="0.2">
      <c r="A1379" s="22" t="s">
        <v>3794</v>
      </c>
      <c r="B1379" s="22">
        <v>17126004</v>
      </c>
      <c r="C1379" s="30"/>
      <c r="D1379" s="23">
        <v>920893529</v>
      </c>
      <c r="E1379" s="25" t="str">
        <f t="shared" si="0"/>
        <v>1920893529</v>
      </c>
      <c r="F1379" s="24" t="s">
        <v>2679</v>
      </c>
      <c r="G1379" s="23">
        <v>35.729999999999997</v>
      </c>
      <c r="H1379" s="23">
        <v>20250301</v>
      </c>
      <c r="I1379" s="23" t="str">
        <f>TEXT(DATE(LEFT(H1379,4), MID(H1379,5,2), RIGHT(H1379,2)), "M/d/yyyy")</f>
        <v>3/1/2025</v>
      </c>
      <c r="J1379" s="25">
        <v>20240101</v>
      </c>
      <c r="K1379" s="23" t="str">
        <f>TEXT(DATE(LEFT(J1379,4), MID(J1379,5,2), RIGHT(J1379,2)), "M/d/yyyy")</f>
        <v>1/1/2024</v>
      </c>
      <c r="L1379" s="24" t="s">
        <v>114</v>
      </c>
      <c r="M1379" s="25">
        <v>100</v>
      </c>
      <c r="N1379" s="25">
        <v>0.04</v>
      </c>
      <c r="O1379" s="27">
        <v>1.43</v>
      </c>
      <c r="P1379" s="22" t="s">
        <v>3845</v>
      </c>
    </row>
    <row r="1380" spans="1:17" s="22" customFormat="1" ht="15" customHeight="1" x14ac:dyDescent="0.2">
      <c r="A1380" s="22" t="s">
        <v>3817</v>
      </c>
      <c r="B1380" s="22">
        <v>20098658</v>
      </c>
      <c r="C1380" s="30"/>
      <c r="D1380" s="23">
        <v>921749359</v>
      </c>
      <c r="E1380" s="25" t="str">
        <f t="shared" si="0"/>
        <v>1921749359</v>
      </c>
      <c r="F1380" s="24" t="s">
        <v>3495</v>
      </c>
      <c r="G1380" s="23">
        <v>15.33</v>
      </c>
      <c r="H1380" s="23">
        <v>20250301</v>
      </c>
      <c r="I1380" s="23" t="str">
        <f>TEXT(DATE(LEFT(H1380,4), MID(H1380,5,2), RIGHT(H1380,2)), "M/d/yyyy")</f>
        <v>3/1/2025</v>
      </c>
      <c r="J1380" s="25">
        <v>20250101</v>
      </c>
      <c r="K1380" s="23" t="str">
        <f>TEXT(DATE(LEFT(J1380,4), MID(J1380,5,2), RIGHT(J1380,2)), "M/d/yyyy")</f>
        <v>1/1/2025</v>
      </c>
      <c r="L1380" s="24" t="s">
        <v>114</v>
      </c>
      <c r="M1380" s="25">
        <v>100</v>
      </c>
      <c r="N1380" s="25">
        <v>0.06</v>
      </c>
      <c r="O1380" s="27">
        <v>0.92</v>
      </c>
      <c r="P1380" s="22" t="s">
        <v>3845</v>
      </c>
    </row>
    <row r="1381" spans="1:17" s="22" customFormat="1" ht="15" customHeight="1" x14ac:dyDescent="0.2">
      <c r="A1381" s="22" t="s">
        <v>3788</v>
      </c>
      <c r="B1381" s="22">
        <v>18754354</v>
      </c>
      <c r="C1381" s="30"/>
      <c r="D1381" s="23">
        <v>804453793</v>
      </c>
      <c r="E1381" s="23">
        <v>804453793</v>
      </c>
      <c r="F1381" s="24" t="s">
        <v>2163</v>
      </c>
      <c r="G1381" s="23">
        <v>0</v>
      </c>
      <c r="H1381" s="23">
        <v>20250201</v>
      </c>
      <c r="I1381" s="23" t="str">
        <f>TEXT(DATE(LEFT(H1381,4), MID(H1381,5,2), RIGHT(H1381,2)), "M/d/yyyy")</f>
        <v>2/1/2025</v>
      </c>
      <c r="J1381" s="25">
        <v>20240801</v>
      </c>
      <c r="K1381" s="23" t="str">
        <f>TEXT(DATE(LEFT(J1381,4), MID(J1381,5,2), RIGHT(J1381,2)), "M/d/yyyy")</f>
        <v>8/1/2024</v>
      </c>
      <c r="L1381" s="24" t="s">
        <v>1929</v>
      </c>
      <c r="M1381" s="26">
        <v>1</v>
      </c>
      <c r="O1381" s="27">
        <v>306</v>
      </c>
      <c r="P1381" s="22" t="s">
        <v>3838</v>
      </c>
      <c r="Q1381" s="31" t="s">
        <v>3840</v>
      </c>
    </row>
    <row r="1382" spans="1:17" s="22" customFormat="1" ht="15" customHeight="1" x14ac:dyDescent="0.2">
      <c r="A1382" s="22" t="s">
        <v>3806</v>
      </c>
      <c r="B1382" s="22">
        <v>16683808</v>
      </c>
      <c r="C1382" s="30"/>
      <c r="D1382" s="23">
        <v>804462536</v>
      </c>
      <c r="E1382" s="23">
        <v>804462536</v>
      </c>
      <c r="F1382" s="24" t="s">
        <v>3318</v>
      </c>
      <c r="G1382" s="23">
        <v>0</v>
      </c>
      <c r="H1382" s="23">
        <v>20250201</v>
      </c>
      <c r="I1382" s="23" t="str">
        <f>TEXT(DATE(LEFT(H1382,4), MID(H1382,5,2), RIGHT(H1382,2)), "M/d/yyyy")</f>
        <v>2/1/2025</v>
      </c>
      <c r="J1382" s="25">
        <v>20241101</v>
      </c>
      <c r="K1382" s="23" t="str">
        <f>TEXT(DATE(LEFT(J1382,4), MID(J1382,5,2), RIGHT(J1382,2)), "M/d/yyyy")</f>
        <v>11/1/2024</v>
      </c>
      <c r="L1382" s="24" t="s">
        <v>1929</v>
      </c>
      <c r="M1382" s="26">
        <v>1</v>
      </c>
      <c r="O1382" s="27">
        <v>306</v>
      </c>
      <c r="P1382" s="22" t="s">
        <v>3838</v>
      </c>
      <c r="Q1382" s="31" t="s">
        <v>3840</v>
      </c>
    </row>
    <row r="1383" spans="1:17" s="22" customFormat="1" ht="15" customHeight="1" x14ac:dyDescent="0.2">
      <c r="A1383" s="22" t="s">
        <v>3806</v>
      </c>
      <c r="B1383" s="22">
        <v>16683808</v>
      </c>
      <c r="C1383" s="30"/>
      <c r="D1383" s="23">
        <v>804462554</v>
      </c>
      <c r="E1383" s="23">
        <v>804462554</v>
      </c>
      <c r="F1383" s="24" t="s">
        <v>3321</v>
      </c>
      <c r="G1383" s="23">
        <v>0</v>
      </c>
      <c r="H1383" s="23">
        <v>20250201</v>
      </c>
      <c r="I1383" s="23" t="str">
        <f>TEXT(DATE(LEFT(H1383,4), MID(H1383,5,2), RIGHT(H1383,2)), "M/d/yyyy")</f>
        <v>2/1/2025</v>
      </c>
      <c r="J1383" s="25">
        <v>20241101</v>
      </c>
      <c r="K1383" s="23" t="str">
        <f>TEXT(DATE(LEFT(J1383,4), MID(J1383,5,2), RIGHT(J1383,2)), "M/d/yyyy")</f>
        <v>11/1/2024</v>
      </c>
      <c r="L1383" s="24" t="s">
        <v>1929</v>
      </c>
      <c r="M1383" s="26">
        <v>1</v>
      </c>
      <c r="O1383" s="27">
        <v>306</v>
      </c>
      <c r="P1383" s="22" t="s">
        <v>3838</v>
      </c>
      <c r="Q1383" s="31" t="s">
        <v>3840</v>
      </c>
    </row>
    <row r="1384" spans="1:17" s="22" customFormat="1" ht="15" customHeight="1" x14ac:dyDescent="0.2">
      <c r="A1384" s="22" t="s">
        <v>3783</v>
      </c>
      <c r="B1384" s="22">
        <v>19645587</v>
      </c>
      <c r="C1384" s="30"/>
      <c r="D1384" s="23">
        <v>804454471</v>
      </c>
      <c r="E1384" s="23">
        <v>804454471</v>
      </c>
      <c r="F1384" s="24" t="s">
        <v>1267</v>
      </c>
      <c r="G1384" s="23">
        <v>0</v>
      </c>
      <c r="H1384" s="23">
        <v>20250201</v>
      </c>
      <c r="I1384" s="23" t="str">
        <f>TEXT(DATE(LEFT(H1384,4), MID(H1384,5,2), RIGHT(H1384,2)), "M/d/yyyy")</f>
        <v>2/1/2025</v>
      </c>
      <c r="J1384" s="25">
        <v>20241101</v>
      </c>
      <c r="K1384" s="23" t="str">
        <f>TEXT(DATE(LEFT(J1384,4), MID(J1384,5,2), RIGHT(J1384,2)), "M/d/yyyy")</f>
        <v>11/1/2024</v>
      </c>
      <c r="L1384" s="24" t="s">
        <v>45</v>
      </c>
      <c r="M1384" s="26">
        <v>1</v>
      </c>
      <c r="O1384" s="27">
        <v>306</v>
      </c>
      <c r="P1384" s="22" t="s">
        <v>3838</v>
      </c>
      <c r="Q1384" s="31" t="s">
        <v>3840</v>
      </c>
    </row>
    <row r="1385" spans="1:17" s="22" customFormat="1" ht="15" customHeight="1" x14ac:dyDescent="0.2">
      <c r="A1385" s="22" t="s">
        <v>3783</v>
      </c>
      <c r="B1385" s="22">
        <v>19645587</v>
      </c>
      <c r="C1385" s="23">
        <v>1</v>
      </c>
      <c r="D1385" s="23">
        <v>804501244</v>
      </c>
      <c r="E1385" s="23">
        <v>804501244</v>
      </c>
      <c r="F1385" s="24" t="s">
        <v>1272</v>
      </c>
      <c r="G1385" s="23">
        <v>0</v>
      </c>
      <c r="H1385" s="23">
        <v>20250301</v>
      </c>
      <c r="I1385" s="23" t="str">
        <f>TEXT(DATE(LEFT(H1385,4), MID(H1385,5,2), RIGHT(H1385,2)), "M/d/yyyy")</f>
        <v>3/1/2025</v>
      </c>
      <c r="J1385" s="25">
        <v>20250201</v>
      </c>
      <c r="K1385" s="23" t="str">
        <f>TEXT(DATE(LEFT(J1385,4), MID(J1385,5,2), RIGHT(J1385,2)), "M/d/yyyy")</f>
        <v>2/1/2025</v>
      </c>
      <c r="L1385" s="24" t="s">
        <v>45</v>
      </c>
      <c r="M1385" s="26">
        <v>1</v>
      </c>
      <c r="O1385" s="27">
        <v>286.92</v>
      </c>
      <c r="P1385" s="22" t="s">
        <v>3839</v>
      </c>
      <c r="Q1385" s="31" t="s">
        <v>3841</v>
      </c>
    </row>
    <row r="1386" spans="1:17" s="22" customFormat="1" ht="15" customHeight="1" x14ac:dyDescent="0.2">
      <c r="A1386" s="22" t="s">
        <v>3782</v>
      </c>
      <c r="B1386" s="22">
        <v>7470776</v>
      </c>
      <c r="C1386" s="30"/>
      <c r="D1386" s="23">
        <v>957189549</v>
      </c>
      <c r="E1386" s="23">
        <v>957189549</v>
      </c>
      <c r="F1386" s="24" t="s">
        <v>967</v>
      </c>
      <c r="G1386" s="23">
        <v>170.27</v>
      </c>
      <c r="H1386" s="23">
        <v>20250201</v>
      </c>
      <c r="I1386" s="23" t="str">
        <f>TEXT(DATE(LEFT(H1386,4), MID(H1386,5,2), RIGHT(H1386,2)), "M/d/yyyy")</f>
        <v>2/1/2025</v>
      </c>
      <c r="J1386" s="25">
        <v>20241101</v>
      </c>
      <c r="K1386" s="23" t="str">
        <f>TEXT(DATE(LEFT(J1386,4), MID(J1386,5,2), RIGHT(J1386,2)), "M/d/yyyy")</f>
        <v>11/1/2024</v>
      </c>
      <c r="L1386" s="24" t="s">
        <v>402</v>
      </c>
      <c r="M1386" s="25">
        <v>100</v>
      </c>
      <c r="N1386" s="25">
        <v>0.1</v>
      </c>
      <c r="O1386" s="27">
        <v>17.03</v>
      </c>
      <c r="P1386" s="22" t="s">
        <v>3835</v>
      </c>
    </row>
    <row r="1387" spans="1:17" s="22" customFormat="1" ht="15" customHeight="1" x14ac:dyDescent="0.2">
      <c r="A1387" s="22" t="s">
        <v>3820</v>
      </c>
      <c r="B1387" s="22">
        <v>7146581</v>
      </c>
      <c r="C1387" s="30"/>
      <c r="D1387" s="23">
        <v>957198740</v>
      </c>
      <c r="E1387" s="23">
        <v>957198740</v>
      </c>
      <c r="F1387" s="24" t="s">
        <v>3523</v>
      </c>
      <c r="G1387" s="23">
        <v>129.53</v>
      </c>
      <c r="H1387" s="23">
        <v>20250201</v>
      </c>
      <c r="I1387" s="23" t="str">
        <f>TEXT(DATE(LEFT(H1387,4), MID(H1387,5,2), RIGHT(H1387,2)), "M/d/yyyy")</f>
        <v>2/1/2025</v>
      </c>
      <c r="J1387" s="25">
        <v>20250101</v>
      </c>
      <c r="K1387" s="23" t="str">
        <f>TEXT(DATE(LEFT(J1387,4), MID(J1387,5,2), RIGHT(J1387,2)), "M/d/yyyy")</f>
        <v>1/1/2025</v>
      </c>
      <c r="L1387" s="24" t="s">
        <v>402</v>
      </c>
      <c r="M1387" s="25">
        <v>100</v>
      </c>
      <c r="N1387" s="25">
        <v>0.1</v>
      </c>
      <c r="O1387" s="27">
        <v>12.95</v>
      </c>
      <c r="P1387" s="22" t="s">
        <v>3835</v>
      </c>
    </row>
    <row r="1388" spans="1:17" s="22" customFormat="1" ht="15" customHeight="1" x14ac:dyDescent="0.2">
      <c r="A1388" s="22" t="s">
        <v>3820</v>
      </c>
      <c r="B1388" s="22">
        <v>7146581</v>
      </c>
      <c r="C1388" s="30"/>
      <c r="D1388" s="23">
        <v>957198773</v>
      </c>
      <c r="E1388" s="23">
        <v>957198773</v>
      </c>
      <c r="F1388" s="24" t="s">
        <v>3526</v>
      </c>
      <c r="G1388" s="23">
        <v>132.47</v>
      </c>
      <c r="H1388" s="23">
        <v>20250201</v>
      </c>
      <c r="I1388" s="23" t="str">
        <f>TEXT(DATE(LEFT(H1388,4), MID(H1388,5,2), RIGHT(H1388,2)), "M/d/yyyy")</f>
        <v>2/1/2025</v>
      </c>
      <c r="J1388" s="25">
        <v>20250101</v>
      </c>
      <c r="K1388" s="23" t="str">
        <f>TEXT(DATE(LEFT(J1388,4), MID(J1388,5,2), RIGHT(J1388,2)), "M/d/yyyy")</f>
        <v>1/1/2025</v>
      </c>
      <c r="L1388" s="24" t="s">
        <v>402</v>
      </c>
      <c r="M1388" s="25">
        <v>100</v>
      </c>
      <c r="N1388" s="25">
        <v>0.1</v>
      </c>
      <c r="O1388" s="27">
        <v>13.25</v>
      </c>
      <c r="P1388" s="22" t="s">
        <v>3835</v>
      </c>
    </row>
    <row r="1389" spans="1:17" s="22" customFormat="1" ht="15" customHeight="1" x14ac:dyDescent="0.2">
      <c r="A1389" s="22" t="s">
        <v>3820</v>
      </c>
      <c r="B1389" s="22">
        <v>7146581</v>
      </c>
      <c r="C1389" s="30"/>
      <c r="D1389" s="23">
        <v>957199024</v>
      </c>
      <c r="E1389" s="23">
        <v>957199024</v>
      </c>
      <c r="F1389" s="24" t="s">
        <v>3747</v>
      </c>
      <c r="G1389" s="23">
        <v>170.27</v>
      </c>
      <c r="H1389" s="23">
        <v>20250203</v>
      </c>
      <c r="I1389" s="23" t="str">
        <f>TEXT(DATE(LEFT(H1389,4), MID(H1389,5,2), RIGHT(H1389,2)), "M/d/yyyy")</f>
        <v>2/3/2025</v>
      </c>
      <c r="J1389" s="25">
        <v>20241203</v>
      </c>
      <c r="K1389" s="23" t="str">
        <f>TEXT(DATE(LEFT(J1389,4), MID(J1389,5,2), RIGHT(J1389,2)), "M/d/yyyy")</f>
        <v>12/3/2024</v>
      </c>
      <c r="L1389" s="24" t="s">
        <v>402</v>
      </c>
      <c r="M1389" s="25">
        <v>100</v>
      </c>
      <c r="N1389" s="25">
        <v>0.1</v>
      </c>
      <c r="O1389" s="27">
        <v>17.03</v>
      </c>
      <c r="P1389" s="22" t="s">
        <v>3835</v>
      </c>
    </row>
    <row r="1390" spans="1:17" s="22" customFormat="1" ht="15" customHeight="1" x14ac:dyDescent="0.2">
      <c r="A1390" s="22" t="s">
        <v>3820</v>
      </c>
      <c r="B1390" s="22">
        <v>7146581</v>
      </c>
      <c r="C1390" s="30"/>
      <c r="D1390" s="23">
        <v>957199653</v>
      </c>
      <c r="E1390" s="23">
        <v>957199653</v>
      </c>
      <c r="F1390" s="24" t="s">
        <v>3751</v>
      </c>
      <c r="G1390" s="23">
        <v>181.94</v>
      </c>
      <c r="H1390" s="23">
        <v>20250301</v>
      </c>
      <c r="I1390" s="23" t="str">
        <f>TEXT(DATE(LEFT(H1390,4), MID(H1390,5,2), RIGHT(H1390,2)), "M/d/yyyy")</f>
        <v>3/1/2025</v>
      </c>
      <c r="J1390" s="25">
        <v>20250101</v>
      </c>
      <c r="K1390" s="23" t="str">
        <f>TEXT(DATE(LEFT(J1390,4), MID(J1390,5,2), RIGHT(J1390,2)), "M/d/yyyy")</f>
        <v>1/1/2025</v>
      </c>
      <c r="L1390" s="24" t="s">
        <v>402</v>
      </c>
      <c r="M1390" s="25">
        <v>100</v>
      </c>
      <c r="N1390" s="25">
        <v>0.1</v>
      </c>
      <c r="O1390" s="27">
        <v>18.190000000000001</v>
      </c>
      <c r="P1390" s="22" t="s">
        <v>3835</v>
      </c>
    </row>
    <row r="1391" spans="1:17" s="22" customFormat="1" ht="15" customHeight="1" x14ac:dyDescent="0.2">
      <c r="A1391" s="22" t="s">
        <v>3820</v>
      </c>
      <c r="B1391" s="22">
        <v>7146581</v>
      </c>
      <c r="C1391" s="30"/>
      <c r="D1391" s="23">
        <v>957199653</v>
      </c>
      <c r="E1391" s="23">
        <v>957199653</v>
      </c>
      <c r="F1391" s="24" t="s">
        <v>3751</v>
      </c>
      <c r="G1391" s="23">
        <v>181.94</v>
      </c>
      <c r="H1391" s="23">
        <v>20250201</v>
      </c>
      <c r="I1391" s="23" t="str">
        <f>TEXT(DATE(LEFT(H1391,4), MID(H1391,5,2), RIGHT(H1391,2)), "M/d/yyyy")</f>
        <v>2/1/2025</v>
      </c>
      <c r="J1391" s="25">
        <v>20250101</v>
      </c>
      <c r="K1391" s="23" t="str">
        <f>TEXT(DATE(LEFT(J1391,4), MID(J1391,5,2), RIGHT(J1391,2)), "M/d/yyyy")</f>
        <v>1/1/2025</v>
      </c>
      <c r="L1391" s="24" t="s">
        <v>402</v>
      </c>
      <c r="M1391" s="25">
        <v>100</v>
      </c>
      <c r="N1391" s="25">
        <v>0.1</v>
      </c>
      <c r="O1391" s="27">
        <v>18.190000000000001</v>
      </c>
      <c r="P1391" s="22" t="s">
        <v>3835</v>
      </c>
    </row>
    <row r="1392" spans="1:17" s="22" customFormat="1" ht="15" customHeight="1" x14ac:dyDescent="0.2">
      <c r="A1392" s="22" t="s">
        <v>3820</v>
      </c>
      <c r="B1392" s="22">
        <v>7146581</v>
      </c>
      <c r="C1392" s="30"/>
      <c r="D1392" s="23">
        <v>957203139</v>
      </c>
      <c r="E1392" s="23">
        <v>957203139</v>
      </c>
      <c r="F1392" s="24" t="s">
        <v>3767</v>
      </c>
      <c r="G1392" s="23">
        <v>189.49</v>
      </c>
      <c r="H1392" s="23">
        <v>20250201</v>
      </c>
      <c r="I1392" s="23" t="str">
        <f>TEXT(DATE(LEFT(H1392,4), MID(H1392,5,2), RIGHT(H1392,2)), "M/d/yyyy")</f>
        <v>2/1/2025</v>
      </c>
      <c r="J1392" s="25">
        <v>20250101</v>
      </c>
      <c r="K1392" s="23" t="str">
        <f>TEXT(DATE(LEFT(J1392,4), MID(J1392,5,2), RIGHT(J1392,2)), "M/d/yyyy")</f>
        <v>1/1/2025</v>
      </c>
      <c r="L1392" s="24" t="s">
        <v>402</v>
      </c>
      <c r="M1392" s="25">
        <v>100</v>
      </c>
      <c r="N1392" s="25">
        <v>0.1</v>
      </c>
      <c r="O1392" s="27">
        <v>18.95</v>
      </c>
      <c r="P1392" s="22" t="s">
        <v>3835</v>
      </c>
    </row>
    <row r="1393" spans="1:16" s="22" customFormat="1" ht="15" customHeight="1" x14ac:dyDescent="0.2">
      <c r="A1393" s="22" t="s">
        <v>3820</v>
      </c>
      <c r="B1393" s="22">
        <v>7146581</v>
      </c>
      <c r="C1393" s="30"/>
      <c r="D1393" s="23">
        <v>957196012</v>
      </c>
      <c r="E1393" s="23">
        <v>957196012</v>
      </c>
      <c r="F1393" s="24" t="s">
        <v>3723</v>
      </c>
      <c r="G1393" s="23">
        <v>267.76</v>
      </c>
      <c r="H1393" s="23">
        <v>20250301</v>
      </c>
      <c r="I1393" s="23" t="str">
        <f>TEXT(DATE(LEFT(H1393,4), MID(H1393,5,2), RIGHT(H1393,2)), "M/d/yyyy")</f>
        <v>3/1/2025</v>
      </c>
      <c r="J1393" s="25">
        <v>20250101</v>
      </c>
      <c r="K1393" s="23" t="str">
        <f>TEXT(DATE(LEFT(J1393,4), MID(J1393,5,2), RIGHT(J1393,2)), "M/d/yyyy")</f>
        <v>1/1/2025</v>
      </c>
      <c r="L1393" s="24" t="s">
        <v>402</v>
      </c>
      <c r="M1393" s="25">
        <v>100</v>
      </c>
      <c r="N1393" s="25">
        <v>0.1</v>
      </c>
      <c r="O1393" s="27">
        <v>26.78</v>
      </c>
      <c r="P1393" s="22" t="s">
        <v>3835</v>
      </c>
    </row>
    <row r="1394" spans="1:16" s="22" customFormat="1" ht="15" customHeight="1" x14ac:dyDescent="0.2">
      <c r="A1394" s="22" t="s">
        <v>3820</v>
      </c>
      <c r="B1394" s="22">
        <v>7146581</v>
      </c>
      <c r="C1394" s="30"/>
      <c r="D1394" s="23">
        <v>957196012</v>
      </c>
      <c r="E1394" s="23">
        <v>957196012</v>
      </c>
      <c r="F1394" s="24" t="s">
        <v>3723</v>
      </c>
      <c r="G1394" s="23">
        <v>267.76</v>
      </c>
      <c r="H1394" s="23">
        <v>20250201</v>
      </c>
      <c r="I1394" s="23" t="str">
        <f>TEXT(DATE(LEFT(H1394,4), MID(H1394,5,2), RIGHT(H1394,2)), "M/d/yyyy")</f>
        <v>2/1/2025</v>
      </c>
      <c r="J1394" s="25">
        <v>20250101</v>
      </c>
      <c r="K1394" s="23" t="str">
        <f>TEXT(DATE(LEFT(J1394,4), MID(J1394,5,2), RIGHT(J1394,2)), "M/d/yyyy")</f>
        <v>1/1/2025</v>
      </c>
      <c r="L1394" s="24" t="s">
        <v>402</v>
      </c>
      <c r="M1394" s="25">
        <v>100</v>
      </c>
      <c r="N1394" s="25">
        <v>0.1</v>
      </c>
      <c r="O1394" s="27">
        <v>26.78</v>
      </c>
      <c r="P1394" s="22" t="s">
        <v>3835</v>
      </c>
    </row>
    <row r="1395" spans="1:16" s="22" customFormat="1" ht="15" customHeight="1" x14ac:dyDescent="0.2">
      <c r="A1395" s="22" t="s">
        <v>3820</v>
      </c>
      <c r="B1395" s="22">
        <v>7146581</v>
      </c>
      <c r="C1395" s="30"/>
      <c r="D1395" s="23">
        <v>957203142</v>
      </c>
      <c r="E1395" s="23">
        <v>957203142</v>
      </c>
      <c r="F1395" s="24" t="s">
        <v>3769</v>
      </c>
      <c r="G1395" s="23">
        <v>296.19</v>
      </c>
      <c r="H1395" s="23">
        <v>20250201</v>
      </c>
      <c r="I1395" s="23" t="str">
        <f>TEXT(DATE(LEFT(H1395,4), MID(H1395,5,2), RIGHT(H1395,2)), "M/d/yyyy")</f>
        <v>2/1/2025</v>
      </c>
      <c r="J1395" s="25">
        <v>20250101</v>
      </c>
      <c r="K1395" s="23" t="str">
        <f>TEXT(DATE(LEFT(J1395,4), MID(J1395,5,2), RIGHT(J1395,2)), "M/d/yyyy")</f>
        <v>1/1/2025</v>
      </c>
      <c r="L1395" s="24" t="s">
        <v>402</v>
      </c>
      <c r="M1395" s="25">
        <v>100</v>
      </c>
      <c r="N1395" s="25">
        <v>0.1</v>
      </c>
      <c r="O1395" s="27">
        <v>29.62</v>
      </c>
      <c r="P1395" s="22" t="s">
        <v>3835</v>
      </c>
    </row>
    <row r="1396" spans="1:16" s="22" customFormat="1" ht="15" customHeight="1" x14ac:dyDescent="0.2">
      <c r="A1396" s="22" t="s">
        <v>3801</v>
      </c>
      <c r="B1396" s="22">
        <v>21104854</v>
      </c>
      <c r="C1396" s="30"/>
      <c r="D1396" s="23">
        <v>957199978</v>
      </c>
      <c r="E1396" s="23">
        <v>957199978</v>
      </c>
      <c r="F1396" s="24" t="s">
        <v>3049</v>
      </c>
      <c r="G1396" s="23">
        <v>189.49</v>
      </c>
      <c r="H1396" s="23">
        <v>20250201</v>
      </c>
      <c r="I1396" s="23" t="str">
        <f>TEXT(DATE(LEFT(H1396,4), MID(H1396,5,2), RIGHT(H1396,2)), "M/d/yyyy")</f>
        <v>2/1/2025</v>
      </c>
      <c r="J1396" s="25">
        <v>20250101</v>
      </c>
      <c r="K1396" s="23" t="str">
        <f>TEXT(DATE(LEFT(J1396,4), MID(J1396,5,2), RIGHT(J1396,2)), "M/d/yyyy")</f>
        <v>1/1/2025</v>
      </c>
      <c r="L1396" s="24" t="s">
        <v>402</v>
      </c>
      <c r="M1396" s="25">
        <v>100</v>
      </c>
      <c r="N1396" s="25">
        <v>0.1</v>
      </c>
      <c r="O1396" s="27">
        <v>18.95</v>
      </c>
      <c r="P1396" s="22" t="s">
        <v>3835</v>
      </c>
    </row>
    <row r="1397" spans="1:16" s="22" customFormat="1" ht="15" customHeight="1" x14ac:dyDescent="0.2">
      <c r="A1397" s="22" t="s">
        <v>3786</v>
      </c>
      <c r="B1397" s="22">
        <v>8814784</v>
      </c>
      <c r="C1397" s="30"/>
      <c r="D1397" s="23">
        <v>957198660</v>
      </c>
      <c r="E1397" s="23">
        <v>957198660</v>
      </c>
      <c r="F1397" s="24" t="s">
        <v>2045</v>
      </c>
      <c r="G1397" s="23" t="s">
        <v>3824</v>
      </c>
      <c r="H1397" s="23">
        <v>20250201</v>
      </c>
      <c r="I1397" s="23" t="str">
        <f>TEXT(DATE(LEFT(H1397,4), MID(H1397,5,2), RIGHT(H1397,2)), "M/d/yyyy")</f>
        <v>2/1/2025</v>
      </c>
      <c r="J1397" s="25">
        <v>20250101</v>
      </c>
      <c r="K1397" s="23" t="str">
        <f>TEXT(DATE(LEFT(J1397,4), MID(J1397,5,2), RIGHT(J1397,2)), "M/d/yyyy")</f>
        <v>1/1/2025</v>
      </c>
      <c r="L1397" s="24" t="s">
        <v>402</v>
      </c>
      <c r="M1397" s="25">
        <v>100</v>
      </c>
      <c r="N1397" s="25">
        <v>0.1</v>
      </c>
      <c r="O1397" s="27">
        <v>-12.95</v>
      </c>
      <c r="P1397" s="22" t="s">
        <v>3835</v>
      </c>
    </row>
    <row r="1398" spans="1:16" s="22" customFormat="1" ht="15" customHeight="1" x14ac:dyDescent="0.2">
      <c r="A1398" s="22" t="s">
        <v>3786</v>
      </c>
      <c r="B1398" s="22">
        <v>8814784</v>
      </c>
      <c r="C1398" s="30"/>
      <c r="D1398" s="23">
        <v>957198660</v>
      </c>
      <c r="E1398" s="23">
        <v>957198660</v>
      </c>
      <c r="F1398" s="24" t="s">
        <v>2045</v>
      </c>
      <c r="G1398" s="23">
        <v>129.53</v>
      </c>
      <c r="H1398" s="23">
        <v>20250301</v>
      </c>
      <c r="I1398" s="23" t="str">
        <f>TEXT(DATE(LEFT(H1398,4), MID(H1398,5,2), RIGHT(H1398,2)), "M/d/yyyy")</f>
        <v>3/1/2025</v>
      </c>
      <c r="J1398" s="25">
        <v>20250101</v>
      </c>
      <c r="K1398" s="23" t="str">
        <f>TEXT(DATE(LEFT(J1398,4), MID(J1398,5,2), RIGHT(J1398,2)), "M/d/yyyy")</f>
        <v>1/1/2025</v>
      </c>
      <c r="L1398" s="24" t="s">
        <v>402</v>
      </c>
      <c r="M1398" s="25">
        <v>100</v>
      </c>
      <c r="N1398" s="25">
        <v>0.1</v>
      </c>
      <c r="O1398" s="27">
        <v>12.95</v>
      </c>
      <c r="P1398" s="22" t="s">
        <v>3835</v>
      </c>
    </row>
    <row r="1399" spans="1:16" s="22" customFormat="1" ht="15" customHeight="1" x14ac:dyDescent="0.2">
      <c r="A1399" s="22" t="s">
        <v>3786</v>
      </c>
      <c r="B1399" s="22">
        <v>8814784</v>
      </c>
      <c r="C1399" s="30"/>
      <c r="D1399" s="23">
        <v>957198660</v>
      </c>
      <c r="E1399" s="23">
        <v>957198660</v>
      </c>
      <c r="F1399" s="24" t="s">
        <v>2045</v>
      </c>
      <c r="G1399" s="23">
        <v>129.53</v>
      </c>
      <c r="H1399" s="23">
        <v>20250201</v>
      </c>
      <c r="I1399" s="23" t="str">
        <f>TEXT(DATE(LEFT(H1399,4), MID(H1399,5,2), RIGHT(H1399,2)), "M/d/yyyy")</f>
        <v>2/1/2025</v>
      </c>
      <c r="J1399" s="25">
        <v>20250101</v>
      </c>
      <c r="K1399" s="23" t="str">
        <f>TEXT(DATE(LEFT(J1399,4), MID(J1399,5,2), RIGHT(J1399,2)), "M/d/yyyy")</f>
        <v>1/1/2025</v>
      </c>
      <c r="L1399" s="24" t="s">
        <v>402</v>
      </c>
      <c r="M1399" s="25">
        <v>100</v>
      </c>
      <c r="N1399" s="25">
        <v>0.1</v>
      </c>
      <c r="O1399" s="27">
        <v>12.95</v>
      </c>
      <c r="P1399" s="22" t="s">
        <v>3835</v>
      </c>
    </row>
    <row r="1400" spans="1:16" s="22" customFormat="1" ht="15" customHeight="1" x14ac:dyDescent="0.2">
      <c r="A1400" s="22" t="s">
        <v>3786</v>
      </c>
      <c r="B1400" s="22">
        <v>8814784</v>
      </c>
      <c r="C1400" s="30"/>
      <c r="D1400" s="23">
        <v>957201348</v>
      </c>
      <c r="E1400" s="23">
        <v>957201348</v>
      </c>
      <c r="F1400" s="24" t="s">
        <v>2051</v>
      </c>
      <c r="G1400" s="23">
        <v>153.24</v>
      </c>
      <c r="H1400" s="23">
        <v>20250401</v>
      </c>
      <c r="I1400" s="23" t="str">
        <f>TEXT(DATE(LEFT(H1400,4), MID(H1400,5,2), RIGHT(H1400,2)), "M/d/yyyy")</f>
        <v>4/1/2025</v>
      </c>
      <c r="J1400" s="25">
        <v>20250101</v>
      </c>
      <c r="K1400" s="23" t="str">
        <f>TEXT(DATE(LEFT(J1400,4), MID(J1400,5,2), RIGHT(J1400,2)), "M/d/yyyy")</f>
        <v>1/1/2025</v>
      </c>
      <c r="L1400" s="24" t="s">
        <v>402</v>
      </c>
      <c r="M1400" s="25">
        <v>100</v>
      </c>
      <c r="N1400" s="25">
        <v>0.1</v>
      </c>
      <c r="O1400" s="27">
        <v>15.32</v>
      </c>
      <c r="P1400" s="22" t="s">
        <v>3835</v>
      </c>
    </row>
    <row r="1401" spans="1:16" s="22" customFormat="1" ht="15" customHeight="1" x14ac:dyDescent="0.2">
      <c r="A1401" s="22" t="s">
        <v>3786</v>
      </c>
      <c r="B1401" s="22">
        <v>8814784</v>
      </c>
      <c r="C1401" s="30"/>
      <c r="D1401" s="23">
        <v>957201348</v>
      </c>
      <c r="E1401" s="23">
        <v>957201348</v>
      </c>
      <c r="F1401" s="24" t="s">
        <v>2051</v>
      </c>
      <c r="G1401" s="23">
        <v>153.24</v>
      </c>
      <c r="H1401" s="23">
        <v>20250301</v>
      </c>
      <c r="I1401" s="23" t="str">
        <f>TEXT(DATE(LEFT(H1401,4), MID(H1401,5,2), RIGHT(H1401,2)), "M/d/yyyy")</f>
        <v>3/1/2025</v>
      </c>
      <c r="J1401" s="25">
        <v>20250101</v>
      </c>
      <c r="K1401" s="23" t="str">
        <f>TEXT(DATE(LEFT(J1401,4), MID(J1401,5,2), RIGHT(J1401,2)), "M/d/yyyy")</f>
        <v>1/1/2025</v>
      </c>
      <c r="L1401" s="24" t="s">
        <v>402</v>
      </c>
      <c r="M1401" s="25">
        <v>100</v>
      </c>
      <c r="N1401" s="25">
        <v>0.1</v>
      </c>
      <c r="O1401" s="27">
        <v>15.32</v>
      </c>
      <c r="P1401" s="22" t="s">
        <v>3835</v>
      </c>
    </row>
    <row r="1402" spans="1:16" s="22" customFormat="1" ht="15" customHeight="1" x14ac:dyDescent="0.2">
      <c r="A1402" s="22" t="s">
        <v>3786</v>
      </c>
      <c r="B1402" s="22">
        <v>8814784</v>
      </c>
      <c r="C1402" s="30"/>
      <c r="D1402" s="23">
        <v>957201348</v>
      </c>
      <c r="E1402" s="23">
        <v>957201348</v>
      </c>
      <c r="F1402" s="24" t="s">
        <v>2051</v>
      </c>
      <c r="G1402" s="23">
        <v>153.24</v>
      </c>
      <c r="H1402" s="23">
        <v>20250201</v>
      </c>
      <c r="I1402" s="23" t="str">
        <f>TEXT(DATE(LEFT(H1402,4), MID(H1402,5,2), RIGHT(H1402,2)), "M/d/yyyy")</f>
        <v>2/1/2025</v>
      </c>
      <c r="J1402" s="25">
        <v>20250101</v>
      </c>
      <c r="K1402" s="23" t="str">
        <f>TEXT(DATE(LEFT(J1402,4), MID(J1402,5,2), RIGHT(J1402,2)), "M/d/yyyy")</f>
        <v>1/1/2025</v>
      </c>
      <c r="L1402" s="24" t="s">
        <v>402</v>
      </c>
      <c r="M1402" s="25">
        <v>100</v>
      </c>
      <c r="N1402" s="25">
        <v>0.1</v>
      </c>
      <c r="O1402" s="27">
        <v>15.32</v>
      </c>
      <c r="P1402" s="22" t="s">
        <v>3835</v>
      </c>
    </row>
    <row r="1403" spans="1:16" s="22" customFormat="1" ht="15" customHeight="1" x14ac:dyDescent="0.2">
      <c r="A1403" s="22" t="s">
        <v>3781</v>
      </c>
      <c r="B1403" s="22">
        <v>9213293</v>
      </c>
      <c r="C1403" s="30"/>
      <c r="D1403" s="23">
        <v>957201189</v>
      </c>
      <c r="E1403" s="23">
        <v>957201189</v>
      </c>
      <c r="F1403" s="24" t="s">
        <v>670</v>
      </c>
      <c r="G1403" s="23">
        <v>132.47</v>
      </c>
      <c r="H1403" s="23">
        <v>20250201</v>
      </c>
      <c r="I1403" s="23" t="str">
        <f>TEXT(DATE(LEFT(H1403,4), MID(H1403,5,2), RIGHT(H1403,2)), "M/d/yyyy")</f>
        <v>2/1/2025</v>
      </c>
      <c r="J1403" s="25">
        <v>20250101</v>
      </c>
      <c r="K1403" s="23" t="str">
        <f>TEXT(DATE(LEFT(J1403,4), MID(J1403,5,2), RIGHT(J1403,2)), "M/d/yyyy")</f>
        <v>1/1/2025</v>
      </c>
      <c r="L1403" s="24" t="s">
        <v>402</v>
      </c>
      <c r="M1403" s="25">
        <v>100</v>
      </c>
      <c r="N1403" s="25">
        <v>0.1</v>
      </c>
      <c r="O1403" s="27">
        <v>13.25</v>
      </c>
      <c r="P1403" s="22" t="s">
        <v>3835</v>
      </c>
    </row>
    <row r="1404" spans="1:16" s="22" customFormat="1" ht="15" customHeight="1" x14ac:dyDescent="0.2">
      <c r="A1404" s="22" t="s">
        <v>3781</v>
      </c>
      <c r="B1404" s="22">
        <v>9213293</v>
      </c>
      <c r="C1404" s="30"/>
      <c r="D1404" s="23">
        <v>957192789</v>
      </c>
      <c r="E1404" s="23">
        <v>957192789</v>
      </c>
      <c r="F1404" s="24" t="s">
        <v>667</v>
      </c>
      <c r="G1404" s="23">
        <v>153.24</v>
      </c>
      <c r="H1404" s="23">
        <v>20250201</v>
      </c>
      <c r="I1404" s="23" t="str">
        <f>TEXT(DATE(LEFT(H1404,4), MID(H1404,5,2), RIGHT(H1404,2)), "M/d/yyyy")</f>
        <v>2/1/2025</v>
      </c>
      <c r="J1404" s="25">
        <v>20241201</v>
      </c>
      <c r="K1404" s="23" t="str">
        <f>TEXT(DATE(LEFT(J1404,4), MID(J1404,5,2), RIGHT(J1404,2)), "M/d/yyyy")</f>
        <v>12/1/2024</v>
      </c>
      <c r="L1404" s="24" t="s">
        <v>402</v>
      </c>
      <c r="M1404" s="25">
        <v>100</v>
      </c>
      <c r="N1404" s="25">
        <v>0.1</v>
      </c>
      <c r="O1404" s="27">
        <v>15.32</v>
      </c>
      <c r="P1404" s="22" t="s">
        <v>3835</v>
      </c>
    </row>
    <row r="1405" spans="1:16" s="22" customFormat="1" ht="15" customHeight="1" x14ac:dyDescent="0.2">
      <c r="A1405" s="22" t="s">
        <v>3781</v>
      </c>
      <c r="B1405" s="22">
        <v>9213293</v>
      </c>
      <c r="C1405" s="30"/>
      <c r="D1405" s="23">
        <v>957183406</v>
      </c>
      <c r="E1405" s="23">
        <v>957183406</v>
      </c>
      <c r="F1405" s="24" t="s">
        <v>930</v>
      </c>
      <c r="G1405" s="23">
        <v>153.68</v>
      </c>
      <c r="H1405" s="23">
        <v>20250201</v>
      </c>
      <c r="I1405" s="23" t="str">
        <f>TEXT(DATE(LEFT(H1405,4), MID(H1405,5,2), RIGHT(H1405,2)), "M/d/yyyy")</f>
        <v>2/1/2025</v>
      </c>
      <c r="J1405" s="25">
        <v>20240901</v>
      </c>
      <c r="K1405" s="23" t="str">
        <f>TEXT(DATE(LEFT(J1405,4), MID(J1405,5,2), RIGHT(J1405,2)), "M/d/yyyy")</f>
        <v>9/1/2024</v>
      </c>
      <c r="L1405" s="24" t="s">
        <v>402</v>
      </c>
      <c r="M1405" s="25">
        <v>100</v>
      </c>
      <c r="N1405" s="25">
        <v>0.1</v>
      </c>
      <c r="O1405" s="27">
        <v>15.37</v>
      </c>
      <c r="P1405" s="22" t="s">
        <v>3835</v>
      </c>
    </row>
    <row r="1406" spans="1:16" s="22" customFormat="1" ht="15" customHeight="1" x14ac:dyDescent="0.2">
      <c r="A1406" s="22" t="s">
        <v>3781</v>
      </c>
      <c r="B1406" s="22">
        <v>9213293</v>
      </c>
      <c r="C1406" s="30"/>
      <c r="D1406" s="23">
        <v>957180862</v>
      </c>
      <c r="E1406" s="23">
        <v>957180862</v>
      </c>
      <c r="F1406" s="24" t="s">
        <v>923</v>
      </c>
      <c r="G1406" s="23">
        <v>203.74</v>
      </c>
      <c r="H1406" s="23">
        <v>20250227</v>
      </c>
      <c r="I1406" s="23" t="str">
        <f>TEXT(DATE(LEFT(H1406,4), MID(H1406,5,2), RIGHT(H1406,2)), "M/d/yyyy")</f>
        <v>2/27/2025</v>
      </c>
      <c r="J1406" s="25">
        <v>20240727</v>
      </c>
      <c r="K1406" s="23" t="str">
        <f>TEXT(DATE(LEFT(J1406,4), MID(J1406,5,2), RIGHT(J1406,2)), "M/d/yyyy")</f>
        <v>7/27/2024</v>
      </c>
      <c r="L1406" s="24" t="s">
        <v>402</v>
      </c>
      <c r="M1406" s="25">
        <v>100</v>
      </c>
      <c r="N1406" s="25">
        <v>0.1</v>
      </c>
      <c r="O1406" s="27">
        <v>20.37</v>
      </c>
      <c r="P1406" s="22" t="s">
        <v>3835</v>
      </c>
    </row>
    <row r="1407" spans="1:16" s="22" customFormat="1" ht="15" customHeight="1" x14ac:dyDescent="0.2">
      <c r="A1407" s="22" t="s">
        <v>3781</v>
      </c>
      <c r="B1407" s="22">
        <v>9213293</v>
      </c>
      <c r="C1407" s="30"/>
      <c r="D1407" s="23">
        <v>957189455</v>
      </c>
      <c r="E1407" s="23">
        <v>957189455</v>
      </c>
      <c r="F1407" s="24" t="s">
        <v>941</v>
      </c>
      <c r="G1407" s="23">
        <v>220.05</v>
      </c>
      <c r="H1407" s="23">
        <v>20250201</v>
      </c>
      <c r="I1407" s="23" t="str">
        <f>TEXT(DATE(LEFT(H1407,4), MID(H1407,5,2), RIGHT(H1407,2)), "M/d/yyyy")</f>
        <v>2/1/2025</v>
      </c>
      <c r="J1407" s="25">
        <v>20250101</v>
      </c>
      <c r="K1407" s="23" t="str">
        <f>TEXT(DATE(LEFT(J1407,4), MID(J1407,5,2), RIGHT(J1407,2)), "M/d/yyyy")</f>
        <v>1/1/2025</v>
      </c>
      <c r="L1407" s="24" t="s">
        <v>402</v>
      </c>
      <c r="M1407" s="25">
        <v>100</v>
      </c>
      <c r="N1407" s="25">
        <v>0.1</v>
      </c>
      <c r="O1407" s="27">
        <v>22.01</v>
      </c>
      <c r="P1407" s="22" t="s">
        <v>3835</v>
      </c>
    </row>
    <row r="1408" spans="1:16" s="22" customFormat="1" ht="15" customHeight="1" x14ac:dyDescent="0.2">
      <c r="A1408" s="22" t="s">
        <v>3781</v>
      </c>
      <c r="B1408" s="22">
        <v>9213293</v>
      </c>
      <c r="C1408" s="30"/>
      <c r="D1408" s="23">
        <v>957132161</v>
      </c>
      <c r="E1408" s="23">
        <v>957132161</v>
      </c>
      <c r="F1408" s="24" t="s">
        <v>919</v>
      </c>
      <c r="G1408" s="23">
        <v>255.25</v>
      </c>
      <c r="H1408" s="23">
        <v>20250215</v>
      </c>
      <c r="I1408" s="23" t="str">
        <f>TEXT(DATE(LEFT(H1408,4), MID(H1408,5,2), RIGHT(H1408,2)), "M/d/yyyy")</f>
        <v>2/15/2025</v>
      </c>
      <c r="J1408" s="25">
        <v>20241015</v>
      </c>
      <c r="K1408" s="23" t="str">
        <f>TEXT(DATE(LEFT(J1408,4), MID(J1408,5,2), RIGHT(J1408,2)), "M/d/yyyy")</f>
        <v>10/15/2024</v>
      </c>
      <c r="L1408" s="24" t="s">
        <v>402</v>
      </c>
      <c r="M1408" s="25">
        <v>100</v>
      </c>
      <c r="N1408" s="25">
        <v>0.1</v>
      </c>
      <c r="O1408" s="27">
        <v>25.53</v>
      </c>
      <c r="P1408" s="22" t="s">
        <v>3835</v>
      </c>
    </row>
    <row r="1409" spans="1:16" s="22" customFormat="1" ht="15" customHeight="1" x14ac:dyDescent="0.2">
      <c r="A1409" s="22" t="s">
        <v>3807</v>
      </c>
      <c r="B1409" s="22">
        <v>17094718</v>
      </c>
      <c r="C1409" s="30"/>
      <c r="D1409" s="23">
        <v>957187508</v>
      </c>
      <c r="E1409" s="23">
        <v>957187508</v>
      </c>
      <c r="F1409" s="24" t="s">
        <v>3341</v>
      </c>
      <c r="G1409" s="23">
        <v>246.25</v>
      </c>
      <c r="H1409" s="23">
        <v>20250201</v>
      </c>
      <c r="I1409" s="23" t="str">
        <f>TEXT(DATE(LEFT(H1409,4), MID(H1409,5,2), RIGHT(H1409,2)), "M/d/yyyy")</f>
        <v>2/1/2025</v>
      </c>
      <c r="J1409" s="25">
        <v>20250101</v>
      </c>
      <c r="K1409" s="23" t="str">
        <f>TEXT(DATE(LEFT(J1409,4), MID(J1409,5,2), RIGHT(J1409,2)), "M/d/yyyy")</f>
        <v>1/1/2025</v>
      </c>
      <c r="L1409" s="24" t="s">
        <v>402</v>
      </c>
      <c r="M1409" s="25">
        <v>100</v>
      </c>
      <c r="N1409" s="25">
        <v>0.1</v>
      </c>
      <c r="O1409" s="27">
        <v>24.63</v>
      </c>
      <c r="P1409" s="22" t="s">
        <v>3835</v>
      </c>
    </row>
    <row r="1410" spans="1:16" s="22" customFormat="1" ht="15" customHeight="1" x14ac:dyDescent="0.2">
      <c r="A1410" s="22" t="s">
        <v>3774</v>
      </c>
      <c r="B1410" s="22">
        <v>8307933</v>
      </c>
      <c r="C1410" s="30"/>
      <c r="D1410" s="23">
        <v>957185285</v>
      </c>
      <c r="E1410" s="23">
        <v>957185285</v>
      </c>
      <c r="F1410" s="24" t="s">
        <v>400</v>
      </c>
      <c r="G1410" s="23">
        <v>132.47</v>
      </c>
      <c r="H1410" s="23">
        <v>20250201</v>
      </c>
      <c r="I1410" s="23" t="str">
        <f>TEXT(DATE(LEFT(H1410,4), MID(H1410,5,2), RIGHT(H1410,2)), "M/d/yyyy")</f>
        <v>2/1/2025</v>
      </c>
      <c r="J1410" s="25">
        <v>20241001</v>
      </c>
      <c r="K1410" s="23" t="str">
        <f>TEXT(DATE(LEFT(J1410,4), MID(J1410,5,2), RIGHT(J1410,2)), "M/d/yyyy")</f>
        <v>10/1/2024</v>
      </c>
      <c r="L1410" s="24" t="s">
        <v>402</v>
      </c>
      <c r="M1410" s="25">
        <v>100</v>
      </c>
      <c r="N1410" s="25">
        <v>0.1</v>
      </c>
      <c r="O1410" s="27">
        <v>13.25</v>
      </c>
      <c r="P1410" s="22" t="s">
        <v>3835</v>
      </c>
    </row>
    <row r="1411" spans="1:16" s="22" customFormat="1" ht="15" customHeight="1" x14ac:dyDescent="0.2">
      <c r="A1411" s="22" t="s">
        <v>3796</v>
      </c>
      <c r="B1411" s="22">
        <v>16865615</v>
      </c>
      <c r="C1411" s="30"/>
      <c r="D1411" s="23">
        <v>957178708</v>
      </c>
      <c r="E1411" s="23">
        <v>957178708</v>
      </c>
      <c r="F1411" s="24" t="s">
        <v>2864</v>
      </c>
      <c r="G1411" s="23">
        <v>136.88999999999999</v>
      </c>
      <c r="H1411" s="23">
        <v>20250201</v>
      </c>
      <c r="I1411" s="23" t="str">
        <f>TEXT(DATE(LEFT(H1411,4), MID(H1411,5,2), RIGHT(H1411,2)), "M/d/yyyy")</f>
        <v>2/1/2025</v>
      </c>
      <c r="J1411" s="25">
        <v>20240801</v>
      </c>
      <c r="K1411" s="23" t="str">
        <f>TEXT(DATE(LEFT(J1411,4), MID(J1411,5,2), RIGHT(J1411,2)), "M/d/yyyy")</f>
        <v>8/1/2024</v>
      </c>
      <c r="L1411" s="24" t="s">
        <v>402</v>
      </c>
      <c r="M1411" s="25">
        <v>100</v>
      </c>
      <c r="N1411" s="25">
        <v>0.1</v>
      </c>
      <c r="O1411" s="27">
        <v>13.69</v>
      </c>
      <c r="P1411" s="22" t="s">
        <v>3835</v>
      </c>
    </row>
    <row r="1412" spans="1:16" s="22" customFormat="1" ht="15" customHeight="1" x14ac:dyDescent="0.2">
      <c r="A1412" s="22" t="s">
        <v>3788</v>
      </c>
      <c r="B1412" s="22">
        <v>18754354</v>
      </c>
      <c r="C1412" s="30"/>
      <c r="D1412" s="23">
        <v>957201001</v>
      </c>
      <c r="E1412" s="23">
        <v>957201001</v>
      </c>
      <c r="F1412" s="24" t="s">
        <v>2336</v>
      </c>
      <c r="G1412" s="23">
        <v>170.27</v>
      </c>
      <c r="H1412" s="23">
        <v>20250201</v>
      </c>
      <c r="I1412" s="23" t="str">
        <f>TEXT(DATE(LEFT(H1412,4), MID(H1412,5,2), RIGHT(H1412,2)), "M/d/yyyy")</f>
        <v>2/1/2025</v>
      </c>
      <c r="J1412" s="25">
        <v>20250101</v>
      </c>
      <c r="K1412" s="23" t="str">
        <f>TEXT(DATE(LEFT(J1412,4), MID(J1412,5,2), RIGHT(J1412,2)), "M/d/yyyy")</f>
        <v>1/1/2025</v>
      </c>
      <c r="L1412" s="24" t="s">
        <v>402</v>
      </c>
      <c r="M1412" s="25">
        <v>100</v>
      </c>
      <c r="N1412" s="25">
        <v>0.1</v>
      </c>
      <c r="O1412" s="27">
        <v>17.03</v>
      </c>
      <c r="P1412" s="22" t="s">
        <v>3835</v>
      </c>
    </row>
    <row r="1413" spans="1:16" s="22" customFormat="1" ht="15" customHeight="1" x14ac:dyDescent="0.2">
      <c r="A1413" s="22" t="s">
        <v>3791</v>
      </c>
      <c r="B1413" s="22">
        <v>2158366</v>
      </c>
      <c r="C1413" s="30"/>
      <c r="D1413" s="23">
        <v>957189032</v>
      </c>
      <c r="E1413" s="23">
        <v>957189032</v>
      </c>
      <c r="F1413" s="24" t="s">
        <v>2514</v>
      </c>
      <c r="G1413" s="23">
        <v>46.76</v>
      </c>
      <c r="H1413" s="23">
        <v>20250301</v>
      </c>
      <c r="I1413" s="23" t="str">
        <f>TEXT(DATE(LEFT(H1413,4), MID(H1413,5,2), RIGHT(H1413,2)), "M/d/yyyy")</f>
        <v>3/1/2025</v>
      </c>
      <c r="J1413" s="25">
        <v>20241201</v>
      </c>
      <c r="K1413" s="23" t="str">
        <f>TEXT(DATE(LEFT(J1413,4), MID(J1413,5,2), RIGHT(J1413,2)), "M/d/yyyy")</f>
        <v>12/1/2024</v>
      </c>
      <c r="L1413" s="24" t="s">
        <v>402</v>
      </c>
      <c r="M1413" s="25">
        <v>100</v>
      </c>
      <c r="N1413" s="25">
        <v>0.1</v>
      </c>
      <c r="O1413" s="27">
        <v>4.68</v>
      </c>
      <c r="P1413" s="22" t="s">
        <v>3835</v>
      </c>
    </row>
    <row r="1414" spans="1:16" s="22" customFormat="1" ht="15" customHeight="1" x14ac:dyDescent="0.2">
      <c r="A1414" s="22" t="s">
        <v>3810</v>
      </c>
      <c r="B1414" s="22">
        <v>6375605</v>
      </c>
      <c r="C1414" s="30"/>
      <c r="D1414" s="23">
        <v>957054077</v>
      </c>
      <c r="E1414" s="23">
        <v>957054077</v>
      </c>
      <c r="F1414" s="24" t="s">
        <v>3373</v>
      </c>
      <c r="G1414" s="23" t="s">
        <v>3825</v>
      </c>
      <c r="H1414" s="23">
        <v>20250201</v>
      </c>
      <c r="I1414" s="23" t="str">
        <f>TEXT(DATE(LEFT(H1414,4), MID(H1414,5,2), RIGHT(H1414,2)), "M/d/yyyy")</f>
        <v>2/1/2025</v>
      </c>
      <c r="J1414" s="25">
        <v>20210101</v>
      </c>
      <c r="K1414" s="23" t="str">
        <f>TEXT(DATE(LEFT(J1414,4), MID(J1414,5,2), RIGHT(J1414,2)), "M/d/yyyy")</f>
        <v>1/1/2021</v>
      </c>
      <c r="L1414" s="24" t="s">
        <v>3378</v>
      </c>
      <c r="M1414" s="25">
        <v>100</v>
      </c>
      <c r="N1414" s="25">
        <v>0.1</v>
      </c>
      <c r="O1414" s="27">
        <v>-9.9499999999999993</v>
      </c>
      <c r="P1414" s="22" t="s">
        <v>3835</v>
      </c>
    </row>
    <row r="1415" spans="1:16" s="22" customFormat="1" ht="15" customHeight="1" x14ac:dyDescent="0.2">
      <c r="A1415" s="22" t="s">
        <v>3810</v>
      </c>
      <c r="B1415" s="22">
        <v>6375605</v>
      </c>
      <c r="C1415" s="30"/>
      <c r="D1415" s="23">
        <v>957054077</v>
      </c>
      <c r="E1415" s="23">
        <v>957054077</v>
      </c>
      <c r="F1415" s="24" t="s">
        <v>3373</v>
      </c>
      <c r="G1415" s="23">
        <v>99.47</v>
      </c>
      <c r="H1415" s="23">
        <v>20250201</v>
      </c>
      <c r="I1415" s="23" t="str">
        <f>TEXT(DATE(LEFT(H1415,4), MID(H1415,5,2), RIGHT(H1415,2)), "M/d/yyyy")</f>
        <v>2/1/2025</v>
      </c>
      <c r="J1415" s="25">
        <v>20210101</v>
      </c>
      <c r="K1415" s="23" t="str">
        <f>TEXT(DATE(LEFT(J1415,4), MID(J1415,5,2), RIGHT(J1415,2)), "M/d/yyyy")</f>
        <v>1/1/2021</v>
      </c>
      <c r="L1415" s="24" t="s">
        <v>3378</v>
      </c>
      <c r="M1415" s="25">
        <v>100</v>
      </c>
      <c r="N1415" s="25">
        <v>0.1</v>
      </c>
      <c r="O1415" s="27">
        <v>9.9499999999999993</v>
      </c>
      <c r="P1415" s="22" t="s">
        <v>3835</v>
      </c>
    </row>
    <row r="1416" spans="1:16" s="22" customFormat="1" ht="15" customHeight="1" x14ac:dyDescent="0.2">
      <c r="A1416" s="22" t="s">
        <v>3800</v>
      </c>
      <c r="B1416" s="28" t="s">
        <v>3821</v>
      </c>
      <c r="C1416" s="30"/>
      <c r="D1416" s="23">
        <v>957183756</v>
      </c>
      <c r="E1416" s="23">
        <v>957183756</v>
      </c>
      <c r="F1416" s="24" t="s">
        <v>2970</v>
      </c>
      <c r="G1416" s="23">
        <v>147.19</v>
      </c>
      <c r="H1416" s="23">
        <v>20250201</v>
      </c>
      <c r="I1416" s="23" t="str">
        <f>TEXT(DATE(LEFT(H1416,4), MID(H1416,5,2), RIGHT(H1416,2)), "M/d/yyyy")</f>
        <v>2/1/2025</v>
      </c>
      <c r="J1416" s="25">
        <v>20241101</v>
      </c>
      <c r="K1416" s="23" t="str">
        <f>TEXT(DATE(LEFT(J1416,4), MID(J1416,5,2), RIGHT(J1416,2)), "M/d/yyyy")</f>
        <v>11/1/2024</v>
      </c>
      <c r="L1416" s="24" t="s">
        <v>402</v>
      </c>
      <c r="M1416" s="25">
        <v>100</v>
      </c>
      <c r="N1416" s="25">
        <v>0.1</v>
      </c>
      <c r="O1416" s="27">
        <v>14.72</v>
      </c>
      <c r="P1416" s="22" t="s">
        <v>3835</v>
      </c>
    </row>
    <row r="1417" spans="1:16" s="22" customFormat="1" ht="15" customHeight="1" x14ac:dyDescent="0.2">
      <c r="A1417" s="22" t="s">
        <v>3800</v>
      </c>
      <c r="B1417" s="28" t="s">
        <v>3821</v>
      </c>
      <c r="C1417" s="30"/>
      <c r="D1417" s="23">
        <v>957197523</v>
      </c>
      <c r="E1417" s="23">
        <v>957197523</v>
      </c>
      <c r="F1417" s="24" t="s">
        <v>3018</v>
      </c>
      <c r="G1417" s="23">
        <v>157.41999999999999</v>
      </c>
      <c r="H1417" s="23">
        <v>20250201</v>
      </c>
      <c r="I1417" s="23" t="str">
        <f>TEXT(DATE(LEFT(H1417,4), MID(H1417,5,2), RIGHT(H1417,2)), "M/d/yyyy")</f>
        <v>2/1/2025</v>
      </c>
      <c r="J1417" s="25">
        <v>20250101</v>
      </c>
      <c r="K1417" s="23" t="str">
        <f>TEXT(DATE(LEFT(J1417,4), MID(J1417,5,2), RIGHT(J1417,2)), "M/d/yyyy")</f>
        <v>1/1/2025</v>
      </c>
      <c r="L1417" s="24" t="s">
        <v>402</v>
      </c>
      <c r="M1417" s="25">
        <v>100</v>
      </c>
      <c r="N1417" s="25">
        <v>0.1</v>
      </c>
      <c r="O1417" s="27">
        <v>15.74</v>
      </c>
      <c r="P1417" s="22" t="s">
        <v>3835</v>
      </c>
    </row>
    <row r="1418" spans="1:16" s="22" customFormat="1" ht="15" customHeight="1" x14ac:dyDescent="0.2">
      <c r="A1418" s="22" t="s">
        <v>3800</v>
      </c>
      <c r="B1418" s="28" t="s">
        <v>3821</v>
      </c>
      <c r="C1418" s="30"/>
      <c r="D1418" s="23">
        <v>957184688</v>
      </c>
      <c r="E1418" s="23">
        <v>957184688</v>
      </c>
      <c r="F1418" s="24" t="s">
        <v>2974</v>
      </c>
      <c r="G1418" s="23">
        <v>159.58000000000001</v>
      </c>
      <c r="H1418" s="23">
        <v>20250201</v>
      </c>
      <c r="I1418" s="23" t="str">
        <f>TEXT(DATE(LEFT(H1418,4), MID(H1418,5,2), RIGHT(H1418,2)), "M/d/yyyy")</f>
        <v>2/1/2025</v>
      </c>
      <c r="J1418" s="25">
        <v>20241001</v>
      </c>
      <c r="K1418" s="23" t="str">
        <f>TEXT(DATE(LEFT(J1418,4), MID(J1418,5,2), RIGHT(J1418,2)), "M/d/yyyy")</f>
        <v>10/1/2024</v>
      </c>
      <c r="L1418" s="24" t="s">
        <v>402</v>
      </c>
      <c r="M1418" s="25">
        <v>100</v>
      </c>
      <c r="N1418" s="25">
        <v>0.1</v>
      </c>
      <c r="O1418" s="27">
        <v>15.96</v>
      </c>
      <c r="P1418" s="22" t="s">
        <v>3835</v>
      </c>
    </row>
    <row r="1419" spans="1:16" s="22" customFormat="1" ht="15" customHeight="1" x14ac:dyDescent="0.2">
      <c r="A1419" s="22" t="s">
        <v>3800</v>
      </c>
      <c r="B1419" s="28" t="s">
        <v>3821</v>
      </c>
      <c r="C1419" s="30"/>
      <c r="D1419" s="23">
        <v>957182456</v>
      </c>
      <c r="E1419" s="23">
        <v>957182456</v>
      </c>
      <c r="F1419" s="24" t="s">
        <v>2968</v>
      </c>
      <c r="G1419" s="23">
        <v>170.27</v>
      </c>
      <c r="H1419" s="23">
        <v>20250201</v>
      </c>
      <c r="I1419" s="23" t="str">
        <f>TEXT(DATE(LEFT(H1419,4), MID(H1419,5,2), RIGHT(H1419,2)), "M/d/yyyy")</f>
        <v>2/1/2025</v>
      </c>
      <c r="J1419" s="25">
        <v>20240901</v>
      </c>
      <c r="K1419" s="23" t="str">
        <f>TEXT(DATE(LEFT(J1419,4), MID(J1419,5,2), RIGHT(J1419,2)), "M/d/yyyy")</f>
        <v>9/1/2024</v>
      </c>
      <c r="L1419" s="24" t="s">
        <v>402</v>
      </c>
      <c r="M1419" s="25">
        <v>100</v>
      </c>
      <c r="N1419" s="25">
        <v>0.1</v>
      </c>
      <c r="O1419" s="27">
        <v>17.03</v>
      </c>
      <c r="P1419" s="22" t="s">
        <v>3835</v>
      </c>
    </row>
    <row r="1420" spans="1:16" s="22" customFormat="1" ht="15" customHeight="1" x14ac:dyDescent="0.2">
      <c r="A1420" s="22" t="s">
        <v>3800</v>
      </c>
      <c r="B1420" s="28" t="s">
        <v>3821</v>
      </c>
      <c r="C1420" s="30"/>
      <c r="D1420" s="23">
        <v>957190585</v>
      </c>
      <c r="E1420" s="23">
        <v>957190585</v>
      </c>
      <c r="F1420" s="24" t="s">
        <v>2996</v>
      </c>
      <c r="G1420" s="23">
        <v>170.27</v>
      </c>
      <c r="H1420" s="23">
        <v>20250401</v>
      </c>
      <c r="I1420" s="23" t="str">
        <f>TEXT(DATE(LEFT(H1420,4), MID(H1420,5,2), RIGHT(H1420,2)), "M/d/yyyy")</f>
        <v>4/1/2025</v>
      </c>
      <c r="J1420" s="25">
        <v>20250101</v>
      </c>
      <c r="K1420" s="23" t="str">
        <f>TEXT(DATE(LEFT(J1420,4), MID(J1420,5,2), RIGHT(J1420,2)), "M/d/yyyy")</f>
        <v>1/1/2025</v>
      </c>
      <c r="L1420" s="24" t="s">
        <v>402</v>
      </c>
      <c r="M1420" s="25">
        <v>100</v>
      </c>
      <c r="N1420" s="25">
        <v>0.1</v>
      </c>
      <c r="O1420" s="27">
        <v>17.03</v>
      </c>
      <c r="P1420" s="22" t="s">
        <v>3835</v>
      </c>
    </row>
    <row r="1421" spans="1:16" s="22" customFormat="1" ht="15" customHeight="1" x14ac:dyDescent="0.2">
      <c r="A1421" s="22" t="s">
        <v>3800</v>
      </c>
      <c r="B1421" s="28" t="s">
        <v>3821</v>
      </c>
      <c r="C1421" s="30"/>
      <c r="D1421" s="23">
        <v>957190585</v>
      </c>
      <c r="E1421" s="23">
        <v>957190585</v>
      </c>
      <c r="F1421" s="24" t="s">
        <v>2996</v>
      </c>
      <c r="G1421" s="23">
        <v>170.27</v>
      </c>
      <c r="H1421" s="23">
        <v>20250401</v>
      </c>
      <c r="I1421" s="23" t="str">
        <f>TEXT(DATE(LEFT(H1421,4), MID(H1421,5,2), RIGHT(H1421,2)), "M/d/yyyy")</f>
        <v>4/1/2025</v>
      </c>
      <c r="J1421" s="25">
        <v>20250101</v>
      </c>
      <c r="K1421" s="23" t="str">
        <f>TEXT(DATE(LEFT(J1421,4), MID(J1421,5,2), RIGHT(J1421,2)), "M/d/yyyy")</f>
        <v>1/1/2025</v>
      </c>
      <c r="L1421" s="24" t="s">
        <v>402</v>
      </c>
      <c r="M1421" s="25">
        <v>100</v>
      </c>
      <c r="N1421" s="25">
        <v>0.1</v>
      </c>
      <c r="O1421" s="27">
        <v>17.03</v>
      </c>
      <c r="P1421" s="22" t="s">
        <v>3835</v>
      </c>
    </row>
    <row r="1422" spans="1:16" s="22" customFormat="1" ht="15" customHeight="1" x14ac:dyDescent="0.2">
      <c r="A1422" s="22" t="s">
        <v>3800</v>
      </c>
      <c r="B1422" s="28" t="s">
        <v>3821</v>
      </c>
      <c r="C1422" s="30"/>
      <c r="D1422" s="23">
        <v>957190585</v>
      </c>
      <c r="E1422" s="23">
        <v>957190585</v>
      </c>
      <c r="F1422" s="24" t="s">
        <v>2996</v>
      </c>
      <c r="G1422" s="23">
        <v>170.27</v>
      </c>
      <c r="H1422" s="23">
        <v>20250301</v>
      </c>
      <c r="I1422" s="23" t="str">
        <f>TEXT(DATE(LEFT(H1422,4), MID(H1422,5,2), RIGHT(H1422,2)), "M/d/yyyy")</f>
        <v>3/1/2025</v>
      </c>
      <c r="J1422" s="25">
        <v>20250101</v>
      </c>
      <c r="K1422" s="23" t="str">
        <f>TEXT(DATE(LEFT(J1422,4), MID(J1422,5,2), RIGHT(J1422,2)), "M/d/yyyy")</f>
        <v>1/1/2025</v>
      </c>
      <c r="L1422" s="24" t="s">
        <v>402</v>
      </c>
      <c r="M1422" s="25">
        <v>100</v>
      </c>
      <c r="N1422" s="25">
        <v>0.1</v>
      </c>
      <c r="O1422" s="27">
        <v>17.03</v>
      </c>
      <c r="P1422" s="22" t="s">
        <v>3835</v>
      </c>
    </row>
    <row r="1423" spans="1:16" s="22" customFormat="1" ht="15" customHeight="1" x14ac:dyDescent="0.2">
      <c r="A1423" s="22" t="s">
        <v>3800</v>
      </c>
      <c r="B1423" s="28" t="s">
        <v>3821</v>
      </c>
      <c r="C1423" s="30"/>
      <c r="D1423" s="23">
        <v>957190585</v>
      </c>
      <c r="E1423" s="23">
        <v>957190585</v>
      </c>
      <c r="F1423" s="24" t="s">
        <v>2996</v>
      </c>
      <c r="G1423" s="23">
        <v>170.27</v>
      </c>
      <c r="H1423" s="23">
        <v>20250301</v>
      </c>
      <c r="I1423" s="23" t="str">
        <f>TEXT(DATE(LEFT(H1423,4), MID(H1423,5,2), RIGHT(H1423,2)), "M/d/yyyy")</f>
        <v>3/1/2025</v>
      </c>
      <c r="J1423" s="25">
        <v>20250101</v>
      </c>
      <c r="K1423" s="23" t="str">
        <f>TEXT(DATE(LEFT(J1423,4), MID(J1423,5,2), RIGHT(J1423,2)), "M/d/yyyy")</f>
        <v>1/1/2025</v>
      </c>
      <c r="L1423" s="24" t="s">
        <v>402</v>
      </c>
      <c r="M1423" s="25">
        <v>100</v>
      </c>
      <c r="N1423" s="25">
        <v>0.1</v>
      </c>
      <c r="O1423" s="27">
        <v>17.03</v>
      </c>
      <c r="P1423" s="22" t="s">
        <v>3835</v>
      </c>
    </row>
    <row r="1424" spans="1:16" s="22" customFormat="1" ht="15" customHeight="1" x14ac:dyDescent="0.2">
      <c r="A1424" s="22" t="s">
        <v>3800</v>
      </c>
      <c r="B1424" s="28" t="s">
        <v>3821</v>
      </c>
      <c r="C1424" s="30"/>
      <c r="D1424" s="23">
        <v>957190585</v>
      </c>
      <c r="E1424" s="23">
        <v>957190585</v>
      </c>
      <c r="F1424" s="24" t="s">
        <v>2996</v>
      </c>
      <c r="G1424" s="23">
        <v>170.27</v>
      </c>
      <c r="H1424" s="23">
        <v>20250201</v>
      </c>
      <c r="I1424" s="23" t="str">
        <f>TEXT(DATE(LEFT(H1424,4), MID(H1424,5,2), RIGHT(H1424,2)), "M/d/yyyy")</f>
        <v>2/1/2025</v>
      </c>
      <c r="J1424" s="25">
        <v>20250101</v>
      </c>
      <c r="K1424" s="23" t="str">
        <f>TEXT(DATE(LEFT(J1424,4), MID(J1424,5,2), RIGHT(J1424,2)), "M/d/yyyy")</f>
        <v>1/1/2025</v>
      </c>
      <c r="L1424" s="24" t="s">
        <v>402</v>
      </c>
      <c r="M1424" s="25">
        <v>100</v>
      </c>
      <c r="N1424" s="25">
        <v>0.1</v>
      </c>
      <c r="O1424" s="27">
        <v>17.03</v>
      </c>
      <c r="P1424" s="22" t="s">
        <v>3835</v>
      </c>
    </row>
    <row r="1425" spans="1:16" s="22" customFormat="1" ht="15" customHeight="1" x14ac:dyDescent="0.2">
      <c r="A1425" s="22" t="s">
        <v>3800</v>
      </c>
      <c r="B1425" s="28" t="s">
        <v>3821</v>
      </c>
      <c r="C1425" s="30"/>
      <c r="D1425" s="23">
        <v>957190585</v>
      </c>
      <c r="E1425" s="23">
        <v>957190585</v>
      </c>
      <c r="F1425" s="24" t="s">
        <v>2996</v>
      </c>
      <c r="G1425" s="23">
        <v>170.27</v>
      </c>
      <c r="H1425" s="23">
        <v>20250201</v>
      </c>
      <c r="I1425" s="23" t="str">
        <f>TEXT(DATE(LEFT(H1425,4), MID(H1425,5,2), RIGHT(H1425,2)), "M/d/yyyy")</f>
        <v>2/1/2025</v>
      </c>
      <c r="J1425" s="25">
        <v>20250101</v>
      </c>
      <c r="K1425" s="23" t="str">
        <f>TEXT(DATE(LEFT(J1425,4), MID(J1425,5,2), RIGHT(J1425,2)), "M/d/yyyy")</f>
        <v>1/1/2025</v>
      </c>
      <c r="L1425" s="24" t="s">
        <v>402</v>
      </c>
      <c r="M1425" s="25">
        <v>100</v>
      </c>
      <c r="N1425" s="25">
        <v>0.1</v>
      </c>
      <c r="O1425" s="27">
        <v>17.03</v>
      </c>
      <c r="P1425" s="22" t="s">
        <v>3835</v>
      </c>
    </row>
    <row r="1426" spans="1:16" s="22" customFormat="1" ht="15" customHeight="1" x14ac:dyDescent="0.2">
      <c r="A1426" s="22" t="s">
        <v>3800</v>
      </c>
      <c r="B1426" s="28" t="s">
        <v>3821</v>
      </c>
      <c r="C1426" s="30"/>
      <c r="D1426" s="23">
        <v>957186775</v>
      </c>
      <c r="E1426" s="23">
        <v>957186775</v>
      </c>
      <c r="F1426" s="24" t="s">
        <v>2982</v>
      </c>
      <c r="G1426" s="23">
        <v>177.31</v>
      </c>
      <c r="H1426" s="23">
        <v>20250201</v>
      </c>
      <c r="I1426" s="23" t="str">
        <f>TEXT(DATE(LEFT(H1426,4), MID(H1426,5,2), RIGHT(H1426,2)), "M/d/yyyy")</f>
        <v>2/1/2025</v>
      </c>
      <c r="J1426" s="25">
        <v>20250101</v>
      </c>
      <c r="K1426" s="23" t="str">
        <f>TEXT(DATE(LEFT(J1426,4), MID(J1426,5,2), RIGHT(J1426,2)), "M/d/yyyy")</f>
        <v>1/1/2025</v>
      </c>
      <c r="L1426" s="24" t="s">
        <v>402</v>
      </c>
      <c r="M1426" s="25">
        <v>100</v>
      </c>
      <c r="N1426" s="25">
        <v>0.1</v>
      </c>
      <c r="O1426" s="27">
        <v>17.73</v>
      </c>
      <c r="P1426" s="22" t="s">
        <v>3835</v>
      </c>
    </row>
    <row r="1427" spans="1:16" s="22" customFormat="1" ht="15" customHeight="1" x14ac:dyDescent="0.2">
      <c r="A1427" s="22" t="s">
        <v>3800</v>
      </c>
      <c r="B1427" s="28" t="s">
        <v>3821</v>
      </c>
      <c r="C1427" s="30"/>
      <c r="D1427" s="23">
        <v>957199091</v>
      </c>
      <c r="E1427" s="23">
        <v>957199091</v>
      </c>
      <c r="F1427" s="24" t="s">
        <v>3022</v>
      </c>
      <c r="G1427" s="23">
        <v>208.62</v>
      </c>
      <c r="H1427" s="23">
        <v>20250201</v>
      </c>
      <c r="I1427" s="23" t="str">
        <f>TEXT(DATE(LEFT(H1427,4), MID(H1427,5,2), RIGHT(H1427,2)), "M/d/yyyy")</f>
        <v>2/1/2025</v>
      </c>
      <c r="J1427" s="25">
        <v>20250101</v>
      </c>
      <c r="K1427" s="23" t="str">
        <f>TEXT(DATE(LEFT(J1427,4), MID(J1427,5,2), RIGHT(J1427,2)), "M/d/yyyy")</f>
        <v>1/1/2025</v>
      </c>
      <c r="L1427" s="24" t="s">
        <v>402</v>
      </c>
      <c r="M1427" s="25">
        <v>100</v>
      </c>
      <c r="N1427" s="25">
        <v>0.1</v>
      </c>
      <c r="O1427" s="27">
        <v>20.86</v>
      </c>
      <c r="P1427" s="22" t="s">
        <v>3835</v>
      </c>
    </row>
    <row r="1428" spans="1:16" s="22" customFormat="1" ht="15" customHeight="1" x14ac:dyDescent="0.2">
      <c r="A1428" s="22" t="s">
        <v>3800</v>
      </c>
      <c r="B1428" s="28" t="s">
        <v>3821</v>
      </c>
      <c r="C1428" s="30"/>
      <c r="D1428" s="23">
        <v>957185301</v>
      </c>
      <c r="E1428" s="23">
        <v>957185301</v>
      </c>
      <c r="F1428" s="24" t="s">
        <v>2978</v>
      </c>
      <c r="G1428" s="23">
        <v>223.86</v>
      </c>
      <c r="H1428" s="23">
        <v>20250226</v>
      </c>
      <c r="I1428" s="23" t="str">
        <f>TEXT(DATE(LEFT(H1428,4), MID(H1428,5,2), RIGHT(H1428,2)), "M/d/yyyy")</f>
        <v>2/26/2025</v>
      </c>
      <c r="J1428" s="25">
        <v>20240926</v>
      </c>
      <c r="K1428" s="23" t="str">
        <f>TEXT(DATE(LEFT(J1428,4), MID(J1428,5,2), RIGHT(J1428,2)), "M/d/yyyy")</f>
        <v>9/26/2024</v>
      </c>
      <c r="L1428" s="24" t="s">
        <v>402</v>
      </c>
      <c r="M1428" s="25">
        <v>100</v>
      </c>
      <c r="N1428" s="25">
        <v>0.1</v>
      </c>
      <c r="O1428" s="27">
        <v>22.39</v>
      </c>
      <c r="P1428" s="22" t="s">
        <v>3835</v>
      </c>
    </row>
    <row r="1429" spans="1:16" s="22" customFormat="1" ht="15" customHeight="1" x14ac:dyDescent="0.2">
      <c r="A1429" s="22" t="s">
        <v>3800</v>
      </c>
      <c r="B1429" s="28" t="s">
        <v>3821</v>
      </c>
      <c r="C1429" s="30"/>
      <c r="D1429" s="23">
        <v>957196432</v>
      </c>
      <c r="E1429" s="23">
        <v>957196432</v>
      </c>
      <c r="F1429" s="24" t="s">
        <v>3010</v>
      </c>
      <c r="G1429" s="23">
        <v>232.64</v>
      </c>
      <c r="H1429" s="23">
        <v>20250201</v>
      </c>
      <c r="I1429" s="23" t="str">
        <f>TEXT(DATE(LEFT(H1429,4), MID(H1429,5,2), RIGHT(H1429,2)), "M/d/yyyy")</f>
        <v>2/1/2025</v>
      </c>
      <c r="J1429" s="25">
        <v>20250101</v>
      </c>
      <c r="K1429" s="23" t="str">
        <f>TEXT(DATE(LEFT(J1429,4), MID(J1429,5,2), RIGHT(J1429,2)), "M/d/yyyy")</f>
        <v>1/1/2025</v>
      </c>
      <c r="L1429" s="24" t="s">
        <v>402</v>
      </c>
      <c r="M1429" s="25">
        <v>100</v>
      </c>
      <c r="N1429" s="25">
        <v>0.1</v>
      </c>
      <c r="O1429" s="27">
        <v>23.26</v>
      </c>
      <c r="P1429" s="22" t="s">
        <v>3835</v>
      </c>
    </row>
    <row r="1430" spans="1:16" s="22" customFormat="1" ht="15" customHeight="1" x14ac:dyDescent="0.2">
      <c r="A1430" s="22" t="s">
        <v>3800</v>
      </c>
      <c r="B1430" s="28" t="s">
        <v>3821</v>
      </c>
      <c r="C1430" s="30"/>
      <c r="D1430" s="23">
        <v>957191665</v>
      </c>
      <c r="E1430" s="23">
        <v>957191665</v>
      </c>
      <c r="F1430" s="24" t="s">
        <v>2998</v>
      </c>
      <c r="G1430" s="23">
        <v>258.02</v>
      </c>
      <c r="H1430" s="23">
        <v>20250201</v>
      </c>
      <c r="I1430" s="23" t="str">
        <f>TEXT(DATE(LEFT(H1430,4), MID(H1430,5,2), RIGHT(H1430,2)), "M/d/yyyy")</f>
        <v>2/1/2025</v>
      </c>
      <c r="J1430" s="25">
        <v>20250101</v>
      </c>
      <c r="K1430" s="23" t="str">
        <f>TEXT(DATE(LEFT(J1430,4), MID(J1430,5,2), RIGHT(J1430,2)), "M/d/yyyy")</f>
        <v>1/1/2025</v>
      </c>
      <c r="L1430" s="24" t="s">
        <v>402</v>
      </c>
      <c r="M1430" s="25">
        <v>100</v>
      </c>
      <c r="N1430" s="25">
        <v>0.1</v>
      </c>
      <c r="O1430" s="27">
        <v>25.8</v>
      </c>
      <c r="P1430" s="22" t="s">
        <v>3835</v>
      </c>
    </row>
    <row r="1431" spans="1:16" s="22" customFormat="1" ht="15" customHeight="1" x14ac:dyDescent="0.2">
      <c r="A1431" s="22" t="s">
        <v>3800</v>
      </c>
      <c r="B1431" s="28" t="s">
        <v>3821</v>
      </c>
      <c r="C1431" s="30"/>
      <c r="D1431" s="23">
        <v>957187801</v>
      </c>
      <c r="E1431" s="23">
        <v>957187801</v>
      </c>
      <c r="F1431" s="24" t="s">
        <v>2986</v>
      </c>
      <c r="G1431" s="23">
        <v>277.44</v>
      </c>
      <c r="H1431" s="23">
        <v>20250219</v>
      </c>
      <c r="I1431" s="23" t="str">
        <f>TEXT(DATE(LEFT(H1431,4), MID(H1431,5,2), RIGHT(H1431,2)), "M/d/yyyy")</f>
        <v>2/19/2025</v>
      </c>
      <c r="J1431" s="25">
        <v>20241019</v>
      </c>
      <c r="K1431" s="23" t="str">
        <f>TEXT(DATE(LEFT(J1431,4), MID(J1431,5,2), RIGHT(J1431,2)), "M/d/yyyy")</f>
        <v>10/19/2024</v>
      </c>
      <c r="L1431" s="24" t="s">
        <v>402</v>
      </c>
      <c r="M1431" s="25">
        <v>100</v>
      </c>
      <c r="N1431" s="25">
        <v>0.1</v>
      </c>
      <c r="O1431" s="27">
        <v>27.74</v>
      </c>
      <c r="P1431" s="22" t="s">
        <v>3835</v>
      </c>
    </row>
    <row r="1432" spans="1:16" s="22" customFormat="1" ht="15" customHeight="1" x14ac:dyDescent="0.2">
      <c r="A1432" s="22" t="s">
        <v>3800</v>
      </c>
      <c r="B1432" s="28" t="s">
        <v>3821</v>
      </c>
      <c r="C1432" s="30"/>
      <c r="D1432" s="23">
        <v>957187801</v>
      </c>
      <c r="E1432" s="23">
        <v>957187801</v>
      </c>
      <c r="F1432" s="24" t="s">
        <v>2986</v>
      </c>
      <c r="G1432" s="23">
        <v>277.44</v>
      </c>
      <c r="H1432" s="23">
        <v>20250219</v>
      </c>
      <c r="I1432" s="23" t="str">
        <f>TEXT(DATE(LEFT(H1432,4), MID(H1432,5,2), RIGHT(H1432,2)), "M/d/yyyy")</f>
        <v>2/19/2025</v>
      </c>
      <c r="J1432" s="25">
        <v>20241019</v>
      </c>
      <c r="K1432" s="23" t="str">
        <f>TEXT(DATE(LEFT(J1432,4), MID(J1432,5,2), RIGHT(J1432,2)), "M/d/yyyy")</f>
        <v>10/19/2024</v>
      </c>
      <c r="L1432" s="24" t="s">
        <v>402</v>
      </c>
      <c r="M1432" s="25">
        <v>100</v>
      </c>
      <c r="N1432" s="25">
        <v>0.1</v>
      </c>
      <c r="O1432" s="27">
        <v>27.74</v>
      </c>
      <c r="P1432" s="22" t="s">
        <v>3835</v>
      </c>
    </row>
    <row r="1433" spans="1:16" s="22" customFormat="1" ht="15" customHeight="1" x14ac:dyDescent="0.2">
      <c r="A1433" s="22" t="s">
        <v>3784</v>
      </c>
      <c r="B1433" s="22">
        <v>8244481</v>
      </c>
      <c r="C1433" s="30"/>
      <c r="D1433" s="23">
        <v>957178596</v>
      </c>
      <c r="E1433" s="23">
        <v>957178596</v>
      </c>
      <c r="F1433" s="24" t="s">
        <v>1723</v>
      </c>
      <c r="G1433" s="23">
        <v>142.51</v>
      </c>
      <c r="H1433" s="23">
        <v>20250201</v>
      </c>
      <c r="I1433" s="23" t="str">
        <f>TEXT(DATE(LEFT(H1433,4), MID(H1433,5,2), RIGHT(H1433,2)), "M/d/yyyy")</f>
        <v>2/1/2025</v>
      </c>
      <c r="J1433" s="25">
        <v>20240701</v>
      </c>
      <c r="K1433" s="23" t="str">
        <f>TEXT(DATE(LEFT(J1433,4), MID(J1433,5,2), RIGHT(J1433,2)), "M/d/yyyy")</f>
        <v>7/1/2024</v>
      </c>
      <c r="L1433" s="24" t="s">
        <v>402</v>
      </c>
      <c r="M1433" s="25">
        <v>100</v>
      </c>
      <c r="N1433" s="25">
        <v>0.1</v>
      </c>
      <c r="O1433" s="27">
        <v>14.25</v>
      </c>
      <c r="P1433" s="22" t="s">
        <v>3835</v>
      </c>
    </row>
    <row r="1434" spans="1:16" s="22" customFormat="1" ht="15" customHeight="1" x14ac:dyDescent="0.2">
      <c r="A1434" s="22" t="s">
        <v>3784</v>
      </c>
      <c r="B1434" s="22">
        <v>8244481</v>
      </c>
      <c r="C1434" s="30"/>
      <c r="D1434" s="23">
        <v>957189095</v>
      </c>
      <c r="E1434" s="23">
        <v>957189095</v>
      </c>
      <c r="F1434" s="24" t="s">
        <v>1784</v>
      </c>
      <c r="G1434" s="23">
        <v>174.02</v>
      </c>
      <c r="H1434" s="23">
        <v>20250201</v>
      </c>
      <c r="I1434" s="23" t="str">
        <f>TEXT(DATE(LEFT(H1434,4), MID(H1434,5,2), RIGHT(H1434,2)), "M/d/yyyy")</f>
        <v>2/1/2025</v>
      </c>
      <c r="J1434" s="25">
        <v>20250101</v>
      </c>
      <c r="K1434" s="23" t="str">
        <f>TEXT(DATE(LEFT(J1434,4), MID(J1434,5,2), RIGHT(J1434,2)), "M/d/yyyy")</f>
        <v>1/1/2025</v>
      </c>
      <c r="L1434" s="24" t="s">
        <v>402</v>
      </c>
      <c r="M1434" s="25">
        <v>100</v>
      </c>
      <c r="N1434" s="25">
        <v>0.1</v>
      </c>
      <c r="O1434" s="27">
        <v>17.399999999999999</v>
      </c>
      <c r="P1434" s="22" t="s">
        <v>3835</v>
      </c>
    </row>
    <row r="1435" spans="1:16" s="22" customFormat="1" ht="15" customHeight="1" x14ac:dyDescent="0.2">
      <c r="A1435" s="22" t="s">
        <v>3784</v>
      </c>
      <c r="B1435" s="22">
        <v>8244481</v>
      </c>
      <c r="C1435" s="30"/>
      <c r="D1435" s="23">
        <v>957193658</v>
      </c>
      <c r="E1435" s="23">
        <v>957193658</v>
      </c>
      <c r="F1435" s="24" t="s">
        <v>1792</v>
      </c>
      <c r="G1435" s="23">
        <v>201.47</v>
      </c>
      <c r="H1435" s="23">
        <v>20250201</v>
      </c>
      <c r="I1435" s="23" t="str">
        <f>TEXT(DATE(LEFT(H1435,4), MID(H1435,5,2), RIGHT(H1435,2)), "M/d/yyyy")</f>
        <v>2/1/2025</v>
      </c>
      <c r="J1435" s="25">
        <v>20250101</v>
      </c>
      <c r="K1435" s="23" t="str">
        <f>TEXT(DATE(LEFT(J1435,4), MID(J1435,5,2), RIGHT(J1435,2)), "M/d/yyyy")</f>
        <v>1/1/2025</v>
      </c>
      <c r="L1435" s="24" t="s">
        <v>402</v>
      </c>
      <c r="M1435" s="25">
        <v>100</v>
      </c>
      <c r="N1435" s="25">
        <v>0.1</v>
      </c>
      <c r="O1435" s="27">
        <v>20.149999999999999</v>
      </c>
      <c r="P1435" s="22" t="s">
        <v>3835</v>
      </c>
    </row>
    <row r="1436" spans="1:16" s="22" customFormat="1" ht="15" customHeight="1" x14ac:dyDescent="0.2">
      <c r="A1436" s="22" t="s">
        <v>3784</v>
      </c>
      <c r="B1436" s="22">
        <v>8244481</v>
      </c>
      <c r="C1436" s="30"/>
      <c r="D1436" s="23">
        <v>957186453</v>
      </c>
      <c r="E1436" s="23">
        <v>957186453</v>
      </c>
      <c r="F1436" s="24" t="s">
        <v>1762</v>
      </c>
      <c r="G1436" s="23">
        <v>222.72</v>
      </c>
      <c r="H1436" s="23">
        <v>20250201</v>
      </c>
      <c r="I1436" s="23" t="str">
        <f>TEXT(DATE(LEFT(H1436,4), MID(H1436,5,2), RIGHT(H1436,2)), "M/d/yyyy")</f>
        <v>2/1/2025</v>
      </c>
      <c r="J1436" s="25">
        <v>20241101</v>
      </c>
      <c r="K1436" s="23" t="str">
        <f>TEXT(DATE(LEFT(J1436,4), MID(J1436,5,2), RIGHT(J1436,2)), "M/d/yyyy")</f>
        <v>11/1/2024</v>
      </c>
      <c r="L1436" s="24" t="s">
        <v>402</v>
      </c>
      <c r="M1436" s="25">
        <v>100</v>
      </c>
      <c r="N1436" s="25">
        <v>0.1</v>
      </c>
      <c r="O1436" s="27">
        <v>22.27</v>
      </c>
      <c r="P1436" s="22" t="s">
        <v>3835</v>
      </c>
    </row>
    <row r="1437" spans="1:16" s="22" customFormat="1" ht="15" customHeight="1" x14ac:dyDescent="0.2">
      <c r="A1437" s="22" t="s">
        <v>3784</v>
      </c>
      <c r="B1437" s="22">
        <v>8244481</v>
      </c>
      <c r="C1437" s="30"/>
      <c r="D1437" s="23">
        <v>957186206</v>
      </c>
      <c r="E1437" s="23">
        <v>957186206</v>
      </c>
      <c r="F1437" s="24" t="s">
        <v>1754</v>
      </c>
      <c r="G1437" s="23">
        <v>223.86</v>
      </c>
      <c r="H1437" s="23">
        <v>20250201</v>
      </c>
      <c r="I1437" s="23" t="str">
        <f>TEXT(DATE(LEFT(H1437,4), MID(H1437,5,2), RIGHT(H1437,2)), "M/d/yyyy")</f>
        <v>2/1/2025</v>
      </c>
      <c r="J1437" s="25">
        <v>20241101</v>
      </c>
      <c r="K1437" s="23" t="str">
        <f>TEXT(DATE(LEFT(J1437,4), MID(J1437,5,2), RIGHT(J1437,2)), "M/d/yyyy")</f>
        <v>11/1/2024</v>
      </c>
      <c r="L1437" s="24" t="s">
        <v>402</v>
      </c>
      <c r="M1437" s="25">
        <v>100</v>
      </c>
      <c r="N1437" s="25">
        <v>0.1</v>
      </c>
      <c r="O1437" s="27">
        <v>22.39</v>
      </c>
      <c r="P1437" s="22" t="s">
        <v>3835</v>
      </c>
    </row>
    <row r="1438" spans="1:16" s="22" customFormat="1" ht="15" customHeight="1" x14ac:dyDescent="0.2">
      <c r="A1438" s="22" t="s">
        <v>3799</v>
      </c>
      <c r="B1438" s="22">
        <v>16983460</v>
      </c>
      <c r="C1438" s="30"/>
      <c r="D1438" s="23">
        <v>957183023</v>
      </c>
      <c r="E1438" s="23">
        <v>957183023</v>
      </c>
      <c r="F1438" s="24" t="s">
        <v>2917</v>
      </c>
      <c r="G1438" s="23">
        <v>170.27</v>
      </c>
      <c r="H1438" s="23">
        <v>20250201</v>
      </c>
      <c r="I1438" s="23" t="str">
        <f>TEXT(DATE(LEFT(H1438,4), MID(H1438,5,2), RIGHT(H1438,2)), "M/d/yyyy")</f>
        <v>2/1/2025</v>
      </c>
      <c r="J1438" s="25">
        <v>20241101</v>
      </c>
      <c r="K1438" s="23" t="str">
        <f>TEXT(DATE(LEFT(J1438,4), MID(J1438,5,2), RIGHT(J1438,2)), "M/d/yyyy")</f>
        <v>11/1/2024</v>
      </c>
      <c r="L1438" s="24" t="s">
        <v>402</v>
      </c>
      <c r="M1438" s="25">
        <v>100</v>
      </c>
      <c r="N1438" s="25">
        <v>0.1</v>
      </c>
      <c r="O1438" s="27">
        <v>17.03</v>
      </c>
      <c r="P1438" s="22" t="s">
        <v>3835</v>
      </c>
    </row>
    <row r="1439" spans="1:16" s="22" customFormat="1" ht="15" customHeight="1" x14ac:dyDescent="0.2">
      <c r="A1439" s="22" t="s">
        <v>3799</v>
      </c>
      <c r="B1439" s="22">
        <v>16983460</v>
      </c>
      <c r="C1439" s="30"/>
      <c r="D1439" s="23">
        <v>957192247</v>
      </c>
      <c r="E1439" s="23">
        <v>957192247</v>
      </c>
      <c r="F1439" s="24" t="s">
        <v>2919</v>
      </c>
      <c r="G1439" s="23">
        <v>170.76</v>
      </c>
      <c r="H1439" s="23">
        <v>20250201</v>
      </c>
      <c r="I1439" s="23" t="str">
        <f>TEXT(DATE(LEFT(H1439,4), MID(H1439,5,2), RIGHT(H1439,2)), "M/d/yyyy")</f>
        <v>2/1/2025</v>
      </c>
      <c r="J1439" s="25">
        <v>20241201</v>
      </c>
      <c r="K1439" s="23" t="str">
        <f>TEXT(DATE(LEFT(J1439,4), MID(J1439,5,2), RIGHT(J1439,2)), "M/d/yyyy")</f>
        <v>12/1/2024</v>
      </c>
      <c r="L1439" s="24" t="s">
        <v>402</v>
      </c>
      <c r="M1439" s="25">
        <v>100</v>
      </c>
      <c r="N1439" s="25">
        <v>0.1</v>
      </c>
      <c r="O1439" s="27">
        <v>17.079999999999998</v>
      </c>
      <c r="P1439" s="22" t="s">
        <v>3835</v>
      </c>
    </row>
    <row r="1440" spans="1:16" s="22" customFormat="1" ht="15" customHeight="1" x14ac:dyDescent="0.2">
      <c r="A1440" s="22" t="s">
        <v>3787</v>
      </c>
      <c r="B1440" s="22">
        <v>16633294</v>
      </c>
      <c r="C1440" s="30"/>
      <c r="D1440" s="23">
        <v>957180733</v>
      </c>
      <c r="E1440" s="23">
        <v>957180733</v>
      </c>
      <c r="F1440" s="24" t="s">
        <v>2156</v>
      </c>
      <c r="G1440" s="23">
        <v>132.47</v>
      </c>
      <c r="H1440" s="23">
        <v>20250201</v>
      </c>
      <c r="I1440" s="23" t="str">
        <f>TEXT(DATE(LEFT(H1440,4), MID(H1440,5,2), RIGHT(H1440,2)), "M/d/yyyy")</f>
        <v>2/1/2025</v>
      </c>
      <c r="J1440" s="25">
        <v>20240801</v>
      </c>
      <c r="K1440" s="23" t="str">
        <f>TEXT(DATE(LEFT(J1440,4), MID(J1440,5,2), RIGHT(J1440,2)), "M/d/yyyy")</f>
        <v>8/1/2024</v>
      </c>
      <c r="L1440" s="24" t="s">
        <v>402</v>
      </c>
      <c r="M1440" s="25">
        <v>100</v>
      </c>
      <c r="N1440" s="25">
        <v>0.1</v>
      </c>
      <c r="O1440" s="27">
        <v>13.25</v>
      </c>
      <c r="P1440" s="22" t="s">
        <v>3835</v>
      </c>
    </row>
    <row r="1441" spans="1:16" s="22" customFormat="1" ht="15" customHeight="1" x14ac:dyDescent="0.2">
      <c r="A1441" s="22" t="s">
        <v>3787</v>
      </c>
      <c r="B1441" s="22">
        <v>16633294</v>
      </c>
      <c r="C1441" s="30"/>
      <c r="D1441" s="23">
        <v>957195628</v>
      </c>
      <c r="E1441" s="23">
        <v>957195628</v>
      </c>
      <c r="F1441" s="24" t="s">
        <v>2158</v>
      </c>
      <c r="G1441" s="23">
        <v>226.47</v>
      </c>
      <c r="H1441" s="23">
        <v>20250201</v>
      </c>
      <c r="I1441" s="23" t="str">
        <f>TEXT(DATE(LEFT(H1441,4), MID(H1441,5,2), RIGHT(H1441,2)), "M/d/yyyy")</f>
        <v>2/1/2025</v>
      </c>
      <c r="J1441" s="25">
        <v>20250101</v>
      </c>
      <c r="K1441" s="23" t="str">
        <f>TEXT(DATE(LEFT(J1441,4), MID(J1441,5,2), RIGHT(J1441,2)), "M/d/yyyy")</f>
        <v>1/1/2025</v>
      </c>
      <c r="L1441" s="24" t="s">
        <v>402</v>
      </c>
      <c r="M1441" s="25">
        <v>100</v>
      </c>
      <c r="N1441" s="25">
        <v>0.1</v>
      </c>
      <c r="O1441" s="27">
        <v>22.65</v>
      </c>
      <c r="P1441" s="22" t="s">
        <v>3835</v>
      </c>
    </row>
    <row r="1442" spans="1:16" s="22" customFormat="1" ht="15" customHeight="1" x14ac:dyDescent="0.2">
      <c r="A1442" s="22" t="s">
        <v>3793</v>
      </c>
      <c r="B1442" s="22">
        <v>19396223</v>
      </c>
      <c r="C1442" s="30"/>
      <c r="D1442" s="23">
        <v>957176895</v>
      </c>
      <c r="E1442" s="23">
        <v>957176895</v>
      </c>
      <c r="F1442" s="24" t="s">
        <v>2549</v>
      </c>
      <c r="G1442" s="23">
        <v>132.47</v>
      </c>
      <c r="H1442" s="23">
        <v>20250201</v>
      </c>
      <c r="I1442" s="23" t="str">
        <f>TEXT(DATE(LEFT(H1442,4), MID(H1442,5,2), RIGHT(H1442,2)), "M/d/yyyy")</f>
        <v>2/1/2025</v>
      </c>
      <c r="J1442" s="25">
        <v>20240601</v>
      </c>
      <c r="K1442" s="23" t="str">
        <f>TEXT(DATE(LEFT(J1442,4), MID(J1442,5,2), RIGHT(J1442,2)), "M/d/yyyy")</f>
        <v>6/1/2024</v>
      </c>
      <c r="L1442" s="24" t="s">
        <v>402</v>
      </c>
      <c r="M1442" s="25">
        <v>100</v>
      </c>
      <c r="N1442" s="25">
        <v>0.1</v>
      </c>
      <c r="O1442" s="27">
        <v>13.25</v>
      </c>
      <c r="P1442" s="22" t="s">
        <v>3835</v>
      </c>
    </row>
    <row r="1443" spans="1:16" s="22" customFormat="1" ht="15" customHeight="1" x14ac:dyDescent="0.2">
      <c r="A1443" s="22" t="s">
        <v>3793</v>
      </c>
      <c r="B1443" s="22">
        <v>19396223</v>
      </c>
      <c r="C1443" s="30"/>
      <c r="D1443" s="23">
        <v>957176901</v>
      </c>
      <c r="E1443" s="23">
        <v>957176901</v>
      </c>
      <c r="F1443" s="24" t="s">
        <v>2669</v>
      </c>
      <c r="G1443" s="23">
        <v>174.02</v>
      </c>
      <c r="H1443" s="23">
        <v>20250201</v>
      </c>
      <c r="I1443" s="23" t="str">
        <f>TEXT(DATE(LEFT(H1443,4), MID(H1443,5,2), RIGHT(H1443,2)), "M/d/yyyy")</f>
        <v>2/1/2025</v>
      </c>
      <c r="J1443" s="25">
        <v>20240601</v>
      </c>
      <c r="K1443" s="23" t="str">
        <f>TEXT(DATE(LEFT(J1443,4), MID(J1443,5,2), RIGHT(J1443,2)), "M/d/yyyy")</f>
        <v>6/1/2024</v>
      </c>
      <c r="L1443" s="24" t="s">
        <v>402</v>
      </c>
      <c r="M1443" s="25">
        <v>100</v>
      </c>
      <c r="N1443" s="25">
        <v>0.1</v>
      </c>
      <c r="O1443" s="27">
        <v>17.399999999999999</v>
      </c>
      <c r="P1443" s="22" t="s">
        <v>3835</v>
      </c>
    </row>
    <row r="1444" spans="1:16" s="22" customFormat="1" ht="15" customHeight="1" x14ac:dyDescent="0.2">
      <c r="A1444" s="22" t="s">
        <v>3793</v>
      </c>
      <c r="B1444" s="22">
        <v>19396223</v>
      </c>
      <c r="C1444" s="30"/>
      <c r="D1444" s="23">
        <v>957199999</v>
      </c>
      <c r="E1444" s="23">
        <v>957199999</v>
      </c>
      <c r="F1444" s="24" t="s">
        <v>2674</v>
      </c>
      <c r="G1444" s="23">
        <v>257.67</v>
      </c>
      <c r="H1444" s="23">
        <v>20250201</v>
      </c>
      <c r="I1444" s="23" t="str">
        <f>TEXT(DATE(LEFT(H1444,4), MID(H1444,5,2), RIGHT(H1444,2)), "M/d/yyyy")</f>
        <v>2/1/2025</v>
      </c>
      <c r="J1444" s="25">
        <v>20250101</v>
      </c>
      <c r="K1444" s="23" t="str">
        <f>TEXT(DATE(LEFT(J1444,4), MID(J1444,5,2), RIGHT(J1444,2)), "M/d/yyyy")</f>
        <v>1/1/2025</v>
      </c>
      <c r="L1444" s="24" t="s">
        <v>402</v>
      </c>
      <c r="M1444" s="25">
        <v>100</v>
      </c>
      <c r="N1444" s="25">
        <v>0.1</v>
      </c>
      <c r="O1444" s="27">
        <v>25.77</v>
      </c>
      <c r="P1444" s="22" t="s">
        <v>3835</v>
      </c>
    </row>
    <row r="1445" spans="1:16" s="22" customFormat="1" ht="15" customHeight="1" x14ac:dyDescent="0.2">
      <c r="A1445" s="22" t="s">
        <v>3783</v>
      </c>
      <c r="B1445" s="22">
        <v>19645587</v>
      </c>
      <c r="C1445" s="30"/>
      <c r="D1445" s="23">
        <v>957190953</v>
      </c>
      <c r="E1445" s="23">
        <v>957190953</v>
      </c>
      <c r="F1445" s="24" t="s">
        <v>1291</v>
      </c>
      <c r="G1445" s="23">
        <v>132.47</v>
      </c>
      <c r="H1445" s="23">
        <v>20250101</v>
      </c>
      <c r="I1445" s="23" t="str">
        <f>TEXT(DATE(LEFT(H1445,4), MID(H1445,5,2), RIGHT(H1445,2)), "M/d/yyyy")</f>
        <v>1/1/2025</v>
      </c>
      <c r="J1445" s="25">
        <v>20241101</v>
      </c>
      <c r="K1445" s="23" t="str">
        <f>TEXT(DATE(LEFT(J1445,4), MID(J1445,5,2), RIGHT(J1445,2)), "M/d/yyyy")</f>
        <v>11/1/2024</v>
      </c>
      <c r="L1445" s="24" t="s">
        <v>402</v>
      </c>
      <c r="M1445" s="25">
        <v>100</v>
      </c>
      <c r="N1445" s="25">
        <v>0.1</v>
      </c>
      <c r="O1445" s="27">
        <v>13.25</v>
      </c>
      <c r="P1445" s="22" t="s">
        <v>3835</v>
      </c>
    </row>
    <row r="1446" spans="1:16" s="22" customFormat="1" ht="15" customHeight="1" x14ac:dyDescent="0.2">
      <c r="A1446" s="22" t="s">
        <v>3783</v>
      </c>
      <c r="B1446" s="22">
        <v>19645587</v>
      </c>
      <c r="C1446" s="30"/>
      <c r="D1446" s="23">
        <v>957190953</v>
      </c>
      <c r="E1446" s="23">
        <v>957190953</v>
      </c>
      <c r="F1446" s="24" t="s">
        <v>1291</v>
      </c>
      <c r="G1446" s="23">
        <v>132.47</v>
      </c>
      <c r="H1446" s="23">
        <v>20241201</v>
      </c>
      <c r="I1446" s="23" t="str">
        <f>TEXT(DATE(LEFT(H1446,4), MID(H1446,5,2), RIGHT(H1446,2)), "M/d/yyyy")</f>
        <v>12/1/2024</v>
      </c>
      <c r="J1446" s="25">
        <v>20241101</v>
      </c>
      <c r="K1446" s="23" t="str">
        <f>TEXT(DATE(LEFT(J1446,4), MID(J1446,5,2), RIGHT(J1446,2)), "M/d/yyyy")</f>
        <v>11/1/2024</v>
      </c>
      <c r="L1446" s="24" t="s">
        <v>402</v>
      </c>
      <c r="M1446" s="25">
        <v>100</v>
      </c>
      <c r="N1446" s="25">
        <v>0.1</v>
      </c>
      <c r="O1446" s="27">
        <v>13.25</v>
      </c>
      <c r="P1446" s="22" t="s">
        <v>3835</v>
      </c>
    </row>
    <row r="1447" spans="1:16" s="22" customFormat="1" ht="15" customHeight="1" x14ac:dyDescent="0.2">
      <c r="A1447" s="22" t="s">
        <v>3783</v>
      </c>
      <c r="B1447" s="22">
        <v>19645587</v>
      </c>
      <c r="C1447" s="30"/>
      <c r="D1447" s="23">
        <v>957184029</v>
      </c>
      <c r="E1447" s="23">
        <v>957184029</v>
      </c>
      <c r="F1447" s="24" t="s">
        <v>1275</v>
      </c>
      <c r="G1447" s="23">
        <v>180.27</v>
      </c>
      <c r="H1447" s="23">
        <v>20250301</v>
      </c>
      <c r="I1447" s="23" t="str">
        <f>TEXT(DATE(LEFT(H1447,4), MID(H1447,5,2), RIGHT(H1447,2)), "M/d/yyyy")</f>
        <v>3/1/2025</v>
      </c>
      <c r="J1447" s="25">
        <v>20241101</v>
      </c>
      <c r="K1447" s="23" t="str">
        <f>TEXT(DATE(LEFT(J1447,4), MID(J1447,5,2), RIGHT(J1447,2)), "M/d/yyyy")</f>
        <v>11/1/2024</v>
      </c>
      <c r="L1447" s="24" t="s">
        <v>402</v>
      </c>
      <c r="M1447" s="25">
        <v>100</v>
      </c>
      <c r="N1447" s="25">
        <v>0.1</v>
      </c>
      <c r="O1447" s="27">
        <v>18.03</v>
      </c>
      <c r="P1447" s="22" t="s">
        <v>3835</v>
      </c>
    </row>
    <row r="1448" spans="1:16" s="22" customFormat="1" ht="15" customHeight="1" x14ac:dyDescent="0.2">
      <c r="A1448" s="22" t="s">
        <v>3783</v>
      </c>
      <c r="B1448" s="22">
        <v>19645587</v>
      </c>
      <c r="C1448" s="30"/>
      <c r="D1448" s="23">
        <v>957192007</v>
      </c>
      <c r="E1448" s="23">
        <v>957192007</v>
      </c>
      <c r="F1448" s="24" t="s">
        <v>1295</v>
      </c>
      <c r="G1448" s="23">
        <v>205.78</v>
      </c>
      <c r="H1448" s="23">
        <v>20250201</v>
      </c>
      <c r="I1448" s="23" t="str">
        <f>TEXT(DATE(LEFT(H1448,4), MID(H1448,5,2), RIGHT(H1448,2)), "M/d/yyyy")</f>
        <v>2/1/2025</v>
      </c>
      <c r="J1448" s="25">
        <v>20250101</v>
      </c>
      <c r="K1448" s="23" t="str">
        <f>TEXT(DATE(LEFT(J1448,4), MID(J1448,5,2), RIGHT(J1448,2)), "M/d/yyyy")</f>
        <v>1/1/2025</v>
      </c>
      <c r="L1448" s="24" t="s">
        <v>402</v>
      </c>
      <c r="M1448" s="25">
        <v>100</v>
      </c>
      <c r="N1448" s="25">
        <v>0.1</v>
      </c>
      <c r="O1448" s="27">
        <v>20.58</v>
      </c>
      <c r="P1448" s="22" t="s">
        <v>3835</v>
      </c>
    </row>
    <row r="1449" spans="1:16" s="22" customFormat="1" ht="15" customHeight="1" x14ac:dyDescent="0.2">
      <c r="A1449" s="22" t="s">
        <v>3804</v>
      </c>
      <c r="B1449" s="22">
        <v>20490188</v>
      </c>
      <c r="C1449" s="30"/>
      <c r="D1449" s="23">
        <v>957181120</v>
      </c>
      <c r="E1449" s="23">
        <v>957181120</v>
      </c>
      <c r="F1449" s="24" t="s">
        <v>3131</v>
      </c>
      <c r="G1449" s="23">
        <v>129.53</v>
      </c>
      <c r="H1449" s="23">
        <v>20250201</v>
      </c>
      <c r="I1449" s="23" t="str">
        <f>TEXT(DATE(LEFT(H1449,4), MID(H1449,5,2), RIGHT(H1449,2)), "M/d/yyyy")</f>
        <v>2/1/2025</v>
      </c>
      <c r="J1449" s="25">
        <v>20240801</v>
      </c>
      <c r="K1449" s="23" t="str">
        <f>TEXT(DATE(LEFT(J1449,4), MID(J1449,5,2), RIGHT(J1449,2)), "M/d/yyyy")</f>
        <v>8/1/2024</v>
      </c>
      <c r="L1449" s="24" t="s">
        <v>402</v>
      </c>
      <c r="M1449" s="25">
        <v>100</v>
      </c>
      <c r="N1449" s="25">
        <v>0.1</v>
      </c>
      <c r="O1449" s="27">
        <v>12.95</v>
      </c>
      <c r="P1449" s="22" t="s">
        <v>3835</v>
      </c>
    </row>
    <row r="1450" spans="1:16" s="22" customFormat="1" ht="15" customHeight="1" x14ac:dyDescent="0.2">
      <c r="A1450" s="22" t="s">
        <v>3804</v>
      </c>
      <c r="B1450" s="22">
        <v>20490188</v>
      </c>
      <c r="C1450" s="30"/>
      <c r="D1450" s="23">
        <v>957181187</v>
      </c>
      <c r="E1450" s="23">
        <v>957181187</v>
      </c>
      <c r="F1450" s="24" t="s">
        <v>3133</v>
      </c>
      <c r="G1450" s="23">
        <v>136.88999999999999</v>
      </c>
      <c r="H1450" s="23">
        <v>20250201</v>
      </c>
      <c r="I1450" s="23" t="str">
        <f>TEXT(DATE(LEFT(H1450,4), MID(H1450,5,2), RIGHT(H1450,2)), "M/d/yyyy")</f>
        <v>2/1/2025</v>
      </c>
      <c r="J1450" s="25">
        <v>20240901</v>
      </c>
      <c r="K1450" s="23" t="str">
        <f>TEXT(DATE(LEFT(J1450,4), MID(J1450,5,2), RIGHT(J1450,2)), "M/d/yyyy")</f>
        <v>9/1/2024</v>
      </c>
      <c r="L1450" s="24" t="s">
        <v>402</v>
      </c>
      <c r="M1450" s="25">
        <v>100</v>
      </c>
      <c r="N1450" s="25">
        <v>0.1</v>
      </c>
      <c r="O1450" s="27">
        <v>13.69</v>
      </c>
      <c r="P1450" s="22" t="s">
        <v>3835</v>
      </c>
    </row>
    <row r="1451" spans="1:16" s="22" customFormat="1" ht="15" customHeight="1" x14ac:dyDescent="0.2">
      <c r="A1451" s="22" t="s">
        <v>3804</v>
      </c>
      <c r="B1451" s="22">
        <v>20490188</v>
      </c>
      <c r="C1451" s="30"/>
      <c r="D1451" s="23">
        <v>957191991</v>
      </c>
      <c r="E1451" s="23">
        <v>957191991</v>
      </c>
      <c r="F1451" s="24" t="s">
        <v>3135</v>
      </c>
      <c r="G1451" s="23">
        <v>136.88999999999999</v>
      </c>
      <c r="H1451" s="23">
        <v>20250301</v>
      </c>
      <c r="I1451" s="23" t="str">
        <f>TEXT(DATE(LEFT(H1451,4), MID(H1451,5,2), RIGHT(H1451,2)), "M/d/yyyy")</f>
        <v>3/1/2025</v>
      </c>
      <c r="J1451" s="25">
        <v>20241201</v>
      </c>
      <c r="K1451" s="23" t="str">
        <f>TEXT(DATE(LEFT(J1451,4), MID(J1451,5,2), RIGHT(J1451,2)), "M/d/yyyy")</f>
        <v>12/1/2024</v>
      </c>
      <c r="L1451" s="24" t="s">
        <v>402</v>
      </c>
      <c r="M1451" s="25">
        <v>100</v>
      </c>
      <c r="N1451" s="25">
        <v>0.1</v>
      </c>
      <c r="O1451" s="27">
        <v>13.69</v>
      </c>
      <c r="P1451" s="22" t="s">
        <v>3835</v>
      </c>
    </row>
    <row r="1452" spans="1:16" s="22" customFormat="1" ht="15" customHeight="1" x14ac:dyDescent="0.2">
      <c r="A1452" s="22" t="s">
        <v>3804</v>
      </c>
      <c r="B1452" s="22">
        <v>20490188</v>
      </c>
      <c r="C1452" s="30"/>
      <c r="D1452" s="23">
        <v>957191991</v>
      </c>
      <c r="E1452" s="23">
        <v>957191991</v>
      </c>
      <c r="F1452" s="24" t="s">
        <v>3135</v>
      </c>
      <c r="G1452" s="23">
        <v>136.88999999999999</v>
      </c>
      <c r="H1452" s="23">
        <v>20250201</v>
      </c>
      <c r="I1452" s="23" t="str">
        <f>TEXT(DATE(LEFT(H1452,4), MID(H1452,5,2), RIGHT(H1452,2)), "M/d/yyyy")</f>
        <v>2/1/2025</v>
      </c>
      <c r="J1452" s="25">
        <v>20241201</v>
      </c>
      <c r="K1452" s="23" t="str">
        <f>TEXT(DATE(LEFT(J1452,4), MID(J1452,5,2), RIGHT(J1452,2)), "M/d/yyyy")</f>
        <v>12/1/2024</v>
      </c>
      <c r="L1452" s="24" t="s">
        <v>402</v>
      </c>
      <c r="M1452" s="25">
        <v>100</v>
      </c>
      <c r="N1452" s="25">
        <v>0.1</v>
      </c>
      <c r="O1452" s="27">
        <v>13.69</v>
      </c>
      <c r="P1452" s="22" t="s">
        <v>3835</v>
      </c>
    </row>
    <row r="1453" spans="1:16" s="22" customFormat="1" ht="15" customHeight="1" x14ac:dyDescent="0.2">
      <c r="A1453" s="22" t="s">
        <v>3804</v>
      </c>
      <c r="B1453" s="22">
        <v>20490188</v>
      </c>
      <c r="C1453" s="30"/>
      <c r="D1453" s="23">
        <v>957181119</v>
      </c>
      <c r="E1453" s="23">
        <v>957181119</v>
      </c>
      <c r="F1453" s="24" t="s">
        <v>3127</v>
      </c>
      <c r="G1453" s="23">
        <v>149.84</v>
      </c>
      <c r="H1453" s="23">
        <v>20250201</v>
      </c>
      <c r="I1453" s="23" t="str">
        <f>TEXT(DATE(LEFT(H1453,4), MID(H1453,5,2), RIGHT(H1453,2)), "M/d/yyyy")</f>
        <v>2/1/2025</v>
      </c>
      <c r="J1453" s="25">
        <v>20240801</v>
      </c>
      <c r="K1453" s="23" t="str">
        <f>TEXT(DATE(LEFT(J1453,4), MID(J1453,5,2), RIGHT(J1453,2)), "M/d/yyyy")</f>
        <v>8/1/2024</v>
      </c>
      <c r="L1453" s="24" t="s">
        <v>402</v>
      </c>
      <c r="M1453" s="25">
        <v>100</v>
      </c>
      <c r="N1453" s="25">
        <v>0.1</v>
      </c>
      <c r="O1453" s="27">
        <v>14.98</v>
      </c>
      <c r="P1453" s="22" t="s">
        <v>3835</v>
      </c>
    </row>
    <row r="1454" spans="1:16" s="22" customFormat="1" ht="15" customHeight="1" x14ac:dyDescent="0.2">
      <c r="A1454" s="22" t="s">
        <v>3820</v>
      </c>
      <c r="B1454" s="22">
        <v>7146581</v>
      </c>
      <c r="C1454" s="30"/>
      <c r="D1454" s="23">
        <v>957194802</v>
      </c>
      <c r="E1454" s="23">
        <v>957194802</v>
      </c>
      <c r="F1454" s="24" t="s">
        <v>3511</v>
      </c>
      <c r="G1454" s="23">
        <v>288.86</v>
      </c>
      <c r="H1454" s="23">
        <v>20250201</v>
      </c>
      <c r="I1454" s="23" t="str">
        <f>TEXT(DATE(LEFT(H1454,4), MID(H1454,5,2), RIGHT(H1454,2)), "M/d/yyyy")</f>
        <v>2/1/2025</v>
      </c>
      <c r="J1454" s="25">
        <v>20241201</v>
      </c>
      <c r="K1454" s="23" t="str">
        <f>TEXT(DATE(LEFT(J1454,4), MID(J1454,5,2), RIGHT(J1454,2)), "M/d/yyyy")</f>
        <v>12/1/2024</v>
      </c>
      <c r="L1454" s="24" t="s">
        <v>915</v>
      </c>
      <c r="M1454" s="25">
        <v>100</v>
      </c>
      <c r="N1454" s="25">
        <v>0.05</v>
      </c>
      <c r="O1454" s="27">
        <v>14.44</v>
      </c>
      <c r="P1454" s="22" t="s">
        <v>3834</v>
      </c>
    </row>
    <row r="1455" spans="1:16" s="22" customFormat="1" ht="15" customHeight="1" x14ac:dyDescent="0.2">
      <c r="A1455" s="22" t="s">
        <v>3820</v>
      </c>
      <c r="B1455" s="22">
        <v>7146581</v>
      </c>
      <c r="C1455" s="30"/>
      <c r="D1455" s="23">
        <v>957197502</v>
      </c>
      <c r="E1455" s="23">
        <v>957197502</v>
      </c>
      <c r="F1455" s="24" t="s">
        <v>3731</v>
      </c>
      <c r="G1455" s="23">
        <v>303.29000000000002</v>
      </c>
      <c r="H1455" s="23">
        <v>20250201</v>
      </c>
      <c r="I1455" s="23" t="str">
        <f>TEXT(DATE(LEFT(H1455,4), MID(H1455,5,2), RIGHT(H1455,2)), "M/d/yyyy")</f>
        <v>2/1/2025</v>
      </c>
      <c r="J1455" s="25">
        <v>20250101</v>
      </c>
      <c r="K1455" s="23" t="str">
        <f>TEXT(DATE(LEFT(J1455,4), MID(J1455,5,2), RIGHT(J1455,2)), "M/d/yyyy")</f>
        <v>1/1/2025</v>
      </c>
      <c r="L1455" s="24" t="s">
        <v>915</v>
      </c>
      <c r="M1455" s="25">
        <v>100</v>
      </c>
      <c r="N1455" s="25">
        <v>0.05</v>
      </c>
      <c r="O1455" s="27">
        <v>15.16</v>
      </c>
      <c r="P1455" s="22" t="s">
        <v>3834</v>
      </c>
    </row>
    <row r="1456" spans="1:16" s="22" customFormat="1" ht="15" customHeight="1" x14ac:dyDescent="0.2">
      <c r="A1456" s="22" t="s">
        <v>3820</v>
      </c>
      <c r="B1456" s="22">
        <v>7146581</v>
      </c>
      <c r="C1456" s="30"/>
      <c r="D1456" s="23">
        <v>957194804</v>
      </c>
      <c r="E1456" s="23">
        <v>957194804</v>
      </c>
      <c r="F1456" s="24" t="s">
        <v>3718</v>
      </c>
      <c r="G1456" s="23">
        <v>371.27</v>
      </c>
      <c r="H1456" s="23">
        <v>20250201</v>
      </c>
      <c r="I1456" s="23" t="str">
        <f>TEXT(DATE(LEFT(H1456,4), MID(H1456,5,2), RIGHT(H1456,2)), "M/d/yyyy")</f>
        <v>2/1/2025</v>
      </c>
      <c r="J1456" s="25">
        <v>20241201</v>
      </c>
      <c r="K1456" s="23" t="str">
        <f>TEXT(DATE(LEFT(J1456,4), MID(J1456,5,2), RIGHT(J1456,2)), "M/d/yyyy")</f>
        <v>12/1/2024</v>
      </c>
      <c r="L1456" s="24" t="s">
        <v>915</v>
      </c>
      <c r="M1456" s="25">
        <v>100</v>
      </c>
      <c r="N1456" s="25">
        <v>0.05</v>
      </c>
      <c r="O1456" s="27">
        <v>18.559999999999999</v>
      </c>
      <c r="P1456" s="22" t="s">
        <v>3834</v>
      </c>
    </row>
    <row r="1457" spans="1:16" s="22" customFormat="1" ht="15" customHeight="1" x14ac:dyDescent="0.2">
      <c r="A1457" s="22" t="s">
        <v>3820</v>
      </c>
      <c r="B1457" s="22">
        <v>7146581</v>
      </c>
      <c r="C1457" s="30"/>
      <c r="D1457" s="23">
        <v>957201158</v>
      </c>
      <c r="E1457" s="23">
        <v>957201158</v>
      </c>
      <c r="F1457" s="24" t="s">
        <v>3759</v>
      </c>
      <c r="G1457" s="23">
        <v>420.69</v>
      </c>
      <c r="H1457" s="23">
        <v>20250201</v>
      </c>
      <c r="I1457" s="23" t="str">
        <f>TEXT(DATE(LEFT(H1457,4), MID(H1457,5,2), RIGHT(H1457,2)), "M/d/yyyy")</f>
        <v>2/1/2025</v>
      </c>
      <c r="J1457" s="25">
        <v>20250101</v>
      </c>
      <c r="K1457" s="23" t="str">
        <f>TEXT(DATE(LEFT(J1457,4), MID(J1457,5,2), RIGHT(J1457,2)), "M/d/yyyy")</f>
        <v>1/1/2025</v>
      </c>
      <c r="L1457" s="24" t="s">
        <v>915</v>
      </c>
      <c r="M1457" s="25">
        <v>100</v>
      </c>
      <c r="N1457" s="25">
        <v>0.05</v>
      </c>
      <c r="O1457" s="27">
        <v>21.03</v>
      </c>
      <c r="P1457" s="22" t="s">
        <v>3834</v>
      </c>
    </row>
    <row r="1458" spans="1:16" s="22" customFormat="1" ht="15" customHeight="1" x14ac:dyDescent="0.2">
      <c r="A1458" s="22" t="s">
        <v>3789</v>
      </c>
      <c r="B1458" s="22">
        <v>19681796</v>
      </c>
      <c r="C1458" s="30"/>
      <c r="D1458" s="23">
        <v>957193583</v>
      </c>
      <c r="E1458" s="23">
        <v>957193583</v>
      </c>
      <c r="F1458" s="24" t="s">
        <v>2426</v>
      </c>
      <c r="G1458" s="23">
        <v>386.94</v>
      </c>
      <c r="H1458" s="23">
        <v>20250201</v>
      </c>
      <c r="I1458" s="23" t="str">
        <f>TEXT(DATE(LEFT(H1458,4), MID(H1458,5,2), RIGHT(H1458,2)), "M/d/yyyy")</f>
        <v>2/1/2025</v>
      </c>
      <c r="J1458" s="25">
        <v>20250101</v>
      </c>
      <c r="K1458" s="23" t="str">
        <f>TEXT(DATE(LEFT(J1458,4), MID(J1458,5,2), RIGHT(J1458,2)), "M/d/yyyy")</f>
        <v>1/1/2025</v>
      </c>
      <c r="L1458" s="24" t="s">
        <v>915</v>
      </c>
      <c r="M1458" s="25">
        <v>100</v>
      </c>
      <c r="N1458" s="25">
        <v>0.05</v>
      </c>
      <c r="O1458" s="27">
        <v>19.350000000000001</v>
      </c>
      <c r="P1458" s="22" t="s">
        <v>3834</v>
      </c>
    </row>
    <row r="1459" spans="1:16" s="22" customFormat="1" ht="15" customHeight="1" x14ac:dyDescent="0.2">
      <c r="A1459" s="22" t="s">
        <v>3797</v>
      </c>
      <c r="B1459" s="22">
        <v>17301495</v>
      </c>
      <c r="C1459" s="30"/>
      <c r="D1459" s="23">
        <v>957200025</v>
      </c>
      <c r="E1459" s="23">
        <v>957200025</v>
      </c>
      <c r="F1459" s="24" t="s">
        <v>2898</v>
      </c>
      <c r="G1459" s="23">
        <v>310.23</v>
      </c>
      <c r="H1459" s="23">
        <v>20250301</v>
      </c>
      <c r="I1459" s="23" t="str">
        <f>TEXT(DATE(LEFT(H1459,4), MID(H1459,5,2), RIGHT(H1459,2)), "M/d/yyyy")</f>
        <v>3/1/2025</v>
      </c>
      <c r="J1459" s="25">
        <v>20250101</v>
      </c>
      <c r="K1459" s="23" t="str">
        <f>TEXT(DATE(LEFT(J1459,4), MID(J1459,5,2), RIGHT(J1459,2)), "M/d/yyyy")</f>
        <v>1/1/2025</v>
      </c>
      <c r="L1459" s="24" t="s">
        <v>915</v>
      </c>
      <c r="M1459" s="25">
        <v>100</v>
      </c>
      <c r="N1459" s="25">
        <v>0.05</v>
      </c>
      <c r="O1459" s="27">
        <v>15.51</v>
      </c>
      <c r="P1459" s="22" t="s">
        <v>3834</v>
      </c>
    </row>
    <row r="1460" spans="1:16" s="22" customFormat="1" ht="15" customHeight="1" x14ac:dyDescent="0.2">
      <c r="A1460" s="22" t="s">
        <v>3797</v>
      </c>
      <c r="B1460" s="22">
        <v>17301495</v>
      </c>
      <c r="C1460" s="30"/>
      <c r="D1460" s="23">
        <v>957200025</v>
      </c>
      <c r="E1460" s="23">
        <v>957200025</v>
      </c>
      <c r="F1460" s="24" t="s">
        <v>2898</v>
      </c>
      <c r="G1460" s="23">
        <v>310.23</v>
      </c>
      <c r="H1460" s="23">
        <v>20250201</v>
      </c>
      <c r="I1460" s="23" t="str">
        <f>TEXT(DATE(LEFT(H1460,4), MID(H1460,5,2), RIGHT(H1460,2)), "M/d/yyyy")</f>
        <v>2/1/2025</v>
      </c>
      <c r="J1460" s="25">
        <v>20250101</v>
      </c>
      <c r="K1460" s="23" t="str">
        <f>TEXT(DATE(LEFT(J1460,4), MID(J1460,5,2), RIGHT(J1460,2)), "M/d/yyyy")</f>
        <v>1/1/2025</v>
      </c>
      <c r="L1460" s="24" t="s">
        <v>915</v>
      </c>
      <c r="M1460" s="25">
        <v>100</v>
      </c>
      <c r="N1460" s="25">
        <v>0.05</v>
      </c>
      <c r="O1460" s="27">
        <v>15.51</v>
      </c>
      <c r="P1460" s="22" t="s">
        <v>3834</v>
      </c>
    </row>
    <row r="1461" spans="1:16" s="22" customFormat="1" ht="15" customHeight="1" x14ac:dyDescent="0.2">
      <c r="A1461" s="22" t="s">
        <v>3797</v>
      </c>
      <c r="B1461" s="22">
        <v>17301495</v>
      </c>
      <c r="C1461" s="30"/>
      <c r="D1461" s="23">
        <v>957201791</v>
      </c>
      <c r="E1461" s="23">
        <v>957201791</v>
      </c>
      <c r="F1461" s="24" t="s">
        <v>2902</v>
      </c>
      <c r="G1461" s="23">
        <v>436.01</v>
      </c>
      <c r="H1461" s="23">
        <v>20250201</v>
      </c>
      <c r="I1461" s="23" t="str">
        <f>TEXT(DATE(LEFT(H1461,4), MID(H1461,5,2), RIGHT(H1461,2)), "M/d/yyyy")</f>
        <v>2/1/2025</v>
      </c>
      <c r="J1461" s="25">
        <v>20250101</v>
      </c>
      <c r="K1461" s="23" t="str">
        <f>TEXT(DATE(LEFT(J1461,4), MID(J1461,5,2), RIGHT(J1461,2)), "M/d/yyyy")</f>
        <v>1/1/2025</v>
      </c>
      <c r="L1461" s="24" t="s">
        <v>2904</v>
      </c>
      <c r="M1461" s="25">
        <v>100</v>
      </c>
      <c r="N1461" s="25">
        <v>0.05</v>
      </c>
      <c r="O1461" s="27">
        <v>21.8</v>
      </c>
      <c r="P1461" s="22" t="s">
        <v>3834</v>
      </c>
    </row>
    <row r="1462" spans="1:16" s="22" customFormat="1" ht="15" customHeight="1" x14ac:dyDescent="0.2">
      <c r="A1462" s="22" t="s">
        <v>3781</v>
      </c>
      <c r="B1462" s="22">
        <v>9213293</v>
      </c>
      <c r="C1462" s="30"/>
      <c r="D1462" s="23">
        <v>957196513</v>
      </c>
      <c r="E1462" s="23">
        <v>957196513</v>
      </c>
      <c r="F1462" s="24" t="s">
        <v>953</v>
      </c>
      <c r="G1462" s="23">
        <v>329.94</v>
      </c>
      <c r="H1462" s="23">
        <v>20250222</v>
      </c>
      <c r="I1462" s="23" t="str">
        <f>TEXT(DATE(LEFT(H1462,4), MID(H1462,5,2), RIGHT(H1462,2)), "M/d/yyyy")</f>
        <v>2/22/2025</v>
      </c>
      <c r="J1462" s="25">
        <v>20241122</v>
      </c>
      <c r="K1462" s="23" t="str">
        <f>TEXT(DATE(LEFT(J1462,4), MID(J1462,5,2), RIGHT(J1462,2)), "M/d/yyyy")</f>
        <v>11/22/2024</v>
      </c>
      <c r="L1462" s="24" t="s">
        <v>915</v>
      </c>
      <c r="M1462" s="25">
        <v>100</v>
      </c>
      <c r="N1462" s="25">
        <v>0.05</v>
      </c>
      <c r="O1462" s="27">
        <v>16.5</v>
      </c>
      <c r="P1462" s="22" t="s">
        <v>3834</v>
      </c>
    </row>
    <row r="1463" spans="1:16" s="22" customFormat="1" ht="15" customHeight="1" x14ac:dyDescent="0.2">
      <c r="A1463" s="22" t="s">
        <v>3781</v>
      </c>
      <c r="B1463" s="22">
        <v>9213293</v>
      </c>
      <c r="C1463" s="30"/>
      <c r="D1463" s="23">
        <v>957132147</v>
      </c>
      <c r="E1463" s="23">
        <v>957132147</v>
      </c>
      <c r="F1463" s="24" t="s">
        <v>911</v>
      </c>
      <c r="G1463" s="23">
        <v>352.54</v>
      </c>
      <c r="H1463" s="23">
        <v>20250215</v>
      </c>
      <c r="I1463" s="23" t="str">
        <f>TEXT(DATE(LEFT(H1463,4), MID(H1463,5,2), RIGHT(H1463,2)), "M/d/yyyy")</f>
        <v>2/15/2025</v>
      </c>
      <c r="J1463" s="25">
        <v>20241015</v>
      </c>
      <c r="K1463" s="23" t="str">
        <f>TEXT(DATE(LEFT(J1463,4), MID(J1463,5,2), RIGHT(J1463,2)), "M/d/yyyy")</f>
        <v>10/15/2024</v>
      </c>
      <c r="L1463" s="24" t="s">
        <v>915</v>
      </c>
      <c r="M1463" s="25">
        <v>100</v>
      </c>
      <c r="N1463" s="25">
        <v>0.05</v>
      </c>
      <c r="O1463" s="27">
        <v>17.63</v>
      </c>
      <c r="P1463" s="22" t="s">
        <v>3834</v>
      </c>
    </row>
    <row r="1464" spans="1:16" s="22" customFormat="1" ht="15" customHeight="1" x14ac:dyDescent="0.2">
      <c r="A1464" s="22" t="s">
        <v>3810</v>
      </c>
      <c r="B1464" s="22">
        <v>6375605</v>
      </c>
      <c r="C1464" s="30"/>
      <c r="D1464" s="23">
        <v>957199488</v>
      </c>
      <c r="E1464" s="23">
        <v>957199488</v>
      </c>
      <c r="F1464" s="24" t="s">
        <v>3385</v>
      </c>
      <c r="G1464" s="23">
        <v>318.23</v>
      </c>
      <c r="H1464" s="23">
        <v>20250201</v>
      </c>
      <c r="I1464" s="23" t="str">
        <f>TEXT(DATE(LEFT(H1464,4), MID(H1464,5,2), RIGHT(H1464,2)), "M/d/yyyy")</f>
        <v>2/1/2025</v>
      </c>
      <c r="J1464" s="25">
        <v>20250101</v>
      </c>
      <c r="K1464" s="23" t="str">
        <f>TEXT(DATE(LEFT(J1464,4), MID(J1464,5,2), RIGHT(J1464,2)), "M/d/yyyy")</f>
        <v>1/1/2025</v>
      </c>
      <c r="L1464" s="24" t="s">
        <v>915</v>
      </c>
      <c r="M1464" s="25">
        <v>100</v>
      </c>
      <c r="N1464" s="25">
        <v>0.05</v>
      </c>
      <c r="O1464" s="27">
        <v>15.91</v>
      </c>
      <c r="P1464" s="22" t="s">
        <v>3834</v>
      </c>
    </row>
    <row r="1465" spans="1:16" s="22" customFormat="1" ht="15" customHeight="1" x14ac:dyDescent="0.2">
      <c r="A1465" s="22" t="s">
        <v>3800</v>
      </c>
      <c r="B1465" s="28" t="s">
        <v>3821</v>
      </c>
      <c r="C1465" s="30"/>
      <c r="D1465" s="23">
        <v>957193999</v>
      </c>
      <c r="E1465" s="23">
        <v>957193999</v>
      </c>
      <c r="F1465" s="24" t="s">
        <v>3006</v>
      </c>
      <c r="G1465" s="23">
        <v>268.64</v>
      </c>
      <c r="H1465" s="23">
        <v>20250301</v>
      </c>
      <c r="I1465" s="23" t="str">
        <f>TEXT(DATE(LEFT(H1465,4), MID(H1465,5,2), RIGHT(H1465,2)), "M/d/yyyy")</f>
        <v>3/1/2025</v>
      </c>
      <c r="J1465" s="25">
        <v>20250101</v>
      </c>
      <c r="K1465" s="23" t="str">
        <f>TEXT(DATE(LEFT(J1465,4), MID(J1465,5,2), RIGHT(J1465,2)), "M/d/yyyy")</f>
        <v>1/1/2025</v>
      </c>
      <c r="L1465" s="24" t="s">
        <v>915</v>
      </c>
      <c r="M1465" s="25">
        <v>100</v>
      </c>
      <c r="N1465" s="25">
        <v>0.05</v>
      </c>
      <c r="O1465" s="27">
        <v>13.43</v>
      </c>
      <c r="P1465" s="22" t="s">
        <v>3834</v>
      </c>
    </row>
    <row r="1466" spans="1:16" s="22" customFormat="1" ht="15" customHeight="1" x14ac:dyDescent="0.2">
      <c r="A1466" s="22" t="s">
        <v>3800</v>
      </c>
      <c r="B1466" s="28" t="s">
        <v>3821</v>
      </c>
      <c r="C1466" s="30"/>
      <c r="D1466" s="23">
        <v>957192877</v>
      </c>
      <c r="E1466" s="23">
        <v>957192877</v>
      </c>
      <c r="F1466" s="24" t="s">
        <v>3002</v>
      </c>
      <c r="G1466" s="23">
        <v>296.16000000000003</v>
      </c>
      <c r="H1466" s="23">
        <v>20250201</v>
      </c>
      <c r="I1466" s="23" t="str">
        <f>TEXT(DATE(LEFT(H1466,4), MID(H1466,5,2), RIGHT(H1466,2)), "M/d/yyyy")</f>
        <v>2/1/2025</v>
      </c>
      <c r="J1466" s="25">
        <v>20250101</v>
      </c>
      <c r="K1466" s="23" t="str">
        <f>TEXT(DATE(LEFT(J1466,4), MID(J1466,5,2), RIGHT(J1466,2)), "M/d/yyyy")</f>
        <v>1/1/2025</v>
      </c>
      <c r="L1466" s="24" t="s">
        <v>915</v>
      </c>
      <c r="M1466" s="25">
        <v>100</v>
      </c>
      <c r="N1466" s="25">
        <v>0.05</v>
      </c>
      <c r="O1466" s="27">
        <v>14.81</v>
      </c>
      <c r="P1466" s="22" t="s">
        <v>3834</v>
      </c>
    </row>
    <row r="1467" spans="1:16" s="22" customFormat="1" ht="15" customHeight="1" x14ac:dyDescent="0.2">
      <c r="A1467" s="22" t="s">
        <v>3800</v>
      </c>
      <c r="B1467" s="28" t="s">
        <v>3821</v>
      </c>
      <c r="C1467" s="30"/>
      <c r="D1467" s="23">
        <v>957197466</v>
      </c>
      <c r="E1467" s="23">
        <v>957197466</v>
      </c>
      <c r="F1467" s="24" t="s">
        <v>3014</v>
      </c>
      <c r="G1467" s="23">
        <v>331.74</v>
      </c>
      <c r="H1467" s="23">
        <v>20250301</v>
      </c>
      <c r="I1467" s="23" t="str">
        <f>TEXT(DATE(LEFT(H1467,4), MID(H1467,5,2), RIGHT(H1467,2)), "M/d/yyyy")</f>
        <v>3/1/2025</v>
      </c>
      <c r="J1467" s="25">
        <v>20250101</v>
      </c>
      <c r="K1467" s="23" t="str">
        <f>TEXT(DATE(LEFT(J1467,4), MID(J1467,5,2), RIGHT(J1467,2)), "M/d/yyyy")</f>
        <v>1/1/2025</v>
      </c>
      <c r="L1467" s="24" t="s">
        <v>915</v>
      </c>
      <c r="M1467" s="25">
        <v>100</v>
      </c>
      <c r="N1467" s="25">
        <v>0.05</v>
      </c>
      <c r="O1467" s="27">
        <v>16.59</v>
      </c>
      <c r="P1467" s="22" t="s">
        <v>3834</v>
      </c>
    </row>
    <row r="1468" spans="1:16" s="22" customFormat="1" ht="15" customHeight="1" x14ac:dyDescent="0.2">
      <c r="A1468" s="22" t="s">
        <v>3800</v>
      </c>
      <c r="B1468" s="28" t="s">
        <v>3821</v>
      </c>
      <c r="C1468" s="30"/>
      <c r="D1468" s="23">
        <v>957197466</v>
      </c>
      <c r="E1468" s="23">
        <v>957197466</v>
      </c>
      <c r="F1468" s="24" t="s">
        <v>3014</v>
      </c>
      <c r="G1468" s="23">
        <v>331.74</v>
      </c>
      <c r="H1468" s="23">
        <v>20250201</v>
      </c>
      <c r="I1468" s="23" t="str">
        <f>TEXT(DATE(LEFT(H1468,4), MID(H1468,5,2), RIGHT(H1468,2)), "M/d/yyyy")</f>
        <v>2/1/2025</v>
      </c>
      <c r="J1468" s="25">
        <v>20250101</v>
      </c>
      <c r="K1468" s="23" t="str">
        <f>TEXT(DATE(LEFT(J1468,4), MID(J1468,5,2), RIGHT(J1468,2)), "M/d/yyyy")</f>
        <v>1/1/2025</v>
      </c>
      <c r="L1468" s="24" t="s">
        <v>915</v>
      </c>
      <c r="M1468" s="25">
        <v>100</v>
      </c>
      <c r="N1468" s="25">
        <v>0.05</v>
      </c>
      <c r="O1468" s="27">
        <v>16.59</v>
      </c>
      <c r="P1468" s="22" t="s">
        <v>3834</v>
      </c>
    </row>
    <row r="1469" spans="1:16" s="22" customFormat="1" ht="15" customHeight="1" x14ac:dyDescent="0.2">
      <c r="A1469" s="22" t="s">
        <v>3784</v>
      </c>
      <c r="B1469" s="22">
        <v>8244481</v>
      </c>
      <c r="C1469" s="30"/>
      <c r="D1469" s="23">
        <v>957194783</v>
      </c>
      <c r="E1469" s="23">
        <v>957194783</v>
      </c>
      <c r="F1469" s="24" t="s">
        <v>1796</v>
      </c>
      <c r="G1469" s="23">
        <v>288.86</v>
      </c>
      <c r="H1469" s="23">
        <v>20250301</v>
      </c>
      <c r="I1469" s="23" t="str">
        <f>TEXT(DATE(LEFT(H1469,4), MID(H1469,5,2), RIGHT(H1469,2)), "M/d/yyyy")</f>
        <v>3/1/2025</v>
      </c>
      <c r="J1469" s="25">
        <v>20250101</v>
      </c>
      <c r="K1469" s="23" t="str">
        <f>TEXT(DATE(LEFT(J1469,4), MID(J1469,5,2), RIGHT(J1469,2)), "M/d/yyyy")</f>
        <v>1/1/2025</v>
      </c>
      <c r="L1469" s="24" t="s">
        <v>915</v>
      </c>
      <c r="M1469" s="25">
        <v>100</v>
      </c>
      <c r="N1469" s="25">
        <v>0.05</v>
      </c>
      <c r="O1469" s="27">
        <v>14.44</v>
      </c>
      <c r="P1469" s="22" t="s">
        <v>3834</v>
      </c>
    </row>
    <row r="1470" spans="1:16" s="22" customFormat="1" ht="15" customHeight="1" x14ac:dyDescent="0.2">
      <c r="A1470" s="22" t="s">
        <v>3784</v>
      </c>
      <c r="B1470" s="22">
        <v>8244481</v>
      </c>
      <c r="C1470" s="30"/>
      <c r="D1470" s="23">
        <v>957194783</v>
      </c>
      <c r="E1470" s="23">
        <v>957194783</v>
      </c>
      <c r="F1470" s="24" t="s">
        <v>1796</v>
      </c>
      <c r="G1470" s="23">
        <v>288.86</v>
      </c>
      <c r="H1470" s="23">
        <v>20250201</v>
      </c>
      <c r="I1470" s="23" t="str">
        <f>TEXT(DATE(LEFT(H1470,4), MID(H1470,5,2), RIGHT(H1470,2)), "M/d/yyyy")</f>
        <v>2/1/2025</v>
      </c>
      <c r="J1470" s="25">
        <v>20250101</v>
      </c>
      <c r="K1470" s="23" t="str">
        <f>TEXT(DATE(LEFT(J1470,4), MID(J1470,5,2), RIGHT(J1470,2)), "M/d/yyyy")</f>
        <v>1/1/2025</v>
      </c>
      <c r="L1470" s="24" t="s">
        <v>915</v>
      </c>
      <c r="M1470" s="25">
        <v>100</v>
      </c>
      <c r="N1470" s="25">
        <v>0.05</v>
      </c>
      <c r="O1470" s="27">
        <v>14.44</v>
      </c>
      <c r="P1470" s="22" t="s">
        <v>3834</v>
      </c>
    </row>
    <row r="1471" spans="1:16" s="22" customFormat="1" ht="15" customHeight="1" x14ac:dyDescent="0.2">
      <c r="A1471" s="22" t="s">
        <v>3820</v>
      </c>
      <c r="B1471" s="22">
        <v>7146581</v>
      </c>
      <c r="C1471" s="30"/>
      <c r="D1471" s="23">
        <v>957197648</v>
      </c>
      <c r="E1471" s="23">
        <v>957197648</v>
      </c>
      <c r="F1471" s="24" t="s">
        <v>3519</v>
      </c>
      <c r="G1471" s="23" t="s">
        <v>3823</v>
      </c>
      <c r="H1471" s="23">
        <v>20250201</v>
      </c>
      <c r="I1471" s="23" t="str">
        <f>TEXT(DATE(LEFT(H1471,4), MID(H1471,5,2), RIGHT(H1471,2)), "M/d/yyyy")</f>
        <v>2/1/2025</v>
      </c>
      <c r="J1471" s="25">
        <v>20250101</v>
      </c>
      <c r="K1471" s="23" t="str">
        <f>TEXT(DATE(LEFT(J1471,4), MID(J1471,5,2), RIGHT(J1471,2)), "M/d/yyyy")</f>
        <v>1/1/2025</v>
      </c>
      <c r="L1471" s="24" t="s">
        <v>937</v>
      </c>
      <c r="M1471" s="25">
        <v>100</v>
      </c>
      <c r="N1471" s="25">
        <v>0.18</v>
      </c>
      <c r="O1471" s="27">
        <v>-26.54</v>
      </c>
      <c r="P1471" s="22" t="s">
        <v>3837</v>
      </c>
    </row>
    <row r="1472" spans="1:16" s="22" customFormat="1" ht="15" customHeight="1" x14ac:dyDescent="0.2">
      <c r="A1472" s="22" t="s">
        <v>3820</v>
      </c>
      <c r="B1472" s="22">
        <v>7146581</v>
      </c>
      <c r="C1472" s="30"/>
      <c r="D1472" s="23">
        <v>957197200</v>
      </c>
      <c r="E1472" s="23">
        <v>957197200</v>
      </c>
      <c r="F1472" s="24" t="s">
        <v>3727</v>
      </c>
      <c r="G1472" s="23" t="s">
        <v>3822</v>
      </c>
      <c r="H1472" s="23">
        <v>20250201</v>
      </c>
      <c r="I1472" s="23" t="str">
        <f>TEXT(DATE(LEFT(H1472,4), MID(H1472,5,2), RIGHT(H1472,2)), "M/d/yyyy")</f>
        <v>2/1/2025</v>
      </c>
      <c r="J1472" s="25">
        <v>20250101</v>
      </c>
      <c r="K1472" s="23" t="str">
        <f>TEXT(DATE(LEFT(J1472,4), MID(J1472,5,2), RIGHT(J1472,2)), "M/d/yyyy")</f>
        <v>1/1/2025</v>
      </c>
      <c r="L1472" s="24" t="s">
        <v>937</v>
      </c>
      <c r="M1472" s="25">
        <v>100</v>
      </c>
      <c r="N1472" s="25">
        <v>0.18</v>
      </c>
      <c r="O1472" s="27">
        <v>-24.89</v>
      </c>
      <c r="P1472" s="22" t="s">
        <v>3837</v>
      </c>
    </row>
    <row r="1473" spans="1:16" s="22" customFormat="1" ht="15" customHeight="1" x14ac:dyDescent="0.2">
      <c r="A1473" s="22" t="s">
        <v>3820</v>
      </c>
      <c r="B1473" s="22">
        <v>7146581</v>
      </c>
      <c r="C1473" s="30"/>
      <c r="D1473" s="23">
        <v>957201883</v>
      </c>
      <c r="E1473" s="23">
        <v>957201883</v>
      </c>
      <c r="F1473" s="24" t="s">
        <v>3763</v>
      </c>
      <c r="G1473" s="23">
        <v>135.58000000000001</v>
      </c>
      <c r="H1473" s="23">
        <v>20250201</v>
      </c>
      <c r="I1473" s="23" t="str">
        <f>TEXT(DATE(LEFT(H1473,4), MID(H1473,5,2), RIGHT(H1473,2)), "M/d/yyyy")</f>
        <v>2/1/2025</v>
      </c>
      <c r="J1473" s="25">
        <v>20250101</v>
      </c>
      <c r="K1473" s="23" t="str">
        <f>TEXT(DATE(LEFT(J1473,4), MID(J1473,5,2), RIGHT(J1473,2)), "M/d/yyyy")</f>
        <v>1/1/2025</v>
      </c>
      <c r="L1473" s="24" t="s">
        <v>937</v>
      </c>
      <c r="M1473" s="25">
        <v>100</v>
      </c>
      <c r="N1473" s="25">
        <v>0.18</v>
      </c>
      <c r="O1473" s="27">
        <v>24.4</v>
      </c>
      <c r="P1473" s="22" t="s">
        <v>3837</v>
      </c>
    </row>
    <row r="1474" spans="1:16" s="22" customFormat="1" ht="15" customHeight="1" x14ac:dyDescent="0.2">
      <c r="A1474" s="22" t="s">
        <v>3820</v>
      </c>
      <c r="B1474" s="22">
        <v>7146581</v>
      </c>
      <c r="C1474" s="30"/>
      <c r="D1474" s="23">
        <v>957197200</v>
      </c>
      <c r="E1474" s="23">
        <v>957197200</v>
      </c>
      <c r="F1474" s="24" t="s">
        <v>3727</v>
      </c>
      <c r="G1474" s="23">
        <v>138.28</v>
      </c>
      <c r="H1474" s="23">
        <v>20250301</v>
      </c>
      <c r="I1474" s="23" t="str">
        <f>TEXT(DATE(LEFT(H1474,4), MID(H1474,5,2), RIGHT(H1474,2)), "M/d/yyyy")</f>
        <v>3/1/2025</v>
      </c>
      <c r="J1474" s="25">
        <v>20250101</v>
      </c>
      <c r="K1474" s="23" t="str">
        <f>TEXT(DATE(LEFT(J1474,4), MID(J1474,5,2), RIGHT(J1474,2)), "M/d/yyyy")</f>
        <v>1/1/2025</v>
      </c>
      <c r="L1474" s="24" t="s">
        <v>937</v>
      </c>
      <c r="M1474" s="25">
        <v>100</v>
      </c>
      <c r="N1474" s="25">
        <v>0.18</v>
      </c>
      <c r="O1474" s="27">
        <v>24.89</v>
      </c>
      <c r="P1474" s="22" t="s">
        <v>3837</v>
      </c>
    </row>
    <row r="1475" spans="1:16" s="22" customFormat="1" ht="15" customHeight="1" x14ac:dyDescent="0.2">
      <c r="A1475" s="22" t="s">
        <v>3820</v>
      </c>
      <c r="B1475" s="22">
        <v>7146581</v>
      </c>
      <c r="C1475" s="30"/>
      <c r="D1475" s="23">
        <v>957197200</v>
      </c>
      <c r="E1475" s="23">
        <v>957197200</v>
      </c>
      <c r="F1475" s="24" t="s">
        <v>3727</v>
      </c>
      <c r="G1475" s="23">
        <v>138.28</v>
      </c>
      <c r="H1475" s="23">
        <v>20250201</v>
      </c>
      <c r="I1475" s="23" t="str">
        <f>TEXT(DATE(LEFT(H1475,4), MID(H1475,5,2), RIGHT(H1475,2)), "M/d/yyyy")</f>
        <v>2/1/2025</v>
      </c>
      <c r="J1475" s="25">
        <v>20250101</v>
      </c>
      <c r="K1475" s="23" t="str">
        <f>TEXT(DATE(LEFT(J1475,4), MID(J1475,5,2), RIGHT(J1475,2)), "M/d/yyyy")</f>
        <v>1/1/2025</v>
      </c>
      <c r="L1475" s="24" t="s">
        <v>937</v>
      </c>
      <c r="M1475" s="25">
        <v>100</v>
      </c>
      <c r="N1475" s="25">
        <v>0.18</v>
      </c>
      <c r="O1475" s="27">
        <v>24.89</v>
      </c>
      <c r="P1475" s="22" t="s">
        <v>3837</v>
      </c>
    </row>
    <row r="1476" spans="1:16" s="22" customFormat="1" ht="15" customHeight="1" x14ac:dyDescent="0.2">
      <c r="A1476" s="22" t="s">
        <v>3820</v>
      </c>
      <c r="B1476" s="22">
        <v>7146581</v>
      </c>
      <c r="C1476" s="30"/>
      <c r="D1476" s="23">
        <v>957197200</v>
      </c>
      <c r="E1476" s="23">
        <v>957197200</v>
      </c>
      <c r="F1476" s="24" t="s">
        <v>3727</v>
      </c>
      <c r="G1476" s="23">
        <v>138.28</v>
      </c>
      <c r="H1476" s="23">
        <v>20250201</v>
      </c>
      <c r="I1476" s="23" t="str">
        <f>TEXT(DATE(LEFT(H1476,4), MID(H1476,5,2), RIGHT(H1476,2)), "M/d/yyyy")</f>
        <v>2/1/2025</v>
      </c>
      <c r="J1476" s="25">
        <v>20250101</v>
      </c>
      <c r="K1476" s="23" t="str">
        <f>TEXT(DATE(LEFT(J1476,4), MID(J1476,5,2), RIGHT(J1476,2)), "M/d/yyyy")</f>
        <v>1/1/2025</v>
      </c>
      <c r="L1476" s="24" t="s">
        <v>937</v>
      </c>
      <c r="M1476" s="25">
        <v>100</v>
      </c>
      <c r="N1476" s="25">
        <v>0.18</v>
      </c>
      <c r="O1476" s="27">
        <v>24.89</v>
      </c>
      <c r="P1476" s="22" t="s">
        <v>3837</v>
      </c>
    </row>
    <row r="1477" spans="1:16" s="22" customFormat="1" ht="15" customHeight="1" x14ac:dyDescent="0.2">
      <c r="A1477" s="22" t="s">
        <v>3820</v>
      </c>
      <c r="B1477" s="22">
        <v>7146581</v>
      </c>
      <c r="C1477" s="30"/>
      <c r="D1477" s="23">
        <v>957197648</v>
      </c>
      <c r="E1477" s="23">
        <v>957197648</v>
      </c>
      <c r="F1477" s="24" t="s">
        <v>3519</v>
      </c>
      <c r="G1477" s="23">
        <v>147.44</v>
      </c>
      <c r="H1477" s="23">
        <v>20250201</v>
      </c>
      <c r="I1477" s="23" t="str">
        <f>TEXT(DATE(LEFT(H1477,4), MID(H1477,5,2), RIGHT(H1477,2)), "M/d/yyyy")</f>
        <v>2/1/2025</v>
      </c>
      <c r="J1477" s="25">
        <v>20250101</v>
      </c>
      <c r="K1477" s="23" t="str">
        <f>TEXT(DATE(LEFT(J1477,4), MID(J1477,5,2), RIGHT(J1477,2)), "M/d/yyyy")</f>
        <v>1/1/2025</v>
      </c>
      <c r="L1477" s="24" t="s">
        <v>937</v>
      </c>
      <c r="M1477" s="25">
        <v>100</v>
      </c>
      <c r="N1477" s="25">
        <v>0.18</v>
      </c>
      <c r="O1477" s="27">
        <v>26.54</v>
      </c>
      <c r="P1477" s="22" t="s">
        <v>3837</v>
      </c>
    </row>
    <row r="1478" spans="1:16" s="22" customFormat="1" ht="15" customHeight="1" x14ac:dyDescent="0.2">
      <c r="A1478" s="22" t="s">
        <v>3820</v>
      </c>
      <c r="B1478" s="22">
        <v>7146581</v>
      </c>
      <c r="C1478" s="30"/>
      <c r="D1478" s="23">
        <v>957193300</v>
      </c>
      <c r="E1478" s="23">
        <v>957193300</v>
      </c>
      <c r="F1478" s="24" t="s">
        <v>3713</v>
      </c>
      <c r="G1478" s="23">
        <v>182.65</v>
      </c>
      <c r="H1478" s="23">
        <v>20250201</v>
      </c>
      <c r="I1478" s="23" t="str">
        <f>TEXT(DATE(LEFT(H1478,4), MID(H1478,5,2), RIGHT(H1478,2)), "M/d/yyyy")</f>
        <v>2/1/2025</v>
      </c>
      <c r="J1478" s="25">
        <v>20241201</v>
      </c>
      <c r="K1478" s="23" t="str">
        <f>TEXT(DATE(LEFT(J1478,4), MID(J1478,5,2), RIGHT(J1478,2)), "M/d/yyyy")</f>
        <v>12/1/2024</v>
      </c>
      <c r="L1478" s="24" t="s">
        <v>937</v>
      </c>
      <c r="M1478" s="25">
        <v>100</v>
      </c>
      <c r="N1478" s="25">
        <v>0.18</v>
      </c>
      <c r="O1478" s="27">
        <v>32.880000000000003</v>
      </c>
      <c r="P1478" s="22" t="s">
        <v>3837</v>
      </c>
    </row>
    <row r="1479" spans="1:16" s="22" customFormat="1" ht="15" customHeight="1" x14ac:dyDescent="0.2">
      <c r="A1479" s="22" t="s">
        <v>3820</v>
      </c>
      <c r="B1479" s="22">
        <v>7146581</v>
      </c>
      <c r="C1479" s="30"/>
      <c r="D1479" s="23">
        <v>957200242</v>
      </c>
      <c r="E1479" s="23">
        <v>957200242</v>
      </c>
      <c r="F1479" s="24" t="s">
        <v>3755</v>
      </c>
      <c r="G1479" s="23">
        <v>229.67</v>
      </c>
      <c r="H1479" s="23">
        <v>20250201</v>
      </c>
      <c r="I1479" s="23" t="str">
        <f>TEXT(DATE(LEFT(H1479,4), MID(H1479,5,2), RIGHT(H1479,2)), "M/d/yyyy")</f>
        <v>2/1/2025</v>
      </c>
      <c r="J1479" s="25">
        <v>20250101</v>
      </c>
      <c r="K1479" s="23" t="str">
        <f>TEXT(DATE(LEFT(J1479,4), MID(J1479,5,2), RIGHT(J1479,2)), "M/d/yyyy")</f>
        <v>1/1/2025</v>
      </c>
      <c r="L1479" s="24" t="s">
        <v>937</v>
      </c>
      <c r="M1479" s="25">
        <v>100</v>
      </c>
      <c r="N1479" s="25">
        <v>0.18</v>
      </c>
      <c r="O1479" s="27">
        <v>41.34</v>
      </c>
      <c r="P1479" s="22" t="s">
        <v>3837</v>
      </c>
    </row>
    <row r="1480" spans="1:16" s="22" customFormat="1" ht="15" customHeight="1" x14ac:dyDescent="0.2">
      <c r="A1480" s="22" t="s">
        <v>3789</v>
      </c>
      <c r="B1480" s="22">
        <v>19681796</v>
      </c>
      <c r="C1480" s="30"/>
      <c r="D1480" s="23">
        <v>957182638</v>
      </c>
      <c r="E1480" s="23">
        <v>957182638</v>
      </c>
      <c r="F1480" s="24" t="s">
        <v>2342</v>
      </c>
      <c r="G1480" s="23">
        <v>115.64</v>
      </c>
      <c r="H1480" s="23">
        <v>20250201</v>
      </c>
      <c r="I1480" s="23" t="str">
        <f>TEXT(DATE(LEFT(H1480,4), MID(H1480,5,2), RIGHT(H1480,2)), "M/d/yyyy")</f>
        <v>2/1/2025</v>
      </c>
      <c r="J1480" s="25">
        <v>20240901</v>
      </c>
      <c r="K1480" s="23" t="str">
        <f>TEXT(DATE(LEFT(J1480,4), MID(J1480,5,2), RIGHT(J1480,2)), "M/d/yyyy")</f>
        <v>9/1/2024</v>
      </c>
      <c r="L1480" s="24" t="s">
        <v>937</v>
      </c>
      <c r="M1480" s="25">
        <v>100</v>
      </c>
      <c r="N1480" s="25">
        <v>0.18</v>
      </c>
      <c r="O1480" s="27">
        <v>20.82</v>
      </c>
      <c r="P1480" s="22" t="s">
        <v>3837</v>
      </c>
    </row>
    <row r="1481" spans="1:16" s="22" customFormat="1" ht="15" customHeight="1" x14ac:dyDescent="0.2">
      <c r="A1481" s="22" t="s">
        <v>3789</v>
      </c>
      <c r="B1481" s="22">
        <v>19681796</v>
      </c>
      <c r="C1481" s="30"/>
      <c r="D1481" s="23">
        <v>957177887</v>
      </c>
      <c r="E1481" s="23">
        <v>957177887</v>
      </c>
      <c r="F1481" s="24" t="s">
        <v>2339</v>
      </c>
      <c r="G1481" s="23">
        <v>150.41</v>
      </c>
      <c r="H1481" s="23">
        <v>20250201</v>
      </c>
      <c r="I1481" s="23" t="str">
        <f>TEXT(DATE(LEFT(H1481,4), MID(H1481,5,2), RIGHT(H1481,2)), "M/d/yyyy")</f>
        <v>2/1/2025</v>
      </c>
      <c r="J1481" s="25">
        <v>20240801</v>
      </c>
      <c r="K1481" s="23" t="str">
        <f>TEXT(DATE(LEFT(J1481,4), MID(J1481,5,2), RIGHT(J1481,2)), "M/d/yyyy")</f>
        <v>8/1/2024</v>
      </c>
      <c r="L1481" s="24" t="s">
        <v>937</v>
      </c>
      <c r="M1481" s="25">
        <v>100</v>
      </c>
      <c r="N1481" s="25">
        <v>0.18</v>
      </c>
      <c r="O1481" s="27">
        <v>27.07</v>
      </c>
      <c r="P1481" s="22" t="s">
        <v>3837</v>
      </c>
    </row>
    <row r="1482" spans="1:16" s="22" customFormat="1" ht="15" customHeight="1" x14ac:dyDescent="0.2">
      <c r="A1482" s="22" t="s">
        <v>3789</v>
      </c>
      <c r="B1482" s="22">
        <v>19681796</v>
      </c>
      <c r="C1482" s="30"/>
      <c r="D1482" s="23">
        <v>957117991</v>
      </c>
      <c r="E1482" s="23">
        <v>957117991</v>
      </c>
      <c r="F1482" s="24" t="s">
        <v>2409</v>
      </c>
      <c r="G1482" s="23">
        <v>183.63</v>
      </c>
      <c r="H1482" s="23">
        <v>20250301</v>
      </c>
      <c r="I1482" s="23" t="str">
        <f>TEXT(DATE(LEFT(H1482,4), MID(H1482,5,2), RIGHT(H1482,2)), "M/d/yyyy")</f>
        <v>3/1/2025</v>
      </c>
      <c r="J1482" s="25">
        <v>20250101</v>
      </c>
      <c r="K1482" s="23" t="str">
        <f>TEXT(DATE(LEFT(J1482,4), MID(J1482,5,2), RIGHT(J1482,2)), "M/d/yyyy")</f>
        <v>1/1/2025</v>
      </c>
      <c r="L1482" s="24" t="s">
        <v>937</v>
      </c>
      <c r="M1482" s="25">
        <v>100</v>
      </c>
      <c r="N1482" s="25">
        <v>0.18</v>
      </c>
      <c r="O1482" s="27">
        <v>33.049999999999997</v>
      </c>
      <c r="P1482" s="22" t="s">
        <v>3837</v>
      </c>
    </row>
    <row r="1483" spans="1:16" s="22" customFormat="1" ht="15" customHeight="1" x14ac:dyDescent="0.2">
      <c r="A1483" s="22" t="s">
        <v>3789</v>
      </c>
      <c r="B1483" s="22">
        <v>19681796</v>
      </c>
      <c r="C1483" s="30"/>
      <c r="D1483" s="23">
        <v>957196323</v>
      </c>
      <c r="E1483" s="23">
        <v>957196323</v>
      </c>
      <c r="F1483" s="24" t="s">
        <v>2434</v>
      </c>
      <c r="G1483" s="23">
        <v>194.06</v>
      </c>
      <c r="H1483" s="23">
        <v>20250201</v>
      </c>
      <c r="I1483" s="23" t="str">
        <f>TEXT(DATE(LEFT(H1483,4), MID(H1483,5,2), RIGHT(H1483,2)), "M/d/yyyy")</f>
        <v>2/1/2025</v>
      </c>
      <c r="J1483" s="25">
        <v>20250101</v>
      </c>
      <c r="K1483" s="23" t="str">
        <f>TEXT(DATE(LEFT(J1483,4), MID(J1483,5,2), RIGHT(J1483,2)), "M/d/yyyy")</f>
        <v>1/1/2025</v>
      </c>
      <c r="L1483" s="24" t="s">
        <v>937</v>
      </c>
      <c r="M1483" s="25">
        <v>100</v>
      </c>
      <c r="N1483" s="25">
        <v>0.18</v>
      </c>
      <c r="O1483" s="27">
        <v>34.93</v>
      </c>
      <c r="P1483" s="22" t="s">
        <v>3837</v>
      </c>
    </row>
    <row r="1484" spans="1:16" s="22" customFormat="1" ht="15" customHeight="1" x14ac:dyDescent="0.2">
      <c r="A1484" s="22" t="s">
        <v>3789</v>
      </c>
      <c r="B1484" s="22">
        <v>19681796</v>
      </c>
      <c r="C1484" s="30"/>
      <c r="D1484" s="23">
        <v>957195975</v>
      </c>
      <c r="E1484" s="23">
        <v>957195975</v>
      </c>
      <c r="F1484" s="24" t="s">
        <v>2430</v>
      </c>
      <c r="G1484" s="23">
        <v>203.06</v>
      </c>
      <c r="H1484" s="23">
        <v>20250201</v>
      </c>
      <c r="I1484" s="23" t="str">
        <f>TEXT(DATE(LEFT(H1484,4), MID(H1484,5,2), RIGHT(H1484,2)), "M/d/yyyy")</f>
        <v>2/1/2025</v>
      </c>
      <c r="J1484" s="25">
        <v>20250101</v>
      </c>
      <c r="K1484" s="23" t="str">
        <f>TEXT(DATE(LEFT(J1484,4), MID(J1484,5,2), RIGHT(J1484,2)), "M/d/yyyy")</f>
        <v>1/1/2025</v>
      </c>
      <c r="L1484" s="24" t="s">
        <v>937</v>
      </c>
      <c r="M1484" s="25">
        <v>100</v>
      </c>
      <c r="N1484" s="25">
        <v>0.18</v>
      </c>
      <c r="O1484" s="27">
        <v>36.549999999999997</v>
      </c>
      <c r="P1484" s="22" t="s">
        <v>3837</v>
      </c>
    </row>
    <row r="1485" spans="1:16" s="22" customFormat="1" ht="15" customHeight="1" x14ac:dyDescent="0.2">
      <c r="A1485" s="22" t="s">
        <v>3805</v>
      </c>
      <c r="B1485" s="22">
        <v>8325282</v>
      </c>
      <c r="C1485" s="30"/>
      <c r="D1485" s="23">
        <v>957199512</v>
      </c>
      <c r="E1485" s="23">
        <v>957199512</v>
      </c>
      <c r="F1485" s="24" t="s">
        <v>3313</v>
      </c>
      <c r="G1485" s="23">
        <v>121.58</v>
      </c>
      <c r="H1485" s="23">
        <v>20250201</v>
      </c>
      <c r="I1485" s="23" t="str">
        <f>TEXT(DATE(LEFT(H1485,4), MID(H1485,5,2), RIGHT(H1485,2)), "M/d/yyyy")</f>
        <v>2/1/2025</v>
      </c>
      <c r="J1485" s="25">
        <v>20250101</v>
      </c>
      <c r="K1485" s="23" t="str">
        <f>TEXT(DATE(LEFT(J1485,4), MID(J1485,5,2), RIGHT(J1485,2)), "M/d/yyyy")</f>
        <v>1/1/2025</v>
      </c>
      <c r="L1485" s="24" t="s">
        <v>937</v>
      </c>
      <c r="M1485" s="25">
        <v>100</v>
      </c>
      <c r="N1485" s="25">
        <v>0.18</v>
      </c>
      <c r="O1485" s="27">
        <v>21.88</v>
      </c>
      <c r="P1485" s="22" t="s">
        <v>3837</v>
      </c>
    </row>
    <row r="1486" spans="1:16" s="22" customFormat="1" ht="15" customHeight="1" x14ac:dyDescent="0.2">
      <c r="A1486" s="22" t="s">
        <v>3805</v>
      </c>
      <c r="B1486" s="22">
        <v>8325282</v>
      </c>
      <c r="C1486" s="30"/>
      <c r="D1486" s="23">
        <v>957181234</v>
      </c>
      <c r="E1486" s="23">
        <v>957181234</v>
      </c>
      <c r="F1486" s="24" t="s">
        <v>3304</v>
      </c>
      <c r="G1486" s="23">
        <v>128.49</v>
      </c>
      <c r="H1486" s="23">
        <v>20250201</v>
      </c>
      <c r="I1486" s="23" t="str">
        <f>TEXT(DATE(LEFT(H1486,4), MID(H1486,5,2), RIGHT(H1486,2)), "M/d/yyyy")</f>
        <v>2/1/2025</v>
      </c>
      <c r="J1486" s="25">
        <v>20240801</v>
      </c>
      <c r="K1486" s="23" t="str">
        <f>TEXT(DATE(LEFT(J1486,4), MID(J1486,5,2), RIGHT(J1486,2)), "M/d/yyyy")</f>
        <v>8/1/2024</v>
      </c>
      <c r="L1486" s="24" t="s">
        <v>937</v>
      </c>
      <c r="M1486" s="25">
        <v>100</v>
      </c>
      <c r="N1486" s="25">
        <v>0.18</v>
      </c>
      <c r="O1486" s="27">
        <v>23.13</v>
      </c>
      <c r="P1486" s="22" t="s">
        <v>3837</v>
      </c>
    </row>
    <row r="1487" spans="1:16" s="22" customFormat="1" ht="15" customHeight="1" x14ac:dyDescent="0.2">
      <c r="A1487" s="22" t="s">
        <v>3805</v>
      </c>
      <c r="B1487" s="22">
        <v>8325282</v>
      </c>
      <c r="C1487" s="30"/>
      <c r="D1487" s="23">
        <v>957182082</v>
      </c>
      <c r="E1487" s="23">
        <v>957182082</v>
      </c>
      <c r="F1487" s="24" t="s">
        <v>3306</v>
      </c>
      <c r="G1487" s="23">
        <v>135.13</v>
      </c>
      <c r="H1487" s="23">
        <v>20250201</v>
      </c>
      <c r="I1487" s="23" t="str">
        <f>TEXT(DATE(LEFT(H1487,4), MID(H1487,5,2), RIGHT(H1487,2)), "M/d/yyyy")</f>
        <v>2/1/2025</v>
      </c>
      <c r="J1487" s="25">
        <v>20240901</v>
      </c>
      <c r="K1487" s="23" t="str">
        <f>TEXT(DATE(LEFT(J1487,4), MID(J1487,5,2), RIGHT(J1487,2)), "M/d/yyyy")</f>
        <v>9/1/2024</v>
      </c>
      <c r="L1487" s="24" t="s">
        <v>937</v>
      </c>
      <c r="M1487" s="25">
        <v>100</v>
      </c>
      <c r="N1487" s="25">
        <v>0.18</v>
      </c>
      <c r="O1487" s="27">
        <v>24.32</v>
      </c>
      <c r="P1487" s="22" t="s">
        <v>3837</v>
      </c>
    </row>
    <row r="1488" spans="1:16" s="22" customFormat="1" ht="15" customHeight="1" x14ac:dyDescent="0.2">
      <c r="A1488" s="22" t="s">
        <v>3805</v>
      </c>
      <c r="B1488" s="22">
        <v>8325282</v>
      </c>
      <c r="C1488" s="30"/>
      <c r="D1488" s="23">
        <v>957180281</v>
      </c>
      <c r="E1488" s="23">
        <v>957180281</v>
      </c>
      <c r="F1488" s="24" t="s">
        <v>3302</v>
      </c>
      <c r="G1488" s="23">
        <v>139.74</v>
      </c>
      <c r="H1488" s="23">
        <v>20250301</v>
      </c>
      <c r="I1488" s="23" t="str">
        <f>TEXT(DATE(LEFT(H1488,4), MID(H1488,5,2), RIGHT(H1488,2)), "M/d/yyyy")</f>
        <v>3/1/2025</v>
      </c>
      <c r="J1488" s="25">
        <v>20241001</v>
      </c>
      <c r="K1488" s="23" t="str">
        <f>TEXT(DATE(LEFT(J1488,4), MID(J1488,5,2), RIGHT(J1488,2)), "M/d/yyyy")</f>
        <v>10/1/2024</v>
      </c>
      <c r="L1488" s="24" t="s">
        <v>937</v>
      </c>
      <c r="M1488" s="25">
        <v>100</v>
      </c>
      <c r="N1488" s="25">
        <v>0.18</v>
      </c>
      <c r="O1488" s="27">
        <v>25.15</v>
      </c>
      <c r="P1488" s="22" t="s">
        <v>3837</v>
      </c>
    </row>
    <row r="1489" spans="1:16" s="22" customFormat="1" ht="15" customHeight="1" x14ac:dyDescent="0.2">
      <c r="A1489" s="22" t="s">
        <v>3805</v>
      </c>
      <c r="B1489" s="22">
        <v>8325282</v>
      </c>
      <c r="C1489" s="30"/>
      <c r="D1489" s="23">
        <v>957190088</v>
      </c>
      <c r="E1489" s="23">
        <v>957190088</v>
      </c>
      <c r="F1489" s="24" t="s">
        <v>3310</v>
      </c>
      <c r="G1489" s="23">
        <v>158.77000000000001</v>
      </c>
      <c r="H1489" s="23">
        <v>20250201</v>
      </c>
      <c r="I1489" s="23" t="str">
        <f>TEXT(DATE(LEFT(H1489,4), MID(H1489,5,2), RIGHT(H1489,2)), "M/d/yyyy")</f>
        <v>2/1/2025</v>
      </c>
      <c r="J1489" s="25">
        <v>20250101</v>
      </c>
      <c r="K1489" s="23" t="str">
        <f>TEXT(DATE(LEFT(J1489,4), MID(J1489,5,2), RIGHT(J1489,2)), "M/d/yyyy")</f>
        <v>1/1/2025</v>
      </c>
      <c r="L1489" s="24" t="s">
        <v>937</v>
      </c>
      <c r="M1489" s="25">
        <v>100</v>
      </c>
      <c r="N1489" s="25">
        <v>0.18</v>
      </c>
      <c r="O1489" s="27">
        <v>28.58</v>
      </c>
      <c r="P1489" s="22" t="s">
        <v>3837</v>
      </c>
    </row>
    <row r="1490" spans="1:16" s="22" customFormat="1" ht="15" customHeight="1" x14ac:dyDescent="0.2">
      <c r="A1490" s="22" t="s">
        <v>3781</v>
      </c>
      <c r="B1490" s="22">
        <v>9213293</v>
      </c>
      <c r="C1490" s="30"/>
      <c r="D1490" s="23">
        <v>957189355</v>
      </c>
      <c r="E1490" s="23">
        <v>957189355</v>
      </c>
      <c r="F1490" s="24" t="s">
        <v>935</v>
      </c>
      <c r="G1490" s="23">
        <v>215.93</v>
      </c>
      <c r="H1490" s="23">
        <v>20250301</v>
      </c>
      <c r="I1490" s="23" t="str">
        <f>TEXT(DATE(LEFT(H1490,4), MID(H1490,5,2), RIGHT(H1490,2)), "M/d/yyyy")</f>
        <v>3/1/2025</v>
      </c>
      <c r="J1490" s="25">
        <v>20250101</v>
      </c>
      <c r="K1490" s="23" t="str">
        <f>TEXT(DATE(LEFT(J1490,4), MID(J1490,5,2), RIGHT(J1490,2)), "M/d/yyyy")</f>
        <v>1/1/2025</v>
      </c>
      <c r="L1490" s="24" t="s">
        <v>937</v>
      </c>
      <c r="M1490" s="25">
        <v>100</v>
      </c>
      <c r="N1490" s="25">
        <v>0.18</v>
      </c>
      <c r="O1490" s="27">
        <v>38.869999999999997</v>
      </c>
      <c r="P1490" s="22" t="s">
        <v>3837</v>
      </c>
    </row>
    <row r="1491" spans="1:16" s="22" customFormat="1" ht="15" customHeight="1" x14ac:dyDescent="0.2">
      <c r="A1491" s="22" t="s">
        <v>3781</v>
      </c>
      <c r="B1491" s="22">
        <v>9213293</v>
      </c>
      <c r="C1491" s="30"/>
      <c r="D1491" s="23">
        <v>957189355</v>
      </c>
      <c r="E1491" s="23">
        <v>957189355</v>
      </c>
      <c r="F1491" s="24" t="s">
        <v>935</v>
      </c>
      <c r="G1491" s="23">
        <v>215.93</v>
      </c>
      <c r="H1491" s="23">
        <v>20250201</v>
      </c>
      <c r="I1491" s="23" t="str">
        <f>TEXT(DATE(LEFT(H1491,4), MID(H1491,5,2), RIGHT(H1491,2)), "M/d/yyyy")</f>
        <v>2/1/2025</v>
      </c>
      <c r="J1491" s="25">
        <v>20250101</v>
      </c>
      <c r="K1491" s="23" t="str">
        <f>TEXT(DATE(LEFT(J1491,4), MID(J1491,5,2), RIGHT(J1491,2)), "M/d/yyyy")</f>
        <v>1/1/2025</v>
      </c>
      <c r="L1491" s="24" t="s">
        <v>937</v>
      </c>
      <c r="M1491" s="25">
        <v>100</v>
      </c>
      <c r="N1491" s="25">
        <v>0.18</v>
      </c>
      <c r="O1491" s="27">
        <v>38.869999999999997</v>
      </c>
      <c r="P1491" s="22" t="s">
        <v>3837</v>
      </c>
    </row>
    <row r="1492" spans="1:16" s="22" customFormat="1" ht="15" customHeight="1" x14ac:dyDescent="0.2">
      <c r="A1492" s="22" t="s">
        <v>3781</v>
      </c>
      <c r="B1492" s="22">
        <v>9213293</v>
      </c>
      <c r="C1492" s="30"/>
      <c r="D1492" s="23">
        <v>957193494</v>
      </c>
      <c r="E1492" s="23">
        <v>957193494</v>
      </c>
      <c r="F1492" s="24" t="s">
        <v>948</v>
      </c>
      <c r="G1492" s="23">
        <v>231.17</v>
      </c>
      <c r="H1492" s="23">
        <v>20250401</v>
      </c>
      <c r="I1492" s="23" t="str">
        <f>TEXT(DATE(LEFT(H1492,4), MID(H1492,5,2), RIGHT(H1492,2)), "M/d/yyyy")</f>
        <v>4/1/2025</v>
      </c>
      <c r="J1492" s="25">
        <v>20250101</v>
      </c>
      <c r="K1492" s="23" t="str">
        <f>TEXT(DATE(LEFT(J1492,4), MID(J1492,5,2), RIGHT(J1492,2)), "M/d/yyyy")</f>
        <v>1/1/2025</v>
      </c>
      <c r="L1492" s="24" t="s">
        <v>937</v>
      </c>
      <c r="M1492" s="25">
        <v>100</v>
      </c>
      <c r="N1492" s="25">
        <v>0.18</v>
      </c>
      <c r="O1492" s="27">
        <v>41.61</v>
      </c>
      <c r="P1492" s="22" t="s">
        <v>3837</v>
      </c>
    </row>
    <row r="1493" spans="1:16" s="22" customFormat="1" ht="15" customHeight="1" x14ac:dyDescent="0.2">
      <c r="A1493" s="22" t="s">
        <v>3781</v>
      </c>
      <c r="B1493" s="22">
        <v>9213293</v>
      </c>
      <c r="C1493" s="30"/>
      <c r="D1493" s="23">
        <v>957193494</v>
      </c>
      <c r="E1493" s="23">
        <v>957193494</v>
      </c>
      <c r="F1493" s="24" t="s">
        <v>948</v>
      </c>
      <c r="G1493" s="23">
        <v>231.17</v>
      </c>
      <c r="H1493" s="23">
        <v>20250301</v>
      </c>
      <c r="I1493" s="23" t="str">
        <f>TEXT(DATE(LEFT(H1493,4), MID(H1493,5,2), RIGHT(H1493,2)), "M/d/yyyy")</f>
        <v>3/1/2025</v>
      </c>
      <c r="J1493" s="25">
        <v>20250101</v>
      </c>
      <c r="K1493" s="23" t="str">
        <f>TEXT(DATE(LEFT(J1493,4), MID(J1493,5,2), RIGHT(J1493,2)), "M/d/yyyy")</f>
        <v>1/1/2025</v>
      </c>
      <c r="L1493" s="24" t="s">
        <v>937</v>
      </c>
      <c r="M1493" s="25">
        <v>100</v>
      </c>
      <c r="N1493" s="25">
        <v>0.18</v>
      </c>
      <c r="O1493" s="27">
        <v>41.61</v>
      </c>
      <c r="P1493" s="22" t="s">
        <v>3837</v>
      </c>
    </row>
    <row r="1494" spans="1:16" s="22" customFormat="1" ht="15" customHeight="1" x14ac:dyDescent="0.2">
      <c r="A1494" s="22" t="s">
        <v>3781</v>
      </c>
      <c r="B1494" s="22">
        <v>9213293</v>
      </c>
      <c r="C1494" s="30"/>
      <c r="D1494" s="23">
        <v>957193494</v>
      </c>
      <c r="E1494" s="23">
        <v>957193494</v>
      </c>
      <c r="F1494" s="24" t="s">
        <v>948</v>
      </c>
      <c r="G1494" s="23">
        <v>231.17</v>
      </c>
      <c r="H1494" s="23">
        <v>20250201</v>
      </c>
      <c r="I1494" s="23" t="str">
        <f>TEXT(DATE(LEFT(H1494,4), MID(H1494,5,2), RIGHT(H1494,2)), "M/d/yyyy")</f>
        <v>2/1/2025</v>
      </c>
      <c r="J1494" s="25">
        <v>20250101</v>
      </c>
      <c r="K1494" s="23" t="str">
        <f>TEXT(DATE(LEFT(J1494,4), MID(J1494,5,2), RIGHT(J1494,2)), "M/d/yyyy")</f>
        <v>1/1/2025</v>
      </c>
      <c r="L1494" s="24" t="s">
        <v>937</v>
      </c>
      <c r="M1494" s="25">
        <v>100</v>
      </c>
      <c r="N1494" s="25">
        <v>0.18</v>
      </c>
      <c r="O1494" s="27">
        <v>41.61</v>
      </c>
      <c r="P1494" s="22" t="s">
        <v>3837</v>
      </c>
    </row>
    <row r="1495" spans="1:16" s="22" customFormat="1" ht="15" customHeight="1" x14ac:dyDescent="0.2">
      <c r="A1495" s="22" t="s">
        <v>3788</v>
      </c>
      <c r="B1495" s="22">
        <v>18754354</v>
      </c>
      <c r="C1495" s="30"/>
      <c r="D1495" s="23">
        <v>957185740</v>
      </c>
      <c r="E1495" s="23">
        <v>957185740</v>
      </c>
      <c r="F1495" s="24" t="s">
        <v>2326</v>
      </c>
      <c r="G1495" s="23">
        <v>128.49</v>
      </c>
      <c r="H1495" s="23">
        <v>20250201</v>
      </c>
      <c r="I1495" s="23" t="str">
        <f>TEXT(DATE(LEFT(H1495,4), MID(H1495,5,2), RIGHT(H1495,2)), "M/d/yyyy")</f>
        <v>2/1/2025</v>
      </c>
      <c r="J1495" s="25">
        <v>20241201</v>
      </c>
      <c r="K1495" s="23" t="str">
        <f>TEXT(DATE(LEFT(J1495,4), MID(J1495,5,2), RIGHT(J1495,2)), "M/d/yyyy")</f>
        <v>12/1/2024</v>
      </c>
      <c r="L1495" s="24" t="s">
        <v>937</v>
      </c>
      <c r="M1495" s="25">
        <v>100</v>
      </c>
      <c r="N1495" s="25">
        <v>0.18</v>
      </c>
      <c r="O1495" s="27">
        <v>23.13</v>
      </c>
      <c r="P1495" s="22" t="s">
        <v>3837</v>
      </c>
    </row>
    <row r="1496" spans="1:16" s="22" customFormat="1" ht="15" customHeight="1" x14ac:dyDescent="0.2">
      <c r="A1496" s="22" t="s">
        <v>3788</v>
      </c>
      <c r="B1496" s="22">
        <v>18754354</v>
      </c>
      <c r="C1496" s="30"/>
      <c r="D1496" s="23">
        <v>957192008</v>
      </c>
      <c r="E1496" s="23">
        <v>957192008</v>
      </c>
      <c r="F1496" s="24" t="s">
        <v>2330</v>
      </c>
      <c r="G1496" s="23">
        <v>128.49</v>
      </c>
      <c r="H1496" s="23">
        <v>20250201</v>
      </c>
      <c r="I1496" s="23" t="str">
        <f>TEXT(DATE(LEFT(H1496,4), MID(H1496,5,2), RIGHT(H1496,2)), "M/d/yyyy")</f>
        <v>2/1/2025</v>
      </c>
      <c r="J1496" s="25">
        <v>20250101</v>
      </c>
      <c r="K1496" s="23" t="str">
        <f>TEXT(DATE(LEFT(J1496,4), MID(J1496,5,2), RIGHT(J1496,2)), "M/d/yyyy")</f>
        <v>1/1/2025</v>
      </c>
      <c r="L1496" s="24" t="s">
        <v>937</v>
      </c>
      <c r="M1496" s="25">
        <v>100</v>
      </c>
      <c r="N1496" s="25">
        <v>0.18</v>
      </c>
      <c r="O1496" s="27">
        <v>23.13</v>
      </c>
      <c r="P1496" s="22" t="s">
        <v>3837</v>
      </c>
    </row>
    <row r="1497" spans="1:16" s="22" customFormat="1" ht="15" customHeight="1" x14ac:dyDescent="0.2">
      <c r="A1497" s="22" t="s">
        <v>3788</v>
      </c>
      <c r="B1497" s="22">
        <v>18754354</v>
      </c>
      <c r="C1497" s="30"/>
      <c r="D1497" s="23">
        <v>957197789</v>
      </c>
      <c r="E1497" s="23">
        <v>957197789</v>
      </c>
      <c r="F1497" s="24" t="s">
        <v>2332</v>
      </c>
      <c r="G1497" s="23">
        <v>138.16</v>
      </c>
      <c r="H1497" s="23">
        <v>20250201</v>
      </c>
      <c r="I1497" s="23" t="str">
        <f>TEXT(DATE(LEFT(H1497,4), MID(H1497,5,2), RIGHT(H1497,2)), "M/d/yyyy")</f>
        <v>2/1/2025</v>
      </c>
      <c r="J1497" s="25">
        <v>20250101</v>
      </c>
      <c r="K1497" s="23" t="str">
        <f>TEXT(DATE(LEFT(J1497,4), MID(J1497,5,2), RIGHT(J1497,2)), "M/d/yyyy")</f>
        <v>1/1/2025</v>
      </c>
      <c r="L1497" s="24" t="s">
        <v>937</v>
      </c>
      <c r="M1497" s="25">
        <v>100</v>
      </c>
      <c r="N1497" s="25">
        <v>0.18</v>
      </c>
      <c r="O1497" s="27">
        <v>24.87</v>
      </c>
      <c r="P1497" s="22" t="s">
        <v>3837</v>
      </c>
    </row>
    <row r="1498" spans="1:16" s="22" customFormat="1" ht="15" customHeight="1" x14ac:dyDescent="0.2">
      <c r="A1498" s="22" t="s">
        <v>3788</v>
      </c>
      <c r="B1498" s="22">
        <v>18754354</v>
      </c>
      <c r="C1498" s="30"/>
      <c r="D1498" s="23">
        <v>957176531</v>
      </c>
      <c r="E1498" s="23">
        <v>957176531</v>
      </c>
      <c r="F1498" s="24" t="s">
        <v>2166</v>
      </c>
      <c r="G1498" s="23">
        <v>139.74</v>
      </c>
      <c r="H1498" s="23">
        <v>20250201</v>
      </c>
      <c r="I1498" s="23" t="str">
        <f>TEXT(DATE(LEFT(H1498,4), MID(H1498,5,2), RIGHT(H1498,2)), "M/d/yyyy")</f>
        <v>2/1/2025</v>
      </c>
      <c r="J1498" s="25">
        <v>20240601</v>
      </c>
      <c r="K1498" s="23" t="str">
        <f>TEXT(DATE(LEFT(J1498,4), MID(J1498,5,2), RIGHT(J1498,2)), "M/d/yyyy")</f>
        <v>6/1/2024</v>
      </c>
      <c r="L1498" s="24" t="s">
        <v>937</v>
      </c>
      <c r="M1498" s="25">
        <v>100</v>
      </c>
      <c r="N1498" s="25">
        <v>0.18</v>
      </c>
      <c r="O1498" s="27">
        <v>25.15</v>
      </c>
      <c r="P1498" s="22" t="s">
        <v>3837</v>
      </c>
    </row>
    <row r="1499" spans="1:16" s="22" customFormat="1" ht="15" customHeight="1" x14ac:dyDescent="0.2">
      <c r="A1499" s="22" t="s">
        <v>3791</v>
      </c>
      <c r="B1499" s="22">
        <v>2158366</v>
      </c>
      <c r="C1499" s="30"/>
      <c r="D1499" s="23">
        <v>957183257</v>
      </c>
      <c r="E1499" s="23">
        <v>957183257</v>
      </c>
      <c r="F1499" s="24" t="s">
        <v>2490</v>
      </c>
      <c r="G1499" s="23">
        <v>147.68</v>
      </c>
      <c r="H1499" s="23">
        <v>20250201</v>
      </c>
      <c r="I1499" s="23" t="str">
        <f>TEXT(DATE(LEFT(H1499,4), MID(H1499,5,2), RIGHT(H1499,2)), "M/d/yyyy")</f>
        <v>2/1/2025</v>
      </c>
      <c r="J1499" s="25">
        <v>20240901</v>
      </c>
      <c r="K1499" s="23" t="str">
        <f>TEXT(DATE(LEFT(J1499,4), MID(J1499,5,2), RIGHT(J1499,2)), "M/d/yyyy")</f>
        <v>9/1/2024</v>
      </c>
      <c r="L1499" s="24" t="s">
        <v>937</v>
      </c>
      <c r="M1499" s="25">
        <v>100</v>
      </c>
      <c r="N1499" s="25">
        <v>0.18</v>
      </c>
      <c r="O1499" s="27">
        <v>26.58</v>
      </c>
      <c r="P1499" s="22" t="s">
        <v>3837</v>
      </c>
    </row>
    <row r="1500" spans="1:16" s="22" customFormat="1" ht="15" customHeight="1" x14ac:dyDescent="0.2">
      <c r="A1500" s="22" t="s">
        <v>3810</v>
      </c>
      <c r="B1500" s="22">
        <v>6375605</v>
      </c>
      <c r="C1500" s="30"/>
      <c r="D1500" s="23">
        <v>957199602</v>
      </c>
      <c r="E1500" s="23">
        <v>957199602</v>
      </c>
      <c r="F1500" s="24" t="s">
        <v>3393</v>
      </c>
      <c r="G1500" s="23">
        <v>153.65</v>
      </c>
      <c r="H1500" s="23">
        <v>20250201</v>
      </c>
      <c r="I1500" s="23" t="str">
        <f>TEXT(DATE(LEFT(H1500,4), MID(H1500,5,2), RIGHT(H1500,2)), "M/d/yyyy")</f>
        <v>2/1/2025</v>
      </c>
      <c r="J1500" s="25">
        <v>20250101</v>
      </c>
      <c r="K1500" s="23" t="str">
        <f>TEXT(DATE(LEFT(J1500,4), MID(J1500,5,2), RIGHT(J1500,2)), "M/d/yyyy")</f>
        <v>1/1/2025</v>
      </c>
      <c r="L1500" s="24" t="s">
        <v>937</v>
      </c>
      <c r="M1500" s="25">
        <v>100</v>
      </c>
      <c r="N1500" s="25">
        <v>0.18</v>
      </c>
      <c r="O1500" s="27">
        <v>27.66</v>
      </c>
      <c r="P1500" s="22" t="s">
        <v>3837</v>
      </c>
    </row>
    <row r="1501" spans="1:16" s="22" customFormat="1" ht="15" customHeight="1" x14ac:dyDescent="0.2">
      <c r="A1501" s="22" t="s">
        <v>3810</v>
      </c>
      <c r="B1501" s="22">
        <v>6375605</v>
      </c>
      <c r="C1501" s="30"/>
      <c r="D1501" s="23">
        <v>957095574</v>
      </c>
      <c r="E1501" s="23">
        <v>957095574</v>
      </c>
      <c r="F1501" s="24" t="s">
        <v>3383</v>
      </c>
      <c r="G1501" s="23">
        <v>158.80000000000001</v>
      </c>
      <c r="H1501" s="23">
        <v>20250201</v>
      </c>
      <c r="I1501" s="23" t="str">
        <f>TEXT(DATE(LEFT(H1501,4), MID(H1501,5,2), RIGHT(H1501,2)), "M/d/yyyy")</f>
        <v>2/1/2025</v>
      </c>
      <c r="J1501" s="25">
        <v>20250101</v>
      </c>
      <c r="K1501" s="23" t="str">
        <f>TEXT(DATE(LEFT(J1501,4), MID(J1501,5,2), RIGHT(J1501,2)), "M/d/yyyy")</f>
        <v>1/1/2025</v>
      </c>
      <c r="L1501" s="24" t="s">
        <v>937</v>
      </c>
      <c r="M1501" s="25">
        <v>100</v>
      </c>
      <c r="N1501" s="25">
        <v>0.18</v>
      </c>
      <c r="O1501" s="27">
        <v>28.58</v>
      </c>
      <c r="P1501" s="22" t="s">
        <v>3837</v>
      </c>
    </row>
    <row r="1502" spans="1:16" s="22" customFormat="1" ht="15" customHeight="1" x14ac:dyDescent="0.2">
      <c r="A1502" s="22" t="s">
        <v>3810</v>
      </c>
      <c r="B1502" s="22">
        <v>6375605</v>
      </c>
      <c r="C1502" s="30"/>
      <c r="D1502" s="23">
        <v>957054077</v>
      </c>
      <c r="E1502" s="23">
        <v>957054077</v>
      </c>
      <c r="F1502" s="24" t="s">
        <v>3373</v>
      </c>
      <c r="G1502" s="23">
        <v>159.13</v>
      </c>
      <c r="H1502" s="23">
        <v>20250201</v>
      </c>
      <c r="I1502" s="23" t="str">
        <f>TEXT(DATE(LEFT(H1502,4), MID(H1502,5,2), RIGHT(H1502,2)), "M/d/yyyy")</f>
        <v>2/1/2025</v>
      </c>
      <c r="J1502" s="25">
        <v>20250101</v>
      </c>
      <c r="K1502" s="23" t="str">
        <f>TEXT(DATE(LEFT(J1502,4), MID(J1502,5,2), RIGHT(J1502,2)), "M/d/yyyy")</f>
        <v>1/1/2025</v>
      </c>
      <c r="L1502" s="24" t="s">
        <v>937</v>
      </c>
      <c r="M1502" s="25">
        <v>100</v>
      </c>
      <c r="N1502" s="25">
        <v>0.18</v>
      </c>
      <c r="O1502" s="27">
        <v>28.64</v>
      </c>
      <c r="P1502" s="22" t="s">
        <v>3837</v>
      </c>
    </row>
    <row r="1503" spans="1:16" s="22" customFormat="1" ht="15" customHeight="1" x14ac:dyDescent="0.2">
      <c r="A1503" s="22" t="s">
        <v>3800</v>
      </c>
      <c r="B1503" s="28" t="s">
        <v>3821</v>
      </c>
      <c r="C1503" s="30"/>
      <c r="D1503" s="23">
        <v>957178893</v>
      </c>
      <c r="E1503" s="23">
        <v>957178893</v>
      </c>
      <c r="F1503" s="24" t="s">
        <v>2964</v>
      </c>
      <c r="G1503" s="23">
        <v>115.64</v>
      </c>
      <c r="H1503" s="23">
        <v>20250201</v>
      </c>
      <c r="I1503" s="23" t="str">
        <f>TEXT(DATE(LEFT(H1503,4), MID(H1503,5,2), RIGHT(H1503,2)), "M/d/yyyy")</f>
        <v>2/1/2025</v>
      </c>
      <c r="J1503" s="25">
        <v>20240701</v>
      </c>
      <c r="K1503" s="23" t="str">
        <f>TEXT(DATE(LEFT(J1503,4), MID(J1503,5,2), RIGHT(J1503,2)), "M/d/yyyy")</f>
        <v>7/1/2024</v>
      </c>
      <c r="L1503" s="24" t="s">
        <v>937</v>
      </c>
      <c r="M1503" s="25">
        <v>100</v>
      </c>
      <c r="N1503" s="25">
        <v>0.18</v>
      </c>
      <c r="O1503" s="27">
        <v>20.82</v>
      </c>
      <c r="P1503" s="22" t="s">
        <v>3837</v>
      </c>
    </row>
    <row r="1504" spans="1:16" s="22" customFormat="1" ht="15" customHeight="1" x14ac:dyDescent="0.2">
      <c r="A1504" s="22" t="s">
        <v>3800</v>
      </c>
      <c r="B1504" s="28" t="s">
        <v>3821</v>
      </c>
      <c r="C1504" s="30"/>
      <c r="D1504" s="23">
        <v>957181213</v>
      </c>
      <c r="E1504" s="23">
        <v>957181213</v>
      </c>
      <c r="F1504" s="24" t="s">
        <v>2966</v>
      </c>
      <c r="G1504" s="23">
        <v>115.64</v>
      </c>
      <c r="H1504" s="23">
        <v>20250201</v>
      </c>
      <c r="I1504" s="23" t="str">
        <f>TEXT(DATE(LEFT(H1504,4), MID(H1504,5,2), RIGHT(H1504,2)), "M/d/yyyy")</f>
        <v>2/1/2025</v>
      </c>
      <c r="J1504" s="25">
        <v>20240901</v>
      </c>
      <c r="K1504" s="23" t="str">
        <f>TEXT(DATE(LEFT(J1504,4), MID(J1504,5,2), RIGHT(J1504,2)), "M/d/yyyy")</f>
        <v>9/1/2024</v>
      </c>
      <c r="L1504" s="24" t="s">
        <v>937</v>
      </c>
      <c r="M1504" s="25">
        <v>100</v>
      </c>
      <c r="N1504" s="25">
        <v>0.18</v>
      </c>
      <c r="O1504" s="27">
        <v>20.82</v>
      </c>
      <c r="P1504" s="22" t="s">
        <v>3837</v>
      </c>
    </row>
    <row r="1505" spans="1:16" s="22" customFormat="1" ht="15" customHeight="1" x14ac:dyDescent="0.2">
      <c r="A1505" s="22" t="s">
        <v>3800</v>
      </c>
      <c r="B1505" s="28" t="s">
        <v>3821</v>
      </c>
      <c r="C1505" s="30"/>
      <c r="D1505" s="23">
        <v>957188465</v>
      </c>
      <c r="E1505" s="23">
        <v>957188465</v>
      </c>
      <c r="F1505" s="24" t="s">
        <v>2992</v>
      </c>
      <c r="G1505" s="23">
        <v>127.19</v>
      </c>
      <c r="H1505" s="23">
        <v>20250201</v>
      </c>
      <c r="I1505" s="23" t="str">
        <f>TEXT(DATE(LEFT(H1505,4), MID(H1505,5,2), RIGHT(H1505,2)), "M/d/yyyy")</f>
        <v>2/1/2025</v>
      </c>
      <c r="J1505" s="25">
        <v>20250101</v>
      </c>
      <c r="K1505" s="23" t="str">
        <f>TEXT(DATE(LEFT(J1505,4), MID(J1505,5,2), RIGHT(J1505,2)), "M/d/yyyy")</f>
        <v>1/1/2025</v>
      </c>
      <c r="L1505" s="24" t="s">
        <v>937</v>
      </c>
      <c r="M1505" s="25">
        <v>100</v>
      </c>
      <c r="N1505" s="25">
        <v>0.18</v>
      </c>
      <c r="O1505" s="27">
        <v>22.89</v>
      </c>
      <c r="P1505" s="22" t="s">
        <v>3837</v>
      </c>
    </row>
    <row r="1506" spans="1:16" s="22" customFormat="1" ht="15" customHeight="1" x14ac:dyDescent="0.2">
      <c r="A1506" s="22" t="s">
        <v>3818</v>
      </c>
      <c r="B1506" s="22">
        <v>20552652</v>
      </c>
      <c r="C1506" s="30"/>
      <c r="D1506" s="23">
        <v>957194293</v>
      </c>
      <c r="E1506" s="23">
        <v>957194293</v>
      </c>
      <c r="F1506" s="24" t="s">
        <v>3498</v>
      </c>
      <c r="G1506" s="23">
        <v>197.58</v>
      </c>
      <c r="H1506" s="23">
        <v>20250201</v>
      </c>
      <c r="I1506" s="23" t="str">
        <f>TEXT(DATE(LEFT(H1506,4), MID(H1506,5,2), RIGHT(H1506,2)), "M/d/yyyy")</f>
        <v>2/1/2025</v>
      </c>
      <c r="J1506" s="25">
        <v>20250101</v>
      </c>
      <c r="K1506" s="23" t="str">
        <f>TEXT(DATE(LEFT(J1506,4), MID(J1506,5,2), RIGHT(J1506,2)), "M/d/yyyy")</f>
        <v>1/1/2025</v>
      </c>
      <c r="L1506" s="24" t="s">
        <v>937</v>
      </c>
      <c r="M1506" s="25">
        <v>100</v>
      </c>
      <c r="N1506" s="25">
        <v>0.18</v>
      </c>
      <c r="O1506" s="27">
        <v>35.56</v>
      </c>
      <c r="P1506" s="22" t="s">
        <v>3837</v>
      </c>
    </row>
    <row r="1507" spans="1:16" s="22" customFormat="1" ht="15" customHeight="1" x14ac:dyDescent="0.2">
      <c r="A1507" s="22" t="s">
        <v>3784</v>
      </c>
      <c r="B1507" s="22">
        <v>8244481</v>
      </c>
      <c r="C1507" s="30"/>
      <c r="D1507" s="23">
        <v>957203744</v>
      </c>
      <c r="E1507" s="23">
        <v>957203744</v>
      </c>
      <c r="F1507" s="24" t="s">
        <v>1828</v>
      </c>
      <c r="G1507" s="23" t="s">
        <v>3827</v>
      </c>
      <c r="H1507" s="23">
        <v>20250301</v>
      </c>
      <c r="I1507" s="23" t="str">
        <f>TEXT(DATE(LEFT(H1507,4), MID(H1507,5,2), RIGHT(H1507,2)), "M/d/yyyy")</f>
        <v>3/1/2025</v>
      </c>
      <c r="J1507" s="25">
        <v>20250101</v>
      </c>
      <c r="K1507" s="23" t="str">
        <f>TEXT(DATE(LEFT(J1507,4), MID(J1507,5,2), RIGHT(J1507,2)), "M/d/yyyy")</f>
        <v>1/1/2025</v>
      </c>
      <c r="L1507" s="24" t="s">
        <v>937</v>
      </c>
      <c r="M1507" s="25">
        <v>100</v>
      </c>
      <c r="N1507" s="25">
        <v>0.18</v>
      </c>
      <c r="O1507" s="27">
        <v>-22.64</v>
      </c>
      <c r="P1507" s="22" t="s">
        <v>3837</v>
      </c>
    </row>
    <row r="1508" spans="1:16" s="22" customFormat="1" ht="15" customHeight="1" x14ac:dyDescent="0.2">
      <c r="A1508" s="22" t="s">
        <v>3784</v>
      </c>
      <c r="B1508" s="22">
        <v>8244481</v>
      </c>
      <c r="C1508" s="30"/>
      <c r="D1508" s="23">
        <v>957189937</v>
      </c>
      <c r="E1508" s="23">
        <v>957189937</v>
      </c>
      <c r="F1508" s="24" t="s">
        <v>1788</v>
      </c>
      <c r="G1508" s="23" t="s">
        <v>3826</v>
      </c>
      <c r="H1508" s="23">
        <v>20250201</v>
      </c>
      <c r="I1508" s="23" t="str">
        <f>TEXT(DATE(LEFT(H1508,4), MID(H1508,5,2), RIGHT(H1508,2)), "M/d/yyyy")</f>
        <v>2/1/2025</v>
      </c>
      <c r="J1508" s="25">
        <v>20241101</v>
      </c>
      <c r="K1508" s="23" t="str">
        <f>TEXT(DATE(LEFT(J1508,4), MID(J1508,5,2), RIGHT(J1508,2)), "M/d/yyyy")</f>
        <v>11/1/2024</v>
      </c>
      <c r="L1508" s="24" t="s">
        <v>937</v>
      </c>
      <c r="M1508" s="25">
        <v>100</v>
      </c>
      <c r="N1508" s="25">
        <v>0.18</v>
      </c>
      <c r="O1508" s="27">
        <v>-20.82</v>
      </c>
      <c r="P1508" s="22" t="s">
        <v>3837</v>
      </c>
    </row>
    <row r="1509" spans="1:16" s="22" customFormat="1" ht="15" customHeight="1" x14ac:dyDescent="0.2">
      <c r="A1509" s="22" t="s">
        <v>3784</v>
      </c>
      <c r="B1509" s="22">
        <v>8244481</v>
      </c>
      <c r="C1509" s="30"/>
      <c r="D1509" s="23">
        <v>957203747</v>
      </c>
      <c r="E1509" s="23">
        <v>957203747</v>
      </c>
      <c r="F1509" s="24" t="s">
        <v>1832</v>
      </c>
      <c r="G1509" s="23" t="s">
        <v>3828</v>
      </c>
      <c r="H1509" s="23">
        <v>20250301</v>
      </c>
      <c r="I1509" s="23" t="str">
        <f>TEXT(DATE(LEFT(H1509,4), MID(H1509,5,2), RIGHT(H1509,2)), "M/d/yyyy")</f>
        <v>3/1/2025</v>
      </c>
      <c r="J1509" s="25">
        <v>20250101</v>
      </c>
      <c r="K1509" s="23" t="str">
        <f>TEXT(DATE(LEFT(J1509,4), MID(J1509,5,2), RIGHT(J1509,2)), "M/d/yyyy")</f>
        <v>1/1/2025</v>
      </c>
      <c r="L1509" s="24" t="s">
        <v>937</v>
      </c>
      <c r="M1509" s="25">
        <v>100</v>
      </c>
      <c r="N1509" s="25">
        <v>0.18</v>
      </c>
      <c r="O1509" s="27">
        <v>-20.71</v>
      </c>
      <c r="P1509" s="22" t="s">
        <v>3837</v>
      </c>
    </row>
    <row r="1510" spans="1:16" s="22" customFormat="1" ht="15" customHeight="1" x14ac:dyDescent="0.2">
      <c r="A1510" s="22" t="s">
        <v>3784</v>
      </c>
      <c r="B1510" s="22">
        <v>8244481</v>
      </c>
      <c r="C1510" s="30"/>
      <c r="D1510" s="23">
        <v>957182209</v>
      </c>
      <c r="E1510" s="23">
        <v>957182209</v>
      </c>
      <c r="F1510" s="24" t="s">
        <v>1748</v>
      </c>
      <c r="G1510" s="23">
        <v>109.42</v>
      </c>
      <c r="H1510" s="23">
        <v>20250301</v>
      </c>
      <c r="I1510" s="23" t="str">
        <f>TEXT(DATE(LEFT(H1510,4), MID(H1510,5,2), RIGHT(H1510,2)), "M/d/yyyy")</f>
        <v>3/1/2025</v>
      </c>
      <c r="J1510" s="25">
        <v>20240901</v>
      </c>
      <c r="K1510" s="23" t="str">
        <f>TEXT(DATE(LEFT(J1510,4), MID(J1510,5,2), RIGHT(J1510,2)), "M/d/yyyy")</f>
        <v>9/1/2024</v>
      </c>
      <c r="L1510" s="24" t="s">
        <v>937</v>
      </c>
      <c r="M1510" s="25">
        <v>100</v>
      </c>
      <c r="N1510" s="25">
        <v>0.18</v>
      </c>
      <c r="O1510" s="27">
        <v>19.7</v>
      </c>
      <c r="P1510" s="22" t="s">
        <v>3837</v>
      </c>
    </row>
    <row r="1511" spans="1:16" s="22" customFormat="1" ht="15" customHeight="1" x14ac:dyDescent="0.2">
      <c r="A1511" s="22" t="s">
        <v>3784</v>
      </c>
      <c r="B1511" s="22">
        <v>8244481</v>
      </c>
      <c r="C1511" s="30"/>
      <c r="D1511" s="23">
        <v>957182209</v>
      </c>
      <c r="E1511" s="23">
        <v>957182209</v>
      </c>
      <c r="F1511" s="24" t="s">
        <v>1748</v>
      </c>
      <c r="G1511" s="23">
        <v>109.42</v>
      </c>
      <c r="H1511" s="23">
        <v>20250201</v>
      </c>
      <c r="I1511" s="23" t="str">
        <f>TEXT(DATE(LEFT(H1511,4), MID(H1511,5,2), RIGHT(H1511,2)), "M/d/yyyy")</f>
        <v>2/1/2025</v>
      </c>
      <c r="J1511" s="25">
        <v>20240901</v>
      </c>
      <c r="K1511" s="23" t="str">
        <f>TEXT(DATE(LEFT(J1511,4), MID(J1511,5,2), RIGHT(J1511,2)), "M/d/yyyy")</f>
        <v>9/1/2024</v>
      </c>
      <c r="L1511" s="24" t="s">
        <v>937</v>
      </c>
      <c r="M1511" s="25">
        <v>100</v>
      </c>
      <c r="N1511" s="25">
        <v>0.18</v>
      </c>
      <c r="O1511" s="27">
        <v>19.7</v>
      </c>
      <c r="P1511" s="22" t="s">
        <v>3837</v>
      </c>
    </row>
    <row r="1512" spans="1:16" s="22" customFormat="1" ht="15" customHeight="1" x14ac:dyDescent="0.2">
      <c r="A1512" s="22" t="s">
        <v>3784</v>
      </c>
      <c r="B1512" s="22">
        <v>8244481</v>
      </c>
      <c r="C1512" s="30"/>
      <c r="D1512" s="23">
        <v>957188880</v>
      </c>
      <c r="E1512" s="23">
        <v>957188880</v>
      </c>
      <c r="F1512" s="24" t="s">
        <v>1780</v>
      </c>
      <c r="G1512" s="23">
        <v>111.91</v>
      </c>
      <c r="H1512" s="23">
        <v>20250201</v>
      </c>
      <c r="I1512" s="23" t="str">
        <f>TEXT(DATE(LEFT(H1512,4), MID(H1512,5,2), RIGHT(H1512,2)), "M/d/yyyy")</f>
        <v>2/1/2025</v>
      </c>
      <c r="J1512" s="25">
        <v>20241101</v>
      </c>
      <c r="K1512" s="23" t="str">
        <f>TEXT(DATE(LEFT(J1512,4), MID(J1512,5,2), RIGHT(J1512,2)), "M/d/yyyy")</f>
        <v>11/1/2024</v>
      </c>
      <c r="L1512" s="24" t="s">
        <v>937</v>
      </c>
      <c r="M1512" s="25">
        <v>100</v>
      </c>
      <c r="N1512" s="25">
        <v>0.18</v>
      </c>
      <c r="O1512" s="27">
        <v>20.14</v>
      </c>
      <c r="P1512" s="22" t="s">
        <v>3837</v>
      </c>
    </row>
    <row r="1513" spans="1:16" s="22" customFormat="1" ht="15" customHeight="1" x14ac:dyDescent="0.2">
      <c r="A1513" s="22" t="s">
        <v>3784</v>
      </c>
      <c r="B1513" s="22">
        <v>8244481</v>
      </c>
      <c r="C1513" s="30"/>
      <c r="D1513" s="23">
        <v>957203747</v>
      </c>
      <c r="E1513" s="23">
        <v>957203747</v>
      </c>
      <c r="F1513" s="24" t="s">
        <v>1832</v>
      </c>
      <c r="G1513" s="23">
        <v>115.08</v>
      </c>
      <c r="H1513" s="23">
        <v>20250301</v>
      </c>
      <c r="I1513" s="23" t="str">
        <f>TEXT(DATE(LEFT(H1513,4), MID(H1513,5,2), RIGHT(H1513,2)), "M/d/yyyy")</f>
        <v>3/1/2025</v>
      </c>
      <c r="J1513" s="25">
        <v>20250101</v>
      </c>
      <c r="K1513" s="23" t="str">
        <f>TEXT(DATE(LEFT(J1513,4), MID(J1513,5,2), RIGHT(J1513,2)), "M/d/yyyy")</f>
        <v>1/1/2025</v>
      </c>
      <c r="L1513" s="24" t="s">
        <v>937</v>
      </c>
      <c r="M1513" s="25">
        <v>100</v>
      </c>
      <c r="N1513" s="25">
        <v>0.18</v>
      </c>
      <c r="O1513" s="27">
        <v>20.71</v>
      </c>
      <c r="P1513" s="22" t="s">
        <v>3837</v>
      </c>
    </row>
    <row r="1514" spans="1:16" s="22" customFormat="1" ht="15" customHeight="1" x14ac:dyDescent="0.2">
      <c r="A1514" s="22" t="s">
        <v>3784</v>
      </c>
      <c r="B1514" s="22">
        <v>8244481</v>
      </c>
      <c r="C1514" s="30"/>
      <c r="D1514" s="23">
        <v>957203747</v>
      </c>
      <c r="E1514" s="23">
        <v>957203747</v>
      </c>
      <c r="F1514" s="24" t="s">
        <v>1832</v>
      </c>
      <c r="G1514" s="23">
        <v>115.08</v>
      </c>
      <c r="H1514" s="23">
        <v>20250301</v>
      </c>
      <c r="I1514" s="23" t="str">
        <f>TEXT(DATE(LEFT(H1514,4), MID(H1514,5,2), RIGHT(H1514,2)), "M/d/yyyy")</f>
        <v>3/1/2025</v>
      </c>
      <c r="J1514" s="25">
        <v>20250101</v>
      </c>
      <c r="K1514" s="23" t="str">
        <f>TEXT(DATE(LEFT(J1514,4), MID(J1514,5,2), RIGHT(J1514,2)), "M/d/yyyy")</f>
        <v>1/1/2025</v>
      </c>
      <c r="L1514" s="24" t="s">
        <v>937</v>
      </c>
      <c r="M1514" s="25">
        <v>100</v>
      </c>
      <c r="N1514" s="25">
        <v>0.18</v>
      </c>
      <c r="O1514" s="27">
        <v>20.71</v>
      </c>
      <c r="P1514" s="22" t="s">
        <v>3837</v>
      </c>
    </row>
    <row r="1515" spans="1:16" s="22" customFormat="1" ht="15" customHeight="1" x14ac:dyDescent="0.2">
      <c r="A1515" s="22" t="s">
        <v>3784</v>
      </c>
      <c r="B1515" s="22">
        <v>8244481</v>
      </c>
      <c r="C1515" s="30"/>
      <c r="D1515" s="23">
        <v>957177321</v>
      </c>
      <c r="E1515" s="23">
        <v>957177321</v>
      </c>
      <c r="F1515" s="24" t="s">
        <v>1714</v>
      </c>
      <c r="G1515" s="23">
        <v>115.64</v>
      </c>
      <c r="H1515" s="23">
        <v>20250301</v>
      </c>
      <c r="I1515" s="23" t="str">
        <f>TEXT(DATE(LEFT(H1515,4), MID(H1515,5,2), RIGHT(H1515,2)), "M/d/yyyy")</f>
        <v>3/1/2025</v>
      </c>
      <c r="J1515" s="25">
        <v>20240701</v>
      </c>
      <c r="K1515" s="23" t="str">
        <f>TEXT(DATE(LEFT(J1515,4), MID(J1515,5,2), RIGHT(J1515,2)), "M/d/yyyy")</f>
        <v>7/1/2024</v>
      </c>
      <c r="L1515" s="24" t="s">
        <v>937</v>
      </c>
      <c r="M1515" s="25">
        <v>100</v>
      </c>
      <c r="N1515" s="25">
        <v>0.18</v>
      </c>
      <c r="O1515" s="27">
        <v>20.82</v>
      </c>
      <c r="P1515" s="22" t="s">
        <v>3837</v>
      </c>
    </row>
    <row r="1516" spans="1:16" s="22" customFormat="1" ht="15" customHeight="1" x14ac:dyDescent="0.2">
      <c r="A1516" s="22" t="s">
        <v>3784</v>
      </c>
      <c r="B1516" s="22">
        <v>8244481</v>
      </c>
      <c r="C1516" s="30"/>
      <c r="D1516" s="23">
        <v>957178723</v>
      </c>
      <c r="E1516" s="23">
        <v>957178723</v>
      </c>
      <c r="F1516" s="24" t="s">
        <v>1729</v>
      </c>
      <c r="G1516" s="23">
        <v>115.64</v>
      </c>
      <c r="H1516" s="23">
        <v>20250207</v>
      </c>
      <c r="I1516" s="23" t="str">
        <f>TEXT(DATE(LEFT(H1516,4), MID(H1516,5,2), RIGHT(H1516,2)), "M/d/yyyy")</f>
        <v>2/7/2025</v>
      </c>
      <c r="J1516" s="25">
        <v>20241207</v>
      </c>
      <c r="K1516" s="23" t="str">
        <f>TEXT(DATE(LEFT(J1516,4), MID(J1516,5,2), RIGHT(J1516,2)), "M/d/yyyy")</f>
        <v>12/7/2024</v>
      </c>
      <c r="L1516" s="24" t="s">
        <v>937</v>
      </c>
      <c r="M1516" s="25">
        <v>100</v>
      </c>
      <c r="N1516" s="25">
        <v>0.18</v>
      </c>
      <c r="O1516" s="27">
        <v>20.82</v>
      </c>
      <c r="P1516" s="22" t="s">
        <v>3837</v>
      </c>
    </row>
    <row r="1517" spans="1:16" s="22" customFormat="1" ht="15" customHeight="1" x14ac:dyDescent="0.2">
      <c r="A1517" s="22" t="s">
        <v>3784</v>
      </c>
      <c r="B1517" s="22">
        <v>8244481</v>
      </c>
      <c r="C1517" s="30"/>
      <c r="D1517" s="23">
        <v>957178723</v>
      </c>
      <c r="E1517" s="23">
        <v>957178723</v>
      </c>
      <c r="F1517" s="24" t="s">
        <v>1729</v>
      </c>
      <c r="G1517" s="23">
        <v>115.64</v>
      </c>
      <c r="H1517" s="23">
        <v>20250107</v>
      </c>
      <c r="I1517" s="23" t="str">
        <f>TEXT(DATE(LEFT(H1517,4), MID(H1517,5,2), RIGHT(H1517,2)), "M/d/yyyy")</f>
        <v>1/7/2025</v>
      </c>
      <c r="J1517" s="25">
        <v>20241207</v>
      </c>
      <c r="K1517" s="23" t="str">
        <f>TEXT(DATE(LEFT(J1517,4), MID(J1517,5,2), RIGHT(J1517,2)), "M/d/yyyy")</f>
        <v>12/7/2024</v>
      </c>
      <c r="L1517" s="24" t="s">
        <v>937</v>
      </c>
      <c r="M1517" s="25">
        <v>100</v>
      </c>
      <c r="N1517" s="25">
        <v>0.18</v>
      </c>
      <c r="O1517" s="27">
        <v>20.82</v>
      </c>
      <c r="P1517" s="22" t="s">
        <v>3837</v>
      </c>
    </row>
    <row r="1518" spans="1:16" s="22" customFormat="1" ht="15" customHeight="1" x14ac:dyDescent="0.2">
      <c r="A1518" s="22" t="s">
        <v>3784</v>
      </c>
      <c r="B1518" s="22">
        <v>8244481</v>
      </c>
      <c r="C1518" s="30"/>
      <c r="D1518" s="23">
        <v>957182178</v>
      </c>
      <c r="E1518" s="23">
        <v>957182178</v>
      </c>
      <c r="F1518" s="24" t="s">
        <v>1746</v>
      </c>
      <c r="G1518" s="23">
        <v>115.64</v>
      </c>
      <c r="H1518" s="23">
        <v>20250301</v>
      </c>
      <c r="I1518" s="23" t="str">
        <f>TEXT(DATE(LEFT(H1518,4), MID(H1518,5,2), RIGHT(H1518,2)), "M/d/yyyy")</f>
        <v>3/1/2025</v>
      </c>
      <c r="J1518" s="25">
        <v>20241001</v>
      </c>
      <c r="K1518" s="23" t="str">
        <f>TEXT(DATE(LEFT(J1518,4), MID(J1518,5,2), RIGHT(J1518,2)), "M/d/yyyy")</f>
        <v>10/1/2024</v>
      </c>
      <c r="L1518" s="24" t="s">
        <v>937</v>
      </c>
      <c r="M1518" s="25">
        <v>100</v>
      </c>
      <c r="N1518" s="25">
        <v>0.18</v>
      </c>
      <c r="O1518" s="27">
        <v>20.82</v>
      </c>
      <c r="P1518" s="22" t="s">
        <v>3837</v>
      </c>
    </row>
    <row r="1519" spans="1:16" s="22" customFormat="1" ht="15" customHeight="1" x14ac:dyDescent="0.2">
      <c r="A1519" s="22" t="s">
        <v>3784</v>
      </c>
      <c r="B1519" s="22">
        <v>8244481</v>
      </c>
      <c r="C1519" s="30"/>
      <c r="D1519" s="23">
        <v>957184011</v>
      </c>
      <c r="E1519" s="23">
        <v>957184011</v>
      </c>
      <c r="F1519" s="24" t="s">
        <v>1752</v>
      </c>
      <c r="G1519" s="23">
        <v>115.64</v>
      </c>
      <c r="H1519" s="23">
        <v>20250222</v>
      </c>
      <c r="I1519" s="23" t="str">
        <f>TEXT(DATE(LEFT(H1519,4), MID(H1519,5,2), RIGHT(H1519,2)), "M/d/yyyy")</f>
        <v>2/22/2025</v>
      </c>
      <c r="J1519" s="25">
        <v>20241122</v>
      </c>
      <c r="K1519" s="23" t="str">
        <f>TEXT(DATE(LEFT(J1519,4), MID(J1519,5,2), RIGHT(J1519,2)), "M/d/yyyy")</f>
        <v>11/22/2024</v>
      </c>
      <c r="L1519" s="24" t="s">
        <v>937</v>
      </c>
      <c r="M1519" s="25">
        <v>100</v>
      </c>
      <c r="N1519" s="25">
        <v>0.18</v>
      </c>
      <c r="O1519" s="27">
        <v>20.82</v>
      </c>
      <c r="P1519" s="22" t="s">
        <v>3837</v>
      </c>
    </row>
    <row r="1520" spans="1:16" s="22" customFormat="1" ht="15" customHeight="1" x14ac:dyDescent="0.2">
      <c r="A1520" s="22" t="s">
        <v>3784</v>
      </c>
      <c r="B1520" s="22">
        <v>8244481</v>
      </c>
      <c r="C1520" s="30"/>
      <c r="D1520" s="23">
        <v>957188567</v>
      </c>
      <c r="E1520" s="23">
        <v>957188567</v>
      </c>
      <c r="F1520" s="24" t="s">
        <v>1778</v>
      </c>
      <c r="G1520" s="23">
        <v>115.64</v>
      </c>
      <c r="H1520" s="23">
        <v>20250301</v>
      </c>
      <c r="I1520" s="23" t="str">
        <f>TEXT(DATE(LEFT(H1520,4), MID(H1520,5,2), RIGHT(H1520,2)), "M/d/yyyy")</f>
        <v>3/1/2025</v>
      </c>
      <c r="J1520" s="25">
        <v>20241201</v>
      </c>
      <c r="K1520" s="23" t="str">
        <f>TEXT(DATE(LEFT(J1520,4), MID(J1520,5,2), RIGHT(J1520,2)), "M/d/yyyy")</f>
        <v>12/1/2024</v>
      </c>
      <c r="L1520" s="24" t="s">
        <v>937</v>
      </c>
      <c r="M1520" s="25">
        <v>100</v>
      </c>
      <c r="N1520" s="25">
        <v>0.18</v>
      </c>
      <c r="O1520" s="27">
        <v>20.82</v>
      </c>
      <c r="P1520" s="22" t="s">
        <v>3837</v>
      </c>
    </row>
    <row r="1521" spans="1:16" s="22" customFormat="1" ht="15" customHeight="1" x14ac:dyDescent="0.2">
      <c r="A1521" s="22" t="s">
        <v>3784</v>
      </c>
      <c r="B1521" s="22">
        <v>8244481</v>
      </c>
      <c r="C1521" s="30"/>
      <c r="D1521" s="23">
        <v>957189937</v>
      </c>
      <c r="E1521" s="23">
        <v>957189937</v>
      </c>
      <c r="F1521" s="24" t="s">
        <v>1788</v>
      </c>
      <c r="G1521" s="23">
        <v>115.64</v>
      </c>
      <c r="H1521" s="23">
        <v>20250301</v>
      </c>
      <c r="I1521" s="23" t="str">
        <f>TEXT(DATE(LEFT(H1521,4), MID(H1521,5,2), RIGHT(H1521,2)), "M/d/yyyy")</f>
        <v>3/1/2025</v>
      </c>
      <c r="J1521" s="25">
        <v>20241101</v>
      </c>
      <c r="K1521" s="23" t="str">
        <f>TEXT(DATE(LEFT(J1521,4), MID(J1521,5,2), RIGHT(J1521,2)), "M/d/yyyy")</f>
        <v>11/1/2024</v>
      </c>
      <c r="L1521" s="24" t="s">
        <v>937</v>
      </c>
      <c r="M1521" s="25">
        <v>100</v>
      </c>
      <c r="N1521" s="25">
        <v>0.18</v>
      </c>
      <c r="O1521" s="27">
        <v>20.82</v>
      </c>
      <c r="P1521" s="22" t="s">
        <v>3837</v>
      </c>
    </row>
    <row r="1522" spans="1:16" s="22" customFormat="1" ht="15" customHeight="1" x14ac:dyDescent="0.2">
      <c r="A1522" s="22" t="s">
        <v>3784</v>
      </c>
      <c r="B1522" s="22">
        <v>8244481</v>
      </c>
      <c r="C1522" s="30"/>
      <c r="D1522" s="23">
        <v>957189937</v>
      </c>
      <c r="E1522" s="23">
        <v>957189937</v>
      </c>
      <c r="F1522" s="24" t="s">
        <v>1788</v>
      </c>
      <c r="G1522" s="23">
        <v>115.64</v>
      </c>
      <c r="H1522" s="23">
        <v>20250201</v>
      </c>
      <c r="I1522" s="23" t="str">
        <f>TEXT(DATE(LEFT(H1522,4), MID(H1522,5,2), RIGHT(H1522,2)), "M/d/yyyy")</f>
        <v>2/1/2025</v>
      </c>
      <c r="J1522" s="25">
        <v>20241101</v>
      </c>
      <c r="K1522" s="23" t="str">
        <f>TEXT(DATE(LEFT(J1522,4), MID(J1522,5,2), RIGHT(J1522,2)), "M/d/yyyy")</f>
        <v>11/1/2024</v>
      </c>
      <c r="L1522" s="24" t="s">
        <v>937</v>
      </c>
      <c r="M1522" s="25">
        <v>100</v>
      </c>
      <c r="N1522" s="25">
        <v>0.18</v>
      </c>
      <c r="O1522" s="27">
        <v>20.82</v>
      </c>
      <c r="P1522" s="22" t="s">
        <v>3837</v>
      </c>
    </row>
    <row r="1523" spans="1:16" s="22" customFormat="1" ht="15" customHeight="1" x14ac:dyDescent="0.2">
      <c r="A1523" s="22" t="s">
        <v>3784</v>
      </c>
      <c r="B1523" s="22">
        <v>8244481</v>
      </c>
      <c r="C1523" s="30"/>
      <c r="D1523" s="23">
        <v>957189937</v>
      </c>
      <c r="E1523" s="23">
        <v>957189937</v>
      </c>
      <c r="F1523" s="24" t="s">
        <v>1788</v>
      </c>
      <c r="G1523" s="23">
        <v>115.64</v>
      </c>
      <c r="H1523" s="23">
        <v>20250201</v>
      </c>
      <c r="I1523" s="23" t="str">
        <f>TEXT(DATE(LEFT(H1523,4), MID(H1523,5,2), RIGHT(H1523,2)), "M/d/yyyy")</f>
        <v>2/1/2025</v>
      </c>
      <c r="J1523" s="25">
        <v>20241101</v>
      </c>
      <c r="K1523" s="23" t="str">
        <f>TEXT(DATE(LEFT(J1523,4), MID(J1523,5,2), RIGHT(J1523,2)), "M/d/yyyy")</f>
        <v>11/1/2024</v>
      </c>
      <c r="L1523" s="24" t="s">
        <v>937</v>
      </c>
      <c r="M1523" s="25">
        <v>100</v>
      </c>
      <c r="N1523" s="25">
        <v>0.18</v>
      </c>
      <c r="O1523" s="27">
        <v>20.82</v>
      </c>
      <c r="P1523" s="22" t="s">
        <v>3837</v>
      </c>
    </row>
    <row r="1524" spans="1:16" s="22" customFormat="1" ht="15" customHeight="1" x14ac:dyDescent="0.2">
      <c r="A1524" s="22" t="s">
        <v>3784</v>
      </c>
      <c r="B1524" s="22">
        <v>8244481</v>
      </c>
      <c r="C1524" s="30"/>
      <c r="D1524" s="23">
        <v>957189937</v>
      </c>
      <c r="E1524" s="23">
        <v>957189937</v>
      </c>
      <c r="F1524" s="24" t="s">
        <v>1788</v>
      </c>
      <c r="G1524" s="23">
        <v>115.64</v>
      </c>
      <c r="H1524" s="23">
        <v>20250101</v>
      </c>
      <c r="I1524" s="23" t="str">
        <f>TEXT(DATE(LEFT(H1524,4), MID(H1524,5,2), RIGHT(H1524,2)), "M/d/yyyy")</f>
        <v>1/1/2025</v>
      </c>
      <c r="J1524" s="25">
        <v>20241101</v>
      </c>
      <c r="K1524" s="23" t="str">
        <f>TEXT(DATE(LEFT(J1524,4), MID(J1524,5,2), RIGHT(J1524,2)), "M/d/yyyy")</f>
        <v>11/1/2024</v>
      </c>
      <c r="L1524" s="24" t="s">
        <v>937</v>
      </c>
      <c r="M1524" s="25">
        <v>100</v>
      </c>
      <c r="N1524" s="25">
        <v>0.18</v>
      </c>
      <c r="O1524" s="27">
        <v>20.82</v>
      </c>
      <c r="P1524" s="22" t="s">
        <v>3837</v>
      </c>
    </row>
    <row r="1525" spans="1:16" s="22" customFormat="1" ht="15" customHeight="1" x14ac:dyDescent="0.2">
      <c r="A1525" s="22" t="s">
        <v>3784</v>
      </c>
      <c r="B1525" s="22">
        <v>8244481</v>
      </c>
      <c r="C1525" s="30"/>
      <c r="D1525" s="23">
        <v>957189937</v>
      </c>
      <c r="E1525" s="23">
        <v>957189937</v>
      </c>
      <c r="F1525" s="24" t="s">
        <v>1788</v>
      </c>
      <c r="G1525" s="23">
        <v>115.64</v>
      </c>
      <c r="H1525" s="23">
        <v>20250101</v>
      </c>
      <c r="I1525" s="23" t="str">
        <f>TEXT(DATE(LEFT(H1525,4), MID(H1525,5,2), RIGHT(H1525,2)), "M/d/yyyy")</f>
        <v>1/1/2025</v>
      </c>
      <c r="J1525" s="25">
        <v>20241101</v>
      </c>
      <c r="K1525" s="23" t="str">
        <f>TEXT(DATE(LEFT(J1525,4), MID(J1525,5,2), RIGHT(J1525,2)), "M/d/yyyy")</f>
        <v>11/1/2024</v>
      </c>
      <c r="L1525" s="24" t="s">
        <v>937</v>
      </c>
      <c r="M1525" s="25">
        <v>100</v>
      </c>
      <c r="N1525" s="25">
        <v>0.18</v>
      </c>
      <c r="O1525" s="27">
        <v>20.82</v>
      </c>
      <c r="P1525" s="22" t="s">
        <v>3837</v>
      </c>
    </row>
    <row r="1526" spans="1:16" s="22" customFormat="1" ht="15" customHeight="1" x14ac:dyDescent="0.2">
      <c r="A1526" s="22" t="s">
        <v>3784</v>
      </c>
      <c r="B1526" s="22">
        <v>8244481</v>
      </c>
      <c r="C1526" s="30"/>
      <c r="D1526" s="23">
        <v>957189937</v>
      </c>
      <c r="E1526" s="23">
        <v>957189937</v>
      </c>
      <c r="F1526" s="24" t="s">
        <v>1788</v>
      </c>
      <c r="G1526" s="23">
        <v>115.64</v>
      </c>
      <c r="H1526" s="23">
        <v>20241201</v>
      </c>
      <c r="I1526" s="23" t="str">
        <f>TEXT(DATE(LEFT(H1526,4), MID(H1526,5,2), RIGHT(H1526,2)), "M/d/yyyy")</f>
        <v>12/1/2024</v>
      </c>
      <c r="J1526" s="25">
        <v>20241101</v>
      </c>
      <c r="K1526" s="23" t="str">
        <f>TEXT(DATE(LEFT(J1526,4), MID(J1526,5,2), RIGHT(J1526,2)), "M/d/yyyy")</f>
        <v>11/1/2024</v>
      </c>
      <c r="L1526" s="24" t="s">
        <v>937</v>
      </c>
      <c r="M1526" s="25">
        <v>100</v>
      </c>
      <c r="N1526" s="25">
        <v>0.18</v>
      </c>
      <c r="O1526" s="27">
        <v>20.82</v>
      </c>
      <c r="P1526" s="22" t="s">
        <v>3837</v>
      </c>
    </row>
    <row r="1527" spans="1:16" s="22" customFormat="1" ht="15" customHeight="1" x14ac:dyDescent="0.2">
      <c r="A1527" s="22" t="s">
        <v>3784</v>
      </c>
      <c r="B1527" s="22">
        <v>8244481</v>
      </c>
      <c r="C1527" s="30"/>
      <c r="D1527" s="23">
        <v>957197559</v>
      </c>
      <c r="E1527" s="23">
        <v>957197559</v>
      </c>
      <c r="F1527" s="24" t="s">
        <v>1804</v>
      </c>
      <c r="G1527" s="23">
        <v>124.12</v>
      </c>
      <c r="H1527" s="23">
        <v>20250301</v>
      </c>
      <c r="I1527" s="23" t="str">
        <f>TEXT(DATE(LEFT(H1527,4), MID(H1527,5,2), RIGHT(H1527,2)), "M/d/yyyy")</f>
        <v>3/1/2025</v>
      </c>
      <c r="J1527" s="25">
        <v>20250101</v>
      </c>
      <c r="K1527" s="23" t="str">
        <f>TEXT(DATE(LEFT(J1527,4), MID(J1527,5,2), RIGHT(J1527,2)), "M/d/yyyy")</f>
        <v>1/1/2025</v>
      </c>
      <c r="L1527" s="24" t="s">
        <v>937</v>
      </c>
      <c r="M1527" s="25">
        <v>100</v>
      </c>
      <c r="N1527" s="25">
        <v>0.18</v>
      </c>
      <c r="O1527" s="27">
        <v>22.34</v>
      </c>
      <c r="P1527" s="22" t="s">
        <v>3837</v>
      </c>
    </row>
    <row r="1528" spans="1:16" s="22" customFormat="1" ht="15" customHeight="1" x14ac:dyDescent="0.2">
      <c r="A1528" s="22" t="s">
        <v>3784</v>
      </c>
      <c r="B1528" s="22">
        <v>8244481</v>
      </c>
      <c r="C1528" s="30"/>
      <c r="D1528" s="23">
        <v>957197559</v>
      </c>
      <c r="E1528" s="23">
        <v>957197559</v>
      </c>
      <c r="F1528" s="24" t="s">
        <v>1804</v>
      </c>
      <c r="G1528" s="23">
        <v>124.12</v>
      </c>
      <c r="H1528" s="23">
        <v>20250201</v>
      </c>
      <c r="I1528" s="23" t="str">
        <f>TEXT(DATE(LEFT(H1528,4), MID(H1528,5,2), RIGHT(H1528,2)), "M/d/yyyy")</f>
        <v>2/1/2025</v>
      </c>
      <c r="J1528" s="25">
        <v>20250101</v>
      </c>
      <c r="K1528" s="23" t="str">
        <f>TEXT(DATE(LEFT(J1528,4), MID(J1528,5,2), RIGHT(J1528,2)), "M/d/yyyy")</f>
        <v>1/1/2025</v>
      </c>
      <c r="L1528" s="24" t="s">
        <v>937</v>
      </c>
      <c r="M1528" s="25">
        <v>100</v>
      </c>
      <c r="N1528" s="25">
        <v>0.18</v>
      </c>
      <c r="O1528" s="27">
        <v>22.34</v>
      </c>
      <c r="P1528" s="22" t="s">
        <v>3837</v>
      </c>
    </row>
    <row r="1529" spans="1:16" s="22" customFormat="1" ht="15" customHeight="1" x14ac:dyDescent="0.2">
      <c r="A1529" s="22" t="s">
        <v>3784</v>
      </c>
      <c r="B1529" s="22">
        <v>8244481</v>
      </c>
      <c r="C1529" s="30"/>
      <c r="D1529" s="23">
        <v>957178626</v>
      </c>
      <c r="E1529" s="23">
        <v>957178626</v>
      </c>
      <c r="F1529" s="24" t="s">
        <v>1727</v>
      </c>
      <c r="G1529" s="23">
        <v>124.34</v>
      </c>
      <c r="H1529" s="23">
        <v>20250501</v>
      </c>
      <c r="I1529" s="23" t="str">
        <f>TEXT(DATE(LEFT(H1529,4), MID(H1529,5,2), RIGHT(H1529,2)), "M/d/yyyy")</f>
        <v>5/1/2025</v>
      </c>
      <c r="J1529" s="25">
        <v>20240801</v>
      </c>
      <c r="K1529" s="23" t="str">
        <f>TEXT(DATE(LEFT(J1529,4), MID(J1529,5,2), RIGHT(J1529,2)), "M/d/yyyy")</f>
        <v>8/1/2024</v>
      </c>
      <c r="L1529" s="24" t="s">
        <v>937</v>
      </c>
      <c r="M1529" s="25">
        <v>100</v>
      </c>
      <c r="N1529" s="25">
        <v>0.18</v>
      </c>
      <c r="O1529" s="27">
        <v>22.38</v>
      </c>
      <c r="P1529" s="22" t="s">
        <v>3837</v>
      </c>
    </row>
    <row r="1530" spans="1:16" s="22" customFormat="1" ht="15" customHeight="1" x14ac:dyDescent="0.2">
      <c r="A1530" s="22" t="s">
        <v>3784</v>
      </c>
      <c r="B1530" s="22">
        <v>8244481</v>
      </c>
      <c r="C1530" s="30"/>
      <c r="D1530" s="23">
        <v>957178626</v>
      </c>
      <c r="E1530" s="23">
        <v>957178626</v>
      </c>
      <c r="F1530" s="24" t="s">
        <v>1727</v>
      </c>
      <c r="G1530" s="23">
        <v>124.34</v>
      </c>
      <c r="H1530" s="23">
        <v>20250401</v>
      </c>
      <c r="I1530" s="23" t="str">
        <f>TEXT(DATE(LEFT(H1530,4), MID(H1530,5,2), RIGHT(H1530,2)), "M/d/yyyy")</f>
        <v>4/1/2025</v>
      </c>
      <c r="J1530" s="25">
        <v>20240801</v>
      </c>
      <c r="K1530" s="23" t="str">
        <f>TEXT(DATE(LEFT(J1530,4), MID(J1530,5,2), RIGHT(J1530,2)), "M/d/yyyy")</f>
        <v>8/1/2024</v>
      </c>
      <c r="L1530" s="24" t="s">
        <v>937</v>
      </c>
      <c r="M1530" s="25">
        <v>100</v>
      </c>
      <c r="N1530" s="25">
        <v>0.18</v>
      </c>
      <c r="O1530" s="27">
        <v>22.38</v>
      </c>
      <c r="P1530" s="22" t="s">
        <v>3837</v>
      </c>
    </row>
    <row r="1531" spans="1:16" s="22" customFormat="1" ht="15" customHeight="1" x14ac:dyDescent="0.2">
      <c r="A1531" s="22" t="s">
        <v>3784</v>
      </c>
      <c r="B1531" s="22">
        <v>8244481</v>
      </c>
      <c r="C1531" s="30"/>
      <c r="D1531" s="23">
        <v>957178626</v>
      </c>
      <c r="E1531" s="23">
        <v>957178626</v>
      </c>
      <c r="F1531" s="24" t="s">
        <v>1727</v>
      </c>
      <c r="G1531" s="23">
        <v>124.34</v>
      </c>
      <c r="H1531" s="23">
        <v>20250301</v>
      </c>
      <c r="I1531" s="23" t="str">
        <f>TEXT(DATE(LEFT(H1531,4), MID(H1531,5,2), RIGHT(H1531,2)), "M/d/yyyy")</f>
        <v>3/1/2025</v>
      </c>
      <c r="J1531" s="25">
        <v>20240801</v>
      </c>
      <c r="K1531" s="23" t="str">
        <f>TEXT(DATE(LEFT(J1531,4), MID(J1531,5,2), RIGHT(J1531,2)), "M/d/yyyy")</f>
        <v>8/1/2024</v>
      </c>
      <c r="L1531" s="24" t="s">
        <v>937</v>
      </c>
      <c r="M1531" s="25">
        <v>100</v>
      </c>
      <c r="N1531" s="25">
        <v>0.18</v>
      </c>
      <c r="O1531" s="27">
        <v>22.38</v>
      </c>
      <c r="P1531" s="22" t="s">
        <v>3837</v>
      </c>
    </row>
    <row r="1532" spans="1:16" s="22" customFormat="1" ht="15" customHeight="1" x14ac:dyDescent="0.2">
      <c r="A1532" s="22" t="s">
        <v>3784</v>
      </c>
      <c r="B1532" s="22">
        <v>8244481</v>
      </c>
      <c r="C1532" s="30"/>
      <c r="D1532" s="23">
        <v>957197557</v>
      </c>
      <c r="E1532" s="23">
        <v>957197557</v>
      </c>
      <c r="F1532" s="24" t="s">
        <v>1800</v>
      </c>
      <c r="G1532" s="23">
        <v>125.77</v>
      </c>
      <c r="H1532" s="23">
        <v>20250301</v>
      </c>
      <c r="I1532" s="23" t="str">
        <f>TEXT(DATE(LEFT(H1532,4), MID(H1532,5,2), RIGHT(H1532,2)), "M/d/yyyy")</f>
        <v>3/1/2025</v>
      </c>
      <c r="J1532" s="25">
        <v>20241201</v>
      </c>
      <c r="K1532" s="23" t="str">
        <f>TEXT(DATE(LEFT(J1532,4), MID(J1532,5,2), RIGHT(J1532,2)), "M/d/yyyy")</f>
        <v>12/1/2024</v>
      </c>
      <c r="L1532" s="24" t="s">
        <v>937</v>
      </c>
      <c r="M1532" s="25">
        <v>100</v>
      </c>
      <c r="N1532" s="25">
        <v>0.18</v>
      </c>
      <c r="O1532" s="27">
        <v>22.64</v>
      </c>
      <c r="P1532" s="22" t="s">
        <v>3837</v>
      </c>
    </row>
    <row r="1533" spans="1:16" s="22" customFormat="1" ht="15" customHeight="1" x14ac:dyDescent="0.2">
      <c r="A1533" s="22" t="s">
        <v>3784</v>
      </c>
      <c r="B1533" s="22">
        <v>8244481</v>
      </c>
      <c r="C1533" s="30"/>
      <c r="D1533" s="23">
        <v>957199560</v>
      </c>
      <c r="E1533" s="23">
        <v>957199560</v>
      </c>
      <c r="F1533" s="24" t="s">
        <v>1812</v>
      </c>
      <c r="G1533" s="23">
        <v>125.77</v>
      </c>
      <c r="H1533" s="23">
        <v>20250301</v>
      </c>
      <c r="I1533" s="23" t="str">
        <f>TEXT(DATE(LEFT(H1533,4), MID(H1533,5,2), RIGHT(H1533,2)), "M/d/yyyy")</f>
        <v>3/1/2025</v>
      </c>
      <c r="J1533" s="25">
        <v>20250101</v>
      </c>
      <c r="K1533" s="23" t="str">
        <f>TEXT(DATE(LEFT(J1533,4), MID(J1533,5,2), RIGHT(J1533,2)), "M/d/yyyy")</f>
        <v>1/1/2025</v>
      </c>
      <c r="L1533" s="24" t="s">
        <v>937</v>
      </c>
      <c r="M1533" s="25">
        <v>100</v>
      </c>
      <c r="N1533" s="25">
        <v>0.18</v>
      </c>
      <c r="O1533" s="27">
        <v>22.64</v>
      </c>
      <c r="P1533" s="22" t="s">
        <v>3837</v>
      </c>
    </row>
    <row r="1534" spans="1:16" s="22" customFormat="1" ht="15" customHeight="1" x14ac:dyDescent="0.2">
      <c r="A1534" s="22" t="s">
        <v>3784</v>
      </c>
      <c r="B1534" s="22">
        <v>8244481</v>
      </c>
      <c r="C1534" s="30"/>
      <c r="D1534" s="23">
        <v>957203744</v>
      </c>
      <c r="E1534" s="23">
        <v>957203744</v>
      </c>
      <c r="F1534" s="24" t="s">
        <v>1828</v>
      </c>
      <c r="G1534" s="23">
        <v>125.77</v>
      </c>
      <c r="H1534" s="23">
        <v>20250301</v>
      </c>
      <c r="I1534" s="23" t="str">
        <f>TEXT(DATE(LEFT(H1534,4), MID(H1534,5,2), RIGHT(H1534,2)), "M/d/yyyy")</f>
        <v>3/1/2025</v>
      </c>
      <c r="J1534" s="25">
        <v>20250101</v>
      </c>
      <c r="K1534" s="23" t="str">
        <f>TEXT(DATE(LEFT(J1534,4), MID(J1534,5,2), RIGHT(J1534,2)), "M/d/yyyy")</f>
        <v>1/1/2025</v>
      </c>
      <c r="L1534" s="24" t="s">
        <v>937</v>
      </c>
      <c r="M1534" s="25">
        <v>100</v>
      </c>
      <c r="N1534" s="25">
        <v>0.18</v>
      </c>
      <c r="O1534" s="27">
        <v>22.64</v>
      </c>
      <c r="P1534" s="22" t="s">
        <v>3837</v>
      </c>
    </row>
    <row r="1535" spans="1:16" s="22" customFormat="1" ht="15" customHeight="1" x14ac:dyDescent="0.2">
      <c r="A1535" s="22" t="s">
        <v>3784</v>
      </c>
      <c r="B1535" s="22">
        <v>8244481</v>
      </c>
      <c r="C1535" s="30"/>
      <c r="D1535" s="23">
        <v>957203744</v>
      </c>
      <c r="E1535" s="23">
        <v>957203744</v>
      </c>
      <c r="F1535" s="24" t="s">
        <v>1828</v>
      </c>
      <c r="G1535" s="23">
        <v>125.77</v>
      </c>
      <c r="H1535" s="23">
        <v>20250301</v>
      </c>
      <c r="I1535" s="23" t="str">
        <f>TEXT(DATE(LEFT(H1535,4), MID(H1535,5,2), RIGHT(H1535,2)), "M/d/yyyy")</f>
        <v>3/1/2025</v>
      </c>
      <c r="J1535" s="25">
        <v>20250101</v>
      </c>
      <c r="K1535" s="23" t="str">
        <f>TEXT(DATE(LEFT(J1535,4), MID(J1535,5,2), RIGHT(J1535,2)), "M/d/yyyy")</f>
        <v>1/1/2025</v>
      </c>
      <c r="L1535" s="24" t="s">
        <v>937</v>
      </c>
      <c r="M1535" s="25">
        <v>100</v>
      </c>
      <c r="N1535" s="25">
        <v>0.18</v>
      </c>
      <c r="O1535" s="27">
        <v>22.64</v>
      </c>
      <c r="P1535" s="22" t="s">
        <v>3837</v>
      </c>
    </row>
    <row r="1536" spans="1:16" s="22" customFormat="1" ht="15" customHeight="1" x14ac:dyDescent="0.2">
      <c r="A1536" s="22" t="s">
        <v>3784</v>
      </c>
      <c r="B1536" s="22">
        <v>8244481</v>
      </c>
      <c r="C1536" s="30"/>
      <c r="D1536" s="23">
        <v>957000455</v>
      </c>
      <c r="E1536" s="23">
        <v>957000455</v>
      </c>
      <c r="F1536" s="24" t="s">
        <v>1706</v>
      </c>
      <c r="G1536" s="23">
        <v>128.29</v>
      </c>
      <c r="H1536" s="23">
        <v>20250201</v>
      </c>
      <c r="I1536" s="23" t="str">
        <f>TEXT(DATE(LEFT(H1536,4), MID(H1536,5,2), RIGHT(H1536,2)), "M/d/yyyy")</f>
        <v>2/1/2025</v>
      </c>
      <c r="J1536" s="25">
        <v>20241101</v>
      </c>
      <c r="K1536" s="23" t="str">
        <f>TEXT(DATE(LEFT(J1536,4), MID(J1536,5,2), RIGHT(J1536,2)), "M/d/yyyy")</f>
        <v>11/1/2024</v>
      </c>
      <c r="L1536" s="24" t="s">
        <v>937</v>
      </c>
      <c r="M1536" s="25">
        <v>100</v>
      </c>
      <c r="N1536" s="25">
        <v>0.18</v>
      </c>
      <c r="O1536" s="27">
        <v>23.09</v>
      </c>
      <c r="P1536" s="22" t="s">
        <v>3837</v>
      </c>
    </row>
    <row r="1537" spans="1:16" s="22" customFormat="1" ht="15" customHeight="1" x14ac:dyDescent="0.2">
      <c r="A1537" s="22" t="s">
        <v>3784</v>
      </c>
      <c r="B1537" s="22">
        <v>8244481</v>
      </c>
      <c r="C1537" s="30"/>
      <c r="D1537" s="23">
        <v>957179555</v>
      </c>
      <c r="E1537" s="23">
        <v>957179555</v>
      </c>
      <c r="F1537" s="24" t="s">
        <v>1734</v>
      </c>
      <c r="G1537" s="23">
        <v>132.91999999999999</v>
      </c>
      <c r="H1537" s="23">
        <v>20250301</v>
      </c>
      <c r="I1537" s="23" t="str">
        <f>TEXT(DATE(LEFT(H1537,4), MID(H1537,5,2), RIGHT(H1537,2)), "M/d/yyyy")</f>
        <v>3/1/2025</v>
      </c>
      <c r="J1537" s="25">
        <v>20240801</v>
      </c>
      <c r="K1537" s="23" t="str">
        <f>TEXT(DATE(LEFT(J1537,4), MID(J1537,5,2), RIGHT(J1537,2)), "M/d/yyyy")</f>
        <v>8/1/2024</v>
      </c>
      <c r="L1537" s="24" t="s">
        <v>937</v>
      </c>
      <c r="M1537" s="25">
        <v>100</v>
      </c>
      <c r="N1537" s="25">
        <v>0.18</v>
      </c>
      <c r="O1537" s="27">
        <v>23.93</v>
      </c>
      <c r="P1537" s="22" t="s">
        <v>3837</v>
      </c>
    </row>
    <row r="1538" spans="1:16" s="22" customFormat="1" ht="15" customHeight="1" x14ac:dyDescent="0.2">
      <c r="A1538" s="22" t="s">
        <v>3784</v>
      </c>
      <c r="B1538" s="22">
        <v>8244481</v>
      </c>
      <c r="C1538" s="30"/>
      <c r="D1538" s="23">
        <v>957200943</v>
      </c>
      <c r="E1538" s="23">
        <v>957200943</v>
      </c>
      <c r="F1538" s="24" t="s">
        <v>1814</v>
      </c>
      <c r="G1538" s="23">
        <v>132.91999999999999</v>
      </c>
      <c r="H1538" s="23">
        <v>20250201</v>
      </c>
      <c r="I1538" s="23" t="str">
        <f>TEXT(DATE(LEFT(H1538,4), MID(H1538,5,2), RIGHT(H1538,2)), "M/d/yyyy")</f>
        <v>2/1/2025</v>
      </c>
      <c r="J1538" s="25">
        <v>20250101</v>
      </c>
      <c r="K1538" s="23" t="str">
        <f>TEXT(DATE(LEFT(J1538,4), MID(J1538,5,2), RIGHT(J1538,2)), "M/d/yyyy")</f>
        <v>1/1/2025</v>
      </c>
      <c r="L1538" s="24" t="s">
        <v>937</v>
      </c>
      <c r="M1538" s="25">
        <v>100</v>
      </c>
      <c r="N1538" s="25">
        <v>0.18</v>
      </c>
      <c r="O1538" s="27">
        <v>23.93</v>
      </c>
      <c r="P1538" s="22" t="s">
        <v>3837</v>
      </c>
    </row>
    <row r="1539" spans="1:16" s="22" customFormat="1" ht="15" customHeight="1" x14ac:dyDescent="0.2">
      <c r="A1539" s="22" t="s">
        <v>3784</v>
      </c>
      <c r="B1539" s="22">
        <v>8244481</v>
      </c>
      <c r="C1539" s="30"/>
      <c r="D1539" s="23">
        <v>957186612</v>
      </c>
      <c r="E1539" s="23">
        <v>957186612</v>
      </c>
      <c r="F1539" s="24" t="s">
        <v>1770</v>
      </c>
      <c r="G1539" s="23">
        <v>138.28</v>
      </c>
      <c r="H1539" s="23">
        <v>20250201</v>
      </c>
      <c r="I1539" s="23" t="str">
        <f>TEXT(DATE(LEFT(H1539,4), MID(H1539,5,2), RIGHT(H1539,2)), "M/d/yyyy")</f>
        <v>2/1/2025</v>
      </c>
      <c r="J1539" s="25">
        <v>20241101</v>
      </c>
      <c r="K1539" s="23" t="str">
        <f>TEXT(DATE(LEFT(J1539,4), MID(J1539,5,2), RIGHT(J1539,2)), "M/d/yyyy")</f>
        <v>11/1/2024</v>
      </c>
      <c r="L1539" s="24" t="s">
        <v>937</v>
      </c>
      <c r="M1539" s="25">
        <v>100</v>
      </c>
      <c r="N1539" s="25">
        <v>0.18</v>
      </c>
      <c r="O1539" s="27">
        <v>24.89</v>
      </c>
      <c r="P1539" s="22" t="s">
        <v>3837</v>
      </c>
    </row>
    <row r="1540" spans="1:16" s="22" customFormat="1" ht="15" customHeight="1" x14ac:dyDescent="0.2">
      <c r="A1540" s="22" t="s">
        <v>3784</v>
      </c>
      <c r="B1540" s="22">
        <v>8244481</v>
      </c>
      <c r="C1540" s="30"/>
      <c r="D1540" s="23">
        <v>957187822</v>
      </c>
      <c r="E1540" s="23">
        <v>957187822</v>
      </c>
      <c r="F1540" s="24" t="s">
        <v>1774</v>
      </c>
      <c r="G1540" s="23">
        <v>142.91999999999999</v>
      </c>
      <c r="H1540" s="23">
        <v>20250201</v>
      </c>
      <c r="I1540" s="23" t="str">
        <f>TEXT(DATE(LEFT(H1540,4), MID(H1540,5,2), RIGHT(H1540,2)), "M/d/yyyy")</f>
        <v>2/1/2025</v>
      </c>
      <c r="J1540" s="25">
        <v>20250101</v>
      </c>
      <c r="K1540" s="23" t="str">
        <f>TEXT(DATE(LEFT(J1540,4), MID(J1540,5,2), RIGHT(J1540,2)), "M/d/yyyy")</f>
        <v>1/1/2025</v>
      </c>
      <c r="L1540" s="24" t="s">
        <v>937</v>
      </c>
      <c r="M1540" s="25">
        <v>100</v>
      </c>
      <c r="N1540" s="25">
        <v>0.18</v>
      </c>
      <c r="O1540" s="27">
        <v>25.73</v>
      </c>
      <c r="P1540" s="22" t="s">
        <v>3837</v>
      </c>
    </row>
    <row r="1541" spans="1:16" s="22" customFormat="1" ht="15" customHeight="1" x14ac:dyDescent="0.2">
      <c r="A1541" s="22" t="s">
        <v>3784</v>
      </c>
      <c r="B1541" s="22">
        <v>8244481</v>
      </c>
      <c r="C1541" s="30"/>
      <c r="D1541" s="23">
        <v>957180047</v>
      </c>
      <c r="E1541" s="23">
        <v>957180047</v>
      </c>
      <c r="F1541" s="24" t="s">
        <v>1738</v>
      </c>
      <c r="G1541" s="23">
        <v>148.4</v>
      </c>
      <c r="H1541" s="23">
        <v>20250201</v>
      </c>
      <c r="I1541" s="23" t="str">
        <f>TEXT(DATE(LEFT(H1541,4), MID(H1541,5,2), RIGHT(H1541,2)), "M/d/yyyy")</f>
        <v>2/1/2025</v>
      </c>
      <c r="J1541" s="25">
        <v>20240801</v>
      </c>
      <c r="K1541" s="23" t="str">
        <f>TEXT(DATE(LEFT(J1541,4), MID(J1541,5,2), RIGHT(J1541,2)), "M/d/yyyy")</f>
        <v>8/1/2024</v>
      </c>
      <c r="L1541" s="24" t="s">
        <v>937</v>
      </c>
      <c r="M1541" s="25">
        <v>100</v>
      </c>
      <c r="N1541" s="25">
        <v>0.18</v>
      </c>
      <c r="O1541" s="27">
        <v>26.71</v>
      </c>
      <c r="P1541" s="22" t="s">
        <v>3837</v>
      </c>
    </row>
    <row r="1542" spans="1:16" s="22" customFormat="1" ht="15" customHeight="1" x14ac:dyDescent="0.2">
      <c r="A1542" s="22" t="s">
        <v>3784</v>
      </c>
      <c r="B1542" s="22">
        <v>8244481</v>
      </c>
      <c r="C1542" s="30"/>
      <c r="D1542" s="23">
        <v>957197855</v>
      </c>
      <c r="E1542" s="23">
        <v>957197855</v>
      </c>
      <c r="F1542" s="24" t="s">
        <v>1808</v>
      </c>
      <c r="G1542" s="23">
        <v>153.63999999999999</v>
      </c>
      <c r="H1542" s="23">
        <v>20250201</v>
      </c>
      <c r="I1542" s="23" t="str">
        <f>TEXT(DATE(LEFT(H1542,4), MID(H1542,5,2), RIGHT(H1542,2)), "M/d/yyyy")</f>
        <v>2/1/2025</v>
      </c>
      <c r="J1542" s="25">
        <v>20250101</v>
      </c>
      <c r="K1542" s="23" t="str">
        <f>TEXT(DATE(LEFT(J1542,4), MID(J1542,5,2), RIGHT(J1542,2)), "M/d/yyyy")</f>
        <v>1/1/2025</v>
      </c>
      <c r="L1542" s="24" t="s">
        <v>937</v>
      </c>
      <c r="M1542" s="25">
        <v>100</v>
      </c>
      <c r="N1542" s="25">
        <v>0.18</v>
      </c>
      <c r="O1542" s="27">
        <v>27.66</v>
      </c>
      <c r="P1542" s="22" t="s">
        <v>3837</v>
      </c>
    </row>
    <row r="1543" spans="1:16" s="22" customFormat="1" ht="15" customHeight="1" x14ac:dyDescent="0.2">
      <c r="A1543" s="22" t="s">
        <v>3784</v>
      </c>
      <c r="B1543" s="22">
        <v>8244481</v>
      </c>
      <c r="C1543" s="30"/>
      <c r="D1543" s="23">
        <v>957201955</v>
      </c>
      <c r="E1543" s="23">
        <v>957201955</v>
      </c>
      <c r="F1543" s="24" t="s">
        <v>1820</v>
      </c>
      <c r="G1543" s="23">
        <v>167.55</v>
      </c>
      <c r="H1543" s="23">
        <v>20250201</v>
      </c>
      <c r="I1543" s="23" t="str">
        <f>TEXT(DATE(LEFT(H1543,4), MID(H1543,5,2), RIGHT(H1543,2)), "M/d/yyyy")</f>
        <v>2/1/2025</v>
      </c>
      <c r="J1543" s="25">
        <v>20250101</v>
      </c>
      <c r="K1543" s="23" t="str">
        <f>TEXT(DATE(LEFT(J1543,4), MID(J1543,5,2), RIGHT(J1543,2)), "M/d/yyyy")</f>
        <v>1/1/2025</v>
      </c>
      <c r="L1543" s="24" t="s">
        <v>937</v>
      </c>
      <c r="M1543" s="25">
        <v>100</v>
      </c>
      <c r="N1543" s="25">
        <v>0.18</v>
      </c>
      <c r="O1543" s="27">
        <v>30.16</v>
      </c>
      <c r="P1543" s="22" t="s">
        <v>3837</v>
      </c>
    </row>
    <row r="1544" spans="1:16" s="22" customFormat="1" ht="15" customHeight="1" x14ac:dyDescent="0.2">
      <c r="A1544" s="22" t="s">
        <v>3784</v>
      </c>
      <c r="B1544" s="22">
        <v>8244481</v>
      </c>
      <c r="C1544" s="30"/>
      <c r="D1544" s="23">
        <v>957186610</v>
      </c>
      <c r="E1544" s="23">
        <v>957186610</v>
      </c>
      <c r="F1544" s="24" t="s">
        <v>1766</v>
      </c>
      <c r="G1544" s="23">
        <v>174.46</v>
      </c>
      <c r="H1544" s="23">
        <v>20250201</v>
      </c>
      <c r="I1544" s="23" t="str">
        <f>TEXT(DATE(LEFT(H1544,4), MID(H1544,5,2), RIGHT(H1544,2)), "M/d/yyyy")</f>
        <v>2/1/2025</v>
      </c>
      <c r="J1544" s="25">
        <v>20241101</v>
      </c>
      <c r="K1544" s="23" t="str">
        <f>TEXT(DATE(LEFT(J1544,4), MID(J1544,5,2), RIGHT(J1544,2)), "M/d/yyyy")</f>
        <v>11/1/2024</v>
      </c>
      <c r="L1544" s="24" t="s">
        <v>937</v>
      </c>
      <c r="M1544" s="25">
        <v>100</v>
      </c>
      <c r="N1544" s="25">
        <v>0.18</v>
      </c>
      <c r="O1544" s="27">
        <v>31.4</v>
      </c>
      <c r="P1544" s="22" t="s">
        <v>3837</v>
      </c>
    </row>
    <row r="1545" spans="1:16" s="22" customFormat="1" ht="15" customHeight="1" x14ac:dyDescent="0.2">
      <c r="A1545" s="22" t="s">
        <v>3784</v>
      </c>
      <c r="B1545" s="22">
        <v>8244481</v>
      </c>
      <c r="C1545" s="30"/>
      <c r="D1545" s="23">
        <v>957186310</v>
      </c>
      <c r="E1545" s="23">
        <v>957186310</v>
      </c>
      <c r="F1545" s="24" t="s">
        <v>1758</v>
      </c>
      <c r="G1545" s="23">
        <v>176.59</v>
      </c>
      <c r="H1545" s="23">
        <v>20250301</v>
      </c>
      <c r="I1545" s="23" t="str">
        <f>TEXT(DATE(LEFT(H1545,4), MID(H1545,5,2), RIGHT(H1545,2)), "M/d/yyyy")</f>
        <v>3/1/2025</v>
      </c>
      <c r="J1545" s="25">
        <v>20241101</v>
      </c>
      <c r="K1545" s="23" t="str">
        <f>TEXT(DATE(LEFT(J1545,4), MID(J1545,5,2), RIGHT(J1545,2)), "M/d/yyyy")</f>
        <v>11/1/2024</v>
      </c>
      <c r="L1545" s="24" t="s">
        <v>937</v>
      </c>
      <c r="M1545" s="25">
        <v>100</v>
      </c>
      <c r="N1545" s="25">
        <v>0.18</v>
      </c>
      <c r="O1545" s="27">
        <v>31.79</v>
      </c>
      <c r="P1545" s="22" t="s">
        <v>3837</v>
      </c>
    </row>
    <row r="1546" spans="1:16" s="22" customFormat="1" ht="15" customHeight="1" x14ac:dyDescent="0.2">
      <c r="A1546" s="22" t="s">
        <v>3784</v>
      </c>
      <c r="B1546" s="22">
        <v>8244481</v>
      </c>
      <c r="C1546" s="30"/>
      <c r="D1546" s="23">
        <v>957180048</v>
      </c>
      <c r="E1546" s="23">
        <v>957180048</v>
      </c>
      <c r="F1546" s="24" t="s">
        <v>1742</v>
      </c>
      <c r="G1546" s="23">
        <v>177.81</v>
      </c>
      <c r="H1546" s="23">
        <v>20250201</v>
      </c>
      <c r="I1546" s="23" t="str">
        <f>TEXT(DATE(LEFT(H1546,4), MID(H1546,5,2), RIGHT(H1546,2)), "M/d/yyyy")</f>
        <v>2/1/2025</v>
      </c>
      <c r="J1546" s="25">
        <v>20240801</v>
      </c>
      <c r="K1546" s="23" t="str">
        <f>TEXT(DATE(LEFT(J1546,4), MID(J1546,5,2), RIGHT(J1546,2)), "M/d/yyyy")</f>
        <v>8/1/2024</v>
      </c>
      <c r="L1546" s="24" t="s">
        <v>937</v>
      </c>
      <c r="M1546" s="25">
        <v>100</v>
      </c>
      <c r="N1546" s="25">
        <v>0.18</v>
      </c>
      <c r="O1546" s="27">
        <v>32.01</v>
      </c>
      <c r="P1546" s="22" t="s">
        <v>3837</v>
      </c>
    </row>
    <row r="1547" spans="1:16" s="22" customFormat="1" ht="15" customHeight="1" x14ac:dyDescent="0.2">
      <c r="A1547" s="22" t="s">
        <v>3784</v>
      </c>
      <c r="B1547" s="22">
        <v>8244481</v>
      </c>
      <c r="C1547" s="30"/>
      <c r="D1547" s="23">
        <v>957126566</v>
      </c>
      <c r="E1547" s="23">
        <v>957126566</v>
      </c>
      <c r="F1547" s="24" t="s">
        <v>1710</v>
      </c>
      <c r="G1547" s="23">
        <v>190.08</v>
      </c>
      <c r="H1547" s="23">
        <v>20250201</v>
      </c>
      <c r="I1547" s="23" t="str">
        <f>TEXT(DATE(LEFT(H1547,4), MID(H1547,5,2), RIGHT(H1547,2)), "M/d/yyyy")</f>
        <v>2/1/2025</v>
      </c>
      <c r="J1547" s="25">
        <v>20241101</v>
      </c>
      <c r="K1547" s="23" t="str">
        <f>TEXT(DATE(LEFT(J1547,4), MID(J1547,5,2), RIGHT(J1547,2)), "M/d/yyyy")</f>
        <v>11/1/2024</v>
      </c>
      <c r="L1547" s="24" t="s">
        <v>937</v>
      </c>
      <c r="M1547" s="25">
        <v>100</v>
      </c>
      <c r="N1547" s="25">
        <v>0.18</v>
      </c>
      <c r="O1547" s="27">
        <v>34.21</v>
      </c>
      <c r="P1547" s="22" t="s">
        <v>3837</v>
      </c>
    </row>
    <row r="1548" spans="1:16" s="22" customFormat="1" ht="15" customHeight="1" x14ac:dyDescent="0.2">
      <c r="A1548" s="22" t="s">
        <v>3784</v>
      </c>
      <c r="B1548" s="22">
        <v>8244481</v>
      </c>
      <c r="C1548" s="30"/>
      <c r="D1548" s="23">
        <v>957126566</v>
      </c>
      <c r="E1548" s="23">
        <v>957126566</v>
      </c>
      <c r="F1548" s="24" t="s">
        <v>1710</v>
      </c>
      <c r="G1548" s="23">
        <v>190.08</v>
      </c>
      <c r="H1548" s="23">
        <v>20250101</v>
      </c>
      <c r="I1548" s="23" t="str">
        <f>TEXT(DATE(LEFT(H1548,4), MID(H1548,5,2), RIGHT(H1548,2)), "M/d/yyyy")</f>
        <v>1/1/2025</v>
      </c>
      <c r="J1548" s="25">
        <v>20241101</v>
      </c>
      <c r="K1548" s="23" t="str">
        <f>TEXT(DATE(LEFT(J1548,4), MID(J1548,5,2), RIGHT(J1548,2)), "M/d/yyyy")</f>
        <v>11/1/2024</v>
      </c>
      <c r="L1548" s="24" t="s">
        <v>937</v>
      </c>
      <c r="M1548" s="25">
        <v>100</v>
      </c>
      <c r="N1548" s="25">
        <v>0.18</v>
      </c>
      <c r="O1548" s="27">
        <v>34.21</v>
      </c>
      <c r="P1548" s="22" t="s">
        <v>3837</v>
      </c>
    </row>
    <row r="1549" spans="1:16" s="22" customFormat="1" ht="15" customHeight="1" x14ac:dyDescent="0.2">
      <c r="A1549" s="22" t="s">
        <v>3784</v>
      </c>
      <c r="B1549" s="22">
        <v>8244481</v>
      </c>
      <c r="C1549" s="30"/>
      <c r="D1549" s="23">
        <v>957126566</v>
      </c>
      <c r="E1549" s="23">
        <v>957126566</v>
      </c>
      <c r="F1549" s="24" t="s">
        <v>1710</v>
      </c>
      <c r="G1549" s="23">
        <v>190.08</v>
      </c>
      <c r="H1549" s="23">
        <v>20241201</v>
      </c>
      <c r="I1549" s="23" t="str">
        <f>TEXT(DATE(LEFT(H1549,4), MID(H1549,5,2), RIGHT(H1549,2)), "M/d/yyyy")</f>
        <v>12/1/2024</v>
      </c>
      <c r="J1549" s="25">
        <v>20241101</v>
      </c>
      <c r="K1549" s="23" t="str">
        <f>TEXT(DATE(LEFT(J1549,4), MID(J1549,5,2), RIGHT(J1549,2)), "M/d/yyyy")</f>
        <v>11/1/2024</v>
      </c>
      <c r="L1549" s="24" t="s">
        <v>937</v>
      </c>
      <c r="M1549" s="25">
        <v>100</v>
      </c>
      <c r="N1549" s="25">
        <v>0.18</v>
      </c>
      <c r="O1549" s="27">
        <v>34.21</v>
      </c>
      <c r="P1549" s="22" t="s">
        <v>3837</v>
      </c>
    </row>
    <row r="1550" spans="1:16" s="22" customFormat="1" ht="15" customHeight="1" x14ac:dyDescent="0.2">
      <c r="A1550" s="22" t="s">
        <v>3784</v>
      </c>
      <c r="B1550" s="22">
        <v>8244481</v>
      </c>
      <c r="C1550" s="30"/>
      <c r="D1550" s="23">
        <v>957202119</v>
      </c>
      <c r="E1550" s="23">
        <v>957202119</v>
      </c>
      <c r="F1550" s="24" t="s">
        <v>1824</v>
      </c>
      <c r="G1550" s="23">
        <v>218.49</v>
      </c>
      <c r="H1550" s="23">
        <v>20250401</v>
      </c>
      <c r="I1550" s="23" t="str">
        <f>TEXT(DATE(LEFT(H1550,4), MID(H1550,5,2), RIGHT(H1550,2)), "M/d/yyyy")</f>
        <v>4/1/2025</v>
      </c>
      <c r="J1550" s="25">
        <v>20250101</v>
      </c>
      <c r="K1550" s="23" t="str">
        <f>TEXT(DATE(LEFT(J1550,4), MID(J1550,5,2), RIGHT(J1550,2)), "M/d/yyyy")</f>
        <v>1/1/2025</v>
      </c>
      <c r="L1550" s="24" t="s">
        <v>937</v>
      </c>
      <c r="M1550" s="25">
        <v>100</v>
      </c>
      <c r="N1550" s="25">
        <v>0.18</v>
      </c>
      <c r="O1550" s="27">
        <v>39.33</v>
      </c>
      <c r="P1550" s="22" t="s">
        <v>3837</v>
      </c>
    </row>
    <row r="1551" spans="1:16" s="22" customFormat="1" ht="15" customHeight="1" x14ac:dyDescent="0.2">
      <c r="A1551" s="22" t="s">
        <v>3784</v>
      </c>
      <c r="B1551" s="22">
        <v>8244481</v>
      </c>
      <c r="C1551" s="30"/>
      <c r="D1551" s="23">
        <v>957202119</v>
      </c>
      <c r="E1551" s="23">
        <v>957202119</v>
      </c>
      <c r="F1551" s="24" t="s">
        <v>1824</v>
      </c>
      <c r="G1551" s="23">
        <v>218.49</v>
      </c>
      <c r="H1551" s="23">
        <v>20250301</v>
      </c>
      <c r="I1551" s="23" t="str">
        <f>TEXT(DATE(LEFT(H1551,4), MID(H1551,5,2), RIGHT(H1551,2)), "M/d/yyyy")</f>
        <v>3/1/2025</v>
      </c>
      <c r="J1551" s="25">
        <v>20250101</v>
      </c>
      <c r="K1551" s="23" t="str">
        <f>TEXT(DATE(LEFT(J1551,4), MID(J1551,5,2), RIGHT(J1551,2)), "M/d/yyyy")</f>
        <v>1/1/2025</v>
      </c>
      <c r="L1551" s="24" t="s">
        <v>937</v>
      </c>
      <c r="M1551" s="25">
        <v>100</v>
      </c>
      <c r="N1551" s="25">
        <v>0.18</v>
      </c>
      <c r="O1551" s="27">
        <v>39.33</v>
      </c>
      <c r="P1551" s="22" t="s">
        <v>3837</v>
      </c>
    </row>
    <row r="1552" spans="1:16" s="22" customFormat="1" ht="15" customHeight="1" x14ac:dyDescent="0.2">
      <c r="A1552" s="22" t="s">
        <v>3784</v>
      </c>
      <c r="B1552" s="22">
        <v>8244481</v>
      </c>
      <c r="C1552" s="30"/>
      <c r="D1552" s="23">
        <v>957202119</v>
      </c>
      <c r="E1552" s="23">
        <v>957202119</v>
      </c>
      <c r="F1552" s="24" t="s">
        <v>1824</v>
      </c>
      <c r="G1552" s="23">
        <v>218.49</v>
      </c>
      <c r="H1552" s="23">
        <v>20250201</v>
      </c>
      <c r="I1552" s="23" t="str">
        <f>TEXT(DATE(LEFT(H1552,4), MID(H1552,5,2), RIGHT(H1552,2)), "M/d/yyyy")</f>
        <v>2/1/2025</v>
      </c>
      <c r="J1552" s="25">
        <v>20250101</v>
      </c>
      <c r="K1552" s="23" t="str">
        <f>TEXT(DATE(LEFT(J1552,4), MID(J1552,5,2), RIGHT(J1552,2)), "M/d/yyyy")</f>
        <v>1/1/2025</v>
      </c>
      <c r="L1552" s="24" t="s">
        <v>937</v>
      </c>
      <c r="M1552" s="25">
        <v>100</v>
      </c>
      <c r="N1552" s="25">
        <v>0.18</v>
      </c>
      <c r="O1552" s="27">
        <v>39.33</v>
      </c>
      <c r="P1552" s="22" t="s">
        <v>3837</v>
      </c>
    </row>
    <row r="1553" spans="1:16" s="22" customFormat="1" ht="15" customHeight="1" x14ac:dyDescent="0.2">
      <c r="A1553" s="22" t="s">
        <v>3784</v>
      </c>
      <c r="B1553" s="22">
        <v>8244481</v>
      </c>
      <c r="C1553" s="30"/>
      <c r="D1553" s="23">
        <v>957201150</v>
      </c>
      <c r="E1553" s="23">
        <v>957201150</v>
      </c>
      <c r="F1553" s="24" t="s">
        <v>1816</v>
      </c>
      <c r="G1553" s="23">
        <v>239.84</v>
      </c>
      <c r="H1553" s="23">
        <v>20250201</v>
      </c>
      <c r="I1553" s="23" t="str">
        <f>TEXT(DATE(LEFT(H1553,4), MID(H1553,5,2), RIGHT(H1553,2)), "M/d/yyyy")</f>
        <v>2/1/2025</v>
      </c>
      <c r="J1553" s="25">
        <v>20250101</v>
      </c>
      <c r="K1553" s="23" t="str">
        <f>TEXT(DATE(LEFT(J1553,4), MID(J1553,5,2), RIGHT(J1553,2)), "M/d/yyyy")</f>
        <v>1/1/2025</v>
      </c>
      <c r="L1553" s="24" t="s">
        <v>937</v>
      </c>
      <c r="M1553" s="25">
        <v>100</v>
      </c>
      <c r="N1553" s="25">
        <v>0.18</v>
      </c>
      <c r="O1553" s="27">
        <v>43.17</v>
      </c>
      <c r="P1553" s="22" t="s">
        <v>3837</v>
      </c>
    </row>
    <row r="1554" spans="1:16" s="22" customFormat="1" ht="15" customHeight="1" x14ac:dyDescent="0.2">
      <c r="A1554" s="22" t="s">
        <v>3785</v>
      </c>
      <c r="B1554" s="22">
        <v>19200754</v>
      </c>
      <c r="C1554" s="30"/>
      <c r="D1554" s="23">
        <v>957180084</v>
      </c>
      <c r="E1554" s="23">
        <v>957180084</v>
      </c>
      <c r="F1554" s="24" t="s">
        <v>1922</v>
      </c>
      <c r="G1554" s="23">
        <v>186.18</v>
      </c>
      <c r="H1554" s="23">
        <v>20250201</v>
      </c>
      <c r="I1554" s="23" t="str">
        <f>TEXT(DATE(LEFT(H1554,4), MID(H1554,5,2), RIGHT(H1554,2)), "M/d/yyyy")</f>
        <v>2/1/2025</v>
      </c>
      <c r="J1554" s="25">
        <v>20240801</v>
      </c>
      <c r="K1554" s="23" t="str">
        <f>TEXT(DATE(LEFT(J1554,4), MID(J1554,5,2), RIGHT(J1554,2)), "M/d/yyyy")</f>
        <v>8/1/2024</v>
      </c>
      <c r="L1554" s="24" t="s">
        <v>937</v>
      </c>
      <c r="M1554" s="25">
        <v>100</v>
      </c>
      <c r="N1554" s="25">
        <v>0.18</v>
      </c>
      <c r="O1554" s="27">
        <v>33.51</v>
      </c>
      <c r="P1554" s="22" t="s">
        <v>3837</v>
      </c>
    </row>
    <row r="1555" spans="1:16" s="22" customFormat="1" ht="15" customHeight="1" x14ac:dyDescent="0.2">
      <c r="A1555" s="22" t="s">
        <v>3809</v>
      </c>
      <c r="B1555" s="22">
        <v>19615078</v>
      </c>
      <c r="C1555" s="30"/>
      <c r="D1555" s="23">
        <v>957203828</v>
      </c>
      <c r="E1555" s="23">
        <v>957203828</v>
      </c>
      <c r="F1555" s="24" t="s">
        <v>3366</v>
      </c>
      <c r="G1555" s="23">
        <v>153.24</v>
      </c>
      <c r="H1555" s="23">
        <v>20250201</v>
      </c>
      <c r="I1555" s="23" t="str">
        <f>TEXT(DATE(LEFT(H1555,4), MID(H1555,5,2), RIGHT(H1555,2)), "M/d/yyyy")</f>
        <v>2/1/2025</v>
      </c>
      <c r="J1555" s="25">
        <v>20250101</v>
      </c>
      <c r="K1555" s="23" t="str">
        <f>TEXT(DATE(LEFT(J1555,4), MID(J1555,5,2), RIGHT(J1555,2)), "M/d/yyyy")</f>
        <v>1/1/2025</v>
      </c>
      <c r="L1555" s="24" t="s">
        <v>937</v>
      </c>
      <c r="M1555" s="25">
        <v>100</v>
      </c>
      <c r="N1555" s="25">
        <v>0.18</v>
      </c>
      <c r="O1555" s="27">
        <v>27.58</v>
      </c>
      <c r="P1555" s="22" t="s">
        <v>3837</v>
      </c>
    </row>
    <row r="1556" spans="1:16" s="22" customFormat="1" ht="15" customHeight="1" x14ac:dyDescent="0.2">
      <c r="A1556" s="22" t="s">
        <v>3783</v>
      </c>
      <c r="B1556" s="22">
        <v>19645587</v>
      </c>
      <c r="C1556" s="30"/>
      <c r="D1556" s="23">
        <v>957190953</v>
      </c>
      <c r="E1556" s="23">
        <v>957190953</v>
      </c>
      <c r="F1556" s="24" t="s">
        <v>1291</v>
      </c>
      <c r="G1556" s="23">
        <v>124.34</v>
      </c>
      <c r="H1556" s="23">
        <v>20250201</v>
      </c>
      <c r="I1556" s="23" t="str">
        <f>TEXT(DATE(LEFT(H1556,4), MID(H1556,5,2), RIGHT(H1556,2)), "M/d/yyyy")</f>
        <v>2/1/2025</v>
      </c>
      <c r="J1556" s="25">
        <v>20250101</v>
      </c>
      <c r="K1556" s="23" t="str">
        <f>TEXT(DATE(LEFT(J1556,4), MID(J1556,5,2), RIGHT(J1556,2)), "M/d/yyyy")</f>
        <v>1/1/2025</v>
      </c>
      <c r="L1556" s="24" t="s">
        <v>937</v>
      </c>
      <c r="M1556" s="25">
        <v>100</v>
      </c>
      <c r="N1556" s="25">
        <v>0.18</v>
      </c>
      <c r="O1556" s="27">
        <v>22.38</v>
      </c>
      <c r="P1556" s="22" t="s">
        <v>3837</v>
      </c>
    </row>
    <row r="1557" spans="1:16" s="22" customFormat="1" ht="15" customHeight="1" x14ac:dyDescent="0.2">
      <c r="A1557" s="22" t="s">
        <v>3783</v>
      </c>
      <c r="B1557" s="22">
        <v>19645587</v>
      </c>
      <c r="C1557" s="30"/>
      <c r="D1557" s="23">
        <v>957194826</v>
      </c>
      <c r="E1557" s="23">
        <v>957194826</v>
      </c>
      <c r="F1557" s="24" t="s">
        <v>1299</v>
      </c>
      <c r="G1557" s="23">
        <v>208.96</v>
      </c>
      <c r="H1557" s="23">
        <v>20250201</v>
      </c>
      <c r="I1557" s="23" t="str">
        <f>TEXT(DATE(LEFT(H1557,4), MID(H1557,5,2), RIGHT(H1557,2)), "M/d/yyyy")</f>
        <v>2/1/2025</v>
      </c>
      <c r="J1557" s="25">
        <v>20250101</v>
      </c>
      <c r="K1557" s="23" t="str">
        <f>TEXT(DATE(LEFT(J1557,4), MID(J1557,5,2), RIGHT(J1557,2)), "M/d/yyyy")</f>
        <v>1/1/2025</v>
      </c>
      <c r="L1557" s="24" t="s">
        <v>937</v>
      </c>
      <c r="M1557" s="25">
        <v>100</v>
      </c>
      <c r="N1557" s="25">
        <v>0.18</v>
      </c>
      <c r="O1557" s="27">
        <v>37.61</v>
      </c>
      <c r="P1557" s="22" t="s">
        <v>3837</v>
      </c>
    </row>
    <row r="1558" spans="1:16" s="22" customFormat="1" ht="15" customHeight="1" x14ac:dyDescent="0.2">
      <c r="A1558" s="22" t="s">
        <v>3783</v>
      </c>
      <c r="B1558" s="22">
        <v>19645587</v>
      </c>
      <c r="C1558" s="30"/>
      <c r="D1558" s="23">
        <v>957187034</v>
      </c>
      <c r="E1558" s="23">
        <v>957187034</v>
      </c>
      <c r="F1558" s="24" t="s">
        <v>1287</v>
      </c>
      <c r="G1558" s="23">
        <v>247.84</v>
      </c>
      <c r="H1558" s="23">
        <v>20250201</v>
      </c>
      <c r="I1558" s="23" t="str">
        <f>TEXT(DATE(LEFT(H1558,4), MID(H1558,5,2), RIGHT(H1558,2)), "M/d/yyyy")</f>
        <v>2/1/2025</v>
      </c>
      <c r="J1558" s="25">
        <v>20250101</v>
      </c>
      <c r="K1558" s="23" t="str">
        <f>TEXT(DATE(LEFT(J1558,4), MID(J1558,5,2), RIGHT(J1558,2)), "M/d/yyyy")</f>
        <v>1/1/2025</v>
      </c>
      <c r="L1558" s="24" t="s">
        <v>937</v>
      </c>
      <c r="M1558" s="25">
        <v>100</v>
      </c>
      <c r="N1558" s="25">
        <v>0.18</v>
      </c>
      <c r="O1558" s="27">
        <v>44.61</v>
      </c>
      <c r="P1558" s="22" t="s">
        <v>3837</v>
      </c>
    </row>
    <row r="1559" spans="1:16" s="22" customFormat="1" ht="15" customHeight="1" x14ac:dyDescent="0.2">
      <c r="A1559" s="22" t="s">
        <v>3812</v>
      </c>
      <c r="B1559" s="22">
        <v>19481808</v>
      </c>
      <c r="C1559" s="30"/>
      <c r="D1559" s="23">
        <v>957190219</v>
      </c>
      <c r="E1559" s="23">
        <v>957190219</v>
      </c>
      <c r="F1559" s="24" t="s">
        <v>3407</v>
      </c>
      <c r="G1559" s="23">
        <v>138.16</v>
      </c>
      <c r="H1559" s="23">
        <v>20250201</v>
      </c>
      <c r="I1559" s="23" t="str">
        <f>TEXT(DATE(LEFT(H1559,4), MID(H1559,5,2), RIGHT(H1559,2)), "M/d/yyyy")</f>
        <v>2/1/2025</v>
      </c>
      <c r="J1559" s="25">
        <v>20241201</v>
      </c>
      <c r="K1559" s="23" t="str">
        <f>TEXT(DATE(LEFT(J1559,4), MID(J1559,5,2), RIGHT(J1559,2)), "M/d/yyyy")</f>
        <v>12/1/2024</v>
      </c>
      <c r="L1559" s="24" t="s">
        <v>937</v>
      </c>
      <c r="M1559" s="25">
        <v>100</v>
      </c>
      <c r="N1559" s="25">
        <v>0.18</v>
      </c>
      <c r="O1559" s="27">
        <v>24.87</v>
      </c>
      <c r="P1559" s="22" t="s">
        <v>3837</v>
      </c>
    </row>
    <row r="1560" spans="1:16" s="22" customFormat="1" ht="15" customHeight="1" x14ac:dyDescent="0.2">
      <c r="A1560" s="22" t="s">
        <v>3804</v>
      </c>
      <c r="B1560" s="22">
        <v>20490188</v>
      </c>
      <c r="C1560" s="30"/>
      <c r="D1560" s="23">
        <v>957195184</v>
      </c>
      <c r="E1560" s="23">
        <v>957195184</v>
      </c>
      <c r="F1560" s="24" t="s">
        <v>3137</v>
      </c>
      <c r="G1560" s="23">
        <v>158.80000000000001</v>
      </c>
      <c r="H1560" s="23">
        <v>20250227</v>
      </c>
      <c r="I1560" s="23" t="str">
        <f>TEXT(DATE(LEFT(H1560,4), MID(H1560,5,2), RIGHT(H1560,2)), "M/d/yyyy")</f>
        <v>2/27/2025</v>
      </c>
      <c r="J1560" s="25">
        <v>20241027</v>
      </c>
      <c r="K1560" s="23" t="str">
        <f>TEXT(DATE(LEFT(J1560,4), MID(J1560,5,2), RIGHT(J1560,2)), "M/d/yyyy")</f>
        <v>10/27/2024</v>
      </c>
      <c r="L1560" s="24" t="s">
        <v>937</v>
      </c>
      <c r="M1560" s="25">
        <v>100</v>
      </c>
      <c r="N1560" s="25">
        <v>0.18</v>
      </c>
      <c r="O1560" s="27">
        <v>28.58</v>
      </c>
      <c r="P1560" s="22" t="s">
        <v>3837</v>
      </c>
    </row>
    <row r="1561" spans="1:16" s="22" customFormat="1" ht="15" customHeight="1" x14ac:dyDescent="0.2">
      <c r="A1561" s="22" t="s">
        <v>3820</v>
      </c>
      <c r="B1561" s="22">
        <v>7146581</v>
      </c>
      <c r="C1561" s="30"/>
      <c r="D1561" s="23">
        <v>957197833</v>
      </c>
      <c r="E1561" s="23">
        <v>957197833</v>
      </c>
      <c r="F1561" s="24" t="s">
        <v>3740</v>
      </c>
      <c r="G1561" s="23">
        <v>229.1</v>
      </c>
      <c r="H1561" s="23">
        <v>20250226</v>
      </c>
      <c r="I1561" s="23" t="str">
        <f>TEXT(DATE(LEFT(H1561,4), MID(H1561,5,2), RIGHT(H1561,2)), "M/d/yyyy")</f>
        <v>2/26/2025</v>
      </c>
      <c r="J1561" s="25">
        <v>20241126</v>
      </c>
      <c r="K1561" s="23" t="str">
        <f>TEXT(DATE(LEFT(J1561,4), MID(J1561,5,2), RIGHT(J1561,2)), "M/d/yyyy")</f>
        <v>11/26/2024</v>
      </c>
      <c r="L1561" s="24" t="s">
        <v>961</v>
      </c>
      <c r="M1561" s="25">
        <v>100</v>
      </c>
      <c r="N1561" s="25">
        <v>0.09</v>
      </c>
      <c r="O1561" s="27">
        <v>20.62</v>
      </c>
      <c r="P1561" s="22" t="s">
        <v>3836</v>
      </c>
    </row>
    <row r="1562" spans="1:16" s="22" customFormat="1" ht="15" customHeight="1" x14ac:dyDescent="0.2">
      <c r="A1562" s="22" t="s">
        <v>3789</v>
      </c>
      <c r="B1562" s="22">
        <v>19681796</v>
      </c>
      <c r="C1562" s="30"/>
      <c r="D1562" s="23">
        <v>957117990</v>
      </c>
      <c r="E1562" s="23">
        <v>957117990</v>
      </c>
      <c r="F1562" s="24" t="s">
        <v>2405</v>
      </c>
      <c r="G1562" s="23">
        <v>222.65</v>
      </c>
      <c r="H1562" s="23">
        <v>20250301</v>
      </c>
      <c r="I1562" s="23" t="str">
        <f>TEXT(DATE(LEFT(H1562,4), MID(H1562,5,2), RIGHT(H1562,2)), "M/d/yyyy")</f>
        <v>3/1/2025</v>
      </c>
      <c r="J1562" s="25">
        <v>20250101</v>
      </c>
      <c r="K1562" s="23" t="str">
        <f>TEXT(DATE(LEFT(J1562,4), MID(J1562,5,2), RIGHT(J1562,2)), "M/d/yyyy")</f>
        <v>1/1/2025</v>
      </c>
      <c r="L1562" s="24" t="s">
        <v>961</v>
      </c>
      <c r="M1562" s="25">
        <v>100</v>
      </c>
      <c r="N1562" s="25">
        <v>0.09</v>
      </c>
      <c r="O1562" s="27">
        <v>20.04</v>
      </c>
      <c r="P1562" s="22" t="s">
        <v>3836</v>
      </c>
    </row>
    <row r="1563" spans="1:16" s="22" customFormat="1" ht="15" customHeight="1" x14ac:dyDescent="0.2">
      <c r="A1563" s="22" t="s">
        <v>3789</v>
      </c>
      <c r="B1563" s="22">
        <v>19681796</v>
      </c>
      <c r="C1563" s="30"/>
      <c r="D1563" s="23">
        <v>957187354</v>
      </c>
      <c r="E1563" s="23">
        <v>957187354</v>
      </c>
      <c r="F1563" s="24" t="s">
        <v>2418</v>
      </c>
      <c r="G1563" s="23">
        <v>238.74</v>
      </c>
      <c r="H1563" s="23">
        <v>20250201</v>
      </c>
      <c r="I1563" s="23" t="str">
        <f>TEXT(DATE(LEFT(H1563,4), MID(H1563,5,2), RIGHT(H1563,2)), "M/d/yyyy")</f>
        <v>2/1/2025</v>
      </c>
      <c r="J1563" s="25">
        <v>20250101</v>
      </c>
      <c r="K1563" s="23" t="str">
        <f>TEXT(DATE(LEFT(J1563,4), MID(J1563,5,2), RIGHT(J1563,2)), "M/d/yyyy")</f>
        <v>1/1/2025</v>
      </c>
      <c r="L1563" s="24" t="s">
        <v>961</v>
      </c>
      <c r="M1563" s="25">
        <v>100</v>
      </c>
      <c r="N1563" s="25">
        <v>0.09</v>
      </c>
      <c r="O1563" s="27">
        <v>21.49</v>
      </c>
      <c r="P1563" s="22" t="s">
        <v>3836</v>
      </c>
    </row>
    <row r="1564" spans="1:16" s="22" customFormat="1" ht="15" customHeight="1" x14ac:dyDescent="0.2">
      <c r="A1564" s="22" t="s">
        <v>3789</v>
      </c>
      <c r="B1564" s="22">
        <v>19681796</v>
      </c>
      <c r="C1564" s="30"/>
      <c r="D1564" s="23">
        <v>957199460</v>
      </c>
      <c r="E1564" s="23">
        <v>957199460</v>
      </c>
      <c r="F1564" s="24" t="s">
        <v>2438</v>
      </c>
      <c r="G1564" s="23">
        <v>254.73</v>
      </c>
      <c r="H1564" s="23">
        <v>20250201</v>
      </c>
      <c r="I1564" s="23" t="str">
        <f>TEXT(DATE(LEFT(H1564,4), MID(H1564,5,2), RIGHT(H1564,2)), "M/d/yyyy")</f>
        <v>2/1/2025</v>
      </c>
      <c r="J1564" s="25">
        <v>20250101</v>
      </c>
      <c r="K1564" s="23" t="str">
        <f>TEXT(DATE(LEFT(J1564,4), MID(J1564,5,2), RIGHT(J1564,2)), "M/d/yyyy")</f>
        <v>1/1/2025</v>
      </c>
      <c r="L1564" s="24" t="s">
        <v>961</v>
      </c>
      <c r="M1564" s="25">
        <v>100</v>
      </c>
      <c r="N1564" s="25">
        <v>0.09</v>
      </c>
      <c r="O1564" s="27">
        <v>22.93</v>
      </c>
      <c r="P1564" s="22" t="s">
        <v>3836</v>
      </c>
    </row>
    <row r="1565" spans="1:16" s="22" customFormat="1" ht="15" customHeight="1" x14ac:dyDescent="0.2">
      <c r="A1565" s="22" t="s">
        <v>3789</v>
      </c>
      <c r="B1565" s="22">
        <v>19681796</v>
      </c>
      <c r="C1565" s="30"/>
      <c r="D1565" s="23">
        <v>957190406</v>
      </c>
      <c r="E1565" s="23">
        <v>957190406</v>
      </c>
      <c r="F1565" s="24" t="s">
        <v>2422</v>
      </c>
      <c r="G1565" s="23">
        <v>276.86</v>
      </c>
      <c r="H1565" s="23">
        <v>20250301</v>
      </c>
      <c r="I1565" s="23" t="str">
        <f>TEXT(DATE(LEFT(H1565,4), MID(H1565,5,2), RIGHT(H1565,2)), "M/d/yyyy")</f>
        <v>3/1/2025</v>
      </c>
      <c r="J1565" s="25">
        <v>20250101</v>
      </c>
      <c r="K1565" s="23" t="str">
        <f>TEXT(DATE(LEFT(J1565,4), MID(J1565,5,2), RIGHT(J1565,2)), "M/d/yyyy")</f>
        <v>1/1/2025</v>
      </c>
      <c r="L1565" s="24" t="s">
        <v>961</v>
      </c>
      <c r="M1565" s="25">
        <v>100</v>
      </c>
      <c r="N1565" s="25">
        <v>0.09</v>
      </c>
      <c r="O1565" s="27">
        <v>24.92</v>
      </c>
      <c r="P1565" s="22" t="s">
        <v>3836</v>
      </c>
    </row>
    <row r="1566" spans="1:16" s="22" customFormat="1" ht="15" customHeight="1" x14ac:dyDescent="0.2">
      <c r="A1566" s="22" t="s">
        <v>3789</v>
      </c>
      <c r="B1566" s="22">
        <v>19681796</v>
      </c>
      <c r="C1566" s="30"/>
      <c r="D1566" s="23">
        <v>957190406</v>
      </c>
      <c r="E1566" s="23">
        <v>957190406</v>
      </c>
      <c r="F1566" s="24" t="s">
        <v>2422</v>
      </c>
      <c r="G1566" s="23">
        <v>276.86</v>
      </c>
      <c r="H1566" s="23">
        <v>20250201</v>
      </c>
      <c r="I1566" s="23" t="str">
        <f>TEXT(DATE(LEFT(H1566,4), MID(H1566,5,2), RIGHT(H1566,2)), "M/d/yyyy")</f>
        <v>2/1/2025</v>
      </c>
      <c r="J1566" s="25">
        <v>20250101</v>
      </c>
      <c r="K1566" s="23" t="str">
        <f>TEXT(DATE(LEFT(J1566,4), MID(J1566,5,2), RIGHT(J1566,2)), "M/d/yyyy")</f>
        <v>1/1/2025</v>
      </c>
      <c r="L1566" s="24" t="s">
        <v>961</v>
      </c>
      <c r="M1566" s="25">
        <v>100</v>
      </c>
      <c r="N1566" s="25">
        <v>0.09</v>
      </c>
      <c r="O1566" s="27">
        <v>24.92</v>
      </c>
      <c r="P1566" s="22" t="s">
        <v>3836</v>
      </c>
    </row>
    <row r="1567" spans="1:16" s="22" customFormat="1" ht="15" customHeight="1" x14ac:dyDescent="0.2">
      <c r="A1567" s="22" t="s">
        <v>3789</v>
      </c>
      <c r="B1567" s="22">
        <v>19681796</v>
      </c>
      <c r="C1567" s="30"/>
      <c r="D1567" s="23">
        <v>957200323</v>
      </c>
      <c r="E1567" s="23">
        <v>957200323</v>
      </c>
      <c r="F1567" s="24" t="s">
        <v>2442</v>
      </c>
      <c r="G1567" s="23">
        <v>311.47000000000003</v>
      </c>
      <c r="H1567" s="23">
        <v>20250201</v>
      </c>
      <c r="I1567" s="23" t="str">
        <f>TEXT(DATE(LEFT(H1567,4), MID(H1567,5,2), RIGHT(H1567,2)), "M/d/yyyy")</f>
        <v>2/1/2025</v>
      </c>
      <c r="J1567" s="25">
        <v>20250101</v>
      </c>
      <c r="K1567" s="23" t="str">
        <f>TEXT(DATE(LEFT(J1567,4), MID(J1567,5,2), RIGHT(J1567,2)), "M/d/yyyy")</f>
        <v>1/1/2025</v>
      </c>
      <c r="L1567" s="24" t="s">
        <v>961</v>
      </c>
      <c r="M1567" s="25">
        <v>100</v>
      </c>
      <c r="N1567" s="25">
        <v>0.09</v>
      </c>
      <c r="O1567" s="27">
        <v>28.03</v>
      </c>
      <c r="P1567" s="22" t="s">
        <v>3836</v>
      </c>
    </row>
    <row r="1568" spans="1:16" s="22" customFormat="1" ht="15" customHeight="1" x14ac:dyDescent="0.2">
      <c r="A1568" s="22" t="s">
        <v>3781</v>
      </c>
      <c r="B1568" s="22">
        <v>9213293</v>
      </c>
      <c r="C1568" s="30"/>
      <c r="D1568" s="23">
        <v>957198166</v>
      </c>
      <c r="E1568" s="23">
        <v>957198166</v>
      </c>
      <c r="F1568" s="24" t="s">
        <v>959</v>
      </c>
      <c r="G1568" s="23">
        <v>296.52</v>
      </c>
      <c r="H1568" s="23">
        <v>20250201</v>
      </c>
      <c r="I1568" s="23" t="str">
        <f>TEXT(DATE(LEFT(H1568,4), MID(H1568,5,2), RIGHT(H1568,2)), "M/d/yyyy")</f>
        <v>2/1/2025</v>
      </c>
      <c r="J1568" s="25">
        <v>20250101</v>
      </c>
      <c r="K1568" s="23" t="str">
        <f>TEXT(DATE(LEFT(J1568,4), MID(J1568,5,2), RIGHT(J1568,2)), "M/d/yyyy")</f>
        <v>1/1/2025</v>
      </c>
      <c r="L1568" s="24" t="s">
        <v>961</v>
      </c>
      <c r="M1568" s="25">
        <v>100</v>
      </c>
      <c r="N1568" s="25">
        <v>0.09</v>
      </c>
      <c r="O1568" s="27">
        <v>26.69</v>
      </c>
      <c r="P1568" s="22" t="s">
        <v>3836</v>
      </c>
    </row>
    <row r="1569" spans="1:16" s="22" customFormat="1" ht="15" customHeight="1" x14ac:dyDescent="0.2">
      <c r="A1569" s="22" t="s">
        <v>3810</v>
      </c>
      <c r="B1569" s="22">
        <v>6375605</v>
      </c>
      <c r="C1569" s="30"/>
      <c r="D1569" s="23">
        <v>957199518</v>
      </c>
      <c r="E1569" s="23">
        <v>957199518</v>
      </c>
      <c r="F1569" s="24" t="s">
        <v>3389</v>
      </c>
      <c r="G1569" s="23">
        <v>246.51</v>
      </c>
      <c r="H1569" s="23">
        <v>20250201</v>
      </c>
      <c r="I1569" s="23" t="str">
        <f>TEXT(DATE(LEFT(H1569,4), MID(H1569,5,2), RIGHT(H1569,2)), "M/d/yyyy")</f>
        <v>2/1/2025</v>
      </c>
      <c r="J1569" s="25">
        <v>20250101</v>
      </c>
      <c r="K1569" s="23" t="str">
        <f>TEXT(DATE(LEFT(J1569,4), MID(J1569,5,2), RIGHT(J1569,2)), "M/d/yyyy")</f>
        <v>1/1/2025</v>
      </c>
      <c r="L1569" s="24" t="s">
        <v>961</v>
      </c>
      <c r="M1569" s="25">
        <v>100</v>
      </c>
      <c r="N1569" s="25">
        <v>0.09</v>
      </c>
      <c r="O1569" s="27">
        <v>22.19</v>
      </c>
      <c r="P1569" s="22" t="s">
        <v>3836</v>
      </c>
    </row>
    <row r="1570" spans="1:16" s="22" customFormat="1" ht="15" customHeight="1" x14ac:dyDescent="0.2">
      <c r="A1570" s="22" t="s">
        <v>3784</v>
      </c>
      <c r="B1570" s="22">
        <v>8244481</v>
      </c>
      <c r="C1570" s="30"/>
      <c r="D1570" s="23">
        <v>957177416</v>
      </c>
      <c r="E1570" s="23">
        <v>957177416</v>
      </c>
      <c r="F1570" s="24" t="s">
        <v>1718</v>
      </c>
      <c r="G1570" s="23">
        <v>276.75</v>
      </c>
      <c r="H1570" s="23">
        <v>20250201</v>
      </c>
      <c r="I1570" s="23" t="str">
        <f>TEXT(DATE(LEFT(H1570,4), MID(H1570,5,2), RIGHT(H1570,2)), "M/d/yyyy")</f>
        <v>2/1/2025</v>
      </c>
      <c r="J1570" s="25">
        <v>20240701</v>
      </c>
      <c r="K1570" s="23" t="str">
        <f>TEXT(DATE(LEFT(J1570,4), MID(J1570,5,2), RIGHT(J1570,2)), "M/d/yyyy")</f>
        <v>7/1/2024</v>
      </c>
      <c r="L1570" s="24" t="s">
        <v>961</v>
      </c>
      <c r="M1570" s="25">
        <v>100</v>
      </c>
      <c r="N1570" s="25">
        <v>0.09</v>
      </c>
      <c r="O1570" s="27">
        <v>24.91</v>
      </c>
      <c r="P1570" s="22" t="s">
        <v>3836</v>
      </c>
    </row>
    <row r="1571" spans="1:16" s="22" customFormat="1" ht="15" customHeight="1" x14ac:dyDescent="0.2">
      <c r="A1571" s="22" t="s">
        <v>3799</v>
      </c>
      <c r="B1571" s="22">
        <v>16983460</v>
      </c>
      <c r="C1571" s="30"/>
      <c r="D1571" s="23">
        <v>957087313</v>
      </c>
      <c r="E1571" s="23">
        <v>957087313</v>
      </c>
      <c r="F1571" s="24" t="s">
        <v>2913</v>
      </c>
      <c r="G1571" s="23">
        <v>227.46</v>
      </c>
      <c r="H1571" s="23">
        <v>20250201</v>
      </c>
      <c r="I1571" s="23" t="str">
        <f>TEXT(DATE(LEFT(H1571,4), MID(H1571,5,2), RIGHT(H1571,2)), "M/d/yyyy")</f>
        <v>2/1/2025</v>
      </c>
      <c r="J1571" s="25">
        <v>20250101</v>
      </c>
      <c r="K1571" s="23" t="str">
        <f>TEXT(DATE(LEFT(J1571,4), MID(J1571,5,2), RIGHT(J1571,2)), "M/d/yyyy")</f>
        <v>1/1/2025</v>
      </c>
      <c r="L1571" s="24" t="s">
        <v>961</v>
      </c>
      <c r="M1571" s="25">
        <v>100</v>
      </c>
      <c r="N1571" s="25">
        <v>0.09</v>
      </c>
      <c r="O1571" s="27">
        <v>20.47</v>
      </c>
      <c r="P1571" s="22" t="s">
        <v>3836</v>
      </c>
    </row>
    <row r="1572" spans="1:16" s="22" customFormat="1" ht="15" customHeight="1" x14ac:dyDescent="0.2">
      <c r="A1572" s="22" t="s">
        <v>3809</v>
      </c>
      <c r="B1572" s="22">
        <v>19615078</v>
      </c>
      <c r="C1572" s="30"/>
      <c r="D1572" s="23">
        <v>957191690</v>
      </c>
      <c r="E1572" s="23">
        <v>957191690</v>
      </c>
      <c r="F1572" s="24" t="s">
        <v>3362</v>
      </c>
      <c r="G1572" s="23">
        <v>292.58999999999997</v>
      </c>
      <c r="H1572" s="23">
        <v>20250201</v>
      </c>
      <c r="I1572" s="23" t="str">
        <f>TEXT(DATE(LEFT(H1572,4), MID(H1572,5,2), RIGHT(H1572,2)), "M/d/yyyy")</f>
        <v>2/1/2025</v>
      </c>
      <c r="J1572" s="25">
        <v>20250101</v>
      </c>
      <c r="K1572" s="23" t="str">
        <f>TEXT(DATE(LEFT(J1572,4), MID(J1572,5,2), RIGHT(J1572,2)), "M/d/yyyy")</f>
        <v>1/1/2025</v>
      </c>
      <c r="L1572" s="24" t="s">
        <v>961</v>
      </c>
      <c r="M1572" s="25">
        <v>100</v>
      </c>
      <c r="N1572" s="25">
        <v>0.09</v>
      </c>
      <c r="O1572" s="27">
        <v>26.33</v>
      </c>
      <c r="P1572" s="22" t="s">
        <v>3836</v>
      </c>
    </row>
    <row r="1573" spans="1:16" s="22" customFormat="1" ht="15" customHeight="1" x14ac:dyDescent="0.2">
      <c r="A1573" s="22" t="s">
        <v>3793</v>
      </c>
      <c r="B1573" s="22">
        <v>19396223</v>
      </c>
      <c r="C1573" s="30"/>
      <c r="D1573" s="23">
        <v>957198887</v>
      </c>
      <c r="E1573" s="23">
        <v>957198887</v>
      </c>
      <c r="F1573" s="24" t="s">
        <v>2543</v>
      </c>
      <c r="G1573" s="23">
        <v>259.35000000000002</v>
      </c>
      <c r="H1573" s="23">
        <v>20250201</v>
      </c>
      <c r="I1573" s="23" t="str">
        <f>TEXT(DATE(LEFT(H1573,4), MID(H1573,5,2), RIGHT(H1573,2)), "M/d/yyyy")</f>
        <v>2/1/2025</v>
      </c>
      <c r="J1573" s="25">
        <v>20250101</v>
      </c>
      <c r="K1573" s="23" t="str">
        <f>TEXT(DATE(LEFT(J1573,4), MID(J1573,5,2), RIGHT(J1573,2)), "M/d/yyyy")</f>
        <v>1/1/2025</v>
      </c>
      <c r="L1573" s="24" t="s">
        <v>961</v>
      </c>
      <c r="M1573" s="25">
        <v>100</v>
      </c>
      <c r="N1573" s="25">
        <v>0.09</v>
      </c>
      <c r="O1573" s="27">
        <v>23.34</v>
      </c>
      <c r="P1573" s="22" t="s">
        <v>3836</v>
      </c>
    </row>
    <row r="1574" spans="1:16" s="22" customFormat="1" ht="15" customHeight="1" x14ac:dyDescent="0.2">
      <c r="A1574" s="22" t="s">
        <v>3783</v>
      </c>
      <c r="B1574" s="22">
        <v>19645587</v>
      </c>
      <c r="C1574" s="30"/>
      <c r="D1574" s="23">
        <v>957201780</v>
      </c>
      <c r="E1574" s="23">
        <v>957201780</v>
      </c>
      <c r="F1574" s="24" t="s">
        <v>1303</v>
      </c>
      <c r="G1574" s="23" t="s">
        <v>3829</v>
      </c>
      <c r="H1574" s="23">
        <v>20250701</v>
      </c>
      <c r="I1574" s="23" t="str">
        <f>TEXT(DATE(LEFT(H1574,4), MID(H1574,5,2), RIGHT(H1574,2)), "M/d/yyyy")</f>
        <v>7/1/2025</v>
      </c>
      <c r="J1574" s="25">
        <v>20250101</v>
      </c>
      <c r="K1574" s="23" t="str">
        <f>TEXT(DATE(LEFT(J1574,4), MID(J1574,5,2), RIGHT(J1574,2)), "M/d/yyyy")</f>
        <v>1/1/2025</v>
      </c>
      <c r="L1574" s="24" t="s">
        <v>961</v>
      </c>
      <c r="M1574" s="25">
        <v>100</v>
      </c>
      <c r="N1574" s="25">
        <v>0.09</v>
      </c>
      <c r="O1574" s="27">
        <v>-24.12</v>
      </c>
      <c r="P1574" s="22" t="s">
        <v>3836</v>
      </c>
    </row>
    <row r="1575" spans="1:16" s="22" customFormat="1" ht="15" customHeight="1" x14ac:dyDescent="0.2">
      <c r="A1575" s="22" t="s">
        <v>3783</v>
      </c>
      <c r="B1575" s="22">
        <v>19645587</v>
      </c>
      <c r="C1575" s="30"/>
      <c r="D1575" s="23">
        <v>957201780</v>
      </c>
      <c r="E1575" s="23">
        <v>957201780</v>
      </c>
      <c r="F1575" s="24" t="s">
        <v>1303</v>
      </c>
      <c r="G1575" s="23" t="s">
        <v>3829</v>
      </c>
      <c r="H1575" s="23">
        <v>20250601</v>
      </c>
      <c r="I1575" s="23" t="str">
        <f>TEXT(DATE(LEFT(H1575,4), MID(H1575,5,2), RIGHT(H1575,2)), "M/d/yyyy")</f>
        <v>6/1/2025</v>
      </c>
      <c r="J1575" s="25">
        <v>20250101</v>
      </c>
      <c r="K1575" s="23" t="str">
        <f>TEXT(DATE(LEFT(J1575,4), MID(J1575,5,2), RIGHT(J1575,2)), "M/d/yyyy")</f>
        <v>1/1/2025</v>
      </c>
      <c r="L1575" s="24" t="s">
        <v>961</v>
      </c>
      <c r="M1575" s="25">
        <v>100</v>
      </c>
      <c r="N1575" s="25">
        <v>0.09</v>
      </c>
      <c r="O1575" s="27">
        <v>-24.12</v>
      </c>
      <c r="P1575" s="22" t="s">
        <v>3836</v>
      </c>
    </row>
    <row r="1576" spans="1:16" s="22" customFormat="1" ht="15" customHeight="1" x14ac:dyDescent="0.2">
      <c r="A1576" s="22" t="s">
        <v>3783</v>
      </c>
      <c r="B1576" s="22">
        <v>19645587</v>
      </c>
      <c r="C1576" s="30"/>
      <c r="D1576" s="23">
        <v>957201780</v>
      </c>
      <c r="E1576" s="23">
        <v>957201780</v>
      </c>
      <c r="F1576" s="24" t="s">
        <v>1303</v>
      </c>
      <c r="G1576" s="23" t="s">
        <v>3829</v>
      </c>
      <c r="H1576" s="23">
        <v>20250501</v>
      </c>
      <c r="I1576" s="23" t="str">
        <f>TEXT(DATE(LEFT(H1576,4), MID(H1576,5,2), RIGHT(H1576,2)), "M/d/yyyy")</f>
        <v>5/1/2025</v>
      </c>
      <c r="J1576" s="25">
        <v>20250101</v>
      </c>
      <c r="K1576" s="23" t="str">
        <f>TEXT(DATE(LEFT(J1576,4), MID(J1576,5,2), RIGHT(J1576,2)), "M/d/yyyy")</f>
        <v>1/1/2025</v>
      </c>
      <c r="L1576" s="24" t="s">
        <v>961</v>
      </c>
      <c r="M1576" s="25">
        <v>100</v>
      </c>
      <c r="N1576" s="25">
        <v>0.09</v>
      </c>
      <c r="O1576" s="27">
        <v>-24.12</v>
      </c>
      <c r="P1576" s="22" t="s">
        <v>3836</v>
      </c>
    </row>
    <row r="1577" spans="1:16" s="22" customFormat="1" ht="15" customHeight="1" x14ac:dyDescent="0.2">
      <c r="A1577" s="22" t="s">
        <v>3783</v>
      </c>
      <c r="B1577" s="22">
        <v>19645587</v>
      </c>
      <c r="C1577" s="30"/>
      <c r="D1577" s="23">
        <v>957201780</v>
      </c>
      <c r="E1577" s="23">
        <v>957201780</v>
      </c>
      <c r="F1577" s="24" t="s">
        <v>1303</v>
      </c>
      <c r="G1577" s="23">
        <v>268</v>
      </c>
      <c r="H1577" s="23">
        <v>20250701</v>
      </c>
      <c r="I1577" s="23" t="str">
        <f>TEXT(DATE(LEFT(H1577,4), MID(H1577,5,2), RIGHT(H1577,2)), "M/d/yyyy")</f>
        <v>7/1/2025</v>
      </c>
      <c r="J1577" s="25">
        <v>20250101</v>
      </c>
      <c r="K1577" s="23" t="str">
        <f>TEXT(DATE(LEFT(J1577,4), MID(J1577,5,2), RIGHT(J1577,2)), "M/d/yyyy")</f>
        <v>1/1/2025</v>
      </c>
      <c r="L1577" s="24" t="s">
        <v>961</v>
      </c>
      <c r="M1577" s="25">
        <v>100</v>
      </c>
      <c r="N1577" s="25">
        <v>0.09</v>
      </c>
      <c r="O1577" s="27">
        <v>24.12</v>
      </c>
      <c r="P1577" s="22" t="s">
        <v>3836</v>
      </c>
    </row>
    <row r="1578" spans="1:16" s="22" customFormat="1" ht="15" customHeight="1" x14ac:dyDescent="0.2">
      <c r="A1578" s="22" t="s">
        <v>3783</v>
      </c>
      <c r="B1578" s="22">
        <v>19645587</v>
      </c>
      <c r="C1578" s="30"/>
      <c r="D1578" s="23">
        <v>957201780</v>
      </c>
      <c r="E1578" s="23">
        <v>957201780</v>
      </c>
      <c r="F1578" s="24" t="s">
        <v>1303</v>
      </c>
      <c r="G1578" s="23">
        <v>268</v>
      </c>
      <c r="H1578" s="23">
        <v>20250701</v>
      </c>
      <c r="I1578" s="23" t="str">
        <f>TEXT(DATE(LEFT(H1578,4), MID(H1578,5,2), RIGHT(H1578,2)), "M/d/yyyy")</f>
        <v>7/1/2025</v>
      </c>
      <c r="J1578" s="25">
        <v>20250101</v>
      </c>
      <c r="K1578" s="23" t="str">
        <f>TEXT(DATE(LEFT(J1578,4), MID(J1578,5,2), RIGHT(J1578,2)), "M/d/yyyy")</f>
        <v>1/1/2025</v>
      </c>
      <c r="L1578" s="24" t="s">
        <v>961</v>
      </c>
      <c r="M1578" s="25">
        <v>100</v>
      </c>
      <c r="N1578" s="25">
        <v>0.09</v>
      </c>
      <c r="O1578" s="27">
        <v>24.12</v>
      </c>
      <c r="P1578" s="22" t="s">
        <v>3836</v>
      </c>
    </row>
    <row r="1579" spans="1:16" s="22" customFormat="1" ht="15" customHeight="1" x14ac:dyDescent="0.2">
      <c r="A1579" s="22" t="s">
        <v>3783</v>
      </c>
      <c r="B1579" s="22">
        <v>19645587</v>
      </c>
      <c r="C1579" s="30"/>
      <c r="D1579" s="23">
        <v>957201780</v>
      </c>
      <c r="E1579" s="23">
        <v>957201780</v>
      </c>
      <c r="F1579" s="24" t="s">
        <v>1303</v>
      </c>
      <c r="G1579" s="23">
        <v>268</v>
      </c>
      <c r="H1579" s="23">
        <v>20250601</v>
      </c>
      <c r="I1579" s="23" t="str">
        <f>TEXT(DATE(LEFT(H1579,4), MID(H1579,5,2), RIGHT(H1579,2)), "M/d/yyyy")</f>
        <v>6/1/2025</v>
      </c>
      <c r="J1579" s="25">
        <v>20250101</v>
      </c>
      <c r="K1579" s="23" t="str">
        <f>TEXT(DATE(LEFT(J1579,4), MID(J1579,5,2), RIGHT(J1579,2)), "M/d/yyyy")</f>
        <v>1/1/2025</v>
      </c>
      <c r="L1579" s="24" t="s">
        <v>961</v>
      </c>
      <c r="M1579" s="25">
        <v>100</v>
      </c>
      <c r="N1579" s="25">
        <v>0.09</v>
      </c>
      <c r="O1579" s="27">
        <v>24.12</v>
      </c>
      <c r="P1579" s="22" t="s">
        <v>3836</v>
      </c>
    </row>
    <row r="1580" spans="1:16" s="22" customFormat="1" ht="15" customHeight="1" x14ac:dyDescent="0.2">
      <c r="A1580" s="22" t="s">
        <v>3783</v>
      </c>
      <c r="B1580" s="22">
        <v>19645587</v>
      </c>
      <c r="C1580" s="30"/>
      <c r="D1580" s="23">
        <v>957201780</v>
      </c>
      <c r="E1580" s="23">
        <v>957201780</v>
      </c>
      <c r="F1580" s="24" t="s">
        <v>1303</v>
      </c>
      <c r="G1580" s="23">
        <v>268</v>
      </c>
      <c r="H1580" s="23">
        <v>20250601</v>
      </c>
      <c r="I1580" s="23" t="str">
        <f>TEXT(DATE(LEFT(H1580,4), MID(H1580,5,2), RIGHT(H1580,2)), "M/d/yyyy")</f>
        <v>6/1/2025</v>
      </c>
      <c r="J1580" s="25">
        <v>20250101</v>
      </c>
      <c r="K1580" s="23" t="str">
        <f>TEXT(DATE(LEFT(J1580,4), MID(J1580,5,2), RIGHT(J1580,2)), "M/d/yyyy")</f>
        <v>1/1/2025</v>
      </c>
      <c r="L1580" s="24" t="s">
        <v>961</v>
      </c>
      <c r="M1580" s="25">
        <v>100</v>
      </c>
      <c r="N1580" s="25">
        <v>0.09</v>
      </c>
      <c r="O1580" s="27">
        <v>24.12</v>
      </c>
      <c r="P1580" s="22" t="s">
        <v>3836</v>
      </c>
    </row>
    <row r="1581" spans="1:16" s="22" customFormat="1" ht="15" customHeight="1" x14ac:dyDescent="0.2">
      <c r="A1581" s="22" t="s">
        <v>3783</v>
      </c>
      <c r="B1581" s="22">
        <v>19645587</v>
      </c>
      <c r="C1581" s="30"/>
      <c r="D1581" s="23">
        <v>957201780</v>
      </c>
      <c r="E1581" s="23">
        <v>957201780</v>
      </c>
      <c r="F1581" s="24" t="s">
        <v>1303</v>
      </c>
      <c r="G1581" s="23">
        <v>268</v>
      </c>
      <c r="H1581" s="23">
        <v>20250501</v>
      </c>
      <c r="I1581" s="23" t="str">
        <f>TEXT(DATE(LEFT(H1581,4), MID(H1581,5,2), RIGHT(H1581,2)), "M/d/yyyy")</f>
        <v>5/1/2025</v>
      </c>
      <c r="J1581" s="25">
        <v>20250101</v>
      </c>
      <c r="K1581" s="23" t="str">
        <f>TEXT(DATE(LEFT(J1581,4), MID(J1581,5,2), RIGHT(J1581,2)), "M/d/yyyy")</f>
        <v>1/1/2025</v>
      </c>
      <c r="L1581" s="24" t="s">
        <v>961</v>
      </c>
      <c r="M1581" s="25">
        <v>100</v>
      </c>
      <c r="N1581" s="25">
        <v>0.09</v>
      </c>
      <c r="O1581" s="27">
        <v>24.12</v>
      </c>
      <c r="P1581" s="22" t="s">
        <v>3836</v>
      </c>
    </row>
    <row r="1582" spans="1:16" s="22" customFormat="1" ht="15" customHeight="1" x14ac:dyDescent="0.2">
      <c r="A1582" s="22" t="s">
        <v>3783</v>
      </c>
      <c r="B1582" s="22">
        <v>19645587</v>
      </c>
      <c r="C1582" s="30"/>
      <c r="D1582" s="23">
        <v>957201780</v>
      </c>
      <c r="E1582" s="23">
        <v>957201780</v>
      </c>
      <c r="F1582" s="24" t="s">
        <v>1303</v>
      </c>
      <c r="G1582" s="23">
        <v>268</v>
      </c>
      <c r="H1582" s="23">
        <v>20250501</v>
      </c>
      <c r="I1582" s="23" t="str">
        <f>TEXT(DATE(LEFT(H1582,4), MID(H1582,5,2), RIGHT(H1582,2)), "M/d/yyyy")</f>
        <v>5/1/2025</v>
      </c>
      <c r="J1582" s="25">
        <v>20250101</v>
      </c>
      <c r="K1582" s="23" t="str">
        <f>TEXT(DATE(LEFT(J1582,4), MID(J1582,5,2), RIGHT(J1582,2)), "M/d/yyyy")</f>
        <v>1/1/2025</v>
      </c>
      <c r="L1582" s="24" t="s">
        <v>961</v>
      </c>
      <c r="M1582" s="25">
        <v>100</v>
      </c>
      <c r="N1582" s="25">
        <v>0.09</v>
      </c>
      <c r="O1582" s="27">
        <v>24.12</v>
      </c>
      <c r="P1582" s="22" t="s">
        <v>3836</v>
      </c>
    </row>
    <row r="1583" spans="1:16" s="22" customFormat="1" ht="15" customHeight="1" x14ac:dyDescent="0.2">
      <c r="A1583" s="22" t="s">
        <v>3783</v>
      </c>
      <c r="B1583" s="22">
        <v>19645587</v>
      </c>
      <c r="C1583" s="30"/>
      <c r="D1583" s="23">
        <v>957201780</v>
      </c>
      <c r="E1583" s="23">
        <v>957201780</v>
      </c>
      <c r="F1583" s="24" t="s">
        <v>1303</v>
      </c>
      <c r="G1583" s="23">
        <v>268</v>
      </c>
      <c r="H1583" s="23">
        <v>20250401</v>
      </c>
      <c r="I1583" s="23" t="str">
        <f>TEXT(DATE(LEFT(H1583,4), MID(H1583,5,2), RIGHT(H1583,2)), "M/d/yyyy")</f>
        <v>4/1/2025</v>
      </c>
      <c r="J1583" s="25">
        <v>20250101</v>
      </c>
      <c r="K1583" s="23" t="str">
        <f>TEXT(DATE(LEFT(J1583,4), MID(J1583,5,2), RIGHT(J1583,2)), "M/d/yyyy")</f>
        <v>1/1/2025</v>
      </c>
      <c r="L1583" s="24" t="s">
        <v>961</v>
      </c>
      <c r="M1583" s="25">
        <v>100</v>
      </c>
      <c r="N1583" s="25">
        <v>0.09</v>
      </c>
      <c r="O1583" s="27">
        <v>24.12</v>
      </c>
      <c r="P1583" s="22" t="s">
        <v>3836</v>
      </c>
    </row>
    <row r="1584" spans="1:16" s="22" customFormat="1" ht="15" customHeight="1" x14ac:dyDescent="0.2">
      <c r="A1584" s="22" t="s">
        <v>3783</v>
      </c>
      <c r="B1584" s="22">
        <v>19645587</v>
      </c>
      <c r="C1584" s="30"/>
      <c r="D1584" s="23">
        <v>957201780</v>
      </c>
      <c r="E1584" s="23">
        <v>957201780</v>
      </c>
      <c r="F1584" s="24" t="s">
        <v>1303</v>
      </c>
      <c r="G1584" s="23">
        <v>268</v>
      </c>
      <c r="H1584" s="23">
        <v>20250301</v>
      </c>
      <c r="I1584" s="23" t="str">
        <f>TEXT(DATE(LEFT(H1584,4), MID(H1584,5,2), RIGHT(H1584,2)), "M/d/yyyy")</f>
        <v>3/1/2025</v>
      </c>
      <c r="J1584" s="25">
        <v>20250101</v>
      </c>
      <c r="K1584" s="23" t="str">
        <f>TEXT(DATE(LEFT(J1584,4), MID(J1584,5,2), RIGHT(J1584,2)), "M/d/yyyy")</f>
        <v>1/1/2025</v>
      </c>
      <c r="L1584" s="24" t="s">
        <v>961</v>
      </c>
      <c r="M1584" s="25">
        <v>100</v>
      </c>
      <c r="N1584" s="25">
        <v>0.09</v>
      </c>
      <c r="O1584" s="27">
        <v>24.12</v>
      </c>
      <c r="P1584" s="22" t="s">
        <v>3836</v>
      </c>
    </row>
    <row r="1585" spans="1:16" s="22" customFormat="1" ht="15" customHeight="1" x14ac:dyDescent="0.2">
      <c r="A1585" s="22" t="s">
        <v>3783</v>
      </c>
      <c r="B1585" s="22">
        <v>19645587</v>
      </c>
      <c r="C1585" s="30"/>
      <c r="D1585" s="23">
        <v>957201780</v>
      </c>
      <c r="E1585" s="23">
        <v>957201780</v>
      </c>
      <c r="F1585" s="24" t="s">
        <v>1303</v>
      </c>
      <c r="G1585" s="23">
        <v>268</v>
      </c>
      <c r="H1585" s="23">
        <v>20250201</v>
      </c>
      <c r="I1585" s="23" t="str">
        <f>TEXT(DATE(LEFT(H1585,4), MID(H1585,5,2), RIGHT(H1585,2)), "M/d/yyyy")</f>
        <v>2/1/2025</v>
      </c>
      <c r="J1585" s="25">
        <v>20250101</v>
      </c>
      <c r="K1585" s="23" t="str">
        <f>TEXT(DATE(LEFT(J1585,4), MID(J1585,5,2), RIGHT(J1585,2)), "M/d/yyyy")</f>
        <v>1/1/2025</v>
      </c>
      <c r="L1585" s="24" t="s">
        <v>961</v>
      </c>
      <c r="M1585" s="25">
        <v>100</v>
      </c>
      <c r="N1585" s="25">
        <v>0.09</v>
      </c>
      <c r="O1585" s="27">
        <v>24.12</v>
      </c>
      <c r="P1585" s="22" t="s">
        <v>3836</v>
      </c>
    </row>
    <row r="1586" spans="1:16" s="22" customFormat="1" ht="15" customHeight="1" x14ac:dyDescent="0.2">
      <c r="A1586" s="22" t="s">
        <v>3782</v>
      </c>
      <c r="B1586" s="22">
        <v>7470776</v>
      </c>
      <c r="C1586" s="30"/>
      <c r="D1586" s="23">
        <v>808522682</v>
      </c>
      <c r="E1586" s="23">
        <v>808522682</v>
      </c>
      <c r="F1586" s="24" t="s">
        <v>967</v>
      </c>
      <c r="G1586" s="23">
        <v>0</v>
      </c>
      <c r="H1586" s="23">
        <v>20250201</v>
      </c>
      <c r="I1586" s="23" t="str">
        <f>TEXT(DATE(LEFT(H1586,4), MID(H1586,5,2), RIGHT(H1586,2)), "M/d/yyyy")</f>
        <v>2/1/2025</v>
      </c>
      <c r="J1586" s="25">
        <v>20241101</v>
      </c>
      <c r="K1586" s="23" t="str">
        <f>TEXT(DATE(LEFT(J1586,4), MID(J1586,5,2), RIGHT(J1586,2)), "M/d/yyyy")</f>
        <v>11/1/2024</v>
      </c>
      <c r="L1586" s="24" t="s">
        <v>664</v>
      </c>
      <c r="M1586" s="26">
        <v>1</v>
      </c>
      <c r="O1586" s="27">
        <v>50</v>
      </c>
      <c r="P1586" s="22" t="s">
        <v>3844</v>
      </c>
    </row>
    <row r="1587" spans="1:16" s="22" customFormat="1" ht="15" customHeight="1" x14ac:dyDescent="0.2">
      <c r="A1587" s="22" t="s">
        <v>3820</v>
      </c>
      <c r="B1587" s="22">
        <v>7146581</v>
      </c>
      <c r="C1587" s="30"/>
      <c r="D1587" s="23">
        <v>807842413</v>
      </c>
      <c r="E1587" s="23">
        <v>807842413</v>
      </c>
      <c r="F1587" s="24" t="s">
        <v>3511</v>
      </c>
      <c r="G1587" s="23">
        <v>0</v>
      </c>
      <c r="H1587" s="23">
        <v>20250201</v>
      </c>
      <c r="I1587" s="23" t="str">
        <f>TEXT(DATE(LEFT(H1587,4), MID(H1587,5,2), RIGHT(H1587,2)), "M/d/yyyy")</f>
        <v>2/1/2025</v>
      </c>
      <c r="J1587" s="25">
        <v>20100101</v>
      </c>
      <c r="K1587" s="23" t="str">
        <f>TEXT(DATE(LEFT(J1587,4), MID(J1587,5,2), RIGHT(J1587,2)), "M/d/yyyy")</f>
        <v>1/1/2010</v>
      </c>
      <c r="L1587" s="24" t="s">
        <v>664</v>
      </c>
      <c r="M1587" s="26">
        <v>1</v>
      </c>
      <c r="O1587" s="27">
        <v>27</v>
      </c>
      <c r="P1587" s="22" t="s">
        <v>3844</v>
      </c>
    </row>
    <row r="1588" spans="1:16" s="22" customFormat="1" ht="15" customHeight="1" x14ac:dyDescent="0.2">
      <c r="A1588" s="22" t="s">
        <v>3820</v>
      </c>
      <c r="B1588" s="22">
        <v>7146581</v>
      </c>
      <c r="C1588" s="30"/>
      <c r="D1588" s="23">
        <v>807843709</v>
      </c>
      <c r="E1588" s="23">
        <v>807843709</v>
      </c>
      <c r="F1588" s="24" t="s">
        <v>3517</v>
      </c>
      <c r="G1588" s="23">
        <v>0</v>
      </c>
      <c r="H1588" s="23">
        <v>20250201</v>
      </c>
      <c r="I1588" s="23" t="str">
        <f>TEXT(DATE(LEFT(H1588,4), MID(H1588,5,2), RIGHT(H1588,2)), "M/d/yyyy")</f>
        <v>2/1/2025</v>
      </c>
      <c r="J1588" s="25">
        <v>20100101</v>
      </c>
      <c r="K1588" s="23" t="str">
        <f>TEXT(DATE(LEFT(J1588,4), MID(J1588,5,2), RIGHT(J1588,2)), "M/d/yyyy")</f>
        <v>1/1/2010</v>
      </c>
      <c r="L1588" s="24" t="s">
        <v>664</v>
      </c>
      <c r="M1588" s="26">
        <v>1</v>
      </c>
      <c r="O1588" s="27">
        <v>27</v>
      </c>
      <c r="P1588" s="22" t="s">
        <v>3844</v>
      </c>
    </row>
    <row r="1589" spans="1:16" s="22" customFormat="1" ht="15" customHeight="1" x14ac:dyDescent="0.2">
      <c r="A1589" s="22" t="s">
        <v>3820</v>
      </c>
      <c r="B1589" s="22">
        <v>7146581</v>
      </c>
      <c r="C1589" s="23">
        <v>1</v>
      </c>
      <c r="D1589" s="23">
        <v>808529581</v>
      </c>
      <c r="E1589" s="23">
        <v>808529581</v>
      </c>
      <c r="F1589" s="24" t="s">
        <v>3519</v>
      </c>
      <c r="G1589" s="23">
        <v>51.3</v>
      </c>
      <c r="H1589" s="23">
        <v>20250201</v>
      </c>
      <c r="I1589" s="23" t="str">
        <f>TEXT(DATE(LEFT(H1589,4), MID(H1589,5,2), RIGHT(H1589,2)), "M/d/yyyy")</f>
        <v>2/1/2025</v>
      </c>
      <c r="J1589" s="25">
        <v>20250101</v>
      </c>
      <c r="K1589" s="23" t="str">
        <f>TEXT(DATE(LEFT(J1589,4), MID(J1589,5,2), RIGHT(J1589,2)), "M/d/yyyy")</f>
        <v>1/1/2025</v>
      </c>
      <c r="L1589" s="24" t="s">
        <v>672</v>
      </c>
      <c r="M1589" s="26">
        <v>1</v>
      </c>
      <c r="O1589" s="27">
        <v>13</v>
      </c>
      <c r="P1589" s="22" t="s">
        <v>3844</v>
      </c>
    </row>
    <row r="1590" spans="1:16" s="22" customFormat="1" ht="15" customHeight="1" x14ac:dyDescent="0.2">
      <c r="A1590" s="22" t="s">
        <v>3820</v>
      </c>
      <c r="B1590" s="22">
        <v>7146581</v>
      </c>
      <c r="C1590" s="23">
        <v>1</v>
      </c>
      <c r="D1590" s="23">
        <v>808531036</v>
      </c>
      <c r="E1590" s="23">
        <v>808531036</v>
      </c>
      <c r="F1590" s="24" t="s">
        <v>3523</v>
      </c>
      <c r="G1590" s="23">
        <v>81.400000000000006</v>
      </c>
      <c r="H1590" s="23">
        <v>20250201</v>
      </c>
      <c r="I1590" s="23" t="str">
        <f>TEXT(DATE(LEFT(H1590,4), MID(H1590,5,2), RIGHT(H1590,2)), "M/d/yyyy")</f>
        <v>2/1/2025</v>
      </c>
      <c r="J1590" s="25">
        <v>20250101</v>
      </c>
      <c r="K1590" s="23" t="str">
        <f>TEXT(DATE(LEFT(J1590,4), MID(J1590,5,2), RIGHT(J1590,2)), "M/d/yyyy")</f>
        <v>1/1/2025</v>
      </c>
      <c r="L1590" s="24" t="s">
        <v>672</v>
      </c>
      <c r="M1590" s="26">
        <v>1</v>
      </c>
      <c r="O1590" s="27">
        <v>54</v>
      </c>
      <c r="P1590" s="22" t="s">
        <v>3844</v>
      </c>
    </row>
    <row r="1591" spans="1:16" s="22" customFormat="1" ht="15" customHeight="1" x14ac:dyDescent="0.2">
      <c r="A1591" s="22" t="s">
        <v>3820</v>
      </c>
      <c r="B1591" s="22">
        <v>7146581</v>
      </c>
      <c r="C1591" s="23">
        <v>1</v>
      </c>
      <c r="D1591" s="23">
        <v>808531568</v>
      </c>
      <c r="E1591" s="23">
        <v>808531568</v>
      </c>
      <c r="F1591" s="24" t="s">
        <v>3526</v>
      </c>
      <c r="G1591" s="23">
        <v>81.400000000000006</v>
      </c>
      <c r="H1591" s="23">
        <v>20250201</v>
      </c>
      <c r="I1591" s="23" t="str">
        <f>TEXT(DATE(LEFT(H1591,4), MID(H1591,5,2), RIGHT(H1591,2)), "M/d/yyyy")</f>
        <v>2/1/2025</v>
      </c>
      <c r="J1591" s="25">
        <v>20250101</v>
      </c>
      <c r="K1591" s="23" t="str">
        <f>TEXT(DATE(LEFT(J1591,4), MID(J1591,5,2), RIGHT(J1591,2)), "M/d/yyyy")</f>
        <v>1/1/2025</v>
      </c>
      <c r="L1591" s="24" t="s">
        <v>672</v>
      </c>
      <c r="M1591" s="26">
        <v>1</v>
      </c>
      <c r="O1591" s="27">
        <v>54</v>
      </c>
      <c r="P1591" s="22" t="s">
        <v>3844</v>
      </c>
    </row>
    <row r="1592" spans="1:16" s="22" customFormat="1" ht="15" customHeight="1" x14ac:dyDescent="0.2">
      <c r="A1592" s="22" t="s">
        <v>3789</v>
      </c>
      <c r="B1592" s="22">
        <v>19681796</v>
      </c>
      <c r="C1592" s="30"/>
      <c r="D1592" s="23">
        <v>808511849</v>
      </c>
      <c r="E1592" s="23">
        <v>808511849</v>
      </c>
      <c r="F1592" s="24" t="s">
        <v>2339</v>
      </c>
      <c r="G1592" s="23">
        <v>0</v>
      </c>
      <c r="H1592" s="23">
        <v>20250201</v>
      </c>
      <c r="I1592" s="23" t="str">
        <f>TEXT(DATE(LEFT(H1592,4), MID(H1592,5,2), RIGHT(H1592,2)), "M/d/yyyy")</f>
        <v>2/1/2025</v>
      </c>
      <c r="J1592" s="25">
        <v>20240801</v>
      </c>
      <c r="K1592" s="23" t="str">
        <f>TEXT(DATE(LEFT(J1592,4), MID(J1592,5,2), RIGHT(J1592,2)), "M/d/yyyy")</f>
        <v>8/1/2024</v>
      </c>
      <c r="L1592" s="24" t="s">
        <v>664</v>
      </c>
      <c r="M1592" s="26">
        <v>1</v>
      </c>
      <c r="O1592" s="27">
        <v>50</v>
      </c>
      <c r="P1592" s="22" t="s">
        <v>3844</v>
      </c>
    </row>
    <row r="1593" spans="1:16" s="22" customFormat="1" ht="15" customHeight="1" x14ac:dyDescent="0.2">
      <c r="A1593" s="22" t="s">
        <v>3789</v>
      </c>
      <c r="B1593" s="22">
        <v>19681796</v>
      </c>
      <c r="C1593" s="30"/>
      <c r="D1593" s="23">
        <v>808516613</v>
      </c>
      <c r="E1593" s="23">
        <v>808516613</v>
      </c>
      <c r="F1593" s="24" t="s">
        <v>2342</v>
      </c>
      <c r="G1593" s="23">
        <v>0</v>
      </c>
      <c r="H1593" s="23">
        <v>20250201</v>
      </c>
      <c r="I1593" s="23" t="str">
        <f>TEXT(DATE(LEFT(H1593,4), MID(H1593,5,2), RIGHT(H1593,2)), "M/d/yyyy")</f>
        <v>2/1/2025</v>
      </c>
      <c r="J1593" s="25">
        <v>20240901</v>
      </c>
      <c r="K1593" s="23" t="str">
        <f>TEXT(DATE(LEFT(J1593,4), MID(J1593,5,2), RIGHT(J1593,2)), "M/d/yyyy")</f>
        <v>9/1/2024</v>
      </c>
      <c r="L1593" s="24" t="s">
        <v>664</v>
      </c>
      <c r="M1593" s="26">
        <v>1</v>
      </c>
      <c r="O1593" s="27">
        <v>50</v>
      </c>
      <c r="P1593" s="22" t="s">
        <v>3844</v>
      </c>
    </row>
    <row r="1594" spans="1:16" s="22" customFormat="1" ht="15" customHeight="1" x14ac:dyDescent="0.2">
      <c r="A1594" s="22" t="s">
        <v>3781</v>
      </c>
      <c r="B1594" s="22">
        <v>9213293</v>
      </c>
      <c r="C1594" s="30"/>
      <c r="D1594" s="23">
        <v>808513753</v>
      </c>
      <c r="E1594" s="23">
        <v>808513753</v>
      </c>
      <c r="F1594" s="24" t="s">
        <v>663</v>
      </c>
      <c r="G1594" s="23">
        <v>0</v>
      </c>
      <c r="H1594" s="23">
        <v>20250201</v>
      </c>
      <c r="I1594" s="23" t="str">
        <f>TEXT(DATE(LEFT(H1594,4), MID(H1594,5,2), RIGHT(H1594,2)), "M/d/yyyy")</f>
        <v>2/1/2025</v>
      </c>
      <c r="J1594" s="25">
        <v>20240801</v>
      </c>
      <c r="K1594" s="23" t="str">
        <f>TEXT(DATE(LEFT(J1594,4), MID(J1594,5,2), RIGHT(J1594,2)), "M/d/yyyy")</f>
        <v>8/1/2024</v>
      </c>
      <c r="L1594" s="24" t="s">
        <v>664</v>
      </c>
      <c r="M1594" s="26">
        <v>1</v>
      </c>
      <c r="O1594" s="27">
        <v>50</v>
      </c>
      <c r="P1594" s="22" t="s">
        <v>3844</v>
      </c>
    </row>
    <row r="1595" spans="1:16" s="22" customFormat="1" ht="15" customHeight="1" x14ac:dyDescent="0.2">
      <c r="A1595" s="22" t="s">
        <v>3781</v>
      </c>
      <c r="B1595" s="22">
        <v>9213293</v>
      </c>
      <c r="C1595" s="30"/>
      <c r="D1595" s="23">
        <v>808526068</v>
      </c>
      <c r="E1595" s="23">
        <v>808526068</v>
      </c>
      <c r="F1595" s="24" t="s">
        <v>667</v>
      </c>
      <c r="G1595" s="23">
        <v>0</v>
      </c>
      <c r="H1595" s="23">
        <v>20250201</v>
      </c>
      <c r="I1595" s="23" t="str">
        <f>TEXT(DATE(LEFT(H1595,4), MID(H1595,5,2), RIGHT(H1595,2)), "M/d/yyyy")</f>
        <v>2/1/2025</v>
      </c>
      <c r="J1595" s="25">
        <v>20241201</v>
      </c>
      <c r="K1595" s="23" t="str">
        <f>TEXT(DATE(LEFT(J1595,4), MID(J1595,5,2), RIGHT(J1595,2)), "M/d/yyyy")</f>
        <v>12/1/2024</v>
      </c>
      <c r="L1595" s="24" t="s">
        <v>664</v>
      </c>
      <c r="M1595" s="26">
        <v>1</v>
      </c>
      <c r="O1595" s="27">
        <v>50</v>
      </c>
      <c r="P1595" s="22" t="s">
        <v>3844</v>
      </c>
    </row>
    <row r="1596" spans="1:16" s="22" customFormat="1" ht="15" customHeight="1" x14ac:dyDescent="0.2">
      <c r="A1596" s="22" t="s">
        <v>3781</v>
      </c>
      <c r="B1596" s="22">
        <v>9213293</v>
      </c>
      <c r="C1596" s="23">
        <v>1</v>
      </c>
      <c r="D1596" s="23">
        <v>808534987</v>
      </c>
      <c r="E1596" s="23">
        <v>808534987</v>
      </c>
      <c r="F1596" s="24" t="s">
        <v>670</v>
      </c>
      <c r="G1596" s="23">
        <v>51.3</v>
      </c>
      <c r="H1596" s="23">
        <v>20250201</v>
      </c>
      <c r="I1596" s="23" t="str">
        <f>TEXT(DATE(LEFT(H1596,4), MID(H1596,5,2), RIGHT(H1596,2)), "M/d/yyyy")</f>
        <v>2/1/2025</v>
      </c>
      <c r="J1596" s="25">
        <v>20250101</v>
      </c>
      <c r="K1596" s="23" t="str">
        <f>TEXT(DATE(LEFT(J1596,4), MID(J1596,5,2), RIGHT(J1596,2)), "M/d/yyyy")</f>
        <v>1/1/2025</v>
      </c>
      <c r="L1596" s="24" t="s">
        <v>672</v>
      </c>
      <c r="M1596" s="26">
        <v>1</v>
      </c>
      <c r="O1596" s="27">
        <v>13</v>
      </c>
      <c r="P1596" s="22" t="s">
        <v>3844</v>
      </c>
    </row>
    <row r="1597" spans="1:16" s="22" customFormat="1" ht="15" customHeight="1" x14ac:dyDescent="0.2">
      <c r="A1597" s="22" t="s">
        <v>3788</v>
      </c>
      <c r="B1597" s="22">
        <v>18754354</v>
      </c>
      <c r="C1597" s="30"/>
      <c r="D1597" s="23">
        <v>808510400</v>
      </c>
      <c r="E1597" s="23">
        <v>808510400</v>
      </c>
      <c r="F1597" s="24" t="s">
        <v>2166</v>
      </c>
      <c r="G1597" s="23">
        <v>0</v>
      </c>
      <c r="H1597" s="23">
        <v>20250201</v>
      </c>
      <c r="I1597" s="23" t="str">
        <f>TEXT(DATE(LEFT(H1597,4), MID(H1597,5,2), RIGHT(H1597,2)), "M/d/yyyy")</f>
        <v>2/1/2025</v>
      </c>
      <c r="J1597" s="25">
        <v>20240601</v>
      </c>
      <c r="K1597" s="23" t="str">
        <f>TEXT(DATE(LEFT(J1597,4), MID(J1597,5,2), RIGHT(J1597,2)), "M/d/yyyy")</f>
        <v>6/1/2024</v>
      </c>
      <c r="L1597" s="24" t="s">
        <v>664</v>
      </c>
      <c r="M1597" s="26">
        <v>1</v>
      </c>
      <c r="O1597" s="27">
        <v>50</v>
      </c>
      <c r="P1597" s="22" t="s">
        <v>3844</v>
      </c>
    </row>
    <row r="1598" spans="1:16" s="22" customFormat="1" ht="15" customHeight="1" x14ac:dyDescent="0.2">
      <c r="A1598" s="22" t="s">
        <v>3791</v>
      </c>
      <c r="B1598" s="22">
        <v>2158366</v>
      </c>
      <c r="C1598" s="30"/>
      <c r="D1598" s="23">
        <v>807676876</v>
      </c>
      <c r="E1598" s="23">
        <v>807676876</v>
      </c>
      <c r="F1598" s="24" t="s">
        <v>2485</v>
      </c>
      <c r="G1598" s="23">
        <v>0</v>
      </c>
      <c r="H1598" s="23">
        <v>20250201</v>
      </c>
      <c r="I1598" s="23" t="str">
        <f>TEXT(DATE(LEFT(H1598,4), MID(H1598,5,2), RIGHT(H1598,2)), "M/d/yyyy")</f>
        <v>2/1/2025</v>
      </c>
      <c r="J1598" s="25">
        <v>20060601</v>
      </c>
      <c r="K1598" s="23" t="str">
        <f>TEXT(DATE(LEFT(J1598,4), MID(J1598,5,2), RIGHT(J1598,2)), "M/d/yyyy")</f>
        <v>6/1/2006</v>
      </c>
      <c r="L1598" s="24" t="s">
        <v>664</v>
      </c>
      <c r="M1598" s="26">
        <v>1</v>
      </c>
      <c r="O1598" s="27">
        <v>15</v>
      </c>
      <c r="P1598" s="22" t="s">
        <v>3844</v>
      </c>
    </row>
    <row r="1599" spans="1:16" s="22" customFormat="1" ht="15" customHeight="1" x14ac:dyDescent="0.2">
      <c r="A1599" s="22" t="s">
        <v>3791</v>
      </c>
      <c r="B1599" s="22">
        <v>2158366</v>
      </c>
      <c r="C1599" s="30"/>
      <c r="D1599" s="23">
        <v>808517136</v>
      </c>
      <c r="E1599" s="23">
        <v>808517136</v>
      </c>
      <c r="F1599" s="24" t="s">
        <v>2490</v>
      </c>
      <c r="G1599" s="23">
        <v>0</v>
      </c>
      <c r="H1599" s="23">
        <v>20250201</v>
      </c>
      <c r="I1599" s="23" t="str">
        <f>TEXT(DATE(LEFT(H1599,4), MID(H1599,5,2), RIGHT(H1599,2)), "M/d/yyyy")</f>
        <v>2/1/2025</v>
      </c>
      <c r="J1599" s="25">
        <v>20240901</v>
      </c>
      <c r="K1599" s="23" t="str">
        <f>TEXT(DATE(LEFT(J1599,4), MID(J1599,5,2), RIGHT(J1599,2)), "M/d/yyyy")</f>
        <v>9/1/2024</v>
      </c>
      <c r="L1599" s="24" t="s">
        <v>664</v>
      </c>
      <c r="M1599" s="26">
        <v>1</v>
      </c>
      <c r="O1599" s="27">
        <v>50</v>
      </c>
      <c r="P1599" s="22" t="s">
        <v>3844</v>
      </c>
    </row>
    <row r="1600" spans="1:16" s="22" customFormat="1" ht="15" customHeight="1" x14ac:dyDescent="0.2">
      <c r="A1600" s="22" t="s">
        <v>3791</v>
      </c>
      <c r="B1600" s="22">
        <v>2158366</v>
      </c>
      <c r="C1600" s="23">
        <v>1</v>
      </c>
      <c r="D1600" s="23">
        <v>807676876</v>
      </c>
      <c r="E1600" s="23">
        <v>807676876</v>
      </c>
      <c r="F1600" s="24" t="s">
        <v>2485</v>
      </c>
      <c r="G1600" s="23">
        <v>0</v>
      </c>
      <c r="H1600" s="23">
        <v>20250301</v>
      </c>
      <c r="I1600" s="23" t="str">
        <f>TEXT(DATE(LEFT(H1600,4), MID(H1600,5,2), RIGHT(H1600,2)), "M/d/yyyy")</f>
        <v>3/1/2025</v>
      </c>
      <c r="J1600" s="25">
        <v>20250201</v>
      </c>
      <c r="K1600" s="23" t="str">
        <f>TEXT(DATE(LEFT(J1600,4), MID(J1600,5,2), RIGHT(J1600,2)), "M/d/yyyy")</f>
        <v>2/1/2025</v>
      </c>
      <c r="L1600" s="24" t="s">
        <v>664</v>
      </c>
      <c r="M1600" s="26">
        <v>1</v>
      </c>
      <c r="O1600" s="27">
        <v>50.42</v>
      </c>
      <c r="P1600" s="22" t="s">
        <v>3844</v>
      </c>
    </row>
    <row r="1601" spans="1:16" s="22" customFormat="1" ht="15" customHeight="1" x14ac:dyDescent="0.2">
      <c r="A1601" s="22" t="s">
        <v>3818</v>
      </c>
      <c r="B1601" s="22">
        <v>20552652</v>
      </c>
      <c r="C1601" s="23">
        <v>1</v>
      </c>
      <c r="D1601" s="23">
        <v>808526973</v>
      </c>
      <c r="E1601" s="23">
        <v>808526973</v>
      </c>
      <c r="F1601" s="24" t="s">
        <v>3498</v>
      </c>
      <c r="G1601" s="23">
        <v>51.3</v>
      </c>
      <c r="H1601" s="23">
        <v>20250201</v>
      </c>
      <c r="I1601" s="23" t="str">
        <f>TEXT(DATE(LEFT(H1601,4), MID(H1601,5,2), RIGHT(H1601,2)), "M/d/yyyy")</f>
        <v>2/1/2025</v>
      </c>
      <c r="J1601" s="25">
        <v>20250101</v>
      </c>
      <c r="K1601" s="23" t="str">
        <f>TEXT(DATE(LEFT(J1601,4), MID(J1601,5,2), RIGHT(J1601,2)), "M/d/yyyy")</f>
        <v>1/1/2025</v>
      </c>
      <c r="L1601" s="24" t="s">
        <v>672</v>
      </c>
      <c r="M1601" s="26">
        <v>1</v>
      </c>
      <c r="O1601" s="27">
        <v>13</v>
      </c>
      <c r="P1601" s="22" t="s">
        <v>3844</v>
      </c>
    </row>
    <row r="1602" spans="1:16" s="22" customFormat="1" ht="15" customHeight="1" x14ac:dyDescent="0.2">
      <c r="A1602" s="22" t="s">
        <v>3799</v>
      </c>
      <c r="B1602" s="22">
        <v>16983460</v>
      </c>
      <c r="C1602" s="30"/>
      <c r="D1602" s="23">
        <v>808516864</v>
      </c>
      <c r="E1602" s="23">
        <v>808516864</v>
      </c>
      <c r="F1602" s="24" t="s">
        <v>2908</v>
      </c>
      <c r="G1602" s="23">
        <v>0</v>
      </c>
      <c r="H1602" s="23">
        <v>20250201</v>
      </c>
      <c r="I1602" s="23" t="str">
        <f>TEXT(DATE(LEFT(H1602,4), MID(H1602,5,2), RIGHT(H1602,2)), "M/d/yyyy")</f>
        <v>2/1/2025</v>
      </c>
      <c r="J1602" s="25">
        <v>20241101</v>
      </c>
      <c r="K1602" s="23" t="str">
        <f>TEXT(DATE(LEFT(J1602,4), MID(J1602,5,2), RIGHT(J1602,2)), "M/d/yyyy")</f>
        <v>11/1/2024</v>
      </c>
      <c r="L1602" s="24" t="s">
        <v>664</v>
      </c>
      <c r="M1602" s="26">
        <v>1</v>
      </c>
      <c r="O1602" s="27">
        <v>50</v>
      </c>
      <c r="P1602" s="22" t="s">
        <v>3844</v>
      </c>
    </row>
    <row r="1603" spans="1:16" s="22" customFormat="1" ht="15" customHeight="1" x14ac:dyDescent="0.2">
      <c r="A1603" s="22" t="s">
        <v>3787</v>
      </c>
      <c r="B1603" s="22">
        <v>16633294</v>
      </c>
      <c r="C1603" s="23">
        <v>1</v>
      </c>
      <c r="D1603" s="23">
        <v>808537815</v>
      </c>
      <c r="E1603" s="23">
        <v>808537815</v>
      </c>
      <c r="F1603" s="24" t="s">
        <v>2054</v>
      </c>
      <c r="G1603" s="23">
        <v>0</v>
      </c>
      <c r="H1603" s="23">
        <v>20250401</v>
      </c>
      <c r="I1603" s="23" t="str">
        <f>TEXT(DATE(LEFT(H1603,4), MID(H1603,5,2), RIGHT(H1603,2)), "M/d/yyyy")</f>
        <v>4/1/2025</v>
      </c>
      <c r="J1603" s="25">
        <v>20250301</v>
      </c>
      <c r="K1603" s="23" t="str">
        <f>TEXT(DATE(LEFT(J1603,4), MID(J1603,5,2), RIGHT(J1603,2)), "M/d/yyyy")</f>
        <v>3/1/2025</v>
      </c>
      <c r="L1603" s="24" t="s">
        <v>664</v>
      </c>
      <c r="M1603" s="26">
        <v>1</v>
      </c>
      <c r="O1603" s="27">
        <v>10</v>
      </c>
      <c r="P1603" s="22" t="s">
        <v>3844</v>
      </c>
    </row>
    <row r="1604" spans="1:16" s="22" customFormat="1" ht="15" customHeight="1" x14ac:dyDescent="0.2">
      <c r="A1604" s="22" t="s">
        <v>3793</v>
      </c>
      <c r="B1604" s="22">
        <v>19396223</v>
      </c>
      <c r="C1604" s="30"/>
      <c r="D1604" s="23">
        <v>807936286</v>
      </c>
      <c r="E1604" s="23">
        <v>807936286</v>
      </c>
      <c r="F1604" s="24" t="s">
        <v>2543</v>
      </c>
      <c r="G1604" s="23">
        <v>0</v>
      </c>
      <c r="H1604" s="23">
        <v>20250201</v>
      </c>
      <c r="I1604" s="23" t="str">
        <f>TEXT(DATE(LEFT(H1604,4), MID(H1604,5,2), RIGHT(H1604,2)), "M/d/yyyy")</f>
        <v>2/1/2025</v>
      </c>
      <c r="J1604" s="25">
        <v>20130101</v>
      </c>
      <c r="K1604" s="23" t="str">
        <f>TEXT(DATE(LEFT(J1604,4), MID(J1604,5,2), RIGHT(J1604,2)), "M/d/yyyy")</f>
        <v>1/1/2013</v>
      </c>
      <c r="L1604" s="24" t="s">
        <v>664</v>
      </c>
      <c r="M1604" s="26">
        <v>1</v>
      </c>
      <c r="O1604" s="27">
        <v>28</v>
      </c>
      <c r="P1604" s="22" t="s">
        <v>3844</v>
      </c>
    </row>
    <row r="1605" spans="1:16" s="22" customFormat="1" ht="15" customHeight="1" x14ac:dyDescent="0.2">
      <c r="A1605" s="22" t="s">
        <v>3793</v>
      </c>
      <c r="B1605" s="22">
        <v>19396223</v>
      </c>
      <c r="C1605" s="30"/>
      <c r="D1605" s="23">
        <v>808510805</v>
      </c>
      <c r="E1605" s="23">
        <v>808510805</v>
      </c>
      <c r="F1605" s="24" t="s">
        <v>2549</v>
      </c>
      <c r="G1605" s="23">
        <v>0</v>
      </c>
      <c r="H1605" s="23">
        <v>20250201</v>
      </c>
      <c r="I1605" s="23" t="str">
        <f>TEXT(DATE(LEFT(H1605,4), MID(H1605,5,2), RIGHT(H1605,2)), "M/d/yyyy")</f>
        <v>2/1/2025</v>
      </c>
      <c r="J1605" s="25">
        <v>20240601</v>
      </c>
      <c r="K1605" s="23" t="str">
        <f>TEXT(DATE(LEFT(J1605,4), MID(J1605,5,2), RIGHT(J1605,2)), "M/d/yyyy")</f>
        <v>6/1/2024</v>
      </c>
      <c r="L1605" s="24" t="s">
        <v>664</v>
      </c>
      <c r="M1605" s="26">
        <v>1</v>
      </c>
      <c r="O1605" s="27">
        <v>50</v>
      </c>
      <c r="P1605" s="22" t="s">
        <v>3844</v>
      </c>
    </row>
    <row r="1606" spans="1:16" s="22" customFormat="1" ht="15" customHeight="1" x14ac:dyDescent="0.2">
      <c r="A1606" s="22" t="s">
        <v>3793</v>
      </c>
      <c r="B1606" s="22">
        <v>19396223</v>
      </c>
      <c r="C1606" s="30"/>
      <c r="D1606" s="23">
        <v>808513854</v>
      </c>
      <c r="E1606" s="23">
        <v>808513854</v>
      </c>
      <c r="F1606" s="24" t="s">
        <v>2551</v>
      </c>
      <c r="G1606" s="23">
        <v>0</v>
      </c>
      <c r="H1606" s="23">
        <v>20250201</v>
      </c>
      <c r="I1606" s="23" t="str">
        <f>TEXT(DATE(LEFT(H1606,4), MID(H1606,5,2), RIGHT(H1606,2)), "M/d/yyyy")</f>
        <v>2/1/2025</v>
      </c>
      <c r="J1606" s="25">
        <v>20240801</v>
      </c>
      <c r="K1606" s="23" t="str">
        <f>TEXT(DATE(LEFT(J1606,4), MID(J1606,5,2), RIGHT(J1606,2)), "M/d/yyyy")</f>
        <v>8/1/2024</v>
      </c>
      <c r="L1606" s="24" t="s">
        <v>664</v>
      </c>
      <c r="M1606" s="26">
        <v>1</v>
      </c>
      <c r="O1606" s="27">
        <v>50</v>
      </c>
      <c r="P1606" s="22" t="s">
        <v>3844</v>
      </c>
    </row>
    <row r="1607" spans="1:16" s="22" customFormat="1" ht="15" customHeight="1" x14ac:dyDescent="0.2">
      <c r="A1607" s="22" t="s">
        <v>3793</v>
      </c>
      <c r="B1607" s="22">
        <v>19396223</v>
      </c>
      <c r="C1607" s="23">
        <v>1</v>
      </c>
      <c r="D1607" s="23">
        <v>807936286</v>
      </c>
      <c r="E1607" s="23">
        <v>807936286</v>
      </c>
      <c r="F1607" s="24" t="s">
        <v>2543</v>
      </c>
      <c r="G1607" s="23">
        <v>51.3</v>
      </c>
      <c r="H1607" s="23">
        <v>20250201</v>
      </c>
      <c r="I1607" s="23" t="str">
        <f>TEXT(DATE(LEFT(H1607,4), MID(H1607,5,2), RIGHT(H1607,2)), "M/d/yyyy")</f>
        <v>2/1/2025</v>
      </c>
      <c r="J1607" s="25">
        <v>20250101</v>
      </c>
      <c r="K1607" s="23" t="str">
        <f>TEXT(DATE(LEFT(J1607,4), MID(J1607,5,2), RIGHT(J1607,2)), "M/d/yyyy")</f>
        <v>1/1/2025</v>
      </c>
      <c r="L1607" s="24" t="s">
        <v>672</v>
      </c>
      <c r="M1607" s="26">
        <v>1</v>
      </c>
      <c r="O1607" s="27">
        <v>25</v>
      </c>
      <c r="P1607" s="22" t="s">
        <v>3844</v>
      </c>
    </row>
    <row r="1608" spans="1:16" s="22" customFormat="1" ht="15" customHeight="1" x14ac:dyDescent="0.2">
      <c r="A1608" s="22" t="s">
        <v>3783</v>
      </c>
      <c r="B1608" s="22">
        <v>19645587</v>
      </c>
      <c r="C1608" s="30"/>
      <c r="D1608" s="23">
        <v>808518130</v>
      </c>
      <c r="E1608" s="23">
        <v>808518130</v>
      </c>
      <c r="F1608" s="24" t="s">
        <v>1275</v>
      </c>
      <c r="G1608" s="23">
        <v>0</v>
      </c>
      <c r="H1608" s="23">
        <v>20250201</v>
      </c>
      <c r="I1608" s="23" t="str">
        <f>TEXT(DATE(LEFT(H1608,4), MID(H1608,5,2), RIGHT(H1608,2)), "M/d/yyyy")</f>
        <v>2/1/2025</v>
      </c>
      <c r="J1608" s="25">
        <v>20241101</v>
      </c>
      <c r="K1608" s="23" t="str">
        <f>TEXT(DATE(LEFT(J1608,4), MID(J1608,5,2), RIGHT(J1608,2)), "M/d/yyyy")</f>
        <v>11/1/2024</v>
      </c>
      <c r="L1608" s="24" t="s">
        <v>664</v>
      </c>
      <c r="M1608" s="26">
        <v>1</v>
      </c>
      <c r="O1608" s="27">
        <v>50</v>
      </c>
      <c r="P1608" s="22" t="s">
        <v>3844</v>
      </c>
    </row>
    <row r="1609" spans="1:16" s="22" customFormat="1" ht="15" customHeight="1" x14ac:dyDescent="0.2">
      <c r="A1609" s="22" t="s">
        <v>3812</v>
      </c>
      <c r="B1609" s="22">
        <v>19481808</v>
      </c>
      <c r="C1609" s="30"/>
      <c r="D1609" s="23">
        <v>808524439</v>
      </c>
      <c r="E1609" s="23">
        <v>808524439</v>
      </c>
      <c r="F1609" s="24" t="s">
        <v>3407</v>
      </c>
      <c r="G1609" s="23">
        <v>0</v>
      </c>
      <c r="H1609" s="23">
        <v>20250201</v>
      </c>
      <c r="I1609" s="23" t="str">
        <f>TEXT(DATE(LEFT(H1609,4), MID(H1609,5,2), RIGHT(H1609,2)), "M/d/yyyy")</f>
        <v>2/1/2025</v>
      </c>
      <c r="J1609" s="25">
        <v>20241201</v>
      </c>
      <c r="K1609" s="23" t="str">
        <f>TEXT(DATE(LEFT(J1609,4), MID(J1609,5,2), RIGHT(J1609,2)), "M/d/yyyy")</f>
        <v>12/1/2024</v>
      </c>
      <c r="L1609" s="24" t="s">
        <v>664</v>
      </c>
      <c r="M1609" s="26">
        <v>1</v>
      </c>
      <c r="O1609" s="27">
        <v>50</v>
      </c>
      <c r="P1609" s="22" t="s">
        <v>3844</v>
      </c>
    </row>
    <row r="1610" spans="1:16" s="22" customFormat="1" ht="15" customHeight="1" x14ac:dyDescent="0.2">
      <c r="G1610" s="32"/>
    </row>
    <row r="1611" spans="1:16" s="22" customFormat="1" ht="15" customHeight="1" x14ac:dyDescent="0.2">
      <c r="G1611" s="32"/>
      <c r="O1611" s="27"/>
    </row>
    <row r="1612" spans="1:16" s="22" customFormat="1" ht="15" customHeight="1" x14ac:dyDescent="0.2">
      <c r="G1612" s="32"/>
    </row>
    <row r="1613" spans="1:16" s="22" customFormat="1" ht="15" customHeight="1" x14ac:dyDescent="0.2">
      <c r="G1613" s="32"/>
    </row>
    <row r="1614" spans="1:16" s="22" customFormat="1" ht="15" customHeight="1" x14ac:dyDescent="0.2">
      <c r="G1614" s="32"/>
    </row>
    <row r="1615" spans="1:16" s="22" customFormat="1" ht="15" customHeight="1" x14ac:dyDescent="0.2">
      <c r="G1615" s="32"/>
    </row>
    <row r="1616" spans="1:16" s="22" customFormat="1" ht="15" customHeight="1" x14ac:dyDescent="0.2">
      <c r="G1616" s="32"/>
    </row>
    <row r="1617" spans="7:7" s="22" customFormat="1" ht="15" customHeight="1" x14ac:dyDescent="0.2">
      <c r="G1617" s="32"/>
    </row>
    <row r="1618" spans="7:7" s="22" customFormat="1" ht="15" customHeight="1" x14ac:dyDescent="0.2">
      <c r="G1618" s="32"/>
    </row>
    <row r="1619" spans="7:7" s="22" customFormat="1" ht="15" customHeight="1" x14ac:dyDescent="0.2">
      <c r="G1619" s="32"/>
    </row>
    <row r="1620" spans="7:7" s="22" customFormat="1" ht="15" customHeight="1" x14ac:dyDescent="0.2">
      <c r="G1620" s="32"/>
    </row>
    <row r="1621" spans="7:7" s="22" customFormat="1" ht="15" customHeight="1" x14ac:dyDescent="0.2">
      <c r="G1621" s="32"/>
    </row>
    <row r="1622" spans="7:7" s="22" customFormat="1" ht="15" customHeight="1" x14ac:dyDescent="0.2">
      <c r="G1622" s="32"/>
    </row>
    <row r="1623" spans="7:7" s="22" customFormat="1" ht="15" customHeight="1" x14ac:dyDescent="0.2">
      <c r="G1623" s="32"/>
    </row>
    <row r="1624" spans="7:7" s="22" customFormat="1" ht="15" customHeight="1" x14ac:dyDescent="0.2">
      <c r="G1624" s="32"/>
    </row>
    <row r="1625" spans="7:7" s="22" customFormat="1" ht="15" customHeight="1" x14ac:dyDescent="0.2">
      <c r="G1625" s="32"/>
    </row>
    <row r="1626" spans="7:7" s="22" customFormat="1" ht="15" customHeight="1" x14ac:dyDescent="0.2">
      <c r="G1626" s="32"/>
    </row>
    <row r="1627" spans="7:7" s="22" customFormat="1" ht="15" customHeight="1" x14ac:dyDescent="0.2">
      <c r="G1627" s="32"/>
    </row>
    <row r="1628" spans="7:7" s="22" customFormat="1" ht="15" customHeight="1" x14ac:dyDescent="0.2">
      <c r="G1628" s="32"/>
    </row>
    <row r="1629" spans="7:7" s="22" customFormat="1" ht="15" customHeight="1" x14ac:dyDescent="0.2">
      <c r="G1629" s="32"/>
    </row>
    <row r="1630" spans="7:7" s="22" customFormat="1" ht="15" customHeight="1" x14ac:dyDescent="0.2">
      <c r="G1630" s="32"/>
    </row>
    <row r="1631" spans="7:7" s="22" customFormat="1" ht="15" customHeight="1" x14ac:dyDescent="0.2">
      <c r="G1631" s="32"/>
    </row>
    <row r="1632" spans="7:7" s="22" customFormat="1" ht="15" customHeight="1" x14ac:dyDescent="0.2">
      <c r="G1632" s="32"/>
    </row>
    <row r="1633" spans="7:7" s="22" customFormat="1" ht="15" customHeight="1" x14ac:dyDescent="0.2">
      <c r="G1633" s="32"/>
    </row>
    <row r="1634" spans="7:7" s="22" customFormat="1" ht="15" customHeight="1" x14ac:dyDescent="0.2">
      <c r="G1634" s="32"/>
    </row>
    <row r="1635" spans="7:7" s="22" customFormat="1" ht="15" customHeight="1" x14ac:dyDescent="0.2">
      <c r="G1635" s="32"/>
    </row>
    <row r="1636" spans="7:7" s="22" customFormat="1" ht="15" customHeight="1" x14ac:dyDescent="0.2">
      <c r="G1636" s="32"/>
    </row>
    <row r="1637" spans="7:7" s="22" customFormat="1" ht="15" customHeight="1" x14ac:dyDescent="0.2">
      <c r="G1637" s="32"/>
    </row>
    <row r="1638" spans="7:7" s="22" customFormat="1" ht="15" customHeight="1" x14ac:dyDescent="0.2">
      <c r="G1638" s="32"/>
    </row>
    <row r="1639" spans="7:7" s="22" customFormat="1" ht="15" customHeight="1" x14ac:dyDescent="0.2">
      <c r="G1639" s="32"/>
    </row>
    <row r="1640" spans="7:7" s="22" customFormat="1" ht="15" customHeight="1" x14ac:dyDescent="0.2">
      <c r="G1640" s="32"/>
    </row>
    <row r="1641" spans="7:7" s="22" customFormat="1" ht="15" customHeight="1" x14ac:dyDescent="0.2">
      <c r="G1641" s="32"/>
    </row>
    <row r="1642" spans="7:7" s="22" customFormat="1" ht="15" customHeight="1" x14ac:dyDescent="0.2">
      <c r="G1642" s="32"/>
    </row>
    <row r="1643" spans="7:7" s="22" customFormat="1" ht="15" customHeight="1" x14ac:dyDescent="0.2">
      <c r="G1643" s="32"/>
    </row>
    <row r="1644" spans="7:7" s="22" customFormat="1" ht="15" customHeight="1" x14ac:dyDescent="0.2">
      <c r="G1644" s="32"/>
    </row>
    <row r="1645" spans="7:7" s="22" customFormat="1" ht="15" customHeight="1" x14ac:dyDescent="0.2">
      <c r="G1645" s="32"/>
    </row>
    <row r="1646" spans="7:7" s="22" customFormat="1" ht="15" customHeight="1" x14ac:dyDescent="0.2">
      <c r="G1646" s="32"/>
    </row>
    <row r="1647" spans="7:7" s="22" customFormat="1" ht="15" customHeight="1" x14ac:dyDescent="0.2">
      <c r="G1647" s="32"/>
    </row>
    <row r="1648" spans="7:7" s="22" customFormat="1" ht="15" customHeight="1" x14ac:dyDescent="0.2">
      <c r="G1648" s="32"/>
    </row>
    <row r="1649" spans="7:7" s="22" customFormat="1" ht="15" customHeight="1" x14ac:dyDescent="0.2">
      <c r="G1649" s="32"/>
    </row>
    <row r="1650" spans="7:7" s="22" customFormat="1" ht="15" customHeight="1" x14ac:dyDescent="0.2">
      <c r="G1650" s="32"/>
    </row>
    <row r="1651" spans="7:7" s="22" customFormat="1" ht="15" customHeight="1" x14ac:dyDescent="0.2">
      <c r="G1651" s="32"/>
    </row>
    <row r="1652" spans="7:7" s="22" customFormat="1" ht="15" customHeight="1" x14ac:dyDescent="0.2">
      <c r="G1652" s="32"/>
    </row>
    <row r="1653" spans="7:7" s="22" customFormat="1" ht="15" customHeight="1" x14ac:dyDescent="0.2">
      <c r="G1653" s="32"/>
    </row>
    <row r="1654" spans="7:7" s="22" customFormat="1" ht="15" customHeight="1" x14ac:dyDescent="0.2">
      <c r="G1654" s="32"/>
    </row>
    <row r="1655" spans="7:7" s="22" customFormat="1" ht="15" customHeight="1" x14ac:dyDescent="0.2">
      <c r="G1655" s="32"/>
    </row>
    <row r="1656" spans="7:7" s="22" customFormat="1" ht="15" customHeight="1" x14ac:dyDescent="0.2">
      <c r="G1656" s="32"/>
    </row>
    <row r="1657" spans="7:7" s="22" customFormat="1" ht="15" customHeight="1" x14ac:dyDescent="0.2">
      <c r="G1657" s="32"/>
    </row>
    <row r="1658" spans="7:7" s="22" customFormat="1" ht="15" customHeight="1" x14ac:dyDescent="0.2">
      <c r="G1658" s="32"/>
    </row>
    <row r="1659" spans="7:7" s="22" customFormat="1" ht="15" customHeight="1" x14ac:dyDescent="0.2">
      <c r="G1659" s="32"/>
    </row>
    <row r="1660" spans="7:7" s="22" customFormat="1" ht="15" customHeight="1" x14ac:dyDescent="0.2">
      <c r="G1660" s="32"/>
    </row>
    <row r="1661" spans="7:7" s="22" customFormat="1" ht="15" customHeight="1" x14ac:dyDescent="0.2">
      <c r="G1661" s="32"/>
    </row>
    <row r="1662" spans="7:7" s="22" customFormat="1" ht="15" customHeight="1" x14ac:dyDescent="0.2">
      <c r="G1662" s="32"/>
    </row>
    <row r="1663" spans="7:7" s="22" customFormat="1" ht="15" customHeight="1" x14ac:dyDescent="0.2">
      <c r="G1663" s="32"/>
    </row>
    <row r="1664" spans="7:7" s="22" customFormat="1" ht="15" customHeight="1" x14ac:dyDescent="0.2">
      <c r="G1664" s="32"/>
    </row>
    <row r="1665" spans="7:7" s="22" customFormat="1" ht="15" customHeight="1" x14ac:dyDescent="0.2">
      <c r="G1665" s="32"/>
    </row>
    <row r="1666" spans="7:7" s="22" customFormat="1" ht="15" customHeight="1" x14ac:dyDescent="0.2">
      <c r="G1666" s="32"/>
    </row>
    <row r="1667" spans="7:7" s="22" customFormat="1" ht="15" customHeight="1" x14ac:dyDescent="0.2">
      <c r="G1667" s="32"/>
    </row>
    <row r="1668" spans="7:7" s="22" customFormat="1" ht="15" customHeight="1" x14ac:dyDescent="0.2">
      <c r="G1668" s="32"/>
    </row>
    <row r="1669" spans="7:7" s="22" customFormat="1" ht="15" customHeight="1" x14ac:dyDescent="0.2">
      <c r="G1669" s="32"/>
    </row>
    <row r="1670" spans="7:7" s="22" customFormat="1" ht="15" customHeight="1" x14ac:dyDescent="0.2">
      <c r="G1670" s="32"/>
    </row>
    <row r="1671" spans="7:7" s="22" customFormat="1" ht="15" customHeight="1" x14ac:dyDescent="0.2">
      <c r="G1671" s="32"/>
    </row>
    <row r="1672" spans="7:7" s="22" customFormat="1" ht="15" customHeight="1" x14ac:dyDescent="0.2">
      <c r="G1672" s="32"/>
    </row>
    <row r="1673" spans="7:7" s="22" customFormat="1" ht="15" customHeight="1" x14ac:dyDescent="0.2">
      <c r="G1673" s="32"/>
    </row>
    <row r="1674" spans="7:7" s="22" customFormat="1" ht="15" customHeight="1" x14ac:dyDescent="0.2">
      <c r="G1674" s="32"/>
    </row>
    <row r="1675" spans="7:7" s="22" customFormat="1" ht="15" customHeight="1" x14ac:dyDescent="0.2">
      <c r="G1675" s="32"/>
    </row>
    <row r="1676" spans="7:7" s="22" customFormat="1" ht="15" customHeight="1" x14ac:dyDescent="0.2">
      <c r="G1676" s="32"/>
    </row>
    <row r="1677" spans="7:7" s="22" customFormat="1" ht="15" customHeight="1" x14ac:dyDescent="0.2">
      <c r="G1677" s="32"/>
    </row>
    <row r="1678" spans="7:7" s="22" customFormat="1" ht="15" customHeight="1" x14ac:dyDescent="0.2">
      <c r="G1678" s="32"/>
    </row>
    <row r="1679" spans="7:7" s="22" customFormat="1" ht="15" customHeight="1" x14ac:dyDescent="0.2">
      <c r="G1679" s="32"/>
    </row>
    <row r="1680" spans="7:7" s="22" customFormat="1" ht="15" customHeight="1" x14ac:dyDescent="0.2">
      <c r="G1680" s="32"/>
    </row>
    <row r="1681" spans="7:7" s="22" customFormat="1" ht="15" customHeight="1" x14ac:dyDescent="0.2">
      <c r="G1681" s="32"/>
    </row>
    <row r="1682" spans="7:7" s="22" customFormat="1" ht="15" customHeight="1" x14ac:dyDescent="0.2">
      <c r="G1682" s="32"/>
    </row>
    <row r="1683" spans="7:7" s="22" customFormat="1" ht="15" customHeight="1" x14ac:dyDescent="0.2">
      <c r="G1683" s="32"/>
    </row>
    <row r="1684" spans="7:7" s="22" customFormat="1" ht="15" customHeight="1" x14ac:dyDescent="0.2">
      <c r="G1684" s="32"/>
    </row>
    <row r="1685" spans="7:7" s="22" customFormat="1" ht="15" customHeight="1" x14ac:dyDescent="0.2">
      <c r="G1685" s="32"/>
    </row>
    <row r="1686" spans="7:7" s="22" customFormat="1" ht="15" customHeight="1" x14ac:dyDescent="0.2">
      <c r="G1686" s="32"/>
    </row>
    <row r="1687" spans="7:7" s="22" customFormat="1" ht="15" customHeight="1" x14ac:dyDescent="0.2">
      <c r="G1687" s="32"/>
    </row>
    <row r="1688" spans="7:7" s="22" customFormat="1" ht="15" customHeight="1" x14ac:dyDescent="0.2">
      <c r="G1688" s="32"/>
    </row>
    <row r="1689" spans="7:7" s="22" customFormat="1" ht="15" customHeight="1" x14ac:dyDescent="0.2">
      <c r="G1689" s="32"/>
    </row>
    <row r="1690" spans="7:7" s="22" customFormat="1" ht="15" customHeight="1" x14ac:dyDescent="0.2">
      <c r="G1690" s="32"/>
    </row>
    <row r="1691" spans="7:7" s="22" customFormat="1" ht="15" customHeight="1" x14ac:dyDescent="0.2">
      <c r="G1691" s="32"/>
    </row>
    <row r="1692" spans="7:7" s="22" customFormat="1" ht="15" customHeight="1" x14ac:dyDescent="0.2">
      <c r="G1692" s="32"/>
    </row>
    <row r="1693" spans="7:7" s="22" customFormat="1" ht="15" customHeight="1" x14ac:dyDescent="0.2">
      <c r="G1693" s="32"/>
    </row>
    <row r="1694" spans="7:7" s="22" customFormat="1" ht="15" customHeight="1" x14ac:dyDescent="0.2">
      <c r="G1694" s="32"/>
    </row>
    <row r="1695" spans="7:7" s="22" customFormat="1" ht="15" customHeight="1" x14ac:dyDescent="0.2">
      <c r="G1695" s="32"/>
    </row>
    <row r="1696" spans="7:7" s="22" customFormat="1" ht="15" customHeight="1" x14ac:dyDescent="0.2">
      <c r="G1696" s="32"/>
    </row>
    <row r="1697" spans="7:7" s="22" customFormat="1" ht="15" customHeight="1" x14ac:dyDescent="0.2">
      <c r="G1697" s="32"/>
    </row>
    <row r="1698" spans="7:7" s="22" customFormat="1" ht="15" customHeight="1" x14ac:dyDescent="0.2">
      <c r="G1698" s="32"/>
    </row>
    <row r="1699" spans="7:7" s="22" customFormat="1" ht="15" customHeight="1" x14ac:dyDescent="0.2">
      <c r="G1699" s="32"/>
    </row>
    <row r="1700" spans="7:7" s="22" customFormat="1" ht="15" customHeight="1" x14ac:dyDescent="0.2">
      <c r="G1700" s="32"/>
    </row>
    <row r="1701" spans="7:7" s="22" customFormat="1" ht="15" customHeight="1" x14ac:dyDescent="0.2">
      <c r="G1701" s="32"/>
    </row>
    <row r="1702" spans="7:7" s="22" customFormat="1" ht="15" customHeight="1" x14ac:dyDescent="0.2">
      <c r="G1702" s="32"/>
    </row>
    <row r="1703" spans="7:7" s="22" customFormat="1" ht="15" customHeight="1" x14ac:dyDescent="0.2">
      <c r="G1703" s="32"/>
    </row>
    <row r="1704" spans="7:7" s="22" customFormat="1" ht="15" customHeight="1" x14ac:dyDescent="0.2">
      <c r="G1704" s="32"/>
    </row>
    <row r="1705" spans="7:7" s="22" customFormat="1" ht="15" customHeight="1" x14ac:dyDescent="0.2">
      <c r="G1705" s="32"/>
    </row>
    <row r="1706" spans="7:7" s="22" customFormat="1" ht="15" customHeight="1" x14ac:dyDescent="0.2">
      <c r="G1706" s="32"/>
    </row>
    <row r="1707" spans="7:7" s="22" customFormat="1" ht="15" customHeight="1" x14ac:dyDescent="0.2">
      <c r="G1707" s="32"/>
    </row>
    <row r="1708" spans="7:7" s="22" customFormat="1" ht="15" customHeight="1" x14ac:dyDescent="0.2">
      <c r="G1708" s="32"/>
    </row>
    <row r="1709" spans="7:7" s="22" customFormat="1" ht="15" customHeight="1" x14ac:dyDescent="0.2">
      <c r="G1709" s="32"/>
    </row>
    <row r="1710" spans="7:7" s="22" customFormat="1" ht="15" customHeight="1" x14ac:dyDescent="0.2">
      <c r="G1710" s="32"/>
    </row>
    <row r="1711" spans="7:7" s="22" customFormat="1" ht="15" customHeight="1" x14ac:dyDescent="0.2">
      <c r="G1711" s="32"/>
    </row>
    <row r="1712" spans="7:7" s="22" customFormat="1" ht="15" customHeight="1" x14ac:dyDescent="0.2">
      <c r="G1712" s="32"/>
    </row>
    <row r="1713" spans="7:7" s="22" customFormat="1" ht="15" customHeight="1" x14ac:dyDescent="0.2">
      <c r="G1713" s="32"/>
    </row>
    <row r="1714" spans="7:7" s="22" customFormat="1" ht="15" customHeight="1" x14ac:dyDescent="0.2">
      <c r="G1714" s="32"/>
    </row>
    <row r="1715" spans="7:7" s="22" customFormat="1" ht="15" customHeight="1" x14ac:dyDescent="0.2">
      <c r="G1715" s="32"/>
    </row>
    <row r="1716" spans="7:7" s="22" customFormat="1" ht="15" customHeight="1" x14ac:dyDescent="0.2">
      <c r="G1716" s="32"/>
    </row>
    <row r="1717" spans="7:7" s="22" customFormat="1" ht="15" customHeight="1" x14ac:dyDescent="0.2">
      <c r="G1717" s="32"/>
    </row>
    <row r="1718" spans="7:7" s="22" customFormat="1" ht="15" customHeight="1" x14ac:dyDescent="0.2">
      <c r="G1718" s="32"/>
    </row>
    <row r="1719" spans="7:7" s="22" customFormat="1" ht="15" customHeight="1" x14ac:dyDescent="0.2">
      <c r="G1719" s="32"/>
    </row>
    <row r="1720" spans="7:7" s="22" customFormat="1" ht="15" customHeight="1" x14ac:dyDescent="0.2">
      <c r="G1720" s="32"/>
    </row>
    <row r="1721" spans="7:7" s="22" customFormat="1" ht="15" customHeight="1" x14ac:dyDescent="0.2">
      <c r="G1721" s="32"/>
    </row>
  </sheetData>
  <sortState xmlns:xlrd2="http://schemas.microsoft.com/office/spreadsheetml/2017/richdata2" ref="A2:AF1609">
    <sortCondition ref="P2:P1609"/>
  </sortState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2825-09D0-4A50-90EE-BEA279C25D12}">
  <dimension ref="A1:AD31"/>
  <sheetViews>
    <sheetView workbookViewId="0">
      <selection activeCell="D24" sqref="D24"/>
    </sheetView>
  </sheetViews>
  <sheetFormatPr defaultRowHeight="12.75" x14ac:dyDescent="0.2"/>
  <cols>
    <col min="4" max="5" width="19.5703125" customWidth="1"/>
  </cols>
  <sheetData>
    <row r="1" spans="1:30" ht="15" customHeight="1" x14ac:dyDescent="0.2">
      <c r="A1" t="s">
        <v>3773</v>
      </c>
      <c r="C1" s="15"/>
      <c r="D1" s="16">
        <v>804340341</v>
      </c>
      <c r="E1" s="16" t="str">
        <f t="shared" ref="E1:E3" si="0">CONCATENATE(D1,65)</f>
        <v>80434034165</v>
      </c>
      <c r="F1" s="14" t="s">
        <v>39</v>
      </c>
      <c r="G1" s="14" t="s">
        <v>41</v>
      </c>
      <c r="H1" s="16">
        <v>20250201</v>
      </c>
      <c r="I1" s="17">
        <v>20230101</v>
      </c>
      <c r="J1" s="17">
        <v>25</v>
      </c>
      <c r="K1" s="14" t="s">
        <v>45</v>
      </c>
      <c r="L1" s="18">
        <v>1</v>
      </c>
      <c r="N1" s="4">
        <v>301</v>
      </c>
      <c r="O1" s="15" t="s">
        <v>3842</v>
      </c>
      <c r="P1" s="15"/>
      <c r="Q1" s="15"/>
    </row>
    <row r="2" spans="1:30" ht="15" customHeight="1" x14ac:dyDescent="0.2">
      <c r="A2" t="s">
        <v>3773</v>
      </c>
      <c r="C2" s="16">
        <v>1</v>
      </c>
      <c r="D2" s="16">
        <v>921662766</v>
      </c>
      <c r="E2" s="16" t="str">
        <f t="shared" si="0"/>
        <v>92166276665</v>
      </c>
      <c r="F2" s="14" t="s">
        <v>67</v>
      </c>
      <c r="G2" s="14" t="s">
        <v>41</v>
      </c>
      <c r="H2" s="16">
        <v>20250301</v>
      </c>
      <c r="I2" s="17">
        <v>20240601</v>
      </c>
      <c r="J2" s="17">
        <v>9</v>
      </c>
      <c r="K2" s="14" t="s">
        <v>60</v>
      </c>
      <c r="L2" s="18">
        <v>1</v>
      </c>
      <c r="M2" s="17">
        <v>30</v>
      </c>
      <c r="N2" s="4">
        <v>30</v>
      </c>
      <c r="O2" t="s">
        <v>3833</v>
      </c>
    </row>
    <row r="3" spans="1:30" ht="15" customHeight="1" x14ac:dyDescent="0.2">
      <c r="A3" t="s">
        <v>3773</v>
      </c>
      <c r="C3" s="16">
        <v>1</v>
      </c>
      <c r="D3" s="16">
        <v>921730915</v>
      </c>
      <c r="E3" s="16" t="str">
        <f t="shared" si="0"/>
        <v>92173091565</v>
      </c>
      <c r="F3" s="14" t="s">
        <v>83</v>
      </c>
      <c r="G3" s="14" t="s">
        <v>41</v>
      </c>
      <c r="H3" s="16">
        <v>20250301</v>
      </c>
      <c r="I3" s="16">
        <v>20240801</v>
      </c>
      <c r="J3" s="16">
        <v>7</v>
      </c>
      <c r="K3" s="14" t="s">
        <v>78</v>
      </c>
      <c r="L3" s="19">
        <v>1</v>
      </c>
      <c r="M3" s="16">
        <v>25</v>
      </c>
      <c r="N3" s="14">
        <v>25</v>
      </c>
      <c r="O3" s="15" t="s">
        <v>3831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x14ac:dyDescent="0.2">
      <c r="N4">
        <f>SUM(N1:N3)</f>
        <v>356</v>
      </c>
    </row>
    <row r="8" spans="1:30" ht="15" customHeight="1" x14ac:dyDescent="0.2">
      <c r="A8" t="s">
        <v>3792</v>
      </c>
      <c r="B8">
        <v>16912722</v>
      </c>
      <c r="C8" s="16">
        <v>1</v>
      </c>
      <c r="D8" s="16">
        <v>921720514</v>
      </c>
      <c r="E8" s="16" t="str">
        <f>CONCATENATE(D8,65)</f>
        <v>92172051465</v>
      </c>
      <c r="F8" s="14" t="s">
        <v>2524</v>
      </c>
      <c r="G8" s="16">
        <v>0</v>
      </c>
      <c r="H8" s="16">
        <v>20250301</v>
      </c>
      <c r="I8" s="16" t="str">
        <f>TEXT(DATE(LEFT(H8,4), MID(H8,5,2), RIGHT(H8,2)), "M/d/yyyy")</f>
        <v>3/1/2025</v>
      </c>
      <c r="J8" s="17">
        <v>20240501</v>
      </c>
      <c r="K8" s="16" t="str">
        <f>TEXT(DATE(LEFT(J8,4), MID(J8,5,2), RIGHT(J8,2)), "M/d/yyyy")</f>
        <v>5/1/2024</v>
      </c>
      <c r="L8" s="14" t="s">
        <v>78</v>
      </c>
      <c r="M8" s="18">
        <v>1</v>
      </c>
      <c r="N8" s="17">
        <v>25</v>
      </c>
      <c r="O8" s="4">
        <v>25</v>
      </c>
      <c r="P8" t="s">
        <v>3831</v>
      </c>
    </row>
    <row r="9" spans="1:30" ht="15" customHeight="1" x14ac:dyDescent="0.2">
      <c r="A9" t="s">
        <v>3792</v>
      </c>
      <c r="B9">
        <v>16912722</v>
      </c>
      <c r="C9" s="16">
        <v>1</v>
      </c>
      <c r="D9" s="16">
        <v>921729256</v>
      </c>
      <c r="E9" s="16" t="str">
        <f>CONCATENATE(D9,65)</f>
        <v>92172925665</v>
      </c>
      <c r="F9" s="14" t="s">
        <v>2528</v>
      </c>
      <c r="G9" s="16">
        <v>0</v>
      </c>
      <c r="H9" s="16">
        <v>20250301</v>
      </c>
      <c r="I9" s="16" t="str">
        <f>TEXT(DATE(LEFT(H9,4), MID(H9,5,2), RIGHT(H9,2)), "M/d/yyyy")</f>
        <v>3/1/2025</v>
      </c>
      <c r="J9" s="17">
        <v>20240701</v>
      </c>
      <c r="K9" s="16" t="str">
        <f>TEXT(DATE(LEFT(J9,4), MID(J9,5,2), RIGHT(J9,2)), "M/d/yyyy")</f>
        <v>7/1/2024</v>
      </c>
      <c r="L9" s="14" t="s">
        <v>78</v>
      </c>
      <c r="M9" s="18">
        <v>1</v>
      </c>
      <c r="N9" s="17">
        <v>25</v>
      </c>
      <c r="O9" s="4">
        <v>25</v>
      </c>
      <c r="P9" t="s">
        <v>3831</v>
      </c>
    </row>
    <row r="10" spans="1:30" ht="15" customHeight="1" x14ac:dyDescent="0.2">
      <c r="A10" t="s">
        <v>3792</v>
      </c>
      <c r="B10">
        <v>16912722</v>
      </c>
      <c r="C10" s="16">
        <v>1</v>
      </c>
      <c r="D10" s="16">
        <v>921748438</v>
      </c>
      <c r="E10" s="16" t="str">
        <f>CONCATENATE(D10,65)</f>
        <v>92174843865</v>
      </c>
      <c r="F10" s="14" t="s">
        <v>2530</v>
      </c>
      <c r="G10" s="16">
        <v>0</v>
      </c>
      <c r="H10" s="16">
        <v>20250301</v>
      </c>
      <c r="I10" s="16" t="str">
        <f>TEXT(DATE(LEFT(H10,4), MID(H10,5,2), RIGHT(H10,2)), "M/d/yyyy")</f>
        <v>3/1/2025</v>
      </c>
      <c r="J10" s="17">
        <v>20250101</v>
      </c>
      <c r="K10" s="16" t="str">
        <f>TEXT(DATE(LEFT(J10,4), MID(J10,5,2), RIGHT(J10,2)), "M/d/yyyy")</f>
        <v>1/1/2025</v>
      </c>
      <c r="L10" s="14" t="s">
        <v>78</v>
      </c>
      <c r="M10" s="18">
        <v>1</v>
      </c>
      <c r="N10" s="17">
        <v>25</v>
      </c>
      <c r="O10" s="4">
        <v>25</v>
      </c>
      <c r="P10" t="s">
        <v>3831</v>
      </c>
    </row>
    <row r="11" spans="1:30" ht="15" customHeight="1" x14ac:dyDescent="0.2">
      <c r="A11" t="s">
        <v>3792</v>
      </c>
      <c r="B11">
        <v>16912722</v>
      </c>
      <c r="C11" s="16">
        <v>1</v>
      </c>
      <c r="D11" s="16">
        <v>921748438</v>
      </c>
      <c r="E11" s="16" t="str">
        <f>CONCATENATE(D11,65)</f>
        <v>92174843865</v>
      </c>
      <c r="F11" s="14" t="s">
        <v>2530</v>
      </c>
      <c r="G11" s="16">
        <v>0</v>
      </c>
      <c r="H11" s="16">
        <v>20250201</v>
      </c>
      <c r="I11" s="16" t="str">
        <f>TEXT(DATE(LEFT(H11,4), MID(H11,5,2), RIGHT(H11,2)), "M/d/yyyy")</f>
        <v>2/1/2025</v>
      </c>
      <c r="J11" s="17">
        <v>20250101</v>
      </c>
      <c r="K11" s="16" t="str">
        <f>TEXT(DATE(LEFT(J11,4), MID(J11,5,2), RIGHT(J11,2)), "M/d/yyyy")</f>
        <v>1/1/2025</v>
      </c>
      <c r="L11" s="14" t="s">
        <v>78</v>
      </c>
      <c r="M11" s="18">
        <v>1</v>
      </c>
      <c r="N11" s="17">
        <v>25</v>
      </c>
      <c r="O11" s="4">
        <v>25</v>
      </c>
      <c r="P11" t="s">
        <v>3831</v>
      </c>
    </row>
    <row r="12" spans="1:30" ht="15" customHeight="1" x14ac:dyDescent="0.2">
      <c r="A12" t="s">
        <v>3816</v>
      </c>
      <c r="B12">
        <v>21348299</v>
      </c>
      <c r="C12" s="16">
        <v>1</v>
      </c>
      <c r="D12" s="16">
        <v>921748119</v>
      </c>
      <c r="E12" s="16" t="str">
        <f>CONCATENATE(D12,65)</f>
        <v>92174811965</v>
      </c>
      <c r="F12" s="14" t="s">
        <v>3483</v>
      </c>
      <c r="G12" s="16">
        <v>0</v>
      </c>
      <c r="H12" s="16">
        <v>20250301</v>
      </c>
      <c r="I12" s="16" t="str">
        <f>TEXT(DATE(LEFT(H12,4), MID(H12,5,2), RIGHT(H12,2)), "M/d/yyyy")</f>
        <v>3/1/2025</v>
      </c>
      <c r="J12" s="17">
        <v>20250101</v>
      </c>
      <c r="K12" s="16" t="str">
        <f>TEXT(DATE(LEFT(J12,4), MID(J12,5,2), RIGHT(J12,2)), "M/d/yyyy")</f>
        <v>1/1/2025</v>
      </c>
      <c r="L12" s="14" t="s">
        <v>78</v>
      </c>
      <c r="M12" s="18">
        <v>1</v>
      </c>
      <c r="N12" s="17">
        <v>25</v>
      </c>
      <c r="O12" s="4">
        <v>25</v>
      </c>
      <c r="P12" t="s">
        <v>3831</v>
      </c>
    </row>
    <row r="13" spans="1:30" ht="15" customHeight="1" x14ac:dyDescent="0.2">
      <c r="A13" t="s">
        <v>3799</v>
      </c>
      <c r="B13">
        <v>16983460</v>
      </c>
      <c r="C13" s="16">
        <v>2</v>
      </c>
      <c r="D13" s="16">
        <v>921774585</v>
      </c>
      <c r="E13" s="16" t="str">
        <f>CONCATENATE(D13,65)</f>
        <v>92177458565</v>
      </c>
      <c r="F13" s="14" t="s">
        <v>2911</v>
      </c>
      <c r="G13" s="16">
        <v>0</v>
      </c>
      <c r="H13" s="16">
        <v>20250301</v>
      </c>
      <c r="I13" s="16" t="str">
        <f>TEXT(DATE(LEFT(H13,4), MID(H13,5,2), RIGHT(H13,2)), "M/d/yyyy")</f>
        <v>3/1/2025</v>
      </c>
      <c r="J13" s="17">
        <v>20250201</v>
      </c>
      <c r="K13" s="16" t="str">
        <f>TEXT(DATE(LEFT(J13,4), MID(J13,5,2), RIGHT(J13,2)), "M/d/yyyy")</f>
        <v>2/1/2025</v>
      </c>
      <c r="L13" s="14" t="s">
        <v>78</v>
      </c>
      <c r="M13" s="18">
        <v>1</v>
      </c>
      <c r="N13" s="17">
        <v>25</v>
      </c>
      <c r="O13" s="4">
        <v>50</v>
      </c>
      <c r="P13" t="s">
        <v>3831</v>
      </c>
    </row>
    <row r="14" spans="1:30" ht="15" customHeight="1" x14ac:dyDescent="0.2">
      <c r="A14" t="s">
        <v>3792</v>
      </c>
      <c r="B14">
        <v>16912722</v>
      </c>
      <c r="C14" s="16">
        <v>1</v>
      </c>
      <c r="D14" s="16">
        <v>921759663</v>
      </c>
      <c r="E14" s="16" t="str">
        <f>CONCATENATE(D14,65)</f>
        <v>92175966365</v>
      </c>
      <c r="F14" s="14" t="s">
        <v>2534</v>
      </c>
      <c r="G14" s="16">
        <v>0</v>
      </c>
      <c r="H14" s="16">
        <v>20250301</v>
      </c>
      <c r="I14" s="16" t="str">
        <f>TEXT(DATE(LEFT(H14,4), MID(H14,5,2), RIGHT(H14,2)), "M/d/yyyy")</f>
        <v>3/1/2025</v>
      </c>
      <c r="J14" s="17">
        <v>20250101</v>
      </c>
      <c r="K14" s="16" t="str">
        <f>TEXT(DATE(LEFT(J14,4), MID(J14,5,2), RIGHT(J14,2)), "M/d/yyyy")</f>
        <v>1/1/2025</v>
      </c>
      <c r="L14" s="14" t="s">
        <v>197</v>
      </c>
      <c r="M14" s="18">
        <v>1</v>
      </c>
      <c r="N14" s="17">
        <v>20</v>
      </c>
      <c r="O14" s="4">
        <v>20</v>
      </c>
      <c r="P14" t="s">
        <v>3843</v>
      </c>
    </row>
    <row r="15" spans="1:30" ht="15" customHeight="1" x14ac:dyDescent="0.2">
      <c r="A15" t="s">
        <v>3792</v>
      </c>
      <c r="B15">
        <v>16912722</v>
      </c>
      <c r="C15" s="16">
        <v>1</v>
      </c>
      <c r="D15" s="16">
        <v>921764777</v>
      </c>
      <c r="E15" s="16" t="str">
        <f>CONCATENATE(D15,65)</f>
        <v>92176477765</v>
      </c>
      <c r="F15" s="14" t="s">
        <v>2536</v>
      </c>
      <c r="G15" s="16">
        <v>0</v>
      </c>
      <c r="H15" s="16">
        <v>20250301</v>
      </c>
      <c r="I15" s="16" t="str">
        <f>TEXT(DATE(LEFT(H15,4), MID(H15,5,2), RIGHT(H15,2)), "M/d/yyyy")</f>
        <v>3/1/2025</v>
      </c>
      <c r="J15" s="17">
        <v>20250101</v>
      </c>
      <c r="K15" s="16" t="str">
        <f>TEXT(DATE(LEFT(J15,4), MID(J15,5,2), RIGHT(J15,2)), "M/d/yyyy")</f>
        <v>1/1/2025</v>
      </c>
      <c r="L15" s="14" t="s">
        <v>197</v>
      </c>
      <c r="M15" s="18">
        <v>1</v>
      </c>
      <c r="N15" s="17">
        <v>20</v>
      </c>
      <c r="O15" s="4">
        <v>20</v>
      </c>
      <c r="P15" t="s">
        <v>3843</v>
      </c>
    </row>
    <row r="16" spans="1:30" ht="15" customHeight="1" x14ac:dyDescent="0.2">
      <c r="A16" t="s">
        <v>3792</v>
      </c>
      <c r="B16">
        <v>16912722</v>
      </c>
      <c r="C16" s="16">
        <v>1</v>
      </c>
      <c r="D16" s="16">
        <v>921765101</v>
      </c>
      <c r="E16" s="16" t="str">
        <f>CONCATENATE(D16,65)</f>
        <v>92176510165</v>
      </c>
      <c r="F16" s="14" t="s">
        <v>2538</v>
      </c>
      <c r="G16" s="16">
        <v>0</v>
      </c>
      <c r="H16" s="16">
        <v>20250301</v>
      </c>
      <c r="I16" s="16" t="str">
        <f>TEXT(DATE(LEFT(H16,4), MID(H16,5,2), RIGHT(H16,2)), "M/d/yyyy")</f>
        <v>3/1/2025</v>
      </c>
      <c r="J16" s="17">
        <v>20250101</v>
      </c>
      <c r="K16" s="16" t="str">
        <f>TEXT(DATE(LEFT(J16,4), MID(J16,5,2), RIGHT(J16,2)), "M/d/yyyy")</f>
        <v>1/1/2025</v>
      </c>
      <c r="L16" s="14" t="s">
        <v>197</v>
      </c>
      <c r="M16" s="18">
        <v>1</v>
      </c>
      <c r="N16" s="17">
        <v>20</v>
      </c>
      <c r="O16" s="4">
        <v>20</v>
      </c>
      <c r="P16" t="s">
        <v>3843</v>
      </c>
    </row>
    <row r="17" spans="1:16" ht="15" customHeight="1" x14ac:dyDescent="0.2">
      <c r="A17" t="s">
        <v>3792</v>
      </c>
      <c r="B17">
        <v>16912722</v>
      </c>
      <c r="C17" s="16">
        <v>3</v>
      </c>
      <c r="D17" s="16">
        <v>921776147</v>
      </c>
      <c r="E17" s="16" t="str">
        <f>CONCATENATE(D17,65)</f>
        <v>92177614765</v>
      </c>
      <c r="F17" s="14" t="s">
        <v>2540</v>
      </c>
      <c r="G17" s="16">
        <v>0</v>
      </c>
      <c r="H17" s="16">
        <v>20250301</v>
      </c>
      <c r="I17" s="16" t="str">
        <f>TEXT(DATE(LEFT(H17,4), MID(H17,5,2), RIGHT(H17,2)), "M/d/yyyy")</f>
        <v>3/1/2025</v>
      </c>
      <c r="J17" s="17">
        <v>20250201</v>
      </c>
      <c r="K17" s="16" t="str">
        <f>TEXT(DATE(LEFT(J17,4), MID(J17,5,2), RIGHT(J17,2)), "M/d/yyyy")</f>
        <v>2/1/2025</v>
      </c>
      <c r="L17" s="14" t="s">
        <v>197</v>
      </c>
      <c r="M17" s="18">
        <v>1</v>
      </c>
      <c r="N17" s="17">
        <v>20</v>
      </c>
      <c r="O17" s="4">
        <v>60</v>
      </c>
      <c r="P17" t="s">
        <v>3843</v>
      </c>
    </row>
    <row r="18" spans="1:16" ht="15" customHeight="1" x14ac:dyDescent="0.2">
      <c r="A18" t="s">
        <v>3816</v>
      </c>
      <c r="B18">
        <v>21348299</v>
      </c>
      <c r="C18" s="16">
        <v>1</v>
      </c>
      <c r="D18" s="16">
        <v>921754273</v>
      </c>
      <c r="E18" s="16" t="str">
        <f>CONCATENATE(D18,65)</f>
        <v>92175427365</v>
      </c>
      <c r="F18" s="14" t="s">
        <v>3485</v>
      </c>
      <c r="G18" s="16">
        <v>0</v>
      </c>
      <c r="H18" s="16">
        <v>20250301</v>
      </c>
      <c r="I18" s="16" t="str">
        <f>TEXT(DATE(LEFT(H18,4), MID(H18,5,2), RIGHT(H18,2)), "M/d/yyyy")</f>
        <v>3/1/2025</v>
      </c>
      <c r="J18" s="17">
        <v>20250101</v>
      </c>
      <c r="K18" s="16" t="str">
        <f>TEXT(DATE(LEFT(J18,4), MID(J18,5,2), RIGHT(J18,2)), "M/d/yyyy")</f>
        <v>1/1/2025</v>
      </c>
      <c r="L18" s="14" t="s">
        <v>197</v>
      </c>
      <c r="M18" s="18">
        <v>1</v>
      </c>
      <c r="N18" s="17">
        <v>20</v>
      </c>
      <c r="O18" s="4">
        <v>20</v>
      </c>
      <c r="P18" t="s">
        <v>3843</v>
      </c>
    </row>
    <row r="19" spans="1:16" ht="15" customHeight="1" x14ac:dyDescent="0.2">
      <c r="A19" t="s">
        <v>3816</v>
      </c>
      <c r="B19">
        <v>21348299</v>
      </c>
      <c r="C19" s="16">
        <v>1</v>
      </c>
      <c r="D19" s="16">
        <v>921757425</v>
      </c>
      <c r="E19" s="16" t="str">
        <f>CONCATENATE(D19,65)</f>
        <v>92175742565</v>
      </c>
      <c r="F19" s="14" t="s">
        <v>3487</v>
      </c>
      <c r="G19" s="16">
        <v>0</v>
      </c>
      <c r="H19" s="16">
        <v>20250301</v>
      </c>
      <c r="I19" s="16" t="str">
        <f>TEXT(DATE(LEFT(H19,4), MID(H19,5,2), RIGHT(H19,2)), "M/d/yyyy")</f>
        <v>3/1/2025</v>
      </c>
      <c r="J19" s="17">
        <v>20250101</v>
      </c>
      <c r="K19" s="16" t="str">
        <f>TEXT(DATE(LEFT(J19,4), MID(J19,5,2), RIGHT(J19,2)), "M/d/yyyy")</f>
        <v>1/1/2025</v>
      </c>
      <c r="L19" s="14" t="s">
        <v>197</v>
      </c>
      <c r="M19" s="18">
        <v>1</v>
      </c>
      <c r="N19" s="17">
        <v>20</v>
      </c>
      <c r="O19" s="4">
        <v>20</v>
      </c>
      <c r="P19" t="s">
        <v>3843</v>
      </c>
    </row>
    <row r="20" spans="1:16" ht="15" customHeight="1" x14ac:dyDescent="0.2">
      <c r="A20" t="s">
        <v>3816</v>
      </c>
      <c r="B20">
        <v>21348299</v>
      </c>
      <c r="C20" s="16">
        <v>1</v>
      </c>
      <c r="D20" s="16">
        <v>921757733</v>
      </c>
      <c r="E20" s="16" t="str">
        <f>CONCATENATE(D20,65)</f>
        <v>92175773365</v>
      </c>
      <c r="F20" s="14" t="s">
        <v>3489</v>
      </c>
      <c r="G20" s="16">
        <v>0</v>
      </c>
      <c r="H20" s="16">
        <v>20250301</v>
      </c>
      <c r="I20" s="16" t="str">
        <f>TEXT(DATE(LEFT(H20,4), MID(H20,5,2), RIGHT(H20,2)), "M/d/yyyy")</f>
        <v>3/1/2025</v>
      </c>
      <c r="J20" s="17">
        <v>20250101</v>
      </c>
      <c r="K20" s="16" t="str">
        <f>TEXT(DATE(LEFT(J20,4), MID(J20,5,2), RIGHT(J20,2)), "M/d/yyyy")</f>
        <v>1/1/2025</v>
      </c>
      <c r="L20" s="14" t="s">
        <v>197</v>
      </c>
      <c r="M20" s="18">
        <v>1</v>
      </c>
      <c r="N20" s="17">
        <v>20</v>
      </c>
      <c r="O20" s="4">
        <v>20</v>
      </c>
      <c r="P20" t="s">
        <v>3843</v>
      </c>
    </row>
    <row r="21" spans="1:16" ht="15" customHeight="1" x14ac:dyDescent="0.2">
      <c r="A21" t="s">
        <v>3815</v>
      </c>
      <c r="B21">
        <v>20999157</v>
      </c>
      <c r="C21" s="16">
        <v>1</v>
      </c>
      <c r="D21" s="16">
        <v>921769541</v>
      </c>
      <c r="E21" s="16" t="str">
        <f>CONCATENATE(D21,65)</f>
        <v>92176954165</v>
      </c>
      <c r="F21" s="14" t="s">
        <v>3475</v>
      </c>
      <c r="G21" s="16">
        <v>0</v>
      </c>
      <c r="H21" s="16">
        <v>20250301</v>
      </c>
      <c r="I21" s="16" t="str">
        <f>TEXT(DATE(LEFT(H21,4), MID(H21,5,2), RIGHT(H21,2)), "M/d/yyyy")</f>
        <v>3/1/2025</v>
      </c>
      <c r="J21" s="17">
        <v>20250201</v>
      </c>
      <c r="K21" s="16" t="str">
        <f>TEXT(DATE(LEFT(J21,4), MID(J21,5,2), RIGHT(J21,2)), "M/d/yyyy")</f>
        <v>2/1/2025</v>
      </c>
      <c r="L21" s="14" t="s">
        <v>197</v>
      </c>
      <c r="M21" s="18">
        <v>1</v>
      </c>
      <c r="N21" s="17">
        <v>20</v>
      </c>
      <c r="O21" s="4">
        <v>20</v>
      </c>
      <c r="P21" t="s">
        <v>3843</v>
      </c>
    </row>
    <row r="22" spans="1:16" ht="15" customHeight="1" x14ac:dyDescent="0.2">
      <c r="A22" t="s">
        <v>3815</v>
      </c>
      <c r="B22">
        <v>20999157</v>
      </c>
      <c r="C22" s="16">
        <v>1</v>
      </c>
      <c r="D22" s="16">
        <v>921772995</v>
      </c>
      <c r="E22" s="16" t="str">
        <f>CONCATENATE(D22,65)</f>
        <v>92177299565</v>
      </c>
      <c r="F22" s="14" t="s">
        <v>3477</v>
      </c>
      <c r="G22" s="16">
        <v>0</v>
      </c>
      <c r="H22" s="16">
        <v>20250301</v>
      </c>
      <c r="I22" s="16" t="str">
        <f>TEXT(DATE(LEFT(H22,4), MID(H22,5,2), RIGHT(H22,2)), "M/d/yyyy")</f>
        <v>3/1/2025</v>
      </c>
      <c r="J22" s="17">
        <v>20250201</v>
      </c>
      <c r="K22" s="16" t="str">
        <f>TEXT(DATE(LEFT(J22,4), MID(J22,5,2), RIGHT(J22,2)), "M/d/yyyy")</f>
        <v>2/1/2025</v>
      </c>
      <c r="L22" s="14" t="s">
        <v>197</v>
      </c>
      <c r="M22" s="18">
        <v>1</v>
      </c>
      <c r="N22" s="17">
        <v>20</v>
      </c>
      <c r="O22" s="4">
        <v>20</v>
      </c>
      <c r="P22" t="s">
        <v>3843</v>
      </c>
    </row>
    <row r="23" spans="1:16" ht="15" customHeight="1" x14ac:dyDescent="0.2">
      <c r="A23" t="s">
        <v>3815</v>
      </c>
      <c r="B23">
        <v>20999157</v>
      </c>
      <c r="C23" s="16">
        <v>2</v>
      </c>
      <c r="D23" s="16">
        <v>921755426</v>
      </c>
      <c r="E23" s="16" t="str">
        <f>CONCATENATE(D23,65)</f>
        <v>92175542665</v>
      </c>
      <c r="F23" s="14" t="s">
        <v>3473</v>
      </c>
      <c r="G23" s="16">
        <v>0</v>
      </c>
      <c r="H23" s="16">
        <v>20250301</v>
      </c>
      <c r="I23" s="16" t="str">
        <f>TEXT(DATE(LEFT(H23,4), MID(H23,5,2), RIGHT(H23,2)), "M/d/yyyy")</f>
        <v>3/1/2025</v>
      </c>
      <c r="J23" s="17">
        <v>20250101</v>
      </c>
      <c r="K23" s="16" t="str">
        <f>TEXT(DATE(LEFT(J23,4), MID(J23,5,2), RIGHT(J23,2)), "M/d/yyyy")</f>
        <v>1/1/2025</v>
      </c>
      <c r="L23" s="14" t="s">
        <v>197</v>
      </c>
      <c r="M23" s="18">
        <v>1</v>
      </c>
      <c r="N23" s="17">
        <v>20</v>
      </c>
      <c r="O23" s="4">
        <v>40</v>
      </c>
      <c r="P23" t="s">
        <v>3843</v>
      </c>
    </row>
    <row r="24" spans="1:16" ht="15" customHeight="1" x14ac:dyDescent="0.2">
      <c r="A24" t="s">
        <v>3813</v>
      </c>
      <c r="B24">
        <v>21283956</v>
      </c>
      <c r="C24" s="16">
        <v>1</v>
      </c>
      <c r="D24" s="16">
        <v>921743474</v>
      </c>
      <c r="E24" s="16" t="str">
        <f>CONCATENATE(D24,65)</f>
        <v>92174347465</v>
      </c>
      <c r="F24" s="14" t="s">
        <v>3423</v>
      </c>
      <c r="G24" s="16">
        <v>0</v>
      </c>
      <c r="H24" s="16">
        <v>20250301</v>
      </c>
      <c r="I24" s="16" t="str">
        <f>TEXT(DATE(LEFT(H24,4), MID(H24,5,2), RIGHT(H24,2)), "M/d/yyyy")</f>
        <v>3/1/2025</v>
      </c>
      <c r="J24" s="17">
        <v>20241101</v>
      </c>
      <c r="K24" s="16" t="str">
        <f>TEXT(DATE(LEFT(J24,4), MID(J24,5,2), RIGHT(J24,2)), "M/d/yyyy")</f>
        <v>11/1/2024</v>
      </c>
      <c r="L24" s="14" t="s">
        <v>197</v>
      </c>
      <c r="M24" s="18">
        <v>1</v>
      </c>
      <c r="N24" s="17">
        <v>20</v>
      </c>
      <c r="O24" s="4">
        <v>20</v>
      </c>
      <c r="P24" t="s">
        <v>3843</v>
      </c>
    </row>
    <row r="25" spans="1:16" ht="15" customHeight="1" x14ac:dyDescent="0.2">
      <c r="A25" t="s">
        <v>3813</v>
      </c>
      <c r="B25">
        <v>21283956</v>
      </c>
      <c r="C25" s="16">
        <v>1</v>
      </c>
      <c r="D25" s="16">
        <v>921765929</v>
      </c>
      <c r="E25" s="16" t="str">
        <f>CONCATENATE(D25,65)</f>
        <v>92176592965</v>
      </c>
      <c r="F25" s="14" t="s">
        <v>3429</v>
      </c>
      <c r="G25" s="16">
        <v>0</v>
      </c>
      <c r="H25" s="16">
        <v>20250301</v>
      </c>
      <c r="I25" s="16" t="str">
        <f>TEXT(DATE(LEFT(H25,4), MID(H25,5,2), RIGHT(H25,2)), "M/d/yyyy")</f>
        <v>3/1/2025</v>
      </c>
      <c r="J25" s="17">
        <v>20250101</v>
      </c>
      <c r="K25" s="16" t="str">
        <f>TEXT(DATE(LEFT(J25,4), MID(J25,5,2), RIGHT(J25,2)), "M/d/yyyy")</f>
        <v>1/1/2025</v>
      </c>
      <c r="L25" s="14" t="s">
        <v>197</v>
      </c>
      <c r="M25" s="18">
        <v>1</v>
      </c>
      <c r="N25" s="17">
        <v>20</v>
      </c>
      <c r="O25" s="4">
        <v>20</v>
      </c>
      <c r="P25" t="s">
        <v>3843</v>
      </c>
    </row>
    <row r="26" spans="1:16" ht="15" customHeight="1" x14ac:dyDescent="0.2">
      <c r="A26" t="s">
        <v>3792</v>
      </c>
      <c r="B26">
        <v>16912722</v>
      </c>
      <c r="C26" s="16">
        <v>1</v>
      </c>
      <c r="D26" s="16">
        <v>921751940</v>
      </c>
      <c r="E26" s="16" t="str">
        <f>CONCATENATE(D26,65)</f>
        <v>92175194065</v>
      </c>
      <c r="F26" s="14" t="s">
        <v>2532</v>
      </c>
      <c r="G26" s="16">
        <v>0</v>
      </c>
      <c r="H26" s="16">
        <v>20250301</v>
      </c>
      <c r="I26" s="16" t="str">
        <f>TEXT(DATE(LEFT(H26,4), MID(H26,5,2), RIGHT(H26,2)), "M/d/yyyy")</f>
        <v>3/1/2025</v>
      </c>
      <c r="J26" s="17">
        <v>20250101</v>
      </c>
      <c r="K26" s="16" t="str">
        <f>TEXT(DATE(LEFT(J26,4), MID(J26,5,2), RIGHT(J26,2)), "M/d/yyyy")</f>
        <v>1/1/2025</v>
      </c>
      <c r="L26" s="14" t="s">
        <v>60</v>
      </c>
      <c r="M26" s="18">
        <v>1</v>
      </c>
      <c r="N26" s="17">
        <v>30</v>
      </c>
      <c r="O26" s="4">
        <v>30</v>
      </c>
      <c r="P26" t="s">
        <v>3833</v>
      </c>
    </row>
    <row r="27" spans="1:16" ht="15" customHeight="1" x14ac:dyDescent="0.2">
      <c r="A27" t="s">
        <v>3808</v>
      </c>
      <c r="B27">
        <v>20212926</v>
      </c>
      <c r="C27" s="16">
        <v>5</v>
      </c>
      <c r="D27" s="16">
        <v>921710459</v>
      </c>
      <c r="E27" s="16" t="str">
        <f>CONCATENATE(D27,65)</f>
        <v>92171045965</v>
      </c>
      <c r="F27" s="14" t="s">
        <v>3346</v>
      </c>
      <c r="G27" s="16">
        <v>0</v>
      </c>
      <c r="H27" s="16">
        <v>20250301</v>
      </c>
      <c r="I27" s="16" t="str">
        <f>TEXT(DATE(LEFT(H27,4), MID(H27,5,2), RIGHT(H27,2)), "M/d/yyyy")</f>
        <v>3/1/2025</v>
      </c>
      <c r="J27" s="17">
        <v>20241001</v>
      </c>
      <c r="K27" s="16" t="str">
        <f>TEXT(DATE(LEFT(J27,4), MID(J27,5,2), RIGHT(J27,2)), "M/d/yyyy")</f>
        <v>10/1/2024</v>
      </c>
      <c r="L27" s="14" t="s">
        <v>60</v>
      </c>
      <c r="M27" s="18">
        <v>1</v>
      </c>
      <c r="N27" s="17">
        <v>30</v>
      </c>
      <c r="O27" s="4">
        <v>150</v>
      </c>
      <c r="P27" t="s">
        <v>3833</v>
      </c>
    </row>
    <row r="28" spans="1:16" ht="15" customHeight="1" x14ac:dyDescent="0.2">
      <c r="A28" t="s">
        <v>3813</v>
      </c>
      <c r="B28">
        <v>21283956</v>
      </c>
      <c r="C28" s="16">
        <v>1</v>
      </c>
      <c r="D28" s="16">
        <v>921724104</v>
      </c>
      <c r="E28" s="16" t="str">
        <f>CONCATENATE(D28,65)</f>
        <v>92172410465</v>
      </c>
      <c r="F28" s="14" t="s">
        <v>3419</v>
      </c>
      <c r="G28" s="16">
        <v>0</v>
      </c>
      <c r="H28" s="16">
        <v>20250301</v>
      </c>
      <c r="I28" s="16" t="str">
        <f>TEXT(DATE(LEFT(H28,4), MID(H28,5,2), RIGHT(H28,2)), "M/d/yyyy")</f>
        <v>3/1/2025</v>
      </c>
      <c r="J28" s="17">
        <v>20240501</v>
      </c>
      <c r="K28" s="16" t="str">
        <f>TEXT(DATE(LEFT(J28,4), MID(J28,5,2), RIGHT(J28,2)), "M/d/yyyy")</f>
        <v>5/1/2024</v>
      </c>
      <c r="L28" s="14" t="s">
        <v>60</v>
      </c>
      <c r="M28" s="18">
        <v>1</v>
      </c>
      <c r="N28" s="17">
        <v>30</v>
      </c>
      <c r="O28" s="4">
        <v>30</v>
      </c>
      <c r="P28" t="s">
        <v>3833</v>
      </c>
    </row>
    <row r="29" spans="1:16" ht="15" customHeight="1" x14ac:dyDescent="0.2">
      <c r="A29" t="s">
        <v>3813</v>
      </c>
      <c r="B29">
        <v>21283956</v>
      </c>
      <c r="C29" s="16">
        <v>1</v>
      </c>
      <c r="D29" s="16">
        <v>921759933</v>
      </c>
      <c r="E29" s="16" t="str">
        <f>CONCATENATE(D29,65)</f>
        <v>92175993365</v>
      </c>
      <c r="F29" s="14" t="s">
        <v>3427</v>
      </c>
      <c r="G29" s="16">
        <v>0</v>
      </c>
      <c r="H29" s="16">
        <v>20250301</v>
      </c>
      <c r="I29" s="16" t="str">
        <f>TEXT(DATE(LEFT(H29,4), MID(H29,5,2), RIGHT(H29,2)), "M/d/yyyy")</f>
        <v>3/1/2025</v>
      </c>
      <c r="J29" s="17">
        <v>20250101</v>
      </c>
      <c r="K29" s="16" t="str">
        <f>TEXT(DATE(LEFT(J29,4), MID(J29,5,2), RIGHT(J29,2)), "M/d/yyyy")</f>
        <v>1/1/2025</v>
      </c>
      <c r="L29" s="14" t="s">
        <v>60</v>
      </c>
      <c r="M29" s="18">
        <v>1</v>
      </c>
      <c r="N29" s="17">
        <v>30</v>
      </c>
      <c r="O29" s="4">
        <v>30</v>
      </c>
      <c r="P29" t="s">
        <v>3833</v>
      </c>
    </row>
    <row r="30" spans="1:16" ht="15" customHeight="1" x14ac:dyDescent="0.2">
      <c r="A30" t="s">
        <v>3792</v>
      </c>
      <c r="B30">
        <v>16912722</v>
      </c>
      <c r="C30" s="16">
        <v>1</v>
      </c>
      <c r="D30" s="16">
        <v>921724471</v>
      </c>
      <c r="E30" s="16" t="str">
        <f>CONCATENATE(D30,65)</f>
        <v>92172447165</v>
      </c>
      <c r="F30" s="14" t="s">
        <v>2526</v>
      </c>
      <c r="G30" s="16">
        <v>0</v>
      </c>
      <c r="H30" s="16">
        <v>20250301</v>
      </c>
      <c r="I30" s="16" t="str">
        <f>TEXT(DATE(LEFT(H30,4), MID(H30,5,2), RIGHT(H30,2)), "M/d/yyyy")</f>
        <v>3/1/2025</v>
      </c>
      <c r="J30" s="17">
        <v>20240601</v>
      </c>
      <c r="K30" s="16" t="str">
        <f>TEXT(DATE(LEFT(J30,4), MID(J30,5,2), RIGHT(J30,2)), "M/d/yyyy")</f>
        <v>6/1/2024</v>
      </c>
      <c r="L30" s="14" t="s">
        <v>135</v>
      </c>
      <c r="M30" s="18">
        <v>1</v>
      </c>
      <c r="N30" s="17">
        <v>25</v>
      </c>
      <c r="O30" s="4">
        <v>25</v>
      </c>
      <c r="P30" t="s">
        <v>3830</v>
      </c>
    </row>
    <row r="31" spans="1:16" ht="15" customHeight="1" x14ac:dyDescent="0.2">
      <c r="A31" t="s">
        <v>3813</v>
      </c>
      <c r="B31">
        <v>21283956</v>
      </c>
      <c r="C31" s="16">
        <v>2</v>
      </c>
      <c r="D31" s="16">
        <v>921757381</v>
      </c>
      <c r="E31" s="16" t="str">
        <f>CONCATENATE(D31,65)</f>
        <v>92175738165</v>
      </c>
      <c r="F31" s="14" t="s">
        <v>3425</v>
      </c>
      <c r="G31" s="16">
        <v>0</v>
      </c>
      <c r="H31" s="16">
        <v>20250301</v>
      </c>
      <c r="I31" s="16" t="str">
        <f>TEXT(DATE(LEFT(H31,4), MID(H31,5,2), RIGHT(H31,2)), "M/d/yyyy")</f>
        <v>3/1/2025</v>
      </c>
      <c r="J31" s="17">
        <v>20250101</v>
      </c>
      <c r="K31" s="16" t="str">
        <f>TEXT(DATE(LEFT(J31,4), MID(J31,5,2), RIGHT(J31,2)), "M/d/yyyy")</f>
        <v>1/1/2025</v>
      </c>
      <c r="L31" s="14" t="s">
        <v>135</v>
      </c>
      <c r="M31" s="18">
        <v>1</v>
      </c>
      <c r="N31" s="17">
        <v>25</v>
      </c>
      <c r="O31" s="4">
        <v>50</v>
      </c>
      <c r="P31" t="s">
        <v>3830</v>
      </c>
    </row>
  </sheetData>
  <sortState xmlns:xlrd2="http://schemas.microsoft.com/office/spreadsheetml/2017/richdata2" ref="A8:AD31">
    <sortCondition ref="P8:P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753A-7477-43C4-9823-BC238B0AEF1A}">
  <dimension ref="A1:D1720"/>
  <sheetViews>
    <sheetView topLeftCell="A1676" workbookViewId="0">
      <selection activeCell="C1" sqref="C1:C1720"/>
    </sheetView>
  </sheetViews>
  <sheetFormatPr defaultRowHeight="12.75" x14ac:dyDescent="0.2"/>
  <sheetData>
    <row r="1" spans="1:3" x14ac:dyDescent="0.2">
      <c r="A1" s="14">
        <v>107864424</v>
      </c>
      <c r="B1" t="s">
        <v>3772</v>
      </c>
      <c r="C1" t="s">
        <v>3773</v>
      </c>
    </row>
    <row r="2" spans="1:3" x14ac:dyDescent="0.2">
      <c r="A2" s="14">
        <v>107864424</v>
      </c>
      <c r="B2" t="s">
        <v>3772</v>
      </c>
      <c r="C2" t="s">
        <v>3773</v>
      </c>
    </row>
    <row r="3" spans="1:3" x14ac:dyDescent="0.2">
      <c r="A3" s="14">
        <v>107864424</v>
      </c>
      <c r="B3" t="s">
        <v>3772</v>
      </c>
      <c r="C3" t="s">
        <v>3773</v>
      </c>
    </row>
    <row r="4" spans="1:3" x14ac:dyDescent="0.2">
      <c r="A4" s="14">
        <v>107864424</v>
      </c>
      <c r="B4" t="s">
        <v>3772</v>
      </c>
      <c r="C4" t="s">
        <v>3773</v>
      </c>
    </row>
    <row r="5" spans="1:3" x14ac:dyDescent="0.2">
      <c r="A5" s="14">
        <v>107864424</v>
      </c>
      <c r="B5" t="s">
        <v>3772</v>
      </c>
      <c r="C5" t="s">
        <v>3773</v>
      </c>
    </row>
    <row r="6" spans="1:3" x14ac:dyDescent="0.2">
      <c r="A6" s="14">
        <v>107864424</v>
      </c>
      <c r="B6" t="s">
        <v>3772</v>
      </c>
      <c r="C6" t="s">
        <v>3773</v>
      </c>
    </row>
    <row r="7" spans="1:3" x14ac:dyDescent="0.2">
      <c r="A7" s="14">
        <v>107864424</v>
      </c>
      <c r="B7" t="s">
        <v>3772</v>
      </c>
      <c r="C7" t="s">
        <v>3773</v>
      </c>
    </row>
    <row r="8" spans="1:3" x14ac:dyDescent="0.2">
      <c r="A8" s="14">
        <v>107864424</v>
      </c>
      <c r="B8" t="s">
        <v>3772</v>
      </c>
      <c r="C8" t="s">
        <v>3773</v>
      </c>
    </row>
    <row r="9" spans="1:3" x14ac:dyDescent="0.2">
      <c r="A9" s="14">
        <v>107864424</v>
      </c>
      <c r="B9" t="s">
        <v>3772</v>
      </c>
      <c r="C9" t="s">
        <v>3773</v>
      </c>
    </row>
    <row r="10" spans="1:3" x14ac:dyDescent="0.2">
      <c r="A10" s="14">
        <v>107864424</v>
      </c>
      <c r="B10" t="s">
        <v>3772</v>
      </c>
      <c r="C10" t="s">
        <v>3773</v>
      </c>
    </row>
    <row r="11" spans="1:3" x14ac:dyDescent="0.2">
      <c r="A11" s="14">
        <v>107864424</v>
      </c>
      <c r="B11" t="s">
        <v>3772</v>
      </c>
      <c r="C11" t="s">
        <v>3773</v>
      </c>
    </row>
    <row r="12" spans="1:3" x14ac:dyDescent="0.2">
      <c r="A12" s="14">
        <v>107864424</v>
      </c>
      <c r="B12" t="s">
        <v>3772</v>
      </c>
      <c r="C12" t="s">
        <v>3773</v>
      </c>
    </row>
    <row r="13" spans="1:3" x14ac:dyDescent="0.2">
      <c r="A13" s="14">
        <v>107864424</v>
      </c>
      <c r="B13" t="s">
        <v>3772</v>
      </c>
      <c r="C13" t="s">
        <v>3773</v>
      </c>
    </row>
    <row r="14" spans="1:3" x14ac:dyDescent="0.2">
      <c r="A14" s="14">
        <v>107864424</v>
      </c>
      <c r="B14" t="s">
        <v>3772</v>
      </c>
      <c r="C14" t="s">
        <v>3773</v>
      </c>
    </row>
    <row r="15" spans="1:3" x14ac:dyDescent="0.2">
      <c r="A15" s="14">
        <v>107864424</v>
      </c>
      <c r="B15" t="s">
        <v>3772</v>
      </c>
      <c r="C15" t="s">
        <v>3773</v>
      </c>
    </row>
    <row r="16" spans="1:3" x14ac:dyDescent="0.2">
      <c r="A16" s="14">
        <v>107864424</v>
      </c>
      <c r="B16" t="s">
        <v>3772</v>
      </c>
      <c r="C16" t="s">
        <v>3773</v>
      </c>
    </row>
    <row r="17" spans="1:3" x14ac:dyDescent="0.2">
      <c r="A17" s="14">
        <v>107864424</v>
      </c>
      <c r="B17" t="s">
        <v>3772</v>
      </c>
      <c r="C17" t="s">
        <v>3773</v>
      </c>
    </row>
    <row r="18" spans="1:3" x14ac:dyDescent="0.2">
      <c r="A18" s="14">
        <v>107864424</v>
      </c>
      <c r="B18" t="s">
        <v>3772</v>
      </c>
      <c r="C18" t="s">
        <v>3773</v>
      </c>
    </row>
    <row r="19" spans="1:3" x14ac:dyDescent="0.2">
      <c r="A19" s="14">
        <v>107864424</v>
      </c>
      <c r="B19" t="s">
        <v>3772</v>
      </c>
      <c r="C19" t="s">
        <v>3773</v>
      </c>
    </row>
    <row r="20" spans="1:3" x14ac:dyDescent="0.2">
      <c r="A20" s="14">
        <v>107864424</v>
      </c>
      <c r="B20" t="s">
        <v>3772</v>
      </c>
      <c r="C20" t="s">
        <v>3773</v>
      </c>
    </row>
    <row r="21" spans="1:3" x14ac:dyDescent="0.2">
      <c r="A21" s="14">
        <v>107864424</v>
      </c>
      <c r="B21" t="s">
        <v>3772</v>
      </c>
      <c r="C21" t="s">
        <v>3773</v>
      </c>
    </row>
    <row r="22" spans="1:3" x14ac:dyDescent="0.2">
      <c r="A22" s="14">
        <v>107865740</v>
      </c>
      <c r="B22" t="s">
        <v>3772</v>
      </c>
      <c r="C22" t="s">
        <v>3774</v>
      </c>
    </row>
    <row r="23" spans="1:3" x14ac:dyDescent="0.2">
      <c r="A23" s="14">
        <v>107865740</v>
      </c>
      <c r="B23" t="s">
        <v>3772</v>
      </c>
      <c r="C23" t="s">
        <v>3774</v>
      </c>
    </row>
    <row r="24" spans="1:3" x14ac:dyDescent="0.2">
      <c r="A24" s="14">
        <v>107865740</v>
      </c>
      <c r="B24" t="s">
        <v>3772</v>
      </c>
      <c r="C24" t="s">
        <v>3774</v>
      </c>
    </row>
    <row r="25" spans="1:3" x14ac:dyDescent="0.2">
      <c r="A25" s="14">
        <v>107865740</v>
      </c>
      <c r="B25" t="s">
        <v>3772</v>
      </c>
      <c r="C25" t="s">
        <v>3774</v>
      </c>
    </row>
    <row r="26" spans="1:3" x14ac:dyDescent="0.2">
      <c r="A26" s="14">
        <v>107865740</v>
      </c>
      <c r="B26" t="s">
        <v>3772</v>
      </c>
      <c r="C26" t="s">
        <v>3774</v>
      </c>
    </row>
    <row r="27" spans="1:3" x14ac:dyDescent="0.2">
      <c r="A27" s="14">
        <v>107865740</v>
      </c>
      <c r="B27" t="s">
        <v>3772</v>
      </c>
      <c r="C27" t="s">
        <v>3774</v>
      </c>
    </row>
    <row r="28" spans="1:3" x14ac:dyDescent="0.2">
      <c r="A28" s="14">
        <v>107865740</v>
      </c>
      <c r="B28" t="s">
        <v>3772</v>
      </c>
      <c r="C28" t="s">
        <v>3774</v>
      </c>
    </row>
    <row r="29" spans="1:3" x14ac:dyDescent="0.2">
      <c r="A29" s="14">
        <v>107865740</v>
      </c>
      <c r="B29" t="s">
        <v>3772</v>
      </c>
      <c r="C29" t="s">
        <v>3774</v>
      </c>
    </row>
    <row r="30" spans="1:3" x14ac:dyDescent="0.2">
      <c r="A30" s="14">
        <v>107865740</v>
      </c>
      <c r="B30" t="s">
        <v>3772</v>
      </c>
      <c r="C30" t="s">
        <v>3774</v>
      </c>
    </row>
    <row r="31" spans="1:3" x14ac:dyDescent="0.2">
      <c r="A31" s="14">
        <v>107865740</v>
      </c>
      <c r="B31" t="s">
        <v>3772</v>
      </c>
      <c r="C31" t="s">
        <v>3774</v>
      </c>
    </row>
    <row r="32" spans="1:3" x14ac:dyDescent="0.2">
      <c r="A32" s="14">
        <v>107865740</v>
      </c>
      <c r="B32" t="s">
        <v>3772</v>
      </c>
      <c r="C32" t="s">
        <v>3774</v>
      </c>
    </row>
    <row r="33" spans="1:3" x14ac:dyDescent="0.2">
      <c r="A33" s="14">
        <v>107865740</v>
      </c>
      <c r="B33" t="s">
        <v>3772</v>
      </c>
      <c r="C33" t="s">
        <v>3774</v>
      </c>
    </row>
    <row r="34" spans="1:3" x14ac:dyDescent="0.2">
      <c r="A34" s="14">
        <v>107865740</v>
      </c>
      <c r="B34" t="s">
        <v>3772</v>
      </c>
      <c r="C34" t="s">
        <v>3774</v>
      </c>
    </row>
    <row r="35" spans="1:3" x14ac:dyDescent="0.2">
      <c r="A35" s="14">
        <v>107865740</v>
      </c>
      <c r="B35" t="s">
        <v>3772</v>
      </c>
      <c r="C35" t="s">
        <v>3774</v>
      </c>
    </row>
    <row r="36" spans="1:3" x14ac:dyDescent="0.2">
      <c r="A36" s="14">
        <v>107865740</v>
      </c>
      <c r="B36" t="s">
        <v>3772</v>
      </c>
      <c r="C36" t="s">
        <v>3774</v>
      </c>
    </row>
    <row r="37" spans="1:3" x14ac:dyDescent="0.2">
      <c r="A37" s="14">
        <v>107865740</v>
      </c>
      <c r="B37" t="s">
        <v>3772</v>
      </c>
      <c r="C37" t="s">
        <v>3774</v>
      </c>
    </row>
    <row r="38" spans="1:3" x14ac:dyDescent="0.2">
      <c r="A38" s="14">
        <v>107865740</v>
      </c>
      <c r="B38" t="s">
        <v>3772</v>
      </c>
      <c r="C38" t="s">
        <v>3774</v>
      </c>
    </row>
    <row r="39" spans="1:3" x14ac:dyDescent="0.2">
      <c r="A39" s="14">
        <v>107865740</v>
      </c>
      <c r="B39" t="s">
        <v>3772</v>
      </c>
      <c r="C39" t="s">
        <v>3774</v>
      </c>
    </row>
    <row r="40" spans="1:3" x14ac:dyDescent="0.2">
      <c r="A40" s="14">
        <v>107865740</v>
      </c>
      <c r="B40" t="s">
        <v>3772</v>
      </c>
      <c r="C40" t="s">
        <v>3774</v>
      </c>
    </row>
    <row r="41" spans="1:3" x14ac:dyDescent="0.2">
      <c r="A41" s="14">
        <v>107865740</v>
      </c>
      <c r="B41" t="s">
        <v>3772</v>
      </c>
      <c r="C41" t="s">
        <v>3774</v>
      </c>
    </row>
    <row r="42" spans="1:3" x14ac:dyDescent="0.2">
      <c r="A42" s="14">
        <v>107865740</v>
      </c>
      <c r="B42" t="s">
        <v>3772</v>
      </c>
      <c r="C42" t="s">
        <v>3774</v>
      </c>
    </row>
    <row r="43" spans="1:3" x14ac:dyDescent="0.2">
      <c r="A43" s="14">
        <v>107865740</v>
      </c>
      <c r="B43" t="s">
        <v>3772</v>
      </c>
      <c r="C43" t="s">
        <v>3774</v>
      </c>
    </row>
    <row r="44" spans="1:3" x14ac:dyDescent="0.2">
      <c r="A44" s="14">
        <v>107865740</v>
      </c>
      <c r="B44" t="s">
        <v>3772</v>
      </c>
      <c r="C44" t="s">
        <v>3774</v>
      </c>
    </row>
    <row r="45" spans="1:3" x14ac:dyDescent="0.2">
      <c r="A45" s="14">
        <v>107865740</v>
      </c>
      <c r="B45" t="s">
        <v>3772</v>
      </c>
      <c r="C45" t="s">
        <v>3774</v>
      </c>
    </row>
    <row r="46" spans="1:3" x14ac:dyDescent="0.2">
      <c r="A46" s="14">
        <v>107865740</v>
      </c>
      <c r="B46" t="s">
        <v>3772</v>
      </c>
      <c r="C46" t="s">
        <v>3774</v>
      </c>
    </row>
    <row r="47" spans="1:3" x14ac:dyDescent="0.2">
      <c r="A47" s="14">
        <v>107865740</v>
      </c>
      <c r="B47" t="s">
        <v>3772</v>
      </c>
      <c r="C47" t="s">
        <v>3774</v>
      </c>
    </row>
    <row r="48" spans="1:3" x14ac:dyDescent="0.2">
      <c r="A48" s="14">
        <v>107865740</v>
      </c>
      <c r="B48" t="s">
        <v>3772</v>
      </c>
      <c r="C48" t="s">
        <v>3774</v>
      </c>
    </row>
    <row r="49" spans="1:3" x14ac:dyDescent="0.2">
      <c r="A49" s="14">
        <v>107865740</v>
      </c>
      <c r="B49" t="s">
        <v>3772</v>
      </c>
      <c r="C49" t="s">
        <v>3774</v>
      </c>
    </row>
    <row r="50" spans="1:3" x14ac:dyDescent="0.2">
      <c r="A50" s="14">
        <v>107865740</v>
      </c>
      <c r="B50" t="s">
        <v>3772</v>
      </c>
      <c r="C50" t="s">
        <v>3774</v>
      </c>
    </row>
    <row r="51" spans="1:3" x14ac:dyDescent="0.2">
      <c r="A51" s="14">
        <v>107865740</v>
      </c>
      <c r="B51" t="s">
        <v>3772</v>
      </c>
      <c r="C51" t="s">
        <v>3774</v>
      </c>
    </row>
    <row r="52" spans="1:3" x14ac:dyDescent="0.2">
      <c r="A52" s="14">
        <v>107865740</v>
      </c>
      <c r="B52" t="s">
        <v>3772</v>
      </c>
      <c r="C52" t="s">
        <v>3774</v>
      </c>
    </row>
    <row r="53" spans="1:3" x14ac:dyDescent="0.2">
      <c r="A53" s="14">
        <v>107865740</v>
      </c>
      <c r="B53" t="s">
        <v>3772</v>
      </c>
      <c r="C53" t="s">
        <v>3774</v>
      </c>
    </row>
    <row r="54" spans="1:3" x14ac:dyDescent="0.2">
      <c r="A54" s="14">
        <v>107865740</v>
      </c>
      <c r="B54" t="s">
        <v>3772</v>
      </c>
      <c r="C54" t="s">
        <v>3774</v>
      </c>
    </row>
    <row r="55" spans="1:3" x14ac:dyDescent="0.2">
      <c r="A55" s="14">
        <v>107865740</v>
      </c>
      <c r="B55" t="s">
        <v>3772</v>
      </c>
      <c r="C55" t="s">
        <v>3774</v>
      </c>
    </row>
    <row r="56" spans="1:3" x14ac:dyDescent="0.2">
      <c r="A56" s="14">
        <v>107865740</v>
      </c>
      <c r="B56" t="s">
        <v>3772</v>
      </c>
      <c r="C56" t="s">
        <v>3774</v>
      </c>
    </row>
    <row r="57" spans="1:3" x14ac:dyDescent="0.2">
      <c r="A57" s="14">
        <v>107865740</v>
      </c>
      <c r="B57" t="s">
        <v>3772</v>
      </c>
      <c r="C57" t="s">
        <v>3774</v>
      </c>
    </row>
    <row r="58" spans="1:3" x14ac:dyDescent="0.2">
      <c r="A58" s="14">
        <v>107865740</v>
      </c>
      <c r="B58" t="s">
        <v>3772</v>
      </c>
      <c r="C58" t="s">
        <v>3774</v>
      </c>
    </row>
    <row r="59" spans="1:3" x14ac:dyDescent="0.2">
      <c r="A59" s="14">
        <v>107865740</v>
      </c>
      <c r="B59" t="s">
        <v>3772</v>
      </c>
      <c r="C59" t="s">
        <v>3774</v>
      </c>
    </row>
    <row r="60" spans="1:3" x14ac:dyDescent="0.2">
      <c r="A60" s="14">
        <v>107865740</v>
      </c>
      <c r="B60" t="s">
        <v>3772</v>
      </c>
      <c r="C60" t="s">
        <v>3774</v>
      </c>
    </row>
    <row r="61" spans="1:3" x14ac:dyDescent="0.2">
      <c r="A61" s="14">
        <v>107865740</v>
      </c>
      <c r="B61" t="s">
        <v>3772</v>
      </c>
      <c r="C61" t="s">
        <v>3774</v>
      </c>
    </row>
    <row r="62" spans="1:3" x14ac:dyDescent="0.2">
      <c r="A62" s="14">
        <v>107865740</v>
      </c>
      <c r="B62" t="s">
        <v>3772</v>
      </c>
      <c r="C62" t="s">
        <v>3774</v>
      </c>
    </row>
    <row r="63" spans="1:3" x14ac:dyDescent="0.2">
      <c r="A63" s="14">
        <v>107865740</v>
      </c>
      <c r="B63" t="s">
        <v>3772</v>
      </c>
      <c r="C63" t="s">
        <v>3774</v>
      </c>
    </row>
    <row r="64" spans="1:3" x14ac:dyDescent="0.2">
      <c r="A64" s="14">
        <v>107865740</v>
      </c>
      <c r="B64" t="s">
        <v>3772</v>
      </c>
      <c r="C64" t="s">
        <v>3774</v>
      </c>
    </row>
    <row r="65" spans="1:3" x14ac:dyDescent="0.2">
      <c r="A65" s="14">
        <v>107865740</v>
      </c>
      <c r="B65" t="s">
        <v>3772</v>
      </c>
      <c r="C65" t="s">
        <v>3774</v>
      </c>
    </row>
    <row r="66" spans="1:3" x14ac:dyDescent="0.2">
      <c r="A66" s="14">
        <v>107865740</v>
      </c>
      <c r="B66" t="s">
        <v>3772</v>
      </c>
      <c r="C66" t="s">
        <v>3774</v>
      </c>
    </row>
    <row r="67" spans="1:3" x14ac:dyDescent="0.2">
      <c r="A67" s="14">
        <v>107865740</v>
      </c>
      <c r="B67" t="s">
        <v>3772</v>
      </c>
      <c r="C67" t="s">
        <v>3774</v>
      </c>
    </row>
    <row r="68" spans="1:3" x14ac:dyDescent="0.2">
      <c r="A68" s="14">
        <v>107865740</v>
      </c>
      <c r="B68" t="s">
        <v>3772</v>
      </c>
      <c r="C68" t="s">
        <v>3774</v>
      </c>
    </row>
    <row r="69" spans="1:3" x14ac:dyDescent="0.2">
      <c r="A69" s="14">
        <v>107865740</v>
      </c>
      <c r="B69" t="s">
        <v>3772</v>
      </c>
      <c r="C69" t="s">
        <v>3774</v>
      </c>
    </row>
    <row r="70" spans="1:3" x14ac:dyDescent="0.2">
      <c r="A70" s="14">
        <v>107865740</v>
      </c>
      <c r="B70" t="s">
        <v>3772</v>
      </c>
      <c r="C70" t="s">
        <v>3774</v>
      </c>
    </row>
    <row r="71" spans="1:3" x14ac:dyDescent="0.2">
      <c r="A71" s="14">
        <v>107865740</v>
      </c>
      <c r="B71" t="s">
        <v>3772</v>
      </c>
      <c r="C71" t="s">
        <v>3774</v>
      </c>
    </row>
    <row r="72" spans="1:3" x14ac:dyDescent="0.2">
      <c r="A72" s="14">
        <v>107865740</v>
      </c>
      <c r="B72" t="s">
        <v>3772</v>
      </c>
      <c r="C72" t="s">
        <v>3774</v>
      </c>
    </row>
    <row r="73" spans="1:3" x14ac:dyDescent="0.2">
      <c r="A73" s="14">
        <v>107865740</v>
      </c>
      <c r="B73" t="s">
        <v>3772</v>
      </c>
      <c r="C73" t="s">
        <v>3774</v>
      </c>
    </row>
    <row r="74" spans="1:3" x14ac:dyDescent="0.2">
      <c r="A74" s="14">
        <v>107865740</v>
      </c>
      <c r="B74" t="s">
        <v>3772</v>
      </c>
      <c r="C74" t="s">
        <v>3774</v>
      </c>
    </row>
    <row r="75" spans="1:3" x14ac:dyDescent="0.2">
      <c r="A75" s="14">
        <v>107865740</v>
      </c>
      <c r="B75" t="s">
        <v>3772</v>
      </c>
      <c r="C75" t="s">
        <v>3774</v>
      </c>
    </row>
    <row r="76" spans="1:3" x14ac:dyDescent="0.2">
      <c r="A76" s="14">
        <v>107865740</v>
      </c>
      <c r="B76" t="s">
        <v>3772</v>
      </c>
      <c r="C76" t="s">
        <v>3774</v>
      </c>
    </row>
    <row r="77" spans="1:3" x14ac:dyDescent="0.2">
      <c r="A77" s="14">
        <v>107865740</v>
      </c>
      <c r="B77" t="s">
        <v>3772</v>
      </c>
      <c r="C77" t="s">
        <v>3774</v>
      </c>
    </row>
    <row r="78" spans="1:3" x14ac:dyDescent="0.2">
      <c r="A78" s="14">
        <v>107865740</v>
      </c>
      <c r="B78" t="s">
        <v>3772</v>
      </c>
      <c r="C78" t="s">
        <v>3774</v>
      </c>
    </row>
    <row r="79" spans="1:3" x14ac:dyDescent="0.2">
      <c r="A79" s="14">
        <v>107865740</v>
      </c>
      <c r="B79" t="s">
        <v>3772</v>
      </c>
      <c r="C79" t="s">
        <v>3774</v>
      </c>
    </row>
    <row r="80" spans="1:3" x14ac:dyDescent="0.2">
      <c r="A80" s="14">
        <v>107865740</v>
      </c>
      <c r="B80" t="s">
        <v>3772</v>
      </c>
      <c r="C80" t="s">
        <v>3774</v>
      </c>
    </row>
    <row r="81" spans="1:3" x14ac:dyDescent="0.2">
      <c r="A81" s="14">
        <v>107865740</v>
      </c>
      <c r="B81" t="s">
        <v>3772</v>
      </c>
      <c r="C81" t="s">
        <v>3774</v>
      </c>
    </row>
    <row r="82" spans="1:3" x14ac:dyDescent="0.2">
      <c r="A82" s="14">
        <v>107865740</v>
      </c>
      <c r="B82" t="s">
        <v>3772</v>
      </c>
      <c r="C82" t="s">
        <v>3774</v>
      </c>
    </row>
    <row r="83" spans="1:3" x14ac:dyDescent="0.2">
      <c r="A83" s="14">
        <v>107865740</v>
      </c>
      <c r="B83" t="s">
        <v>3772</v>
      </c>
      <c r="C83" t="s">
        <v>3774</v>
      </c>
    </row>
    <row r="84" spans="1:3" x14ac:dyDescent="0.2">
      <c r="A84" s="14">
        <v>107865740</v>
      </c>
      <c r="B84" t="s">
        <v>3772</v>
      </c>
      <c r="C84" t="s">
        <v>3774</v>
      </c>
    </row>
    <row r="85" spans="1:3" x14ac:dyDescent="0.2">
      <c r="A85" s="14">
        <v>107865740</v>
      </c>
      <c r="B85" t="s">
        <v>3772</v>
      </c>
      <c r="C85" t="s">
        <v>3774</v>
      </c>
    </row>
    <row r="86" spans="1:3" x14ac:dyDescent="0.2">
      <c r="A86" s="14">
        <v>107865740</v>
      </c>
      <c r="B86" t="s">
        <v>3772</v>
      </c>
      <c r="C86" t="s">
        <v>3774</v>
      </c>
    </row>
    <row r="87" spans="1:3" x14ac:dyDescent="0.2">
      <c r="A87" s="14">
        <v>107865740</v>
      </c>
      <c r="B87" t="s">
        <v>3772</v>
      </c>
      <c r="C87" t="s">
        <v>3774</v>
      </c>
    </row>
    <row r="88" spans="1:3" x14ac:dyDescent="0.2">
      <c r="A88" s="14">
        <v>107865740</v>
      </c>
      <c r="B88" t="s">
        <v>3772</v>
      </c>
      <c r="C88" t="s">
        <v>3774</v>
      </c>
    </row>
    <row r="89" spans="1:3" x14ac:dyDescent="0.2">
      <c r="A89" s="14">
        <v>107865740</v>
      </c>
      <c r="B89" t="s">
        <v>3772</v>
      </c>
      <c r="C89" t="s">
        <v>3774</v>
      </c>
    </row>
    <row r="90" spans="1:3" x14ac:dyDescent="0.2">
      <c r="A90" s="14">
        <v>107865740</v>
      </c>
      <c r="B90" t="s">
        <v>3772</v>
      </c>
      <c r="C90" t="s">
        <v>3774</v>
      </c>
    </row>
    <row r="91" spans="1:3" x14ac:dyDescent="0.2">
      <c r="A91" s="14">
        <v>107865740</v>
      </c>
      <c r="B91" t="s">
        <v>3772</v>
      </c>
      <c r="C91" t="s">
        <v>3774</v>
      </c>
    </row>
    <row r="92" spans="1:3" x14ac:dyDescent="0.2">
      <c r="A92" s="14">
        <v>107865740</v>
      </c>
      <c r="B92" t="s">
        <v>3772</v>
      </c>
      <c r="C92" t="s">
        <v>3774</v>
      </c>
    </row>
    <row r="93" spans="1:3" x14ac:dyDescent="0.2">
      <c r="A93" s="14">
        <v>107865740</v>
      </c>
      <c r="B93" t="s">
        <v>3772</v>
      </c>
      <c r="C93" t="s">
        <v>3774</v>
      </c>
    </row>
    <row r="94" spans="1:3" x14ac:dyDescent="0.2">
      <c r="A94" s="14">
        <v>107865740</v>
      </c>
      <c r="B94" t="s">
        <v>3772</v>
      </c>
      <c r="C94" t="s">
        <v>3774</v>
      </c>
    </row>
    <row r="95" spans="1:3" x14ac:dyDescent="0.2">
      <c r="A95" s="14">
        <v>107865740</v>
      </c>
      <c r="B95" t="s">
        <v>3772</v>
      </c>
      <c r="C95" t="s">
        <v>3774</v>
      </c>
    </row>
    <row r="96" spans="1:3" x14ac:dyDescent="0.2">
      <c r="A96" s="14">
        <v>107865740</v>
      </c>
      <c r="B96" t="s">
        <v>3772</v>
      </c>
      <c r="C96" t="s">
        <v>3774</v>
      </c>
    </row>
    <row r="97" spans="1:3" x14ac:dyDescent="0.2">
      <c r="A97" s="14">
        <v>107865740</v>
      </c>
      <c r="B97" t="s">
        <v>3772</v>
      </c>
      <c r="C97" t="s">
        <v>3774</v>
      </c>
    </row>
    <row r="98" spans="1:3" x14ac:dyDescent="0.2">
      <c r="A98" s="14">
        <v>107865740</v>
      </c>
      <c r="B98" t="s">
        <v>3772</v>
      </c>
      <c r="C98" t="s">
        <v>3774</v>
      </c>
    </row>
    <row r="99" spans="1:3" x14ac:dyDescent="0.2">
      <c r="A99" s="14">
        <v>107865740</v>
      </c>
      <c r="B99" t="s">
        <v>3772</v>
      </c>
      <c r="C99" t="s">
        <v>3774</v>
      </c>
    </row>
    <row r="100" spans="1:3" x14ac:dyDescent="0.2">
      <c r="A100" s="14">
        <v>107865740</v>
      </c>
      <c r="B100" t="s">
        <v>3772</v>
      </c>
      <c r="C100" t="s">
        <v>3774</v>
      </c>
    </row>
    <row r="101" spans="1:3" x14ac:dyDescent="0.2">
      <c r="A101" s="14">
        <v>107865740</v>
      </c>
      <c r="B101" t="s">
        <v>3772</v>
      </c>
      <c r="C101" t="s">
        <v>3774</v>
      </c>
    </row>
    <row r="102" spans="1:3" x14ac:dyDescent="0.2">
      <c r="A102" s="14">
        <v>107865740</v>
      </c>
      <c r="B102" t="s">
        <v>3772</v>
      </c>
      <c r="C102" t="s">
        <v>3774</v>
      </c>
    </row>
    <row r="103" spans="1:3" x14ac:dyDescent="0.2">
      <c r="A103" s="14">
        <v>107865740</v>
      </c>
      <c r="B103" t="s">
        <v>3772</v>
      </c>
      <c r="C103" t="s">
        <v>3774</v>
      </c>
    </row>
    <row r="104" spans="1:3" x14ac:dyDescent="0.2">
      <c r="A104" s="14">
        <v>107865740</v>
      </c>
      <c r="B104" t="s">
        <v>3772</v>
      </c>
      <c r="C104" t="s">
        <v>3774</v>
      </c>
    </row>
    <row r="105" spans="1:3" x14ac:dyDescent="0.2">
      <c r="A105" s="14">
        <v>107865740</v>
      </c>
      <c r="B105" t="s">
        <v>3772</v>
      </c>
      <c r="C105" t="s">
        <v>3774</v>
      </c>
    </row>
    <row r="106" spans="1:3" x14ac:dyDescent="0.2">
      <c r="A106" s="14">
        <v>107865740</v>
      </c>
      <c r="B106" t="s">
        <v>3772</v>
      </c>
      <c r="C106" t="s">
        <v>3774</v>
      </c>
    </row>
    <row r="107" spans="1:3" x14ac:dyDescent="0.2">
      <c r="A107" s="14">
        <v>107865740</v>
      </c>
      <c r="B107" t="s">
        <v>3772</v>
      </c>
      <c r="C107" t="s">
        <v>3774</v>
      </c>
    </row>
    <row r="108" spans="1:3" x14ac:dyDescent="0.2">
      <c r="A108" s="14">
        <v>107865740</v>
      </c>
      <c r="B108" t="s">
        <v>3772</v>
      </c>
      <c r="C108" t="s">
        <v>3774</v>
      </c>
    </row>
    <row r="109" spans="1:3" x14ac:dyDescent="0.2">
      <c r="A109" s="14">
        <v>107865749</v>
      </c>
      <c r="B109" t="s">
        <v>3772</v>
      </c>
      <c r="C109" t="s">
        <v>3775</v>
      </c>
    </row>
    <row r="110" spans="1:3" x14ac:dyDescent="0.2">
      <c r="A110" s="14">
        <v>107865749</v>
      </c>
      <c r="B110" t="s">
        <v>3772</v>
      </c>
      <c r="C110" t="s">
        <v>3775</v>
      </c>
    </row>
    <row r="111" spans="1:3" x14ac:dyDescent="0.2">
      <c r="A111" s="14">
        <v>107865749</v>
      </c>
      <c r="B111" t="s">
        <v>3772</v>
      </c>
      <c r="C111" t="s">
        <v>3775</v>
      </c>
    </row>
    <row r="112" spans="1:3" x14ac:dyDescent="0.2">
      <c r="A112" s="14">
        <v>107865749</v>
      </c>
      <c r="B112" t="s">
        <v>3772</v>
      </c>
      <c r="C112" t="s">
        <v>3775</v>
      </c>
    </row>
    <row r="113" spans="1:3" x14ac:dyDescent="0.2">
      <c r="A113" s="14">
        <v>107865749</v>
      </c>
      <c r="B113" t="s">
        <v>3772</v>
      </c>
      <c r="C113" t="s">
        <v>3775</v>
      </c>
    </row>
    <row r="114" spans="1:3" x14ac:dyDescent="0.2">
      <c r="A114" s="14">
        <v>107865749</v>
      </c>
      <c r="B114" t="s">
        <v>3772</v>
      </c>
      <c r="C114" t="s">
        <v>3775</v>
      </c>
    </row>
    <row r="115" spans="1:3" x14ac:dyDescent="0.2">
      <c r="A115" s="14">
        <v>107865749</v>
      </c>
      <c r="B115" t="s">
        <v>3772</v>
      </c>
      <c r="C115" t="s">
        <v>3775</v>
      </c>
    </row>
    <row r="116" spans="1:3" x14ac:dyDescent="0.2">
      <c r="A116" s="14">
        <v>107865749</v>
      </c>
      <c r="B116" t="s">
        <v>3772</v>
      </c>
      <c r="C116" t="s">
        <v>3775</v>
      </c>
    </row>
    <row r="117" spans="1:3" x14ac:dyDescent="0.2">
      <c r="A117" s="14">
        <v>107865749</v>
      </c>
      <c r="B117" t="s">
        <v>3772</v>
      </c>
      <c r="C117" t="s">
        <v>3775</v>
      </c>
    </row>
    <row r="118" spans="1:3" x14ac:dyDescent="0.2">
      <c r="A118" s="14">
        <v>107865749</v>
      </c>
      <c r="B118" t="s">
        <v>3772</v>
      </c>
      <c r="C118" t="s">
        <v>3775</v>
      </c>
    </row>
    <row r="119" spans="1:3" x14ac:dyDescent="0.2">
      <c r="A119" s="14">
        <v>107865749</v>
      </c>
      <c r="B119" t="s">
        <v>3772</v>
      </c>
      <c r="C119" t="s">
        <v>3775</v>
      </c>
    </row>
    <row r="120" spans="1:3" x14ac:dyDescent="0.2">
      <c r="A120" s="14">
        <v>107865749</v>
      </c>
      <c r="B120" t="s">
        <v>3772</v>
      </c>
      <c r="C120" t="s">
        <v>3775</v>
      </c>
    </row>
    <row r="121" spans="1:3" x14ac:dyDescent="0.2">
      <c r="A121" s="14">
        <v>107865749</v>
      </c>
      <c r="B121" t="s">
        <v>3772</v>
      </c>
      <c r="C121" t="s">
        <v>3775</v>
      </c>
    </row>
    <row r="122" spans="1:3" x14ac:dyDescent="0.2">
      <c r="A122" s="14">
        <v>107865749</v>
      </c>
      <c r="B122" t="s">
        <v>3772</v>
      </c>
      <c r="C122" t="s">
        <v>3775</v>
      </c>
    </row>
    <row r="123" spans="1:3" x14ac:dyDescent="0.2">
      <c r="A123" s="14">
        <v>107865749</v>
      </c>
      <c r="B123" t="s">
        <v>3772</v>
      </c>
      <c r="C123" t="s">
        <v>3775</v>
      </c>
    </row>
    <row r="124" spans="1:3" x14ac:dyDescent="0.2">
      <c r="A124" s="14">
        <v>107865749</v>
      </c>
      <c r="B124" t="s">
        <v>3772</v>
      </c>
      <c r="C124" t="s">
        <v>3775</v>
      </c>
    </row>
    <row r="125" spans="1:3" x14ac:dyDescent="0.2">
      <c r="A125" s="14">
        <v>107865749</v>
      </c>
      <c r="B125" t="s">
        <v>3772</v>
      </c>
      <c r="C125" t="s">
        <v>3775</v>
      </c>
    </row>
    <row r="126" spans="1:3" x14ac:dyDescent="0.2">
      <c r="A126" s="14">
        <v>107865749</v>
      </c>
      <c r="B126" t="s">
        <v>3772</v>
      </c>
      <c r="C126" t="s">
        <v>3775</v>
      </c>
    </row>
    <row r="127" spans="1:3" x14ac:dyDescent="0.2">
      <c r="A127" s="14">
        <v>107865749</v>
      </c>
      <c r="B127" t="s">
        <v>3772</v>
      </c>
      <c r="C127" t="s">
        <v>3775</v>
      </c>
    </row>
    <row r="128" spans="1:3" x14ac:dyDescent="0.2">
      <c r="A128" s="14">
        <v>107865749</v>
      </c>
      <c r="B128" t="s">
        <v>3772</v>
      </c>
      <c r="C128" t="s">
        <v>3775</v>
      </c>
    </row>
    <row r="129" spans="1:3" x14ac:dyDescent="0.2">
      <c r="A129" s="14">
        <v>107865749</v>
      </c>
      <c r="B129" t="s">
        <v>3772</v>
      </c>
      <c r="C129" t="s">
        <v>3775</v>
      </c>
    </row>
    <row r="130" spans="1:3" x14ac:dyDescent="0.2">
      <c r="A130" s="14">
        <v>107865749</v>
      </c>
      <c r="B130" t="s">
        <v>3772</v>
      </c>
      <c r="C130" t="s">
        <v>3775</v>
      </c>
    </row>
    <row r="131" spans="1:3" x14ac:dyDescent="0.2">
      <c r="A131" s="14">
        <v>107865749</v>
      </c>
      <c r="B131" t="s">
        <v>3772</v>
      </c>
      <c r="C131" t="s">
        <v>3775</v>
      </c>
    </row>
    <row r="132" spans="1:3" x14ac:dyDescent="0.2">
      <c r="A132" s="14">
        <v>107865749</v>
      </c>
      <c r="B132" t="s">
        <v>3772</v>
      </c>
      <c r="C132" t="s">
        <v>3775</v>
      </c>
    </row>
    <row r="133" spans="1:3" x14ac:dyDescent="0.2">
      <c r="A133" s="14">
        <v>107865749</v>
      </c>
      <c r="B133" t="s">
        <v>3772</v>
      </c>
      <c r="C133" t="s">
        <v>3775</v>
      </c>
    </row>
    <row r="134" spans="1:3" x14ac:dyDescent="0.2">
      <c r="A134" s="14">
        <v>107865749</v>
      </c>
      <c r="B134" t="s">
        <v>3772</v>
      </c>
      <c r="C134" t="s">
        <v>3775</v>
      </c>
    </row>
    <row r="135" spans="1:3" x14ac:dyDescent="0.2">
      <c r="A135" s="14">
        <v>107865749</v>
      </c>
      <c r="B135" t="s">
        <v>3772</v>
      </c>
      <c r="C135" t="s">
        <v>3775</v>
      </c>
    </row>
    <row r="136" spans="1:3" x14ac:dyDescent="0.2">
      <c r="A136" s="14">
        <v>107865749</v>
      </c>
      <c r="B136" t="s">
        <v>3772</v>
      </c>
      <c r="C136" t="s">
        <v>3775</v>
      </c>
    </row>
    <row r="137" spans="1:3" x14ac:dyDescent="0.2">
      <c r="A137" s="14">
        <v>107865749</v>
      </c>
      <c r="B137" t="s">
        <v>3772</v>
      </c>
      <c r="C137" t="s">
        <v>3775</v>
      </c>
    </row>
    <row r="138" spans="1:3" x14ac:dyDescent="0.2">
      <c r="A138" s="14">
        <v>107865749</v>
      </c>
      <c r="B138" t="s">
        <v>3772</v>
      </c>
      <c r="C138" t="s">
        <v>3775</v>
      </c>
    </row>
    <row r="139" spans="1:3" x14ac:dyDescent="0.2">
      <c r="A139" s="14">
        <v>107865749</v>
      </c>
      <c r="B139" t="s">
        <v>3772</v>
      </c>
      <c r="C139" t="s">
        <v>3775</v>
      </c>
    </row>
    <row r="140" spans="1:3" x14ac:dyDescent="0.2">
      <c r="A140" s="14">
        <v>107865749</v>
      </c>
      <c r="B140" t="s">
        <v>3772</v>
      </c>
      <c r="C140" t="s">
        <v>3775</v>
      </c>
    </row>
    <row r="141" spans="1:3" x14ac:dyDescent="0.2">
      <c r="A141" s="14">
        <v>107865749</v>
      </c>
      <c r="B141" t="s">
        <v>3772</v>
      </c>
      <c r="C141" t="s">
        <v>3775</v>
      </c>
    </row>
    <row r="142" spans="1:3" x14ac:dyDescent="0.2">
      <c r="A142" s="14">
        <v>107865749</v>
      </c>
      <c r="B142" t="s">
        <v>3772</v>
      </c>
      <c r="C142" t="s">
        <v>3775</v>
      </c>
    </row>
    <row r="143" spans="1:3" x14ac:dyDescent="0.2">
      <c r="A143" s="14">
        <v>107865749</v>
      </c>
      <c r="B143" t="s">
        <v>3772</v>
      </c>
      <c r="C143" t="s">
        <v>3775</v>
      </c>
    </row>
    <row r="144" spans="1:3" x14ac:dyDescent="0.2">
      <c r="A144" s="14">
        <v>107865749</v>
      </c>
      <c r="B144" t="s">
        <v>3772</v>
      </c>
      <c r="C144" t="s">
        <v>3775</v>
      </c>
    </row>
    <row r="145" spans="1:3" x14ac:dyDescent="0.2">
      <c r="A145" s="14">
        <v>107865749</v>
      </c>
      <c r="B145" t="s">
        <v>3772</v>
      </c>
      <c r="C145" t="s">
        <v>3775</v>
      </c>
    </row>
    <row r="146" spans="1:3" x14ac:dyDescent="0.2">
      <c r="A146" s="14">
        <v>107865749</v>
      </c>
      <c r="B146" t="s">
        <v>3772</v>
      </c>
      <c r="C146" t="s">
        <v>3775</v>
      </c>
    </row>
    <row r="147" spans="1:3" x14ac:dyDescent="0.2">
      <c r="A147" s="14">
        <v>107874335</v>
      </c>
      <c r="B147" t="s">
        <v>3772</v>
      </c>
      <c r="C147" t="s">
        <v>3776</v>
      </c>
    </row>
    <row r="148" spans="1:3" x14ac:dyDescent="0.2">
      <c r="A148" s="14">
        <v>107874335</v>
      </c>
      <c r="B148" t="s">
        <v>3772</v>
      </c>
      <c r="C148" t="s">
        <v>3776</v>
      </c>
    </row>
    <row r="149" spans="1:3" x14ac:dyDescent="0.2">
      <c r="A149" s="14">
        <v>107874335</v>
      </c>
      <c r="B149" t="s">
        <v>3772</v>
      </c>
      <c r="C149" t="s">
        <v>3776</v>
      </c>
    </row>
    <row r="150" spans="1:3" x14ac:dyDescent="0.2">
      <c r="A150" s="14">
        <v>107877777</v>
      </c>
      <c r="B150" t="s">
        <v>3772</v>
      </c>
      <c r="C150" t="s">
        <v>3777</v>
      </c>
    </row>
    <row r="151" spans="1:3" x14ac:dyDescent="0.2">
      <c r="A151" s="14">
        <v>107877777</v>
      </c>
      <c r="B151" t="s">
        <v>3772</v>
      </c>
      <c r="C151" t="s">
        <v>3777</v>
      </c>
    </row>
    <row r="152" spans="1:3" x14ac:dyDescent="0.2">
      <c r="A152" s="14">
        <v>107877777</v>
      </c>
      <c r="B152" t="s">
        <v>3772</v>
      </c>
      <c r="C152" t="s">
        <v>3777</v>
      </c>
    </row>
    <row r="153" spans="1:3" x14ac:dyDescent="0.2">
      <c r="A153" s="14">
        <v>107877777</v>
      </c>
      <c r="B153" t="s">
        <v>3772</v>
      </c>
      <c r="C153" t="s">
        <v>3777</v>
      </c>
    </row>
    <row r="154" spans="1:3" x14ac:dyDescent="0.2">
      <c r="A154" s="14">
        <v>107877777</v>
      </c>
      <c r="B154" t="s">
        <v>3772</v>
      </c>
      <c r="C154" t="s">
        <v>3777</v>
      </c>
    </row>
    <row r="155" spans="1:3" x14ac:dyDescent="0.2">
      <c r="A155" s="14">
        <v>107877777</v>
      </c>
      <c r="B155" t="s">
        <v>3772</v>
      </c>
      <c r="C155" t="s">
        <v>3777</v>
      </c>
    </row>
    <row r="156" spans="1:3" x14ac:dyDescent="0.2">
      <c r="A156" s="14">
        <v>107877777</v>
      </c>
      <c r="B156" t="s">
        <v>3772</v>
      </c>
      <c r="C156" t="s">
        <v>3777</v>
      </c>
    </row>
    <row r="157" spans="1:3" x14ac:dyDescent="0.2">
      <c r="A157" s="14">
        <v>107877777</v>
      </c>
      <c r="B157" t="s">
        <v>3772</v>
      </c>
      <c r="C157" t="s">
        <v>3777</v>
      </c>
    </row>
    <row r="158" spans="1:3" x14ac:dyDescent="0.2">
      <c r="A158" s="14">
        <v>107877777</v>
      </c>
      <c r="B158" t="s">
        <v>3772</v>
      </c>
      <c r="C158" t="s">
        <v>3777</v>
      </c>
    </row>
    <row r="159" spans="1:3" x14ac:dyDescent="0.2">
      <c r="A159" s="14">
        <v>107877777</v>
      </c>
      <c r="B159" t="s">
        <v>3772</v>
      </c>
      <c r="C159" t="s">
        <v>3777</v>
      </c>
    </row>
    <row r="160" spans="1:3" x14ac:dyDescent="0.2">
      <c r="A160" s="14">
        <v>107877777</v>
      </c>
      <c r="B160" t="s">
        <v>3772</v>
      </c>
      <c r="C160" t="s">
        <v>3777</v>
      </c>
    </row>
    <row r="161" spans="1:3" x14ac:dyDescent="0.2">
      <c r="A161" s="14">
        <v>107877777</v>
      </c>
      <c r="B161" t="s">
        <v>3772</v>
      </c>
      <c r="C161" t="s">
        <v>3777</v>
      </c>
    </row>
    <row r="162" spans="1:3" x14ac:dyDescent="0.2">
      <c r="A162" s="14">
        <v>107877777</v>
      </c>
      <c r="B162" t="s">
        <v>3772</v>
      </c>
      <c r="C162" t="s">
        <v>3777</v>
      </c>
    </row>
    <row r="163" spans="1:3" x14ac:dyDescent="0.2">
      <c r="A163" s="14">
        <v>107877777</v>
      </c>
      <c r="B163" t="s">
        <v>3772</v>
      </c>
      <c r="C163" t="s">
        <v>3777</v>
      </c>
    </row>
    <row r="164" spans="1:3" x14ac:dyDescent="0.2">
      <c r="A164" s="14">
        <v>107877777</v>
      </c>
      <c r="B164" t="s">
        <v>3772</v>
      </c>
      <c r="C164" t="s">
        <v>3777</v>
      </c>
    </row>
    <row r="165" spans="1:3" x14ac:dyDescent="0.2">
      <c r="A165" s="14">
        <v>107877777</v>
      </c>
      <c r="B165" t="s">
        <v>3772</v>
      </c>
      <c r="C165" t="s">
        <v>3777</v>
      </c>
    </row>
    <row r="166" spans="1:3" x14ac:dyDescent="0.2">
      <c r="A166" s="14">
        <v>107877777</v>
      </c>
      <c r="B166" t="s">
        <v>3772</v>
      </c>
      <c r="C166" t="s">
        <v>3777</v>
      </c>
    </row>
    <row r="167" spans="1:3" x14ac:dyDescent="0.2">
      <c r="A167" s="14">
        <v>107877777</v>
      </c>
      <c r="B167" t="s">
        <v>3772</v>
      </c>
      <c r="C167" t="s">
        <v>3777</v>
      </c>
    </row>
    <row r="168" spans="1:3" x14ac:dyDescent="0.2">
      <c r="A168" s="14">
        <v>107877777</v>
      </c>
      <c r="B168" t="s">
        <v>3772</v>
      </c>
      <c r="C168" t="s">
        <v>3777</v>
      </c>
    </row>
    <row r="169" spans="1:3" x14ac:dyDescent="0.2">
      <c r="A169" s="14">
        <v>107877777</v>
      </c>
      <c r="B169" t="s">
        <v>3772</v>
      </c>
      <c r="C169" t="s">
        <v>3777</v>
      </c>
    </row>
    <row r="170" spans="1:3" x14ac:dyDescent="0.2">
      <c r="A170" s="14">
        <v>107877777</v>
      </c>
      <c r="B170" t="s">
        <v>3772</v>
      </c>
      <c r="C170" t="s">
        <v>3777</v>
      </c>
    </row>
    <row r="171" spans="1:3" x14ac:dyDescent="0.2">
      <c r="A171" s="14">
        <v>107877777</v>
      </c>
      <c r="B171" t="s">
        <v>3772</v>
      </c>
      <c r="C171" t="s">
        <v>3777</v>
      </c>
    </row>
    <row r="172" spans="1:3" x14ac:dyDescent="0.2">
      <c r="A172" s="14">
        <v>107877777</v>
      </c>
      <c r="B172" t="s">
        <v>3772</v>
      </c>
      <c r="C172" t="s">
        <v>3777</v>
      </c>
    </row>
    <row r="173" spans="1:3" x14ac:dyDescent="0.2">
      <c r="A173" s="14">
        <v>107877777</v>
      </c>
      <c r="B173" t="s">
        <v>3772</v>
      </c>
      <c r="C173" t="s">
        <v>3777</v>
      </c>
    </row>
    <row r="174" spans="1:3" x14ac:dyDescent="0.2">
      <c r="A174" s="14">
        <v>107877777</v>
      </c>
      <c r="B174" t="s">
        <v>3772</v>
      </c>
      <c r="C174" t="s">
        <v>3777</v>
      </c>
    </row>
    <row r="175" spans="1:3" x14ac:dyDescent="0.2">
      <c r="A175" s="14">
        <v>107877777</v>
      </c>
      <c r="B175" t="s">
        <v>3772</v>
      </c>
      <c r="C175" t="s">
        <v>3777</v>
      </c>
    </row>
    <row r="176" spans="1:3" x14ac:dyDescent="0.2">
      <c r="A176" s="14">
        <v>107877777</v>
      </c>
      <c r="B176" t="s">
        <v>3772</v>
      </c>
      <c r="C176" t="s">
        <v>3777</v>
      </c>
    </row>
    <row r="177" spans="1:3" x14ac:dyDescent="0.2">
      <c r="A177" s="14">
        <v>107877777</v>
      </c>
      <c r="B177" t="s">
        <v>3772</v>
      </c>
      <c r="C177" t="s">
        <v>3777</v>
      </c>
    </row>
    <row r="178" spans="1:3" x14ac:dyDescent="0.2">
      <c r="A178" s="14">
        <v>107877777</v>
      </c>
      <c r="B178" t="s">
        <v>3772</v>
      </c>
      <c r="C178" t="s">
        <v>3777</v>
      </c>
    </row>
    <row r="179" spans="1:3" x14ac:dyDescent="0.2">
      <c r="A179" s="14">
        <v>107877777</v>
      </c>
      <c r="B179" t="s">
        <v>3772</v>
      </c>
      <c r="C179" t="s">
        <v>3777</v>
      </c>
    </row>
    <row r="180" spans="1:3" x14ac:dyDescent="0.2">
      <c r="A180" s="14">
        <v>107877777</v>
      </c>
      <c r="B180" t="s">
        <v>3772</v>
      </c>
      <c r="C180" t="s">
        <v>3777</v>
      </c>
    </row>
    <row r="181" spans="1:3" x14ac:dyDescent="0.2">
      <c r="A181" s="14">
        <v>107877777</v>
      </c>
      <c r="B181" t="s">
        <v>3772</v>
      </c>
      <c r="C181" t="s">
        <v>3777</v>
      </c>
    </row>
    <row r="182" spans="1:3" x14ac:dyDescent="0.2">
      <c r="A182" s="14">
        <v>107877777</v>
      </c>
      <c r="B182" t="s">
        <v>3772</v>
      </c>
      <c r="C182" t="s">
        <v>3777</v>
      </c>
    </row>
    <row r="183" spans="1:3" x14ac:dyDescent="0.2">
      <c r="A183" s="14">
        <v>107877777</v>
      </c>
      <c r="B183" t="s">
        <v>3772</v>
      </c>
      <c r="C183" t="s">
        <v>3777</v>
      </c>
    </row>
    <row r="184" spans="1:3" x14ac:dyDescent="0.2">
      <c r="A184" s="14">
        <v>107877777</v>
      </c>
      <c r="B184" t="s">
        <v>3772</v>
      </c>
      <c r="C184" t="s">
        <v>3777</v>
      </c>
    </row>
    <row r="185" spans="1:3" x14ac:dyDescent="0.2">
      <c r="A185" s="14">
        <v>107877777</v>
      </c>
      <c r="B185" t="s">
        <v>3772</v>
      </c>
      <c r="C185" t="s">
        <v>3777</v>
      </c>
    </row>
    <row r="186" spans="1:3" x14ac:dyDescent="0.2">
      <c r="A186" s="14">
        <v>107877777</v>
      </c>
      <c r="B186" t="s">
        <v>3772</v>
      </c>
      <c r="C186" t="s">
        <v>3777</v>
      </c>
    </row>
    <row r="187" spans="1:3" x14ac:dyDescent="0.2">
      <c r="A187" s="14">
        <v>107877777</v>
      </c>
      <c r="B187" t="s">
        <v>3772</v>
      </c>
      <c r="C187" t="s">
        <v>3777</v>
      </c>
    </row>
    <row r="188" spans="1:3" x14ac:dyDescent="0.2">
      <c r="A188" s="14">
        <v>107877777</v>
      </c>
      <c r="B188" t="s">
        <v>3772</v>
      </c>
      <c r="C188" t="s">
        <v>3777</v>
      </c>
    </row>
    <row r="189" spans="1:3" x14ac:dyDescent="0.2">
      <c r="A189" s="14">
        <v>107877777</v>
      </c>
      <c r="B189" t="s">
        <v>3772</v>
      </c>
      <c r="C189" t="s">
        <v>3777</v>
      </c>
    </row>
    <row r="190" spans="1:3" x14ac:dyDescent="0.2">
      <c r="A190" s="14">
        <v>107877777</v>
      </c>
      <c r="B190" t="s">
        <v>3772</v>
      </c>
      <c r="C190" t="s">
        <v>3777</v>
      </c>
    </row>
    <row r="191" spans="1:3" x14ac:dyDescent="0.2">
      <c r="A191" s="14">
        <v>107877777</v>
      </c>
      <c r="B191" t="s">
        <v>3772</v>
      </c>
      <c r="C191" t="s">
        <v>3777</v>
      </c>
    </row>
    <row r="192" spans="1:3" x14ac:dyDescent="0.2">
      <c r="A192" s="14">
        <v>107877777</v>
      </c>
      <c r="B192" t="s">
        <v>3772</v>
      </c>
      <c r="C192" t="s">
        <v>3777</v>
      </c>
    </row>
    <row r="193" spans="1:3" x14ac:dyDescent="0.2">
      <c r="A193" s="14">
        <v>107877777</v>
      </c>
      <c r="B193" t="s">
        <v>3772</v>
      </c>
      <c r="C193" t="s">
        <v>3777</v>
      </c>
    </row>
    <row r="194" spans="1:3" x14ac:dyDescent="0.2">
      <c r="A194" s="14">
        <v>107877777</v>
      </c>
      <c r="B194" t="s">
        <v>3772</v>
      </c>
      <c r="C194" t="s">
        <v>3777</v>
      </c>
    </row>
    <row r="195" spans="1:3" x14ac:dyDescent="0.2">
      <c r="A195" s="14">
        <v>107877777</v>
      </c>
      <c r="B195" t="s">
        <v>3772</v>
      </c>
      <c r="C195" t="s">
        <v>3777</v>
      </c>
    </row>
    <row r="196" spans="1:3" x14ac:dyDescent="0.2">
      <c r="A196" s="14">
        <v>107877777</v>
      </c>
      <c r="B196" t="s">
        <v>3772</v>
      </c>
      <c r="C196" t="s">
        <v>3777</v>
      </c>
    </row>
    <row r="197" spans="1:3" x14ac:dyDescent="0.2">
      <c r="A197" s="14">
        <v>107877777</v>
      </c>
      <c r="B197" t="s">
        <v>3772</v>
      </c>
      <c r="C197" t="s">
        <v>3777</v>
      </c>
    </row>
    <row r="198" spans="1:3" x14ac:dyDescent="0.2">
      <c r="A198" s="14">
        <v>107879365</v>
      </c>
      <c r="B198" t="s">
        <v>3772</v>
      </c>
      <c r="C198" t="s">
        <v>3778</v>
      </c>
    </row>
    <row r="199" spans="1:3" x14ac:dyDescent="0.2">
      <c r="A199" s="14">
        <v>107888445</v>
      </c>
      <c r="B199" t="s">
        <v>3772</v>
      </c>
      <c r="C199" t="s">
        <v>3779</v>
      </c>
    </row>
    <row r="200" spans="1:3" x14ac:dyDescent="0.2">
      <c r="A200" s="14">
        <v>107888445</v>
      </c>
      <c r="B200" t="s">
        <v>3772</v>
      </c>
      <c r="C200" t="s">
        <v>3779</v>
      </c>
    </row>
    <row r="201" spans="1:3" x14ac:dyDescent="0.2">
      <c r="A201" s="14">
        <v>107928670</v>
      </c>
      <c r="B201" t="s">
        <v>3772</v>
      </c>
      <c r="C201" t="s">
        <v>3780</v>
      </c>
    </row>
    <row r="202" spans="1:3" x14ac:dyDescent="0.2">
      <c r="A202" s="14">
        <v>107928670</v>
      </c>
      <c r="B202" t="s">
        <v>3772</v>
      </c>
      <c r="C202" t="s">
        <v>3780</v>
      </c>
    </row>
    <row r="203" spans="1:3" x14ac:dyDescent="0.2">
      <c r="A203" s="14">
        <v>107928670</v>
      </c>
      <c r="B203" t="s">
        <v>3772</v>
      </c>
      <c r="C203" t="s">
        <v>3780</v>
      </c>
    </row>
    <row r="204" spans="1:3" x14ac:dyDescent="0.2">
      <c r="A204" s="14">
        <v>107928670</v>
      </c>
      <c r="B204" t="s">
        <v>3772</v>
      </c>
      <c r="C204" t="s">
        <v>3780</v>
      </c>
    </row>
    <row r="205" spans="1:3" x14ac:dyDescent="0.2">
      <c r="A205" s="14">
        <v>107928670</v>
      </c>
      <c r="B205" t="s">
        <v>3772</v>
      </c>
      <c r="C205" t="s">
        <v>3780</v>
      </c>
    </row>
    <row r="206" spans="1:3" x14ac:dyDescent="0.2">
      <c r="A206" s="14">
        <v>107928670</v>
      </c>
      <c r="B206" t="s">
        <v>3772</v>
      </c>
      <c r="C206" t="s">
        <v>3780</v>
      </c>
    </row>
    <row r="207" spans="1:3" x14ac:dyDescent="0.2">
      <c r="A207" s="14">
        <v>107928670</v>
      </c>
      <c r="B207" t="s">
        <v>3772</v>
      </c>
      <c r="C207" t="s">
        <v>3780</v>
      </c>
    </row>
    <row r="208" spans="1:3" x14ac:dyDescent="0.2">
      <c r="A208" s="14">
        <v>107928670</v>
      </c>
      <c r="B208" t="s">
        <v>3772</v>
      </c>
      <c r="C208" t="s">
        <v>3780</v>
      </c>
    </row>
    <row r="209" spans="1:3" x14ac:dyDescent="0.2">
      <c r="A209" s="14">
        <v>107928688</v>
      </c>
      <c r="B209" t="s">
        <v>3772</v>
      </c>
      <c r="C209" t="s">
        <v>3781</v>
      </c>
    </row>
    <row r="210" spans="1:3" x14ac:dyDescent="0.2">
      <c r="A210" s="14">
        <v>107928688</v>
      </c>
      <c r="B210" t="s">
        <v>3772</v>
      </c>
      <c r="C210" t="s">
        <v>3781</v>
      </c>
    </row>
    <row r="211" spans="1:3" x14ac:dyDescent="0.2">
      <c r="A211" s="14">
        <v>107928688</v>
      </c>
      <c r="B211" t="s">
        <v>3772</v>
      </c>
      <c r="C211" t="s">
        <v>3781</v>
      </c>
    </row>
    <row r="212" spans="1:3" x14ac:dyDescent="0.2">
      <c r="A212" s="14">
        <v>107928688</v>
      </c>
      <c r="B212" t="s">
        <v>3772</v>
      </c>
      <c r="C212" t="s">
        <v>3781</v>
      </c>
    </row>
    <row r="213" spans="1:3" x14ac:dyDescent="0.2">
      <c r="A213" s="14">
        <v>107928688</v>
      </c>
      <c r="B213" t="s">
        <v>3772</v>
      </c>
      <c r="C213" t="s">
        <v>3781</v>
      </c>
    </row>
    <row r="214" spans="1:3" x14ac:dyDescent="0.2">
      <c r="A214" s="14">
        <v>107928688</v>
      </c>
      <c r="B214" t="s">
        <v>3772</v>
      </c>
      <c r="C214" t="s">
        <v>3781</v>
      </c>
    </row>
    <row r="215" spans="1:3" x14ac:dyDescent="0.2">
      <c r="A215" s="14">
        <v>107928688</v>
      </c>
      <c r="B215" t="s">
        <v>3772</v>
      </c>
      <c r="C215" t="s">
        <v>3781</v>
      </c>
    </row>
    <row r="216" spans="1:3" x14ac:dyDescent="0.2">
      <c r="A216" s="14">
        <v>107928688</v>
      </c>
      <c r="B216" t="s">
        <v>3772</v>
      </c>
      <c r="C216" t="s">
        <v>3781</v>
      </c>
    </row>
    <row r="217" spans="1:3" x14ac:dyDescent="0.2">
      <c r="A217" s="14">
        <v>107928688</v>
      </c>
      <c r="B217" t="s">
        <v>3772</v>
      </c>
      <c r="C217" t="s">
        <v>3781</v>
      </c>
    </row>
    <row r="218" spans="1:3" x14ac:dyDescent="0.2">
      <c r="A218" s="14">
        <v>107928688</v>
      </c>
      <c r="B218" t="s">
        <v>3772</v>
      </c>
      <c r="C218" t="s">
        <v>3781</v>
      </c>
    </row>
    <row r="219" spans="1:3" x14ac:dyDescent="0.2">
      <c r="A219" s="14">
        <v>107928688</v>
      </c>
      <c r="B219" t="s">
        <v>3772</v>
      </c>
      <c r="C219" t="s">
        <v>3781</v>
      </c>
    </row>
    <row r="220" spans="1:3" x14ac:dyDescent="0.2">
      <c r="A220" s="14">
        <v>107928688</v>
      </c>
      <c r="B220" t="s">
        <v>3772</v>
      </c>
      <c r="C220" t="s">
        <v>3781</v>
      </c>
    </row>
    <row r="221" spans="1:3" x14ac:dyDescent="0.2">
      <c r="A221" s="14">
        <v>107928688</v>
      </c>
      <c r="B221" t="s">
        <v>3772</v>
      </c>
      <c r="C221" t="s">
        <v>3781</v>
      </c>
    </row>
    <row r="222" spans="1:3" x14ac:dyDescent="0.2">
      <c r="A222" s="14">
        <v>107928688</v>
      </c>
      <c r="B222" t="s">
        <v>3772</v>
      </c>
      <c r="C222" t="s">
        <v>3781</v>
      </c>
    </row>
    <row r="223" spans="1:3" x14ac:dyDescent="0.2">
      <c r="A223" s="14">
        <v>107928688</v>
      </c>
      <c r="B223" t="s">
        <v>3772</v>
      </c>
      <c r="C223" t="s">
        <v>3781</v>
      </c>
    </row>
    <row r="224" spans="1:3" x14ac:dyDescent="0.2">
      <c r="A224" s="14">
        <v>107928688</v>
      </c>
      <c r="B224" t="s">
        <v>3772</v>
      </c>
      <c r="C224" t="s">
        <v>3781</v>
      </c>
    </row>
    <row r="225" spans="1:3" x14ac:dyDescent="0.2">
      <c r="A225" s="14">
        <v>107928688</v>
      </c>
      <c r="B225" t="s">
        <v>3772</v>
      </c>
      <c r="C225" t="s">
        <v>3781</v>
      </c>
    </row>
    <row r="226" spans="1:3" x14ac:dyDescent="0.2">
      <c r="A226" s="14">
        <v>107928688</v>
      </c>
      <c r="B226" t="s">
        <v>3772</v>
      </c>
      <c r="C226" t="s">
        <v>3781</v>
      </c>
    </row>
    <row r="227" spans="1:3" x14ac:dyDescent="0.2">
      <c r="A227" s="14">
        <v>107928688</v>
      </c>
      <c r="B227" t="s">
        <v>3772</v>
      </c>
      <c r="C227" t="s">
        <v>3781</v>
      </c>
    </row>
    <row r="228" spans="1:3" x14ac:dyDescent="0.2">
      <c r="A228" s="14">
        <v>107928688</v>
      </c>
      <c r="B228" t="s">
        <v>3772</v>
      </c>
      <c r="C228" t="s">
        <v>3781</v>
      </c>
    </row>
    <row r="229" spans="1:3" x14ac:dyDescent="0.2">
      <c r="A229" s="14">
        <v>107928688</v>
      </c>
      <c r="B229" t="s">
        <v>3772</v>
      </c>
      <c r="C229" t="s">
        <v>3781</v>
      </c>
    </row>
    <row r="230" spans="1:3" x14ac:dyDescent="0.2">
      <c r="A230" s="14">
        <v>107928688</v>
      </c>
      <c r="B230" t="s">
        <v>3772</v>
      </c>
      <c r="C230" t="s">
        <v>3781</v>
      </c>
    </row>
    <row r="231" spans="1:3" x14ac:dyDescent="0.2">
      <c r="A231" s="14">
        <v>107928688</v>
      </c>
      <c r="B231" t="s">
        <v>3772</v>
      </c>
      <c r="C231" t="s">
        <v>3781</v>
      </c>
    </row>
    <row r="232" spans="1:3" x14ac:dyDescent="0.2">
      <c r="A232" s="14">
        <v>107928688</v>
      </c>
      <c r="B232" t="s">
        <v>3772</v>
      </c>
      <c r="C232" t="s">
        <v>3781</v>
      </c>
    </row>
    <row r="233" spans="1:3" x14ac:dyDescent="0.2">
      <c r="A233" s="14">
        <v>107928688</v>
      </c>
      <c r="B233" t="s">
        <v>3772</v>
      </c>
      <c r="C233" t="s">
        <v>3781</v>
      </c>
    </row>
    <row r="234" spans="1:3" x14ac:dyDescent="0.2">
      <c r="A234" s="14">
        <v>107928688</v>
      </c>
      <c r="B234" t="s">
        <v>3772</v>
      </c>
      <c r="C234" t="s">
        <v>3781</v>
      </c>
    </row>
    <row r="235" spans="1:3" x14ac:dyDescent="0.2">
      <c r="A235" s="14">
        <v>107928688</v>
      </c>
      <c r="B235" t="s">
        <v>3772</v>
      </c>
      <c r="C235" t="s">
        <v>3781</v>
      </c>
    </row>
    <row r="236" spans="1:3" x14ac:dyDescent="0.2">
      <c r="A236" s="14">
        <v>107928688</v>
      </c>
      <c r="B236" t="s">
        <v>3772</v>
      </c>
      <c r="C236" t="s">
        <v>3781</v>
      </c>
    </row>
    <row r="237" spans="1:3" x14ac:dyDescent="0.2">
      <c r="A237" s="14">
        <v>107928688</v>
      </c>
      <c r="B237" t="s">
        <v>3772</v>
      </c>
      <c r="C237" t="s">
        <v>3781</v>
      </c>
    </row>
    <row r="238" spans="1:3" x14ac:dyDescent="0.2">
      <c r="A238" s="14">
        <v>107928688</v>
      </c>
      <c r="B238" t="s">
        <v>3772</v>
      </c>
      <c r="C238" t="s">
        <v>3781</v>
      </c>
    </row>
    <row r="239" spans="1:3" x14ac:dyDescent="0.2">
      <c r="A239" s="14">
        <v>107928688</v>
      </c>
      <c r="B239" t="s">
        <v>3772</v>
      </c>
      <c r="C239" t="s">
        <v>3781</v>
      </c>
    </row>
    <row r="240" spans="1:3" x14ac:dyDescent="0.2">
      <c r="A240" s="14">
        <v>107928688</v>
      </c>
      <c r="B240" t="s">
        <v>3772</v>
      </c>
      <c r="C240" t="s">
        <v>3781</v>
      </c>
    </row>
    <row r="241" spans="1:3" x14ac:dyDescent="0.2">
      <c r="A241" s="14">
        <v>107928688</v>
      </c>
      <c r="B241" t="s">
        <v>3772</v>
      </c>
      <c r="C241" t="s">
        <v>3781</v>
      </c>
    </row>
    <row r="242" spans="1:3" x14ac:dyDescent="0.2">
      <c r="A242" s="14">
        <v>107928688</v>
      </c>
      <c r="B242" t="s">
        <v>3772</v>
      </c>
      <c r="C242" t="s">
        <v>3781</v>
      </c>
    </row>
    <row r="243" spans="1:3" x14ac:dyDescent="0.2">
      <c r="A243" s="14">
        <v>107928688</v>
      </c>
      <c r="B243" t="s">
        <v>3772</v>
      </c>
      <c r="C243" t="s">
        <v>3781</v>
      </c>
    </row>
    <row r="244" spans="1:3" x14ac:dyDescent="0.2">
      <c r="A244" s="14">
        <v>107928688</v>
      </c>
      <c r="B244" t="s">
        <v>3772</v>
      </c>
      <c r="C244" t="s">
        <v>3781</v>
      </c>
    </row>
    <row r="245" spans="1:3" x14ac:dyDescent="0.2">
      <c r="A245" s="14">
        <v>107928688</v>
      </c>
      <c r="B245" t="s">
        <v>3772</v>
      </c>
      <c r="C245" t="s">
        <v>3781</v>
      </c>
    </row>
    <row r="246" spans="1:3" x14ac:dyDescent="0.2">
      <c r="A246" s="14">
        <v>107928688</v>
      </c>
      <c r="B246" t="s">
        <v>3772</v>
      </c>
      <c r="C246" t="s">
        <v>3781</v>
      </c>
    </row>
    <row r="247" spans="1:3" x14ac:dyDescent="0.2">
      <c r="A247" s="14">
        <v>107928688</v>
      </c>
      <c r="B247" t="s">
        <v>3772</v>
      </c>
      <c r="C247" t="s">
        <v>3781</v>
      </c>
    </row>
    <row r="248" spans="1:3" x14ac:dyDescent="0.2">
      <c r="A248" s="14">
        <v>107928688</v>
      </c>
      <c r="B248" t="s">
        <v>3772</v>
      </c>
      <c r="C248" t="s">
        <v>3781</v>
      </c>
    </row>
    <row r="249" spans="1:3" x14ac:dyDescent="0.2">
      <c r="A249" s="14">
        <v>107928688</v>
      </c>
      <c r="B249" t="s">
        <v>3772</v>
      </c>
      <c r="C249" t="s">
        <v>3781</v>
      </c>
    </row>
    <row r="250" spans="1:3" x14ac:dyDescent="0.2">
      <c r="A250" s="14">
        <v>107928688</v>
      </c>
      <c r="B250" t="s">
        <v>3772</v>
      </c>
      <c r="C250" t="s">
        <v>3781</v>
      </c>
    </row>
    <row r="251" spans="1:3" x14ac:dyDescent="0.2">
      <c r="A251" s="14">
        <v>107928688</v>
      </c>
      <c r="B251" t="s">
        <v>3772</v>
      </c>
      <c r="C251" t="s">
        <v>3781</v>
      </c>
    </row>
    <row r="252" spans="1:3" x14ac:dyDescent="0.2">
      <c r="A252" s="14">
        <v>107928688</v>
      </c>
      <c r="B252" t="s">
        <v>3772</v>
      </c>
      <c r="C252" t="s">
        <v>3781</v>
      </c>
    </row>
    <row r="253" spans="1:3" x14ac:dyDescent="0.2">
      <c r="A253" s="14">
        <v>107928688</v>
      </c>
      <c r="B253" t="s">
        <v>3772</v>
      </c>
      <c r="C253" t="s">
        <v>3781</v>
      </c>
    </row>
    <row r="254" spans="1:3" x14ac:dyDescent="0.2">
      <c r="A254" s="14">
        <v>107928688</v>
      </c>
      <c r="B254" t="s">
        <v>3772</v>
      </c>
      <c r="C254" t="s">
        <v>3781</v>
      </c>
    </row>
    <row r="255" spans="1:3" x14ac:dyDescent="0.2">
      <c r="A255" s="14">
        <v>107928688</v>
      </c>
      <c r="B255" t="s">
        <v>3772</v>
      </c>
      <c r="C255" t="s">
        <v>3781</v>
      </c>
    </row>
    <row r="256" spans="1:3" x14ac:dyDescent="0.2">
      <c r="A256" s="14">
        <v>107928688</v>
      </c>
      <c r="B256" t="s">
        <v>3772</v>
      </c>
      <c r="C256" t="s">
        <v>3781</v>
      </c>
    </row>
    <row r="257" spans="1:3" x14ac:dyDescent="0.2">
      <c r="A257" s="14">
        <v>107928688</v>
      </c>
      <c r="B257" t="s">
        <v>3772</v>
      </c>
      <c r="C257" t="s">
        <v>3781</v>
      </c>
    </row>
    <row r="258" spans="1:3" x14ac:dyDescent="0.2">
      <c r="A258" s="14">
        <v>107928688</v>
      </c>
      <c r="B258" t="s">
        <v>3772</v>
      </c>
      <c r="C258" t="s">
        <v>3781</v>
      </c>
    </row>
    <row r="259" spans="1:3" x14ac:dyDescent="0.2">
      <c r="A259" s="14">
        <v>107928688</v>
      </c>
      <c r="B259" t="s">
        <v>3772</v>
      </c>
      <c r="C259" t="s">
        <v>3781</v>
      </c>
    </row>
    <row r="260" spans="1:3" x14ac:dyDescent="0.2">
      <c r="A260" s="14">
        <v>107928688</v>
      </c>
      <c r="B260" t="s">
        <v>3772</v>
      </c>
      <c r="C260" t="s">
        <v>3781</v>
      </c>
    </row>
    <row r="261" spans="1:3" x14ac:dyDescent="0.2">
      <c r="A261" s="14">
        <v>107928688</v>
      </c>
      <c r="B261" t="s">
        <v>3772</v>
      </c>
      <c r="C261" t="s">
        <v>3781</v>
      </c>
    </row>
    <row r="262" spans="1:3" x14ac:dyDescent="0.2">
      <c r="A262" s="14">
        <v>107928688</v>
      </c>
      <c r="B262" t="s">
        <v>3772</v>
      </c>
      <c r="C262" t="s">
        <v>3781</v>
      </c>
    </row>
    <row r="263" spans="1:3" x14ac:dyDescent="0.2">
      <c r="A263" s="14">
        <v>107928688</v>
      </c>
      <c r="B263" t="s">
        <v>3772</v>
      </c>
      <c r="C263" t="s">
        <v>3781</v>
      </c>
    </row>
    <row r="264" spans="1:3" x14ac:dyDescent="0.2">
      <c r="A264" s="14">
        <v>107928688</v>
      </c>
      <c r="B264" t="s">
        <v>3772</v>
      </c>
      <c r="C264" t="s">
        <v>3781</v>
      </c>
    </row>
    <row r="265" spans="1:3" x14ac:dyDescent="0.2">
      <c r="A265" s="14">
        <v>107928688</v>
      </c>
      <c r="B265" t="s">
        <v>3772</v>
      </c>
      <c r="C265" t="s">
        <v>3781</v>
      </c>
    </row>
    <row r="266" spans="1:3" x14ac:dyDescent="0.2">
      <c r="A266" s="14">
        <v>107928688</v>
      </c>
      <c r="B266" t="s">
        <v>3772</v>
      </c>
      <c r="C266" t="s">
        <v>3781</v>
      </c>
    </row>
    <row r="267" spans="1:3" x14ac:dyDescent="0.2">
      <c r="A267" s="14">
        <v>107928688</v>
      </c>
      <c r="B267" t="s">
        <v>3772</v>
      </c>
      <c r="C267" t="s">
        <v>3781</v>
      </c>
    </row>
    <row r="268" spans="1:3" x14ac:dyDescent="0.2">
      <c r="A268" s="14">
        <v>107928688</v>
      </c>
      <c r="B268" t="s">
        <v>3772</v>
      </c>
      <c r="C268" t="s">
        <v>3781</v>
      </c>
    </row>
    <row r="269" spans="1:3" x14ac:dyDescent="0.2">
      <c r="A269" s="14">
        <v>107928688</v>
      </c>
      <c r="B269" t="s">
        <v>3772</v>
      </c>
      <c r="C269" t="s">
        <v>3781</v>
      </c>
    </row>
    <row r="270" spans="1:3" x14ac:dyDescent="0.2">
      <c r="A270" s="14">
        <v>107928688</v>
      </c>
      <c r="B270" t="s">
        <v>3772</v>
      </c>
      <c r="C270" t="s">
        <v>3781</v>
      </c>
    </row>
    <row r="271" spans="1:3" x14ac:dyDescent="0.2">
      <c r="A271" s="14">
        <v>107928688</v>
      </c>
      <c r="B271" t="s">
        <v>3772</v>
      </c>
      <c r="C271" t="s">
        <v>3781</v>
      </c>
    </row>
    <row r="272" spans="1:3" x14ac:dyDescent="0.2">
      <c r="A272" s="14">
        <v>107928688</v>
      </c>
      <c r="B272" t="s">
        <v>3772</v>
      </c>
      <c r="C272" t="s">
        <v>3781</v>
      </c>
    </row>
    <row r="273" spans="1:3" x14ac:dyDescent="0.2">
      <c r="A273" s="14">
        <v>107928688</v>
      </c>
      <c r="B273" t="s">
        <v>3772</v>
      </c>
      <c r="C273" t="s">
        <v>3781</v>
      </c>
    </row>
    <row r="274" spans="1:3" x14ac:dyDescent="0.2">
      <c r="A274" s="14">
        <v>107928688</v>
      </c>
      <c r="B274" t="s">
        <v>3772</v>
      </c>
      <c r="C274" t="s">
        <v>3781</v>
      </c>
    </row>
    <row r="275" spans="1:3" x14ac:dyDescent="0.2">
      <c r="A275" s="14">
        <v>107928688</v>
      </c>
      <c r="B275" t="s">
        <v>3772</v>
      </c>
      <c r="C275" t="s">
        <v>3781</v>
      </c>
    </row>
    <row r="276" spans="1:3" x14ac:dyDescent="0.2">
      <c r="A276" s="14">
        <v>107928688</v>
      </c>
      <c r="B276" t="s">
        <v>3772</v>
      </c>
      <c r="C276" t="s">
        <v>3781</v>
      </c>
    </row>
    <row r="277" spans="1:3" x14ac:dyDescent="0.2">
      <c r="A277" s="14">
        <v>107928688</v>
      </c>
      <c r="B277" t="s">
        <v>3772</v>
      </c>
      <c r="C277" t="s">
        <v>3781</v>
      </c>
    </row>
    <row r="278" spans="1:3" x14ac:dyDescent="0.2">
      <c r="A278" s="14">
        <v>107928688</v>
      </c>
      <c r="B278" t="s">
        <v>3772</v>
      </c>
      <c r="C278" t="s">
        <v>3781</v>
      </c>
    </row>
    <row r="279" spans="1:3" x14ac:dyDescent="0.2">
      <c r="A279" s="14">
        <v>107928688</v>
      </c>
      <c r="B279" t="s">
        <v>3772</v>
      </c>
      <c r="C279" t="s">
        <v>3781</v>
      </c>
    </row>
    <row r="280" spans="1:3" x14ac:dyDescent="0.2">
      <c r="A280" s="14">
        <v>107928688</v>
      </c>
      <c r="B280" t="s">
        <v>3772</v>
      </c>
      <c r="C280" t="s">
        <v>3781</v>
      </c>
    </row>
    <row r="281" spans="1:3" x14ac:dyDescent="0.2">
      <c r="A281" s="14">
        <v>107928688</v>
      </c>
      <c r="B281" t="s">
        <v>3772</v>
      </c>
      <c r="C281" t="s">
        <v>3781</v>
      </c>
    </row>
    <row r="282" spans="1:3" x14ac:dyDescent="0.2">
      <c r="A282" s="14">
        <v>107928688</v>
      </c>
      <c r="B282" t="s">
        <v>3772</v>
      </c>
      <c r="C282" t="s">
        <v>3781</v>
      </c>
    </row>
    <row r="283" spans="1:3" x14ac:dyDescent="0.2">
      <c r="A283" s="14">
        <v>107928688</v>
      </c>
      <c r="B283" t="s">
        <v>3772</v>
      </c>
      <c r="C283" t="s">
        <v>3781</v>
      </c>
    </row>
    <row r="284" spans="1:3" x14ac:dyDescent="0.2">
      <c r="A284" s="14">
        <v>107928688</v>
      </c>
      <c r="B284" t="s">
        <v>3772</v>
      </c>
      <c r="C284" t="s">
        <v>3781</v>
      </c>
    </row>
    <row r="285" spans="1:3" x14ac:dyDescent="0.2">
      <c r="A285" s="14">
        <v>107928688</v>
      </c>
      <c r="B285" t="s">
        <v>3772</v>
      </c>
      <c r="C285" t="s">
        <v>3781</v>
      </c>
    </row>
    <row r="286" spans="1:3" x14ac:dyDescent="0.2">
      <c r="A286" s="14">
        <v>107928688</v>
      </c>
      <c r="B286" t="s">
        <v>3772</v>
      </c>
      <c r="C286" t="s">
        <v>3781</v>
      </c>
    </row>
    <row r="287" spans="1:3" x14ac:dyDescent="0.2">
      <c r="A287" s="14">
        <v>107928688</v>
      </c>
      <c r="B287" t="s">
        <v>3772</v>
      </c>
      <c r="C287" t="s">
        <v>3781</v>
      </c>
    </row>
    <row r="288" spans="1:3" x14ac:dyDescent="0.2">
      <c r="A288" s="14">
        <v>107928688</v>
      </c>
      <c r="B288" t="s">
        <v>3772</v>
      </c>
      <c r="C288" t="s">
        <v>3781</v>
      </c>
    </row>
    <row r="289" spans="1:3" x14ac:dyDescent="0.2">
      <c r="A289" s="14">
        <v>107928688</v>
      </c>
      <c r="B289" t="s">
        <v>3772</v>
      </c>
      <c r="C289" t="s">
        <v>3781</v>
      </c>
    </row>
    <row r="290" spans="1:3" x14ac:dyDescent="0.2">
      <c r="A290" s="14">
        <v>107928688</v>
      </c>
      <c r="B290" t="s">
        <v>3772</v>
      </c>
      <c r="C290" t="s">
        <v>3781</v>
      </c>
    </row>
    <row r="291" spans="1:3" x14ac:dyDescent="0.2">
      <c r="A291" s="14">
        <v>107928688</v>
      </c>
      <c r="B291" t="s">
        <v>3772</v>
      </c>
      <c r="C291" t="s">
        <v>3781</v>
      </c>
    </row>
    <row r="292" spans="1:3" x14ac:dyDescent="0.2">
      <c r="A292" s="14">
        <v>107928688</v>
      </c>
      <c r="B292" t="s">
        <v>3772</v>
      </c>
      <c r="C292" t="s">
        <v>3781</v>
      </c>
    </row>
    <row r="293" spans="1:3" x14ac:dyDescent="0.2">
      <c r="A293" s="14">
        <v>107928688</v>
      </c>
      <c r="B293" t="s">
        <v>3772</v>
      </c>
      <c r="C293" t="s">
        <v>3781</v>
      </c>
    </row>
    <row r="294" spans="1:3" x14ac:dyDescent="0.2">
      <c r="A294" s="14">
        <v>107928688</v>
      </c>
      <c r="B294" t="s">
        <v>3772</v>
      </c>
      <c r="C294" t="s">
        <v>3781</v>
      </c>
    </row>
    <row r="295" spans="1:3" x14ac:dyDescent="0.2">
      <c r="A295" s="14">
        <v>107928688</v>
      </c>
      <c r="B295" t="s">
        <v>3772</v>
      </c>
      <c r="C295" t="s">
        <v>3781</v>
      </c>
    </row>
    <row r="296" spans="1:3" x14ac:dyDescent="0.2">
      <c r="A296" s="14">
        <v>107928688</v>
      </c>
      <c r="B296" t="s">
        <v>3772</v>
      </c>
      <c r="C296" t="s">
        <v>3781</v>
      </c>
    </row>
    <row r="297" spans="1:3" x14ac:dyDescent="0.2">
      <c r="A297" s="14">
        <v>107928688</v>
      </c>
      <c r="B297" t="s">
        <v>3772</v>
      </c>
      <c r="C297" t="s">
        <v>3781</v>
      </c>
    </row>
    <row r="298" spans="1:3" x14ac:dyDescent="0.2">
      <c r="A298" s="14">
        <v>107928688</v>
      </c>
      <c r="B298" t="s">
        <v>3772</v>
      </c>
      <c r="C298" t="s">
        <v>3781</v>
      </c>
    </row>
    <row r="299" spans="1:3" x14ac:dyDescent="0.2">
      <c r="A299" s="14">
        <v>107928688</v>
      </c>
      <c r="B299" t="s">
        <v>3772</v>
      </c>
      <c r="C299" t="s">
        <v>3781</v>
      </c>
    </row>
    <row r="300" spans="1:3" x14ac:dyDescent="0.2">
      <c r="A300" s="14">
        <v>107928688</v>
      </c>
      <c r="B300" t="s">
        <v>3772</v>
      </c>
      <c r="C300" t="s">
        <v>3781</v>
      </c>
    </row>
    <row r="301" spans="1:3" x14ac:dyDescent="0.2">
      <c r="A301" s="14">
        <v>107928688</v>
      </c>
      <c r="B301" t="s">
        <v>3772</v>
      </c>
      <c r="C301" t="s">
        <v>3781</v>
      </c>
    </row>
    <row r="302" spans="1:3" x14ac:dyDescent="0.2">
      <c r="A302" s="14">
        <v>107928688</v>
      </c>
      <c r="B302" t="s">
        <v>3772</v>
      </c>
      <c r="C302" t="s">
        <v>3781</v>
      </c>
    </row>
    <row r="303" spans="1:3" x14ac:dyDescent="0.2">
      <c r="A303" s="14">
        <v>107928688</v>
      </c>
      <c r="B303" t="s">
        <v>3772</v>
      </c>
      <c r="C303" t="s">
        <v>3781</v>
      </c>
    </row>
    <row r="304" spans="1:3" x14ac:dyDescent="0.2">
      <c r="A304" s="14">
        <v>107928688</v>
      </c>
      <c r="B304" t="s">
        <v>3772</v>
      </c>
      <c r="C304" t="s">
        <v>3781</v>
      </c>
    </row>
    <row r="305" spans="1:3" x14ac:dyDescent="0.2">
      <c r="A305" s="14">
        <v>107928688</v>
      </c>
      <c r="B305" t="s">
        <v>3772</v>
      </c>
      <c r="C305" t="s">
        <v>3781</v>
      </c>
    </row>
    <row r="306" spans="1:3" x14ac:dyDescent="0.2">
      <c r="A306" s="14">
        <v>107928688</v>
      </c>
      <c r="B306" t="s">
        <v>3772</v>
      </c>
      <c r="C306" t="s">
        <v>3781</v>
      </c>
    </row>
    <row r="307" spans="1:3" x14ac:dyDescent="0.2">
      <c r="A307" s="14">
        <v>107928688</v>
      </c>
      <c r="B307" t="s">
        <v>3772</v>
      </c>
      <c r="C307" t="s">
        <v>3781</v>
      </c>
    </row>
    <row r="308" spans="1:3" x14ac:dyDescent="0.2">
      <c r="A308" s="14">
        <v>107928688</v>
      </c>
      <c r="B308" t="s">
        <v>3772</v>
      </c>
      <c r="C308" t="s">
        <v>3781</v>
      </c>
    </row>
    <row r="309" spans="1:3" x14ac:dyDescent="0.2">
      <c r="A309" s="14">
        <v>107928688</v>
      </c>
      <c r="B309" t="s">
        <v>3772</v>
      </c>
      <c r="C309" t="s">
        <v>3781</v>
      </c>
    </row>
    <row r="310" spans="1:3" x14ac:dyDescent="0.2">
      <c r="A310" s="14">
        <v>107928688</v>
      </c>
      <c r="B310" t="s">
        <v>3772</v>
      </c>
      <c r="C310" t="s">
        <v>3781</v>
      </c>
    </row>
    <row r="311" spans="1:3" x14ac:dyDescent="0.2">
      <c r="A311" s="14">
        <v>107928688</v>
      </c>
      <c r="B311" t="s">
        <v>3772</v>
      </c>
      <c r="C311" t="s">
        <v>3781</v>
      </c>
    </row>
    <row r="312" spans="1:3" x14ac:dyDescent="0.2">
      <c r="A312" s="14">
        <v>107928688</v>
      </c>
      <c r="B312" t="s">
        <v>3772</v>
      </c>
      <c r="C312" t="s">
        <v>3781</v>
      </c>
    </row>
    <row r="313" spans="1:3" x14ac:dyDescent="0.2">
      <c r="A313" s="14">
        <v>107928688</v>
      </c>
      <c r="B313" t="s">
        <v>3772</v>
      </c>
      <c r="C313" t="s">
        <v>3781</v>
      </c>
    </row>
    <row r="314" spans="1:3" x14ac:dyDescent="0.2">
      <c r="A314" s="14">
        <v>107928688</v>
      </c>
      <c r="B314" t="s">
        <v>3772</v>
      </c>
      <c r="C314" t="s">
        <v>3781</v>
      </c>
    </row>
    <row r="315" spans="1:3" x14ac:dyDescent="0.2">
      <c r="A315" s="14">
        <v>107928688</v>
      </c>
      <c r="B315" t="s">
        <v>3772</v>
      </c>
      <c r="C315" t="s">
        <v>3781</v>
      </c>
    </row>
    <row r="316" spans="1:3" x14ac:dyDescent="0.2">
      <c r="A316" s="14">
        <v>107928688</v>
      </c>
      <c r="B316" t="s">
        <v>3772</v>
      </c>
      <c r="C316" t="s">
        <v>3781</v>
      </c>
    </row>
    <row r="317" spans="1:3" x14ac:dyDescent="0.2">
      <c r="A317" s="14">
        <v>107928688</v>
      </c>
      <c r="B317" t="s">
        <v>3772</v>
      </c>
      <c r="C317" t="s">
        <v>3781</v>
      </c>
    </row>
    <row r="318" spans="1:3" x14ac:dyDescent="0.2">
      <c r="A318" s="14">
        <v>107928688</v>
      </c>
      <c r="B318" t="s">
        <v>3772</v>
      </c>
      <c r="C318" t="s">
        <v>3781</v>
      </c>
    </row>
    <row r="319" spans="1:3" x14ac:dyDescent="0.2">
      <c r="A319" s="14">
        <v>107928688</v>
      </c>
      <c r="B319" t="s">
        <v>3772</v>
      </c>
      <c r="C319" t="s">
        <v>3781</v>
      </c>
    </row>
    <row r="320" spans="1:3" x14ac:dyDescent="0.2">
      <c r="A320" s="14">
        <v>107928688</v>
      </c>
      <c r="B320" t="s">
        <v>3772</v>
      </c>
      <c r="C320" t="s">
        <v>3781</v>
      </c>
    </row>
    <row r="321" spans="1:3" x14ac:dyDescent="0.2">
      <c r="A321" s="14">
        <v>107928688</v>
      </c>
      <c r="B321" t="s">
        <v>3772</v>
      </c>
      <c r="C321" t="s">
        <v>3781</v>
      </c>
    </row>
    <row r="322" spans="1:3" x14ac:dyDescent="0.2">
      <c r="A322" s="14">
        <v>107928688</v>
      </c>
      <c r="B322" t="s">
        <v>3772</v>
      </c>
      <c r="C322" t="s">
        <v>3781</v>
      </c>
    </row>
    <row r="323" spans="1:3" x14ac:dyDescent="0.2">
      <c r="A323" s="14">
        <v>107928688</v>
      </c>
      <c r="B323" t="s">
        <v>3772</v>
      </c>
      <c r="C323" t="s">
        <v>3781</v>
      </c>
    </row>
    <row r="324" spans="1:3" x14ac:dyDescent="0.2">
      <c r="A324" s="14">
        <v>107928688</v>
      </c>
      <c r="B324" t="s">
        <v>3772</v>
      </c>
      <c r="C324" t="s">
        <v>3781</v>
      </c>
    </row>
    <row r="325" spans="1:3" x14ac:dyDescent="0.2">
      <c r="A325" s="14">
        <v>107928688</v>
      </c>
      <c r="B325" t="s">
        <v>3772</v>
      </c>
      <c r="C325" t="s">
        <v>3781</v>
      </c>
    </row>
    <row r="326" spans="1:3" x14ac:dyDescent="0.2">
      <c r="A326" s="14">
        <v>107928688</v>
      </c>
      <c r="B326" t="s">
        <v>3772</v>
      </c>
      <c r="C326" t="s">
        <v>3781</v>
      </c>
    </row>
    <row r="327" spans="1:3" x14ac:dyDescent="0.2">
      <c r="A327" s="14">
        <v>107928688</v>
      </c>
      <c r="B327" t="s">
        <v>3772</v>
      </c>
      <c r="C327" t="s">
        <v>3781</v>
      </c>
    </row>
    <row r="328" spans="1:3" x14ac:dyDescent="0.2">
      <c r="A328" s="14">
        <v>107928688</v>
      </c>
      <c r="B328" t="s">
        <v>3772</v>
      </c>
      <c r="C328" t="s">
        <v>3781</v>
      </c>
    </row>
    <row r="329" spans="1:3" x14ac:dyDescent="0.2">
      <c r="A329" s="14">
        <v>107928688</v>
      </c>
      <c r="B329" t="s">
        <v>3772</v>
      </c>
      <c r="C329" t="s">
        <v>3781</v>
      </c>
    </row>
    <row r="330" spans="1:3" x14ac:dyDescent="0.2">
      <c r="A330" s="14">
        <v>107928688</v>
      </c>
      <c r="B330" t="s">
        <v>3772</v>
      </c>
      <c r="C330" t="s">
        <v>3781</v>
      </c>
    </row>
    <row r="331" spans="1:3" x14ac:dyDescent="0.2">
      <c r="A331" s="14">
        <v>107928688</v>
      </c>
      <c r="B331" t="s">
        <v>3772</v>
      </c>
      <c r="C331" t="s">
        <v>3781</v>
      </c>
    </row>
    <row r="332" spans="1:3" x14ac:dyDescent="0.2">
      <c r="A332" s="14">
        <v>107928688</v>
      </c>
      <c r="B332" t="s">
        <v>3772</v>
      </c>
      <c r="C332" t="s">
        <v>3781</v>
      </c>
    </row>
    <row r="333" spans="1:3" x14ac:dyDescent="0.2">
      <c r="A333" s="14">
        <v>107928688</v>
      </c>
      <c r="B333" t="s">
        <v>3772</v>
      </c>
      <c r="C333" t="s">
        <v>3781</v>
      </c>
    </row>
    <row r="334" spans="1:3" x14ac:dyDescent="0.2">
      <c r="A334" s="14">
        <v>107928688</v>
      </c>
      <c r="B334" t="s">
        <v>3772</v>
      </c>
      <c r="C334" t="s">
        <v>3781</v>
      </c>
    </row>
    <row r="335" spans="1:3" x14ac:dyDescent="0.2">
      <c r="A335" s="14">
        <v>107928688</v>
      </c>
      <c r="B335" t="s">
        <v>3772</v>
      </c>
      <c r="C335" t="s">
        <v>3781</v>
      </c>
    </row>
    <row r="336" spans="1:3" x14ac:dyDescent="0.2">
      <c r="A336" s="14">
        <v>107928688</v>
      </c>
      <c r="B336" t="s">
        <v>3772</v>
      </c>
      <c r="C336" t="s">
        <v>3781</v>
      </c>
    </row>
    <row r="337" spans="1:3" x14ac:dyDescent="0.2">
      <c r="A337" s="14">
        <v>107928688</v>
      </c>
      <c r="B337" t="s">
        <v>3772</v>
      </c>
      <c r="C337" t="s">
        <v>3781</v>
      </c>
    </row>
    <row r="338" spans="1:3" x14ac:dyDescent="0.2">
      <c r="A338" s="14">
        <v>107928688</v>
      </c>
      <c r="B338" t="s">
        <v>3772</v>
      </c>
      <c r="C338" t="s">
        <v>3781</v>
      </c>
    </row>
    <row r="339" spans="1:3" x14ac:dyDescent="0.2">
      <c r="A339" s="14">
        <v>107928688</v>
      </c>
      <c r="B339" t="s">
        <v>3772</v>
      </c>
      <c r="C339" t="s">
        <v>3781</v>
      </c>
    </row>
    <row r="340" spans="1:3" x14ac:dyDescent="0.2">
      <c r="A340" s="14">
        <v>107928688</v>
      </c>
      <c r="B340" t="s">
        <v>3772</v>
      </c>
      <c r="C340" t="s">
        <v>3781</v>
      </c>
    </row>
    <row r="341" spans="1:3" x14ac:dyDescent="0.2">
      <c r="A341" s="14">
        <v>107928688</v>
      </c>
      <c r="B341" t="s">
        <v>3772</v>
      </c>
      <c r="C341" t="s">
        <v>3781</v>
      </c>
    </row>
    <row r="342" spans="1:3" x14ac:dyDescent="0.2">
      <c r="A342" s="14">
        <v>107928688</v>
      </c>
      <c r="B342" t="s">
        <v>3772</v>
      </c>
      <c r="C342" t="s">
        <v>3781</v>
      </c>
    </row>
    <row r="343" spans="1:3" x14ac:dyDescent="0.2">
      <c r="A343" s="14">
        <v>107928688</v>
      </c>
      <c r="B343" t="s">
        <v>3772</v>
      </c>
      <c r="C343" t="s">
        <v>3781</v>
      </c>
    </row>
    <row r="344" spans="1:3" x14ac:dyDescent="0.2">
      <c r="A344" s="14">
        <v>107928688</v>
      </c>
      <c r="B344" t="s">
        <v>3772</v>
      </c>
      <c r="C344" t="s">
        <v>3781</v>
      </c>
    </row>
    <row r="345" spans="1:3" x14ac:dyDescent="0.2">
      <c r="A345" s="14">
        <v>107928688</v>
      </c>
      <c r="B345" t="s">
        <v>3772</v>
      </c>
      <c r="C345" t="s">
        <v>3781</v>
      </c>
    </row>
    <row r="346" spans="1:3" x14ac:dyDescent="0.2">
      <c r="A346" s="14">
        <v>107928688</v>
      </c>
      <c r="B346" t="s">
        <v>3772</v>
      </c>
      <c r="C346" t="s">
        <v>3781</v>
      </c>
    </row>
    <row r="347" spans="1:3" x14ac:dyDescent="0.2">
      <c r="A347" s="14">
        <v>107928688</v>
      </c>
      <c r="B347" t="s">
        <v>3772</v>
      </c>
      <c r="C347" t="s">
        <v>3781</v>
      </c>
    </row>
    <row r="348" spans="1:3" x14ac:dyDescent="0.2">
      <c r="A348" s="14">
        <v>107928695</v>
      </c>
      <c r="B348" t="s">
        <v>3772</v>
      </c>
      <c r="C348" t="s">
        <v>3782</v>
      </c>
    </row>
    <row r="349" spans="1:3" x14ac:dyDescent="0.2">
      <c r="A349" s="14">
        <v>107928695</v>
      </c>
      <c r="B349" t="s">
        <v>3772</v>
      </c>
      <c r="C349" t="s">
        <v>3782</v>
      </c>
    </row>
    <row r="350" spans="1:3" x14ac:dyDescent="0.2">
      <c r="A350" s="14">
        <v>107928695</v>
      </c>
      <c r="B350" t="s">
        <v>3772</v>
      </c>
      <c r="C350" t="s">
        <v>3782</v>
      </c>
    </row>
    <row r="351" spans="1:3" x14ac:dyDescent="0.2">
      <c r="A351" s="14">
        <v>107928695</v>
      </c>
      <c r="B351" t="s">
        <v>3772</v>
      </c>
      <c r="C351" t="s">
        <v>3782</v>
      </c>
    </row>
    <row r="352" spans="1:3" x14ac:dyDescent="0.2">
      <c r="A352" s="14">
        <v>107928695</v>
      </c>
      <c r="B352" t="s">
        <v>3772</v>
      </c>
      <c r="C352" t="s">
        <v>3782</v>
      </c>
    </row>
    <row r="353" spans="1:3" x14ac:dyDescent="0.2">
      <c r="A353" s="14">
        <v>107928695</v>
      </c>
      <c r="B353" t="s">
        <v>3772</v>
      </c>
      <c r="C353" t="s">
        <v>3782</v>
      </c>
    </row>
    <row r="354" spans="1:3" x14ac:dyDescent="0.2">
      <c r="A354" s="14">
        <v>107928695</v>
      </c>
      <c r="B354" t="s">
        <v>3772</v>
      </c>
      <c r="C354" t="s">
        <v>3782</v>
      </c>
    </row>
    <row r="355" spans="1:3" x14ac:dyDescent="0.2">
      <c r="A355" s="14">
        <v>107928695</v>
      </c>
      <c r="B355" t="s">
        <v>3772</v>
      </c>
      <c r="C355" t="s">
        <v>3782</v>
      </c>
    </row>
    <row r="356" spans="1:3" x14ac:dyDescent="0.2">
      <c r="A356" s="14">
        <v>107928695</v>
      </c>
      <c r="B356" t="s">
        <v>3772</v>
      </c>
      <c r="C356" t="s">
        <v>3782</v>
      </c>
    </row>
    <row r="357" spans="1:3" x14ac:dyDescent="0.2">
      <c r="A357" s="14">
        <v>107928695</v>
      </c>
      <c r="B357" t="s">
        <v>3772</v>
      </c>
      <c r="C357" t="s">
        <v>3782</v>
      </c>
    </row>
    <row r="358" spans="1:3" x14ac:dyDescent="0.2">
      <c r="A358" s="14">
        <v>107928695</v>
      </c>
      <c r="B358" t="s">
        <v>3772</v>
      </c>
      <c r="C358" t="s">
        <v>3782</v>
      </c>
    </row>
    <row r="359" spans="1:3" x14ac:dyDescent="0.2">
      <c r="A359" s="14">
        <v>107928695</v>
      </c>
      <c r="B359" t="s">
        <v>3772</v>
      </c>
      <c r="C359" t="s">
        <v>3782</v>
      </c>
    </row>
    <row r="360" spans="1:3" x14ac:dyDescent="0.2">
      <c r="A360" s="14">
        <v>107928695</v>
      </c>
      <c r="B360" t="s">
        <v>3772</v>
      </c>
      <c r="C360" t="s">
        <v>3782</v>
      </c>
    </row>
    <row r="361" spans="1:3" x14ac:dyDescent="0.2">
      <c r="A361" s="14">
        <v>107928695</v>
      </c>
      <c r="B361" t="s">
        <v>3772</v>
      </c>
      <c r="C361" t="s">
        <v>3782</v>
      </c>
    </row>
    <row r="362" spans="1:3" x14ac:dyDescent="0.2">
      <c r="A362" s="14">
        <v>107928695</v>
      </c>
      <c r="B362" t="s">
        <v>3772</v>
      </c>
      <c r="C362" t="s">
        <v>3782</v>
      </c>
    </row>
    <row r="363" spans="1:3" x14ac:dyDescent="0.2">
      <c r="A363" s="14">
        <v>107928695</v>
      </c>
      <c r="B363" t="s">
        <v>3772</v>
      </c>
      <c r="C363" t="s">
        <v>3782</v>
      </c>
    </row>
    <row r="364" spans="1:3" x14ac:dyDescent="0.2">
      <c r="A364" s="14">
        <v>107928695</v>
      </c>
      <c r="B364" t="s">
        <v>3772</v>
      </c>
      <c r="C364" t="s">
        <v>3782</v>
      </c>
    </row>
    <row r="365" spans="1:3" x14ac:dyDescent="0.2">
      <c r="A365" s="14">
        <v>107928695</v>
      </c>
      <c r="B365" t="s">
        <v>3772</v>
      </c>
      <c r="C365" t="s">
        <v>3782</v>
      </c>
    </row>
    <row r="366" spans="1:3" x14ac:dyDescent="0.2">
      <c r="A366" s="14">
        <v>107928695</v>
      </c>
      <c r="B366" t="s">
        <v>3772</v>
      </c>
      <c r="C366" t="s">
        <v>3782</v>
      </c>
    </row>
    <row r="367" spans="1:3" x14ac:dyDescent="0.2">
      <c r="A367" s="14">
        <v>107928695</v>
      </c>
      <c r="B367" t="s">
        <v>3772</v>
      </c>
      <c r="C367" t="s">
        <v>3782</v>
      </c>
    </row>
    <row r="368" spans="1:3" x14ac:dyDescent="0.2">
      <c r="A368" s="14">
        <v>107928695</v>
      </c>
      <c r="B368" t="s">
        <v>3772</v>
      </c>
      <c r="C368" t="s">
        <v>3782</v>
      </c>
    </row>
    <row r="369" spans="1:3" x14ac:dyDescent="0.2">
      <c r="A369" s="14">
        <v>107928695</v>
      </c>
      <c r="B369" t="s">
        <v>3772</v>
      </c>
      <c r="C369" t="s">
        <v>3782</v>
      </c>
    </row>
    <row r="370" spans="1:3" x14ac:dyDescent="0.2">
      <c r="A370" s="14">
        <v>107928695</v>
      </c>
      <c r="B370" t="s">
        <v>3772</v>
      </c>
      <c r="C370" t="s">
        <v>3782</v>
      </c>
    </row>
    <row r="371" spans="1:3" x14ac:dyDescent="0.2">
      <c r="A371" s="14">
        <v>107928695</v>
      </c>
      <c r="B371" t="s">
        <v>3772</v>
      </c>
      <c r="C371" t="s">
        <v>3782</v>
      </c>
    </row>
    <row r="372" spans="1:3" x14ac:dyDescent="0.2">
      <c r="A372" s="14">
        <v>107928695</v>
      </c>
      <c r="B372" t="s">
        <v>3772</v>
      </c>
      <c r="C372" t="s">
        <v>3782</v>
      </c>
    </row>
    <row r="373" spans="1:3" x14ac:dyDescent="0.2">
      <c r="A373" s="14">
        <v>107928695</v>
      </c>
      <c r="B373" t="s">
        <v>3772</v>
      </c>
      <c r="C373" t="s">
        <v>3782</v>
      </c>
    </row>
    <row r="374" spans="1:3" x14ac:dyDescent="0.2">
      <c r="A374" s="14">
        <v>107928695</v>
      </c>
      <c r="B374" t="s">
        <v>3772</v>
      </c>
      <c r="C374" t="s">
        <v>3782</v>
      </c>
    </row>
    <row r="375" spans="1:3" x14ac:dyDescent="0.2">
      <c r="A375" s="14">
        <v>107928695</v>
      </c>
      <c r="B375" t="s">
        <v>3772</v>
      </c>
      <c r="C375" t="s">
        <v>3782</v>
      </c>
    </row>
    <row r="376" spans="1:3" x14ac:dyDescent="0.2">
      <c r="A376" s="14">
        <v>107928695</v>
      </c>
      <c r="B376" t="s">
        <v>3772</v>
      </c>
      <c r="C376" t="s">
        <v>3782</v>
      </c>
    </row>
    <row r="377" spans="1:3" x14ac:dyDescent="0.2">
      <c r="A377" s="14">
        <v>107928695</v>
      </c>
      <c r="B377" t="s">
        <v>3772</v>
      </c>
      <c r="C377" t="s">
        <v>3782</v>
      </c>
    </row>
    <row r="378" spans="1:3" x14ac:dyDescent="0.2">
      <c r="A378" s="14">
        <v>107928695</v>
      </c>
      <c r="B378" t="s">
        <v>3772</v>
      </c>
      <c r="C378" t="s">
        <v>3782</v>
      </c>
    </row>
    <row r="379" spans="1:3" x14ac:dyDescent="0.2">
      <c r="A379" s="14">
        <v>107928695</v>
      </c>
      <c r="B379" t="s">
        <v>3772</v>
      </c>
      <c r="C379" t="s">
        <v>3782</v>
      </c>
    </row>
    <row r="380" spans="1:3" x14ac:dyDescent="0.2">
      <c r="A380" s="14">
        <v>107928695</v>
      </c>
      <c r="B380" t="s">
        <v>3772</v>
      </c>
      <c r="C380" t="s">
        <v>3782</v>
      </c>
    </row>
    <row r="381" spans="1:3" x14ac:dyDescent="0.2">
      <c r="A381" s="14">
        <v>107928695</v>
      </c>
      <c r="B381" t="s">
        <v>3772</v>
      </c>
      <c r="C381" t="s">
        <v>3782</v>
      </c>
    </row>
    <row r="382" spans="1:3" x14ac:dyDescent="0.2">
      <c r="A382" s="14">
        <v>107928695</v>
      </c>
      <c r="B382" t="s">
        <v>3772</v>
      </c>
      <c r="C382" t="s">
        <v>3782</v>
      </c>
    </row>
    <row r="383" spans="1:3" x14ac:dyDescent="0.2">
      <c r="A383" s="14">
        <v>107928695</v>
      </c>
      <c r="B383" t="s">
        <v>3772</v>
      </c>
      <c r="C383" t="s">
        <v>3782</v>
      </c>
    </row>
    <row r="384" spans="1:3" x14ac:dyDescent="0.2">
      <c r="A384" s="14">
        <v>107928695</v>
      </c>
      <c r="B384" t="s">
        <v>3772</v>
      </c>
      <c r="C384" t="s">
        <v>3782</v>
      </c>
    </row>
    <row r="385" spans="1:3" x14ac:dyDescent="0.2">
      <c r="A385" s="14">
        <v>107928695</v>
      </c>
      <c r="B385" t="s">
        <v>3772</v>
      </c>
      <c r="C385" t="s">
        <v>3782</v>
      </c>
    </row>
    <row r="386" spans="1:3" x14ac:dyDescent="0.2">
      <c r="A386" s="14">
        <v>107928695</v>
      </c>
      <c r="B386" t="s">
        <v>3772</v>
      </c>
      <c r="C386" t="s">
        <v>3782</v>
      </c>
    </row>
    <row r="387" spans="1:3" x14ac:dyDescent="0.2">
      <c r="A387" s="14">
        <v>107928695</v>
      </c>
      <c r="B387" t="s">
        <v>3772</v>
      </c>
      <c r="C387" t="s">
        <v>3782</v>
      </c>
    </row>
    <row r="388" spans="1:3" x14ac:dyDescent="0.2">
      <c r="A388" s="14">
        <v>107928695</v>
      </c>
      <c r="B388" t="s">
        <v>3772</v>
      </c>
      <c r="C388" t="s">
        <v>3782</v>
      </c>
    </row>
    <row r="389" spans="1:3" x14ac:dyDescent="0.2">
      <c r="A389" s="14">
        <v>107928695</v>
      </c>
      <c r="B389" t="s">
        <v>3772</v>
      </c>
      <c r="C389" t="s">
        <v>3782</v>
      </c>
    </row>
    <row r="390" spans="1:3" x14ac:dyDescent="0.2">
      <c r="A390" s="14">
        <v>107928695</v>
      </c>
      <c r="B390" t="s">
        <v>3772</v>
      </c>
      <c r="C390" t="s">
        <v>3782</v>
      </c>
    </row>
    <row r="391" spans="1:3" x14ac:dyDescent="0.2">
      <c r="A391" s="14">
        <v>107928695</v>
      </c>
      <c r="B391" t="s">
        <v>3772</v>
      </c>
      <c r="C391" t="s">
        <v>3782</v>
      </c>
    </row>
    <row r="392" spans="1:3" x14ac:dyDescent="0.2">
      <c r="A392" s="14">
        <v>107928695</v>
      </c>
      <c r="B392" t="s">
        <v>3772</v>
      </c>
      <c r="C392" t="s">
        <v>3782</v>
      </c>
    </row>
    <row r="393" spans="1:3" x14ac:dyDescent="0.2">
      <c r="A393" s="14">
        <v>107928695</v>
      </c>
      <c r="B393" t="s">
        <v>3772</v>
      </c>
      <c r="C393" t="s">
        <v>3782</v>
      </c>
    </row>
    <row r="394" spans="1:3" x14ac:dyDescent="0.2">
      <c r="A394" s="14">
        <v>107928695</v>
      </c>
      <c r="B394" t="s">
        <v>3772</v>
      </c>
      <c r="C394" t="s">
        <v>3782</v>
      </c>
    </row>
    <row r="395" spans="1:3" x14ac:dyDescent="0.2">
      <c r="A395" s="14">
        <v>107928695</v>
      </c>
      <c r="B395" t="s">
        <v>3772</v>
      </c>
      <c r="C395" t="s">
        <v>3782</v>
      </c>
    </row>
    <row r="396" spans="1:3" x14ac:dyDescent="0.2">
      <c r="A396" s="14">
        <v>107928695</v>
      </c>
      <c r="B396" t="s">
        <v>3772</v>
      </c>
      <c r="C396" t="s">
        <v>3782</v>
      </c>
    </row>
    <row r="397" spans="1:3" x14ac:dyDescent="0.2">
      <c r="A397" s="14">
        <v>107928695</v>
      </c>
      <c r="B397" t="s">
        <v>3772</v>
      </c>
      <c r="C397" t="s">
        <v>3782</v>
      </c>
    </row>
    <row r="398" spans="1:3" x14ac:dyDescent="0.2">
      <c r="A398" s="14">
        <v>107928695</v>
      </c>
      <c r="B398" t="s">
        <v>3772</v>
      </c>
      <c r="C398" t="s">
        <v>3782</v>
      </c>
    </row>
    <row r="399" spans="1:3" x14ac:dyDescent="0.2">
      <c r="A399" s="14">
        <v>107928695</v>
      </c>
      <c r="B399" t="s">
        <v>3772</v>
      </c>
      <c r="C399" t="s">
        <v>3782</v>
      </c>
    </row>
    <row r="400" spans="1:3" x14ac:dyDescent="0.2">
      <c r="A400" s="14">
        <v>107928695</v>
      </c>
      <c r="B400" t="s">
        <v>3772</v>
      </c>
      <c r="C400" t="s">
        <v>3782</v>
      </c>
    </row>
    <row r="401" spans="1:3" x14ac:dyDescent="0.2">
      <c r="A401" s="14">
        <v>107928695</v>
      </c>
      <c r="B401" t="s">
        <v>3772</v>
      </c>
      <c r="C401" t="s">
        <v>3782</v>
      </c>
    </row>
    <row r="402" spans="1:3" x14ac:dyDescent="0.2">
      <c r="A402" s="14">
        <v>107928695</v>
      </c>
      <c r="B402" t="s">
        <v>3772</v>
      </c>
      <c r="C402" t="s">
        <v>3782</v>
      </c>
    </row>
    <row r="403" spans="1:3" x14ac:dyDescent="0.2">
      <c r="A403" s="14">
        <v>107928695</v>
      </c>
      <c r="B403" t="s">
        <v>3772</v>
      </c>
      <c r="C403" t="s">
        <v>3782</v>
      </c>
    </row>
    <row r="404" spans="1:3" x14ac:dyDescent="0.2">
      <c r="A404" s="14">
        <v>107928695</v>
      </c>
      <c r="B404" t="s">
        <v>3772</v>
      </c>
      <c r="C404" t="s">
        <v>3782</v>
      </c>
    </row>
    <row r="405" spans="1:3" x14ac:dyDescent="0.2">
      <c r="A405" s="14">
        <v>107928695</v>
      </c>
      <c r="B405" t="s">
        <v>3772</v>
      </c>
      <c r="C405" t="s">
        <v>3782</v>
      </c>
    </row>
    <row r="406" spans="1:3" x14ac:dyDescent="0.2">
      <c r="A406" s="14">
        <v>107928695</v>
      </c>
      <c r="B406" t="s">
        <v>3772</v>
      </c>
      <c r="C406" t="s">
        <v>3782</v>
      </c>
    </row>
    <row r="407" spans="1:3" x14ac:dyDescent="0.2">
      <c r="A407" s="14">
        <v>107928695</v>
      </c>
      <c r="B407" t="s">
        <v>3772</v>
      </c>
      <c r="C407" t="s">
        <v>3782</v>
      </c>
    </row>
    <row r="408" spans="1:3" x14ac:dyDescent="0.2">
      <c r="A408" s="14">
        <v>107928695</v>
      </c>
      <c r="B408" t="s">
        <v>3772</v>
      </c>
      <c r="C408" t="s">
        <v>3782</v>
      </c>
    </row>
    <row r="409" spans="1:3" x14ac:dyDescent="0.2">
      <c r="A409" s="14">
        <v>107928695</v>
      </c>
      <c r="B409" t="s">
        <v>3772</v>
      </c>
      <c r="C409" t="s">
        <v>3782</v>
      </c>
    </row>
    <row r="410" spans="1:3" x14ac:dyDescent="0.2">
      <c r="A410" s="14">
        <v>107928695</v>
      </c>
      <c r="B410" t="s">
        <v>3772</v>
      </c>
      <c r="C410" t="s">
        <v>3782</v>
      </c>
    </row>
    <row r="411" spans="1:3" x14ac:dyDescent="0.2">
      <c r="A411" s="14">
        <v>107928695</v>
      </c>
      <c r="B411" t="s">
        <v>3772</v>
      </c>
      <c r="C411" t="s">
        <v>3782</v>
      </c>
    </row>
    <row r="412" spans="1:3" x14ac:dyDescent="0.2">
      <c r="A412" s="14">
        <v>107928695</v>
      </c>
      <c r="B412" t="s">
        <v>3772</v>
      </c>
      <c r="C412" t="s">
        <v>3782</v>
      </c>
    </row>
    <row r="413" spans="1:3" x14ac:dyDescent="0.2">
      <c r="A413" s="14">
        <v>107928695</v>
      </c>
      <c r="B413" t="s">
        <v>3772</v>
      </c>
      <c r="C413" t="s">
        <v>3782</v>
      </c>
    </row>
    <row r="414" spans="1:3" x14ac:dyDescent="0.2">
      <c r="A414" s="14">
        <v>107928695</v>
      </c>
      <c r="B414" t="s">
        <v>3772</v>
      </c>
      <c r="C414" t="s">
        <v>3782</v>
      </c>
    </row>
    <row r="415" spans="1:3" x14ac:dyDescent="0.2">
      <c r="A415" s="14">
        <v>107928695</v>
      </c>
      <c r="B415" t="s">
        <v>3772</v>
      </c>
      <c r="C415" t="s">
        <v>3782</v>
      </c>
    </row>
    <row r="416" spans="1:3" x14ac:dyDescent="0.2">
      <c r="A416" s="14">
        <v>107928695</v>
      </c>
      <c r="B416" t="s">
        <v>3772</v>
      </c>
      <c r="C416" t="s">
        <v>3782</v>
      </c>
    </row>
    <row r="417" spans="1:3" x14ac:dyDescent="0.2">
      <c r="A417" s="14">
        <v>107928695</v>
      </c>
      <c r="B417" t="s">
        <v>3772</v>
      </c>
      <c r="C417" t="s">
        <v>3782</v>
      </c>
    </row>
    <row r="418" spans="1:3" x14ac:dyDescent="0.2">
      <c r="A418" s="14">
        <v>107928695</v>
      </c>
      <c r="B418" t="s">
        <v>3772</v>
      </c>
      <c r="C418" t="s">
        <v>3782</v>
      </c>
    </row>
    <row r="419" spans="1:3" x14ac:dyDescent="0.2">
      <c r="A419" s="14">
        <v>107928695</v>
      </c>
      <c r="B419" t="s">
        <v>3772</v>
      </c>
      <c r="C419" t="s">
        <v>3782</v>
      </c>
    </row>
    <row r="420" spans="1:3" x14ac:dyDescent="0.2">
      <c r="A420" s="14">
        <v>107928695</v>
      </c>
      <c r="B420" t="s">
        <v>3772</v>
      </c>
      <c r="C420" t="s">
        <v>3782</v>
      </c>
    </row>
    <row r="421" spans="1:3" x14ac:dyDescent="0.2">
      <c r="A421" s="14">
        <v>107928695</v>
      </c>
      <c r="B421" t="s">
        <v>3772</v>
      </c>
      <c r="C421" t="s">
        <v>3782</v>
      </c>
    </row>
    <row r="422" spans="1:3" x14ac:dyDescent="0.2">
      <c r="A422" s="14">
        <v>107928695</v>
      </c>
      <c r="B422" t="s">
        <v>3772</v>
      </c>
      <c r="C422" t="s">
        <v>3782</v>
      </c>
    </row>
    <row r="423" spans="1:3" x14ac:dyDescent="0.2">
      <c r="A423" s="14">
        <v>107928695</v>
      </c>
      <c r="B423" t="s">
        <v>3772</v>
      </c>
      <c r="C423" t="s">
        <v>3782</v>
      </c>
    </row>
    <row r="424" spans="1:3" x14ac:dyDescent="0.2">
      <c r="A424" s="14">
        <v>107928695</v>
      </c>
      <c r="B424" t="s">
        <v>3772</v>
      </c>
      <c r="C424" t="s">
        <v>3782</v>
      </c>
    </row>
    <row r="425" spans="1:3" x14ac:dyDescent="0.2">
      <c r="A425" s="14">
        <v>107928695</v>
      </c>
      <c r="B425" t="s">
        <v>3772</v>
      </c>
      <c r="C425" t="s">
        <v>3782</v>
      </c>
    </row>
    <row r="426" spans="1:3" x14ac:dyDescent="0.2">
      <c r="A426" s="14">
        <v>107928695</v>
      </c>
      <c r="B426" t="s">
        <v>3772</v>
      </c>
      <c r="C426" t="s">
        <v>3782</v>
      </c>
    </row>
    <row r="427" spans="1:3" x14ac:dyDescent="0.2">
      <c r="A427" s="14">
        <v>107928695</v>
      </c>
      <c r="B427" t="s">
        <v>3772</v>
      </c>
      <c r="C427" t="s">
        <v>3782</v>
      </c>
    </row>
    <row r="428" spans="1:3" x14ac:dyDescent="0.2">
      <c r="A428" s="14">
        <v>107928695</v>
      </c>
      <c r="B428" t="s">
        <v>3772</v>
      </c>
      <c r="C428" t="s">
        <v>3782</v>
      </c>
    </row>
    <row r="429" spans="1:3" x14ac:dyDescent="0.2">
      <c r="A429" s="14">
        <v>107928695</v>
      </c>
      <c r="B429" t="s">
        <v>3772</v>
      </c>
      <c r="C429" t="s">
        <v>3782</v>
      </c>
    </row>
    <row r="430" spans="1:3" x14ac:dyDescent="0.2">
      <c r="A430" s="14">
        <v>107928695</v>
      </c>
      <c r="B430" t="s">
        <v>3772</v>
      </c>
      <c r="C430" t="s">
        <v>3782</v>
      </c>
    </row>
    <row r="431" spans="1:3" x14ac:dyDescent="0.2">
      <c r="A431" s="14">
        <v>107928695</v>
      </c>
      <c r="B431" t="s">
        <v>3772</v>
      </c>
      <c r="C431" t="s">
        <v>3782</v>
      </c>
    </row>
    <row r="432" spans="1:3" x14ac:dyDescent="0.2">
      <c r="A432" s="14">
        <v>107928695</v>
      </c>
      <c r="B432" t="s">
        <v>3772</v>
      </c>
      <c r="C432" t="s">
        <v>3782</v>
      </c>
    </row>
    <row r="433" spans="1:3" x14ac:dyDescent="0.2">
      <c r="A433" s="14">
        <v>107928695</v>
      </c>
      <c r="B433" t="s">
        <v>3772</v>
      </c>
      <c r="C433" t="s">
        <v>3782</v>
      </c>
    </row>
    <row r="434" spans="1:3" x14ac:dyDescent="0.2">
      <c r="A434" s="14">
        <v>107928695</v>
      </c>
      <c r="B434" t="s">
        <v>3772</v>
      </c>
      <c r="C434" t="s">
        <v>3782</v>
      </c>
    </row>
    <row r="435" spans="1:3" x14ac:dyDescent="0.2">
      <c r="A435" s="14">
        <v>107928695</v>
      </c>
      <c r="B435" t="s">
        <v>3772</v>
      </c>
      <c r="C435" t="s">
        <v>3782</v>
      </c>
    </row>
    <row r="436" spans="1:3" x14ac:dyDescent="0.2">
      <c r="A436" s="14">
        <v>107928695</v>
      </c>
      <c r="B436" t="s">
        <v>3772</v>
      </c>
      <c r="C436" t="s">
        <v>3782</v>
      </c>
    </row>
    <row r="437" spans="1:3" x14ac:dyDescent="0.2">
      <c r="A437" s="14">
        <v>107928695</v>
      </c>
      <c r="B437" t="s">
        <v>3772</v>
      </c>
      <c r="C437" t="s">
        <v>3782</v>
      </c>
    </row>
    <row r="438" spans="1:3" x14ac:dyDescent="0.2">
      <c r="A438" s="14">
        <v>107928695</v>
      </c>
      <c r="B438" t="s">
        <v>3772</v>
      </c>
      <c r="C438" t="s">
        <v>3782</v>
      </c>
    </row>
    <row r="439" spans="1:3" x14ac:dyDescent="0.2">
      <c r="A439" s="14">
        <v>107928695</v>
      </c>
      <c r="B439" t="s">
        <v>3772</v>
      </c>
      <c r="C439" t="s">
        <v>3782</v>
      </c>
    </row>
    <row r="440" spans="1:3" x14ac:dyDescent="0.2">
      <c r="A440" s="14">
        <v>107928695</v>
      </c>
      <c r="B440" t="s">
        <v>3772</v>
      </c>
      <c r="C440" t="s">
        <v>3782</v>
      </c>
    </row>
    <row r="441" spans="1:3" x14ac:dyDescent="0.2">
      <c r="A441" s="14">
        <v>107928695</v>
      </c>
      <c r="B441" t="s">
        <v>3772</v>
      </c>
      <c r="C441" t="s">
        <v>3782</v>
      </c>
    </row>
    <row r="442" spans="1:3" x14ac:dyDescent="0.2">
      <c r="A442" s="14">
        <v>107928695</v>
      </c>
      <c r="B442" t="s">
        <v>3772</v>
      </c>
      <c r="C442" t="s">
        <v>3782</v>
      </c>
    </row>
    <row r="443" spans="1:3" x14ac:dyDescent="0.2">
      <c r="A443" s="14">
        <v>107928695</v>
      </c>
      <c r="B443" t="s">
        <v>3772</v>
      </c>
      <c r="C443" t="s">
        <v>3782</v>
      </c>
    </row>
    <row r="444" spans="1:3" x14ac:dyDescent="0.2">
      <c r="A444" s="14">
        <v>107928695</v>
      </c>
      <c r="B444" t="s">
        <v>3772</v>
      </c>
      <c r="C444" t="s">
        <v>3782</v>
      </c>
    </row>
    <row r="445" spans="1:3" x14ac:dyDescent="0.2">
      <c r="A445" s="14">
        <v>107928695</v>
      </c>
      <c r="B445" t="s">
        <v>3772</v>
      </c>
      <c r="C445" t="s">
        <v>3782</v>
      </c>
    </row>
    <row r="446" spans="1:3" x14ac:dyDescent="0.2">
      <c r="A446" s="14">
        <v>107928695</v>
      </c>
      <c r="B446" t="s">
        <v>3772</v>
      </c>
      <c r="C446" t="s">
        <v>3782</v>
      </c>
    </row>
    <row r="447" spans="1:3" x14ac:dyDescent="0.2">
      <c r="A447" s="14">
        <v>107928695</v>
      </c>
      <c r="B447" t="s">
        <v>3772</v>
      </c>
      <c r="C447" t="s">
        <v>3782</v>
      </c>
    </row>
    <row r="448" spans="1:3" x14ac:dyDescent="0.2">
      <c r="A448" s="14">
        <v>107928695</v>
      </c>
      <c r="B448" t="s">
        <v>3772</v>
      </c>
      <c r="C448" t="s">
        <v>3782</v>
      </c>
    </row>
    <row r="449" spans="1:3" x14ac:dyDescent="0.2">
      <c r="A449" s="14">
        <v>107928695</v>
      </c>
      <c r="B449" t="s">
        <v>3772</v>
      </c>
      <c r="C449" t="s">
        <v>3782</v>
      </c>
    </row>
    <row r="450" spans="1:3" x14ac:dyDescent="0.2">
      <c r="A450" s="14">
        <v>107928695</v>
      </c>
      <c r="B450" t="s">
        <v>3772</v>
      </c>
      <c r="C450" t="s">
        <v>3782</v>
      </c>
    </row>
    <row r="451" spans="1:3" x14ac:dyDescent="0.2">
      <c r="A451" s="14">
        <v>107928695</v>
      </c>
      <c r="B451" t="s">
        <v>3772</v>
      </c>
      <c r="C451" t="s">
        <v>3782</v>
      </c>
    </row>
    <row r="452" spans="1:3" x14ac:dyDescent="0.2">
      <c r="A452" s="14">
        <v>107928695</v>
      </c>
      <c r="B452" t="s">
        <v>3772</v>
      </c>
      <c r="C452" t="s">
        <v>3782</v>
      </c>
    </row>
    <row r="453" spans="1:3" x14ac:dyDescent="0.2">
      <c r="A453" s="14">
        <v>107928695</v>
      </c>
      <c r="B453" t="s">
        <v>3772</v>
      </c>
      <c r="C453" t="s">
        <v>3782</v>
      </c>
    </row>
    <row r="454" spans="1:3" x14ac:dyDescent="0.2">
      <c r="A454" s="14">
        <v>107928695</v>
      </c>
      <c r="B454" t="s">
        <v>3772</v>
      </c>
      <c r="C454" t="s">
        <v>3782</v>
      </c>
    </row>
    <row r="455" spans="1:3" x14ac:dyDescent="0.2">
      <c r="A455" s="14">
        <v>107928695</v>
      </c>
      <c r="B455" t="s">
        <v>3772</v>
      </c>
      <c r="C455" t="s">
        <v>3782</v>
      </c>
    </row>
    <row r="456" spans="1:3" x14ac:dyDescent="0.2">
      <c r="A456" s="14">
        <v>107928695</v>
      </c>
      <c r="B456" t="s">
        <v>3772</v>
      </c>
      <c r="C456" t="s">
        <v>3782</v>
      </c>
    </row>
    <row r="457" spans="1:3" x14ac:dyDescent="0.2">
      <c r="A457" s="14">
        <v>107928695</v>
      </c>
      <c r="B457" t="s">
        <v>3772</v>
      </c>
      <c r="C457" t="s">
        <v>3782</v>
      </c>
    </row>
    <row r="458" spans="1:3" x14ac:dyDescent="0.2">
      <c r="A458" s="14">
        <v>107928695</v>
      </c>
      <c r="B458" t="s">
        <v>3772</v>
      </c>
      <c r="C458" t="s">
        <v>3782</v>
      </c>
    </row>
    <row r="459" spans="1:3" x14ac:dyDescent="0.2">
      <c r="A459" s="14">
        <v>107928695</v>
      </c>
      <c r="B459" t="s">
        <v>3772</v>
      </c>
      <c r="C459" t="s">
        <v>3782</v>
      </c>
    </row>
    <row r="460" spans="1:3" x14ac:dyDescent="0.2">
      <c r="A460" s="14">
        <v>107928695</v>
      </c>
      <c r="B460" t="s">
        <v>3772</v>
      </c>
      <c r="C460" t="s">
        <v>3782</v>
      </c>
    </row>
    <row r="461" spans="1:3" x14ac:dyDescent="0.2">
      <c r="A461" s="14">
        <v>107928695</v>
      </c>
      <c r="B461" t="s">
        <v>3772</v>
      </c>
      <c r="C461" t="s">
        <v>3782</v>
      </c>
    </row>
    <row r="462" spans="1:3" x14ac:dyDescent="0.2">
      <c r="A462" s="14">
        <v>107928695</v>
      </c>
      <c r="B462" t="s">
        <v>3772</v>
      </c>
      <c r="C462" t="s">
        <v>3782</v>
      </c>
    </row>
    <row r="463" spans="1:3" x14ac:dyDescent="0.2">
      <c r="A463" s="14">
        <v>107928695</v>
      </c>
      <c r="B463" t="s">
        <v>3772</v>
      </c>
      <c r="C463" t="s">
        <v>3782</v>
      </c>
    </row>
    <row r="464" spans="1:3" x14ac:dyDescent="0.2">
      <c r="A464" s="14">
        <v>107928695</v>
      </c>
      <c r="B464" t="s">
        <v>3772</v>
      </c>
      <c r="C464" t="s">
        <v>3782</v>
      </c>
    </row>
    <row r="465" spans="1:3" x14ac:dyDescent="0.2">
      <c r="A465" s="14">
        <v>107928695</v>
      </c>
      <c r="B465" t="s">
        <v>3772</v>
      </c>
      <c r="C465" t="s">
        <v>3782</v>
      </c>
    </row>
    <row r="466" spans="1:3" x14ac:dyDescent="0.2">
      <c r="A466" s="14">
        <v>107928695</v>
      </c>
      <c r="B466" t="s">
        <v>3772</v>
      </c>
      <c r="C466" t="s">
        <v>3782</v>
      </c>
    </row>
    <row r="467" spans="1:3" x14ac:dyDescent="0.2">
      <c r="A467" s="14">
        <v>107928695</v>
      </c>
      <c r="B467" t="s">
        <v>3772</v>
      </c>
      <c r="C467" t="s">
        <v>3782</v>
      </c>
    </row>
    <row r="468" spans="1:3" x14ac:dyDescent="0.2">
      <c r="A468" s="14">
        <v>107928695</v>
      </c>
      <c r="B468" t="s">
        <v>3772</v>
      </c>
      <c r="C468" t="s">
        <v>3782</v>
      </c>
    </row>
    <row r="469" spans="1:3" x14ac:dyDescent="0.2">
      <c r="A469" s="14">
        <v>107928695</v>
      </c>
      <c r="B469" t="s">
        <v>3772</v>
      </c>
      <c r="C469" t="s">
        <v>3782</v>
      </c>
    </row>
    <row r="470" spans="1:3" x14ac:dyDescent="0.2">
      <c r="A470" s="14">
        <v>107928695</v>
      </c>
      <c r="B470" t="s">
        <v>3772</v>
      </c>
      <c r="C470" t="s">
        <v>3782</v>
      </c>
    </row>
    <row r="471" spans="1:3" x14ac:dyDescent="0.2">
      <c r="A471" s="14">
        <v>107928695</v>
      </c>
      <c r="B471" t="s">
        <v>3772</v>
      </c>
      <c r="C471" t="s">
        <v>3782</v>
      </c>
    </row>
    <row r="472" spans="1:3" x14ac:dyDescent="0.2">
      <c r="A472" s="14">
        <v>107928695</v>
      </c>
      <c r="B472" t="s">
        <v>3772</v>
      </c>
      <c r="C472" t="s">
        <v>3782</v>
      </c>
    </row>
    <row r="473" spans="1:3" x14ac:dyDescent="0.2">
      <c r="A473" s="14">
        <v>107928695</v>
      </c>
      <c r="B473" t="s">
        <v>3772</v>
      </c>
      <c r="C473" t="s">
        <v>3782</v>
      </c>
    </row>
    <row r="474" spans="1:3" x14ac:dyDescent="0.2">
      <c r="A474" s="14">
        <v>107928695</v>
      </c>
      <c r="B474" t="s">
        <v>3772</v>
      </c>
      <c r="C474" t="s">
        <v>3782</v>
      </c>
    </row>
    <row r="475" spans="1:3" x14ac:dyDescent="0.2">
      <c r="A475" s="14">
        <v>107928695</v>
      </c>
      <c r="B475" t="s">
        <v>3772</v>
      </c>
      <c r="C475" t="s">
        <v>3782</v>
      </c>
    </row>
    <row r="476" spans="1:3" x14ac:dyDescent="0.2">
      <c r="A476" s="14">
        <v>107928695</v>
      </c>
      <c r="B476" t="s">
        <v>3772</v>
      </c>
      <c r="C476" t="s">
        <v>3782</v>
      </c>
    </row>
    <row r="477" spans="1:3" x14ac:dyDescent="0.2">
      <c r="A477" s="14">
        <v>107928695</v>
      </c>
      <c r="B477" t="s">
        <v>3772</v>
      </c>
      <c r="C477" t="s">
        <v>3782</v>
      </c>
    </row>
    <row r="478" spans="1:3" x14ac:dyDescent="0.2">
      <c r="A478" s="14">
        <v>107928695</v>
      </c>
      <c r="B478" t="s">
        <v>3772</v>
      </c>
      <c r="C478" t="s">
        <v>3782</v>
      </c>
    </row>
    <row r="479" spans="1:3" x14ac:dyDescent="0.2">
      <c r="A479" s="14">
        <v>107928695</v>
      </c>
      <c r="B479" t="s">
        <v>3772</v>
      </c>
      <c r="C479" t="s">
        <v>3782</v>
      </c>
    </row>
    <row r="480" spans="1:3" x14ac:dyDescent="0.2">
      <c r="A480" s="14">
        <v>107928695</v>
      </c>
      <c r="B480" t="s">
        <v>3772</v>
      </c>
      <c r="C480" t="s">
        <v>3782</v>
      </c>
    </row>
    <row r="481" spans="1:3" x14ac:dyDescent="0.2">
      <c r="A481" s="14">
        <v>107928695</v>
      </c>
      <c r="B481" t="s">
        <v>3772</v>
      </c>
      <c r="C481" t="s">
        <v>3782</v>
      </c>
    </row>
    <row r="482" spans="1:3" x14ac:dyDescent="0.2">
      <c r="A482" s="14">
        <v>107928695</v>
      </c>
      <c r="B482" t="s">
        <v>3772</v>
      </c>
      <c r="C482" t="s">
        <v>3782</v>
      </c>
    </row>
    <row r="483" spans="1:3" x14ac:dyDescent="0.2">
      <c r="A483" s="14">
        <v>107928695</v>
      </c>
      <c r="B483" t="s">
        <v>3772</v>
      </c>
      <c r="C483" t="s">
        <v>3782</v>
      </c>
    </row>
    <row r="484" spans="1:3" x14ac:dyDescent="0.2">
      <c r="A484" s="14">
        <v>107928695</v>
      </c>
      <c r="B484" t="s">
        <v>3772</v>
      </c>
      <c r="C484" t="s">
        <v>3782</v>
      </c>
    </row>
    <row r="485" spans="1:3" x14ac:dyDescent="0.2">
      <c r="A485" s="14">
        <v>107928695</v>
      </c>
      <c r="B485" t="s">
        <v>3772</v>
      </c>
      <c r="C485" t="s">
        <v>3782</v>
      </c>
    </row>
    <row r="486" spans="1:3" x14ac:dyDescent="0.2">
      <c r="A486" s="14">
        <v>107928695</v>
      </c>
      <c r="B486" t="s">
        <v>3772</v>
      </c>
      <c r="C486" t="s">
        <v>3782</v>
      </c>
    </row>
    <row r="487" spans="1:3" x14ac:dyDescent="0.2">
      <c r="A487" s="14">
        <v>107928695</v>
      </c>
      <c r="B487" t="s">
        <v>3772</v>
      </c>
      <c r="C487" t="s">
        <v>3782</v>
      </c>
    </row>
    <row r="488" spans="1:3" x14ac:dyDescent="0.2">
      <c r="A488" s="14">
        <v>107928695</v>
      </c>
      <c r="B488" t="s">
        <v>3772</v>
      </c>
      <c r="C488" t="s">
        <v>3782</v>
      </c>
    </row>
    <row r="489" spans="1:3" x14ac:dyDescent="0.2">
      <c r="A489" s="14">
        <v>107928695</v>
      </c>
      <c r="B489" t="s">
        <v>3772</v>
      </c>
      <c r="C489" t="s">
        <v>3782</v>
      </c>
    </row>
    <row r="490" spans="1:3" x14ac:dyDescent="0.2">
      <c r="A490" s="14">
        <v>107928695</v>
      </c>
      <c r="B490" t="s">
        <v>3772</v>
      </c>
      <c r="C490" t="s">
        <v>3782</v>
      </c>
    </row>
    <row r="491" spans="1:3" x14ac:dyDescent="0.2">
      <c r="A491" s="14">
        <v>107928695</v>
      </c>
      <c r="B491" t="s">
        <v>3772</v>
      </c>
      <c r="C491" t="s">
        <v>3782</v>
      </c>
    </row>
    <row r="492" spans="1:3" x14ac:dyDescent="0.2">
      <c r="A492" s="14">
        <v>107928695</v>
      </c>
      <c r="B492" t="s">
        <v>3772</v>
      </c>
      <c r="C492" t="s">
        <v>3782</v>
      </c>
    </row>
    <row r="493" spans="1:3" x14ac:dyDescent="0.2">
      <c r="A493" s="14">
        <v>107928695</v>
      </c>
      <c r="B493" t="s">
        <v>3772</v>
      </c>
      <c r="C493" t="s">
        <v>3782</v>
      </c>
    </row>
    <row r="494" spans="1:3" x14ac:dyDescent="0.2">
      <c r="A494" s="14">
        <v>107928695</v>
      </c>
      <c r="B494" t="s">
        <v>3772</v>
      </c>
      <c r="C494" t="s">
        <v>3782</v>
      </c>
    </row>
    <row r="495" spans="1:3" x14ac:dyDescent="0.2">
      <c r="A495" s="14">
        <v>107928700</v>
      </c>
      <c r="B495" t="s">
        <v>3772</v>
      </c>
      <c r="C495" t="s">
        <v>3783</v>
      </c>
    </row>
    <row r="496" spans="1:3" x14ac:dyDescent="0.2">
      <c r="A496" s="14">
        <v>107928700</v>
      </c>
      <c r="B496" t="s">
        <v>3772</v>
      </c>
      <c r="C496" t="s">
        <v>3783</v>
      </c>
    </row>
    <row r="497" spans="1:3" x14ac:dyDescent="0.2">
      <c r="A497" s="14">
        <v>107928700</v>
      </c>
      <c r="B497" t="s">
        <v>3772</v>
      </c>
      <c r="C497" t="s">
        <v>3783</v>
      </c>
    </row>
    <row r="498" spans="1:3" x14ac:dyDescent="0.2">
      <c r="A498" s="14">
        <v>107928700</v>
      </c>
      <c r="B498" t="s">
        <v>3772</v>
      </c>
      <c r="C498" t="s">
        <v>3783</v>
      </c>
    </row>
    <row r="499" spans="1:3" x14ac:dyDescent="0.2">
      <c r="A499" s="14">
        <v>107928700</v>
      </c>
      <c r="B499" t="s">
        <v>3772</v>
      </c>
      <c r="C499" t="s">
        <v>3783</v>
      </c>
    </row>
    <row r="500" spans="1:3" x14ac:dyDescent="0.2">
      <c r="A500" s="14">
        <v>107928700</v>
      </c>
      <c r="B500" t="s">
        <v>3772</v>
      </c>
      <c r="C500" t="s">
        <v>3783</v>
      </c>
    </row>
    <row r="501" spans="1:3" x14ac:dyDescent="0.2">
      <c r="A501" s="14">
        <v>107928700</v>
      </c>
      <c r="B501" t="s">
        <v>3772</v>
      </c>
      <c r="C501" t="s">
        <v>3783</v>
      </c>
    </row>
    <row r="502" spans="1:3" x14ac:dyDescent="0.2">
      <c r="A502" s="14">
        <v>107928700</v>
      </c>
      <c r="B502" t="s">
        <v>3772</v>
      </c>
      <c r="C502" t="s">
        <v>3783</v>
      </c>
    </row>
    <row r="503" spans="1:3" x14ac:dyDescent="0.2">
      <c r="A503" s="14">
        <v>107928700</v>
      </c>
      <c r="B503" t="s">
        <v>3772</v>
      </c>
      <c r="C503" t="s">
        <v>3783</v>
      </c>
    </row>
    <row r="504" spans="1:3" x14ac:dyDescent="0.2">
      <c r="A504" s="14">
        <v>107928700</v>
      </c>
      <c r="B504" t="s">
        <v>3772</v>
      </c>
      <c r="C504" t="s">
        <v>3783</v>
      </c>
    </row>
    <row r="505" spans="1:3" x14ac:dyDescent="0.2">
      <c r="A505" s="14">
        <v>107928700</v>
      </c>
      <c r="B505" t="s">
        <v>3772</v>
      </c>
      <c r="C505" t="s">
        <v>3783</v>
      </c>
    </row>
    <row r="506" spans="1:3" x14ac:dyDescent="0.2">
      <c r="A506" s="14">
        <v>107928700</v>
      </c>
      <c r="B506" t="s">
        <v>3772</v>
      </c>
      <c r="C506" t="s">
        <v>3783</v>
      </c>
    </row>
    <row r="507" spans="1:3" x14ac:dyDescent="0.2">
      <c r="A507" s="14">
        <v>107928700</v>
      </c>
      <c r="B507" t="s">
        <v>3772</v>
      </c>
      <c r="C507" t="s">
        <v>3783</v>
      </c>
    </row>
    <row r="508" spans="1:3" x14ac:dyDescent="0.2">
      <c r="A508" s="14">
        <v>107928700</v>
      </c>
      <c r="B508" t="s">
        <v>3772</v>
      </c>
      <c r="C508" t="s">
        <v>3783</v>
      </c>
    </row>
    <row r="509" spans="1:3" x14ac:dyDescent="0.2">
      <c r="A509" s="14">
        <v>107928700</v>
      </c>
      <c r="B509" t="s">
        <v>3772</v>
      </c>
      <c r="C509" t="s">
        <v>3783</v>
      </c>
    </row>
    <row r="510" spans="1:3" x14ac:dyDescent="0.2">
      <c r="A510" s="14">
        <v>107928700</v>
      </c>
      <c r="B510" t="s">
        <v>3772</v>
      </c>
      <c r="C510" t="s">
        <v>3783</v>
      </c>
    </row>
    <row r="511" spans="1:3" x14ac:dyDescent="0.2">
      <c r="A511" s="14">
        <v>107928700</v>
      </c>
      <c r="B511" t="s">
        <v>3772</v>
      </c>
      <c r="C511" t="s">
        <v>3783</v>
      </c>
    </row>
    <row r="512" spans="1:3" x14ac:dyDescent="0.2">
      <c r="A512" s="14">
        <v>107928700</v>
      </c>
      <c r="B512" t="s">
        <v>3772</v>
      </c>
      <c r="C512" t="s">
        <v>3783</v>
      </c>
    </row>
    <row r="513" spans="1:3" x14ac:dyDescent="0.2">
      <c r="A513" s="14">
        <v>107928700</v>
      </c>
      <c r="B513" t="s">
        <v>3772</v>
      </c>
      <c r="C513" t="s">
        <v>3783</v>
      </c>
    </row>
    <row r="514" spans="1:3" x14ac:dyDescent="0.2">
      <c r="A514" s="14">
        <v>107928700</v>
      </c>
      <c r="B514" t="s">
        <v>3772</v>
      </c>
      <c r="C514" t="s">
        <v>3783</v>
      </c>
    </row>
    <row r="515" spans="1:3" x14ac:dyDescent="0.2">
      <c r="A515" s="14">
        <v>107928700</v>
      </c>
      <c r="B515" t="s">
        <v>3772</v>
      </c>
      <c r="C515" t="s">
        <v>3783</v>
      </c>
    </row>
    <row r="516" spans="1:3" x14ac:dyDescent="0.2">
      <c r="A516" s="14">
        <v>107928700</v>
      </c>
      <c r="B516" t="s">
        <v>3772</v>
      </c>
      <c r="C516" t="s">
        <v>3783</v>
      </c>
    </row>
    <row r="517" spans="1:3" x14ac:dyDescent="0.2">
      <c r="A517" s="14">
        <v>107928700</v>
      </c>
      <c r="B517" t="s">
        <v>3772</v>
      </c>
      <c r="C517" t="s">
        <v>3783</v>
      </c>
    </row>
    <row r="518" spans="1:3" x14ac:dyDescent="0.2">
      <c r="A518" s="14">
        <v>107928700</v>
      </c>
      <c r="B518" t="s">
        <v>3772</v>
      </c>
      <c r="C518" t="s">
        <v>3783</v>
      </c>
    </row>
    <row r="519" spans="1:3" x14ac:dyDescent="0.2">
      <c r="A519" s="14">
        <v>107928700</v>
      </c>
      <c r="B519" t="s">
        <v>3772</v>
      </c>
      <c r="C519" t="s">
        <v>3783</v>
      </c>
    </row>
    <row r="520" spans="1:3" x14ac:dyDescent="0.2">
      <c r="A520" s="14">
        <v>107928700</v>
      </c>
      <c r="B520" t="s">
        <v>3772</v>
      </c>
      <c r="C520" t="s">
        <v>3783</v>
      </c>
    </row>
    <row r="521" spans="1:3" x14ac:dyDescent="0.2">
      <c r="A521" s="14">
        <v>107928700</v>
      </c>
      <c r="B521" t="s">
        <v>3772</v>
      </c>
      <c r="C521" t="s">
        <v>3783</v>
      </c>
    </row>
    <row r="522" spans="1:3" x14ac:dyDescent="0.2">
      <c r="A522" s="14">
        <v>107928712</v>
      </c>
      <c r="B522" t="s">
        <v>3772</v>
      </c>
      <c r="C522" t="s">
        <v>3784</v>
      </c>
    </row>
    <row r="523" spans="1:3" x14ac:dyDescent="0.2">
      <c r="A523" s="14">
        <v>107928712</v>
      </c>
      <c r="B523" t="s">
        <v>3772</v>
      </c>
      <c r="C523" t="s">
        <v>3784</v>
      </c>
    </row>
    <row r="524" spans="1:3" x14ac:dyDescent="0.2">
      <c r="A524" s="14">
        <v>107928712</v>
      </c>
      <c r="B524" t="s">
        <v>3772</v>
      </c>
      <c r="C524" t="s">
        <v>3784</v>
      </c>
    </row>
    <row r="525" spans="1:3" x14ac:dyDescent="0.2">
      <c r="A525" s="14">
        <v>107928712</v>
      </c>
      <c r="B525" t="s">
        <v>3772</v>
      </c>
      <c r="C525" t="s">
        <v>3784</v>
      </c>
    </row>
    <row r="526" spans="1:3" x14ac:dyDescent="0.2">
      <c r="A526" s="14">
        <v>107928712</v>
      </c>
      <c r="B526" t="s">
        <v>3772</v>
      </c>
      <c r="C526" t="s">
        <v>3784</v>
      </c>
    </row>
    <row r="527" spans="1:3" x14ac:dyDescent="0.2">
      <c r="A527" s="14">
        <v>107928712</v>
      </c>
      <c r="B527" t="s">
        <v>3772</v>
      </c>
      <c r="C527" t="s">
        <v>3784</v>
      </c>
    </row>
    <row r="528" spans="1:3" x14ac:dyDescent="0.2">
      <c r="A528" s="14">
        <v>107928712</v>
      </c>
      <c r="B528" t="s">
        <v>3772</v>
      </c>
      <c r="C528" t="s">
        <v>3784</v>
      </c>
    </row>
    <row r="529" spans="1:3" x14ac:dyDescent="0.2">
      <c r="A529" s="14">
        <v>107928712</v>
      </c>
      <c r="B529" t="s">
        <v>3772</v>
      </c>
      <c r="C529" t="s">
        <v>3784</v>
      </c>
    </row>
    <row r="530" spans="1:3" x14ac:dyDescent="0.2">
      <c r="A530" s="14">
        <v>107928712</v>
      </c>
      <c r="B530" t="s">
        <v>3772</v>
      </c>
      <c r="C530" t="s">
        <v>3784</v>
      </c>
    </row>
    <row r="531" spans="1:3" x14ac:dyDescent="0.2">
      <c r="A531" s="14">
        <v>107928712</v>
      </c>
      <c r="B531" t="s">
        <v>3772</v>
      </c>
      <c r="C531" t="s">
        <v>3784</v>
      </c>
    </row>
    <row r="532" spans="1:3" x14ac:dyDescent="0.2">
      <c r="A532" s="14">
        <v>107928712</v>
      </c>
      <c r="B532" t="s">
        <v>3772</v>
      </c>
      <c r="C532" t="s">
        <v>3784</v>
      </c>
    </row>
    <row r="533" spans="1:3" x14ac:dyDescent="0.2">
      <c r="A533" s="14">
        <v>107928712</v>
      </c>
      <c r="B533" t="s">
        <v>3772</v>
      </c>
      <c r="C533" t="s">
        <v>3784</v>
      </c>
    </row>
    <row r="534" spans="1:3" x14ac:dyDescent="0.2">
      <c r="A534" s="14">
        <v>107928712</v>
      </c>
      <c r="B534" t="s">
        <v>3772</v>
      </c>
      <c r="C534" t="s">
        <v>3784</v>
      </c>
    </row>
    <row r="535" spans="1:3" x14ac:dyDescent="0.2">
      <c r="A535" s="14">
        <v>107928712</v>
      </c>
      <c r="B535" t="s">
        <v>3772</v>
      </c>
      <c r="C535" t="s">
        <v>3784</v>
      </c>
    </row>
    <row r="536" spans="1:3" x14ac:dyDescent="0.2">
      <c r="A536" s="14">
        <v>107928712</v>
      </c>
      <c r="B536" t="s">
        <v>3772</v>
      </c>
      <c r="C536" t="s">
        <v>3784</v>
      </c>
    </row>
    <row r="537" spans="1:3" x14ac:dyDescent="0.2">
      <c r="A537" s="14">
        <v>107928712</v>
      </c>
      <c r="B537" t="s">
        <v>3772</v>
      </c>
      <c r="C537" t="s">
        <v>3784</v>
      </c>
    </row>
    <row r="538" spans="1:3" x14ac:dyDescent="0.2">
      <c r="A538" s="14">
        <v>107928712</v>
      </c>
      <c r="B538" t="s">
        <v>3772</v>
      </c>
      <c r="C538" t="s">
        <v>3784</v>
      </c>
    </row>
    <row r="539" spans="1:3" x14ac:dyDescent="0.2">
      <c r="A539" s="14">
        <v>107928712</v>
      </c>
      <c r="B539" t="s">
        <v>3772</v>
      </c>
      <c r="C539" t="s">
        <v>3784</v>
      </c>
    </row>
    <row r="540" spans="1:3" x14ac:dyDescent="0.2">
      <c r="A540" s="14">
        <v>107928712</v>
      </c>
      <c r="B540" t="s">
        <v>3772</v>
      </c>
      <c r="C540" t="s">
        <v>3784</v>
      </c>
    </row>
    <row r="541" spans="1:3" x14ac:dyDescent="0.2">
      <c r="A541" s="14">
        <v>107928712</v>
      </c>
      <c r="B541" t="s">
        <v>3772</v>
      </c>
      <c r="C541" t="s">
        <v>3784</v>
      </c>
    </row>
    <row r="542" spans="1:3" x14ac:dyDescent="0.2">
      <c r="A542" s="14">
        <v>107928712</v>
      </c>
      <c r="B542" t="s">
        <v>3772</v>
      </c>
      <c r="C542" t="s">
        <v>3784</v>
      </c>
    </row>
    <row r="543" spans="1:3" x14ac:dyDescent="0.2">
      <c r="A543" s="14">
        <v>107928712</v>
      </c>
      <c r="B543" t="s">
        <v>3772</v>
      </c>
      <c r="C543" t="s">
        <v>3784</v>
      </c>
    </row>
    <row r="544" spans="1:3" x14ac:dyDescent="0.2">
      <c r="A544" s="14">
        <v>107928712</v>
      </c>
      <c r="B544" t="s">
        <v>3772</v>
      </c>
      <c r="C544" t="s">
        <v>3784</v>
      </c>
    </row>
    <row r="545" spans="1:3" x14ac:dyDescent="0.2">
      <c r="A545" s="14">
        <v>107928712</v>
      </c>
      <c r="B545" t="s">
        <v>3772</v>
      </c>
      <c r="C545" t="s">
        <v>3784</v>
      </c>
    </row>
    <row r="546" spans="1:3" x14ac:dyDescent="0.2">
      <c r="A546" s="14">
        <v>107928712</v>
      </c>
      <c r="B546" t="s">
        <v>3772</v>
      </c>
      <c r="C546" t="s">
        <v>3784</v>
      </c>
    </row>
    <row r="547" spans="1:3" x14ac:dyDescent="0.2">
      <c r="A547" s="14">
        <v>107928712</v>
      </c>
      <c r="B547" t="s">
        <v>3772</v>
      </c>
      <c r="C547" t="s">
        <v>3784</v>
      </c>
    </row>
    <row r="548" spans="1:3" x14ac:dyDescent="0.2">
      <c r="A548" s="14">
        <v>107928712</v>
      </c>
      <c r="B548" t="s">
        <v>3772</v>
      </c>
      <c r="C548" t="s">
        <v>3784</v>
      </c>
    </row>
    <row r="549" spans="1:3" x14ac:dyDescent="0.2">
      <c r="A549" s="14">
        <v>107928712</v>
      </c>
      <c r="B549" t="s">
        <v>3772</v>
      </c>
      <c r="C549" t="s">
        <v>3784</v>
      </c>
    </row>
    <row r="550" spans="1:3" x14ac:dyDescent="0.2">
      <c r="A550" s="14">
        <v>107928712</v>
      </c>
      <c r="B550" t="s">
        <v>3772</v>
      </c>
      <c r="C550" t="s">
        <v>3784</v>
      </c>
    </row>
    <row r="551" spans="1:3" x14ac:dyDescent="0.2">
      <c r="A551" s="14">
        <v>107928712</v>
      </c>
      <c r="B551" t="s">
        <v>3772</v>
      </c>
      <c r="C551" t="s">
        <v>3784</v>
      </c>
    </row>
    <row r="552" spans="1:3" x14ac:dyDescent="0.2">
      <c r="A552" s="14">
        <v>107928712</v>
      </c>
      <c r="B552" t="s">
        <v>3772</v>
      </c>
      <c r="C552" t="s">
        <v>3784</v>
      </c>
    </row>
    <row r="553" spans="1:3" x14ac:dyDescent="0.2">
      <c r="A553" s="14">
        <v>107928712</v>
      </c>
      <c r="B553" t="s">
        <v>3772</v>
      </c>
      <c r="C553" t="s">
        <v>3784</v>
      </c>
    </row>
    <row r="554" spans="1:3" x14ac:dyDescent="0.2">
      <c r="A554" s="14">
        <v>107928712</v>
      </c>
      <c r="B554" t="s">
        <v>3772</v>
      </c>
      <c r="C554" t="s">
        <v>3784</v>
      </c>
    </row>
    <row r="555" spans="1:3" x14ac:dyDescent="0.2">
      <c r="A555" s="14">
        <v>107928712</v>
      </c>
      <c r="B555" t="s">
        <v>3772</v>
      </c>
      <c r="C555" t="s">
        <v>3784</v>
      </c>
    </row>
    <row r="556" spans="1:3" x14ac:dyDescent="0.2">
      <c r="A556" s="14">
        <v>107928712</v>
      </c>
      <c r="B556" t="s">
        <v>3772</v>
      </c>
      <c r="C556" t="s">
        <v>3784</v>
      </c>
    </row>
    <row r="557" spans="1:3" x14ac:dyDescent="0.2">
      <c r="A557" s="14">
        <v>107928712</v>
      </c>
      <c r="B557" t="s">
        <v>3772</v>
      </c>
      <c r="C557" t="s">
        <v>3784</v>
      </c>
    </row>
    <row r="558" spans="1:3" x14ac:dyDescent="0.2">
      <c r="A558" s="14">
        <v>107928712</v>
      </c>
      <c r="B558" t="s">
        <v>3772</v>
      </c>
      <c r="C558" t="s">
        <v>3784</v>
      </c>
    </row>
    <row r="559" spans="1:3" x14ac:dyDescent="0.2">
      <c r="A559" s="14">
        <v>107928712</v>
      </c>
      <c r="B559" t="s">
        <v>3772</v>
      </c>
      <c r="C559" t="s">
        <v>3784</v>
      </c>
    </row>
    <row r="560" spans="1:3" x14ac:dyDescent="0.2">
      <c r="A560" s="14">
        <v>107928712</v>
      </c>
      <c r="B560" t="s">
        <v>3772</v>
      </c>
      <c r="C560" t="s">
        <v>3784</v>
      </c>
    </row>
    <row r="561" spans="1:3" x14ac:dyDescent="0.2">
      <c r="A561" s="14">
        <v>107928712</v>
      </c>
      <c r="B561" t="s">
        <v>3772</v>
      </c>
      <c r="C561" t="s">
        <v>3784</v>
      </c>
    </row>
    <row r="562" spans="1:3" x14ac:dyDescent="0.2">
      <c r="A562" s="14">
        <v>107928712</v>
      </c>
      <c r="B562" t="s">
        <v>3772</v>
      </c>
      <c r="C562" t="s">
        <v>3784</v>
      </c>
    </row>
    <row r="563" spans="1:3" x14ac:dyDescent="0.2">
      <c r="A563" s="14">
        <v>107928712</v>
      </c>
      <c r="B563" t="s">
        <v>3772</v>
      </c>
      <c r="C563" t="s">
        <v>3784</v>
      </c>
    </row>
    <row r="564" spans="1:3" x14ac:dyDescent="0.2">
      <c r="A564" s="14">
        <v>107928712</v>
      </c>
      <c r="B564" t="s">
        <v>3772</v>
      </c>
      <c r="C564" t="s">
        <v>3784</v>
      </c>
    </row>
    <row r="565" spans="1:3" x14ac:dyDescent="0.2">
      <c r="A565" s="14">
        <v>107928712</v>
      </c>
      <c r="B565" t="s">
        <v>3772</v>
      </c>
      <c r="C565" t="s">
        <v>3784</v>
      </c>
    </row>
    <row r="566" spans="1:3" x14ac:dyDescent="0.2">
      <c r="A566" s="14">
        <v>107928712</v>
      </c>
      <c r="B566" t="s">
        <v>3772</v>
      </c>
      <c r="C566" t="s">
        <v>3784</v>
      </c>
    </row>
    <row r="567" spans="1:3" x14ac:dyDescent="0.2">
      <c r="A567" s="14">
        <v>107928712</v>
      </c>
      <c r="B567" t="s">
        <v>3772</v>
      </c>
      <c r="C567" t="s">
        <v>3784</v>
      </c>
    </row>
    <row r="568" spans="1:3" x14ac:dyDescent="0.2">
      <c r="A568" s="14">
        <v>107928712</v>
      </c>
      <c r="B568" t="s">
        <v>3772</v>
      </c>
      <c r="C568" t="s">
        <v>3784</v>
      </c>
    </row>
    <row r="569" spans="1:3" x14ac:dyDescent="0.2">
      <c r="A569" s="14">
        <v>107928712</v>
      </c>
      <c r="B569" t="s">
        <v>3772</v>
      </c>
      <c r="C569" t="s">
        <v>3784</v>
      </c>
    </row>
    <row r="570" spans="1:3" x14ac:dyDescent="0.2">
      <c r="A570" s="14">
        <v>107928712</v>
      </c>
      <c r="B570" t="s">
        <v>3772</v>
      </c>
      <c r="C570" t="s">
        <v>3784</v>
      </c>
    </row>
    <row r="571" spans="1:3" x14ac:dyDescent="0.2">
      <c r="A571" s="14">
        <v>107928712</v>
      </c>
      <c r="B571" t="s">
        <v>3772</v>
      </c>
      <c r="C571" t="s">
        <v>3784</v>
      </c>
    </row>
    <row r="572" spans="1:3" x14ac:dyDescent="0.2">
      <c r="A572" s="14">
        <v>107928712</v>
      </c>
      <c r="B572" t="s">
        <v>3772</v>
      </c>
      <c r="C572" t="s">
        <v>3784</v>
      </c>
    </row>
    <row r="573" spans="1:3" x14ac:dyDescent="0.2">
      <c r="A573" s="14">
        <v>107928712</v>
      </c>
      <c r="B573" t="s">
        <v>3772</v>
      </c>
      <c r="C573" t="s">
        <v>3784</v>
      </c>
    </row>
    <row r="574" spans="1:3" x14ac:dyDescent="0.2">
      <c r="A574" s="14">
        <v>107928712</v>
      </c>
      <c r="B574" t="s">
        <v>3772</v>
      </c>
      <c r="C574" t="s">
        <v>3784</v>
      </c>
    </row>
    <row r="575" spans="1:3" x14ac:dyDescent="0.2">
      <c r="A575" s="14">
        <v>107928712</v>
      </c>
      <c r="B575" t="s">
        <v>3772</v>
      </c>
      <c r="C575" t="s">
        <v>3784</v>
      </c>
    </row>
    <row r="576" spans="1:3" x14ac:dyDescent="0.2">
      <c r="A576" s="14">
        <v>107928712</v>
      </c>
      <c r="B576" t="s">
        <v>3772</v>
      </c>
      <c r="C576" t="s">
        <v>3784</v>
      </c>
    </row>
    <row r="577" spans="1:3" x14ac:dyDescent="0.2">
      <c r="A577" s="14">
        <v>107928712</v>
      </c>
      <c r="B577" t="s">
        <v>3772</v>
      </c>
      <c r="C577" t="s">
        <v>3784</v>
      </c>
    </row>
    <row r="578" spans="1:3" x14ac:dyDescent="0.2">
      <c r="A578" s="14">
        <v>107928712</v>
      </c>
      <c r="B578" t="s">
        <v>3772</v>
      </c>
      <c r="C578" t="s">
        <v>3784</v>
      </c>
    </row>
    <row r="579" spans="1:3" x14ac:dyDescent="0.2">
      <c r="A579" s="14">
        <v>107928712</v>
      </c>
      <c r="B579" t="s">
        <v>3772</v>
      </c>
      <c r="C579" t="s">
        <v>3784</v>
      </c>
    </row>
    <row r="580" spans="1:3" x14ac:dyDescent="0.2">
      <c r="A580" s="14">
        <v>107928712</v>
      </c>
      <c r="B580" t="s">
        <v>3772</v>
      </c>
      <c r="C580" t="s">
        <v>3784</v>
      </c>
    </row>
    <row r="581" spans="1:3" x14ac:dyDescent="0.2">
      <c r="A581" s="14">
        <v>107928712</v>
      </c>
      <c r="B581" t="s">
        <v>3772</v>
      </c>
      <c r="C581" t="s">
        <v>3784</v>
      </c>
    </row>
    <row r="582" spans="1:3" x14ac:dyDescent="0.2">
      <c r="A582" s="14">
        <v>107928712</v>
      </c>
      <c r="B582" t="s">
        <v>3772</v>
      </c>
      <c r="C582" t="s">
        <v>3784</v>
      </c>
    </row>
    <row r="583" spans="1:3" x14ac:dyDescent="0.2">
      <c r="A583" s="14">
        <v>107928712</v>
      </c>
      <c r="B583" t="s">
        <v>3772</v>
      </c>
      <c r="C583" t="s">
        <v>3784</v>
      </c>
    </row>
    <row r="584" spans="1:3" x14ac:dyDescent="0.2">
      <c r="A584" s="14">
        <v>107928712</v>
      </c>
      <c r="B584" t="s">
        <v>3772</v>
      </c>
      <c r="C584" t="s">
        <v>3784</v>
      </c>
    </row>
    <row r="585" spans="1:3" x14ac:dyDescent="0.2">
      <c r="A585" s="14">
        <v>107928712</v>
      </c>
      <c r="B585" t="s">
        <v>3772</v>
      </c>
      <c r="C585" t="s">
        <v>3784</v>
      </c>
    </row>
    <row r="586" spans="1:3" x14ac:dyDescent="0.2">
      <c r="A586" s="14">
        <v>107928712</v>
      </c>
      <c r="B586" t="s">
        <v>3772</v>
      </c>
      <c r="C586" t="s">
        <v>3784</v>
      </c>
    </row>
    <row r="587" spans="1:3" x14ac:dyDescent="0.2">
      <c r="A587" s="14">
        <v>107928712</v>
      </c>
      <c r="B587" t="s">
        <v>3772</v>
      </c>
      <c r="C587" t="s">
        <v>3784</v>
      </c>
    </row>
    <row r="588" spans="1:3" x14ac:dyDescent="0.2">
      <c r="A588" s="14">
        <v>107928712</v>
      </c>
      <c r="B588" t="s">
        <v>3772</v>
      </c>
      <c r="C588" t="s">
        <v>3784</v>
      </c>
    </row>
    <row r="589" spans="1:3" x14ac:dyDescent="0.2">
      <c r="A589" s="14">
        <v>107928712</v>
      </c>
      <c r="B589" t="s">
        <v>3772</v>
      </c>
      <c r="C589" t="s">
        <v>3784</v>
      </c>
    </row>
    <row r="590" spans="1:3" x14ac:dyDescent="0.2">
      <c r="A590" s="14">
        <v>107928712</v>
      </c>
      <c r="B590" t="s">
        <v>3772</v>
      </c>
      <c r="C590" t="s">
        <v>3784</v>
      </c>
    </row>
    <row r="591" spans="1:3" x14ac:dyDescent="0.2">
      <c r="A591" s="14">
        <v>107928712</v>
      </c>
      <c r="B591" t="s">
        <v>3772</v>
      </c>
      <c r="C591" t="s">
        <v>3784</v>
      </c>
    </row>
    <row r="592" spans="1:3" x14ac:dyDescent="0.2">
      <c r="A592" s="14">
        <v>107928712</v>
      </c>
      <c r="B592" t="s">
        <v>3772</v>
      </c>
      <c r="C592" t="s">
        <v>3784</v>
      </c>
    </row>
    <row r="593" spans="1:3" x14ac:dyDescent="0.2">
      <c r="A593" s="14">
        <v>107928712</v>
      </c>
      <c r="B593" t="s">
        <v>3772</v>
      </c>
      <c r="C593" t="s">
        <v>3784</v>
      </c>
    </row>
    <row r="594" spans="1:3" x14ac:dyDescent="0.2">
      <c r="A594" s="14">
        <v>107928712</v>
      </c>
      <c r="B594" t="s">
        <v>3772</v>
      </c>
      <c r="C594" t="s">
        <v>3784</v>
      </c>
    </row>
    <row r="595" spans="1:3" x14ac:dyDescent="0.2">
      <c r="A595" s="14">
        <v>107928712</v>
      </c>
      <c r="B595" t="s">
        <v>3772</v>
      </c>
      <c r="C595" t="s">
        <v>3784</v>
      </c>
    </row>
    <row r="596" spans="1:3" x14ac:dyDescent="0.2">
      <c r="A596" s="14">
        <v>107928712</v>
      </c>
      <c r="B596" t="s">
        <v>3772</v>
      </c>
      <c r="C596" t="s">
        <v>3784</v>
      </c>
    </row>
    <row r="597" spans="1:3" x14ac:dyDescent="0.2">
      <c r="A597" s="14">
        <v>107928712</v>
      </c>
      <c r="B597" t="s">
        <v>3772</v>
      </c>
      <c r="C597" t="s">
        <v>3784</v>
      </c>
    </row>
    <row r="598" spans="1:3" x14ac:dyDescent="0.2">
      <c r="A598" s="14">
        <v>107928712</v>
      </c>
      <c r="B598" t="s">
        <v>3772</v>
      </c>
      <c r="C598" t="s">
        <v>3784</v>
      </c>
    </row>
    <row r="599" spans="1:3" x14ac:dyDescent="0.2">
      <c r="A599" s="14">
        <v>107928712</v>
      </c>
      <c r="B599" t="s">
        <v>3772</v>
      </c>
      <c r="C599" t="s">
        <v>3784</v>
      </c>
    </row>
    <row r="600" spans="1:3" x14ac:dyDescent="0.2">
      <c r="A600" s="14">
        <v>107928712</v>
      </c>
      <c r="B600" t="s">
        <v>3772</v>
      </c>
      <c r="C600" t="s">
        <v>3784</v>
      </c>
    </row>
    <row r="601" spans="1:3" x14ac:dyDescent="0.2">
      <c r="A601" s="14">
        <v>107928712</v>
      </c>
      <c r="B601" t="s">
        <v>3772</v>
      </c>
      <c r="C601" t="s">
        <v>3784</v>
      </c>
    </row>
    <row r="602" spans="1:3" x14ac:dyDescent="0.2">
      <c r="A602" s="14">
        <v>107928712</v>
      </c>
      <c r="B602" t="s">
        <v>3772</v>
      </c>
      <c r="C602" t="s">
        <v>3784</v>
      </c>
    </row>
    <row r="603" spans="1:3" x14ac:dyDescent="0.2">
      <c r="A603" s="14">
        <v>107928712</v>
      </c>
      <c r="B603" t="s">
        <v>3772</v>
      </c>
      <c r="C603" t="s">
        <v>3784</v>
      </c>
    </row>
    <row r="604" spans="1:3" x14ac:dyDescent="0.2">
      <c r="A604" s="14">
        <v>107928712</v>
      </c>
      <c r="B604" t="s">
        <v>3772</v>
      </c>
      <c r="C604" t="s">
        <v>3784</v>
      </c>
    </row>
    <row r="605" spans="1:3" x14ac:dyDescent="0.2">
      <c r="A605" s="14">
        <v>107928712</v>
      </c>
      <c r="B605" t="s">
        <v>3772</v>
      </c>
      <c r="C605" t="s">
        <v>3784</v>
      </c>
    </row>
    <row r="606" spans="1:3" x14ac:dyDescent="0.2">
      <c r="A606" s="14">
        <v>107928712</v>
      </c>
      <c r="B606" t="s">
        <v>3772</v>
      </c>
      <c r="C606" t="s">
        <v>3784</v>
      </c>
    </row>
    <row r="607" spans="1:3" x14ac:dyDescent="0.2">
      <c r="A607" s="14">
        <v>107928712</v>
      </c>
      <c r="B607" t="s">
        <v>3772</v>
      </c>
      <c r="C607" t="s">
        <v>3784</v>
      </c>
    </row>
    <row r="608" spans="1:3" x14ac:dyDescent="0.2">
      <c r="A608" s="14">
        <v>107928712</v>
      </c>
      <c r="B608" t="s">
        <v>3772</v>
      </c>
      <c r="C608" t="s">
        <v>3784</v>
      </c>
    </row>
    <row r="609" spans="1:3" x14ac:dyDescent="0.2">
      <c r="A609" s="14">
        <v>107928712</v>
      </c>
      <c r="B609" t="s">
        <v>3772</v>
      </c>
      <c r="C609" t="s">
        <v>3784</v>
      </c>
    </row>
    <row r="610" spans="1:3" x14ac:dyDescent="0.2">
      <c r="A610" s="14">
        <v>107928712</v>
      </c>
      <c r="B610" t="s">
        <v>3772</v>
      </c>
      <c r="C610" t="s">
        <v>3784</v>
      </c>
    </row>
    <row r="611" spans="1:3" x14ac:dyDescent="0.2">
      <c r="A611" s="14">
        <v>107928712</v>
      </c>
      <c r="B611" t="s">
        <v>3772</v>
      </c>
      <c r="C611" t="s">
        <v>3784</v>
      </c>
    </row>
    <row r="612" spans="1:3" x14ac:dyDescent="0.2">
      <c r="A612" s="14">
        <v>107928712</v>
      </c>
      <c r="B612" t="s">
        <v>3772</v>
      </c>
      <c r="C612" t="s">
        <v>3784</v>
      </c>
    </row>
    <row r="613" spans="1:3" x14ac:dyDescent="0.2">
      <c r="A613" s="14">
        <v>107928712</v>
      </c>
      <c r="B613" t="s">
        <v>3772</v>
      </c>
      <c r="C613" t="s">
        <v>3784</v>
      </c>
    </row>
    <row r="614" spans="1:3" x14ac:dyDescent="0.2">
      <c r="A614" s="14">
        <v>107928712</v>
      </c>
      <c r="B614" t="s">
        <v>3772</v>
      </c>
      <c r="C614" t="s">
        <v>3784</v>
      </c>
    </row>
    <row r="615" spans="1:3" x14ac:dyDescent="0.2">
      <c r="A615" s="14">
        <v>107928712</v>
      </c>
      <c r="B615" t="s">
        <v>3772</v>
      </c>
      <c r="C615" t="s">
        <v>3784</v>
      </c>
    </row>
    <row r="616" spans="1:3" x14ac:dyDescent="0.2">
      <c r="A616" s="14">
        <v>107928712</v>
      </c>
      <c r="B616" t="s">
        <v>3772</v>
      </c>
      <c r="C616" t="s">
        <v>3784</v>
      </c>
    </row>
    <row r="617" spans="1:3" x14ac:dyDescent="0.2">
      <c r="A617" s="14">
        <v>107928712</v>
      </c>
      <c r="B617" t="s">
        <v>3772</v>
      </c>
      <c r="C617" t="s">
        <v>3784</v>
      </c>
    </row>
    <row r="618" spans="1:3" x14ac:dyDescent="0.2">
      <c r="A618" s="14">
        <v>107928712</v>
      </c>
      <c r="B618" t="s">
        <v>3772</v>
      </c>
      <c r="C618" t="s">
        <v>3784</v>
      </c>
    </row>
    <row r="619" spans="1:3" x14ac:dyDescent="0.2">
      <c r="A619" s="14">
        <v>107928712</v>
      </c>
      <c r="B619" t="s">
        <v>3772</v>
      </c>
      <c r="C619" t="s">
        <v>3784</v>
      </c>
    </row>
    <row r="620" spans="1:3" x14ac:dyDescent="0.2">
      <c r="A620" s="14">
        <v>107928712</v>
      </c>
      <c r="B620" t="s">
        <v>3772</v>
      </c>
      <c r="C620" t="s">
        <v>3784</v>
      </c>
    </row>
    <row r="621" spans="1:3" x14ac:dyDescent="0.2">
      <c r="A621" s="14">
        <v>107928712</v>
      </c>
      <c r="B621" t="s">
        <v>3772</v>
      </c>
      <c r="C621" t="s">
        <v>3784</v>
      </c>
    </row>
    <row r="622" spans="1:3" x14ac:dyDescent="0.2">
      <c r="A622" s="14">
        <v>107928712</v>
      </c>
      <c r="B622" t="s">
        <v>3772</v>
      </c>
      <c r="C622" t="s">
        <v>3784</v>
      </c>
    </row>
    <row r="623" spans="1:3" x14ac:dyDescent="0.2">
      <c r="A623" s="14">
        <v>107928712</v>
      </c>
      <c r="B623" t="s">
        <v>3772</v>
      </c>
      <c r="C623" t="s">
        <v>3784</v>
      </c>
    </row>
    <row r="624" spans="1:3" x14ac:dyDescent="0.2">
      <c r="A624" s="14">
        <v>107928712</v>
      </c>
      <c r="B624" t="s">
        <v>3772</v>
      </c>
      <c r="C624" t="s">
        <v>3784</v>
      </c>
    </row>
    <row r="625" spans="1:3" x14ac:dyDescent="0.2">
      <c r="A625" s="14">
        <v>107928712</v>
      </c>
      <c r="B625" t="s">
        <v>3772</v>
      </c>
      <c r="C625" t="s">
        <v>3784</v>
      </c>
    </row>
    <row r="626" spans="1:3" x14ac:dyDescent="0.2">
      <c r="A626" s="14">
        <v>107928712</v>
      </c>
      <c r="B626" t="s">
        <v>3772</v>
      </c>
      <c r="C626" t="s">
        <v>3784</v>
      </c>
    </row>
    <row r="627" spans="1:3" x14ac:dyDescent="0.2">
      <c r="A627" s="14">
        <v>107928712</v>
      </c>
      <c r="B627" t="s">
        <v>3772</v>
      </c>
      <c r="C627" t="s">
        <v>3784</v>
      </c>
    </row>
    <row r="628" spans="1:3" x14ac:dyDescent="0.2">
      <c r="A628" s="14">
        <v>107928712</v>
      </c>
      <c r="B628" t="s">
        <v>3772</v>
      </c>
      <c r="C628" t="s">
        <v>3784</v>
      </c>
    </row>
    <row r="629" spans="1:3" x14ac:dyDescent="0.2">
      <c r="A629" s="14">
        <v>107928712</v>
      </c>
      <c r="B629" t="s">
        <v>3772</v>
      </c>
      <c r="C629" t="s">
        <v>3784</v>
      </c>
    </row>
    <row r="630" spans="1:3" x14ac:dyDescent="0.2">
      <c r="A630" s="14">
        <v>107928712</v>
      </c>
      <c r="B630" t="s">
        <v>3772</v>
      </c>
      <c r="C630" t="s">
        <v>3784</v>
      </c>
    </row>
    <row r="631" spans="1:3" x14ac:dyDescent="0.2">
      <c r="A631" s="14">
        <v>107928712</v>
      </c>
      <c r="B631" t="s">
        <v>3772</v>
      </c>
      <c r="C631" t="s">
        <v>3784</v>
      </c>
    </row>
    <row r="632" spans="1:3" x14ac:dyDescent="0.2">
      <c r="A632" s="14">
        <v>107928712</v>
      </c>
      <c r="B632" t="s">
        <v>3772</v>
      </c>
      <c r="C632" t="s">
        <v>3784</v>
      </c>
    </row>
    <row r="633" spans="1:3" x14ac:dyDescent="0.2">
      <c r="A633" s="14">
        <v>107928712</v>
      </c>
      <c r="B633" t="s">
        <v>3772</v>
      </c>
      <c r="C633" t="s">
        <v>3784</v>
      </c>
    </row>
    <row r="634" spans="1:3" x14ac:dyDescent="0.2">
      <c r="A634" s="14">
        <v>107928712</v>
      </c>
      <c r="B634" t="s">
        <v>3772</v>
      </c>
      <c r="C634" t="s">
        <v>3784</v>
      </c>
    </row>
    <row r="635" spans="1:3" x14ac:dyDescent="0.2">
      <c r="A635" s="14">
        <v>107928712</v>
      </c>
      <c r="B635" t="s">
        <v>3772</v>
      </c>
      <c r="C635" t="s">
        <v>3784</v>
      </c>
    </row>
    <row r="636" spans="1:3" x14ac:dyDescent="0.2">
      <c r="A636" s="14">
        <v>107928712</v>
      </c>
      <c r="B636" t="s">
        <v>3772</v>
      </c>
      <c r="C636" t="s">
        <v>3784</v>
      </c>
    </row>
    <row r="637" spans="1:3" x14ac:dyDescent="0.2">
      <c r="A637" s="14">
        <v>107928712</v>
      </c>
      <c r="B637" t="s">
        <v>3772</v>
      </c>
      <c r="C637" t="s">
        <v>3784</v>
      </c>
    </row>
    <row r="638" spans="1:3" x14ac:dyDescent="0.2">
      <c r="A638" s="14">
        <v>107928712</v>
      </c>
      <c r="B638" t="s">
        <v>3772</v>
      </c>
      <c r="C638" t="s">
        <v>3784</v>
      </c>
    </row>
    <row r="639" spans="1:3" x14ac:dyDescent="0.2">
      <c r="A639" s="14">
        <v>107928712</v>
      </c>
      <c r="B639" t="s">
        <v>3772</v>
      </c>
      <c r="C639" t="s">
        <v>3784</v>
      </c>
    </row>
    <row r="640" spans="1:3" x14ac:dyDescent="0.2">
      <c r="A640" s="14">
        <v>107928712</v>
      </c>
      <c r="B640" t="s">
        <v>3772</v>
      </c>
      <c r="C640" t="s">
        <v>3784</v>
      </c>
    </row>
    <row r="641" spans="1:3" x14ac:dyDescent="0.2">
      <c r="A641" s="14">
        <v>107928712</v>
      </c>
      <c r="B641" t="s">
        <v>3772</v>
      </c>
      <c r="C641" t="s">
        <v>3784</v>
      </c>
    </row>
    <row r="642" spans="1:3" x14ac:dyDescent="0.2">
      <c r="A642" s="14">
        <v>107928712</v>
      </c>
      <c r="B642" t="s">
        <v>3772</v>
      </c>
      <c r="C642" t="s">
        <v>3784</v>
      </c>
    </row>
    <row r="643" spans="1:3" x14ac:dyDescent="0.2">
      <c r="A643" s="14">
        <v>107928712</v>
      </c>
      <c r="B643" t="s">
        <v>3772</v>
      </c>
      <c r="C643" t="s">
        <v>3784</v>
      </c>
    </row>
    <row r="644" spans="1:3" x14ac:dyDescent="0.2">
      <c r="A644" s="14">
        <v>107928712</v>
      </c>
      <c r="B644" t="s">
        <v>3772</v>
      </c>
      <c r="C644" t="s">
        <v>3784</v>
      </c>
    </row>
    <row r="645" spans="1:3" x14ac:dyDescent="0.2">
      <c r="A645" s="14">
        <v>107928712</v>
      </c>
      <c r="B645" t="s">
        <v>3772</v>
      </c>
      <c r="C645" t="s">
        <v>3784</v>
      </c>
    </row>
    <row r="646" spans="1:3" x14ac:dyDescent="0.2">
      <c r="A646" s="14">
        <v>107928712</v>
      </c>
      <c r="B646" t="s">
        <v>3772</v>
      </c>
      <c r="C646" t="s">
        <v>3784</v>
      </c>
    </row>
    <row r="647" spans="1:3" x14ac:dyDescent="0.2">
      <c r="A647" s="14">
        <v>107928712</v>
      </c>
      <c r="B647" t="s">
        <v>3772</v>
      </c>
      <c r="C647" t="s">
        <v>3784</v>
      </c>
    </row>
    <row r="648" spans="1:3" x14ac:dyDescent="0.2">
      <c r="A648" s="14">
        <v>107928712</v>
      </c>
      <c r="B648" t="s">
        <v>3772</v>
      </c>
      <c r="C648" t="s">
        <v>3784</v>
      </c>
    </row>
    <row r="649" spans="1:3" x14ac:dyDescent="0.2">
      <c r="A649" s="14">
        <v>107928712</v>
      </c>
      <c r="B649" t="s">
        <v>3772</v>
      </c>
      <c r="C649" t="s">
        <v>3784</v>
      </c>
    </row>
    <row r="650" spans="1:3" x14ac:dyDescent="0.2">
      <c r="A650" s="14">
        <v>107928712</v>
      </c>
      <c r="B650" t="s">
        <v>3772</v>
      </c>
      <c r="C650" t="s">
        <v>3784</v>
      </c>
    </row>
    <row r="651" spans="1:3" x14ac:dyDescent="0.2">
      <c r="A651" s="14">
        <v>107928712</v>
      </c>
      <c r="B651" t="s">
        <v>3772</v>
      </c>
      <c r="C651" t="s">
        <v>3784</v>
      </c>
    </row>
    <row r="652" spans="1:3" x14ac:dyDescent="0.2">
      <c r="A652" s="14">
        <v>107928712</v>
      </c>
      <c r="B652" t="s">
        <v>3772</v>
      </c>
      <c r="C652" t="s">
        <v>3784</v>
      </c>
    </row>
    <row r="653" spans="1:3" x14ac:dyDescent="0.2">
      <c r="A653" s="14">
        <v>107928712</v>
      </c>
      <c r="B653" t="s">
        <v>3772</v>
      </c>
      <c r="C653" t="s">
        <v>3784</v>
      </c>
    </row>
    <row r="654" spans="1:3" x14ac:dyDescent="0.2">
      <c r="A654" s="14">
        <v>107928712</v>
      </c>
      <c r="B654" t="s">
        <v>3772</v>
      </c>
      <c r="C654" t="s">
        <v>3784</v>
      </c>
    </row>
    <row r="655" spans="1:3" x14ac:dyDescent="0.2">
      <c r="A655" s="14">
        <v>107928712</v>
      </c>
      <c r="B655" t="s">
        <v>3772</v>
      </c>
      <c r="C655" t="s">
        <v>3784</v>
      </c>
    </row>
    <row r="656" spans="1:3" x14ac:dyDescent="0.2">
      <c r="A656" s="14">
        <v>107928712</v>
      </c>
      <c r="B656" t="s">
        <v>3772</v>
      </c>
      <c r="C656" t="s">
        <v>3784</v>
      </c>
    </row>
    <row r="657" spans="1:3" x14ac:dyDescent="0.2">
      <c r="A657" s="14">
        <v>107928712</v>
      </c>
      <c r="B657" t="s">
        <v>3772</v>
      </c>
      <c r="C657" t="s">
        <v>3784</v>
      </c>
    </row>
    <row r="658" spans="1:3" x14ac:dyDescent="0.2">
      <c r="A658" s="14">
        <v>107928712</v>
      </c>
      <c r="B658" t="s">
        <v>3772</v>
      </c>
      <c r="C658" t="s">
        <v>3784</v>
      </c>
    </row>
    <row r="659" spans="1:3" x14ac:dyDescent="0.2">
      <c r="A659" s="14">
        <v>107928712</v>
      </c>
      <c r="B659" t="s">
        <v>3772</v>
      </c>
      <c r="C659" t="s">
        <v>3784</v>
      </c>
    </row>
    <row r="660" spans="1:3" x14ac:dyDescent="0.2">
      <c r="A660" s="14">
        <v>107928712</v>
      </c>
      <c r="B660" t="s">
        <v>3772</v>
      </c>
      <c r="C660" t="s">
        <v>3784</v>
      </c>
    </row>
    <row r="661" spans="1:3" x14ac:dyDescent="0.2">
      <c r="A661" s="14">
        <v>107928712</v>
      </c>
      <c r="B661" t="s">
        <v>3772</v>
      </c>
      <c r="C661" t="s">
        <v>3784</v>
      </c>
    </row>
    <row r="662" spans="1:3" x14ac:dyDescent="0.2">
      <c r="A662" s="14">
        <v>107928712</v>
      </c>
      <c r="B662" t="s">
        <v>3772</v>
      </c>
      <c r="C662" t="s">
        <v>3784</v>
      </c>
    </row>
    <row r="663" spans="1:3" x14ac:dyDescent="0.2">
      <c r="A663" s="14">
        <v>107928712</v>
      </c>
      <c r="B663" t="s">
        <v>3772</v>
      </c>
      <c r="C663" t="s">
        <v>3784</v>
      </c>
    </row>
    <row r="664" spans="1:3" x14ac:dyDescent="0.2">
      <c r="A664" s="14">
        <v>107928712</v>
      </c>
      <c r="B664" t="s">
        <v>3772</v>
      </c>
      <c r="C664" t="s">
        <v>3784</v>
      </c>
    </row>
    <row r="665" spans="1:3" x14ac:dyDescent="0.2">
      <c r="A665" s="14">
        <v>107928712</v>
      </c>
      <c r="B665" t="s">
        <v>3772</v>
      </c>
      <c r="C665" t="s">
        <v>3784</v>
      </c>
    </row>
    <row r="666" spans="1:3" x14ac:dyDescent="0.2">
      <c r="A666" s="14">
        <v>107928712</v>
      </c>
      <c r="B666" t="s">
        <v>3772</v>
      </c>
      <c r="C666" t="s">
        <v>3784</v>
      </c>
    </row>
    <row r="667" spans="1:3" x14ac:dyDescent="0.2">
      <c r="A667" s="14">
        <v>107928712</v>
      </c>
      <c r="B667" t="s">
        <v>3772</v>
      </c>
      <c r="C667" t="s">
        <v>3784</v>
      </c>
    </row>
    <row r="668" spans="1:3" x14ac:dyDescent="0.2">
      <c r="A668" s="14">
        <v>107928712</v>
      </c>
      <c r="B668" t="s">
        <v>3772</v>
      </c>
      <c r="C668" t="s">
        <v>3784</v>
      </c>
    </row>
    <row r="669" spans="1:3" x14ac:dyDescent="0.2">
      <c r="A669" s="14">
        <v>107928712</v>
      </c>
      <c r="B669" t="s">
        <v>3772</v>
      </c>
      <c r="C669" t="s">
        <v>3784</v>
      </c>
    </row>
    <row r="670" spans="1:3" x14ac:dyDescent="0.2">
      <c r="A670" s="14">
        <v>107928712</v>
      </c>
      <c r="B670" t="s">
        <v>3772</v>
      </c>
      <c r="C670" t="s">
        <v>3784</v>
      </c>
    </row>
    <row r="671" spans="1:3" x14ac:dyDescent="0.2">
      <c r="A671" s="14">
        <v>107928712</v>
      </c>
      <c r="B671" t="s">
        <v>3772</v>
      </c>
      <c r="C671" t="s">
        <v>3784</v>
      </c>
    </row>
    <row r="672" spans="1:3" x14ac:dyDescent="0.2">
      <c r="A672" s="14">
        <v>107928712</v>
      </c>
      <c r="B672" t="s">
        <v>3772</v>
      </c>
      <c r="C672" t="s">
        <v>3784</v>
      </c>
    </row>
    <row r="673" spans="1:3" x14ac:dyDescent="0.2">
      <c r="A673" s="14">
        <v>107928712</v>
      </c>
      <c r="B673" t="s">
        <v>3772</v>
      </c>
      <c r="C673" t="s">
        <v>3784</v>
      </c>
    </row>
    <row r="674" spans="1:3" x14ac:dyDescent="0.2">
      <c r="A674" s="14">
        <v>107928712</v>
      </c>
      <c r="B674" t="s">
        <v>3772</v>
      </c>
      <c r="C674" t="s">
        <v>3784</v>
      </c>
    </row>
    <row r="675" spans="1:3" x14ac:dyDescent="0.2">
      <c r="A675" s="14">
        <v>107928712</v>
      </c>
      <c r="B675" t="s">
        <v>3772</v>
      </c>
      <c r="C675" t="s">
        <v>3784</v>
      </c>
    </row>
    <row r="676" spans="1:3" x14ac:dyDescent="0.2">
      <c r="A676" s="14">
        <v>107928712</v>
      </c>
      <c r="B676" t="s">
        <v>3772</v>
      </c>
      <c r="C676" t="s">
        <v>3784</v>
      </c>
    </row>
    <row r="677" spans="1:3" x14ac:dyDescent="0.2">
      <c r="A677" s="14">
        <v>107928712</v>
      </c>
      <c r="B677" t="s">
        <v>3772</v>
      </c>
      <c r="C677" t="s">
        <v>3784</v>
      </c>
    </row>
    <row r="678" spans="1:3" x14ac:dyDescent="0.2">
      <c r="A678" s="14">
        <v>107928712</v>
      </c>
      <c r="B678" t="s">
        <v>3772</v>
      </c>
      <c r="C678" t="s">
        <v>3784</v>
      </c>
    </row>
    <row r="679" spans="1:3" x14ac:dyDescent="0.2">
      <c r="A679" s="14">
        <v>107928712</v>
      </c>
      <c r="B679" t="s">
        <v>3772</v>
      </c>
      <c r="C679" t="s">
        <v>3784</v>
      </c>
    </row>
    <row r="680" spans="1:3" x14ac:dyDescent="0.2">
      <c r="A680" s="14">
        <v>107928712</v>
      </c>
      <c r="B680" t="s">
        <v>3772</v>
      </c>
      <c r="C680" t="s">
        <v>3784</v>
      </c>
    </row>
    <row r="681" spans="1:3" x14ac:dyDescent="0.2">
      <c r="A681" s="14">
        <v>107928712</v>
      </c>
      <c r="B681" t="s">
        <v>3772</v>
      </c>
      <c r="C681" t="s">
        <v>3784</v>
      </c>
    </row>
    <row r="682" spans="1:3" x14ac:dyDescent="0.2">
      <c r="A682" s="14">
        <v>107928712</v>
      </c>
      <c r="B682" t="s">
        <v>3772</v>
      </c>
      <c r="C682" t="s">
        <v>3784</v>
      </c>
    </row>
    <row r="683" spans="1:3" x14ac:dyDescent="0.2">
      <c r="A683" s="14">
        <v>107928712</v>
      </c>
      <c r="B683" t="s">
        <v>3772</v>
      </c>
      <c r="C683" t="s">
        <v>3784</v>
      </c>
    </row>
    <row r="684" spans="1:3" x14ac:dyDescent="0.2">
      <c r="A684" s="14">
        <v>107928712</v>
      </c>
      <c r="B684" t="s">
        <v>3772</v>
      </c>
      <c r="C684" t="s">
        <v>3784</v>
      </c>
    </row>
    <row r="685" spans="1:3" x14ac:dyDescent="0.2">
      <c r="A685" s="14">
        <v>107928712</v>
      </c>
      <c r="B685" t="s">
        <v>3772</v>
      </c>
      <c r="C685" t="s">
        <v>3784</v>
      </c>
    </row>
    <row r="686" spans="1:3" x14ac:dyDescent="0.2">
      <c r="A686" s="14">
        <v>107928712</v>
      </c>
      <c r="B686" t="s">
        <v>3772</v>
      </c>
      <c r="C686" t="s">
        <v>3784</v>
      </c>
    </row>
    <row r="687" spans="1:3" x14ac:dyDescent="0.2">
      <c r="A687" s="14">
        <v>107928712</v>
      </c>
      <c r="B687" t="s">
        <v>3772</v>
      </c>
      <c r="C687" t="s">
        <v>3784</v>
      </c>
    </row>
    <row r="688" spans="1:3" x14ac:dyDescent="0.2">
      <c r="A688" s="14">
        <v>107928712</v>
      </c>
      <c r="B688" t="s">
        <v>3772</v>
      </c>
      <c r="C688" t="s">
        <v>3784</v>
      </c>
    </row>
    <row r="689" spans="1:3" x14ac:dyDescent="0.2">
      <c r="A689" s="14">
        <v>107928712</v>
      </c>
      <c r="B689" t="s">
        <v>3772</v>
      </c>
      <c r="C689" t="s">
        <v>3784</v>
      </c>
    </row>
    <row r="690" spans="1:3" x14ac:dyDescent="0.2">
      <c r="A690" s="14">
        <v>107928712</v>
      </c>
      <c r="B690" t="s">
        <v>3772</v>
      </c>
      <c r="C690" t="s">
        <v>3784</v>
      </c>
    </row>
    <row r="691" spans="1:3" x14ac:dyDescent="0.2">
      <c r="A691" s="14">
        <v>107928712</v>
      </c>
      <c r="B691" t="s">
        <v>3772</v>
      </c>
      <c r="C691" t="s">
        <v>3784</v>
      </c>
    </row>
    <row r="692" spans="1:3" x14ac:dyDescent="0.2">
      <c r="A692" s="14">
        <v>107928712</v>
      </c>
      <c r="B692" t="s">
        <v>3772</v>
      </c>
      <c r="C692" t="s">
        <v>3784</v>
      </c>
    </row>
    <row r="693" spans="1:3" x14ac:dyDescent="0.2">
      <c r="A693" s="14">
        <v>107928712</v>
      </c>
      <c r="B693" t="s">
        <v>3772</v>
      </c>
      <c r="C693" t="s">
        <v>3784</v>
      </c>
    </row>
    <row r="694" spans="1:3" x14ac:dyDescent="0.2">
      <c r="A694" s="14">
        <v>107928712</v>
      </c>
      <c r="B694" t="s">
        <v>3772</v>
      </c>
      <c r="C694" t="s">
        <v>3784</v>
      </c>
    </row>
    <row r="695" spans="1:3" x14ac:dyDescent="0.2">
      <c r="A695" s="14">
        <v>107928712</v>
      </c>
      <c r="B695" t="s">
        <v>3772</v>
      </c>
      <c r="C695" t="s">
        <v>3784</v>
      </c>
    </row>
    <row r="696" spans="1:3" x14ac:dyDescent="0.2">
      <c r="A696" s="14">
        <v>107928712</v>
      </c>
      <c r="B696" t="s">
        <v>3772</v>
      </c>
      <c r="C696" t="s">
        <v>3784</v>
      </c>
    </row>
    <row r="697" spans="1:3" x14ac:dyDescent="0.2">
      <c r="A697" s="14">
        <v>107928712</v>
      </c>
      <c r="B697" t="s">
        <v>3772</v>
      </c>
      <c r="C697" t="s">
        <v>3784</v>
      </c>
    </row>
    <row r="698" spans="1:3" x14ac:dyDescent="0.2">
      <c r="A698" s="14">
        <v>107928712</v>
      </c>
      <c r="B698" t="s">
        <v>3772</v>
      </c>
      <c r="C698" t="s">
        <v>3784</v>
      </c>
    </row>
    <row r="699" spans="1:3" x14ac:dyDescent="0.2">
      <c r="A699" s="14">
        <v>107928712</v>
      </c>
      <c r="B699" t="s">
        <v>3772</v>
      </c>
      <c r="C699" t="s">
        <v>3784</v>
      </c>
    </row>
    <row r="700" spans="1:3" x14ac:dyDescent="0.2">
      <c r="A700" s="14">
        <v>107928712</v>
      </c>
      <c r="B700" t="s">
        <v>3772</v>
      </c>
      <c r="C700" t="s">
        <v>3784</v>
      </c>
    </row>
    <row r="701" spans="1:3" x14ac:dyDescent="0.2">
      <c r="A701" s="14">
        <v>107928712</v>
      </c>
      <c r="B701" t="s">
        <v>3772</v>
      </c>
      <c r="C701" t="s">
        <v>3784</v>
      </c>
    </row>
    <row r="702" spans="1:3" x14ac:dyDescent="0.2">
      <c r="A702" s="14">
        <v>107928712</v>
      </c>
      <c r="B702" t="s">
        <v>3772</v>
      </c>
      <c r="C702" t="s">
        <v>3784</v>
      </c>
    </row>
    <row r="703" spans="1:3" x14ac:dyDescent="0.2">
      <c r="A703" s="14">
        <v>107928712</v>
      </c>
      <c r="B703" t="s">
        <v>3772</v>
      </c>
      <c r="C703" t="s">
        <v>3784</v>
      </c>
    </row>
    <row r="704" spans="1:3" x14ac:dyDescent="0.2">
      <c r="A704" s="14">
        <v>107928712</v>
      </c>
      <c r="B704" t="s">
        <v>3772</v>
      </c>
      <c r="C704" t="s">
        <v>3784</v>
      </c>
    </row>
    <row r="705" spans="1:3" x14ac:dyDescent="0.2">
      <c r="A705" s="14">
        <v>107928712</v>
      </c>
      <c r="B705" t="s">
        <v>3772</v>
      </c>
      <c r="C705" t="s">
        <v>3784</v>
      </c>
    </row>
    <row r="706" spans="1:3" x14ac:dyDescent="0.2">
      <c r="A706" s="14">
        <v>107928712</v>
      </c>
      <c r="B706" t="s">
        <v>3772</v>
      </c>
      <c r="C706" t="s">
        <v>3784</v>
      </c>
    </row>
    <row r="707" spans="1:3" x14ac:dyDescent="0.2">
      <c r="A707" s="14">
        <v>107928712</v>
      </c>
      <c r="B707" t="s">
        <v>3772</v>
      </c>
      <c r="C707" t="s">
        <v>3784</v>
      </c>
    </row>
    <row r="708" spans="1:3" x14ac:dyDescent="0.2">
      <c r="A708" s="14">
        <v>107928712</v>
      </c>
      <c r="B708" t="s">
        <v>3772</v>
      </c>
      <c r="C708" t="s">
        <v>3784</v>
      </c>
    </row>
    <row r="709" spans="1:3" x14ac:dyDescent="0.2">
      <c r="A709" s="14">
        <v>107928712</v>
      </c>
      <c r="B709" t="s">
        <v>3772</v>
      </c>
      <c r="C709" t="s">
        <v>3784</v>
      </c>
    </row>
    <row r="710" spans="1:3" x14ac:dyDescent="0.2">
      <c r="A710" s="14">
        <v>107928712</v>
      </c>
      <c r="B710" t="s">
        <v>3772</v>
      </c>
      <c r="C710" t="s">
        <v>3784</v>
      </c>
    </row>
    <row r="711" spans="1:3" x14ac:dyDescent="0.2">
      <c r="A711" s="14">
        <v>107928712</v>
      </c>
      <c r="B711" t="s">
        <v>3772</v>
      </c>
      <c r="C711" t="s">
        <v>3784</v>
      </c>
    </row>
    <row r="712" spans="1:3" x14ac:dyDescent="0.2">
      <c r="A712" s="14">
        <v>107928712</v>
      </c>
      <c r="B712" t="s">
        <v>3772</v>
      </c>
      <c r="C712" t="s">
        <v>3784</v>
      </c>
    </row>
    <row r="713" spans="1:3" x14ac:dyDescent="0.2">
      <c r="A713" s="14">
        <v>107928712</v>
      </c>
      <c r="B713" t="s">
        <v>3772</v>
      </c>
      <c r="C713" t="s">
        <v>3784</v>
      </c>
    </row>
    <row r="714" spans="1:3" x14ac:dyDescent="0.2">
      <c r="A714" s="14">
        <v>107928712</v>
      </c>
      <c r="B714" t="s">
        <v>3772</v>
      </c>
      <c r="C714" t="s">
        <v>3784</v>
      </c>
    </row>
    <row r="715" spans="1:3" x14ac:dyDescent="0.2">
      <c r="A715" s="14">
        <v>107928712</v>
      </c>
      <c r="B715" t="s">
        <v>3772</v>
      </c>
      <c r="C715" t="s">
        <v>3784</v>
      </c>
    </row>
    <row r="716" spans="1:3" x14ac:dyDescent="0.2">
      <c r="A716" s="14">
        <v>107928712</v>
      </c>
      <c r="B716" t="s">
        <v>3772</v>
      </c>
      <c r="C716" t="s">
        <v>3784</v>
      </c>
    </row>
    <row r="717" spans="1:3" x14ac:dyDescent="0.2">
      <c r="A717" s="14">
        <v>107928712</v>
      </c>
      <c r="B717" t="s">
        <v>3772</v>
      </c>
      <c r="C717" t="s">
        <v>3784</v>
      </c>
    </row>
    <row r="718" spans="1:3" x14ac:dyDescent="0.2">
      <c r="A718" s="14">
        <v>107928712</v>
      </c>
      <c r="B718" t="s">
        <v>3772</v>
      </c>
      <c r="C718" t="s">
        <v>3784</v>
      </c>
    </row>
    <row r="719" spans="1:3" x14ac:dyDescent="0.2">
      <c r="A719" s="14">
        <v>107928712</v>
      </c>
      <c r="B719" t="s">
        <v>3772</v>
      </c>
      <c r="C719" t="s">
        <v>3784</v>
      </c>
    </row>
    <row r="720" spans="1:3" x14ac:dyDescent="0.2">
      <c r="A720" s="14">
        <v>107928712</v>
      </c>
      <c r="B720" t="s">
        <v>3772</v>
      </c>
      <c r="C720" t="s">
        <v>3784</v>
      </c>
    </row>
    <row r="721" spans="1:3" x14ac:dyDescent="0.2">
      <c r="A721" s="14">
        <v>107928712</v>
      </c>
      <c r="B721" t="s">
        <v>3772</v>
      </c>
      <c r="C721" t="s">
        <v>3784</v>
      </c>
    </row>
    <row r="722" spans="1:3" x14ac:dyDescent="0.2">
      <c r="A722" s="14">
        <v>107928712</v>
      </c>
      <c r="B722" t="s">
        <v>3772</v>
      </c>
      <c r="C722" t="s">
        <v>3784</v>
      </c>
    </row>
    <row r="723" spans="1:3" x14ac:dyDescent="0.2">
      <c r="A723" s="14">
        <v>107928712</v>
      </c>
      <c r="B723" t="s">
        <v>3772</v>
      </c>
      <c r="C723" t="s">
        <v>3784</v>
      </c>
    </row>
    <row r="724" spans="1:3" x14ac:dyDescent="0.2">
      <c r="A724" s="14">
        <v>107928712</v>
      </c>
      <c r="B724" t="s">
        <v>3772</v>
      </c>
      <c r="C724" t="s">
        <v>3784</v>
      </c>
    </row>
    <row r="725" spans="1:3" x14ac:dyDescent="0.2">
      <c r="A725" s="14">
        <v>107928712</v>
      </c>
      <c r="B725" t="s">
        <v>3772</v>
      </c>
      <c r="C725" t="s">
        <v>3784</v>
      </c>
    </row>
    <row r="726" spans="1:3" x14ac:dyDescent="0.2">
      <c r="A726" s="14">
        <v>107928712</v>
      </c>
      <c r="B726" t="s">
        <v>3772</v>
      </c>
      <c r="C726" t="s">
        <v>3784</v>
      </c>
    </row>
    <row r="727" spans="1:3" x14ac:dyDescent="0.2">
      <c r="A727" s="14">
        <v>107928712</v>
      </c>
      <c r="B727" t="s">
        <v>3772</v>
      </c>
      <c r="C727" t="s">
        <v>3784</v>
      </c>
    </row>
    <row r="728" spans="1:3" x14ac:dyDescent="0.2">
      <c r="A728" s="14">
        <v>107928712</v>
      </c>
      <c r="B728" t="s">
        <v>3772</v>
      </c>
      <c r="C728" t="s">
        <v>3784</v>
      </c>
    </row>
    <row r="729" spans="1:3" x14ac:dyDescent="0.2">
      <c r="A729" s="14">
        <v>107928712</v>
      </c>
      <c r="B729" t="s">
        <v>3772</v>
      </c>
      <c r="C729" t="s">
        <v>3784</v>
      </c>
    </row>
    <row r="730" spans="1:3" x14ac:dyDescent="0.2">
      <c r="A730" s="14">
        <v>107928712</v>
      </c>
      <c r="B730" t="s">
        <v>3772</v>
      </c>
      <c r="C730" t="s">
        <v>3784</v>
      </c>
    </row>
    <row r="731" spans="1:3" x14ac:dyDescent="0.2">
      <c r="A731" s="14">
        <v>107928712</v>
      </c>
      <c r="B731" t="s">
        <v>3772</v>
      </c>
      <c r="C731" t="s">
        <v>3784</v>
      </c>
    </row>
    <row r="732" spans="1:3" x14ac:dyDescent="0.2">
      <c r="A732" s="14">
        <v>107928712</v>
      </c>
      <c r="B732" t="s">
        <v>3772</v>
      </c>
      <c r="C732" t="s">
        <v>3784</v>
      </c>
    </row>
    <row r="733" spans="1:3" x14ac:dyDescent="0.2">
      <c r="A733" s="14">
        <v>107928712</v>
      </c>
      <c r="B733" t="s">
        <v>3772</v>
      </c>
      <c r="C733" t="s">
        <v>3784</v>
      </c>
    </row>
    <row r="734" spans="1:3" x14ac:dyDescent="0.2">
      <c r="A734" s="14">
        <v>107928712</v>
      </c>
      <c r="B734" t="s">
        <v>3772</v>
      </c>
      <c r="C734" t="s">
        <v>3784</v>
      </c>
    </row>
    <row r="735" spans="1:3" x14ac:dyDescent="0.2">
      <c r="A735" s="14">
        <v>107928712</v>
      </c>
      <c r="B735" t="s">
        <v>3772</v>
      </c>
      <c r="C735" t="s">
        <v>3784</v>
      </c>
    </row>
    <row r="736" spans="1:3" x14ac:dyDescent="0.2">
      <c r="A736" s="14">
        <v>107928712</v>
      </c>
      <c r="B736" t="s">
        <v>3772</v>
      </c>
      <c r="C736" t="s">
        <v>3784</v>
      </c>
    </row>
    <row r="737" spans="1:3" x14ac:dyDescent="0.2">
      <c r="A737" s="14">
        <v>107928712</v>
      </c>
      <c r="B737" t="s">
        <v>3772</v>
      </c>
      <c r="C737" t="s">
        <v>3784</v>
      </c>
    </row>
    <row r="738" spans="1:3" x14ac:dyDescent="0.2">
      <c r="A738" s="14">
        <v>107928712</v>
      </c>
      <c r="B738" t="s">
        <v>3772</v>
      </c>
      <c r="C738" t="s">
        <v>3784</v>
      </c>
    </row>
    <row r="739" spans="1:3" x14ac:dyDescent="0.2">
      <c r="A739" s="14">
        <v>107928712</v>
      </c>
      <c r="B739" t="s">
        <v>3772</v>
      </c>
      <c r="C739" t="s">
        <v>3784</v>
      </c>
    </row>
    <row r="740" spans="1:3" x14ac:dyDescent="0.2">
      <c r="A740" s="14">
        <v>107928712</v>
      </c>
      <c r="B740" t="s">
        <v>3772</v>
      </c>
      <c r="C740" t="s">
        <v>3784</v>
      </c>
    </row>
    <row r="741" spans="1:3" x14ac:dyDescent="0.2">
      <c r="A741" s="14">
        <v>107928712</v>
      </c>
      <c r="B741" t="s">
        <v>3772</v>
      </c>
      <c r="C741" t="s">
        <v>3784</v>
      </c>
    </row>
    <row r="742" spans="1:3" x14ac:dyDescent="0.2">
      <c r="A742" s="14">
        <v>107928712</v>
      </c>
      <c r="B742" t="s">
        <v>3772</v>
      </c>
      <c r="C742" t="s">
        <v>3784</v>
      </c>
    </row>
    <row r="743" spans="1:3" x14ac:dyDescent="0.2">
      <c r="A743" s="14">
        <v>107928712</v>
      </c>
      <c r="B743" t="s">
        <v>3772</v>
      </c>
      <c r="C743" t="s">
        <v>3784</v>
      </c>
    </row>
    <row r="744" spans="1:3" x14ac:dyDescent="0.2">
      <c r="A744" s="14">
        <v>107928712</v>
      </c>
      <c r="B744" t="s">
        <v>3772</v>
      </c>
      <c r="C744" t="s">
        <v>3784</v>
      </c>
    </row>
    <row r="745" spans="1:3" x14ac:dyDescent="0.2">
      <c r="A745" s="14">
        <v>107928712</v>
      </c>
      <c r="B745" t="s">
        <v>3772</v>
      </c>
      <c r="C745" t="s">
        <v>3784</v>
      </c>
    </row>
    <row r="746" spans="1:3" x14ac:dyDescent="0.2">
      <c r="A746" s="14">
        <v>107928712</v>
      </c>
      <c r="B746" t="s">
        <v>3772</v>
      </c>
      <c r="C746" t="s">
        <v>3784</v>
      </c>
    </row>
    <row r="747" spans="1:3" x14ac:dyDescent="0.2">
      <c r="A747" s="14">
        <v>107928712</v>
      </c>
      <c r="B747" t="s">
        <v>3772</v>
      </c>
      <c r="C747" t="s">
        <v>3784</v>
      </c>
    </row>
    <row r="748" spans="1:3" x14ac:dyDescent="0.2">
      <c r="A748" s="14">
        <v>107928712</v>
      </c>
      <c r="B748" t="s">
        <v>3772</v>
      </c>
      <c r="C748" t="s">
        <v>3784</v>
      </c>
    </row>
    <row r="749" spans="1:3" x14ac:dyDescent="0.2">
      <c r="A749" s="14">
        <v>107928712</v>
      </c>
      <c r="B749" t="s">
        <v>3772</v>
      </c>
      <c r="C749" t="s">
        <v>3784</v>
      </c>
    </row>
    <row r="750" spans="1:3" x14ac:dyDescent="0.2">
      <c r="A750" s="14">
        <v>107928712</v>
      </c>
      <c r="B750" t="s">
        <v>3772</v>
      </c>
      <c r="C750" t="s">
        <v>3784</v>
      </c>
    </row>
    <row r="751" spans="1:3" x14ac:dyDescent="0.2">
      <c r="A751" s="14">
        <v>107928712</v>
      </c>
      <c r="B751" t="s">
        <v>3772</v>
      </c>
      <c r="C751" t="s">
        <v>3784</v>
      </c>
    </row>
    <row r="752" spans="1:3" x14ac:dyDescent="0.2">
      <c r="A752" s="14">
        <v>107928712</v>
      </c>
      <c r="B752" t="s">
        <v>3772</v>
      </c>
      <c r="C752" t="s">
        <v>3784</v>
      </c>
    </row>
    <row r="753" spans="1:3" x14ac:dyDescent="0.2">
      <c r="A753" s="14">
        <v>107928712</v>
      </c>
      <c r="B753" t="s">
        <v>3772</v>
      </c>
      <c r="C753" t="s">
        <v>3784</v>
      </c>
    </row>
    <row r="754" spans="1:3" x14ac:dyDescent="0.2">
      <c r="A754" s="14">
        <v>107928712</v>
      </c>
      <c r="B754" t="s">
        <v>3772</v>
      </c>
      <c r="C754" t="s">
        <v>3784</v>
      </c>
    </row>
    <row r="755" spans="1:3" x14ac:dyDescent="0.2">
      <c r="A755" s="14">
        <v>107928712</v>
      </c>
      <c r="B755" t="s">
        <v>3772</v>
      </c>
      <c r="C755" t="s">
        <v>3784</v>
      </c>
    </row>
    <row r="756" spans="1:3" x14ac:dyDescent="0.2">
      <c r="A756" s="14">
        <v>107928712</v>
      </c>
      <c r="B756" t="s">
        <v>3772</v>
      </c>
      <c r="C756" t="s">
        <v>3784</v>
      </c>
    </row>
    <row r="757" spans="1:3" x14ac:dyDescent="0.2">
      <c r="A757" s="14">
        <v>107928712</v>
      </c>
      <c r="B757" t="s">
        <v>3772</v>
      </c>
      <c r="C757" t="s">
        <v>3784</v>
      </c>
    </row>
    <row r="758" spans="1:3" x14ac:dyDescent="0.2">
      <c r="A758" s="14">
        <v>107928712</v>
      </c>
      <c r="B758" t="s">
        <v>3772</v>
      </c>
      <c r="C758" t="s">
        <v>3784</v>
      </c>
    </row>
    <row r="759" spans="1:3" x14ac:dyDescent="0.2">
      <c r="A759" s="14">
        <v>107928712</v>
      </c>
      <c r="B759" t="s">
        <v>3772</v>
      </c>
      <c r="C759" t="s">
        <v>3784</v>
      </c>
    </row>
    <row r="760" spans="1:3" x14ac:dyDescent="0.2">
      <c r="A760" s="14">
        <v>107928712</v>
      </c>
      <c r="B760" t="s">
        <v>3772</v>
      </c>
      <c r="C760" t="s">
        <v>3784</v>
      </c>
    </row>
    <row r="761" spans="1:3" x14ac:dyDescent="0.2">
      <c r="A761" s="14">
        <v>107928712</v>
      </c>
      <c r="B761" t="s">
        <v>3772</v>
      </c>
      <c r="C761" t="s">
        <v>3784</v>
      </c>
    </row>
    <row r="762" spans="1:3" x14ac:dyDescent="0.2">
      <c r="A762" s="14">
        <v>107928712</v>
      </c>
      <c r="B762" t="s">
        <v>3772</v>
      </c>
      <c r="C762" t="s">
        <v>3784</v>
      </c>
    </row>
    <row r="763" spans="1:3" x14ac:dyDescent="0.2">
      <c r="A763" s="14">
        <v>107928712</v>
      </c>
      <c r="B763" t="s">
        <v>3772</v>
      </c>
      <c r="C763" t="s">
        <v>3784</v>
      </c>
    </row>
    <row r="764" spans="1:3" x14ac:dyDescent="0.2">
      <c r="A764" s="14">
        <v>107928712</v>
      </c>
      <c r="B764" t="s">
        <v>3772</v>
      </c>
      <c r="C764" t="s">
        <v>3784</v>
      </c>
    </row>
    <row r="765" spans="1:3" x14ac:dyDescent="0.2">
      <c r="A765" s="14">
        <v>107928712</v>
      </c>
      <c r="B765" t="s">
        <v>3772</v>
      </c>
      <c r="C765" t="s">
        <v>3784</v>
      </c>
    </row>
    <row r="766" spans="1:3" x14ac:dyDescent="0.2">
      <c r="A766" s="14">
        <v>107928712</v>
      </c>
      <c r="B766" t="s">
        <v>3772</v>
      </c>
      <c r="C766" t="s">
        <v>3784</v>
      </c>
    </row>
    <row r="767" spans="1:3" x14ac:dyDescent="0.2">
      <c r="A767" s="14">
        <v>107928712</v>
      </c>
      <c r="B767" t="s">
        <v>3772</v>
      </c>
      <c r="C767" t="s">
        <v>3784</v>
      </c>
    </row>
    <row r="768" spans="1:3" x14ac:dyDescent="0.2">
      <c r="A768" s="14">
        <v>107928712</v>
      </c>
      <c r="B768" t="s">
        <v>3772</v>
      </c>
      <c r="C768" t="s">
        <v>3784</v>
      </c>
    </row>
    <row r="769" spans="1:3" x14ac:dyDescent="0.2">
      <c r="A769" s="14">
        <v>107928712</v>
      </c>
      <c r="B769" t="s">
        <v>3772</v>
      </c>
      <c r="C769" t="s">
        <v>3784</v>
      </c>
    </row>
    <row r="770" spans="1:3" x14ac:dyDescent="0.2">
      <c r="A770" s="14">
        <v>107928712</v>
      </c>
      <c r="B770" t="s">
        <v>3772</v>
      </c>
      <c r="C770" t="s">
        <v>3784</v>
      </c>
    </row>
    <row r="771" spans="1:3" x14ac:dyDescent="0.2">
      <c r="A771" s="14">
        <v>107928712</v>
      </c>
      <c r="B771" t="s">
        <v>3772</v>
      </c>
      <c r="C771" t="s">
        <v>3784</v>
      </c>
    </row>
    <row r="772" spans="1:3" x14ac:dyDescent="0.2">
      <c r="A772" s="14">
        <v>107928712</v>
      </c>
      <c r="B772" t="s">
        <v>3772</v>
      </c>
      <c r="C772" t="s">
        <v>3784</v>
      </c>
    </row>
    <row r="773" spans="1:3" x14ac:dyDescent="0.2">
      <c r="A773" s="14">
        <v>107928712</v>
      </c>
      <c r="B773" t="s">
        <v>3772</v>
      </c>
      <c r="C773" t="s">
        <v>3784</v>
      </c>
    </row>
    <row r="774" spans="1:3" x14ac:dyDescent="0.2">
      <c r="A774" s="14">
        <v>107928712</v>
      </c>
      <c r="B774" t="s">
        <v>3772</v>
      </c>
      <c r="C774" t="s">
        <v>3784</v>
      </c>
    </row>
    <row r="775" spans="1:3" x14ac:dyDescent="0.2">
      <c r="A775" s="14">
        <v>107928712</v>
      </c>
      <c r="B775" t="s">
        <v>3772</v>
      </c>
      <c r="C775" t="s">
        <v>3784</v>
      </c>
    </row>
    <row r="776" spans="1:3" x14ac:dyDescent="0.2">
      <c r="A776" s="14">
        <v>107928712</v>
      </c>
      <c r="B776" t="s">
        <v>3772</v>
      </c>
      <c r="C776" t="s">
        <v>3784</v>
      </c>
    </row>
    <row r="777" spans="1:3" x14ac:dyDescent="0.2">
      <c r="A777" s="14">
        <v>107928712</v>
      </c>
      <c r="B777" t="s">
        <v>3772</v>
      </c>
      <c r="C777" t="s">
        <v>3784</v>
      </c>
    </row>
    <row r="778" spans="1:3" x14ac:dyDescent="0.2">
      <c r="A778" s="14">
        <v>107928712</v>
      </c>
      <c r="B778" t="s">
        <v>3772</v>
      </c>
      <c r="C778" t="s">
        <v>3784</v>
      </c>
    </row>
    <row r="779" spans="1:3" x14ac:dyDescent="0.2">
      <c r="A779" s="14">
        <v>107928712</v>
      </c>
      <c r="B779" t="s">
        <v>3772</v>
      </c>
      <c r="C779" t="s">
        <v>3784</v>
      </c>
    </row>
    <row r="780" spans="1:3" x14ac:dyDescent="0.2">
      <c r="A780" s="14">
        <v>107928712</v>
      </c>
      <c r="B780" t="s">
        <v>3772</v>
      </c>
      <c r="C780" t="s">
        <v>3784</v>
      </c>
    </row>
    <row r="781" spans="1:3" x14ac:dyDescent="0.2">
      <c r="A781" s="14">
        <v>107928712</v>
      </c>
      <c r="B781" t="s">
        <v>3772</v>
      </c>
      <c r="C781" t="s">
        <v>3784</v>
      </c>
    </row>
    <row r="782" spans="1:3" x14ac:dyDescent="0.2">
      <c r="A782" s="14">
        <v>107928714</v>
      </c>
      <c r="B782" t="s">
        <v>3772</v>
      </c>
      <c r="C782" t="s">
        <v>3785</v>
      </c>
    </row>
    <row r="783" spans="1:3" x14ac:dyDescent="0.2">
      <c r="A783" s="14">
        <v>107928714</v>
      </c>
      <c r="B783" t="s">
        <v>3772</v>
      </c>
      <c r="C783" t="s">
        <v>3785</v>
      </c>
    </row>
    <row r="784" spans="1:3" x14ac:dyDescent="0.2">
      <c r="A784" s="14">
        <v>107928714</v>
      </c>
      <c r="B784" t="s">
        <v>3772</v>
      </c>
      <c r="C784" t="s">
        <v>3785</v>
      </c>
    </row>
    <row r="785" spans="1:3" x14ac:dyDescent="0.2">
      <c r="A785" s="14">
        <v>107928714</v>
      </c>
      <c r="B785" t="s">
        <v>3772</v>
      </c>
      <c r="C785" t="s">
        <v>3785</v>
      </c>
    </row>
    <row r="786" spans="1:3" x14ac:dyDescent="0.2">
      <c r="A786" s="14">
        <v>107928714</v>
      </c>
      <c r="B786" t="s">
        <v>3772</v>
      </c>
      <c r="C786" t="s">
        <v>3785</v>
      </c>
    </row>
    <row r="787" spans="1:3" x14ac:dyDescent="0.2">
      <c r="A787" s="14">
        <v>107928714</v>
      </c>
      <c r="B787" t="s">
        <v>3772</v>
      </c>
      <c r="C787" t="s">
        <v>3785</v>
      </c>
    </row>
    <row r="788" spans="1:3" x14ac:dyDescent="0.2">
      <c r="A788" s="14">
        <v>107928714</v>
      </c>
      <c r="B788" t="s">
        <v>3772</v>
      </c>
      <c r="C788" t="s">
        <v>3785</v>
      </c>
    </row>
    <row r="789" spans="1:3" x14ac:dyDescent="0.2">
      <c r="A789" s="14">
        <v>107928714</v>
      </c>
      <c r="B789" t="s">
        <v>3772</v>
      </c>
      <c r="C789" t="s">
        <v>3785</v>
      </c>
    </row>
    <row r="790" spans="1:3" x14ac:dyDescent="0.2">
      <c r="A790" s="14">
        <v>107928714</v>
      </c>
      <c r="B790" t="s">
        <v>3772</v>
      </c>
      <c r="C790" t="s">
        <v>3785</v>
      </c>
    </row>
    <row r="791" spans="1:3" x14ac:dyDescent="0.2">
      <c r="A791" s="14">
        <v>107928714</v>
      </c>
      <c r="B791" t="s">
        <v>3772</v>
      </c>
      <c r="C791" t="s">
        <v>3785</v>
      </c>
    </row>
    <row r="792" spans="1:3" x14ac:dyDescent="0.2">
      <c r="A792" s="14">
        <v>107928714</v>
      </c>
      <c r="B792" t="s">
        <v>3772</v>
      </c>
      <c r="C792" t="s">
        <v>3785</v>
      </c>
    </row>
    <row r="793" spans="1:3" x14ac:dyDescent="0.2">
      <c r="A793" s="14">
        <v>107928714</v>
      </c>
      <c r="B793" t="s">
        <v>3772</v>
      </c>
      <c r="C793" t="s">
        <v>3785</v>
      </c>
    </row>
    <row r="794" spans="1:3" x14ac:dyDescent="0.2">
      <c r="A794" s="14">
        <v>107928714</v>
      </c>
      <c r="B794" t="s">
        <v>3772</v>
      </c>
      <c r="C794" t="s">
        <v>3785</v>
      </c>
    </row>
    <row r="795" spans="1:3" x14ac:dyDescent="0.2">
      <c r="A795" s="14">
        <v>107928714</v>
      </c>
      <c r="B795" t="s">
        <v>3772</v>
      </c>
      <c r="C795" t="s">
        <v>3785</v>
      </c>
    </row>
    <row r="796" spans="1:3" x14ac:dyDescent="0.2">
      <c r="A796" s="14">
        <v>107928714</v>
      </c>
      <c r="B796" t="s">
        <v>3772</v>
      </c>
      <c r="C796" t="s">
        <v>3785</v>
      </c>
    </row>
    <row r="797" spans="1:3" x14ac:dyDescent="0.2">
      <c r="A797" s="14">
        <v>107928714</v>
      </c>
      <c r="B797" t="s">
        <v>3772</v>
      </c>
      <c r="C797" t="s">
        <v>3785</v>
      </c>
    </row>
    <row r="798" spans="1:3" x14ac:dyDescent="0.2">
      <c r="A798" s="14">
        <v>107928714</v>
      </c>
      <c r="B798" t="s">
        <v>3772</v>
      </c>
      <c r="C798" t="s">
        <v>3785</v>
      </c>
    </row>
    <row r="799" spans="1:3" x14ac:dyDescent="0.2">
      <c r="A799" s="14">
        <v>107928714</v>
      </c>
      <c r="B799" t="s">
        <v>3772</v>
      </c>
      <c r="C799" t="s">
        <v>3785</v>
      </c>
    </row>
    <row r="800" spans="1:3" x14ac:dyDescent="0.2">
      <c r="A800" s="14">
        <v>107928714</v>
      </c>
      <c r="B800" t="s">
        <v>3772</v>
      </c>
      <c r="C800" t="s">
        <v>3785</v>
      </c>
    </row>
    <row r="801" spans="1:3" x14ac:dyDescent="0.2">
      <c r="A801" s="14">
        <v>107928714</v>
      </c>
      <c r="B801" t="s">
        <v>3772</v>
      </c>
      <c r="C801" t="s">
        <v>3785</v>
      </c>
    </row>
    <row r="802" spans="1:3" x14ac:dyDescent="0.2">
      <c r="A802" s="14">
        <v>107928714</v>
      </c>
      <c r="B802" t="s">
        <v>3772</v>
      </c>
      <c r="C802" t="s">
        <v>3785</v>
      </c>
    </row>
    <row r="803" spans="1:3" x14ac:dyDescent="0.2">
      <c r="A803" s="14">
        <v>107928714</v>
      </c>
      <c r="B803" t="s">
        <v>3772</v>
      </c>
      <c r="C803" t="s">
        <v>3785</v>
      </c>
    </row>
    <row r="804" spans="1:3" x14ac:dyDescent="0.2">
      <c r="A804" s="14">
        <v>107928714</v>
      </c>
      <c r="B804" t="s">
        <v>3772</v>
      </c>
      <c r="C804" t="s">
        <v>3785</v>
      </c>
    </row>
    <row r="805" spans="1:3" x14ac:dyDescent="0.2">
      <c r="A805" s="14">
        <v>107928714</v>
      </c>
      <c r="B805" t="s">
        <v>3772</v>
      </c>
      <c r="C805" t="s">
        <v>3785</v>
      </c>
    </row>
    <row r="806" spans="1:3" x14ac:dyDescent="0.2">
      <c r="A806" s="14">
        <v>107928714</v>
      </c>
      <c r="B806" t="s">
        <v>3772</v>
      </c>
      <c r="C806" t="s">
        <v>3785</v>
      </c>
    </row>
    <row r="807" spans="1:3" x14ac:dyDescent="0.2">
      <c r="A807" s="14">
        <v>107928714</v>
      </c>
      <c r="B807" t="s">
        <v>3772</v>
      </c>
      <c r="C807" t="s">
        <v>3785</v>
      </c>
    </row>
    <row r="808" spans="1:3" x14ac:dyDescent="0.2">
      <c r="A808" s="14">
        <v>107928714</v>
      </c>
      <c r="B808" t="s">
        <v>3772</v>
      </c>
      <c r="C808" t="s">
        <v>3785</v>
      </c>
    </row>
    <row r="809" spans="1:3" x14ac:dyDescent="0.2">
      <c r="A809" s="14">
        <v>107928714</v>
      </c>
      <c r="B809" t="s">
        <v>3772</v>
      </c>
      <c r="C809" t="s">
        <v>3785</v>
      </c>
    </row>
    <row r="810" spans="1:3" x14ac:dyDescent="0.2">
      <c r="A810" s="14">
        <v>107928714</v>
      </c>
      <c r="B810" t="s">
        <v>3772</v>
      </c>
      <c r="C810" t="s">
        <v>3785</v>
      </c>
    </row>
    <row r="811" spans="1:3" x14ac:dyDescent="0.2">
      <c r="A811" s="14">
        <v>107928714</v>
      </c>
      <c r="B811" t="s">
        <v>3772</v>
      </c>
      <c r="C811" t="s">
        <v>3785</v>
      </c>
    </row>
    <row r="812" spans="1:3" x14ac:dyDescent="0.2">
      <c r="A812" s="14">
        <v>107928714</v>
      </c>
      <c r="B812" t="s">
        <v>3772</v>
      </c>
      <c r="C812" t="s">
        <v>3785</v>
      </c>
    </row>
    <row r="813" spans="1:3" x14ac:dyDescent="0.2">
      <c r="A813" s="14">
        <v>107928714</v>
      </c>
      <c r="B813" t="s">
        <v>3772</v>
      </c>
      <c r="C813" t="s">
        <v>3785</v>
      </c>
    </row>
    <row r="814" spans="1:3" x14ac:dyDescent="0.2">
      <c r="A814" s="14">
        <v>107928714</v>
      </c>
      <c r="B814" t="s">
        <v>3772</v>
      </c>
      <c r="C814" t="s">
        <v>3785</v>
      </c>
    </row>
    <row r="815" spans="1:3" x14ac:dyDescent="0.2">
      <c r="A815" s="14">
        <v>107928714</v>
      </c>
      <c r="B815" t="s">
        <v>3772</v>
      </c>
      <c r="C815" t="s">
        <v>3785</v>
      </c>
    </row>
    <row r="816" spans="1:3" x14ac:dyDescent="0.2">
      <c r="A816" s="14">
        <v>107928714</v>
      </c>
      <c r="B816" t="s">
        <v>3772</v>
      </c>
      <c r="C816" t="s">
        <v>3785</v>
      </c>
    </row>
    <row r="817" spans="1:3" x14ac:dyDescent="0.2">
      <c r="A817" s="14">
        <v>107928714</v>
      </c>
      <c r="B817" t="s">
        <v>3772</v>
      </c>
      <c r="C817" t="s">
        <v>3785</v>
      </c>
    </row>
    <row r="818" spans="1:3" x14ac:dyDescent="0.2">
      <c r="A818" s="14">
        <v>107928714</v>
      </c>
      <c r="B818" t="s">
        <v>3772</v>
      </c>
      <c r="C818" t="s">
        <v>3785</v>
      </c>
    </row>
    <row r="819" spans="1:3" x14ac:dyDescent="0.2">
      <c r="A819" s="14">
        <v>107928714</v>
      </c>
      <c r="B819" t="s">
        <v>3772</v>
      </c>
      <c r="C819" t="s">
        <v>3785</v>
      </c>
    </row>
    <row r="820" spans="1:3" x14ac:dyDescent="0.2">
      <c r="A820" s="14">
        <v>107928714</v>
      </c>
      <c r="B820" t="s">
        <v>3772</v>
      </c>
      <c r="C820" t="s">
        <v>3785</v>
      </c>
    </row>
    <row r="821" spans="1:3" x14ac:dyDescent="0.2">
      <c r="A821" s="14">
        <v>107928714</v>
      </c>
      <c r="B821" t="s">
        <v>3772</v>
      </c>
      <c r="C821" t="s">
        <v>3785</v>
      </c>
    </row>
    <row r="822" spans="1:3" x14ac:dyDescent="0.2">
      <c r="A822" s="14">
        <v>107928714</v>
      </c>
      <c r="B822" t="s">
        <v>3772</v>
      </c>
      <c r="C822" t="s">
        <v>3785</v>
      </c>
    </row>
    <row r="823" spans="1:3" x14ac:dyDescent="0.2">
      <c r="A823" s="14">
        <v>107928717</v>
      </c>
      <c r="B823" t="s">
        <v>3772</v>
      </c>
      <c r="C823" t="s">
        <v>3786</v>
      </c>
    </row>
    <row r="824" spans="1:3" x14ac:dyDescent="0.2">
      <c r="A824" s="14">
        <v>107928717</v>
      </c>
      <c r="B824" t="s">
        <v>3772</v>
      </c>
      <c r="C824" t="s">
        <v>3786</v>
      </c>
    </row>
    <row r="825" spans="1:3" x14ac:dyDescent="0.2">
      <c r="A825" s="14">
        <v>107928717</v>
      </c>
      <c r="B825" t="s">
        <v>3772</v>
      </c>
      <c r="C825" t="s">
        <v>3786</v>
      </c>
    </row>
    <row r="826" spans="1:3" x14ac:dyDescent="0.2">
      <c r="A826" s="14">
        <v>107928717</v>
      </c>
      <c r="B826" t="s">
        <v>3772</v>
      </c>
      <c r="C826" t="s">
        <v>3786</v>
      </c>
    </row>
    <row r="827" spans="1:3" x14ac:dyDescent="0.2">
      <c r="A827" s="14">
        <v>107928717</v>
      </c>
      <c r="B827" t="s">
        <v>3772</v>
      </c>
      <c r="C827" t="s">
        <v>3786</v>
      </c>
    </row>
    <row r="828" spans="1:3" x14ac:dyDescent="0.2">
      <c r="A828" s="14">
        <v>107928717</v>
      </c>
      <c r="B828" t="s">
        <v>3772</v>
      </c>
      <c r="C828" t="s">
        <v>3786</v>
      </c>
    </row>
    <row r="829" spans="1:3" x14ac:dyDescent="0.2">
      <c r="A829" s="14">
        <v>107928717</v>
      </c>
      <c r="B829" t="s">
        <v>3772</v>
      </c>
      <c r="C829" t="s">
        <v>3786</v>
      </c>
    </row>
    <row r="830" spans="1:3" x14ac:dyDescent="0.2">
      <c r="A830" s="14">
        <v>107928717</v>
      </c>
      <c r="B830" t="s">
        <v>3772</v>
      </c>
      <c r="C830" t="s">
        <v>3786</v>
      </c>
    </row>
    <row r="831" spans="1:3" x14ac:dyDescent="0.2">
      <c r="A831" s="14">
        <v>107928717</v>
      </c>
      <c r="B831" t="s">
        <v>3772</v>
      </c>
      <c r="C831" t="s">
        <v>3786</v>
      </c>
    </row>
    <row r="832" spans="1:3" x14ac:dyDescent="0.2">
      <c r="A832" s="14">
        <v>107928717</v>
      </c>
      <c r="B832" t="s">
        <v>3772</v>
      </c>
      <c r="C832" t="s">
        <v>3786</v>
      </c>
    </row>
    <row r="833" spans="1:3" x14ac:dyDescent="0.2">
      <c r="A833" s="14">
        <v>107928717</v>
      </c>
      <c r="B833" t="s">
        <v>3772</v>
      </c>
      <c r="C833" t="s">
        <v>3786</v>
      </c>
    </row>
    <row r="834" spans="1:3" x14ac:dyDescent="0.2">
      <c r="A834" s="14">
        <v>107928717</v>
      </c>
      <c r="B834" t="s">
        <v>3772</v>
      </c>
      <c r="C834" t="s">
        <v>3786</v>
      </c>
    </row>
    <row r="835" spans="1:3" x14ac:dyDescent="0.2">
      <c r="A835" s="14">
        <v>107928717</v>
      </c>
      <c r="B835" t="s">
        <v>3772</v>
      </c>
      <c r="C835" t="s">
        <v>3786</v>
      </c>
    </row>
    <row r="836" spans="1:3" x14ac:dyDescent="0.2">
      <c r="A836" s="14">
        <v>107928717</v>
      </c>
      <c r="B836" t="s">
        <v>3772</v>
      </c>
      <c r="C836" t="s">
        <v>3786</v>
      </c>
    </row>
    <row r="837" spans="1:3" x14ac:dyDescent="0.2">
      <c r="A837" s="14">
        <v>107928717</v>
      </c>
      <c r="B837" t="s">
        <v>3772</v>
      </c>
      <c r="C837" t="s">
        <v>3786</v>
      </c>
    </row>
    <row r="838" spans="1:3" x14ac:dyDescent="0.2">
      <c r="A838" s="14">
        <v>107928717</v>
      </c>
      <c r="B838" t="s">
        <v>3772</v>
      </c>
      <c r="C838" t="s">
        <v>3786</v>
      </c>
    </row>
    <row r="839" spans="1:3" x14ac:dyDescent="0.2">
      <c r="A839" s="14">
        <v>107928717</v>
      </c>
      <c r="B839" t="s">
        <v>3772</v>
      </c>
      <c r="C839" t="s">
        <v>3786</v>
      </c>
    </row>
    <row r="840" spans="1:3" x14ac:dyDescent="0.2">
      <c r="A840" s="14">
        <v>107928717</v>
      </c>
      <c r="B840" t="s">
        <v>3772</v>
      </c>
      <c r="C840" t="s">
        <v>3786</v>
      </c>
    </row>
    <row r="841" spans="1:3" x14ac:dyDescent="0.2">
      <c r="A841" s="14">
        <v>107928717</v>
      </c>
      <c r="B841" t="s">
        <v>3772</v>
      </c>
      <c r="C841" t="s">
        <v>3786</v>
      </c>
    </row>
    <row r="842" spans="1:3" x14ac:dyDescent="0.2">
      <c r="A842" s="14">
        <v>107928717</v>
      </c>
      <c r="B842" t="s">
        <v>3772</v>
      </c>
      <c r="C842" t="s">
        <v>3786</v>
      </c>
    </row>
    <row r="843" spans="1:3" x14ac:dyDescent="0.2">
      <c r="A843" s="14">
        <v>107928717</v>
      </c>
      <c r="B843" t="s">
        <v>3772</v>
      </c>
      <c r="C843" t="s">
        <v>3786</v>
      </c>
    </row>
    <row r="844" spans="1:3" x14ac:dyDescent="0.2">
      <c r="A844" s="14">
        <v>107928717</v>
      </c>
      <c r="B844" t="s">
        <v>3772</v>
      </c>
      <c r="C844" t="s">
        <v>3786</v>
      </c>
    </row>
    <row r="845" spans="1:3" x14ac:dyDescent="0.2">
      <c r="A845" s="14">
        <v>107928717</v>
      </c>
      <c r="B845" t="s">
        <v>3772</v>
      </c>
      <c r="C845" t="s">
        <v>3786</v>
      </c>
    </row>
    <row r="846" spans="1:3" x14ac:dyDescent="0.2">
      <c r="A846" s="14">
        <v>107928717</v>
      </c>
      <c r="B846" t="s">
        <v>3772</v>
      </c>
      <c r="C846" t="s">
        <v>3786</v>
      </c>
    </row>
    <row r="847" spans="1:3" x14ac:dyDescent="0.2">
      <c r="A847" s="14">
        <v>107928717</v>
      </c>
      <c r="B847" t="s">
        <v>3772</v>
      </c>
      <c r="C847" t="s">
        <v>3786</v>
      </c>
    </row>
    <row r="848" spans="1:3" x14ac:dyDescent="0.2">
      <c r="A848" s="14">
        <v>107928717</v>
      </c>
      <c r="B848" t="s">
        <v>3772</v>
      </c>
      <c r="C848" t="s">
        <v>3786</v>
      </c>
    </row>
    <row r="849" spans="1:3" x14ac:dyDescent="0.2">
      <c r="A849" s="14">
        <v>107928717</v>
      </c>
      <c r="B849" t="s">
        <v>3772</v>
      </c>
      <c r="C849" t="s">
        <v>3786</v>
      </c>
    </row>
    <row r="850" spans="1:3" x14ac:dyDescent="0.2">
      <c r="A850" s="14">
        <v>107928717</v>
      </c>
      <c r="B850" t="s">
        <v>3772</v>
      </c>
      <c r="C850" t="s">
        <v>3786</v>
      </c>
    </row>
    <row r="851" spans="1:3" x14ac:dyDescent="0.2">
      <c r="A851" s="14">
        <v>107928717</v>
      </c>
      <c r="B851" t="s">
        <v>3772</v>
      </c>
      <c r="C851" t="s">
        <v>3786</v>
      </c>
    </row>
    <row r="852" spans="1:3" x14ac:dyDescent="0.2">
      <c r="A852" s="14">
        <v>107928717</v>
      </c>
      <c r="B852" t="s">
        <v>3772</v>
      </c>
      <c r="C852" t="s">
        <v>3786</v>
      </c>
    </row>
    <row r="853" spans="1:3" x14ac:dyDescent="0.2">
      <c r="A853" s="14">
        <v>107928717</v>
      </c>
      <c r="B853" t="s">
        <v>3772</v>
      </c>
      <c r="C853" t="s">
        <v>3786</v>
      </c>
    </row>
    <row r="854" spans="1:3" x14ac:dyDescent="0.2">
      <c r="A854" s="14">
        <v>107928717</v>
      </c>
      <c r="B854" t="s">
        <v>3772</v>
      </c>
      <c r="C854" t="s">
        <v>3786</v>
      </c>
    </row>
    <row r="855" spans="1:3" x14ac:dyDescent="0.2">
      <c r="A855" s="14">
        <v>107928717</v>
      </c>
      <c r="B855" t="s">
        <v>3772</v>
      </c>
      <c r="C855" t="s">
        <v>3786</v>
      </c>
    </row>
    <row r="856" spans="1:3" x14ac:dyDescent="0.2">
      <c r="A856" s="14">
        <v>107928717</v>
      </c>
      <c r="B856" t="s">
        <v>3772</v>
      </c>
      <c r="C856" t="s">
        <v>3786</v>
      </c>
    </row>
    <row r="857" spans="1:3" x14ac:dyDescent="0.2">
      <c r="A857" s="14">
        <v>107928717</v>
      </c>
      <c r="B857" t="s">
        <v>3772</v>
      </c>
      <c r="C857" t="s">
        <v>3786</v>
      </c>
    </row>
    <row r="858" spans="1:3" x14ac:dyDescent="0.2">
      <c r="A858" s="14">
        <v>107928717</v>
      </c>
      <c r="B858" t="s">
        <v>3772</v>
      </c>
      <c r="C858" t="s">
        <v>3786</v>
      </c>
    </row>
    <row r="859" spans="1:3" x14ac:dyDescent="0.2">
      <c r="A859" s="14">
        <v>107928717</v>
      </c>
      <c r="B859" t="s">
        <v>3772</v>
      </c>
      <c r="C859" t="s">
        <v>3786</v>
      </c>
    </row>
    <row r="860" spans="1:3" x14ac:dyDescent="0.2">
      <c r="A860" s="14">
        <v>107928717</v>
      </c>
      <c r="B860" t="s">
        <v>3772</v>
      </c>
      <c r="C860" t="s">
        <v>3786</v>
      </c>
    </row>
    <row r="861" spans="1:3" x14ac:dyDescent="0.2">
      <c r="A861" s="14">
        <v>107928717</v>
      </c>
      <c r="B861" t="s">
        <v>3772</v>
      </c>
      <c r="C861" t="s">
        <v>3786</v>
      </c>
    </row>
    <row r="862" spans="1:3" x14ac:dyDescent="0.2">
      <c r="A862" s="14">
        <v>107928717</v>
      </c>
      <c r="B862" t="s">
        <v>3772</v>
      </c>
      <c r="C862" t="s">
        <v>3786</v>
      </c>
    </row>
    <row r="863" spans="1:3" x14ac:dyDescent="0.2">
      <c r="A863" s="14">
        <v>107928717</v>
      </c>
      <c r="B863" t="s">
        <v>3772</v>
      </c>
      <c r="C863" t="s">
        <v>3786</v>
      </c>
    </row>
    <row r="864" spans="1:3" x14ac:dyDescent="0.2">
      <c r="A864" s="14">
        <v>107928717</v>
      </c>
      <c r="B864" t="s">
        <v>3772</v>
      </c>
      <c r="C864" t="s">
        <v>3786</v>
      </c>
    </row>
    <row r="865" spans="1:3" x14ac:dyDescent="0.2">
      <c r="A865" s="14">
        <v>107928717</v>
      </c>
      <c r="B865" t="s">
        <v>3772</v>
      </c>
      <c r="C865" t="s">
        <v>3786</v>
      </c>
    </row>
    <row r="866" spans="1:3" x14ac:dyDescent="0.2">
      <c r="A866" s="14">
        <v>107928717</v>
      </c>
      <c r="B866" t="s">
        <v>3772</v>
      </c>
      <c r="C866" t="s">
        <v>3786</v>
      </c>
    </row>
    <row r="867" spans="1:3" x14ac:dyDescent="0.2">
      <c r="A867" s="14">
        <v>107928717</v>
      </c>
      <c r="B867" t="s">
        <v>3772</v>
      </c>
      <c r="C867" t="s">
        <v>3786</v>
      </c>
    </row>
    <row r="868" spans="1:3" x14ac:dyDescent="0.2">
      <c r="A868" s="14">
        <v>107928717</v>
      </c>
      <c r="B868" t="s">
        <v>3772</v>
      </c>
      <c r="C868" t="s">
        <v>3786</v>
      </c>
    </row>
    <row r="869" spans="1:3" x14ac:dyDescent="0.2">
      <c r="A869" s="14">
        <v>107928717</v>
      </c>
      <c r="B869" t="s">
        <v>3772</v>
      </c>
      <c r="C869" t="s">
        <v>3786</v>
      </c>
    </row>
    <row r="870" spans="1:3" x14ac:dyDescent="0.2">
      <c r="A870" s="14">
        <v>107928717</v>
      </c>
      <c r="B870" t="s">
        <v>3772</v>
      </c>
      <c r="C870" t="s">
        <v>3786</v>
      </c>
    </row>
    <row r="871" spans="1:3" x14ac:dyDescent="0.2">
      <c r="A871" s="14">
        <v>107928717</v>
      </c>
      <c r="B871" t="s">
        <v>3772</v>
      </c>
      <c r="C871" t="s">
        <v>3786</v>
      </c>
    </row>
    <row r="872" spans="1:3" x14ac:dyDescent="0.2">
      <c r="A872" s="14">
        <v>107928717</v>
      </c>
      <c r="B872" t="s">
        <v>3772</v>
      </c>
      <c r="C872" t="s">
        <v>3786</v>
      </c>
    </row>
    <row r="873" spans="1:3" x14ac:dyDescent="0.2">
      <c r="A873" s="14">
        <v>107928717</v>
      </c>
      <c r="B873" t="s">
        <v>3772</v>
      </c>
      <c r="C873" t="s">
        <v>3786</v>
      </c>
    </row>
    <row r="874" spans="1:3" x14ac:dyDescent="0.2">
      <c r="A874" s="14">
        <v>107928717</v>
      </c>
      <c r="B874" t="s">
        <v>3772</v>
      </c>
      <c r="C874" t="s">
        <v>3786</v>
      </c>
    </row>
    <row r="875" spans="1:3" x14ac:dyDescent="0.2">
      <c r="A875" s="14">
        <v>107928717</v>
      </c>
      <c r="B875" t="s">
        <v>3772</v>
      </c>
      <c r="C875" t="s">
        <v>3786</v>
      </c>
    </row>
    <row r="876" spans="1:3" x14ac:dyDescent="0.2">
      <c r="A876" s="14">
        <v>107928717</v>
      </c>
      <c r="B876" t="s">
        <v>3772</v>
      </c>
      <c r="C876" t="s">
        <v>3786</v>
      </c>
    </row>
    <row r="877" spans="1:3" x14ac:dyDescent="0.2">
      <c r="A877" s="14">
        <v>107928717</v>
      </c>
      <c r="B877" t="s">
        <v>3772</v>
      </c>
      <c r="C877" t="s">
        <v>3786</v>
      </c>
    </row>
    <row r="878" spans="1:3" x14ac:dyDescent="0.2">
      <c r="A878" s="14">
        <v>107928717</v>
      </c>
      <c r="B878" t="s">
        <v>3772</v>
      </c>
      <c r="C878" t="s">
        <v>3786</v>
      </c>
    </row>
    <row r="879" spans="1:3" x14ac:dyDescent="0.2">
      <c r="A879" s="14">
        <v>107928717</v>
      </c>
      <c r="B879" t="s">
        <v>3772</v>
      </c>
      <c r="C879" t="s">
        <v>3786</v>
      </c>
    </row>
    <row r="880" spans="1:3" x14ac:dyDescent="0.2">
      <c r="A880" s="14">
        <v>107928717</v>
      </c>
      <c r="B880" t="s">
        <v>3772</v>
      </c>
      <c r="C880" t="s">
        <v>3786</v>
      </c>
    </row>
    <row r="881" spans="1:3" x14ac:dyDescent="0.2">
      <c r="A881" s="14">
        <v>107928717</v>
      </c>
      <c r="B881" t="s">
        <v>3772</v>
      </c>
      <c r="C881" t="s">
        <v>3786</v>
      </c>
    </row>
    <row r="882" spans="1:3" x14ac:dyDescent="0.2">
      <c r="A882" s="14">
        <v>107928717</v>
      </c>
      <c r="B882" t="s">
        <v>3772</v>
      </c>
      <c r="C882" t="s">
        <v>3786</v>
      </c>
    </row>
    <row r="883" spans="1:3" x14ac:dyDescent="0.2">
      <c r="A883" s="14">
        <v>107928717</v>
      </c>
      <c r="B883" t="s">
        <v>3772</v>
      </c>
      <c r="C883" t="s">
        <v>3786</v>
      </c>
    </row>
    <row r="884" spans="1:3" x14ac:dyDescent="0.2">
      <c r="A884" s="14">
        <v>107928717</v>
      </c>
      <c r="B884" t="s">
        <v>3772</v>
      </c>
      <c r="C884" t="s">
        <v>3786</v>
      </c>
    </row>
    <row r="885" spans="1:3" x14ac:dyDescent="0.2">
      <c r="A885" s="14">
        <v>107928717</v>
      </c>
      <c r="B885" t="s">
        <v>3772</v>
      </c>
      <c r="C885" t="s">
        <v>3786</v>
      </c>
    </row>
    <row r="886" spans="1:3" x14ac:dyDescent="0.2">
      <c r="A886" s="14">
        <v>107928717</v>
      </c>
      <c r="B886" t="s">
        <v>3772</v>
      </c>
      <c r="C886" t="s">
        <v>3786</v>
      </c>
    </row>
    <row r="887" spans="1:3" x14ac:dyDescent="0.2">
      <c r="A887" s="14">
        <v>107928717</v>
      </c>
      <c r="B887" t="s">
        <v>3772</v>
      </c>
      <c r="C887" t="s">
        <v>3786</v>
      </c>
    </row>
    <row r="888" spans="1:3" x14ac:dyDescent="0.2">
      <c r="A888" s="14">
        <v>107928717</v>
      </c>
      <c r="B888" t="s">
        <v>3772</v>
      </c>
      <c r="C888" t="s">
        <v>3786</v>
      </c>
    </row>
    <row r="889" spans="1:3" x14ac:dyDescent="0.2">
      <c r="A889" s="14">
        <v>107928717</v>
      </c>
      <c r="B889" t="s">
        <v>3772</v>
      </c>
      <c r="C889" t="s">
        <v>3786</v>
      </c>
    </row>
    <row r="890" spans="1:3" x14ac:dyDescent="0.2">
      <c r="A890" s="14">
        <v>107928717</v>
      </c>
      <c r="B890" t="s">
        <v>3772</v>
      </c>
      <c r="C890" t="s">
        <v>3786</v>
      </c>
    </row>
    <row r="891" spans="1:3" x14ac:dyDescent="0.2">
      <c r="A891" s="14">
        <v>107928722</v>
      </c>
      <c r="B891" t="s">
        <v>3772</v>
      </c>
      <c r="C891" t="s">
        <v>3787</v>
      </c>
    </row>
    <row r="892" spans="1:3" x14ac:dyDescent="0.2">
      <c r="A892" s="14">
        <v>107928722</v>
      </c>
      <c r="B892" t="s">
        <v>3772</v>
      </c>
      <c r="C892" t="s">
        <v>3787</v>
      </c>
    </row>
    <row r="893" spans="1:3" x14ac:dyDescent="0.2">
      <c r="A893" s="14">
        <v>107928722</v>
      </c>
      <c r="B893" t="s">
        <v>3772</v>
      </c>
      <c r="C893" t="s">
        <v>3787</v>
      </c>
    </row>
    <row r="894" spans="1:3" x14ac:dyDescent="0.2">
      <c r="A894" s="14">
        <v>107928722</v>
      </c>
      <c r="B894" t="s">
        <v>3772</v>
      </c>
      <c r="C894" t="s">
        <v>3787</v>
      </c>
    </row>
    <row r="895" spans="1:3" x14ac:dyDescent="0.2">
      <c r="A895" s="14">
        <v>107928722</v>
      </c>
      <c r="B895" t="s">
        <v>3772</v>
      </c>
      <c r="C895" t="s">
        <v>3787</v>
      </c>
    </row>
    <row r="896" spans="1:3" x14ac:dyDescent="0.2">
      <c r="A896" s="14">
        <v>107928722</v>
      </c>
      <c r="B896" t="s">
        <v>3772</v>
      </c>
      <c r="C896" t="s">
        <v>3787</v>
      </c>
    </row>
    <row r="897" spans="1:3" x14ac:dyDescent="0.2">
      <c r="A897" s="14">
        <v>107928722</v>
      </c>
      <c r="B897" t="s">
        <v>3772</v>
      </c>
      <c r="C897" t="s">
        <v>3787</v>
      </c>
    </row>
    <row r="898" spans="1:3" x14ac:dyDescent="0.2">
      <c r="A898" s="14">
        <v>107928722</v>
      </c>
      <c r="B898" t="s">
        <v>3772</v>
      </c>
      <c r="C898" t="s">
        <v>3787</v>
      </c>
    </row>
    <row r="899" spans="1:3" x14ac:dyDescent="0.2">
      <c r="A899" s="14">
        <v>107928722</v>
      </c>
      <c r="B899" t="s">
        <v>3772</v>
      </c>
      <c r="C899" t="s">
        <v>3787</v>
      </c>
    </row>
    <row r="900" spans="1:3" x14ac:dyDescent="0.2">
      <c r="A900" s="14">
        <v>107928722</v>
      </c>
      <c r="B900" t="s">
        <v>3772</v>
      </c>
      <c r="C900" t="s">
        <v>3787</v>
      </c>
    </row>
    <row r="901" spans="1:3" x14ac:dyDescent="0.2">
      <c r="A901" s="14">
        <v>107928722</v>
      </c>
      <c r="B901" t="s">
        <v>3772</v>
      </c>
      <c r="C901" t="s">
        <v>3787</v>
      </c>
    </row>
    <row r="902" spans="1:3" x14ac:dyDescent="0.2">
      <c r="A902" s="14">
        <v>107928722</v>
      </c>
      <c r="B902" t="s">
        <v>3772</v>
      </c>
      <c r="C902" t="s">
        <v>3787</v>
      </c>
    </row>
    <row r="903" spans="1:3" x14ac:dyDescent="0.2">
      <c r="A903" s="14">
        <v>107928722</v>
      </c>
      <c r="B903" t="s">
        <v>3772</v>
      </c>
      <c r="C903" t="s">
        <v>3787</v>
      </c>
    </row>
    <row r="904" spans="1:3" x14ac:dyDescent="0.2">
      <c r="A904" s="14">
        <v>107928722</v>
      </c>
      <c r="B904" t="s">
        <v>3772</v>
      </c>
      <c r="C904" t="s">
        <v>3787</v>
      </c>
    </row>
    <row r="905" spans="1:3" x14ac:dyDescent="0.2">
      <c r="A905" s="14">
        <v>107928722</v>
      </c>
      <c r="B905" t="s">
        <v>3772</v>
      </c>
      <c r="C905" t="s">
        <v>3787</v>
      </c>
    </row>
    <row r="906" spans="1:3" x14ac:dyDescent="0.2">
      <c r="A906" s="14">
        <v>107928722</v>
      </c>
      <c r="B906" t="s">
        <v>3772</v>
      </c>
      <c r="C906" t="s">
        <v>3787</v>
      </c>
    </row>
    <row r="907" spans="1:3" x14ac:dyDescent="0.2">
      <c r="A907" s="14">
        <v>107928722</v>
      </c>
      <c r="B907" t="s">
        <v>3772</v>
      </c>
      <c r="C907" t="s">
        <v>3787</v>
      </c>
    </row>
    <row r="908" spans="1:3" x14ac:dyDescent="0.2">
      <c r="A908" s="14">
        <v>107928722</v>
      </c>
      <c r="B908" t="s">
        <v>3772</v>
      </c>
      <c r="C908" t="s">
        <v>3787</v>
      </c>
    </row>
    <row r="909" spans="1:3" x14ac:dyDescent="0.2">
      <c r="A909" s="14">
        <v>107928722</v>
      </c>
      <c r="B909" t="s">
        <v>3772</v>
      </c>
      <c r="C909" t="s">
        <v>3787</v>
      </c>
    </row>
    <row r="910" spans="1:3" x14ac:dyDescent="0.2">
      <c r="A910" s="14">
        <v>107928722</v>
      </c>
      <c r="B910" t="s">
        <v>3772</v>
      </c>
      <c r="C910" t="s">
        <v>3787</v>
      </c>
    </row>
    <row r="911" spans="1:3" x14ac:dyDescent="0.2">
      <c r="A911" s="14">
        <v>107928722</v>
      </c>
      <c r="B911" t="s">
        <v>3772</v>
      </c>
      <c r="C911" t="s">
        <v>3787</v>
      </c>
    </row>
    <row r="912" spans="1:3" x14ac:dyDescent="0.2">
      <c r="A912" s="14">
        <v>107928722</v>
      </c>
      <c r="B912" t="s">
        <v>3772</v>
      </c>
      <c r="C912" t="s">
        <v>3787</v>
      </c>
    </row>
    <row r="913" spans="1:3" x14ac:dyDescent="0.2">
      <c r="A913" s="14">
        <v>107928722</v>
      </c>
      <c r="B913" t="s">
        <v>3772</v>
      </c>
      <c r="C913" t="s">
        <v>3787</v>
      </c>
    </row>
    <row r="914" spans="1:3" x14ac:dyDescent="0.2">
      <c r="A914" s="14">
        <v>107928722</v>
      </c>
      <c r="B914" t="s">
        <v>3772</v>
      </c>
      <c r="C914" t="s">
        <v>3787</v>
      </c>
    </row>
    <row r="915" spans="1:3" x14ac:dyDescent="0.2">
      <c r="A915" s="14">
        <v>107928722</v>
      </c>
      <c r="B915" t="s">
        <v>3772</v>
      </c>
      <c r="C915" t="s">
        <v>3787</v>
      </c>
    </row>
    <row r="916" spans="1:3" x14ac:dyDescent="0.2">
      <c r="A916" s="14">
        <v>107928722</v>
      </c>
      <c r="B916" t="s">
        <v>3772</v>
      </c>
      <c r="C916" t="s">
        <v>3787</v>
      </c>
    </row>
    <row r="917" spans="1:3" x14ac:dyDescent="0.2">
      <c r="A917" s="14">
        <v>107928722</v>
      </c>
      <c r="B917" t="s">
        <v>3772</v>
      </c>
      <c r="C917" t="s">
        <v>3787</v>
      </c>
    </row>
    <row r="918" spans="1:3" x14ac:dyDescent="0.2">
      <c r="A918" s="14">
        <v>107928722</v>
      </c>
      <c r="B918" t="s">
        <v>3772</v>
      </c>
      <c r="C918" t="s">
        <v>3787</v>
      </c>
    </row>
    <row r="919" spans="1:3" x14ac:dyDescent="0.2">
      <c r="A919" s="14">
        <v>107928722</v>
      </c>
      <c r="B919" t="s">
        <v>3772</v>
      </c>
      <c r="C919" t="s">
        <v>3787</v>
      </c>
    </row>
    <row r="920" spans="1:3" x14ac:dyDescent="0.2">
      <c r="A920" s="14">
        <v>107928722</v>
      </c>
      <c r="B920" t="s">
        <v>3772</v>
      </c>
      <c r="C920" t="s">
        <v>3787</v>
      </c>
    </row>
    <row r="921" spans="1:3" x14ac:dyDescent="0.2">
      <c r="A921" s="14">
        <v>107928722</v>
      </c>
      <c r="B921" t="s">
        <v>3772</v>
      </c>
      <c r="C921" t="s">
        <v>3787</v>
      </c>
    </row>
    <row r="922" spans="1:3" x14ac:dyDescent="0.2">
      <c r="A922" s="14">
        <v>107928722</v>
      </c>
      <c r="B922" t="s">
        <v>3772</v>
      </c>
      <c r="C922" t="s">
        <v>3787</v>
      </c>
    </row>
    <row r="923" spans="1:3" x14ac:dyDescent="0.2">
      <c r="A923" s="14">
        <v>107928722</v>
      </c>
      <c r="B923" t="s">
        <v>3772</v>
      </c>
      <c r="C923" t="s">
        <v>3787</v>
      </c>
    </row>
    <row r="924" spans="1:3" x14ac:dyDescent="0.2">
      <c r="A924" s="14">
        <v>107928722</v>
      </c>
      <c r="B924" t="s">
        <v>3772</v>
      </c>
      <c r="C924" t="s">
        <v>3787</v>
      </c>
    </row>
    <row r="925" spans="1:3" x14ac:dyDescent="0.2">
      <c r="A925" s="14">
        <v>107928722</v>
      </c>
      <c r="B925" t="s">
        <v>3772</v>
      </c>
      <c r="C925" t="s">
        <v>3787</v>
      </c>
    </row>
    <row r="926" spans="1:3" x14ac:dyDescent="0.2">
      <c r="A926" s="14">
        <v>107928722</v>
      </c>
      <c r="B926" t="s">
        <v>3772</v>
      </c>
      <c r="C926" t="s">
        <v>3787</v>
      </c>
    </row>
    <row r="927" spans="1:3" x14ac:dyDescent="0.2">
      <c r="A927" s="14">
        <v>107928722</v>
      </c>
      <c r="B927" t="s">
        <v>3772</v>
      </c>
      <c r="C927" t="s">
        <v>3787</v>
      </c>
    </row>
    <row r="928" spans="1:3" x14ac:dyDescent="0.2">
      <c r="A928" s="14">
        <v>107928722</v>
      </c>
      <c r="B928" t="s">
        <v>3772</v>
      </c>
      <c r="C928" t="s">
        <v>3787</v>
      </c>
    </row>
    <row r="929" spans="1:3" x14ac:dyDescent="0.2">
      <c r="A929" s="14">
        <v>107928722</v>
      </c>
      <c r="B929" t="s">
        <v>3772</v>
      </c>
      <c r="C929" t="s">
        <v>3787</v>
      </c>
    </row>
    <row r="930" spans="1:3" x14ac:dyDescent="0.2">
      <c r="A930" s="14">
        <v>107928722</v>
      </c>
      <c r="B930" t="s">
        <v>3772</v>
      </c>
      <c r="C930" t="s">
        <v>3787</v>
      </c>
    </row>
    <row r="931" spans="1:3" x14ac:dyDescent="0.2">
      <c r="A931" s="14">
        <v>107928722</v>
      </c>
      <c r="B931" t="s">
        <v>3772</v>
      </c>
      <c r="C931" t="s">
        <v>3787</v>
      </c>
    </row>
    <row r="932" spans="1:3" x14ac:dyDescent="0.2">
      <c r="A932" s="14">
        <v>107928722</v>
      </c>
      <c r="B932" t="s">
        <v>3772</v>
      </c>
      <c r="C932" t="s">
        <v>3787</v>
      </c>
    </row>
    <row r="933" spans="1:3" x14ac:dyDescent="0.2">
      <c r="A933" s="14">
        <v>107928722</v>
      </c>
      <c r="B933" t="s">
        <v>3772</v>
      </c>
      <c r="C933" t="s">
        <v>3787</v>
      </c>
    </row>
    <row r="934" spans="1:3" x14ac:dyDescent="0.2">
      <c r="A934" s="14">
        <v>107928722</v>
      </c>
      <c r="B934" t="s">
        <v>3772</v>
      </c>
      <c r="C934" t="s">
        <v>3787</v>
      </c>
    </row>
    <row r="935" spans="1:3" x14ac:dyDescent="0.2">
      <c r="A935" s="14">
        <v>107928722</v>
      </c>
      <c r="B935" t="s">
        <v>3772</v>
      </c>
      <c r="C935" t="s">
        <v>3787</v>
      </c>
    </row>
    <row r="936" spans="1:3" x14ac:dyDescent="0.2">
      <c r="A936" s="14">
        <v>107928722</v>
      </c>
      <c r="B936" t="s">
        <v>3772</v>
      </c>
      <c r="C936" t="s">
        <v>3787</v>
      </c>
    </row>
    <row r="937" spans="1:3" x14ac:dyDescent="0.2">
      <c r="A937" s="14">
        <v>107928722</v>
      </c>
      <c r="B937" t="s">
        <v>3772</v>
      </c>
      <c r="C937" t="s">
        <v>3787</v>
      </c>
    </row>
    <row r="938" spans="1:3" x14ac:dyDescent="0.2">
      <c r="A938" s="14">
        <v>107928722</v>
      </c>
      <c r="B938" t="s">
        <v>3772</v>
      </c>
      <c r="C938" t="s">
        <v>3787</v>
      </c>
    </row>
    <row r="939" spans="1:3" x14ac:dyDescent="0.2">
      <c r="A939" s="14">
        <v>107928722</v>
      </c>
      <c r="B939" t="s">
        <v>3772</v>
      </c>
      <c r="C939" t="s">
        <v>3787</v>
      </c>
    </row>
    <row r="940" spans="1:3" x14ac:dyDescent="0.2">
      <c r="A940" s="14">
        <v>107928722</v>
      </c>
      <c r="B940" t="s">
        <v>3772</v>
      </c>
      <c r="C940" t="s">
        <v>3787</v>
      </c>
    </row>
    <row r="941" spans="1:3" x14ac:dyDescent="0.2">
      <c r="A941" s="14">
        <v>107928722</v>
      </c>
      <c r="B941" t="s">
        <v>3772</v>
      </c>
      <c r="C941" t="s">
        <v>3787</v>
      </c>
    </row>
    <row r="942" spans="1:3" x14ac:dyDescent="0.2">
      <c r="A942" s="14">
        <v>107928722</v>
      </c>
      <c r="B942" t="s">
        <v>3772</v>
      </c>
      <c r="C942" t="s">
        <v>3787</v>
      </c>
    </row>
    <row r="943" spans="1:3" x14ac:dyDescent="0.2">
      <c r="A943" s="14">
        <v>107928722</v>
      </c>
      <c r="B943" t="s">
        <v>3772</v>
      </c>
      <c r="C943" t="s">
        <v>3787</v>
      </c>
    </row>
    <row r="944" spans="1:3" x14ac:dyDescent="0.2">
      <c r="A944" s="14">
        <v>107928722</v>
      </c>
      <c r="B944" t="s">
        <v>3772</v>
      </c>
      <c r="C944" t="s">
        <v>3787</v>
      </c>
    </row>
    <row r="945" spans="1:3" x14ac:dyDescent="0.2">
      <c r="A945" s="14">
        <v>107928729</v>
      </c>
      <c r="B945" t="s">
        <v>3772</v>
      </c>
      <c r="C945" t="s">
        <v>3788</v>
      </c>
    </row>
    <row r="946" spans="1:3" x14ac:dyDescent="0.2">
      <c r="A946" s="14">
        <v>107928729</v>
      </c>
      <c r="B946" t="s">
        <v>3772</v>
      </c>
      <c r="C946" t="s">
        <v>3788</v>
      </c>
    </row>
    <row r="947" spans="1:3" x14ac:dyDescent="0.2">
      <c r="A947" s="14">
        <v>107928729</v>
      </c>
      <c r="B947" t="s">
        <v>3772</v>
      </c>
      <c r="C947" t="s">
        <v>3788</v>
      </c>
    </row>
    <row r="948" spans="1:3" x14ac:dyDescent="0.2">
      <c r="A948" s="14">
        <v>107928729</v>
      </c>
      <c r="B948" t="s">
        <v>3772</v>
      </c>
      <c r="C948" t="s">
        <v>3788</v>
      </c>
    </row>
    <row r="949" spans="1:3" x14ac:dyDescent="0.2">
      <c r="A949" s="14">
        <v>107928729</v>
      </c>
      <c r="B949" t="s">
        <v>3772</v>
      </c>
      <c r="C949" t="s">
        <v>3788</v>
      </c>
    </row>
    <row r="950" spans="1:3" x14ac:dyDescent="0.2">
      <c r="A950" s="14">
        <v>107928729</v>
      </c>
      <c r="B950" t="s">
        <v>3772</v>
      </c>
      <c r="C950" t="s">
        <v>3788</v>
      </c>
    </row>
    <row r="951" spans="1:3" x14ac:dyDescent="0.2">
      <c r="A951" s="14">
        <v>107928729</v>
      </c>
      <c r="B951" t="s">
        <v>3772</v>
      </c>
      <c r="C951" t="s">
        <v>3788</v>
      </c>
    </row>
    <row r="952" spans="1:3" x14ac:dyDescent="0.2">
      <c r="A952" s="14">
        <v>107928729</v>
      </c>
      <c r="B952" t="s">
        <v>3772</v>
      </c>
      <c r="C952" t="s">
        <v>3788</v>
      </c>
    </row>
    <row r="953" spans="1:3" x14ac:dyDescent="0.2">
      <c r="A953" s="14">
        <v>107928729</v>
      </c>
      <c r="B953" t="s">
        <v>3772</v>
      </c>
      <c r="C953" t="s">
        <v>3788</v>
      </c>
    </row>
    <row r="954" spans="1:3" x14ac:dyDescent="0.2">
      <c r="A954" s="14">
        <v>107928729</v>
      </c>
      <c r="B954" t="s">
        <v>3772</v>
      </c>
      <c r="C954" t="s">
        <v>3788</v>
      </c>
    </row>
    <row r="955" spans="1:3" x14ac:dyDescent="0.2">
      <c r="A955" s="14">
        <v>107928729</v>
      </c>
      <c r="B955" t="s">
        <v>3772</v>
      </c>
      <c r="C955" t="s">
        <v>3788</v>
      </c>
    </row>
    <row r="956" spans="1:3" x14ac:dyDescent="0.2">
      <c r="A956" s="14">
        <v>107928729</v>
      </c>
      <c r="B956" t="s">
        <v>3772</v>
      </c>
      <c r="C956" t="s">
        <v>3788</v>
      </c>
    </row>
    <row r="957" spans="1:3" x14ac:dyDescent="0.2">
      <c r="A957" s="14">
        <v>107928729</v>
      </c>
      <c r="B957" t="s">
        <v>3772</v>
      </c>
      <c r="C957" t="s">
        <v>3788</v>
      </c>
    </row>
    <row r="958" spans="1:3" x14ac:dyDescent="0.2">
      <c r="A958" s="14">
        <v>107928729</v>
      </c>
      <c r="B958" t="s">
        <v>3772</v>
      </c>
      <c r="C958" t="s">
        <v>3788</v>
      </c>
    </row>
    <row r="959" spans="1:3" x14ac:dyDescent="0.2">
      <c r="A959" s="14">
        <v>107928729</v>
      </c>
      <c r="B959" t="s">
        <v>3772</v>
      </c>
      <c r="C959" t="s">
        <v>3788</v>
      </c>
    </row>
    <row r="960" spans="1:3" x14ac:dyDescent="0.2">
      <c r="A960" s="14">
        <v>107928729</v>
      </c>
      <c r="B960" t="s">
        <v>3772</v>
      </c>
      <c r="C960" t="s">
        <v>3788</v>
      </c>
    </row>
    <row r="961" spans="1:3" x14ac:dyDescent="0.2">
      <c r="A961" s="14">
        <v>107928729</v>
      </c>
      <c r="B961" t="s">
        <v>3772</v>
      </c>
      <c r="C961" t="s">
        <v>3788</v>
      </c>
    </row>
    <row r="962" spans="1:3" x14ac:dyDescent="0.2">
      <c r="A962" s="14">
        <v>107928729</v>
      </c>
      <c r="B962" t="s">
        <v>3772</v>
      </c>
      <c r="C962" t="s">
        <v>3788</v>
      </c>
    </row>
    <row r="963" spans="1:3" x14ac:dyDescent="0.2">
      <c r="A963" s="14">
        <v>107928729</v>
      </c>
      <c r="B963" t="s">
        <v>3772</v>
      </c>
      <c r="C963" t="s">
        <v>3788</v>
      </c>
    </row>
    <row r="964" spans="1:3" x14ac:dyDescent="0.2">
      <c r="A964" s="14">
        <v>107928729</v>
      </c>
      <c r="B964" t="s">
        <v>3772</v>
      </c>
      <c r="C964" t="s">
        <v>3788</v>
      </c>
    </row>
    <row r="965" spans="1:3" x14ac:dyDescent="0.2">
      <c r="A965" s="14">
        <v>107928729</v>
      </c>
      <c r="B965" t="s">
        <v>3772</v>
      </c>
      <c r="C965" t="s">
        <v>3788</v>
      </c>
    </row>
    <row r="966" spans="1:3" x14ac:dyDescent="0.2">
      <c r="A966" s="14">
        <v>107928729</v>
      </c>
      <c r="B966" t="s">
        <v>3772</v>
      </c>
      <c r="C966" t="s">
        <v>3788</v>
      </c>
    </row>
    <row r="967" spans="1:3" x14ac:dyDescent="0.2">
      <c r="A967" s="14">
        <v>107928729</v>
      </c>
      <c r="B967" t="s">
        <v>3772</v>
      </c>
      <c r="C967" t="s">
        <v>3788</v>
      </c>
    </row>
    <row r="968" spans="1:3" x14ac:dyDescent="0.2">
      <c r="A968" s="14">
        <v>107928729</v>
      </c>
      <c r="B968" t="s">
        <v>3772</v>
      </c>
      <c r="C968" t="s">
        <v>3788</v>
      </c>
    </row>
    <row r="969" spans="1:3" x14ac:dyDescent="0.2">
      <c r="A969" s="14">
        <v>107928729</v>
      </c>
      <c r="B969" t="s">
        <v>3772</v>
      </c>
      <c r="C969" t="s">
        <v>3788</v>
      </c>
    </row>
    <row r="970" spans="1:3" x14ac:dyDescent="0.2">
      <c r="A970" s="14">
        <v>107928729</v>
      </c>
      <c r="B970" t="s">
        <v>3772</v>
      </c>
      <c r="C970" t="s">
        <v>3788</v>
      </c>
    </row>
    <row r="971" spans="1:3" x14ac:dyDescent="0.2">
      <c r="A971" s="14">
        <v>107928729</v>
      </c>
      <c r="B971" t="s">
        <v>3772</v>
      </c>
      <c r="C971" t="s">
        <v>3788</v>
      </c>
    </row>
    <row r="972" spans="1:3" x14ac:dyDescent="0.2">
      <c r="A972" s="14">
        <v>107928729</v>
      </c>
      <c r="B972" t="s">
        <v>3772</v>
      </c>
      <c r="C972" t="s">
        <v>3788</v>
      </c>
    </row>
    <row r="973" spans="1:3" x14ac:dyDescent="0.2">
      <c r="A973" s="14">
        <v>107928729</v>
      </c>
      <c r="B973" t="s">
        <v>3772</v>
      </c>
      <c r="C973" t="s">
        <v>3788</v>
      </c>
    </row>
    <row r="974" spans="1:3" x14ac:dyDescent="0.2">
      <c r="A974" s="14">
        <v>107928729</v>
      </c>
      <c r="B974" t="s">
        <v>3772</v>
      </c>
      <c r="C974" t="s">
        <v>3788</v>
      </c>
    </row>
    <row r="975" spans="1:3" x14ac:dyDescent="0.2">
      <c r="A975" s="14">
        <v>107928729</v>
      </c>
      <c r="B975" t="s">
        <v>3772</v>
      </c>
      <c r="C975" t="s">
        <v>3788</v>
      </c>
    </row>
    <row r="976" spans="1:3" x14ac:dyDescent="0.2">
      <c r="A976" s="14">
        <v>107928729</v>
      </c>
      <c r="B976" t="s">
        <v>3772</v>
      </c>
      <c r="C976" t="s">
        <v>3788</v>
      </c>
    </row>
    <row r="977" spans="1:3" x14ac:dyDescent="0.2">
      <c r="A977" s="14">
        <v>107928729</v>
      </c>
      <c r="B977" t="s">
        <v>3772</v>
      </c>
      <c r="C977" t="s">
        <v>3788</v>
      </c>
    </row>
    <row r="978" spans="1:3" x14ac:dyDescent="0.2">
      <c r="A978" s="14">
        <v>107928729</v>
      </c>
      <c r="B978" t="s">
        <v>3772</v>
      </c>
      <c r="C978" t="s">
        <v>3788</v>
      </c>
    </row>
    <row r="979" spans="1:3" x14ac:dyDescent="0.2">
      <c r="A979" s="14">
        <v>107928729</v>
      </c>
      <c r="B979" t="s">
        <v>3772</v>
      </c>
      <c r="C979" t="s">
        <v>3788</v>
      </c>
    </row>
    <row r="980" spans="1:3" x14ac:dyDescent="0.2">
      <c r="A980" s="14">
        <v>107928729</v>
      </c>
      <c r="B980" t="s">
        <v>3772</v>
      </c>
      <c r="C980" t="s">
        <v>3788</v>
      </c>
    </row>
    <row r="981" spans="1:3" x14ac:dyDescent="0.2">
      <c r="A981" s="14">
        <v>107928729</v>
      </c>
      <c r="B981" t="s">
        <v>3772</v>
      </c>
      <c r="C981" t="s">
        <v>3788</v>
      </c>
    </row>
    <row r="982" spans="1:3" x14ac:dyDescent="0.2">
      <c r="A982" s="14">
        <v>107928729</v>
      </c>
      <c r="B982" t="s">
        <v>3772</v>
      </c>
      <c r="C982" t="s">
        <v>3788</v>
      </c>
    </row>
    <row r="983" spans="1:3" x14ac:dyDescent="0.2">
      <c r="A983" s="14">
        <v>107928729</v>
      </c>
      <c r="B983" t="s">
        <v>3772</v>
      </c>
      <c r="C983" t="s">
        <v>3788</v>
      </c>
    </row>
    <row r="984" spans="1:3" x14ac:dyDescent="0.2">
      <c r="A984" s="14">
        <v>107928729</v>
      </c>
      <c r="B984" t="s">
        <v>3772</v>
      </c>
      <c r="C984" t="s">
        <v>3788</v>
      </c>
    </row>
    <row r="985" spans="1:3" x14ac:dyDescent="0.2">
      <c r="A985" s="14">
        <v>107928729</v>
      </c>
      <c r="B985" t="s">
        <v>3772</v>
      </c>
      <c r="C985" t="s">
        <v>3788</v>
      </c>
    </row>
    <row r="986" spans="1:3" x14ac:dyDescent="0.2">
      <c r="A986" s="14">
        <v>107928729</v>
      </c>
      <c r="B986" t="s">
        <v>3772</v>
      </c>
      <c r="C986" t="s">
        <v>3788</v>
      </c>
    </row>
    <row r="987" spans="1:3" x14ac:dyDescent="0.2">
      <c r="A987" s="14">
        <v>107928729</v>
      </c>
      <c r="B987" t="s">
        <v>3772</v>
      </c>
      <c r="C987" t="s">
        <v>3788</v>
      </c>
    </row>
    <row r="988" spans="1:3" x14ac:dyDescent="0.2">
      <c r="A988" s="14">
        <v>107928729</v>
      </c>
      <c r="B988" t="s">
        <v>3772</v>
      </c>
      <c r="C988" t="s">
        <v>3788</v>
      </c>
    </row>
    <row r="989" spans="1:3" x14ac:dyDescent="0.2">
      <c r="A989" s="14">
        <v>107928729</v>
      </c>
      <c r="B989" t="s">
        <v>3772</v>
      </c>
      <c r="C989" t="s">
        <v>3788</v>
      </c>
    </row>
    <row r="990" spans="1:3" x14ac:dyDescent="0.2">
      <c r="A990" s="14">
        <v>107928729</v>
      </c>
      <c r="B990" t="s">
        <v>3772</v>
      </c>
      <c r="C990" t="s">
        <v>3788</v>
      </c>
    </row>
    <row r="991" spans="1:3" x14ac:dyDescent="0.2">
      <c r="A991" s="14">
        <v>107928729</v>
      </c>
      <c r="B991" t="s">
        <v>3772</v>
      </c>
      <c r="C991" t="s">
        <v>3788</v>
      </c>
    </row>
    <row r="992" spans="1:3" x14ac:dyDescent="0.2">
      <c r="A992" s="14">
        <v>107928729</v>
      </c>
      <c r="B992" t="s">
        <v>3772</v>
      </c>
      <c r="C992" t="s">
        <v>3788</v>
      </c>
    </row>
    <row r="993" spans="1:3" x14ac:dyDescent="0.2">
      <c r="A993" s="14">
        <v>107928729</v>
      </c>
      <c r="B993" t="s">
        <v>3772</v>
      </c>
      <c r="C993" t="s">
        <v>3788</v>
      </c>
    </row>
    <row r="994" spans="1:3" x14ac:dyDescent="0.2">
      <c r="A994" s="14">
        <v>107928729</v>
      </c>
      <c r="B994" t="s">
        <v>3772</v>
      </c>
      <c r="C994" t="s">
        <v>3788</v>
      </c>
    </row>
    <row r="995" spans="1:3" x14ac:dyDescent="0.2">
      <c r="A995" s="14">
        <v>107928729</v>
      </c>
      <c r="B995" t="s">
        <v>3772</v>
      </c>
      <c r="C995" t="s">
        <v>3788</v>
      </c>
    </row>
    <row r="996" spans="1:3" x14ac:dyDescent="0.2">
      <c r="A996" s="14">
        <v>107928729</v>
      </c>
      <c r="B996" t="s">
        <v>3772</v>
      </c>
      <c r="C996" t="s">
        <v>3788</v>
      </c>
    </row>
    <row r="997" spans="1:3" x14ac:dyDescent="0.2">
      <c r="A997" s="14">
        <v>107928729</v>
      </c>
      <c r="B997" t="s">
        <v>3772</v>
      </c>
      <c r="C997" t="s">
        <v>3788</v>
      </c>
    </row>
    <row r="998" spans="1:3" x14ac:dyDescent="0.2">
      <c r="A998" s="14">
        <v>107928729</v>
      </c>
      <c r="B998" t="s">
        <v>3772</v>
      </c>
      <c r="C998" t="s">
        <v>3788</v>
      </c>
    </row>
    <row r="999" spans="1:3" x14ac:dyDescent="0.2">
      <c r="A999" s="14">
        <v>107928729</v>
      </c>
      <c r="B999" t="s">
        <v>3772</v>
      </c>
      <c r="C999" t="s">
        <v>3788</v>
      </c>
    </row>
    <row r="1000" spans="1:3" x14ac:dyDescent="0.2">
      <c r="A1000" s="14">
        <v>107928729</v>
      </c>
      <c r="B1000" t="s">
        <v>3772</v>
      </c>
      <c r="C1000" t="s">
        <v>3788</v>
      </c>
    </row>
    <row r="1001" spans="1:3" x14ac:dyDescent="0.2">
      <c r="A1001" s="14">
        <v>107928729</v>
      </c>
      <c r="B1001" t="s">
        <v>3772</v>
      </c>
      <c r="C1001" t="s">
        <v>3788</v>
      </c>
    </row>
    <row r="1002" spans="1:3" x14ac:dyDescent="0.2">
      <c r="A1002" s="14">
        <v>107928729</v>
      </c>
      <c r="B1002" t="s">
        <v>3772</v>
      </c>
      <c r="C1002" t="s">
        <v>3788</v>
      </c>
    </row>
    <row r="1003" spans="1:3" x14ac:dyDescent="0.2">
      <c r="A1003" s="14">
        <v>107928729</v>
      </c>
      <c r="B1003" t="s">
        <v>3772</v>
      </c>
      <c r="C1003" t="s">
        <v>3788</v>
      </c>
    </row>
    <row r="1004" spans="1:3" x14ac:dyDescent="0.2">
      <c r="A1004" s="14">
        <v>107928729</v>
      </c>
      <c r="B1004" t="s">
        <v>3772</v>
      </c>
      <c r="C1004" t="s">
        <v>3788</v>
      </c>
    </row>
    <row r="1005" spans="1:3" x14ac:dyDescent="0.2">
      <c r="A1005" s="14">
        <v>107928729</v>
      </c>
      <c r="B1005" t="s">
        <v>3772</v>
      </c>
      <c r="C1005" t="s">
        <v>3788</v>
      </c>
    </row>
    <row r="1006" spans="1:3" x14ac:dyDescent="0.2">
      <c r="A1006" s="14">
        <v>107928729</v>
      </c>
      <c r="B1006" t="s">
        <v>3772</v>
      </c>
      <c r="C1006" t="s">
        <v>3788</v>
      </c>
    </row>
    <row r="1007" spans="1:3" x14ac:dyDescent="0.2">
      <c r="A1007" s="14">
        <v>107928729</v>
      </c>
      <c r="B1007" t="s">
        <v>3772</v>
      </c>
      <c r="C1007" t="s">
        <v>3788</v>
      </c>
    </row>
    <row r="1008" spans="1:3" x14ac:dyDescent="0.2">
      <c r="A1008" s="14">
        <v>107928729</v>
      </c>
      <c r="B1008" t="s">
        <v>3772</v>
      </c>
      <c r="C1008" t="s">
        <v>3788</v>
      </c>
    </row>
    <row r="1009" spans="1:3" x14ac:dyDescent="0.2">
      <c r="A1009" s="14">
        <v>107928729</v>
      </c>
      <c r="B1009" t="s">
        <v>3772</v>
      </c>
      <c r="C1009" t="s">
        <v>3788</v>
      </c>
    </row>
    <row r="1010" spans="1:3" x14ac:dyDescent="0.2">
      <c r="A1010" s="14">
        <v>107928729</v>
      </c>
      <c r="B1010" t="s">
        <v>3772</v>
      </c>
      <c r="C1010" t="s">
        <v>3788</v>
      </c>
    </row>
    <row r="1011" spans="1:3" x14ac:dyDescent="0.2">
      <c r="A1011" s="14">
        <v>107928729</v>
      </c>
      <c r="B1011" t="s">
        <v>3772</v>
      </c>
      <c r="C1011" t="s">
        <v>3788</v>
      </c>
    </row>
    <row r="1012" spans="1:3" x14ac:dyDescent="0.2">
      <c r="A1012" s="14">
        <v>107928729</v>
      </c>
      <c r="B1012" t="s">
        <v>3772</v>
      </c>
      <c r="C1012" t="s">
        <v>3788</v>
      </c>
    </row>
    <row r="1013" spans="1:3" x14ac:dyDescent="0.2">
      <c r="A1013" s="14">
        <v>107928729</v>
      </c>
      <c r="B1013" t="s">
        <v>3772</v>
      </c>
      <c r="C1013" t="s">
        <v>3788</v>
      </c>
    </row>
    <row r="1014" spans="1:3" x14ac:dyDescent="0.2">
      <c r="A1014" s="14">
        <v>107928729</v>
      </c>
      <c r="B1014" t="s">
        <v>3772</v>
      </c>
      <c r="C1014" t="s">
        <v>3788</v>
      </c>
    </row>
    <row r="1015" spans="1:3" x14ac:dyDescent="0.2">
      <c r="A1015" s="14">
        <v>107928729</v>
      </c>
      <c r="B1015" t="s">
        <v>3772</v>
      </c>
      <c r="C1015" t="s">
        <v>3788</v>
      </c>
    </row>
    <row r="1016" spans="1:3" x14ac:dyDescent="0.2">
      <c r="A1016" s="14">
        <v>107928729</v>
      </c>
      <c r="B1016" t="s">
        <v>3772</v>
      </c>
      <c r="C1016" t="s">
        <v>3788</v>
      </c>
    </row>
    <row r="1017" spans="1:3" x14ac:dyDescent="0.2">
      <c r="A1017" s="14">
        <v>107928729</v>
      </c>
      <c r="B1017" t="s">
        <v>3772</v>
      </c>
      <c r="C1017" t="s">
        <v>3788</v>
      </c>
    </row>
    <row r="1018" spans="1:3" x14ac:dyDescent="0.2">
      <c r="A1018" s="14">
        <v>107928729</v>
      </c>
      <c r="B1018" t="s">
        <v>3772</v>
      </c>
      <c r="C1018" t="s">
        <v>3788</v>
      </c>
    </row>
    <row r="1019" spans="1:3" x14ac:dyDescent="0.2">
      <c r="A1019" s="14">
        <v>107928729</v>
      </c>
      <c r="B1019" t="s">
        <v>3772</v>
      </c>
      <c r="C1019" t="s">
        <v>3788</v>
      </c>
    </row>
    <row r="1020" spans="1:3" x14ac:dyDescent="0.2">
      <c r="A1020" s="14">
        <v>107928729</v>
      </c>
      <c r="B1020" t="s">
        <v>3772</v>
      </c>
      <c r="C1020" t="s">
        <v>3788</v>
      </c>
    </row>
    <row r="1021" spans="1:3" x14ac:dyDescent="0.2">
      <c r="A1021" s="14">
        <v>107928729</v>
      </c>
      <c r="B1021" t="s">
        <v>3772</v>
      </c>
      <c r="C1021" t="s">
        <v>3788</v>
      </c>
    </row>
    <row r="1022" spans="1:3" x14ac:dyDescent="0.2">
      <c r="A1022" s="14">
        <v>107928729</v>
      </c>
      <c r="B1022" t="s">
        <v>3772</v>
      </c>
      <c r="C1022" t="s">
        <v>3788</v>
      </c>
    </row>
    <row r="1023" spans="1:3" x14ac:dyDescent="0.2">
      <c r="A1023" s="14">
        <v>107928729</v>
      </c>
      <c r="B1023" t="s">
        <v>3772</v>
      </c>
      <c r="C1023" t="s">
        <v>3788</v>
      </c>
    </row>
    <row r="1024" spans="1:3" x14ac:dyDescent="0.2">
      <c r="A1024" s="14">
        <v>107928729</v>
      </c>
      <c r="B1024" t="s">
        <v>3772</v>
      </c>
      <c r="C1024" t="s">
        <v>3788</v>
      </c>
    </row>
    <row r="1025" spans="1:3" x14ac:dyDescent="0.2">
      <c r="A1025" s="14">
        <v>107928729</v>
      </c>
      <c r="B1025" t="s">
        <v>3772</v>
      </c>
      <c r="C1025" t="s">
        <v>3788</v>
      </c>
    </row>
    <row r="1026" spans="1:3" x14ac:dyDescent="0.2">
      <c r="A1026" s="14">
        <v>107928729</v>
      </c>
      <c r="B1026" t="s">
        <v>3772</v>
      </c>
      <c r="C1026" t="s">
        <v>3788</v>
      </c>
    </row>
    <row r="1027" spans="1:3" x14ac:dyDescent="0.2">
      <c r="A1027" s="14">
        <v>107928729</v>
      </c>
      <c r="B1027" t="s">
        <v>3772</v>
      </c>
      <c r="C1027" t="s">
        <v>3788</v>
      </c>
    </row>
    <row r="1028" spans="1:3" x14ac:dyDescent="0.2">
      <c r="A1028" s="14">
        <v>107928729</v>
      </c>
      <c r="B1028" t="s">
        <v>3772</v>
      </c>
      <c r="C1028" t="s">
        <v>3788</v>
      </c>
    </row>
    <row r="1029" spans="1:3" x14ac:dyDescent="0.2">
      <c r="A1029" s="14">
        <v>107928729</v>
      </c>
      <c r="B1029" t="s">
        <v>3772</v>
      </c>
      <c r="C1029" t="s">
        <v>3788</v>
      </c>
    </row>
    <row r="1030" spans="1:3" x14ac:dyDescent="0.2">
      <c r="A1030" s="14">
        <v>107928729</v>
      </c>
      <c r="B1030" t="s">
        <v>3772</v>
      </c>
      <c r="C1030" t="s">
        <v>3788</v>
      </c>
    </row>
    <row r="1031" spans="1:3" x14ac:dyDescent="0.2">
      <c r="A1031" s="14">
        <v>107928729</v>
      </c>
      <c r="B1031" t="s">
        <v>3772</v>
      </c>
      <c r="C1031" t="s">
        <v>3788</v>
      </c>
    </row>
    <row r="1032" spans="1:3" x14ac:dyDescent="0.2">
      <c r="A1032" s="14">
        <v>107928852</v>
      </c>
      <c r="B1032" t="s">
        <v>3772</v>
      </c>
      <c r="C1032" t="s">
        <v>3789</v>
      </c>
    </row>
    <row r="1033" spans="1:3" x14ac:dyDescent="0.2">
      <c r="A1033" s="14">
        <v>107928852</v>
      </c>
      <c r="B1033" t="s">
        <v>3772</v>
      </c>
      <c r="C1033" t="s">
        <v>3789</v>
      </c>
    </row>
    <row r="1034" spans="1:3" x14ac:dyDescent="0.2">
      <c r="A1034" s="14">
        <v>107928852</v>
      </c>
      <c r="B1034" t="s">
        <v>3772</v>
      </c>
      <c r="C1034" t="s">
        <v>3789</v>
      </c>
    </row>
    <row r="1035" spans="1:3" x14ac:dyDescent="0.2">
      <c r="A1035" s="14">
        <v>107928852</v>
      </c>
      <c r="B1035" t="s">
        <v>3772</v>
      </c>
      <c r="C1035" t="s">
        <v>3789</v>
      </c>
    </row>
    <row r="1036" spans="1:3" x14ac:dyDescent="0.2">
      <c r="A1036" s="14">
        <v>107928852</v>
      </c>
      <c r="B1036" t="s">
        <v>3772</v>
      </c>
      <c r="C1036" t="s">
        <v>3789</v>
      </c>
    </row>
    <row r="1037" spans="1:3" x14ac:dyDescent="0.2">
      <c r="A1037" s="14">
        <v>107928852</v>
      </c>
      <c r="B1037" t="s">
        <v>3772</v>
      </c>
      <c r="C1037" t="s">
        <v>3789</v>
      </c>
    </row>
    <row r="1038" spans="1:3" x14ac:dyDescent="0.2">
      <c r="A1038" s="14">
        <v>107928852</v>
      </c>
      <c r="B1038" t="s">
        <v>3772</v>
      </c>
      <c r="C1038" t="s">
        <v>3789</v>
      </c>
    </row>
    <row r="1039" spans="1:3" x14ac:dyDescent="0.2">
      <c r="A1039" s="14">
        <v>107928852</v>
      </c>
      <c r="B1039" t="s">
        <v>3772</v>
      </c>
      <c r="C1039" t="s">
        <v>3789</v>
      </c>
    </row>
    <row r="1040" spans="1:3" x14ac:dyDescent="0.2">
      <c r="A1040" s="14">
        <v>107928852</v>
      </c>
      <c r="B1040" t="s">
        <v>3772</v>
      </c>
      <c r="C1040" t="s">
        <v>3789</v>
      </c>
    </row>
    <row r="1041" spans="1:3" x14ac:dyDescent="0.2">
      <c r="A1041" s="14">
        <v>107928852</v>
      </c>
      <c r="B1041" t="s">
        <v>3772</v>
      </c>
      <c r="C1041" t="s">
        <v>3789</v>
      </c>
    </row>
    <row r="1042" spans="1:3" x14ac:dyDescent="0.2">
      <c r="A1042" s="14">
        <v>107928852</v>
      </c>
      <c r="B1042" t="s">
        <v>3772</v>
      </c>
      <c r="C1042" t="s">
        <v>3789</v>
      </c>
    </row>
    <row r="1043" spans="1:3" x14ac:dyDescent="0.2">
      <c r="A1043" s="14">
        <v>107928852</v>
      </c>
      <c r="B1043" t="s">
        <v>3772</v>
      </c>
      <c r="C1043" t="s">
        <v>3789</v>
      </c>
    </row>
    <row r="1044" spans="1:3" x14ac:dyDescent="0.2">
      <c r="A1044" s="14">
        <v>107928852</v>
      </c>
      <c r="B1044" t="s">
        <v>3772</v>
      </c>
      <c r="C1044" t="s">
        <v>3789</v>
      </c>
    </row>
    <row r="1045" spans="1:3" x14ac:dyDescent="0.2">
      <c r="A1045" s="14">
        <v>107928852</v>
      </c>
      <c r="B1045" t="s">
        <v>3772</v>
      </c>
      <c r="C1045" t="s">
        <v>3789</v>
      </c>
    </row>
    <row r="1046" spans="1:3" x14ac:dyDescent="0.2">
      <c r="A1046" s="14">
        <v>107928852</v>
      </c>
      <c r="B1046" t="s">
        <v>3772</v>
      </c>
      <c r="C1046" t="s">
        <v>3789</v>
      </c>
    </row>
    <row r="1047" spans="1:3" x14ac:dyDescent="0.2">
      <c r="A1047" s="14">
        <v>107928852</v>
      </c>
      <c r="B1047" t="s">
        <v>3772</v>
      </c>
      <c r="C1047" t="s">
        <v>3789</v>
      </c>
    </row>
    <row r="1048" spans="1:3" x14ac:dyDescent="0.2">
      <c r="A1048" s="14">
        <v>107928852</v>
      </c>
      <c r="B1048" t="s">
        <v>3772</v>
      </c>
      <c r="C1048" t="s">
        <v>3789</v>
      </c>
    </row>
    <row r="1049" spans="1:3" x14ac:dyDescent="0.2">
      <c r="A1049" s="14">
        <v>107928852</v>
      </c>
      <c r="B1049" t="s">
        <v>3772</v>
      </c>
      <c r="C1049" t="s">
        <v>3789</v>
      </c>
    </row>
    <row r="1050" spans="1:3" x14ac:dyDescent="0.2">
      <c r="A1050" s="14">
        <v>107928852</v>
      </c>
      <c r="B1050" t="s">
        <v>3772</v>
      </c>
      <c r="C1050" t="s">
        <v>3789</v>
      </c>
    </row>
    <row r="1051" spans="1:3" x14ac:dyDescent="0.2">
      <c r="A1051" s="14">
        <v>107928852</v>
      </c>
      <c r="B1051" t="s">
        <v>3772</v>
      </c>
      <c r="C1051" t="s">
        <v>3789</v>
      </c>
    </row>
    <row r="1052" spans="1:3" x14ac:dyDescent="0.2">
      <c r="A1052" s="14">
        <v>107928852</v>
      </c>
      <c r="B1052" t="s">
        <v>3772</v>
      </c>
      <c r="C1052" t="s">
        <v>3789</v>
      </c>
    </row>
    <row r="1053" spans="1:3" x14ac:dyDescent="0.2">
      <c r="A1053" s="14">
        <v>107928852</v>
      </c>
      <c r="B1053" t="s">
        <v>3772</v>
      </c>
      <c r="C1053" t="s">
        <v>3789</v>
      </c>
    </row>
    <row r="1054" spans="1:3" x14ac:dyDescent="0.2">
      <c r="A1054" s="14">
        <v>107928852</v>
      </c>
      <c r="B1054" t="s">
        <v>3772</v>
      </c>
      <c r="C1054" t="s">
        <v>3789</v>
      </c>
    </row>
    <row r="1055" spans="1:3" x14ac:dyDescent="0.2">
      <c r="A1055" s="14">
        <v>107928852</v>
      </c>
      <c r="B1055" t="s">
        <v>3772</v>
      </c>
      <c r="C1055" t="s">
        <v>3789</v>
      </c>
    </row>
    <row r="1056" spans="1:3" x14ac:dyDescent="0.2">
      <c r="A1056" s="14">
        <v>107928852</v>
      </c>
      <c r="B1056" t="s">
        <v>3772</v>
      </c>
      <c r="C1056" t="s">
        <v>3789</v>
      </c>
    </row>
    <row r="1057" spans="1:3" x14ac:dyDescent="0.2">
      <c r="A1057" s="14">
        <v>107928852</v>
      </c>
      <c r="B1057" t="s">
        <v>3772</v>
      </c>
      <c r="C1057" t="s">
        <v>3789</v>
      </c>
    </row>
    <row r="1058" spans="1:3" x14ac:dyDescent="0.2">
      <c r="A1058" s="14">
        <v>107928852</v>
      </c>
      <c r="B1058" t="s">
        <v>3772</v>
      </c>
      <c r="C1058" t="s">
        <v>3789</v>
      </c>
    </row>
    <row r="1059" spans="1:3" x14ac:dyDescent="0.2">
      <c r="A1059" s="14">
        <v>107928852</v>
      </c>
      <c r="B1059" t="s">
        <v>3772</v>
      </c>
      <c r="C1059" t="s">
        <v>3789</v>
      </c>
    </row>
    <row r="1060" spans="1:3" x14ac:dyDescent="0.2">
      <c r="A1060" s="14">
        <v>107928852</v>
      </c>
      <c r="B1060" t="s">
        <v>3772</v>
      </c>
      <c r="C1060" t="s">
        <v>3789</v>
      </c>
    </row>
    <row r="1061" spans="1:3" x14ac:dyDescent="0.2">
      <c r="A1061" s="14">
        <v>107928852</v>
      </c>
      <c r="B1061" t="s">
        <v>3772</v>
      </c>
      <c r="C1061" t="s">
        <v>3789</v>
      </c>
    </row>
    <row r="1062" spans="1:3" x14ac:dyDescent="0.2">
      <c r="A1062" s="14">
        <v>107928852</v>
      </c>
      <c r="B1062" t="s">
        <v>3772</v>
      </c>
      <c r="C1062" t="s">
        <v>3789</v>
      </c>
    </row>
    <row r="1063" spans="1:3" x14ac:dyDescent="0.2">
      <c r="A1063" s="14">
        <v>107928852</v>
      </c>
      <c r="B1063" t="s">
        <v>3772</v>
      </c>
      <c r="C1063" t="s">
        <v>3789</v>
      </c>
    </row>
    <row r="1064" spans="1:3" x14ac:dyDescent="0.2">
      <c r="A1064" s="14">
        <v>107928852</v>
      </c>
      <c r="B1064" t="s">
        <v>3772</v>
      </c>
      <c r="C1064" t="s">
        <v>3789</v>
      </c>
    </row>
    <row r="1065" spans="1:3" x14ac:dyDescent="0.2">
      <c r="A1065" s="14">
        <v>107928852</v>
      </c>
      <c r="B1065" t="s">
        <v>3772</v>
      </c>
      <c r="C1065" t="s">
        <v>3789</v>
      </c>
    </row>
    <row r="1066" spans="1:3" x14ac:dyDescent="0.2">
      <c r="A1066" s="14">
        <v>107928852</v>
      </c>
      <c r="B1066" t="s">
        <v>3772</v>
      </c>
      <c r="C1066" t="s">
        <v>3789</v>
      </c>
    </row>
    <row r="1067" spans="1:3" x14ac:dyDescent="0.2">
      <c r="A1067" s="14">
        <v>107928852</v>
      </c>
      <c r="B1067" t="s">
        <v>3772</v>
      </c>
      <c r="C1067" t="s">
        <v>3789</v>
      </c>
    </row>
    <row r="1068" spans="1:3" x14ac:dyDescent="0.2">
      <c r="A1068" s="14">
        <v>107928852</v>
      </c>
      <c r="B1068" t="s">
        <v>3772</v>
      </c>
      <c r="C1068" t="s">
        <v>3789</v>
      </c>
    </row>
    <row r="1069" spans="1:3" x14ac:dyDescent="0.2">
      <c r="A1069" s="14">
        <v>107928852</v>
      </c>
      <c r="B1069" t="s">
        <v>3772</v>
      </c>
      <c r="C1069" t="s">
        <v>3789</v>
      </c>
    </row>
    <row r="1070" spans="1:3" x14ac:dyDescent="0.2">
      <c r="A1070" s="14">
        <v>107928852</v>
      </c>
      <c r="B1070" t="s">
        <v>3772</v>
      </c>
      <c r="C1070" t="s">
        <v>3789</v>
      </c>
    </row>
    <row r="1071" spans="1:3" x14ac:dyDescent="0.2">
      <c r="A1071" s="14">
        <v>107928852</v>
      </c>
      <c r="B1071" t="s">
        <v>3772</v>
      </c>
      <c r="C1071" t="s">
        <v>3789</v>
      </c>
    </row>
    <row r="1072" spans="1:3" x14ac:dyDescent="0.2">
      <c r="A1072" s="14">
        <v>107928852</v>
      </c>
      <c r="B1072" t="s">
        <v>3772</v>
      </c>
      <c r="C1072" t="s">
        <v>3789</v>
      </c>
    </row>
    <row r="1073" spans="1:3" x14ac:dyDescent="0.2">
      <c r="A1073" s="14">
        <v>107928852</v>
      </c>
      <c r="B1073" t="s">
        <v>3772</v>
      </c>
      <c r="C1073" t="s">
        <v>3789</v>
      </c>
    </row>
    <row r="1074" spans="1:3" x14ac:dyDescent="0.2">
      <c r="A1074" s="14">
        <v>107928852</v>
      </c>
      <c r="B1074" t="s">
        <v>3772</v>
      </c>
      <c r="C1074" t="s">
        <v>3789</v>
      </c>
    </row>
    <row r="1075" spans="1:3" x14ac:dyDescent="0.2">
      <c r="A1075" s="14">
        <v>107928852</v>
      </c>
      <c r="B1075" t="s">
        <v>3772</v>
      </c>
      <c r="C1075" t="s">
        <v>3789</v>
      </c>
    </row>
    <row r="1076" spans="1:3" x14ac:dyDescent="0.2">
      <c r="A1076" s="14">
        <v>107928852</v>
      </c>
      <c r="B1076" t="s">
        <v>3772</v>
      </c>
      <c r="C1076" t="s">
        <v>3789</v>
      </c>
    </row>
    <row r="1077" spans="1:3" x14ac:dyDescent="0.2">
      <c r="A1077" s="14">
        <v>107928853</v>
      </c>
      <c r="B1077" t="s">
        <v>3772</v>
      </c>
      <c r="C1077" t="s">
        <v>3790</v>
      </c>
    </row>
    <row r="1078" spans="1:3" x14ac:dyDescent="0.2">
      <c r="A1078" s="14">
        <v>107928853</v>
      </c>
      <c r="B1078" t="s">
        <v>3772</v>
      </c>
      <c r="C1078" t="s">
        <v>3790</v>
      </c>
    </row>
    <row r="1079" spans="1:3" x14ac:dyDescent="0.2">
      <c r="A1079" s="14">
        <v>107928853</v>
      </c>
      <c r="B1079" t="s">
        <v>3772</v>
      </c>
      <c r="C1079" t="s">
        <v>3790</v>
      </c>
    </row>
    <row r="1080" spans="1:3" x14ac:dyDescent="0.2">
      <c r="A1080" s="14">
        <v>107928853</v>
      </c>
      <c r="B1080" t="s">
        <v>3772</v>
      </c>
      <c r="C1080" t="s">
        <v>3790</v>
      </c>
    </row>
    <row r="1081" spans="1:3" x14ac:dyDescent="0.2">
      <c r="A1081" s="14">
        <v>107928853</v>
      </c>
      <c r="B1081" t="s">
        <v>3772</v>
      </c>
      <c r="C1081" t="s">
        <v>3790</v>
      </c>
    </row>
    <row r="1082" spans="1:3" x14ac:dyDescent="0.2">
      <c r="A1082" s="14">
        <v>107928853</v>
      </c>
      <c r="B1082" t="s">
        <v>3772</v>
      </c>
      <c r="C1082" t="s">
        <v>3790</v>
      </c>
    </row>
    <row r="1083" spans="1:3" x14ac:dyDescent="0.2">
      <c r="A1083" s="14">
        <v>107928853</v>
      </c>
      <c r="B1083" t="s">
        <v>3772</v>
      </c>
      <c r="C1083" t="s">
        <v>3790</v>
      </c>
    </row>
    <row r="1084" spans="1:3" x14ac:dyDescent="0.2">
      <c r="A1084" s="14">
        <v>107928853</v>
      </c>
      <c r="B1084" t="s">
        <v>3772</v>
      </c>
      <c r="C1084" t="s">
        <v>3790</v>
      </c>
    </row>
    <row r="1085" spans="1:3" x14ac:dyDescent="0.2">
      <c r="A1085" s="14">
        <v>107928853</v>
      </c>
      <c r="B1085" t="s">
        <v>3772</v>
      </c>
      <c r="C1085" t="s">
        <v>3790</v>
      </c>
    </row>
    <row r="1086" spans="1:3" x14ac:dyDescent="0.2">
      <c r="A1086" s="14">
        <v>107928853</v>
      </c>
      <c r="B1086" t="s">
        <v>3772</v>
      </c>
      <c r="C1086" t="s">
        <v>3790</v>
      </c>
    </row>
    <row r="1087" spans="1:3" x14ac:dyDescent="0.2">
      <c r="A1087" s="14">
        <v>107928853</v>
      </c>
      <c r="B1087" t="s">
        <v>3772</v>
      </c>
      <c r="C1087" t="s">
        <v>3790</v>
      </c>
    </row>
    <row r="1088" spans="1:3" x14ac:dyDescent="0.2">
      <c r="A1088" s="14">
        <v>107928853</v>
      </c>
      <c r="B1088" t="s">
        <v>3772</v>
      </c>
      <c r="C1088" t="s">
        <v>3790</v>
      </c>
    </row>
    <row r="1089" spans="1:3" x14ac:dyDescent="0.2">
      <c r="A1089" s="14">
        <v>107928853</v>
      </c>
      <c r="B1089" t="s">
        <v>3772</v>
      </c>
      <c r="C1089" t="s">
        <v>3790</v>
      </c>
    </row>
    <row r="1090" spans="1:3" x14ac:dyDescent="0.2">
      <c r="A1090" s="14">
        <v>107928853</v>
      </c>
      <c r="B1090" t="s">
        <v>3772</v>
      </c>
      <c r="C1090" t="s">
        <v>3790</v>
      </c>
    </row>
    <row r="1091" spans="1:3" x14ac:dyDescent="0.2">
      <c r="A1091" s="14">
        <v>107928853</v>
      </c>
      <c r="B1091" t="s">
        <v>3772</v>
      </c>
      <c r="C1091" t="s">
        <v>3790</v>
      </c>
    </row>
    <row r="1092" spans="1:3" x14ac:dyDescent="0.2">
      <c r="A1092" s="14">
        <v>107928853</v>
      </c>
      <c r="B1092" t="s">
        <v>3772</v>
      </c>
      <c r="C1092" t="s">
        <v>3790</v>
      </c>
    </row>
    <row r="1093" spans="1:3" x14ac:dyDescent="0.2">
      <c r="A1093" s="14">
        <v>107928856</v>
      </c>
      <c r="B1093" t="s">
        <v>3772</v>
      </c>
      <c r="C1093" t="s">
        <v>3791</v>
      </c>
    </row>
    <row r="1094" spans="1:3" x14ac:dyDescent="0.2">
      <c r="A1094" s="14">
        <v>107928856</v>
      </c>
      <c r="B1094" t="s">
        <v>3772</v>
      </c>
      <c r="C1094" t="s">
        <v>3791</v>
      </c>
    </row>
    <row r="1095" spans="1:3" x14ac:dyDescent="0.2">
      <c r="A1095" s="14">
        <v>107928856</v>
      </c>
      <c r="B1095" t="s">
        <v>3772</v>
      </c>
      <c r="C1095" t="s">
        <v>3791</v>
      </c>
    </row>
    <row r="1096" spans="1:3" x14ac:dyDescent="0.2">
      <c r="A1096" s="14">
        <v>107928856</v>
      </c>
      <c r="B1096" t="s">
        <v>3772</v>
      </c>
      <c r="C1096" t="s">
        <v>3791</v>
      </c>
    </row>
    <row r="1097" spans="1:3" x14ac:dyDescent="0.2">
      <c r="A1097" s="14">
        <v>107928856</v>
      </c>
      <c r="B1097" t="s">
        <v>3772</v>
      </c>
      <c r="C1097" t="s">
        <v>3791</v>
      </c>
    </row>
    <row r="1098" spans="1:3" x14ac:dyDescent="0.2">
      <c r="A1098" s="14">
        <v>107928856</v>
      </c>
      <c r="B1098" t="s">
        <v>3772</v>
      </c>
      <c r="C1098" t="s">
        <v>3791</v>
      </c>
    </row>
    <row r="1099" spans="1:3" x14ac:dyDescent="0.2">
      <c r="A1099" s="14">
        <v>107928856</v>
      </c>
      <c r="B1099" t="s">
        <v>3772</v>
      </c>
      <c r="C1099" t="s">
        <v>3791</v>
      </c>
    </row>
    <row r="1100" spans="1:3" x14ac:dyDescent="0.2">
      <c r="A1100" s="14">
        <v>107928856</v>
      </c>
      <c r="B1100" t="s">
        <v>3772</v>
      </c>
      <c r="C1100" t="s">
        <v>3791</v>
      </c>
    </row>
    <row r="1101" spans="1:3" x14ac:dyDescent="0.2">
      <c r="A1101" s="14">
        <v>107928856</v>
      </c>
      <c r="B1101" t="s">
        <v>3772</v>
      </c>
      <c r="C1101" t="s">
        <v>3791</v>
      </c>
    </row>
    <row r="1102" spans="1:3" x14ac:dyDescent="0.2">
      <c r="A1102" s="14">
        <v>107928856</v>
      </c>
      <c r="B1102" t="s">
        <v>3772</v>
      </c>
      <c r="C1102" t="s">
        <v>3791</v>
      </c>
    </row>
    <row r="1103" spans="1:3" x14ac:dyDescent="0.2">
      <c r="A1103" s="14">
        <v>107928856</v>
      </c>
      <c r="B1103" t="s">
        <v>3772</v>
      </c>
      <c r="C1103" t="s">
        <v>3791</v>
      </c>
    </row>
    <row r="1104" spans="1:3" x14ac:dyDescent="0.2">
      <c r="A1104" s="14">
        <v>107928856</v>
      </c>
      <c r="B1104" t="s">
        <v>3772</v>
      </c>
      <c r="C1104" t="s">
        <v>3791</v>
      </c>
    </row>
    <row r="1105" spans="1:3" x14ac:dyDescent="0.2">
      <c r="A1105" s="14">
        <v>107928856</v>
      </c>
      <c r="B1105" t="s">
        <v>3772</v>
      </c>
      <c r="C1105" t="s">
        <v>3791</v>
      </c>
    </row>
    <row r="1106" spans="1:3" x14ac:dyDescent="0.2">
      <c r="A1106" s="14">
        <v>107928856</v>
      </c>
      <c r="B1106" t="s">
        <v>3772</v>
      </c>
      <c r="C1106" t="s">
        <v>3791</v>
      </c>
    </row>
    <row r="1107" spans="1:3" x14ac:dyDescent="0.2">
      <c r="A1107" s="14">
        <v>107928856</v>
      </c>
      <c r="B1107" t="s">
        <v>3772</v>
      </c>
      <c r="C1107" t="s">
        <v>3791</v>
      </c>
    </row>
    <row r="1108" spans="1:3" x14ac:dyDescent="0.2">
      <c r="A1108" s="14">
        <v>107928856</v>
      </c>
      <c r="B1108" t="s">
        <v>3772</v>
      </c>
      <c r="C1108" t="s">
        <v>3791</v>
      </c>
    </row>
    <row r="1109" spans="1:3" x14ac:dyDescent="0.2">
      <c r="A1109" s="14">
        <v>107928856</v>
      </c>
      <c r="B1109" t="s">
        <v>3772</v>
      </c>
      <c r="C1109" t="s">
        <v>3791</v>
      </c>
    </row>
    <row r="1110" spans="1:3" x14ac:dyDescent="0.2">
      <c r="A1110" s="14">
        <v>107928856</v>
      </c>
      <c r="B1110" t="s">
        <v>3772</v>
      </c>
      <c r="C1110" t="s">
        <v>3791</v>
      </c>
    </row>
    <row r="1111" spans="1:3" x14ac:dyDescent="0.2">
      <c r="A1111" s="14">
        <v>107928856</v>
      </c>
      <c r="B1111" t="s">
        <v>3772</v>
      </c>
      <c r="C1111" t="s">
        <v>3791</v>
      </c>
    </row>
    <row r="1112" spans="1:3" x14ac:dyDescent="0.2">
      <c r="A1112" s="14">
        <v>107928863</v>
      </c>
      <c r="B1112" t="s">
        <v>3772</v>
      </c>
      <c r="C1112" t="s">
        <v>3792</v>
      </c>
    </row>
    <row r="1113" spans="1:3" x14ac:dyDescent="0.2">
      <c r="A1113" s="14">
        <v>107928863</v>
      </c>
      <c r="B1113" t="s">
        <v>3772</v>
      </c>
      <c r="C1113" t="s">
        <v>3792</v>
      </c>
    </row>
    <row r="1114" spans="1:3" x14ac:dyDescent="0.2">
      <c r="A1114" s="14">
        <v>107928863</v>
      </c>
      <c r="B1114" t="s">
        <v>3772</v>
      </c>
      <c r="C1114" t="s">
        <v>3792</v>
      </c>
    </row>
    <row r="1115" spans="1:3" x14ac:dyDescent="0.2">
      <c r="A1115" s="14">
        <v>107928863</v>
      </c>
      <c r="B1115" t="s">
        <v>3772</v>
      </c>
      <c r="C1115" t="s">
        <v>3792</v>
      </c>
    </row>
    <row r="1116" spans="1:3" x14ac:dyDescent="0.2">
      <c r="A1116" s="14">
        <v>107928863</v>
      </c>
      <c r="B1116" t="s">
        <v>3772</v>
      </c>
      <c r="C1116" t="s">
        <v>3792</v>
      </c>
    </row>
    <row r="1117" spans="1:3" x14ac:dyDescent="0.2">
      <c r="A1117" s="14">
        <v>107928863</v>
      </c>
      <c r="B1117" t="s">
        <v>3772</v>
      </c>
      <c r="C1117" t="s">
        <v>3792</v>
      </c>
    </row>
    <row r="1118" spans="1:3" x14ac:dyDescent="0.2">
      <c r="A1118" s="14">
        <v>107928863</v>
      </c>
      <c r="B1118" t="s">
        <v>3772</v>
      </c>
      <c r="C1118" t="s">
        <v>3792</v>
      </c>
    </row>
    <row r="1119" spans="1:3" x14ac:dyDescent="0.2">
      <c r="A1119" s="14">
        <v>107928863</v>
      </c>
      <c r="B1119" t="s">
        <v>3772</v>
      </c>
      <c r="C1119" t="s">
        <v>3792</v>
      </c>
    </row>
    <row r="1120" spans="1:3" x14ac:dyDescent="0.2">
      <c r="A1120" s="14">
        <v>107928863</v>
      </c>
      <c r="B1120" t="s">
        <v>3772</v>
      </c>
      <c r="C1120" t="s">
        <v>3792</v>
      </c>
    </row>
    <row r="1121" spans="1:3" x14ac:dyDescent="0.2">
      <c r="A1121" s="14">
        <v>107928863</v>
      </c>
      <c r="B1121" t="s">
        <v>3772</v>
      </c>
      <c r="C1121" t="s">
        <v>3792</v>
      </c>
    </row>
    <row r="1122" spans="1:3" x14ac:dyDescent="0.2">
      <c r="A1122" s="14">
        <v>107928863</v>
      </c>
      <c r="B1122" t="s">
        <v>3772</v>
      </c>
      <c r="C1122" t="s">
        <v>3792</v>
      </c>
    </row>
    <row r="1123" spans="1:3" x14ac:dyDescent="0.2">
      <c r="A1123" s="14">
        <v>107928863</v>
      </c>
      <c r="B1123" t="s">
        <v>3772</v>
      </c>
      <c r="C1123" t="s">
        <v>3792</v>
      </c>
    </row>
    <row r="1124" spans="1:3" x14ac:dyDescent="0.2">
      <c r="A1124" s="14">
        <v>107929170</v>
      </c>
      <c r="B1124" t="s">
        <v>3772</v>
      </c>
      <c r="C1124" t="s">
        <v>3793</v>
      </c>
    </row>
    <row r="1125" spans="1:3" x14ac:dyDescent="0.2">
      <c r="A1125" s="14">
        <v>107929170</v>
      </c>
      <c r="B1125" t="s">
        <v>3772</v>
      </c>
      <c r="C1125" t="s">
        <v>3793</v>
      </c>
    </row>
    <row r="1126" spans="1:3" x14ac:dyDescent="0.2">
      <c r="A1126" s="14">
        <v>107929170</v>
      </c>
      <c r="B1126" t="s">
        <v>3772</v>
      </c>
      <c r="C1126" t="s">
        <v>3793</v>
      </c>
    </row>
    <row r="1127" spans="1:3" x14ac:dyDescent="0.2">
      <c r="A1127" s="14">
        <v>107929170</v>
      </c>
      <c r="B1127" t="s">
        <v>3772</v>
      </c>
      <c r="C1127" t="s">
        <v>3793</v>
      </c>
    </row>
    <row r="1128" spans="1:3" x14ac:dyDescent="0.2">
      <c r="A1128" s="14">
        <v>107929170</v>
      </c>
      <c r="B1128" t="s">
        <v>3772</v>
      </c>
      <c r="C1128" t="s">
        <v>3793</v>
      </c>
    </row>
    <row r="1129" spans="1:3" x14ac:dyDescent="0.2">
      <c r="A1129" s="14">
        <v>107929170</v>
      </c>
      <c r="B1129" t="s">
        <v>3772</v>
      </c>
      <c r="C1129" t="s">
        <v>3793</v>
      </c>
    </row>
    <row r="1130" spans="1:3" x14ac:dyDescent="0.2">
      <c r="A1130" s="14">
        <v>107929170</v>
      </c>
      <c r="B1130" t="s">
        <v>3772</v>
      </c>
      <c r="C1130" t="s">
        <v>3793</v>
      </c>
    </row>
    <row r="1131" spans="1:3" x14ac:dyDescent="0.2">
      <c r="A1131" s="14">
        <v>107929170</v>
      </c>
      <c r="B1131" t="s">
        <v>3772</v>
      </c>
      <c r="C1131" t="s">
        <v>3793</v>
      </c>
    </row>
    <row r="1132" spans="1:3" x14ac:dyDescent="0.2">
      <c r="A1132" s="14">
        <v>107929170</v>
      </c>
      <c r="B1132" t="s">
        <v>3772</v>
      </c>
      <c r="C1132" t="s">
        <v>3793</v>
      </c>
    </row>
    <row r="1133" spans="1:3" x14ac:dyDescent="0.2">
      <c r="A1133" s="14">
        <v>107929170</v>
      </c>
      <c r="B1133" t="s">
        <v>3772</v>
      </c>
      <c r="C1133" t="s">
        <v>3793</v>
      </c>
    </row>
    <row r="1134" spans="1:3" x14ac:dyDescent="0.2">
      <c r="A1134" s="14">
        <v>107929170</v>
      </c>
      <c r="B1134" t="s">
        <v>3772</v>
      </c>
      <c r="C1134" t="s">
        <v>3793</v>
      </c>
    </row>
    <row r="1135" spans="1:3" x14ac:dyDescent="0.2">
      <c r="A1135" s="14">
        <v>107929170</v>
      </c>
      <c r="B1135" t="s">
        <v>3772</v>
      </c>
      <c r="C1135" t="s">
        <v>3793</v>
      </c>
    </row>
    <row r="1136" spans="1:3" x14ac:dyDescent="0.2">
      <c r="A1136" s="14">
        <v>107929170</v>
      </c>
      <c r="B1136" t="s">
        <v>3772</v>
      </c>
      <c r="C1136" t="s">
        <v>3793</v>
      </c>
    </row>
    <row r="1137" spans="1:3" x14ac:dyDescent="0.2">
      <c r="A1137" s="14">
        <v>107929170</v>
      </c>
      <c r="B1137" t="s">
        <v>3772</v>
      </c>
      <c r="C1137" t="s">
        <v>3793</v>
      </c>
    </row>
    <row r="1138" spans="1:3" x14ac:dyDescent="0.2">
      <c r="A1138" s="14">
        <v>107929170</v>
      </c>
      <c r="B1138" t="s">
        <v>3772</v>
      </c>
      <c r="C1138" t="s">
        <v>3793</v>
      </c>
    </row>
    <row r="1139" spans="1:3" x14ac:dyDescent="0.2">
      <c r="A1139" s="14">
        <v>107929170</v>
      </c>
      <c r="B1139" t="s">
        <v>3772</v>
      </c>
      <c r="C1139" t="s">
        <v>3793</v>
      </c>
    </row>
    <row r="1140" spans="1:3" x14ac:dyDescent="0.2">
      <c r="A1140" s="14">
        <v>107929170</v>
      </c>
      <c r="B1140" t="s">
        <v>3772</v>
      </c>
      <c r="C1140" t="s">
        <v>3793</v>
      </c>
    </row>
    <row r="1141" spans="1:3" x14ac:dyDescent="0.2">
      <c r="A1141" s="14">
        <v>107929170</v>
      </c>
      <c r="B1141" t="s">
        <v>3772</v>
      </c>
      <c r="C1141" t="s">
        <v>3793</v>
      </c>
    </row>
    <row r="1142" spans="1:3" x14ac:dyDescent="0.2">
      <c r="A1142" s="14">
        <v>107929170</v>
      </c>
      <c r="B1142" t="s">
        <v>3772</v>
      </c>
      <c r="C1142" t="s">
        <v>3793</v>
      </c>
    </row>
    <row r="1143" spans="1:3" x14ac:dyDescent="0.2">
      <c r="A1143" s="14">
        <v>107929170</v>
      </c>
      <c r="B1143" t="s">
        <v>3772</v>
      </c>
      <c r="C1143" t="s">
        <v>3793</v>
      </c>
    </row>
    <row r="1144" spans="1:3" x14ac:dyDescent="0.2">
      <c r="A1144" s="14">
        <v>107929170</v>
      </c>
      <c r="B1144" t="s">
        <v>3772</v>
      </c>
      <c r="C1144" t="s">
        <v>3793</v>
      </c>
    </row>
    <row r="1145" spans="1:3" x14ac:dyDescent="0.2">
      <c r="A1145" s="14">
        <v>107929170</v>
      </c>
      <c r="B1145" t="s">
        <v>3772</v>
      </c>
      <c r="C1145" t="s">
        <v>3793</v>
      </c>
    </row>
    <row r="1146" spans="1:3" x14ac:dyDescent="0.2">
      <c r="A1146" s="14">
        <v>107929170</v>
      </c>
      <c r="B1146" t="s">
        <v>3772</v>
      </c>
      <c r="C1146" t="s">
        <v>3793</v>
      </c>
    </row>
    <row r="1147" spans="1:3" x14ac:dyDescent="0.2">
      <c r="A1147" s="14">
        <v>107929170</v>
      </c>
      <c r="B1147" t="s">
        <v>3772</v>
      </c>
      <c r="C1147" t="s">
        <v>3793</v>
      </c>
    </row>
    <row r="1148" spans="1:3" x14ac:dyDescent="0.2">
      <c r="A1148" s="14">
        <v>107929170</v>
      </c>
      <c r="B1148" t="s">
        <v>3772</v>
      </c>
      <c r="C1148" t="s">
        <v>3793</v>
      </c>
    </row>
    <row r="1149" spans="1:3" x14ac:dyDescent="0.2">
      <c r="A1149" s="14">
        <v>107929170</v>
      </c>
      <c r="B1149" t="s">
        <v>3772</v>
      </c>
      <c r="C1149" t="s">
        <v>3793</v>
      </c>
    </row>
    <row r="1150" spans="1:3" x14ac:dyDescent="0.2">
      <c r="A1150" s="14">
        <v>107929170</v>
      </c>
      <c r="B1150" t="s">
        <v>3772</v>
      </c>
      <c r="C1150" t="s">
        <v>3793</v>
      </c>
    </row>
    <row r="1151" spans="1:3" x14ac:dyDescent="0.2">
      <c r="A1151" s="14">
        <v>107929170</v>
      </c>
      <c r="B1151" t="s">
        <v>3772</v>
      </c>
      <c r="C1151" t="s">
        <v>3793</v>
      </c>
    </row>
    <row r="1152" spans="1:3" x14ac:dyDescent="0.2">
      <c r="A1152" s="14">
        <v>107929170</v>
      </c>
      <c r="B1152" t="s">
        <v>3772</v>
      </c>
      <c r="C1152" t="s">
        <v>3793</v>
      </c>
    </row>
    <row r="1153" spans="1:3" x14ac:dyDescent="0.2">
      <c r="A1153" s="14">
        <v>107929170</v>
      </c>
      <c r="B1153" t="s">
        <v>3772</v>
      </c>
      <c r="C1153" t="s">
        <v>3793</v>
      </c>
    </row>
    <row r="1154" spans="1:3" x14ac:dyDescent="0.2">
      <c r="A1154" s="14">
        <v>107929170</v>
      </c>
      <c r="B1154" t="s">
        <v>3772</v>
      </c>
      <c r="C1154" t="s">
        <v>3793</v>
      </c>
    </row>
    <row r="1155" spans="1:3" x14ac:dyDescent="0.2">
      <c r="A1155" s="14">
        <v>107929170</v>
      </c>
      <c r="B1155" t="s">
        <v>3772</v>
      </c>
      <c r="C1155" t="s">
        <v>3793</v>
      </c>
    </row>
    <row r="1156" spans="1:3" x14ac:dyDescent="0.2">
      <c r="A1156" s="14">
        <v>107929170</v>
      </c>
      <c r="B1156" t="s">
        <v>3772</v>
      </c>
      <c r="C1156" t="s">
        <v>3793</v>
      </c>
    </row>
    <row r="1157" spans="1:3" x14ac:dyDescent="0.2">
      <c r="A1157" s="14">
        <v>107929170</v>
      </c>
      <c r="B1157" t="s">
        <v>3772</v>
      </c>
      <c r="C1157" t="s">
        <v>3793</v>
      </c>
    </row>
    <row r="1158" spans="1:3" x14ac:dyDescent="0.2">
      <c r="A1158" s="14">
        <v>107929170</v>
      </c>
      <c r="B1158" t="s">
        <v>3772</v>
      </c>
      <c r="C1158" t="s">
        <v>3793</v>
      </c>
    </row>
    <row r="1159" spans="1:3" x14ac:dyDescent="0.2">
      <c r="A1159" s="14">
        <v>107929170</v>
      </c>
      <c r="B1159" t="s">
        <v>3772</v>
      </c>
      <c r="C1159" t="s">
        <v>3793</v>
      </c>
    </row>
    <row r="1160" spans="1:3" x14ac:dyDescent="0.2">
      <c r="A1160" s="14">
        <v>107929170</v>
      </c>
      <c r="B1160" t="s">
        <v>3772</v>
      </c>
      <c r="C1160" t="s">
        <v>3793</v>
      </c>
    </row>
    <row r="1161" spans="1:3" x14ac:dyDescent="0.2">
      <c r="A1161" s="14">
        <v>107929170</v>
      </c>
      <c r="B1161" t="s">
        <v>3772</v>
      </c>
      <c r="C1161" t="s">
        <v>3793</v>
      </c>
    </row>
    <row r="1162" spans="1:3" x14ac:dyDescent="0.2">
      <c r="A1162" s="14">
        <v>107929170</v>
      </c>
      <c r="B1162" t="s">
        <v>3772</v>
      </c>
      <c r="C1162" t="s">
        <v>3793</v>
      </c>
    </row>
    <row r="1163" spans="1:3" x14ac:dyDescent="0.2">
      <c r="A1163" s="14">
        <v>107929170</v>
      </c>
      <c r="B1163" t="s">
        <v>3772</v>
      </c>
      <c r="C1163" t="s">
        <v>3793</v>
      </c>
    </row>
    <row r="1164" spans="1:3" x14ac:dyDescent="0.2">
      <c r="A1164" s="14">
        <v>107929170</v>
      </c>
      <c r="B1164" t="s">
        <v>3772</v>
      </c>
      <c r="C1164" t="s">
        <v>3793</v>
      </c>
    </row>
    <row r="1165" spans="1:3" x14ac:dyDescent="0.2">
      <c r="A1165" s="14">
        <v>107929170</v>
      </c>
      <c r="B1165" t="s">
        <v>3772</v>
      </c>
      <c r="C1165" t="s">
        <v>3793</v>
      </c>
    </row>
    <row r="1166" spans="1:3" x14ac:dyDescent="0.2">
      <c r="A1166" s="14">
        <v>107929170</v>
      </c>
      <c r="B1166" t="s">
        <v>3772</v>
      </c>
      <c r="C1166" t="s">
        <v>3793</v>
      </c>
    </row>
    <row r="1167" spans="1:3" x14ac:dyDescent="0.2">
      <c r="A1167" s="14">
        <v>107929170</v>
      </c>
      <c r="B1167" t="s">
        <v>3772</v>
      </c>
      <c r="C1167" t="s">
        <v>3793</v>
      </c>
    </row>
    <row r="1168" spans="1:3" x14ac:dyDescent="0.2">
      <c r="A1168" s="14">
        <v>107929170</v>
      </c>
      <c r="B1168" t="s">
        <v>3772</v>
      </c>
      <c r="C1168" t="s">
        <v>3793</v>
      </c>
    </row>
    <row r="1169" spans="1:3" x14ac:dyDescent="0.2">
      <c r="A1169" s="14">
        <v>107929170</v>
      </c>
      <c r="B1169" t="s">
        <v>3772</v>
      </c>
      <c r="C1169" t="s">
        <v>3793</v>
      </c>
    </row>
    <row r="1170" spans="1:3" x14ac:dyDescent="0.2">
      <c r="A1170" s="14">
        <v>107929170</v>
      </c>
      <c r="B1170" t="s">
        <v>3772</v>
      </c>
      <c r="C1170" t="s">
        <v>3793</v>
      </c>
    </row>
    <row r="1171" spans="1:3" x14ac:dyDescent="0.2">
      <c r="A1171" s="14">
        <v>107929170</v>
      </c>
      <c r="B1171" t="s">
        <v>3772</v>
      </c>
      <c r="C1171" t="s">
        <v>3793</v>
      </c>
    </row>
    <row r="1172" spans="1:3" x14ac:dyDescent="0.2">
      <c r="A1172" s="14">
        <v>107929170</v>
      </c>
      <c r="B1172" t="s">
        <v>3772</v>
      </c>
      <c r="C1172" t="s">
        <v>3793</v>
      </c>
    </row>
    <row r="1173" spans="1:3" x14ac:dyDescent="0.2">
      <c r="A1173" s="14">
        <v>107929170</v>
      </c>
      <c r="B1173" t="s">
        <v>3772</v>
      </c>
      <c r="C1173" t="s">
        <v>3793</v>
      </c>
    </row>
    <row r="1174" spans="1:3" x14ac:dyDescent="0.2">
      <c r="A1174" s="14">
        <v>107929170</v>
      </c>
      <c r="B1174" t="s">
        <v>3772</v>
      </c>
      <c r="C1174" t="s">
        <v>3793</v>
      </c>
    </row>
    <row r="1175" spans="1:3" x14ac:dyDescent="0.2">
      <c r="A1175" s="14">
        <v>107929170</v>
      </c>
      <c r="B1175" t="s">
        <v>3772</v>
      </c>
      <c r="C1175" t="s">
        <v>3793</v>
      </c>
    </row>
    <row r="1176" spans="1:3" x14ac:dyDescent="0.2">
      <c r="A1176" s="14">
        <v>107929170</v>
      </c>
      <c r="B1176" t="s">
        <v>3772</v>
      </c>
      <c r="C1176" t="s">
        <v>3793</v>
      </c>
    </row>
    <row r="1177" spans="1:3" x14ac:dyDescent="0.2">
      <c r="A1177" s="14">
        <v>107929170</v>
      </c>
      <c r="B1177" t="s">
        <v>3772</v>
      </c>
      <c r="C1177" t="s">
        <v>3793</v>
      </c>
    </row>
    <row r="1178" spans="1:3" x14ac:dyDescent="0.2">
      <c r="A1178" s="14">
        <v>107929170</v>
      </c>
      <c r="B1178" t="s">
        <v>3772</v>
      </c>
      <c r="C1178" t="s">
        <v>3793</v>
      </c>
    </row>
    <row r="1179" spans="1:3" x14ac:dyDescent="0.2">
      <c r="A1179" s="14">
        <v>107929170</v>
      </c>
      <c r="B1179" t="s">
        <v>3772</v>
      </c>
      <c r="C1179" t="s">
        <v>3793</v>
      </c>
    </row>
    <row r="1180" spans="1:3" x14ac:dyDescent="0.2">
      <c r="A1180" s="14">
        <v>107929170</v>
      </c>
      <c r="B1180" t="s">
        <v>3772</v>
      </c>
      <c r="C1180" t="s">
        <v>3793</v>
      </c>
    </row>
    <row r="1181" spans="1:3" x14ac:dyDescent="0.2">
      <c r="A1181" s="14">
        <v>107929170</v>
      </c>
      <c r="B1181" t="s">
        <v>3772</v>
      </c>
      <c r="C1181" t="s">
        <v>3793</v>
      </c>
    </row>
    <row r="1182" spans="1:3" x14ac:dyDescent="0.2">
      <c r="A1182" s="14">
        <v>107929170</v>
      </c>
      <c r="B1182" t="s">
        <v>3772</v>
      </c>
      <c r="C1182" t="s">
        <v>3793</v>
      </c>
    </row>
    <row r="1183" spans="1:3" x14ac:dyDescent="0.2">
      <c r="A1183" s="14">
        <v>107929170</v>
      </c>
      <c r="B1183" t="s">
        <v>3772</v>
      </c>
      <c r="C1183" t="s">
        <v>3793</v>
      </c>
    </row>
    <row r="1184" spans="1:3" x14ac:dyDescent="0.2">
      <c r="A1184" s="14">
        <v>107929170</v>
      </c>
      <c r="B1184" t="s">
        <v>3772</v>
      </c>
      <c r="C1184" t="s">
        <v>3793</v>
      </c>
    </row>
    <row r="1185" spans="1:3" x14ac:dyDescent="0.2">
      <c r="A1185" s="14">
        <v>107929170</v>
      </c>
      <c r="B1185" t="s">
        <v>3772</v>
      </c>
      <c r="C1185" t="s">
        <v>3793</v>
      </c>
    </row>
    <row r="1186" spans="1:3" x14ac:dyDescent="0.2">
      <c r="A1186" s="14">
        <v>107929170</v>
      </c>
      <c r="B1186" t="s">
        <v>3772</v>
      </c>
      <c r="C1186" t="s">
        <v>3793</v>
      </c>
    </row>
    <row r="1187" spans="1:3" x14ac:dyDescent="0.2">
      <c r="A1187" s="14">
        <v>107929170</v>
      </c>
      <c r="B1187" t="s">
        <v>3772</v>
      </c>
      <c r="C1187" t="s">
        <v>3793</v>
      </c>
    </row>
    <row r="1188" spans="1:3" x14ac:dyDescent="0.2">
      <c r="A1188" s="14">
        <v>107929170</v>
      </c>
      <c r="B1188" t="s">
        <v>3772</v>
      </c>
      <c r="C1188" t="s">
        <v>3793</v>
      </c>
    </row>
    <row r="1189" spans="1:3" x14ac:dyDescent="0.2">
      <c r="A1189" s="14">
        <v>107929170</v>
      </c>
      <c r="B1189" t="s">
        <v>3772</v>
      </c>
      <c r="C1189" t="s">
        <v>3793</v>
      </c>
    </row>
    <row r="1190" spans="1:3" x14ac:dyDescent="0.2">
      <c r="A1190" s="14">
        <v>107929170</v>
      </c>
      <c r="B1190" t="s">
        <v>3772</v>
      </c>
      <c r="C1190" t="s">
        <v>3793</v>
      </c>
    </row>
    <row r="1191" spans="1:3" x14ac:dyDescent="0.2">
      <c r="A1191" s="14">
        <v>107929170</v>
      </c>
      <c r="B1191" t="s">
        <v>3772</v>
      </c>
      <c r="C1191" t="s">
        <v>3793</v>
      </c>
    </row>
    <row r="1192" spans="1:3" x14ac:dyDescent="0.2">
      <c r="A1192" s="14">
        <v>107929170</v>
      </c>
      <c r="B1192" t="s">
        <v>3772</v>
      </c>
      <c r="C1192" t="s">
        <v>3793</v>
      </c>
    </row>
    <row r="1193" spans="1:3" x14ac:dyDescent="0.2">
      <c r="A1193" s="14">
        <v>107929170</v>
      </c>
      <c r="B1193" t="s">
        <v>3772</v>
      </c>
      <c r="C1193" t="s">
        <v>3793</v>
      </c>
    </row>
    <row r="1194" spans="1:3" x14ac:dyDescent="0.2">
      <c r="A1194" s="14">
        <v>107929387</v>
      </c>
      <c r="B1194" t="s">
        <v>3772</v>
      </c>
      <c r="C1194" t="s">
        <v>3794</v>
      </c>
    </row>
    <row r="1195" spans="1:3" x14ac:dyDescent="0.2">
      <c r="A1195" s="14">
        <v>107929387</v>
      </c>
      <c r="B1195" t="s">
        <v>3772</v>
      </c>
      <c r="C1195" t="s">
        <v>3794</v>
      </c>
    </row>
    <row r="1196" spans="1:3" x14ac:dyDescent="0.2">
      <c r="A1196" s="14">
        <v>107929387</v>
      </c>
      <c r="B1196" t="s">
        <v>3772</v>
      </c>
      <c r="C1196" t="s">
        <v>3794</v>
      </c>
    </row>
    <row r="1197" spans="1:3" x14ac:dyDescent="0.2">
      <c r="A1197" s="14">
        <v>107929387</v>
      </c>
      <c r="B1197" t="s">
        <v>3772</v>
      </c>
      <c r="C1197" t="s">
        <v>3794</v>
      </c>
    </row>
    <row r="1198" spans="1:3" x14ac:dyDescent="0.2">
      <c r="A1198" s="14">
        <v>107929387</v>
      </c>
      <c r="B1198" t="s">
        <v>3772</v>
      </c>
      <c r="C1198" t="s">
        <v>3794</v>
      </c>
    </row>
    <row r="1199" spans="1:3" x14ac:dyDescent="0.2">
      <c r="A1199" s="14">
        <v>107929387</v>
      </c>
      <c r="B1199" t="s">
        <v>3772</v>
      </c>
      <c r="C1199" t="s">
        <v>3794</v>
      </c>
    </row>
    <row r="1200" spans="1:3" x14ac:dyDescent="0.2">
      <c r="A1200" s="14">
        <v>107929387</v>
      </c>
      <c r="B1200" t="s">
        <v>3772</v>
      </c>
      <c r="C1200" t="s">
        <v>3794</v>
      </c>
    </row>
    <row r="1201" spans="1:3" x14ac:dyDescent="0.2">
      <c r="A1201" s="14">
        <v>107929387</v>
      </c>
      <c r="B1201" t="s">
        <v>3772</v>
      </c>
      <c r="C1201" t="s">
        <v>3794</v>
      </c>
    </row>
    <row r="1202" spans="1:3" x14ac:dyDescent="0.2">
      <c r="A1202" s="14">
        <v>107929387</v>
      </c>
      <c r="B1202" t="s">
        <v>3772</v>
      </c>
      <c r="C1202" t="s">
        <v>3794</v>
      </c>
    </row>
    <row r="1203" spans="1:3" x14ac:dyDescent="0.2">
      <c r="A1203" s="14">
        <v>107929387</v>
      </c>
      <c r="B1203" t="s">
        <v>3772</v>
      </c>
      <c r="C1203" t="s">
        <v>3794</v>
      </c>
    </row>
    <row r="1204" spans="1:3" x14ac:dyDescent="0.2">
      <c r="A1204" s="14">
        <v>107929387</v>
      </c>
      <c r="B1204" t="s">
        <v>3772</v>
      </c>
      <c r="C1204" t="s">
        <v>3794</v>
      </c>
    </row>
    <row r="1205" spans="1:3" x14ac:dyDescent="0.2">
      <c r="A1205" s="14">
        <v>107929387</v>
      </c>
      <c r="B1205" t="s">
        <v>3772</v>
      </c>
      <c r="C1205" t="s">
        <v>3794</v>
      </c>
    </row>
    <row r="1206" spans="1:3" x14ac:dyDescent="0.2">
      <c r="A1206" s="14">
        <v>107929387</v>
      </c>
      <c r="B1206" t="s">
        <v>3772</v>
      </c>
      <c r="C1206" t="s">
        <v>3794</v>
      </c>
    </row>
    <row r="1207" spans="1:3" x14ac:dyDescent="0.2">
      <c r="A1207" s="14">
        <v>107929387</v>
      </c>
      <c r="B1207" t="s">
        <v>3772</v>
      </c>
      <c r="C1207" t="s">
        <v>3794</v>
      </c>
    </row>
    <row r="1208" spans="1:3" x14ac:dyDescent="0.2">
      <c r="A1208" s="14">
        <v>107929387</v>
      </c>
      <c r="B1208" t="s">
        <v>3772</v>
      </c>
      <c r="C1208" t="s">
        <v>3794</v>
      </c>
    </row>
    <row r="1209" spans="1:3" x14ac:dyDescent="0.2">
      <c r="A1209" s="14">
        <v>107929387</v>
      </c>
      <c r="B1209" t="s">
        <v>3772</v>
      </c>
      <c r="C1209" t="s">
        <v>3794</v>
      </c>
    </row>
    <row r="1210" spans="1:3" x14ac:dyDescent="0.2">
      <c r="A1210" s="14">
        <v>107929532</v>
      </c>
      <c r="B1210" t="s">
        <v>3772</v>
      </c>
      <c r="C1210" t="s">
        <v>3795</v>
      </c>
    </row>
    <row r="1211" spans="1:3" x14ac:dyDescent="0.2">
      <c r="A1211" s="14">
        <v>107929532</v>
      </c>
      <c r="B1211" t="s">
        <v>3772</v>
      </c>
      <c r="C1211" t="s">
        <v>3795</v>
      </c>
    </row>
    <row r="1212" spans="1:3" x14ac:dyDescent="0.2">
      <c r="A1212" s="14">
        <v>107929532</v>
      </c>
      <c r="B1212" t="s">
        <v>3772</v>
      </c>
      <c r="C1212" t="s">
        <v>3795</v>
      </c>
    </row>
    <row r="1213" spans="1:3" x14ac:dyDescent="0.2">
      <c r="A1213" s="14">
        <v>107929532</v>
      </c>
      <c r="B1213" t="s">
        <v>3772</v>
      </c>
      <c r="C1213" t="s">
        <v>3795</v>
      </c>
    </row>
    <row r="1214" spans="1:3" x14ac:dyDescent="0.2">
      <c r="A1214" s="14">
        <v>107929532</v>
      </c>
      <c r="B1214" t="s">
        <v>3772</v>
      </c>
      <c r="C1214" t="s">
        <v>3795</v>
      </c>
    </row>
    <row r="1215" spans="1:3" x14ac:dyDescent="0.2">
      <c r="A1215" s="14">
        <v>107929532</v>
      </c>
      <c r="B1215" t="s">
        <v>3772</v>
      </c>
      <c r="C1215" t="s">
        <v>3795</v>
      </c>
    </row>
    <row r="1216" spans="1:3" x14ac:dyDescent="0.2">
      <c r="A1216" s="14">
        <v>107929532</v>
      </c>
      <c r="B1216" t="s">
        <v>3772</v>
      </c>
      <c r="C1216" t="s">
        <v>3795</v>
      </c>
    </row>
    <row r="1217" spans="1:3" x14ac:dyDescent="0.2">
      <c r="A1217" s="14">
        <v>107929532</v>
      </c>
      <c r="B1217" t="s">
        <v>3772</v>
      </c>
      <c r="C1217" t="s">
        <v>3795</v>
      </c>
    </row>
    <row r="1218" spans="1:3" x14ac:dyDescent="0.2">
      <c r="A1218" s="14">
        <v>107929532</v>
      </c>
      <c r="B1218" t="s">
        <v>3772</v>
      </c>
      <c r="C1218" t="s">
        <v>3795</v>
      </c>
    </row>
    <row r="1219" spans="1:3" x14ac:dyDescent="0.2">
      <c r="A1219" s="14">
        <v>107929532</v>
      </c>
      <c r="B1219" t="s">
        <v>3772</v>
      </c>
      <c r="C1219" t="s">
        <v>3795</v>
      </c>
    </row>
    <row r="1220" spans="1:3" x14ac:dyDescent="0.2">
      <c r="A1220" s="14">
        <v>107929532</v>
      </c>
      <c r="B1220" t="s">
        <v>3772</v>
      </c>
      <c r="C1220" t="s">
        <v>3795</v>
      </c>
    </row>
    <row r="1221" spans="1:3" x14ac:dyDescent="0.2">
      <c r="A1221" s="14">
        <v>107929532</v>
      </c>
      <c r="B1221" t="s">
        <v>3772</v>
      </c>
      <c r="C1221" t="s">
        <v>3795</v>
      </c>
    </row>
    <row r="1222" spans="1:3" x14ac:dyDescent="0.2">
      <c r="A1222" s="14">
        <v>107929532</v>
      </c>
      <c r="B1222" t="s">
        <v>3772</v>
      </c>
      <c r="C1222" t="s">
        <v>3795</v>
      </c>
    </row>
    <row r="1223" spans="1:3" x14ac:dyDescent="0.2">
      <c r="A1223" s="14">
        <v>107929532</v>
      </c>
      <c r="B1223" t="s">
        <v>3772</v>
      </c>
      <c r="C1223" t="s">
        <v>3795</v>
      </c>
    </row>
    <row r="1224" spans="1:3" x14ac:dyDescent="0.2">
      <c r="A1224" s="14">
        <v>107929532</v>
      </c>
      <c r="B1224" t="s">
        <v>3772</v>
      </c>
      <c r="C1224" t="s">
        <v>3795</v>
      </c>
    </row>
    <row r="1225" spans="1:3" x14ac:dyDescent="0.2">
      <c r="A1225" s="14">
        <v>107929532</v>
      </c>
      <c r="B1225" t="s">
        <v>3772</v>
      </c>
      <c r="C1225" t="s">
        <v>3795</v>
      </c>
    </row>
    <row r="1226" spans="1:3" x14ac:dyDescent="0.2">
      <c r="A1226" s="14">
        <v>107929532</v>
      </c>
      <c r="B1226" t="s">
        <v>3772</v>
      </c>
      <c r="C1226" t="s">
        <v>3795</v>
      </c>
    </row>
    <row r="1227" spans="1:3" x14ac:dyDescent="0.2">
      <c r="A1227" s="14">
        <v>107929532</v>
      </c>
      <c r="B1227" t="s">
        <v>3772</v>
      </c>
      <c r="C1227" t="s">
        <v>3795</v>
      </c>
    </row>
    <row r="1228" spans="1:3" x14ac:dyDescent="0.2">
      <c r="A1228" s="14">
        <v>107929532</v>
      </c>
      <c r="B1228" t="s">
        <v>3772</v>
      </c>
      <c r="C1228" t="s">
        <v>3795</v>
      </c>
    </row>
    <row r="1229" spans="1:3" x14ac:dyDescent="0.2">
      <c r="A1229" s="14">
        <v>107929532</v>
      </c>
      <c r="B1229" t="s">
        <v>3772</v>
      </c>
      <c r="C1229" t="s">
        <v>3795</v>
      </c>
    </row>
    <row r="1230" spans="1:3" x14ac:dyDescent="0.2">
      <c r="A1230" s="14">
        <v>107929532</v>
      </c>
      <c r="B1230" t="s">
        <v>3772</v>
      </c>
      <c r="C1230" t="s">
        <v>3795</v>
      </c>
    </row>
    <row r="1231" spans="1:3" x14ac:dyDescent="0.2">
      <c r="A1231" s="14">
        <v>107929532</v>
      </c>
      <c r="B1231" t="s">
        <v>3772</v>
      </c>
      <c r="C1231" t="s">
        <v>3795</v>
      </c>
    </row>
    <row r="1232" spans="1:3" x14ac:dyDescent="0.2">
      <c r="A1232" s="14">
        <v>107929532</v>
      </c>
      <c r="B1232" t="s">
        <v>3772</v>
      </c>
      <c r="C1232" t="s">
        <v>3795</v>
      </c>
    </row>
    <row r="1233" spans="1:3" x14ac:dyDescent="0.2">
      <c r="A1233" s="14">
        <v>107929532</v>
      </c>
      <c r="B1233" t="s">
        <v>3772</v>
      </c>
      <c r="C1233" t="s">
        <v>3795</v>
      </c>
    </row>
    <row r="1234" spans="1:3" x14ac:dyDescent="0.2">
      <c r="A1234" s="14">
        <v>107929532</v>
      </c>
      <c r="B1234" t="s">
        <v>3772</v>
      </c>
      <c r="C1234" t="s">
        <v>3795</v>
      </c>
    </row>
    <row r="1235" spans="1:3" x14ac:dyDescent="0.2">
      <c r="A1235" s="14">
        <v>107929532</v>
      </c>
      <c r="B1235" t="s">
        <v>3772</v>
      </c>
      <c r="C1235" t="s">
        <v>3795</v>
      </c>
    </row>
    <row r="1236" spans="1:3" x14ac:dyDescent="0.2">
      <c r="A1236" s="14">
        <v>107929532</v>
      </c>
      <c r="B1236" t="s">
        <v>3772</v>
      </c>
      <c r="C1236" t="s">
        <v>3795</v>
      </c>
    </row>
    <row r="1237" spans="1:3" x14ac:dyDescent="0.2">
      <c r="A1237" s="14">
        <v>107929532</v>
      </c>
      <c r="B1237" t="s">
        <v>3772</v>
      </c>
      <c r="C1237" t="s">
        <v>3795</v>
      </c>
    </row>
    <row r="1238" spans="1:3" x14ac:dyDescent="0.2">
      <c r="A1238" s="14">
        <v>107929532</v>
      </c>
      <c r="B1238" t="s">
        <v>3772</v>
      </c>
      <c r="C1238" t="s">
        <v>3795</v>
      </c>
    </row>
    <row r="1239" spans="1:3" x14ac:dyDescent="0.2">
      <c r="A1239" s="14">
        <v>107929532</v>
      </c>
      <c r="B1239" t="s">
        <v>3772</v>
      </c>
      <c r="C1239" t="s">
        <v>3795</v>
      </c>
    </row>
    <row r="1240" spans="1:3" x14ac:dyDescent="0.2">
      <c r="A1240" s="14">
        <v>107929532</v>
      </c>
      <c r="B1240" t="s">
        <v>3772</v>
      </c>
      <c r="C1240" t="s">
        <v>3795</v>
      </c>
    </row>
    <row r="1241" spans="1:3" x14ac:dyDescent="0.2">
      <c r="A1241" s="14">
        <v>107929532</v>
      </c>
      <c r="B1241" t="s">
        <v>3772</v>
      </c>
      <c r="C1241" t="s">
        <v>3795</v>
      </c>
    </row>
    <row r="1242" spans="1:3" x14ac:dyDescent="0.2">
      <c r="A1242" s="14">
        <v>107929532</v>
      </c>
      <c r="B1242" t="s">
        <v>3772</v>
      </c>
      <c r="C1242" t="s">
        <v>3795</v>
      </c>
    </row>
    <row r="1243" spans="1:3" x14ac:dyDescent="0.2">
      <c r="A1243" s="14">
        <v>107929532</v>
      </c>
      <c r="B1243" t="s">
        <v>3772</v>
      </c>
      <c r="C1243" t="s">
        <v>3795</v>
      </c>
    </row>
    <row r="1244" spans="1:3" x14ac:dyDescent="0.2">
      <c r="A1244" s="14">
        <v>107929532</v>
      </c>
      <c r="B1244" t="s">
        <v>3772</v>
      </c>
      <c r="C1244" t="s">
        <v>3795</v>
      </c>
    </row>
    <row r="1245" spans="1:3" x14ac:dyDescent="0.2">
      <c r="A1245" s="14">
        <v>107929532</v>
      </c>
      <c r="B1245" t="s">
        <v>3772</v>
      </c>
      <c r="C1245" t="s">
        <v>3795</v>
      </c>
    </row>
    <row r="1246" spans="1:3" x14ac:dyDescent="0.2">
      <c r="A1246" s="14">
        <v>107929532</v>
      </c>
      <c r="B1246" t="s">
        <v>3772</v>
      </c>
      <c r="C1246" t="s">
        <v>3795</v>
      </c>
    </row>
    <row r="1247" spans="1:3" x14ac:dyDescent="0.2">
      <c r="A1247" s="14">
        <v>107929532</v>
      </c>
      <c r="B1247" t="s">
        <v>3772</v>
      </c>
      <c r="C1247" t="s">
        <v>3795</v>
      </c>
    </row>
    <row r="1248" spans="1:3" x14ac:dyDescent="0.2">
      <c r="A1248" s="14">
        <v>107929532</v>
      </c>
      <c r="B1248" t="s">
        <v>3772</v>
      </c>
      <c r="C1248" t="s">
        <v>3795</v>
      </c>
    </row>
    <row r="1249" spans="1:3" x14ac:dyDescent="0.2">
      <c r="A1249" s="14">
        <v>107929532</v>
      </c>
      <c r="B1249" t="s">
        <v>3772</v>
      </c>
      <c r="C1249" t="s">
        <v>3795</v>
      </c>
    </row>
    <row r="1250" spans="1:3" x14ac:dyDescent="0.2">
      <c r="A1250" s="14">
        <v>107929532</v>
      </c>
      <c r="B1250" t="s">
        <v>3772</v>
      </c>
      <c r="C1250" t="s">
        <v>3795</v>
      </c>
    </row>
    <row r="1251" spans="1:3" x14ac:dyDescent="0.2">
      <c r="A1251" s="14">
        <v>107929532</v>
      </c>
      <c r="B1251" t="s">
        <v>3772</v>
      </c>
      <c r="C1251" t="s">
        <v>3795</v>
      </c>
    </row>
    <row r="1252" spans="1:3" x14ac:dyDescent="0.2">
      <c r="A1252" s="14">
        <v>107929532</v>
      </c>
      <c r="B1252" t="s">
        <v>3772</v>
      </c>
      <c r="C1252" t="s">
        <v>3795</v>
      </c>
    </row>
    <row r="1253" spans="1:3" x14ac:dyDescent="0.2">
      <c r="A1253" s="14">
        <v>107929532</v>
      </c>
      <c r="B1253" t="s">
        <v>3772</v>
      </c>
      <c r="C1253" t="s">
        <v>3795</v>
      </c>
    </row>
    <row r="1254" spans="1:3" x14ac:dyDescent="0.2">
      <c r="A1254" s="14">
        <v>107929532</v>
      </c>
      <c r="B1254" t="s">
        <v>3772</v>
      </c>
      <c r="C1254" t="s">
        <v>3795</v>
      </c>
    </row>
    <row r="1255" spans="1:3" x14ac:dyDescent="0.2">
      <c r="A1255" s="14">
        <v>107929532</v>
      </c>
      <c r="B1255" t="s">
        <v>3772</v>
      </c>
      <c r="C1255" t="s">
        <v>3795</v>
      </c>
    </row>
    <row r="1256" spans="1:3" x14ac:dyDescent="0.2">
      <c r="A1256" s="14">
        <v>107929532</v>
      </c>
      <c r="B1256" t="s">
        <v>3772</v>
      </c>
      <c r="C1256" t="s">
        <v>3795</v>
      </c>
    </row>
    <row r="1257" spans="1:3" x14ac:dyDescent="0.2">
      <c r="A1257" s="14">
        <v>107929532</v>
      </c>
      <c r="B1257" t="s">
        <v>3772</v>
      </c>
      <c r="C1257" t="s">
        <v>3795</v>
      </c>
    </row>
    <row r="1258" spans="1:3" x14ac:dyDescent="0.2">
      <c r="A1258" s="14">
        <v>107929532</v>
      </c>
      <c r="B1258" t="s">
        <v>3772</v>
      </c>
      <c r="C1258" t="s">
        <v>3795</v>
      </c>
    </row>
    <row r="1259" spans="1:3" x14ac:dyDescent="0.2">
      <c r="A1259" s="14">
        <v>107929532</v>
      </c>
      <c r="B1259" t="s">
        <v>3772</v>
      </c>
      <c r="C1259" t="s">
        <v>3795</v>
      </c>
    </row>
    <row r="1260" spans="1:3" x14ac:dyDescent="0.2">
      <c r="A1260" s="14">
        <v>107929532</v>
      </c>
      <c r="B1260" t="s">
        <v>3772</v>
      </c>
      <c r="C1260" t="s">
        <v>3795</v>
      </c>
    </row>
    <row r="1261" spans="1:3" x14ac:dyDescent="0.2">
      <c r="A1261" s="14">
        <v>107929532</v>
      </c>
      <c r="B1261" t="s">
        <v>3772</v>
      </c>
      <c r="C1261" t="s">
        <v>3795</v>
      </c>
    </row>
    <row r="1262" spans="1:3" x14ac:dyDescent="0.2">
      <c r="A1262" s="14">
        <v>107929532</v>
      </c>
      <c r="B1262" t="s">
        <v>3772</v>
      </c>
      <c r="C1262" t="s">
        <v>3795</v>
      </c>
    </row>
    <row r="1263" spans="1:3" x14ac:dyDescent="0.2">
      <c r="A1263" s="14">
        <v>107929532</v>
      </c>
      <c r="B1263" t="s">
        <v>3772</v>
      </c>
      <c r="C1263" t="s">
        <v>3795</v>
      </c>
    </row>
    <row r="1264" spans="1:3" x14ac:dyDescent="0.2">
      <c r="A1264" s="14">
        <v>107929532</v>
      </c>
      <c r="B1264" t="s">
        <v>3772</v>
      </c>
      <c r="C1264" t="s">
        <v>3795</v>
      </c>
    </row>
    <row r="1265" spans="1:3" x14ac:dyDescent="0.2">
      <c r="A1265" s="14">
        <v>107929532</v>
      </c>
      <c r="B1265" t="s">
        <v>3772</v>
      </c>
      <c r="C1265" t="s">
        <v>3795</v>
      </c>
    </row>
    <row r="1266" spans="1:3" x14ac:dyDescent="0.2">
      <c r="A1266" s="14">
        <v>107929532</v>
      </c>
      <c r="B1266" t="s">
        <v>3772</v>
      </c>
      <c r="C1266" t="s">
        <v>3795</v>
      </c>
    </row>
    <row r="1267" spans="1:3" x14ac:dyDescent="0.2">
      <c r="A1267" s="14">
        <v>107929532</v>
      </c>
      <c r="B1267" t="s">
        <v>3772</v>
      </c>
      <c r="C1267" t="s">
        <v>3795</v>
      </c>
    </row>
    <row r="1268" spans="1:3" x14ac:dyDescent="0.2">
      <c r="A1268" s="14">
        <v>107929532</v>
      </c>
      <c r="B1268" t="s">
        <v>3772</v>
      </c>
      <c r="C1268" t="s">
        <v>3795</v>
      </c>
    </row>
    <row r="1269" spans="1:3" x14ac:dyDescent="0.2">
      <c r="A1269" s="14">
        <v>107929532</v>
      </c>
      <c r="B1269" t="s">
        <v>3772</v>
      </c>
      <c r="C1269" t="s">
        <v>3795</v>
      </c>
    </row>
    <row r="1270" spans="1:3" x14ac:dyDescent="0.2">
      <c r="A1270" s="14">
        <v>107929532</v>
      </c>
      <c r="B1270" t="s">
        <v>3772</v>
      </c>
      <c r="C1270" t="s">
        <v>3795</v>
      </c>
    </row>
    <row r="1271" spans="1:3" x14ac:dyDescent="0.2">
      <c r="A1271" s="14">
        <v>107929532</v>
      </c>
      <c r="B1271" t="s">
        <v>3772</v>
      </c>
      <c r="C1271" t="s">
        <v>3795</v>
      </c>
    </row>
    <row r="1272" spans="1:3" x14ac:dyDescent="0.2">
      <c r="A1272" s="14">
        <v>107929532</v>
      </c>
      <c r="B1272" t="s">
        <v>3772</v>
      </c>
      <c r="C1272" t="s">
        <v>3795</v>
      </c>
    </row>
    <row r="1273" spans="1:3" x14ac:dyDescent="0.2">
      <c r="A1273" s="14">
        <v>107929532</v>
      </c>
      <c r="B1273" t="s">
        <v>3772</v>
      </c>
      <c r="C1273" t="s">
        <v>3795</v>
      </c>
    </row>
    <row r="1274" spans="1:3" x14ac:dyDescent="0.2">
      <c r="A1274" s="14">
        <v>107929532</v>
      </c>
      <c r="B1274" t="s">
        <v>3772</v>
      </c>
      <c r="C1274" t="s">
        <v>3795</v>
      </c>
    </row>
    <row r="1275" spans="1:3" x14ac:dyDescent="0.2">
      <c r="A1275" s="14">
        <v>107929532</v>
      </c>
      <c r="B1275" t="s">
        <v>3772</v>
      </c>
      <c r="C1275" t="s">
        <v>3795</v>
      </c>
    </row>
    <row r="1276" spans="1:3" x14ac:dyDescent="0.2">
      <c r="A1276" s="14">
        <v>107929532</v>
      </c>
      <c r="B1276" t="s">
        <v>3772</v>
      </c>
      <c r="C1276" t="s">
        <v>3795</v>
      </c>
    </row>
    <row r="1277" spans="1:3" x14ac:dyDescent="0.2">
      <c r="A1277" s="14">
        <v>107929532</v>
      </c>
      <c r="B1277" t="s">
        <v>3772</v>
      </c>
      <c r="C1277" t="s">
        <v>3795</v>
      </c>
    </row>
    <row r="1278" spans="1:3" x14ac:dyDescent="0.2">
      <c r="A1278" s="14">
        <v>107929532</v>
      </c>
      <c r="B1278" t="s">
        <v>3772</v>
      </c>
      <c r="C1278" t="s">
        <v>3795</v>
      </c>
    </row>
    <row r="1279" spans="1:3" x14ac:dyDescent="0.2">
      <c r="A1279" s="14">
        <v>107929532</v>
      </c>
      <c r="B1279" t="s">
        <v>3772</v>
      </c>
      <c r="C1279" t="s">
        <v>3795</v>
      </c>
    </row>
    <row r="1280" spans="1:3" x14ac:dyDescent="0.2">
      <c r="A1280" s="14">
        <v>107929532</v>
      </c>
      <c r="B1280" t="s">
        <v>3772</v>
      </c>
      <c r="C1280" t="s">
        <v>3795</v>
      </c>
    </row>
    <row r="1281" spans="1:3" x14ac:dyDescent="0.2">
      <c r="A1281" s="14">
        <v>107929532</v>
      </c>
      <c r="B1281" t="s">
        <v>3772</v>
      </c>
      <c r="C1281" t="s">
        <v>3795</v>
      </c>
    </row>
    <row r="1282" spans="1:3" x14ac:dyDescent="0.2">
      <c r="A1282" s="14">
        <v>107929532</v>
      </c>
      <c r="B1282" t="s">
        <v>3772</v>
      </c>
      <c r="C1282" t="s">
        <v>3795</v>
      </c>
    </row>
    <row r="1283" spans="1:3" x14ac:dyDescent="0.2">
      <c r="A1283" s="14">
        <v>107929532</v>
      </c>
      <c r="B1283" t="s">
        <v>3772</v>
      </c>
      <c r="C1283" t="s">
        <v>3795</v>
      </c>
    </row>
    <row r="1284" spans="1:3" x14ac:dyDescent="0.2">
      <c r="A1284" s="14">
        <v>107929532</v>
      </c>
      <c r="B1284" t="s">
        <v>3772</v>
      </c>
      <c r="C1284" t="s">
        <v>3795</v>
      </c>
    </row>
    <row r="1285" spans="1:3" x14ac:dyDescent="0.2">
      <c r="A1285" s="14">
        <v>107929532</v>
      </c>
      <c r="B1285" t="s">
        <v>3772</v>
      </c>
      <c r="C1285" t="s">
        <v>3795</v>
      </c>
    </row>
    <row r="1286" spans="1:3" x14ac:dyDescent="0.2">
      <c r="A1286" s="14">
        <v>107929532</v>
      </c>
      <c r="B1286" t="s">
        <v>3772</v>
      </c>
      <c r="C1286" t="s">
        <v>3795</v>
      </c>
    </row>
    <row r="1287" spans="1:3" x14ac:dyDescent="0.2">
      <c r="A1287" s="14">
        <v>107929532</v>
      </c>
      <c r="B1287" t="s">
        <v>3772</v>
      </c>
      <c r="C1287" t="s">
        <v>3795</v>
      </c>
    </row>
    <row r="1288" spans="1:3" x14ac:dyDescent="0.2">
      <c r="A1288" s="14">
        <v>107929705</v>
      </c>
      <c r="B1288" t="s">
        <v>3772</v>
      </c>
      <c r="C1288" t="s">
        <v>3796</v>
      </c>
    </row>
    <row r="1289" spans="1:3" x14ac:dyDescent="0.2">
      <c r="A1289" s="14">
        <v>107929705</v>
      </c>
      <c r="B1289" t="s">
        <v>3772</v>
      </c>
      <c r="C1289" t="s">
        <v>3796</v>
      </c>
    </row>
    <row r="1290" spans="1:3" x14ac:dyDescent="0.2">
      <c r="A1290" s="14">
        <v>107929705</v>
      </c>
      <c r="B1290" t="s">
        <v>3772</v>
      </c>
      <c r="C1290" t="s">
        <v>3796</v>
      </c>
    </row>
    <row r="1291" spans="1:3" x14ac:dyDescent="0.2">
      <c r="A1291" s="14">
        <v>107929705</v>
      </c>
      <c r="B1291" t="s">
        <v>3772</v>
      </c>
      <c r="C1291" t="s">
        <v>3796</v>
      </c>
    </row>
    <row r="1292" spans="1:3" x14ac:dyDescent="0.2">
      <c r="A1292" s="14">
        <v>107929705</v>
      </c>
      <c r="B1292" t="s">
        <v>3772</v>
      </c>
      <c r="C1292" t="s">
        <v>3796</v>
      </c>
    </row>
    <row r="1293" spans="1:3" x14ac:dyDescent="0.2">
      <c r="A1293" s="14">
        <v>107929705</v>
      </c>
      <c r="B1293" t="s">
        <v>3772</v>
      </c>
      <c r="C1293" t="s">
        <v>3796</v>
      </c>
    </row>
    <row r="1294" spans="1:3" x14ac:dyDescent="0.2">
      <c r="A1294" s="14">
        <v>107929705</v>
      </c>
      <c r="B1294" t="s">
        <v>3772</v>
      </c>
      <c r="C1294" t="s">
        <v>3796</v>
      </c>
    </row>
    <row r="1295" spans="1:3" x14ac:dyDescent="0.2">
      <c r="A1295" s="14">
        <v>107929705</v>
      </c>
      <c r="B1295" t="s">
        <v>3772</v>
      </c>
      <c r="C1295" t="s">
        <v>3796</v>
      </c>
    </row>
    <row r="1296" spans="1:3" x14ac:dyDescent="0.2">
      <c r="A1296" s="14">
        <v>107929705</v>
      </c>
      <c r="B1296" t="s">
        <v>3772</v>
      </c>
      <c r="C1296" t="s">
        <v>3796</v>
      </c>
    </row>
    <row r="1297" spans="1:4" x14ac:dyDescent="0.2">
      <c r="A1297" s="14">
        <v>107929777</v>
      </c>
      <c r="B1297" t="s">
        <v>3772</v>
      </c>
      <c r="C1297" t="s">
        <v>3797</v>
      </c>
      <c r="D1297" t="s">
        <v>3798</v>
      </c>
    </row>
    <row r="1298" spans="1:4" x14ac:dyDescent="0.2">
      <c r="A1298" s="14">
        <v>107929777</v>
      </c>
      <c r="B1298" t="s">
        <v>3772</v>
      </c>
      <c r="C1298" t="s">
        <v>3797</v>
      </c>
      <c r="D1298" t="s">
        <v>3798</v>
      </c>
    </row>
    <row r="1299" spans="1:4" x14ac:dyDescent="0.2">
      <c r="A1299" s="14">
        <v>107929777</v>
      </c>
      <c r="B1299" t="s">
        <v>3772</v>
      </c>
      <c r="C1299" t="s">
        <v>3797</v>
      </c>
      <c r="D1299" t="s">
        <v>3798</v>
      </c>
    </row>
    <row r="1300" spans="1:4" x14ac:dyDescent="0.2">
      <c r="A1300" s="14">
        <v>107929777</v>
      </c>
      <c r="B1300" t="s">
        <v>3772</v>
      </c>
      <c r="C1300" t="s">
        <v>3797</v>
      </c>
      <c r="D1300" t="s">
        <v>3798</v>
      </c>
    </row>
    <row r="1301" spans="1:4" x14ac:dyDescent="0.2">
      <c r="A1301" s="14">
        <v>107929777</v>
      </c>
      <c r="B1301" t="s">
        <v>3772</v>
      </c>
      <c r="C1301" t="s">
        <v>3797</v>
      </c>
      <c r="D1301" t="s">
        <v>3798</v>
      </c>
    </row>
    <row r="1302" spans="1:4" x14ac:dyDescent="0.2">
      <c r="A1302" s="14">
        <v>107929777</v>
      </c>
      <c r="B1302" t="s">
        <v>3772</v>
      </c>
      <c r="C1302" t="s">
        <v>3797</v>
      </c>
      <c r="D1302" t="s">
        <v>3798</v>
      </c>
    </row>
    <row r="1303" spans="1:4" x14ac:dyDescent="0.2">
      <c r="A1303" s="14">
        <v>107929777</v>
      </c>
      <c r="B1303" t="s">
        <v>3772</v>
      </c>
      <c r="C1303" t="s">
        <v>3797</v>
      </c>
      <c r="D1303" t="s">
        <v>3798</v>
      </c>
    </row>
    <row r="1304" spans="1:4" x14ac:dyDescent="0.2">
      <c r="A1304" s="14">
        <v>107929777</v>
      </c>
      <c r="B1304" t="s">
        <v>3772</v>
      </c>
      <c r="C1304" t="s">
        <v>3797</v>
      </c>
      <c r="D1304" t="s">
        <v>3798</v>
      </c>
    </row>
    <row r="1305" spans="1:4" x14ac:dyDescent="0.2">
      <c r="A1305" s="14">
        <v>107929777</v>
      </c>
      <c r="B1305" t="s">
        <v>3772</v>
      </c>
      <c r="C1305" t="s">
        <v>3797</v>
      </c>
      <c r="D1305" t="s">
        <v>3798</v>
      </c>
    </row>
    <row r="1306" spans="1:4" x14ac:dyDescent="0.2">
      <c r="A1306" s="14">
        <v>107929777</v>
      </c>
      <c r="B1306" t="s">
        <v>3772</v>
      </c>
      <c r="C1306" t="s">
        <v>3797</v>
      </c>
      <c r="D1306" t="s">
        <v>3798</v>
      </c>
    </row>
    <row r="1307" spans="1:4" x14ac:dyDescent="0.2">
      <c r="A1307" s="14">
        <v>107929777</v>
      </c>
      <c r="B1307" t="s">
        <v>3772</v>
      </c>
      <c r="C1307" t="s">
        <v>3797</v>
      </c>
      <c r="D1307" t="s">
        <v>3798</v>
      </c>
    </row>
    <row r="1308" spans="1:4" x14ac:dyDescent="0.2">
      <c r="A1308" s="14">
        <v>107929777</v>
      </c>
      <c r="B1308" t="s">
        <v>3772</v>
      </c>
      <c r="C1308" t="s">
        <v>3797</v>
      </c>
      <c r="D1308" t="s">
        <v>3798</v>
      </c>
    </row>
    <row r="1309" spans="1:4" x14ac:dyDescent="0.2">
      <c r="A1309" s="14">
        <v>107929777</v>
      </c>
      <c r="B1309" t="s">
        <v>3772</v>
      </c>
      <c r="C1309" t="s">
        <v>3797</v>
      </c>
      <c r="D1309" t="s">
        <v>3798</v>
      </c>
    </row>
    <row r="1310" spans="1:4" x14ac:dyDescent="0.2">
      <c r="A1310" s="14">
        <v>107929777</v>
      </c>
      <c r="B1310" t="s">
        <v>3772</v>
      </c>
      <c r="C1310" t="s">
        <v>3797</v>
      </c>
      <c r="D1310" t="s">
        <v>3798</v>
      </c>
    </row>
    <row r="1311" spans="1:4" x14ac:dyDescent="0.2">
      <c r="A1311" s="14">
        <v>107929777</v>
      </c>
      <c r="B1311" t="s">
        <v>3772</v>
      </c>
      <c r="C1311" t="s">
        <v>3797</v>
      </c>
      <c r="D1311" t="s">
        <v>3798</v>
      </c>
    </row>
    <row r="1312" spans="1:4" x14ac:dyDescent="0.2">
      <c r="A1312" s="14">
        <v>107929777</v>
      </c>
      <c r="B1312" t="s">
        <v>3772</v>
      </c>
      <c r="C1312" t="s">
        <v>3797</v>
      </c>
      <c r="D1312" t="s">
        <v>3798</v>
      </c>
    </row>
    <row r="1313" spans="1:4" x14ac:dyDescent="0.2">
      <c r="A1313" s="14">
        <v>107929777</v>
      </c>
      <c r="B1313" t="s">
        <v>3772</v>
      </c>
      <c r="C1313" t="s">
        <v>3797</v>
      </c>
      <c r="D1313" t="s">
        <v>3798</v>
      </c>
    </row>
    <row r="1314" spans="1:4" x14ac:dyDescent="0.2">
      <c r="A1314" s="14">
        <v>107930733</v>
      </c>
      <c r="B1314" t="s">
        <v>3772</v>
      </c>
      <c r="C1314" t="s">
        <v>3799</v>
      </c>
    </row>
    <row r="1315" spans="1:4" x14ac:dyDescent="0.2">
      <c r="A1315" s="14">
        <v>107930733</v>
      </c>
      <c r="B1315" t="s">
        <v>3772</v>
      </c>
      <c r="C1315" t="s">
        <v>3799</v>
      </c>
    </row>
    <row r="1316" spans="1:4" x14ac:dyDescent="0.2">
      <c r="A1316" s="14">
        <v>107930733</v>
      </c>
      <c r="B1316" t="s">
        <v>3772</v>
      </c>
      <c r="C1316" t="s">
        <v>3799</v>
      </c>
    </row>
    <row r="1317" spans="1:4" x14ac:dyDescent="0.2">
      <c r="A1317" s="14">
        <v>107930733</v>
      </c>
      <c r="B1317" t="s">
        <v>3772</v>
      </c>
      <c r="C1317" t="s">
        <v>3799</v>
      </c>
    </row>
    <row r="1318" spans="1:4" x14ac:dyDescent="0.2">
      <c r="A1318" s="14">
        <v>107930733</v>
      </c>
      <c r="B1318" t="s">
        <v>3772</v>
      </c>
      <c r="C1318" t="s">
        <v>3799</v>
      </c>
    </row>
    <row r="1319" spans="1:4" x14ac:dyDescent="0.2">
      <c r="A1319" s="14">
        <v>107931129</v>
      </c>
      <c r="B1319" t="s">
        <v>3772</v>
      </c>
      <c r="C1319" t="s">
        <v>3800</v>
      </c>
    </row>
    <row r="1320" spans="1:4" x14ac:dyDescent="0.2">
      <c r="A1320" s="14">
        <v>107931129</v>
      </c>
      <c r="B1320" t="s">
        <v>3772</v>
      </c>
      <c r="C1320" t="s">
        <v>3800</v>
      </c>
    </row>
    <row r="1321" spans="1:4" x14ac:dyDescent="0.2">
      <c r="A1321" s="14">
        <v>107931129</v>
      </c>
      <c r="B1321" t="s">
        <v>3772</v>
      </c>
      <c r="C1321" t="s">
        <v>3800</v>
      </c>
    </row>
    <row r="1322" spans="1:4" x14ac:dyDescent="0.2">
      <c r="A1322" s="14">
        <v>107931129</v>
      </c>
      <c r="B1322" t="s">
        <v>3772</v>
      </c>
      <c r="C1322" t="s">
        <v>3800</v>
      </c>
    </row>
    <row r="1323" spans="1:4" x14ac:dyDescent="0.2">
      <c r="A1323" s="14">
        <v>107931129</v>
      </c>
      <c r="B1323" t="s">
        <v>3772</v>
      </c>
      <c r="C1323" t="s">
        <v>3800</v>
      </c>
    </row>
    <row r="1324" spans="1:4" x14ac:dyDescent="0.2">
      <c r="A1324" s="14">
        <v>107931129</v>
      </c>
      <c r="B1324" t="s">
        <v>3772</v>
      </c>
      <c r="C1324" t="s">
        <v>3800</v>
      </c>
    </row>
    <row r="1325" spans="1:4" x14ac:dyDescent="0.2">
      <c r="A1325" s="14">
        <v>107931129</v>
      </c>
      <c r="B1325" t="s">
        <v>3772</v>
      </c>
      <c r="C1325" t="s">
        <v>3800</v>
      </c>
    </row>
    <row r="1326" spans="1:4" x14ac:dyDescent="0.2">
      <c r="A1326" s="14">
        <v>107931129</v>
      </c>
      <c r="B1326" t="s">
        <v>3772</v>
      </c>
      <c r="C1326" t="s">
        <v>3800</v>
      </c>
    </row>
    <row r="1327" spans="1:4" x14ac:dyDescent="0.2">
      <c r="A1327" s="14">
        <v>107931129</v>
      </c>
      <c r="B1327" t="s">
        <v>3772</v>
      </c>
      <c r="C1327" t="s">
        <v>3800</v>
      </c>
    </row>
    <row r="1328" spans="1:4" x14ac:dyDescent="0.2">
      <c r="A1328" s="14">
        <v>107931129</v>
      </c>
      <c r="B1328" t="s">
        <v>3772</v>
      </c>
      <c r="C1328" t="s">
        <v>3800</v>
      </c>
    </row>
    <row r="1329" spans="1:3" x14ac:dyDescent="0.2">
      <c r="A1329" s="14">
        <v>107931129</v>
      </c>
      <c r="B1329" t="s">
        <v>3772</v>
      </c>
      <c r="C1329" t="s">
        <v>3800</v>
      </c>
    </row>
    <row r="1330" spans="1:3" x14ac:dyDescent="0.2">
      <c r="A1330" s="14">
        <v>107931129</v>
      </c>
      <c r="B1330" t="s">
        <v>3772</v>
      </c>
      <c r="C1330" t="s">
        <v>3800</v>
      </c>
    </row>
    <row r="1331" spans="1:3" x14ac:dyDescent="0.2">
      <c r="A1331" s="14">
        <v>107931129</v>
      </c>
      <c r="B1331" t="s">
        <v>3772</v>
      </c>
      <c r="C1331" t="s">
        <v>3800</v>
      </c>
    </row>
    <row r="1332" spans="1:3" x14ac:dyDescent="0.2">
      <c r="A1332" s="14">
        <v>107931129</v>
      </c>
      <c r="B1332" t="s">
        <v>3772</v>
      </c>
      <c r="C1332" t="s">
        <v>3800</v>
      </c>
    </row>
    <row r="1333" spans="1:3" x14ac:dyDescent="0.2">
      <c r="A1333" s="14">
        <v>107931129</v>
      </c>
      <c r="B1333" t="s">
        <v>3772</v>
      </c>
      <c r="C1333" t="s">
        <v>3800</v>
      </c>
    </row>
    <row r="1334" spans="1:3" x14ac:dyDescent="0.2">
      <c r="A1334" s="14">
        <v>107931129</v>
      </c>
      <c r="B1334" t="s">
        <v>3772</v>
      </c>
      <c r="C1334" t="s">
        <v>3800</v>
      </c>
    </row>
    <row r="1335" spans="1:3" x14ac:dyDescent="0.2">
      <c r="A1335" s="14">
        <v>107931129</v>
      </c>
      <c r="B1335" t="s">
        <v>3772</v>
      </c>
      <c r="C1335" t="s">
        <v>3800</v>
      </c>
    </row>
    <row r="1336" spans="1:3" x14ac:dyDescent="0.2">
      <c r="A1336" s="14">
        <v>107931129</v>
      </c>
      <c r="B1336" t="s">
        <v>3772</v>
      </c>
      <c r="C1336" t="s">
        <v>3800</v>
      </c>
    </row>
    <row r="1337" spans="1:3" x14ac:dyDescent="0.2">
      <c r="A1337" s="14">
        <v>107931129</v>
      </c>
      <c r="B1337" t="s">
        <v>3772</v>
      </c>
      <c r="C1337" t="s">
        <v>3800</v>
      </c>
    </row>
    <row r="1338" spans="1:3" x14ac:dyDescent="0.2">
      <c r="A1338" s="14">
        <v>107931129</v>
      </c>
      <c r="B1338" t="s">
        <v>3772</v>
      </c>
      <c r="C1338" t="s">
        <v>3800</v>
      </c>
    </row>
    <row r="1339" spans="1:3" x14ac:dyDescent="0.2">
      <c r="A1339" s="14">
        <v>107931129</v>
      </c>
      <c r="B1339" t="s">
        <v>3772</v>
      </c>
      <c r="C1339" t="s">
        <v>3800</v>
      </c>
    </row>
    <row r="1340" spans="1:3" x14ac:dyDescent="0.2">
      <c r="A1340" s="14">
        <v>107931129</v>
      </c>
      <c r="B1340" t="s">
        <v>3772</v>
      </c>
      <c r="C1340" t="s">
        <v>3800</v>
      </c>
    </row>
    <row r="1341" spans="1:3" x14ac:dyDescent="0.2">
      <c r="A1341" s="14">
        <v>107931129</v>
      </c>
      <c r="B1341" t="s">
        <v>3772</v>
      </c>
      <c r="C1341" t="s">
        <v>3800</v>
      </c>
    </row>
    <row r="1342" spans="1:3" x14ac:dyDescent="0.2">
      <c r="A1342" s="14">
        <v>107931129</v>
      </c>
      <c r="B1342" t="s">
        <v>3772</v>
      </c>
      <c r="C1342" t="s">
        <v>3800</v>
      </c>
    </row>
    <row r="1343" spans="1:3" x14ac:dyDescent="0.2">
      <c r="A1343" s="14">
        <v>107931129</v>
      </c>
      <c r="B1343" t="s">
        <v>3772</v>
      </c>
      <c r="C1343" t="s">
        <v>3800</v>
      </c>
    </row>
    <row r="1344" spans="1:3" x14ac:dyDescent="0.2">
      <c r="A1344" s="14">
        <v>107931129</v>
      </c>
      <c r="B1344" t="s">
        <v>3772</v>
      </c>
      <c r="C1344" t="s">
        <v>3800</v>
      </c>
    </row>
    <row r="1345" spans="1:3" x14ac:dyDescent="0.2">
      <c r="A1345" s="14">
        <v>107931129</v>
      </c>
      <c r="B1345" t="s">
        <v>3772</v>
      </c>
      <c r="C1345" t="s">
        <v>3800</v>
      </c>
    </row>
    <row r="1346" spans="1:3" x14ac:dyDescent="0.2">
      <c r="A1346" s="14">
        <v>107931129</v>
      </c>
      <c r="B1346" t="s">
        <v>3772</v>
      </c>
      <c r="C1346" t="s">
        <v>3800</v>
      </c>
    </row>
    <row r="1347" spans="1:3" x14ac:dyDescent="0.2">
      <c r="A1347" s="14">
        <v>107931129</v>
      </c>
      <c r="B1347" t="s">
        <v>3772</v>
      </c>
      <c r="C1347" t="s">
        <v>3800</v>
      </c>
    </row>
    <row r="1348" spans="1:3" x14ac:dyDescent="0.2">
      <c r="A1348" s="14">
        <v>107931129</v>
      </c>
      <c r="B1348" t="s">
        <v>3772</v>
      </c>
      <c r="C1348" t="s">
        <v>3800</v>
      </c>
    </row>
    <row r="1349" spans="1:3" x14ac:dyDescent="0.2">
      <c r="A1349" s="14">
        <v>107931129</v>
      </c>
      <c r="B1349" t="s">
        <v>3772</v>
      </c>
      <c r="C1349" t="s">
        <v>3800</v>
      </c>
    </row>
    <row r="1350" spans="1:3" x14ac:dyDescent="0.2">
      <c r="A1350" s="14">
        <v>107931129</v>
      </c>
      <c r="B1350" t="s">
        <v>3772</v>
      </c>
      <c r="C1350" t="s">
        <v>3800</v>
      </c>
    </row>
    <row r="1351" spans="1:3" x14ac:dyDescent="0.2">
      <c r="A1351" s="14">
        <v>107931129</v>
      </c>
      <c r="B1351" t="s">
        <v>3772</v>
      </c>
      <c r="C1351" t="s">
        <v>3800</v>
      </c>
    </row>
    <row r="1352" spans="1:3" x14ac:dyDescent="0.2">
      <c r="A1352" s="14">
        <v>107931129</v>
      </c>
      <c r="B1352" t="s">
        <v>3772</v>
      </c>
      <c r="C1352" t="s">
        <v>3800</v>
      </c>
    </row>
    <row r="1353" spans="1:3" x14ac:dyDescent="0.2">
      <c r="A1353" s="14">
        <v>107931129</v>
      </c>
      <c r="B1353" t="s">
        <v>3772</v>
      </c>
      <c r="C1353" t="s">
        <v>3800</v>
      </c>
    </row>
    <row r="1354" spans="1:3" x14ac:dyDescent="0.2">
      <c r="A1354" s="14">
        <v>107931129</v>
      </c>
      <c r="B1354" t="s">
        <v>3772</v>
      </c>
      <c r="C1354" t="s">
        <v>3800</v>
      </c>
    </row>
    <row r="1355" spans="1:3" x14ac:dyDescent="0.2">
      <c r="A1355" s="14">
        <v>107931129</v>
      </c>
      <c r="B1355" t="s">
        <v>3772</v>
      </c>
      <c r="C1355" t="s">
        <v>3800</v>
      </c>
    </row>
    <row r="1356" spans="1:3" x14ac:dyDescent="0.2">
      <c r="A1356" s="14">
        <v>107931129</v>
      </c>
      <c r="B1356" t="s">
        <v>3772</v>
      </c>
      <c r="C1356" t="s">
        <v>3800</v>
      </c>
    </row>
    <row r="1357" spans="1:3" x14ac:dyDescent="0.2">
      <c r="A1357" s="14">
        <v>107931129</v>
      </c>
      <c r="B1357" t="s">
        <v>3772</v>
      </c>
      <c r="C1357" t="s">
        <v>3800</v>
      </c>
    </row>
    <row r="1358" spans="1:3" x14ac:dyDescent="0.2">
      <c r="A1358" s="14">
        <v>107931129</v>
      </c>
      <c r="B1358" t="s">
        <v>3772</v>
      </c>
      <c r="C1358" t="s">
        <v>3800</v>
      </c>
    </row>
    <row r="1359" spans="1:3" x14ac:dyDescent="0.2">
      <c r="A1359" s="14">
        <v>107931129</v>
      </c>
      <c r="B1359" t="s">
        <v>3772</v>
      </c>
      <c r="C1359" t="s">
        <v>3800</v>
      </c>
    </row>
    <row r="1360" spans="1:3" x14ac:dyDescent="0.2">
      <c r="A1360" s="14">
        <v>107931129</v>
      </c>
      <c r="B1360" t="s">
        <v>3772</v>
      </c>
      <c r="C1360" t="s">
        <v>3800</v>
      </c>
    </row>
    <row r="1361" spans="1:3" x14ac:dyDescent="0.2">
      <c r="A1361" s="14">
        <v>107931129</v>
      </c>
      <c r="B1361" t="s">
        <v>3772</v>
      </c>
      <c r="C1361" t="s">
        <v>3800</v>
      </c>
    </row>
    <row r="1362" spans="1:3" x14ac:dyDescent="0.2">
      <c r="A1362" s="14">
        <v>107931129</v>
      </c>
      <c r="B1362" t="s">
        <v>3772</v>
      </c>
      <c r="C1362" t="s">
        <v>3800</v>
      </c>
    </row>
    <row r="1363" spans="1:3" x14ac:dyDescent="0.2">
      <c r="A1363" s="14">
        <v>107931129</v>
      </c>
      <c r="B1363" t="s">
        <v>3772</v>
      </c>
      <c r="C1363" t="s">
        <v>3800</v>
      </c>
    </row>
    <row r="1364" spans="1:3" x14ac:dyDescent="0.2">
      <c r="A1364" s="14">
        <v>107931179</v>
      </c>
      <c r="B1364" t="s">
        <v>3772</v>
      </c>
      <c r="C1364" t="s">
        <v>3801</v>
      </c>
    </row>
    <row r="1365" spans="1:3" x14ac:dyDescent="0.2">
      <c r="A1365" s="14">
        <v>107931179</v>
      </c>
      <c r="B1365" t="s">
        <v>3772</v>
      </c>
      <c r="C1365" t="s">
        <v>3801</v>
      </c>
    </row>
    <row r="1366" spans="1:3" x14ac:dyDescent="0.2">
      <c r="A1366" s="14">
        <v>107931179</v>
      </c>
      <c r="B1366" t="s">
        <v>3772</v>
      </c>
      <c r="C1366" t="s">
        <v>3801</v>
      </c>
    </row>
    <row r="1367" spans="1:3" x14ac:dyDescent="0.2">
      <c r="A1367" s="14">
        <v>107931179</v>
      </c>
      <c r="B1367" t="s">
        <v>3772</v>
      </c>
      <c r="C1367" t="s">
        <v>3801</v>
      </c>
    </row>
    <row r="1368" spans="1:3" x14ac:dyDescent="0.2">
      <c r="A1368" s="14">
        <v>107931179</v>
      </c>
      <c r="B1368" t="s">
        <v>3772</v>
      </c>
      <c r="C1368" t="s">
        <v>3801</v>
      </c>
    </row>
    <row r="1369" spans="1:3" x14ac:dyDescent="0.2">
      <c r="A1369" s="14">
        <v>107931179</v>
      </c>
      <c r="B1369" t="s">
        <v>3772</v>
      </c>
      <c r="C1369" t="s">
        <v>3801</v>
      </c>
    </row>
    <row r="1370" spans="1:3" x14ac:dyDescent="0.2">
      <c r="A1370" s="14">
        <v>107931179</v>
      </c>
      <c r="B1370" t="s">
        <v>3772</v>
      </c>
      <c r="C1370" t="s">
        <v>3801</v>
      </c>
    </row>
    <row r="1371" spans="1:3" x14ac:dyDescent="0.2">
      <c r="A1371" s="14">
        <v>107931179</v>
      </c>
      <c r="B1371" t="s">
        <v>3772</v>
      </c>
      <c r="C1371" t="s">
        <v>3801</v>
      </c>
    </row>
    <row r="1372" spans="1:3" x14ac:dyDescent="0.2">
      <c r="A1372" s="14">
        <v>107931179</v>
      </c>
      <c r="B1372" t="s">
        <v>3772</v>
      </c>
      <c r="C1372" t="s">
        <v>3801</v>
      </c>
    </row>
    <row r="1373" spans="1:3" x14ac:dyDescent="0.2">
      <c r="A1373" s="14">
        <v>107931179</v>
      </c>
      <c r="B1373" t="s">
        <v>3772</v>
      </c>
      <c r="C1373" t="s">
        <v>3801</v>
      </c>
    </row>
    <row r="1374" spans="1:3" x14ac:dyDescent="0.2">
      <c r="A1374" s="14">
        <v>107931179</v>
      </c>
      <c r="B1374" t="s">
        <v>3772</v>
      </c>
      <c r="C1374" t="s">
        <v>3801</v>
      </c>
    </row>
    <row r="1375" spans="1:3" x14ac:dyDescent="0.2">
      <c r="A1375" s="14">
        <v>107931179</v>
      </c>
      <c r="B1375" t="s">
        <v>3772</v>
      </c>
      <c r="C1375" t="s">
        <v>3801</v>
      </c>
    </row>
    <row r="1376" spans="1:3" x14ac:dyDescent="0.2">
      <c r="A1376" s="14">
        <v>107931179</v>
      </c>
      <c r="B1376" t="s">
        <v>3772</v>
      </c>
      <c r="C1376" t="s">
        <v>3801</v>
      </c>
    </row>
    <row r="1377" spans="1:3" x14ac:dyDescent="0.2">
      <c r="A1377" s="14">
        <v>107931179</v>
      </c>
      <c r="B1377" t="s">
        <v>3772</v>
      </c>
      <c r="C1377" t="s">
        <v>3801</v>
      </c>
    </row>
    <row r="1378" spans="1:3" x14ac:dyDescent="0.2">
      <c r="A1378" s="14">
        <v>107931701</v>
      </c>
      <c r="B1378" t="s">
        <v>3772</v>
      </c>
      <c r="C1378" t="s">
        <v>3802</v>
      </c>
    </row>
    <row r="1379" spans="1:3" x14ac:dyDescent="0.2">
      <c r="A1379" s="14">
        <v>107931701</v>
      </c>
      <c r="B1379" t="s">
        <v>3772</v>
      </c>
      <c r="C1379" t="s">
        <v>3802</v>
      </c>
    </row>
    <row r="1380" spans="1:3" x14ac:dyDescent="0.2">
      <c r="A1380" s="14">
        <v>107931701</v>
      </c>
      <c r="B1380" t="s">
        <v>3772</v>
      </c>
      <c r="C1380" t="s">
        <v>3802</v>
      </c>
    </row>
    <row r="1381" spans="1:3" x14ac:dyDescent="0.2">
      <c r="A1381" s="14">
        <v>107931701</v>
      </c>
      <c r="B1381" t="s">
        <v>3772</v>
      </c>
      <c r="C1381" t="s">
        <v>3802</v>
      </c>
    </row>
    <row r="1382" spans="1:3" x14ac:dyDescent="0.2">
      <c r="A1382" s="14">
        <v>107931701</v>
      </c>
      <c r="B1382" t="s">
        <v>3772</v>
      </c>
      <c r="C1382" t="s">
        <v>3802</v>
      </c>
    </row>
    <row r="1383" spans="1:3" x14ac:dyDescent="0.2">
      <c r="A1383" s="14">
        <v>107932908</v>
      </c>
      <c r="B1383" t="s">
        <v>3772</v>
      </c>
      <c r="C1383" t="s">
        <v>3803</v>
      </c>
    </row>
    <row r="1384" spans="1:3" x14ac:dyDescent="0.2">
      <c r="A1384" s="14">
        <v>107932908</v>
      </c>
      <c r="B1384" t="s">
        <v>3772</v>
      </c>
      <c r="C1384" t="s">
        <v>3803</v>
      </c>
    </row>
    <row r="1385" spans="1:3" x14ac:dyDescent="0.2">
      <c r="A1385" s="14">
        <v>107932908</v>
      </c>
      <c r="B1385" t="s">
        <v>3772</v>
      </c>
      <c r="C1385" t="s">
        <v>3803</v>
      </c>
    </row>
    <row r="1386" spans="1:3" x14ac:dyDescent="0.2">
      <c r="A1386" s="14">
        <v>107932908</v>
      </c>
      <c r="B1386" t="s">
        <v>3772</v>
      </c>
      <c r="C1386" t="s">
        <v>3803</v>
      </c>
    </row>
    <row r="1387" spans="1:3" x14ac:dyDescent="0.2">
      <c r="A1387" s="14">
        <v>107932908</v>
      </c>
      <c r="B1387" t="s">
        <v>3772</v>
      </c>
      <c r="C1387" t="s">
        <v>3803</v>
      </c>
    </row>
    <row r="1388" spans="1:3" x14ac:dyDescent="0.2">
      <c r="A1388" s="14">
        <v>107932908</v>
      </c>
      <c r="B1388" t="s">
        <v>3772</v>
      </c>
      <c r="C1388" t="s">
        <v>3803</v>
      </c>
    </row>
    <row r="1389" spans="1:3" x14ac:dyDescent="0.2">
      <c r="A1389" s="14">
        <v>107932908</v>
      </c>
      <c r="B1389" t="s">
        <v>3772</v>
      </c>
      <c r="C1389" t="s">
        <v>3803</v>
      </c>
    </row>
    <row r="1390" spans="1:3" x14ac:dyDescent="0.2">
      <c r="A1390" s="14">
        <v>107932908</v>
      </c>
      <c r="B1390" t="s">
        <v>3772</v>
      </c>
      <c r="C1390" t="s">
        <v>3803</v>
      </c>
    </row>
    <row r="1391" spans="1:3" x14ac:dyDescent="0.2">
      <c r="A1391" s="14">
        <v>107932908</v>
      </c>
      <c r="B1391" t="s">
        <v>3772</v>
      </c>
      <c r="C1391" t="s">
        <v>3803</v>
      </c>
    </row>
    <row r="1392" spans="1:3" x14ac:dyDescent="0.2">
      <c r="A1392" s="14">
        <v>107932908</v>
      </c>
      <c r="B1392" t="s">
        <v>3772</v>
      </c>
      <c r="C1392" t="s">
        <v>3803</v>
      </c>
    </row>
    <row r="1393" spans="1:3" x14ac:dyDescent="0.2">
      <c r="A1393" s="14">
        <v>107932908</v>
      </c>
      <c r="B1393" t="s">
        <v>3772</v>
      </c>
      <c r="C1393" t="s">
        <v>3803</v>
      </c>
    </row>
    <row r="1394" spans="1:3" x14ac:dyDescent="0.2">
      <c r="A1394" s="14">
        <v>107932908</v>
      </c>
      <c r="B1394" t="s">
        <v>3772</v>
      </c>
      <c r="C1394" t="s">
        <v>3803</v>
      </c>
    </row>
    <row r="1395" spans="1:3" x14ac:dyDescent="0.2">
      <c r="A1395" s="14">
        <v>107932908</v>
      </c>
      <c r="B1395" t="s">
        <v>3772</v>
      </c>
      <c r="C1395" t="s">
        <v>3803</v>
      </c>
    </row>
    <row r="1396" spans="1:3" x14ac:dyDescent="0.2">
      <c r="A1396" s="14">
        <v>107932908</v>
      </c>
      <c r="B1396" t="s">
        <v>3772</v>
      </c>
      <c r="C1396" t="s">
        <v>3803</v>
      </c>
    </row>
    <row r="1397" spans="1:3" x14ac:dyDescent="0.2">
      <c r="A1397" s="14">
        <v>107932908</v>
      </c>
      <c r="B1397" t="s">
        <v>3772</v>
      </c>
      <c r="C1397" t="s">
        <v>3803</v>
      </c>
    </row>
    <row r="1398" spans="1:3" x14ac:dyDescent="0.2">
      <c r="A1398" s="14">
        <v>107934270</v>
      </c>
      <c r="B1398" t="s">
        <v>3772</v>
      </c>
      <c r="C1398" t="s">
        <v>3804</v>
      </c>
    </row>
    <row r="1399" spans="1:3" x14ac:dyDescent="0.2">
      <c r="A1399" s="14">
        <v>107934270</v>
      </c>
      <c r="B1399" t="s">
        <v>3772</v>
      </c>
      <c r="C1399" t="s">
        <v>3804</v>
      </c>
    </row>
    <row r="1400" spans="1:3" x14ac:dyDescent="0.2">
      <c r="A1400" s="14">
        <v>107934270</v>
      </c>
      <c r="B1400" t="s">
        <v>3772</v>
      </c>
      <c r="C1400" t="s">
        <v>3804</v>
      </c>
    </row>
    <row r="1401" spans="1:3" x14ac:dyDescent="0.2">
      <c r="A1401" s="14">
        <v>107934270</v>
      </c>
      <c r="B1401" t="s">
        <v>3772</v>
      </c>
      <c r="C1401" t="s">
        <v>3804</v>
      </c>
    </row>
    <row r="1402" spans="1:3" x14ac:dyDescent="0.2">
      <c r="A1402" s="14">
        <v>107934270</v>
      </c>
      <c r="B1402" t="s">
        <v>3772</v>
      </c>
      <c r="C1402" t="s">
        <v>3804</v>
      </c>
    </row>
    <row r="1403" spans="1:3" x14ac:dyDescent="0.2">
      <c r="A1403" s="14">
        <v>107934270</v>
      </c>
      <c r="B1403" t="s">
        <v>3772</v>
      </c>
      <c r="C1403" t="s">
        <v>3804</v>
      </c>
    </row>
    <row r="1404" spans="1:3" x14ac:dyDescent="0.2">
      <c r="A1404" s="14">
        <v>107934270</v>
      </c>
      <c r="B1404" t="s">
        <v>3772</v>
      </c>
      <c r="C1404" t="s">
        <v>3804</v>
      </c>
    </row>
    <row r="1405" spans="1:3" x14ac:dyDescent="0.2">
      <c r="A1405" s="14">
        <v>107934270</v>
      </c>
      <c r="B1405" t="s">
        <v>3772</v>
      </c>
      <c r="C1405" t="s">
        <v>3804</v>
      </c>
    </row>
    <row r="1406" spans="1:3" x14ac:dyDescent="0.2">
      <c r="A1406" s="14">
        <v>107934270</v>
      </c>
      <c r="B1406" t="s">
        <v>3772</v>
      </c>
      <c r="C1406" t="s">
        <v>3804</v>
      </c>
    </row>
    <row r="1407" spans="1:3" x14ac:dyDescent="0.2">
      <c r="A1407" s="14">
        <v>107934270</v>
      </c>
      <c r="B1407" t="s">
        <v>3772</v>
      </c>
      <c r="C1407" t="s">
        <v>3804</v>
      </c>
    </row>
    <row r="1408" spans="1:3" x14ac:dyDescent="0.2">
      <c r="A1408" s="14">
        <v>107934270</v>
      </c>
      <c r="B1408" t="s">
        <v>3772</v>
      </c>
      <c r="C1408" t="s">
        <v>3804</v>
      </c>
    </row>
    <row r="1409" spans="1:3" x14ac:dyDescent="0.2">
      <c r="A1409" s="14">
        <v>107934270</v>
      </c>
      <c r="B1409" t="s">
        <v>3772</v>
      </c>
      <c r="C1409" t="s">
        <v>3804</v>
      </c>
    </row>
    <row r="1410" spans="1:3" x14ac:dyDescent="0.2">
      <c r="A1410" s="14">
        <v>107934270</v>
      </c>
      <c r="B1410" t="s">
        <v>3772</v>
      </c>
      <c r="C1410" t="s">
        <v>3804</v>
      </c>
    </row>
    <row r="1411" spans="1:3" x14ac:dyDescent="0.2">
      <c r="A1411" s="14">
        <v>107934270</v>
      </c>
      <c r="B1411" t="s">
        <v>3772</v>
      </c>
      <c r="C1411" t="s">
        <v>3804</v>
      </c>
    </row>
    <row r="1412" spans="1:3" x14ac:dyDescent="0.2">
      <c r="A1412" s="14">
        <v>107934270</v>
      </c>
      <c r="B1412" t="s">
        <v>3772</v>
      </c>
      <c r="C1412" t="s">
        <v>3804</v>
      </c>
    </row>
    <row r="1413" spans="1:3" x14ac:dyDescent="0.2">
      <c r="A1413" s="14">
        <v>107934270</v>
      </c>
      <c r="B1413" t="s">
        <v>3772</v>
      </c>
      <c r="C1413" t="s">
        <v>3804</v>
      </c>
    </row>
    <row r="1414" spans="1:3" x14ac:dyDescent="0.2">
      <c r="A1414" s="14">
        <v>107934270</v>
      </c>
      <c r="B1414" t="s">
        <v>3772</v>
      </c>
      <c r="C1414" t="s">
        <v>3804</v>
      </c>
    </row>
    <row r="1415" spans="1:3" x14ac:dyDescent="0.2">
      <c r="A1415" s="14">
        <v>107934270</v>
      </c>
      <c r="B1415" t="s">
        <v>3772</v>
      </c>
      <c r="C1415" t="s">
        <v>3804</v>
      </c>
    </row>
    <row r="1416" spans="1:3" x14ac:dyDescent="0.2">
      <c r="A1416" s="14">
        <v>107934270</v>
      </c>
      <c r="B1416" t="s">
        <v>3772</v>
      </c>
      <c r="C1416" t="s">
        <v>3804</v>
      </c>
    </row>
    <row r="1417" spans="1:3" x14ac:dyDescent="0.2">
      <c r="A1417" s="14">
        <v>107934270</v>
      </c>
      <c r="B1417" t="s">
        <v>3772</v>
      </c>
      <c r="C1417" t="s">
        <v>3804</v>
      </c>
    </row>
    <row r="1418" spans="1:3" x14ac:dyDescent="0.2">
      <c r="A1418" s="14">
        <v>107934270</v>
      </c>
      <c r="B1418" t="s">
        <v>3772</v>
      </c>
      <c r="C1418" t="s">
        <v>3804</v>
      </c>
    </row>
    <row r="1419" spans="1:3" x14ac:dyDescent="0.2">
      <c r="A1419" s="14">
        <v>107934270</v>
      </c>
      <c r="B1419" t="s">
        <v>3772</v>
      </c>
      <c r="C1419" t="s">
        <v>3804</v>
      </c>
    </row>
    <row r="1420" spans="1:3" x14ac:dyDescent="0.2">
      <c r="A1420" s="14">
        <v>107934270</v>
      </c>
      <c r="B1420" t="s">
        <v>3772</v>
      </c>
      <c r="C1420" t="s">
        <v>3804</v>
      </c>
    </row>
    <row r="1421" spans="1:3" x14ac:dyDescent="0.2">
      <c r="A1421" s="14">
        <v>107934270</v>
      </c>
      <c r="B1421" t="s">
        <v>3772</v>
      </c>
      <c r="C1421" t="s">
        <v>3804</v>
      </c>
    </row>
    <row r="1422" spans="1:3" x14ac:dyDescent="0.2">
      <c r="A1422" s="14">
        <v>107934270</v>
      </c>
      <c r="B1422" t="s">
        <v>3772</v>
      </c>
      <c r="C1422" t="s">
        <v>3804</v>
      </c>
    </row>
    <row r="1423" spans="1:3" x14ac:dyDescent="0.2">
      <c r="A1423" s="14">
        <v>107934270</v>
      </c>
      <c r="B1423" t="s">
        <v>3772</v>
      </c>
      <c r="C1423" t="s">
        <v>3804</v>
      </c>
    </row>
    <row r="1424" spans="1:3" x14ac:dyDescent="0.2">
      <c r="A1424" s="14">
        <v>107934277</v>
      </c>
      <c r="B1424" t="s">
        <v>3772</v>
      </c>
      <c r="C1424" t="s">
        <v>3805</v>
      </c>
    </row>
    <row r="1425" spans="1:3" x14ac:dyDescent="0.2">
      <c r="A1425" s="14">
        <v>107934277</v>
      </c>
      <c r="B1425" t="s">
        <v>3772</v>
      </c>
      <c r="C1425" t="s">
        <v>3805</v>
      </c>
    </row>
    <row r="1426" spans="1:3" x14ac:dyDescent="0.2">
      <c r="A1426" s="14">
        <v>107934277</v>
      </c>
      <c r="B1426" t="s">
        <v>3772</v>
      </c>
      <c r="C1426" t="s">
        <v>3805</v>
      </c>
    </row>
    <row r="1427" spans="1:3" x14ac:dyDescent="0.2">
      <c r="A1427" s="14">
        <v>107934277</v>
      </c>
      <c r="B1427" t="s">
        <v>3772</v>
      </c>
      <c r="C1427" t="s">
        <v>3805</v>
      </c>
    </row>
    <row r="1428" spans="1:3" x14ac:dyDescent="0.2">
      <c r="A1428" s="14">
        <v>107934277</v>
      </c>
      <c r="B1428" t="s">
        <v>3772</v>
      </c>
      <c r="C1428" t="s">
        <v>3805</v>
      </c>
    </row>
    <row r="1429" spans="1:3" x14ac:dyDescent="0.2">
      <c r="A1429" s="14">
        <v>107934277</v>
      </c>
      <c r="B1429" t="s">
        <v>3772</v>
      </c>
      <c r="C1429" t="s">
        <v>3805</v>
      </c>
    </row>
    <row r="1430" spans="1:3" x14ac:dyDescent="0.2">
      <c r="A1430" s="14">
        <v>107934277</v>
      </c>
      <c r="B1430" t="s">
        <v>3772</v>
      </c>
      <c r="C1430" t="s">
        <v>3805</v>
      </c>
    </row>
    <row r="1431" spans="1:3" x14ac:dyDescent="0.2">
      <c r="A1431" s="14">
        <v>107934277</v>
      </c>
      <c r="B1431" t="s">
        <v>3772</v>
      </c>
      <c r="C1431" t="s">
        <v>3805</v>
      </c>
    </row>
    <row r="1432" spans="1:3" x14ac:dyDescent="0.2">
      <c r="A1432" s="14">
        <v>107934277</v>
      </c>
      <c r="B1432" t="s">
        <v>3772</v>
      </c>
      <c r="C1432" t="s">
        <v>3805</v>
      </c>
    </row>
    <row r="1433" spans="1:3" x14ac:dyDescent="0.2">
      <c r="A1433" s="14">
        <v>107934277</v>
      </c>
      <c r="B1433" t="s">
        <v>3772</v>
      </c>
      <c r="C1433" t="s">
        <v>3805</v>
      </c>
    </row>
    <row r="1434" spans="1:3" x14ac:dyDescent="0.2">
      <c r="A1434" s="14">
        <v>107934277</v>
      </c>
      <c r="B1434" t="s">
        <v>3772</v>
      </c>
      <c r="C1434" t="s">
        <v>3805</v>
      </c>
    </row>
    <row r="1435" spans="1:3" x14ac:dyDescent="0.2">
      <c r="A1435" s="14">
        <v>107934277</v>
      </c>
      <c r="B1435" t="s">
        <v>3772</v>
      </c>
      <c r="C1435" t="s">
        <v>3805</v>
      </c>
    </row>
    <row r="1436" spans="1:3" x14ac:dyDescent="0.2">
      <c r="A1436" s="14">
        <v>107934277</v>
      </c>
      <c r="B1436" t="s">
        <v>3772</v>
      </c>
      <c r="C1436" t="s">
        <v>3805</v>
      </c>
    </row>
    <row r="1437" spans="1:3" x14ac:dyDescent="0.2">
      <c r="A1437" s="14">
        <v>107934277</v>
      </c>
      <c r="B1437" t="s">
        <v>3772</v>
      </c>
      <c r="C1437" t="s">
        <v>3805</v>
      </c>
    </row>
    <row r="1438" spans="1:3" x14ac:dyDescent="0.2">
      <c r="A1438" s="14">
        <v>107934277</v>
      </c>
      <c r="B1438" t="s">
        <v>3772</v>
      </c>
      <c r="C1438" t="s">
        <v>3805</v>
      </c>
    </row>
    <row r="1439" spans="1:3" x14ac:dyDescent="0.2">
      <c r="A1439" s="14">
        <v>107934277</v>
      </c>
      <c r="B1439" t="s">
        <v>3772</v>
      </c>
      <c r="C1439" t="s">
        <v>3805</v>
      </c>
    </row>
    <row r="1440" spans="1:3" x14ac:dyDescent="0.2">
      <c r="A1440" s="14">
        <v>107934277</v>
      </c>
      <c r="B1440" t="s">
        <v>3772</v>
      </c>
      <c r="C1440" t="s">
        <v>3805</v>
      </c>
    </row>
    <row r="1441" spans="1:3" x14ac:dyDescent="0.2">
      <c r="A1441" s="14">
        <v>107934277</v>
      </c>
      <c r="B1441" t="s">
        <v>3772</v>
      </c>
      <c r="C1441" t="s">
        <v>3805</v>
      </c>
    </row>
    <row r="1442" spans="1:3" x14ac:dyDescent="0.2">
      <c r="A1442" s="14">
        <v>107934277</v>
      </c>
      <c r="B1442" t="s">
        <v>3772</v>
      </c>
      <c r="C1442" t="s">
        <v>3805</v>
      </c>
    </row>
    <row r="1443" spans="1:3" x14ac:dyDescent="0.2">
      <c r="A1443" s="14">
        <v>107934277</v>
      </c>
      <c r="B1443" t="s">
        <v>3772</v>
      </c>
      <c r="C1443" t="s">
        <v>3805</v>
      </c>
    </row>
    <row r="1444" spans="1:3" x14ac:dyDescent="0.2">
      <c r="A1444" s="14">
        <v>107934277</v>
      </c>
      <c r="B1444" t="s">
        <v>3772</v>
      </c>
      <c r="C1444" t="s">
        <v>3805</v>
      </c>
    </row>
    <row r="1445" spans="1:3" x14ac:dyDescent="0.2">
      <c r="A1445" s="14">
        <v>107934277</v>
      </c>
      <c r="B1445" t="s">
        <v>3772</v>
      </c>
      <c r="C1445" t="s">
        <v>3805</v>
      </c>
    </row>
    <row r="1446" spans="1:3" x14ac:dyDescent="0.2">
      <c r="A1446" s="14">
        <v>107934277</v>
      </c>
      <c r="B1446" t="s">
        <v>3772</v>
      </c>
      <c r="C1446" t="s">
        <v>3805</v>
      </c>
    </row>
    <row r="1447" spans="1:3" x14ac:dyDescent="0.2">
      <c r="A1447" s="14">
        <v>107934277</v>
      </c>
      <c r="B1447" t="s">
        <v>3772</v>
      </c>
      <c r="C1447" t="s">
        <v>3805</v>
      </c>
    </row>
    <row r="1448" spans="1:3" x14ac:dyDescent="0.2">
      <c r="A1448" s="14">
        <v>107934277</v>
      </c>
      <c r="B1448" t="s">
        <v>3772</v>
      </c>
      <c r="C1448" t="s">
        <v>3805</v>
      </c>
    </row>
    <row r="1449" spans="1:3" x14ac:dyDescent="0.2">
      <c r="A1449" s="14">
        <v>107934277</v>
      </c>
      <c r="B1449" t="s">
        <v>3772</v>
      </c>
      <c r="C1449" t="s">
        <v>3805</v>
      </c>
    </row>
    <row r="1450" spans="1:3" x14ac:dyDescent="0.2">
      <c r="A1450" s="14">
        <v>107934277</v>
      </c>
      <c r="B1450" t="s">
        <v>3772</v>
      </c>
      <c r="C1450" t="s">
        <v>3805</v>
      </c>
    </row>
    <row r="1451" spans="1:3" x14ac:dyDescent="0.2">
      <c r="A1451" s="14">
        <v>107934277</v>
      </c>
      <c r="B1451" t="s">
        <v>3772</v>
      </c>
      <c r="C1451" t="s">
        <v>3805</v>
      </c>
    </row>
    <row r="1452" spans="1:3" x14ac:dyDescent="0.2">
      <c r="A1452" s="14">
        <v>107934277</v>
      </c>
      <c r="B1452" t="s">
        <v>3772</v>
      </c>
      <c r="C1452" t="s">
        <v>3805</v>
      </c>
    </row>
    <row r="1453" spans="1:3" x14ac:dyDescent="0.2">
      <c r="A1453" s="14">
        <v>107934277</v>
      </c>
      <c r="B1453" t="s">
        <v>3772</v>
      </c>
      <c r="C1453" t="s">
        <v>3805</v>
      </c>
    </row>
    <row r="1454" spans="1:3" x14ac:dyDescent="0.2">
      <c r="A1454" s="14">
        <v>107934277</v>
      </c>
      <c r="B1454" t="s">
        <v>3772</v>
      </c>
      <c r="C1454" t="s">
        <v>3805</v>
      </c>
    </row>
    <row r="1455" spans="1:3" x14ac:dyDescent="0.2">
      <c r="A1455" s="14">
        <v>107934277</v>
      </c>
      <c r="B1455" t="s">
        <v>3772</v>
      </c>
      <c r="C1455" t="s">
        <v>3805</v>
      </c>
    </row>
    <row r="1456" spans="1:3" x14ac:dyDescent="0.2">
      <c r="A1456" s="14">
        <v>107934277</v>
      </c>
      <c r="B1456" t="s">
        <v>3772</v>
      </c>
      <c r="C1456" t="s">
        <v>3805</v>
      </c>
    </row>
    <row r="1457" spans="1:3" x14ac:dyDescent="0.2">
      <c r="A1457" s="14">
        <v>107934277</v>
      </c>
      <c r="B1457" t="s">
        <v>3772</v>
      </c>
      <c r="C1457" t="s">
        <v>3805</v>
      </c>
    </row>
    <row r="1458" spans="1:3" x14ac:dyDescent="0.2">
      <c r="A1458" s="14">
        <v>107934277</v>
      </c>
      <c r="B1458" t="s">
        <v>3772</v>
      </c>
      <c r="C1458" t="s">
        <v>3805</v>
      </c>
    </row>
    <row r="1459" spans="1:3" x14ac:dyDescent="0.2">
      <c r="A1459" s="14">
        <v>107934277</v>
      </c>
      <c r="B1459" t="s">
        <v>3772</v>
      </c>
      <c r="C1459" t="s">
        <v>3805</v>
      </c>
    </row>
    <row r="1460" spans="1:3" x14ac:dyDescent="0.2">
      <c r="A1460" s="14">
        <v>107934277</v>
      </c>
      <c r="B1460" t="s">
        <v>3772</v>
      </c>
      <c r="C1460" t="s">
        <v>3805</v>
      </c>
    </row>
    <row r="1461" spans="1:3" x14ac:dyDescent="0.2">
      <c r="A1461" s="14">
        <v>107934277</v>
      </c>
      <c r="B1461" t="s">
        <v>3772</v>
      </c>
      <c r="C1461" t="s">
        <v>3805</v>
      </c>
    </row>
    <row r="1462" spans="1:3" x14ac:dyDescent="0.2">
      <c r="A1462" s="14">
        <v>107934277</v>
      </c>
      <c r="B1462" t="s">
        <v>3772</v>
      </c>
      <c r="C1462" t="s">
        <v>3805</v>
      </c>
    </row>
    <row r="1463" spans="1:3" x14ac:dyDescent="0.2">
      <c r="A1463" s="14">
        <v>107934277</v>
      </c>
      <c r="B1463" t="s">
        <v>3772</v>
      </c>
      <c r="C1463" t="s">
        <v>3805</v>
      </c>
    </row>
    <row r="1464" spans="1:3" x14ac:dyDescent="0.2">
      <c r="A1464" s="14">
        <v>107934277</v>
      </c>
      <c r="B1464" t="s">
        <v>3772</v>
      </c>
      <c r="C1464" t="s">
        <v>3805</v>
      </c>
    </row>
    <row r="1465" spans="1:3" x14ac:dyDescent="0.2">
      <c r="A1465" s="14">
        <v>107934277</v>
      </c>
      <c r="B1465" t="s">
        <v>3772</v>
      </c>
      <c r="C1465" t="s">
        <v>3805</v>
      </c>
    </row>
    <row r="1466" spans="1:3" x14ac:dyDescent="0.2">
      <c r="A1466" s="14">
        <v>107934277</v>
      </c>
      <c r="B1466" t="s">
        <v>3772</v>
      </c>
      <c r="C1466" t="s">
        <v>3805</v>
      </c>
    </row>
    <row r="1467" spans="1:3" x14ac:dyDescent="0.2">
      <c r="A1467" s="14">
        <v>107934277</v>
      </c>
      <c r="B1467" t="s">
        <v>3772</v>
      </c>
      <c r="C1467" t="s">
        <v>3805</v>
      </c>
    </row>
    <row r="1468" spans="1:3" x14ac:dyDescent="0.2">
      <c r="A1468" s="14">
        <v>107934277</v>
      </c>
      <c r="B1468" t="s">
        <v>3772</v>
      </c>
      <c r="C1468" t="s">
        <v>3805</v>
      </c>
    </row>
    <row r="1469" spans="1:3" x14ac:dyDescent="0.2">
      <c r="A1469" s="14">
        <v>107934277</v>
      </c>
      <c r="B1469" t="s">
        <v>3772</v>
      </c>
      <c r="C1469" t="s">
        <v>3805</v>
      </c>
    </row>
    <row r="1470" spans="1:3" x14ac:dyDescent="0.2">
      <c r="A1470" s="14">
        <v>107934277</v>
      </c>
      <c r="B1470" t="s">
        <v>3772</v>
      </c>
      <c r="C1470" t="s">
        <v>3805</v>
      </c>
    </row>
    <row r="1471" spans="1:3" x14ac:dyDescent="0.2">
      <c r="A1471" s="14">
        <v>107934277</v>
      </c>
      <c r="B1471" t="s">
        <v>3772</v>
      </c>
      <c r="C1471" t="s">
        <v>3805</v>
      </c>
    </row>
    <row r="1472" spans="1:3" x14ac:dyDescent="0.2">
      <c r="A1472" s="14">
        <v>107934277</v>
      </c>
      <c r="B1472" t="s">
        <v>3772</v>
      </c>
      <c r="C1472" t="s">
        <v>3805</v>
      </c>
    </row>
    <row r="1473" spans="1:3" x14ac:dyDescent="0.2">
      <c r="A1473" s="14">
        <v>107934277</v>
      </c>
      <c r="B1473" t="s">
        <v>3772</v>
      </c>
      <c r="C1473" t="s">
        <v>3805</v>
      </c>
    </row>
    <row r="1474" spans="1:3" x14ac:dyDescent="0.2">
      <c r="A1474" s="14">
        <v>107934277</v>
      </c>
      <c r="B1474" t="s">
        <v>3772</v>
      </c>
      <c r="C1474" t="s">
        <v>3805</v>
      </c>
    </row>
    <row r="1475" spans="1:3" x14ac:dyDescent="0.2">
      <c r="A1475" s="14">
        <v>107934277</v>
      </c>
      <c r="B1475" t="s">
        <v>3772</v>
      </c>
      <c r="C1475" t="s">
        <v>3805</v>
      </c>
    </row>
    <row r="1476" spans="1:3" x14ac:dyDescent="0.2">
      <c r="A1476" s="14">
        <v>107934277</v>
      </c>
      <c r="B1476" t="s">
        <v>3772</v>
      </c>
      <c r="C1476" t="s">
        <v>3805</v>
      </c>
    </row>
    <row r="1477" spans="1:3" x14ac:dyDescent="0.2">
      <c r="A1477" s="14">
        <v>107934277</v>
      </c>
      <c r="B1477" t="s">
        <v>3772</v>
      </c>
      <c r="C1477" t="s">
        <v>3805</v>
      </c>
    </row>
    <row r="1478" spans="1:3" x14ac:dyDescent="0.2">
      <c r="A1478" s="14">
        <v>107934277</v>
      </c>
      <c r="B1478" t="s">
        <v>3772</v>
      </c>
      <c r="C1478" t="s">
        <v>3805</v>
      </c>
    </row>
    <row r="1479" spans="1:3" x14ac:dyDescent="0.2">
      <c r="A1479" s="14">
        <v>107934277</v>
      </c>
      <c r="B1479" t="s">
        <v>3772</v>
      </c>
      <c r="C1479" t="s">
        <v>3805</v>
      </c>
    </row>
    <row r="1480" spans="1:3" x14ac:dyDescent="0.2">
      <c r="A1480" s="14">
        <v>107934277</v>
      </c>
      <c r="B1480" t="s">
        <v>3772</v>
      </c>
      <c r="C1480" t="s">
        <v>3805</v>
      </c>
    </row>
    <row r="1481" spans="1:3" x14ac:dyDescent="0.2">
      <c r="A1481" s="14">
        <v>107934277</v>
      </c>
      <c r="B1481" t="s">
        <v>3772</v>
      </c>
      <c r="C1481" t="s">
        <v>3805</v>
      </c>
    </row>
    <row r="1482" spans="1:3" x14ac:dyDescent="0.2">
      <c r="A1482" s="14">
        <v>107934277</v>
      </c>
      <c r="B1482" t="s">
        <v>3772</v>
      </c>
      <c r="C1482" t="s">
        <v>3805</v>
      </c>
    </row>
    <row r="1483" spans="1:3" x14ac:dyDescent="0.2">
      <c r="A1483" s="14">
        <v>107934277</v>
      </c>
      <c r="B1483" t="s">
        <v>3772</v>
      </c>
      <c r="C1483" t="s">
        <v>3805</v>
      </c>
    </row>
    <row r="1484" spans="1:3" x14ac:dyDescent="0.2">
      <c r="A1484" s="14">
        <v>107934277</v>
      </c>
      <c r="B1484" t="s">
        <v>3772</v>
      </c>
      <c r="C1484" t="s">
        <v>3805</v>
      </c>
    </row>
    <row r="1485" spans="1:3" x14ac:dyDescent="0.2">
      <c r="A1485" s="14">
        <v>107934277</v>
      </c>
      <c r="B1485" t="s">
        <v>3772</v>
      </c>
      <c r="C1485" t="s">
        <v>3805</v>
      </c>
    </row>
    <row r="1486" spans="1:3" x14ac:dyDescent="0.2">
      <c r="A1486" s="14">
        <v>107934277</v>
      </c>
      <c r="B1486" t="s">
        <v>3772</v>
      </c>
      <c r="C1486" t="s">
        <v>3805</v>
      </c>
    </row>
    <row r="1487" spans="1:3" x14ac:dyDescent="0.2">
      <c r="A1487" s="14">
        <v>107934277</v>
      </c>
      <c r="B1487" t="s">
        <v>3772</v>
      </c>
      <c r="C1487" t="s">
        <v>3805</v>
      </c>
    </row>
    <row r="1488" spans="1:3" x14ac:dyDescent="0.2">
      <c r="A1488" s="14">
        <v>107934277</v>
      </c>
      <c r="B1488" t="s">
        <v>3772</v>
      </c>
      <c r="C1488" t="s">
        <v>3805</v>
      </c>
    </row>
    <row r="1489" spans="1:3" x14ac:dyDescent="0.2">
      <c r="A1489" s="14">
        <v>107934277</v>
      </c>
      <c r="B1489" t="s">
        <v>3772</v>
      </c>
      <c r="C1489" t="s">
        <v>3805</v>
      </c>
    </row>
    <row r="1490" spans="1:3" x14ac:dyDescent="0.2">
      <c r="A1490" s="14">
        <v>107934277</v>
      </c>
      <c r="B1490" t="s">
        <v>3772</v>
      </c>
      <c r="C1490" t="s">
        <v>3805</v>
      </c>
    </row>
    <row r="1491" spans="1:3" x14ac:dyDescent="0.2">
      <c r="A1491" s="14">
        <v>107934277</v>
      </c>
      <c r="B1491" t="s">
        <v>3772</v>
      </c>
      <c r="C1491" t="s">
        <v>3805</v>
      </c>
    </row>
    <row r="1492" spans="1:3" x14ac:dyDescent="0.2">
      <c r="A1492" s="14">
        <v>107934277</v>
      </c>
      <c r="B1492" t="s">
        <v>3772</v>
      </c>
      <c r="C1492" t="s">
        <v>3805</v>
      </c>
    </row>
    <row r="1493" spans="1:3" x14ac:dyDescent="0.2">
      <c r="A1493" s="14">
        <v>107934277</v>
      </c>
      <c r="B1493" t="s">
        <v>3772</v>
      </c>
      <c r="C1493" t="s">
        <v>3805</v>
      </c>
    </row>
    <row r="1494" spans="1:3" x14ac:dyDescent="0.2">
      <c r="A1494" s="14">
        <v>107934277</v>
      </c>
      <c r="B1494" t="s">
        <v>3772</v>
      </c>
      <c r="C1494" t="s">
        <v>3805</v>
      </c>
    </row>
    <row r="1495" spans="1:3" x14ac:dyDescent="0.2">
      <c r="A1495" s="14">
        <v>107934277</v>
      </c>
      <c r="B1495" t="s">
        <v>3772</v>
      </c>
      <c r="C1495" t="s">
        <v>3805</v>
      </c>
    </row>
    <row r="1496" spans="1:3" x14ac:dyDescent="0.2">
      <c r="A1496" s="14">
        <v>107934277</v>
      </c>
      <c r="B1496" t="s">
        <v>3772</v>
      </c>
      <c r="C1496" t="s">
        <v>3805</v>
      </c>
    </row>
    <row r="1497" spans="1:3" x14ac:dyDescent="0.2">
      <c r="A1497" s="14">
        <v>107934277</v>
      </c>
      <c r="B1497" t="s">
        <v>3772</v>
      </c>
      <c r="C1497" t="s">
        <v>3805</v>
      </c>
    </row>
    <row r="1498" spans="1:3" x14ac:dyDescent="0.2">
      <c r="A1498" s="14">
        <v>107934277</v>
      </c>
      <c r="B1498" t="s">
        <v>3772</v>
      </c>
      <c r="C1498" t="s">
        <v>3805</v>
      </c>
    </row>
    <row r="1499" spans="1:3" x14ac:dyDescent="0.2">
      <c r="A1499" s="14">
        <v>107934277</v>
      </c>
      <c r="B1499" t="s">
        <v>3772</v>
      </c>
      <c r="C1499" t="s">
        <v>3805</v>
      </c>
    </row>
    <row r="1500" spans="1:3" x14ac:dyDescent="0.2">
      <c r="A1500" s="14">
        <v>107934277</v>
      </c>
      <c r="B1500" t="s">
        <v>3772</v>
      </c>
      <c r="C1500" t="s">
        <v>3805</v>
      </c>
    </row>
    <row r="1501" spans="1:3" x14ac:dyDescent="0.2">
      <c r="A1501" s="14">
        <v>107934277</v>
      </c>
      <c r="B1501" t="s">
        <v>3772</v>
      </c>
      <c r="C1501" t="s">
        <v>3805</v>
      </c>
    </row>
    <row r="1502" spans="1:3" x14ac:dyDescent="0.2">
      <c r="A1502" s="14">
        <v>107934277</v>
      </c>
      <c r="B1502" t="s">
        <v>3772</v>
      </c>
      <c r="C1502" t="s">
        <v>3805</v>
      </c>
    </row>
    <row r="1503" spans="1:3" x14ac:dyDescent="0.2">
      <c r="A1503" s="14">
        <v>107934277</v>
      </c>
      <c r="B1503" t="s">
        <v>3772</v>
      </c>
      <c r="C1503" t="s">
        <v>3805</v>
      </c>
    </row>
    <row r="1504" spans="1:3" x14ac:dyDescent="0.2">
      <c r="A1504" s="14">
        <v>107934277</v>
      </c>
      <c r="B1504" t="s">
        <v>3772</v>
      </c>
      <c r="C1504" t="s">
        <v>3805</v>
      </c>
    </row>
    <row r="1505" spans="1:3" x14ac:dyDescent="0.2">
      <c r="A1505" s="14">
        <v>107934277</v>
      </c>
      <c r="B1505" t="s">
        <v>3772</v>
      </c>
      <c r="C1505" t="s">
        <v>3805</v>
      </c>
    </row>
    <row r="1506" spans="1:3" x14ac:dyDescent="0.2">
      <c r="A1506" s="14">
        <v>107934277</v>
      </c>
      <c r="B1506" t="s">
        <v>3772</v>
      </c>
      <c r="C1506" t="s">
        <v>3805</v>
      </c>
    </row>
    <row r="1507" spans="1:3" x14ac:dyDescent="0.2">
      <c r="A1507" s="14">
        <v>107934277</v>
      </c>
      <c r="B1507" t="s">
        <v>3772</v>
      </c>
      <c r="C1507" t="s">
        <v>3805</v>
      </c>
    </row>
    <row r="1508" spans="1:3" x14ac:dyDescent="0.2">
      <c r="A1508" s="14">
        <v>107934277</v>
      </c>
      <c r="B1508" t="s">
        <v>3772</v>
      </c>
      <c r="C1508" t="s">
        <v>3805</v>
      </c>
    </row>
    <row r="1509" spans="1:3" x14ac:dyDescent="0.2">
      <c r="A1509" s="14">
        <v>107934277</v>
      </c>
      <c r="B1509" t="s">
        <v>3772</v>
      </c>
      <c r="C1509" t="s">
        <v>3805</v>
      </c>
    </row>
    <row r="1510" spans="1:3" x14ac:dyDescent="0.2">
      <c r="A1510" s="14">
        <v>107934471</v>
      </c>
      <c r="B1510" t="s">
        <v>3772</v>
      </c>
      <c r="C1510" t="s">
        <v>3806</v>
      </c>
    </row>
    <row r="1511" spans="1:3" x14ac:dyDescent="0.2">
      <c r="A1511" s="14">
        <v>107934471</v>
      </c>
      <c r="B1511" t="s">
        <v>3772</v>
      </c>
      <c r="C1511" t="s">
        <v>3806</v>
      </c>
    </row>
    <row r="1512" spans="1:3" x14ac:dyDescent="0.2">
      <c r="A1512" s="14">
        <v>107934471</v>
      </c>
      <c r="B1512" t="s">
        <v>3772</v>
      </c>
      <c r="C1512" t="s">
        <v>3806</v>
      </c>
    </row>
    <row r="1513" spans="1:3" x14ac:dyDescent="0.2">
      <c r="A1513" s="14">
        <v>107934471</v>
      </c>
      <c r="B1513" t="s">
        <v>3772</v>
      </c>
      <c r="C1513" t="s">
        <v>3806</v>
      </c>
    </row>
    <row r="1514" spans="1:3" x14ac:dyDescent="0.2">
      <c r="A1514" s="14">
        <v>107934471</v>
      </c>
      <c r="B1514" t="s">
        <v>3772</v>
      </c>
      <c r="C1514" t="s">
        <v>3806</v>
      </c>
    </row>
    <row r="1515" spans="1:3" x14ac:dyDescent="0.2">
      <c r="A1515" s="14">
        <v>107934471</v>
      </c>
      <c r="B1515" t="s">
        <v>3772</v>
      </c>
      <c r="C1515" t="s">
        <v>3806</v>
      </c>
    </row>
    <row r="1516" spans="1:3" x14ac:dyDescent="0.2">
      <c r="A1516" s="14">
        <v>107934471</v>
      </c>
      <c r="B1516" t="s">
        <v>3772</v>
      </c>
      <c r="C1516" t="s">
        <v>3806</v>
      </c>
    </row>
    <row r="1517" spans="1:3" x14ac:dyDescent="0.2">
      <c r="A1517" s="14">
        <v>107934471</v>
      </c>
      <c r="B1517" t="s">
        <v>3772</v>
      </c>
      <c r="C1517" t="s">
        <v>3806</v>
      </c>
    </row>
    <row r="1518" spans="1:3" x14ac:dyDescent="0.2">
      <c r="A1518" s="14">
        <v>107934662</v>
      </c>
      <c r="B1518" t="s">
        <v>3772</v>
      </c>
      <c r="C1518" t="s">
        <v>3807</v>
      </c>
    </row>
    <row r="1519" spans="1:3" x14ac:dyDescent="0.2">
      <c r="A1519" s="14">
        <v>107934662</v>
      </c>
      <c r="B1519" t="s">
        <v>3772</v>
      </c>
      <c r="C1519" t="s">
        <v>3807</v>
      </c>
    </row>
    <row r="1520" spans="1:3" x14ac:dyDescent="0.2">
      <c r="A1520" s="14">
        <v>107934662</v>
      </c>
      <c r="B1520" t="s">
        <v>3772</v>
      </c>
      <c r="C1520" t="s">
        <v>3807</v>
      </c>
    </row>
    <row r="1521" spans="1:3" x14ac:dyDescent="0.2">
      <c r="A1521" s="14">
        <v>107935128</v>
      </c>
      <c r="B1521" t="s">
        <v>3772</v>
      </c>
      <c r="C1521" t="s">
        <v>3808</v>
      </c>
    </row>
    <row r="1522" spans="1:3" x14ac:dyDescent="0.2">
      <c r="A1522" s="14">
        <v>107935567</v>
      </c>
      <c r="B1522" t="s">
        <v>3772</v>
      </c>
      <c r="C1522" t="s">
        <v>3809</v>
      </c>
    </row>
    <row r="1523" spans="1:3" x14ac:dyDescent="0.2">
      <c r="A1523" s="14">
        <v>107935567</v>
      </c>
      <c r="B1523" t="s">
        <v>3772</v>
      </c>
      <c r="C1523" t="s">
        <v>3809</v>
      </c>
    </row>
    <row r="1524" spans="1:3" x14ac:dyDescent="0.2">
      <c r="A1524" s="14">
        <v>107935567</v>
      </c>
      <c r="B1524" t="s">
        <v>3772</v>
      </c>
      <c r="C1524" t="s">
        <v>3809</v>
      </c>
    </row>
    <row r="1525" spans="1:3" x14ac:dyDescent="0.2">
      <c r="A1525" s="14">
        <v>107935567</v>
      </c>
      <c r="B1525" t="s">
        <v>3772</v>
      </c>
      <c r="C1525" t="s">
        <v>3809</v>
      </c>
    </row>
    <row r="1526" spans="1:3" x14ac:dyDescent="0.2">
      <c r="A1526" s="14">
        <v>107935567</v>
      </c>
      <c r="B1526" t="s">
        <v>3772</v>
      </c>
      <c r="C1526" t="s">
        <v>3809</v>
      </c>
    </row>
    <row r="1527" spans="1:3" x14ac:dyDescent="0.2">
      <c r="A1527" s="14">
        <v>107935567</v>
      </c>
      <c r="B1527" t="s">
        <v>3772</v>
      </c>
      <c r="C1527" t="s">
        <v>3809</v>
      </c>
    </row>
    <row r="1528" spans="1:3" x14ac:dyDescent="0.2">
      <c r="A1528" s="14">
        <v>107935567</v>
      </c>
      <c r="B1528" t="s">
        <v>3772</v>
      </c>
      <c r="C1528" t="s">
        <v>3809</v>
      </c>
    </row>
    <row r="1529" spans="1:3" x14ac:dyDescent="0.2">
      <c r="A1529" s="14">
        <v>107935567</v>
      </c>
      <c r="B1529" t="s">
        <v>3772</v>
      </c>
      <c r="C1529" t="s">
        <v>3809</v>
      </c>
    </row>
    <row r="1530" spans="1:3" x14ac:dyDescent="0.2">
      <c r="A1530" s="14">
        <v>107935567</v>
      </c>
      <c r="B1530" t="s">
        <v>3772</v>
      </c>
      <c r="C1530" t="s">
        <v>3809</v>
      </c>
    </row>
    <row r="1531" spans="1:3" x14ac:dyDescent="0.2">
      <c r="A1531" s="14">
        <v>107935567</v>
      </c>
      <c r="B1531" t="s">
        <v>3772</v>
      </c>
      <c r="C1531" t="s">
        <v>3809</v>
      </c>
    </row>
    <row r="1532" spans="1:3" x14ac:dyDescent="0.2">
      <c r="A1532" s="14">
        <v>107939694</v>
      </c>
      <c r="B1532" t="s">
        <v>3772</v>
      </c>
      <c r="C1532" t="s">
        <v>3810</v>
      </c>
    </row>
    <row r="1533" spans="1:3" x14ac:dyDescent="0.2">
      <c r="A1533" s="14">
        <v>107939694</v>
      </c>
      <c r="B1533" t="s">
        <v>3772</v>
      </c>
      <c r="C1533" t="s">
        <v>3810</v>
      </c>
    </row>
    <row r="1534" spans="1:3" x14ac:dyDescent="0.2">
      <c r="A1534" s="14">
        <v>107939694</v>
      </c>
      <c r="B1534" t="s">
        <v>3772</v>
      </c>
      <c r="C1534" t="s">
        <v>3810</v>
      </c>
    </row>
    <row r="1535" spans="1:3" x14ac:dyDescent="0.2">
      <c r="A1535" s="14">
        <v>107939694</v>
      </c>
      <c r="B1535" t="s">
        <v>3772</v>
      </c>
      <c r="C1535" t="s">
        <v>3810</v>
      </c>
    </row>
    <row r="1536" spans="1:3" x14ac:dyDescent="0.2">
      <c r="A1536" s="14">
        <v>107939694</v>
      </c>
      <c r="B1536" t="s">
        <v>3772</v>
      </c>
      <c r="C1536" t="s">
        <v>3810</v>
      </c>
    </row>
    <row r="1537" spans="1:3" x14ac:dyDescent="0.2">
      <c r="A1537" s="14">
        <v>107939694</v>
      </c>
      <c r="B1537" t="s">
        <v>3772</v>
      </c>
      <c r="C1537" t="s">
        <v>3810</v>
      </c>
    </row>
    <row r="1538" spans="1:3" x14ac:dyDescent="0.2">
      <c r="A1538" s="14">
        <v>107939694</v>
      </c>
      <c r="B1538" t="s">
        <v>3772</v>
      </c>
      <c r="C1538" t="s">
        <v>3810</v>
      </c>
    </row>
    <row r="1539" spans="1:3" x14ac:dyDescent="0.2">
      <c r="A1539" s="14">
        <v>107939694</v>
      </c>
      <c r="B1539" t="s">
        <v>3772</v>
      </c>
      <c r="C1539" t="s">
        <v>3810</v>
      </c>
    </row>
    <row r="1540" spans="1:3" x14ac:dyDescent="0.2">
      <c r="A1540" s="14">
        <v>107941365</v>
      </c>
      <c r="B1540" t="s">
        <v>3772</v>
      </c>
      <c r="C1540" t="s">
        <v>3811</v>
      </c>
    </row>
    <row r="1541" spans="1:3" x14ac:dyDescent="0.2">
      <c r="A1541" s="14">
        <v>107941365</v>
      </c>
      <c r="B1541" t="s">
        <v>3772</v>
      </c>
      <c r="C1541" t="s">
        <v>3811</v>
      </c>
    </row>
    <row r="1542" spans="1:3" x14ac:dyDescent="0.2">
      <c r="A1542" s="14">
        <v>107941365</v>
      </c>
      <c r="B1542" t="s">
        <v>3772</v>
      </c>
      <c r="C1542" t="s">
        <v>3811</v>
      </c>
    </row>
    <row r="1543" spans="1:3" x14ac:dyDescent="0.2">
      <c r="A1543" s="14">
        <v>107941365</v>
      </c>
      <c r="B1543" t="s">
        <v>3772</v>
      </c>
      <c r="C1543" t="s">
        <v>3811</v>
      </c>
    </row>
    <row r="1544" spans="1:3" x14ac:dyDescent="0.2">
      <c r="A1544" s="14">
        <v>107943867</v>
      </c>
      <c r="B1544" t="s">
        <v>3772</v>
      </c>
      <c r="C1544" t="s">
        <v>3812</v>
      </c>
    </row>
    <row r="1545" spans="1:3" x14ac:dyDescent="0.2">
      <c r="A1545" s="14">
        <v>107943867</v>
      </c>
      <c r="B1545" t="s">
        <v>3772</v>
      </c>
      <c r="C1545" t="s">
        <v>3812</v>
      </c>
    </row>
    <row r="1546" spans="1:3" x14ac:dyDescent="0.2">
      <c r="A1546" s="14">
        <v>107943867</v>
      </c>
      <c r="B1546" t="s">
        <v>3772</v>
      </c>
      <c r="C1546" t="s">
        <v>3812</v>
      </c>
    </row>
    <row r="1547" spans="1:3" x14ac:dyDescent="0.2">
      <c r="A1547" s="14">
        <v>107943867</v>
      </c>
      <c r="B1547" t="s">
        <v>3772</v>
      </c>
      <c r="C1547" t="s">
        <v>3812</v>
      </c>
    </row>
    <row r="1548" spans="1:3" x14ac:dyDescent="0.2">
      <c r="A1548" s="14">
        <v>107944695</v>
      </c>
      <c r="B1548" t="s">
        <v>3772</v>
      </c>
      <c r="C1548" t="s">
        <v>3813</v>
      </c>
    </row>
    <row r="1549" spans="1:3" x14ac:dyDescent="0.2">
      <c r="A1549" s="14">
        <v>107944695</v>
      </c>
      <c r="B1549" t="s">
        <v>3772</v>
      </c>
      <c r="C1549" t="s">
        <v>3813</v>
      </c>
    </row>
    <row r="1550" spans="1:3" x14ac:dyDescent="0.2">
      <c r="A1550" s="14">
        <v>107944695</v>
      </c>
      <c r="B1550" t="s">
        <v>3772</v>
      </c>
      <c r="C1550" t="s">
        <v>3813</v>
      </c>
    </row>
    <row r="1551" spans="1:3" x14ac:dyDescent="0.2">
      <c r="A1551" s="14">
        <v>107944695</v>
      </c>
      <c r="B1551" t="s">
        <v>3772</v>
      </c>
      <c r="C1551" t="s">
        <v>3813</v>
      </c>
    </row>
    <row r="1552" spans="1:3" x14ac:dyDescent="0.2">
      <c r="A1552" s="14">
        <v>107944695</v>
      </c>
      <c r="B1552" t="s">
        <v>3772</v>
      </c>
      <c r="C1552" t="s">
        <v>3813</v>
      </c>
    </row>
    <row r="1553" spans="1:3" x14ac:dyDescent="0.2">
      <c r="A1553" s="14">
        <v>107944695</v>
      </c>
      <c r="B1553" t="s">
        <v>3772</v>
      </c>
      <c r="C1553" t="s">
        <v>3813</v>
      </c>
    </row>
    <row r="1554" spans="1:3" x14ac:dyDescent="0.2">
      <c r="A1554" s="14">
        <v>107944695</v>
      </c>
      <c r="B1554" t="s">
        <v>3772</v>
      </c>
      <c r="C1554" t="s">
        <v>3813</v>
      </c>
    </row>
    <row r="1555" spans="1:3" x14ac:dyDescent="0.2">
      <c r="A1555" s="14">
        <v>107944695</v>
      </c>
      <c r="B1555" t="s">
        <v>3772</v>
      </c>
      <c r="C1555" t="s">
        <v>3813</v>
      </c>
    </row>
    <row r="1556" spans="1:3" x14ac:dyDescent="0.2">
      <c r="A1556" s="14">
        <v>107944695</v>
      </c>
      <c r="B1556" t="s">
        <v>3772</v>
      </c>
      <c r="C1556" t="s">
        <v>3813</v>
      </c>
    </row>
    <row r="1557" spans="1:3" x14ac:dyDescent="0.2">
      <c r="A1557" s="14">
        <v>107944695</v>
      </c>
      <c r="B1557" t="s">
        <v>3772</v>
      </c>
      <c r="C1557" t="s">
        <v>3813</v>
      </c>
    </row>
    <row r="1558" spans="1:3" x14ac:dyDescent="0.2">
      <c r="A1558" s="14">
        <v>107945318</v>
      </c>
      <c r="B1558" t="s">
        <v>3772</v>
      </c>
      <c r="C1558" t="s">
        <v>3814</v>
      </c>
    </row>
    <row r="1559" spans="1:3" x14ac:dyDescent="0.2">
      <c r="A1559" s="14">
        <v>107945318</v>
      </c>
      <c r="B1559" t="s">
        <v>3772</v>
      </c>
      <c r="C1559" t="s">
        <v>3814</v>
      </c>
    </row>
    <row r="1560" spans="1:3" x14ac:dyDescent="0.2">
      <c r="A1560" s="14">
        <v>107945318</v>
      </c>
      <c r="B1560" t="s">
        <v>3772</v>
      </c>
      <c r="C1560" t="s">
        <v>3814</v>
      </c>
    </row>
    <row r="1561" spans="1:3" x14ac:dyDescent="0.2">
      <c r="A1561" s="14">
        <v>107945318</v>
      </c>
      <c r="B1561" t="s">
        <v>3772</v>
      </c>
      <c r="C1561" t="s">
        <v>3814</v>
      </c>
    </row>
    <row r="1562" spans="1:3" x14ac:dyDescent="0.2">
      <c r="A1562" s="14">
        <v>107945318</v>
      </c>
      <c r="B1562" t="s">
        <v>3772</v>
      </c>
      <c r="C1562" t="s">
        <v>3814</v>
      </c>
    </row>
    <row r="1563" spans="1:3" x14ac:dyDescent="0.2">
      <c r="A1563" s="14">
        <v>107945318</v>
      </c>
      <c r="B1563" t="s">
        <v>3772</v>
      </c>
      <c r="C1563" t="s">
        <v>3814</v>
      </c>
    </row>
    <row r="1564" spans="1:3" x14ac:dyDescent="0.2">
      <c r="A1564" s="14">
        <v>107945318</v>
      </c>
      <c r="B1564" t="s">
        <v>3772</v>
      </c>
      <c r="C1564" t="s">
        <v>3814</v>
      </c>
    </row>
    <row r="1565" spans="1:3" x14ac:dyDescent="0.2">
      <c r="A1565" s="14">
        <v>107945318</v>
      </c>
      <c r="B1565" t="s">
        <v>3772</v>
      </c>
      <c r="C1565" t="s">
        <v>3814</v>
      </c>
    </row>
    <row r="1566" spans="1:3" x14ac:dyDescent="0.2">
      <c r="A1566" s="14">
        <v>107945318</v>
      </c>
      <c r="B1566" t="s">
        <v>3772</v>
      </c>
      <c r="C1566" t="s">
        <v>3814</v>
      </c>
    </row>
    <row r="1567" spans="1:3" x14ac:dyDescent="0.2">
      <c r="A1567" s="14">
        <v>107945318</v>
      </c>
      <c r="B1567" t="s">
        <v>3772</v>
      </c>
      <c r="C1567" t="s">
        <v>3814</v>
      </c>
    </row>
    <row r="1568" spans="1:3" x14ac:dyDescent="0.2">
      <c r="A1568" s="14">
        <v>107945318</v>
      </c>
      <c r="B1568" t="s">
        <v>3772</v>
      </c>
      <c r="C1568" t="s">
        <v>3814</v>
      </c>
    </row>
    <row r="1569" spans="1:3" x14ac:dyDescent="0.2">
      <c r="A1569" s="14">
        <v>107945318</v>
      </c>
      <c r="B1569" t="s">
        <v>3772</v>
      </c>
      <c r="C1569" t="s">
        <v>3814</v>
      </c>
    </row>
    <row r="1570" spans="1:3" x14ac:dyDescent="0.2">
      <c r="A1570" s="14">
        <v>107945318</v>
      </c>
      <c r="B1570" t="s">
        <v>3772</v>
      </c>
      <c r="C1570" t="s">
        <v>3814</v>
      </c>
    </row>
    <row r="1571" spans="1:3" x14ac:dyDescent="0.2">
      <c r="A1571" s="14">
        <v>107945318</v>
      </c>
      <c r="B1571" t="s">
        <v>3772</v>
      </c>
      <c r="C1571" t="s">
        <v>3814</v>
      </c>
    </row>
    <row r="1572" spans="1:3" x14ac:dyDescent="0.2">
      <c r="A1572" s="14">
        <v>107945318</v>
      </c>
      <c r="B1572" t="s">
        <v>3772</v>
      </c>
      <c r="C1572" t="s">
        <v>3814</v>
      </c>
    </row>
    <row r="1573" spans="1:3" x14ac:dyDescent="0.2">
      <c r="A1573" s="14">
        <v>107945318</v>
      </c>
      <c r="B1573" t="s">
        <v>3772</v>
      </c>
      <c r="C1573" t="s">
        <v>3814</v>
      </c>
    </row>
    <row r="1574" spans="1:3" x14ac:dyDescent="0.2">
      <c r="A1574" s="14">
        <v>107945318</v>
      </c>
      <c r="B1574" t="s">
        <v>3772</v>
      </c>
      <c r="C1574" t="s">
        <v>3814</v>
      </c>
    </row>
    <row r="1575" spans="1:3" x14ac:dyDescent="0.2">
      <c r="A1575" s="14">
        <v>107945318</v>
      </c>
      <c r="B1575" t="s">
        <v>3772</v>
      </c>
      <c r="C1575" t="s">
        <v>3814</v>
      </c>
    </row>
    <row r="1576" spans="1:3" x14ac:dyDescent="0.2">
      <c r="A1576" s="14">
        <v>107945318</v>
      </c>
      <c r="B1576" t="s">
        <v>3772</v>
      </c>
      <c r="C1576" t="s">
        <v>3814</v>
      </c>
    </row>
    <row r="1577" spans="1:3" x14ac:dyDescent="0.2">
      <c r="A1577" s="14">
        <v>107945318</v>
      </c>
      <c r="B1577" t="s">
        <v>3772</v>
      </c>
      <c r="C1577" t="s">
        <v>3814</v>
      </c>
    </row>
    <row r="1578" spans="1:3" x14ac:dyDescent="0.2">
      <c r="A1578" s="14">
        <v>107949302</v>
      </c>
      <c r="B1578" t="s">
        <v>3772</v>
      </c>
      <c r="C1578" t="s">
        <v>3815</v>
      </c>
    </row>
    <row r="1579" spans="1:3" x14ac:dyDescent="0.2">
      <c r="A1579" s="14">
        <v>107949302</v>
      </c>
      <c r="B1579" t="s">
        <v>3772</v>
      </c>
      <c r="C1579" t="s">
        <v>3815</v>
      </c>
    </row>
    <row r="1580" spans="1:3" x14ac:dyDescent="0.2">
      <c r="A1580" s="14">
        <v>107949302</v>
      </c>
      <c r="B1580" t="s">
        <v>3772</v>
      </c>
      <c r="C1580" t="s">
        <v>3815</v>
      </c>
    </row>
    <row r="1581" spans="1:3" x14ac:dyDescent="0.2">
      <c r="A1581" s="14">
        <v>107949302</v>
      </c>
      <c r="B1581" t="s">
        <v>3772</v>
      </c>
      <c r="C1581" t="s">
        <v>3815</v>
      </c>
    </row>
    <row r="1582" spans="1:3" x14ac:dyDescent="0.2">
      <c r="A1582" s="14">
        <v>107951751</v>
      </c>
      <c r="B1582" t="s">
        <v>3772</v>
      </c>
      <c r="C1582" t="s">
        <v>3816</v>
      </c>
    </row>
    <row r="1583" spans="1:3" x14ac:dyDescent="0.2">
      <c r="A1583" s="14">
        <v>107951751</v>
      </c>
      <c r="B1583" t="s">
        <v>3772</v>
      </c>
      <c r="C1583" t="s">
        <v>3816</v>
      </c>
    </row>
    <row r="1584" spans="1:3" x14ac:dyDescent="0.2">
      <c r="A1584" s="14">
        <v>107951751</v>
      </c>
      <c r="B1584" t="s">
        <v>3772</v>
      </c>
      <c r="C1584" t="s">
        <v>3816</v>
      </c>
    </row>
    <row r="1585" spans="1:3" x14ac:dyDescent="0.2">
      <c r="A1585" s="14">
        <v>107951751</v>
      </c>
      <c r="B1585" t="s">
        <v>3772</v>
      </c>
      <c r="C1585" t="s">
        <v>3816</v>
      </c>
    </row>
    <row r="1586" spans="1:3" x14ac:dyDescent="0.2">
      <c r="A1586" s="14">
        <v>107951751</v>
      </c>
      <c r="B1586" t="s">
        <v>3772</v>
      </c>
      <c r="C1586" t="s">
        <v>3816</v>
      </c>
    </row>
    <row r="1587" spans="1:3" x14ac:dyDescent="0.2">
      <c r="A1587" s="14">
        <v>107951812</v>
      </c>
      <c r="B1587" t="s">
        <v>3772</v>
      </c>
      <c r="C1587" t="s">
        <v>3817</v>
      </c>
    </row>
    <row r="1588" spans="1:3" x14ac:dyDescent="0.2">
      <c r="A1588" s="14">
        <v>107951812</v>
      </c>
      <c r="B1588" t="s">
        <v>3772</v>
      </c>
      <c r="C1588" t="s">
        <v>3817</v>
      </c>
    </row>
    <row r="1589" spans="1:3" x14ac:dyDescent="0.2">
      <c r="A1589" s="14">
        <v>107953558</v>
      </c>
      <c r="B1589" t="s">
        <v>3772</v>
      </c>
      <c r="C1589" t="s">
        <v>3818</v>
      </c>
    </row>
    <row r="1590" spans="1:3" x14ac:dyDescent="0.2">
      <c r="A1590" s="14">
        <v>107953558</v>
      </c>
      <c r="B1590" t="s">
        <v>3772</v>
      </c>
      <c r="C1590" t="s">
        <v>3818</v>
      </c>
    </row>
    <row r="1591" spans="1:3" x14ac:dyDescent="0.2">
      <c r="A1591" s="14">
        <v>107953967</v>
      </c>
      <c r="B1591" t="s">
        <v>3772</v>
      </c>
      <c r="C1591" t="s">
        <v>3819</v>
      </c>
    </row>
    <row r="1592" spans="1:3" x14ac:dyDescent="0.2">
      <c r="A1592" s="14">
        <v>107953967</v>
      </c>
      <c r="B1592" t="s">
        <v>3772</v>
      </c>
      <c r="C1592" t="s">
        <v>3819</v>
      </c>
    </row>
    <row r="1593" spans="1:3" x14ac:dyDescent="0.2">
      <c r="A1593" s="14">
        <v>107954203</v>
      </c>
      <c r="B1593" t="s">
        <v>3772</v>
      </c>
      <c r="C1593" t="s">
        <v>3820</v>
      </c>
    </row>
    <row r="1594" spans="1:3" x14ac:dyDescent="0.2">
      <c r="A1594" s="14">
        <v>107954203</v>
      </c>
      <c r="B1594" t="s">
        <v>3772</v>
      </c>
      <c r="C1594" t="s">
        <v>3820</v>
      </c>
    </row>
    <row r="1595" spans="1:3" x14ac:dyDescent="0.2">
      <c r="A1595" s="14">
        <v>107954203</v>
      </c>
      <c r="B1595" t="s">
        <v>3772</v>
      </c>
      <c r="C1595" t="s">
        <v>3820</v>
      </c>
    </row>
    <row r="1596" spans="1:3" x14ac:dyDescent="0.2">
      <c r="A1596" s="14">
        <v>107954203</v>
      </c>
      <c r="B1596" t="s">
        <v>3772</v>
      </c>
      <c r="C1596" t="s">
        <v>3820</v>
      </c>
    </row>
    <row r="1597" spans="1:3" x14ac:dyDescent="0.2">
      <c r="A1597" s="14">
        <v>107954203</v>
      </c>
      <c r="B1597" t="s">
        <v>3772</v>
      </c>
      <c r="C1597" t="s">
        <v>3820</v>
      </c>
    </row>
    <row r="1598" spans="1:3" x14ac:dyDescent="0.2">
      <c r="A1598" s="14">
        <v>107954203</v>
      </c>
      <c r="B1598" t="s">
        <v>3772</v>
      </c>
      <c r="C1598" t="s">
        <v>3820</v>
      </c>
    </row>
    <row r="1599" spans="1:3" x14ac:dyDescent="0.2">
      <c r="A1599" s="14">
        <v>107954203</v>
      </c>
      <c r="B1599" t="s">
        <v>3772</v>
      </c>
      <c r="C1599" t="s">
        <v>3820</v>
      </c>
    </row>
    <row r="1600" spans="1:3" x14ac:dyDescent="0.2">
      <c r="A1600" s="14">
        <v>107954203</v>
      </c>
      <c r="B1600" t="s">
        <v>3772</v>
      </c>
      <c r="C1600" t="s">
        <v>3820</v>
      </c>
    </row>
    <row r="1601" spans="1:3" x14ac:dyDescent="0.2">
      <c r="A1601" s="14">
        <v>107954203</v>
      </c>
      <c r="B1601" t="s">
        <v>3772</v>
      </c>
      <c r="C1601" t="s">
        <v>3820</v>
      </c>
    </row>
    <row r="1602" spans="1:3" x14ac:dyDescent="0.2">
      <c r="A1602" s="14">
        <v>107954203</v>
      </c>
      <c r="B1602" t="s">
        <v>3772</v>
      </c>
      <c r="C1602" t="s">
        <v>3820</v>
      </c>
    </row>
    <row r="1603" spans="1:3" x14ac:dyDescent="0.2">
      <c r="A1603" s="14">
        <v>107954203</v>
      </c>
      <c r="B1603" t="s">
        <v>3772</v>
      </c>
      <c r="C1603" t="s">
        <v>3820</v>
      </c>
    </row>
    <row r="1604" spans="1:3" x14ac:dyDescent="0.2">
      <c r="A1604" s="14">
        <v>107954203</v>
      </c>
      <c r="B1604" t="s">
        <v>3772</v>
      </c>
      <c r="C1604" t="s">
        <v>3820</v>
      </c>
    </row>
    <row r="1605" spans="1:3" x14ac:dyDescent="0.2">
      <c r="A1605" s="14">
        <v>107954203</v>
      </c>
      <c r="B1605" t="s">
        <v>3772</v>
      </c>
      <c r="C1605" t="s">
        <v>3820</v>
      </c>
    </row>
    <row r="1606" spans="1:3" x14ac:dyDescent="0.2">
      <c r="A1606" s="14">
        <v>107954203</v>
      </c>
      <c r="B1606" t="s">
        <v>3772</v>
      </c>
      <c r="C1606" t="s">
        <v>3820</v>
      </c>
    </row>
    <row r="1607" spans="1:3" x14ac:dyDescent="0.2">
      <c r="A1607" s="14">
        <v>107954203</v>
      </c>
      <c r="B1607" t="s">
        <v>3772</v>
      </c>
      <c r="C1607" t="s">
        <v>3820</v>
      </c>
    </row>
    <row r="1608" spans="1:3" x14ac:dyDescent="0.2">
      <c r="A1608" s="14">
        <v>107954203</v>
      </c>
      <c r="B1608" t="s">
        <v>3772</v>
      </c>
      <c r="C1608" t="s">
        <v>3820</v>
      </c>
    </row>
    <row r="1609" spans="1:3" x14ac:dyDescent="0.2">
      <c r="A1609" s="14">
        <v>107954203</v>
      </c>
      <c r="B1609" t="s">
        <v>3772</v>
      </c>
      <c r="C1609" t="s">
        <v>3820</v>
      </c>
    </row>
    <row r="1610" spans="1:3" x14ac:dyDescent="0.2">
      <c r="A1610" s="14">
        <v>107954203</v>
      </c>
      <c r="B1610" t="s">
        <v>3772</v>
      </c>
      <c r="C1610" t="s">
        <v>3820</v>
      </c>
    </row>
    <row r="1611" spans="1:3" x14ac:dyDescent="0.2">
      <c r="A1611" s="14">
        <v>107954203</v>
      </c>
      <c r="B1611" t="s">
        <v>3772</v>
      </c>
      <c r="C1611" t="s">
        <v>3820</v>
      </c>
    </row>
    <row r="1612" spans="1:3" x14ac:dyDescent="0.2">
      <c r="A1612" s="14">
        <v>107954203</v>
      </c>
      <c r="B1612" t="s">
        <v>3772</v>
      </c>
      <c r="C1612" t="s">
        <v>3820</v>
      </c>
    </row>
    <row r="1613" spans="1:3" x14ac:dyDescent="0.2">
      <c r="A1613" s="14">
        <v>107954203</v>
      </c>
      <c r="B1613" t="s">
        <v>3772</v>
      </c>
      <c r="C1613" t="s">
        <v>3820</v>
      </c>
    </row>
    <row r="1614" spans="1:3" x14ac:dyDescent="0.2">
      <c r="A1614" s="14">
        <v>107954203</v>
      </c>
      <c r="B1614" t="s">
        <v>3772</v>
      </c>
      <c r="C1614" t="s">
        <v>3820</v>
      </c>
    </row>
    <row r="1615" spans="1:3" x14ac:dyDescent="0.2">
      <c r="A1615" s="14">
        <v>107954203</v>
      </c>
      <c r="B1615" t="s">
        <v>3772</v>
      </c>
      <c r="C1615" t="s">
        <v>3820</v>
      </c>
    </row>
    <row r="1616" spans="1:3" x14ac:dyDescent="0.2">
      <c r="A1616" s="14">
        <v>107954203</v>
      </c>
      <c r="B1616" t="s">
        <v>3772</v>
      </c>
      <c r="C1616" t="s">
        <v>3820</v>
      </c>
    </row>
    <row r="1617" spans="1:3" x14ac:dyDescent="0.2">
      <c r="A1617" s="14">
        <v>107954203</v>
      </c>
      <c r="B1617" t="s">
        <v>3772</v>
      </c>
      <c r="C1617" t="s">
        <v>3820</v>
      </c>
    </row>
    <row r="1618" spans="1:3" x14ac:dyDescent="0.2">
      <c r="A1618" s="14">
        <v>107954203</v>
      </c>
      <c r="B1618" t="s">
        <v>3772</v>
      </c>
      <c r="C1618" t="s">
        <v>3820</v>
      </c>
    </row>
    <row r="1619" spans="1:3" x14ac:dyDescent="0.2">
      <c r="A1619" s="14">
        <v>107954203</v>
      </c>
      <c r="B1619" t="s">
        <v>3772</v>
      </c>
      <c r="C1619" t="s">
        <v>3820</v>
      </c>
    </row>
    <row r="1620" spans="1:3" x14ac:dyDescent="0.2">
      <c r="A1620" s="14">
        <v>107954203</v>
      </c>
      <c r="B1620" t="s">
        <v>3772</v>
      </c>
      <c r="C1620" t="s">
        <v>3820</v>
      </c>
    </row>
    <row r="1621" spans="1:3" x14ac:dyDescent="0.2">
      <c r="A1621" s="14">
        <v>107954203</v>
      </c>
      <c r="B1621" t="s">
        <v>3772</v>
      </c>
      <c r="C1621" t="s">
        <v>3820</v>
      </c>
    </row>
    <row r="1622" spans="1:3" x14ac:dyDescent="0.2">
      <c r="A1622" s="14">
        <v>107954203</v>
      </c>
      <c r="B1622" t="s">
        <v>3772</v>
      </c>
      <c r="C1622" t="s">
        <v>3820</v>
      </c>
    </row>
    <row r="1623" spans="1:3" x14ac:dyDescent="0.2">
      <c r="A1623" s="14">
        <v>107954203</v>
      </c>
      <c r="B1623" t="s">
        <v>3772</v>
      </c>
      <c r="C1623" t="s">
        <v>3820</v>
      </c>
    </row>
    <row r="1624" spans="1:3" x14ac:dyDescent="0.2">
      <c r="A1624" s="14">
        <v>107954203</v>
      </c>
      <c r="B1624" t="s">
        <v>3772</v>
      </c>
      <c r="C1624" t="s">
        <v>3820</v>
      </c>
    </row>
    <row r="1625" spans="1:3" x14ac:dyDescent="0.2">
      <c r="A1625" s="14">
        <v>107954203</v>
      </c>
      <c r="B1625" t="s">
        <v>3772</v>
      </c>
      <c r="C1625" t="s">
        <v>3820</v>
      </c>
    </row>
    <row r="1626" spans="1:3" x14ac:dyDescent="0.2">
      <c r="A1626" s="14">
        <v>107954203</v>
      </c>
      <c r="B1626" t="s">
        <v>3772</v>
      </c>
      <c r="C1626" t="s">
        <v>3820</v>
      </c>
    </row>
    <row r="1627" spans="1:3" x14ac:dyDescent="0.2">
      <c r="A1627" s="14">
        <v>107954203</v>
      </c>
      <c r="B1627" t="s">
        <v>3772</v>
      </c>
      <c r="C1627" t="s">
        <v>3820</v>
      </c>
    </row>
    <row r="1628" spans="1:3" x14ac:dyDescent="0.2">
      <c r="A1628" s="14">
        <v>107954203</v>
      </c>
      <c r="B1628" t="s">
        <v>3772</v>
      </c>
      <c r="C1628" t="s">
        <v>3820</v>
      </c>
    </row>
    <row r="1629" spans="1:3" x14ac:dyDescent="0.2">
      <c r="A1629" s="14">
        <v>107954203</v>
      </c>
      <c r="B1629" t="s">
        <v>3772</v>
      </c>
      <c r="C1629" t="s">
        <v>3820</v>
      </c>
    </row>
    <row r="1630" spans="1:3" x14ac:dyDescent="0.2">
      <c r="A1630" s="14">
        <v>107954203</v>
      </c>
      <c r="B1630" t="s">
        <v>3772</v>
      </c>
      <c r="C1630" t="s">
        <v>3820</v>
      </c>
    </row>
    <row r="1631" spans="1:3" x14ac:dyDescent="0.2">
      <c r="A1631" s="14">
        <v>107954203</v>
      </c>
      <c r="B1631" t="s">
        <v>3772</v>
      </c>
      <c r="C1631" t="s">
        <v>3820</v>
      </c>
    </row>
    <row r="1632" spans="1:3" x14ac:dyDescent="0.2">
      <c r="A1632" s="14">
        <v>107954203</v>
      </c>
      <c r="B1632" t="s">
        <v>3772</v>
      </c>
      <c r="C1632" t="s">
        <v>3820</v>
      </c>
    </row>
    <row r="1633" spans="1:3" x14ac:dyDescent="0.2">
      <c r="A1633" s="14">
        <v>107954203</v>
      </c>
      <c r="B1633" t="s">
        <v>3772</v>
      </c>
      <c r="C1633" t="s">
        <v>3820</v>
      </c>
    </row>
    <row r="1634" spans="1:3" x14ac:dyDescent="0.2">
      <c r="A1634" s="14">
        <v>107954203</v>
      </c>
      <c r="B1634" t="s">
        <v>3772</v>
      </c>
      <c r="C1634" t="s">
        <v>3820</v>
      </c>
    </row>
    <row r="1635" spans="1:3" x14ac:dyDescent="0.2">
      <c r="A1635" s="14">
        <v>107954203</v>
      </c>
      <c r="B1635" t="s">
        <v>3772</v>
      </c>
      <c r="C1635" t="s">
        <v>3820</v>
      </c>
    </row>
    <row r="1636" spans="1:3" x14ac:dyDescent="0.2">
      <c r="A1636" s="14">
        <v>107954203</v>
      </c>
      <c r="B1636" t="s">
        <v>3772</v>
      </c>
      <c r="C1636" t="s">
        <v>3820</v>
      </c>
    </row>
    <row r="1637" spans="1:3" x14ac:dyDescent="0.2">
      <c r="A1637" s="14">
        <v>107954203</v>
      </c>
      <c r="B1637" t="s">
        <v>3772</v>
      </c>
      <c r="C1637" t="s">
        <v>3820</v>
      </c>
    </row>
    <row r="1638" spans="1:3" x14ac:dyDescent="0.2">
      <c r="A1638" s="14">
        <v>107954203</v>
      </c>
      <c r="B1638" t="s">
        <v>3772</v>
      </c>
      <c r="C1638" t="s">
        <v>3820</v>
      </c>
    </row>
    <row r="1639" spans="1:3" x14ac:dyDescent="0.2">
      <c r="A1639" s="14">
        <v>107954203</v>
      </c>
      <c r="B1639" t="s">
        <v>3772</v>
      </c>
      <c r="C1639" t="s">
        <v>3820</v>
      </c>
    </row>
    <row r="1640" spans="1:3" x14ac:dyDescent="0.2">
      <c r="A1640" s="14">
        <v>107954203</v>
      </c>
      <c r="B1640" t="s">
        <v>3772</v>
      </c>
      <c r="C1640" t="s">
        <v>3820</v>
      </c>
    </row>
    <row r="1641" spans="1:3" x14ac:dyDescent="0.2">
      <c r="A1641" s="14">
        <v>107954203</v>
      </c>
      <c r="B1641" t="s">
        <v>3772</v>
      </c>
      <c r="C1641" t="s">
        <v>3820</v>
      </c>
    </row>
    <row r="1642" spans="1:3" x14ac:dyDescent="0.2">
      <c r="A1642" s="14">
        <v>107954203</v>
      </c>
      <c r="B1642" t="s">
        <v>3772</v>
      </c>
      <c r="C1642" t="s">
        <v>3820</v>
      </c>
    </row>
    <row r="1643" spans="1:3" x14ac:dyDescent="0.2">
      <c r="A1643" s="14">
        <v>107954203</v>
      </c>
      <c r="B1643" t="s">
        <v>3772</v>
      </c>
      <c r="C1643" t="s">
        <v>3820</v>
      </c>
    </row>
    <row r="1644" spans="1:3" x14ac:dyDescent="0.2">
      <c r="A1644" s="14">
        <v>107954203</v>
      </c>
      <c r="B1644" t="s">
        <v>3772</v>
      </c>
      <c r="C1644" t="s">
        <v>3820</v>
      </c>
    </row>
    <row r="1645" spans="1:3" x14ac:dyDescent="0.2">
      <c r="A1645" s="14">
        <v>107954203</v>
      </c>
      <c r="B1645" t="s">
        <v>3772</v>
      </c>
      <c r="C1645" t="s">
        <v>3820</v>
      </c>
    </row>
    <row r="1646" spans="1:3" x14ac:dyDescent="0.2">
      <c r="A1646" s="14">
        <v>107954203</v>
      </c>
      <c r="B1646" t="s">
        <v>3772</v>
      </c>
      <c r="C1646" t="s">
        <v>3820</v>
      </c>
    </row>
    <row r="1647" spans="1:3" x14ac:dyDescent="0.2">
      <c r="A1647" s="14">
        <v>107954203</v>
      </c>
      <c r="B1647" t="s">
        <v>3772</v>
      </c>
      <c r="C1647" t="s">
        <v>3820</v>
      </c>
    </row>
    <row r="1648" spans="1:3" x14ac:dyDescent="0.2">
      <c r="A1648" s="14">
        <v>107954203</v>
      </c>
      <c r="B1648" t="s">
        <v>3772</v>
      </c>
      <c r="C1648" t="s">
        <v>3820</v>
      </c>
    </row>
    <row r="1649" spans="1:3" x14ac:dyDescent="0.2">
      <c r="A1649" s="14">
        <v>107954203</v>
      </c>
      <c r="B1649" t="s">
        <v>3772</v>
      </c>
      <c r="C1649" t="s">
        <v>3820</v>
      </c>
    </row>
    <row r="1650" spans="1:3" x14ac:dyDescent="0.2">
      <c r="A1650" s="14">
        <v>107954203</v>
      </c>
      <c r="B1650" t="s">
        <v>3772</v>
      </c>
      <c r="C1650" t="s">
        <v>3820</v>
      </c>
    </row>
    <row r="1651" spans="1:3" x14ac:dyDescent="0.2">
      <c r="A1651" s="14">
        <v>107954203</v>
      </c>
      <c r="B1651" t="s">
        <v>3772</v>
      </c>
      <c r="C1651" t="s">
        <v>3820</v>
      </c>
    </row>
    <row r="1652" spans="1:3" x14ac:dyDescent="0.2">
      <c r="A1652" s="14">
        <v>107954203</v>
      </c>
      <c r="B1652" t="s">
        <v>3772</v>
      </c>
      <c r="C1652" t="s">
        <v>3820</v>
      </c>
    </row>
    <row r="1653" spans="1:3" x14ac:dyDescent="0.2">
      <c r="A1653" s="14">
        <v>107954203</v>
      </c>
      <c r="B1653" t="s">
        <v>3772</v>
      </c>
      <c r="C1653" t="s">
        <v>3820</v>
      </c>
    </row>
    <row r="1654" spans="1:3" x14ac:dyDescent="0.2">
      <c r="A1654" s="14">
        <v>107954203</v>
      </c>
      <c r="B1654" t="s">
        <v>3772</v>
      </c>
      <c r="C1654" t="s">
        <v>3820</v>
      </c>
    </row>
    <row r="1655" spans="1:3" x14ac:dyDescent="0.2">
      <c r="A1655" s="14">
        <v>107954203</v>
      </c>
      <c r="B1655" t="s">
        <v>3772</v>
      </c>
      <c r="C1655" t="s">
        <v>3820</v>
      </c>
    </row>
    <row r="1656" spans="1:3" x14ac:dyDescent="0.2">
      <c r="A1656" s="14">
        <v>107954203</v>
      </c>
      <c r="B1656" t="s">
        <v>3772</v>
      </c>
      <c r="C1656" t="s">
        <v>3820</v>
      </c>
    </row>
    <row r="1657" spans="1:3" x14ac:dyDescent="0.2">
      <c r="A1657" s="14">
        <v>107954203</v>
      </c>
      <c r="B1657" t="s">
        <v>3772</v>
      </c>
      <c r="C1657" t="s">
        <v>3820</v>
      </c>
    </row>
    <row r="1658" spans="1:3" x14ac:dyDescent="0.2">
      <c r="A1658" s="14">
        <v>107954203</v>
      </c>
      <c r="B1658" t="s">
        <v>3772</v>
      </c>
      <c r="C1658" t="s">
        <v>3820</v>
      </c>
    </row>
    <row r="1659" spans="1:3" x14ac:dyDescent="0.2">
      <c r="A1659" s="14">
        <v>107954203</v>
      </c>
      <c r="B1659" t="s">
        <v>3772</v>
      </c>
      <c r="C1659" t="s">
        <v>3820</v>
      </c>
    </row>
    <row r="1660" spans="1:3" x14ac:dyDescent="0.2">
      <c r="A1660" s="14">
        <v>107954203</v>
      </c>
      <c r="B1660" t="s">
        <v>3772</v>
      </c>
      <c r="C1660" t="s">
        <v>3820</v>
      </c>
    </row>
    <row r="1661" spans="1:3" x14ac:dyDescent="0.2">
      <c r="A1661" s="14">
        <v>107954203</v>
      </c>
      <c r="B1661" t="s">
        <v>3772</v>
      </c>
      <c r="C1661" t="s">
        <v>3820</v>
      </c>
    </row>
    <row r="1662" spans="1:3" x14ac:dyDescent="0.2">
      <c r="A1662" s="14">
        <v>107954203</v>
      </c>
      <c r="B1662" t="s">
        <v>3772</v>
      </c>
      <c r="C1662" t="s">
        <v>3820</v>
      </c>
    </row>
    <row r="1663" spans="1:3" x14ac:dyDescent="0.2">
      <c r="A1663" s="14">
        <v>107954203</v>
      </c>
      <c r="B1663" t="s">
        <v>3772</v>
      </c>
      <c r="C1663" t="s">
        <v>3820</v>
      </c>
    </row>
    <row r="1664" spans="1:3" x14ac:dyDescent="0.2">
      <c r="A1664" s="14">
        <v>107954203</v>
      </c>
      <c r="B1664" t="s">
        <v>3772</v>
      </c>
      <c r="C1664" t="s">
        <v>3820</v>
      </c>
    </row>
    <row r="1665" spans="1:3" x14ac:dyDescent="0.2">
      <c r="A1665" s="14">
        <v>107954203</v>
      </c>
      <c r="B1665" t="s">
        <v>3772</v>
      </c>
      <c r="C1665" t="s">
        <v>3820</v>
      </c>
    </row>
    <row r="1666" spans="1:3" x14ac:dyDescent="0.2">
      <c r="A1666" s="14">
        <v>107954203</v>
      </c>
      <c r="B1666" t="s">
        <v>3772</v>
      </c>
      <c r="C1666" t="s">
        <v>3820</v>
      </c>
    </row>
    <row r="1667" spans="1:3" x14ac:dyDescent="0.2">
      <c r="A1667" s="14">
        <v>107954203</v>
      </c>
      <c r="B1667" t="s">
        <v>3772</v>
      </c>
      <c r="C1667" t="s">
        <v>3820</v>
      </c>
    </row>
    <row r="1668" spans="1:3" x14ac:dyDescent="0.2">
      <c r="A1668" s="14">
        <v>107954203</v>
      </c>
      <c r="B1668" t="s">
        <v>3772</v>
      </c>
      <c r="C1668" t="s">
        <v>3820</v>
      </c>
    </row>
    <row r="1669" spans="1:3" x14ac:dyDescent="0.2">
      <c r="A1669" s="14">
        <v>107954203</v>
      </c>
      <c r="B1669" t="s">
        <v>3772</v>
      </c>
      <c r="C1669" t="s">
        <v>3820</v>
      </c>
    </row>
    <row r="1670" spans="1:3" x14ac:dyDescent="0.2">
      <c r="A1670" s="14">
        <v>107954203</v>
      </c>
      <c r="B1670" t="s">
        <v>3772</v>
      </c>
      <c r="C1670" t="s">
        <v>3820</v>
      </c>
    </row>
    <row r="1671" spans="1:3" x14ac:dyDescent="0.2">
      <c r="A1671" s="14">
        <v>107954203</v>
      </c>
      <c r="B1671" t="s">
        <v>3772</v>
      </c>
      <c r="C1671" t="s">
        <v>3820</v>
      </c>
    </row>
    <row r="1672" spans="1:3" x14ac:dyDescent="0.2">
      <c r="A1672" s="14">
        <v>107954203</v>
      </c>
      <c r="B1672" t="s">
        <v>3772</v>
      </c>
      <c r="C1672" t="s">
        <v>3820</v>
      </c>
    </row>
    <row r="1673" spans="1:3" x14ac:dyDescent="0.2">
      <c r="A1673" s="14">
        <v>107954203</v>
      </c>
      <c r="B1673" t="s">
        <v>3772</v>
      </c>
      <c r="C1673" t="s">
        <v>3820</v>
      </c>
    </row>
    <row r="1674" spans="1:3" x14ac:dyDescent="0.2">
      <c r="A1674" s="14">
        <v>107954203</v>
      </c>
      <c r="B1674" t="s">
        <v>3772</v>
      </c>
      <c r="C1674" t="s">
        <v>3820</v>
      </c>
    </row>
    <row r="1675" spans="1:3" x14ac:dyDescent="0.2">
      <c r="A1675" s="14">
        <v>107954203</v>
      </c>
      <c r="B1675" t="s">
        <v>3772</v>
      </c>
      <c r="C1675" t="s">
        <v>3820</v>
      </c>
    </row>
    <row r="1676" spans="1:3" x14ac:dyDescent="0.2">
      <c r="A1676" s="14">
        <v>107954203</v>
      </c>
      <c r="B1676" t="s">
        <v>3772</v>
      </c>
      <c r="C1676" t="s">
        <v>3820</v>
      </c>
    </row>
    <row r="1677" spans="1:3" x14ac:dyDescent="0.2">
      <c r="A1677" s="14">
        <v>107954203</v>
      </c>
      <c r="B1677" t="s">
        <v>3772</v>
      </c>
      <c r="C1677" t="s">
        <v>3820</v>
      </c>
    </row>
    <row r="1678" spans="1:3" x14ac:dyDescent="0.2">
      <c r="A1678" s="14">
        <v>107954203</v>
      </c>
      <c r="B1678" t="s">
        <v>3772</v>
      </c>
      <c r="C1678" t="s">
        <v>3820</v>
      </c>
    </row>
    <row r="1679" spans="1:3" x14ac:dyDescent="0.2">
      <c r="A1679" s="14">
        <v>107954203</v>
      </c>
      <c r="B1679" t="s">
        <v>3772</v>
      </c>
      <c r="C1679" t="s">
        <v>3820</v>
      </c>
    </row>
    <row r="1680" spans="1:3" x14ac:dyDescent="0.2">
      <c r="A1680" s="14">
        <v>107954203</v>
      </c>
      <c r="B1680" t="s">
        <v>3772</v>
      </c>
      <c r="C1680" t="s">
        <v>3820</v>
      </c>
    </row>
    <row r="1681" spans="1:3" x14ac:dyDescent="0.2">
      <c r="A1681" s="14">
        <v>107954203</v>
      </c>
      <c r="B1681" t="s">
        <v>3772</v>
      </c>
      <c r="C1681" t="s">
        <v>3820</v>
      </c>
    </row>
    <row r="1682" spans="1:3" x14ac:dyDescent="0.2">
      <c r="A1682" s="14">
        <v>107954203</v>
      </c>
      <c r="B1682" t="s">
        <v>3772</v>
      </c>
      <c r="C1682" t="s">
        <v>3820</v>
      </c>
    </row>
    <row r="1683" spans="1:3" x14ac:dyDescent="0.2">
      <c r="A1683" s="14">
        <v>107954203</v>
      </c>
      <c r="B1683" t="s">
        <v>3772</v>
      </c>
      <c r="C1683" t="s">
        <v>3820</v>
      </c>
    </row>
    <row r="1684" spans="1:3" x14ac:dyDescent="0.2">
      <c r="A1684" s="14">
        <v>107954203</v>
      </c>
      <c r="B1684" t="s">
        <v>3772</v>
      </c>
      <c r="C1684" t="s">
        <v>3820</v>
      </c>
    </row>
    <row r="1685" spans="1:3" x14ac:dyDescent="0.2">
      <c r="A1685" s="14">
        <v>107954203</v>
      </c>
      <c r="B1685" t="s">
        <v>3772</v>
      </c>
      <c r="C1685" t="s">
        <v>3820</v>
      </c>
    </row>
    <row r="1686" spans="1:3" x14ac:dyDescent="0.2">
      <c r="A1686" s="14">
        <v>107954203</v>
      </c>
      <c r="B1686" t="s">
        <v>3772</v>
      </c>
      <c r="C1686" t="s">
        <v>3820</v>
      </c>
    </row>
    <row r="1687" spans="1:3" x14ac:dyDescent="0.2">
      <c r="A1687" s="14">
        <v>107954203</v>
      </c>
      <c r="B1687" t="s">
        <v>3772</v>
      </c>
      <c r="C1687" t="s">
        <v>3820</v>
      </c>
    </row>
    <row r="1688" spans="1:3" x14ac:dyDescent="0.2">
      <c r="A1688" s="14">
        <v>107954203</v>
      </c>
      <c r="B1688" t="s">
        <v>3772</v>
      </c>
      <c r="C1688" t="s">
        <v>3820</v>
      </c>
    </row>
    <row r="1689" spans="1:3" x14ac:dyDescent="0.2">
      <c r="A1689" s="14">
        <v>107954203</v>
      </c>
      <c r="B1689" t="s">
        <v>3772</v>
      </c>
      <c r="C1689" t="s">
        <v>3820</v>
      </c>
    </row>
    <row r="1690" spans="1:3" x14ac:dyDescent="0.2">
      <c r="A1690" s="14">
        <v>107954203</v>
      </c>
      <c r="B1690" t="s">
        <v>3772</v>
      </c>
      <c r="C1690" t="s">
        <v>3820</v>
      </c>
    </row>
    <row r="1691" spans="1:3" x14ac:dyDescent="0.2">
      <c r="A1691" s="14">
        <v>107954203</v>
      </c>
      <c r="B1691" t="s">
        <v>3772</v>
      </c>
      <c r="C1691" t="s">
        <v>3820</v>
      </c>
    </row>
    <row r="1692" spans="1:3" x14ac:dyDescent="0.2">
      <c r="A1692" s="14">
        <v>107954203</v>
      </c>
      <c r="B1692" t="s">
        <v>3772</v>
      </c>
      <c r="C1692" t="s">
        <v>3820</v>
      </c>
    </row>
    <row r="1693" spans="1:3" x14ac:dyDescent="0.2">
      <c r="A1693" s="14">
        <v>107954203</v>
      </c>
      <c r="B1693" t="s">
        <v>3772</v>
      </c>
      <c r="C1693" t="s">
        <v>3820</v>
      </c>
    </row>
    <row r="1694" spans="1:3" x14ac:dyDescent="0.2">
      <c r="A1694" s="14">
        <v>107954203</v>
      </c>
      <c r="B1694" t="s">
        <v>3772</v>
      </c>
      <c r="C1694" t="s">
        <v>3820</v>
      </c>
    </row>
    <row r="1695" spans="1:3" x14ac:dyDescent="0.2">
      <c r="A1695" s="14">
        <v>107954203</v>
      </c>
      <c r="B1695" t="s">
        <v>3772</v>
      </c>
      <c r="C1695" t="s">
        <v>3820</v>
      </c>
    </row>
    <row r="1696" spans="1:3" x14ac:dyDescent="0.2">
      <c r="A1696" s="14">
        <v>107954203</v>
      </c>
      <c r="B1696" t="s">
        <v>3772</v>
      </c>
      <c r="C1696" t="s">
        <v>3820</v>
      </c>
    </row>
    <row r="1697" spans="1:3" x14ac:dyDescent="0.2">
      <c r="A1697" s="14">
        <v>107954203</v>
      </c>
      <c r="B1697" t="s">
        <v>3772</v>
      </c>
      <c r="C1697" t="s">
        <v>3820</v>
      </c>
    </row>
    <row r="1698" spans="1:3" x14ac:dyDescent="0.2">
      <c r="A1698" s="14">
        <v>107954203</v>
      </c>
      <c r="B1698" t="s">
        <v>3772</v>
      </c>
      <c r="C1698" t="s">
        <v>3820</v>
      </c>
    </row>
    <row r="1699" spans="1:3" x14ac:dyDescent="0.2">
      <c r="A1699" s="14">
        <v>107954203</v>
      </c>
      <c r="B1699" t="s">
        <v>3772</v>
      </c>
      <c r="C1699" t="s">
        <v>3820</v>
      </c>
    </row>
    <row r="1700" spans="1:3" x14ac:dyDescent="0.2">
      <c r="A1700" s="14">
        <v>107954203</v>
      </c>
      <c r="B1700" t="s">
        <v>3772</v>
      </c>
      <c r="C1700" t="s">
        <v>3820</v>
      </c>
    </row>
    <row r="1701" spans="1:3" x14ac:dyDescent="0.2">
      <c r="A1701" s="14">
        <v>107954203</v>
      </c>
      <c r="B1701" t="s">
        <v>3772</v>
      </c>
      <c r="C1701" t="s">
        <v>3820</v>
      </c>
    </row>
    <row r="1702" spans="1:3" x14ac:dyDescent="0.2">
      <c r="A1702" s="14">
        <v>107954203</v>
      </c>
      <c r="B1702" t="s">
        <v>3772</v>
      </c>
      <c r="C1702" t="s">
        <v>3820</v>
      </c>
    </row>
    <row r="1703" spans="1:3" x14ac:dyDescent="0.2">
      <c r="A1703" s="14">
        <v>107954203</v>
      </c>
      <c r="B1703" t="s">
        <v>3772</v>
      </c>
      <c r="C1703" t="s">
        <v>3820</v>
      </c>
    </row>
    <row r="1704" spans="1:3" x14ac:dyDescent="0.2">
      <c r="A1704" s="14">
        <v>107954203</v>
      </c>
      <c r="B1704" t="s">
        <v>3772</v>
      </c>
      <c r="C1704" t="s">
        <v>3820</v>
      </c>
    </row>
    <row r="1705" spans="1:3" x14ac:dyDescent="0.2">
      <c r="A1705" s="14">
        <v>107954203</v>
      </c>
      <c r="B1705" t="s">
        <v>3772</v>
      </c>
      <c r="C1705" t="s">
        <v>3820</v>
      </c>
    </row>
    <row r="1706" spans="1:3" x14ac:dyDescent="0.2">
      <c r="A1706" s="14">
        <v>107954203</v>
      </c>
      <c r="B1706" t="s">
        <v>3772</v>
      </c>
      <c r="C1706" t="s">
        <v>3820</v>
      </c>
    </row>
    <row r="1707" spans="1:3" x14ac:dyDescent="0.2">
      <c r="A1707" s="14">
        <v>107954203</v>
      </c>
      <c r="B1707" t="s">
        <v>3772</v>
      </c>
      <c r="C1707" t="s">
        <v>3820</v>
      </c>
    </row>
    <row r="1708" spans="1:3" x14ac:dyDescent="0.2">
      <c r="A1708" s="14">
        <v>107954203</v>
      </c>
      <c r="B1708" t="s">
        <v>3772</v>
      </c>
      <c r="C1708" t="s">
        <v>3820</v>
      </c>
    </row>
    <row r="1709" spans="1:3" x14ac:dyDescent="0.2">
      <c r="A1709" s="14">
        <v>107954203</v>
      </c>
      <c r="B1709" t="s">
        <v>3772</v>
      </c>
      <c r="C1709" t="s">
        <v>3820</v>
      </c>
    </row>
    <row r="1710" spans="1:3" x14ac:dyDescent="0.2">
      <c r="A1710" s="14">
        <v>107954203</v>
      </c>
      <c r="B1710" t="s">
        <v>3772</v>
      </c>
      <c r="C1710" t="s">
        <v>3820</v>
      </c>
    </row>
    <row r="1711" spans="1:3" x14ac:dyDescent="0.2">
      <c r="A1711" s="14">
        <v>107954203</v>
      </c>
      <c r="B1711" t="s">
        <v>3772</v>
      </c>
      <c r="C1711" t="s">
        <v>3820</v>
      </c>
    </row>
    <row r="1712" spans="1:3" x14ac:dyDescent="0.2">
      <c r="A1712" s="14">
        <v>107954203</v>
      </c>
      <c r="B1712" t="s">
        <v>3772</v>
      </c>
      <c r="C1712" t="s">
        <v>3820</v>
      </c>
    </row>
    <row r="1713" spans="1:3" x14ac:dyDescent="0.2">
      <c r="A1713" s="14">
        <v>107954203</v>
      </c>
      <c r="B1713" t="s">
        <v>3772</v>
      </c>
      <c r="C1713" t="s">
        <v>3820</v>
      </c>
    </row>
    <row r="1714" spans="1:3" x14ac:dyDescent="0.2">
      <c r="A1714" s="14">
        <v>107954203</v>
      </c>
      <c r="B1714" t="s">
        <v>3772</v>
      </c>
      <c r="C1714" t="s">
        <v>3820</v>
      </c>
    </row>
    <row r="1715" spans="1:3" x14ac:dyDescent="0.2">
      <c r="A1715" s="14">
        <v>107954203</v>
      </c>
      <c r="B1715" t="s">
        <v>3772</v>
      </c>
      <c r="C1715" t="s">
        <v>3820</v>
      </c>
    </row>
    <row r="1716" spans="1:3" x14ac:dyDescent="0.2">
      <c r="A1716" s="14">
        <v>107954203</v>
      </c>
      <c r="B1716" t="s">
        <v>3772</v>
      </c>
      <c r="C1716" t="s">
        <v>3820</v>
      </c>
    </row>
    <row r="1717" spans="1:3" x14ac:dyDescent="0.2">
      <c r="A1717" s="14">
        <v>107954203</v>
      </c>
      <c r="B1717" t="s">
        <v>3772</v>
      </c>
      <c r="C1717" t="s">
        <v>3820</v>
      </c>
    </row>
    <row r="1718" spans="1:3" x14ac:dyDescent="0.2">
      <c r="A1718" s="14">
        <v>107954203</v>
      </c>
      <c r="B1718" t="s">
        <v>3772</v>
      </c>
      <c r="C1718" t="s">
        <v>3820</v>
      </c>
    </row>
    <row r="1719" spans="1:3" x14ac:dyDescent="0.2">
      <c r="A1719" s="14">
        <v>107954203</v>
      </c>
      <c r="B1719" t="s">
        <v>3772</v>
      </c>
      <c r="C1719" t="s">
        <v>3820</v>
      </c>
    </row>
    <row r="1720" spans="1:3" x14ac:dyDescent="0.2">
      <c r="A1720" s="14">
        <v>107954203</v>
      </c>
      <c r="B1720" t="s">
        <v>3772</v>
      </c>
      <c r="C1720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2025-02-19T17:41:15Z</dcterms:created>
  <dcterms:modified xsi:type="dcterms:W3CDTF">2025-02-20T17:50:47Z</dcterms:modified>
</cp:coreProperties>
</file>