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2025\1-17-25\"/>
    </mc:Choice>
  </mc:AlternateContent>
  <xr:revisionPtr revIDLastSave="0" documentId="8_{8BC71AAC-D2BB-47E3-AE73-C2C9EE45EF84}" xr6:coauthVersionLast="47" xr6:coauthVersionMax="47" xr10:uidLastSave="{00000000-0000-0000-0000-000000000000}"/>
  <bookViews>
    <workbookView xWindow="-54000" yWindow="2805" windowWidth="21600" windowHeight="11295" xr2:uid="{47094364-8CE7-43F2-AF14-A92EBC1EE7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H15" i="1"/>
  <c r="J14" i="1"/>
  <c r="H14" i="1"/>
  <c r="J13" i="1"/>
  <c r="H13" i="1"/>
  <c r="J12" i="1"/>
  <c r="H12" i="1"/>
  <c r="J11" i="1"/>
  <c r="H11" i="1"/>
  <c r="J10" i="1"/>
  <c r="H10" i="1"/>
  <c r="J9" i="1"/>
  <c r="H9" i="1"/>
  <c r="J8" i="1"/>
  <c r="H8" i="1"/>
  <c r="J7" i="1"/>
  <c r="H7" i="1"/>
  <c r="J6" i="1"/>
  <c r="H6" i="1"/>
  <c r="J5" i="1"/>
  <c r="H5" i="1"/>
  <c r="J4" i="1"/>
  <c r="H4" i="1"/>
  <c r="J3" i="1"/>
  <c r="H3" i="1"/>
</calcChain>
</file>

<file path=xl/sharedStrings.xml><?xml version="1.0" encoding="utf-8"?>
<sst xmlns="http://schemas.openxmlformats.org/spreadsheetml/2006/main" count="63" uniqueCount="41">
  <si>
    <t>Contracts/Members</t>
  </si>
  <si>
    <t xml:space="preserve">Subscriber
</t>
  </si>
  <si>
    <t>Group Subname</t>
  </si>
  <si>
    <t>Collection Amount</t>
  </si>
  <si>
    <t>Paid To Date</t>
  </si>
  <si>
    <t>Effective Date</t>
  </si>
  <si>
    <t>Month Policy</t>
  </si>
  <si>
    <t>Product</t>
  </si>
  <si>
    <t>Split Percentage</t>
  </si>
  <si>
    <t>Commission Rate</t>
  </si>
  <si>
    <t>Commission Paid</t>
  </si>
  <si>
    <t>GREGORY K TEIPEL</t>
  </si>
  <si>
    <t>JENKINS, CHRISTOPHER</t>
  </si>
  <si>
    <t>000,018.04</t>
  </si>
  <si>
    <t>DENPPO^</t>
  </si>
  <si>
    <t>COLLEEN J FINNIGAN</t>
  </si>
  <si>
    <t>LUCAS, BRADLEY</t>
  </si>
  <si>
    <t>000,019.52</t>
  </si>
  <si>
    <t>JOERGENS, JANICE</t>
  </si>
  <si>
    <t>000,023.98</t>
  </si>
  <si>
    <t>GARY PORTUGAL</t>
  </si>
  <si>
    <t>BEKOE, FLORENCE</t>
  </si>
  <si>
    <t>000,029.08</t>
  </si>
  <si>
    <t>FRANK E LISKOVEC</t>
  </si>
  <si>
    <t>VACHULCIK, KAREN</t>
  </si>
  <si>
    <t>RYAN J CALTAGIRONE</t>
  </si>
  <si>
    <t>SODA, TARA</t>
  </si>
  <si>
    <t>000,035.73</t>
  </si>
  <si>
    <t>HERMODSON, STUART</t>
  </si>
  <si>
    <t>LANNERS, RICHARD</t>
  </si>
  <si>
    <t>RICHARD A YALE</t>
  </si>
  <si>
    <t>BOSCH, JOSSEPH</t>
  </si>
  <si>
    <t>STEPHANIE E DRAPAC</t>
  </si>
  <si>
    <t>LUCZAK, NANCY</t>
  </si>
  <si>
    <t>ANTHONY J HUNSBERGER</t>
  </si>
  <si>
    <t>VAUGHAN, ROBYN</t>
  </si>
  <si>
    <t>000,071.29</t>
  </si>
  <si>
    <t>BURNS, ROBERT</t>
  </si>
  <si>
    <t>000,071.94</t>
  </si>
  <si>
    <t>DEFILIPPIS, FRANK</t>
  </si>
  <si>
    <t>000,107.02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</si>
</sst>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</fonts>
  <fills count="4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2" fillId="3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A40F-9814-4F1E-A3BA-C3327929DEAF}">
  <dimension ref="A1:R15"/>
  <sheetViews>
    <sheetView tabSelected="1" workbookViewId="0">
      <selection activeCell="J20" sqref="J20"/>
    </sheetView>
  </sheetViews>
  <sheetFormatPr defaultRowHeight="15" x14ac:dyDescent="0.25"/>
  <sheetData>
    <row r="1" spans="1:18" s="2" customFormat="1" ht="15" customHeight="1" x14ac:dyDescent="0.25">
      <c r="A1" s="1"/>
      <c r="B1" s="1"/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/>
      <c r="I1" s="1" t="s">
        <v>5</v>
      </c>
      <c r="J1" s="1"/>
      <c r="K1" s="1" t="s">
        <v>6</v>
      </c>
      <c r="L1" s="1" t="s">
        <v>7</v>
      </c>
      <c r="M1" s="1"/>
      <c r="N1" s="1" t="s">
        <v>8</v>
      </c>
      <c r="O1" s="1" t="s">
        <v>9</v>
      </c>
      <c r="P1" s="1" t="s">
        <v>10</v>
      </c>
    </row>
    <row r="2" spans="1:18" s="2" customFormat="1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8" s="3" customFormat="1" ht="15" customHeight="1" x14ac:dyDescent="0.25">
      <c r="A3" s="3" t="s">
        <v>11</v>
      </c>
      <c r="B3" s="4">
        <v>8307933</v>
      </c>
      <c r="D3" s="4">
        <v>921531868</v>
      </c>
      <c r="E3" s="4" t="s">
        <v>12</v>
      </c>
      <c r="F3" s="4" t="s">
        <v>13</v>
      </c>
      <c r="G3" s="4">
        <v>20250201</v>
      </c>
      <c r="H3" s="4" t="str">
        <f t="shared" ref="H3:H15" si="0">TEXT(DATE(LEFT(G3,4), MID(G3,5,2), RIGHT(G3,2)), "M/d/yyyy")</f>
        <v>2/1/2025</v>
      </c>
      <c r="I3" s="4">
        <v>20250101</v>
      </c>
      <c r="J3" s="4" t="str">
        <f t="shared" ref="J3:J15" si="1">TEXT(DATE(LEFT(I3,4), MID(I3,5,2), RIGHT(I3,2)), "M/d/yyyy")</f>
        <v>1/1/2025</v>
      </c>
      <c r="K3" s="4">
        <v>51</v>
      </c>
      <c r="L3" s="4" t="s">
        <v>14</v>
      </c>
      <c r="N3" s="4">
        <v>100</v>
      </c>
      <c r="O3" s="4">
        <v>0.04</v>
      </c>
      <c r="P3" s="4">
        <v>0.72</v>
      </c>
      <c r="Q3" s="4">
        <v>0.72</v>
      </c>
      <c r="R3" s="3">
        <v>18.04</v>
      </c>
    </row>
    <row r="4" spans="1:18" s="3" customFormat="1" ht="15" customHeight="1" x14ac:dyDescent="0.25">
      <c r="A4" s="3" t="s">
        <v>15</v>
      </c>
      <c r="B4" s="4">
        <v>17437820</v>
      </c>
      <c r="D4" s="4">
        <v>890574813</v>
      </c>
      <c r="E4" s="4" t="s">
        <v>16</v>
      </c>
      <c r="F4" s="4" t="s">
        <v>17</v>
      </c>
      <c r="G4" s="4">
        <v>20250201</v>
      </c>
      <c r="H4" s="4" t="str">
        <f t="shared" si="0"/>
        <v>2/1/2025</v>
      </c>
      <c r="I4" s="4">
        <v>20250101</v>
      </c>
      <c r="J4" s="4" t="str">
        <f t="shared" si="1"/>
        <v>1/1/2025</v>
      </c>
      <c r="K4" s="4">
        <v>85</v>
      </c>
      <c r="L4" s="4" t="s">
        <v>14</v>
      </c>
      <c r="M4" s="4"/>
      <c r="N4" s="4">
        <v>100</v>
      </c>
      <c r="O4" s="4">
        <v>0.04</v>
      </c>
      <c r="P4" s="4">
        <v>0.78</v>
      </c>
      <c r="Q4" s="4">
        <v>0.78</v>
      </c>
      <c r="R4" s="3">
        <v>19.52</v>
      </c>
    </row>
    <row r="5" spans="1:18" s="3" customFormat="1" ht="15" customHeight="1" x14ac:dyDescent="0.25">
      <c r="A5" s="3" t="s">
        <v>15</v>
      </c>
      <c r="B5" s="4">
        <v>17437820</v>
      </c>
      <c r="D5" s="4">
        <v>921022343</v>
      </c>
      <c r="E5" s="4" t="s">
        <v>18</v>
      </c>
      <c r="F5" s="4" t="s">
        <v>19</v>
      </c>
      <c r="G5" s="4">
        <v>20250201</v>
      </c>
      <c r="H5" s="4" t="str">
        <f t="shared" si="0"/>
        <v>2/1/2025</v>
      </c>
      <c r="I5" s="4">
        <v>20250101</v>
      </c>
      <c r="J5" s="4" t="str">
        <f t="shared" si="1"/>
        <v>1/1/2025</v>
      </c>
      <c r="K5" s="4">
        <v>73</v>
      </c>
      <c r="L5" s="4" t="s">
        <v>14</v>
      </c>
      <c r="M5" s="4"/>
      <c r="N5" s="4">
        <v>100</v>
      </c>
      <c r="O5" s="4">
        <v>0.04</v>
      </c>
      <c r="P5" s="4">
        <v>0.96</v>
      </c>
      <c r="Q5" s="4">
        <v>0.96</v>
      </c>
      <c r="R5" s="3">
        <v>23.98</v>
      </c>
    </row>
    <row r="6" spans="1:18" s="3" customFormat="1" ht="15" customHeight="1" x14ac:dyDescent="0.25">
      <c r="A6" s="3" t="s">
        <v>20</v>
      </c>
      <c r="B6" s="4">
        <v>9213293</v>
      </c>
      <c r="D6" s="4">
        <v>921387647</v>
      </c>
      <c r="E6" s="4" t="s">
        <v>21</v>
      </c>
      <c r="F6" s="4" t="s">
        <v>22</v>
      </c>
      <c r="G6" s="4">
        <v>20250201</v>
      </c>
      <c r="H6" s="4" t="str">
        <f t="shared" si="0"/>
        <v>2/1/2025</v>
      </c>
      <c r="I6" s="4">
        <v>20250101</v>
      </c>
      <c r="J6" s="4" t="str">
        <f t="shared" si="1"/>
        <v>1/1/2025</v>
      </c>
      <c r="K6" s="4">
        <v>44</v>
      </c>
      <c r="L6" s="4" t="s">
        <v>14</v>
      </c>
      <c r="M6" s="4"/>
      <c r="N6" s="4">
        <v>100</v>
      </c>
      <c r="O6" s="4">
        <v>0.04</v>
      </c>
      <c r="P6" s="4">
        <v>1.1599999999999999</v>
      </c>
      <c r="Q6" s="4">
        <v>1.1599999999999999</v>
      </c>
      <c r="R6" s="3">
        <v>29.08</v>
      </c>
    </row>
    <row r="7" spans="1:18" s="3" customFormat="1" ht="15" customHeight="1" x14ac:dyDescent="0.25">
      <c r="A7" s="3" t="s">
        <v>23</v>
      </c>
      <c r="B7" s="4">
        <v>8814784</v>
      </c>
      <c r="D7" s="4">
        <v>890545645</v>
      </c>
      <c r="E7" s="4" t="s">
        <v>24</v>
      </c>
      <c r="F7" s="4" t="s">
        <v>22</v>
      </c>
      <c r="G7" s="4">
        <v>20250201</v>
      </c>
      <c r="H7" s="4" t="str">
        <f t="shared" si="0"/>
        <v>2/1/2025</v>
      </c>
      <c r="I7" s="4">
        <v>20250101</v>
      </c>
      <c r="J7" s="4" t="str">
        <f t="shared" si="1"/>
        <v>1/1/2025</v>
      </c>
      <c r="K7" s="4">
        <v>37</v>
      </c>
      <c r="L7" s="4" t="s">
        <v>14</v>
      </c>
      <c r="M7" s="4"/>
      <c r="N7" s="4">
        <v>100</v>
      </c>
      <c r="O7" s="4">
        <v>0.04</v>
      </c>
      <c r="P7" s="4">
        <v>1.1599999999999999</v>
      </c>
      <c r="Q7" s="4">
        <v>1.1599999999999999</v>
      </c>
      <c r="R7" s="3">
        <v>29.08</v>
      </c>
    </row>
    <row r="8" spans="1:18" s="3" customFormat="1" ht="15" customHeight="1" x14ac:dyDescent="0.25">
      <c r="A8" s="3" t="s">
        <v>25</v>
      </c>
      <c r="B8" s="4">
        <v>8977234</v>
      </c>
      <c r="D8" s="4">
        <v>920955115</v>
      </c>
      <c r="E8" s="4" t="s">
        <v>26</v>
      </c>
      <c r="F8" s="4" t="s">
        <v>27</v>
      </c>
      <c r="G8" s="4">
        <v>20250201</v>
      </c>
      <c r="H8" s="4" t="str">
        <f t="shared" si="0"/>
        <v>2/1/2025</v>
      </c>
      <c r="I8" s="4">
        <v>20250101</v>
      </c>
      <c r="J8" s="4" t="str">
        <f t="shared" si="1"/>
        <v>1/1/2025</v>
      </c>
      <c r="K8" s="4">
        <v>97</v>
      </c>
      <c r="L8" s="4" t="s">
        <v>14</v>
      </c>
      <c r="M8" s="4"/>
      <c r="N8" s="4">
        <v>100</v>
      </c>
      <c r="O8" s="4">
        <v>0.04</v>
      </c>
      <c r="P8" s="4">
        <v>1.43</v>
      </c>
      <c r="Q8" s="4">
        <v>1.43</v>
      </c>
      <c r="R8" s="3">
        <v>35.729999999999997</v>
      </c>
    </row>
    <row r="9" spans="1:18" s="3" customFormat="1" ht="15" customHeight="1" x14ac:dyDescent="0.25">
      <c r="A9" s="3" t="s">
        <v>20</v>
      </c>
      <c r="B9" s="4">
        <v>9213293</v>
      </c>
      <c r="D9" s="4">
        <v>921542136</v>
      </c>
      <c r="E9" s="4" t="s">
        <v>28</v>
      </c>
      <c r="F9" s="4" t="s">
        <v>27</v>
      </c>
      <c r="G9" s="4">
        <v>20250201</v>
      </c>
      <c r="H9" s="4" t="str">
        <f t="shared" si="0"/>
        <v>2/1/2025</v>
      </c>
      <c r="I9" s="4">
        <v>20250101</v>
      </c>
      <c r="J9" s="4" t="str">
        <f t="shared" si="1"/>
        <v>1/1/2025</v>
      </c>
      <c r="K9" s="4">
        <v>49</v>
      </c>
      <c r="L9" s="4" t="s">
        <v>14</v>
      </c>
      <c r="M9" s="4"/>
      <c r="N9" s="4">
        <v>100</v>
      </c>
      <c r="O9" s="4">
        <v>0.04</v>
      </c>
      <c r="P9" s="4">
        <v>1.43</v>
      </c>
      <c r="Q9" s="4">
        <v>1.43</v>
      </c>
      <c r="R9" s="3">
        <v>35.729999999999997</v>
      </c>
    </row>
    <row r="10" spans="1:18" s="3" customFormat="1" ht="15" customHeight="1" x14ac:dyDescent="0.25">
      <c r="A10" s="3" t="s">
        <v>23</v>
      </c>
      <c r="B10" s="4">
        <v>8814784</v>
      </c>
      <c r="D10" s="4">
        <v>920760884</v>
      </c>
      <c r="E10" s="4" t="s">
        <v>29</v>
      </c>
      <c r="F10" s="4" t="s">
        <v>27</v>
      </c>
      <c r="G10" s="4">
        <v>20250201</v>
      </c>
      <c r="H10" s="4" t="str">
        <f t="shared" si="0"/>
        <v>2/1/2025</v>
      </c>
      <c r="I10" s="4">
        <v>20250101</v>
      </c>
      <c r="J10" s="4" t="str">
        <f t="shared" si="1"/>
        <v>1/1/2025</v>
      </c>
      <c r="K10" s="4">
        <v>108</v>
      </c>
      <c r="L10" s="4" t="s">
        <v>14</v>
      </c>
      <c r="M10" s="4"/>
      <c r="N10" s="4">
        <v>100</v>
      </c>
      <c r="O10" s="4">
        <v>0.04</v>
      </c>
      <c r="P10" s="4">
        <v>1.43</v>
      </c>
      <c r="Q10" s="4">
        <v>1.43</v>
      </c>
      <c r="R10" s="3">
        <v>35.729999999999997</v>
      </c>
    </row>
    <row r="11" spans="1:18" s="3" customFormat="1" ht="15" customHeight="1" x14ac:dyDescent="0.25">
      <c r="A11" s="3" t="s">
        <v>30</v>
      </c>
      <c r="B11" s="4">
        <v>16633294</v>
      </c>
      <c r="D11" s="4">
        <v>921538664</v>
      </c>
      <c r="E11" s="4" t="s">
        <v>31</v>
      </c>
      <c r="F11" s="4" t="s">
        <v>27</v>
      </c>
      <c r="G11" s="4">
        <v>20250201</v>
      </c>
      <c r="H11" s="4" t="str">
        <f t="shared" si="0"/>
        <v>2/1/2025</v>
      </c>
      <c r="I11" s="4">
        <v>20250101</v>
      </c>
      <c r="J11" s="4" t="str">
        <f t="shared" si="1"/>
        <v>1/1/2025</v>
      </c>
      <c r="K11" s="4">
        <v>49</v>
      </c>
      <c r="L11" s="4" t="s">
        <v>14</v>
      </c>
      <c r="M11" s="4"/>
      <c r="N11" s="4">
        <v>100</v>
      </c>
      <c r="O11" s="4">
        <v>0.04</v>
      </c>
      <c r="P11" s="4">
        <v>1.43</v>
      </c>
      <c r="Q11" s="4">
        <v>1.43</v>
      </c>
      <c r="R11" s="3">
        <v>35.729999999999997</v>
      </c>
    </row>
    <row r="12" spans="1:18" s="3" customFormat="1" ht="15" customHeight="1" x14ac:dyDescent="0.25">
      <c r="A12" s="3" t="s">
        <v>32</v>
      </c>
      <c r="B12" s="4">
        <v>17126004</v>
      </c>
      <c r="D12" s="4">
        <v>920893529</v>
      </c>
      <c r="E12" s="4" t="s">
        <v>33</v>
      </c>
      <c r="F12" s="4" t="s">
        <v>27</v>
      </c>
      <c r="G12" s="4">
        <v>20250201</v>
      </c>
      <c r="H12" s="4" t="str">
        <f t="shared" si="0"/>
        <v>2/1/2025</v>
      </c>
      <c r="I12" s="4">
        <v>20250101</v>
      </c>
      <c r="J12" s="4" t="str">
        <f t="shared" si="1"/>
        <v>1/1/2025</v>
      </c>
      <c r="K12" s="4">
        <v>129</v>
      </c>
      <c r="L12" s="4" t="s">
        <v>14</v>
      </c>
      <c r="M12" s="4"/>
      <c r="N12" s="4">
        <v>100</v>
      </c>
      <c r="O12" s="4">
        <v>0.04</v>
      </c>
      <c r="P12" s="4">
        <v>1.43</v>
      </c>
      <c r="Q12" s="4">
        <v>1.43</v>
      </c>
      <c r="R12" s="3">
        <v>35.729999999999997</v>
      </c>
    </row>
    <row r="13" spans="1:18" s="3" customFormat="1" ht="15" customHeight="1" x14ac:dyDescent="0.25">
      <c r="A13" s="3" t="s">
        <v>34</v>
      </c>
      <c r="B13" s="4">
        <v>7146581</v>
      </c>
      <c r="D13" s="4">
        <v>921482123</v>
      </c>
      <c r="E13" s="4" t="s">
        <v>35</v>
      </c>
      <c r="F13" s="4" t="s">
        <v>36</v>
      </c>
      <c r="G13" s="4">
        <v>20250201</v>
      </c>
      <c r="H13" s="4" t="str">
        <f t="shared" si="0"/>
        <v>2/1/2025</v>
      </c>
      <c r="I13" s="4">
        <v>20250101</v>
      </c>
      <c r="J13" s="4" t="str">
        <f t="shared" si="1"/>
        <v>1/1/2025</v>
      </c>
      <c r="K13" s="4">
        <v>37</v>
      </c>
      <c r="L13" s="4" t="s">
        <v>14</v>
      </c>
      <c r="M13" s="4"/>
      <c r="N13" s="4">
        <v>100</v>
      </c>
      <c r="O13" s="4">
        <v>0.04</v>
      </c>
      <c r="P13" s="4">
        <v>2.85</v>
      </c>
      <c r="Q13" s="4">
        <v>2.85</v>
      </c>
      <c r="R13" s="3">
        <v>71.290000000000006</v>
      </c>
    </row>
    <row r="14" spans="1:18" s="3" customFormat="1" ht="15" customHeight="1" x14ac:dyDescent="0.25">
      <c r="A14" s="3" t="s">
        <v>23</v>
      </c>
      <c r="B14" s="4">
        <v>8814784</v>
      </c>
      <c r="D14" s="4">
        <v>921243078</v>
      </c>
      <c r="E14" s="4" t="s">
        <v>37</v>
      </c>
      <c r="F14" s="4" t="s">
        <v>38</v>
      </c>
      <c r="G14" s="4">
        <v>20250201</v>
      </c>
      <c r="H14" s="4" t="str">
        <f t="shared" si="0"/>
        <v>2/1/2025</v>
      </c>
      <c r="I14" s="4">
        <v>20250101</v>
      </c>
      <c r="J14" s="4" t="str">
        <f t="shared" si="1"/>
        <v>1/1/2025</v>
      </c>
      <c r="K14" s="4">
        <v>107</v>
      </c>
      <c r="L14" s="4" t="s">
        <v>14</v>
      </c>
      <c r="M14" s="4"/>
      <c r="N14" s="4">
        <v>100</v>
      </c>
      <c r="O14" s="4">
        <v>0.04</v>
      </c>
      <c r="P14" s="4">
        <v>2.88</v>
      </c>
      <c r="Q14" s="4">
        <v>2.88</v>
      </c>
      <c r="R14" s="3">
        <v>71.94</v>
      </c>
    </row>
    <row r="15" spans="1:18" s="3" customFormat="1" ht="15" customHeight="1" x14ac:dyDescent="0.25">
      <c r="A15" s="3" t="s">
        <v>15</v>
      </c>
      <c r="B15" s="4">
        <v>17437820</v>
      </c>
      <c r="D15" s="4">
        <v>890008999</v>
      </c>
      <c r="E15" s="4" t="s">
        <v>39</v>
      </c>
      <c r="F15" s="4" t="s">
        <v>40</v>
      </c>
      <c r="G15" s="4">
        <v>20250201</v>
      </c>
      <c r="H15" s="4" t="str">
        <f t="shared" si="0"/>
        <v>2/1/2025</v>
      </c>
      <c r="I15" s="4">
        <v>20250101</v>
      </c>
      <c r="J15" s="4" t="str">
        <f t="shared" si="1"/>
        <v>1/1/2025</v>
      </c>
      <c r="K15" s="4">
        <v>37</v>
      </c>
      <c r="L15" s="4" t="s">
        <v>14</v>
      </c>
      <c r="M15" s="4"/>
      <c r="N15" s="4">
        <v>100</v>
      </c>
      <c r="O15" s="4">
        <v>0.04</v>
      </c>
      <c r="P15" s="4">
        <v>4.28</v>
      </c>
      <c r="Q15" s="4">
        <v>4.28</v>
      </c>
      <c r="R15" s="3">
        <v>107.02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2025-01-24T14:14:43Z</dcterms:created>
  <dcterms:modified xsi:type="dcterms:W3CDTF">2025-01-24T14:16:18Z</dcterms:modified>
</cp:coreProperties>
</file>