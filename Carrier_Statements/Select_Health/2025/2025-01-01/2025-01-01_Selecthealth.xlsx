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1-1-25\"/>
    </mc:Choice>
  </mc:AlternateContent>
  <xr:revisionPtr revIDLastSave="0" documentId="13_ncr:1_{0DBAB33E-7B94-4CAE-B9CB-B901779C056F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heet1" sheetId="1" r:id="rId1"/>
    <sheet name="heather's commission" sheetId="3" r:id="rId2"/>
    <sheet name="Sheet4" sheetId="4" r:id="rId3"/>
    <sheet name="Sheet2" sheetId="2" r:id="rId4"/>
  </sheets>
  <definedNames>
    <definedName name="_xlnm.Print_Titles" localSheetId="0">Sheet1!$1:$8</definedName>
    <definedName name="_xlnm.Print_Titles" localSheetId="3">Sheet2!$1:$8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D1" i="4"/>
  <c r="D2" i="4"/>
  <c r="D14" i="4"/>
  <c r="D12" i="4"/>
  <c r="D10" i="4"/>
  <c r="D11" i="4"/>
  <c r="D3" i="4"/>
  <c r="D6" i="4"/>
  <c r="D7" i="4"/>
  <c r="D8" i="4"/>
  <c r="D9" i="4"/>
  <c r="D4" i="4"/>
  <c r="D5" i="4"/>
  <c r="D21" i="4"/>
  <c r="D22" i="4"/>
  <c r="D23" i="4"/>
  <c r="D19" i="4"/>
  <c r="D20" i="4"/>
  <c r="D17" i="4"/>
  <c r="D18" i="4"/>
  <c r="D13" i="4"/>
  <c r="D15" i="4"/>
</calcChain>
</file>

<file path=xl/sharedStrings.xml><?xml version="1.0" encoding="utf-8"?>
<sst xmlns="http://schemas.openxmlformats.org/spreadsheetml/2006/main" count="980" uniqueCount="135">
  <si>
    <t>COMMISSION STATEMENT</t>
  </si>
  <si>
    <t>January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</si>
  <si>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</si>
  <si>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</si>
  <si>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</si>
  <si>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</si>
  <si>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</si>
  <si>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</si>
  <si>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</si>
  <si>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</si>
  <si>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</si>
  <si>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</si>
  <si>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</si>
  <si>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</si>
  <si>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</si>
  <si>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</si>
  <si>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</si>
  <si>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</si>
  <si>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</si>
  <si>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</si>
  <si>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</si>
  <si>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</si>
  <si>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</si>
  <si>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</si>
  <si>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</si>
  <si>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</si>
  <si>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</si>
  <si>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</si>
  <si>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</si>
  <si>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CULLIMORE, SHAYLEE                                                    </t>
  </si>
  <si>
    <t xml:space="preserve">COMMISSIONS OWED BASED ON JAN 2025 MEMBERS                            </t>
  </si>
  <si>
    <t xml:space="preserve">HILL, JENNIFER                                                        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</si>
  <si>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</si>
  <si>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</si>
  <si>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</si>
  <si>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</si>
  <si>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</si>
  <si>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>GESKE, HEATHER - 22585 - COMMISSIONS TOTAL</t>
  </si>
  <si>
    <t>ROZMAN, MICHELA - 19461 - COMMISSIONS</t>
  </si>
  <si>
    <t xml:space="preserve">CURTIS, CIENNA F                                                      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</si>
  <si>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</si>
  <si>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</si>
  <si>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</si>
  <si>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</si>
  <si>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</si>
  <si>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</si>
  <si>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</si>
  <si>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</si>
  <si>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</si>
  <si>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</si>
  <si>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</si>
  <si>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</si>
  <si>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</si>
  <si>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</si>
  <si>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</si>
  <si>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</si>
  <si>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</si>
  <si>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</si>
  <si>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</si>
  <si>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</si>
  <si>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ADJ*</t>
  </si>
  <si>
    <t>Other</t>
  </si>
  <si>
    <t>GESKE, HEATHER</t>
  </si>
  <si>
    <t>22585M01</t>
  </si>
  <si>
    <t>ROZMAN, MICHELA</t>
  </si>
  <si>
    <t>19461C01</t>
  </si>
  <si>
    <t>ZANGARI, EUGENE</t>
  </si>
  <si>
    <t>20615C01</t>
  </si>
  <si>
    <t>MAPD</t>
  </si>
  <si>
    <t>NONE</t>
  </si>
  <si>
    <t>INITIAL</t>
  </si>
  <si>
    <t>GEWORSKY NANCY R</t>
  </si>
  <si>
    <t>HRA Assistance</t>
  </si>
  <si>
    <t>MA</t>
  </si>
  <si>
    <t>Electronic</t>
  </si>
  <si>
    <t>THOMPSON JR RICHARD M</t>
  </si>
  <si>
    <t>Admin Expense Reimbursement</t>
  </si>
  <si>
    <t>SUBER TERRIE A</t>
  </si>
  <si>
    <t>ROBERTS WILLA R</t>
  </si>
  <si>
    <t>MORRIS JR TOM C</t>
  </si>
  <si>
    <t>PDP</t>
  </si>
  <si>
    <t>MARTELLA DONALD E</t>
  </si>
  <si>
    <t>LUEBBERS MELISSA A</t>
  </si>
  <si>
    <t>KERN KENNETH M</t>
  </si>
  <si>
    <t>JENSEN JR DONALD A</t>
  </si>
  <si>
    <t>JACKSON MICHAEL R</t>
  </si>
  <si>
    <t>RENEWAL</t>
  </si>
  <si>
    <t>FORLAND RANDALL S</t>
  </si>
  <si>
    <t>DOYLE BRIAN J</t>
  </si>
  <si>
    <t>BRECHEISEN RAYMOND S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</si>
  <si>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</si>
  <si>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</si>
  <si>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</si>
  <si>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</si>
  <si>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</si>
  <si>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</si>
  <si>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</si>
  <si>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TYPE</t>
  </si>
  <si>
    <t>AMOUNT</t>
  </si>
  <si>
    <t>SUBSCRIBER NAME</t>
  </si>
  <si>
    <t>SUBSCRIBER ID</t>
  </si>
  <si>
    <t xml:space="preserve">LONGMONT, CO  80501      </t>
  </si>
  <si>
    <t xml:space="preserve">607 3RD AVE                             </t>
  </si>
  <si>
    <t>You may also email medicare.commissions@selecthealth.org</t>
  </si>
  <si>
    <t xml:space="preserve">GESKE, HEATHER                                         </t>
  </si>
  <si>
    <t>For Commission Questions call 801- 442-5870 or 800-442-8493</t>
  </si>
  <si>
    <t xml:space="preserve">BROKER ID: 22585M01    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</si>
  <si>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</si>
  <si>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>PAYMENT PERIOD: 1/1/2025 - 1/31/2025</t>
  </si>
  <si>
    <t>PAID DATE: 1/8/2025</t>
  </si>
  <si>
    <t>BRECHEISEN</t>
  </si>
  <si>
    <t>RAYMOND</t>
  </si>
  <si>
    <t>DOYLE</t>
  </si>
  <si>
    <t>BRIAN</t>
  </si>
  <si>
    <t>FORLAND</t>
  </si>
  <si>
    <t>RANDALL</t>
  </si>
  <si>
    <t>GEWORSKY</t>
  </si>
  <si>
    <t>NANCY</t>
  </si>
  <si>
    <t>JACKSON</t>
  </si>
  <si>
    <t>MICHAEL</t>
  </si>
  <si>
    <t>JENSEN</t>
  </si>
  <si>
    <t>DONALD</t>
  </si>
  <si>
    <t>KERN</t>
  </si>
  <si>
    <t>KENNETH</t>
  </si>
  <si>
    <t>LUEBBERS</t>
  </si>
  <si>
    <t>MELISSA</t>
  </si>
  <si>
    <t>MARTELLA</t>
  </si>
  <si>
    <t>MORRIS</t>
  </si>
  <si>
    <t>TOM</t>
  </si>
  <si>
    <t>ROBERTS</t>
  </si>
  <si>
    <t>WILLA</t>
  </si>
  <si>
    <t>SUBER</t>
  </si>
  <si>
    <t>TERRIE</t>
  </si>
  <si>
    <t>THOMPSON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</si>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</sst>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10"/>
      <color rgb="FF000000"/>
      <name val="Calibri"/>
      <family val="2"/>
    </font>
    <font>
      <sz val="10"/>
      <color rgb="FFC0C0C0"/>
      <name val="Calibri"/>
      <family val="2"/>
    </font>
    <font>
      <b/>
      <sz val="13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80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0" fillId="0" borderId="0" xfId="0" applyFont="1"/>
    <xf numFmtId="0" fontId="10" fillId="0" borderId="3" xfId="0" applyFont="1" applyBorder="1" applyAlignment="1">
      <alignment vertical="top" wrapText="1"/>
    </xf>
    <xf numFmtId="0" fontId="11" fillId="0" borderId="2" xfId="0" applyFont="1" applyBorder="1" applyAlignment="1">
      <alignment vertical="top" wrapText="1" readingOrder="1"/>
    </xf>
    <xf numFmtId="164" fontId="11" fillId="0" borderId="2" xfId="0" applyNumberFormat="1" applyFont="1" applyBorder="1" applyAlignment="1">
      <alignment horizontal="center" vertical="top" wrapText="1" readingOrder="1"/>
    </xf>
    <xf numFmtId="0" fontId="11" fillId="0" borderId="2" xfId="0" applyFont="1" applyBorder="1" applyAlignment="1">
      <alignment horizontal="center" vertical="top" wrapText="1" readingOrder="1"/>
    </xf>
    <xf numFmtId="164" fontId="11" fillId="0" borderId="2" xfId="0" applyNumberFormat="1" applyFont="1" applyBorder="1" applyAlignment="1">
      <alignment vertical="top" wrapText="1" readingOrder="1"/>
    </xf>
    <xf numFmtId="165" fontId="11" fillId="0" borderId="2" xfId="0" applyNumberFormat="1" applyFont="1" applyBorder="1" applyAlignment="1">
      <alignment vertical="top" wrapText="1" readingOrder="1"/>
    </xf>
    <xf numFmtId="0" fontId="12" fillId="2" borderId="6" xfId="0" applyFont="1" applyFill="1" applyBorder="1" applyAlignment="1">
      <alignment horizontal="center" vertical="top" wrapText="1" readingOrder="1"/>
    </xf>
    <xf numFmtId="1" fontId="8" fillId="0" borderId="2" xfId="0" applyNumberFormat="1" applyFont="1" applyBorder="1" applyAlignment="1">
      <alignment vertical="top" wrapText="1" readingOrder="1"/>
    </xf>
    <xf numFmtId="0" fontId="11" fillId="3" borderId="2" xfId="0" applyFont="1" applyFill="1" applyBorder="1" applyAlignment="1">
      <alignment vertical="top" wrapText="1" readingOrder="1"/>
    </xf>
    <xf numFmtId="165" fontId="11" fillId="3" borderId="2" xfId="0" applyNumberFormat="1" applyFont="1" applyFill="1" applyBorder="1" applyAlignment="1">
      <alignment vertical="top" wrapText="1" readingOrder="1"/>
    </xf>
    <xf numFmtId="164" fontId="11" fillId="3" borderId="2" xfId="0" applyNumberFormat="1" applyFont="1" applyFill="1" applyBorder="1" applyAlignment="1">
      <alignment vertical="top" wrapText="1" readingOrder="1"/>
    </xf>
    <xf numFmtId="0" fontId="11" fillId="3" borderId="2" xfId="0" applyFont="1" applyFill="1" applyBorder="1" applyAlignment="1">
      <alignment horizontal="center" vertical="top" wrapText="1" readingOrder="1"/>
    </xf>
    <xf numFmtId="164" fontId="11" fillId="3" borderId="2" xfId="0" applyNumberFormat="1" applyFont="1" applyFill="1" applyBorder="1" applyAlignment="1">
      <alignment horizontal="center" vertical="top" wrapText="1" readingOrder="1"/>
    </xf>
    <xf numFmtId="0" fontId="10" fillId="3" borderId="0" xfId="0" applyFont="1" applyFill="1"/>
    <xf numFmtId="1" fontId="1" fillId="0" borderId="0" xfId="0" applyNumberFormat="1" applyFont="1"/>
    <xf numFmtId="1" fontId="1" fillId="0" borderId="1" xfId="0" applyNumberFormat="1" applyFont="1" applyBorder="1" applyAlignment="1">
      <alignment vertical="top" wrapText="1"/>
    </xf>
    <xf numFmtId="1" fontId="7" fillId="2" borderId="2" xfId="0" applyNumberFormat="1" applyFont="1" applyFill="1" applyBorder="1" applyAlignment="1">
      <alignment horizontal="center" vertical="top" wrapText="1" readingOrder="1"/>
    </xf>
    <xf numFmtId="1" fontId="8" fillId="0" borderId="0" xfId="0" applyNumberFormat="1" applyFont="1" applyAlignment="1">
      <alignment vertical="top" wrapText="1" readingOrder="1"/>
    </xf>
    <xf numFmtId="1" fontId="2" fillId="0" borderId="0" xfId="0" applyNumberFormat="1" applyFont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1" fontId="8" fillId="3" borderId="2" xfId="0" applyNumberFormat="1" applyFont="1" applyFill="1" applyBorder="1" applyAlignment="1">
      <alignment vertical="top" wrapText="1" readingOrder="1"/>
    </xf>
    <xf numFmtId="164" fontId="8" fillId="3" borderId="2" xfId="0" applyNumberFormat="1" applyFont="1" applyFill="1" applyBorder="1" applyAlignment="1">
      <alignment vertical="top" wrapText="1" readingOrder="1"/>
    </xf>
    <xf numFmtId="165" fontId="8" fillId="3" borderId="2" xfId="0" applyNumberFormat="1" applyFont="1" applyFill="1" applyBorder="1" applyAlignment="1">
      <alignment vertical="top" wrapText="1" readingOrder="1"/>
    </xf>
    <xf numFmtId="166" fontId="8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  <xf numFmtId="167" fontId="8" fillId="3" borderId="2" xfId="0" applyNumberFormat="1" applyFont="1" applyFill="1" applyBorder="1" applyAlignment="1">
      <alignment vertical="top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1" fillId="3" borderId="3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 readingOrder="1"/>
    </xf>
    <xf numFmtId="0" fontId="1" fillId="3" borderId="4" xfId="0" applyFont="1" applyFill="1" applyBorder="1" applyAlignment="1">
      <alignment vertical="top" wrapText="1"/>
    </xf>
    <xf numFmtId="165" fontId="8" fillId="3" borderId="2" xfId="0" applyNumberFormat="1" applyFont="1" applyFill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11" fillId="0" borderId="2" xfId="0" applyFont="1" applyBorder="1" applyAlignment="1">
      <alignment vertical="top" wrapText="1" readingOrder="1"/>
    </xf>
    <xf numFmtId="0" fontId="10" fillId="0" borderId="3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 readingOrder="1"/>
    </xf>
    <xf numFmtId="0" fontId="10" fillId="3" borderId="3" xfId="0" applyFont="1" applyFill="1" applyBorder="1" applyAlignment="1">
      <alignment vertical="top" wrapText="1"/>
    </xf>
    <xf numFmtId="0" fontId="13" fillId="0" borderId="0" xfId="0" applyFont="1" applyAlignment="1">
      <alignment vertical="top" wrapText="1" readingOrder="1"/>
    </xf>
    <xf numFmtId="0" fontId="10" fillId="0" borderId="0" xfId="0" applyFont="1"/>
    <xf numFmtId="0" fontId="14" fillId="0" borderId="0" xfId="0" applyFont="1" applyAlignment="1">
      <alignment vertical="top" wrapText="1" readingOrder="1"/>
    </xf>
    <xf numFmtId="0" fontId="12" fillId="2" borderId="6" xfId="0" applyFont="1" applyFill="1" applyBorder="1" applyAlignment="1">
      <alignment horizontal="center" vertical="top" wrapText="1" readingOrder="1"/>
    </xf>
    <xf numFmtId="0" fontId="10" fillId="0" borderId="5" xfId="0" applyFont="1" applyBorder="1" applyAlignment="1">
      <alignment vertical="top" wrapText="1"/>
    </xf>
    <xf numFmtId="0" fontId="15" fillId="0" borderId="7" xfId="0" applyFont="1" applyBorder="1" applyAlignment="1">
      <alignment vertical="top" wrapText="1" readingOrder="1"/>
    </xf>
    <xf numFmtId="0" fontId="10" fillId="0" borderId="7" xfId="0" applyFont="1" applyBorder="1" applyAlignment="1">
      <alignment vertical="top" wrapText="1"/>
    </xf>
    <xf numFmtId="0" fontId="14" fillId="0" borderId="0" xfId="0" applyFont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F5D64-8CF0-451B-8BE5-E315635C28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showGridLines="0" zoomScaleNormal="100" workbookViewId="0">
      <pane ySplit="8" topLeftCell="A34" activePane="bottomLeft" state="frozen"/>
      <selection pane="bottomLeft" activeCell="B20" sqref="B20"/>
    </sheetView>
  </sheetViews>
  <sheetFormatPr defaultColWidth="11.42578125" defaultRowHeight="15" x14ac:dyDescent="0.25"/>
  <cols>
    <col min="1" max="1" width="18.42578125" customWidth="1"/>
    <col min="2" max="2" width="12.7109375" style="30" customWidth="1"/>
    <col min="3" max="3" width="5.42578125" customWidth="1"/>
    <col min="4" max="4" width="3.85546875" customWidth="1"/>
    <col min="5" max="5" width="0.42578125" customWidth="1"/>
    <col min="6" max="6" width="3.85546875" customWidth="1"/>
    <col min="7" max="7" width="5.7109375" customWidth="1"/>
    <col min="8" max="8" width="7.42578125" customWidth="1"/>
    <col min="9" max="9" width="10.42578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65" t="s">
        <v>0</v>
      </c>
      <c r="N1" s="44"/>
      <c r="O1" s="44"/>
      <c r="P1" s="44"/>
      <c r="Q1" s="44"/>
    </row>
    <row r="2" spans="1:18" ht="17.25" customHeight="1" x14ac:dyDescent="0.25">
      <c r="A2" s="44"/>
      <c r="B2" s="44"/>
      <c r="C2" s="44"/>
      <c r="D2" s="44"/>
      <c r="E2" s="44"/>
      <c r="M2" s="44"/>
      <c r="N2" s="44"/>
      <c r="O2" s="44"/>
      <c r="P2" s="44"/>
      <c r="Q2" s="44"/>
    </row>
    <row r="3" spans="1:18" ht="18.75" customHeight="1" x14ac:dyDescent="0.25">
      <c r="A3" s="44"/>
      <c r="B3" s="44"/>
      <c r="C3" s="44"/>
      <c r="D3" s="44"/>
      <c r="E3" s="44"/>
      <c r="M3" s="65" t="s">
        <v>1</v>
      </c>
      <c r="N3" s="44"/>
      <c r="O3" s="44"/>
      <c r="P3" s="44"/>
      <c r="Q3" s="44"/>
    </row>
    <row r="4" spans="1:18" ht="35.450000000000003" customHeight="1" x14ac:dyDescent="0.25">
      <c r="A4" s="47" t="s">
        <v>2</v>
      </c>
      <c r="B4" s="44"/>
      <c r="C4" s="44"/>
      <c r="D4" s="44"/>
      <c r="E4" s="44"/>
      <c r="M4" s="66" t="s">
        <v>3</v>
      </c>
      <c r="N4" s="44"/>
      <c r="O4" s="44"/>
      <c r="P4" s="44"/>
      <c r="Q4" s="44"/>
    </row>
    <row r="5" spans="1:18" ht="5.0999999999999996" customHeight="1" x14ac:dyDescent="0.25"/>
    <row r="6" spans="1:18" ht="6" customHeight="1" x14ac:dyDescent="0.25">
      <c r="A6" s="2"/>
      <c r="B6" s="3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64" t="s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pans="1:18" ht="5.0999999999999996" customHeight="1" x14ac:dyDescent="0.25"/>
    <row r="9" spans="1:18" x14ac:dyDescent="0.25">
      <c r="A9" s="47" t="s">
        <v>5</v>
      </c>
      <c r="B9" s="44"/>
      <c r="C9" s="44"/>
      <c r="D9" s="44"/>
      <c r="E9" s="44"/>
      <c r="F9" s="44"/>
      <c r="G9" s="44"/>
      <c r="H9" s="44"/>
      <c r="I9" s="3" t="s">
        <v>6</v>
      </c>
      <c r="J9" s="3" t="s">
        <v>6</v>
      </c>
      <c r="K9" s="3" t="s">
        <v>6</v>
      </c>
      <c r="L9" s="58" t="s">
        <v>6</v>
      </c>
      <c r="M9" s="44"/>
      <c r="N9" s="3" t="s">
        <v>6</v>
      </c>
      <c r="O9" s="3" t="s">
        <v>6</v>
      </c>
      <c r="P9" s="3" t="s">
        <v>6</v>
      </c>
      <c r="Q9" s="58" t="s">
        <v>6</v>
      </c>
      <c r="R9" s="44"/>
    </row>
    <row r="10" spans="1:18" ht="22.5" x14ac:dyDescent="0.25">
      <c r="A10" s="4" t="s">
        <v>7</v>
      </c>
      <c r="B10" s="32" t="s">
        <v>8</v>
      </c>
      <c r="C10" s="4" t="s">
        <v>9</v>
      </c>
      <c r="D10" s="4" t="s">
        <v>10</v>
      </c>
      <c r="E10" s="56" t="s">
        <v>11</v>
      </c>
      <c r="F10" s="57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56" t="s">
        <v>17</v>
      </c>
      <c r="M10" s="57"/>
      <c r="N10" s="4" t="s">
        <v>18</v>
      </c>
      <c r="O10" s="4" t="s">
        <v>19</v>
      </c>
      <c r="P10" s="4" t="s">
        <v>20</v>
      </c>
      <c r="Q10" s="56" t="s">
        <v>21</v>
      </c>
      <c r="R10" s="57"/>
    </row>
    <row r="11" spans="1:18" x14ac:dyDescent="0.25">
      <c r="A11" s="5" t="s">
        <v>6</v>
      </c>
      <c r="B11" s="33" t="s">
        <v>6</v>
      </c>
      <c r="C11" s="5" t="s">
        <v>6</v>
      </c>
      <c r="D11" s="5" t="s">
        <v>6</v>
      </c>
      <c r="E11" s="55" t="s">
        <v>6</v>
      </c>
      <c r="F11" s="44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55" t="s">
        <v>6</v>
      </c>
      <c r="M11" s="44"/>
      <c r="N11" s="5" t="s">
        <v>6</v>
      </c>
      <c r="O11" s="5" t="s">
        <v>6</v>
      </c>
      <c r="P11" s="5" t="s">
        <v>6</v>
      </c>
      <c r="Q11" s="55" t="s">
        <v>6</v>
      </c>
      <c r="R11" s="44"/>
    </row>
    <row r="12" spans="1:18" s="40" customFormat="1" x14ac:dyDescent="0.25">
      <c r="A12" s="35" t="s">
        <v>22</v>
      </c>
      <c r="B12" s="36">
        <v>802698506001</v>
      </c>
      <c r="C12" s="35" t="s">
        <v>23</v>
      </c>
      <c r="D12" s="35" t="s">
        <v>24</v>
      </c>
      <c r="E12" s="52" t="s">
        <v>6</v>
      </c>
      <c r="F12" s="51"/>
      <c r="G12" s="35" t="s">
        <v>25</v>
      </c>
      <c r="H12" s="37">
        <v>45658</v>
      </c>
      <c r="I12" s="38">
        <v>61.47</v>
      </c>
      <c r="J12" s="35" t="s">
        <v>6</v>
      </c>
      <c r="K12" s="35" t="s">
        <v>26</v>
      </c>
      <c r="L12" s="52"/>
      <c r="M12" s="51"/>
      <c r="N12" s="35">
        <v>1</v>
      </c>
      <c r="O12" s="38">
        <v>20</v>
      </c>
      <c r="P12" s="39">
        <v>1</v>
      </c>
      <c r="Q12" s="54">
        <v>20</v>
      </c>
      <c r="R12" s="51"/>
    </row>
    <row r="13" spans="1:18" x14ac:dyDescent="0.25">
      <c r="A13" s="5" t="s">
        <v>6</v>
      </c>
      <c r="B13" s="33" t="s">
        <v>6</v>
      </c>
      <c r="C13" s="5" t="s">
        <v>6</v>
      </c>
      <c r="D13" s="5" t="s">
        <v>6</v>
      </c>
      <c r="E13" s="55" t="s">
        <v>6</v>
      </c>
      <c r="F13" s="44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55" t="s">
        <v>6</v>
      </c>
      <c r="M13" s="44"/>
      <c r="N13" s="5" t="s">
        <v>6</v>
      </c>
      <c r="O13" s="5" t="s">
        <v>6</v>
      </c>
      <c r="P13" s="5" t="s">
        <v>6</v>
      </c>
      <c r="Q13" s="55" t="s">
        <v>6</v>
      </c>
      <c r="R13" s="44"/>
    </row>
    <row r="14" spans="1:18" x14ac:dyDescent="0.25">
      <c r="A14" s="47" t="s">
        <v>27</v>
      </c>
      <c r="B14" s="44"/>
      <c r="C14" s="44"/>
      <c r="D14" s="44"/>
      <c r="E14" s="44"/>
      <c r="F14" s="44"/>
      <c r="G14" s="44"/>
      <c r="H14" s="44"/>
      <c r="I14" s="59">
        <v>61.47</v>
      </c>
      <c r="J14" s="44"/>
      <c r="K14" s="1" t="s">
        <v>6</v>
      </c>
      <c r="L14" s="47" t="s">
        <v>6</v>
      </c>
      <c r="M14" s="44"/>
      <c r="N14" s="1" t="s">
        <v>6</v>
      </c>
      <c r="O14" s="49">
        <v>20</v>
      </c>
      <c r="P14" s="44"/>
      <c r="Q14" s="44"/>
      <c r="R14" s="44"/>
    </row>
    <row r="15" spans="1:18" x14ac:dyDescent="0.25">
      <c r="A15" s="10" t="s">
        <v>6</v>
      </c>
      <c r="B15" s="34" t="s">
        <v>6</v>
      </c>
      <c r="C15" s="10" t="s">
        <v>6</v>
      </c>
      <c r="D15" s="10" t="s">
        <v>6</v>
      </c>
      <c r="E15" s="43" t="s">
        <v>6</v>
      </c>
      <c r="F15" s="44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43" t="s">
        <v>6</v>
      </c>
      <c r="M15" s="44"/>
      <c r="N15" s="10" t="s">
        <v>6</v>
      </c>
      <c r="O15" s="10" t="s">
        <v>6</v>
      </c>
      <c r="P15" s="10" t="s">
        <v>6</v>
      </c>
      <c r="Q15" s="45" t="s">
        <v>6</v>
      </c>
      <c r="R15" s="44"/>
    </row>
    <row r="16" spans="1:18" x14ac:dyDescent="0.25">
      <c r="A16" s="10" t="s">
        <v>6</v>
      </c>
      <c r="B16" s="34" t="s">
        <v>6</v>
      </c>
      <c r="C16" s="10" t="s">
        <v>6</v>
      </c>
      <c r="D16" s="10" t="s">
        <v>6</v>
      </c>
      <c r="E16" s="43" t="s">
        <v>6</v>
      </c>
      <c r="F16" s="44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43" t="s">
        <v>6</v>
      </c>
      <c r="M16" s="44"/>
      <c r="N16" s="10" t="s">
        <v>6</v>
      </c>
      <c r="O16" s="10" t="s">
        <v>6</v>
      </c>
      <c r="P16" s="10" t="s">
        <v>6</v>
      </c>
      <c r="Q16" s="45" t="s">
        <v>6</v>
      </c>
      <c r="R16" s="44"/>
    </row>
    <row r="17" spans="1:18" x14ac:dyDescent="0.25">
      <c r="A17" s="47" t="s">
        <v>28</v>
      </c>
      <c r="B17" s="44"/>
      <c r="C17" s="44"/>
      <c r="D17" s="44"/>
      <c r="E17" s="44"/>
      <c r="F17" s="44"/>
      <c r="G17" s="44"/>
      <c r="H17" s="44"/>
      <c r="I17" s="3" t="s">
        <v>6</v>
      </c>
      <c r="J17" s="3" t="s">
        <v>6</v>
      </c>
      <c r="K17" s="3" t="s">
        <v>6</v>
      </c>
      <c r="L17" s="58" t="s">
        <v>6</v>
      </c>
      <c r="M17" s="44"/>
      <c r="N17" s="3" t="s">
        <v>6</v>
      </c>
      <c r="O17" s="3" t="s">
        <v>6</v>
      </c>
      <c r="P17" s="3" t="s">
        <v>6</v>
      </c>
      <c r="Q17" s="58" t="s">
        <v>6</v>
      </c>
      <c r="R17" s="44"/>
    </row>
    <row r="18" spans="1:18" ht="22.5" x14ac:dyDescent="0.25">
      <c r="A18" s="4" t="s">
        <v>7</v>
      </c>
      <c r="B18" s="32" t="s">
        <v>8</v>
      </c>
      <c r="C18" s="4" t="s">
        <v>9</v>
      </c>
      <c r="D18" s="4" t="s">
        <v>10</v>
      </c>
      <c r="E18" s="56" t="s">
        <v>11</v>
      </c>
      <c r="F18" s="57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56" t="s">
        <v>17</v>
      </c>
      <c r="M18" s="57"/>
      <c r="N18" s="4" t="s">
        <v>18</v>
      </c>
      <c r="O18" s="4" t="s">
        <v>19</v>
      </c>
      <c r="P18" s="4" t="s">
        <v>20</v>
      </c>
      <c r="Q18" s="56" t="s">
        <v>21</v>
      </c>
      <c r="R18" s="57"/>
    </row>
    <row r="19" spans="1:18" x14ac:dyDescent="0.25">
      <c r="A19" s="5" t="s">
        <v>6</v>
      </c>
      <c r="B19" s="33" t="s">
        <v>6</v>
      </c>
      <c r="C19" s="5" t="s">
        <v>6</v>
      </c>
      <c r="D19" s="5" t="s">
        <v>6</v>
      </c>
      <c r="E19" s="55" t="s">
        <v>6</v>
      </c>
      <c r="F19" s="44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55" t="s">
        <v>6</v>
      </c>
      <c r="M19" s="44"/>
      <c r="N19" s="5" t="s">
        <v>6</v>
      </c>
      <c r="O19" s="5" t="s">
        <v>6</v>
      </c>
      <c r="P19" s="5" t="s">
        <v>6</v>
      </c>
      <c r="Q19" s="55" t="s">
        <v>6</v>
      </c>
      <c r="R19" s="44"/>
    </row>
    <row r="20" spans="1:18" s="40" customFormat="1" x14ac:dyDescent="0.25">
      <c r="A20" s="35" t="s">
        <v>29</v>
      </c>
      <c r="B20" s="36">
        <v>803046688001</v>
      </c>
      <c r="C20" s="35" t="s">
        <v>23</v>
      </c>
      <c r="D20" s="42" t="s">
        <v>24</v>
      </c>
      <c r="E20" s="50" t="s">
        <v>11</v>
      </c>
      <c r="F20" s="51"/>
      <c r="G20" s="35" t="s">
        <v>25</v>
      </c>
      <c r="H20" s="52" t="s">
        <v>30</v>
      </c>
      <c r="I20" s="53"/>
      <c r="J20" s="53"/>
      <c r="K20" s="53"/>
      <c r="L20" s="53"/>
      <c r="M20" s="53"/>
      <c r="N20" s="53"/>
      <c r="O20" s="53"/>
      <c r="P20" s="51"/>
      <c r="Q20" s="54">
        <v>80</v>
      </c>
      <c r="R20" s="51"/>
    </row>
    <row r="21" spans="1:18" s="40" customFormat="1" x14ac:dyDescent="0.25">
      <c r="A21" s="35" t="s">
        <v>31</v>
      </c>
      <c r="B21" s="36">
        <v>803090874001</v>
      </c>
      <c r="C21" s="35" t="s">
        <v>23</v>
      </c>
      <c r="D21" s="42" t="s">
        <v>24</v>
      </c>
      <c r="E21" s="50" t="s">
        <v>11</v>
      </c>
      <c r="F21" s="51"/>
      <c r="G21" s="35" t="s">
        <v>25</v>
      </c>
      <c r="H21" s="52" t="s">
        <v>30</v>
      </c>
      <c r="I21" s="53"/>
      <c r="J21" s="53"/>
      <c r="K21" s="53"/>
      <c r="L21" s="53"/>
      <c r="M21" s="53"/>
      <c r="N21" s="53"/>
      <c r="O21" s="53"/>
      <c r="P21" s="51"/>
      <c r="Q21" s="54">
        <v>20</v>
      </c>
      <c r="R21" s="51"/>
    </row>
    <row r="22" spans="1:18" x14ac:dyDescent="0.25">
      <c r="A22" s="5" t="s">
        <v>6</v>
      </c>
      <c r="B22" s="33" t="s">
        <v>6</v>
      </c>
      <c r="C22" s="5" t="s">
        <v>6</v>
      </c>
      <c r="D22" s="5" t="s">
        <v>6</v>
      </c>
      <c r="E22" s="55" t="s">
        <v>6</v>
      </c>
      <c r="F22" s="44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55" t="s">
        <v>6</v>
      </c>
      <c r="M22" s="44"/>
      <c r="N22" s="5" t="s">
        <v>6</v>
      </c>
      <c r="O22" s="5" t="s">
        <v>6</v>
      </c>
      <c r="P22" s="5" t="s">
        <v>6</v>
      </c>
      <c r="Q22" s="55" t="s">
        <v>6</v>
      </c>
      <c r="R22" s="44"/>
    </row>
    <row r="23" spans="1:18" x14ac:dyDescent="0.25">
      <c r="A23" s="47" t="s">
        <v>32</v>
      </c>
      <c r="B23" s="44"/>
      <c r="C23" s="44"/>
      <c r="D23" s="44"/>
      <c r="E23" s="44"/>
      <c r="F23" s="44"/>
      <c r="G23" s="44"/>
      <c r="H23" s="44"/>
      <c r="I23" s="48"/>
      <c r="J23" s="44"/>
      <c r="K23" s="1" t="s">
        <v>6</v>
      </c>
      <c r="L23" s="47" t="s">
        <v>6</v>
      </c>
      <c r="M23" s="44"/>
      <c r="N23" s="1" t="s">
        <v>6</v>
      </c>
      <c r="O23" s="49">
        <v>100</v>
      </c>
      <c r="P23" s="44"/>
      <c r="Q23" s="44"/>
      <c r="R23" s="44"/>
    </row>
    <row r="24" spans="1:18" x14ac:dyDescent="0.25">
      <c r="A24" s="10" t="s">
        <v>6</v>
      </c>
      <c r="B24" s="34" t="s">
        <v>6</v>
      </c>
      <c r="C24" s="10" t="s">
        <v>6</v>
      </c>
      <c r="D24" s="10" t="s">
        <v>6</v>
      </c>
      <c r="E24" s="43" t="s">
        <v>6</v>
      </c>
      <c r="F24" s="44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43" t="s">
        <v>6</v>
      </c>
      <c r="M24" s="44"/>
      <c r="N24" s="10" t="s">
        <v>6</v>
      </c>
      <c r="O24" s="10" t="s">
        <v>6</v>
      </c>
      <c r="P24" s="10" t="s">
        <v>6</v>
      </c>
      <c r="Q24" s="45" t="s">
        <v>6</v>
      </c>
      <c r="R24" s="44"/>
    </row>
    <row r="25" spans="1:18" x14ac:dyDescent="0.25">
      <c r="A25" s="10" t="s">
        <v>6</v>
      </c>
      <c r="B25" s="34" t="s">
        <v>6</v>
      </c>
      <c r="C25" s="10" t="s">
        <v>6</v>
      </c>
      <c r="D25" s="10" t="s">
        <v>6</v>
      </c>
      <c r="E25" s="43" t="s">
        <v>6</v>
      </c>
      <c r="F25" s="44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43" t="s">
        <v>6</v>
      </c>
      <c r="M25" s="44"/>
      <c r="N25" s="10" t="s">
        <v>6</v>
      </c>
      <c r="O25" s="10" t="s">
        <v>6</v>
      </c>
      <c r="P25" s="10" t="s">
        <v>6</v>
      </c>
      <c r="Q25" s="45" t="s">
        <v>6</v>
      </c>
      <c r="R25" s="44"/>
    </row>
    <row r="26" spans="1:18" x14ac:dyDescent="0.25">
      <c r="A26" s="47" t="s">
        <v>33</v>
      </c>
      <c r="B26" s="44"/>
      <c r="C26" s="44"/>
      <c r="D26" s="44"/>
      <c r="E26" s="44"/>
      <c r="F26" s="44"/>
      <c r="G26" s="44"/>
      <c r="H26" s="44"/>
      <c r="I26" s="3" t="s">
        <v>6</v>
      </c>
      <c r="J26" s="3" t="s">
        <v>6</v>
      </c>
      <c r="K26" s="3" t="s">
        <v>6</v>
      </c>
      <c r="L26" s="58" t="s">
        <v>6</v>
      </c>
      <c r="M26" s="44"/>
      <c r="N26" s="3" t="s">
        <v>6</v>
      </c>
      <c r="O26" s="3" t="s">
        <v>6</v>
      </c>
      <c r="P26" s="3" t="s">
        <v>6</v>
      </c>
      <c r="Q26" s="58" t="s">
        <v>6</v>
      </c>
      <c r="R26" s="44"/>
    </row>
    <row r="27" spans="1:18" ht="22.5" x14ac:dyDescent="0.25">
      <c r="A27" s="4" t="s">
        <v>7</v>
      </c>
      <c r="B27" s="32" t="s">
        <v>8</v>
      </c>
      <c r="C27" s="4" t="s">
        <v>9</v>
      </c>
      <c r="D27" s="4" t="s">
        <v>10</v>
      </c>
      <c r="E27" s="56" t="s">
        <v>11</v>
      </c>
      <c r="F27" s="57"/>
      <c r="G27" s="4" t="s">
        <v>12</v>
      </c>
      <c r="H27" s="4" t="s">
        <v>13</v>
      </c>
      <c r="I27" s="4" t="s">
        <v>14</v>
      </c>
      <c r="J27" s="4" t="s">
        <v>15</v>
      </c>
      <c r="K27" s="4" t="s">
        <v>16</v>
      </c>
      <c r="L27" s="56" t="s">
        <v>17</v>
      </c>
      <c r="M27" s="57"/>
      <c r="N27" s="4" t="s">
        <v>18</v>
      </c>
      <c r="O27" s="4" t="s">
        <v>19</v>
      </c>
      <c r="P27" s="4" t="s">
        <v>20</v>
      </c>
      <c r="Q27" s="56" t="s">
        <v>21</v>
      </c>
      <c r="R27" s="57"/>
    </row>
    <row r="28" spans="1:18" x14ac:dyDescent="0.25">
      <c r="A28" s="5" t="s">
        <v>6</v>
      </c>
      <c r="B28" s="33" t="s">
        <v>6</v>
      </c>
      <c r="C28" s="5" t="s">
        <v>6</v>
      </c>
      <c r="D28" s="5" t="s">
        <v>6</v>
      </c>
      <c r="E28" s="55" t="s">
        <v>6</v>
      </c>
      <c r="F28" s="44"/>
      <c r="G28" s="5" t="s">
        <v>6</v>
      </c>
      <c r="H28" s="5" t="s">
        <v>6</v>
      </c>
      <c r="I28" s="5" t="s">
        <v>6</v>
      </c>
      <c r="J28" s="5" t="s">
        <v>6</v>
      </c>
      <c r="K28" s="5" t="s">
        <v>6</v>
      </c>
      <c r="L28" s="55" t="s">
        <v>6</v>
      </c>
      <c r="M28" s="44"/>
      <c r="N28" s="5" t="s">
        <v>6</v>
      </c>
      <c r="O28" s="5" t="s">
        <v>6</v>
      </c>
      <c r="P28" s="5" t="s">
        <v>6</v>
      </c>
      <c r="Q28" s="55" t="s">
        <v>6</v>
      </c>
      <c r="R28" s="44"/>
    </row>
    <row r="29" spans="1:18" x14ac:dyDescent="0.25">
      <c r="A29" s="6"/>
      <c r="B29" s="23" t="s">
        <v>34</v>
      </c>
      <c r="C29" s="6"/>
      <c r="D29" s="11"/>
      <c r="E29" s="60" t="s">
        <v>11</v>
      </c>
      <c r="F29" s="57"/>
      <c r="G29" s="6" t="s">
        <v>35</v>
      </c>
      <c r="H29" s="61" t="s">
        <v>36</v>
      </c>
      <c r="I29" s="62"/>
      <c r="J29" s="62"/>
      <c r="K29" s="62"/>
      <c r="L29" s="62"/>
      <c r="M29" s="62"/>
      <c r="N29" s="62"/>
      <c r="O29" s="62"/>
      <c r="P29" s="57"/>
      <c r="Q29" s="63">
        <v>4968.5600000000004</v>
      </c>
      <c r="R29" s="57"/>
    </row>
    <row r="30" spans="1:18" x14ac:dyDescent="0.25">
      <c r="A30" s="5" t="s">
        <v>6</v>
      </c>
      <c r="B30" s="33" t="s">
        <v>6</v>
      </c>
      <c r="C30" s="5" t="s">
        <v>6</v>
      </c>
      <c r="D30" s="5" t="s">
        <v>6</v>
      </c>
      <c r="E30" s="55" t="s">
        <v>6</v>
      </c>
      <c r="F30" s="44"/>
      <c r="G30" s="5" t="s">
        <v>6</v>
      </c>
      <c r="H30" s="5" t="s">
        <v>6</v>
      </c>
      <c r="I30" s="5" t="s">
        <v>6</v>
      </c>
      <c r="J30" s="5" t="s">
        <v>6</v>
      </c>
      <c r="K30" s="5" t="s">
        <v>6</v>
      </c>
      <c r="L30" s="55" t="s">
        <v>6</v>
      </c>
      <c r="M30" s="44"/>
      <c r="N30" s="5" t="s">
        <v>6</v>
      </c>
      <c r="O30" s="5" t="s">
        <v>6</v>
      </c>
      <c r="P30" s="5" t="s">
        <v>6</v>
      </c>
      <c r="Q30" s="55" t="s">
        <v>6</v>
      </c>
      <c r="R30" s="44"/>
    </row>
    <row r="31" spans="1:18" x14ac:dyDescent="0.25">
      <c r="A31" s="47" t="s">
        <v>37</v>
      </c>
      <c r="B31" s="44"/>
      <c r="C31" s="44"/>
      <c r="D31" s="44"/>
      <c r="E31" s="44"/>
      <c r="F31" s="44"/>
      <c r="G31" s="44"/>
      <c r="H31" s="44"/>
      <c r="I31" s="48"/>
      <c r="J31" s="44"/>
      <c r="K31" s="1" t="s">
        <v>6</v>
      </c>
      <c r="L31" s="47" t="s">
        <v>6</v>
      </c>
      <c r="M31" s="44"/>
      <c r="N31" s="1" t="s">
        <v>6</v>
      </c>
      <c r="O31" s="49">
        <v>4968.5600000000004</v>
      </c>
      <c r="P31" s="44"/>
      <c r="Q31" s="44"/>
      <c r="R31" s="44"/>
    </row>
    <row r="32" spans="1:18" x14ac:dyDescent="0.25">
      <c r="A32" s="10" t="s">
        <v>6</v>
      </c>
      <c r="B32" s="34" t="s">
        <v>6</v>
      </c>
      <c r="C32" s="10" t="s">
        <v>6</v>
      </c>
      <c r="D32" s="10" t="s">
        <v>6</v>
      </c>
      <c r="E32" s="43" t="s">
        <v>6</v>
      </c>
      <c r="F32" s="44"/>
      <c r="G32" s="10" t="s">
        <v>6</v>
      </c>
      <c r="H32" s="10" t="s">
        <v>6</v>
      </c>
      <c r="I32" s="10" t="s">
        <v>6</v>
      </c>
      <c r="J32" s="10" t="s">
        <v>6</v>
      </c>
      <c r="K32" s="10" t="s">
        <v>6</v>
      </c>
      <c r="L32" s="43" t="s">
        <v>6</v>
      </c>
      <c r="M32" s="44"/>
      <c r="N32" s="10" t="s">
        <v>6</v>
      </c>
      <c r="O32" s="10" t="s">
        <v>6</v>
      </c>
      <c r="P32" s="10" t="s">
        <v>6</v>
      </c>
      <c r="Q32" s="45" t="s">
        <v>6</v>
      </c>
      <c r="R32" s="44"/>
    </row>
    <row r="33" spans="1:18" x14ac:dyDescent="0.25">
      <c r="A33" s="10" t="s">
        <v>6</v>
      </c>
      <c r="B33" s="34" t="s">
        <v>6</v>
      </c>
      <c r="C33" s="10" t="s">
        <v>6</v>
      </c>
      <c r="D33" s="10" t="s">
        <v>6</v>
      </c>
      <c r="E33" s="43" t="s">
        <v>6</v>
      </c>
      <c r="F33" s="44"/>
      <c r="G33" s="10" t="s">
        <v>6</v>
      </c>
      <c r="H33" s="10" t="s">
        <v>6</v>
      </c>
      <c r="I33" s="10" t="s">
        <v>6</v>
      </c>
      <c r="J33" s="10" t="s">
        <v>6</v>
      </c>
      <c r="K33" s="10" t="s">
        <v>6</v>
      </c>
      <c r="L33" s="43" t="s">
        <v>6</v>
      </c>
      <c r="M33" s="44"/>
      <c r="N33" s="10" t="s">
        <v>6</v>
      </c>
      <c r="O33" s="10" t="s">
        <v>6</v>
      </c>
      <c r="P33" s="10" t="s">
        <v>6</v>
      </c>
      <c r="Q33" s="45" t="s">
        <v>6</v>
      </c>
      <c r="R33" s="44"/>
    </row>
    <row r="34" spans="1:18" x14ac:dyDescent="0.25">
      <c r="A34" s="47" t="s">
        <v>38</v>
      </c>
      <c r="B34" s="44"/>
      <c r="C34" s="44"/>
      <c r="D34" s="44"/>
      <c r="E34" s="44"/>
      <c r="F34" s="44"/>
      <c r="G34" s="44"/>
      <c r="H34" s="44"/>
      <c r="I34" s="3" t="s">
        <v>6</v>
      </c>
      <c r="J34" s="3" t="s">
        <v>6</v>
      </c>
      <c r="K34" s="3" t="s">
        <v>6</v>
      </c>
      <c r="L34" s="58" t="s">
        <v>6</v>
      </c>
      <c r="M34" s="44"/>
      <c r="N34" s="3" t="s">
        <v>6</v>
      </c>
      <c r="O34" s="3" t="s">
        <v>6</v>
      </c>
      <c r="P34" s="3" t="s">
        <v>6</v>
      </c>
      <c r="Q34" s="58" t="s">
        <v>6</v>
      </c>
      <c r="R34" s="44"/>
    </row>
    <row r="35" spans="1:18" ht="22.5" x14ac:dyDescent="0.25">
      <c r="A35" s="4" t="s">
        <v>7</v>
      </c>
      <c r="B35" s="32" t="s">
        <v>8</v>
      </c>
      <c r="C35" s="4" t="s">
        <v>9</v>
      </c>
      <c r="D35" s="4" t="s">
        <v>10</v>
      </c>
      <c r="E35" s="56" t="s">
        <v>11</v>
      </c>
      <c r="F35" s="57"/>
      <c r="G35" s="4" t="s">
        <v>12</v>
      </c>
      <c r="H35" s="4" t="s">
        <v>13</v>
      </c>
      <c r="I35" s="4" t="s">
        <v>14</v>
      </c>
      <c r="J35" s="4" t="s">
        <v>15</v>
      </c>
      <c r="K35" s="4" t="s">
        <v>16</v>
      </c>
      <c r="L35" s="56" t="s">
        <v>17</v>
      </c>
      <c r="M35" s="57"/>
      <c r="N35" s="4" t="s">
        <v>18</v>
      </c>
      <c r="O35" s="4" t="s">
        <v>19</v>
      </c>
      <c r="P35" s="4" t="s">
        <v>20</v>
      </c>
      <c r="Q35" s="56" t="s">
        <v>21</v>
      </c>
      <c r="R35" s="57"/>
    </row>
    <row r="36" spans="1:18" x14ac:dyDescent="0.25">
      <c r="A36" s="5" t="s">
        <v>6</v>
      </c>
      <c r="B36" s="33" t="s">
        <v>6</v>
      </c>
      <c r="C36" s="5" t="s">
        <v>6</v>
      </c>
      <c r="D36" s="5" t="s">
        <v>6</v>
      </c>
      <c r="E36" s="55" t="s">
        <v>6</v>
      </c>
      <c r="F36" s="44"/>
      <c r="G36" s="5" t="s">
        <v>6</v>
      </c>
      <c r="H36" s="5" t="s">
        <v>6</v>
      </c>
      <c r="I36" s="5" t="s">
        <v>6</v>
      </c>
      <c r="J36" s="5" t="s">
        <v>6</v>
      </c>
      <c r="K36" s="5" t="s">
        <v>6</v>
      </c>
      <c r="L36" s="55" t="s">
        <v>6</v>
      </c>
      <c r="M36" s="44"/>
      <c r="N36" s="5" t="s">
        <v>6</v>
      </c>
      <c r="O36" s="5" t="s">
        <v>6</v>
      </c>
      <c r="P36" s="5" t="s">
        <v>6</v>
      </c>
      <c r="Q36" s="55" t="s">
        <v>6</v>
      </c>
      <c r="R36" s="44"/>
    </row>
    <row r="37" spans="1:18" s="40" customFormat="1" x14ac:dyDescent="0.25">
      <c r="A37" s="35" t="s">
        <v>39</v>
      </c>
      <c r="B37" s="36">
        <v>802725449001</v>
      </c>
      <c r="C37" s="35" t="s">
        <v>23</v>
      </c>
      <c r="D37" s="35" t="s">
        <v>40</v>
      </c>
      <c r="E37" s="52" t="s">
        <v>6</v>
      </c>
      <c r="F37" s="51"/>
      <c r="G37" s="35" t="s">
        <v>25</v>
      </c>
      <c r="H37" s="37">
        <v>45658</v>
      </c>
      <c r="I37" s="38">
        <v>33.24</v>
      </c>
      <c r="J37" s="38">
        <v>331.54</v>
      </c>
      <c r="K37" s="35" t="s">
        <v>41</v>
      </c>
      <c r="L37" s="52"/>
      <c r="M37" s="51"/>
      <c r="N37" s="35"/>
      <c r="O37" s="41">
        <v>0.04</v>
      </c>
      <c r="P37" s="39">
        <v>1</v>
      </c>
      <c r="Q37" s="54">
        <v>13.26</v>
      </c>
      <c r="R37" s="51"/>
    </row>
    <row r="38" spans="1:18" x14ac:dyDescent="0.25">
      <c r="A38" s="5" t="s">
        <v>6</v>
      </c>
      <c r="B38" s="33" t="s">
        <v>6</v>
      </c>
      <c r="C38" s="5" t="s">
        <v>6</v>
      </c>
      <c r="D38" s="5" t="s">
        <v>6</v>
      </c>
      <c r="E38" s="55" t="s">
        <v>6</v>
      </c>
      <c r="F38" s="44"/>
      <c r="G38" s="5" t="s">
        <v>6</v>
      </c>
      <c r="H38" s="5" t="s">
        <v>6</v>
      </c>
      <c r="I38" s="5" t="s">
        <v>6</v>
      </c>
      <c r="J38" s="5" t="s">
        <v>6</v>
      </c>
      <c r="K38" s="5" t="s">
        <v>6</v>
      </c>
      <c r="L38" s="55" t="s">
        <v>6</v>
      </c>
      <c r="M38" s="44"/>
      <c r="N38" s="5" t="s">
        <v>6</v>
      </c>
      <c r="O38" s="5" t="s">
        <v>6</v>
      </c>
      <c r="P38" s="5" t="s">
        <v>6</v>
      </c>
      <c r="Q38" s="55" t="s">
        <v>6</v>
      </c>
      <c r="R38" s="44"/>
    </row>
    <row r="39" spans="1:18" x14ac:dyDescent="0.25">
      <c r="A39" s="47" t="s">
        <v>42</v>
      </c>
      <c r="B39" s="44"/>
      <c r="C39" s="44"/>
      <c r="D39" s="44"/>
      <c r="E39" s="44"/>
      <c r="F39" s="44"/>
      <c r="G39" s="44"/>
      <c r="H39" s="44"/>
      <c r="I39" s="59">
        <v>331.54</v>
      </c>
      <c r="J39" s="44"/>
      <c r="K39" s="1" t="s">
        <v>6</v>
      </c>
      <c r="L39" s="47" t="s">
        <v>6</v>
      </c>
      <c r="M39" s="44"/>
      <c r="N39" s="1" t="s">
        <v>6</v>
      </c>
      <c r="O39" s="49">
        <v>13.26</v>
      </c>
      <c r="P39" s="44"/>
      <c r="Q39" s="44"/>
      <c r="R39" s="44"/>
    </row>
    <row r="40" spans="1:18" x14ac:dyDescent="0.25">
      <c r="A40" s="10" t="s">
        <v>6</v>
      </c>
      <c r="B40" s="34" t="s">
        <v>6</v>
      </c>
      <c r="C40" s="10" t="s">
        <v>6</v>
      </c>
      <c r="D40" s="10" t="s">
        <v>6</v>
      </c>
      <c r="E40" s="43" t="s">
        <v>6</v>
      </c>
      <c r="F40" s="44"/>
      <c r="G40" s="10" t="s">
        <v>6</v>
      </c>
      <c r="H40" s="10" t="s">
        <v>6</v>
      </c>
      <c r="I40" s="10" t="s">
        <v>6</v>
      </c>
      <c r="J40" s="10" t="s">
        <v>6</v>
      </c>
      <c r="K40" s="10" t="s">
        <v>6</v>
      </c>
      <c r="L40" s="43" t="s">
        <v>6</v>
      </c>
      <c r="M40" s="44"/>
      <c r="N40" s="10" t="s">
        <v>6</v>
      </c>
      <c r="O40" s="10" t="s">
        <v>6</v>
      </c>
      <c r="P40" s="10" t="s">
        <v>6</v>
      </c>
      <c r="Q40" s="45" t="s">
        <v>6</v>
      </c>
      <c r="R40" s="44"/>
    </row>
    <row r="41" spans="1:18" x14ac:dyDescent="0.25">
      <c r="A41" s="10" t="s">
        <v>6</v>
      </c>
      <c r="B41" s="34" t="s">
        <v>6</v>
      </c>
      <c r="C41" s="10" t="s">
        <v>6</v>
      </c>
      <c r="D41" s="10" t="s">
        <v>6</v>
      </c>
      <c r="E41" s="43" t="s">
        <v>6</v>
      </c>
      <c r="F41" s="44"/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43" t="s">
        <v>6</v>
      </c>
      <c r="M41" s="44"/>
      <c r="N41" s="10" t="s">
        <v>6</v>
      </c>
      <c r="O41" s="10" t="s">
        <v>6</v>
      </c>
      <c r="P41" s="10" t="s">
        <v>6</v>
      </c>
      <c r="Q41" s="45" t="s">
        <v>6</v>
      </c>
      <c r="R41" s="44"/>
    </row>
    <row r="42" spans="1:18" x14ac:dyDescent="0.25">
      <c r="A42" s="47" t="s">
        <v>43</v>
      </c>
      <c r="B42" s="44"/>
      <c r="C42" s="44"/>
      <c r="D42" s="44"/>
      <c r="E42" s="44"/>
      <c r="F42" s="44"/>
      <c r="G42" s="44"/>
      <c r="H42" s="44"/>
      <c r="I42" s="3" t="s">
        <v>6</v>
      </c>
      <c r="J42" s="3" t="s">
        <v>6</v>
      </c>
      <c r="K42" s="3" t="s">
        <v>6</v>
      </c>
      <c r="L42" s="58" t="s">
        <v>6</v>
      </c>
      <c r="M42" s="44"/>
      <c r="N42" s="3" t="s">
        <v>6</v>
      </c>
      <c r="O42" s="3" t="s">
        <v>6</v>
      </c>
      <c r="P42" s="3" t="s">
        <v>6</v>
      </c>
      <c r="Q42" s="58" t="s">
        <v>6</v>
      </c>
      <c r="R42" s="44"/>
    </row>
    <row r="43" spans="1:18" ht="22.5" x14ac:dyDescent="0.25">
      <c r="A43" s="4" t="s">
        <v>7</v>
      </c>
      <c r="B43" s="32" t="s">
        <v>8</v>
      </c>
      <c r="C43" s="4" t="s">
        <v>9</v>
      </c>
      <c r="D43" s="4" t="s">
        <v>10</v>
      </c>
      <c r="E43" s="56" t="s">
        <v>11</v>
      </c>
      <c r="F43" s="57"/>
      <c r="G43" s="4" t="s">
        <v>12</v>
      </c>
      <c r="H43" s="4" t="s">
        <v>13</v>
      </c>
      <c r="I43" s="4" t="s">
        <v>14</v>
      </c>
      <c r="J43" s="4" t="s">
        <v>15</v>
      </c>
      <c r="K43" s="4" t="s">
        <v>16</v>
      </c>
      <c r="L43" s="56" t="s">
        <v>17</v>
      </c>
      <c r="M43" s="57"/>
      <c r="N43" s="4" t="s">
        <v>18</v>
      </c>
      <c r="O43" s="4" t="s">
        <v>19</v>
      </c>
      <c r="P43" s="4" t="s">
        <v>20</v>
      </c>
      <c r="Q43" s="56" t="s">
        <v>21</v>
      </c>
      <c r="R43" s="57"/>
    </row>
    <row r="44" spans="1:18" x14ac:dyDescent="0.25">
      <c r="A44" s="5" t="s">
        <v>6</v>
      </c>
      <c r="B44" s="33" t="s">
        <v>6</v>
      </c>
      <c r="C44" s="5" t="s">
        <v>6</v>
      </c>
      <c r="D44" s="5" t="s">
        <v>6</v>
      </c>
      <c r="E44" s="55" t="s">
        <v>6</v>
      </c>
      <c r="F44" s="44"/>
      <c r="G44" s="5" t="s">
        <v>6</v>
      </c>
      <c r="H44" s="5" t="s">
        <v>6</v>
      </c>
      <c r="I44" s="5" t="s">
        <v>6</v>
      </c>
      <c r="J44" s="5" t="s">
        <v>6</v>
      </c>
      <c r="K44" s="5" t="s">
        <v>6</v>
      </c>
      <c r="L44" s="55" t="s">
        <v>6</v>
      </c>
      <c r="M44" s="44"/>
      <c r="N44" s="5" t="s">
        <v>6</v>
      </c>
      <c r="O44" s="5" t="s">
        <v>6</v>
      </c>
      <c r="P44" s="5" t="s">
        <v>6</v>
      </c>
      <c r="Q44" s="55" t="s">
        <v>6</v>
      </c>
      <c r="R44" s="44"/>
    </row>
    <row r="45" spans="1:18" s="40" customFormat="1" x14ac:dyDescent="0.25">
      <c r="A45" s="35" t="s">
        <v>44</v>
      </c>
      <c r="B45" s="36">
        <v>802732550001</v>
      </c>
      <c r="C45" s="35" t="s">
        <v>23</v>
      </c>
      <c r="D45" s="42" t="s">
        <v>24</v>
      </c>
      <c r="E45" s="50" t="s">
        <v>11</v>
      </c>
      <c r="F45" s="51"/>
      <c r="G45" s="35" t="s">
        <v>25</v>
      </c>
      <c r="H45" s="52" t="s">
        <v>30</v>
      </c>
      <c r="I45" s="53"/>
      <c r="J45" s="53"/>
      <c r="K45" s="53"/>
      <c r="L45" s="53"/>
      <c r="M45" s="53"/>
      <c r="N45" s="53"/>
      <c r="O45" s="53"/>
      <c r="P45" s="51"/>
      <c r="Q45" s="54">
        <v>40</v>
      </c>
      <c r="R45" s="51"/>
    </row>
    <row r="46" spans="1:18" x14ac:dyDescent="0.25">
      <c r="A46" s="5" t="s">
        <v>6</v>
      </c>
      <c r="B46" s="33" t="s">
        <v>6</v>
      </c>
      <c r="C46" s="5" t="s">
        <v>6</v>
      </c>
      <c r="D46" s="5" t="s">
        <v>6</v>
      </c>
      <c r="E46" s="55" t="s">
        <v>6</v>
      </c>
      <c r="F46" s="44"/>
      <c r="G46" s="5" t="s">
        <v>6</v>
      </c>
      <c r="H46" s="5" t="s">
        <v>6</v>
      </c>
      <c r="I46" s="5" t="s">
        <v>6</v>
      </c>
      <c r="J46" s="5" t="s">
        <v>6</v>
      </c>
      <c r="K46" s="5" t="s">
        <v>6</v>
      </c>
      <c r="L46" s="55" t="s">
        <v>6</v>
      </c>
      <c r="M46" s="44"/>
      <c r="N46" s="5" t="s">
        <v>6</v>
      </c>
      <c r="O46" s="5" t="s">
        <v>6</v>
      </c>
      <c r="P46" s="5" t="s">
        <v>6</v>
      </c>
      <c r="Q46" s="55" t="s">
        <v>6</v>
      </c>
      <c r="R46" s="44"/>
    </row>
    <row r="47" spans="1:18" x14ac:dyDescent="0.25">
      <c r="A47" s="47" t="s">
        <v>45</v>
      </c>
      <c r="B47" s="44"/>
      <c r="C47" s="44"/>
      <c r="D47" s="44"/>
      <c r="E47" s="44"/>
      <c r="F47" s="44"/>
      <c r="G47" s="44"/>
      <c r="H47" s="44"/>
      <c r="I47" s="48"/>
      <c r="J47" s="44"/>
      <c r="K47" s="1" t="s">
        <v>6</v>
      </c>
      <c r="L47" s="47" t="s">
        <v>6</v>
      </c>
      <c r="M47" s="44"/>
      <c r="N47" s="1" t="s">
        <v>6</v>
      </c>
      <c r="O47" s="49">
        <v>40</v>
      </c>
      <c r="P47" s="44"/>
      <c r="Q47" s="44"/>
      <c r="R47" s="44"/>
    </row>
    <row r="48" spans="1:18" x14ac:dyDescent="0.25">
      <c r="A48" s="10" t="s">
        <v>6</v>
      </c>
      <c r="B48" s="34" t="s">
        <v>6</v>
      </c>
      <c r="C48" s="10" t="s">
        <v>6</v>
      </c>
      <c r="D48" s="10" t="s">
        <v>6</v>
      </c>
      <c r="E48" s="43" t="s">
        <v>6</v>
      </c>
      <c r="F48" s="44"/>
      <c r="G48" s="10" t="s">
        <v>6</v>
      </c>
      <c r="H48" s="10" t="s">
        <v>6</v>
      </c>
      <c r="I48" s="10" t="s">
        <v>6</v>
      </c>
      <c r="J48" s="10" t="s">
        <v>6</v>
      </c>
      <c r="K48" s="10" t="s">
        <v>6</v>
      </c>
      <c r="L48" s="43" t="s">
        <v>6</v>
      </c>
      <c r="M48" s="44"/>
      <c r="N48" s="10" t="s">
        <v>6</v>
      </c>
      <c r="O48" s="10" t="s">
        <v>6</v>
      </c>
      <c r="P48" s="10" t="s">
        <v>6</v>
      </c>
      <c r="Q48" s="45" t="s">
        <v>6</v>
      </c>
      <c r="R48" s="44"/>
    </row>
    <row r="49" spans="1:18" x14ac:dyDescent="0.25">
      <c r="A49" s="10" t="s">
        <v>6</v>
      </c>
      <c r="B49" s="34" t="s">
        <v>6</v>
      </c>
      <c r="C49" s="10" t="s">
        <v>6</v>
      </c>
      <c r="D49" s="10" t="s">
        <v>6</v>
      </c>
      <c r="E49" s="43" t="s">
        <v>6</v>
      </c>
      <c r="F49" s="44"/>
      <c r="G49" s="10" t="s">
        <v>6</v>
      </c>
      <c r="H49" s="10" t="s">
        <v>6</v>
      </c>
      <c r="I49" s="10" t="s">
        <v>6</v>
      </c>
      <c r="J49" s="10" t="s">
        <v>6</v>
      </c>
      <c r="K49" s="10" t="s">
        <v>6</v>
      </c>
      <c r="L49" s="43" t="s">
        <v>6</v>
      </c>
      <c r="M49" s="44"/>
      <c r="N49" s="10" t="s">
        <v>6</v>
      </c>
      <c r="O49" s="10" t="s">
        <v>6</v>
      </c>
      <c r="P49" s="10" t="s">
        <v>6</v>
      </c>
      <c r="Q49" s="45" t="s">
        <v>6</v>
      </c>
      <c r="R49" s="44"/>
    </row>
    <row r="50" spans="1:18" x14ac:dyDescent="0.25">
      <c r="A50" s="43" t="s">
        <v>46</v>
      </c>
      <c r="B50" s="44"/>
      <c r="C50" s="10" t="s">
        <v>6</v>
      </c>
      <c r="D50" s="10" t="s">
        <v>6</v>
      </c>
      <c r="E50" s="43" t="s">
        <v>6</v>
      </c>
      <c r="F50" s="44"/>
      <c r="G50" s="10" t="s">
        <v>6</v>
      </c>
      <c r="H50" s="10" t="s">
        <v>6</v>
      </c>
      <c r="I50" s="10" t="s">
        <v>6</v>
      </c>
      <c r="J50" s="10" t="s">
        <v>6</v>
      </c>
      <c r="K50" s="10" t="s">
        <v>6</v>
      </c>
      <c r="L50" s="43" t="s">
        <v>6</v>
      </c>
      <c r="M50" s="44"/>
      <c r="N50" s="10" t="s">
        <v>6</v>
      </c>
      <c r="O50" s="46">
        <v>5141.82</v>
      </c>
      <c r="P50" s="44"/>
      <c r="Q50" s="44"/>
      <c r="R50" s="44"/>
    </row>
  </sheetData>
  <mergeCells count="138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21:F21"/>
    <mergeCell ref="H21:P21"/>
    <mergeCell ref="Q21:R21"/>
    <mergeCell ref="E22:F22"/>
    <mergeCell ref="L22:M22"/>
    <mergeCell ref="Q22:R22"/>
    <mergeCell ref="E19:F19"/>
    <mergeCell ref="L19:M19"/>
    <mergeCell ref="Q19:R19"/>
    <mergeCell ref="E20:F20"/>
    <mergeCell ref="H20:P20"/>
    <mergeCell ref="Q20:R20"/>
    <mergeCell ref="E25:F25"/>
    <mergeCell ref="L25:M25"/>
    <mergeCell ref="Q25:R25"/>
    <mergeCell ref="A26:H26"/>
    <mergeCell ref="L26:M26"/>
    <mergeCell ref="Q26:R26"/>
    <mergeCell ref="A23:H23"/>
    <mergeCell ref="I23:J23"/>
    <mergeCell ref="L23:M23"/>
    <mergeCell ref="O23:R23"/>
    <mergeCell ref="E24:F24"/>
    <mergeCell ref="L24:M24"/>
    <mergeCell ref="Q24:R24"/>
    <mergeCell ref="E29:F29"/>
    <mergeCell ref="H29:P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33:F33"/>
    <mergeCell ref="L33:M33"/>
    <mergeCell ref="Q33:R33"/>
    <mergeCell ref="A34:H34"/>
    <mergeCell ref="L34:M34"/>
    <mergeCell ref="Q34:R34"/>
    <mergeCell ref="A31:H31"/>
    <mergeCell ref="I31:J31"/>
    <mergeCell ref="L31:M31"/>
    <mergeCell ref="O31:R31"/>
    <mergeCell ref="E32:F32"/>
    <mergeCell ref="L32:M32"/>
    <mergeCell ref="Q32:R32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41:F41"/>
    <mergeCell ref="L41:M41"/>
    <mergeCell ref="Q41:R41"/>
    <mergeCell ref="A42:H42"/>
    <mergeCell ref="L42:M42"/>
    <mergeCell ref="Q42:R42"/>
    <mergeCell ref="A39:H39"/>
    <mergeCell ref="I39:J39"/>
    <mergeCell ref="L39:M39"/>
    <mergeCell ref="O39:R39"/>
    <mergeCell ref="E40:F40"/>
    <mergeCell ref="L40:M40"/>
    <mergeCell ref="Q40:R40"/>
    <mergeCell ref="E45:F45"/>
    <mergeCell ref="H45:P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9:F49"/>
    <mergeCell ref="L49:M49"/>
    <mergeCell ref="Q49:R49"/>
    <mergeCell ref="A50:B50"/>
    <mergeCell ref="E50:F50"/>
    <mergeCell ref="L50:M50"/>
    <mergeCell ref="O50:R50"/>
    <mergeCell ref="A47:H47"/>
    <mergeCell ref="I47:J47"/>
    <mergeCell ref="L47:M47"/>
    <mergeCell ref="O47:R47"/>
    <mergeCell ref="E48:F48"/>
    <mergeCell ref="L48:M48"/>
    <mergeCell ref="Q48:R48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2E79-9292-44F0-A30C-B5A14E86FD2F}">
  <dimension ref="A1:M49"/>
  <sheetViews>
    <sheetView zoomScaleNormal="100" workbookViewId="0">
      <selection activeCell="A48" sqref="A48"/>
    </sheetView>
  </sheetViews>
  <sheetFormatPr defaultRowHeight="15" x14ac:dyDescent="0.25"/>
  <cols>
    <col min="1" max="1" width="10.85546875" style="15" customWidth="1"/>
    <col min="2" max="2" width="22.5703125" style="15" customWidth="1"/>
    <col min="3" max="3" width="10.42578125" style="15" customWidth="1"/>
    <col min="4" max="4" width="11.7109375" style="15" customWidth="1"/>
    <col min="5" max="5" width="10" style="15" customWidth="1"/>
    <col min="6" max="6" width="3.7109375" style="15" customWidth="1"/>
    <col min="7" max="7" width="10" style="15" customWidth="1"/>
    <col min="8" max="8" width="6.28515625" style="15" customWidth="1"/>
    <col min="9" max="9" width="8.28515625" style="15" customWidth="1"/>
    <col min="10" max="10" width="9.85546875" style="15" customWidth="1"/>
    <col min="11" max="11" width="4.42578125" style="15" customWidth="1"/>
    <col min="12" max="12" width="18" style="15" customWidth="1"/>
    <col min="13" max="13" width="13.7109375" style="15" customWidth="1"/>
    <col min="14" max="16384" width="9.140625" style="15"/>
  </cols>
  <sheetData>
    <row r="1" spans="1:13" x14ac:dyDescent="0.25">
      <c r="A1" s="72"/>
      <c r="B1" s="72"/>
      <c r="C1" s="72"/>
      <c r="F1" s="71" t="s">
        <v>109</v>
      </c>
      <c r="G1" s="72"/>
      <c r="H1" s="72"/>
      <c r="I1" s="72"/>
      <c r="J1" s="72"/>
      <c r="K1" s="72"/>
      <c r="L1" s="72"/>
    </row>
    <row r="2" spans="1:13" x14ac:dyDescent="0.25">
      <c r="A2" s="72"/>
      <c r="B2" s="72"/>
      <c r="C2" s="72"/>
    </row>
    <row r="3" spans="1:13" x14ac:dyDescent="0.25">
      <c r="A3" s="72"/>
      <c r="B3" s="72"/>
      <c r="C3" s="72"/>
      <c r="F3" s="71" t="s">
        <v>108</v>
      </c>
      <c r="G3" s="72"/>
      <c r="H3" s="72"/>
      <c r="I3" s="72"/>
      <c r="J3" s="72"/>
      <c r="K3" s="72"/>
      <c r="L3" s="72"/>
    </row>
    <row r="4" spans="1:13" x14ac:dyDescent="0.25">
      <c r="F4" s="72"/>
      <c r="G4" s="72"/>
      <c r="H4" s="72"/>
      <c r="I4" s="72"/>
      <c r="J4" s="72"/>
      <c r="K4" s="72"/>
      <c r="L4" s="72"/>
    </row>
    <row r="6" spans="1:13" x14ac:dyDescent="0.25">
      <c r="A6" s="76" t="s">
        <v>107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3" x14ac:dyDescent="0.25">
      <c r="A7" s="71" t="s">
        <v>106</v>
      </c>
      <c r="B7" s="72"/>
      <c r="C7" s="72"/>
      <c r="D7" s="72"/>
      <c r="E7" s="72"/>
      <c r="F7" s="78" t="s">
        <v>105</v>
      </c>
      <c r="G7" s="72"/>
      <c r="H7" s="72"/>
      <c r="I7" s="72"/>
      <c r="J7" s="72"/>
      <c r="K7" s="72"/>
      <c r="L7" s="72"/>
    </row>
    <row r="8" spans="1:13" x14ac:dyDescent="0.25">
      <c r="A8" s="71" t="s">
        <v>104</v>
      </c>
      <c r="B8" s="72"/>
      <c r="C8" s="72"/>
      <c r="D8" s="72"/>
      <c r="E8" s="72"/>
      <c r="F8" s="73" t="s">
        <v>103</v>
      </c>
      <c r="G8" s="72"/>
      <c r="H8" s="72"/>
      <c r="I8" s="72"/>
      <c r="J8" s="72"/>
      <c r="K8" s="72"/>
      <c r="L8" s="72"/>
    </row>
    <row r="9" spans="1:13" x14ac:dyDescent="0.25">
      <c r="A9" s="71" t="s">
        <v>102</v>
      </c>
      <c r="B9" s="72"/>
      <c r="C9" s="72"/>
      <c r="D9" s="72"/>
      <c r="E9" s="72"/>
    </row>
    <row r="10" spans="1:13" x14ac:dyDescent="0.25">
      <c r="A10" s="71" t="s">
        <v>101</v>
      </c>
      <c r="B10" s="72"/>
      <c r="C10" s="72"/>
      <c r="D10" s="72"/>
      <c r="E10" s="72"/>
    </row>
    <row r="11" spans="1:13" ht="22.5" x14ac:dyDescent="0.25">
      <c r="A11" s="22" t="s">
        <v>100</v>
      </c>
      <c r="B11" s="22" t="s">
        <v>99</v>
      </c>
      <c r="C11" s="22" t="s">
        <v>98</v>
      </c>
      <c r="D11" s="22" t="s">
        <v>97</v>
      </c>
      <c r="E11" s="74" t="s">
        <v>96</v>
      </c>
      <c r="F11" s="75"/>
      <c r="G11" s="22" t="s">
        <v>95</v>
      </c>
      <c r="H11" s="22" t="s">
        <v>94</v>
      </c>
      <c r="I11" s="22" t="s">
        <v>93</v>
      </c>
      <c r="J11" s="22" t="s">
        <v>92</v>
      </c>
      <c r="K11" s="22" t="s">
        <v>91</v>
      </c>
      <c r="L11" s="74" t="s">
        <v>90</v>
      </c>
      <c r="M11" s="75"/>
    </row>
    <row r="13" spans="1:13" x14ac:dyDescent="0.25">
      <c r="A13" s="17">
        <v>803101991</v>
      </c>
      <c r="B13" s="17" t="s">
        <v>89</v>
      </c>
      <c r="C13" s="21">
        <v>13.04</v>
      </c>
      <c r="D13" s="17" t="s">
        <v>70</v>
      </c>
      <c r="E13" s="67" t="s">
        <v>74</v>
      </c>
      <c r="F13" s="68"/>
      <c r="G13" s="20">
        <v>45658</v>
      </c>
      <c r="H13" s="17" t="s">
        <v>68</v>
      </c>
      <c r="I13" s="19" t="s">
        <v>68</v>
      </c>
      <c r="J13" s="18">
        <v>45658</v>
      </c>
      <c r="K13" s="17">
        <v>30</v>
      </c>
      <c r="L13" s="67"/>
      <c r="M13" s="68"/>
    </row>
    <row r="14" spans="1:13" x14ac:dyDescent="0.25">
      <c r="A14" s="17">
        <v>803101991</v>
      </c>
      <c r="B14" s="17" t="s">
        <v>89</v>
      </c>
      <c r="C14" s="21">
        <v>156.47999999999999</v>
      </c>
      <c r="D14" s="17" t="s">
        <v>70</v>
      </c>
      <c r="E14" s="67" t="s">
        <v>6</v>
      </c>
      <c r="F14" s="68"/>
      <c r="G14" s="20">
        <v>45658</v>
      </c>
      <c r="H14" s="17" t="s">
        <v>68</v>
      </c>
      <c r="I14" s="19" t="s">
        <v>68</v>
      </c>
      <c r="J14" s="18">
        <v>45658</v>
      </c>
      <c r="K14" s="17">
        <v>30</v>
      </c>
      <c r="L14" s="67" t="s">
        <v>6</v>
      </c>
      <c r="M14" s="68"/>
    </row>
    <row r="15" spans="1:13" s="29" customFormat="1" x14ac:dyDescent="0.25">
      <c r="A15" s="24">
        <v>803168017</v>
      </c>
      <c r="B15" s="24" t="s">
        <v>88</v>
      </c>
      <c r="C15" s="25">
        <v>100</v>
      </c>
      <c r="D15" s="24" t="s">
        <v>70</v>
      </c>
      <c r="E15" s="69" t="s">
        <v>6</v>
      </c>
      <c r="F15" s="70"/>
      <c r="G15" s="26">
        <v>45658</v>
      </c>
      <c r="H15" s="24" t="s">
        <v>68</v>
      </c>
      <c r="I15" s="27" t="s">
        <v>68</v>
      </c>
      <c r="J15" s="28">
        <v>45658</v>
      </c>
      <c r="K15" s="24">
        <v>27</v>
      </c>
      <c r="L15" s="69" t="s">
        <v>76</v>
      </c>
      <c r="M15" s="70"/>
    </row>
    <row r="16" spans="1:13" x14ac:dyDescent="0.25">
      <c r="A16" s="17">
        <v>803168017</v>
      </c>
      <c r="B16" s="17" t="s">
        <v>88</v>
      </c>
      <c r="C16" s="21">
        <v>13.04</v>
      </c>
      <c r="D16" s="17" t="s">
        <v>70</v>
      </c>
      <c r="E16" s="67" t="s">
        <v>74</v>
      </c>
      <c r="F16" s="68"/>
      <c r="G16" s="20">
        <v>45658</v>
      </c>
      <c r="H16" s="17" t="s">
        <v>68</v>
      </c>
      <c r="I16" s="19" t="s">
        <v>68</v>
      </c>
      <c r="J16" s="18">
        <v>45658</v>
      </c>
      <c r="K16" s="17">
        <v>27</v>
      </c>
      <c r="L16" s="67"/>
      <c r="M16" s="68"/>
    </row>
    <row r="17" spans="1:13" x14ac:dyDescent="0.25">
      <c r="A17" s="17">
        <v>803168017</v>
      </c>
      <c r="B17" s="17" t="s">
        <v>88</v>
      </c>
      <c r="C17" s="21">
        <v>156.47999999999999</v>
      </c>
      <c r="D17" s="17" t="s">
        <v>70</v>
      </c>
      <c r="E17" s="67" t="s">
        <v>6</v>
      </c>
      <c r="F17" s="68"/>
      <c r="G17" s="20">
        <v>45658</v>
      </c>
      <c r="H17" s="17" t="s">
        <v>68</v>
      </c>
      <c r="I17" s="19" t="s">
        <v>68</v>
      </c>
      <c r="J17" s="18">
        <v>45658</v>
      </c>
      <c r="K17" s="17">
        <v>27</v>
      </c>
      <c r="L17" s="67" t="s">
        <v>6</v>
      </c>
      <c r="M17" s="68"/>
    </row>
    <row r="18" spans="1:13" s="29" customFormat="1" x14ac:dyDescent="0.25">
      <c r="A18" s="24">
        <v>803160673</v>
      </c>
      <c r="B18" s="24" t="s">
        <v>87</v>
      </c>
      <c r="C18" s="25">
        <v>100</v>
      </c>
      <c r="D18" s="24" t="s">
        <v>70</v>
      </c>
      <c r="E18" s="69" t="s">
        <v>6</v>
      </c>
      <c r="F18" s="70"/>
      <c r="G18" s="26">
        <v>45658</v>
      </c>
      <c r="H18" s="24" t="s">
        <v>69</v>
      </c>
      <c r="I18" s="27" t="s">
        <v>68</v>
      </c>
      <c r="J18" s="28">
        <v>45658</v>
      </c>
      <c r="K18" s="24">
        <v>30</v>
      </c>
      <c r="L18" s="69" t="s">
        <v>76</v>
      </c>
      <c r="M18" s="70"/>
    </row>
    <row r="19" spans="1:13" x14ac:dyDescent="0.25">
      <c r="A19" s="17">
        <v>803160673</v>
      </c>
      <c r="B19" s="17" t="s">
        <v>87</v>
      </c>
      <c r="C19" s="21">
        <v>625.91999999999996</v>
      </c>
      <c r="D19" s="17" t="s">
        <v>70</v>
      </c>
      <c r="E19" s="67" t="s">
        <v>6</v>
      </c>
      <c r="F19" s="68"/>
      <c r="G19" s="20">
        <v>45658</v>
      </c>
      <c r="H19" s="17" t="s">
        <v>69</v>
      </c>
      <c r="I19" s="19" t="s">
        <v>68</v>
      </c>
      <c r="J19" s="18">
        <v>45658</v>
      </c>
      <c r="K19" s="17">
        <v>30</v>
      </c>
      <c r="L19" s="67" t="s">
        <v>6</v>
      </c>
      <c r="M19" s="68"/>
    </row>
    <row r="20" spans="1:13" x14ac:dyDescent="0.25">
      <c r="A20" s="17">
        <v>803076965</v>
      </c>
      <c r="B20" s="17" t="s">
        <v>71</v>
      </c>
      <c r="C20" s="21">
        <v>26.08</v>
      </c>
      <c r="D20" s="17" t="s">
        <v>86</v>
      </c>
      <c r="E20" s="67" t="s">
        <v>6</v>
      </c>
      <c r="F20" s="68"/>
      <c r="G20" s="20">
        <v>45658</v>
      </c>
      <c r="H20" s="17" t="s">
        <v>69</v>
      </c>
      <c r="I20" s="19" t="s">
        <v>68</v>
      </c>
      <c r="J20" s="18">
        <v>45627</v>
      </c>
      <c r="K20" s="17">
        <v>30</v>
      </c>
      <c r="L20" s="67"/>
      <c r="M20" s="68"/>
    </row>
    <row r="21" spans="1:13" x14ac:dyDescent="0.25">
      <c r="A21" s="17">
        <v>803168056</v>
      </c>
      <c r="B21" s="17" t="s">
        <v>85</v>
      </c>
      <c r="C21" s="21">
        <v>13.04</v>
      </c>
      <c r="D21" s="17" t="s">
        <v>70</v>
      </c>
      <c r="E21" s="67" t="s">
        <v>74</v>
      </c>
      <c r="F21" s="68"/>
      <c r="G21" s="20">
        <v>45658</v>
      </c>
      <c r="H21" s="17" t="s">
        <v>68</v>
      </c>
      <c r="I21" s="19" t="s">
        <v>68</v>
      </c>
      <c r="J21" s="18">
        <v>45658</v>
      </c>
      <c r="K21" s="17">
        <v>30</v>
      </c>
      <c r="L21" s="67"/>
      <c r="M21" s="68"/>
    </row>
    <row r="22" spans="1:13" x14ac:dyDescent="0.25">
      <c r="A22" s="17">
        <v>803168056</v>
      </c>
      <c r="B22" s="17" t="s">
        <v>85</v>
      </c>
      <c r="C22" s="21">
        <v>156.47999999999999</v>
      </c>
      <c r="D22" s="17" t="s">
        <v>70</v>
      </c>
      <c r="E22" s="67" t="s">
        <v>6</v>
      </c>
      <c r="F22" s="68"/>
      <c r="G22" s="20">
        <v>45658</v>
      </c>
      <c r="H22" s="17" t="s">
        <v>68</v>
      </c>
      <c r="I22" s="19" t="s">
        <v>68</v>
      </c>
      <c r="J22" s="18">
        <v>45658</v>
      </c>
      <c r="K22" s="17">
        <v>30</v>
      </c>
      <c r="L22" s="67" t="s">
        <v>6</v>
      </c>
      <c r="M22" s="68"/>
    </row>
    <row r="23" spans="1:13" s="29" customFormat="1" x14ac:dyDescent="0.25">
      <c r="A23" s="24">
        <v>803168056</v>
      </c>
      <c r="B23" s="24" t="s">
        <v>85</v>
      </c>
      <c r="C23" s="25">
        <v>100</v>
      </c>
      <c r="D23" s="24" t="s">
        <v>70</v>
      </c>
      <c r="E23" s="69" t="s">
        <v>6</v>
      </c>
      <c r="F23" s="70"/>
      <c r="G23" s="26">
        <v>45658</v>
      </c>
      <c r="H23" s="24" t="s">
        <v>68</v>
      </c>
      <c r="I23" s="27" t="s">
        <v>68</v>
      </c>
      <c r="J23" s="28">
        <v>45658</v>
      </c>
      <c r="K23" s="24">
        <v>30</v>
      </c>
      <c r="L23" s="69" t="s">
        <v>76</v>
      </c>
      <c r="M23" s="70"/>
    </row>
    <row r="24" spans="1:13" s="29" customFormat="1" x14ac:dyDescent="0.25">
      <c r="A24" s="24">
        <v>803136752</v>
      </c>
      <c r="B24" s="24" t="s">
        <v>84</v>
      </c>
      <c r="C24" s="25">
        <v>100</v>
      </c>
      <c r="D24" s="24" t="s">
        <v>70</v>
      </c>
      <c r="E24" s="69" t="s">
        <v>6</v>
      </c>
      <c r="F24" s="70"/>
      <c r="G24" s="26">
        <v>45658</v>
      </c>
      <c r="H24" s="24" t="s">
        <v>69</v>
      </c>
      <c r="I24" s="27" t="s">
        <v>68</v>
      </c>
      <c r="J24" s="28">
        <v>45658</v>
      </c>
      <c r="K24" s="24">
        <v>30</v>
      </c>
      <c r="L24" s="69" t="s">
        <v>76</v>
      </c>
      <c r="M24" s="70"/>
    </row>
    <row r="25" spans="1:13" x14ac:dyDescent="0.25">
      <c r="A25" s="17">
        <v>803136752</v>
      </c>
      <c r="B25" s="17" t="s">
        <v>84</v>
      </c>
      <c r="C25" s="21">
        <v>625.91999999999996</v>
      </c>
      <c r="D25" s="17" t="s">
        <v>70</v>
      </c>
      <c r="E25" s="67" t="s">
        <v>6</v>
      </c>
      <c r="F25" s="68"/>
      <c r="G25" s="20">
        <v>45658</v>
      </c>
      <c r="H25" s="17" t="s">
        <v>69</v>
      </c>
      <c r="I25" s="19" t="s">
        <v>68</v>
      </c>
      <c r="J25" s="18">
        <v>45658</v>
      </c>
      <c r="K25" s="17">
        <v>30</v>
      </c>
      <c r="L25" s="67" t="s">
        <v>6</v>
      </c>
      <c r="M25" s="68"/>
    </row>
    <row r="26" spans="1:13" s="29" customFormat="1" x14ac:dyDescent="0.25">
      <c r="A26" s="24">
        <v>803167980</v>
      </c>
      <c r="B26" s="24" t="s">
        <v>83</v>
      </c>
      <c r="C26" s="25">
        <v>100</v>
      </c>
      <c r="D26" s="24" t="s">
        <v>70</v>
      </c>
      <c r="E26" s="69" t="s">
        <v>6</v>
      </c>
      <c r="F26" s="70"/>
      <c r="G26" s="26">
        <v>45658</v>
      </c>
      <c r="H26" s="24" t="s">
        <v>80</v>
      </c>
      <c r="I26" s="27" t="s">
        <v>68</v>
      </c>
      <c r="J26" s="28">
        <v>45658</v>
      </c>
      <c r="K26" s="24">
        <v>30</v>
      </c>
      <c r="L26" s="69" t="s">
        <v>76</v>
      </c>
      <c r="M26" s="70"/>
    </row>
    <row r="27" spans="1:13" x14ac:dyDescent="0.25">
      <c r="A27" s="17">
        <v>803167980</v>
      </c>
      <c r="B27" s="17" t="s">
        <v>83</v>
      </c>
      <c r="C27" s="21">
        <v>26.08</v>
      </c>
      <c r="D27" s="17" t="s">
        <v>70</v>
      </c>
      <c r="E27" s="67" t="s">
        <v>74</v>
      </c>
      <c r="F27" s="68"/>
      <c r="G27" s="20">
        <v>45658</v>
      </c>
      <c r="H27" s="17" t="s">
        <v>80</v>
      </c>
      <c r="I27" s="19" t="s">
        <v>68</v>
      </c>
      <c r="J27" s="18">
        <v>45658</v>
      </c>
      <c r="K27" s="17">
        <v>30</v>
      </c>
      <c r="L27" s="67"/>
      <c r="M27" s="68"/>
    </row>
    <row r="28" spans="1:13" x14ac:dyDescent="0.25">
      <c r="A28" s="17">
        <v>803167980</v>
      </c>
      <c r="B28" s="17" t="s">
        <v>83</v>
      </c>
      <c r="C28" s="21">
        <v>312.95999999999998</v>
      </c>
      <c r="D28" s="17" t="s">
        <v>70</v>
      </c>
      <c r="E28" s="67" t="s">
        <v>6</v>
      </c>
      <c r="F28" s="68"/>
      <c r="G28" s="20">
        <v>45658</v>
      </c>
      <c r="H28" s="17" t="s">
        <v>80</v>
      </c>
      <c r="I28" s="19" t="s">
        <v>68</v>
      </c>
      <c r="J28" s="18">
        <v>45658</v>
      </c>
      <c r="K28" s="17">
        <v>30</v>
      </c>
      <c r="L28" s="67" t="s">
        <v>6</v>
      </c>
      <c r="M28" s="68"/>
    </row>
    <row r="29" spans="1:13" x14ac:dyDescent="0.25">
      <c r="A29" s="17">
        <v>803079161</v>
      </c>
      <c r="B29" s="17" t="s">
        <v>82</v>
      </c>
      <c r="C29" s="21">
        <v>13.04</v>
      </c>
      <c r="D29" s="17" t="s">
        <v>70</v>
      </c>
      <c r="E29" s="67" t="s">
        <v>74</v>
      </c>
      <c r="F29" s="68"/>
      <c r="G29" s="20">
        <v>45658</v>
      </c>
      <c r="H29" s="17" t="s">
        <v>68</v>
      </c>
      <c r="I29" s="19" t="s">
        <v>68</v>
      </c>
      <c r="J29" s="18">
        <v>45658</v>
      </c>
      <c r="K29" s="17">
        <v>30</v>
      </c>
      <c r="L29" s="67"/>
      <c r="M29" s="68"/>
    </row>
    <row r="30" spans="1:13" x14ac:dyDescent="0.25">
      <c r="A30" s="17">
        <v>803079161</v>
      </c>
      <c r="B30" s="17" t="s">
        <v>82</v>
      </c>
      <c r="C30" s="21">
        <v>156.47999999999999</v>
      </c>
      <c r="D30" s="17" t="s">
        <v>70</v>
      </c>
      <c r="E30" s="67" t="s">
        <v>6</v>
      </c>
      <c r="F30" s="68"/>
      <c r="G30" s="20">
        <v>45658</v>
      </c>
      <c r="H30" s="17" t="s">
        <v>68</v>
      </c>
      <c r="I30" s="19" t="s">
        <v>68</v>
      </c>
      <c r="J30" s="18">
        <v>45658</v>
      </c>
      <c r="K30" s="17">
        <v>30</v>
      </c>
      <c r="L30" s="67" t="s">
        <v>6</v>
      </c>
      <c r="M30" s="68"/>
    </row>
    <row r="31" spans="1:13" s="29" customFormat="1" x14ac:dyDescent="0.25">
      <c r="A31" s="24">
        <v>803079161</v>
      </c>
      <c r="B31" s="24" t="s">
        <v>82</v>
      </c>
      <c r="C31" s="25">
        <v>100</v>
      </c>
      <c r="D31" s="24" t="s">
        <v>70</v>
      </c>
      <c r="E31" s="69" t="s">
        <v>6</v>
      </c>
      <c r="F31" s="70"/>
      <c r="G31" s="26">
        <v>45658</v>
      </c>
      <c r="H31" s="24" t="s">
        <v>68</v>
      </c>
      <c r="I31" s="27" t="s">
        <v>68</v>
      </c>
      <c r="J31" s="28">
        <v>45658</v>
      </c>
      <c r="K31" s="24">
        <v>30</v>
      </c>
      <c r="L31" s="69" t="s">
        <v>76</v>
      </c>
      <c r="M31" s="70"/>
    </row>
    <row r="32" spans="1:13" x14ac:dyDescent="0.25">
      <c r="A32" s="17">
        <v>803078257</v>
      </c>
      <c r="B32" s="17" t="s">
        <v>81</v>
      </c>
      <c r="C32" s="21">
        <v>26.08</v>
      </c>
      <c r="D32" s="17" t="s">
        <v>70</v>
      </c>
      <c r="E32" s="67" t="s">
        <v>74</v>
      </c>
      <c r="F32" s="68"/>
      <c r="G32" s="20">
        <v>45658</v>
      </c>
      <c r="H32" s="17" t="s">
        <v>80</v>
      </c>
      <c r="I32" s="19" t="s">
        <v>68</v>
      </c>
      <c r="J32" s="18">
        <v>45658</v>
      </c>
      <c r="K32" s="17">
        <v>30</v>
      </c>
      <c r="L32" s="67"/>
      <c r="M32" s="68"/>
    </row>
    <row r="33" spans="1:13" x14ac:dyDescent="0.25">
      <c r="A33" s="17">
        <v>803078257</v>
      </c>
      <c r="B33" s="17" t="s">
        <v>81</v>
      </c>
      <c r="C33" s="21">
        <v>312.95999999999998</v>
      </c>
      <c r="D33" s="17" t="s">
        <v>70</v>
      </c>
      <c r="E33" s="67" t="s">
        <v>6</v>
      </c>
      <c r="F33" s="68"/>
      <c r="G33" s="20">
        <v>45658</v>
      </c>
      <c r="H33" s="17" t="s">
        <v>80</v>
      </c>
      <c r="I33" s="19" t="s">
        <v>68</v>
      </c>
      <c r="J33" s="18">
        <v>45658</v>
      </c>
      <c r="K33" s="17">
        <v>30</v>
      </c>
      <c r="L33" s="67" t="s">
        <v>6</v>
      </c>
      <c r="M33" s="68"/>
    </row>
    <row r="34" spans="1:13" s="29" customFormat="1" x14ac:dyDescent="0.25">
      <c r="A34" s="24">
        <v>803078257</v>
      </c>
      <c r="B34" s="24" t="s">
        <v>81</v>
      </c>
      <c r="C34" s="25">
        <v>100</v>
      </c>
      <c r="D34" s="24" t="s">
        <v>70</v>
      </c>
      <c r="E34" s="69" t="s">
        <v>6</v>
      </c>
      <c r="F34" s="70"/>
      <c r="G34" s="26">
        <v>45658</v>
      </c>
      <c r="H34" s="24" t="s">
        <v>80</v>
      </c>
      <c r="I34" s="27" t="s">
        <v>68</v>
      </c>
      <c r="J34" s="28">
        <v>45658</v>
      </c>
      <c r="K34" s="24">
        <v>30</v>
      </c>
      <c r="L34" s="69" t="s">
        <v>76</v>
      </c>
      <c r="M34" s="70"/>
    </row>
    <row r="35" spans="1:13" s="29" customFormat="1" x14ac:dyDescent="0.25">
      <c r="A35" s="24">
        <v>803155239</v>
      </c>
      <c r="B35" s="24" t="s">
        <v>79</v>
      </c>
      <c r="C35" s="25">
        <v>100</v>
      </c>
      <c r="D35" s="24" t="s">
        <v>70</v>
      </c>
      <c r="E35" s="69" t="s">
        <v>6</v>
      </c>
      <c r="F35" s="70"/>
      <c r="G35" s="26">
        <v>45658</v>
      </c>
      <c r="H35" s="24" t="s">
        <v>69</v>
      </c>
      <c r="I35" s="27" t="s">
        <v>68</v>
      </c>
      <c r="J35" s="28">
        <v>45658</v>
      </c>
      <c r="K35" s="24">
        <v>30</v>
      </c>
      <c r="L35" s="69" t="s">
        <v>76</v>
      </c>
      <c r="M35" s="70"/>
    </row>
    <row r="36" spans="1:13" x14ac:dyDescent="0.25">
      <c r="A36" s="17">
        <v>803155239</v>
      </c>
      <c r="B36" s="17" t="s">
        <v>79</v>
      </c>
      <c r="C36" s="21">
        <v>625.91999999999996</v>
      </c>
      <c r="D36" s="17" t="s">
        <v>70</v>
      </c>
      <c r="E36" s="67" t="s">
        <v>6</v>
      </c>
      <c r="F36" s="68"/>
      <c r="G36" s="20">
        <v>45658</v>
      </c>
      <c r="H36" s="17" t="s">
        <v>69</v>
      </c>
      <c r="I36" s="19" t="s">
        <v>68</v>
      </c>
      <c r="J36" s="18">
        <v>45658</v>
      </c>
      <c r="K36" s="17">
        <v>30</v>
      </c>
      <c r="L36" s="67" t="s">
        <v>6</v>
      </c>
      <c r="M36" s="68"/>
    </row>
    <row r="37" spans="1:13" s="29" customFormat="1" x14ac:dyDescent="0.25">
      <c r="A37" s="24">
        <v>803141737</v>
      </c>
      <c r="B37" s="24" t="s">
        <v>78</v>
      </c>
      <c r="C37" s="25">
        <v>100</v>
      </c>
      <c r="D37" s="24" t="s">
        <v>70</v>
      </c>
      <c r="E37" s="69" t="s">
        <v>6</v>
      </c>
      <c r="F37" s="70"/>
      <c r="G37" s="26">
        <v>45658</v>
      </c>
      <c r="H37" s="24" t="s">
        <v>68</v>
      </c>
      <c r="I37" s="27" t="s">
        <v>68</v>
      </c>
      <c r="J37" s="28">
        <v>45658</v>
      </c>
      <c r="K37" s="24">
        <v>28</v>
      </c>
      <c r="L37" s="69" t="s">
        <v>76</v>
      </c>
      <c r="M37" s="70"/>
    </row>
    <row r="38" spans="1:13" x14ac:dyDescent="0.25">
      <c r="A38" s="17">
        <v>803141737</v>
      </c>
      <c r="B38" s="17" t="s">
        <v>78</v>
      </c>
      <c r="C38" s="21">
        <v>156.47999999999999</v>
      </c>
      <c r="D38" s="17" t="s">
        <v>70</v>
      </c>
      <c r="E38" s="67" t="s">
        <v>6</v>
      </c>
      <c r="F38" s="68"/>
      <c r="G38" s="20">
        <v>45658</v>
      </c>
      <c r="H38" s="17" t="s">
        <v>68</v>
      </c>
      <c r="I38" s="19" t="s">
        <v>68</v>
      </c>
      <c r="J38" s="18">
        <v>45658</v>
      </c>
      <c r="K38" s="17">
        <v>28</v>
      </c>
      <c r="L38" s="67" t="s">
        <v>6</v>
      </c>
      <c r="M38" s="68"/>
    </row>
    <row r="39" spans="1:13" x14ac:dyDescent="0.25">
      <c r="A39" s="17">
        <v>803141737</v>
      </c>
      <c r="B39" s="17" t="s">
        <v>78</v>
      </c>
      <c r="C39" s="21">
        <v>13.04</v>
      </c>
      <c r="D39" s="17" t="s">
        <v>70</v>
      </c>
      <c r="E39" s="67" t="s">
        <v>74</v>
      </c>
      <c r="F39" s="68"/>
      <c r="G39" s="20">
        <v>45658</v>
      </c>
      <c r="H39" s="17" t="s">
        <v>68</v>
      </c>
      <c r="I39" s="19" t="s">
        <v>68</v>
      </c>
      <c r="J39" s="18">
        <v>45658</v>
      </c>
      <c r="K39" s="17">
        <v>28</v>
      </c>
      <c r="L39" s="67"/>
      <c r="M39" s="68"/>
    </row>
    <row r="40" spans="1:13" s="29" customFormat="1" x14ac:dyDescent="0.25">
      <c r="A40" s="24">
        <v>803072432</v>
      </c>
      <c r="B40" s="24" t="s">
        <v>77</v>
      </c>
      <c r="C40" s="25">
        <v>100</v>
      </c>
      <c r="D40" s="24" t="s">
        <v>70</v>
      </c>
      <c r="E40" s="69" t="s">
        <v>6</v>
      </c>
      <c r="F40" s="70"/>
      <c r="G40" s="26">
        <v>45658</v>
      </c>
      <c r="H40" s="24" t="s">
        <v>68</v>
      </c>
      <c r="I40" s="27" t="s">
        <v>68</v>
      </c>
      <c r="J40" s="28">
        <v>45658</v>
      </c>
      <c r="K40" s="24">
        <v>27</v>
      </c>
      <c r="L40" s="69" t="s">
        <v>76</v>
      </c>
      <c r="M40" s="70"/>
    </row>
    <row r="41" spans="1:13" x14ac:dyDescent="0.25">
      <c r="A41" s="17">
        <v>803072432</v>
      </c>
      <c r="B41" s="17" t="s">
        <v>77</v>
      </c>
      <c r="C41" s="21">
        <v>156.47999999999999</v>
      </c>
      <c r="D41" s="17" t="s">
        <v>70</v>
      </c>
      <c r="E41" s="67" t="s">
        <v>6</v>
      </c>
      <c r="F41" s="68"/>
      <c r="G41" s="20">
        <v>45658</v>
      </c>
      <c r="H41" s="17" t="s">
        <v>68</v>
      </c>
      <c r="I41" s="19" t="s">
        <v>68</v>
      </c>
      <c r="J41" s="18">
        <v>45658</v>
      </c>
      <c r="K41" s="17">
        <v>27</v>
      </c>
      <c r="L41" s="67" t="s">
        <v>6</v>
      </c>
      <c r="M41" s="68"/>
    </row>
    <row r="42" spans="1:13" x14ac:dyDescent="0.25">
      <c r="A42" s="17">
        <v>803072432</v>
      </c>
      <c r="B42" s="17" t="s">
        <v>77</v>
      </c>
      <c r="C42" s="21">
        <v>13.04</v>
      </c>
      <c r="D42" s="17" t="s">
        <v>70</v>
      </c>
      <c r="E42" s="67" t="s">
        <v>74</v>
      </c>
      <c r="F42" s="68"/>
      <c r="G42" s="20">
        <v>45658</v>
      </c>
      <c r="H42" s="17" t="s">
        <v>68</v>
      </c>
      <c r="I42" s="19" t="s">
        <v>68</v>
      </c>
      <c r="J42" s="18">
        <v>45658</v>
      </c>
      <c r="K42" s="17">
        <v>27</v>
      </c>
      <c r="L42" s="67"/>
      <c r="M42" s="68"/>
    </row>
    <row r="43" spans="1:13" s="29" customFormat="1" x14ac:dyDescent="0.25">
      <c r="A43" s="24">
        <v>803123414</v>
      </c>
      <c r="B43" s="24" t="s">
        <v>75</v>
      </c>
      <c r="C43" s="25">
        <v>100</v>
      </c>
      <c r="D43" s="24" t="s">
        <v>70</v>
      </c>
      <c r="E43" s="69" t="s">
        <v>6</v>
      </c>
      <c r="F43" s="70"/>
      <c r="G43" s="26">
        <v>45658</v>
      </c>
      <c r="H43" s="24" t="s">
        <v>73</v>
      </c>
      <c r="I43" s="27" t="s">
        <v>68</v>
      </c>
      <c r="J43" s="28">
        <v>45658</v>
      </c>
      <c r="K43" s="24">
        <v>30</v>
      </c>
      <c r="L43" s="69" t="s">
        <v>76</v>
      </c>
      <c r="M43" s="70"/>
    </row>
    <row r="44" spans="1:13" x14ac:dyDescent="0.25">
      <c r="A44" s="17">
        <v>803123414</v>
      </c>
      <c r="B44" s="17" t="s">
        <v>75</v>
      </c>
      <c r="C44" s="21">
        <v>156.47999999999999</v>
      </c>
      <c r="D44" s="17" t="s">
        <v>70</v>
      </c>
      <c r="E44" s="67" t="s">
        <v>6</v>
      </c>
      <c r="F44" s="68"/>
      <c r="G44" s="20">
        <v>45658</v>
      </c>
      <c r="H44" s="17" t="s">
        <v>73</v>
      </c>
      <c r="I44" s="19" t="s">
        <v>68</v>
      </c>
      <c r="J44" s="18">
        <v>45658</v>
      </c>
      <c r="K44" s="17">
        <v>30</v>
      </c>
      <c r="L44" s="67" t="s">
        <v>6</v>
      </c>
      <c r="M44" s="68"/>
    </row>
    <row r="45" spans="1:13" x14ac:dyDescent="0.25">
      <c r="A45" s="17">
        <v>803123414</v>
      </c>
      <c r="B45" s="17" t="s">
        <v>75</v>
      </c>
      <c r="C45" s="21">
        <v>13.04</v>
      </c>
      <c r="D45" s="17" t="s">
        <v>70</v>
      </c>
      <c r="E45" s="67" t="s">
        <v>74</v>
      </c>
      <c r="F45" s="68"/>
      <c r="G45" s="20">
        <v>45658</v>
      </c>
      <c r="H45" s="17" t="s">
        <v>73</v>
      </c>
      <c r="I45" s="19" t="s">
        <v>68</v>
      </c>
      <c r="J45" s="18">
        <v>45658</v>
      </c>
      <c r="K45" s="17">
        <v>30</v>
      </c>
      <c r="L45" s="67"/>
      <c r="M45" s="68"/>
    </row>
    <row r="46" spans="1:13" x14ac:dyDescent="0.25">
      <c r="A46" s="17">
        <v>803076965</v>
      </c>
      <c r="B46" s="17" t="s">
        <v>71</v>
      </c>
      <c r="C46" s="21">
        <v>610.79999999999995</v>
      </c>
      <c r="D46" s="17" t="s">
        <v>70</v>
      </c>
      <c r="E46" s="67" t="s">
        <v>6</v>
      </c>
      <c r="F46" s="68"/>
      <c r="G46" s="20">
        <v>45627</v>
      </c>
      <c r="H46" s="17" t="s">
        <v>69</v>
      </c>
      <c r="I46" s="19" t="s">
        <v>68</v>
      </c>
      <c r="J46" s="18">
        <v>45627</v>
      </c>
      <c r="K46" s="17">
        <v>30</v>
      </c>
      <c r="L46" s="67" t="s">
        <v>6</v>
      </c>
      <c r="M46" s="68"/>
    </row>
    <row r="48" spans="1:13" s="29" customFormat="1" x14ac:dyDescent="0.25">
      <c r="A48" s="24">
        <v>803076965</v>
      </c>
      <c r="B48" s="24" t="s">
        <v>71</v>
      </c>
      <c r="C48" s="25">
        <v>55</v>
      </c>
      <c r="D48" s="24" t="s">
        <v>70</v>
      </c>
      <c r="E48" s="69" t="s">
        <v>6</v>
      </c>
      <c r="F48" s="70"/>
      <c r="G48" s="26">
        <v>45627</v>
      </c>
      <c r="H48" s="24" t="s">
        <v>69</v>
      </c>
      <c r="I48" s="27" t="s">
        <v>68</v>
      </c>
      <c r="J48" s="28">
        <v>45627</v>
      </c>
      <c r="K48" s="24">
        <v>30</v>
      </c>
      <c r="L48" s="69" t="s">
        <v>72</v>
      </c>
      <c r="M48" s="70"/>
    </row>
    <row r="49" spans="1:13" s="29" customFormat="1" x14ac:dyDescent="0.25">
      <c r="A49" s="24">
        <v>803101991</v>
      </c>
      <c r="B49" s="24" t="s">
        <v>89</v>
      </c>
      <c r="C49" s="25">
        <v>100</v>
      </c>
      <c r="D49" s="24" t="s">
        <v>70</v>
      </c>
      <c r="E49" s="69" t="s">
        <v>6</v>
      </c>
      <c r="F49" s="70"/>
      <c r="G49" s="26">
        <v>45658</v>
      </c>
      <c r="H49" s="24" t="s">
        <v>68</v>
      </c>
      <c r="I49" s="27" t="s">
        <v>68</v>
      </c>
      <c r="J49" s="28">
        <v>45658</v>
      </c>
      <c r="K49" s="24">
        <v>30</v>
      </c>
      <c r="L49" s="69" t="s">
        <v>76</v>
      </c>
      <c r="M49" s="70"/>
    </row>
  </sheetData>
  <mergeCells count="84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49:F49"/>
    <mergeCell ref="L49:M49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E34:F34"/>
    <mergeCell ref="L34:M34"/>
    <mergeCell ref="E35:F35"/>
    <mergeCell ref="L35:M35"/>
    <mergeCell ref="E36:F36"/>
    <mergeCell ref="L36:M36"/>
    <mergeCell ref="E37:F37"/>
    <mergeCell ref="L37:M37"/>
    <mergeCell ref="E38:F38"/>
    <mergeCell ref="L38:M38"/>
    <mergeCell ref="E39:F39"/>
    <mergeCell ref="L39:M39"/>
    <mergeCell ref="E40:F40"/>
    <mergeCell ref="L40:M40"/>
    <mergeCell ref="E41:F41"/>
    <mergeCell ref="L41:M41"/>
    <mergeCell ref="E42:F42"/>
    <mergeCell ref="L42:M42"/>
    <mergeCell ref="E43:F43"/>
    <mergeCell ref="L43:M43"/>
    <mergeCell ref="E44:F44"/>
    <mergeCell ref="L44:M44"/>
    <mergeCell ref="E48:F48"/>
    <mergeCell ref="L48:M48"/>
    <mergeCell ref="E46:F46"/>
    <mergeCell ref="L46:M46"/>
    <mergeCell ref="E45:F45"/>
    <mergeCell ref="L45:M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A95A-B0D0-4D6E-93EC-D36B0FCFFE89}">
  <dimension ref="A1:O23"/>
  <sheetViews>
    <sheetView tabSelected="1" zoomScaleNormal="100" workbookViewId="0">
      <selection activeCell="W16" sqref="W16"/>
    </sheetView>
  </sheetViews>
  <sheetFormatPr defaultRowHeight="15" x14ac:dyDescent="0.25"/>
  <cols>
    <col min="1" max="1" width="8.7109375" bestFit="1" customWidth="1"/>
    <col min="2" max="2" width="8.85546875" bestFit="1" customWidth="1"/>
    <col min="3" max="3" width="7.7109375" bestFit="1" customWidth="1"/>
    <col min="4" max="4" width="16" bestFit="1" customWidth="1"/>
    <col min="5" max="5" width="6.5703125" bestFit="1" customWidth="1"/>
    <col min="6" max="6" width="7.28515625" bestFit="1" customWidth="1"/>
    <col min="7" max="7" width="6.5703125" bestFit="1" customWidth="1"/>
    <col min="8" max="8" width="7.28515625" bestFit="1" customWidth="1"/>
    <col min="9" max="9" width="6.7109375" bestFit="1" customWidth="1"/>
    <col min="10" max="11" width="5" bestFit="1" customWidth="1"/>
    <col min="12" max="12" width="6.7109375" bestFit="1" customWidth="1"/>
    <col min="13" max="13" width="2.7109375" bestFit="1" customWidth="1"/>
    <col min="14" max="14" width="6.7109375" bestFit="1" customWidth="1"/>
    <col min="15" max="15" width="2.7109375" bestFit="1" customWidth="1"/>
  </cols>
  <sheetData>
    <row r="1" spans="1:15" s="15" customFormat="1" ht="15" customHeight="1" x14ac:dyDescent="0.25">
      <c r="A1" s="17">
        <v>803168017</v>
      </c>
      <c r="B1" s="17" t="s">
        <v>112</v>
      </c>
      <c r="C1" s="17" t="s">
        <v>113</v>
      </c>
      <c r="D1" s="17" t="str">
        <f t="shared" ref="D1:D23" si="0">CONCATENATE(C1, " ",B1)</f>
        <v>BRIAN DOYLE</v>
      </c>
      <c r="E1" s="21">
        <v>13.04</v>
      </c>
      <c r="F1" s="17" t="s">
        <v>70</v>
      </c>
      <c r="G1" s="17" t="s">
        <v>74</v>
      </c>
      <c r="H1" s="16"/>
      <c r="I1" s="20">
        <v>45658</v>
      </c>
      <c r="J1" s="17" t="s">
        <v>68</v>
      </c>
      <c r="K1" s="19" t="s">
        <v>68</v>
      </c>
      <c r="L1" s="18">
        <v>45658</v>
      </c>
      <c r="M1" s="17">
        <v>27</v>
      </c>
      <c r="N1" s="17"/>
      <c r="O1" s="16"/>
    </row>
    <row r="2" spans="1:15" s="15" customFormat="1" x14ac:dyDescent="0.25">
      <c r="A2" s="17">
        <v>803168017</v>
      </c>
      <c r="B2" s="17" t="s">
        <v>112</v>
      </c>
      <c r="C2" s="17" t="s">
        <v>113</v>
      </c>
      <c r="D2" s="17" t="str">
        <f t="shared" si="0"/>
        <v>BRIAN DOYLE</v>
      </c>
      <c r="E2" s="21">
        <v>156.47999999999999</v>
      </c>
      <c r="F2" s="17" t="s">
        <v>70</v>
      </c>
      <c r="G2" s="17" t="s">
        <v>6</v>
      </c>
      <c r="H2" s="16"/>
      <c r="I2" s="20">
        <v>45658</v>
      </c>
      <c r="J2" s="17" t="s">
        <v>68</v>
      </c>
      <c r="K2" s="19" t="s">
        <v>68</v>
      </c>
      <c r="L2" s="18">
        <v>45658</v>
      </c>
      <c r="M2" s="17">
        <v>27</v>
      </c>
      <c r="N2" s="17" t="s">
        <v>6</v>
      </c>
      <c r="O2" s="16"/>
    </row>
    <row r="3" spans="1:15" s="15" customFormat="1" ht="15" customHeight="1" x14ac:dyDescent="0.25">
      <c r="A3" s="17">
        <v>803136752</v>
      </c>
      <c r="B3" s="17" t="s">
        <v>120</v>
      </c>
      <c r="C3" s="17" t="s">
        <v>121</v>
      </c>
      <c r="D3" s="17" t="str">
        <f t="shared" si="0"/>
        <v>DONALD JENSEN</v>
      </c>
      <c r="E3" s="21">
        <v>625.91999999999996</v>
      </c>
      <c r="F3" s="17" t="s">
        <v>70</v>
      </c>
      <c r="G3" s="17" t="s">
        <v>6</v>
      </c>
      <c r="H3" s="16"/>
      <c r="I3" s="20">
        <v>45658</v>
      </c>
      <c r="J3" s="17" t="s">
        <v>69</v>
      </c>
      <c r="K3" s="19" t="s">
        <v>68</v>
      </c>
      <c r="L3" s="18">
        <v>45658</v>
      </c>
      <c r="M3" s="17">
        <v>30</v>
      </c>
      <c r="N3" s="17" t="s">
        <v>6</v>
      </c>
      <c r="O3" s="16"/>
    </row>
    <row r="4" spans="1:15" s="15" customFormat="1" ht="22.5" x14ac:dyDescent="0.25">
      <c r="A4" s="17">
        <v>803078257</v>
      </c>
      <c r="B4" s="17" t="s">
        <v>126</v>
      </c>
      <c r="C4" s="17" t="s">
        <v>121</v>
      </c>
      <c r="D4" s="17" t="str">
        <f t="shared" si="0"/>
        <v>DONALD MARTELLA</v>
      </c>
      <c r="E4" s="21">
        <v>26.08</v>
      </c>
      <c r="F4" s="17" t="s">
        <v>70</v>
      </c>
      <c r="G4" s="17" t="s">
        <v>74</v>
      </c>
      <c r="H4" s="16"/>
      <c r="I4" s="20">
        <v>45658</v>
      </c>
      <c r="J4" s="17" t="s">
        <v>80</v>
      </c>
      <c r="K4" s="19" t="s">
        <v>68</v>
      </c>
      <c r="L4" s="18">
        <v>45658</v>
      </c>
      <c r="M4" s="17">
        <v>30</v>
      </c>
      <c r="N4" s="17"/>
      <c r="O4" s="16"/>
    </row>
    <row r="5" spans="1:15" s="15" customFormat="1" x14ac:dyDescent="0.25">
      <c r="A5" s="17">
        <v>803078257</v>
      </c>
      <c r="B5" s="17" t="s">
        <v>126</v>
      </c>
      <c r="C5" s="17" t="s">
        <v>121</v>
      </c>
      <c r="D5" s="17" t="str">
        <f t="shared" si="0"/>
        <v>DONALD MARTELLA</v>
      </c>
      <c r="E5" s="21">
        <v>312.95999999999998</v>
      </c>
      <c r="F5" s="17" t="s">
        <v>70</v>
      </c>
      <c r="G5" s="17" t="s">
        <v>6</v>
      </c>
      <c r="H5" s="16"/>
      <c r="I5" s="20">
        <v>45658</v>
      </c>
      <c r="J5" s="17" t="s">
        <v>80</v>
      </c>
      <c r="K5" s="19" t="s">
        <v>68</v>
      </c>
      <c r="L5" s="18">
        <v>45658</v>
      </c>
      <c r="M5" s="17">
        <v>30</v>
      </c>
      <c r="N5" s="17" t="s">
        <v>6</v>
      </c>
      <c r="O5" s="16"/>
    </row>
    <row r="6" spans="1:15" s="15" customFormat="1" ht="22.5" x14ac:dyDescent="0.25">
      <c r="A6" s="17">
        <v>803167980</v>
      </c>
      <c r="B6" s="17" t="s">
        <v>122</v>
      </c>
      <c r="C6" s="17" t="s">
        <v>123</v>
      </c>
      <c r="D6" s="17" t="str">
        <f t="shared" si="0"/>
        <v>KENNETH KERN</v>
      </c>
      <c r="E6" s="21">
        <v>26.08</v>
      </c>
      <c r="F6" s="17" t="s">
        <v>70</v>
      </c>
      <c r="G6" s="17" t="s">
        <v>74</v>
      </c>
      <c r="H6" s="16"/>
      <c r="I6" s="20">
        <v>45658</v>
      </c>
      <c r="J6" s="17" t="s">
        <v>80</v>
      </c>
      <c r="K6" s="19" t="s">
        <v>68</v>
      </c>
      <c r="L6" s="18">
        <v>45658</v>
      </c>
      <c r="M6" s="17">
        <v>30</v>
      </c>
      <c r="N6" s="17"/>
      <c r="O6" s="16"/>
    </row>
    <row r="7" spans="1:15" s="15" customFormat="1" ht="15" customHeight="1" x14ac:dyDescent="0.25">
      <c r="A7" s="17">
        <v>803167980</v>
      </c>
      <c r="B7" s="6" t="s">
        <v>122</v>
      </c>
      <c r="C7" s="6" t="s">
        <v>123</v>
      </c>
      <c r="D7" s="17" t="str">
        <f t="shared" si="0"/>
        <v>KENNETH KERN</v>
      </c>
      <c r="E7" s="21">
        <v>312.95999999999998</v>
      </c>
      <c r="F7" s="17" t="s">
        <v>70</v>
      </c>
      <c r="G7" s="17" t="s">
        <v>6</v>
      </c>
      <c r="H7" s="16"/>
      <c r="I7" s="20">
        <v>45658</v>
      </c>
      <c r="J7" s="17" t="s">
        <v>80</v>
      </c>
      <c r="K7" s="19" t="s">
        <v>68</v>
      </c>
      <c r="L7" s="18">
        <v>45658</v>
      </c>
      <c r="M7" s="17">
        <v>30</v>
      </c>
      <c r="N7" s="17" t="s">
        <v>6</v>
      </c>
      <c r="O7" s="16"/>
    </row>
    <row r="8" spans="1:15" s="15" customFormat="1" ht="22.5" x14ac:dyDescent="0.25">
      <c r="A8" s="17">
        <v>803079161</v>
      </c>
      <c r="B8" s="17" t="s">
        <v>124</v>
      </c>
      <c r="C8" s="17" t="s">
        <v>125</v>
      </c>
      <c r="D8" s="17" t="str">
        <f t="shared" si="0"/>
        <v>MELISSA LUEBBERS</v>
      </c>
      <c r="E8" s="21">
        <v>13.04</v>
      </c>
      <c r="F8" s="17" t="s">
        <v>70</v>
      </c>
      <c r="G8" s="17" t="s">
        <v>74</v>
      </c>
      <c r="H8" s="16"/>
      <c r="I8" s="20">
        <v>45658</v>
      </c>
      <c r="J8" s="17" t="s">
        <v>68</v>
      </c>
      <c r="K8" s="19" t="s">
        <v>68</v>
      </c>
      <c r="L8" s="18">
        <v>45658</v>
      </c>
      <c r="M8" s="17">
        <v>30</v>
      </c>
      <c r="N8" s="17"/>
      <c r="O8" s="16"/>
    </row>
    <row r="9" spans="1:15" s="15" customFormat="1" x14ac:dyDescent="0.25">
      <c r="A9" s="17">
        <v>803079161</v>
      </c>
      <c r="B9" s="17" t="s">
        <v>124</v>
      </c>
      <c r="C9" s="17" t="s">
        <v>125</v>
      </c>
      <c r="D9" s="17" t="str">
        <f t="shared" si="0"/>
        <v>MELISSA LUEBBERS</v>
      </c>
      <c r="E9" s="21">
        <v>156.47999999999999</v>
      </c>
      <c r="F9" s="17" t="s">
        <v>70</v>
      </c>
      <c r="G9" s="17" t="s">
        <v>6</v>
      </c>
      <c r="H9" s="16"/>
      <c r="I9" s="20">
        <v>45658</v>
      </c>
      <c r="J9" s="17" t="s">
        <v>68</v>
      </c>
      <c r="K9" s="19" t="s">
        <v>68</v>
      </c>
      <c r="L9" s="18">
        <v>45658</v>
      </c>
      <c r="M9" s="17">
        <v>30</v>
      </c>
      <c r="N9" s="17" t="s">
        <v>6</v>
      </c>
      <c r="O9" s="16"/>
    </row>
    <row r="10" spans="1:15" s="15" customFormat="1" ht="15" customHeight="1" x14ac:dyDescent="0.25">
      <c r="A10" s="17">
        <v>803168056</v>
      </c>
      <c r="B10" s="17" t="s">
        <v>118</v>
      </c>
      <c r="C10" s="17" t="s">
        <v>119</v>
      </c>
      <c r="D10" s="17" t="str">
        <f t="shared" si="0"/>
        <v>MICHAEL JACKSON</v>
      </c>
      <c r="E10" s="21">
        <v>13.04</v>
      </c>
      <c r="F10" s="17" t="s">
        <v>70</v>
      </c>
      <c r="G10" s="17" t="s">
        <v>74</v>
      </c>
      <c r="H10" s="16"/>
      <c r="I10" s="20">
        <v>45658</v>
      </c>
      <c r="J10" s="17" t="s">
        <v>68</v>
      </c>
      <c r="K10" s="19" t="s">
        <v>68</v>
      </c>
      <c r="L10" s="18">
        <v>45658</v>
      </c>
      <c r="M10" s="17">
        <v>30</v>
      </c>
      <c r="N10" s="17"/>
      <c r="O10" s="16"/>
    </row>
    <row r="11" spans="1:15" s="15" customFormat="1" x14ac:dyDescent="0.25">
      <c r="A11" s="17">
        <v>803168056</v>
      </c>
      <c r="B11" s="17" t="s">
        <v>118</v>
      </c>
      <c r="C11" s="17" t="s">
        <v>119</v>
      </c>
      <c r="D11" s="17" t="str">
        <f t="shared" si="0"/>
        <v>MICHAEL JACKSON</v>
      </c>
      <c r="E11" s="21">
        <v>156.47999999999999</v>
      </c>
      <c r="F11" s="17" t="s">
        <v>70</v>
      </c>
      <c r="G11" s="17" t="s">
        <v>6</v>
      </c>
      <c r="H11" s="16"/>
      <c r="I11" s="20">
        <v>45658</v>
      </c>
      <c r="J11" s="17" t="s">
        <v>68</v>
      </c>
      <c r="K11" s="19" t="s">
        <v>68</v>
      </c>
      <c r="L11" s="18">
        <v>45658</v>
      </c>
      <c r="M11" s="17">
        <v>30</v>
      </c>
      <c r="N11" s="17" t="s">
        <v>6</v>
      </c>
      <c r="O11" s="16"/>
    </row>
    <row r="12" spans="1:15" s="15" customFormat="1" ht="15" customHeight="1" x14ac:dyDescent="0.25">
      <c r="A12" s="17">
        <v>803076965</v>
      </c>
      <c r="B12" s="17" t="s">
        <v>116</v>
      </c>
      <c r="C12" s="17" t="s">
        <v>117</v>
      </c>
      <c r="D12" s="17" t="str">
        <f t="shared" si="0"/>
        <v>NANCY GEWORSKY</v>
      </c>
      <c r="E12" s="21">
        <v>26.08</v>
      </c>
      <c r="F12" s="17" t="s">
        <v>86</v>
      </c>
      <c r="G12" s="17" t="s">
        <v>6</v>
      </c>
      <c r="H12" s="16"/>
      <c r="I12" s="20">
        <v>45658</v>
      </c>
      <c r="J12" s="17" t="s">
        <v>69</v>
      </c>
      <c r="K12" s="19" t="s">
        <v>68</v>
      </c>
      <c r="L12" s="18">
        <v>45627</v>
      </c>
      <c r="M12" s="17">
        <v>30</v>
      </c>
      <c r="N12" s="17"/>
      <c r="O12" s="16"/>
    </row>
    <row r="13" spans="1:15" s="15" customFormat="1" x14ac:dyDescent="0.25">
      <c r="A13" s="17">
        <v>803076965</v>
      </c>
      <c r="B13" s="17" t="s">
        <v>116</v>
      </c>
      <c r="C13" s="17" t="s">
        <v>117</v>
      </c>
      <c r="D13" s="17" t="str">
        <f t="shared" si="0"/>
        <v>NANCY GEWORSKY</v>
      </c>
      <c r="E13" s="21">
        <v>610.79999999999995</v>
      </c>
      <c r="F13" s="17" t="s">
        <v>70</v>
      </c>
      <c r="G13" s="17" t="s">
        <v>6</v>
      </c>
      <c r="H13" s="16"/>
      <c r="I13" s="20">
        <v>45627</v>
      </c>
      <c r="J13" s="17" t="s">
        <v>69</v>
      </c>
      <c r="K13" s="19" t="s">
        <v>68</v>
      </c>
      <c r="L13" s="18">
        <v>45627</v>
      </c>
      <c r="M13" s="17">
        <v>30</v>
      </c>
      <c r="N13" s="17" t="s">
        <v>6</v>
      </c>
      <c r="O13" s="16"/>
    </row>
    <row r="14" spans="1:15" s="15" customFormat="1" ht="15" customHeight="1" x14ac:dyDescent="0.25">
      <c r="A14" s="17">
        <v>803160673</v>
      </c>
      <c r="B14" s="17" t="s">
        <v>114</v>
      </c>
      <c r="C14" s="17" t="s">
        <v>115</v>
      </c>
      <c r="D14" s="17" t="str">
        <f t="shared" si="0"/>
        <v>RANDALL FORLAND</v>
      </c>
      <c r="E14" s="21">
        <v>625.91999999999996</v>
      </c>
      <c r="F14" s="17" t="s">
        <v>70</v>
      </c>
      <c r="G14" s="17" t="s">
        <v>6</v>
      </c>
      <c r="H14" s="16"/>
      <c r="I14" s="20">
        <v>45658</v>
      </c>
      <c r="J14" s="17" t="s">
        <v>69</v>
      </c>
      <c r="K14" s="19" t="s">
        <v>68</v>
      </c>
      <c r="L14" s="18">
        <v>45658</v>
      </c>
      <c r="M14" s="17">
        <v>30</v>
      </c>
      <c r="N14" s="17" t="s">
        <v>6</v>
      </c>
      <c r="O14" s="16"/>
    </row>
    <row r="15" spans="1:15" s="15" customFormat="1" ht="22.5" x14ac:dyDescent="0.25">
      <c r="A15" s="17">
        <v>803101991</v>
      </c>
      <c r="B15" s="17" t="s">
        <v>110</v>
      </c>
      <c r="C15" s="17" t="s">
        <v>111</v>
      </c>
      <c r="D15" s="17" t="str">
        <f t="shared" si="0"/>
        <v>RAYMOND BRECHEISEN</v>
      </c>
      <c r="E15" s="21">
        <v>13.04</v>
      </c>
      <c r="F15" s="17" t="s">
        <v>70</v>
      </c>
      <c r="G15" s="17" t="s">
        <v>74</v>
      </c>
      <c r="H15" s="16"/>
      <c r="I15" s="20">
        <v>45658</v>
      </c>
      <c r="J15" s="17" t="s">
        <v>68</v>
      </c>
      <c r="K15" s="19" t="s">
        <v>68</v>
      </c>
      <c r="L15" s="18">
        <v>45658</v>
      </c>
      <c r="M15" s="17">
        <v>30</v>
      </c>
      <c r="N15" s="17"/>
      <c r="O15" s="16"/>
    </row>
    <row r="16" spans="1:15" s="15" customFormat="1" x14ac:dyDescent="0.25">
      <c r="A16" s="17">
        <v>803101991</v>
      </c>
      <c r="B16" s="17" t="s">
        <v>110</v>
      </c>
      <c r="C16" s="17" t="s">
        <v>111</v>
      </c>
      <c r="D16" s="17" t="str">
        <f t="shared" si="0"/>
        <v>RAYMOND BRECHEISEN</v>
      </c>
      <c r="E16" s="21">
        <v>156.47999999999999</v>
      </c>
      <c r="F16" s="17" t="s">
        <v>70</v>
      </c>
      <c r="G16" s="17" t="s">
        <v>6</v>
      </c>
      <c r="H16" s="16"/>
      <c r="I16" s="20">
        <v>45658</v>
      </c>
      <c r="J16" s="17" t="s">
        <v>68</v>
      </c>
      <c r="K16" s="19" t="s">
        <v>68</v>
      </c>
      <c r="L16" s="18">
        <v>45658</v>
      </c>
      <c r="M16" s="17">
        <v>30</v>
      </c>
      <c r="N16" s="17" t="s">
        <v>6</v>
      </c>
      <c r="O16" s="16"/>
    </row>
    <row r="17" spans="1:15" s="15" customFormat="1" x14ac:dyDescent="0.25">
      <c r="A17" s="17">
        <v>803123414</v>
      </c>
      <c r="B17" s="17" t="s">
        <v>133</v>
      </c>
      <c r="C17" s="17" t="s">
        <v>134</v>
      </c>
      <c r="D17" s="17" t="str">
        <f t="shared" si="0"/>
        <v>RICHARD THOMPSON</v>
      </c>
      <c r="E17" s="21">
        <v>156.47999999999999</v>
      </c>
      <c r="F17" s="17" t="s">
        <v>70</v>
      </c>
      <c r="G17" s="17" t="s">
        <v>6</v>
      </c>
      <c r="H17" s="16"/>
      <c r="I17" s="20">
        <v>45658</v>
      </c>
      <c r="J17" s="17" t="s">
        <v>73</v>
      </c>
      <c r="K17" s="19" t="s">
        <v>68</v>
      </c>
      <c r="L17" s="18">
        <v>45658</v>
      </c>
      <c r="M17" s="17">
        <v>30</v>
      </c>
      <c r="N17" s="17" t="s">
        <v>6</v>
      </c>
      <c r="O17" s="16"/>
    </row>
    <row r="18" spans="1:15" s="15" customFormat="1" ht="15" customHeight="1" x14ac:dyDescent="0.25">
      <c r="A18" s="17">
        <v>803123414</v>
      </c>
      <c r="B18" s="17" t="s">
        <v>133</v>
      </c>
      <c r="C18" s="17" t="s">
        <v>134</v>
      </c>
      <c r="D18" s="17" t="str">
        <f t="shared" si="0"/>
        <v>RICHARD THOMPSON</v>
      </c>
      <c r="E18" s="21">
        <v>13.04</v>
      </c>
      <c r="F18" s="17" t="s">
        <v>70</v>
      </c>
      <c r="G18" s="17" t="s">
        <v>74</v>
      </c>
      <c r="H18" s="16"/>
      <c r="I18" s="20">
        <v>45658</v>
      </c>
      <c r="J18" s="17" t="s">
        <v>73</v>
      </c>
      <c r="K18" s="19" t="s">
        <v>68</v>
      </c>
      <c r="L18" s="18">
        <v>45658</v>
      </c>
      <c r="M18" s="17">
        <v>30</v>
      </c>
      <c r="N18" s="17"/>
      <c r="O18" s="16"/>
    </row>
    <row r="19" spans="1:15" s="15" customFormat="1" x14ac:dyDescent="0.25">
      <c r="A19" s="17">
        <v>803072432</v>
      </c>
      <c r="B19" s="17" t="s">
        <v>131</v>
      </c>
      <c r="C19" s="17" t="s">
        <v>132</v>
      </c>
      <c r="D19" s="17" t="str">
        <f t="shared" si="0"/>
        <v>TERRIE SUBER</v>
      </c>
      <c r="E19" s="21">
        <v>156.47999999999999</v>
      </c>
      <c r="F19" s="17" t="s">
        <v>70</v>
      </c>
      <c r="G19" s="17" t="s">
        <v>6</v>
      </c>
      <c r="H19" s="16"/>
      <c r="I19" s="20">
        <v>45658</v>
      </c>
      <c r="J19" s="17" t="s">
        <v>68</v>
      </c>
      <c r="K19" s="19" t="s">
        <v>68</v>
      </c>
      <c r="L19" s="18">
        <v>45658</v>
      </c>
      <c r="M19" s="17">
        <v>27</v>
      </c>
      <c r="N19" s="17" t="s">
        <v>6</v>
      </c>
      <c r="O19" s="16"/>
    </row>
    <row r="20" spans="1:15" s="15" customFormat="1" ht="15" customHeight="1" x14ac:dyDescent="0.25">
      <c r="A20" s="17">
        <v>803072432</v>
      </c>
      <c r="B20" s="17" t="s">
        <v>131</v>
      </c>
      <c r="C20" s="17" t="s">
        <v>132</v>
      </c>
      <c r="D20" s="17" t="str">
        <f t="shared" si="0"/>
        <v>TERRIE SUBER</v>
      </c>
      <c r="E20" s="21">
        <v>13.04</v>
      </c>
      <c r="F20" s="17" t="s">
        <v>70</v>
      </c>
      <c r="G20" s="17" t="s">
        <v>74</v>
      </c>
      <c r="H20" s="16"/>
      <c r="I20" s="20">
        <v>45658</v>
      </c>
      <c r="J20" s="17" t="s">
        <v>68</v>
      </c>
      <c r="K20" s="19" t="s">
        <v>68</v>
      </c>
      <c r="L20" s="18">
        <v>45658</v>
      </c>
      <c r="M20" s="17">
        <v>27</v>
      </c>
      <c r="N20" s="17"/>
      <c r="O20" s="16"/>
    </row>
    <row r="21" spans="1:15" s="15" customFormat="1" x14ac:dyDescent="0.25">
      <c r="A21" s="17">
        <v>803155239</v>
      </c>
      <c r="B21" s="17" t="s">
        <v>127</v>
      </c>
      <c r="C21" s="17" t="s">
        <v>128</v>
      </c>
      <c r="D21" s="17" t="str">
        <f t="shared" si="0"/>
        <v>TOM MORRIS</v>
      </c>
      <c r="E21" s="21">
        <v>625.91999999999996</v>
      </c>
      <c r="F21" s="17" t="s">
        <v>70</v>
      </c>
      <c r="G21" s="17" t="s">
        <v>6</v>
      </c>
      <c r="H21" s="16"/>
      <c r="I21" s="20">
        <v>45658</v>
      </c>
      <c r="J21" s="17" t="s">
        <v>69</v>
      </c>
      <c r="K21" s="19" t="s">
        <v>68</v>
      </c>
      <c r="L21" s="18">
        <v>45658</v>
      </c>
      <c r="M21" s="17">
        <v>30</v>
      </c>
      <c r="N21" s="17" t="s">
        <v>6</v>
      </c>
      <c r="O21" s="16"/>
    </row>
    <row r="22" spans="1:15" s="15" customFormat="1" ht="15" customHeight="1" x14ac:dyDescent="0.25">
      <c r="A22" s="17">
        <v>803141737</v>
      </c>
      <c r="B22" s="17" t="s">
        <v>129</v>
      </c>
      <c r="C22" s="17" t="s">
        <v>130</v>
      </c>
      <c r="D22" s="17" t="str">
        <f t="shared" si="0"/>
        <v>WILLA ROBERTS</v>
      </c>
      <c r="E22" s="21">
        <v>156.47999999999999</v>
      </c>
      <c r="F22" s="17" t="s">
        <v>70</v>
      </c>
      <c r="G22" s="17" t="s">
        <v>6</v>
      </c>
      <c r="H22" s="16"/>
      <c r="I22" s="20">
        <v>45658</v>
      </c>
      <c r="J22" s="17" t="s">
        <v>68</v>
      </c>
      <c r="K22" s="19" t="s">
        <v>68</v>
      </c>
      <c r="L22" s="18">
        <v>45658</v>
      </c>
      <c r="M22" s="17">
        <v>28</v>
      </c>
      <c r="N22" s="17" t="s">
        <v>6</v>
      </c>
      <c r="O22" s="16"/>
    </row>
    <row r="23" spans="1:15" s="15" customFormat="1" ht="22.5" x14ac:dyDescent="0.25">
      <c r="A23" s="17">
        <v>803141737</v>
      </c>
      <c r="B23" s="17" t="s">
        <v>129</v>
      </c>
      <c r="C23" s="17" t="s">
        <v>130</v>
      </c>
      <c r="D23" s="17" t="str">
        <f t="shared" si="0"/>
        <v>WILLA ROBERTS</v>
      </c>
      <c r="E23" s="21">
        <v>13.04</v>
      </c>
      <c r="F23" s="17" t="s">
        <v>70</v>
      </c>
      <c r="G23" s="17" t="s">
        <v>74</v>
      </c>
      <c r="H23" s="16"/>
      <c r="I23" s="20">
        <v>45658</v>
      </c>
      <c r="J23" s="17" t="s">
        <v>68</v>
      </c>
      <c r="K23" s="19" t="s">
        <v>68</v>
      </c>
      <c r="L23" s="18">
        <v>45658</v>
      </c>
      <c r="M23" s="17">
        <v>28</v>
      </c>
      <c r="N23" s="17"/>
      <c r="O23" s="16"/>
    </row>
  </sheetData>
  <sortState xmlns:xlrd2="http://schemas.microsoft.com/office/spreadsheetml/2017/richdata2" ref="A1:N23">
    <sortCondition ref="D1:D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showGridLines="0" zoomScale="140" zoomScaleNormal="140" workbookViewId="0">
      <pane ySplit="8" topLeftCell="A10" activePane="bottomLeft" state="frozen"/>
      <selection pane="bottomLeft" activeCell="E19" sqref="E19"/>
    </sheetView>
  </sheetViews>
  <sheetFormatPr defaultColWidth="11.42578125"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42578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65" t="s">
        <v>0</v>
      </c>
      <c r="I1" s="44"/>
      <c r="J1" s="44"/>
    </row>
    <row r="2" spans="1:24" ht="17.25" customHeight="1" x14ac:dyDescent="0.25">
      <c r="A2" s="44"/>
      <c r="B2" s="44"/>
      <c r="H2" s="44"/>
      <c r="I2" s="44"/>
      <c r="J2" s="44"/>
    </row>
    <row r="3" spans="1:24" ht="18.75" customHeight="1" x14ac:dyDescent="0.25">
      <c r="A3" s="44"/>
      <c r="B3" s="44"/>
      <c r="H3" s="65" t="s">
        <v>1</v>
      </c>
      <c r="I3" s="44"/>
      <c r="J3" s="44"/>
    </row>
    <row r="4" spans="1:24" ht="35.450000000000003" customHeight="1" x14ac:dyDescent="0.25">
      <c r="A4" s="47" t="s">
        <v>2</v>
      </c>
      <c r="B4" s="44"/>
      <c r="H4" s="66" t="s">
        <v>3</v>
      </c>
      <c r="I4" s="44"/>
      <c r="J4" s="44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64" t="s">
        <v>4</v>
      </c>
      <c r="B7" s="44"/>
      <c r="C7" s="44"/>
      <c r="D7" s="44"/>
      <c r="E7" s="44"/>
      <c r="F7" s="44"/>
      <c r="G7" s="44"/>
      <c r="H7" s="44"/>
      <c r="I7" s="44"/>
      <c r="J7" s="44"/>
    </row>
    <row r="8" spans="1:24" ht="5.0999999999999996" customHeight="1" x14ac:dyDescent="0.25"/>
    <row r="9" spans="1:24" x14ac:dyDescent="0.25">
      <c r="A9" s="13" t="s">
        <v>47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79" t="s">
        <v>6</v>
      </c>
      <c r="H9" s="57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48</v>
      </c>
      <c r="B10" s="4" t="s">
        <v>49</v>
      </c>
      <c r="C10" s="4" t="s">
        <v>7</v>
      </c>
      <c r="D10" s="4" t="s">
        <v>8</v>
      </c>
      <c r="E10" s="4" t="s">
        <v>9</v>
      </c>
      <c r="F10" s="4" t="s">
        <v>10</v>
      </c>
      <c r="G10" s="56" t="s">
        <v>11</v>
      </c>
      <c r="H10" s="57"/>
      <c r="I10" s="4" t="s">
        <v>13</v>
      </c>
      <c r="J10" s="4" t="s">
        <v>14</v>
      </c>
      <c r="K10" s="4" t="s">
        <v>50</v>
      </c>
      <c r="L10" s="4" t="s">
        <v>51</v>
      </c>
      <c r="M10" s="4" t="s">
        <v>52</v>
      </c>
      <c r="N10" s="4" t="s">
        <v>53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54</v>
      </c>
      <c r="X10" s="4" t="s">
        <v>55</v>
      </c>
    </row>
    <row r="11" spans="1:24" x14ac:dyDescent="0.25">
      <c r="A11" s="6" t="s">
        <v>56</v>
      </c>
      <c r="B11" s="6" t="s">
        <v>57</v>
      </c>
      <c r="C11" s="6" t="s">
        <v>22</v>
      </c>
      <c r="D11" s="23">
        <v>802698506001</v>
      </c>
      <c r="E11" s="6" t="s">
        <v>23</v>
      </c>
      <c r="F11" s="6" t="s">
        <v>24</v>
      </c>
      <c r="G11" s="61" t="s">
        <v>6</v>
      </c>
      <c r="H11" s="57"/>
      <c r="I11" s="7">
        <v>45658</v>
      </c>
      <c r="J11" s="8">
        <v>61.47</v>
      </c>
      <c r="K11" s="8">
        <v>61.47</v>
      </c>
      <c r="L11" s="8">
        <v>915.47</v>
      </c>
      <c r="M11" s="8">
        <v>61.47</v>
      </c>
      <c r="N11" s="8">
        <v>854</v>
      </c>
      <c r="O11" s="6" t="s">
        <v>25</v>
      </c>
      <c r="P11" s="6" t="s">
        <v>6</v>
      </c>
      <c r="Q11" s="6" t="s">
        <v>26</v>
      </c>
      <c r="R11" s="6"/>
      <c r="S11" s="6">
        <v>1</v>
      </c>
      <c r="T11" s="8">
        <v>20</v>
      </c>
      <c r="U11" s="9">
        <v>1</v>
      </c>
      <c r="V11" s="8">
        <v>20</v>
      </c>
      <c r="W11" s="6" t="s">
        <v>6</v>
      </c>
      <c r="X11" s="6"/>
    </row>
    <row r="12" spans="1:24" ht="45" x14ac:dyDescent="0.25">
      <c r="A12" s="6" t="s">
        <v>58</v>
      </c>
      <c r="B12" s="6" t="s">
        <v>59</v>
      </c>
      <c r="C12" s="6" t="s">
        <v>29</v>
      </c>
      <c r="D12" s="23">
        <v>803046688001</v>
      </c>
      <c r="E12" s="6" t="s">
        <v>23</v>
      </c>
      <c r="F12" s="6" t="s">
        <v>24</v>
      </c>
      <c r="G12" s="61" t="s">
        <v>60</v>
      </c>
      <c r="H12" s="57"/>
      <c r="I12" s="6"/>
      <c r="J12" s="6"/>
      <c r="K12" s="6"/>
      <c r="L12" s="8">
        <v>0</v>
      </c>
      <c r="M12" s="6"/>
      <c r="N12" s="6"/>
      <c r="O12" s="6" t="s">
        <v>25</v>
      </c>
      <c r="P12" s="6" t="s">
        <v>6</v>
      </c>
      <c r="Q12" s="6" t="s">
        <v>61</v>
      </c>
      <c r="R12" s="6"/>
      <c r="S12" s="6"/>
      <c r="T12" s="6"/>
      <c r="U12" s="6"/>
      <c r="V12" s="8">
        <v>80</v>
      </c>
      <c r="W12" s="6" t="s">
        <v>6</v>
      </c>
      <c r="X12" s="6" t="s">
        <v>30</v>
      </c>
    </row>
    <row r="13" spans="1:24" ht="45" x14ac:dyDescent="0.25">
      <c r="A13" s="6" t="s">
        <v>58</v>
      </c>
      <c r="B13" s="6" t="s">
        <v>59</v>
      </c>
      <c r="C13" s="6" t="s">
        <v>31</v>
      </c>
      <c r="D13" s="23">
        <v>803090874001</v>
      </c>
      <c r="E13" s="6" t="s">
        <v>23</v>
      </c>
      <c r="F13" s="6" t="s">
        <v>24</v>
      </c>
      <c r="G13" s="61" t="s">
        <v>60</v>
      </c>
      <c r="H13" s="57"/>
      <c r="I13" s="6"/>
      <c r="J13" s="6"/>
      <c r="K13" s="6"/>
      <c r="L13" s="8">
        <v>0</v>
      </c>
      <c r="M13" s="6"/>
      <c r="N13" s="6"/>
      <c r="O13" s="6" t="s">
        <v>25</v>
      </c>
      <c r="P13" s="6" t="s">
        <v>6</v>
      </c>
      <c r="Q13" s="6" t="s">
        <v>61</v>
      </c>
      <c r="R13" s="6"/>
      <c r="S13" s="6"/>
      <c r="T13" s="6"/>
      <c r="U13" s="6"/>
      <c r="V13" s="8">
        <v>20</v>
      </c>
      <c r="W13" s="6" t="s">
        <v>6</v>
      </c>
      <c r="X13" s="6" t="s">
        <v>30</v>
      </c>
    </row>
    <row r="14" spans="1:24" ht="33.75" x14ac:dyDescent="0.25">
      <c r="A14" s="6" t="s">
        <v>62</v>
      </c>
      <c r="B14" s="6" t="s">
        <v>63</v>
      </c>
      <c r="C14" s="6"/>
      <c r="D14" s="23" t="s">
        <v>34</v>
      </c>
      <c r="E14" s="6"/>
      <c r="F14" s="6"/>
      <c r="G14" s="61" t="s">
        <v>60</v>
      </c>
      <c r="H14" s="57"/>
      <c r="I14" s="6"/>
      <c r="J14" s="6"/>
      <c r="K14" s="6"/>
      <c r="L14" s="8">
        <v>0</v>
      </c>
      <c r="M14" s="6"/>
      <c r="N14" s="6"/>
      <c r="O14" s="6" t="s">
        <v>35</v>
      </c>
      <c r="P14" s="6" t="s">
        <v>6</v>
      </c>
      <c r="Q14" s="6" t="s">
        <v>61</v>
      </c>
      <c r="R14" s="6"/>
      <c r="S14" s="6"/>
      <c r="T14" s="6"/>
      <c r="U14" s="6"/>
      <c r="V14" s="8">
        <v>4968.5600000000004</v>
      </c>
      <c r="W14" s="6" t="s">
        <v>6</v>
      </c>
      <c r="X14" s="6" t="s">
        <v>36</v>
      </c>
    </row>
    <row r="15" spans="1:24" x14ac:dyDescent="0.25">
      <c r="A15" s="6" t="s">
        <v>64</v>
      </c>
      <c r="B15" s="6" t="s">
        <v>65</v>
      </c>
      <c r="C15" s="6" t="s">
        <v>39</v>
      </c>
      <c r="D15" s="23">
        <v>802725449001</v>
      </c>
      <c r="E15" s="6" t="s">
        <v>23</v>
      </c>
      <c r="F15" s="6" t="s">
        <v>40</v>
      </c>
      <c r="G15" s="61" t="s">
        <v>6</v>
      </c>
      <c r="H15" s="57"/>
      <c r="I15" s="7">
        <v>45658</v>
      </c>
      <c r="J15" s="8">
        <v>33.24</v>
      </c>
      <c r="K15" s="8">
        <v>331.54</v>
      </c>
      <c r="L15" s="8">
        <v>331.54</v>
      </c>
      <c r="M15" s="8">
        <v>33.24</v>
      </c>
      <c r="N15" s="8">
        <v>298.3</v>
      </c>
      <c r="O15" s="6" t="s">
        <v>25</v>
      </c>
      <c r="P15" s="8">
        <v>331.54</v>
      </c>
      <c r="Q15" s="6" t="s">
        <v>41</v>
      </c>
      <c r="R15" s="6"/>
      <c r="S15" s="6"/>
      <c r="T15" s="12">
        <v>0.04</v>
      </c>
      <c r="U15" s="9">
        <v>1</v>
      </c>
      <c r="V15" s="8">
        <v>13.26</v>
      </c>
      <c r="W15" s="6" t="s">
        <v>6</v>
      </c>
      <c r="X15" s="6"/>
    </row>
    <row r="16" spans="1:24" ht="45" x14ac:dyDescent="0.25">
      <c r="A16" s="6" t="s">
        <v>66</v>
      </c>
      <c r="B16" s="6" t="s">
        <v>67</v>
      </c>
      <c r="C16" s="6" t="s">
        <v>44</v>
      </c>
      <c r="D16" s="23">
        <v>802732550001</v>
      </c>
      <c r="E16" s="6" t="s">
        <v>23</v>
      </c>
      <c r="F16" s="6" t="s">
        <v>24</v>
      </c>
      <c r="G16" s="61" t="s">
        <v>60</v>
      </c>
      <c r="H16" s="57"/>
      <c r="I16" s="6"/>
      <c r="J16" s="6"/>
      <c r="K16" s="6"/>
      <c r="L16" s="8">
        <v>0</v>
      </c>
      <c r="M16" s="6"/>
      <c r="N16" s="6"/>
      <c r="O16" s="6" t="s">
        <v>25</v>
      </c>
      <c r="P16" s="6" t="s">
        <v>6</v>
      </c>
      <c r="Q16" s="6" t="s">
        <v>61</v>
      </c>
      <c r="R16" s="6"/>
      <c r="S16" s="6"/>
      <c r="T16" s="6"/>
      <c r="U16" s="6"/>
      <c r="V16" s="8">
        <v>40</v>
      </c>
      <c r="W16" s="6" t="s">
        <v>6</v>
      </c>
      <c r="X16" s="6" t="s">
        <v>30</v>
      </c>
    </row>
    <row r="17" ht="10.7" customHeight="1" x14ac:dyDescent="0.25"/>
  </sheetData>
  <mergeCells count="14">
    <mergeCell ref="H1:J2"/>
    <mergeCell ref="A2:B3"/>
    <mergeCell ref="H3:J3"/>
    <mergeCell ref="A4:B4"/>
    <mergeCell ref="H4:J4"/>
    <mergeCell ref="G13:H13"/>
    <mergeCell ref="G14:H14"/>
    <mergeCell ref="G15:H15"/>
    <mergeCell ref="G16:H16"/>
    <mergeCell ref="A7:J7"/>
    <mergeCell ref="G9:H9"/>
    <mergeCell ref="G10:H10"/>
    <mergeCell ref="G11:H11"/>
    <mergeCell ref="G12:H12"/>
  </mergeCells>
  <pageMargins left="0.5" right="0.5" top="0.5" bottom="0.82599999999999996" header="0.5" footer="0.5"/>
  <pageSetup orientation="landscape" horizontalDpi="300" verticalDpi="300" r:id="rId1"/>
  <headerFooter alignWithMargins="0">
    <oddFooter>&amp;L&amp;"Calibri,Regular"&amp;8Page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heather's commission</vt:lpstr>
      <vt:lpstr>Sheet4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2025-01-23T17:55:27Z</dcterms:created>
  <dcterms:modified xsi:type="dcterms:W3CDTF">2025-02-26T20:49:40Z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