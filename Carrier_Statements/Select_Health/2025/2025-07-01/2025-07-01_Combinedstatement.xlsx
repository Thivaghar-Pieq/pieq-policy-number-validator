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elect health\2025\7-1-25\"/>
    </mc:Choice>
  </mc:AlternateContent>
  <xr:revisionPtr revIDLastSave="0" documentId="13_ncr:1_{EDC4831C-E201-4E0B-8707-ABB16C023CA6}" xr6:coauthVersionLast="47" xr6:coauthVersionMax="47" xr10:uidLastSave="{00000000-0000-0000-0000-000000000000}"/>
  <bookViews>
    <workbookView xWindow="29730" yWindow="2130" windowWidth="21600" windowHeight="13230" activeTab="3" xr2:uid="{00000000-000D-0000-FFFF-FFFF00000000}"/>
  </bookViews>
  <sheets>
    <sheet name="Sheet1" sheetId="1" r:id="rId1"/>
    <sheet name="Sheet3" sheetId="3" r:id="rId2"/>
    <sheet name="Sheet2" sheetId="2" r:id="rId3"/>
    <sheet name="Sheet4" sheetId="4" r:id="rId4"/>
  </sheets>
  <definedNames>
    <definedName name="_xlnm.Print_Titles" localSheetId="0">Sheet1!$1:$8</definedName>
    <definedName name="_xlnm.Print_Titles" localSheetId="2">Sheet2!$1:$8</definedName>
  </definedNames>
  <calcPr calcId="181029"/>
</workbook>
</file>

<file path=xl/calcChain.xml><?xml version="1.0" encoding="utf-8"?>
<calcChain xmlns="http://schemas.openxmlformats.org/spreadsheetml/2006/main">
  <c r="S42" i="4" l="1"/>
  <c r="R42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</calcChain>
</file>

<file path=xl/sharedStrings.xml><?xml version="1.0" encoding="utf-8"?>
<sst xmlns="http://schemas.openxmlformats.org/spreadsheetml/2006/main" count="1547" uniqueCount="212">
  <si>
    <t>COMMISSION STATEMENT</t>
  </si>
  <si>
    <t>July 2025</t>
  </si>
  <si>
    <t xml:space="preserve">MAIN LINE BENEFITS LLC - 20098
232 E KING ST  
MALVERN PA, 19355      </t>
  </si>
  <si>
    <r>
      <rPr>
        <b/>
        <sz val="8"/>
        <color rgb="FF110057"/>
        <rFont val="Calibri"/>
        <family val="2"/>
      </rPr>
      <t xml:space="preserve">FOR COMMISSION QUESTIONS 
</t>
    </r>
    <r>
      <rPr>
        <b/>
        <sz val="8"/>
        <color rgb="FF110057"/>
        <rFont val="Calibri"/>
        <family val="2"/>
      </rPr>
      <t>CALL 801-442-5870 OR E-MAIL COMMISSIONS@SELECTHEALTH.ORG</t>
    </r>
  </si>
  <si>
    <t>Please note that commissions are paid based on either premium paid or subscriber/member count for the specific premium month.</t>
  </si>
  <si>
    <t>CALTAGIRONE, RYAN - 20318 - COMMISSIONS</t>
  </si>
  <si>
    <t/>
  </si>
  <si>
    <t>ARRANGEMENT NAME</t>
  </si>
  <si>
    <t>ARRANGEMENT ID</t>
  </si>
  <si>
    <t>POLICY TYPE</t>
  </si>
  <si>
    <t>ST</t>
  </si>
  <si>
    <t>ADJ</t>
  </si>
  <si>
    <t>PYMT TYPE</t>
  </si>
  <si>
    <t>PREMIUM MONTH</t>
  </si>
  <si>
    <t>PREMIUM BILLED</t>
  </si>
  <si>
    <t>COMP BASE</t>
  </si>
  <si>
    <t>COMP TYPE</t>
  </si>
  <si>
    <t>SUBSCR COUNT</t>
  </si>
  <si>
    <t>MEMBER COUNT</t>
  </si>
  <si>
    <t>COMP RATE</t>
  </si>
  <si>
    <t>SPLIT</t>
  </si>
  <si>
    <t>COMP EARNED</t>
  </si>
  <si>
    <t xml:space="preserve">CULLIMORE, SHAYLEE                                                    </t>
  </si>
  <si>
    <t>803046688001</t>
  </si>
  <si>
    <t>INDV</t>
  </si>
  <si>
    <t>UT</t>
  </si>
  <si>
    <t>COMM</t>
  </si>
  <si>
    <t>PMPM</t>
  </si>
  <si>
    <t xml:space="preserve">HILL, JENNIFER                                                        </t>
  </si>
  <si>
    <t>803090874001</t>
  </si>
  <si>
    <t xml:space="preserve">THOMAS, RYAN                                                          </t>
  </si>
  <si>
    <t>802698506001</t>
  </si>
  <si>
    <t xml:space="preserve">USHIJIMA, RYOSUKE                                                     </t>
  </si>
  <si>
    <t>803246726001</t>
  </si>
  <si>
    <t>CALTAGIRONE, RYAN - 20318 - COMMISSIONS TOTAL</t>
  </si>
  <si>
    <t>GESKE, HEATHER - 22585 - COMMISSIONS</t>
  </si>
  <si>
    <t xml:space="preserve">            </t>
  </si>
  <si>
    <t>MDCR</t>
  </si>
  <si>
    <t xml:space="preserve">MEDICARE COLORADO - Commissions                                       </t>
  </si>
  <si>
    <t xml:space="preserve">ANDRUSZKA, REBECCA                                                    </t>
  </si>
  <si>
    <t>802878100001</t>
  </si>
  <si>
    <t>CO</t>
  </si>
  <si>
    <t>%Prem</t>
  </si>
  <si>
    <t xml:space="preserve">AYALA, ISABELLA                                                       </t>
  </si>
  <si>
    <t>803209950001</t>
  </si>
  <si>
    <t xml:space="preserve">BALDRASH, BUYANNEMEKH                                                 </t>
  </si>
  <si>
    <t>803124532001</t>
  </si>
  <si>
    <t xml:space="preserve">BARTLETT, KATHERINE                                                   </t>
  </si>
  <si>
    <t>802883368001</t>
  </si>
  <si>
    <t xml:space="preserve">BLOOM, ERIC B                                                         </t>
  </si>
  <si>
    <t>802896446001</t>
  </si>
  <si>
    <t xml:space="preserve">BOWLES, JASON M                                                       </t>
  </si>
  <si>
    <t>803256188001</t>
  </si>
  <si>
    <t xml:space="preserve">BRANNSTROM, ANJA                                                      </t>
  </si>
  <si>
    <t>802875000001</t>
  </si>
  <si>
    <t xml:space="preserve">BRIDGE, JENNIFER L                                                    </t>
  </si>
  <si>
    <t>803092864001</t>
  </si>
  <si>
    <t xml:space="preserve">BRINK, JENNA                                                          </t>
  </si>
  <si>
    <t>803226175001</t>
  </si>
  <si>
    <t xml:space="preserve">DEEMER, SABRINA M                                                     </t>
  </si>
  <si>
    <t>802981736001</t>
  </si>
  <si>
    <t xml:space="preserve">DODDS, KURT                                                           </t>
  </si>
  <si>
    <t>803173626001</t>
  </si>
  <si>
    <t xml:space="preserve">DONALD, CATE M                                                        </t>
  </si>
  <si>
    <t>803132511001</t>
  </si>
  <si>
    <t xml:space="preserve">EMERINE, KELLY                                                        </t>
  </si>
  <si>
    <t>803105663001</t>
  </si>
  <si>
    <t xml:space="preserve">FARNSWORTH, ETHAN                                                     </t>
  </si>
  <si>
    <t>803217184001</t>
  </si>
  <si>
    <t xml:space="preserve">FONTAINE, JILL M                                                      </t>
  </si>
  <si>
    <t>803279516001</t>
  </si>
  <si>
    <t xml:space="preserve">GATES, KAMINA                                                         </t>
  </si>
  <si>
    <t>802945691001</t>
  </si>
  <si>
    <t xml:space="preserve">GOLAY, TIMOTHY J                                                      </t>
  </si>
  <si>
    <t>802986110001</t>
  </si>
  <si>
    <t xml:space="preserve">GRAY, JUSTIN                                                          </t>
  </si>
  <si>
    <t>802971972001</t>
  </si>
  <si>
    <t xml:space="preserve">HOAK, DEBORAH J                                                       </t>
  </si>
  <si>
    <t>803102362001</t>
  </si>
  <si>
    <t xml:space="preserve">HOFFMASTER, DAVID J                                                   </t>
  </si>
  <si>
    <t>802921278001</t>
  </si>
  <si>
    <t xml:space="preserve">KURNIAWAN-MOY, LYDIA                                                  </t>
  </si>
  <si>
    <t>803058283001</t>
  </si>
  <si>
    <t xml:space="preserve">LEWIS, KATE M                                                         </t>
  </si>
  <si>
    <t>802998630001</t>
  </si>
  <si>
    <t xml:space="preserve">MANSFIELD, IAN S                                                      </t>
  </si>
  <si>
    <t>803030379001</t>
  </si>
  <si>
    <t xml:space="preserve">MENDEL, GREER                                                         </t>
  </si>
  <si>
    <t>803118558001</t>
  </si>
  <si>
    <t xml:space="preserve">MILLER, GABRIELLA A                                                   </t>
  </si>
  <si>
    <t>803102575001</t>
  </si>
  <si>
    <t xml:space="preserve">MONSON, ROLF                                                          </t>
  </si>
  <si>
    <t>803262901001</t>
  </si>
  <si>
    <t xml:space="preserve">OSBORNE, JOHN D                                                       </t>
  </si>
  <si>
    <t>802911081001</t>
  </si>
  <si>
    <t xml:space="preserve">PILLMANN, JOHN                                                        </t>
  </si>
  <si>
    <t>802995059001</t>
  </si>
  <si>
    <t xml:space="preserve">SCARBOROUGH, PAULA L                                                  </t>
  </si>
  <si>
    <t>803201761001</t>
  </si>
  <si>
    <t xml:space="preserve">SHAHAN, TRACI                                                         </t>
  </si>
  <si>
    <t>802995061001</t>
  </si>
  <si>
    <t xml:space="preserve">SHAPIRO, CHARLES S                                                    </t>
  </si>
  <si>
    <t>803086659001</t>
  </si>
  <si>
    <t xml:space="preserve">SPARKS, MATTHEW                                                       </t>
  </si>
  <si>
    <t>803156573001</t>
  </si>
  <si>
    <t xml:space="preserve">STYERS, APRIL D                                                       </t>
  </si>
  <si>
    <t>803267379001</t>
  </si>
  <si>
    <t xml:space="preserve">TAIT, SCOTT                                                           </t>
  </si>
  <si>
    <t>803173967001</t>
  </si>
  <si>
    <t xml:space="preserve">TAPPERT, SHERYL A                                                     </t>
  </si>
  <si>
    <t>803132235001</t>
  </si>
  <si>
    <t xml:space="preserve">WAGNER, LOGAN G                                                       </t>
  </si>
  <si>
    <t>803139701001</t>
  </si>
  <si>
    <t xml:space="preserve">YARBROUGH, MICAH J                                                    </t>
  </si>
  <si>
    <t>803191407001</t>
  </si>
  <si>
    <t>GESKE, HEATHER - 22585 - COMMISSIONS TOTAL</t>
  </si>
  <si>
    <t>ZANGARI, EUGENE - 20615 - COMMISSIONS</t>
  </si>
  <si>
    <t xml:space="preserve">ADAMS, TEARA                                                          </t>
  </si>
  <si>
    <t>802732550001</t>
  </si>
  <si>
    <t>ZANGARI, EUGENE - 20615 - COMMISSIONS TOTAL</t>
  </si>
  <si>
    <t>STATEMENT TOTAL</t>
  </si>
  <si>
    <t>Tabular Data</t>
  </si>
  <si>
    <t>AGENT NAME</t>
  </si>
  <si>
    <t>AGENT ID</t>
  </si>
  <si>
    <t>PREMIUM PAID</t>
  </si>
  <si>
    <t>PLAN YTD PREM TOTAL</t>
  </si>
  <si>
    <t>PLAN YTD PREM ONLY</t>
  </si>
  <si>
    <t>PLAN YTD APTC</t>
  </si>
  <si>
    <t>WRITING AGENT</t>
  </si>
  <si>
    <t>ADJ DESC</t>
  </si>
  <si>
    <t>CALTAGIRONE, RYAN</t>
  </si>
  <si>
    <t>20318C01</t>
  </si>
  <si>
    <t>GESKE, HEATHER</t>
  </si>
  <si>
    <t>22585M01</t>
  </si>
  <si>
    <t>ADJ*</t>
  </si>
  <si>
    <t>Other</t>
  </si>
  <si>
    <t>22585C01</t>
  </si>
  <si>
    <t>ZANGARI, EUGENE</t>
  </si>
  <si>
    <t>20615C01</t>
  </si>
  <si>
    <t>TOTAL COMMISSION:</t>
  </si>
  <si>
    <t xml:space="preserve">030 </t>
  </si>
  <si>
    <t>MAPD</t>
  </si>
  <si>
    <t>MA</t>
  </si>
  <si>
    <t>Electronic</t>
  </si>
  <si>
    <t>INITIAL</t>
  </si>
  <si>
    <t>THOMPSON JR RICHARD M</t>
  </si>
  <si>
    <t>803123414</t>
  </si>
  <si>
    <t xml:space="preserve">027 </t>
  </si>
  <si>
    <t>SUBER TERRIE A</t>
  </si>
  <si>
    <t>803072432</t>
  </si>
  <si>
    <t xml:space="preserve">028 </t>
  </si>
  <si>
    <t>ROBERTS WILLA R</t>
  </si>
  <si>
    <t>803141737</t>
  </si>
  <si>
    <t>PADEN MICHAEL R</t>
  </si>
  <si>
    <t>803224622</t>
  </si>
  <si>
    <t>PADEN BRENDA J</t>
  </si>
  <si>
    <t>803224623</t>
  </si>
  <si>
    <t>PDP</t>
  </si>
  <si>
    <t>MARTELLA DONALD E</t>
  </si>
  <si>
    <t>803078257</t>
  </si>
  <si>
    <t>Commission Adjustment</t>
  </si>
  <si>
    <t>LUEBBERS MELISSA A</t>
  </si>
  <si>
    <t>803079161</t>
  </si>
  <si>
    <t>1ST YEAR TERMINATION</t>
  </si>
  <si>
    <t>KERN KENNETH M</t>
  </si>
  <si>
    <t>803167980</t>
  </si>
  <si>
    <t>JACKSON MICHAEL R</t>
  </si>
  <si>
    <t>803168056</t>
  </si>
  <si>
    <t>HARMS DEBORAH S</t>
  </si>
  <si>
    <t>803265309</t>
  </si>
  <si>
    <t>NONE</t>
  </si>
  <si>
    <t>RENEWAL</t>
  </si>
  <si>
    <t>GEWORSKY NANCY R</t>
  </si>
  <si>
    <t>803076965</t>
  </si>
  <si>
    <t>DOYLE BRIAN J</t>
  </si>
  <si>
    <t>803168017</t>
  </si>
  <si>
    <t>CAPUTO CYNTHIA A</t>
  </si>
  <si>
    <t>803237352</t>
  </si>
  <si>
    <t>BRECHEISEN RAYMOND S</t>
  </si>
  <si>
    <t>803101991</t>
  </si>
  <si>
    <t>BEAMAN DENNIS J</t>
  </si>
  <si>
    <t>803223989</t>
  </si>
  <si>
    <t>BEAMAN DEEANN M</t>
  </si>
  <si>
    <t>803223990</t>
  </si>
  <si>
    <t>ADJUSTMENT REASON</t>
  </si>
  <si>
    <t xml:space="preserve">PBP </t>
  </si>
  <si>
    <t>COVERAGE EFFECTIVE</t>
  </si>
  <si>
    <t>CURRENT PLAN</t>
  </si>
  <si>
    <t xml:space="preserve">PRIOR PLAN </t>
  </si>
  <si>
    <t>COMMISSION  PERIOD</t>
  </si>
  <si>
    <r>
      <rPr>
        <sz val="8"/>
        <color rgb="FFFFFFFF"/>
        <rFont val="Calibri"/>
        <family val="2"/>
      </rPr>
      <t xml:space="preserve">ENROLLMENT
</t>
    </r>
    <r>
      <rPr>
        <sz val="8"/>
        <color rgb="FFFFFFFF"/>
        <rFont val="Calibri"/>
        <family val="2"/>
      </rPr>
      <t>TYPE</t>
    </r>
  </si>
  <si>
    <t>COMMISSION TYPE</t>
  </si>
  <si>
    <t>AMOUNT</t>
  </si>
  <si>
    <t>SUBSCRIBER NAME</t>
  </si>
  <si>
    <t>SUBSCRIBER ID</t>
  </si>
  <si>
    <t xml:space="preserve">LONGMONT, CO  80501      </t>
  </si>
  <si>
    <t xml:space="preserve">607 3RD AVE                             </t>
  </si>
  <si>
    <t>You may also email medicare.commissions@selecthealth.org</t>
  </si>
  <si>
    <t xml:space="preserve">GESKE, HEATHER                                         </t>
  </si>
  <si>
    <t>For Commission Questions call 801- 442-5870 or 800-442-8493</t>
  </si>
  <si>
    <t xml:space="preserve">BROKER ID: 22585M01    </t>
  </si>
  <si>
    <r>
      <rPr>
        <b/>
        <sz val="13"/>
        <color rgb="FF808080"/>
        <rFont val="Calibri"/>
        <family val="2"/>
      </rPr>
      <t xml:space="preserve">Commission Remittance Advice
</t>
    </r>
    <r>
      <rPr>
        <b/>
        <sz val="13"/>
        <color rgb="FF808080"/>
        <rFont val="Calibri"/>
        <family val="2"/>
      </rPr>
      <t>SelectHealth Medicare</t>
    </r>
  </si>
  <si>
    <t>PAYMENT PERIOD: 7/1/2025 - 7/31/2025</t>
  </si>
  <si>
    <t>PAID DATE: 7/9/2025</t>
  </si>
  <si>
    <t>[PMPM=2]</t>
  </si>
  <si>
    <t>[PMPM=4]</t>
  </si>
  <si>
    <t>[%/$=13.04]</t>
  </si>
  <si>
    <t>[%/$=313][prorate=1/12]</t>
  </si>
  <si>
    <t>[%/$=313][prorate=3/12]</t>
  </si>
  <si>
    <t>SH MAPD 2025*</t>
  </si>
  <si>
    <t>Select Health NV</t>
  </si>
  <si>
    <t>SH 2025 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</si>
</sst>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164" formatCode="[$-10409]mm/yyyy"/>
    <numFmt numFmtId="165" formatCode="[$-10409]&quot;$&quot;#,##0.00;\(&quot;$&quot;#,##0.00\)"/>
    <numFmt numFmtId="166" formatCode="[$-10409]#,##0%"/>
    <numFmt numFmtId="167" formatCode="[$-10409]#,##0.00%"/>
  </numFmts>
  <fonts count="1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8"/>
      <color rgb="FF110057"/>
      <name val="Calibri"/>
      <family val="2"/>
    </font>
    <font>
      <b/>
      <i/>
      <sz val="10"/>
      <color rgb="FF000000"/>
      <name val="Calibri"/>
      <family val="2"/>
    </font>
    <font>
      <sz val="10"/>
      <color rgb="FF000000"/>
      <name val="Arial"/>
      <family val="2"/>
    </font>
    <font>
      <sz val="8"/>
      <color rgb="FFFFFFFF"/>
      <name val="Calibri"/>
      <family val="2"/>
    </font>
    <font>
      <sz val="8"/>
      <color rgb="FF000000"/>
      <name val="Calibri"/>
      <family val="2"/>
    </font>
    <font>
      <b/>
      <sz val="10"/>
      <color rgb="FF000000"/>
      <name val="Arial"/>
      <family val="2"/>
    </font>
    <font>
      <b/>
      <sz val="8"/>
      <color rgb="FF000000"/>
      <name val="Calibri"/>
      <family val="2"/>
    </font>
    <font>
      <sz val="10"/>
      <color rgb="FF000000"/>
      <name val="Calibri"/>
      <family val="2"/>
    </font>
    <font>
      <sz val="10"/>
      <color rgb="FFC0C0C0"/>
      <name val="Calibri"/>
      <family val="2"/>
    </font>
    <font>
      <b/>
      <sz val="13"/>
      <color rgb="FF808080"/>
      <name val="Calibri"/>
      <family val="2"/>
    </font>
    <font>
      <sz val="8"/>
      <color rgb="FFFF0000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10057"/>
        <bgColor rgb="FF110057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696969"/>
      </bottom>
      <diagonal/>
    </border>
  </borders>
  <cellStyleXfs count="1">
    <xf numFmtId="0" fontId="0" fillId="0" borderId="0"/>
  </cellStyleXfs>
  <cellXfs count="64"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8" fillId="0" borderId="0" xfId="0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164" fontId="8" fillId="0" borderId="2" xfId="0" applyNumberFormat="1" applyFont="1" applyBorder="1" applyAlignment="1">
      <alignment vertical="top" wrapText="1" readingOrder="1"/>
    </xf>
    <xf numFmtId="165" fontId="8" fillId="0" borderId="2" xfId="0" applyNumberFormat="1" applyFont="1" applyBorder="1" applyAlignment="1">
      <alignment vertical="top" wrapText="1" readingOrder="1"/>
    </xf>
    <xf numFmtId="166" fontId="8" fillId="0" borderId="2" xfId="0" applyNumberFormat="1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8" fillId="0" borderId="2" xfId="0" applyFont="1" applyBorder="1" applyAlignment="1">
      <alignment horizontal="center" vertical="top" wrapText="1" readingOrder="1"/>
    </xf>
    <xf numFmtId="167" fontId="8" fillId="0" borderId="2" xfId="0" applyNumberFormat="1" applyFont="1" applyBorder="1" applyAlignment="1">
      <alignment vertical="top" wrapText="1" readingOrder="1"/>
    </xf>
    <xf numFmtId="0" fontId="2" fillId="0" borderId="2" xfId="0" applyFont="1" applyBorder="1" applyAlignment="1">
      <alignment horizontal="left"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165" fontId="10" fillId="0" borderId="2" xfId="0" applyNumberFormat="1" applyFont="1" applyBorder="1" applyAlignment="1">
      <alignment vertical="top" wrapText="1" readingOrder="1"/>
    </xf>
    <xf numFmtId="164" fontId="8" fillId="0" borderId="2" xfId="0" applyNumberFormat="1" applyFont="1" applyBorder="1" applyAlignment="1">
      <alignment horizontal="center" vertical="top" wrapText="1" readingOrder="1"/>
    </xf>
    <xf numFmtId="0" fontId="7" fillId="2" borderId="6" xfId="0" applyFont="1" applyFill="1" applyBorder="1" applyAlignment="1">
      <alignment horizontal="center"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165" fontId="2" fillId="0" borderId="0" xfId="0" applyNumberFormat="1" applyFont="1" applyAlignment="1">
      <alignment vertical="top" wrapText="1" readingOrder="1"/>
    </xf>
    <xf numFmtId="0" fontId="9" fillId="0" borderId="0" xfId="0" applyFont="1" applyAlignment="1">
      <alignment vertical="top" wrapText="1" readingOrder="1"/>
    </xf>
    <xf numFmtId="0" fontId="8" fillId="0" borderId="0" xfId="0" applyFon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165" fontId="3" fillId="0" borderId="0" xfId="0" applyNumberFormat="1" applyFont="1" applyAlignment="1">
      <alignment horizontal="right" vertical="top" wrapText="1" readingOrder="1"/>
    </xf>
    <xf numFmtId="165" fontId="3" fillId="0" borderId="0" xfId="0" applyNumberFormat="1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0" fontId="1" fillId="0" borderId="3" xfId="0" applyFont="1" applyBorder="1" applyAlignment="1">
      <alignment vertical="top" wrapText="1"/>
    </xf>
    <xf numFmtId="165" fontId="8" fillId="0" borderId="2" xfId="0" applyNumberFormat="1" applyFont="1" applyBorder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8" fillId="0" borderId="2" xfId="0" applyFont="1" applyBorder="1" applyAlignment="1">
      <alignment horizontal="center" vertical="top" wrapText="1" readingOrder="1"/>
    </xf>
    <xf numFmtId="0" fontId="1" fillId="0" borderId="4" xfId="0" applyFont="1" applyBorder="1" applyAlignment="1">
      <alignment vertical="top" wrapText="1"/>
    </xf>
    <xf numFmtId="0" fontId="5" fillId="0" borderId="0" xfId="0" applyFont="1" applyAlignment="1">
      <alignment vertical="top" wrapText="1" readingOrder="1"/>
    </xf>
    <xf numFmtId="0" fontId="2" fillId="0" borderId="0" xfId="0" applyFont="1" applyAlignment="1">
      <alignment horizontal="right" vertical="top" wrapText="1" readingOrder="1"/>
    </xf>
    <xf numFmtId="0" fontId="4" fillId="0" borderId="0" xfId="0" applyFont="1" applyAlignment="1">
      <alignment horizontal="right" vertical="top" wrapText="1" readingOrder="1"/>
    </xf>
    <xf numFmtId="0" fontId="11" fillId="0" borderId="0" xfId="0" applyFont="1" applyAlignment="1">
      <alignment vertical="top" wrapText="1" readingOrder="1"/>
    </xf>
    <xf numFmtId="0" fontId="13" fillId="0" borderId="7" xfId="0" applyFont="1" applyBorder="1" applyAlignment="1">
      <alignment vertical="top" wrapText="1" readingOrder="1"/>
    </xf>
    <xf numFmtId="0" fontId="1" fillId="0" borderId="7" xfId="0" applyFont="1" applyBorder="1" applyAlignment="1">
      <alignment vertical="top" wrapText="1"/>
    </xf>
    <xf numFmtId="0" fontId="12" fillId="0" borderId="0" xfId="0" applyFont="1" applyAlignment="1">
      <alignment horizontal="left" vertical="top" wrapText="1" readingOrder="1"/>
    </xf>
    <xf numFmtId="0" fontId="12" fillId="0" borderId="0" xfId="0" applyFont="1" applyAlignment="1">
      <alignment vertical="top" wrapText="1" readingOrder="1"/>
    </xf>
    <xf numFmtId="0" fontId="7" fillId="2" borderId="6" xfId="0" applyFont="1" applyFill="1" applyBorder="1" applyAlignment="1">
      <alignment horizontal="center" vertical="top" wrapText="1" readingOrder="1"/>
    </xf>
    <xf numFmtId="0" fontId="1" fillId="0" borderId="5" xfId="0" applyFont="1" applyBorder="1" applyAlignment="1">
      <alignment vertical="top" wrapText="1"/>
    </xf>
    <xf numFmtId="0" fontId="10" fillId="0" borderId="2" xfId="0" applyFont="1" applyBorder="1" applyAlignment="1">
      <alignment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0" fontId="7" fillId="2" borderId="2" xfId="0" applyFont="1" applyFill="1" applyBorder="1" applyAlignment="1">
      <alignment vertical="top" wrapText="1" readingOrder="1"/>
    </xf>
    <xf numFmtId="0" fontId="1" fillId="0" borderId="3" xfId="0" applyFont="1" applyBorder="1" applyAlignment="1">
      <alignment horizontal="right" vertical="top" wrapText="1"/>
    </xf>
    <xf numFmtId="14" fontId="1" fillId="0" borderId="3" xfId="0" applyNumberFormat="1" applyFont="1" applyBorder="1" applyAlignment="1">
      <alignment horizontal="right" vertical="top" wrapText="1"/>
    </xf>
    <xf numFmtId="14" fontId="8" fillId="0" borderId="2" xfId="0" applyNumberFormat="1" applyFont="1" applyBorder="1" applyAlignment="1">
      <alignment horizontal="right" vertical="top" wrapText="1" readingOrder="1"/>
    </xf>
    <xf numFmtId="0" fontId="1" fillId="0" borderId="0" xfId="0" applyFont="1" applyAlignment="1">
      <alignment horizontal="right"/>
    </xf>
    <xf numFmtId="14" fontId="7" fillId="2" borderId="2" xfId="0" applyNumberFormat="1" applyFont="1" applyFill="1" applyBorder="1" applyAlignment="1">
      <alignment vertical="top" wrapText="1" readingOrder="1"/>
    </xf>
    <xf numFmtId="14" fontId="8" fillId="0" borderId="2" xfId="0" applyNumberFormat="1" applyFont="1" applyBorder="1" applyAlignment="1">
      <alignment vertical="top" wrapText="1" readingOrder="1"/>
    </xf>
    <xf numFmtId="14" fontId="1" fillId="0" borderId="0" xfId="0" applyNumberFormat="1" applyFont="1"/>
    <xf numFmtId="1" fontId="8" fillId="0" borderId="2" xfId="0" applyNumberFormat="1" applyFont="1" applyBorder="1" applyAlignment="1">
      <alignment horizontal="left" vertical="top" wrapText="1" readingOrder="1"/>
    </xf>
    <xf numFmtId="0" fontId="14" fillId="0" borderId="2" xfId="0" applyFont="1" applyBorder="1" applyAlignment="1">
      <alignment vertical="top" wrapText="1" readingOrder="1"/>
    </xf>
    <xf numFmtId="0" fontId="15" fillId="0" borderId="0" xfId="0" applyFont="1"/>
    <xf numFmtId="1" fontId="14" fillId="0" borderId="2" xfId="0" applyNumberFormat="1" applyFont="1" applyBorder="1" applyAlignment="1">
      <alignment horizontal="left" vertical="top" wrapText="1" readingOrder="1"/>
    </xf>
    <xf numFmtId="14" fontId="14" fillId="0" borderId="2" xfId="0" applyNumberFormat="1" applyFont="1" applyBorder="1" applyAlignment="1">
      <alignment vertical="top" wrapText="1" readingOrder="1"/>
    </xf>
    <xf numFmtId="165" fontId="14" fillId="0" borderId="2" xfId="0" applyNumberFormat="1" applyFont="1" applyBorder="1" applyAlignment="1">
      <alignment vertical="top" wrapText="1" readingOrder="1"/>
    </xf>
    <xf numFmtId="7" fontId="1" fillId="0" borderId="0" xfId="0" applyNumberFormat="1" applyFont="1"/>
    <xf numFmtId="14" fontId="15" fillId="0" borderId="3" xfId="0" applyNumberFormat="1" applyFont="1" applyBorder="1" applyAlignment="1">
      <alignment horizontal="right" vertical="top" wrapText="1"/>
    </xf>
    <xf numFmtId="167" fontId="14" fillId="0" borderId="2" xfId="0" applyNumberFormat="1" applyFont="1" applyBorder="1" applyAlignment="1">
      <alignment vertical="top" wrapText="1" readingOrder="1"/>
    </xf>
    <xf numFmtId="166" fontId="14" fillId="0" borderId="2" xfId="0" applyNumberFormat="1" applyFont="1" applyBorder="1" applyAlignment="1">
      <alignment vertical="top" wrapText="1" readingOrder="1"/>
    </xf>
    <xf numFmtId="7" fontId="1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10057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1134139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461568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2BDDE4-E244-4870-BD4F-D5D3CF9AEEE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71168" cy="56767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1141227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5"/>
  <sheetViews>
    <sheetView showGridLines="0" workbookViewId="0">
      <pane ySplit="8" topLeftCell="A57" activePane="bottomLeft" state="frozen"/>
      <selection pane="bottomLeft"/>
    </sheetView>
  </sheetViews>
  <sheetFormatPr defaultRowHeight="15" x14ac:dyDescent="0.25"/>
  <cols>
    <col min="1" max="1" width="18.42578125" customWidth="1"/>
    <col min="2" max="2" width="11.7109375" customWidth="1"/>
    <col min="3" max="3" width="5.42578125" customWidth="1"/>
    <col min="4" max="4" width="3.85546875" customWidth="1"/>
    <col min="5" max="5" width="0.5703125" customWidth="1"/>
    <col min="6" max="6" width="3.85546875" customWidth="1"/>
    <col min="7" max="7" width="5.7109375" customWidth="1"/>
    <col min="8" max="8" width="7.42578125" customWidth="1"/>
    <col min="9" max="9" width="10.5703125" customWidth="1"/>
    <col min="10" max="10" width="9.42578125" customWidth="1"/>
    <col min="11" max="11" width="7.140625" customWidth="1"/>
    <col min="12" max="12" width="4.85546875" customWidth="1"/>
    <col min="13" max="13" width="1.7109375" customWidth="1"/>
    <col min="14" max="14" width="8" customWidth="1"/>
    <col min="15" max="15" width="7.140625" customWidth="1"/>
    <col min="16" max="16" width="4.85546875" customWidth="1"/>
    <col min="17" max="17" width="4.28515625" customWidth="1"/>
    <col min="18" max="18" width="3.85546875" customWidth="1"/>
    <col min="19" max="19" width="161.42578125" customWidth="1"/>
  </cols>
  <sheetData>
    <row r="1" spans="1:18" x14ac:dyDescent="0.25">
      <c r="M1" s="34" t="s">
        <v>0</v>
      </c>
      <c r="N1" s="19"/>
      <c r="O1" s="19"/>
      <c r="P1" s="19"/>
      <c r="Q1" s="19"/>
    </row>
    <row r="2" spans="1:18" ht="17.25" customHeight="1" x14ac:dyDescent="0.25">
      <c r="A2" s="19"/>
      <c r="B2" s="19"/>
      <c r="C2" s="19"/>
      <c r="D2" s="19"/>
      <c r="E2" s="19"/>
      <c r="M2" s="19"/>
      <c r="N2" s="19"/>
      <c r="O2" s="19"/>
      <c r="P2" s="19"/>
      <c r="Q2" s="19"/>
    </row>
    <row r="3" spans="1:18" ht="18.75" customHeight="1" x14ac:dyDescent="0.25">
      <c r="A3" s="19"/>
      <c r="B3" s="19"/>
      <c r="C3" s="19"/>
      <c r="D3" s="19"/>
      <c r="E3" s="19"/>
      <c r="M3" s="34" t="s">
        <v>1</v>
      </c>
      <c r="N3" s="19"/>
      <c r="O3" s="19"/>
      <c r="P3" s="19"/>
      <c r="Q3" s="19"/>
    </row>
    <row r="4" spans="1:18" ht="35.450000000000003" customHeight="1" x14ac:dyDescent="0.25">
      <c r="A4" s="23" t="s">
        <v>2</v>
      </c>
      <c r="B4" s="19"/>
      <c r="C4" s="19"/>
      <c r="D4" s="19"/>
      <c r="E4" s="19"/>
      <c r="M4" s="35" t="s">
        <v>3</v>
      </c>
      <c r="N4" s="19"/>
      <c r="O4" s="19"/>
      <c r="P4" s="19"/>
      <c r="Q4" s="19"/>
    </row>
    <row r="5" spans="1:18" ht="5.0999999999999996" customHeight="1" x14ac:dyDescent="0.25"/>
    <row r="6" spans="1:18" ht="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8" ht="16.7" customHeight="1" x14ac:dyDescent="0.25">
      <c r="A7" s="33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8" ht="5.0999999999999996" customHeight="1" x14ac:dyDescent="0.25"/>
    <row r="9" spans="1:18" x14ac:dyDescent="0.25">
      <c r="A9" s="23" t="s">
        <v>5</v>
      </c>
      <c r="B9" s="19"/>
      <c r="C9" s="19"/>
      <c r="D9" s="19"/>
      <c r="E9" s="19"/>
      <c r="F9" s="19"/>
      <c r="G9" s="19"/>
      <c r="H9" s="19"/>
      <c r="I9" s="3" t="s">
        <v>6</v>
      </c>
      <c r="J9" s="3" t="s">
        <v>6</v>
      </c>
      <c r="K9" s="3" t="s">
        <v>6</v>
      </c>
      <c r="L9" s="29" t="s">
        <v>6</v>
      </c>
      <c r="M9" s="19"/>
      <c r="N9" s="3" t="s">
        <v>6</v>
      </c>
      <c r="O9" s="3" t="s">
        <v>6</v>
      </c>
      <c r="P9" s="3" t="s">
        <v>6</v>
      </c>
      <c r="Q9" s="29" t="s">
        <v>6</v>
      </c>
      <c r="R9" s="19"/>
    </row>
    <row r="10" spans="1:18" ht="22.5" x14ac:dyDescent="0.25">
      <c r="A10" s="4" t="s">
        <v>7</v>
      </c>
      <c r="B10" s="4" t="s">
        <v>8</v>
      </c>
      <c r="C10" s="4" t="s">
        <v>9</v>
      </c>
      <c r="D10" s="4" t="s">
        <v>10</v>
      </c>
      <c r="E10" s="30" t="s">
        <v>11</v>
      </c>
      <c r="F10" s="27"/>
      <c r="G10" s="4" t="s">
        <v>12</v>
      </c>
      <c r="H10" s="4" t="s">
        <v>13</v>
      </c>
      <c r="I10" s="4" t="s">
        <v>14</v>
      </c>
      <c r="J10" s="4" t="s">
        <v>15</v>
      </c>
      <c r="K10" s="4" t="s">
        <v>16</v>
      </c>
      <c r="L10" s="30" t="s">
        <v>17</v>
      </c>
      <c r="M10" s="27"/>
      <c r="N10" s="4" t="s">
        <v>18</v>
      </c>
      <c r="O10" s="4" t="s">
        <v>19</v>
      </c>
      <c r="P10" s="4" t="s">
        <v>20</v>
      </c>
      <c r="Q10" s="30" t="s">
        <v>21</v>
      </c>
      <c r="R10" s="27"/>
    </row>
    <row r="11" spans="1:18" x14ac:dyDescent="0.25">
      <c r="A11" s="5" t="s">
        <v>6</v>
      </c>
      <c r="B11" s="5" t="s">
        <v>6</v>
      </c>
      <c r="C11" s="5" t="s">
        <v>6</v>
      </c>
      <c r="D11" s="5" t="s">
        <v>6</v>
      </c>
      <c r="E11" s="22" t="s">
        <v>6</v>
      </c>
      <c r="F11" s="19"/>
      <c r="G11" s="5" t="s">
        <v>6</v>
      </c>
      <c r="H11" s="5" t="s">
        <v>6</v>
      </c>
      <c r="I11" s="5" t="s">
        <v>6</v>
      </c>
      <c r="J11" s="5" t="s">
        <v>6</v>
      </c>
      <c r="K11" s="5" t="s">
        <v>6</v>
      </c>
      <c r="L11" s="22" t="s">
        <v>6</v>
      </c>
      <c r="M11" s="19"/>
      <c r="N11" s="5" t="s">
        <v>6</v>
      </c>
      <c r="O11" s="5" t="s">
        <v>6</v>
      </c>
      <c r="P11" s="5" t="s">
        <v>6</v>
      </c>
      <c r="Q11" s="22" t="s">
        <v>6</v>
      </c>
      <c r="R11" s="19"/>
    </row>
    <row r="12" spans="1:18" x14ac:dyDescent="0.25">
      <c r="A12" s="6" t="s">
        <v>22</v>
      </c>
      <c r="B12" s="6" t="s">
        <v>23</v>
      </c>
      <c r="C12" s="6" t="s">
        <v>24</v>
      </c>
      <c r="D12" s="6" t="s">
        <v>25</v>
      </c>
      <c r="E12" s="26" t="s">
        <v>6</v>
      </c>
      <c r="F12" s="27"/>
      <c r="G12" s="6" t="s">
        <v>26</v>
      </c>
      <c r="H12" s="7">
        <v>45839</v>
      </c>
      <c r="I12" s="8">
        <v>0</v>
      </c>
      <c r="J12" s="6" t="s">
        <v>6</v>
      </c>
      <c r="K12" s="6" t="s">
        <v>27</v>
      </c>
      <c r="L12" s="26"/>
      <c r="M12" s="27"/>
      <c r="N12" s="6">
        <v>4</v>
      </c>
      <c r="O12" s="8">
        <v>20</v>
      </c>
      <c r="P12" s="9">
        <v>1</v>
      </c>
      <c r="Q12" s="28">
        <v>80</v>
      </c>
      <c r="R12" s="27"/>
    </row>
    <row r="13" spans="1:18" x14ac:dyDescent="0.25">
      <c r="A13" s="6" t="s">
        <v>28</v>
      </c>
      <c r="B13" s="6" t="s">
        <v>29</v>
      </c>
      <c r="C13" s="6" t="s">
        <v>24</v>
      </c>
      <c r="D13" s="6" t="s">
        <v>25</v>
      </c>
      <c r="E13" s="26" t="s">
        <v>6</v>
      </c>
      <c r="F13" s="27"/>
      <c r="G13" s="6" t="s">
        <v>26</v>
      </c>
      <c r="H13" s="7">
        <v>45839</v>
      </c>
      <c r="I13" s="8">
        <v>159.87</v>
      </c>
      <c r="J13" s="6" t="s">
        <v>6</v>
      </c>
      <c r="K13" s="6" t="s">
        <v>27</v>
      </c>
      <c r="L13" s="26"/>
      <c r="M13" s="27"/>
      <c r="N13" s="6">
        <v>1</v>
      </c>
      <c r="O13" s="8">
        <v>20</v>
      </c>
      <c r="P13" s="9">
        <v>1</v>
      </c>
      <c r="Q13" s="28">
        <v>20</v>
      </c>
      <c r="R13" s="27"/>
    </row>
    <row r="14" spans="1:18" x14ac:dyDescent="0.25">
      <c r="A14" s="6" t="s">
        <v>30</v>
      </c>
      <c r="B14" s="6" t="s">
        <v>31</v>
      </c>
      <c r="C14" s="6" t="s">
        <v>24</v>
      </c>
      <c r="D14" s="6" t="s">
        <v>25</v>
      </c>
      <c r="E14" s="26" t="s">
        <v>6</v>
      </c>
      <c r="F14" s="27"/>
      <c r="G14" s="6" t="s">
        <v>26</v>
      </c>
      <c r="H14" s="7">
        <v>45839</v>
      </c>
      <c r="I14" s="8">
        <v>61.47</v>
      </c>
      <c r="J14" s="6" t="s">
        <v>6</v>
      </c>
      <c r="K14" s="6" t="s">
        <v>27</v>
      </c>
      <c r="L14" s="26"/>
      <c r="M14" s="27"/>
      <c r="N14" s="6">
        <v>1</v>
      </c>
      <c r="O14" s="8">
        <v>20</v>
      </c>
      <c r="P14" s="9">
        <v>1</v>
      </c>
      <c r="Q14" s="28">
        <v>20</v>
      </c>
      <c r="R14" s="27"/>
    </row>
    <row r="15" spans="1:18" x14ac:dyDescent="0.25">
      <c r="A15" s="6" t="s">
        <v>32</v>
      </c>
      <c r="B15" s="6" t="s">
        <v>33</v>
      </c>
      <c r="C15" s="6" t="s">
        <v>24</v>
      </c>
      <c r="D15" s="6" t="s">
        <v>25</v>
      </c>
      <c r="E15" s="26" t="s">
        <v>6</v>
      </c>
      <c r="F15" s="27"/>
      <c r="G15" s="6" t="s">
        <v>26</v>
      </c>
      <c r="H15" s="7">
        <v>45839</v>
      </c>
      <c r="I15" s="8">
        <v>134.1</v>
      </c>
      <c r="J15" s="6" t="s">
        <v>6</v>
      </c>
      <c r="K15" s="6" t="s">
        <v>27</v>
      </c>
      <c r="L15" s="26"/>
      <c r="M15" s="27"/>
      <c r="N15" s="6">
        <v>2</v>
      </c>
      <c r="O15" s="8">
        <v>20</v>
      </c>
      <c r="P15" s="9">
        <v>1</v>
      </c>
      <c r="Q15" s="28">
        <v>40</v>
      </c>
      <c r="R15" s="27"/>
    </row>
    <row r="16" spans="1:18" x14ac:dyDescent="0.25">
      <c r="A16" s="5" t="s">
        <v>6</v>
      </c>
      <c r="B16" s="5" t="s">
        <v>6</v>
      </c>
      <c r="C16" s="5" t="s">
        <v>6</v>
      </c>
      <c r="D16" s="5" t="s">
        <v>6</v>
      </c>
      <c r="E16" s="22" t="s">
        <v>6</v>
      </c>
      <c r="F16" s="19"/>
      <c r="G16" s="5" t="s">
        <v>6</v>
      </c>
      <c r="H16" s="5" t="s">
        <v>6</v>
      </c>
      <c r="I16" s="5" t="s">
        <v>6</v>
      </c>
      <c r="J16" s="5" t="s">
        <v>6</v>
      </c>
      <c r="K16" s="5" t="s">
        <v>6</v>
      </c>
      <c r="L16" s="22" t="s">
        <v>6</v>
      </c>
      <c r="M16" s="19"/>
      <c r="N16" s="5" t="s">
        <v>6</v>
      </c>
      <c r="O16" s="5" t="s">
        <v>6</v>
      </c>
      <c r="P16" s="5" t="s">
        <v>6</v>
      </c>
      <c r="Q16" s="22" t="s">
        <v>6</v>
      </c>
      <c r="R16" s="19"/>
    </row>
    <row r="17" spans="1:18" x14ac:dyDescent="0.25">
      <c r="A17" s="23" t="s">
        <v>34</v>
      </c>
      <c r="B17" s="19"/>
      <c r="C17" s="19"/>
      <c r="D17" s="19"/>
      <c r="E17" s="19"/>
      <c r="F17" s="19"/>
      <c r="G17" s="19"/>
      <c r="H17" s="19"/>
      <c r="I17" s="24">
        <v>355.44</v>
      </c>
      <c r="J17" s="19"/>
      <c r="K17" s="1" t="s">
        <v>6</v>
      </c>
      <c r="L17" s="23" t="s">
        <v>6</v>
      </c>
      <c r="M17" s="19"/>
      <c r="N17" s="1" t="s">
        <v>6</v>
      </c>
      <c r="O17" s="25">
        <v>160</v>
      </c>
      <c r="P17" s="19"/>
      <c r="Q17" s="19"/>
      <c r="R17" s="19"/>
    </row>
    <row r="18" spans="1:18" x14ac:dyDescent="0.25">
      <c r="A18" s="10" t="s">
        <v>6</v>
      </c>
      <c r="B18" s="10" t="s">
        <v>6</v>
      </c>
      <c r="C18" s="10" t="s">
        <v>6</v>
      </c>
      <c r="D18" s="10" t="s">
        <v>6</v>
      </c>
      <c r="E18" s="18" t="s">
        <v>6</v>
      </c>
      <c r="F18" s="19"/>
      <c r="G18" s="10" t="s">
        <v>6</v>
      </c>
      <c r="H18" s="10" t="s">
        <v>6</v>
      </c>
      <c r="I18" s="10" t="s">
        <v>6</v>
      </c>
      <c r="J18" s="10" t="s">
        <v>6</v>
      </c>
      <c r="K18" s="10" t="s">
        <v>6</v>
      </c>
      <c r="L18" s="18" t="s">
        <v>6</v>
      </c>
      <c r="M18" s="19"/>
      <c r="N18" s="10" t="s">
        <v>6</v>
      </c>
      <c r="O18" s="10" t="s">
        <v>6</v>
      </c>
      <c r="P18" s="10" t="s">
        <v>6</v>
      </c>
      <c r="Q18" s="21" t="s">
        <v>6</v>
      </c>
      <c r="R18" s="19"/>
    </row>
    <row r="19" spans="1:18" x14ac:dyDescent="0.25">
      <c r="A19" s="10" t="s">
        <v>6</v>
      </c>
      <c r="B19" s="10" t="s">
        <v>6</v>
      </c>
      <c r="C19" s="10" t="s">
        <v>6</v>
      </c>
      <c r="D19" s="10" t="s">
        <v>6</v>
      </c>
      <c r="E19" s="18" t="s">
        <v>6</v>
      </c>
      <c r="F19" s="19"/>
      <c r="G19" s="10" t="s">
        <v>6</v>
      </c>
      <c r="H19" s="10" t="s">
        <v>6</v>
      </c>
      <c r="I19" s="10" t="s">
        <v>6</v>
      </c>
      <c r="J19" s="10" t="s">
        <v>6</v>
      </c>
      <c r="K19" s="10" t="s">
        <v>6</v>
      </c>
      <c r="L19" s="18" t="s">
        <v>6</v>
      </c>
      <c r="M19" s="19"/>
      <c r="N19" s="10" t="s">
        <v>6</v>
      </c>
      <c r="O19" s="10" t="s">
        <v>6</v>
      </c>
      <c r="P19" s="10" t="s">
        <v>6</v>
      </c>
      <c r="Q19" s="21" t="s">
        <v>6</v>
      </c>
      <c r="R19" s="19"/>
    </row>
    <row r="20" spans="1:18" x14ac:dyDescent="0.25">
      <c r="A20" s="23" t="s">
        <v>35</v>
      </c>
      <c r="B20" s="19"/>
      <c r="C20" s="19"/>
      <c r="D20" s="19"/>
      <c r="E20" s="19"/>
      <c r="F20" s="19"/>
      <c r="G20" s="19"/>
      <c r="H20" s="19"/>
      <c r="I20" s="3" t="s">
        <v>6</v>
      </c>
      <c r="J20" s="3" t="s">
        <v>6</v>
      </c>
      <c r="K20" s="3" t="s">
        <v>6</v>
      </c>
      <c r="L20" s="29" t="s">
        <v>6</v>
      </c>
      <c r="M20" s="19"/>
      <c r="N20" s="3" t="s">
        <v>6</v>
      </c>
      <c r="O20" s="3" t="s">
        <v>6</v>
      </c>
      <c r="P20" s="3" t="s">
        <v>6</v>
      </c>
      <c r="Q20" s="29" t="s">
        <v>6</v>
      </c>
      <c r="R20" s="19"/>
    </row>
    <row r="21" spans="1:18" ht="22.5" x14ac:dyDescent="0.25">
      <c r="A21" s="4" t="s">
        <v>7</v>
      </c>
      <c r="B21" s="4" t="s">
        <v>8</v>
      </c>
      <c r="C21" s="4" t="s">
        <v>9</v>
      </c>
      <c r="D21" s="4" t="s">
        <v>10</v>
      </c>
      <c r="E21" s="30" t="s">
        <v>11</v>
      </c>
      <c r="F21" s="27"/>
      <c r="G21" s="4" t="s">
        <v>12</v>
      </c>
      <c r="H21" s="4" t="s">
        <v>13</v>
      </c>
      <c r="I21" s="4" t="s">
        <v>14</v>
      </c>
      <c r="J21" s="4" t="s">
        <v>15</v>
      </c>
      <c r="K21" s="4" t="s">
        <v>16</v>
      </c>
      <c r="L21" s="30" t="s">
        <v>17</v>
      </c>
      <c r="M21" s="27"/>
      <c r="N21" s="4" t="s">
        <v>18</v>
      </c>
      <c r="O21" s="4" t="s">
        <v>19</v>
      </c>
      <c r="P21" s="4" t="s">
        <v>20</v>
      </c>
      <c r="Q21" s="30" t="s">
        <v>21</v>
      </c>
      <c r="R21" s="27"/>
    </row>
    <row r="22" spans="1:18" x14ac:dyDescent="0.25">
      <c r="A22" s="5" t="s">
        <v>6</v>
      </c>
      <c r="B22" s="5" t="s">
        <v>6</v>
      </c>
      <c r="C22" s="5" t="s">
        <v>6</v>
      </c>
      <c r="D22" s="5" t="s">
        <v>6</v>
      </c>
      <c r="E22" s="22" t="s">
        <v>6</v>
      </c>
      <c r="F22" s="19"/>
      <c r="G22" s="5" t="s">
        <v>6</v>
      </c>
      <c r="H22" s="5" t="s">
        <v>6</v>
      </c>
      <c r="I22" s="5" t="s">
        <v>6</v>
      </c>
      <c r="J22" s="5" t="s">
        <v>6</v>
      </c>
      <c r="K22" s="5" t="s">
        <v>6</v>
      </c>
      <c r="L22" s="22" t="s">
        <v>6</v>
      </c>
      <c r="M22" s="19"/>
      <c r="N22" s="5" t="s">
        <v>6</v>
      </c>
      <c r="O22" s="5" t="s">
        <v>6</v>
      </c>
      <c r="P22" s="5" t="s">
        <v>6</v>
      </c>
      <c r="Q22" s="22" t="s">
        <v>6</v>
      </c>
      <c r="R22" s="19"/>
    </row>
    <row r="23" spans="1:18" x14ac:dyDescent="0.25">
      <c r="A23" s="6"/>
      <c r="B23" s="6" t="s">
        <v>36</v>
      </c>
      <c r="C23" s="6"/>
      <c r="D23" s="11"/>
      <c r="E23" s="31" t="s">
        <v>11</v>
      </c>
      <c r="F23" s="27"/>
      <c r="G23" s="6" t="s">
        <v>37</v>
      </c>
      <c r="H23" s="26" t="s">
        <v>38</v>
      </c>
      <c r="I23" s="32"/>
      <c r="J23" s="32"/>
      <c r="K23" s="32"/>
      <c r="L23" s="32"/>
      <c r="M23" s="32"/>
      <c r="N23" s="32"/>
      <c r="O23" s="32"/>
      <c r="P23" s="27"/>
      <c r="Q23" s="28">
        <v>-169.6</v>
      </c>
      <c r="R23" s="27"/>
    </row>
    <row r="24" spans="1:18" x14ac:dyDescent="0.25">
      <c r="A24" s="6" t="s">
        <v>39</v>
      </c>
      <c r="B24" s="6" t="s">
        <v>40</v>
      </c>
      <c r="C24" s="6" t="s">
        <v>24</v>
      </c>
      <c r="D24" s="6" t="s">
        <v>41</v>
      </c>
      <c r="E24" s="26" t="s">
        <v>6</v>
      </c>
      <c r="F24" s="27"/>
      <c r="G24" s="6" t="s">
        <v>26</v>
      </c>
      <c r="H24" s="7">
        <v>45839</v>
      </c>
      <c r="I24" s="8">
        <v>402.8</v>
      </c>
      <c r="J24" s="8">
        <v>429.11</v>
      </c>
      <c r="K24" s="6" t="s">
        <v>42</v>
      </c>
      <c r="L24" s="26"/>
      <c r="M24" s="27"/>
      <c r="N24" s="6"/>
      <c r="O24" s="12">
        <v>4.2500000000000003E-2</v>
      </c>
      <c r="P24" s="9">
        <v>1</v>
      </c>
      <c r="Q24" s="28">
        <v>18.239999999999998</v>
      </c>
      <c r="R24" s="27"/>
    </row>
    <row r="25" spans="1:18" x14ac:dyDescent="0.25">
      <c r="A25" s="6" t="s">
        <v>43</v>
      </c>
      <c r="B25" s="6" t="s">
        <v>44</v>
      </c>
      <c r="C25" s="6" t="s">
        <v>24</v>
      </c>
      <c r="D25" s="6" t="s">
        <v>41</v>
      </c>
      <c r="E25" s="26" t="s">
        <v>6</v>
      </c>
      <c r="F25" s="27"/>
      <c r="G25" s="6" t="s">
        <v>26</v>
      </c>
      <c r="H25" s="7">
        <v>45839</v>
      </c>
      <c r="I25" s="8">
        <v>227.34</v>
      </c>
      <c r="J25" s="8">
        <v>227.34</v>
      </c>
      <c r="K25" s="6" t="s">
        <v>42</v>
      </c>
      <c r="L25" s="26"/>
      <c r="M25" s="27"/>
      <c r="N25" s="6"/>
      <c r="O25" s="12">
        <v>4.2500000000000003E-2</v>
      </c>
      <c r="P25" s="9">
        <v>1</v>
      </c>
      <c r="Q25" s="28">
        <v>9.66</v>
      </c>
      <c r="R25" s="27"/>
    </row>
    <row r="26" spans="1:18" ht="22.5" x14ac:dyDescent="0.25">
      <c r="A26" s="6" t="s">
        <v>45</v>
      </c>
      <c r="B26" s="6" t="s">
        <v>46</v>
      </c>
      <c r="C26" s="6" t="s">
        <v>24</v>
      </c>
      <c r="D26" s="6" t="s">
        <v>41</v>
      </c>
      <c r="E26" s="26" t="s">
        <v>6</v>
      </c>
      <c r="F26" s="27"/>
      <c r="G26" s="6" t="s">
        <v>26</v>
      </c>
      <c r="H26" s="7">
        <v>45839</v>
      </c>
      <c r="I26" s="8">
        <v>96.39</v>
      </c>
      <c r="J26" s="8">
        <v>1200.46</v>
      </c>
      <c r="K26" s="6" t="s">
        <v>42</v>
      </c>
      <c r="L26" s="26"/>
      <c r="M26" s="27"/>
      <c r="N26" s="6"/>
      <c r="O26" s="12">
        <v>4.2500000000000003E-2</v>
      </c>
      <c r="P26" s="9">
        <v>1</v>
      </c>
      <c r="Q26" s="28">
        <v>51.02</v>
      </c>
      <c r="R26" s="27"/>
    </row>
    <row r="27" spans="1:18" x14ac:dyDescent="0.25">
      <c r="A27" s="6" t="s">
        <v>47</v>
      </c>
      <c r="B27" s="6" t="s">
        <v>48</v>
      </c>
      <c r="C27" s="6" t="s">
        <v>24</v>
      </c>
      <c r="D27" s="6" t="s">
        <v>41</v>
      </c>
      <c r="E27" s="26" t="s">
        <v>6</v>
      </c>
      <c r="F27" s="27"/>
      <c r="G27" s="6" t="s">
        <v>26</v>
      </c>
      <c r="H27" s="7">
        <v>45839</v>
      </c>
      <c r="I27" s="8">
        <v>185.14</v>
      </c>
      <c r="J27" s="8">
        <v>1114.97</v>
      </c>
      <c r="K27" s="6" t="s">
        <v>42</v>
      </c>
      <c r="L27" s="26"/>
      <c r="M27" s="27"/>
      <c r="N27" s="6"/>
      <c r="O27" s="12">
        <v>4.2500000000000003E-2</v>
      </c>
      <c r="P27" s="9">
        <v>1</v>
      </c>
      <c r="Q27" s="28">
        <v>47.38</v>
      </c>
      <c r="R27" s="27"/>
    </row>
    <row r="28" spans="1:18" x14ac:dyDescent="0.25">
      <c r="A28" s="6" t="s">
        <v>49</v>
      </c>
      <c r="B28" s="6" t="s">
        <v>50</v>
      </c>
      <c r="C28" s="6" t="s">
        <v>24</v>
      </c>
      <c r="D28" s="6" t="s">
        <v>41</v>
      </c>
      <c r="E28" s="26" t="s">
        <v>6</v>
      </c>
      <c r="F28" s="27"/>
      <c r="G28" s="6" t="s">
        <v>26</v>
      </c>
      <c r="H28" s="7">
        <v>45839</v>
      </c>
      <c r="I28" s="8">
        <v>362.43</v>
      </c>
      <c r="J28" s="8">
        <v>403.26</v>
      </c>
      <c r="K28" s="6" t="s">
        <v>42</v>
      </c>
      <c r="L28" s="26"/>
      <c r="M28" s="27"/>
      <c r="N28" s="6"/>
      <c r="O28" s="12">
        <v>4.2500000000000003E-2</v>
      </c>
      <c r="P28" s="9">
        <v>1</v>
      </c>
      <c r="Q28" s="28">
        <v>17.14</v>
      </c>
      <c r="R28" s="27"/>
    </row>
    <row r="29" spans="1:18" x14ac:dyDescent="0.25">
      <c r="A29" s="6" t="s">
        <v>51</v>
      </c>
      <c r="B29" s="6" t="s">
        <v>52</v>
      </c>
      <c r="C29" s="6" t="s">
        <v>24</v>
      </c>
      <c r="D29" s="6" t="s">
        <v>41</v>
      </c>
      <c r="E29" s="26" t="s">
        <v>6</v>
      </c>
      <c r="F29" s="27"/>
      <c r="G29" s="6" t="s">
        <v>26</v>
      </c>
      <c r="H29" s="7">
        <v>45839</v>
      </c>
      <c r="I29" s="8">
        <v>804.4</v>
      </c>
      <c r="J29" s="8">
        <v>945.9</v>
      </c>
      <c r="K29" s="6" t="s">
        <v>42</v>
      </c>
      <c r="L29" s="26"/>
      <c r="M29" s="27"/>
      <c r="N29" s="6"/>
      <c r="O29" s="12">
        <v>4.2500000000000003E-2</v>
      </c>
      <c r="P29" s="9">
        <v>1</v>
      </c>
      <c r="Q29" s="28">
        <v>40.200000000000003</v>
      </c>
      <c r="R29" s="27"/>
    </row>
    <row r="30" spans="1:18" x14ac:dyDescent="0.25">
      <c r="A30" s="6" t="s">
        <v>53</v>
      </c>
      <c r="B30" s="6" t="s">
        <v>54</v>
      </c>
      <c r="C30" s="6" t="s">
        <v>24</v>
      </c>
      <c r="D30" s="6" t="s">
        <v>41</v>
      </c>
      <c r="E30" s="26" t="s">
        <v>6</v>
      </c>
      <c r="F30" s="27"/>
      <c r="G30" s="6" t="s">
        <v>26</v>
      </c>
      <c r="H30" s="7">
        <v>45839</v>
      </c>
      <c r="I30" s="8">
        <v>183.76</v>
      </c>
      <c r="J30" s="8">
        <v>580.08000000000004</v>
      </c>
      <c r="K30" s="6" t="s">
        <v>42</v>
      </c>
      <c r="L30" s="26"/>
      <c r="M30" s="27"/>
      <c r="N30" s="6"/>
      <c r="O30" s="12">
        <v>4.2500000000000003E-2</v>
      </c>
      <c r="P30" s="9">
        <v>1</v>
      </c>
      <c r="Q30" s="28">
        <v>24.66</v>
      </c>
      <c r="R30" s="27"/>
    </row>
    <row r="31" spans="1:18" x14ac:dyDescent="0.25">
      <c r="A31" s="6" t="s">
        <v>55</v>
      </c>
      <c r="B31" s="6" t="s">
        <v>56</v>
      </c>
      <c r="C31" s="6" t="s">
        <v>24</v>
      </c>
      <c r="D31" s="6" t="s">
        <v>41</v>
      </c>
      <c r="E31" s="26" t="s">
        <v>6</v>
      </c>
      <c r="F31" s="27"/>
      <c r="G31" s="6" t="s">
        <v>26</v>
      </c>
      <c r="H31" s="7">
        <v>45839</v>
      </c>
      <c r="I31" s="8">
        <v>368.23</v>
      </c>
      <c r="J31" s="8">
        <v>815.27</v>
      </c>
      <c r="K31" s="6" t="s">
        <v>42</v>
      </c>
      <c r="L31" s="26"/>
      <c r="M31" s="27"/>
      <c r="N31" s="6"/>
      <c r="O31" s="12">
        <v>4.2500000000000003E-2</v>
      </c>
      <c r="P31" s="9">
        <v>1</v>
      </c>
      <c r="Q31" s="28">
        <v>34.65</v>
      </c>
      <c r="R31" s="27"/>
    </row>
    <row r="32" spans="1:18" x14ac:dyDescent="0.25">
      <c r="A32" s="6" t="s">
        <v>57</v>
      </c>
      <c r="B32" s="6" t="s">
        <v>58</v>
      </c>
      <c r="C32" s="6" t="s">
        <v>24</v>
      </c>
      <c r="D32" s="6" t="s">
        <v>41</v>
      </c>
      <c r="E32" s="26" t="s">
        <v>6</v>
      </c>
      <c r="F32" s="27"/>
      <c r="G32" s="6" t="s">
        <v>26</v>
      </c>
      <c r="H32" s="7">
        <v>45839</v>
      </c>
      <c r="I32" s="8">
        <v>140.75</v>
      </c>
      <c r="J32" s="8">
        <v>663.78</v>
      </c>
      <c r="K32" s="6" t="s">
        <v>42</v>
      </c>
      <c r="L32" s="26"/>
      <c r="M32" s="27"/>
      <c r="N32" s="6"/>
      <c r="O32" s="12">
        <v>4.2500000000000003E-2</v>
      </c>
      <c r="P32" s="9">
        <v>1</v>
      </c>
      <c r="Q32" s="28">
        <v>28.21</v>
      </c>
      <c r="R32" s="27"/>
    </row>
    <row r="33" spans="1:18" x14ac:dyDescent="0.25">
      <c r="A33" s="6" t="s">
        <v>59</v>
      </c>
      <c r="B33" s="6" t="s">
        <v>60</v>
      </c>
      <c r="C33" s="6" t="s">
        <v>24</v>
      </c>
      <c r="D33" s="6" t="s">
        <v>41</v>
      </c>
      <c r="E33" s="26" t="s">
        <v>6</v>
      </c>
      <c r="F33" s="27"/>
      <c r="G33" s="6" t="s">
        <v>26</v>
      </c>
      <c r="H33" s="7">
        <v>45839</v>
      </c>
      <c r="I33" s="8">
        <v>311.43</v>
      </c>
      <c r="J33" s="8">
        <v>311.43</v>
      </c>
      <c r="K33" s="6" t="s">
        <v>42</v>
      </c>
      <c r="L33" s="26"/>
      <c r="M33" s="27"/>
      <c r="N33" s="6"/>
      <c r="O33" s="12">
        <v>4.2500000000000003E-2</v>
      </c>
      <c r="P33" s="9">
        <v>1</v>
      </c>
      <c r="Q33" s="28">
        <v>13.23</v>
      </c>
      <c r="R33" s="27"/>
    </row>
    <row r="34" spans="1:18" x14ac:dyDescent="0.25">
      <c r="A34" s="6" t="s">
        <v>61</v>
      </c>
      <c r="B34" s="6" t="s">
        <v>62</v>
      </c>
      <c r="C34" s="6" t="s">
        <v>24</v>
      </c>
      <c r="D34" s="6" t="s">
        <v>41</v>
      </c>
      <c r="E34" s="26" t="s">
        <v>6</v>
      </c>
      <c r="F34" s="27"/>
      <c r="G34" s="6" t="s">
        <v>26</v>
      </c>
      <c r="H34" s="7">
        <v>45839</v>
      </c>
      <c r="I34" s="8">
        <v>1857.62</v>
      </c>
      <c r="J34" s="8">
        <v>1925.14</v>
      </c>
      <c r="K34" s="6" t="s">
        <v>42</v>
      </c>
      <c r="L34" s="26"/>
      <c r="M34" s="27"/>
      <c r="N34" s="6"/>
      <c r="O34" s="12">
        <v>4.2500000000000003E-2</v>
      </c>
      <c r="P34" s="9">
        <v>1</v>
      </c>
      <c r="Q34" s="28">
        <v>81.819999999999993</v>
      </c>
      <c r="R34" s="27"/>
    </row>
    <row r="35" spans="1:18" x14ac:dyDescent="0.25">
      <c r="A35" s="6" t="s">
        <v>63</v>
      </c>
      <c r="B35" s="6" t="s">
        <v>64</v>
      </c>
      <c r="C35" s="6" t="s">
        <v>24</v>
      </c>
      <c r="D35" s="6" t="s">
        <v>41</v>
      </c>
      <c r="E35" s="26" t="s">
        <v>6</v>
      </c>
      <c r="F35" s="27"/>
      <c r="G35" s="6" t="s">
        <v>26</v>
      </c>
      <c r="H35" s="7">
        <v>45839</v>
      </c>
      <c r="I35" s="8">
        <v>323.83999999999997</v>
      </c>
      <c r="J35" s="8">
        <v>518.69000000000005</v>
      </c>
      <c r="K35" s="6" t="s">
        <v>42</v>
      </c>
      <c r="L35" s="26"/>
      <c r="M35" s="27"/>
      <c r="N35" s="6"/>
      <c r="O35" s="12">
        <v>4.2500000000000003E-2</v>
      </c>
      <c r="P35" s="9">
        <v>1</v>
      </c>
      <c r="Q35" s="28">
        <v>22.05</v>
      </c>
      <c r="R35" s="27"/>
    </row>
    <row r="36" spans="1:18" x14ac:dyDescent="0.25">
      <c r="A36" s="6" t="s">
        <v>65</v>
      </c>
      <c r="B36" s="6" t="s">
        <v>66</v>
      </c>
      <c r="C36" s="6" t="s">
        <v>24</v>
      </c>
      <c r="D36" s="6" t="s">
        <v>41</v>
      </c>
      <c r="E36" s="26" t="s">
        <v>6</v>
      </c>
      <c r="F36" s="27"/>
      <c r="G36" s="6" t="s">
        <v>26</v>
      </c>
      <c r="H36" s="7">
        <v>45839</v>
      </c>
      <c r="I36" s="8">
        <v>490.8</v>
      </c>
      <c r="J36" s="8">
        <v>835.05</v>
      </c>
      <c r="K36" s="6" t="s">
        <v>42</v>
      </c>
      <c r="L36" s="26"/>
      <c r="M36" s="27"/>
      <c r="N36" s="6"/>
      <c r="O36" s="12">
        <v>4.2500000000000003E-2</v>
      </c>
      <c r="P36" s="9">
        <v>1</v>
      </c>
      <c r="Q36" s="28">
        <v>35.49</v>
      </c>
      <c r="R36" s="27"/>
    </row>
    <row r="37" spans="1:18" x14ac:dyDescent="0.25">
      <c r="A37" s="6" t="s">
        <v>67</v>
      </c>
      <c r="B37" s="6" t="s">
        <v>68</v>
      </c>
      <c r="C37" s="6" t="s">
        <v>24</v>
      </c>
      <c r="D37" s="6" t="s">
        <v>41</v>
      </c>
      <c r="E37" s="26" t="s">
        <v>6</v>
      </c>
      <c r="F37" s="27"/>
      <c r="G37" s="6" t="s">
        <v>26</v>
      </c>
      <c r="H37" s="7">
        <v>45839</v>
      </c>
      <c r="I37" s="8">
        <v>183.45</v>
      </c>
      <c r="J37" s="8">
        <v>341.71</v>
      </c>
      <c r="K37" s="6" t="s">
        <v>42</v>
      </c>
      <c r="L37" s="26"/>
      <c r="M37" s="27"/>
      <c r="N37" s="6"/>
      <c r="O37" s="12">
        <v>4.2500000000000003E-2</v>
      </c>
      <c r="P37" s="9">
        <v>1</v>
      </c>
      <c r="Q37" s="28">
        <v>14.53</v>
      </c>
      <c r="R37" s="27"/>
    </row>
    <row r="38" spans="1:18" x14ac:dyDescent="0.25">
      <c r="A38" s="6" t="s">
        <v>69</v>
      </c>
      <c r="B38" s="6" t="s">
        <v>70</v>
      </c>
      <c r="C38" s="6" t="s">
        <v>24</v>
      </c>
      <c r="D38" s="6" t="s">
        <v>41</v>
      </c>
      <c r="E38" s="26" t="s">
        <v>6</v>
      </c>
      <c r="F38" s="27"/>
      <c r="G38" s="6" t="s">
        <v>26</v>
      </c>
      <c r="H38" s="7">
        <v>45839</v>
      </c>
      <c r="I38" s="8">
        <v>710.14</v>
      </c>
      <c r="J38" s="8">
        <v>815.84</v>
      </c>
      <c r="K38" s="6" t="s">
        <v>42</v>
      </c>
      <c r="L38" s="26"/>
      <c r="M38" s="27"/>
      <c r="N38" s="6"/>
      <c r="O38" s="12">
        <v>4.2500000000000003E-2</v>
      </c>
      <c r="P38" s="9">
        <v>1</v>
      </c>
      <c r="Q38" s="28">
        <v>34.67</v>
      </c>
      <c r="R38" s="27"/>
    </row>
    <row r="39" spans="1:18" x14ac:dyDescent="0.25">
      <c r="A39" s="6" t="s">
        <v>71</v>
      </c>
      <c r="B39" s="6" t="s">
        <v>72</v>
      </c>
      <c r="C39" s="6" t="s">
        <v>24</v>
      </c>
      <c r="D39" s="6" t="s">
        <v>41</v>
      </c>
      <c r="E39" s="26" t="s">
        <v>6</v>
      </c>
      <c r="F39" s="27"/>
      <c r="G39" s="6" t="s">
        <v>26</v>
      </c>
      <c r="H39" s="7">
        <v>45839</v>
      </c>
      <c r="I39" s="8">
        <v>77.36</v>
      </c>
      <c r="J39" s="8">
        <v>430.75</v>
      </c>
      <c r="K39" s="6" t="s">
        <v>42</v>
      </c>
      <c r="L39" s="26"/>
      <c r="M39" s="27"/>
      <c r="N39" s="6"/>
      <c r="O39" s="12">
        <v>4.2500000000000003E-2</v>
      </c>
      <c r="P39" s="9">
        <v>1</v>
      </c>
      <c r="Q39" s="28">
        <v>18.309999999999999</v>
      </c>
      <c r="R39" s="27"/>
    </row>
    <row r="40" spans="1:18" x14ac:dyDescent="0.25">
      <c r="A40" s="6" t="s">
        <v>73</v>
      </c>
      <c r="B40" s="6" t="s">
        <v>74</v>
      </c>
      <c r="C40" s="6" t="s">
        <v>24</v>
      </c>
      <c r="D40" s="6" t="s">
        <v>41</v>
      </c>
      <c r="E40" s="26" t="s">
        <v>6</v>
      </c>
      <c r="F40" s="27"/>
      <c r="G40" s="6" t="s">
        <v>26</v>
      </c>
      <c r="H40" s="7">
        <v>45839</v>
      </c>
      <c r="I40" s="8">
        <v>159.22</v>
      </c>
      <c r="J40" s="8">
        <v>1735.31</v>
      </c>
      <c r="K40" s="6" t="s">
        <v>42</v>
      </c>
      <c r="L40" s="26"/>
      <c r="M40" s="27"/>
      <c r="N40" s="6"/>
      <c r="O40" s="12">
        <v>4.2500000000000003E-2</v>
      </c>
      <c r="P40" s="9">
        <v>1</v>
      </c>
      <c r="Q40" s="28">
        <v>73.75</v>
      </c>
      <c r="R40" s="27"/>
    </row>
    <row r="41" spans="1:18" x14ac:dyDescent="0.25">
      <c r="A41" s="6" t="s">
        <v>75</v>
      </c>
      <c r="B41" s="6" t="s">
        <v>76</v>
      </c>
      <c r="C41" s="6" t="s">
        <v>24</v>
      </c>
      <c r="D41" s="6" t="s">
        <v>41</v>
      </c>
      <c r="E41" s="26" t="s">
        <v>6</v>
      </c>
      <c r="F41" s="27"/>
      <c r="G41" s="6" t="s">
        <v>26</v>
      </c>
      <c r="H41" s="7">
        <v>45839</v>
      </c>
      <c r="I41" s="8">
        <v>70.55</v>
      </c>
      <c r="J41" s="8">
        <v>464.48</v>
      </c>
      <c r="K41" s="6" t="s">
        <v>42</v>
      </c>
      <c r="L41" s="26"/>
      <c r="M41" s="27"/>
      <c r="N41" s="6"/>
      <c r="O41" s="12">
        <v>4.2500000000000003E-2</v>
      </c>
      <c r="P41" s="9">
        <v>1</v>
      </c>
      <c r="Q41" s="28">
        <v>19.739999999999998</v>
      </c>
      <c r="R41" s="27"/>
    </row>
    <row r="42" spans="1:18" x14ac:dyDescent="0.25">
      <c r="A42" s="6" t="s">
        <v>77</v>
      </c>
      <c r="B42" s="6" t="s">
        <v>78</v>
      </c>
      <c r="C42" s="6" t="s">
        <v>24</v>
      </c>
      <c r="D42" s="6" t="s">
        <v>41</v>
      </c>
      <c r="E42" s="26" t="s">
        <v>6</v>
      </c>
      <c r="F42" s="27"/>
      <c r="G42" s="6" t="s">
        <v>26</v>
      </c>
      <c r="H42" s="7">
        <v>45839</v>
      </c>
      <c r="I42" s="8">
        <v>33.31</v>
      </c>
      <c r="J42" s="8">
        <v>724.2</v>
      </c>
      <c r="K42" s="6" t="s">
        <v>42</v>
      </c>
      <c r="L42" s="26"/>
      <c r="M42" s="27"/>
      <c r="N42" s="6"/>
      <c r="O42" s="12">
        <v>4.2500000000000003E-2</v>
      </c>
      <c r="P42" s="9">
        <v>1</v>
      </c>
      <c r="Q42" s="28">
        <v>30.78</v>
      </c>
      <c r="R42" s="27"/>
    </row>
    <row r="43" spans="1:18" x14ac:dyDescent="0.25">
      <c r="A43" s="6" t="s">
        <v>79</v>
      </c>
      <c r="B43" s="6" t="s">
        <v>80</v>
      </c>
      <c r="C43" s="6" t="s">
        <v>24</v>
      </c>
      <c r="D43" s="6" t="s">
        <v>41</v>
      </c>
      <c r="E43" s="26" t="s">
        <v>6</v>
      </c>
      <c r="F43" s="27"/>
      <c r="G43" s="6" t="s">
        <v>26</v>
      </c>
      <c r="H43" s="7">
        <v>45839</v>
      </c>
      <c r="I43" s="8">
        <v>835.95</v>
      </c>
      <c r="J43" s="8">
        <v>1644.24</v>
      </c>
      <c r="K43" s="6" t="s">
        <v>42</v>
      </c>
      <c r="L43" s="26"/>
      <c r="M43" s="27"/>
      <c r="N43" s="6"/>
      <c r="O43" s="12">
        <v>4.2500000000000003E-2</v>
      </c>
      <c r="P43" s="9">
        <v>1</v>
      </c>
      <c r="Q43" s="28">
        <v>69.88</v>
      </c>
      <c r="R43" s="27"/>
    </row>
    <row r="44" spans="1:18" x14ac:dyDescent="0.25">
      <c r="A44" s="6" t="s">
        <v>81</v>
      </c>
      <c r="B44" s="6" t="s">
        <v>82</v>
      </c>
      <c r="C44" s="6" t="s">
        <v>24</v>
      </c>
      <c r="D44" s="6" t="s">
        <v>41</v>
      </c>
      <c r="E44" s="26" t="s">
        <v>6</v>
      </c>
      <c r="F44" s="27"/>
      <c r="G44" s="6" t="s">
        <v>26</v>
      </c>
      <c r="H44" s="7">
        <v>45839</v>
      </c>
      <c r="I44" s="8">
        <v>558.5</v>
      </c>
      <c r="J44" s="8">
        <v>1428.21</v>
      </c>
      <c r="K44" s="6" t="s">
        <v>42</v>
      </c>
      <c r="L44" s="26"/>
      <c r="M44" s="27"/>
      <c r="N44" s="6"/>
      <c r="O44" s="12">
        <v>4.2500000000000003E-2</v>
      </c>
      <c r="P44" s="9">
        <v>1</v>
      </c>
      <c r="Q44" s="28">
        <v>60.7</v>
      </c>
      <c r="R44" s="27"/>
    </row>
    <row r="45" spans="1:18" x14ac:dyDescent="0.25">
      <c r="A45" s="6" t="s">
        <v>83</v>
      </c>
      <c r="B45" s="6" t="s">
        <v>84</v>
      </c>
      <c r="C45" s="6" t="s">
        <v>24</v>
      </c>
      <c r="D45" s="6" t="s">
        <v>41</v>
      </c>
      <c r="E45" s="26" t="s">
        <v>6</v>
      </c>
      <c r="F45" s="27"/>
      <c r="G45" s="6" t="s">
        <v>26</v>
      </c>
      <c r="H45" s="7">
        <v>45839</v>
      </c>
      <c r="I45" s="8">
        <v>2</v>
      </c>
      <c r="J45" s="8">
        <v>795.49</v>
      </c>
      <c r="K45" s="6" t="s">
        <v>42</v>
      </c>
      <c r="L45" s="26"/>
      <c r="M45" s="27"/>
      <c r="N45" s="6"/>
      <c r="O45" s="12">
        <v>4.2500000000000003E-2</v>
      </c>
      <c r="P45" s="9">
        <v>1</v>
      </c>
      <c r="Q45" s="28">
        <v>33.799999999999997</v>
      </c>
      <c r="R45" s="27"/>
    </row>
    <row r="46" spans="1:18" x14ac:dyDescent="0.25">
      <c r="A46" s="6" t="s">
        <v>85</v>
      </c>
      <c r="B46" s="6" t="s">
        <v>86</v>
      </c>
      <c r="C46" s="6" t="s">
        <v>24</v>
      </c>
      <c r="D46" s="6" t="s">
        <v>41</v>
      </c>
      <c r="E46" s="26" t="s">
        <v>6</v>
      </c>
      <c r="F46" s="27"/>
      <c r="G46" s="6" t="s">
        <v>26</v>
      </c>
      <c r="H46" s="7">
        <v>45839</v>
      </c>
      <c r="I46" s="8">
        <v>35.770000000000003</v>
      </c>
      <c r="J46" s="8">
        <v>371.66</v>
      </c>
      <c r="K46" s="6" t="s">
        <v>42</v>
      </c>
      <c r="L46" s="26"/>
      <c r="M46" s="27"/>
      <c r="N46" s="6"/>
      <c r="O46" s="12">
        <v>4.2500000000000003E-2</v>
      </c>
      <c r="P46" s="9">
        <v>1</v>
      </c>
      <c r="Q46" s="28">
        <v>15.79</v>
      </c>
      <c r="R46" s="27"/>
    </row>
    <row r="47" spans="1:18" x14ac:dyDescent="0.25">
      <c r="A47" s="6" t="s">
        <v>87</v>
      </c>
      <c r="B47" s="6" t="s">
        <v>88</v>
      </c>
      <c r="C47" s="6" t="s">
        <v>24</v>
      </c>
      <c r="D47" s="6" t="s">
        <v>41</v>
      </c>
      <c r="E47" s="26" t="s">
        <v>6</v>
      </c>
      <c r="F47" s="27"/>
      <c r="G47" s="6" t="s">
        <v>26</v>
      </c>
      <c r="H47" s="7">
        <v>45839</v>
      </c>
      <c r="I47" s="8">
        <v>837.82</v>
      </c>
      <c r="J47" s="8">
        <v>1061.78</v>
      </c>
      <c r="K47" s="6" t="s">
        <v>42</v>
      </c>
      <c r="L47" s="26"/>
      <c r="M47" s="27"/>
      <c r="N47" s="6"/>
      <c r="O47" s="12">
        <v>4.2500000000000003E-2</v>
      </c>
      <c r="P47" s="9">
        <v>1</v>
      </c>
      <c r="Q47" s="28">
        <v>45.12</v>
      </c>
      <c r="R47" s="27"/>
    </row>
    <row r="48" spans="1:18" x14ac:dyDescent="0.25">
      <c r="A48" s="6" t="s">
        <v>89</v>
      </c>
      <c r="B48" s="6" t="s">
        <v>90</v>
      </c>
      <c r="C48" s="6" t="s">
        <v>24</v>
      </c>
      <c r="D48" s="6" t="s">
        <v>41</v>
      </c>
      <c r="E48" s="26" t="s">
        <v>6</v>
      </c>
      <c r="F48" s="27"/>
      <c r="G48" s="6" t="s">
        <v>26</v>
      </c>
      <c r="H48" s="7">
        <v>45839</v>
      </c>
      <c r="I48" s="8">
        <v>123.04</v>
      </c>
      <c r="J48" s="8">
        <v>385.61</v>
      </c>
      <c r="K48" s="6" t="s">
        <v>42</v>
      </c>
      <c r="L48" s="26"/>
      <c r="M48" s="27"/>
      <c r="N48" s="6"/>
      <c r="O48" s="12">
        <v>4.2500000000000003E-2</v>
      </c>
      <c r="P48" s="9">
        <v>1</v>
      </c>
      <c r="Q48" s="28">
        <v>16.39</v>
      </c>
      <c r="R48" s="27"/>
    </row>
    <row r="49" spans="1:18" x14ac:dyDescent="0.25">
      <c r="A49" s="6" t="s">
        <v>91</v>
      </c>
      <c r="B49" s="6" t="s">
        <v>92</v>
      </c>
      <c r="C49" s="6" t="s">
        <v>24</v>
      </c>
      <c r="D49" s="6" t="s">
        <v>41</v>
      </c>
      <c r="E49" s="26" t="s">
        <v>6</v>
      </c>
      <c r="F49" s="27"/>
      <c r="G49" s="6" t="s">
        <v>26</v>
      </c>
      <c r="H49" s="7">
        <v>45809</v>
      </c>
      <c r="I49" s="8">
        <v>776.45</v>
      </c>
      <c r="J49" s="8">
        <v>1021.05</v>
      </c>
      <c r="K49" s="6" t="s">
        <v>42</v>
      </c>
      <c r="L49" s="26"/>
      <c r="M49" s="27"/>
      <c r="N49" s="6"/>
      <c r="O49" s="12">
        <v>4.2500000000000003E-2</v>
      </c>
      <c r="P49" s="9">
        <v>1</v>
      </c>
      <c r="Q49" s="28">
        <v>43.4</v>
      </c>
      <c r="R49" s="27"/>
    </row>
    <row r="50" spans="1:18" x14ac:dyDescent="0.25">
      <c r="A50" s="6" t="s">
        <v>91</v>
      </c>
      <c r="B50" s="6" t="s">
        <v>92</v>
      </c>
      <c r="C50" s="6" t="s">
        <v>24</v>
      </c>
      <c r="D50" s="6" t="s">
        <v>41</v>
      </c>
      <c r="E50" s="26" t="s">
        <v>6</v>
      </c>
      <c r="F50" s="27"/>
      <c r="G50" s="6" t="s">
        <v>26</v>
      </c>
      <c r="H50" s="7">
        <v>45839</v>
      </c>
      <c r="I50" s="8">
        <v>776.45</v>
      </c>
      <c r="J50" s="8">
        <v>1021.05</v>
      </c>
      <c r="K50" s="6" t="s">
        <v>42</v>
      </c>
      <c r="L50" s="26"/>
      <c r="M50" s="27"/>
      <c r="N50" s="6"/>
      <c r="O50" s="12">
        <v>4.2500000000000003E-2</v>
      </c>
      <c r="P50" s="9">
        <v>1</v>
      </c>
      <c r="Q50" s="28">
        <v>43.39</v>
      </c>
      <c r="R50" s="27"/>
    </row>
    <row r="51" spans="1:18" x14ac:dyDescent="0.25">
      <c r="A51" s="6" t="s">
        <v>93</v>
      </c>
      <c r="B51" s="6" t="s">
        <v>94</v>
      </c>
      <c r="C51" s="6" t="s">
        <v>24</v>
      </c>
      <c r="D51" s="6" t="s">
        <v>41</v>
      </c>
      <c r="E51" s="26" t="s">
        <v>6</v>
      </c>
      <c r="F51" s="27"/>
      <c r="G51" s="6" t="s">
        <v>26</v>
      </c>
      <c r="H51" s="7">
        <v>45839</v>
      </c>
      <c r="I51" s="8">
        <v>981.33</v>
      </c>
      <c r="J51" s="8">
        <v>1485.9</v>
      </c>
      <c r="K51" s="6" t="s">
        <v>42</v>
      </c>
      <c r="L51" s="26"/>
      <c r="M51" s="27"/>
      <c r="N51" s="6"/>
      <c r="O51" s="12">
        <v>4.2500000000000003E-2</v>
      </c>
      <c r="P51" s="9">
        <v>1</v>
      </c>
      <c r="Q51" s="28">
        <v>63.15</v>
      </c>
      <c r="R51" s="27"/>
    </row>
    <row r="52" spans="1:18" x14ac:dyDescent="0.25">
      <c r="A52" s="6" t="s">
        <v>95</v>
      </c>
      <c r="B52" s="6" t="s">
        <v>96</v>
      </c>
      <c r="C52" s="6" t="s">
        <v>24</v>
      </c>
      <c r="D52" s="6" t="s">
        <v>41</v>
      </c>
      <c r="E52" s="26" t="s">
        <v>6</v>
      </c>
      <c r="F52" s="27"/>
      <c r="G52" s="6" t="s">
        <v>26</v>
      </c>
      <c r="H52" s="7">
        <v>45839</v>
      </c>
      <c r="I52" s="8">
        <v>569.22</v>
      </c>
      <c r="J52" s="8">
        <v>1066.72</v>
      </c>
      <c r="K52" s="6" t="s">
        <v>42</v>
      </c>
      <c r="L52" s="26"/>
      <c r="M52" s="27"/>
      <c r="N52" s="6"/>
      <c r="O52" s="12">
        <v>4.2500000000000003E-2</v>
      </c>
      <c r="P52" s="9">
        <v>1</v>
      </c>
      <c r="Q52" s="28">
        <v>45.34</v>
      </c>
      <c r="R52" s="27"/>
    </row>
    <row r="53" spans="1:18" x14ac:dyDescent="0.25">
      <c r="A53" s="6" t="s">
        <v>97</v>
      </c>
      <c r="B53" s="6" t="s">
        <v>98</v>
      </c>
      <c r="C53" s="6" t="s">
        <v>24</v>
      </c>
      <c r="D53" s="6" t="s">
        <v>41</v>
      </c>
      <c r="E53" s="26" t="s">
        <v>6</v>
      </c>
      <c r="F53" s="27"/>
      <c r="G53" s="6" t="s">
        <v>26</v>
      </c>
      <c r="H53" s="7">
        <v>45839</v>
      </c>
      <c r="I53" s="8">
        <v>113.69</v>
      </c>
      <c r="J53" s="8">
        <v>853.77</v>
      </c>
      <c r="K53" s="6" t="s">
        <v>42</v>
      </c>
      <c r="L53" s="26"/>
      <c r="M53" s="27"/>
      <c r="N53" s="6"/>
      <c r="O53" s="12">
        <v>4.2500000000000003E-2</v>
      </c>
      <c r="P53" s="9">
        <v>1</v>
      </c>
      <c r="Q53" s="28">
        <v>36.28</v>
      </c>
      <c r="R53" s="27"/>
    </row>
    <row r="54" spans="1:18" x14ac:dyDescent="0.25">
      <c r="A54" s="6" t="s">
        <v>99</v>
      </c>
      <c r="B54" s="6" t="s">
        <v>100</v>
      </c>
      <c r="C54" s="6" t="s">
        <v>24</v>
      </c>
      <c r="D54" s="6" t="s">
        <v>41</v>
      </c>
      <c r="E54" s="26" t="s">
        <v>6</v>
      </c>
      <c r="F54" s="27"/>
      <c r="G54" s="6" t="s">
        <v>26</v>
      </c>
      <c r="H54" s="7">
        <v>45839</v>
      </c>
      <c r="I54" s="8">
        <v>164.65</v>
      </c>
      <c r="J54" s="8">
        <v>1097.1400000000001</v>
      </c>
      <c r="K54" s="6" t="s">
        <v>42</v>
      </c>
      <c r="L54" s="26"/>
      <c r="M54" s="27"/>
      <c r="N54" s="6"/>
      <c r="O54" s="12">
        <v>4.2500000000000003E-2</v>
      </c>
      <c r="P54" s="9">
        <v>1</v>
      </c>
      <c r="Q54" s="28">
        <v>46.63</v>
      </c>
      <c r="R54" s="27"/>
    </row>
    <row r="55" spans="1:18" x14ac:dyDescent="0.25">
      <c r="A55" s="6" t="s">
        <v>101</v>
      </c>
      <c r="B55" s="6" t="s">
        <v>102</v>
      </c>
      <c r="C55" s="6" t="s">
        <v>24</v>
      </c>
      <c r="D55" s="6" t="s">
        <v>41</v>
      </c>
      <c r="E55" s="26" t="s">
        <v>6</v>
      </c>
      <c r="F55" s="27"/>
      <c r="G55" s="6" t="s">
        <v>26</v>
      </c>
      <c r="H55" s="7">
        <v>45839</v>
      </c>
      <c r="I55" s="8">
        <v>1096.05</v>
      </c>
      <c r="J55" s="8">
        <v>1096.05</v>
      </c>
      <c r="K55" s="6" t="s">
        <v>42</v>
      </c>
      <c r="L55" s="26"/>
      <c r="M55" s="27"/>
      <c r="N55" s="6"/>
      <c r="O55" s="12">
        <v>4.2500000000000003E-2</v>
      </c>
      <c r="P55" s="9">
        <v>1</v>
      </c>
      <c r="Q55" s="28">
        <v>46.58</v>
      </c>
      <c r="R55" s="27"/>
    </row>
    <row r="56" spans="1:18" x14ac:dyDescent="0.25">
      <c r="A56" s="6" t="s">
        <v>103</v>
      </c>
      <c r="B56" s="6" t="s">
        <v>104</v>
      </c>
      <c r="C56" s="6" t="s">
        <v>24</v>
      </c>
      <c r="D56" s="6" t="s">
        <v>41</v>
      </c>
      <c r="E56" s="26" t="s">
        <v>6</v>
      </c>
      <c r="F56" s="27"/>
      <c r="G56" s="6" t="s">
        <v>26</v>
      </c>
      <c r="H56" s="7">
        <v>45839</v>
      </c>
      <c r="I56" s="8">
        <v>101.69</v>
      </c>
      <c r="J56" s="8">
        <v>380.58</v>
      </c>
      <c r="K56" s="6" t="s">
        <v>42</v>
      </c>
      <c r="L56" s="26"/>
      <c r="M56" s="27"/>
      <c r="N56" s="6"/>
      <c r="O56" s="12">
        <v>4.2500000000000003E-2</v>
      </c>
      <c r="P56" s="9">
        <v>1</v>
      </c>
      <c r="Q56" s="28">
        <v>16.170000000000002</v>
      </c>
      <c r="R56" s="27"/>
    </row>
    <row r="57" spans="1:18" x14ac:dyDescent="0.25">
      <c r="A57" s="6" t="s">
        <v>105</v>
      </c>
      <c r="B57" s="6" t="s">
        <v>106</v>
      </c>
      <c r="C57" s="6" t="s">
        <v>24</v>
      </c>
      <c r="D57" s="6" t="s">
        <v>41</v>
      </c>
      <c r="E57" s="26" t="s">
        <v>6</v>
      </c>
      <c r="F57" s="27"/>
      <c r="G57" s="6" t="s">
        <v>26</v>
      </c>
      <c r="H57" s="7">
        <v>45839</v>
      </c>
      <c r="I57" s="8">
        <v>838.78</v>
      </c>
      <c r="J57" s="8">
        <v>856.48</v>
      </c>
      <c r="K57" s="6" t="s">
        <v>42</v>
      </c>
      <c r="L57" s="26"/>
      <c r="M57" s="27"/>
      <c r="N57" s="6"/>
      <c r="O57" s="12">
        <v>4.2500000000000003E-2</v>
      </c>
      <c r="P57" s="9">
        <v>1</v>
      </c>
      <c r="Q57" s="28">
        <v>36.4</v>
      </c>
      <c r="R57" s="27"/>
    </row>
    <row r="58" spans="1:18" x14ac:dyDescent="0.25">
      <c r="A58" s="6" t="s">
        <v>107</v>
      </c>
      <c r="B58" s="6" t="s">
        <v>108</v>
      </c>
      <c r="C58" s="6" t="s">
        <v>24</v>
      </c>
      <c r="D58" s="6" t="s">
        <v>41</v>
      </c>
      <c r="E58" s="26" t="s">
        <v>6</v>
      </c>
      <c r="F58" s="27"/>
      <c r="G58" s="6" t="s">
        <v>26</v>
      </c>
      <c r="H58" s="7">
        <v>45839</v>
      </c>
      <c r="I58" s="8">
        <v>132.1</v>
      </c>
      <c r="J58" s="8">
        <v>946.99</v>
      </c>
      <c r="K58" s="6" t="s">
        <v>42</v>
      </c>
      <c r="L58" s="26"/>
      <c r="M58" s="27"/>
      <c r="N58" s="6"/>
      <c r="O58" s="12">
        <v>4.2500000000000003E-2</v>
      </c>
      <c r="P58" s="9">
        <v>1</v>
      </c>
      <c r="Q58" s="28">
        <v>40.25</v>
      </c>
      <c r="R58" s="27"/>
    </row>
    <row r="59" spans="1:18" x14ac:dyDescent="0.25">
      <c r="A59" s="6" t="s">
        <v>109</v>
      </c>
      <c r="B59" s="6" t="s">
        <v>110</v>
      </c>
      <c r="C59" s="6" t="s">
        <v>24</v>
      </c>
      <c r="D59" s="6" t="s">
        <v>41</v>
      </c>
      <c r="E59" s="26" t="s">
        <v>6</v>
      </c>
      <c r="F59" s="27"/>
      <c r="G59" s="6" t="s">
        <v>26</v>
      </c>
      <c r="H59" s="7">
        <v>45839</v>
      </c>
      <c r="I59" s="8">
        <v>734.55</v>
      </c>
      <c r="J59" s="8">
        <v>966.47</v>
      </c>
      <c r="K59" s="6" t="s">
        <v>42</v>
      </c>
      <c r="L59" s="26"/>
      <c r="M59" s="27"/>
      <c r="N59" s="6"/>
      <c r="O59" s="12">
        <v>4.2500000000000003E-2</v>
      </c>
      <c r="P59" s="9">
        <v>1</v>
      </c>
      <c r="Q59" s="28">
        <v>41.08</v>
      </c>
      <c r="R59" s="27"/>
    </row>
    <row r="60" spans="1:18" x14ac:dyDescent="0.25">
      <c r="A60" s="6" t="s">
        <v>111</v>
      </c>
      <c r="B60" s="6" t="s">
        <v>112</v>
      </c>
      <c r="C60" s="6" t="s">
        <v>24</v>
      </c>
      <c r="D60" s="6" t="s">
        <v>41</v>
      </c>
      <c r="E60" s="26" t="s">
        <v>6</v>
      </c>
      <c r="F60" s="27"/>
      <c r="G60" s="6" t="s">
        <v>26</v>
      </c>
      <c r="H60" s="7">
        <v>45778</v>
      </c>
      <c r="I60" s="8">
        <v>389.11</v>
      </c>
      <c r="J60" s="8">
        <v>389.11</v>
      </c>
      <c r="K60" s="6" t="s">
        <v>42</v>
      </c>
      <c r="L60" s="26"/>
      <c r="M60" s="27"/>
      <c r="N60" s="6"/>
      <c r="O60" s="12">
        <v>4.2500000000000003E-2</v>
      </c>
      <c r="P60" s="9">
        <v>1</v>
      </c>
      <c r="Q60" s="28">
        <v>7.54</v>
      </c>
      <c r="R60" s="27"/>
    </row>
    <row r="61" spans="1:18" x14ac:dyDescent="0.25">
      <c r="A61" s="6" t="s">
        <v>111</v>
      </c>
      <c r="B61" s="6" t="s">
        <v>112</v>
      </c>
      <c r="C61" s="6" t="s">
        <v>24</v>
      </c>
      <c r="D61" s="6" t="s">
        <v>41</v>
      </c>
      <c r="E61" s="26" t="s">
        <v>6</v>
      </c>
      <c r="F61" s="27"/>
      <c r="G61" s="6" t="s">
        <v>26</v>
      </c>
      <c r="H61" s="7">
        <v>45809</v>
      </c>
      <c r="I61" s="8">
        <v>389.11</v>
      </c>
      <c r="J61" s="8">
        <v>389.11</v>
      </c>
      <c r="K61" s="6" t="s">
        <v>42</v>
      </c>
      <c r="L61" s="26"/>
      <c r="M61" s="27"/>
      <c r="N61" s="6"/>
      <c r="O61" s="12">
        <v>4.2500000000000003E-2</v>
      </c>
      <c r="P61" s="9">
        <v>1</v>
      </c>
      <c r="Q61" s="28">
        <v>16.53</v>
      </c>
      <c r="R61" s="27"/>
    </row>
    <row r="62" spans="1:18" x14ac:dyDescent="0.25">
      <c r="A62" s="6" t="s">
        <v>113</v>
      </c>
      <c r="B62" s="6" t="s">
        <v>114</v>
      </c>
      <c r="C62" s="6" t="s">
        <v>24</v>
      </c>
      <c r="D62" s="6" t="s">
        <v>41</v>
      </c>
      <c r="E62" s="26" t="s">
        <v>6</v>
      </c>
      <c r="F62" s="27"/>
      <c r="G62" s="6" t="s">
        <v>26</v>
      </c>
      <c r="H62" s="7">
        <v>45839</v>
      </c>
      <c r="I62" s="8">
        <v>140.93</v>
      </c>
      <c r="J62" s="8">
        <v>914.28</v>
      </c>
      <c r="K62" s="6" t="s">
        <v>42</v>
      </c>
      <c r="L62" s="26"/>
      <c r="M62" s="27"/>
      <c r="N62" s="6"/>
      <c r="O62" s="12">
        <v>4.2500000000000003E-2</v>
      </c>
      <c r="P62" s="9">
        <v>1</v>
      </c>
      <c r="Q62" s="28">
        <v>38.85</v>
      </c>
      <c r="R62" s="27"/>
    </row>
    <row r="63" spans="1:18" x14ac:dyDescent="0.25">
      <c r="A63" s="5" t="s">
        <v>6</v>
      </c>
      <c r="B63" s="5" t="s">
        <v>6</v>
      </c>
      <c r="C63" s="5" t="s">
        <v>6</v>
      </c>
      <c r="D63" s="5" t="s">
        <v>6</v>
      </c>
      <c r="E63" s="22" t="s">
        <v>6</v>
      </c>
      <c r="F63" s="19"/>
      <c r="G63" s="5" t="s">
        <v>6</v>
      </c>
      <c r="H63" s="5" t="s">
        <v>6</v>
      </c>
      <c r="I63" s="5" t="s">
        <v>6</v>
      </c>
      <c r="J63" s="5" t="s">
        <v>6</v>
      </c>
      <c r="K63" s="5" t="s">
        <v>6</v>
      </c>
      <c r="L63" s="22" t="s">
        <v>6</v>
      </c>
      <c r="M63" s="19"/>
      <c r="N63" s="5" t="s">
        <v>6</v>
      </c>
      <c r="O63" s="5" t="s">
        <v>6</v>
      </c>
      <c r="P63" s="5" t="s">
        <v>6</v>
      </c>
      <c r="Q63" s="22" t="s">
        <v>6</v>
      </c>
      <c r="R63" s="19"/>
    </row>
    <row r="64" spans="1:18" x14ac:dyDescent="0.25">
      <c r="A64" s="23" t="s">
        <v>115</v>
      </c>
      <c r="B64" s="19"/>
      <c r="C64" s="19"/>
      <c r="D64" s="19"/>
      <c r="E64" s="19"/>
      <c r="F64" s="19"/>
      <c r="G64" s="19"/>
      <c r="H64" s="19"/>
      <c r="I64" s="24">
        <v>32654.46</v>
      </c>
      <c r="J64" s="19"/>
      <c r="K64" s="1" t="s">
        <v>6</v>
      </c>
      <c r="L64" s="23" t="s">
        <v>6</v>
      </c>
      <c r="M64" s="19"/>
      <c r="N64" s="1" t="s">
        <v>6</v>
      </c>
      <c r="O64" s="25">
        <v>1209.2</v>
      </c>
      <c r="P64" s="19"/>
      <c r="Q64" s="19"/>
      <c r="R64" s="19"/>
    </row>
    <row r="65" spans="1:18" x14ac:dyDescent="0.25">
      <c r="A65" s="10" t="s">
        <v>6</v>
      </c>
      <c r="B65" s="10" t="s">
        <v>6</v>
      </c>
      <c r="C65" s="10" t="s">
        <v>6</v>
      </c>
      <c r="D65" s="10" t="s">
        <v>6</v>
      </c>
      <c r="E65" s="18" t="s">
        <v>6</v>
      </c>
      <c r="F65" s="19"/>
      <c r="G65" s="10" t="s">
        <v>6</v>
      </c>
      <c r="H65" s="10" t="s">
        <v>6</v>
      </c>
      <c r="I65" s="10" t="s">
        <v>6</v>
      </c>
      <c r="J65" s="10" t="s">
        <v>6</v>
      </c>
      <c r="K65" s="10" t="s">
        <v>6</v>
      </c>
      <c r="L65" s="18" t="s">
        <v>6</v>
      </c>
      <c r="M65" s="19"/>
      <c r="N65" s="10" t="s">
        <v>6</v>
      </c>
      <c r="O65" s="10" t="s">
        <v>6</v>
      </c>
      <c r="P65" s="10" t="s">
        <v>6</v>
      </c>
      <c r="Q65" s="21" t="s">
        <v>6</v>
      </c>
      <c r="R65" s="19"/>
    </row>
    <row r="66" spans="1:18" x14ac:dyDescent="0.25">
      <c r="A66" s="10" t="s">
        <v>6</v>
      </c>
      <c r="B66" s="10" t="s">
        <v>6</v>
      </c>
      <c r="C66" s="10" t="s">
        <v>6</v>
      </c>
      <c r="D66" s="10" t="s">
        <v>6</v>
      </c>
      <c r="E66" s="18" t="s">
        <v>6</v>
      </c>
      <c r="F66" s="19"/>
      <c r="G66" s="10" t="s">
        <v>6</v>
      </c>
      <c r="H66" s="10" t="s">
        <v>6</v>
      </c>
      <c r="I66" s="10" t="s">
        <v>6</v>
      </c>
      <c r="J66" s="10" t="s">
        <v>6</v>
      </c>
      <c r="K66" s="10" t="s">
        <v>6</v>
      </c>
      <c r="L66" s="18" t="s">
        <v>6</v>
      </c>
      <c r="M66" s="19"/>
      <c r="N66" s="10" t="s">
        <v>6</v>
      </c>
      <c r="O66" s="10" t="s">
        <v>6</v>
      </c>
      <c r="P66" s="10" t="s">
        <v>6</v>
      </c>
      <c r="Q66" s="21" t="s">
        <v>6</v>
      </c>
      <c r="R66" s="19"/>
    </row>
    <row r="67" spans="1:18" x14ac:dyDescent="0.25">
      <c r="A67" s="23" t="s">
        <v>116</v>
      </c>
      <c r="B67" s="19"/>
      <c r="C67" s="19"/>
      <c r="D67" s="19"/>
      <c r="E67" s="19"/>
      <c r="F67" s="19"/>
      <c r="G67" s="19"/>
      <c r="H67" s="19"/>
      <c r="I67" s="3" t="s">
        <v>6</v>
      </c>
      <c r="J67" s="3" t="s">
        <v>6</v>
      </c>
      <c r="K67" s="3" t="s">
        <v>6</v>
      </c>
      <c r="L67" s="29" t="s">
        <v>6</v>
      </c>
      <c r="M67" s="19"/>
      <c r="N67" s="3" t="s">
        <v>6</v>
      </c>
      <c r="O67" s="3" t="s">
        <v>6</v>
      </c>
      <c r="P67" s="3" t="s">
        <v>6</v>
      </c>
      <c r="Q67" s="29" t="s">
        <v>6</v>
      </c>
      <c r="R67" s="19"/>
    </row>
    <row r="68" spans="1:18" ht="22.5" x14ac:dyDescent="0.25">
      <c r="A68" s="4" t="s">
        <v>7</v>
      </c>
      <c r="B68" s="4" t="s">
        <v>8</v>
      </c>
      <c r="C68" s="4" t="s">
        <v>9</v>
      </c>
      <c r="D68" s="4" t="s">
        <v>10</v>
      </c>
      <c r="E68" s="30" t="s">
        <v>11</v>
      </c>
      <c r="F68" s="27"/>
      <c r="G68" s="4" t="s">
        <v>12</v>
      </c>
      <c r="H68" s="4" t="s">
        <v>13</v>
      </c>
      <c r="I68" s="4" t="s">
        <v>14</v>
      </c>
      <c r="J68" s="4" t="s">
        <v>15</v>
      </c>
      <c r="K68" s="4" t="s">
        <v>16</v>
      </c>
      <c r="L68" s="30" t="s">
        <v>17</v>
      </c>
      <c r="M68" s="27"/>
      <c r="N68" s="4" t="s">
        <v>18</v>
      </c>
      <c r="O68" s="4" t="s">
        <v>19</v>
      </c>
      <c r="P68" s="4" t="s">
        <v>20</v>
      </c>
      <c r="Q68" s="30" t="s">
        <v>21</v>
      </c>
      <c r="R68" s="27"/>
    </row>
    <row r="69" spans="1:18" x14ac:dyDescent="0.25">
      <c r="A69" s="5" t="s">
        <v>6</v>
      </c>
      <c r="B69" s="5" t="s">
        <v>6</v>
      </c>
      <c r="C69" s="5" t="s">
        <v>6</v>
      </c>
      <c r="D69" s="5" t="s">
        <v>6</v>
      </c>
      <c r="E69" s="22" t="s">
        <v>6</v>
      </c>
      <c r="F69" s="19"/>
      <c r="G69" s="5" t="s">
        <v>6</v>
      </c>
      <c r="H69" s="5" t="s">
        <v>6</v>
      </c>
      <c r="I69" s="5" t="s">
        <v>6</v>
      </c>
      <c r="J69" s="5" t="s">
        <v>6</v>
      </c>
      <c r="K69" s="5" t="s">
        <v>6</v>
      </c>
      <c r="L69" s="22" t="s">
        <v>6</v>
      </c>
      <c r="M69" s="19"/>
      <c r="N69" s="5" t="s">
        <v>6</v>
      </c>
      <c r="O69" s="5" t="s">
        <v>6</v>
      </c>
      <c r="P69" s="5" t="s">
        <v>6</v>
      </c>
      <c r="Q69" s="22" t="s">
        <v>6</v>
      </c>
      <c r="R69" s="19"/>
    </row>
    <row r="70" spans="1:18" x14ac:dyDescent="0.25">
      <c r="A70" s="6" t="s">
        <v>117</v>
      </c>
      <c r="B70" s="6" t="s">
        <v>118</v>
      </c>
      <c r="C70" s="6" t="s">
        <v>24</v>
      </c>
      <c r="D70" s="6" t="s">
        <v>25</v>
      </c>
      <c r="E70" s="26" t="s">
        <v>6</v>
      </c>
      <c r="F70" s="27"/>
      <c r="G70" s="6" t="s">
        <v>26</v>
      </c>
      <c r="H70" s="7">
        <v>45839</v>
      </c>
      <c r="I70" s="8">
        <v>137.97999999999999</v>
      </c>
      <c r="J70" s="6" t="s">
        <v>6</v>
      </c>
      <c r="K70" s="6" t="s">
        <v>27</v>
      </c>
      <c r="L70" s="26"/>
      <c r="M70" s="27"/>
      <c r="N70" s="6">
        <v>2</v>
      </c>
      <c r="O70" s="8">
        <v>20</v>
      </c>
      <c r="P70" s="9">
        <v>1</v>
      </c>
      <c r="Q70" s="28">
        <v>40</v>
      </c>
      <c r="R70" s="27"/>
    </row>
    <row r="71" spans="1:18" x14ac:dyDescent="0.25">
      <c r="A71" s="5" t="s">
        <v>6</v>
      </c>
      <c r="B71" s="5" t="s">
        <v>6</v>
      </c>
      <c r="C71" s="5" t="s">
        <v>6</v>
      </c>
      <c r="D71" s="5" t="s">
        <v>6</v>
      </c>
      <c r="E71" s="22" t="s">
        <v>6</v>
      </c>
      <c r="F71" s="19"/>
      <c r="G71" s="5" t="s">
        <v>6</v>
      </c>
      <c r="H71" s="5" t="s">
        <v>6</v>
      </c>
      <c r="I71" s="5" t="s">
        <v>6</v>
      </c>
      <c r="J71" s="5" t="s">
        <v>6</v>
      </c>
      <c r="K71" s="5" t="s">
        <v>6</v>
      </c>
      <c r="L71" s="22" t="s">
        <v>6</v>
      </c>
      <c r="M71" s="19"/>
      <c r="N71" s="5" t="s">
        <v>6</v>
      </c>
      <c r="O71" s="5" t="s">
        <v>6</v>
      </c>
      <c r="P71" s="5" t="s">
        <v>6</v>
      </c>
      <c r="Q71" s="22" t="s">
        <v>6</v>
      </c>
      <c r="R71" s="19"/>
    </row>
    <row r="72" spans="1:18" x14ac:dyDescent="0.25">
      <c r="A72" s="23" t="s">
        <v>119</v>
      </c>
      <c r="B72" s="19"/>
      <c r="C72" s="19"/>
      <c r="D72" s="19"/>
      <c r="E72" s="19"/>
      <c r="F72" s="19"/>
      <c r="G72" s="19"/>
      <c r="H72" s="19"/>
      <c r="I72" s="24">
        <v>137.97999999999999</v>
      </c>
      <c r="J72" s="19"/>
      <c r="K72" s="1" t="s">
        <v>6</v>
      </c>
      <c r="L72" s="23" t="s">
        <v>6</v>
      </c>
      <c r="M72" s="19"/>
      <c r="N72" s="1" t="s">
        <v>6</v>
      </c>
      <c r="O72" s="25">
        <v>40</v>
      </c>
      <c r="P72" s="19"/>
      <c r="Q72" s="19"/>
      <c r="R72" s="19"/>
    </row>
    <row r="73" spans="1:18" x14ac:dyDescent="0.25">
      <c r="A73" s="10" t="s">
        <v>6</v>
      </c>
      <c r="B73" s="10" t="s">
        <v>6</v>
      </c>
      <c r="C73" s="10" t="s">
        <v>6</v>
      </c>
      <c r="D73" s="10" t="s">
        <v>6</v>
      </c>
      <c r="E73" s="18" t="s">
        <v>6</v>
      </c>
      <c r="F73" s="19"/>
      <c r="G73" s="10" t="s">
        <v>6</v>
      </c>
      <c r="H73" s="10" t="s">
        <v>6</v>
      </c>
      <c r="I73" s="10" t="s">
        <v>6</v>
      </c>
      <c r="J73" s="10" t="s">
        <v>6</v>
      </c>
      <c r="K73" s="10" t="s">
        <v>6</v>
      </c>
      <c r="L73" s="18" t="s">
        <v>6</v>
      </c>
      <c r="M73" s="19"/>
      <c r="N73" s="10" t="s">
        <v>6</v>
      </c>
      <c r="O73" s="10" t="s">
        <v>6</v>
      </c>
      <c r="P73" s="10" t="s">
        <v>6</v>
      </c>
      <c r="Q73" s="21" t="s">
        <v>6</v>
      </c>
      <c r="R73" s="19"/>
    </row>
    <row r="74" spans="1:18" x14ac:dyDescent="0.25">
      <c r="A74" s="10" t="s">
        <v>6</v>
      </c>
      <c r="B74" s="10" t="s">
        <v>6</v>
      </c>
      <c r="C74" s="10" t="s">
        <v>6</v>
      </c>
      <c r="D74" s="10" t="s">
        <v>6</v>
      </c>
      <c r="E74" s="18" t="s">
        <v>6</v>
      </c>
      <c r="F74" s="19"/>
      <c r="G74" s="10" t="s">
        <v>6</v>
      </c>
      <c r="H74" s="10" t="s">
        <v>6</v>
      </c>
      <c r="I74" s="10" t="s">
        <v>6</v>
      </c>
      <c r="J74" s="10" t="s">
        <v>6</v>
      </c>
      <c r="K74" s="10" t="s">
        <v>6</v>
      </c>
      <c r="L74" s="18" t="s">
        <v>6</v>
      </c>
      <c r="M74" s="19"/>
      <c r="N74" s="10" t="s">
        <v>6</v>
      </c>
      <c r="O74" s="10" t="s">
        <v>6</v>
      </c>
      <c r="P74" s="10" t="s">
        <v>6</v>
      </c>
      <c r="Q74" s="21" t="s">
        <v>6</v>
      </c>
      <c r="R74" s="19"/>
    </row>
    <row r="75" spans="1:18" x14ac:dyDescent="0.25">
      <c r="A75" s="18" t="s">
        <v>120</v>
      </c>
      <c r="B75" s="19"/>
      <c r="C75" s="10" t="s">
        <v>6</v>
      </c>
      <c r="D75" s="10" t="s">
        <v>6</v>
      </c>
      <c r="E75" s="18" t="s">
        <v>6</v>
      </c>
      <c r="F75" s="19"/>
      <c r="G75" s="10" t="s">
        <v>6</v>
      </c>
      <c r="H75" s="10" t="s">
        <v>6</v>
      </c>
      <c r="I75" s="10" t="s">
        <v>6</v>
      </c>
      <c r="J75" s="10" t="s">
        <v>6</v>
      </c>
      <c r="K75" s="10" t="s">
        <v>6</v>
      </c>
      <c r="L75" s="18" t="s">
        <v>6</v>
      </c>
      <c r="M75" s="19"/>
      <c r="N75" s="10" t="s">
        <v>6</v>
      </c>
      <c r="O75" s="20">
        <v>1409.2</v>
      </c>
      <c r="P75" s="19"/>
      <c r="Q75" s="19"/>
      <c r="R75" s="19"/>
    </row>
  </sheetData>
  <mergeCells count="211">
    <mergeCell ref="M1:Q2"/>
    <mergeCell ref="A2:E3"/>
    <mergeCell ref="M3:Q3"/>
    <mergeCell ref="A4:E4"/>
    <mergeCell ref="M4:Q4"/>
    <mergeCell ref="E11:F11"/>
    <mergeCell ref="L11:M11"/>
    <mergeCell ref="Q11:R11"/>
    <mergeCell ref="E12:F12"/>
    <mergeCell ref="L12:M12"/>
    <mergeCell ref="Q12:R12"/>
    <mergeCell ref="A7:Q7"/>
    <mergeCell ref="A9:H9"/>
    <mergeCell ref="L9:M9"/>
    <mergeCell ref="Q9:R9"/>
    <mergeCell ref="E10:F10"/>
    <mergeCell ref="L10:M10"/>
    <mergeCell ref="Q10:R10"/>
    <mergeCell ref="E15:F15"/>
    <mergeCell ref="L15:M15"/>
    <mergeCell ref="Q15:R15"/>
    <mergeCell ref="E16:F16"/>
    <mergeCell ref="L16:M16"/>
    <mergeCell ref="Q16:R16"/>
    <mergeCell ref="E13:F13"/>
    <mergeCell ref="L13:M13"/>
    <mergeCell ref="Q13:R13"/>
    <mergeCell ref="E14:F14"/>
    <mergeCell ref="L14:M14"/>
    <mergeCell ref="Q14:R14"/>
    <mergeCell ref="E19:F19"/>
    <mergeCell ref="L19:M19"/>
    <mergeCell ref="Q19:R19"/>
    <mergeCell ref="A20:H20"/>
    <mergeCell ref="L20:M20"/>
    <mergeCell ref="Q20:R20"/>
    <mergeCell ref="A17:H17"/>
    <mergeCell ref="I17:J17"/>
    <mergeCell ref="L17:M17"/>
    <mergeCell ref="O17:R17"/>
    <mergeCell ref="E18:F18"/>
    <mergeCell ref="L18:M18"/>
    <mergeCell ref="Q18:R18"/>
    <mergeCell ref="E23:F23"/>
    <mergeCell ref="H23:P23"/>
    <mergeCell ref="Q23:R23"/>
    <mergeCell ref="E24:F24"/>
    <mergeCell ref="L24:M24"/>
    <mergeCell ref="Q24:R24"/>
    <mergeCell ref="E21:F21"/>
    <mergeCell ref="L21:M21"/>
    <mergeCell ref="Q21:R21"/>
    <mergeCell ref="E22:F22"/>
    <mergeCell ref="L22:M22"/>
    <mergeCell ref="Q22:R22"/>
    <mergeCell ref="E27:F27"/>
    <mergeCell ref="L27:M27"/>
    <mergeCell ref="Q27:R27"/>
    <mergeCell ref="E28:F28"/>
    <mergeCell ref="L28:M28"/>
    <mergeCell ref="Q28:R28"/>
    <mergeCell ref="E25:F25"/>
    <mergeCell ref="L25:M25"/>
    <mergeCell ref="Q25:R25"/>
    <mergeCell ref="E26:F26"/>
    <mergeCell ref="L26:M26"/>
    <mergeCell ref="Q26:R26"/>
    <mergeCell ref="E31:F31"/>
    <mergeCell ref="L31:M31"/>
    <mergeCell ref="Q31:R31"/>
    <mergeCell ref="E32:F32"/>
    <mergeCell ref="L32:M32"/>
    <mergeCell ref="Q32:R32"/>
    <mergeCell ref="E29:F29"/>
    <mergeCell ref="L29:M29"/>
    <mergeCell ref="Q29:R29"/>
    <mergeCell ref="E30:F30"/>
    <mergeCell ref="L30:M30"/>
    <mergeCell ref="Q30:R30"/>
    <mergeCell ref="E35:F35"/>
    <mergeCell ref="L35:M35"/>
    <mergeCell ref="Q35:R35"/>
    <mergeCell ref="E36:F36"/>
    <mergeCell ref="L36:M36"/>
    <mergeCell ref="Q36:R36"/>
    <mergeCell ref="E33:F33"/>
    <mergeCell ref="L33:M33"/>
    <mergeCell ref="Q33:R33"/>
    <mergeCell ref="E34:F34"/>
    <mergeCell ref="L34:M34"/>
    <mergeCell ref="Q34:R34"/>
    <mergeCell ref="E39:F39"/>
    <mergeCell ref="L39:M39"/>
    <mergeCell ref="Q39:R39"/>
    <mergeCell ref="E40:F40"/>
    <mergeCell ref="L40:M40"/>
    <mergeCell ref="Q40:R40"/>
    <mergeCell ref="E37:F37"/>
    <mergeCell ref="L37:M37"/>
    <mergeCell ref="Q37:R37"/>
    <mergeCell ref="E38:F38"/>
    <mergeCell ref="L38:M38"/>
    <mergeCell ref="Q38:R38"/>
    <mergeCell ref="E43:F43"/>
    <mergeCell ref="L43:M43"/>
    <mergeCell ref="Q43:R43"/>
    <mergeCell ref="E44:F44"/>
    <mergeCell ref="L44:M44"/>
    <mergeCell ref="Q44:R44"/>
    <mergeCell ref="E41:F41"/>
    <mergeCell ref="L41:M41"/>
    <mergeCell ref="Q41:R41"/>
    <mergeCell ref="E42:F42"/>
    <mergeCell ref="L42:M42"/>
    <mergeCell ref="Q42:R42"/>
    <mergeCell ref="E47:F47"/>
    <mergeCell ref="L47:M47"/>
    <mergeCell ref="Q47:R47"/>
    <mergeCell ref="E48:F48"/>
    <mergeCell ref="L48:M48"/>
    <mergeCell ref="Q48:R48"/>
    <mergeCell ref="E45:F45"/>
    <mergeCell ref="L45:M45"/>
    <mergeCell ref="Q45:R45"/>
    <mergeCell ref="E46:F46"/>
    <mergeCell ref="L46:M46"/>
    <mergeCell ref="Q46:R46"/>
    <mergeCell ref="E51:F51"/>
    <mergeCell ref="L51:M51"/>
    <mergeCell ref="Q51:R51"/>
    <mergeCell ref="E52:F52"/>
    <mergeCell ref="L52:M52"/>
    <mergeCell ref="Q52:R52"/>
    <mergeCell ref="E49:F49"/>
    <mergeCell ref="L49:M49"/>
    <mergeCell ref="Q49:R49"/>
    <mergeCell ref="E50:F50"/>
    <mergeCell ref="L50:M50"/>
    <mergeCell ref="Q50:R50"/>
    <mergeCell ref="E55:F55"/>
    <mergeCell ref="L55:M55"/>
    <mergeCell ref="Q55:R55"/>
    <mergeCell ref="E56:F56"/>
    <mergeCell ref="L56:M56"/>
    <mergeCell ref="Q56:R56"/>
    <mergeCell ref="E53:F53"/>
    <mergeCell ref="L53:M53"/>
    <mergeCell ref="Q53:R53"/>
    <mergeCell ref="E54:F54"/>
    <mergeCell ref="L54:M54"/>
    <mergeCell ref="Q54:R54"/>
    <mergeCell ref="E59:F59"/>
    <mergeCell ref="L59:M59"/>
    <mergeCell ref="Q59:R59"/>
    <mergeCell ref="E60:F60"/>
    <mergeCell ref="L60:M60"/>
    <mergeCell ref="Q60:R60"/>
    <mergeCell ref="E57:F57"/>
    <mergeCell ref="L57:M57"/>
    <mergeCell ref="Q57:R57"/>
    <mergeCell ref="E58:F58"/>
    <mergeCell ref="L58:M58"/>
    <mergeCell ref="Q58:R58"/>
    <mergeCell ref="E63:F63"/>
    <mergeCell ref="L63:M63"/>
    <mergeCell ref="Q63:R63"/>
    <mergeCell ref="A64:H64"/>
    <mergeCell ref="I64:J64"/>
    <mergeCell ref="L64:M64"/>
    <mergeCell ref="O64:R64"/>
    <mergeCell ref="E61:F61"/>
    <mergeCell ref="L61:M61"/>
    <mergeCell ref="Q61:R61"/>
    <mergeCell ref="E62:F62"/>
    <mergeCell ref="L62:M62"/>
    <mergeCell ref="Q62:R62"/>
    <mergeCell ref="A67:H67"/>
    <mergeCell ref="L67:M67"/>
    <mergeCell ref="Q67:R67"/>
    <mergeCell ref="E68:F68"/>
    <mergeCell ref="L68:M68"/>
    <mergeCell ref="Q68:R68"/>
    <mergeCell ref="E65:F65"/>
    <mergeCell ref="L65:M65"/>
    <mergeCell ref="Q65:R65"/>
    <mergeCell ref="E66:F66"/>
    <mergeCell ref="L66:M66"/>
    <mergeCell ref="Q66:R66"/>
    <mergeCell ref="E71:F71"/>
    <mergeCell ref="L71:M71"/>
    <mergeCell ref="Q71:R71"/>
    <mergeCell ref="A72:H72"/>
    <mergeCell ref="I72:J72"/>
    <mergeCell ref="L72:M72"/>
    <mergeCell ref="O72:R72"/>
    <mergeCell ref="E69:F69"/>
    <mergeCell ref="L69:M69"/>
    <mergeCell ref="Q69:R69"/>
    <mergeCell ref="E70:F70"/>
    <mergeCell ref="L70:M70"/>
    <mergeCell ref="Q70:R70"/>
    <mergeCell ref="A75:B75"/>
    <mergeCell ref="E75:F75"/>
    <mergeCell ref="L75:M75"/>
    <mergeCell ref="O75:R75"/>
    <mergeCell ref="E73:F73"/>
    <mergeCell ref="L73:M73"/>
    <mergeCell ref="Q73:R73"/>
    <mergeCell ref="E74:F74"/>
    <mergeCell ref="L74:M74"/>
    <mergeCell ref="Q74:R74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C8ED1-7A64-4FB2-846D-622DCDFFCE52}">
  <dimension ref="A1:M29"/>
  <sheetViews>
    <sheetView workbookViewId="0">
      <selection activeCell="J12" sqref="J12:J28"/>
    </sheetView>
  </sheetViews>
  <sheetFormatPr defaultRowHeight="15" x14ac:dyDescent="0.25"/>
  <cols>
    <col min="1" max="1" width="10.85546875" customWidth="1"/>
    <col min="2" max="2" width="22.5703125" customWidth="1"/>
    <col min="3" max="3" width="10.42578125" customWidth="1"/>
    <col min="4" max="4" width="11.7109375" customWidth="1"/>
    <col min="5" max="5" width="10" customWidth="1"/>
    <col min="6" max="6" width="3.7109375" customWidth="1"/>
    <col min="7" max="7" width="10" customWidth="1"/>
    <col min="8" max="8" width="6.28515625" customWidth="1"/>
    <col min="9" max="9" width="8.28515625" customWidth="1"/>
    <col min="10" max="10" width="9.85546875" customWidth="1"/>
    <col min="11" max="11" width="4.42578125" customWidth="1"/>
    <col min="12" max="12" width="18" customWidth="1"/>
    <col min="13" max="13" width="13.7109375" customWidth="1"/>
  </cols>
  <sheetData>
    <row r="1" spans="1:13" x14ac:dyDescent="0.25">
      <c r="A1" s="19"/>
      <c r="B1" s="19"/>
      <c r="C1" s="19"/>
      <c r="F1" s="36" t="s">
        <v>203</v>
      </c>
      <c r="G1" s="19"/>
      <c r="H1" s="19"/>
      <c r="I1" s="19"/>
      <c r="J1" s="19"/>
      <c r="K1" s="19"/>
      <c r="L1" s="19"/>
    </row>
    <row r="2" spans="1:13" ht="1.7" customHeight="1" x14ac:dyDescent="0.25">
      <c r="A2" s="19"/>
      <c r="B2" s="19"/>
      <c r="C2" s="19"/>
    </row>
    <row r="3" spans="1:13" x14ac:dyDescent="0.25">
      <c r="A3" s="19"/>
      <c r="B3" s="19"/>
      <c r="C3" s="19"/>
      <c r="F3" s="36" t="s">
        <v>202</v>
      </c>
      <c r="G3" s="19"/>
      <c r="H3" s="19"/>
      <c r="I3" s="19"/>
      <c r="J3" s="19"/>
      <c r="K3" s="19"/>
      <c r="L3" s="19"/>
    </row>
    <row r="4" spans="1:13" x14ac:dyDescent="0.25">
      <c r="F4" s="19"/>
      <c r="G4" s="19"/>
      <c r="H4" s="19"/>
      <c r="I4" s="19"/>
      <c r="J4" s="19"/>
      <c r="K4" s="19"/>
      <c r="L4" s="19"/>
    </row>
    <row r="5" spans="1:13" ht="16.899999999999999" customHeight="1" x14ac:dyDescent="0.25"/>
    <row r="6" spans="1:13" x14ac:dyDescent="0.25">
      <c r="A6" s="37" t="s">
        <v>201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</row>
    <row r="7" spans="1:13" x14ac:dyDescent="0.25">
      <c r="A7" s="36" t="s">
        <v>200</v>
      </c>
      <c r="B7" s="19"/>
      <c r="C7" s="19"/>
      <c r="D7" s="19"/>
      <c r="E7" s="19"/>
      <c r="F7" s="39" t="s">
        <v>199</v>
      </c>
      <c r="G7" s="19"/>
      <c r="H7" s="19"/>
      <c r="I7" s="19"/>
      <c r="J7" s="19"/>
      <c r="K7" s="19"/>
      <c r="L7" s="19"/>
    </row>
    <row r="8" spans="1:13" x14ac:dyDescent="0.25">
      <c r="A8" s="36" t="s">
        <v>198</v>
      </c>
      <c r="B8" s="19"/>
      <c r="C8" s="19"/>
      <c r="D8" s="19"/>
      <c r="E8" s="19"/>
      <c r="F8" s="40" t="s">
        <v>197</v>
      </c>
      <c r="G8" s="19"/>
      <c r="H8" s="19"/>
      <c r="I8" s="19"/>
      <c r="J8" s="19"/>
      <c r="K8" s="19"/>
      <c r="L8" s="19"/>
    </row>
    <row r="9" spans="1:13" x14ac:dyDescent="0.25">
      <c r="A9" s="36" t="s">
        <v>196</v>
      </c>
      <c r="B9" s="19"/>
      <c r="C9" s="19"/>
      <c r="D9" s="19"/>
      <c r="E9" s="19"/>
    </row>
    <row r="10" spans="1:13" x14ac:dyDescent="0.25">
      <c r="A10" s="36" t="s">
        <v>195</v>
      </c>
      <c r="B10" s="19"/>
      <c r="C10" s="19"/>
      <c r="D10" s="19"/>
      <c r="E10" s="19"/>
    </row>
    <row r="11" spans="1:13" ht="22.5" x14ac:dyDescent="0.25">
      <c r="A11" s="17" t="s">
        <v>194</v>
      </c>
      <c r="B11" s="17" t="s">
        <v>193</v>
      </c>
      <c r="C11" s="17" t="s">
        <v>192</v>
      </c>
      <c r="D11" s="17" t="s">
        <v>191</v>
      </c>
      <c r="E11" s="41" t="s">
        <v>190</v>
      </c>
      <c r="F11" s="42"/>
      <c r="G11" s="17" t="s">
        <v>189</v>
      </c>
      <c r="H11" s="17" t="s">
        <v>188</v>
      </c>
      <c r="I11" s="17" t="s">
        <v>187</v>
      </c>
      <c r="J11" s="17" t="s">
        <v>186</v>
      </c>
      <c r="K11" s="17" t="s">
        <v>185</v>
      </c>
      <c r="L11" s="41" t="s">
        <v>184</v>
      </c>
      <c r="M11" s="42"/>
    </row>
    <row r="12" spans="1:13" x14ac:dyDescent="0.25">
      <c r="A12" s="6" t="s">
        <v>183</v>
      </c>
      <c r="B12" s="6" t="s">
        <v>182</v>
      </c>
      <c r="C12" s="8">
        <v>13.04</v>
      </c>
      <c r="D12" s="6" t="s">
        <v>144</v>
      </c>
      <c r="E12" s="26" t="s">
        <v>143</v>
      </c>
      <c r="F12" s="27"/>
      <c r="G12" s="7">
        <v>45839</v>
      </c>
      <c r="H12" s="6" t="s">
        <v>141</v>
      </c>
      <c r="I12" s="11" t="s">
        <v>141</v>
      </c>
      <c r="J12" s="16">
        <v>45689</v>
      </c>
      <c r="K12" s="6" t="s">
        <v>140</v>
      </c>
      <c r="L12" s="26"/>
      <c r="M12" s="27"/>
    </row>
    <row r="13" spans="1:13" x14ac:dyDescent="0.25">
      <c r="A13" s="6" t="s">
        <v>181</v>
      </c>
      <c r="B13" s="6" t="s">
        <v>180</v>
      </c>
      <c r="C13" s="8">
        <v>13.04</v>
      </c>
      <c r="D13" s="6" t="s">
        <v>144</v>
      </c>
      <c r="E13" s="26" t="s">
        <v>143</v>
      </c>
      <c r="F13" s="27"/>
      <c r="G13" s="7">
        <v>45839</v>
      </c>
      <c r="H13" s="6" t="s">
        <v>141</v>
      </c>
      <c r="I13" s="11" t="s">
        <v>141</v>
      </c>
      <c r="J13" s="16">
        <v>45689</v>
      </c>
      <c r="K13" s="6" t="s">
        <v>140</v>
      </c>
      <c r="L13" s="26"/>
      <c r="M13" s="27"/>
    </row>
    <row r="14" spans="1:13" x14ac:dyDescent="0.25">
      <c r="A14" s="6" t="s">
        <v>179</v>
      </c>
      <c r="B14" s="6" t="s">
        <v>178</v>
      </c>
      <c r="C14" s="8">
        <v>13.04</v>
      </c>
      <c r="D14" s="6" t="s">
        <v>144</v>
      </c>
      <c r="E14" s="26" t="s">
        <v>143</v>
      </c>
      <c r="F14" s="27"/>
      <c r="G14" s="7">
        <v>45839</v>
      </c>
      <c r="H14" s="6" t="s">
        <v>141</v>
      </c>
      <c r="I14" s="11" t="s">
        <v>141</v>
      </c>
      <c r="J14" s="16">
        <v>45658</v>
      </c>
      <c r="K14" s="6" t="s">
        <v>140</v>
      </c>
      <c r="L14" s="26"/>
      <c r="M14" s="27"/>
    </row>
    <row r="15" spans="1:13" x14ac:dyDescent="0.25">
      <c r="A15" s="6" t="s">
        <v>177</v>
      </c>
      <c r="B15" s="6" t="s">
        <v>176</v>
      </c>
      <c r="C15" s="8">
        <v>-100</v>
      </c>
      <c r="D15" s="6" t="s">
        <v>144</v>
      </c>
      <c r="E15" s="26" t="s">
        <v>6</v>
      </c>
      <c r="F15" s="27"/>
      <c r="G15" s="7">
        <v>45778</v>
      </c>
      <c r="H15" s="6"/>
      <c r="I15" s="11" t="s">
        <v>141</v>
      </c>
      <c r="J15" s="16">
        <v>45778</v>
      </c>
      <c r="K15" s="6" t="s">
        <v>140</v>
      </c>
      <c r="L15" s="26" t="s">
        <v>160</v>
      </c>
      <c r="M15" s="27"/>
    </row>
    <row r="16" spans="1:13" x14ac:dyDescent="0.25">
      <c r="A16" s="6" t="s">
        <v>175</v>
      </c>
      <c r="B16" s="6" t="s">
        <v>174</v>
      </c>
      <c r="C16" s="8">
        <v>13.04</v>
      </c>
      <c r="D16" s="6" t="s">
        <v>144</v>
      </c>
      <c r="E16" s="26" t="s">
        <v>143</v>
      </c>
      <c r="F16" s="27"/>
      <c r="G16" s="7">
        <v>45839</v>
      </c>
      <c r="H16" s="6" t="s">
        <v>141</v>
      </c>
      <c r="I16" s="11" t="s">
        <v>141</v>
      </c>
      <c r="J16" s="16">
        <v>45658</v>
      </c>
      <c r="K16" s="6" t="s">
        <v>147</v>
      </c>
      <c r="L16" s="26"/>
      <c r="M16" s="27"/>
    </row>
    <row r="17" spans="1:13" x14ac:dyDescent="0.25">
      <c r="A17" s="6" t="s">
        <v>173</v>
      </c>
      <c r="B17" s="6" t="s">
        <v>172</v>
      </c>
      <c r="C17" s="8">
        <v>26.08</v>
      </c>
      <c r="D17" s="6" t="s">
        <v>171</v>
      </c>
      <c r="E17" s="26" t="s">
        <v>6</v>
      </c>
      <c r="F17" s="27"/>
      <c r="G17" s="7">
        <v>45839</v>
      </c>
      <c r="H17" s="6" t="s">
        <v>170</v>
      </c>
      <c r="I17" s="11" t="s">
        <v>141</v>
      </c>
      <c r="J17" s="16">
        <v>45627</v>
      </c>
      <c r="K17" s="6" t="s">
        <v>140</v>
      </c>
      <c r="L17" s="26"/>
      <c r="M17" s="27"/>
    </row>
    <row r="18" spans="1:13" x14ac:dyDescent="0.25">
      <c r="A18" s="6" t="s">
        <v>169</v>
      </c>
      <c r="B18" s="6" t="s">
        <v>168</v>
      </c>
      <c r="C18" s="8">
        <v>-100</v>
      </c>
      <c r="D18" s="6" t="s">
        <v>144</v>
      </c>
      <c r="E18" s="26" t="s">
        <v>6</v>
      </c>
      <c r="F18" s="27"/>
      <c r="G18" s="7">
        <v>45778</v>
      </c>
      <c r="H18" s="6"/>
      <c r="I18" s="11" t="s">
        <v>141</v>
      </c>
      <c r="J18" s="16">
        <v>45778</v>
      </c>
      <c r="K18" s="6" t="s">
        <v>140</v>
      </c>
      <c r="L18" s="26" t="s">
        <v>160</v>
      </c>
      <c r="M18" s="27"/>
    </row>
    <row r="19" spans="1:13" x14ac:dyDescent="0.25">
      <c r="A19" s="6" t="s">
        <v>167</v>
      </c>
      <c r="B19" s="6" t="s">
        <v>166</v>
      </c>
      <c r="C19" s="8">
        <v>13.04</v>
      </c>
      <c r="D19" s="6" t="s">
        <v>144</v>
      </c>
      <c r="E19" s="26" t="s">
        <v>143</v>
      </c>
      <c r="F19" s="27"/>
      <c r="G19" s="7">
        <v>45839</v>
      </c>
      <c r="H19" s="6" t="s">
        <v>141</v>
      </c>
      <c r="I19" s="11" t="s">
        <v>141</v>
      </c>
      <c r="J19" s="16">
        <v>45658</v>
      </c>
      <c r="K19" s="6" t="s">
        <v>140</v>
      </c>
      <c r="L19" s="26"/>
      <c r="M19" s="27"/>
    </row>
    <row r="20" spans="1:13" x14ac:dyDescent="0.25">
      <c r="A20" s="6" t="s">
        <v>165</v>
      </c>
      <c r="B20" s="6" t="s">
        <v>164</v>
      </c>
      <c r="C20" s="8">
        <v>26.08</v>
      </c>
      <c r="D20" s="6" t="s">
        <v>144</v>
      </c>
      <c r="E20" s="26" t="s">
        <v>143</v>
      </c>
      <c r="F20" s="27"/>
      <c r="G20" s="7">
        <v>45839</v>
      </c>
      <c r="H20" s="6" t="s">
        <v>157</v>
      </c>
      <c r="I20" s="11" t="s">
        <v>141</v>
      </c>
      <c r="J20" s="16">
        <v>45658</v>
      </c>
      <c r="K20" s="6" t="s">
        <v>140</v>
      </c>
      <c r="L20" s="26"/>
      <c r="M20" s="27"/>
    </row>
    <row r="21" spans="1:13" x14ac:dyDescent="0.25">
      <c r="A21" s="6" t="s">
        <v>162</v>
      </c>
      <c r="B21" s="6" t="s">
        <v>161</v>
      </c>
      <c r="C21" s="8">
        <v>-78.239999999999995</v>
      </c>
      <c r="D21" s="6" t="s">
        <v>144</v>
      </c>
      <c r="E21" s="26" t="s">
        <v>6</v>
      </c>
      <c r="F21" s="27"/>
      <c r="G21" s="7">
        <v>45658</v>
      </c>
      <c r="H21" s="6" t="s">
        <v>141</v>
      </c>
      <c r="I21" s="11" t="s">
        <v>141</v>
      </c>
      <c r="J21" s="16">
        <v>45658</v>
      </c>
      <c r="K21" s="6" t="s">
        <v>140</v>
      </c>
      <c r="L21" s="26" t="s">
        <v>163</v>
      </c>
      <c r="M21" s="27"/>
    </row>
    <row r="22" spans="1:13" x14ac:dyDescent="0.25">
      <c r="A22" s="6" t="s">
        <v>162</v>
      </c>
      <c r="B22" s="6" t="s">
        <v>161</v>
      </c>
      <c r="C22" s="8">
        <v>-100</v>
      </c>
      <c r="D22" s="6" t="s">
        <v>144</v>
      </c>
      <c r="E22" s="26" t="s">
        <v>6</v>
      </c>
      <c r="F22" s="27"/>
      <c r="G22" s="7">
        <v>45658</v>
      </c>
      <c r="H22" s="6"/>
      <c r="I22" s="11" t="s">
        <v>141</v>
      </c>
      <c r="J22" s="16">
        <v>45658</v>
      </c>
      <c r="K22" s="6" t="s">
        <v>140</v>
      </c>
      <c r="L22" s="26" t="s">
        <v>160</v>
      </c>
      <c r="M22" s="27"/>
    </row>
    <row r="23" spans="1:13" x14ac:dyDescent="0.25">
      <c r="A23" s="6" t="s">
        <v>159</v>
      </c>
      <c r="B23" s="6" t="s">
        <v>158</v>
      </c>
      <c r="C23" s="8">
        <v>26.08</v>
      </c>
      <c r="D23" s="6" t="s">
        <v>144</v>
      </c>
      <c r="E23" s="26" t="s">
        <v>143</v>
      </c>
      <c r="F23" s="27"/>
      <c r="G23" s="7">
        <v>45839</v>
      </c>
      <c r="H23" s="6" t="s">
        <v>157</v>
      </c>
      <c r="I23" s="11" t="s">
        <v>141</v>
      </c>
      <c r="J23" s="16">
        <v>45658</v>
      </c>
      <c r="K23" s="6" t="s">
        <v>140</v>
      </c>
      <c r="L23" s="26"/>
      <c r="M23" s="27"/>
    </row>
    <row r="24" spans="1:13" x14ac:dyDescent="0.25">
      <c r="A24" s="6" t="s">
        <v>156</v>
      </c>
      <c r="B24" s="6" t="s">
        <v>155</v>
      </c>
      <c r="C24" s="8">
        <v>13.04</v>
      </c>
      <c r="D24" s="6" t="s">
        <v>144</v>
      </c>
      <c r="E24" s="26" t="s">
        <v>143</v>
      </c>
      <c r="F24" s="27"/>
      <c r="G24" s="7">
        <v>45839</v>
      </c>
      <c r="H24" s="6" t="s">
        <v>141</v>
      </c>
      <c r="I24" s="11" t="s">
        <v>141</v>
      </c>
      <c r="J24" s="16">
        <v>45689</v>
      </c>
      <c r="K24" s="6" t="s">
        <v>140</v>
      </c>
      <c r="L24" s="26"/>
      <c r="M24" s="27"/>
    </row>
    <row r="25" spans="1:13" x14ac:dyDescent="0.25">
      <c r="A25" s="6" t="s">
        <v>154</v>
      </c>
      <c r="B25" s="6" t="s">
        <v>153</v>
      </c>
      <c r="C25" s="8">
        <v>13.04</v>
      </c>
      <c r="D25" s="6" t="s">
        <v>144</v>
      </c>
      <c r="E25" s="26" t="s">
        <v>143</v>
      </c>
      <c r="F25" s="27"/>
      <c r="G25" s="7">
        <v>45839</v>
      </c>
      <c r="H25" s="6" t="s">
        <v>141</v>
      </c>
      <c r="I25" s="11" t="s">
        <v>141</v>
      </c>
      <c r="J25" s="16">
        <v>45689</v>
      </c>
      <c r="K25" s="6" t="s">
        <v>140</v>
      </c>
      <c r="L25" s="26"/>
      <c r="M25" s="27"/>
    </row>
    <row r="26" spans="1:13" x14ac:dyDescent="0.25">
      <c r="A26" s="6" t="s">
        <v>152</v>
      </c>
      <c r="B26" s="6" t="s">
        <v>151</v>
      </c>
      <c r="C26" s="8">
        <v>13.04</v>
      </c>
      <c r="D26" s="6" t="s">
        <v>144</v>
      </c>
      <c r="E26" s="26" t="s">
        <v>143</v>
      </c>
      <c r="F26" s="27"/>
      <c r="G26" s="7">
        <v>45839</v>
      </c>
      <c r="H26" s="6" t="s">
        <v>141</v>
      </c>
      <c r="I26" s="11" t="s">
        <v>141</v>
      </c>
      <c r="J26" s="16">
        <v>45658</v>
      </c>
      <c r="K26" s="6" t="s">
        <v>150</v>
      </c>
      <c r="L26" s="26"/>
      <c r="M26" s="27"/>
    </row>
    <row r="27" spans="1:13" x14ac:dyDescent="0.25">
      <c r="A27" s="6" t="s">
        <v>149</v>
      </c>
      <c r="B27" s="6" t="s">
        <v>148</v>
      </c>
      <c r="C27" s="8">
        <v>13.04</v>
      </c>
      <c r="D27" s="6" t="s">
        <v>144</v>
      </c>
      <c r="E27" s="26" t="s">
        <v>143</v>
      </c>
      <c r="F27" s="27"/>
      <c r="G27" s="7">
        <v>45839</v>
      </c>
      <c r="H27" s="6" t="s">
        <v>141</v>
      </c>
      <c r="I27" s="11" t="s">
        <v>141</v>
      </c>
      <c r="J27" s="16">
        <v>45658</v>
      </c>
      <c r="K27" s="6" t="s">
        <v>147</v>
      </c>
      <c r="L27" s="26"/>
      <c r="M27" s="27"/>
    </row>
    <row r="28" spans="1:13" x14ac:dyDescent="0.25">
      <c r="A28" s="6" t="s">
        <v>146</v>
      </c>
      <c r="B28" s="6" t="s">
        <v>145</v>
      </c>
      <c r="C28" s="8">
        <v>13.04</v>
      </c>
      <c r="D28" s="6" t="s">
        <v>144</v>
      </c>
      <c r="E28" s="26" t="s">
        <v>143</v>
      </c>
      <c r="F28" s="27"/>
      <c r="G28" s="7">
        <v>45839</v>
      </c>
      <c r="H28" s="6" t="s">
        <v>142</v>
      </c>
      <c r="I28" s="11" t="s">
        <v>141</v>
      </c>
      <c r="J28" s="16">
        <v>45658</v>
      </c>
      <c r="K28" s="6" t="s">
        <v>140</v>
      </c>
      <c r="L28" s="26"/>
      <c r="M28" s="27"/>
    </row>
    <row r="29" spans="1:13" x14ac:dyDescent="0.25">
      <c r="A29" s="43" t="s">
        <v>139</v>
      </c>
      <c r="B29" s="27"/>
      <c r="C29" s="15">
        <v>-169.6</v>
      </c>
      <c r="D29" s="6" t="s">
        <v>6</v>
      </c>
      <c r="E29" s="26" t="s">
        <v>6</v>
      </c>
      <c r="F29" s="27"/>
      <c r="G29" s="6" t="s">
        <v>6</v>
      </c>
      <c r="H29" s="6" t="s">
        <v>6</v>
      </c>
      <c r="I29" s="11" t="s">
        <v>6</v>
      </c>
      <c r="J29" s="11" t="s">
        <v>6</v>
      </c>
      <c r="K29" s="6" t="s">
        <v>6</v>
      </c>
      <c r="L29" s="26" t="s">
        <v>6</v>
      </c>
      <c r="M29" s="27"/>
    </row>
  </sheetData>
  <mergeCells count="49">
    <mergeCell ref="E27:F27"/>
    <mergeCell ref="L27:M27"/>
    <mergeCell ref="E28:F28"/>
    <mergeCell ref="L28:M28"/>
    <mergeCell ref="A29:B29"/>
    <mergeCell ref="E29:F29"/>
    <mergeCell ref="L29:M29"/>
    <mergeCell ref="E24:F24"/>
    <mergeCell ref="L24:M24"/>
    <mergeCell ref="E25:F25"/>
    <mergeCell ref="L25:M25"/>
    <mergeCell ref="E26:F26"/>
    <mergeCell ref="L26:M26"/>
    <mergeCell ref="E21:F21"/>
    <mergeCell ref="L21:M21"/>
    <mergeCell ref="E22:F22"/>
    <mergeCell ref="L22:M22"/>
    <mergeCell ref="E23:F23"/>
    <mergeCell ref="L23:M23"/>
    <mergeCell ref="E18:F18"/>
    <mergeCell ref="L18:M18"/>
    <mergeCell ref="E19:F19"/>
    <mergeCell ref="L19:M19"/>
    <mergeCell ref="E20:F20"/>
    <mergeCell ref="L20:M20"/>
    <mergeCell ref="E15:F15"/>
    <mergeCell ref="L15:M15"/>
    <mergeCell ref="E16:F16"/>
    <mergeCell ref="L16:M16"/>
    <mergeCell ref="E17:F17"/>
    <mergeCell ref="L17:M17"/>
    <mergeCell ref="E12:F12"/>
    <mergeCell ref="L12:M12"/>
    <mergeCell ref="E13:F13"/>
    <mergeCell ref="L13:M13"/>
    <mergeCell ref="E14:F14"/>
    <mergeCell ref="L14:M14"/>
    <mergeCell ref="A8:E8"/>
    <mergeCell ref="F8:L8"/>
    <mergeCell ref="A9:E9"/>
    <mergeCell ref="A10:E10"/>
    <mergeCell ref="E11:F11"/>
    <mergeCell ref="L11:M11"/>
    <mergeCell ref="A1:C3"/>
    <mergeCell ref="F1:L1"/>
    <mergeCell ref="F3:L4"/>
    <mergeCell ref="A6:L6"/>
    <mergeCell ref="A7:E7"/>
    <mergeCell ref="F7:L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6"/>
  <sheetViews>
    <sheetView showGridLines="0" workbookViewId="0">
      <pane ySplit="8" topLeftCell="A9" activePane="bottomLeft" state="frozen"/>
      <selection pane="bottomLeft" sqref="A1:XFD1048576"/>
    </sheetView>
  </sheetViews>
  <sheetFormatPr defaultRowHeight="15" x14ac:dyDescent="0.25"/>
  <cols>
    <col min="1" max="1" width="30.7109375" customWidth="1"/>
    <col min="2" max="2" width="9.28515625" customWidth="1"/>
    <col min="3" max="3" width="18" customWidth="1"/>
    <col min="4" max="4" width="15.7109375" customWidth="1"/>
    <col min="5" max="5" width="10.28515625" customWidth="1"/>
    <col min="6" max="6" width="4.28515625" customWidth="1"/>
    <col min="7" max="7" width="0.7109375" customWidth="1"/>
    <col min="8" max="8" width="4.28515625" customWidth="1"/>
    <col min="9" max="9" width="8" customWidth="1"/>
    <col min="10" max="11" width="13.7109375" customWidth="1"/>
    <col min="12" max="12" width="18" customWidth="1"/>
    <col min="13" max="13" width="12.28515625" customWidth="1"/>
    <col min="14" max="14" width="9.28515625" customWidth="1"/>
    <col min="15" max="15" width="6.5703125" customWidth="1"/>
    <col min="16" max="16" width="12.28515625" customWidth="1"/>
    <col min="17" max="17" width="12.140625" customWidth="1"/>
    <col min="18" max="18" width="9.42578125" customWidth="1"/>
    <col min="19" max="19" width="7.42578125" customWidth="1"/>
    <col min="20" max="20" width="9.7109375" customWidth="1"/>
    <col min="21" max="21" width="4.85546875" customWidth="1"/>
    <col min="22" max="22" width="12.7109375" customWidth="1"/>
    <col min="23" max="24" width="13.7109375" customWidth="1"/>
    <col min="25" max="25" width="9.42578125" customWidth="1"/>
  </cols>
  <sheetData>
    <row r="1" spans="1:24" x14ac:dyDescent="0.25">
      <c r="H1" s="34" t="s">
        <v>0</v>
      </c>
      <c r="I1" s="19"/>
      <c r="J1" s="19"/>
    </row>
    <row r="2" spans="1:24" ht="17.25" customHeight="1" x14ac:dyDescent="0.25">
      <c r="A2" s="19"/>
      <c r="B2" s="19"/>
      <c r="H2" s="19"/>
      <c r="I2" s="19"/>
      <c r="J2" s="19"/>
    </row>
    <row r="3" spans="1:24" ht="18.75" customHeight="1" x14ac:dyDescent="0.25">
      <c r="A3" s="19"/>
      <c r="B3" s="19"/>
      <c r="H3" s="34" t="s">
        <v>1</v>
      </c>
      <c r="I3" s="19"/>
      <c r="J3" s="19"/>
    </row>
    <row r="4" spans="1:24" ht="35.450000000000003" customHeight="1" x14ac:dyDescent="0.25">
      <c r="A4" s="23" t="s">
        <v>2</v>
      </c>
      <c r="B4" s="19"/>
      <c r="H4" s="35" t="s">
        <v>3</v>
      </c>
      <c r="I4" s="19"/>
      <c r="J4" s="19"/>
    </row>
    <row r="5" spans="1:24" ht="5.0999999999999996" customHeight="1" x14ac:dyDescent="0.25"/>
    <row r="6" spans="1:24" ht="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24" ht="16.7" customHeight="1" x14ac:dyDescent="0.25">
      <c r="A7" s="33" t="s">
        <v>4</v>
      </c>
      <c r="B7" s="19"/>
      <c r="C7" s="19"/>
      <c r="D7" s="19"/>
      <c r="E7" s="19"/>
      <c r="F7" s="19"/>
      <c r="G7" s="19"/>
      <c r="H7" s="19"/>
      <c r="I7" s="19"/>
      <c r="J7" s="19"/>
    </row>
    <row r="8" spans="1:24" ht="5.0999999999999996" customHeight="1" x14ac:dyDescent="0.25"/>
    <row r="9" spans="1:24" x14ac:dyDescent="0.25">
      <c r="A9" s="13" t="s">
        <v>121</v>
      </c>
      <c r="B9" s="14" t="s">
        <v>6</v>
      </c>
      <c r="C9" s="14" t="s">
        <v>6</v>
      </c>
      <c r="D9" s="14" t="s">
        <v>6</v>
      </c>
      <c r="E9" s="14" t="s">
        <v>6</v>
      </c>
      <c r="F9" s="14" t="s">
        <v>6</v>
      </c>
      <c r="G9" s="44" t="s">
        <v>6</v>
      </c>
      <c r="H9" s="27"/>
      <c r="I9" s="14" t="s">
        <v>6</v>
      </c>
      <c r="J9" s="14" t="s">
        <v>6</v>
      </c>
      <c r="K9" s="14" t="s">
        <v>6</v>
      </c>
      <c r="L9" s="14" t="s">
        <v>6</v>
      </c>
      <c r="M9" s="14" t="s">
        <v>6</v>
      </c>
      <c r="N9" s="14" t="s">
        <v>6</v>
      </c>
      <c r="O9" s="14" t="s">
        <v>6</v>
      </c>
      <c r="P9" s="14" t="s">
        <v>6</v>
      </c>
      <c r="Q9" s="14" t="s">
        <v>6</v>
      </c>
      <c r="R9" s="14" t="s">
        <v>6</v>
      </c>
      <c r="S9" s="14" t="s">
        <v>6</v>
      </c>
      <c r="T9" s="14" t="s">
        <v>6</v>
      </c>
      <c r="U9" s="14" t="s">
        <v>6</v>
      </c>
      <c r="V9" s="14" t="s">
        <v>6</v>
      </c>
      <c r="W9" s="14" t="s">
        <v>6</v>
      </c>
      <c r="X9" s="14" t="s">
        <v>6</v>
      </c>
    </row>
    <row r="10" spans="1:24" ht="22.5" x14ac:dyDescent="0.25">
      <c r="A10" s="4" t="s">
        <v>122</v>
      </c>
      <c r="B10" s="4" t="s">
        <v>123</v>
      </c>
      <c r="C10" s="4" t="s">
        <v>7</v>
      </c>
      <c r="D10" s="4" t="s">
        <v>8</v>
      </c>
      <c r="E10" s="4" t="s">
        <v>9</v>
      </c>
      <c r="F10" s="4" t="s">
        <v>10</v>
      </c>
      <c r="G10" s="30" t="s">
        <v>11</v>
      </c>
      <c r="H10" s="27"/>
      <c r="I10" s="4" t="s">
        <v>13</v>
      </c>
      <c r="J10" s="4" t="s">
        <v>14</v>
      </c>
      <c r="K10" s="4" t="s">
        <v>124</v>
      </c>
      <c r="L10" s="4" t="s">
        <v>125</v>
      </c>
      <c r="M10" s="4" t="s">
        <v>126</v>
      </c>
      <c r="N10" s="4" t="s">
        <v>127</v>
      </c>
      <c r="O10" s="4" t="s">
        <v>12</v>
      </c>
      <c r="P10" s="4" t="s">
        <v>15</v>
      </c>
      <c r="Q10" s="4" t="s">
        <v>16</v>
      </c>
      <c r="R10" s="4" t="s">
        <v>17</v>
      </c>
      <c r="S10" s="4" t="s">
        <v>18</v>
      </c>
      <c r="T10" s="4" t="s">
        <v>19</v>
      </c>
      <c r="U10" s="4" t="s">
        <v>20</v>
      </c>
      <c r="V10" s="4" t="s">
        <v>21</v>
      </c>
      <c r="W10" s="4" t="s">
        <v>128</v>
      </c>
      <c r="X10" s="4" t="s">
        <v>129</v>
      </c>
    </row>
    <row r="11" spans="1:24" x14ac:dyDescent="0.25">
      <c r="A11" s="6" t="s">
        <v>130</v>
      </c>
      <c r="B11" s="6" t="s">
        <v>131</v>
      </c>
      <c r="C11" s="6" t="s">
        <v>22</v>
      </c>
      <c r="D11" s="6" t="s">
        <v>23</v>
      </c>
      <c r="E11" s="6" t="s">
        <v>24</v>
      </c>
      <c r="F11" s="6" t="s">
        <v>25</v>
      </c>
      <c r="G11" s="26" t="s">
        <v>6</v>
      </c>
      <c r="H11" s="27"/>
      <c r="I11" s="7">
        <v>45839</v>
      </c>
      <c r="J11" s="8">
        <v>0</v>
      </c>
      <c r="K11" s="8">
        <v>0</v>
      </c>
      <c r="L11" s="8">
        <v>13069.41</v>
      </c>
      <c r="M11" s="8">
        <v>383.92</v>
      </c>
      <c r="N11" s="8">
        <v>12685.49</v>
      </c>
      <c r="O11" s="6" t="s">
        <v>26</v>
      </c>
      <c r="P11" s="6" t="s">
        <v>6</v>
      </c>
      <c r="Q11" s="6" t="s">
        <v>27</v>
      </c>
      <c r="R11" s="6"/>
      <c r="S11" s="6">
        <v>4</v>
      </c>
      <c r="T11" s="8">
        <v>20</v>
      </c>
      <c r="U11" s="9">
        <v>1</v>
      </c>
      <c r="V11" s="8">
        <v>80</v>
      </c>
      <c r="W11" s="6" t="s">
        <v>6</v>
      </c>
      <c r="X11" s="6"/>
    </row>
    <row r="12" spans="1:24" x14ac:dyDescent="0.25">
      <c r="A12" s="6" t="s">
        <v>130</v>
      </c>
      <c r="B12" s="6" t="s">
        <v>131</v>
      </c>
      <c r="C12" s="6" t="s">
        <v>28</v>
      </c>
      <c r="D12" s="6" t="s">
        <v>29</v>
      </c>
      <c r="E12" s="6" t="s">
        <v>24</v>
      </c>
      <c r="F12" s="6" t="s">
        <v>25</v>
      </c>
      <c r="G12" s="26" t="s">
        <v>6</v>
      </c>
      <c r="H12" s="27"/>
      <c r="I12" s="7">
        <v>45839</v>
      </c>
      <c r="J12" s="8">
        <v>159.87</v>
      </c>
      <c r="K12" s="8">
        <v>159.87</v>
      </c>
      <c r="L12" s="8">
        <v>5620.09</v>
      </c>
      <c r="M12" s="8">
        <v>1119.0899999999999</v>
      </c>
      <c r="N12" s="8">
        <v>4501</v>
      </c>
      <c r="O12" s="6" t="s">
        <v>26</v>
      </c>
      <c r="P12" s="6" t="s">
        <v>6</v>
      </c>
      <c r="Q12" s="6" t="s">
        <v>27</v>
      </c>
      <c r="R12" s="6"/>
      <c r="S12" s="6">
        <v>1</v>
      </c>
      <c r="T12" s="8">
        <v>20</v>
      </c>
      <c r="U12" s="9">
        <v>1</v>
      </c>
      <c r="V12" s="8">
        <v>20</v>
      </c>
      <c r="W12" s="6" t="s">
        <v>6</v>
      </c>
      <c r="X12" s="6"/>
    </row>
    <row r="13" spans="1:24" x14ac:dyDescent="0.25">
      <c r="A13" s="6" t="s">
        <v>130</v>
      </c>
      <c r="B13" s="6" t="s">
        <v>131</v>
      </c>
      <c r="C13" s="6" t="s">
        <v>30</v>
      </c>
      <c r="D13" s="6" t="s">
        <v>31</v>
      </c>
      <c r="E13" s="6" t="s">
        <v>24</v>
      </c>
      <c r="F13" s="6" t="s">
        <v>25</v>
      </c>
      <c r="G13" s="26" t="s">
        <v>6</v>
      </c>
      <c r="H13" s="27"/>
      <c r="I13" s="7">
        <v>45839</v>
      </c>
      <c r="J13" s="8">
        <v>61.47</v>
      </c>
      <c r="K13" s="8">
        <v>61.47</v>
      </c>
      <c r="L13" s="8">
        <v>6408.29</v>
      </c>
      <c r="M13" s="8">
        <v>430.29</v>
      </c>
      <c r="N13" s="8">
        <v>5978</v>
      </c>
      <c r="O13" s="6" t="s">
        <v>26</v>
      </c>
      <c r="P13" s="6" t="s">
        <v>6</v>
      </c>
      <c r="Q13" s="6" t="s">
        <v>27</v>
      </c>
      <c r="R13" s="6"/>
      <c r="S13" s="6">
        <v>1</v>
      </c>
      <c r="T13" s="8">
        <v>20</v>
      </c>
      <c r="U13" s="9">
        <v>1</v>
      </c>
      <c r="V13" s="8">
        <v>20</v>
      </c>
      <c r="W13" s="6" t="s">
        <v>6</v>
      </c>
      <c r="X13" s="6"/>
    </row>
    <row r="14" spans="1:24" x14ac:dyDescent="0.25">
      <c r="A14" s="6" t="s">
        <v>130</v>
      </c>
      <c r="B14" s="6" t="s">
        <v>131</v>
      </c>
      <c r="C14" s="6" t="s">
        <v>32</v>
      </c>
      <c r="D14" s="6" t="s">
        <v>33</v>
      </c>
      <c r="E14" s="6" t="s">
        <v>24</v>
      </c>
      <c r="F14" s="6" t="s">
        <v>25</v>
      </c>
      <c r="G14" s="26" t="s">
        <v>6</v>
      </c>
      <c r="H14" s="27"/>
      <c r="I14" s="7">
        <v>45839</v>
      </c>
      <c r="J14" s="8">
        <v>134.1</v>
      </c>
      <c r="K14" s="8">
        <v>134.1</v>
      </c>
      <c r="L14" s="8">
        <v>3104.4</v>
      </c>
      <c r="M14" s="8">
        <v>536.4</v>
      </c>
      <c r="N14" s="8">
        <v>2568</v>
      </c>
      <c r="O14" s="6" t="s">
        <v>26</v>
      </c>
      <c r="P14" s="6" t="s">
        <v>6</v>
      </c>
      <c r="Q14" s="6" t="s">
        <v>27</v>
      </c>
      <c r="R14" s="6"/>
      <c r="S14" s="6">
        <v>2</v>
      </c>
      <c r="T14" s="8">
        <v>20</v>
      </c>
      <c r="U14" s="9">
        <v>1</v>
      </c>
      <c r="V14" s="8">
        <v>40</v>
      </c>
      <c r="W14" s="6" t="s">
        <v>6</v>
      </c>
      <c r="X14" s="6"/>
    </row>
    <row r="15" spans="1:24" ht="33.75" x14ac:dyDescent="0.25">
      <c r="A15" s="6" t="s">
        <v>132</v>
      </c>
      <c r="B15" s="6" t="s">
        <v>133</v>
      </c>
      <c r="C15" s="6"/>
      <c r="D15" s="6" t="s">
        <v>36</v>
      </c>
      <c r="E15" s="6"/>
      <c r="F15" s="6"/>
      <c r="G15" s="26" t="s">
        <v>134</v>
      </c>
      <c r="H15" s="27"/>
      <c r="I15" s="6"/>
      <c r="J15" s="6"/>
      <c r="K15" s="6"/>
      <c r="L15" s="8">
        <v>0</v>
      </c>
      <c r="M15" s="6"/>
      <c r="N15" s="6"/>
      <c r="O15" s="6" t="s">
        <v>37</v>
      </c>
      <c r="P15" s="6" t="s">
        <v>6</v>
      </c>
      <c r="Q15" s="6" t="s">
        <v>135</v>
      </c>
      <c r="R15" s="6"/>
      <c r="S15" s="6"/>
      <c r="T15" s="6"/>
      <c r="U15" s="6"/>
      <c r="V15" s="8">
        <v>-169.6</v>
      </c>
      <c r="W15" s="6" t="s">
        <v>6</v>
      </c>
      <c r="X15" s="6" t="s">
        <v>38</v>
      </c>
    </row>
    <row r="16" spans="1:24" x14ac:dyDescent="0.25">
      <c r="A16" s="6" t="s">
        <v>132</v>
      </c>
      <c r="B16" s="6" t="s">
        <v>136</v>
      </c>
      <c r="C16" s="6" t="s">
        <v>39</v>
      </c>
      <c r="D16" s="6" t="s">
        <v>40</v>
      </c>
      <c r="E16" s="6" t="s">
        <v>24</v>
      </c>
      <c r="F16" s="6" t="s">
        <v>41</v>
      </c>
      <c r="G16" s="26" t="s">
        <v>6</v>
      </c>
      <c r="H16" s="27"/>
      <c r="I16" s="7">
        <v>45839</v>
      </c>
      <c r="J16" s="8">
        <v>402.8</v>
      </c>
      <c r="K16" s="8">
        <v>429.11</v>
      </c>
      <c r="L16" s="8">
        <v>3003.77</v>
      </c>
      <c r="M16" s="8">
        <v>2819.6</v>
      </c>
      <c r="N16" s="8">
        <v>184.17</v>
      </c>
      <c r="O16" s="6" t="s">
        <v>26</v>
      </c>
      <c r="P16" s="8">
        <v>429.11</v>
      </c>
      <c r="Q16" s="6" t="s">
        <v>42</v>
      </c>
      <c r="R16" s="6"/>
      <c r="S16" s="6"/>
      <c r="T16" s="12">
        <v>4.2500000000000003E-2</v>
      </c>
      <c r="U16" s="9">
        <v>1</v>
      </c>
      <c r="V16" s="8">
        <v>18.239999999999998</v>
      </c>
      <c r="W16" s="6" t="s">
        <v>6</v>
      </c>
      <c r="X16" s="6"/>
    </row>
    <row r="17" spans="1:24" x14ac:dyDescent="0.25">
      <c r="A17" s="6" t="s">
        <v>132</v>
      </c>
      <c r="B17" s="6" t="s">
        <v>136</v>
      </c>
      <c r="C17" s="6" t="s">
        <v>43</v>
      </c>
      <c r="D17" s="6" t="s">
        <v>44</v>
      </c>
      <c r="E17" s="6" t="s">
        <v>24</v>
      </c>
      <c r="F17" s="6" t="s">
        <v>41</v>
      </c>
      <c r="G17" s="26" t="s">
        <v>6</v>
      </c>
      <c r="H17" s="27"/>
      <c r="I17" s="7">
        <v>45839</v>
      </c>
      <c r="J17" s="8">
        <v>227.34</v>
      </c>
      <c r="K17" s="8">
        <v>227.34</v>
      </c>
      <c r="L17" s="8">
        <v>1364.04</v>
      </c>
      <c r="M17" s="8">
        <v>1364.04</v>
      </c>
      <c r="N17" s="8">
        <v>0</v>
      </c>
      <c r="O17" s="6" t="s">
        <v>26</v>
      </c>
      <c r="P17" s="8">
        <v>227.34</v>
      </c>
      <c r="Q17" s="6" t="s">
        <v>42</v>
      </c>
      <c r="R17" s="6"/>
      <c r="S17" s="6"/>
      <c r="T17" s="12">
        <v>4.2500000000000003E-2</v>
      </c>
      <c r="U17" s="9">
        <v>1</v>
      </c>
      <c r="V17" s="8">
        <v>9.66</v>
      </c>
      <c r="W17" s="6" t="s">
        <v>6</v>
      </c>
      <c r="X17" s="6"/>
    </row>
    <row r="18" spans="1:24" ht="22.5" x14ac:dyDescent="0.25">
      <c r="A18" s="6" t="s">
        <v>132</v>
      </c>
      <c r="B18" s="6" t="s">
        <v>136</v>
      </c>
      <c r="C18" s="6" t="s">
        <v>45</v>
      </c>
      <c r="D18" s="6" t="s">
        <v>46</v>
      </c>
      <c r="E18" s="6" t="s">
        <v>24</v>
      </c>
      <c r="F18" s="6" t="s">
        <v>41</v>
      </c>
      <c r="G18" s="26" t="s">
        <v>6</v>
      </c>
      <c r="H18" s="27"/>
      <c r="I18" s="7">
        <v>45839</v>
      </c>
      <c r="J18" s="8">
        <v>96.39</v>
      </c>
      <c r="K18" s="8">
        <v>1200.46</v>
      </c>
      <c r="L18" s="8">
        <v>8403.2199999999993</v>
      </c>
      <c r="M18" s="8">
        <v>674.73</v>
      </c>
      <c r="N18" s="8">
        <v>7728.49</v>
      </c>
      <c r="O18" s="6" t="s">
        <v>26</v>
      </c>
      <c r="P18" s="8">
        <v>1200.46</v>
      </c>
      <c r="Q18" s="6" t="s">
        <v>42</v>
      </c>
      <c r="R18" s="6"/>
      <c r="S18" s="6"/>
      <c r="T18" s="12">
        <v>4.2500000000000003E-2</v>
      </c>
      <c r="U18" s="9">
        <v>1</v>
      </c>
      <c r="V18" s="8">
        <v>51.02</v>
      </c>
      <c r="W18" s="6" t="s">
        <v>6</v>
      </c>
      <c r="X18" s="6"/>
    </row>
    <row r="19" spans="1:24" x14ac:dyDescent="0.25">
      <c r="A19" s="6" t="s">
        <v>132</v>
      </c>
      <c r="B19" s="6" t="s">
        <v>136</v>
      </c>
      <c r="C19" s="6" t="s">
        <v>47</v>
      </c>
      <c r="D19" s="6" t="s">
        <v>48</v>
      </c>
      <c r="E19" s="6" t="s">
        <v>24</v>
      </c>
      <c r="F19" s="6" t="s">
        <v>41</v>
      </c>
      <c r="G19" s="26" t="s">
        <v>6</v>
      </c>
      <c r="H19" s="27"/>
      <c r="I19" s="7">
        <v>45839</v>
      </c>
      <c r="J19" s="8">
        <v>185.14</v>
      </c>
      <c r="K19" s="8">
        <v>1114.97</v>
      </c>
      <c r="L19" s="8">
        <v>7804.79</v>
      </c>
      <c r="M19" s="8">
        <v>1295.98</v>
      </c>
      <c r="N19" s="8">
        <v>6508.81</v>
      </c>
      <c r="O19" s="6" t="s">
        <v>26</v>
      </c>
      <c r="P19" s="8">
        <v>1114.97</v>
      </c>
      <c r="Q19" s="6" t="s">
        <v>42</v>
      </c>
      <c r="R19" s="6"/>
      <c r="S19" s="6"/>
      <c r="T19" s="12">
        <v>4.2500000000000003E-2</v>
      </c>
      <c r="U19" s="9">
        <v>1</v>
      </c>
      <c r="V19" s="8">
        <v>47.38</v>
      </c>
      <c r="W19" s="6" t="s">
        <v>6</v>
      </c>
      <c r="X19" s="6"/>
    </row>
    <row r="20" spans="1:24" x14ac:dyDescent="0.25">
      <c r="A20" s="6" t="s">
        <v>132</v>
      </c>
      <c r="B20" s="6" t="s">
        <v>136</v>
      </c>
      <c r="C20" s="6" t="s">
        <v>49</v>
      </c>
      <c r="D20" s="6" t="s">
        <v>50</v>
      </c>
      <c r="E20" s="6" t="s">
        <v>24</v>
      </c>
      <c r="F20" s="6" t="s">
        <v>41</v>
      </c>
      <c r="G20" s="26" t="s">
        <v>6</v>
      </c>
      <c r="H20" s="27"/>
      <c r="I20" s="7">
        <v>45839</v>
      </c>
      <c r="J20" s="8">
        <v>362.43</v>
      </c>
      <c r="K20" s="8">
        <v>403.26</v>
      </c>
      <c r="L20" s="8">
        <v>2822.82</v>
      </c>
      <c r="M20" s="8">
        <v>2537.0100000000002</v>
      </c>
      <c r="N20" s="8">
        <v>285.81</v>
      </c>
      <c r="O20" s="6" t="s">
        <v>26</v>
      </c>
      <c r="P20" s="8">
        <v>403.26</v>
      </c>
      <c r="Q20" s="6" t="s">
        <v>42</v>
      </c>
      <c r="R20" s="6"/>
      <c r="S20" s="6"/>
      <c r="T20" s="12">
        <v>4.2500000000000003E-2</v>
      </c>
      <c r="U20" s="9">
        <v>1</v>
      </c>
      <c r="V20" s="8">
        <v>17.14</v>
      </c>
      <c r="W20" s="6" t="s">
        <v>6</v>
      </c>
      <c r="X20" s="6"/>
    </row>
    <row r="21" spans="1:24" x14ac:dyDescent="0.25">
      <c r="A21" s="6" t="s">
        <v>132</v>
      </c>
      <c r="B21" s="6" t="s">
        <v>136</v>
      </c>
      <c r="C21" s="6" t="s">
        <v>51</v>
      </c>
      <c r="D21" s="6" t="s">
        <v>52</v>
      </c>
      <c r="E21" s="6" t="s">
        <v>24</v>
      </c>
      <c r="F21" s="6" t="s">
        <v>41</v>
      </c>
      <c r="G21" s="26" t="s">
        <v>6</v>
      </c>
      <c r="H21" s="27"/>
      <c r="I21" s="7">
        <v>45839</v>
      </c>
      <c r="J21" s="8">
        <v>804.4</v>
      </c>
      <c r="K21" s="8">
        <v>945.9</v>
      </c>
      <c r="L21" s="8">
        <v>2837.7</v>
      </c>
      <c r="M21" s="8">
        <v>2413.1999999999998</v>
      </c>
      <c r="N21" s="8">
        <v>424.5</v>
      </c>
      <c r="O21" s="6" t="s">
        <v>26</v>
      </c>
      <c r="P21" s="8">
        <v>945.9</v>
      </c>
      <c r="Q21" s="6" t="s">
        <v>42</v>
      </c>
      <c r="R21" s="6"/>
      <c r="S21" s="6"/>
      <c r="T21" s="12">
        <v>4.2500000000000003E-2</v>
      </c>
      <c r="U21" s="9">
        <v>1</v>
      </c>
      <c r="V21" s="8">
        <v>40.200000000000003</v>
      </c>
      <c r="W21" s="6" t="s">
        <v>6</v>
      </c>
      <c r="X21" s="6"/>
    </row>
    <row r="22" spans="1:24" x14ac:dyDescent="0.25">
      <c r="A22" s="6" t="s">
        <v>132</v>
      </c>
      <c r="B22" s="6" t="s">
        <v>136</v>
      </c>
      <c r="C22" s="6" t="s">
        <v>53</v>
      </c>
      <c r="D22" s="6" t="s">
        <v>54</v>
      </c>
      <c r="E22" s="6" t="s">
        <v>24</v>
      </c>
      <c r="F22" s="6" t="s">
        <v>41</v>
      </c>
      <c r="G22" s="26" t="s">
        <v>6</v>
      </c>
      <c r="H22" s="27"/>
      <c r="I22" s="7">
        <v>45839</v>
      </c>
      <c r="J22" s="8">
        <v>183.76</v>
      </c>
      <c r="K22" s="8">
        <v>580.08000000000004</v>
      </c>
      <c r="L22" s="8">
        <v>4060.56</v>
      </c>
      <c r="M22" s="8">
        <v>1286.32</v>
      </c>
      <c r="N22" s="8">
        <v>2774.24</v>
      </c>
      <c r="O22" s="6" t="s">
        <v>26</v>
      </c>
      <c r="P22" s="8">
        <v>580.08000000000004</v>
      </c>
      <c r="Q22" s="6" t="s">
        <v>42</v>
      </c>
      <c r="R22" s="6"/>
      <c r="S22" s="6"/>
      <c r="T22" s="12">
        <v>4.2500000000000003E-2</v>
      </c>
      <c r="U22" s="9">
        <v>1</v>
      </c>
      <c r="V22" s="8">
        <v>24.66</v>
      </c>
      <c r="W22" s="6" t="s">
        <v>6</v>
      </c>
      <c r="X22" s="6"/>
    </row>
    <row r="23" spans="1:24" x14ac:dyDescent="0.25">
      <c r="A23" s="6" t="s">
        <v>132</v>
      </c>
      <c r="B23" s="6" t="s">
        <v>136</v>
      </c>
      <c r="C23" s="6" t="s">
        <v>55</v>
      </c>
      <c r="D23" s="6" t="s">
        <v>56</v>
      </c>
      <c r="E23" s="6" t="s">
        <v>24</v>
      </c>
      <c r="F23" s="6" t="s">
        <v>41</v>
      </c>
      <c r="G23" s="26" t="s">
        <v>6</v>
      </c>
      <c r="H23" s="27"/>
      <c r="I23" s="7">
        <v>45839</v>
      </c>
      <c r="J23" s="8">
        <v>368.23</v>
      </c>
      <c r="K23" s="8">
        <v>815.27</v>
      </c>
      <c r="L23" s="8">
        <v>5706.89</v>
      </c>
      <c r="M23" s="8">
        <v>2577.61</v>
      </c>
      <c r="N23" s="8">
        <v>3129.28</v>
      </c>
      <c r="O23" s="6" t="s">
        <v>26</v>
      </c>
      <c r="P23" s="8">
        <v>815.27</v>
      </c>
      <c r="Q23" s="6" t="s">
        <v>42</v>
      </c>
      <c r="R23" s="6"/>
      <c r="S23" s="6"/>
      <c r="T23" s="12">
        <v>4.2500000000000003E-2</v>
      </c>
      <c r="U23" s="9">
        <v>1</v>
      </c>
      <c r="V23" s="8">
        <v>34.65</v>
      </c>
      <c r="W23" s="6" t="s">
        <v>6</v>
      </c>
      <c r="X23" s="6"/>
    </row>
    <row r="24" spans="1:24" x14ac:dyDescent="0.25">
      <c r="A24" s="6" t="s">
        <v>132</v>
      </c>
      <c r="B24" s="6" t="s">
        <v>136</v>
      </c>
      <c r="C24" s="6" t="s">
        <v>57</v>
      </c>
      <c r="D24" s="6" t="s">
        <v>58</v>
      </c>
      <c r="E24" s="6" t="s">
        <v>24</v>
      </c>
      <c r="F24" s="6" t="s">
        <v>41</v>
      </c>
      <c r="G24" s="26" t="s">
        <v>6</v>
      </c>
      <c r="H24" s="27"/>
      <c r="I24" s="7">
        <v>45839</v>
      </c>
      <c r="J24" s="8">
        <v>140.75</v>
      </c>
      <c r="K24" s="8">
        <v>663.78</v>
      </c>
      <c r="L24" s="8">
        <v>3982.68</v>
      </c>
      <c r="M24" s="8">
        <v>844.5</v>
      </c>
      <c r="N24" s="8">
        <v>3138.18</v>
      </c>
      <c r="O24" s="6" t="s">
        <v>26</v>
      </c>
      <c r="P24" s="8">
        <v>663.78</v>
      </c>
      <c r="Q24" s="6" t="s">
        <v>42</v>
      </c>
      <c r="R24" s="6"/>
      <c r="S24" s="6"/>
      <c r="T24" s="12">
        <v>4.2500000000000003E-2</v>
      </c>
      <c r="U24" s="9">
        <v>1</v>
      </c>
      <c r="V24" s="8">
        <v>28.21</v>
      </c>
      <c r="W24" s="6" t="s">
        <v>6</v>
      </c>
      <c r="X24" s="6"/>
    </row>
    <row r="25" spans="1:24" x14ac:dyDescent="0.25">
      <c r="A25" s="6" t="s">
        <v>132</v>
      </c>
      <c r="B25" s="6" t="s">
        <v>136</v>
      </c>
      <c r="C25" s="6" t="s">
        <v>59</v>
      </c>
      <c r="D25" s="6" t="s">
        <v>60</v>
      </c>
      <c r="E25" s="6" t="s">
        <v>24</v>
      </c>
      <c r="F25" s="6" t="s">
        <v>41</v>
      </c>
      <c r="G25" s="26" t="s">
        <v>6</v>
      </c>
      <c r="H25" s="27"/>
      <c r="I25" s="7">
        <v>45839</v>
      </c>
      <c r="J25" s="8">
        <v>311.43</v>
      </c>
      <c r="K25" s="8">
        <v>311.43</v>
      </c>
      <c r="L25" s="8">
        <v>1245.72</v>
      </c>
      <c r="M25" s="8">
        <v>1245.72</v>
      </c>
      <c r="N25" s="8">
        <v>0</v>
      </c>
      <c r="O25" s="6" t="s">
        <v>26</v>
      </c>
      <c r="P25" s="8">
        <v>311.43</v>
      </c>
      <c r="Q25" s="6" t="s">
        <v>42</v>
      </c>
      <c r="R25" s="6"/>
      <c r="S25" s="6"/>
      <c r="T25" s="12">
        <v>4.2500000000000003E-2</v>
      </c>
      <c r="U25" s="9">
        <v>1</v>
      </c>
      <c r="V25" s="8">
        <v>13.23</v>
      </c>
      <c r="W25" s="6" t="s">
        <v>6</v>
      </c>
      <c r="X25" s="6"/>
    </row>
    <row r="26" spans="1:24" x14ac:dyDescent="0.25">
      <c r="A26" s="6" t="s">
        <v>132</v>
      </c>
      <c r="B26" s="6" t="s">
        <v>136</v>
      </c>
      <c r="C26" s="6" t="s">
        <v>61</v>
      </c>
      <c r="D26" s="6" t="s">
        <v>62</v>
      </c>
      <c r="E26" s="6" t="s">
        <v>24</v>
      </c>
      <c r="F26" s="6" t="s">
        <v>41</v>
      </c>
      <c r="G26" s="26" t="s">
        <v>6</v>
      </c>
      <c r="H26" s="27"/>
      <c r="I26" s="7">
        <v>45839</v>
      </c>
      <c r="J26" s="8">
        <v>1857.62</v>
      </c>
      <c r="K26" s="8">
        <v>1925.14</v>
      </c>
      <c r="L26" s="8">
        <v>13475.98</v>
      </c>
      <c r="M26" s="8">
        <v>13003.34</v>
      </c>
      <c r="N26" s="8">
        <v>472.64</v>
      </c>
      <c r="O26" s="6" t="s">
        <v>26</v>
      </c>
      <c r="P26" s="8">
        <v>1925.14</v>
      </c>
      <c r="Q26" s="6" t="s">
        <v>42</v>
      </c>
      <c r="R26" s="6"/>
      <c r="S26" s="6"/>
      <c r="T26" s="12">
        <v>4.2500000000000003E-2</v>
      </c>
      <c r="U26" s="9">
        <v>1</v>
      </c>
      <c r="V26" s="8">
        <v>81.819999999999993</v>
      </c>
      <c r="W26" s="6" t="s">
        <v>6</v>
      </c>
      <c r="X26" s="6"/>
    </row>
    <row r="27" spans="1:24" x14ac:dyDescent="0.25">
      <c r="A27" s="6" t="s">
        <v>132</v>
      </c>
      <c r="B27" s="6" t="s">
        <v>136</v>
      </c>
      <c r="C27" s="6" t="s">
        <v>63</v>
      </c>
      <c r="D27" s="6" t="s">
        <v>64</v>
      </c>
      <c r="E27" s="6" t="s">
        <v>24</v>
      </c>
      <c r="F27" s="6" t="s">
        <v>41</v>
      </c>
      <c r="G27" s="26" t="s">
        <v>6</v>
      </c>
      <c r="H27" s="27"/>
      <c r="I27" s="7">
        <v>45839</v>
      </c>
      <c r="J27" s="8">
        <v>323.83999999999997</v>
      </c>
      <c r="K27" s="8">
        <v>518.69000000000005</v>
      </c>
      <c r="L27" s="8">
        <v>4097.3900000000003</v>
      </c>
      <c r="M27" s="8">
        <v>2540.85</v>
      </c>
      <c r="N27" s="8">
        <v>1556.54</v>
      </c>
      <c r="O27" s="6" t="s">
        <v>26</v>
      </c>
      <c r="P27" s="8">
        <v>518.69000000000005</v>
      </c>
      <c r="Q27" s="6" t="s">
        <v>42</v>
      </c>
      <c r="R27" s="6"/>
      <c r="S27" s="6"/>
      <c r="T27" s="12">
        <v>4.2500000000000003E-2</v>
      </c>
      <c r="U27" s="9">
        <v>1</v>
      </c>
      <c r="V27" s="8">
        <v>22.05</v>
      </c>
      <c r="W27" s="6" t="s">
        <v>6</v>
      </c>
      <c r="X27" s="6"/>
    </row>
    <row r="28" spans="1:24" x14ac:dyDescent="0.25">
      <c r="A28" s="6" t="s">
        <v>132</v>
      </c>
      <c r="B28" s="6" t="s">
        <v>136</v>
      </c>
      <c r="C28" s="6" t="s">
        <v>65</v>
      </c>
      <c r="D28" s="6" t="s">
        <v>66</v>
      </c>
      <c r="E28" s="6" t="s">
        <v>24</v>
      </c>
      <c r="F28" s="6" t="s">
        <v>41</v>
      </c>
      <c r="G28" s="26" t="s">
        <v>6</v>
      </c>
      <c r="H28" s="27"/>
      <c r="I28" s="7">
        <v>45839</v>
      </c>
      <c r="J28" s="8">
        <v>490.8</v>
      </c>
      <c r="K28" s="8">
        <v>835.05</v>
      </c>
      <c r="L28" s="8">
        <v>5845.35</v>
      </c>
      <c r="M28" s="8">
        <v>3435.6</v>
      </c>
      <c r="N28" s="8">
        <v>2409.75</v>
      </c>
      <c r="O28" s="6" t="s">
        <v>26</v>
      </c>
      <c r="P28" s="8">
        <v>835.05</v>
      </c>
      <c r="Q28" s="6" t="s">
        <v>42</v>
      </c>
      <c r="R28" s="6"/>
      <c r="S28" s="6"/>
      <c r="T28" s="12">
        <v>4.2500000000000003E-2</v>
      </c>
      <c r="U28" s="9">
        <v>1</v>
      </c>
      <c r="V28" s="8">
        <v>35.49</v>
      </c>
      <c r="W28" s="6" t="s">
        <v>6</v>
      </c>
      <c r="X28" s="6"/>
    </row>
    <row r="29" spans="1:24" x14ac:dyDescent="0.25">
      <c r="A29" s="6" t="s">
        <v>132</v>
      </c>
      <c r="B29" s="6" t="s">
        <v>136</v>
      </c>
      <c r="C29" s="6" t="s">
        <v>67</v>
      </c>
      <c r="D29" s="6" t="s">
        <v>68</v>
      </c>
      <c r="E29" s="6" t="s">
        <v>24</v>
      </c>
      <c r="F29" s="6" t="s">
        <v>41</v>
      </c>
      <c r="G29" s="26" t="s">
        <v>6</v>
      </c>
      <c r="H29" s="27"/>
      <c r="I29" s="7">
        <v>45839</v>
      </c>
      <c r="J29" s="8">
        <v>183.45</v>
      </c>
      <c r="K29" s="8">
        <v>341.71</v>
      </c>
      <c r="L29" s="8">
        <v>2050.2600000000002</v>
      </c>
      <c r="M29" s="8">
        <v>1100.7</v>
      </c>
      <c r="N29" s="8">
        <v>949.56</v>
      </c>
      <c r="O29" s="6" t="s">
        <v>26</v>
      </c>
      <c r="P29" s="8">
        <v>341.71</v>
      </c>
      <c r="Q29" s="6" t="s">
        <v>42</v>
      </c>
      <c r="R29" s="6"/>
      <c r="S29" s="6"/>
      <c r="T29" s="12">
        <v>4.2500000000000003E-2</v>
      </c>
      <c r="U29" s="9">
        <v>1</v>
      </c>
      <c r="V29" s="8">
        <v>14.53</v>
      </c>
      <c r="W29" s="6" t="s">
        <v>6</v>
      </c>
      <c r="X29" s="6"/>
    </row>
    <row r="30" spans="1:24" x14ac:dyDescent="0.25">
      <c r="A30" s="6" t="s">
        <v>132</v>
      </c>
      <c r="B30" s="6" t="s">
        <v>136</v>
      </c>
      <c r="C30" s="6" t="s">
        <v>69</v>
      </c>
      <c r="D30" s="6" t="s">
        <v>70</v>
      </c>
      <c r="E30" s="6" t="s">
        <v>24</v>
      </c>
      <c r="F30" s="6" t="s">
        <v>41</v>
      </c>
      <c r="G30" s="26" t="s">
        <v>6</v>
      </c>
      <c r="H30" s="27"/>
      <c r="I30" s="7">
        <v>45839</v>
      </c>
      <c r="J30" s="8">
        <v>710.14</v>
      </c>
      <c r="K30" s="8">
        <v>815.84</v>
      </c>
      <c r="L30" s="8">
        <v>815.84</v>
      </c>
      <c r="M30" s="8">
        <v>710.14</v>
      </c>
      <c r="N30" s="8">
        <v>105.7</v>
      </c>
      <c r="O30" s="6" t="s">
        <v>26</v>
      </c>
      <c r="P30" s="8">
        <v>815.84</v>
      </c>
      <c r="Q30" s="6" t="s">
        <v>42</v>
      </c>
      <c r="R30" s="6"/>
      <c r="S30" s="6"/>
      <c r="T30" s="12">
        <v>4.2500000000000003E-2</v>
      </c>
      <c r="U30" s="9">
        <v>1</v>
      </c>
      <c r="V30" s="8">
        <v>34.67</v>
      </c>
      <c r="W30" s="6" t="s">
        <v>6</v>
      </c>
      <c r="X30" s="6"/>
    </row>
    <row r="31" spans="1:24" x14ac:dyDescent="0.25">
      <c r="A31" s="6" t="s">
        <v>132</v>
      </c>
      <c r="B31" s="6" t="s">
        <v>136</v>
      </c>
      <c r="C31" s="6" t="s">
        <v>71</v>
      </c>
      <c r="D31" s="6" t="s">
        <v>72</v>
      </c>
      <c r="E31" s="6" t="s">
        <v>24</v>
      </c>
      <c r="F31" s="6" t="s">
        <v>41</v>
      </c>
      <c r="G31" s="26" t="s">
        <v>6</v>
      </c>
      <c r="H31" s="27"/>
      <c r="I31" s="7">
        <v>45839</v>
      </c>
      <c r="J31" s="8">
        <v>77.36</v>
      </c>
      <c r="K31" s="8">
        <v>430.75</v>
      </c>
      <c r="L31" s="8">
        <v>2584.5</v>
      </c>
      <c r="M31" s="8">
        <v>464.16</v>
      </c>
      <c r="N31" s="8">
        <v>2120.34</v>
      </c>
      <c r="O31" s="6" t="s">
        <v>26</v>
      </c>
      <c r="P31" s="8">
        <v>430.75</v>
      </c>
      <c r="Q31" s="6" t="s">
        <v>42</v>
      </c>
      <c r="R31" s="6"/>
      <c r="S31" s="6"/>
      <c r="T31" s="12">
        <v>4.2500000000000003E-2</v>
      </c>
      <c r="U31" s="9">
        <v>1</v>
      </c>
      <c r="V31" s="8">
        <v>18.309999999999999</v>
      </c>
      <c r="W31" s="6" t="s">
        <v>6</v>
      </c>
      <c r="X31" s="6"/>
    </row>
    <row r="32" spans="1:24" x14ac:dyDescent="0.25">
      <c r="A32" s="6" t="s">
        <v>132</v>
      </c>
      <c r="B32" s="6" t="s">
        <v>136</v>
      </c>
      <c r="C32" s="6" t="s">
        <v>73</v>
      </c>
      <c r="D32" s="6" t="s">
        <v>74</v>
      </c>
      <c r="E32" s="6" t="s">
        <v>24</v>
      </c>
      <c r="F32" s="6" t="s">
        <v>41</v>
      </c>
      <c r="G32" s="26" t="s">
        <v>6</v>
      </c>
      <c r="H32" s="27"/>
      <c r="I32" s="7">
        <v>45839</v>
      </c>
      <c r="J32" s="8">
        <v>159.22</v>
      </c>
      <c r="K32" s="8">
        <v>1735.31</v>
      </c>
      <c r="L32" s="8">
        <v>6941.24</v>
      </c>
      <c r="M32" s="8">
        <v>636.88</v>
      </c>
      <c r="N32" s="8">
        <v>6304.36</v>
      </c>
      <c r="O32" s="6" t="s">
        <v>26</v>
      </c>
      <c r="P32" s="8">
        <v>1735.31</v>
      </c>
      <c r="Q32" s="6" t="s">
        <v>42</v>
      </c>
      <c r="R32" s="6"/>
      <c r="S32" s="6"/>
      <c r="T32" s="12">
        <v>4.2500000000000003E-2</v>
      </c>
      <c r="U32" s="9">
        <v>1</v>
      </c>
      <c r="V32" s="8">
        <v>73.75</v>
      </c>
      <c r="W32" s="6" t="s">
        <v>6</v>
      </c>
      <c r="X32" s="6"/>
    </row>
    <row r="33" spans="1:24" x14ac:dyDescent="0.25">
      <c r="A33" s="6" t="s">
        <v>132</v>
      </c>
      <c r="B33" s="6" t="s">
        <v>136</v>
      </c>
      <c r="C33" s="6" t="s">
        <v>75</v>
      </c>
      <c r="D33" s="6" t="s">
        <v>76</v>
      </c>
      <c r="E33" s="6" t="s">
        <v>24</v>
      </c>
      <c r="F33" s="6" t="s">
        <v>41</v>
      </c>
      <c r="G33" s="26" t="s">
        <v>6</v>
      </c>
      <c r="H33" s="27"/>
      <c r="I33" s="7">
        <v>45839</v>
      </c>
      <c r="J33" s="8">
        <v>70.55</v>
      </c>
      <c r="K33" s="8">
        <v>464.48</v>
      </c>
      <c r="L33" s="8">
        <v>2322.4</v>
      </c>
      <c r="M33" s="8">
        <v>352.75</v>
      </c>
      <c r="N33" s="8">
        <v>1969.65</v>
      </c>
      <c r="O33" s="6" t="s">
        <v>26</v>
      </c>
      <c r="P33" s="8">
        <v>464.48</v>
      </c>
      <c r="Q33" s="6" t="s">
        <v>42</v>
      </c>
      <c r="R33" s="6"/>
      <c r="S33" s="6"/>
      <c r="T33" s="12">
        <v>4.2500000000000003E-2</v>
      </c>
      <c r="U33" s="9">
        <v>1</v>
      </c>
      <c r="V33" s="8">
        <v>19.739999999999998</v>
      </c>
      <c r="W33" s="6" t="s">
        <v>6</v>
      </c>
      <c r="X33" s="6"/>
    </row>
    <row r="34" spans="1:24" x14ac:dyDescent="0.25">
      <c r="A34" s="6" t="s">
        <v>132</v>
      </c>
      <c r="B34" s="6" t="s">
        <v>136</v>
      </c>
      <c r="C34" s="6" t="s">
        <v>77</v>
      </c>
      <c r="D34" s="6" t="s">
        <v>78</v>
      </c>
      <c r="E34" s="6" t="s">
        <v>24</v>
      </c>
      <c r="F34" s="6" t="s">
        <v>41</v>
      </c>
      <c r="G34" s="26" t="s">
        <v>6</v>
      </c>
      <c r="H34" s="27"/>
      <c r="I34" s="7">
        <v>45839</v>
      </c>
      <c r="J34" s="8">
        <v>33.31</v>
      </c>
      <c r="K34" s="8">
        <v>724.2</v>
      </c>
      <c r="L34" s="8">
        <v>5069.3999999999996</v>
      </c>
      <c r="M34" s="8">
        <v>233.17</v>
      </c>
      <c r="N34" s="8">
        <v>4836.2299999999996</v>
      </c>
      <c r="O34" s="6" t="s">
        <v>26</v>
      </c>
      <c r="P34" s="8">
        <v>724.2</v>
      </c>
      <c r="Q34" s="6" t="s">
        <v>42</v>
      </c>
      <c r="R34" s="6"/>
      <c r="S34" s="6"/>
      <c r="T34" s="12">
        <v>4.2500000000000003E-2</v>
      </c>
      <c r="U34" s="9">
        <v>1</v>
      </c>
      <c r="V34" s="8">
        <v>30.78</v>
      </c>
      <c r="W34" s="6" t="s">
        <v>6</v>
      </c>
      <c r="X34" s="6"/>
    </row>
    <row r="35" spans="1:24" x14ac:dyDescent="0.25">
      <c r="A35" s="6" t="s">
        <v>132</v>
      </c>
      <c r="B35" s="6" t="s">
        <v>136</v>
      </c>
      <c r="C35" s="6" t="s">
        <v>79</v>
      </c>
      <c r="D35" s="6" t="s">
        <v>80</v>
      </c>
      <c r="E35" s="6" t="s">
        <v>24</v>
      </c>
      <c r="F35" s="6" t="s">
        <v>41</v>
      </c>
      <c r="G35" s="26" t="s">
        <v>6</v>
      </c>
      <c r="H35" s="27"/>
      <c r="I35" s="7">
        <v>45839</v>
      </c>
      <c r="J35" s="8">
        <v>835.95</v>
      </c>
      <c r="K35" s="8">
        <v>1644.24</v>
      </c>
      <c r="L35" s="8">
        <v>11509.68</v>
      </c>
      <c r="M35" s="8">
        <v>5851.75</v>
      </c>
      <c r="N35" s="8">
        <v>5657.93</v>
      </c>
      <c r="O35" s="6" t="s">
        <v>26</v>
      </c>
      <c r="P35" s="8">
        <v>1644.24</v>
      </c>
      <c r="Q35" s="6" t="s">
        <v>42</v>
      </c>
      <c r="R35" s="6"/>
      <c r="S35" s="6"/>
      <c r="T35" s="12">
        <v>4.2500000000000003E-2</v>
      </c>
      <c r="U35" s="9">
        <v>1</v>
      </c>
      <c r="V35" s="8">
        <v>69.88</v>
      </c>
      <c r="W35" s="6" t="s">
        <v>6</v>
      </c>
      <c r="X35" s="6"/>
    </row>
    <row r="36" spans="1:24" x14ac:dyDescent="0.25">
      <c r="A36" s="6" t="s">
        <v>132</v>
      </c>
      <c r="B36" s="6" t="s">
        <v>136</v>
      </c>
      <c r="C36" s="6" t="s">
        <v>81</v>
      </c>
      <c r="D36" s="6" t="s">
        <v>82</v>
      </c>
      <c r="E36" s="6" t="s">
        <v>24</v>
      </c>
      <c r="F36" s="6" t="s">
        <v>41</v>
      </c>
      <c r="G36" s="26" t="s">
        <v>6</v>
      </c>
      <c r="H36" s="27"/>
      <c r="I36" s="7">
        <v>45839</v>
      </c>
      <c r="J36" s="8">
        <v>558.5</v>
      </c>
      <c r="K36" s="8">
        <v>1428.21</v>
      </c>
      <c r="L36" s="8">
        <v>13961.4</v>
      </c>
      <c r="M36" s="8">
        <v>5282.36</v>
      </c>
      <c r="N36" s="8">
        <v>8679.0400000000009</v>
      </c>
      <c r="O36" s="6" t="s">
        <v>26</v>
      </c>
      <c r="P36" s="8">
        <v>1428.21</v>
      </c>
      <c r="Q36" s="6" t="s">
        <v>42</v>
      </c>
      <c r="R36" s="6"/>
      <c r="S36" s="6"/>
      <c r="T36" s="12">
        <v>4.2500000000000003E-2</v>
      </c>
      <c r="U36" s="9">
        <v>1</v>
      </c>
      <c r="V36" s="8">
        <v>60.7</v>
      </c>
      <c r="W36" s="6" t="s">
        <v>6</v>
      </c>
      <c r="X36" s="6"/>
    </row>
    <row r="37" spans="1:24" x14ac:dyDescent="0.25">
      <c r="A37" s="6" t="s">
        <v>132</v>
      </c>
      <c r="B37" s="6" t="s">
        <v>136</v>
      </c>
      <c r="C37" s="6" t="s">
        <v>83</v>
      </c>
      <c r="D37" s="6" t="s">
        <v>84</v>
      </c>
      <c r="E37" s="6" t="s">
        <v>24</v>
      </c>
      <c r="F37" s="6" t="s">
        <v>41</v>
      </c>
      <c r="G37" s="26" t="s">
        <v>6</v>
      </c>
      <c r="H37" s="27"/>
      <c r="I37" s="7">
        <v>45839</v>
      </c>
      <c r="J37" s="8">
        <v>2</v>
      </c>
      <c r="K37" s="8">
        <v>795.49</v>
      </c>
      <c r="L37" s="8">
        <v>2386.4699999999998</v>
      </c>
      <c r="M37" s="8">
        <v>6</v>
      </c>
      <c r="N37" s="8">
        <v>2380.4699999999998</v>
      </c>
      <c r="O37" s="6" t="s">
        <v>26</v>
      </c>
      <c r="P37" s="8">
        <v>795.49</v>
      </c>
      <c r="Q37" s="6" t="s">
        <v>42</v>
      </c>
      <c r="R37" s="6"/>
      <c r="S37" s="6"/>
      <c r="T37" s="12">
        <v>4.2500000000000003E-2</v>
      </c>
      <c r="U37" s="9">
        <v>1</v>
      </c>
      <c r="V37" s="8">
        <v>33.799999999999997</v>
      </c>
      <c r="W37" s="6" t="s">
        <v>6</v>
      </c>
      <c r="X37" s="6"/>
    </row>
    <row r="38" spans="1:24" x14ac:dyDescent="0.25">
      <c r="A38" s="6" t="s">
        <v>132</v>
      </c>
      <c r="B38" s="6" t="s">
        <v>136</v>
      </c>
      <c r="C38" s="6" t="s">
        <v>85</v>
      </c>
      <c r="D38" s="6" t="s">
        <v>86</v>
      </c>
      <c r="E38" s="6" t="s">
        <v>24</v>
      </c>
      <c r="F38" s="6" t="s">
        <v>41</v>
      </c>
      <c r="G38" s="26" t="s">
        <v>6</v>
      </c>
      <c r="H38" s="27"/>
      <c r="I38" s="7">
        <v>45839</v>
      </c>
      <c r="J38" s="8">
        <v>35.770000000000003</v>
      </c>
      <c r="K38" s="8">
        <v>371.66</v>
      </c>
      <c r="L38" s="8">
        <v>4271.47</v>
      </c>
      <c r="M38" s="8">
        <v>339.74</v>
      </c>
      <c r="N38" s="8">
        <v>3931.73</v>
      </c>
      <c r="O38" s="6" t="s">
        <v>26</v>
      </c>
      <c r="P38" s="8">
        <v>371.66</v>
      </c>
      <c r="Q38" s="6" t="s">
        <v>42</v>
      </c>
      <c r="R38" s="6"/>
      <c r="S38" s="6"/>
      <c r="T38" s="12">
        <v>4.2500000000000003E-2</v>
      </c>
      <c r="U38" s="9">
        <v>1</v>
      </c>
      <c r="V38" s="8">
        <v>15.79</v>
      </c>
      <c r="W38" s="6" t="s">
        <v>6</v>
      </c>
      <c r="X38" s="6"/>
    </row>
    <row r="39" spans="1:24" x14ac:dyDescent="0.25">
      <c r="A39" s="6" t="s">
        <v>132</v>
      </c>
      <c r="B39" s="6" t="s">
        <v>136</v>
      </c>
      <c r="C39" s="6" t="s">
        <v>87</v>
      </c>
      <c r="D39" s="6" t="s">
        <v>88</v>
      </c>
      <c r="E39" s="6" t="s">
        <v>24</v>
      </c>
      <c r="F39" s="6" t="s">
        <v>41</v>
      </c>
      <c r="G39" s="26" t="s">
        <v>6</v>
      </c>
      <c r="H39" s="27"/>
      <c r="I39" s="7">
        <v>45839</v>
      </c>
      <c r="J39" s="8">
        <v>837.82</v>
      </c>
      <c r="K39" s="8">
        <v>1061.78</v>
      </c>
      <c r="L39" s="8">
        <v>7432.46</v>
      </c>
      <c r="M39" s="8">
        <v>5864.74</v>
      </c>
      <c r="N39" s="8">
        <v>1567.72</v>
      </c>
      <c r="O39" s="6" t="s">
        <v>26</v>
      </c>
      <c r="P39" s="8">
        <v>1061.78</v>
      </c>
      <c r="Q39" s="6" t="s">
        <v>42</v>
      </c>
      <c r="R39" s="6"/>
      <c r="S39" s="6"/>
      <c r="T39" s="12">
        <v>4.2500000000000003E-2</v>
      </c>
      <c r="U39" s="9">
        <v>1</v>
      </c>
      <c r="V39" s="8">
        <v>45.12</v>
      </c>
      <c r="W39" s="6" t="s">
        <v>6</v>
      </c>
      <c r="X39" s="6"/>
    </row>
    <row r="40" spans="1:24" x14ac:dyDescent="0.25">
      <c r="A40" s="6" t="s">
        <v>132</v>
      </c>
      <c r="B40" s="6" t="s">
        <v>136</v>
      </c>
      <c r="C40" s="6" t="s">
        <v>89</v>
      </c>
      <c r="D40" s="6" t="s">
        <v>90</v>
      </c>
      <c r="E40" s="6" t="s">
        <v>24</v>
      </c>
      <c r="F40" s="6" t="s">
        <v>41</v>
      </c>
      <c r="G40" s="26" t="s">
        <v>6</v>
      </c>
      <c r="H40" s="27"/>
      <c r="I40" s="7">
        <v>45839</v>
      </c>
      <c r="J40" s="8">
        <v>123.04</v>
      </c>
      <c r="K40" s="8">
        <v>385.61</v>
      </c>
      <c r="L40" s="8">
        <v>2699.27</v>
      </c>
      <c r="M40" s="8">
        <v>861.28</v>
      </c>
      <c r="N40" s="8">
        <v>1837.99</v>
      </c>
      <c r="O40" s="6" t="s">
        <v>26</v>
      </c>
      <c r="P40" s="8">
        <v>385.61</v>
      </c>
      <c r="Q40" s="6" t="s">
        <v>42</v>
      </c>
      <c r="R40" s="6"/>
      <c r="S40" s="6"/>
      <c r="T40" s="12">
        <v>4.2500000000000003E-2</v>
      </c>
      <c r="U40" s="9">
        <v>1</v>
      </c>
      <c r="V40" s="8">
        <v>16.39</v>
      </c>
      <c r="W40" s="6" t="s">
        <v>6</v>
      </c>
      <c r="X40" s="6"/>
    </row>
    <row r="41" spans="1:24" x14ac:dyDescent="0.25">
      <c r="A41" s="6" t="s">
        <v>132</v>
      </c>
      <c r="B41" s="6" t="s">
        <v>136</v>
      </c>
      <c r="C41" s="6" t="s">
        <v>91</v>
      </c>
      <c r="D41" s="6" t="s">
        <v>92</v>
      </c>
      <c r="E41" s="6" t="s">
        <v>24</v>
      </c>
      <c r="F41" s="6" t="s">
        <v>41</v>
      </c>
      <c r="G41" s="26" t="s">
        <v>6</v>
      </c>
      <c r="H41" s="27"/>
      <c r="I41" s="7">
        <v>45809</v>
      </c>
      <c r="J41" s="8">
        <v>776.45</v>
      </c>
      <c r="K41" s="8">
        <v>1021.05</v>
      </c>
      <c r="L41" s="8">
        <v>2042.1</v>
      </c>
      <c r="M41" s="8">
        <v>1552.9</v>
      </c>
      <c r="N41" s="8">
        <v>489.2</v>
      </c>
      <c r="O41" s="6" t="s">
        <v>26</v>
      </c>
      <c r="P41" s="8">
        <v>1021.05</v>
      </c>
      <c r="Q41" s="6" t="s">
        <v>42</v>
      </c>
      <c r="R41" s="6"/>
      <c r="S41" s="6"/>
      <c r="T41" s="12">
        <v>4.2500000000000003E-2</v>
      </c>
      <c r="U41" s="9">
        <v>1</v>
      </c>
      <c r="V41" s="8">
        <v>43.4</v>
      </c>
      <c r="W41" s="6" t="s">
        <v>6</v>
      </c>
      <c r="X41" s="6"/>
    </row>
    <row r="42" spans="1:24" x14ac:dyDescent="0.25">
      <c r="A42" s="6" t="s">
        <v>132</v>
      </c>
      <c r="B42" s="6" t="s">
        <v>136</v>
      </c>
      <c r="C42" s="6" t="s">
        <v>91</v>
      </c>
      <c r="D42" s="6" t="s">
        <v>92</v>
      </c>
      <c r="E42" s="6" t="s">
        <v>24</v>
      </c>
      <c r="F42" s="6" t="s">
        <v>41</v>
      </c>
      <c r="G42" s="26" t="s">
        <v>6</v>
      </c>
      <c r="H42" s="27"/>
      <c r="I42" s="7">
        <v>45839</v>
      </c>
      <c r="J42" s="8">
        <v>776.45</v>
      </c>
      <c r="K42" s="8">
        <v>1021.05</v>
      </c>
      <c r="L42" s="8">
        <v>3063.15</v>
      </c>
      <c r="M42" s="8">
        <v>2329.35</v>
      </c>
      <c r="N42" s="8">
        <v>733.8</v>
      </c>
      <c r="O42" s="6" t="s">
        <v>26</v>
      </c>
      <c r="P42" s="8">
        <v>1021.05</v>
      </c>
      <c r="Q42" s="6" t="s">
        <v>42</v>
      </c>
      <c r="R42" s="6"/>
      <c r="S42" s="6"/>
      <c r="T42" s="12">
        <v>4.2500000000000003E-2</v>
      </c>
      <c r="U42" s="9">
        <v>1</v>
      </c>
      <c r="V42" s="8">
        <v>43.39</v>
      </c>
      <c r="W42" s="6" t="s">
        <v>6</v>
      </c>
      <c r="X42" s="6"/>
    </row>
    <row r="43" spans="1:24" x14ac:dyDescent="0.25">
      <c r="A43" s="6" t="s">
        <v>132</v>
      </c>
      <c r="B43" s="6" t="s">
        <v>136</v>
      </c>
      <c r="C43" s="6" t="s">
        <v>93</v>
      </c>
      <c r="D43" s="6" t="s">
        <v>94</v>
      </c>
      <c r="E43" s="6" t="s">
        <v>24</v>
      </c>
      <c r="F43" s="6" t="s">
        <v>41</v>
      </c>
      <c r="G43" s="26" t="s">
        <v>6</v>
      </c>
      <c r="H43" s="27"/>
      <c r="I43" s="7">
        <v>45839</v>
      </c>
      <c r="J43" s="8">
        <v>981.33</v>
      </c>
      <c r="K43" s="8">
        <v>1485.9</v>
      </c>
      <c r="L43" s="8">
        <v>10401.299999999999</v>
      </c>
      <c r="M43" s="8">
        <v>6869.31</v>
      </c>
      <c r="N43" s="8">
        <v>3531.99</v>
      </c>
      <c r="O43" s="6" t="s">
        <v>26</v>
      </c>
      <c r="P43" s="8">
        <v>1485.9</v>
      </c>
      <c r="Q43" s="6" t="s">
        <v>42</v>
      </c>
      <c r="R43" s="6"/>
      <c r="S43" s="6"/>
      <c r="T43" s="12">
        <v>4.2500000000000003E-2</v>
      </c>
      <c r="U43" s="9">
        <v>1</v>
      </c>
      <c r="V43" s="8">
        <v>63.15</v>
      </c>
      <c r="W43" s="6" t="s">
        <v>6</v>
      </c>
      <c r="X43" s="6"/>
    </row>
    <row r="44" spans="1:24" x14ac:dyDescent="0.25">
      <c r="A44" s="6" t="s">
        <v>132</v>
      </c>
      <c r="B44" s="6" t="s">
        <v>136</v>
      </c>
      <c r="C44" s="6" t="s">
        <v>95</v>
      </c>
      <c r="D44" s="6" t="s">
        <v>96</v>
      </c>
      <c r="E44" s="6" t="s">
        <v>24</v>
      </c>
      <c r="F44" s="6" t="s">
        <v>41</v>
      </c>
      <c r="G44" s="26" t="s">
        <v>6</v>
      </c>
      <c r="H44" s="27"/>
      <c r="I44" s="7">
        <v>45839</v>
      </c>
      <c r="J44" s="8">
        <v>569.22</v>
      </c>
      <c r="K44" s="8">
        <v>1066.72</v>
      </c>
      <c r="L44" s="8">
        <v>3200.16</v>
      </c>
      <c r="M44" s="8">
        <v>1707.66</v>
      </c>
      <c r="N44" s="8">
        <v>1492.5</v>
      </c>
      <c r="O44" s="6" t="s">
        <v>26</v>
      </c>
      <c r="P44" s="8">
        <v>1066.72</v>
      </c>
      <c r="Q44" s="6" t="s">
        <v>42</v>
      </c>
      <c r="R44" s="6"/>
      <c r="S44" s="6"/>
      <c r="T44" s="12">
        <v>4.2500000000000003E-2</v>
      </c>
      <c r="U44" s="9">
        <v>1</v>
      </c>
      <c r="V44" s="8">
        <v>45.34</v>
      </c>
      <c r="W44" s="6" t="s">
        <v>6</v>
      </c>
      <c r="X44" s="6"/>
    </row>
    <row r="45" spans="1:24" x14ac:dyDescent="0.25">
      <c r="A45" s="6" t="s">
        <v>132</v>
      </c>
      <c r="B45" s="6" t="s">
        <v>136</v>
      </c>
      <c r="C45" s="6" t="s">
        <v>97</v>
      </c>
      <c r="D45" s="6" t="s">
        <v>98</v>
      </c>
      <c r="E45" s="6" t="s">
        <v>24</v>
      </c>
      <c r="F45" s="6" t="s">
        <v>41</v>
      </c>
      <c r="G45" s="26" t="s">
        <v>6</v>
      </c>
      <c r="H45" s="27"/>
      <c r="I45" s="7">
        <v>45839</v>
      </c>
      <c r="J45" s="8">
        <v>113.69</v>
      </c>
      <c r="K45" s="8">
        <v>853.77</v>
      </c>
      <c r="L45" s="8">
        <v>5976.39</v>
      </c>
      <c r="M45" s="8">
        <v>795.83</v>
      </c>
      <c r="N45" s="8">
        <v>5180.5600000000004</v>
      </c>
      <c r="O45" s="6" t="s">
        <v>26</v>
      </c>
      <c r="P45" s="8">
        <v>853.77</v>
      </c>
      <c r="Q45" s="6" t="s">
        <v>42</v>
      </c>
      <c r="R45" s="6"/>
      <c r="S45" s="6"/>
      <c r="T45" s="12">
        <v>4.2500000000000003E-2</v>
      </c>
      <c r="U45" s="9">
        <v>1</v>
      </c>
      <c r="V45" s="8">
        <v>36.28</v>
      </c>
      <c r="W45" s="6" t="s">
        <v>6</v>
      </c>
      <c r="X45" s="6"/>
    </row>
    <row r="46" spans="1:24" x14ac:dyDescent="0.25">
      <c r="A46" s="6" t="s">
        <v>132</v>
      </c>
      <c r="B46" s="6" t="s">
        <v>136</v>
      </c>
      <c r="C46" s="6" t="s">
        <v>99</v>
      </c>
      <c r="D46" s="6" t="s">
        <v>100</v>
      </c>
      <c r="E46" s="6" t="s">
        <v>24</v>
      </c>
      <c r="F46" s="6" t="s">
        <v>41</v>
      </c>
      <c r="G46" s="26" t="s">
        <v>6</v>
      </c>
      <c r="H46" s="27"/>
      <c r="I46" s="7">
        <v>45839</v>
      </c>
      <c r="J46" s="8">
        <v>164.65</v>
      </c>
      <c r="K46" s="8">
        <v>1097.1400000000001</v>
      </c>
      <c r="L46" s="8">
        <v>3291.42</v>
      </c>
      <c r="M46" s="8">
        <v>493.95</v>
      </c>
      <c r="N46" s="8">
        <v>2797.47</v>
      </c>
      <c r="O46" s="6" t="s">
        <v>26</v>
      </c>
      <c r="P46" s="8">
        <v>1097.1400000000001</v>
      </c>
      <c r="Q46" s="6" t="s">
        <v>42</v>
      </c>
      <c r="R46" s="6"/>
      <c r="S46" s="6"/>
      <c r="T46" s="12">
        <v>4.2500000000000003E-2</v>
      </c>
      <c r="U46" s="9">
        <v>1</v>
      </c>
      <c r="V46" s="8">
        <v>46.63</v>
      </c>
      <c r="W46" s="6" t="s">
        <v>6</v>
      </c>
      <c r="X46" s="6"/>
    </row>
    <row r="47" spans="1:24" x14ac:dyDescent="0.25">
      <c r="A47" s="6" t="s">
        <v>132</v>
      </c>
      <c r="B47" s="6" t="s">
        <v>136</v>
      </c>
      <c r="C47" s="6" t="s">
        <v>101</v>
      </c>
      <c r="D47" s="6" t="s">
        <v>102</v>
      </c>
      <c r="E47" s="6" t="s">
        <v>24</v>
      </c>
      <c r="F47" s="6" t="s">
        <v>41</v>
      </c>
      <c r="G47" s="26" t="s">
        <v>6</v>
      </c>
      <c r="H47" s="27"/>
      <c r="I47" s="7">
        <v>45839</v>
      </c>
      <c r="J47" s="8">
        <v>1096.05</v>
      </c>
      <c r="K47" s="8">
        <v>1096.05</v>
      </c>
      <c r="L47" s="8">
        <v>7672.35</v>
      </c>
      <c r="M47" s="8">
        <v>7672.35</v>
      </c>
      <c r="N47" s="8">
        <v>0</v>
      </c>
      <c r="O47" s="6" t="s">
        <v>26</v>
      </c>
      <c r="P47" s="8">
        <v>1096.05</v>
      </c>
      <c r="Q47" s="6" t="s">
        <v>42</v>
      </c>
      <c r="R47" s="6"/>
      <c r="S47" s="6"/>
      <c r="T47" s="12">
        <v>4.2500000000000003E-2</v>
      </c>
      <c r="U47" s="9">
        <v>1</v>
      </c>
      <c r="V47" s="8">
        <v>46.58</v>
      </c>
      <c r="W47" s="6" t="s">
        <v>6</v>
      </c>
      <c r="X47" s="6"/>
    </row>
    <row r="48" spans="1:24" x14ac:dyDescent="0.25">
      <c r="A48" s="6" t="s">
        <v>132</v>
      </c>
      <c r="B48" s="6" t="s">
        <v>136</v>
      </c>
      <c r="C48" s="6" t="s">
        <v>103</v>
      </c>
      <c r="D48" s="6" t="s">
        <v>104</v>
      </c>
      <c r="E48" s="6" t="s">
        <v>24</v>
      </c>
      <c r="F48" s="6" t="s">
        <v>41</v>
      </c>
      <c r="G48" s="26" t="s">
        <v>6</v>
      </c>
      <c r="H48" s="27"/>
      <c r="I48" s="7">
        <v>45839</v>
      </c>
      <c r="J48" s="8">
        <v>101.69</v>
      </c>
      <c r="K48" s="8">
        <v>380.58</v>
      </c>
      <c r="L48" s="8">
        <v>2664.06</v>
      </c>
      <c r="M48" s="8">
        <v>711.83</v>
      </c>
      <c r="N48" s="8">
        <v>1952.23</v>
      </c>
      <c r="O48" s="6" t="s">
        <v>26</v>
      </c>
      <c r="P48" s="8">
        <v>380.58</v>
      </c>
      <c r="Q48" s="6" t="s">
        <v>42</v>
      </c>
      <c r="R48" s="6"/>
      <c r="S48" s="6"/>
      <c r="T48" s="12">
        <v>4.2500000000000003E-2</v>
      </c>
      <c r="U48" s="9">
        <v>1</v>
      </c>
      <c r="V48" s="8">
        <v>16.170000000000002</v>
      </c>
      <c r="W48" s="6" t="s">
        <v>6</v>
      </c>
      <c r="X48" s="6"/>
    </row>
    <row r="49" spans="1:24" x14ac:dyDescent="0.25">
      <c r="A49" s="6" t="s">
        <v>132</v>
      </c>
      <c r="B49" s="6" t="s">
        <v>136</v>
      </c>
      <c r="C49" s="6" t="s">
        <v>105</v>
      </c>
      <c r="D49" s="6" t="s">
        <v>106</v>
      </c>
      <c r="E49" s="6" t="s">
        <v>24</v>
      </c>
      <c r="F49" s="6" t="s">
        <v>41</v>
      </c>
      <c r="G49" s="26" t="s">
        <v>6</v>
      </c>
      <c r="H49" s="27"/>
      <c r="I49" s="7">
        <v>45839</v>
      </c>
      <c r="J49" s="8">
        <v>838.78</v>
      </c>
      <c r="K49" s="8">
        <v>856.48</v>
      </c>
      <c r="L49" s="8">
        <v>1712.96</v>
      </c>
      <c r="M49" s="8">
        <v>1677.56</v>
      </c>
      <c r="N49" s="8">
        <v>35.4</v>
      </c>
      <c r="O49" s="6" t="s">
        <v>26</v>
      </c>
      <c r="P49" s="8">
        <v>856.48</v>
      </c>
      <c r="Q49" s="6" t="s">
        <v>42</v>
      </c>
      <c r="R49" s="6"/>
      <c r="S49" s="6"/>
      <c r="T49" s="12">
        <v>4.2500000000000003E-2</v>
      </c>
      <c r="U49" s="9">
        <v>1</v>
      </c>
      <c r="V49" s="8">
        <v>36.4</v>
      </c>
      <c r="W49" s="6" t="s">
        <v>6</v>
      </c>
      <c r="X49" s="6"/>
    </row>
    <row r="50" spans="1:24" x14ac:dyDescent="0.25">
      <c r="A50" s="6" t="s">
        <v>132</v>
      </c>
      <c r="B50" s="6" t="s">
        <v>136</v>
      </c>
      <c r="C50" s="6" t="s">
        <v>107</v>
      </c>
      <c r="D50" s="6" t="s">
        <v>108</v>
      </c>
      <c r="E50" s="6" t="s">
        <v>24</v>
      </c>
      <c r="F50" s="6" t="s">
        <v>41</v>
      </c>
      <c r="G50" s="26" t="s">
        <v>6</v>
      </c>
      <c r="H50" s="27"/>
      <c r="I50" s="7">
        <v>45839</v>
      </c>
      <c r="J50" s="8">
        <v>132.1</v>
      </c>
      <c r="K50" s="8">
        <v>946.99</v>
      </c>
      <c r="L50" s="8">
        <v>6628.93</v>
      </c>
      <c r="M50" s="8">
        <v>924.7</v>
      </c>
      <c r="N50" s="8">
        <v>5704.23</v>
      </c>
      <c r="O50" s="6" t="s">
        <v>26</v>
      </c>
      <c r="P50" s="8">
        <v>946.99</v>
      </c>
      <c r="Q50" s="6" t="s">
        <v>42</v>
      </c>
      <c r="R50" s="6"/>
      <c r="S50" s="6"/>
      <c r="T50" s="12">
        <v>4.2500000000000003E-2</v>
      </c>
      <c r="U50" s="9">
        <v>1</v>
      </c>
      <c r="V50" s="8">
        <v>40.25</v>
      </c>
      <c r="W50" s="6" t="s">
        <v>6</v>
      </c>
      <c r="X50" s="6"/>
    </row>
    <row r="51" spans="1:24" x14ac:dyDescent="0.25">
      <c r="A51" s="6" t="s">
        <v>132</v>
      </c>
      <c r="B51" s="6" t="s">
        <v>136</v>
      </c>
      <c r="C51" s="6" t="s">
        <v>109</v>
      </c>
      <c r="D51" s="6" t="s">
        <v>110</v>
      </c>
      <c r="E51" s="6" t="s">
        <v>24</v>
      </c>
      <c r="F51" s="6" t="s">
        <v>41</v>
      </c>
      <c r="G51" s="26" t="s">
        <v>6</v>
      </c>
      <c r="H51" s="27"/>
      <c r="I51" s="7">
        <v>45839</v>
      </c>
      <c r="J51" s="8">
        <v>734.55</v>
      </c>
      <c r="K51" s="8">
        <v>966.47</v>
      </c>
      <c r="L51" s="8">
        <v>6765.29</v>
      </c>
      <c r="M51" s="8">
        <v>4192.71</v>
      </c>
      <c r="N51" s="8">
        <v>2572.58</v>
      </c>
      <c r="O51" s="6" t="s">
        <v>26</v>
      </c>
      <c r="P51" s="8">
        <v>966.47</v>
      </c>
      <c r="Q51" s="6" t="s">
        <v>42</v>
      </c>
      <c r="R51" s="6"/>
      <c r="S51" s="6"/>
      <c r="T51" s="12">
        <v>4.2500000000000003E-2</v>
      </c>
      <c r="U51" s="9">
        <v>1</v>
      </c>
      <c r="V51" s="8">
        <v>41.08</v>
      </c>
      <c r="W51" s="6" t="s">
        <v>6</v>
      </c>
      <c r="X51" s="6"/>
    </row>
    <row r="52" spans="1:24" x14ac:dyDescent="0.25">
      <c r="A52" s="6" t="s">
        <v>132</v>
      </c>
      <c r="B52" s="6" t="s">
        <v>136</v>
      </c>
      <c r="C52" s="6" t="s">
        <v>111</v>
      </c>
      <c r="D52" s="6" t="s">
        <v>112</v>
      </c>
      <c r="E52" s="6" t="s">
        <v>24</v>
      </c>
      <c r="F52" s="6" t="s">
        <v>41</v>
      </c>
      <c r="G52" s="26" t="s">
        <v>6</v>
      </c>
      <c r="H52" s="27"/>
      <c r="I52" s="7">
        <v>45778</v>
      </c>
      <c r="J52" s="8">
        <v>389.11</v>
      </c>
      <c r="K52" s="8">
        <v>389.11</v>
      </c>
      <c r="L52" s="8">
        <v>1945.55</v>
      </c>
      <c r="M52" s="8">
        <v>1945.55</v>
      </c>
      <c r="N52" s="8">
        <v>0</v>
      </c>
      <c r="O52" s="6" t="s">
        <v>26</v>
      </c>
      <c r="P52" s="8">
        <v>389.11</v>
      </c>
      <c r="Q52" s="6" t="s">
        <v>42</v>
      </c>
      <c r="R52" s="6"/>
      <c r="S52" s="6"/>
      <c r="T52" s="12">
        <v>4.2500000000000003E-2</v>
      </c>
      <c r="U52" s="9">
        <v>1</v>
      </c>
      <c r="V52" s="8">
        <v>7.54</v>
      </c>
      <c r="W52" s="6" t="s">
        <v>6</v>
      </c>
      <c r="X52" s="6"/>
    </row>
    <row r="53" spans="1:24" x14ac:dyDescent="0.25">
      <c r="A53" s="6" t="s">
        <v>132</v>
      </c>
      <c r="B53" s="6" t="s">
        <v>136</v>
      </c>
      <c r="C53" s="6" t="s">
        <v>111</v>
      </c>
      <c r="D53" s="6" t="s">
        <v>112</v>
      </c>
      <c r="E53" s="6" t="s">
        <v>24</v>
      </c>
      <c r="F53" s="6" t="s">
        <v>41</v>
      </c>
      <c r="G53" s="26" t="s">
        <v>6</v>
      </c>
      <c r="H53" s="27"/>
      <c r="I53" s="7">
        <v>45809</v>
      </c>
      <c r="J53" s="8">
        <v>389.11</v>
      </c>
      <c r="K53" s="8">
        <v>389.11</v>
      </c>
      <c r="L53" s="8">
        <v>2334.66</v>
      </c>
      <c r="M53" s="8">
        <v>2334.66</v>
      </c>
      <c r="N53" s="8">
        <v>0</v>
      </c>
      <c r="O53" s="6" t="s">
        <v>26</v>
      </c>
      <c r="P53" s="8">
        <v>389.11</v>
      </c>
      <c r="Q53" s="6" t="s">
        <v>42</v>
      </c>
      <c r="R53" s="6"/>
      <c r="S53" s="6"/>
      <c r="T53" s="12">
        <v>4.2500000000000003E-2</v>
      </c>
      <c r="U53" s="9">
        <v>1</v>
      </c>
      <c r="V53" s="8">
        <v>16.53</v>
      </c>
      <c r="W53" s="6" t="s">
        <v>6</v>
      </c>
      <c r="X53" s="6"/>
    </row>
    <row r="54" spans="1:24" x14ac:dyDescent="0.25">
      <c r="A54" s="6" t="s">
        <v>132</v>
      </c>
      <c r="B54" s="6" t="s">
        <v>136</v>
      </c>
      <c r="C54" s="6" t="s">
        <v>113</v>
      </c>
      <c r="D54" s="6" t="s">
        <v>114</v>
      </c>
      <c r="E54" s="6" t="s">
        <v>24</v>
      </c>
      <c r="F54" s="6" t="s">
        <v>41</v>
      </c>
      <c r="G54" s="26" t="s">
        <v>6</v>
      </c>
      <c r="H54" s="27"/>
      <c r="I54" s="7">
        <v>45839</v>
      </c>
      <c r="J54" s="8">
        <v>140.93</v>
      </c>
      <c r="K54" s="8">
        <v>914.28</v>
      </c>
      <c r="L54" s="8">
        <v>6399.96</v>
      </c>
      <c r="M54" s="8">
        <v>986.51</v>
      </c>
      <c r="N54" s="8">
        <v>5413.45</v>
      </c>
      <c r="O54" s="6" t="s">
        <v>26</v>
      </c>
      <c r="P54" s="8">
        <v>914.28</v>
      </c>
      <c r="Q54" s="6" t="s">
        <v>42</v>
      </c>
      <c r="R54" s="6"/>
      <c r="S54" s="6"/>
      <c r="T54" s="12">
        <v>4.2500000000000003E-2</v>
      </c>
      <c r="U54" s="9">
        <v>1</v>
      </c>
      <c r="V54" s="8">
        <v>38.85</v>
      </c>
      <c r="W54" s="6" t="s">
        <v>6</v>
      </c>
      <c r="X54" s="6"/>
    </row>
    <row r="55" spans="1:24" x14ac:dyDescent="0.25">
      <c r="A55" s="6" t="s">
        <v>137</v>
      </c>
      <c r="B55" s="6" t="s">
        <v>138</v>
      </c>
      <c r="C55" s="6" t="s">
        <v>117</v>
      </c>
      <c r="D55" s="6" t="s">
        <v>118</v>
      </c>
      <c r="E55" s="6" t="s">
        <v>24</v>
      </c>
      <c r="F55" s="6" t="s">
        <v>25</v>
      </c>
      <c r="G55" s="26" t="s">
        <v>6</v>
      </c>
      <c r="H55" s="27"/>
      <c r="I55" s="7">
        <v>45839</v>
      </c>
      <c r="J55" s="8">
        <v>137.97999999999999</v>
      </c>
      <c r="K55" s="8">
        <v>137.97999999999999</v>
      </c>
      <c r="L55" s="8">
        <v>4343.88</v>
      </c>
      <c r="M55" s="8">
        <v>827.88</v>
      </c>
      <c r="N55" s="8">
        <v>3516</v>
      </c>
      <c r="O55" s="6" t="s">
        <v>26</v>
      </c>
      <c r="P55" s="6" t="s">
        <v>6</v>
      </c>
      <c r="Q55" s="6" t="s">
        <v>27</v>
      </c>
      <c r="R55" s="6"/>
      <c r="S55" s="6">
        <v>2</v>
      </c>
      <c r="T55" s="8">
        <v>20</v>
      </c>
      <c r="U55" s="9">
        <v>1</v>
      </c>
      <c r="V55" s="8">
        <v>40</v>
      </c>
      <c r="W55" s="6" t="s">
        <v>6</v>
      </c>
      <c r="X55" s="6"/>
    </row>
    <row r="56" spans="1:24" ht="10.9" customHeight="1" x14ac:dyDescent="0.25"/>
  </sheetData>
  <mergeCells count="53">
    <mergeCell ref="H1:J2"/>
    <mergeCell ref="A2:B3"/>
    <mergeCell ref="H3:J3"/>
    <mergeCell ref="A4:B4"/>
    <mergeCell ref="H4:J4"/>
    <mergeCell ref="A7:J7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53:H53"/>
    <mergeCell ref="G54:H54"/>
    <mergeCell ref="G55:H55"/>
    <mergeCell ref="G48:H48"/>
    <mergeCell ref="G49:H49"/>
    <mergeCell ref="G50:H50"/>
    <mergeCell ref="G51:H51"/>
    <mergeCell ref="G52:H52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996B0-529D-475E-A48D-8C12E1322AF1}">
  <dimension ref="A1:S59"/>
  <sheetViews>
    <sheetView tabSelected="1" topLeftCell="A19" workbookViewId="0">
      <selection activeCell="T44" sqref="T44"/>
    </sheetView>
  </sheetViews>
  <sheetFormatPr defaultRowHeight="15" x14ac:dyDescent="0.25"/>
  <cols>
    <col min="1" max="1" width="30.7109375" customWidth="1"/>
    <col min="2" max="2" width="9.28515625" customWidth="1"/>
    <col min="3" max="3" width="17.42578125" bestFit="1" customWidth="1"/>
    <col min="4" max="4" width="15.7109375" customWidth="1"/>
    <col min="5" max="5" width="4.28515625" customWidth="1"/>
    <col min="6" max="6" width="14.140625" style="49" customWidth="1"/>
    <col min="7" max="7" width="8" style="52" customWidth="1"/>
    <col min="8" max="9" width="13.7109375" customWidth="1"/>
    <col min="10" max="10" width="12.28515625" customWidth="1"/>
    <col min="11" max="11" width="12.140625" customWidth="1"/>
    <col min="12" max="12" width="7.42578125" customWidth="1"/>
    <col min="13" max="13" width="9.7109375" customWidth="1"/>
    <col min="14" max="14" width="4.85546875" customWidth="1"/>
    <col min="15" max="15" width="12.7109375" customWidth="1"/>
    <col min="16" max="16" width="16" bestFit="1" customWidth="1"/>
  </cols>
  <sheetData>
    <row r="1" spans="1:17" ht="22.5" customHeight="1" x14ac:dyDescent="0.25">
      <c r="A1" s="4" t="s">
        <v>122</v>
      </c>
      <c r="B1" s="4" t="s">
        <v>123</v>
      </c>
      <c r="C1" s="4" t="s">
        <v>7</v>
      </c>
      <c r="D1" s="4" t="s">
        <v>8</v>
      </c>
      <c r="E1" s="4" t="s">
        <v>10</v>
      </c>
      <c r="F1" s="46"/>
      <c r="G1" s="50" t="s">
        <v>13</v>
      </c>
      <c r="H1" s="45" t="s">
        <v>14</v>
      </c>
      <c r="I1" s="4" t="s">
        <v>124</v>
      </c>
      <c r="J1" s="4" t="s">
        <v>15</v>
      </c>
      <c r="K1" s="4" t="s">
        <v>16</v>
      </c>
      <c r="L1" s="4" t="s">
        <v>18</v>
      </c>
      <c r="M1" s="4" t="s">
        <v>19</v>
      </c>
      <c r="N1" s="4" t="s">
        <v>20</v>
      </c>
      <c r="O1" s="4" t="s">
        <v>21</v>
      </c>
    </row>
    <row r="2" spans="1:17" ht="15" customHeight="1" x14ac:dyDescent="0.25">
      <c r="A2" s="6" t="s">
        <v>130</v>
      </c>
      <c r="B2" s="6">
        <v>8977234</v>
      </c>
      <c r="C2" s="6" t="s">
        <v>22</v>
      </c>
      <c r="D2" s="53">
        <v>803046688001</v>
      </c>
      <c r="E2" s="6" t="s">
        <v>25</v>
      </c>
      <c r="F2" s="47">
        <v>45658</v>
      </c>
      <c r="G2" s="51">
        <v>45839</v>
      </c>
      <c r="H2" s="8">
        <v>0</v>
      </c>
      <c r="I2" s="8"/>
      <c r="J2" s="6">
        <v>1</v>
      </c>
      <c r="K2" s="6" t="s">
        <v>27</v>
      </c>
      <c r="L2" s="6" t="s">
        <v>205</v>
      </c>
      <c r="M2" s="8">
        <v>20</v>
      </c>
      <c r="N2" s="9">
        <v>1</v>
      </c>
      <c r="O2" s="8">
        <v>80</v>
      </c>
      <c r="P2" t="s">
        <v>211</v>
      </c>
      <c r="Q2" s="6" t="s">
        <v>205</v>
      </c>
    </row>
    <row r="3" spans="1:17" ht="15" customHeight="1" x14ac:dyDescent="0.25">
      <c r="A3" s="6" t="s">
        <v>130</v>
      </c>
      <c r="B3" s="6">
        <v>8977234</v>
      </c>
      <c r="C3" s="6" t="s">
        <v>28</v>
      </c>
      <c r="D3" s="53">
        <v>803090874001</v>
      </c>
      <c r="E3" s="6" t="s">
        <v>25</v>
      </c>
      <c r="F3" s="47">
        <v>45658</v>
      </c>
      <c r="G3" s="51">
        <v>45839</v>
      </c>
      <c r="H3" s="8">
        <v>159.87</v>
      </c>
      <c r="I3" s="8"/>
      <c r="J3" s="6">
        <v>1</v>
      </c>
      <c r="K3" s="6" t="s">
        <v>27</v>
      </c>
      <c r="L3" s="6"/>
      <c r="M3" s="8">
        <v>20</v>
      </c>
      <c r="N3" s="9">
        <v>1</v>
      </c>
      <c r="O3" s="8">
        <v>20</v>
      </c>
      <c r="P3" t="s">
        <v>211</v>
      </c>
    </row>
    <row r="4" spans="1:17" ht="15" customHeight="1" x14ac:dyDescent="0.25">
      <c r="A4" s="6" t="s">
        <v>130</v>
      </c>
      <c r="B4" s="6">
        <v>8977234</v>
      </c>
      <c r="C4" s="6" t="s">
        <v>30</v>
      </c>
      <c r="D4" s="53">
        <v>802698506001</v>
      </c>
      <c r="E4" s="6" t="s">
        <v>25</v>
      </c>
      <c r="F4" s="47">
        <v>45658</v>
      </c>
      <c r="G4" s="51">
        <v>45839</v>
      </c>
      <c r="H4" s="8">
        <v>61.47</v>
      </c>
      <c r="I4" s="8"/>
      <c r="J4" s="6">
        <v>1</v>
      </c>
      <c r="K4" s="6" t="s">
        <v>27</v>
      </c>
      <c r="L4" s="6"/>
      <c r="M4" s="8">
        <v>20</v>
      </c>
      <c r="N4" s="9">
        <v>1</v>
      </c>
      <c r="O4" s="8">
        <v>20</v>
      </c>
      <c r="P4" t="s">
        <v>211</v>
      </c>
    </row>
    <row r="5" spans="1:17" ht="15" customHeight="1" x14ac:dyDescent="0.25">
      <c r="A5" s="6" t="s">
        <v>130</v>
      </c>
      <c r="B5" s="6">
        <v>8977234</v>
      </c>
      <c r="C5" s="6" t="s">
        <v>32</v>
      </c>
      <c r="D5" s="53">
        <v>803246726001</v>
      </c>
      <c r="E5" s="6" t="s">
        <v>25</v>
      </c>
      <c r="F5" s="47">
        <v>45658</v>
      </c>
      <c r="G5" s="51">
        <v>45839</v>
      </c>
      <c r="H5" s="8">
        <v>134.1</v>
      </c>
      <c r="I5" s="8"/>
      <c r="J5" s="6">
        <v>1</v>
      </c>
      <c r="K5" s="6" t="s">
        <v>27</v>
      </c>
      <c r="L5" s="6" t="s">
        <v>204</v>
      </c>
      <c r="M5" s="8">
        <v>20</v>
      </c>
      <c r="N5" s="9">
        <v>1</v>
      </c>
      <c r="O5" s="8">
        <v>40</v>
      </c>
      <c r="P5" t="s">
        <v>211</v>
      </c>
      <c r="Q5" s="6" t="s">
        <v>204</v>
      </c>
    </row>
    <row r="6" spans="1:17" ht="15" customHeight="1" x14ac:dyDescent="0.25">
      <c r="A6" s="6" t="s">
        <v>132</v>
      </c>
      <c r="B6" s="6">
        <v>16865615</v>
      </c>
      <c r="C6" s="6" t="s">
        <v>39</v>
      </c>
      <c r="D6" s="53">
        <v>802878100001</v>
      </c>
      <c r="E6" s="6" t="s">
        <v>41</v>
      </c>
      <c r="F6" s="47">
        <v>45658</v>
      </c>
      <c r="G6" s="51">
        <v>45839</v>
      </c>
      <c r="H6" s="8">
        <v>402.8</v>
      </c>
      <c r="I6" s="8">
        <v>429.11</v>
      </c>
      <c r="J6" s="8">
        <v>429.11</v>
      </c>
      <c r="K6" s="6" t="s">
        <v>42</v>
      </c>
      <c r="L6" s="6"/>
      <c r="M6" s="12">
        <v>4.2500000000000003E-2</v>
      </c>
      <c r="N6" s="9">
        <v>1</v>
      </c>
      <c r="O6" s="8">
        <v>18.239999999999998</v>
      </c>
      <c r="P6" t="s">
        <v>210</v>
      </c>
      <c r="Q6" s="59">
        <f>J6*4.25%</f>
        <v>18.237175000000001</v>
      </c>
    </row>
    <row r="7" spans="1:17" ht="15" customHeight="1" x14ac:dyDescent="0.25">
      <c r="A7" s="6" t="s">
        <v>132</v>
      </c>
      <c r="B7" s="6">
        <v>16865615</v>
      </c>
      <c r="C7" s="6" t="s">
        <v>43</v>
      </c>
      <c r="D7" s="53">
        <v>803209950001</v>
      </c>
      <c r="E7" s="6" t="s">
        <v>41</v>
      </c>
      <c r="F7" s="47">
        <v>45658</v>
      </c>
      <c r="G7" s="51">
        <v>45839</v>
      </c>
      <c r="H7" s="8">
        <v>227.34</v>
      </c>
      <c r="I7" s="8">
        <v>227.34</v>
      </c>
      <c r="J7" s="8">
        <v>227.34</v>
      </c>
      <c r="K7" s="6" t="s">
        <v>42</v>
      </c>
      <c r="L7" s="6"/>
      <c r="M7" s="12">
        <v>4.2500000000000003E-2</v>
      </c>
      <c r="N7" s="9">
        <v>1</v>
      </c>
      <c r="O7" s="8">
        <v>9.66</v>
      </c>
      <c r="P7" t="s">
        <v>210</v>
      </c>
      <c r="Q7" s="59">
        <f t="shared" ref="Q7:Q44" si="0">J7*4.25%</f>
        <v>9.6619500000000009</v>
      </c>
    </row>
    <row r="8" spans="1:17" ht="15" customHeight="1" x14ac:dyDescent="0.25">
      <c r="A8" s="6" t="s">
        <v>132</v>
      </c>
      <c r="B8" s="6">
        <v>16865615</v>
      </c>
      <c r="C8" s="6" t="s">
        <v>45</v>
      </c>
      <c r="D8" s="53">
        <v>803124532001</v>
      </c>
      <c r="E8" s="6" t="s">
        <v>41</v>
      </c>
      <c r="F8" s="47">
        <v>45658</v>
      </c>
      <c r="G8" s="51">
        <v>45839</v>
      </c>
      <c r="H8" s="8">
        <v>96.39</v>
      </c>
      <c r="I8" s="8">
        <v>1200.46</v>
      </c>
      <c r="J8" s="8">
        <v>1200.46</v>
      </c>
      <c r="K8" s="6" t="s">
        <v>42</v>
      </c>
      <c r="L8" s="6"/>
      <c r="M8" s="12">
        <v>4.2500000000000003E-2</v>
      </c>
      <c r="N8" s="9">
        <v>1</v>
      </c>
      <c r="O8" s="8">
        <v>51.02</v>
      </c>
      <c r="P8" t="s">
        <v>210</v>
      </c>
      <c r="Q8" s="59">
        <f t="shared" si="0"/>
        <v>51.019550000000002</v>
      </c>
    </row>
    <row r="9" spans="1:17" ht="15" customHeight="1" x14ac:dyDescent="0.25">
      <c r="A9" s="6" t="s">
        <v>132</v>
      </c>
      <c r="B9" s="6">
        <v>16865615</v>
      </c>
      <c r="C9" s="6" t="s">
        <v>47</v>
      </c>
      <c r="D9" s="53">
        <v>802883368001</v>
      </c>
      <c r="E9" s="6" t="s">
        <v>41</v>
      </c>
      <c r="F9" s="47">
        <v>45658</v>
      </c>
      <c r="G9" s="51">
        <v>45839</v>
      </c>
      <c r="H9" s="8">
        <v>185.14</v>
      </c>
      <c r="I9" s="8">
        <v>1114.97</v>
      </c>
      <c r="J9" s="8">
        <v>1114.97</v>
      </c>
      <c r="K9" s="6" t="s">
        <v>42</v>
      </c>
      <c r="L9" s="6"/>
      <c r="M9" s="12">
        <v>4.2500000000000003E-2</v>
      </c>
      <c r="N9" s="9">
        <v>1</v>
      </c>
      <c r="O9" s="8">
        <v>47.38</v>
      </c>
      <c r="P9" t="s">
        <v>210</v>
      </c>
      <c r="Q9" s="59">
        <f t="shared" si="0"/>
        <v>47.386225000000003</v>
      </c>
    </row>
    <row r="10" spans="1:17" ht="15" customHeight="1" x14ac:dyDescent="0.25">
      <c r="A10" s="6" t="s">
        <v>132</v>
      </c>
      <c r="B10" s="6">
        <v>16865615</v>
      </c>
      <c r="C10" s="6" t="s">
        <v>49</v>
      </c>
      <c r="D10" s="53">
        <v>802896446001</v>
      </c>
      <c r="E10" s="6" t="s">
        <v>41</v>
      </c>
      <c r="F10" s="47">
        <v>45658</v>
      </c>
      <c r="G10" s="51">
        <v>45839</v>
      </c>
      <c r="H10" s="8">
        <v>362.43</v>
      </c>
      <c r="I10" s="8">
        <v>403.26</v>
      </c>
      <c r="J10" s="8">
        <v>403.26</v>
      </c>
      <c r="K10" s="6" t="s">
        <v>42</v>
      </c>
      <c r="L10" s="6"/>
      <c r="M10" s="12">
        <v>4.2500000000000003E-2</v>
      </c>
      <c r="N10" s="9">
        <v>1</v>
      </c>
      <c r="O10" s="8">
        <v>17.14</v>
      </c>
      <c r="P10" t="s">
        <v>210</v>
      </c>
      <c r="Q10" s="59">
        <f t="shared" si="0"/>
        <v>17.138550000000002</v>
      </c>
    </row>
    <row r="11" spans="1:17" ht="15" customHeight="1" x14ac:dyDescent="0.25">
      <c r="A11" s="6" t="s">
        <v>132</v>
      </c>
      <c r="B11" s="6">
        <v>16865615</v>
      </c>
      <c r="C11" s="6" t="s">
        <v>51</v>
      </c>
      <c r="D11" s="53">
        <v>803256188001</v>
      </c>
      <c r="E11" s="6" t="s">
        <v>41</v>
      </c>
      <c r="F11" s="47">
        <v>45658</v>
      </c>
      <c r="G11" s="51">
        <v>45839</v>
      </c>
      <c r="H11" s="8">
        <v>804.4</v>
      </c>
      <c r="I11" s="8">
        <v>945.9</v>
      </c>
      <c r="J11" s="8">
        <v>945.9</v>
      </c>
      <c r="K11" s="6" t="s">
        <v>42</v>
      </c>
      <c r="L11" s="6"/>
      <c r="M11" s="12">
        <v>4.2500000000000003E-2</v>
      </c>
      <c r="N11" s="9">
        <v>1</v>
      </c>
      <c r="O11" s="8">
        <v>40.200000000000003</v>
      </c>
      <c r="P11" t="s">
        <v>210</v>
      </c>
      <c r="Q11" s="59">
        <f t="shared" si="0"/>
        <v>40.200749999999999</v>
      </c>
    </row>
    <row r="12" spans="1:17" ht="15" customHeight="1" x14ac:dyDescent="0.25">
      <c r="A12" s="6" t="s">
        <v>132</v>
      </c>
      <c r="B12" s="6">
        <v>16865615</v>
      </c>
      <c r="C12" s="6" t="s">
        <v>53</v>
      </c>
      <c r="D12" s="53">
        <v>802875000001</v>
      </c>
      <c r="E12" s="6" t="s">
        <v>41</v>
      </c>
      <c r="F12" s="47">
        <v>45658</v>
      </c>
      <c r="G12" s="51">
        <v>45839</v>
      </c>
      <c r="H12" s="8">
        <v>183.76</v>
      </c>
      <c r="I12" s="8">
        <v>580.08000000000004</v>
      </c>
      <c r="J12" s="8">
        <v>580.08000000000004</v>
      </c>
      <c r="K12" s="6" t="s">
        <v>42</v>
      </c>
      <c r="L12" s="6"/>
      <c r="M12" s="12">
        <v>4.2500000000000003E-2</v>
      </c>
      <c r="N12" s="9">
        <v>1</v>
      </c>
      <c r="O12" s="8">
        <v>24.66</v>
      </c>
      <c r="P12" t="s">
        <v>210</v>
      </c>
      <c r="Q12" s="59">
        <f t="shared" si="0"/>
        <v>24.653400000000005</v>
      </c>
    </row>
    <row r="13" spans="1:17" ht="15" customHeight="1" x14ac:dyDescent="0.25">
      <c r="A13" s="6" t="s">
        <v>132</v>
      </c>
      <c r="B13" s="6">
        <v>16865615</v>
      </c>
      <c r="C13" s="6" t="s">
        <v>55</v>
      </c>
      <c r="D13" s="53">
        <v>803092864001</v>
      </c>
      <c r="E13" s="6" t="s">
        <v>41</v>
      </c>
      <c r="F13" s="47">
        <v>45658</v>
      </c>
      <c r="G13" s="51">
        <v>45839</v>
      </c>
      <c r="H13" s="8">
        <v>368.23</v>
      </c>
      <c r="I13" s="8">
        <v>815.27</v>
      </c>
      <c r="J13" s="8">
        <v>815.27</v>
      </c>
      <c r="K13" s="6" t="s">
        <v>42</v>
      </c>
      <c r="L13" s="6"/>
      <c r="M13" s="12">
        <v>4.2500000000000003E-2</v>
      </c>
      <c r="N13" s="9">
        <v>1</v>
      </c>
      <c r="O13" s="8">
        <v>34.65</v>
      </c>
      <c r="P13" t="s">
        <v>210</v>
      </c>
      <c r="Q13" s="59">
        <f t="shared" si="0"/>
        <v>34.648975</v>
      </c>
    </row>
    <row r="14" spans="1:17" ht="15" customHeight="1" x14ac:dyDescent="0.25">
      <c r="A14" s="6" t="s">
        <v>132</v>
      </c>
      <c r="B14" s="6">
        <v>16865615</v>
      </c>
      <c r="C14" s="6" t="s">
        <v>57</v>
      </c>
      <c r="D14" s="53">
        <v>803226175001</v>
      </c>
      <c r="E14" s="6" t="s">
        <v>41</v>
      </c>
      <c r="F14" s="47">
        <v>45658</v>
      </c>
      <c r="G14" s="51">
        <v>45839</v>
      </c>
      <c r="H14" s="8">
        <v>140.75</v>
      </c>
      <c r="I14" s="8">
        <v>663.78</v>
      </c>
      <c r="J14" s="8">
        <v>663.78</v>
      </c>
      <c r="K14" s="6" t="s">
        <v>42</v>
      </c>
      <c r="L14" s="6"/>
      <c r="M14" s="12">
        <v>4.2500000000000003E-2</v>
      </c>
      <c r="N14" s="9">
        <v>1</v>
      </c>
      <c r="O14" s="8">
        <v>28.21</v>
      </c>
      <c r="P14" t="s">
        <v>210</v>
      </c>
      <c r="Q14" s="59">
        <f t="shared" si="0"/>
        <v>28.210650000000001</v>
      </c>
    </row>
    <row r="15" spans="1:17" ht="15" customHeight="1" x14ac:dyDescent="0.25">
      <c r="A15" s="6" t="s">
        <v>132</v>
      </c>
      <c r="B15" s="6">
        <v>16865615</v>
      </c>
      <c r="C15" s="6" t="s">
        <v>59</v>
      </c>
      <c r="D15" s="53">
        <v>802981736001</v>
      </c>
      <c r="E15" s="6" t="s">
        <v>41</v>
      </c>
      <c r="F15" s="47">
        <v>45658</v>
      </c>
      <c r="G15" s="51">
        <v>45839</v>
      </c>
      <c r="H15" s="8">
        <v>311.43</v>
      </c>
      <c r="I15" s="8">
        <v>311.43</v>
      </c>
      <c r="J15" s="8">
        <v>311.43</v>
      </c>
      <c r="K15" s="6" t="s">
        <v>42</v>
      </c>
      <c r="L15" s="6"/>
      <c r="M15" s="12">
        <v>4.2500000000000003E-2</v>
      </c>
      <c r="N15" s="9">
        <v>1</v>
      </c>
      <c r="O15" s="8">
        <v>13.23</v>
      </c>
      <c r="P15" t="s">
        <v>210</v>
      </c>
      <c r="Q15" s="59">
        <f t="shared" si="0"/>
        <v>13.235775000000002</v>
      </c>
    </row>
    <row r="16" spans="1:17" ht="15" customHeight="1" x14ac:dyDescent="0.25">
      <c r="A16" s="6" t="s">
        <v>132</v>
      </c>
      <c r="B16" s="6">
        <v>16865615</v>
      </c>
      <c r="C16" s="6" t="s">
        <v>61</v>
      </c>
      <c r="D16" s="53">
        <v>803173626001</v>
      </c>
      <c r="E16" s="6" t="s">
        <v>41</v>
      </c>
      <c r="F16" s="47">
        <v>45658</v>
      </c>
      <c r="G16" s="51">
        <v>45839</v>
      </c>
      <c r="H16" s="8">
        <v>1857.62</v>
      </c>
      <c r="I16" s="8">
        <v>1925.14</v>
      </c>
      <c r="J16" s="8">
        <v>1925.14</v>
      </c>
      <c r="K16" s="6" t="s">
        <v>42</v>
      </c>
      <c r="L16" s="6"/>
      <c r="M16" s="12">
        <v>4.2500000000000003E-2</v>
      </c>
      <c r="N16" s="9">
        <v>1</v>
      </c>
      <c r="O16" s="8">
        <v>81.819999999999993</v>
      </c>
      <c r="P16" t="s">
        <v>210</v>
      </c>
      <c r="Q16" s="59">
        <f t="shared" si="0"/>
        <v>81.818450000000013</v>
      </c>
    </row>
    <row r="17" spans="1:17" ht="15" customHeight="1" x14ac:dyDescent="0.25">
      <c r="A17" s="6" t="s">
        <v>132</v>
      </c>
      <c r="B17" s="6">
        <v>16865615</v>
      </c>
      <c r="C17" s="6" t="s">
        <v>63</v>
      </c>
      <c r="D17" s="53">
        <v>803132511001</v>
      </c>
      <c r="E17" s="6" t="s">
        <v>41</v>
      </c>
      <c r="F17" s="47">
        <v>45658</v>
      </c>
      <c r="G17" s="51">
        <v>45839</v>
      </c>
      <c r="H17" s="8">
        <v>323.83999999999997</v>
      </c>
      <c r="I17" s="8">
        <v>518.69000000000005</v>
      </c>
      <c r="J17" s="8">
        <v>518.69000000000005</v>
      </c>
      <c r="K17" s="6" t="s">
        <v>42</v>
      </c>
      <c r="L17" s="6"/>
      <c r="M17" s="12">
        <v>4.2500000000000003E-2</v>
      </c>
      <c r="N17" s="9">
        <v>1</v>
      </c>
      <c r="O17" s="8">
        <v>22.05</v>
      </c>
      <c r="P17" t="s">
        <v>210</v>
      </c>
      <c r="Q17" s="59">
        <f t="shared" si="0"/>
        <v>22.044325000000004</v>
      </c>
    </row>
    <row r="18" spans="1:17" ht="15" customHeight="1" x14ac:dyDescent="0.25">
      <c r="A18" s="6" t="s">
        <v>132</v>
      </c>
      <c r="B18" s="6">
        <v>16865615</v>
      </c>
      <c r="C18" s="6" t="s">
        <v>65</v>
      </c>
      <c r="D18" s="53">
        <v>803105663001</v>
      </c>
      <c r="E18" s="6" t="s">
        <v>41</v>
      </c>
      <c r="F18" s="47">
        <v>45658</v>
      </c>
      <c r="G18" s="51">
        <v>45839</v>
      </c>
      <c r="H18" s="8">
        <v>490.8</v>
      </c>
      <c r="I18" s="8">
        <v>835.05</v>
      </c>
      <c r="J18" s="8">
        <v>835.05</v>
      </c>
      <c r="K18" s="6" t="s">
        <v>42</v>
      </c>
      <c r="L18" s="6"/>
      <c r="M18" s="12">
        <v>4.2500000000000003E-2</v>
      </c>
      <c r="N18" s="9">
        <v>1</v>
      </c>
      <c r="O18" s="8">
        <v>35.49</v>
      </c>
      <c r="P18" t="s">
        <v>210</v>
      </c>
      <c r="Q18" s="59">
        <f t="shared" si="0"/>
        <v>35.489625000000004</v>
      </c>
    </row>
    <row r="19" spans="1:17" ht="15" customHeight="1" x14ac:dyDescent="0.25">
      <c r="A19" s="6" t="s">
        <v>132</v>
      </c>
      <c r="B19" s="6">
        <v>16865615</v>
      </c>
      <c r="C19" s="6" t="s">
        <v>67</v>
      </c>
      <c r="D19" s="53">
        <v>803217184001</v>
      </c>
      <c r="E19" s="6" t="s">
        <v>41</v>
      </c>
      <c r="F19" s="47">
        <v>45658</v>
      </c>
      <c r="G19" s="51">
        <v>45839</v>
      </c>
      <c r="H19" s="8">
        <v>183.45</v>
      </c>
      <c r="I19" s="8">
        <v>341.71</v>
      </c>
      <c r="J19" s="8">
        <v>341.71</v>
      </c>
      <c r="K19" s="6" t="s">
        <v>42</v>
      </c>
      <c r="L19" s="6"/>
      <c r="M19" s="12">
        <v>4.2500000000000003E-2</v>
      </c>
      <c r="N19" s="9">
        <v>1</v>
      </c>
      <c r="O19" s="8">
        <v>14.53</v>
      </c>
      <c r="P19" t="s">
        <v>210</v>
      </c>
      <c r="Q19" s="59">
        <f t="shared" si="0"/>
        <v>14.522675</v>
      </c>
    </row>
    <row r="20" spans="1:17" ht="15" customHeight="1" x14ac:dyDescent="0.25">
      <c r="A20" s="6" t="s">
        <v>132</v>
      </c>
      <c r="B20" s="6">
        <v>16865615</v>
      </c>
      <c r="C20" s="6" t="s">
        <v>69</v>
      </c>
      <c r="D20" s="53">
        <v>803279516001</v>
      </c>
      <c r="E20" s="6" t="s">
        <v>41</v>
      </c>
      <c r="F20" s="47">
        <v>45658</v>
      </c>
      <c r="G20" s="51">
        <v>45839</v>
      </c>
      <c r="H20" s="8">
        <v>710.14</v>
      </c>
      <c r="I20" s="8">
        <v>815.84</v>
      </c>
      <c r="J20" s="8">
        <v>815.84</v>
      </c>
      <c r="K20" s="6" t="s">
        <v>42</v>
      </c>
      <c r="L20" s="6"/>
      <c r="M20" s="12">
        <v>4.2500000000000003E-2</v>
      </c>
      <c r="N20" s="9">
        <v>1</v>
      </c>
      <c r="O20" s="8">
        <v>34.67</v>
      </c>
      <c r="P20" t="s">
        <v>210</v>
      </c>
      <c r="Q20" s="59">
        <f t="shared" si="0"/>
        <v>34.673200000000001</v>
      </c>
    </row>
    <row r="21" spans="1:17" ht="15" customHeight="1" x14ac:dyDescent="0.25">
      <c r="A21" s="6" t="s">
        <v>132</v>
      </c>
      <c r="B21" s="6">
        <v>16865615</v>
      </c>
      <c r="C21" s="6" t="s">
        <v>71</v>
      </c>
      <c r="D21" s="53">
        <v>802945691001</v>
      </c>
      <c r="E21" s="6" t="s">
        <v>41</v>
      </c>
      <c r="F21" s="47">
        <v>45658</v>
      </c>
      <c r="G21" s="51">
        <v>45839</v>
      </c>
      <c r="H21" s="8">
        <v>77.36</v>
      </c>
      <c r="I21" s="8">
        <v>430.75</v>
      </c>
      <c r="J21" s="8">
        <v>430.75</v>
      </c>
      <c r="K21" s="6" t="s">
        <v>42</v>
      </c>
      <c r="L21" s="6"/>
      <c r="M21" s="12">
        <v>4.2500000000000003E-2</v>
      </c>
      <c r="N21" s="9">
        <v>1</v>
      </c>
      <c r="O21" s="8">
        <v>18.309999999999999</v>
      </c>
      <c r="P21" t="s">
        <v>210</v>
      </c>
      <c r="Q21" s="59">
        <f t="shared" si="0"/>
        <v>18.306875000000002</v>
      </c>
    </row>
    <row r="22" spans="1:17" ht="15" customHeight="1" x14ac:dyDescent="0.25">
      <c r="A22" s="6" t="s">
        <v>132</v>
      </c>
      <c r="B22" s="6">
        <v>16865615</v>
      </c>
      <c r="C22" s="6" t="s">
        <v>73</v>
      </c>
      <c r="D22" s="53">
        <v>802986110001</v>
      </c>
      <c r="E22" s="6" t="s">
        <v>41</v>
      </c>
      <c r="F22" s="47">
        <v>45658</v>
      </c>
      <c r="G22" s="51">
        <v>45839</v>
      </c>
      <c r="H22" s="8">
        <v>159.22</v>
      </c>
      <c r="I22" s="8">
        <v>1735.31</v>
      </c>
      <c r="J22" s="8">
        <v>1735.31</v>
      </c>
      <c r="K22" s="6" t="s">
        <v>42</v>
      </c>
      <c r="L22" s="6"/>
      <c r="M22" s="12">
        <v>4.2500000000000003E-2</v>
      </c>
      <c r="N22" s="9">
        <v>1</v>
      </c>
      <c r="O22" s="8">
        <v>73.75</v>
      </c>
      <c r="P22" t="s">
        <v>210</v>
      </c>
      <c r="Q22" s="59">
        <f t="shared" si="0"/>
        <v>73.750675000000001</v>
      </c>
    </row>
    <row r="23" spans="1:17" ht="15" customHeight="1" x14ac:dyDescent="0.25">
      <c r="A23" s="6" t="s">
        <v>132</v>
      </c>
      <c r="B23" s="6">
        <v>16865615</v>
      </c>
      <c r="C23" s="6" t="s">
        <v>75</v>
      </c>
      <c r="D23" s="53">
        <v>802971972001</v>
      </c>
      <c r="E23" s="6" t="s">
        <v>41</v>
      </c>
      <c r="F23" s="47">
        <v>45658</v>
      </c>
      <c r="G23" s="51">
        <v>45839</v>
      </c>
      <c r="H23" s="8">
        <v>70.55</v>
      </c>
      <c r="I23" s="8">
        <v>464.48</v>
      </c>
      <c r="J23" s="8">
        <v>464.48</v>
      </c>
      <c r="K23" s="6" t="s">
        <v>42</v>
      </c>
      <c r="L23" s="6"/>
      <c r="M23" s="12">
        <v>4.2500000000000003E-2</v>
      </c>
      <c r="N23" s="9">
        <v>1</v>
      </c>
      <c r="O23" s="8">
        <v>19.739999999999998</v>
      </c>
      <c r="P23" t="s">
        <v>210</v>
      </c>
      <c r="Q23" s="59">
        <f t="shared" si="0"/>
        <v>19.740400000000001</v>
      </c>
    </row>
    <row r="24" spans="1:17" ht="15" customHeight="1" x14ac:dyDescent="0.25">
      <c r="A24" s="6" t="s">
        <v>132</v>
      </c>
      <c r="B24" s="6">
        <v>16865615</v>
      </c>
      <c r="C24" s="6" t="s">
        <v>77</v>
      </c>
      <c r="D24" s="53">
        <v>803102362001</v>
      </c>
      <c r="E24" s="6" t="s">
        <v>41</v>
      </c>
      <c r="F24" s="47">
        <v>45658</v>
      </c>
      <c r="G24" s="51">
        <v>45839</v>
      </c>
      <c r="H24" s="8">
        <v>33.31</v>
      </c>
      <c r="I24" s="8">
        <v>724.2</v>
      </c>
      <c r="J24" s="8">
        <v>724.2</v>
      </c>
      <c r="K24" s="6" t="s">
        <v>42</v>
      </c>
      <c r="L24" s="6"/>
      <c r="M24" s="12">
        <v>4.2500000000000003E-2</v>
      </c>
      <c r="N24" s="9">
        <v>1</v>
      </c>
      <c r="O24" s="8">
        <v>30.78</v>
      </c>
      <c r="P24" t="s">
        <v>210</v>
      </c>
      <c r="Q24" s="59">
        <f t="shared" si="0"/>
        <v>30.778500000000005</v>
      </c>
    </row>
    <row r="25" spans="1:17" ht="15" customHeight="1" x14ac:dyDescent="0.25">
      <c r="A25" s="6" t="s">
        <v>132</v>
      </c>
      <c r="B25" s="6">
        <v>16865615</v>
      </c>
      <c r="C25" s="6" t="s">
        <v>79</v>
      </c>
      <c r="D25" s="53">
        <v>802921278001</v>
      </c>
      <c r="E25" s="6" t="s">
        <v>41</v>
      </c>
      <c r="F25" s="47">
        <v>45658</v>
      </c>
      <c r="G25" s="51">
        <v>45839</v>
      </c>
      <c r="H25" s="8">
        <v>835.95</v>
      </c>
      <c r="I25" s="8">
        <v>1644.24</v>
      </c>
      <c r="J25" s="8">
        <v>1644.24</v>
      </c>
      <c r="K25" s="6" t="s">
        <v>42</v>
      </c>
      <c r="L25" s="6"/>
      <c r="M25" s="12">
        <v>4.2500000000000003E-2</v>
      </c>
      <c r="N25" s="9">
        <v>1</v>
      </c>
      <c r="O25" s="8">
        <v>69.88</v>
      </c>
      <c r="P25" t="s">
        <v>210</v>
      </c>
      <c r="Q25" s="59">
        <f t="shared" si="0"/>
        <v>69.880200000000002</v>
      </c>
    </row>
    <row r="26" spans="1:17" ht="15" customHeight="1" x14ac:dyDescent="0.25">
      <c r="A26" s="6" t="s">
        <v>132</v>
      </c>
      <c r="B26" s="6">
        <v>16865615</v>
      </c>
      <c r="C26" s="6" t="s">
        <v>81</v>
      </c>
      <c r="D26" s="53">
        <v>803058283001</v>
      </c>
      <c r="E26" s="6" t="s">
        <v>41</v>
      </c>
      <c r="F26" s="47">
        <v>45658</v>
      </c>
      <c r="G26" s="51">
        <v>45839</v>
      </c>
      <c r="H26" s="8">
        <v>558.5</v>
      </c>
      <c r="I26" s="8">
        <v>1428.21</v>
      </c>
      <c r="J26" s="8">
        <v>1428.21</v>
      </c>
      <c r="K26" s="6" t="s">
        <v>42</v>
      </c>
      <c r="L26" s="6"/>
      <c r="M26" s="12">
        <v>4.2500000000000003E-2</v>
      </c>
      <c r="N26" s="9">
        <v>1</v>
      </c>
      <c r="O26" s="8">
        <v>60.7</v>
      </c>
      <c r="P26" t="s">
        <v>210</v>
      </c>
      <c r="Q26" s="59">
        <f t="shared" si="0"/>
        <v>60.698925000000003</v>
      </c>
    </row>
    <row r="27" spans="1:17" ht="15" customHeight="1" x14ac:dyDescent="0.25">
      <c r="A27" s="6" t="s">
        <v>132</v>
      </c>
      <c r="B27" s="6">
        <v>16865615</v>
      </c>
      <c r="C27" s="6" t="s">
        <v>83</v>
      </c>
      <c r="D27" s="53">
        <v>802998630001</v>
      </c>
      <c r="E27" s="6" t="s">
        <v>41</v>
      </c>
      <c r="F27" s="47">
        <v>45658</v>
      </c>
      <c r="G27" s="51">
        <v>45839</v>
      </c>
      <c r="H27" s="8">
        <v>2</v>
      </c>
      <c r="I27" s="8">
        <v>795.49</v>
      </c>
      <c r="J27" s="8">
        <v>795.49</v>
      </c>
      <c r="K27" s="6" t="s">
        <v>42</v>
      </c>
      <c r="L27" s="6"/>
      <c r="M27" s="12">
        <v>4.2500000000000003E-2</v>
      </c>
      <c r="N27" s="9">
        <v>1</v>
      </c>
      <c r="O27" s="8">
        <v>33.799999999999997</v>
      </c>
      <c r="P27" t="s">
        <v>210</v>
      </c>
      <c r="Q27" s="59">
        <f t="shared" si="0"/>
        <v>33.808325000000004</v>
      </c>
    </row>
    <row r="28" spans="1:17" ht="15" customHeight="1" x14ac:dyDescent="0.25">
      <c r="A28" s="6" t="s">
        <v>132</v>
      </c>
      <c r="B28" s="6">
        <v>16865615</v>
      </c>
      <c r="C28" s="6" t="s">
        <v>85</v>
      </c>
      <c r="D28" s="53">
        <v>803030379001</v>
      </c>
      <c r="E28" s="6" t="s">
        <v>41</v>
      </c>
      <c r="F28" s="47">
        <v>45658</v>
      </c>
      <c r="G28" s="51">
        <v>45839</v>
      </c>
      <c r="H28" s="8">
        <v>35.770000000000003</v>
      </c>
      <c r="I28" s="8">
        <v>371.66</v>
      </c>
      <c r="J28" s="8">
        <v>371.66</v>
      </c>
      <c r="K28" s="6" t="s">
        <v>42</v>
      </c>
      <c r="L28" s="6"/>
      <c r="M28" s="12">
        <v>4.2500000000000003E-2</v>
      </c>
      <c r="N28" s="9">
        <v>1</v>
      </c>
      <c r="O28" s="8">
        <v>15.79</v>
      </c>
      <c r="P28" t="s">
        <v>210</v>
      </c>
      <c r="Q28" s="59">
        <f t="shared" si="0"/>
        <v>15.795550000000002</v>
      </c>
    </row>
    <row r="29" spans="1:17" ht="15" customHeight="1" x14ac:dyDescent="0.25">
      <c r="A29" s="6" t="s">
        <v>132</v>
      </c>
      <c r="B29" s="6">
        <v>16865615</v>
      </c>
      <c r="C29" s="6" t="s">
        <v>87</v>
      </c>
      <c r="D29" s="53">
        <v>803118558001</v>
      </c>
      <c r="E29" s="6" t="s">
        <v>41</v>
      </c>
      <c r="F29" s="47">
        <v>45658</v>
      </c>
      <c r="G29" s="51">
        <v>45839</v>
      </c>
      <c r="H29" s="8">
        <v>837.82</v>
      </c>
      <c r="I29" s="8">
        <v>1061.78</v>
      </c>
      <c r="J29" s="8">
        <v>1061.78</v>
      </c>
      <c r="K29" s="6" t="s">
        <v>42</v>
      </c>
      <c r="L29" s="6"/>
      <c r="M29" s="12">
        <v>4.2500000000000003E-2</v>
      </c>
      <c r="N29" s="9">
        <v>1</v>
      </c>
      <c r="O29" s="8">
        <v>45.12</v>
      </c>
      <c r="P29" t="s">
        <v>210</v>
      </c>
      <c r="Q29" s="59">
        <f t="shared" si="0"/>
        <v>45.12565</v>
      </c>
    </row>
    <row r="30" spans="1:17" ht="15" customHeight="1" x14ac:dyDescent="0.25">
      <c r="A30" s="6" t="s">
        <v>132</v>
      </c>
      <c r="B30" s="6">
        <v>16865615</v>
      </c>
      <c r="C30" s="6" t="s">
        <v>89</v>
      </c>
      <c r="D30" s="53">
        <v>803102575001</v>
      </c>
      <c r="E30" s="6" t="s">
        <v>41</v>
      </c>
      <c r="F30" s="47">
        <v>45658</v>
      </c>
      <c r="G30" s="51">
        <v>45839</v>
      </c>
      <c r="H30" s="8">
        <v>123.04</v>
      </c>
      <c r="I30" s="8">
        <v>385.61</v>
      </c>
      <c r="J30" s="8">
        <v>385.61</v>
      </c>
      <c r="K30" s="6" t="s">
        <v>42</v>
      </c>
      <c r="L30" s="6"/>
      <c r="M30" s="12">
        <v>4.2500000000000003E-2</v>
      </c>
      <c r="N30" s="9">
        <v>1</v>
      </c>
      <c r="O30" s="8">
        <v>16.39</v>
      </c>
      <c r="P30" t="s">
        <v>210</v>
      </c>
      <c r="Q30" s="59">
        <f t="shared" si="0"/>
        <v>16.388425000000002</v>
      </c>
    </row>
    <row r="31" spans="1:17" ht="15" customHeight="1" x14ac:dyDescent="0.25">
      <c r="A31" s="6" t="s">
        <v>132</v>
      </c>
      <c r="B31" s="6">
        <v>16865615</v>
      </c>
      <c r="C31" s="6" t="s">
        <v>91</v>
      </c>
      <c r="D31" s="53">
        <v>803262901001</v>
      </c>
      <c r="E31" s="6" t="s">
        <v>41</v>
      </c>
      <c r="F31" s="47">
        <v>45658</v>
      </c>
      <c r="G31" s="51">
        <v>45809</v>
      </c>
      <c r="H31" s="8">
        <v>776.45</v>
      </c>
      <c r="I31" s="8">
        <v>1021.05</v>
      </c>
      <c r="J31" s="8">
        <v>1021.05</v>
      </c>
      <c r="K31" s="6" t="s">
        <v>42</v>
      </c>
      <c r="L31" s="6"/>
      <c r="M31" s="12">
        <v>4.2500000000000003E-2</v>
      </c>
      <c r="N31" s="9">
        <v>1</v>
      </c>
      <c r="O31" s="8">
        <v>43.4</v>
      </c>
      <c r="P31" t="s">
        <v>210</v>
      </c>
      <c r="Q31" s="59">
        <f t="shared" si="0"/>
        <v>43.394624999999998</v>
      </c>
    </row>
    <row r="32" spans="1:17" ht="15" customHeight="1" x14ac:dyDescent="0.25">
      <c r="A32" s="6" t="s">
        <v>132</v>
      </c>
      <c r="B32" s="6">
        <v>16865615</v>
      </c>
      <c r="C32" s="6" t="s">
        <v>91</v>
      </c>
      <c r="D32" s="53">
        <v>803262901001</v>
      </c>
      <c r="E32" s="6" t="s">
        <v>41</v>
      </c>
      <c r="F32" s="47">
        <v>45658</v>
      </c>
      <c r="G32" s="51">
        <v>45839</v>
      </c>
      <c r="H32" s="8">
        <v>776.45</v>
      </c>
      <c r="I32" s="8">
        <v>1021.05</v>
      </c>
      <c r="J32" s="8">
        <v>1021.05</v>
      </c>
      <c r="K32" s="6" t="s">
        <v>42</v>
      </c>
      <c r="L32" s="6"/>
      <c r="M32" s="12">
        <v>4.2500000000000003E-2</v>
      </c>
      <c r="N32" s="9">
        <v>1</v>
      </c>
      <c r="O32" s="8">
        <v>43.39</v>
      </c>
      <c r="P32" t="s">
        <v>210</v>
      </c>
      <c r="Q32" s="59">
        <f t="shared" si="0"/>
        <v>43.394624999999998</v>
      </c>
    </row>
    <row r="33" spans="1:19" ht="15" customHeight="1" x14ac:dyDescent="0.25">
      <c r="A33" s="6" t="s">
        <v>132</v>
      </c>
      <c r="B33" s="6">
        <v>16865615</v>
      </c>
      <c r="C33" s="6" t="s">
        <v>93</v>
      </c>
      <c r="D33" s="53">
        <v>802911081001</v>
      </c>
      <c r="E33" s="6" t="s">
        <v>41</v>
      </c>
      <c r="F33" s="47">
        <v>45658</v>
      </c>
      <c r="G33" s="51">
        <v>45839</v>
      </c>
      <c r="H33" s="8">
        <v>981.33</v>
      </c>
      <c r="I33" s="8">
        <v>1485.9</v>
      </c>
      <c r="J33" s="8">
        <v>1485.9</v>
      </c>
      <c r="K33" s="6" t="s">
        <v>42</v>
      </c>
      <c r="L33" s="6"/>
      <c r="M33" s="12">
        <v>4.2500000000000003E-2</v>
      </c>
      <c r="N33" s="9">
        <v>1</v>
      </c>
      <c r="O33" s="8">
        <v>63.15</v>
      </c>
      <c r="P33" t="s">
        <v>210</v>
      </c>
      <c r="Q33" s="59">
        <f t="shared" si="0"/>
        <v>63.150750000000009</v>
      </c>
    </row>
    <row r="34" spans="1:19" ht="15" customHeight="1" x14ac:dyDescent="0.25">
      <c r="A34" s="6" t="s">
        <v>132</v>
      </c>
      <c r="B34" s="6">
        <v>16865615</v>
      </c>
      <c r="C34" s="6" t="s">
        <v>95</v>
      </c>
      <c r="D34" s="53">
        <v>802995059001</v>
      </c>
      <c r="E34" s="6" t="s">
        <v>41</v>
      </c>
      <c r="F34" s="47">
        <v>45658</v>
      </c>
      <c r="G34" s="51">
        <v>45839</v>
      </c>
      <c r="H34" s="8">
        <v>569.22</v>
      </c>
      <c r="I34" s="8">
        <v>1066.72</v>
      </c>
      <c r="J34" s="8">
        <v>1066.72</v>
      </c>
      <c r="K34" s="6" t="s">
        <v>42</v>
      </c>
      <c r="L34" s="6"/>
      <c r="M34" s="12">
        <v>4.2500000000000003E-2</v>
      </c>
      <c r="N34" s="9">
        <v>1</v>
      </c>
      <c r="O34" s="8">
        <v>45.34</v>
      </c>
      <c r="P34" t="s">
        <v>210</v>
      </c>
      <c r="Q34" s="59">
        <f t="shared" si="0"/>
        <v>45.335600000000007</v>
      </c>
    </row>
    <row r="35" spans="1:19" ht="15" customHeight="1" x14ac:dyDescent="0.25">
      <c r="A35" s="6" t="s">
        <v>132</v>
      </c>
      <c r="B35" s="6">
        <v>16865615</v>
      </c>
      <c r="C35" s="6" t="s">
        <v>97</v>
      </c>
      <c r="D35" s="53">
        <v>803201761001</v>
      </c>
      <c r="E35" s="6" t="s">
        <v>41</v>
      </c>
      <c r="F35" s="47">
        <v>45658</v>
      </c>
      <c r="G35" s="51">
        <v>45839</v>
      </c>
      <c r="H35" s="8">
        <v>113.69</v>
      </c>
      <c r="I35" s="8">
        <v>853.77</v>
      </c>
      <c r="J35" s="8">
        <v>853.77</v>
      </c>
      <c r="K35" s="6" t="s">
        <v>42</v>
      </c>
      <c r="L35" s="6"/>
      <c r="M35" s="12">
        <v>4.2500000000000003E-2</v>
      </c>
      <c r="N35" s="9">
        <v>1</v>
      </c>
      <c r="O35" s="8">
        <v>36.28</v>
      </c>
      <c r="P35" t="s">
        <v>210</v>
      </c>
      <c r="Q35" s="59">
        <f t="shared" si="0"/>
        <v>36.285225000000004</v>
      </c>
    </row>
    <row r="36" spans="1:19" ht="15" customHeight="1" x14ac:dyDescent="0.25">
      <c r="A36" s="6" t="s">
        <v>132</v>
      </c>
      <c r="B36" s="6">
        <v>16865615</v>
      </c>
      <c r="C36" s="6" t="s">
        <v>99</v>
      </c>
      <c r="D36" s="53">
        <v>802995061001</v>
      </c>
      <c r="E36" s="6" t="s">
        <v>41</v>
      </c>
      <c r="F36" s="47">
        <v>45658</v>
      </c>
      <c r="G36" s="51">
        <v>45839</v>
      </c>
      <c r="H36" s="8">
        <v>164.65</v>
      </c>
      <c r="I36" s="8">
        <v>1097.1400000000001</v>
      </c>
      <c r="J36" s="8">
        <v>1097.1400000000001</v>
      </c>
      <c r="K36" s="6" t="s">
        <v>42</v>
      </c>
      <c r="L36" s="6"/>
      <c r="M36" s="12">
        <v>4.2500000000000003E-2</v>
      </c>
      <c r="N36" s="9">
        <v>1</v>
      </c>
      <c r="O36" s="8">
        <v>46.63</v>
      </c>
      <c r="P36" t="s">
        <v>210</v>
      </c>
      <c r="Q36" s="59">
        <f t="shared" si="0"/>
        <v>46.628450000000008</v>
      </c>
    </row>
    <row r="37" spans="1:19" ht="15" customHeight="1" x14ac:dyDescent="0.25">
      <c r="A37" s="6" t="s">
        <v>132</v>
      </c>
      <c r="B37" s="6">
        <v>16865615</v>
      </c>
      <c r="C37" s="6" t="s">
        <v>101</v>
      </c>
      <c r="D37" s="53">
        <v>803086659001</v>
      </c>
      <c r="E37" s="6" t="s">
        <v>41</v>
      </c>
      <c r="F37" s="47">
        <v>45658</v>
      </c>
      <c r="G37" s="51">
        <v>45839</v>
      </c>
      <c r="H37" s="8">
        <v>1096.05</v>
      </c>
      <c r="I37" s="8">
        <v>1096.05</v>
      </c>
      <c r="J37" s="8">
        <v>1096.05</v>
      </c>
      <c r="K37" s="6" t="s">
        <v>42</v>
      </c>
      <c r="L37" s="6"/>
      <c r="M37" s="12">
        <v>4.2500000000000003E-2</v>
      </c>
      <c r="N37" s="9">
        <v>1</v>
      </c>
      <c r="O37" s="8">
        <v>46.58</v>
      </c>
      <c r="P37" t="s">
        <v>210</v>
      </c>
      <c r="Q37" s="59">
        <f t="shared" si="0"/>
        <v>46.582125000000005</v>
      </c>
    </row>
    <row r="38" spans="1:19" ht="15" customHeight="1" x14ac:dyDescent="0.25">
      <c r="A38" s="6" t="s">
        <v>132</v>
      </c>
      <c r="B38" s="6">
        <v>16865615</v>
      </c>
      <c r="C38" s="6" t="s">
        <v>103</v>
      </c>
      <c r="D38" s="53">
        <v>803156573001</v>
      </c>
      <c r="E38" s="6" t="s">
        <v>41</v>
      </c>
      <c r="F38" s="47">
        <v>45658</v>
      </c>
      <c r="G38" s="51">
        <v>45839</v>
      </c>
      <c r="H38" s="8">
        <v>101.69</v>
      </c>
      <c r="I38" s="8">
        <v>380.58</v>
      </c>
      <c r="J38" s="8">
        <v>380.58</v>
      </c>
      <c r="K38" s="6" t="s">
        <v>42</v>
      </c>
      <c r="L38" s="6"/>
      <c r="M38" s="12">
        <v>4.2500000000000003E-2</v>
      </c>
      <c r="N38" s="9">
        <v>1</v>
      </c>
      <c r="O38" s="8">
        <v>16.170000000000002</v>
      </c>
      <c r="P38" t="s">
        <v>210</v>
      </c>
      <c r="Q38" s="59">
        <f t="shared" si="0"/>
        <v>16.17465</v>
      </c>
    </row>
    <row r="39" spans="1:19" ht="15" customHeight="1" x14ac:dyDescent="0.25">
      <c r="A39" s="6" t="s">
        <v>132</v>
      </c>
      <c r="B39" s="6">
        <v>16865615</v>
      </c>
      <c r="C39" s="6" t="s">
        <v>105</v>
      </c>
      <c r="D39" s="53">
        <v>803267379001</v>
      </c>
      <c r="E39" s="6" t="s">
        <v>41</v>
      </c>
      <c r="F39" s="47">
        <v>45658</v>
      </c>
      <c r="G39" s="51">
        <v>45839</v>
      </c>
      <c r="H39" s="8">
        <v>838.78</v>
      </c>
      <c r="I39" s="8">
        <v>856.48</v>
      </c>
      <c r="J39" s="8">
        <v>856.48</v>
      </c>
      <c r="K39" s="6" t="s">
        <v>42</v>
      </c>
      <c r="L39" s="6"/>
      <c r="M39" s="12">
        <v>4.2500000000000003E-2</v>
      </c>
      <c r="N39" s="9">
        <v>1</v>
      </c>
      <c r="O39" s="8">
        <v>36.4</v>
      </c>
      <c r="P39" t="s">
        <v>210</v>
      </c>
      <c r="Q39" s="59">
        <f t="shared" si="0"/>
        <v>36.400400000000005</v>
      </c>
    </row>
    <row r="40" spans="1:19" ht="15" customHeight="1" x14ac:dyDescent="0.25">
      <c r="A40" s="6" t="s">
        <v>132</v>
      </c>
      <c r="B40" s="6">
        <v>16865615</v>
      </c>
      <c r="C40" s="6" t="s">
        <v>107</v>
      </c>
      <c r="D40" s="53">
        <v>803173967001</v>
      </c>
      <c r="E40" s="6" t="s">
        <v>41</v>
      </c>
      <c r="F40" s="47">
        <v>45658</v>
      </c>
      <c r="G40" s="51">
        <v>45839</v>
      </c>
      <c r="H40" s="8">
        <v>132.1</v>
      </c>
      <c r="I40" s="8">
        <v>946.99</v>
      </c>
      <c r="J40" s="8">
        <v>946.99</v>
      </c>
      <c r="K40" s="6" t="s">
        <v>42</v>
      </c>
      <c r="L40" s="6"/>
      <c r="M40" s="12">
        <v>4.2500000000000003E-2</v>
      </c>
      <c r="N40" s="9">
        <v>1</v>
      </c>
      <c r="O40" s="8">
        <v>40.25</v>
      </c>
      <c r="P40" t="s">
        <v>210</v>
      </c>
      <c r="Q40" s="59">
        <f t="shared" si="0"/>
        <v>40.247075000000002</v>
      </c>
    </row>
    <row r="41" spans="1:19" ht="15" customHeight="1" x14ac:dyDescent="0.25">
      <c r="A41" s="6" t="s">
        <v>132</v>
      </c>
      <c r="B41" s="6">
        <v>16865615</v>
      </c>
      <c r="C41" s="6" t="s">
        <v>109</v>
      </c>
      <c r="D41" s="53">
        <v>803132235001</v>
      </c>
      <c r="E41" s="6" t="s">
        <v>41</v>
      </c>
      <c r="F41" s="47">
        <v>45658</v>
      </c>
      <c r="G41" s="51">
        <v>45839</v>
      </c>
      <c r="H41" s="8">
        <v>734.55</v>
      </c>
      <c r="I41" s="8">
        <v>966.47</v>
      </c>
      <c r="J41" s="8">
        <v>966.47</v>
      </c>
      <c r="K41" s="6" t="s">
        <v>42</v>
      </c>
      <c r="L41" s="6"/>
      <c r="M41" s="12">
        <v>4.2500000000000003E-2</v>
      </c>
      <c r="N41" s="9">
        <v>1</v>
      </c>
      <c r="O41" s="8">
        <v>41.08</v>
      </c>
      <c r="P41" t="s">
        <v>210</v>
      </c>
      <c r="Q41" s="59">
        <f t="shared" si="0"/>
        <v>41.074975000000002</v>
      </c>
    </row>
    <row r="42" spans="1:19" s="55" customFormat="1" ht="15" customHeight="1" x14ac:dyDescent="0.25">
      <c r="A42" s="54" t="s">
        <v>132</v>
      </c>
      <c r="B42" s="54">
        <v>16865615</v>
      </c>
      <c r="C42" s="54" t="s">
        <v>111</v>
      </c>
      <c r="D42" s="56">
        <v>803139701001</v>
      </c>
      <c r="E42" s="54" t="s">
        <v>41</v>
      </c>
      <c r="F42" s="60">
        <v>45658</v>
      </c>
      <c r="G42" s="57">
        <v>45778</v>
      </c>
      <c r="H42" s="58">
        <v>389.11</v>
      </c>
      <c r="I42" s="58">
        <v>389.11</v>
      </c>
      <c r="J42" s="58">
        <v>389.11</v>
      </c>
      <c r="K42" s="54" t="s">
        <v>42</v>
      </c>
      <c r="L42" s="54"/>
      <c r="M42" s="61">
        <v>4.2500000000000003E-2</v>
      </c>
      <c r="N42" s="62">
        <v>1</v>
      </c>
      <c r="O42" s="58">
        <v>7.54</v>
      </c>
      <c r="P42" s="55" t="s">
        <v>210</v>
      </c>
      <c r="Q42" s="63">
        <f t="shared" si="0"/>
        <v>16.537175000000001</v>
      </c>
      <c r="R42" s="63">
        <f>O42/M42</f>
        <v>177.41176470588235</v>
      </c>
      <c r="S42" s="55">
        <f>177.41*M42</f>
        <v>7.5399250000000002</v>
      </c>
    </row>
    <row r="43" spans="1:19" s="55" customFormat="1" ht="15" customHeight="1" x14ac:dyDescent="0.25">
      <c r="A43" s="54" t="s">
        <v>132</v>
      </c>
      <c r="B43" s="54">
        <v>16865615</v>
      </c>
      <c r="C43" s="54" t="s">
        <v>111</v>
      </c>
      <c r="D43" s="56">
        <v>803139701001</v>
      </c>
      <c r="E43" s="54" t="s">
        <v>41</v>
      </c>
      <c r="F43" s="60">
        <v>45658</v>
      </c>
      <c r="G43" s="57">
        <v>45809</v>
      </c>
      <c r="H43" s="58">
        <v>389.11</v>
      </c>
      <c r="I43" s="58">
        <v>389.11</v>
      </c>
      <c r="J43" s="58">
        <v>389.11</v>
      </c>
      <c r="K43" s="54" t="s">
        <v>42</v>
      </c>
      <c r="L43" s="54"/>
      <c r="M43" s="61">
        <v>4.2500000000000003E-2</v>
      </c>
      <c r="N43" s="62">
        <v>1</v>
      </c>
      <c r="O43" s="58">
        <v>16.53</v>
      </c>
      <c r="P43" s="55" t="s">
        <v>210</v>
      </c>
      <c r="Q43" s="63">
        <f t="shared" si="0"/>
        <v>16.537175000000001</v>
      </c>
    </row>
    <row r="44" spans="1:19" ht="15" customHeight="1" x14ac:dyDescent="0.25">
      <c r="A44" s="6" t="s">
        <v>132</v>
      </c>
      <c r="B44" s="6">
        <v>16865615</v>
      </c>
      <c r="C44" s="6" t="s">
        <v>113</v>
      </c>
      <c r="D44" s="53">
        <v>803191407001</v>
      </c>
      <c r="E44" s="6" t="s">
        <v>41</v>
      </c>
      <c r="F44" s="47">
        <v>45658</v>
      </c>
      <c r="G44" s="51">
        <v>45839</v>
      </c>
      <c r="H44" s="8">
        <v>140.93</v>
      </c>
      <c r="I44" s="8">
        <v>914.28</v>
      </c>
      <c r="J44" s="8">
        <v>914.28</v>
      </c>
      <c r="K44" s="6" t="s">
        <v>42</v>
      </c>
      <c r="L44" s="6"/>
      <c r="M44" s="12">
        <v>4.2500000000000003E-2</v>
      </c>
      <c r="N44" s="9">
        <v>1</v>
      </c>
      <c r="O44" s="8">
        <v>38.85</v>
      </c>
      <c r="P44" t="s">
        <v>210</v>
      </c>
      <c r="Q44" s="59">
        <f t="shared" si="0"/>
        <v>38.856900000000003</v>
      </c>
    </row>
    <row r="45" spans="1:19" ht="15" customHeight="1" x14ac:dyDescent="0.25">
      <c r="A45" s="6" t="s">
        <v>137</v>
      </c>
      <c r="B45" s="6">
        <v>12047257</v>
      </c>
      <c r="C45" s="6" t="s">
        <v>117</v>
      </c>
      <c r="D45" s="53">
        <v>802732550001</v>
      </c>
      <c r="E45" s="6" t="s">
        <v>25</v>
      </c>
      <c r="F45" s="47">
        <v>45658</v>
      </c>
      <c r="G45" s="51">
        <v>45839</v>
      </c>
      <c r="H45" s="8">
        <v>137.97999999999999</v>
      </c>
      <c r="I45" s="8"/>
      <c r="J45" s="6">
        <v>1</v>
      </c>
      <c r="K45" s="6" t="s">
        <v>27</v>
      </c>
      <c r="L45" s="6" t="s">
        <v>204</v>
      </c>
      <c r="M45" s="8">
        <v>20</v>
      </c>
      <c r="N45" s="9">
        <v>1</v>
      </c>
      <c r="O45" s="8">
        <v>40</v>
      </c>
      <c r="P45" t="s">
        <v>211</v>
      </c>
      <c r="Q45" s="6" t="s">
        <v>204</v>
      </c>
    </row>
    <row r="46" spans="1:19" ht="15" customHeight="1" x14ac:dyDescent="0.25">
      <c r="A46" s="6" t="s">
        <v>132</v>
      </c>
      <c r="B46" s="6">
        <v>16865615</v>
      </c>
      <c r="C46" s="6" t="s">
        <v>182</v>
      </c>
      <c r="D46" s="53">
        <v>803223990</v>
      </c>
      <c r="F46" s="48">
        <v>45689</v>
      </c>
      <c r="G46" s="51">
        <v>45839</v>
      </c>
      <c r="J46" s="6">
        <v>1</v>
      </c>
      <c r="O46" s="8">
        <v>13.04</v>
      </c>
      <c r="P46" t="s">
        <v>209</v>
      </c>
      <c r="Q46" t="s">
        <v>206</v>
      </c>
    </row>
    <row r="47" spans="1:19" ht="15" customHeight="1" x14ac:dyDescent="0.25">
      <c r="A47" s="6" t="s">
        <v>132</v>
      </c>
      <c r="B47" s="6">
        <v>16865615</v>
      </c>
      <c r="C47" s="6" t="s">
        <v>180</v>
      </c>
      <c r="D47" s="53">
        <v>803223989</v>
      </c>
      <c r="F47" s="48">
        <v>45689</v>
      </c>
      <c r="G47" s="51">
        <v>45839</v>
      </c>
      <c r="J47" s="6">
        <v>1</v>
      </c>
      <c r="O47" s="8">
        <v>13.04</v>
      </c>
      <c r="P47" t="s">
        <v>209</v>
      </c>
      <c r="Q47" t="s">
        <v>206</v>
      </c>
    </row>
    <row r="48" spans="1:19" ht="15" customHeight="1" x14ac:dyDescent="0.25">
      <c r="A48" s="6" t="s">
        <v>132</v>
      </c>
      <c r="B48" s="6">
        <v>16865615</v>
      </c>
      <c r="C48" s="6" t="s">
        <v>178</v>
      </c>
      <c r="D48" s="53">
        <v>803101991</v>
      </c>
      <c r="F48" s="48">
        <v>45658</v>
      </c>
      <c r="G48" s="51">
        <v>45839</v>
      </c>
      <c r="J48" s="6">
        <v>1</v>
      </c>
      <c r="O48" s="8">
        <v>13.04</v>
      </c>
      <c r="P48" t="s">
        <v>209</v>
      </c>
      <c r="Q48" t="s">
        <v>206</v>
      </c>
    </row>
    <row r="49" spans="1:17" ht="15" customHeight="1" x14ac:dyDescent="0.25">
      <c r="A49" s="6" t="s">
        <v>132</v>
      </c>
      <c r="B49" s="6">
        <v>16865615</v>
      </c>
      <c r="C49" s="6" t="s">
        <v>174</v>
      </c>
      <c r="D49" s="53">
        <v>803168017</v>
      </c>
      <c r="F49" s="48">
        <v>45658</v>
      </c>
      <c r="G49" s="51">
        <v>45839</v>
      </c>
      <c r="J49" s="6">
        <v>1</v>
      </c>
      <c r="O49" s="8">
        <v>13.04</v>
      </c>
      <c r="P49" t="s">
        <v>209</v>
      </c>
      <c r="Q49" t="s">
        <v>206</v>
      </c>
    </row>
    <row r="50" spans="1:17" ht="15" customHeight="1" x14ac:dyDescent="0.25">
      <c r="A50" s="6" t="s">
        <v>132</v>
      </c>
      <c r="B50" s="6">
        <v>16865615</v>
      </c>
      <c r="C50" s="6" t="s">
        <v>172</v>
      </c>
      <c r="D50" s="53">
        <v>803076965</v>
      </c>
      <c r="F50" s="48">
        <v>45627</v>
      </c>
      <c r="G50" s="51">
        <v>45839</v>
      </c>
      <c r="J50" s="6">
        <v>1</v>
      </c>
      <c r="O50" s="8">
        <v>26.08</v>
      </c>
      <c r="P50" t="s">
        <v>209</v>
      </c>
      <c r="Q50" t="s">
        <v>207</v>
      </c>
    </row>
    <row r="51" spans="1:17" ht="15" customHeight="1" x14ac:dyDescent="0.25">
      <c r="A51" s="6" t="s">
        <v>132</v>
      </c>
      <c r="B51" s="6">
        <v>16865615</v>
      </c>
      <c r="C51" s="6" t="s">
        <v>166</v>
      </c>
      <c r="D51" s="53">
        <v>803168056</v>
      </c>
      <c r="F51" s="48">
        <v>45658</v>
      </c>
      <c r="G51" s="51">
        <v>45839</v>
      </c>
      <c r="J51" s="6">
        <v>1</v>
      </c>
      <c r="O51" s="8">
        <v>13.04</v>
      </c>
      <c r="P51" t="s">
        <v>209</v>
      </c>
      <c r="Q51" t="s">
        <v>206</v>
      </c>
    </row>
    <row r="52" spans="1:17" ht="15" customHeight="1" x14ac:dyDescent="0.25">
      <c r="A52" s="6" t="s">
        <v>132</v>
      </c>
      <c r="B52" s="6">
        <v>16865615</v>
      </c>
      <c r="C52" s="6" t="s">
        <v>164</v>
      </c>
      <c r="D52" s="53">
        <v>803167980</v>
      </c>
      <c r="F52" s="48">
        <v>45658</v>
      </c>
      <c r="G52" s="51">
        <v>45839</v>
      </c>
      <c r="J52" s="6">
        <v>1</v>
      </c>
      <c r="O52" s="8">
        <v>26.08</v>
      </c>
      <c r="P52" t="s">
        <v>209</v>
      </c>
      <c r="Q52" t="s">
        <v>207</v>
      </c>
    </row>
    <row r="53" spans="1:17" ht="15" customHeight="1" x14ac:dyDescent="0.25">
      <c r="A53" s="6" t="s">
        <v>132</v>
      </c>
      <c r="B53" s="6">
        <v>16865615</v>
      </c>
      <c r="C53" s="6" t="s">
        <v>161</v>
      </c>
      <c r="D53" s="53">
        <v>803079161</v>
      </c>
      <c r="F53" s="48">
        <v>45658</v>
      </c>
      <c r="G53" s="51">
        <v>45839</v>
      </c>
      <c r="J53">
        <v>-1</v>
      </c>
      <c r="O53" s="8">
        <v>-78.239999999999995</v>
      </c>
      <c r="P53" t="s">
        <v>209</v>
      </c>
      <c r="Q53" t="s">
        <v>208</v>
      </c>
    </row>
    <row r="54" spans="1:17" ht="15" customHeight="1" x14ac:dyDescent="0.25">
      <c r="A54" s="6" t="s">
        <v>132</v>
      </c>
      <c r="B54" s="6">
        <v>16865615</v>
      </c>
      <c r="C54" s="6" t="s">
        <v>158</v>
      </c>
      <c r="D54" s="53">
        <v>803078257</v>
      </c>
      <c r="F54" s="48">
        <v>45658</v>
      </c>
      <c r="G54" s="51">
        <v>45839</v>
      </c>
      <c r="J54" s="6">
        <v>1</v>
      </c>
      <c r="O54" s="8">
        <v>26.08</v>
      </c>
      <c r="P54" t="s">
        <v>209</v>
      </c>
      <c r="Q54" t="s">
        <v>207</v>
      </c>
    </row>
    <row r="55" spans="1:17" ht="15" customHeight="1" x14ac:dyDescent="0.25">
      <c r="A55" s="6" t="s">
        <v>132</v>
      </c>
      <c r="B55" s="6">
        <v>16865615</v>
      </c>
      <c r="C55" s="6" t="s">
        <v>155</v>
      </c>
      <c r="D55" s="53">
        <v>803224623</v>
      </c>
      <c r="F55" s="48">
        <v>45689</v>
      </c>
      <c r="G55" s="51">
        <v>45839</v>
      </c>
      <c r="J55" s="6">
        <v>1</v>
      </c>
      <c r="O55" s="8">
        <v>13.04</v>
      </c>
      <c r="P55" t="s">
        <v>209</v>
      </c>
      <c r="Q55" t="s">
        <v>206</v>
      </c>
    </row>
    <row r="56" spans="1:17" ht="15" customHeight="1" x14ac:dyDescent="0.25">
      <c r="A56" s="6" t="s">
        <v>132</v>
      </c>
      <c r="B56" s="6">
        <v>16865615</v>
      </c>
      <c r="C56" s="6" t="s">
        <v>153</v>
      </c>
      <c r="D56" s="53">
        <v>803224622</v>
      </c>
      <c r="F56" s="48">
        <v>45689</v>
      </c>
      <c r="G56" s="51">
        <v>45839</v>
      </c>
      <c r="J56" s="6">
        <v>1</v>
      </c>
      <c r="O56" s="8">
        <v>13.04</v>
      </c>
      <c r="P56" t="s">
        <v>209</v>
      </c>
      <c r="Q56" t="s">
        <v>206</v>
      </c>
    </row>
    <row r="57" spans="1:17" ht="15" customHeight="1" x14ac:dyDescent="0.25">
      <c r="A57" s="6" t="s">
        <v>132</v>
      </c>
      <c r="B57" s="6">
        <v>16865615</v>
      </c>
      <c r="C57" s="6" t="s">
        <v>151</v>
      </c>
      <c r="D57" s="53">
        <v>803141737</v>
      </c>
      <c r="F57" s="48">
        <v>45658</v>
      </c>
      <c r="G57" s="51">
        <v>45839</v>
      </c>
      <c r="J57" s="6">
        <v>1</v>
      </c>
      <c r="O57" s="8">
        <v>13.04</v>
      </c>
      <c r="P57" t="s">
        <v>209</v>
      </c>
      <c r="Q57" t="s">
        <v>206</v>
      </c>
    </row>
    <row r="58" spans="1:17" ht="15" customHeight="1" x14ac:dyDescent="0.25">
      <c r="A58" s="6" t="s">
        <v>132</v>
      </c>
      <c r="B58" s="6">
        <v>16865615</v>
      </c>
      <c r="C58" s="6" t="s">
        <v>148</v>
      </c>
      <c r="D58" s="53">
        <v>803072432</v>
      </c>
      <c r="F58" s="48">
        <v>45658</v>
      </c>
      <c r="G58" s="51">
        <v>45839</v>
      </c>
      <c r="J58" s="6">
        <v>1</v>
      </c>
      <c r="O58" s="8">
        <v>13.04</v>
      </c>
      <c r="P58" t="s">
        <v>209</v>
      </c>
      <c r="Q58" t="s">
        <v>206</v>
      </c>
    </row>
    <row r="59" spans="1:17" ht="15" customHeight="1" x14ac:dyDescent="0.25">
      <c r="A59" s="6" t="s">
        <v>132</v>
      </c>
      <c r="B59" s="6">
        <v>16865615</v>
      </c>
      <c r="C59" s="6" t="s">
        <v>145</v>
      </c>
      <c r="D59" s="53">
        <v>803123414</v>
      </c>
      <c r="F59" s="48">
        <v>45658</v>
      </c>
      <c r="G59" s="51">
        <v>45839</v>
      </c>
      <c r="J59" s="6">
        <v>1</v>
      </c>
      <c r="O59" s="8">
        <v>13.04</v>
      </c>
      <c r="P59" t="s">
        <v>209</v>
      </c>
      <c r="Q59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Sheet3</vt:lpstr>
      <vt:lpstr>Sheet2</vt:lpstr>
      <vt:lpstr>Sheet4</vt:lpstr>
      <vt:lpstr>Sheet1!Print_Titles</vt:lpstr>
      <vt:lpstr>Sheet2!Print_Titles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2025-07-18T16:09:48Z</dcterms:created>
  <dcterms:modified xsi:type="dcterms:W3CDTF">2025-07-22T18:52:34Z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