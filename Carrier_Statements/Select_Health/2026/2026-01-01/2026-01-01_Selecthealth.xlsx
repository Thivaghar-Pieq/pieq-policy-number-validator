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6\1-1-26\"/>
    </mc:Choice>
  </mc:AlternateContent>
  <xr:revisionPtr revIDLastSave="0" documentId="13_ncr:1_{490AC474-621E-4A96-823D-3A95326A4FFD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4" r:id="rId3"/>
    <sheet name="Joel Lee" sheetId="5" r:id="rId4"/>
    <sheet name="Heather Geske" sheetId="3" r:id="rId5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2" i="4"/>
  <c r="G106" i="4"/>
  <c r="G107" i="4"/>
  <c r="G110" i="4"/>
  <c r="G111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<sst xmlns="http://schemas.openxmlformats.org/spreadsheetml/2006/main" count="3023" uniqueCount="489">
  <si>
    <t>COMMISSION STATEMENT</t>
  </si>
  <si>
    <t>January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</si>
  <si>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</si>
  <si>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</si>
  <si>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</si>
  <si>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</si>
  <si>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</si>
  <si>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</si>
  <si>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</si>
  <si>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</si>
  <si>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</si>
  <si>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</si>
  <si>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</si>
  <si>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</si>
  <si>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</si>
  <si>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</si>
  <si>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</si>
  <si>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</si>
  <si>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</si>
  <si>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</si>
  <si>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</si>
  <si>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</si>
  <si>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</si>
  <si>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</si>
  <si>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</si>
  <si>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</si>
  <si>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</si>
  <si>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</si>
  <si>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FOOT, STEPHANIE                                                       </t>
  </si>
  <si>
    <t>803409698001</t>
  </si>
  <si>
    <t xml:space="preserve">SMITH, BRAYDEN                                                        </t>
  </si>
  <si>
    <t>803408128001</t>
  </si>
  <si>
    <t xml:space="preserve">STOUT, STEVEN                                                         </t>
  </si>
  <si>
    <t>803376130001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</si>
  <si>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</si>
  <si>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</si>
  <si>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</si>
  <si>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</si>
  <si>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</si>
  <si>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</si>
  <si>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</si>
  <si>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</si>
  <si>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</si>
  <si>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</si>
  <si>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</si>
  <si>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</si>
  <si>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</si>
  <si>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</si>
  <si>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</si>
  <si>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</si>
  <si>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</si>
  <si>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</si>
  <si>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</si>
  <si>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</si>
  <si>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BREWER, KURT F                                                        </t>
  </si>
  <si>
    <t>803455181001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</si>
  <si>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</si>
  <si>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</si>
  <si>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</si>
  <si>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</si>
  <si>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</si>
  <si>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</si>
  <si>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>%Prem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</si>
  <si>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</si>
  <si>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</si>
  <si>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</si>
  <si>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</si>
  <si>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CARR, LAUREN E                                                        </t>
  </si>
  <si>
    <t>803304041001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</si>
  <si>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</si>
  <si>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</si>
  <si>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</si>
  <si>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</si>
  <si>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</si>
  <si>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</si>
  <si>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</si>
  <si>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</si>
  <si>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DONOVAN, ARVIDAS J                                                    </t>
  </si>
  <si>
    <t>803396619001</t>
  </si>
  <si>
    <t xml:space="preserve">DUDENHOEFFER, DELYNN                                                  </t>
  </si>
  <si>
    <t>803292652001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</si>
  <si>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</si>
  <si>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</si>
  <si>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</si>
  <si>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</si>
  <si>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</si>
  <si>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</si>
  <si>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</si>
  <si>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</si>
  <si>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</si>
  <si>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</si>
  <si>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GRECO, JAMES W                                                        </t>
  </si>
  <si>
    <t>803399844001</t>
  </si>
  <si>
    <t xml:space="preserve">HOFFMASTER, DAVID J                                                   </t>
  </si>
  <si>
    <t>802921278001</t>
  </si>
  <si>
    <t xml:space="preserve">KINNEY, ERIN                                                          </t>
  </si>
  <si>
    <t>803331163001</t>
  </si>
  <si>
    <t xml:space="preserve">KONKOL, PAUL D                                                        </t>
  </si>
  <si>
    <t>803433433001</t>
  </si>
  <si>
    <t xml:space="preserve">KURNIAWAN-MOY, LYDIA                                                  </t>
  </si>
  <si>
    <t>803058283001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</si>
  <si>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</si>
  <si>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</si>
  <si>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</si>
  <si>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</si>
  <si>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MARGOT E                                                       </t>
  </si>
  <si>
    <t>803417837001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</si>
  <si>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</si>
  <si>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</si>
  <si>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</si>
  <si>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</si>
  <si>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MANSUR, LESLIE P                                                      </t>
  </si>
  <si>
    <t>803417889001</t>
  </si>
  <si>
    <t xml:space="preserve">MATKINS, CHRISTOPHER J                                                </t>
  </si>
  <si>
    <t>803410073001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</si>
  <si>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</si>
  <si>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</si>
  <si>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</si>
  <si>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</si>
  <si>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MONSON, ROLF                                                          </t>
  </si>
  <si>
    <t>803262901001</t>
  </si>
  <si>
    <t xml:space="preserve">MORALES-LOPEZ, CARLOS E                                               </t>
  </si>
  <si>
    <t>803473539001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</si>
  <si>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</si>
  <si>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</si>
  <si>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</si>
  <si>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</si>
  <si>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OSMON, DENISE                                                         </t>
  </si>
  <si>
    <t>803304435001</t>
  </si>
  <si>
    <t xml:space="preserve">PILLMANN, JOHN                                                        </t>
  </si>
  <si>
    <t>802995059001</t>
  </si>
  <si>
    <t xml:space="preserve">PRINDLE, LAURA L                                                      </t>
  </si>
  <si>
    <t>803406897001</t>
  </si>
  <si>
    <t xml:space="preserve">RIEDEL, LAURA J                                                       </t>
  </si>
  <si>
    <t>803319202001</t>
  </si>
  <si>
    <t xml:space="preserve">SCARBOROUGH, PAULA L                                                  </t>
  </si>
  <si>
    <t>803201761001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</si>
  <si>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</si>
  <si>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</si>
  <si>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</si>
  <si>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</si>
  <si>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</si>
  <si>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</si>
  <si>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</si>
  <si>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</si>
  <si>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TAPPERT, SHERYL A                                                     </t>
  </si>
  <si>
    <t>803132235001</t>
  </si>
  <si>
    <t xml:space="preserve">TILLEY, ANGELA                                                        </t>
  </si>
  <si>
    <t>803468235001</t>
  </si>
  <si>
    <t xml:space="preserve">WITMORE, MICHAEL                                                      </t>
  </si>
  <si>
    <t>803392414001</t>
  </si>
  <si>
    <t xml:space="preserve">WOLSLEGEL, KRISTEN                                                    </t>
  </si>
  <si>
    <t>803405363001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</si>
  <si>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</si>
  <si>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</si>
  <si>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</si>
  <si>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</si>
  <si>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</si>
  <si>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</si>
  <si>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CRAWFORD, JAMES B                                                     </t>
  </si>
  <si>
    <t>803420941001</t>
  </si>
  <si>
    <t xml:space="preserve">DONALD, CATE M                                                        </t>
  </si>
  <si>
    <t>803132511001</t>
  </si>
  <si>
    <t xml:space="preserve">DORNAN-FISH, GRAYSON                                                  </t>
  </si>
  <si>
    <t>803439178001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</si>
  <si>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</si>
  <si>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</si>
  <si>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</si>
  <si>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</si>
  <si>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</si>
  <si>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</si>
  <si>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</si>
  <si>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</si>
  <si>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PLAGGE, CHELSEA M                                                     </t>
  </si>
  <si>
    <t>803436921001</t>
  </si>
  <si>
    <t>GESKE, WILLIAM - 24451 - COMMISSIONS TOTAL</t>
  </si>
  <si>
    <t>LEE, JOEL N - 17767 - COMMISSIONS</t>
  </si>
  <si>
    <t xml:space="preserve">BLUME, BARBARA                                                        </t>
  </si>
  <si>
    <t>803422263001</t>
  </si>
  <si>
    <t xml:space="preserve">GRAFFIS, ANDREW W                                                     </t>
  </si>
  <si>
    <t>803433234001</t>
  </si>
  <si>
    <t xml:space="preserve">SMITH, RUSSELL W                                                      </t>
  </si>
  <si>
    <t>803467543001</t>
  </si>
  <si>
    <t xml:space="preserve">WILLE, ZARINE                                                         </t>
  </si>
  <si>
    <t>803433633001</t>
  </si>
  <si>
    <t>LEE, JOEL N - 17767 -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</si>
  <si>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</si>
  <si>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</si>
  <si>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</si>
  <si>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</si>
  <si>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</si>
  <si>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</si>
  <si>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</si>
  <si>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</si>
  <si>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</si>
  <si>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</si>
  <si>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</si>
  <si>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</si>
  <si>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</si>
  <si>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</si>
  <si>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</si>
  <si>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</si>
  <si>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</si>
  <si>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</si>
  <si>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</si>
  <si>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</si>
  <si>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</si>
  <si>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</si>
  <si>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</si>
  <si>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</si>
  <si>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</si>
  <si>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</si>
  <si>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ZANGARI, EUGENE</t>
  </si>
  <si>
    <t>20615C01</t>
  </si>
  <si>
    <t>PAID DATE: 1/7/2026</t>
  </si>
  <si>
    <t>PAYMENT PERIOD: 1/1/2026 - 1/31/2026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</si>
  <si>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</si>
  <si>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</si>
  <si>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</si>
  <si>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</si>
  <si>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</si>
  <si>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</si>
  <si>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</si>
  <si>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</si>
  <si>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</si>
  <si>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</si>
  <si>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</si>
  <si>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</si>
  <si>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</si>
  <si>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</si>
  <si>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</si>
  <si>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</si>
  <si>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</si>
  <si>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</si>
  <si>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803309626</t>
  </si>
  <si>
    <t>BARTLETT KATHERINE A</t>
  </si>
  <si>
    <t>RENEWAL</t>
  </si>
  <si>
    <t>NONE</t>
  </si>
  <si>
    <t>MAPD</t>
  </si>
  <si>
    <t>027</t>
  </si>
  <si>
    <t>803223990</t>
  </si>
  <si>
    <t>BEAMAN DEEANN M</t>
  </si>
  <si>
    <t>030</t>
  </si>
  <si>
    <t>803223989</t>
  </si>
  <si>
    <t>BEAMAN DENNIS J</t>
  </si>
  <si>
    <t>803101991</t>
  </si>
  <si>
    <t>BRECHEISEN RAYMOND S</t>
  </si>
  <si>
    <t>803237352</t>
  </si>
  <si>
    <t>CAPUTO CYNTHIA A</t>
  </si>
  <si>
    <t>803421588</t>
  </si>
  <si>
    <t>CAUDY PAMELA R</t>
  </si>
  <si>
    <t>INITIAL</t>
  </si>
  <si>
    <t>Electronic</t>
  </si>
  <si>
    <t>803225193</t>
  </si>
  <si>
    <t>DAVENPORT JUANITA D</t>
  </si>
  <si>
    <t>803304058</t>
  </si>
  <si>
    <t>DRYDEN MIGNON M</t>
  </si>
  <si>
    <t>803440100</t>
  </si>
  <si>
    <t>FRITCHLEE KARA L</t>
  </si>
  <si>
    <t>803076965</t>
  </si>
  <si>
    <t>GEWORSKY NANCY R</t>
  </si>
  <si>
    <t>803265309</t>
  </si>
  <si>
    <t>HARMS DEBORAH S</t>
  </si>
  <si>
    <t>803168056</t>
  </si>
  <si>
    <t>JACKSON MICHAEL R</t>
  </si>
  <si>
    <t>803136752</t>
  </si>
  <si>
    <t>JENSEN JR DONALD A</t>
  </si>
  <si>
    <t>803167980</t>
  </si>
  <si>
    <t>KERN KENNETH M</t>
  </si>
  <si>
    <t>PDP</t>
  </si>
  <si>
    <t>803440129</t>
  </si>
  <si>
    <t>KIRBY DEBBIE A</t>
  </si>
  <si>
    <t>803078257</t>
  </si>
  <si>
    <t>MARTELLA DONALD E</t>
  </si>
  <si>
    <t>803155239</t>
  </si>
  <si>
    <t>MORRIS JR TOM C</t>
  </si>
  <si>
    <t>803224623</t>
  </si>
  <si>
    <t>PADEN BRENDA J</t>
  </si>
  <si>
    <t>803224622</t>
  </si>
  <si>
    <t>PADEN MICHAEL R</t>
  </si>
  <si>
    <t>803390240</t>
  </si>
  <si>
    <t>SANCHEZ ADELIDA A</t>
  </si>
  <si>
    <t>803404523</t>
  </si>
  <si>
    <t xml:space="preserve">SPRENGER TERESA </t>
  </si>
  <si>
    <t>803250924</t>
  </si>
  <si>
    <t xml:space="preserve">THAYER STEPHANIE </t>
  </si>
  <si>
    <t>803123414</t>
  </si>
  <si>
    <t>THOMPSON JR RICHARD M</t>
  </si>
  <si>
    <t>MA</t>
  </si>
  <si>
    <t>803322612</t>
  </si>
  <si>
    <t>TRUMAN KIM E</t>
  </si>
  <si>
    <t>TOTAL COMMISSION:</t>
  </si>
  <si>
    <t>[PMPM=2]</t>
  </si>
  <si>
    <t>[PMPM=3]</t>
  </si>
  <si>
    <t>[PMPM=5]</t>
  </si>
  <si>
    <t>[PMPM=4]</t>
  </si>
  <si>
    <t>SH MAPD 2026*</t>
  </si>
  <si>
    <t>[%/$=347][prorate=1/12]</t>
  </si>
  <si>
    <t>[%/$=14.45]</t>
  </si>
  <si>
    <t>[%/$=347][prorate=6/12]</t>
  </si>
  <si>
    <t>SH 2025 UT</t>
  </si>
  <si>
    <t>Select Health CO</t>
  </si>
  <si>
    <t>Added on apl manualy</t>
  </si>
  <si>
    <t xml:space="preserve">BROKER ID: 17767M01    </t>
  </si>
  <si>
    <t xml:space="preserve">LEE, JOEL N                                            </t>
  </si>
  <si>
    <t xml:space="preserve">5116 RIALTO DR                          </t>
  </si>
  <si>
    <t xml:space="preserve">PARKER, CO  80134      </t>
  </si>
  <si>
    <t>803450878</t>
  </si>
  <si>
    <t>PETERSON KIRSTI E</t>
  </si>
  <si>
    <t>Select Health 2026 CO</t>
  </si>
  <si>
    <t>CORTES</t>
  </si>
  <si>
    <t>MARCO</t>
  </si>
  <si>
    <t>FOOT</t>
  </si>
  <si>
    <t>STEPHANIE</t>
  </si>
  <si>
    <t>SMITH</t>
  </si>
  <si>
    <t>BRAYDEN</t>
  </si>
  <si>
    <t>STOUT</t>
  </si>
  <si>
    <t>STEVEN</t>
  </si>
  <si>
    <t>USHIJIMA</t>
  </si>
  <si>
    <t>RYOSUKE</t>
  </si>
  <si>
    <t>ANDRUSZKA</t>
  </si>
  <si>
    <t>REBECCA</t>
  </si>
  <si>
    <t>BLOOM</t>
  </si>
  <si>
    <t>ERIC</t>
  </si>
  <si>
    <t>BODINE</t>
  </si>
  <si>
    <t>CHARLES</t>
  </si>
  <si>
    <t>BOUCHARD</t>
  </si>
  <si>
    <t>PIERRE</t>
  </si>
  <si>
    <t>BOWLES</t>
  </si>
  <si>
    <t>JASON</t>
  </si>
  <si>
    <t>BRANNSTROM</t>
  </si>
  <si>
    <t>ANJA</t>
  </si>
  <si>
    <t>BREWER</t>
  </si>
  <si>
    <t>KURT</t>
  </si>
  <si>
    <t>BRIDGE</t>
  </si>
  <si>
    <t>JENNIFER</t>
  </si>
  <si>
    <t>BRINK</t>
  </si>
  <si>
    <t>JENNA</t>
  </si>
  <si>
    <t>BURKE</t>
  </si>
  <si>
    <t>MICHAEL</t>
  </si>
  <si>
    <t>CARD</t>
  </si>
  <si>
    <t>JOHN</t>
  </si>
  <si>
    <t>CARLSON</t>
  </si>
  <si>
    <t>MARYELLEN</t>
  </si>
  <si>
    <t>CARR</t>
  </si>
  <si>
    <t>LAUREN</t>
  </si>
  <si>
    <t>CASNELLIE</t>
  </si>
  <si>
    <t>VICKI</t>
  </si>
  <si>
    <t>CHANCE</t>
  </si>
  <si>
    <t>EDGAR</t>
  </si>
  <si>
    <t>DEEMER</t>
  </si>
  <si>
    <t>SABRINA</t>
  </si>
  <si>
    <t>DODDS</t>
  </si>
  <si>
    <t>DONOVAN</t>
  </si>
  <si>
    <t>ARVIDAS</t>
  </si>
  <si>
    <t>DUDENHOEFFER</t>
  </si>
  <si>
    <t>DELYNN</t>
  </si>
  <si>
    <t>EAFANTI</t>
  </si>
  <si>
    <t>JOSEPH</t>
  </si>
  <si>
    <t>ELLIS</t>
  </si>
  <si>
    <t>LINDA</t>
  </si>
  <si>
    <t>EMERINE</t>
  </si>
  <si>
    <t>KELLY</t>
  </si>
  <si>
    <t>FARDEN</t>
  </si>
  <si>
    <t>THOMAS</t>
  </si>
  <si>
    <t>FONTAINE</t>
  </si>
  <si>
    <t>JILL</t>
  </si>
  <si>
    <t>GRECO</t>
  </si>
  <si>
    <t>JAMES</t>
  </si>
  <si>
    <t>HOFFMASTER</t>
  </si>
  <si>
    <t>DAVID</t>
  </si>
  <si>
    <t>KINNEY</t>
  </si>
  <si>
    <t>ERIN</t>
  </si>
  <si>
    <t>KONKOL</t>
  </si>
  <si>
    <t>PAUL</t>
  </si>
  <si>
    <t>KURNIAWAN-MOY</t>
  </si>
  <si>
    <t>LYDIA</t>
  </si>
  <si>
    <t>LEVINE</t>
  </si>
  <si>
    <t>SUSAN</t>
  </si>
  <si>
    <t>LEWIS</t>
  </si>
  <si>
    <t>KATE</t>
  </si>
  <si>
    <t>MARGOT</t>
  </si>
  <si>
    <t>QUINLAN</t>
  </si>
  <si>
    <t>LINDSEY</t>
  </si>
  <si>
    <t>WHITNEY</t>
  </si>
  <si>
    <t>MANSUR</t>
  </si>
  <si>
    <t>LESLIE</t>
  </si>
  <si>
    <t>MATKINS</t>
  </si>
  <si>
    <t>CHRISTOPHER</t>
  </si>
  <si>
    <t>MENDEL</t>
  </si>
  <si>
    <t>GREER</t>
  </si>
  <si>
    <t>MILLER</t>
  </si>
  <si>
    <t>GABRIELLA</t>
  </si>
  <si>
    <t>MONSON</t>
  </si>
  <si>
    <t>ROLF</t>
  </si>
  <si>
    <t>MORALES-LOPEZ</t>
  </si>
  <si>
    <t>CARLOS</t>
  </si>
  <si>
    <t>NEIGHBORS</t>
  </si>
  <si>
    <t>DEANNA</t>
  </si>
  <si>
    <t>OSBORNE</t>
  </si>
  <si>
    <t>OSMON</t>
  </si>
  <si>
    <t>DENISE</t>
  </si>
  <si>
    <t>PILLMANN</t>
  </si>
  <si>
    <t>PRINDLE</t>
  </si>
  <si>
    <t>LAURA</t>
  </si>
  <si>
    <t>RIEDEL</t>
  </si>
  <si>
    <t>SCARBOROUGH</t>
  </si>
  <si>
    <t>PAULA</t>
  </si>
  <si>
    <t>SPARKS</t>
  </si>
  <si>
    <t>MATTHEW</t>
  </si>
  <si>
    <t>STONE-EHRHARDT</t>
  </si>
  <si>
    <t>ELIZABETH</t>
  </si>
  <si>
    <t>STYERS</t>
  </si>
  <si>
    <t>APRIL</t>
  </si>
  <si>
    <t>MADLYN</t>
  </si>
  <si>
    <t>TAPPERT</t>
  </si>
  <si>
    <t>SHERYL</t>
  </si>
  <si>
    <t>TILLEY</t>
  </si>
  <si>
    <t>ANGELA</t>
  </si>
  <si>
    <t>WITMORE</t>
  </si>
  <si>
    <t>WOLSLEGEL</t>
  </si>
  <si>
    <t>KRISTEN</t>
  </si>
  <si>
    <t>YARBROUGH</t>
  </si>
  <si>
    <t>MICAH</t>
  </si>
  <si>
    <t>ARNOLD</t>
  </si>
  <si>
    <t>ZACHARY</t>
  </si>
  <si>
    <t>CRAWFORD</t>
  </si>
  <si>
    <t>DONALD</t>
  </si>
  <si>
    <t>CATE</t>
  </si>
  <si>
    <t>DORNAN-FISH</t>
  </si>
  <si>
    <t>GRAYSON</t>
  </si>
  <si>
    <t>DROBNICK</t>
  </si>
  <si>
    <t>DARIA</t>
  </si>
  <si>
    <t>HEADLEY</t>
  </si>
  <si>
    <t>PATRICK</t>
  </si>
  <si>
    <t>HYLAND</t>
  </si>
  <si>
    <t>DANA</t>
  </si>
  <si>
    <t>PLAGGE</t>
  </si>
  <si>
    <t>CHELSEA</t>
  </si>
  <si>
    <t>BLUME</t>
  </si>
  <si>
    <t>BARBARA</t>
  </si>
  <si>
    <t>GRAFFIS</t>
  </si>
  <si>
    <t>ANDREW</t>
  </si>
  <si>
    <t>RUSSELL</t>
  </si>
  <si>
    <t>WILLE</t>
  </si>
  <si>
    <t>ZARINE</t>
  </si>
  <si>
    <t>ADAMS</t>
  </si>
  <si>
    <t>TEARA</t>
  </si>
  <si>
    <t>BARTLETT</t>
  </si>
  <si>
    <t>KATHERINE</t>
  </si>
  <si>
    <t>BEAMAN</t>
  </si>
  <si>
    <t>DEEANN</t>
  </si>
  <si>
    <t>DENNIS</t>
  </si>
  <si>
    <t>BRECHEISEN</t>
  </si>
  <si>
    <t>RAYMOND</t>
  </si>
  <si>
    <t>CAPUTO</t>
  </si>
  <si>
    <t>CYNTHIA</t>
  </si>
  <si>
    <t>CAUDY</t>
  </si>
  <si>
    <t>PAMELA</t>
  </si>
  <si>
    <t>DAVENPORT</t>
  </si>
  <si>
    <t>JUANITA</t>
  </si>
  <si>
    <t>FRITCHLEE</t>
  </si>
  <si>
    <t>KARA</t>
  </si>
  <si>
    <t>GEWORSKY</t>
  </si>
  <si>
    <t>NANCY</t>
  </si>
  <si>
    <t>HARMS</t>
  </si>
  <si>
    <t>DEBORAH</t>
  </si>
  <si>
    <t>JACKSON</t>
  </si>
  <si>
    <t>JENSEN</t>
  </si>
  <si>
    <t>KERN</t>
  </si>
  <si>
    <t>KENNETH</t>
  </si>
  <si>
    <t>KIRBY</t>
  </si>
  <si>
    <t>DEBBIE</t>
  </si>
  <si>
    <t>MARTELLA</t>
  </si>
  <si>
    <t>MORRIS</t>
  </si>
  <si>
    <t>TOM</t>
  </si>
  <si>
    <t>PADEN</t>
  </si>
  <si>
    <t>BRENDA</t>
  </si>
  <si>
    <t>SANCHEZ</t>
  </si>
  <si>
    <t>ADELIDA</t>
  </si>
  <si>
    <t>SPRENGER</t>
  </si>
  <si>
    <t>TERESA</t>
  </si>
  <si>
    <t>THAYER</t>
  </si>
  <si>
    <t>THOMPSON</t>
  </si>
  <si>
    <t>RICHARD</t>
  </si>
  <si>
    <t>TRUMAN</t>
  </si>
  <si>
    <t>KIM</t>
  </si>
  <si>
    <t>PETERSON</t>
  </si>
  <si>
    <t>KIRSTI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</si>
</sst>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7" fillId="2" borderId="2" xfId="0" applyFont="1" applyFill="1" applyBorder="1" applyAlignment="1">
      <alignment horizontal="center" wrapText="1" readingOrder="1"/>
    </xf>
    <xf numFmtId="0" fontId="7" fillId="2" borderId="2" xfId="0" applyFont="1" applyFill="1" applyBorder="1" applyAlignment="1">
      <alignment wrapText="1" readingOrder="1"/>
    </xf>
    <xf numFmtId="0" fontId="8" fillId="0" borderId="2" xfId="0" applyFont="1" applyBorder="1" applyAlignment="1">
      <alignment wrapText="1" readingOrder="1"/>
    </xf>
    <xf numFmtId="1" fontId="8" fillId="0" borderId="2" xfId="0" applyNumberFormat="1" applyFont="1" applyBorder="1" applyAlignment="1">
      <alignment horizontal="left" wrapText="1" readingOrder="1"/>
    </xf>
    <xf numFmtId="165" fontId="8" fillId="0" borderId="2" xfId="0" applyNumberFormat="1" applyFont="1" applyBorder="1" applyAlignment="1">
      <alignment wrapText="1" readingOrder="1"/>
    </xf>
    <xf numFmtId="0" fontId="8" fillId="3" borderId="2" xfId="0" applyFont="1" applyFill="1" applyBorder="1" applyAlignment="1">
      <alignment wrapText="1" readingOrder="1"/>
    </xf>
    <xf numFmtId="1" fontId="8" fillId="3" borderId="2" xfId="0" applyNumberFormat="1" applyFont="1" applyFill="1" applyBorder="1" applyAlignment="1">
      <alignment horizontal="left" wrapText="1" readingOrder="1"/>
    </xf>
    <xf numFmtId="165" fontId="8" fillId="3" borderId="2" xfId="0" applyNumberFormat="1" applyFont="1" applyFill="1" applyBorder="1" applyAlignment="1">
      <alignment wrapText="1" readingOrder="1"/>
    </xf>
    <xf numFmtId="167" fontId="8" fillId="3" borderId="2" xfId="0" applyNumberFormat="1" applyFont="1" applyFill="1" applyBorder="1" applyAlignment="1">
      <alignment wrapText="1" readingOrder="1"/>
    </xf>
    <xf numFmtId="7" fontId="1" fillId="3" borderId="0" xfId="0" applyNumberFormat="1" applyFont="1" applyFill="1"/>
    <xf numFmtId="0" fontId="1" fillId="3" borderId="0" xfId="0" applyFont="1" applyFill="1"/>
    <xf numFmtId="0" fontId="14" fillId="0" borderId="0" xfId="0" applyFont="1"/>
    <xf numFmtId="14" fontId="7" fillId="2" borderId="2" xfId="0" applyNumberFormat="1" applyFont="1" applyFill="1" applyBorder="1" applyAlignment="1">
      <alignment wrapText="1" readingOrder="1"/>
    </xf>
    <xf numFmtId="14" fontId="8" fillId="0" borderId="2" xfId="0" applyNumberFormat="1" applyFont="1" applyBorder="1" applyAlignment="1">
      <alignment wrapText="1" readingOrder="1"/>
    </xf>
    <xf numFmtId="14" fontId="8" fillId="3" borderId="2" xfId="0" applyNumberFormat="1" applyFont="1" applyFill="1" applyBorder="1" applyAlignment="1">
      <alignment wrapText="1" readingOrder="1"/>
    </xf>
    <xf numFmtId="14" fontId="1" fillId="0" borderId="0" xfId="0" applyNumberFormat="1" applyFont="1"/>
    <xf numFmtId="14" fontId="8" fillId="0" borderId="2" xfId="0" applyNumberFormat="1" applyFont="1" applyBorder="1" applyAlignment="1">
      <alignment horizontal="center" wrapText="1" readingOrder="1"/>
    </xf>
    <xf numFmtId="0" fontId="14" fillId="4" borderId="0" xfId="0" applyFont="1" applyFill="1"/>
    <xf numFmtId="0" fontId="15" fillId="4" borderId="2" xfId="0" applyFont="1" applyFill="1" applyBorder="1" applyAlignment="1">
      <alignment wrapText="1" readingOrder="1"/>
    </xf>
    <xf numFmtId="1" fontId="15" fillId="4" borderId="2" xfId="0" applyNumberFormat="1" applyFont="1" applyFill="1" applyBorder="1" applyAlignment="1">
      <alignment horizontal="left" wrapText="1" readingOrder="1"/>
    </xf>
    <xf numFmtId="14" fontId="15" fillId="4" borderId="2" xfId="0" applyNumberFormat="1" applyFont="1" applyFill="1" applyBorder="1" applyAlignment="1">
      <alignment horizontal="center" wrapText="1" readingOrder="1"/>
    </xf>
    <xf numFmtId="14" fontId="15" fillId="4" borderId="2" xfId="0" applyNumberFormat="1" applyFont="1" applyFill="1" applyBorder="1" applyAlignment="1">
      <alignment wrapText="1" readingOrder="1"/>
    </xf>
    <xf numFmtId="165" fontId="15" fillId="4" borderId="2" xfId="0" applyNumberFormat="1" applyFont="1" applyFill="1" applyBorder="1" applyAlignment="1">
      <alignment wrapText="1" readingOrder="1"/>
    </xf>
    <xf numFmtId="0" fontId="8" fillId="0" borderId="0" xfId="0" applyFont="1" applyAlignment="1">
      <alignment wrapText="1" readingOrder="1"/>
    </xf>
    <xf numFmtId="0" fontId="8" fillId="0" borderId="0" xfId="0" applyFont="1" applyAlignment="1">
      <alignment horizontal="left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8" fillId="3" borderId="2" xfId="0" applyFont="1" applyFill="1" applyBorder="1" applyAlignment="1">
      <alignment horizontal="center" vertical="top" wrapText="1" readingOrder="1"/>
    </xf>
    <xf numFmtId="0" fontId="1" fillId="3" borderId="3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 readingOrder="1"/>
    </xf>
    <xf numFmtId="0" fontId="1" fillId="3" borderId="4" xfId="0" applyFont="1" applyFill="1" applyBorder="1" applyAlignment="1">
      <alignment vertical="top" wrapText="1"/>
    </xf>
    <xf numFmtId="165" fontId="8" fillId="3" borderId="2" xfId="0" applyNumberFormat="1" applyFont="1" applyFill="1" applyBorder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8" fillId="0" borderId="2" xfId="0" applyFont="1" applyFill="1" applyBorder="1" applyAlignment="1">
      <alignment wrapText="1" readingOrder="1"/>
    </xf>
    <xf numFmtId="1" fontId="8" fillId="0" borderId="2" xfId="0" applyNumberFormat="1" applyFont="1" applyFill="1" applyBorder="1" applyAlignment="1">
      <alignment horizontal="left" wrapText="1" readingOrder="1"/>
    </xf>
    <xf numFmtId="14" fontId="8" fillId="0" borderId="2" xfId="0" applyNumberFormat="1" applyFont="1" applyFill="1" applyBorder="1" applyAlignment="1">
      <alignment wrapText="1" readingOrder="1"/>
    </xf>
    <xf numFmtId="165" fontId="8" fillId="0" borderId="2" xfId="0" applyNumberFormat="1" applyFont="1" applyFill="1" applyBorder="1" applyAlignment="1">
      <alignment wrapText="1" readingOrder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C48FC-8685-479D-B3FD-62D8BC836B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9ECB3-71BF-4547-BB98-1E9F3439983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showGridLines="0" workbookViewId="0">
      <pane ySplit="8" topLeftCell="A105" activePane="bottomLeft" state="frozen"/>
      <selection pane="bottomLeft" activeCell="E93" sqref="E93:F93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45" t="s">
        <v>0</v>
      </c>
      <c r="N1" s="46"/>
      <c r="O1" s="46"/>
      <c r="P1" s="46"/>
      <c r="Q1" s="46"/>
    </row>
    <row r="2" spans="1:18" ht="17.25" customHeight="1" x14ac:dyDescent="0.25">
      <c r="A2" s="46"/>
      <c r="B2" s="46"/>
      <c r="C2" s="46"/>
      <c r="D2" s="46"/>
      <c r="E2" s="46"/>
      <c r="M2" s="46"/>
      <c r="N2" s="46"/>
      <c r="O2" s="46"/>
      <c r="P2" s="46"/>
      <c r="Q2" s="46"/>
    </row>
    <row r="3" spans="1:18" ht="18.75" customHeight="1" x14ac:dyDescent="0.25">
      <c r="A3" s="46"/>
      <c r="B3" s="46"/>
      <c r="C3" s="46"/>
      <c r="D3" s="46"/>
      <c r="E3" s="46"/>
      <c r="M3" s="45" t="s">
        <v>1</v>
      </c>
      <c r="N3" s="46"/>
      <c r="O3" s="46"/>
      <c r="P3" s="46"/>
      <c r="Q3" s="46"/>
    </row>
    <row r="4" spans="1:18" ht="35.450000000000003" customHeight="1" x14ac:dyDescent="0.25">
      <c r="A4" s="47" t="s">
        <v>2</v>
      </c>
      <c r="B4" s="46"/>
      <c r="C4" s="46"/>
      <c r="D4" s="46"/>
      <c r="E4" s="46"/>
      <c r="M4" s="48" t="s">
        <v>3</v>
      </c>
      <c r="N4" s="46"/>
      <c r="O4" s="46"/>
      <c r="P4" s="46"/>
      <c r="Q4" s="46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53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spans="1:18" ht="5.0999999999999996" customHeight="1" x14ac:dyDescent="0.25"/>
    <row r="9" spans="1:18" x14ac:dyDescent="0.25">
      <c r="A9" s="47" t="s">
        <v>5</v>
      </c>
      <c r="B9" s="46"/>
      <c r="C9" s="46"/>
      <c r="D9" s="46"/>
      <c r="E9" s="46"/>
      <c r="F9" s="46"/>
      <c r="G9" s="46"/>
      <c r="H9" s="46"/>
      <c r="I9" s="3" t="s">
        <v>6</v>
      </c>
      <c r="J9" s="3" t="s">
        <v>6</v>
      </c>
      <c r="K9" s="3" t="s">
        <v>6</v>
      </c>
      <c r="L9" s="54" t="s">
        <v>6</v>
      </c>
      <c r="M9" s="46"/>
      <c r="N9" s="3" t="s">
        <v>6</v>
      </c>
      <c r="O9" s="3" t="s">
        <v>6</v>
      </c>
      <c r="P9" s="3" t="s">
        <v>6</v>
      </c>
      <c r="Q9" s="54" t="s">
        <v>6</v>
      </c>
      <c r="R9" s="46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55" t="s">
        <v>11</v>
      </c>
      <c r="F10" s="51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55" t="s">
        <v>17</v>
      </c>
      <c r="M10" s="51"/>
      <c r="N10" s="4" t="s">
        <v>18</v>
      </c>
      <c r="O10" s="4" t="s">
        <v>19</v>
      </c>
      <c r="P10" s="4" t="s">
        <v>20</v>
      </c>
      <c r="Q10" s="55" t="s">
        <v>21</v>
      </c>
      <c r="R10" s="51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49" t="s">
        <v>6</v>
      </c>
      <c r="F11" s="46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49" t="s">
        <v>6</v>
      </c>
      <c r="M11" s="46"/>
      <c r="N11" s="5" t="s">
        <v>6</v>
      </c>
      <c r="O11" s="5" t="s">
        <v>6</v>
      </c>
      <c r="P11" s="5" t="s">
        <v>6</v>
      </c>
      <c r="Q11" s="49" t="s">
        <v>6</v>
      </c>
      <c r="R11" s="46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50" t="s">
        <v>6</v>
      </c>
      <c r="F12" s="51"/>
      <c r="G12" s="6" t="s">
        <v>26</v>
      </c>
      <c r="H12" s="7">
        <v>46023</v>
      </c>
      <c r="I12" s="8">
        <v>201.3</v>
      </c>
      <c r="J12" s="6" t="s">
        <v>6</v>
      </c>
      <c r="K12" s="6" t="s">
        <v>27</v>
      </c>
      <c r="L12" s="50"/>
      <c r="M12" s="51"/>
      <c r="N12" s="6">
        <v>2</v>
      </c>
      <c r="O12" s="8">
        <v>20</v>
      </c>
      <c r="P12" s="9">
        <v>1</v>
      </c>
      <c r="Q12" s="52">
        <v>40</v>
      </c>
      <c r="R12" s="51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50" t="s">
        <v>6</v>
      </c>
      <c r="F13" s="51"/>
      <c r="G13" s="6" t="s">
        <v>26</v>
      </c>
      <c r="H13" s="7">
        <v>46023</v>
      </c>
      <c r="I13" s="8">
        <v>1.85</v>
      </c>
      <c r="J13" s="6" t="s">
        <v>6</v>
      </c>
      <c r="K13" s="6" t="s">
        <v>27</v>
      </c>
      <c r="L13" s="50"/>
      <c r="M13" s="51"/>
      <c r="N13" s="6">
        <v>1</v>
      </c>
      <c r="O13" s="8">
        <v>20</v>
      </c>
      <c r="P13" s="9">
        <v>1</v>
      </c>
      <c r="Q13" s="52">
        <v>20</v>
      </c>
      <c r="R13" s="51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50" t="s">
        <v>6</v>
      </c>
      <c r="F14" s="51"/>
      <c r="G14" s="6" t="s">
        <v>26</v>
      </c>
      <c r="H14" s="7">
        <v>46023</v>
      </c>
      <c r="I14" s="8">
        <v>92.05</v>
      </c>
      <c r="J14" s="6" t="s">
        <v>6</v>
      </c>
      <c r="K14" s="6" t="s">
        <v>27</v>
      </c>
      <c r="L14" s="50"/>
      <c r="M14" s="51"/>
      <c r="N14" s="6">
        <v>1</v>
      </c>
      <c r="O14" s="8">
        <v>20</v>
      </c>
      <c r="P14" s="9">
        <v>1</v>
      </c>
      <c r="Q14" s="52">
        <v>20</v>
      </c>
      <c r="R14" s="51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50" t="s">
        <v>6</v>
      </c>
      <c r="F15" s="51"/>
      <c r="G15" s="6" t="s">
        <v>26</v>
      </c>
      <c r="H15" s="7">
        <v>46023</v>
      </c>
      <c r="I15" s="8">
        <v>91.69</v>
      </c>
      <c r="J15" s="6" t="s">
        <v>6</v>
      </c>
      <c r="K15" s="6" t="s">
        <v>27</v>
      </c>
      <c r="L15" s="50"/>
      <c r="M15" s="51"/>
      <c r="N15" s="6">
        <v>2</v>
      </c>
      <c r="O15" s="8">
        <v>20</v>
      </c>
      <c r="P15" s="9">
        <v>1</v>
      </c>
      <c r="Q15" s="52">
        <v>40</v>
      </c>
      <c r="R15" s="51"/>
    </row>
    <row r="16" spans="1:18" x14ac:dyDescent="0.25">
      <c r="A16" s="6" t="s">
        <v>34</v>
      </c>
      <c r="B16" s="6" t="s">
        <v>35</v>
      </c>
      <c r="C16" s="6" t="s">
        <v>24</v>
      </c>
      <c r="D16" s="6" t="s">
        <v>25</v>
      </c>
      <c r="E16" s="50" t="s">
        <v>6</v>
      </c>
      <c r="F16" s="51"/>
      <c r="G16" s="6" t="s">
        <v>26</v>
      </c>
      <c r="H16" s="7">
        <v>46023</v>
      </c>
      <c r="I16" s="8">
        <v>899.38</v>
      </c>
      <c r="J16" s="6" t="s">
        <v>6</v>
      </c>
      <c r="K16" s="6" t="s">
        <v>27</v>
      </c>
      <c r="L16" s="50"/>
      <c r="M16" s="51"/>
      <c r="N16" s="6">
        <v>2</v>
      </c>
      <c r="O16" s="8">
        <v>20</v>
      </c>
      <c r="P16" s="9">
        <v>1</v>
      </c>
      <c r="Q16" s="52">
        <v>40</v>
      </c>
      <c r="R16" s="51"/>
    </row>
    <row r="17" spans="1:18" x14ac:dyDescent="0.25">
      <c r="A17" s="5" t="s">
        <v>6</v>
      </c>
      <c r="B17" s="5" t="s">
        <v>6</v>
      </c>
      <c r="C17" s="5" t="s">
        <v>6</v>
      </c>
      <c r="D17" s="5" t="s">
        <v>6</v>
      </c>
      <c r="E17" s="49" t="s">
        <v>6</v>
      </c>
      <c r="F17" s="46"/>
      <c r="G17" s="5" t="s">
        <v>6</v>
      </c>
      <c r="H17" s="5" t="s">
        <v>6</v>
      </c>
      <c r="I17" s="5" t="s">
        <v>6</v>
      </c>
      <c r="J17" s="5" t="s">
        <v>6</v>
      </c>
      <c r="K17" s="5" t="s">
        <v>6</v>
      </c>
      <c r="L17" s="49" t="s">
        <v>6</v>
      </c>
      <c r="M17" s="46"/>
      <c r="N17" s="5" t="s">
        <v>6</v>
      </c>
      <c r="O17" s="5" t="s">
        <v>6</v>
      </c>
      <c r="P17" s="5" t="s">
        <v>6</v>
      </c>
      <c r="Q17" s="49" t="s">
        <v>6</v>
      </c>
      <c r="R17" s="46"/>
    </row>
    <row r="18" spans="1:18" x14ac:dyDescent="0.25">
      <c r="A18" s="47" t="s">
        <v>36</v>
      </c>
      <c r="B18" s="46"/>
      <c r="C18" s="46"/>
      <c r="D18" s="46"/>
      <c r="E18" s="46"/>
      <c r="F18" s="46"/>
      <c r="G18" s="46"/>
      <c r="H18" s="46"/>
      <c r="I18" s="58">
        <v>1286.27</v>
      </c>
      <c r="J18" s="46"/>
      <c r="K18" s="1" t="s">
        <v>6</v>
      </c>
      <c r="L18" s="47" t="s">
        <v>6</v>
      </c>
      <c r="M18" s="46"/>
      <c r="N18" s="1" t="s">
        <v>6</v>
      </c>
      <c r="O18" s="59">
        <v>160</v>
      </c>
      <c r="P18" s="46"/>
      <c r="Q18" s="46"/>
      <c r="R18" s="46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56" t="s">
        <v>6</v>
      </c>
      <c r="F19" s="46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56" t="s">
        <v>6</v>
      </c>
      <c r="M19" s="46"/>
      <c r="N19" s="10" t="s">
        <v>6</v>
      </c>
      <c r="O19" s="10" t="s">
        <v>6</v>
      </c>
      <c r="P19" s="10" t="s">
        <v>6</v>
      </c>
      <c r="Q19" s="57" t="s">
        <v>6</v>
      </c>
      <c r="R19" s="46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56" t="s">
        <v>6</v>
      </c>
      <c r="F20" s="46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56" t="s">
        <v>6</v>
      </c>
      <c r="M20" s="46"/>
      <c r="N20" s="10" t="s">
        <v>6</v>
      </c>
      <c r="O20" s="10" t="s">
        <v>6</v>
      </c>
      <c r="P20" s="10" t="s">
        <v>6</v>
      </c>
      <c r="Q20" s="57" t="s">
        <v>6</v>
      </c>
      <c r="R20" s="46"/>
    </row>
    <row r="21" spans="1:18" x14ac:dyDescent="0.25">
      <c r="A21" s="47" t="s">
        <v>37</v>
      </c>
      <c r="B21" s="46"/>
      <c r="C21" s="46"/>
      <c r="D21" s="46"/>
      <c r="E21" s="46"/>
      <c r="F21" s="46"/>
      <c r="G21" s="46"/>
      <c r="H21" s="46"/>
      <c r="I21" s="3" t="s">
        <v>6</v>
      </c>
      <c r="J21" s="3" t="s">
        <v>6</v>
      </c>
      <c r="K21" s="3" t="s">
        <v>6</v>
      </c>
      <c r="L21" s="54" t="s">
        <v>6</v>
      </c>
      <c r="M21" s="46"/>
      <c r="N21" s="3" t="s">
        <v>6</v>
      </c>
      <c r="O21" s="3" t="s">
        <v>6</v>
      </c>
      <c r="P21" s="3" t="s">
        <v>6</v>
      </c>
      <c r="Q21" s="54" t="s">
        <v>6</v>
      </c>
      <c r="R21" s="46"/>
    </row>
    <row r="22" spans="1:18" ht="22.5" x14ac:dyDescent="0.25">
      <c r="A22" s="4" t="s">
        <v>7</v>
      </c>
      <c r="B22" s="4" t="s">
        <v>8</v>
      </c>
      <c r="C22" s="4" t="s">
        <v>9</v>
      </c>
      <c r="D22" s="4" t="s">
        <v>10</v>
      </c>
      <c r="E22" s="55" t="s">
        <v>11</v>
      </c>
      <c r="F22" s="51"/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16</v>
      </c>
      <c r="L22" s="55" t="s">
        <v>17</v>
      </c>
      <c r="M22" s="51"/>
      <c r="N22" s="4" t="s">
        <v>18</v>
      </c>
      <c r="O22" s="4" t="s">
        <v>19</v>
      </c>
      <c r="P22" s="4" t="s">
        <v>20</v>
      </c>
      <c r="Q22" s="55" t="s">
        <v>21</v>
      </c>
      <c r="R22" s="51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49" t="s">
        <v>6</v>
      </c>
      <c r="F23" s="46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49" t="s">
        <v>6</v>
      </c>
      <c r="M23" s="46"/>
      <c r="N23" s="5" t="s">
        <v>6</v>
      </c>
      <c r="O23" s="5" t="s">
        <v>6</v>
      </c>
      <c r="P23" s="5" t="s">
        <v>6</v>
      </c>
      <c r="Q23" s="49" t="s">
        <v>6</v>
      </c>
      <c r="R23" s="46"/>
    </row>
    <row r="24" spans="1:18" x14ac:dyDescent="0.25">
      <c r="A24" s="6"/>
      <c r="B24" s="6" t="s">
        <v>38</v>
      </c>
      <c r="C24" s="6"/>
      <c r="D24" s="11"/>
      <c r="E24" s="60" t="s">
        <v>11</v>
      </c>
      <c r="F24" s="51"/>
      <c r="G24" s="6" t="s">
        <v>39</v>
      </c>
      <c r="H24" s="50" t="s">
        <v>40</v>
      </c>
      <c r="I24" s="61"/>
      <c r="J24" s="61"/>
      <c r="K24" s="61"/>
      <c r="L24" s="61"/>
      <c r="M24" s="61"/>
      <c r="N24" s="61"/>
      <c r="O24" s="61"/>
      <c r="P24" s="51"/>
      <c r="Q24" s="52">
        <v>1329.4</v>
      </c>
      <c r="R24" s="51"/>
    </row>
    <row r="25" spans="1:18" x14ac:dyDescent="0.25">
      <c r="A25" s="6" t="s">
        <v>41</v>
      </c>
      <c r="B25" s="6" t="s">
        <v>42</v>
      </c>
      <c r="C25" s="6" t="s">
        <v>24</v>
      </c>
      <c r="D25" s="6" t="s">
        <v>43</v>
      </c>
      <c r="E25" s="50" t="s">
        <v>6</v>
      </c>
      <c r="F25" s="51"/>
      <c r="G25" s="6" t="s">
        <v>26</v>
      </c>
      <c r="H25" s="7">
        <v>46023</v>
      </c>
      <c r="I25" s="8">
        <v>486.35</v>
      </c>
      <c r="J25" s="6" t="s">
        <v>6</v>
      </c>
      <c r="K25" s="6" t="s">
        <v>27</v>
      </c>
      <c r="L25" s="50"/>
      <c r="M25" s="51"/>
      <c r="N25" s="6">
        <v>1</v>
      </c>
      <c r="O25" s="8">
        <v>23</v>
      </c>
      <c r="P25" s="9">
        <v>1</v>
      </c>
      <c r="Q25" s="52">
        <v>23</v>
      </c>
      <c r="R25" s="51"/>
    </row>
    <row r="26" spans="1:18" x14ac:dyDescent="0.25">
      <c r="A26" s="6" t="s">
        <v>44</v>
      </c>
      <c r="B26" s="6" t="s">
        <v>45</v>
      </c>
      <c r="C26" s="6" t="s">
        <v>24</v>
      </c>
      <c r="D26" s="6" t="s">
        <v>43</v>
      </c>
      <c r="E26" s="50" t="s">
        <v>6</v>
      </c>
      <c r="F26" s="51"/>
      <c r="G26" s="6" t="s">
        <v>26</v>
      </c>
      <c r="H26" s="7">
        <v>46023</v>
      </c>
      <c r="I26" s="8">
        <v>602.71</v>
      </c>
      <c r="J26" s="6" t="s">
        <v>6</v>
      </c>
      <c r="K26" s="6" t="s">
        <v>27</v>
      </c>
      <c r="L26" s="50"/>
      <c r="M26" s="51"/>
      <c r="N26" s="6">
        <v>1</v>
      </c>
      <c r="O26" s="8">
        <v>23</v>
      </c>
      <c r="P26" s="9">
        <v>1</v>
      </c>
      <c r="Q26" s="52">
        <v>23</v>
      </c>
      <c r="R26" s="51"/>
    </row>
    <row r="27" spans="1:18" x14ac:dyDescent="0.25">
      <c r="A27" s="6" t="s">
        <v>46</v>
      </c>
      <c r="B27" s="6" t="s">
        <v>47</v>
      </c>
      <c r="C27" s="6" t="s">
        <v>24</v>
      </c>
      <c r="D27" s="6" t="s">
        <v>43</v>
      </c>
      <c r="E27" s="50" t="s">
        <v>6</v>
      </c>
      <c r="F27" s="51"/>
      <c r="G27" s="6" t="s">
        <v>26</v>
      </c>
      <c r="H27" s="7">
        <v>46023</v>
      </c>
      <c r="I27" s="8">
        <v>486.48</v>
      </c>
      <c r="J27" s="6" t="s">
        <v>6</v>
      </c>
      <c r="K27" s="6" t="s">
        <v>27</v>
      </c>
      <c r="L27" s="50"/>
      <c r="M27" s="51"/>
      <c r="N27" s="6">
        <v>1</v>
      </c>
      <c r="O27" s="8">
        <v>23</v>
      </c>
      <c r="P27" s="9">
        <v>1</v>
      </c>
      <c r="Q27" s="52">
        <v>23</v>
      </c>
      <c r="R27" s="51"/>
    </row>
    <row r="28" spans="1:18" x14ac:dyDescent="0.25">
      <c r="A28" s="6" t="s">
        <v>48</v>
      </c>
      <c r="B28" s="6" t="s">
        <v>49</v>
      </c>
      <c r="C28" s="6" t="s">
        <v>24</v>
      </c>
      <c r="D28" s="6" t="s">
        <v>43</v>
      </c>
      <c r="E28" s="50" t="s">
        <v>6</v>
      </c>
      <c r="F28" s="51"/>
      <c r="G28" s="6" t="s">
        <v>26</v>
      </c>
      <c r="H28" s="7">
        <v>46023</v>
      </c>
      <c r="I28" s="8">
        <v>397.72</v>
      </c>
      <c r="J28" s="6" t="s">
        <v>6</v>
      </c>
      <c r="K28" s="6" t="s">
        <v>27</v>
      </c>
      <c r="L28" s="50"/>
      <c r="M28" s="51"/>
      <c r="N28" s="6">
        <v>1</v>
      </c>
      <c r="O28" s="8">
        <v>23</v>
      </c>
      <c r="P28" s="9">
        <v>1</v>
      </c>
      <c r="Q28" s="52">
        <v>23</v>
      </c>
      <c r="R28" s="51"/>
    </row>
    <row r="29" spans="1:18" x14ac:dyDescent="0.25">
      <c r="A29" s="6" t="s">
        <v>50</v>
      </c>
      <c r="B29" s="6" t="s">
        <v>51</v>
      </c>
      <c r="C29" s="6" t="s">
        <v>24</v>
      </c>
      <c r="D29" s="6" t="s">
        <v>43</v>
      </c>
      <c r="E29" s="50" t="s">
        <v>6</v>
      </c>
      <c r="F29" s="51"/>
      <c r="G29" s="6" t="s">
        <v>26</v>
      </c>
      <c r="H29" s="7">
        <v>46023</v>
      </c>
      <c r="I29" s="8">
        <v>1072.8800000000001</v>
      </c>
      <c r="J29" s="6" t="s">
        <v>6</v>
      </c>
      <c r="K29" s="6" t="s">
        <v>27</v>
      </c>
      <c r="L29" s="50"/>
      <c r="M29" s="51"/>
      <c r="N29" s="6">
        <v>2</v>
      </c>
      <c r="O29" s="8">
        <v>23</v>
      </c>
      <c r="P29" s="9">
        <v>1</v>
      </c>
      <c r="Q29" s="52">
        <v>46</v>
      </c>
      <c r="R29" s="51"/>
    </row>
    <row r="30" spans="1:18" x14ac:dyDescent="0.25">
      <c r="A30" s="6" t="s">
        <v>52</v>
      </c>
      <c r="B30" s="6" t="s">
        <v>53</v>
      </c>
      <c r="C30" s="6" t="s">
        <v>24</v>
      </c>
      <c r="D30" s="6" t="s">
        <v>43</v>
      </c>
      <c r="E30" s="50" t="s">
        <v>6</v>
      </c>
      <c r="F30" s="51"/>
      <c r="G30" s="6" t="s">
        <v>26</v>
      </c>
      <c r="H30" s="7">
        <v>46023</v>
      </c>
      <c r="I30" s="8">
        <v>207.55</v>
      </c>
      <c r="J30" s="6" t="s">
        <v>6</v>
      </c>
      <c r="K30" s="6" t="s">
        <v>27</v>
      </c>
      <c r="L30" s="50"/>
      <c r="M30" s="51"/>
      <c r="N30" s="6">
        <v>1</v>
      </c>
      <c r="O30" s="8">
        <v>23</v>
      </c>
      <c r="P30" s="9">
        <v>1</v>
      </c>
      <c r="Q30" s="52">
        <v>23</v>
      </c>
      <c r="R30" s="51"/>
    </row>
    <row r="31" spans="1:18" x14ac:dyDescent="0.25">
      <c r="A31" s="6" t="s">
        <v>54</v>
      </c>
      <c r="B31" s="6" t="s">
        <v>55</v>
      </c>
      <c r="C31" s="6" t="s">
        <v>24</v>
      </c>
      <c r="D31" s="6" t="s">
        <v>43</v>
      </c>
      <c r="E31" s="50" t="s">
        <v>6</v>
      </c>
      <c r="F31" s="51"/>
      <c r="G31" s="6" t="s">
        <v>26</v>
      </c>
      <c r="H31" s="7">
        <v>46023</v>
      </c>
      <c r="I31" s="8">
        <v>2670.98</v>
      </c>
      <c r="J31" s="6" t="s">
        <v>6</v>
      </c>
      <c r="K31" s="6" t="s">
        <v>27</v>
      </c>
      <c r="L31" s="50"/>
      <c r="M31" s="51"/>
      <c r="N31" s="6">
        <v>5</v>
      </c>
      <c r="O31" s="8">
        <v>23</v>
      </c>
      <c r="P31" s="9">
        <v>1</v>
      </c>
      <c r="Q31" s="52">
        <v>115</v>
      </c>
      <c r="R31" s="51"/>
    </row>
    <row r="32" spans="1:18" x14ac:dyDescent="0.25">
      <c r="A32" s="6" t="s">
        <v>56</v>
      </c>
      <c r="B32" s="6" t="s">
        <v>57</v>
      </c>
      <c r="C32" s="6" t="s">
        <v>24</v>
      </c>
      <c r="D32" s="6" t="s">
        <v>43</v>
      </c>
      <c r="E32" s="50" t="s">
        <v>6</v>
      </c>
      <c r="F32" s="51"/>
      <c r="G32" s="6" t="s">
        <v>26</v>
      </c>
      <c r="H32" s="7">
        <v>46023</v>
      </c>
      <c r="I32" s="8">
        <v>386.34</v>
      </c>
      <c r="J32" s="6" t="s">
        <v>6</v>
      </c>
      <c r="K32" s="6" t="s">
        <v>27</v>
      </c>
      <c r="L32" s="50"/>
      <c r="M32" s="51"/>
      <c r="N32" s="6">
        <v>3</v>
      </c>
      <c r="O32" s="8">
        <v>23</v>
      </c>
      <c r="P32" s="9">
        <v>1</v>
      </c>
      <c r="Q32" s="52">
        <v>69</v>
      </c>
      <c r="R32" s="51"/>
    </row>
    <row r="33" spans="1:18" x14ac:dyDescent="0.25">
      <c r="A33" s="6" t="s">
        <v>58</v>
      </c>
      <c r="B33" s="6" t="s">
        <v>59</v>
      </c>
      <c r="C33" s="6" t="s">
        <v>24</v>
      </c>
      <c r="D33" s="6" t="s">
        <v>43</v>
      </c>
      <c r="E33" s="50" t="s">
        <v>6</v>
      </c>
      <c r="F33" s="51"/>
      <c r="G33" s="6" t="s">
        <v>26</v>
      </c>
      <c r="H33" s="7">
        <v>46023</v>
      </c>
      <c r="I33" s="8">
        <v>146.76</v>
      </c>
      <c r="J33" s="6" t="s">
        <v>6</v>
      </c>
      <c r="K33" s="6" t="s">
        <v>27</v>
      </c>
      <c r="L33" s="50"/>
      <c r="M33" s="51"/>
      <c r="N33" s="6">
        <v>1</v>
      </c>
      <c r="O33" s="8">
        <v>23</v>
      </c>
      <c r="P33" s="9">
        <v>1</v>
      </c>
      <c r="Q33" s="52">
        <v>23</v>
      </c>
      <c r="R33" s="51"/>
    </row>
    <row r="34" spans="1:18" x14ac:dyDescent="0.25">
      <c r="A34" s="6" t="s">
        <v>60</v>
      </c>
      <c r="B34" s="6" t="s">
        <v>61</v>
      </c>
      <c r="C34" s="6" t="s">
        <v>24</v>
      </c>
      <c r="D34" s="6" t="s">
        <v>43</v>
      </c>
      <c r="E34" s="50" t="s">
        <v>6</v>
      </c>
      <c r="F34" s="51"/>
      <c r="G34" s="6" t="s">
        <v>26</v>
      </c>
      <c r="H34" s="7">
        <v>45992</v>
      </c>
      <c r="I34" s="8">
        <v>186.1</v>
      </c>
      <c r="J34" s="8">
        <v>1115.6600000000001</v>
      </c>
      <c r="K34" s="6" t="s">
        <v>62</v>
      </c>
      <c r="L34" s="50"/>
      <c r="M34" s="51"/>
      <c r="N34" s="6"/>
      <c r="O34" s="12">
        <v>4.2500000000000003E-2</v>
      </c>
      <c r="P34" s="9">
        <v>1</v>
      </c>
      <c r="Q34" s="52">
        <v>47.41</v>
      </c>
      <c r="R34" s="51"/>
    </row>
    <row r="35" spans="1:18" x14ac:dyDescent="0.25">
      <c r="A35" s="6" t="s">
        <v>63</v>
      </c>
      <c r="B35" s="6" t="s">
        <v>64</v>
      </c>
      <c r="C35" s="6" t="s">
        <v>24</v>
      </c>
      <c r="D35" s="6" t="s">
        <v>43</v>
      </c>
      <c r="E35" s="50" t="s">
        <v>6</v>
      </c>
      <c r="F35" s="51"/>
      <c r="G35" s="6" t="s">
        <v>26</v>
      </c>
      <c r="H35" s="7">
        <v>46023</v>
      </c>
      <c r="I35" s="8">
        <v>1670.97</v>
      </c>
      <c r="J35" s="6" t="s">
        <v>6</v>
      </c>
      <c r="K35" s="6" t="s">
        <v>27</v>
      </c>
      <c r="L35" s="50"/>
      <c r="M35" s="51"/>
      <c r="N35" s="6">
        <v>2</v>
      </c>
      <c r="O35" s="8">
        <v>23</v>
      </c>
      <c r="P35" s="9">
        <v>1</v>
      </c>
      <c r="Q35" s="52">
        <v>46</v>
      </c>
      <c r="R35" s="51"/>
    </row>
    <row r="36" spans="1:18" x14ac:dyDescent="0.25">
      <c r="A36" s="6" t="s">
        <v>65</v>
      </c>
      <c r="B36" s="6" t="s">
        <v>66</v>
      </c>
      <c r="C36" s="6" t="s">
        <v>24</v>
      </c>
      <c r="D36" s="6" t="s">
        <v>43</v>
      </c>
      <c r="E36" s="50" t="s">
        <v>6</v>
      </c>
      <c r="F36" s="51"/>
      <c r="G36" s="6" t="s">
        <v>26</v>
      </c>
      <c r="H36" s="7">
        <v>46023</v>
      </c>
      <c r="I36" s="8">
        <v>428.94</v>
      </c>
      <c r="J36" s="6" t="s">
        <v>6</v>
      </c>
      <c r="K36" s="6" t="s">
        <v>27</v>
      </c>
      <c r="L36" s="50"/>
      <c r="M36" s="51"/>
      <c r="N36" s="6">
        <v>1</v>
      </c>
      <c r="O36" s="8">
        <v>23</v>
      </c>
      <c r="P36" s="9">
        <v>1</v>
      </c>
      <c r="Q36" s="52">
        <v>23</v>
      </c>
      <c r="R36" s="51"/>
    </row>
    <row r="37" spans="1:18" x14ac:dyDescent="0.25">
      <c r="A37" s="6" t="s">
        <v>67</v>
      </c>
      <c r="B37" s="6" t="s">
        <v>68</v>
      </c>
      <c r="C37" s="6" t="s">
        <v>24</v>
      </c>
      <c r="D37" s="6" t="s">
        <v>43</v>
      </c>
      <c r="E37" s="50" t="s">
        <v>6</v>
      </c>
      <c r="F37" s="51"/>
      <c r="G37" s="6" t="s">
        <v>26</v>
      </c>
      <c r="H37" s="7">
        <v>46023</v>
      </c>
      <c r="I37" s="8">
        <v>130.63</v>
      </c>
      <c r="J37" s="6" t="s">
        <v>6</v>
      </c>
      <c r="K37" s="6" t="s">
        <v>27</v>
      </c>
      <c r="L37" s="50"/>
      <c r="M37" s="51"/>
      <c r="N37" s="6">
        <v>1</v>
      </c>
      <c r="O37" s="8">
        <v>23</v>
      </c>
      <c r="P37" s="9">
        <v>1</v>
      </c>
      <c r="Q37" s="52">
        <v>23</v>
      </c>
      <c r="R37" s="51"/>
    </row>
    <row r="38" spans="1:18" x14ac:dyDescent="0.25">
      <c r="A38" s="6" t="s">
        <v>69</v>
      </c>
      <c r="B38" s="6" t="s">
        <v>70</v>
      </c>
      <c r="C38" s="6" t="s">
        <v>24</v>
      </c>
      <c r="D38" s="6" t="s">
        <v>43</v>
      </c>
      <c r="E38" s="50" t="s">
        <v>6</v>
      </c>
      <c r="F38" s="51"/>
      <c r="G38" s="6" t="s">
        <v>26</v>
      </c>
      <c r="H38" s="7">
        <v>46023</v>
      </c>
      <c r="I38" s="8">
        <v>149.83000000000001</v>
      </c>
      <c r="J38" s="6" t="s">
        <v>6</v>
      </c>
      <c r="K38" s="6" t="s">
        <v>27</v>
      </c>
      <c r="L38" s="50"/>
      <c r="M38" s="51"/>
      <c r="N38" s="6">
        <v>1</v>
      </c>
      <c r="O38" s="8">
        <v>23</v>
      </c>
      <c r="P38" s="9">
        <v>1</v>
      </c>
      <c r="Q38" s="52">
        <v>23</v>
      </c>
      <c r="R38" s="51"/>
    </row>
    <row r="39" spans="1:18" x14ac:dyDescent="0.25">
      <c r="A39" s="6" t="s">
        <v>71</v>
      </c>
      <c r="B39" s="6" t="s">
        <v>72</v>
      </c>
      <c r="C39" s="6" t="s">
        <v>24</v>
      </c>
      <c r="D39" s="6" t="s">
        <v>43</v>
      </c>
      <c r="E39" s="50" t="s">
        <v>6</v>
      </c>
      <c r="F39" s="51"/>
      <c r="G39" s="6" t="s">
        <v>26</v>
      </c>
      <c r="H39" s="7">
        <v>46023</v>
      </c>
      <c r="I39" s="8">
        <v>1.41</v>
      </c>
      <c r="J39" s="6" t="s">
        <v>6</v>
      </c>
      <c r="K39" s="6" t="s">
        <v>27</v>
      </c>
      <c r="L39" s="50"/>
      <c r="M39" s="51"/>
      <c r="N39" s="6">
        <v>1</v>
      </c>
      <c r="O39" s="8">
        <v>23</v>
      </c>
      <c r="P39" s="9">
        <v>1</v>
      </c>
      <c r="Q39" s="52">
        <v>23</v>
      </c>
      <c r="R39" s="51"/>
    </row>
    <row r="40" spans="1:18" x14ac:dyDescent="0.25">
      <c r="A40" s="6" t="s">
        <v>73</v>
      </c>
      <c r="B40" s="6" t="s">
        <v>74</v>
      </c>
      <c r="C40" s="6" t="s">
        <v>24</v>
      </c>
      <c r="D40" s="6" t="s">
        <v>43</v>
      </c>
      <c r="E40" s="50" t="s">
        <v>6</v>
      </c>
      <c r="F40" s="51"/>
      <c r="G40" s="6" t="s">
        <v>26</v>
      </c>
      <c r="H40" s="7">
        <v>46023</v>
      </c>
      <c r="I40" s="8">
        <v>352.44</v>
      </c>
      <c r="J40" s="6" t="s">
        <v>6</v>
      </c>
      <c r="K40" s="6" t="s">
        <v>27</v>
      </c>
      <c r="L40" s="50"/>
      <c r="M40" s="51"/>
      <c r="N40" s="6">
        <v>1</v>
      </c>
      <c r="O40" s="8">
        <v>23</v>
      </c>
      <c r="P40" s="9">
        <v>1</v>
      </c>
      <c r="Q40" s="52">
        <v>23</v>
      </c>
      <c r="R40" s="51"/>
    </row>
    <row r="41" spans="1:18" x14ac:dyDescent="0.25">
      <c r="A41" s="6" t="s">
        <v>75</v>
      </c>
      <c r="B41" s="6" t="s">
        <v>76</v>
      </c>
      <c r="C41" s="6" t="s">
        <v>24</v>
      </c>
      <c r="D41" s="6" t="s">
        <v>43</v>
      </c>
      <c r="E41" s="50" t="s">
        <v>6</v>
      </c>
      <c r="F41" s="51"/>
      <c r="G41" s="6" t="s">
        <v>26</v>
      </c>
      <c r="H41" s="7">
        <v>46023</v>
      </c>
      <c r="I41" s="8">
        <v>2312.89</v>
      </c>
      <c r="J41" s="6" t="s">
        <v>6</v>
      </c>
      <c r="K41" s="6" t="s">
        <v>27</v>
      </c>
      <c r="L41" s="50"/>
      <c r="M41" s="51"/>
      <c r="N41" s="6">
        <v>3</v>
      </c>
      <c r="O41" s="8">
        <v>23</v>
      </c>
      <c r="P41" s="9">
        <v>1</v>
      </c>
      <c r="Q41" s="52">
        <v>69</v>
      </c>
      <c r="R41" s="51"/>
    </row>
    <row r="42" spans="1:18" x14ac:dyDescent="0.25">
      <c r="A42" s="6" t="s">
        <v>77</v>
      </c>
      <c r="B42" s="6" t="s">
        <v>78</v>
      </c>
      <c r="C42" s="6" t="s">
        <v>24</v>
      </c>
      <c r="D42" s="6" t="s">
        <v>43</v>
      </c>
      <c r="E42" s="50" t="s">
        <v>6</v>
      </c>
      <c r="F42" s="51"/>
      <c r="G42" s="6" t="s">
        <v>26</v>
      </c>
      <c r="H42" s="7">
        <v>46023</v>
      </c>
      <c r="I42" s="8">
        <v>169.86</v>
      </c>
      <c r="J42" s="6" t="s">
        <v>6</v>
      </c>
      <c r="K42" s="6" t="s">
        <v>27</v>
      </c>
      <c r="L42" s="50"/>
      <c r="M42" s="51"/>
      <c r="N42" s="6">
        <v>1</v>
      </c>
      <c r="O42" s="8">
        <v>23</v>
      </c>
      <c r="P42" s="9">
        <v>1</v>
      </c>
      <c r="Q42" s="52">
        <v>23</v>
      </c>
      <c r="R42" s="51"/>
    </row>
    <row r="43" spans="1:18" x14ac:dyDescent="0.25">
      <c r="A43" s="6" t="s">
        <v>79</v>
      </c>
      <c r="B43" s="6" t="s">
        <v>80</v>
      </c>
      <c r="C43" s="6" t="s">
        <v>24</v>
      </c>
      <c r="D43" s="6" t="s">
        <v>43</v>
      </c>
      <c r="E43" s="50" t="s">
        <v>6</v>
      </c>
      <c r="F43" s="51"/>
      <c r="G43" s="6" t="s">
        <v>26</v>
      </c>
      <c r="H43" s="7">
        <v>46023</v>
      </c>
      <c r="I43" s="8">
        <v>162.02000000000001</v>
      </c>
      <c r="J43" s="6" t="s">
        <v>6</v>
      </c>
      <c r="K43" s="6" t="s">
        <v>27</v>
      </c>
      <c r="L43" s="50"/>
      <c r="M43" s="51"/>
      <c r="N43" s="6">
        <v>1</v>
      </c>
      <c r="O43" s="8">
        <v>23</v>
      </c>
      <c r="P43" s="9">
        <v>1</v>
      </c>
      <c r="Q43" s="52">
        <v>23</v>
      </c>
      <c r="R43" s="51"/>
    </row>
    <row r="44" spans="1:18" x14ac:dyDescent="0.25">
      <c r="A44" s="6" t="s">
        <v>81</v>
      </c>
      <c r="B44" s="6" t="s">
        <v>82</v>
      </c>
      <c r="C44" s="6" t="s">
        <v>24</v>
      </c>
      <c r="D44" s="6" t="s">
        <v>43</v>
      </c>
      <c r="E44" s="50" t="s">
        <v>6</v>
      </c>
      <c r="F44" s="51"/>
      <c r="G44" s="6" t="s">
        <v>26</v>
      </c>
      <c r="H44" s="7">
        <v>46023</v>
      </c>
      <c r="I44" s="8">
        <v>546.78</v>
      </c>
      <c r="J44" s="6" t="s">
        <v>6</v>
      </c>
      <c r="K44" s="6" t="s">
        <v>27</v>
      </c>
      <c r="L44" s="50"/>
      <c r="M44" s="51"/>
      <c r="N44" s="6">
        <v>2</v>
      </c>
      <c r="O44" s="8">
        <v>23</v>
      </c>
      <c r="P44" s="9">
        <v>1</v>
      </c>
      <c r="Q44" s="52">
        <v>46</v>
      </c>
      <c r="R44" s="51"/>
    </row>
    <row r="45" spans="1:18" x14ac:dyDescent="0.25">
      <c r="A45" s="6" t="s">
        <v>83</v>
      </c>
      <c r="B45" s="6" t="s">
        <v>84</v>
      </c>
      <c r="C45" s="6" t="s">
        <v>24</v>
      </c>
      <c r="D45" s="6" t="s">
        <v>43</v>
      </c>
      <c r="E45" s="50" t="s">
        <v>6</v>
      </c>
      <c r="F45" s="51"/>
      <c r="G45" s="6" t="s">
        <v>26</v>
      </c>
      <c r="H45" s="7">
        <v>46023</v>
      </c>
      <c r="I45" s="8">
        <v>921.12</v>
      </c>
      <c r="J45" s="6" t="s">
        <v>6</v>
      </c>
      <c r="K45" s="6" t="s">
        <v>27</v>
      </c>
      <c r="L45" s="50"/>
      <c r="M45" s="51"/>
      <c r="N45" s="6">
        <v>1</v>
      </c>
      <c r="O45" s="8">
        <v>23</v>
      </c>
      <c r="P45" s="9">
        <v>1</v>
      </c>
      <c r="Q45" s="52">
        <v>23</v>
      </c>
      <c r="R45" s="51"/>
    </row>
    <row r="46" spans="1:18" x14ac:dyDescent="0.25">
      <c r="A46" s="6" t="s">
        <v>85</v>
      </c>
      <c r="B46" s="6" t="s">
        <v>86</v>
      </c>
      <c r="C46" s="6" t="s">
        <v>24</v>
      </c>
      <c r="D46" s="6" t="s">
        <v>43</v>
      </c>
      <c r="E46" s="50" t="s">
        <v>6</v>
      </c>
      <c r="F46" s="51"/>
      <c r="G46" s="6" t="s">
        <v>26</v>
      </c>
      <c r="H46" s="7">
        <v>46023</v>
      </c>
      <c r="I46" s="8">
        <v>271.91000000000003</v>
      </c>
      <c r="J46" s="6" t="s">
        <v>6</v>
      </c>
      <c r="K46" s="6" t="s">
        <v>27</v>
      </c>
      <c r="L46" s="50"/>
      <c r="M46" s="51"/>
      <c r="N46" s="6">
        <v>1</v>
      </c>
      <c r="O46" s="8">
        <v>23</v>
      </c>
      <c r="P46" s="9">
        <v>1</v>
      </c>
      <c r="Q46" s="52">
        <v>23</v>
      </c>
      <c r="R46" s="51"/>
    </row>
    <row r="47" spans="1:18" x14ac:dyDescent="0.25">
      <c r="A47" s="6" t="s">
        <v>87</v>
      </c>
      <c r="B47" s="6" t="s">
        <v>88</v>
      </c>
      <c r="C47" s="6" t="s">
        <v>24</v>
      </c>
      <c r="D47" s="6" t="s">
        <v>43</v>
      </c>
      <c r="E47" s="50" t="s">
        <v>6</v>
      </c>
      <c r="F47" s="51"/>
      <c r="G47" s="6" t="s">
        <v>26</v>
      </c>
      <c r="H47" s="7">
        <v>46023</v>
      </c>
      <c r="I47" s="8">
        <v>604.69000000000005</v>
      </c>
      <c r="J47" s="6" t="s">
        <v>6</v>
      </c>
      <c r="K47" s="6" t="s">
        <v>27</v>
      </c>
      <c r="L47" s="50"/>
      <c r="M47" s="51"/>
      <c r="N47" s="6">
        <v>1</v>
      </c>
      <c r="O47" s="8">
        <v>23</v>
      </c>
      <c r="P47" s="9">
        <v>1</v>
      </c>
      <c r="Q47" s="52">
        <v>23</v>
      </c>
      <c r="R47" s="51"/>
    </row>
    <row r="48" spans="1:18" x14ac:dyDescent="0.25">
      <c r="A48" s="6" t="s">
        <v>89</v>
      </c>
      <c r="B48" s="6" t="s">
        <v>90</v>
      </c>
      <c r="C48" s="6" t="s">
        <v>24</v>
      </c>
      <c r="D48" s="6" t="s">
        <v>43</v>
      </c>
      <c r="E48" s="50" t="s">
        <v>6</v>
      </c>
      <c r="F48" s="51"/>
      <c r="G48" s="6" t="s">
        <v>26</v>
      </c>
      <c r="H48" s="7">
        <v>46023</v>
      </c>
      <c r="I48" s="8">
        <v>254.58</v>
      </c>
      <c r="J48" s="6" t="s">
        <v>6</v>
      </c>
      <c r="K48" s="6" t="s">
        <v>27</v>
      </c>
      <c r="L48" s="50"/>
      <c r="M48" s="51"/>
      <c r="N48" s="6">
        <v>1</v>
      </c>
      <c r="O48" s="8">
        <v>23</v>
      </c>
      <c r="P48" s="9">
        <v>1</v>
      </c>
      <c r="Q48" s="52">
        <v>23</v>
      </c>
      <c r="R48" s="51"/>
    </row>
    <row r="49" spans="1:18" x14ac:dyDescent="0.25">
      <c r="A49" s="6" t="s">
        <v>91</v>
      </c>
      <c r="B49" s="6" t="s">
        <v>92</v>
      </c>
      <c r="C49" s="6" t="s">
        <v>24</v>
      </c>
      <c r="D49" s="6" t="s">
        <v>43</v>
      </c>
      <c r="E49" s="50" t="s">
        <v>6</v>
      </c>
      <c r="F49" s="51"/>
      <c r="G49" s="6" t="s">
        <v>26</v>
      </c>
      <c r="H49" s="7">
        <v>46023</v>
      </c>
      <c r="I49" s="8">
        <v>2419.46</v>
      </c>
      <c r="J49" s="6" t="s">
        <v>6</v>
      </c>
      <c r="K49" s="6" t="s">
        <v>27</v>
      </c>
      <c r="L49" s="50"/>
      <c r="M49" s="51"/>
      <c r="N49" s="6">
        <v>3</v>
      </c>
      <c r="O49" s="8">
        <v>23</v>
      </c>
      <c r="P49" s="9">
        <v>1</v>
      </c>
      <c r="Q49" s="52">
        <v>69</v>
      </c>
      <c r="R49" s="51"/>
    </row>
    <row r="50" spans="1:18" x14ac:dyDescent="0.25">
      <c r="A50" s="6" t="s">
        <v>93</v>
      </c>
      <c r="B50" s="6" t="s">
        <v>94</v>
      </c>
      <c r="C50" s="6" t="s">
        <v>24</v>
      </c>
      <c r="D50" s="6" t="s">
        <v>43</v>
      </c>
      <c r="E50" s="50" t="s">
        <v>6</v>
      </c>
      <c r="F50" s="51"/>
      <c r="G50" s="6" t="s">
        <v>26</v>
      </c>
      <c r="H50" s="7">
        <v>46023</v>
      </c>
      <c r="I50" s="8">
        <v>1813.34</v>
      </c>
      <c r="J50" s="6" t="s">
        <v>6</v>
      </c>
      <c r="K50" s="6" t="s">
        <v>27</v>
      </c>
      <c r="L50" s="50"/>
      <c r="M50" s="51"/>
      <c r="N50" s="6">
        <v>3</v>
      </c>
      <c r="O50" s="8">
        <v>23</v>
      </c>
      <c r="P50" s="9">
        <v>1</v>
      </c>
      <c r="Q50" s="52">
        <v>69</v>
      </c>
      <c r="R50" s="51"/>
    </row>
    <row r="51" spans="1:18" x14ac:dyDescent="0.25">
      <c r="A51" s="6" t="s">
        <v>95</v>
      </c>
      <c r="B51" s="6" t="s">
        <v>96</v>
      </c>
      <c r="C51" s="6" t="s">
        <v>24</v>
      </c>
      <c r="D51" s="6" t="s">
        <v>43</v>
      </c>
      <c r="E51" s="50" t="s">
        <v>6</v>
      </c>
      <c r="F51" s="51"/>
      <c r="G51" s="6" t="s">
        <v>26</v>
      </c>
      <c r="H51" s="7">
        <v>46023</v>
      </c>
      <c r="I51" s="8">
        <v>164.69</v>
      </c>
      <c r="J51" s="6" t="s">
        <v>6</v>
      </c>
      <c r="K51" s="6" t="s">
        <v>27</v>
      </c>
      <c r="L51" s="50"/>
      <c r="M51" s="51"/>
      <c r="N51" s="6">
        <v>1</v>
      </c>
      <c r="O51" s="8">
        <v>23</v>
      </c>
      <c r="P51" s="9">
        <v>1</v>
      </c>
      <c r="Q51" s="52">
        <v>23</v>
      </c>
      <c r="R51" s="51"/>
    </row>
    <row r="52" spans="1:18" x14ac:dyDescent="0.25">
      <c r="A52" s="6" t="s">
        <v>97</v>
      </c>
      <c r="B52" s="6" t="s">
        <v>98</v>
      </c>
      <c r="C52" s="6" t="s">
        <v>24</v>
      </c>
      <c r="D52" s="6" t="s">
        <v>43</v>
      </c>
      <c r="E52" s="50" t="s">
        <v>6</v>
      </c>
      <c r="F52" s="51"/>
      <c r="G52" s="6" t="s">
        <v>26</v>
      </c>
      <c r="H52" s="7">
        <v>46023</v>
      </c>
      <c r="I52" s="8">
        <v>280.45999999999998</v>
      </c>
      <c r="J52" s="6" t="s">
        <v>6</v>
      </c>
      <c r="K52" s="6" t="s">
        <v>27</v>
      </c>
      <c r="L52" s="50"/>
      <c r="M52" s="51"/>
      <c r="N52" s="6">
        <v>5</v>
      </c>
      <c r="O52" s="8">
        <v>23</v>
      </c>
      <c r="P52" s="9">
        <v>1</v>
      </c>
      <c r="Q52" s="52">
        <v>115</v>
      </c>
      <c r="R52" s="51"/>
    </row>
    <row r="53" spans="1:18" x14ac:dyDescent="0.25">
      <c r="A53" s="6" t="s">
        <v>99</v>
      </c>
      <c r="B53" s="6" t="s">
        <v>100</v>
      </c>
      <c r="C53" s="6" t="s">
        <v>24</v>
      </c>
      <c r="D53" s="6" t="s">
        <v>43</v>
      </c>
      <c r="E53" s="50" t="s">
        <v>6</v>
      </c>
      <c r="F53" s="51"/>
      <c r="G53" s="6" t="s">
        <v>26</v>
      </c>
      <c r="H53" s="7">
        <v>46023</v>
      </c>
      <c r="I53" s="8">
        <v>493.12</v>
      </c>
      <c r="J53" s="6" t="s">
        <v>6</v>
      </c>
      <c r="K53" s="6" t="s">
        <v>27</v>
      </c>
      <c r="L53" s="50"/>
      <c r="M53" s="51"/>
      <c r="N53" s="6">
        <v>3</v>
      </c>
      <c r="O53" s="8">
        <v>23</v>
      </c>
      <c r="P53" s="9">
        <v>1</v>
      </c>
      <c r="Q53" s="52">
        <v>69</v>
      </c>
      <c r="R53" s="51"/>
    </row>
    <row r="54" spans="1:18" x14ac:dyDescent="0.25">
      <c r="A54" s="6" t="s">
        <v>101</v>
      </c>
      <c r="B54" s="6" t="s">
        <v>102</v>
      </c>
      <c r="C54" s="6" t="s">
        <v>24</v>
      </c>
      <c r="D54" s="6" t="s">
        <v>43</v>
      </c>
      <c r="E54" s="50" t="s">
        <v>6</v>
      </c>
      <c r="F54" s="51"/>
      <c r="G54" s="6" t="s">
        <v>26</v>
      </c>
      <c r="H54" s="7">
        <v>46023</v>
      </c>
      <c r="I54" s="8">
        <v>3.37</v>
      </c>
      <c r="J54" s="6" t="s">
        <v>6</v>
      </c>
      <c r="K54" s="6" t="s">
        <v>27</v>
      </c>
      <c r="L54" s="50"/>
      <c r="M54" s="51"/>
      <c r="N54" s="6">
        <v>2</v>
      </c>
      <c r="O54" s="8">
        <v>23</v>
      </c>
      <c r="P54" s="9">
        <v>1</v>
      </c>
      <c r="Q54" s="52">
        <v>46</v>
      </c>
      <c r="R54" s="51"/>
    </row>
    <row r="55" spans="1:18" x14ac:dyDescent="0.25">
      <c r="A55" s="6" t="s">
        <v>103</v>
      </c>
      <c r="B55" s="6" t="s">
        <v>104</v>
      </c>
      <c r="C55" s="6" t="s">
        <v>24</v>
      </c>
      <c r="D55" s="6" t="s">
        <v>43</v>
      </c>
      <c r="E55" s="50" t="s">
        <v>6</v>
      </c>
      <c r="F55" s="51"/>
      <c r="G55" s="6" t="s">
        <v>26</v>
      </c>
      <c r="H55" s="7">
        <v>46023</v>
      </c>
      <c r="I55" s="8">
        <v>2</v>
      </c>
      <c r="J55" s="6" t="s">
        <v>6</v>
      </c>
      <c r="K55" s="6" t="s">
        <v>27</v>
      </c>
      <c r="L55" s="50"/>
      <c r="M55" s="51"/>
      <c r="N55" s="6">
        <v>2</v>
      </c>
      <c r="O55" s="8">
        <v>23</v>
      </c>
      <c r="P55" s="9">
        <v>1</v>
      </c>
      <c r="Q55" s="52">
        <v>46</v>
      </c>
      <c r="R55" s="51"/>
    </row>
    <row r="56" spans="1:18" x14ac:dyDescent="0.25">
      <c r="A56" s="6" t="s">
        <v>105</v>
      </c>
      <c r="B56" s="6" t="s">
        <v>106</v>
      </c>
      <c r="C56" s="6" t="s">
        <v>24</v>
      </c>
      <c r="D56" s="6" t="s">
        <v>43</v>
      </c>
      <c r="E56" s="50" t="s">
        <v>6</v>
      </c>
      <c r="F56" s="51"/>
      <c r="G56" s="6" t="s">
        <v>26</v>
      </c>
      <c r="H56" s="7">
        <v>46023</v>
      </c>
      <c r="I56" s="8">
        <v>75.84</v>
      </c>
      <c r="J56" s="6" t="s">
        <v>6</v>
      </c>
      <c r="K56" s="6" t="s">
        <v>27</v>
      </c>
      <c r="L56" s="50"/>
      <c r="M56" s="51"/>
      <c r="N56" s="6">
        <v>1</v>
      </c>
      <c r="O56" s="8">
        <v>23</v>
      </c>
      <c r="P56" s="9">
        <v>1</v>
      </c>
      <c r="Q56" s="52">
        <v>23</v>
      </c>
      <c r="R56" s="51"/>
    </row>
    <row r="57" spans="1:18" x14ac:dyDescent="0.25">
      <c r="A57" s="6" t="s">
        <v>107</v>
      </c>
      <c r="B57" s="6" t="s">
        <v>108</v>
      </c>
      <c r="C57" s="6" t="s">
        <v>24</v>
      </c>
      <c r="D57" s="6" t="s">
        <v>43</v>
      </c>
      <c r="E57" s="50" t="s">
        <v>6</v>
      </c>
      <c r="F57" s="51"/>
      <c r="G57" s="6" t="s">
        <v>26</v>
      </c>
      <c r="H57" s="7">
        <v>46023</v>
      </c>
      <c r="I57" s="8">
        <v>75.86</v>
      </c>
      <c r="J57" s="6" t="s">
        <v>6</v>
      </c>
      <c r="K57" s="6" t="s">
        <v>27</v>
      </c>
      <c r="L57" s="50"/>
      <c r="M57" s="51"/>
      <c r="N57" s="6">
        <v>1</v>
      </c>
      <c r="O57" s="8">
        <v>23</v>
      </c>
      <c r="P57" s="9">
        <v>1</v>
      </c>
      <c r="Q57" s="52">
        <v>23</v>
      </c>
      <c r="R57" s="51"/>
    </row>
    <row r="58" spans="1:18" x14ac:dyDescent="0.25">
      <c r="A58" s="6" t="s">
        <v>109</v>
      </c>
      <c r="B58" s="6" t="s">
        <v>110</v>
      </c>
      <c r="C58" s="6" t="s">
        <v>24</v>
      </c>
      <c r="D58" s="6" t="s">
        <v>43</v>
      </c>
      <c r="E58" s="50" t="s">
        <v>6</v>
      </c>
      <c r="F58" s="51"/>
      <c r="G58" s="6" t="s">
        <v>26</v>
      </c>
      <c r="H58" s="7">
        <v>46023</v>
      </c>
      <c r="I58" s="8">
        <v>849.9</v>
      </c>
      <c r="J58" s="6" t="s">
        <v>6</v>
      </c>
      <c r="K58" s="6" t="s">
        <v>27</v>
      </c>
      <c r="L58" s="50"/>
      <c r="M58" s="51"/>
      <c r="N58" s="6">
        <v>3</v>
      </c>
      <c r="O58" s="8">
        <v>23</v>
      </c>
      <c r="P58" s="9">
        <v>1</v>
      </c>
      <c r="Q58" s="52">
        <v>69</v>
      </c>
      <c r="R58" s="51"/>
    </row>
    <row r="59" spans="1:18" x14ac:dyDescent="0.25">
      <c r="A59" s="6" t="s">
        <v>111</v>
      </c>
      <c r="B59" s="6" t="s">
        <v>112</v>
      </c>
      <c r="C59" s="6" t="s">
        <v>24</v>
      </c>
      <c r="D59" s="6" t="s">
        <v>43</v>
      </c>
      <c r="E59" s="50" t="s">
        <v>6</v>
      </c>
      <c r="F59" s="51"/>
      <c r="G59" s="6" t="s">
        <v>26</v>
      </c>
      <c r="H59" s="7">
        <v>46023</v>
      </c>
      <c r="I59" s="8">
        <v>391.58</v>
      </c>
      <c r="J59" s="6" t="s">
        <v>6</v>
      </c>
      <c r="K59" s="6" t="s">
        <v>27</v>
      </c>
      <c r="L59" s="50"/>
      <c r="M59" s="51"/>
      <c r="N59" s="6">
        <v>1</v>
      </c>
      <c r="O59" s="8">
        <v>23</v>
      </c>
      <c r="P59" s="9">
        <v>1</v>
      </c>
      <c r="Q59" s="52">
        <v>23</v>
      </c>
      <c r="R59" s="51"/>
    </row>
    <row r="60" spans="1:18" x14ac:dyDescent="0.25">
      <c r="A60" s="6" t="s">
        <v>113</v>
      </c>
      <c r="B60" s="6" t="s">
        <v>114</v>
      </c>
      <c r="C60" s="6" t="s">
        <v>24</v>
      </c>
      <c r="D60" s="6" t="s">
        <v>43</v>
      </c>
      <c r="E60" s="50" t="s">
        <v>6</v>
      </c>
      <c r="F60" s="51"/>
      <c r="G60" s="6" t="s">
        <v>26</v>
      </c>
      <c r="H60" s="7">
        <v>46023</v>
      </c>
      <c r="I60" s="8">
        <v>596.28</v>
      </c>
      <c r="J60" s="6" t="s">
        <v>6</v>
      </c>
      <c r="K60" s="6" t="s">
        <v>27</v>
      </c>
      <c r="L60" s="50"/>
      <c r="M60" s="51"/>
      <c r="N60" s="6">
        <v>1</v>
      </c>
      <c r="O60" s="8">
        <v>23</v>
      </c>
      <c r="P60" s="9">
        <v>1</v>
      </c>
      <c r="Q60" s="52">
        <v>23</v>
      </c>
      <c r="R60" s="51"/>
    </row>
    <row r="61" spans="1:18" x14ac:dyDescent="0.25">
      <c r="A61" s="6" t="s">
        <v>115</v>
      </c>
      <c r="B61" s="6" t="s">
        <v>116</v>
      </c>
      <c r="C61" s="6" t="s">
        <v>24</v>
      </c>
      <c r="D61" s="6" t="s">
        <v>43</v>
      </c>
      <c r="E61" s="50" t="s">
        <v>6</v>
      </c>
      <c r="F61" s="51"/>
      <c r="G61" s="6" t="s">
        <v>26</v>
      </c>
      <c r="H61" s="7">
        <v>46023</v>
      </c>
      <c r="I61" s="8">
        <v>1204.19</v>
      </c>
      <c r="J61" s="6" t="s">
        <v>6</v>
      </c>
      <c r="K61" s="6" t="s">
        <v>27</v>
      </c>
      <c r="L61" s="50"/>
      <c r="M61" s="51"/>
      <c r="N61" s="6">
        <v>2</v>
      </c>
      <c r="O61" s="8">
        <v>23</v>
      </c>
      <c r="P61" s="9">
        <v>1</v>
      </c>
      <c r="Q61" s="52">
        <v>46</v>
      </c>
      <c r="R61" s="51"/>
    </row>
    <row r="62" spans="1:18" x14ac:dyDescent="0.25">
      <c r="A62" s="6" t="s">
        <v>117</v>
      </c>
      <c r="B62" s="6" t="s">
        <v>118</v>
      </c>
      <c r="C62" s="6" t="s">
        <v>24</v>
      </c>
      <c r="D62" s="6" t="s">
        <v>43</v>
      </c>
      <c r="E62" s="50" t="s">
        <v>6</v>
      </c>
      <c r="F62" s="51"/>
      <c r="G62" s="6" t="s">
        <v>26</v>
      </c>
      <c r="H62" s="7">
        <v>46023</v>
      </c>
      <c r="I62" s="8">
        <v>131.5</v>
      </c>
      <c r="J62" s="6" t="s">
        <v>6</v>
      </c>
      <c r="K62" s="6" t="s">
        <v>27</v>
      </c>
      <c r="L62" s="50"/>
      <c r="M62" s="51"/>
      <c r="N62" s="6">
        <v>1</v>
      </c>
      <c r="O62" s="8">
        <v>23</v>
      </c>
      <c r="P62" s="9">
        <v>1</v>
      </c>
      <c r="Q62" s="52">
        <v>23</v>
      </c>
      <c r="R62" s="51"/>
    </row>
    <row r="63" spans="1:18" x14ac:dyDescent="0.25">
      <c r="A63" s="6" t="s">
        <v>119</v>
      </c>
      <c r="B63" s="6" t="s">
        <v>120</v>
      </c>
      <c r="C63" s="6" t="s">
        <v>24</v>
      </c>
      <c r="D63" s="6" t="s">
        <v>43</v>
      </c>
      <c r="E63" s="50" t="s">
        <v>6</v>
      </c>
      <c r="F63" s="51"/>
      <c r="G63" s="6" t="s">
        <v>26</v>
      </c>
      <c r="H63" s="7">
        <v>46023</v>
      </c>
      <c r="I63" s="8">
        <v>1240.8699999999999</v>
      </c>
      <c r="J63" s="6" t="s">
        <v>6</v>
      </c>
      <c r="K63" s="6" t="s">
        <v>27</v>
      </c>
      <c r="L63" s="50"/>
      <c r="M63" s="51"/>
      <c r="N63" s="6">
        <v>1</v>
      </c>
      <c r="O63" s="8">
        <v>23</v>
      </c>
      <c r="P63" s="9">
        <v>1</v>
      </c>
      <c r="Q63" s="52">
        <v>23</v>
      </c>
      <c r="R63" s="51"/>
    </row>
    <row r="64" spans="1:18" ht="22.5" x14ac:dyDescent="0.25">
      <c r="A64" s="6" t="s">
        <v>121</v>
      </c>
      <c r="B64" s="6" t="s">
        <v>122</v>
      </c>
      <c r="C64" s="6" t="s">
        <v>24</v>
      </c>
      <c r="D64" s="6" t="s">
        <v>43</v>
      </c>
      <c r="E64" s="50" t="s">
        <v>6</v>
      </c>
      <c r="F64" s="51"/>
      <c r="G64" s="6" t="s">
        <v>26</v>
      </c>
      <c r="H64" s="7">
        <v>46023</v>
      </c>
      <c r="I64" s="8">
        <v>203.65</v>
      </c>
      <c r="J64" s="6" t="s">
        <v>6</v>
      </c>
      <c r="K64" s="6" t="s">
        <v>27</v>
      </c>
      <c r="L64" s="50"/>
      <c r="M64" s="51"/>
      <c r="N64" s="6">
        <v>1</v>
      </c>
      <c r="O64" s="8">
        <v>23</v>
      </c>
      <c r="P64" s="9">
        <v>1</v>
      </c>
      <c r="Q64" s="52">
        <v>23</v>
      </c>
      <c r="R64" s="51"/>
    </row>
    <row r="65" spans="1:18" x14ac:dyDescent="0.25">
      <c r="A65" s="6" t="s">
        <v>123</v>
      </c>
      <c r="B65" s="6" t="s">
        <v>124</v>
      </c>
      <c r="C65" s="6" t="s">
        <v>24</v>
      </c>
      <c r="D65" s="6" t="s">
        <v>43</v>
      </c>
      <c r="E65" s="50" t="s">
        <v>6</v>
      </c>
      <c r="F65" s="51"/>
      <c r="G65" s="6" t="s">
        <v>26</v>
      </c>
      <c r="H65" s="7">
        <v>46023</v>
      </c>
      <c r="I65" s="8">
        <v>296.35000000000002</v>
      </c>
      <c r="J65" s="6" t="s">
        <v>6</v>
      </c>
      <c r="K65" s="6" t="s">
        <v>27</v>
      </c>
      <c r="L65" s="50"/>
      <c r="M65" s="51"/>
      <c r="N65" s="6">
        <v>1</v>
      </c>
      <c r="O65" s="8">
        <v>23</v>
      </c>
      <c r="P65" s="9">
        <v>1</v>
      </c>
      <c r="Q65" s="52">
        <v>23</v>
      </c>
      <c r="R65" s="51"/>
    </row>
    <row r="66" spans="1:18" x14ac:dyDescent="0.25">
      <c r="A66" s="6" t="s">
        <v>125</v>
      </c>
      <c r="B66" s="6" t="s">
        <v>126</v>
      </c>
      <c r="C66" s="6" t="s">
        <v>24</v>
      </c>
      <c r="D66" s="6" t="s">
        <v>43</v>
      </c>
      <c r="E66" s="50" t="s">
        <v>6</v>
      </c>
      <c r="F66" s="51"/>
      <c r="G66" s="6" t="s">
        <v>26</v>
      </c>
      <c r="H66" s="7">
        <v>46023</v>
      </c>
      <c r="I66" s="8">
        <v>1216.05</v>
      </c>
      <c r="J66" s="6" t="s">
        <v>6</v>
      </c>
      <c r="K66" s="6" t="s">
        <v>27</v>
      </c>
      <c r="L66" s="50"/>
      <c r="M66" s="51"/>
      <c r="N66" s="6">
        <v>4</v>
      </c>
      <c r="O66" s="8">
        <v>23</v>
      </c>
      <c r="P66" s="9">
        <v>1</v>
      </c>
      <c r="Q66" s="52">
        <v>92</v>
      </c>
      <c r="R66" s="51"/>
    </row>
    <row r="67" spans="1:18" x14ac:dyDescent="0.25">
      <c r="A67" s="6" t="s">
        <v>127</v>
      </c>
      <c r="B67" s="6" t="s">
        <v>128</v>
      </c>
      <c r="C67" s="6" t="s">
        <v>24</v>
      </c>
      <c r="D67" s="6" t="s">
        <v>43</v>
      </c>
      <c r="E67" s="50" t="s">
        <v>6</v>
      </c>
      <c r="F67" s="51"/>
      <c r="G67" s="6" t="s">
        <v>26</v>
      </c>
      <c r="H67" s="7">
        <v>46023</v>
      </c>
      <c r="I67" s="8">
        <v>502.55</v>
      </c>
      <c r="J67" s="6" t="s">
        <v>6</v>
      </c>
      <c r="K67" s="6" t="s">
        <v>27</v>
      </c>
      <c r="L67" s="50"/>
      <c r="M67" s="51"/>
      <c r="N67" s="6">
        <v>3</v>
      </c>
      <c r="O67" s="8">
        <v>23</v>
      </c>
      <c r="P67" s="9">
        <v>1</v>
      </c>
      <c r="Q67" s="52">
        <v>69</v>
      </c>
      <c r="R67" s="51"/>
    </row>
    <row r="68" spans="1:18" x14ac:dyDescent="0.25">
      <c r="A68" s="6" t="s">
        <v>129</v>
      </c>
      <c r="B68" s="6" t="s">
        <v>130</v>
      </c>
      <c r="C68" s="6" t="s">
        <v>24</v>
      </c>
      <c r="D68" s="6" t="s">
        <v>43</v>
      </c>
      <c r="E68" s="50" t="s">
        <v>6</v>
      </c>
      <c r="F68" s="51"/>
      <c r="G68" s="6" t="s">
        <v>26</v>
      </c>
      <c r="H68" s="7">
        <v>46023</v>
      </c>
      <c r="I68" s="8">
        <v>759.38</v>
      </c>
      <c r="J68" s="6" t="s">
        <v>6</v>
      </c>
      <c r="K68" s="6" t="s">
        <v>27</v>
      </c>
      <c r="L68" s="50"/>
      <c r="M68" s="51"/>
      <c r="N68" s="6">
        <v>2</v>
      </c>
      <c r="O68" s="8">
        <v>23</v>
      </c>
      <c r="P68" s="9">
        <v>1</v>
      </c>
      <c r="Q68" s="52">
        <v>46</v>
      </c>
      <c r="R68" s="51"/>
    </row>
    <row r="69" spans="1:18" x14ac:dyDescent="0.25">
      <c r="A69" s="6" t="s">
        <v>131</v>
      </c>
      <c r="B69" s="6" t="s">
        <v>132</v>
      </c>
      <c r="C69" s="6" t="s">
        <v>24</v>
      </c>
      <c r="D69" s="6" t="s">
        <v>43</v>
      </c>
      <c r="E69" s="50" t="s">
        <v>6</v>
      </c>
      <c r="F69" s="51"/>
      <c r="G69" s="6" t="s">
        <v>26</v>
      </c>
      <c r="H69" s="7">
        <v>46023</v>
      </c>
      <c r="I69" s="8">
        <v>77.489999999999995</v>
      </c>
      <c r="J69" s="6" t="s">
        <v>6</v>
      </c>
      <c r="K69" s="6" t="s">
        <v>27</v>
      </c>
      <c r="L69" s="50"/>
      <c r="M69" s="51"/>
      <c r="N69" s="6">
        <v>1</v>
      </c>
      <c r="O69" s="8">
        <v>23</v>
      </c>
      <c r="P69" s="9">
        <v>1</v>
      </c>
      <c r="Q69" s="52">
        <v>23</v>
      </c>
      <c r="R69" s="51"/>
    </row>
    <row r="70" spans="1:18" x14ac:dyDescent="0.25">
      <c r="A70" s="6" t="s">
        <v>133</v>
      </c>
      <c r="B70" s="6" t="s">
        <v>134</v>
      </c>
      <c r="C70" s="6" t="s">
        <v>24</v>
      </c>
      <c r="D70" s="6" t="s">
        <v>43</v>
      </c>
      <c r="E70" s="50" t="s">
        <v>6</v>
      </c>
      <c r="F70" s="51"/>
      <c r="G70" s="6" t="s">
        <v>26</v>
      </c>
      <c r="H70" s="7">
        <v>46023</v>
      </c>
      <c r="I70" s="8">
        <v>911.09</v>
      </c>
      <c r="J70" s="6" t="s">
        <v>6</v>
      </c>
      <c r="K70" s="6" t="s">
        <v>27</v>
      </c>
      <c r="L70" s="50"/>
      <c r="M70" s="51"/>
      <c r="N70" s="6">
        <v>1</v>
      </c>
      <c r="O70" s="8">
        <v>23</v>
      </c>
      <c r="P70" s="9">
        <v>1</v>
      </c>
      <c r="Q70" s="52">
        <v>20.36</v>
      </c>
      <c r="R70" s="51"/>
    </row>
    <row r="71" spans="1:18" x14ac:dyDescent="0.25">
      <c r="A71" s="6" t="s">
        <v>135</v>
      </c>
      <c r="B71" s="6" t="s">
        <v>136</v>
      </c>
      <c r="C71" s="6" t="s">
        <v>24</v>
      </c>
      <c r="D71" s="6" t="s">
        <v>43</v>
      </c>
      <c r="E71" s="50" t="s">
        <v>6</v>
      </c>
      <c r="F71" s="51"/>
      <c r="G71" s="6" t="s">
        <v>26</v>
      </c>
      <c r="H71" s="7">
        <v>46023</v>
      </c>
      <c r="I71" s="8">
        <v>19.87</v>
      </c>
      <c r="J71" s="6" t="s">
        <v>6</v>
      </c>
      <c r="K71" s="6" t="s">
        <v>27</v>
      </c>
      <c r="L71" s="50"/>
      <c r="M71" s="51"/>
      <c r="N71" s="6">
        <v>1</v>
      </c>
      <c r="O71" s="8">
        <v>23</v>
      </c>
      <c r="P71" s="9">
        <v>1</v>
      </c>
      <c r="Q71" s="52">
        <v>23</v>
      </c>
      <c r="R71" s="51"/>
    </row>
    <row r="72" spans="1:18" x14ac:dyDescent="0.25">
      <c r="A72" s="6" t="s">
        <v>137</v>
      </c>
      <c r="B72" s="6" t="s">
        <v>138</v>
      </c>
      <c r="C72" s="6" t="s">
        <v>24</v>
      </c>
      <c r="D72" s="6" t="s">
        <v>43</v>
      </c>
      <c r="E72" s="50" t="s">
        <v>6</v>
      </c>
      <c r="F72" s="51"/>
      <c r="G72" s="6" t="s">
        <v>26</v>
      </c>
      <c r="H72" s="7">
        <v>46023</v>
      </c>
      <c r="I72" s="8">
        <v>75.88</v>
      </c>
      <c r="J72" s="6" t="s">
        <v>6</v>
      </c>
      <c r="K72" s="6" t="s">
        <v>27</v>
      </c>
      <c r="L72" s="50"/>
      <c r="M72" s="51"/>
      <c r="N72" s="6">
        <v>1</v>
      </c>
      <c r="O72" s="8">
        <v>23</v>
      </c>
      <c r="P72" s="9">
        <v>1</v>
      </c>
      <c r="Q72" s="52">
        <v>23</v>
      </c>
      <c r="R72" s="51"/>
    </row>
    <row r="73" spans="1:18" ht="22.5" x14ac:dyDescent="0.25">
      <c r="A73" s="6" t="s">
        <v>139</v>
      </c>
      <c r="B73" s="6" t="s">
        <v>140</v>
      </c>
      <c r="C73" s="6" t="s">
        <v>24</v>
      </c>
      <c r="D73" s="6" t="s">
        <v>43</v>
      </c>
      <c r="E73" s="50" t="s">
        <v>6</v>
      </c>
      <c r="F73" s="51"/>
      <c r="G73" s="6" t="s">
        <v>26</v>
      </c>
      <c r="H73" s="7">
        <v>46023</v>
      </c>
      <c r="I73" s="8">
        <v>678.1</v>
      </c>
      <c r="J73" s="6" t="s">
        <v>6</v>
      </c>
      <c r="K73" s="6" t="s">
        <v>27</v>
      </c>
      <c r="L73" s="50"/>
      <c r="M73" s="51"/>
      <c r="N73" s="6">
        <v>1</v>
      </c>
      <c r="O73" s="8">
        <v>23</v>
      </c>
      <c r="P73" s="9">
        <v>1</v>
      </c>
      <c r="Q73" s="52">
        <v>23</v>
      </c>
      <c r="R73" s="51"/>
    </row>
    <row r="74" spans="1:18" x14ac:dyDescent="0.25">
      <c r="A74" s="6" t="s">
        <v>141</v>
      </c>
      <c r="B74" s="6" t="s">
        <v>142</v>
      </c>
      <c r="C74" s="6" t="s">
        <v>24</v>
      </c>
      <c r="D74" s="6" t="s">
        <v>43</v>
      </c>
      <c r="E74" s="50" t="s">
        <v>6</v>
      </c>
      <c r="F74" s="51"/>
      <c r="G74" s="6" t="s">
        <v>26</v>
      </c>
      <c r="H74" s="7">
        <v>46023</v>
      </c>
      <c r="I74" s="8">
        <v>423.02</v>
      </c>
      <c r="J74" s="6" t="s">
        <v>6</v>
      </c>
      <c r="K74" s="6" t="s">
        <v>27</v>
      </c>
      <c r="L74" s="50"/>
      <c r="M74" s="51"/>
      <c r="N74" s="6">
        <v>1</v>
      </c>
      <c r="O74" s="8">
        <v>23</v>
      </c>
      <c r="P74" s="9">
        <v>1</v>
      </c>
      <c r="Q74" s="52">
        <v>23</v>
      </c>
      <c r="R74" s="51"/>
    </row>
    <row r="75" spans="1:18" x14ac:dyDescent="0.25">
      <c r="A75" s="6" t="s">
        <v>143</v>
      </c>
      <c r="B75" s="6" t="s">
        <v>144</v>
      </c>
      <c r="C75" s="6" t="s">
        <v>24</v>
      </c>
      <c r="D75" s="6" t="s">
        <v>43</v>
      </c>
      <c r="E75" s="50" t="s">
        <v>6</v>
      </c>
      <c r="F75" s="51"/>
      <c r="G75" s="6" t="s">
        <v>26</v>
      </c>
      <c r="H75" s="7">
        <v>46023</v>
      </c>
      <c r="I75" s="8">
        <v>41.61</v>
      </c>
      <c r="J75" s="6" t="s">
        <v>6</v>
      </c>
      <c r="K75" s="6" t="s">
        <v>27</v>
      </c>
      <c r="L75" s="50"/>
      <c r="M75" s="51"/>
      <c r="N75" s="6">
        <v>1</v>
      </c>
      <c r="O75" s="8">
        <v>23</v>
      </c>
      <c r="P75" s="9">
        <v>1</v>
      </c>
      <c r="Q75" s="52">
        <v>23</v>
      </c>
      <c r="R75" s="51"/>
    </row>
    <row r="76" spans="1:18" x14ac:dyDescent="0.25">
      <c r="A76" s="6" t="s">
        <v>145</v>
      </c>
      <c r="B76" s="6" t="s">
        <v>146</v>
      </c>
      <c r="C76" s="6" t="s">
        <v>24</v>
      </c>
      <c r="D76" s="6" t="s">
        <v>43</v>
      </c>
      <c r="E76" s="50" t="s">
        <v>6</v>
      </c>
      <c r="F76" s="51"/>
      <c r="G76" s="6" t="s">
        <v>26</v>
      </c>
      <c r="H76" s="7">
        <v>46023</v>
      </c>
      <c r="I76" s="8">
        <v>1170.9000000000001</v>
      </c>
      <c r="J76" s="6" t="s">
        <v>6</v>
      </c>
      <c r="K76" s="6" t="s">
        <v>27</v>
      </c>
      <c r="L76" s="50"/>
      <c r="M76" s="51"/>
      <c r="N76" s="6">
        <v>1</v>
      </c>
      <c r="O76" s="8">
        <v>23</v>
      </c>
      <c r="P76" s="9">
        <v>1</v>
      </c>
      <c r="Q76" s="52">
        <v>23</v>
      </c>
      <c r="R76" s="51"/>
    </row>
    <row r="77" spans="1:18" x14ac:dyDescent="0.25">
      <c r="A77" s="6" t="s">
        <v>147</v>
      </c>
      <c r="B77" s="6" t="s">
        <v>148</v>
      </c>
      <c r="C77" s="6" t="s">
        <v>24</v>
      </c>
      <c r="D77" s="6" t="s">
        <v>43</v>
      </c>
      <c r="E77" s="50" t="s">
        <v>6</v>
      </c>
      <c r="F77" s="51"/>
      <c r="G77" s="6" t="s">
        <v>26</v>
      </c>
      <c r="H77" s="7">
        <v>46023</v>
      </c>
      <c r="I77" s="8">
        <v>105.47</v>
      </c>
      <c r="J77" s="6" t="s">
        <v>6</v>
      </c>
      <c r="K77" s="6" t="s">
        <v>27</v>
      </c>
      <c r="L77" s="50"/>
      <c r="M77" s="51"/>
      <c r="N77" s="6">
        <v>1</v>
      </c>
      <c r="O77" s="8">
        <v>23</v>
      </c>
      <c r="P77" s="9">
        <v>1</v>
      </c>
      <c r="Q77" s="52">
        <v>23</v>
      </c>
      <c r="R77" s="51"/>
    </row>
    <row r="78" spans="1:18" x14ac:dyDescent="0.25">
      <c r="A78" s="6" t="s">
        <v>149</v>
      </c>
      <c r="B78" s="6" t="s">
        <v>150</v>
      </c>
      <c r="C78" s="6" t="s">
        <v>24</v>
      </c>
      <c r="D78" s="6" t="s">
        <v>43</v>
      </c>
      <c r="E78" s="50" t="s">
        <v>6</v>
      </c>
      <c r="F78" s="51"/>
      <c r="G78" s="6" t="s">
        <v>26</v>
      </c>
      <c r="H78" s="7">
        <v>46023</v>
      </c>
      <c r="I78" s="8">
        <v>800.76</v>
      </c>
      <c r="J78" s="6" t="s">
        <v>6</v>
      </c>
      <c r="K78" s="6" t="s">
        <v>27</v>
      </c>
      <c r="L78" s="50"/>
      <c r="M78" s="51"/>
      <c r="N78" s="6">
        <v>1</v>
      </c>
      <c r="O78" s="8">
        <v>23</v>
      </c>
      <c r="P78" s="9">
        <v>1</v>
      </c>
      <c r="Q78" s="52">
        <v>23</v>
      </c>
      <c r="R78" s="51"/>
    </row>
    <row r="79" spans="1:18" x14ac:dyDescent="0.25">
      <c r="A79" s="6" t="s">
        <v>151</v>
      </c>
      <c r="B79" s="6" t="s">
        <v>152</v>
      </c>
      <c r="C79" s="6" t="s">
        <v>24</v>
      </c>
      <c r="D79" s="6" t="s">
        <v>43</v>
      </c>
      <c r="E79" s="50" t="s">
        <v>6</v>
      </c>
      <c r="F79" s="51"/>
      <c r="G79" s="6" t="s">
        <v>26</v>
      </c>
      <c r="H79" s="7">
        <v>46023</v>
      </c>
      <c r="I79" s="8">
        <v>603.79999999999995</v>
      </c>
      <c r="J79" s="6" t="s">
        <v>6</v>
      </c>
      <c r="K79" s="6" t="s">
        <v>27</v>
      </c>
      <c r="L79" s="50"/>
      <c r="M79" s="51"/>
      <c r="N79" s="6">
        <v>3</v>
      </c>
      <c r="O79" s="8">
        <v>23</v>
      </c>
      <c r="P79" s="9">
        <v>1</v>
      </c>
      <c r="Q79" s="52">
        <v>69</v>
      </c>
      <c r="R79" s="51"/>
    </row>
    <row r="80" spans="1:18" x14ac:dyDescent="0.25">
      <c r="A80" s="6" t="s">
        <v>153</v>
      </c>
      <c r="B80" s="6" t="s">
        <v>154</v>
      </c>
      <c r="C80" s="6" t="s">
        <v>24</v>
      </c>
      <c r="D80" s="6" t="s">
        <v>43</v>
      </c>
      <c r="E80" s="50" t="s">
        <v>6</v>
      </c>
      <c r="F80" s="51"/>
      <c r="G80" s="6" t="s">
        <v>26</v>
      </c>
      <c r="H80" s="7">
        <v>46023</v>
      </c>
      <c r="I80" s="8">
        <v>168.59</v>
      </c>
      <c r="J80" s="6" t="s">
        <v>6</v>
      </c>
      <c r="K80" s="6" t="s">
        <v>27</v>
      </c>
      <c r="L80" s="50"/>
      <c r="M80" s="51"/>
      <c r="N80" s="6">
        <v>2</v>
      </c>
      <c r="O80" s="8">
        <v>23</v>
      </c>
      <c r="P80" s="9">
        <v>1</v>
      </c>
      <c r="Q80" s="52">
        <v>46</v>
      </c>
      <c r="R80" s="51"/>
    </row>
    <row r="81" spans="1:18" x14ac:dyDescent="0.25">
      <c r="A81" s="5" t="s">
        <v>6</v>
      </c>
      <c r="B81" s="5" t="s">
        <v>6</v>
      </c>
      <c r="C81" s="5" t="s">
        <v>6</v>
      </c>
      <c r="D81" s="5" t="s">
        <v>6</v>
      </c>
      <c r="E81" s="49" t="s">
        <v>6</v>
      </c>
      <c r="F81" s="46"/>
      <c r="G81" s="5" t="s">
        <v>6</v>
      </c>
      <c r="H81" s="5" t="s">
        <v>6</v>
      </c>
      <c r="I81" s="5" t="s">
        <v>6</v>
      </c>
      <c r="J81" s="5" t="s">
        <v>6</v>
      </c>
      <c r="K81" s="5" t="s">
        <v>6</v>
      </c>
      <c r="L81" s="49" t="s">
        <v>6</v>
      </c>
      <c r="M81" s="46"/>
      <c r="N81" s="5" t="s">
        <v>6</v>
      </c>
      <c r="O81" s="5" t="s">
        <v>6</v>
      </c>
      <c r="P81" s="5" t="s">
        <v>6</v>
      </c>
      <c r="Q81" s="49" t="s">
        <v>6</v>
      </c>
      <c r="R81" s="46"/>
    </row>
    <row r="82" spans="1:18" x14ac:dyDescent="0.25">
      <c r="A82" s="47" t="s">
        <v>155</v>
      </c>
      <c r="B82" s="46"/>
      <c r="C82" s="46"/>
      <c r="D82" s="46"/>
      <c r="E82" s="46"/>
      <c r="F82" s="46"/>
      <c r="G82" s="46"/>
      <c r="H82" s="46"/>
      <c r="I82" s="58">
        <v>33273.120000000003</v>
      </c>
      <c r="J82" s="46"/>
      <c r="K82" s="1" t="s">
        <v>6</v>
      </c>
      <c r="L82" s="47" t="s">
        <v>6</v>
      </c>
      <c r="M82" s="46"/>
      <c r="N82" s="1" t="s">
        <v>6</v>
      </c>
      <c r="O82" s="59">
        <v>3444.17</v>
      </c>
      <c r="P82" s="46"/>
      <c r="Q82" s="46"/>
      <c r="R82" s="46"/>
    </row>
    <row r="83" spans="1:18" x14ac:dyDescent="0.25">
      <c r="A83" s="10" t="s">
        <v>6</v>
      </c>
      <c r="B83" s="10" t="s">
        <v>6</v>
      </c>
      <c r="C83" s="10" t="s">
        <v>6</v>
      </c>
      <c r="D83" s="10" t="s">
        <v>6</v>
      </c>
      <c r="E83" s="56" t="s">
        <v>6</v>
      </c>
      <c r="F83" s="46"/>
      <c r="G83" s="10" t="s">
        <v>6</v>
      </c>
      <c r="H83" s="10" t="s">
        <v>6</v>
      </c>
      <c r="I83" s="10" t="s">
        <v>6</v>
      </c>
      <c r="J83" s="10" t="s">
        <v>6</v>
      </c>
      <c r="K83" s="10" t="s">
        <v>6</v>
      </c>
      <c r="L83" s="56" t="s">
        <v>6</v>
      </c>
      <c r="M83" s="46"/>
      <c r="N83" s="10" t="s">
        <v>6</v>
      </c>
      <c r="O83" s="10" t="s">
        <v>6</v>
      </c>
      <c r="P83" s="10" t="s">
        <v>6</v>
      </c>
      <c r="Q83" s="57" t="s">
        <v>6</v>
      </c>
      <c r="R83" s="46"/>
    </row>
    <row r="84" spans="1:18" x14ac:dyDescent="0.25">
      <c r="A84" s="10" t="s">
        <v>6</v>
      </c>
      <c r="B84" s="10" t="s">
        <v>6</v>
      </c>
      <c r="C84" s="10" t="s">
        <v>6</v>
      </c>
      <c r="D84" s="10" t="s">
        <v>6</v>
      </c>
      <c r="E84" s="56" t="s">
        <v>6</v>
      </c>
      <c r="F84" s="46"/>
      <c r="G84" s="10" t="s">
        <v>6</v>
      </c>
      <c r="H84" s="10" t="s">
        <v>6</v>
      </c>
      <c r="I84" s="10" t="s">
        <v>6</v>
      </c>
      <c r="J84" s="10" t="s">
        <v>6</v>
      </c>
      <c r="K84" s="10" t="s">
        <v>6</v>
      </c>
      <c r="L84" s="56" t="s">
        <v>6</v>
      </c>
      <c r="M84" s="46"/>
      <c r="N84" s="10" t="s">
        <v>6</v>
      </c>
      <c r="O84" s="10" t="s">
        <v>6</v>
      </c>
      <c r="P84" s="10" t="s">
        <v>6</v>
      </c>
      <c r="Q84" s="57" t="s">
        <v>6</v>
      </c>
      <c r="R84" s="46"/>
    </row>
    <row r="85" spans="1:18" x14ac:dyDescent="0.25">
      <c r="A85" s="47" t="s">
        <v>156</v>
      </c>
      <c r="B85" s="46"/>
      <c r="C85" s="46"/>
      <c r="D85" s="46"/>
      <c r="E85" s="46"/>
      <c r="F85" s="46"/>
      <c r="G85" s="46"/>
      <c r="H85" s="46"/>
      <c r="I85" s="3" t="s">
        <v>6</v>
      </c>
      <c r="J85" s="3" t="s">
        <v>6</v>
      </c>
      <c r="K85" s="3" t="s">
        <v>6</v>
      </c>
      <c r="L85" s="54" t="s">
        <v>6</v>
      </c>
      <c r="M85" s="46"/>
      <c r="N85" s="3" t="s">
        <v>6</v>
      </c>
      <c r="O85" s="3" t="s">
        <v>6</v>
      </c>
      <c r="P85" s="3" t="s">
        <v>6</v>
      </c>
      <c r="Q85" s="54" t="s">
        <v>6</v>
      </c>
      <c r="R85" s="46"/>
    </row>
    <row r="86" spans="1:18" ht="22.5" x14ac:dyDescent="0.25">
      <c r="A86" s="4" t="s">
        <v>7</v>
      </c>
      <c r="B86" s="4" t="s">
        <v>8</v>
      </c>
      <c r="C86" s="4" t="s">
        <v>9</v>
      </c>
      <c r="D86" s="4" t="s">
        <v>10</v>
      </c>
      <c r="E86" s="55" t="s">
        <v>11</v>
      </c>
      <c r="F86" s="51"/>
      <c r="G86" s="4" t="s">
        <v>12</v>
      </c>
      <c r="H86" s="4" t="s">
        <v>13</v>
      </c>
      <c r="I86" s="4" t="s">
        <v>14</v>
      </c>
      <c r="J86" s="4" t="s">
        <v>15</v>
      </c>
      <c r="K86" s="4" t="s">
        <v>16</v>
      </c>
      <c r="L86" s="55" t="s">
        <v>17</v>
      </c>
      <c r="M86" s="51"/>
      <c r="N86" s="4" t="s">
        <v>18</v>
      </c>
      <c r="O86" s="4" t="s">
        <v>19</v>
      </c>
      <c r="P86" s="4" t="s">
        <v>20</v>
      </c>
      <c r="Q86" s="55" t="s">
        <v>21</v>
      </c>
      <c r="R86" s="51"/>
    </row>
    <row r="87" spans="1:18" x14ac:dyDescent="0.25">
      <c r="A87" s="5" t="s">
        <v>6</v>
      </c>
      <c r="B87" s="5" t="s">
        <v>6</v>
      </c>
      <c r="C87" s="5" t="s">
        <v>6</v>
      </c>
      <c r="D87" s="5" t="s">
        <v>6</v>
      </c>
      <c r="E87" s="49" t="s">
        <v>6</v>
      </c>
      <c r="F87" s="46"/>
      <c r="G87" s="5" t="s">
        <v>6</v>
      </c>
      <c r="H87" s="5" t="s">
        <v>6</v>
      </c>
      <c r="I87" s="5" t="s">
        <v>6</v>
      </c>
      <c r="J87" s="5" t="s">
        <v>6</v>
      </c>
      <c r="K87" s="5" t="s">
        <v>6</v>
      </c>
      <c r="L87" s="49" t="s">
        <v>6</v>
      </c>
      <c r="M87" s="46"/>
      <c r="N87" s="5" t="s">
        <v>6</v>
      </c>
      <c r="O87" s="5" t="s">
        <v>6</v>
      </c>
      <c r="P87" s="5" t="s">
        <v>6</v>
      </c>
      <c r="Q87" s="49" t="s">
        <v>6</v>
      </c>
      <c r="R87" s="46"/>
    </row>
    <row r="88" spans="1:18" x14ac:dyDescent="0.25">
      <c r="A88" s="6" t="s">
        <v>157</v>
      </c>
      <c r="B88" s="6" t="s">
        <v>158</v>
      </c>
      <c r="C88" s="6" t="s">
        <v>24</v>
      </c>
      <c r="D88" s="6" t="s">
        <v>43</v>
      </c>
      <c r="E88" s="50" t="s">
        <v>6</v>
      </c>
      <c r="F88" s="51"/>
      <c r="G88" s="6" t="s">
        <v>26</v>
      </c>
      <c r="H88" s="7">
        <v>46023</v>
      </c>
      <c r="I88" s="8">
        <v>18.14</v>
      </c>
      <c r="J88" s="6" t="s">
        <v>6</v>
      </c>
      <c r="K88" s="6" t="s">
        <v>27</v>
      </c>
      <c r="L88" s="50"/>
      <c r="M88" s="51"/>
      <c r="N88" s="6">
        <v>1</v>
      </c>
      <c r="O88" s="8">
        <v>23</v>
      </c>
      <c r="P88" s="9">
        <v>1</v>
      </c>
      <c r="Q88" s="52">
        <v>23</v>
      </c>
      <c r="R88" s="51"/>
    </row>
    <row r="89" spans="1:18" x14ac:dyDescent="0.25">
      <c r="A89" s="6" t="s">
        <v>159</v>
      </c>
      <c r="B89" s="6" t="s">
        <v>160</v>
      </c>
      <c r="C89" s="6" t="s">
        <v>24</v>
      </c>
      <c r="D89" s="6" t="s">
        <v>43</v>
      </c>
      <c r="E89" s="50" t="s">
        <v>6</v>
      </c>
      <c r="F89" s="51"/>
      <c r="G89" s="6" t="s">
        <v>26</v>
      </c>
      <c r="H89" s="7">
        <v>46023</v>
      </c>
      <c r="I89" s="8">
        <v>131.12</v>
      </c>
      <c r="J89" s="6" t="s">
        <v>6</v>
      </c>
      <c r="K89" s="6" t="s">
        <v>27</v>
      </c>
      <c r="L89" s="50"/>
      <c r="M89" s="51"/>
      <c r="N89" s="6">
        <v>3</v>
      </c>
      <c r="O89" s="8">
        <v>23</v>
      </c>
      <c r="P89" s="9">
        <v>1</v>
      </c>
      <c r="Q89" s="52">
        <v>69</v>
      </c>
      <c r="R89" s="51"/>
    </row>
    <row r="90" spans="1:18" x14ac:dyDescent="0.25">
      <c r="A90" s="6" t="s">
        <v>161</v>
      </c>
      <c r="B90" s="6" t="s">
        <v>162</v>
      </c>
      <c r="C90" s="6" t="s">
        <v>24</v>
      </c>
      <c r="D90" s="6" t="s">
        <v>43</v>
      </c>
      <c r="E90" s="50" t="s">
        <v>6</v>
      </c>
      <c r="F90" s="51"/>
      <c r="G90" s="6" t="s">
        <v>26</v>
      </c>
      <c r="H90" s="7">
        <v>46023</v>
      </c>
      <c r="I90" s="8">
        <v>194.66</v>
      </c>
      <c r="J90" s="6" t="s">
        <v>6</v>
      </c>
      <c r="K90" s="6" t="s">
        <v>27</v>
      </c>
      <c r="L90" s="50"/>
      <c r="M90" s="51"/>
      <c r="N90" s="6">
        <v>1</v>
      </c>
      <c r="O90" s="8">
        <v>23</v>
      </c>
      <c r="P90" s="9">
        <v>1</v>
      </c>
      <c r="Q90" s="52">
        <v>23</v>
      </c>
      <c r="R90" s="51"/>
    </row>
    <row r="91" spans="1:18" x14ac:dyDescent="0.25">
      <c r="A91" s="6" t="s">
        <v>163</v>
      </c>
      <c r="B91" s="6" t="s">
        <v>164</v>
      </c>
      <c r="C91" s="6" t="s">
        <v>24</v>
      </c>
      <c r="D91" s="6" t="s">
        <v>43</v>
      </c>
      <c r="E91" s="50" t="s">
        <v>6</v>
      </c>
      <c r="F91" s="51"/>
      <c r="G91" s="6" t="s">
        <v>26</v>
      </c>
      <c r="H91" s="7">
        <v>46023</v>
      </c>
      <c r="I91" s="8">
        <v>370.6</v>
      </c>
      <c r="J91" s="6" t="s">
        <v>6</v>
      </c>
      <c r="K91" s="6" t="s">
        <v>27</v>
      </c>
      <c r="L91" s="50"/>
      <c r="M91" s="51"/>
      <c r="N91" s="6">
        <v>1</v>
      </c>
      <c r="O91" s="8">
        <v>23</v>
      </c>
      <c r="P91" s="9">
        <v>1</v>
      </c>
      <c r="Q91" s="52">
        <v>23</v>
      </c>
      <c r="R91" s="51"/>
    </row>
    <row r="92" spans="1:18" x14ac:dyDescent="0.25">
      <c r="A92" s="6" t="s">
        <v>165</v>
      </c>
      <c r="B92" s="6" t="s">
        <v>166</v>
      </c>
      <c r="C92" s="6" t="s">
        <v>24</v>
      </c>
      <c r="D92" s="6" t="s">
        <v>43</v>
      </c>
      <c r="E92" s="50" t="s">
        <v>6</v>
      </c>
      <c r="F92" s="51"/>
      <c r="G92" s="6" t="s">
        <v>26</v>
      </c>
      <c r="H92" s="7">
        <v>46023</v>
      </c>
      <c r="I92" s="8">
        <v>100.43</v>
      </c>
      <c r="J92" s="6" t="s">
        <v>6</v>
      </c>
      <c r="K92" s="6" t="s">
        <v>27</v>
      </c>
      <c r="L92" s="50"/>
      <c r="M92" s="51"/>
      <c r="N92" s="6">
        <v>1</v>
      </c>
      <c r="O92" s="8">
        <v>23</v>
      </c>
      <c r="P92" s="9">
        <v>1</v>
      </c>
      <c r="Q92" s="52">
        <v>23</v>
      </c>
      <c r="R92" s="51"/>
    </row>
    <row r="93" spans="1:18" x14ac:dyDescent="0.25">
      <c r="A93" s="6" t="s">
        <v>167</v>
      </c>
      <c r="B93" s="6" t="s">
        <v>168</v>
      </c>
      <c r="C93" s="6" t="s">
        <v>24</v>
      </c>
      <c r="D93" s="6" t="s">
        <v>43</v>
      </c>
      <c r="E93" s="50" t="s">
        <v>6</v>
      </c>
      <c r="F93" s="51"/>
      <c r="G93" s="6" t="s">
        <v>26</v>
      </c>
      <c r="H93" s="7">
        <v>46023</v>
      </c>
      <c r="I93" s="8">
        <v>332.94</v>
      </c>
      <c r="J93" s="6" t="s">
        <v>6</v>
      </c>
      <c r="K93" s="6" t="s">
        <v>27</v>
      </c>
      <c r="L93" s="50"/>
      <c r="M93" s="51"/>
      <c r="N93" s="6">
        <v>1</v>
      </c>
      <c r="O93" s="8">
        <v>23</v>
      </c>
      <c r="P93" s="9">
        <v>1</v>
      </c>
      <c r="Q93" s="52">
        <v>23</v>
      </c>
      <c r="R93" s="51"/>
    </row>
    <row r="94" spans="1:18" x14ac:dyDescent="0.25">
      <c r="A94" s="6" t="s">
        <v>169</v>
      </c>
      <c r="B94" s="6" t="s">
        <v>170</v>
      </c>
      <c r="C94" s="6" t="s">
        <v>24</v>
      </c>
      <c r="D94" s="6" t="s">
        <v>43</v>
      </c>
      <c r="E94" s="50" t="s">
        <v>6</v>
      </c>
      <c r="F94" s="51"/>
      <c r="G94" s="6" t="s">
        <v>26</v>
      </c>
      <c r="H94" s="7">
        <v>46023</v>
      </c>
      <c r="I94" s="8">
        <v>415.65</v>
      </c>
      <c r="J94" s="6" t="s">
        <v>6</v>
      </c>
      <c r="K94" s="6" t="s">
        <v>27</v>
      </c>
      <c r="L94" s="50"/>
      <c r="M94" s="51"/>
      <c r="N94" s="6">
        <v>2</v>
      </c>
      <c r="O94" s="8">
        <v>23</v>
      </c>
      <c r="P94" s="9">
        <v>1</v>
      </c>
      <c r="Q94" s="52">
        <v>46</v>
      </c>
      <c r="R94" s="51"/>
    </row>
    <row r="95" spans="1:18" x14ac:dyDescent="0.25">
      <c r="A95" s="6" t="s">
        <v>171</v>
      </c>
      <c r="B95" s="6" t="s">
        <v>172</v>
      </c>
      <c r="C95" s="6" t="s">
        <v>24</v>
      </c>
      <c r="D95" s="6" t="s">
        <v>43</v>
      </c>
      <c r="E95" s="50" t="s">
        <v>6</v>
      </c>
      <c r="F95" s="51"/>
      <c r="G95" s="6" t="s">
        <v>26</v>
      </c>
      <c r="H95" s="7">
        <v>46023</v>
      </c>
      <c r="I95" s="8">
        <v>392.5</v>
      </c>
      <c r="J95" s="6" t="s">
        <v>6</v>
      </c>
      <c r="K95" s="6" t="s">
        <v>27</v>
      </c>
      <c r="L95" s="50"/>
      <c r="M95" s="51"/>
      <c r="N95" s="6">
        <v>1</v>
      </c>
      <c r="O95" s="8">
        <v>23</v>
      </c>
      <c r="P95" s="9">
        <v>1</v>
      </c>
      <c r="Q95" s="52">
        <v>23</v>
      </c>
      <c r="R95" s="51"/>
    </row>
    <row r="96" spans="1:18" x14ac:dyDescent="0.25">
      <c r="A96" s="6" t="s">
        <v>173</v>
      </c>
      <c r="B96" s="6" t="s">
        <v>174</v>
      </c>
      <c r="C96" s="6" t="s">
        <v>24</v>
      </c>
      <c r="D96" s="6" t="s">
        <v>43</v>
      </c>
      <c r="E96" s="50" t="s">
        <v>6</v>
      </c>
      <c r="F96" s="51"/>
      <c r="G96" s="6" t="s">
        <v>26</v>
      </c>
      <c r="H96" s="7">
        <v>46023</v>
      </c>
      <c r="I96" s="8">
        <v>141.18</v>
      </c>
      <c r="J96" s="6" t="s">
        <v>6</v>
      </c>
      <c r="K96" s="6" t="s">
        <v>27</v>
      </c>
      <c r="L96" s="50"/>
      <c r="M96" s="51"/>
      <c r="N96" s="6">
        <v>1</v>
      </c>
      <c r="O96" s="8">
        <v>23</v>
      </c>
      <c r="P96" s="9">
        <v>1</v>
      </c>
      <c r="Q96" s="52">
        <v>23</v>
      </c>
      <c r="R96" s="51"/>
    </row>
    <row r="97" spans="1:18" x14ac:dyDescent="0.25">
      <c r="A97" s="5" t="s">
        <v>6</v>
      </c>
      <c r="B97" s="5" t="s">
        <v>6</v>
      </c>
      <c r="C97" s="5" t="s">
        <v>6</v>
      </c>
      <c r="D97" s="5" t="s">
        <v>6</v>
      </c>
      <c r="E97" s="49" t="s">
        <v>6</v>
      </c>
      <c r="F97" s="46"/>
      <c r="G97" s="5" t="s">
        <v>6</v>
      </c>
      <c r="H97" s="5" t="s">
        <v>6</v>
      </c>
      <c r="I97" s="5" t="s">
        <v>6</v>
      </c>
      <c r="J97" s="5" t="s">
        <v>6</v>
      </c>
      <c r="K97" s="5" t="s">
        <v>6</v>
      </c>
      <c r="L97" s="49" t="s">
        <v>6</v>
      </c>
      <c r="M97" s="46"/>
      <c r="N97" s="5" t="s">
        <v>6</v>
      </c>
      <c r="O97" s="5" t="s">
        <v>6</v>
      </c>
      <c r="P97" s="5" t="s">
        <v>6</v>
      </c>
      <c r="Q97" s="49" t="s">
        <v>6</v>
      </c>
      <c r="R97" s="46"/>
    </row>
    <row r="98" spans="1:18" x14ac:dyDescent="0.25">
      <c r="A98" s="47" t="s">
        <v>175</v>
      </c>
      <c r="B98" s="46"/>
      <c r="C98" s="46"/>
      <c r="D98" s="46"/>
      <c r="E98" s="46"/>
      <c r="F98" s="46"/>
      <c r="G98" s="46"/>
      <c r="H98" s="46"/>
      <c r="I98" s="58">
        <v>2097.2199999999998</v>
      </c>
      <c r="J98" s="46"/>
      <c r="K98" s="1" t="s">
        <v>6</v>
      </c>
      <c r="L98" s="47" t="s">
        <v>6</v>
      </c>
      <c r="M98" s="46"/>
      <c r="N98" s="1" t="s">
        <v>6</v>
      </c>
      <c r="O98" s="59">
        <v>276</v>
      </c>
      <c r="P98" s="46"/>
      <c r="Q98" s="46"/>
      <c r="R98" s="46"/>
    </row>
    <row r="99" spans="1:18" x14ac:dyDescent="0.25">
      <c r="A99" s="10" t="s">
        <v>6</v>
      </c>
      <c r="B99" s="10" t="s">
        <v>6</v>
      </c>
      <c r="C99" s="10" t="s">
        <v>6</v>
      </c>
      <c r="D99" s="10" t="s">
        <v>6</v>
      </c>
      <c r="E99" s="56" t="s">
        <v>6</v>
      </c>
      <c r="F99" s="46"/>
      <c r="G99" s="10" t="s">
        <v>6</v>
      </c>
      <c r="H99" s="10" t="s">
        <v>6</v>
      </c>
      <c r="I99" s="10" t="s">
        <v>6</v>
      </c>
      <c r="J99" s="10" t="s">
        <v>6</v>
      </c>
      <c r="K99" s="10" t="s">
        <v>6</v>
      </c>
      <c r="L99" s="56" t="s">
        <v>6</v>
      </c>
      <c r="M99" s="46"/>
      <c r="N99" s="10" t="s">
        <v>6</v>
      </c>
      <c r="O99" s="10" t="s">
        <v>6</v>
      </c>
      <c r="P99" s="10" t="s">
        <v>6</v>
      </c>
      <c r="Q99" s="57" t="s">
        <v>6</v>
      </c>
      <c r="R99" s="46"/>
    </row>
    <row r="100" spans="1:18" x14ac:dyDescent="0.25">
      <c r="A100" s="10" t="s">
        <v>6</v>
      </c>
      <c r="B100" s="10" t="s">
        <v>6</v>
      </c>
      <c r="C100" s="10" t="s">
        <v>6</v>
      </c>
      <c r="D100" s="10" t="s">
        <v>6</v>
      </c>
      <c r="E100" s="56" t="s">
        <v>6</v>
      </c>
      <c r="F100" s="46"/>
      <c r="G100" s="10" t="s">
        <v>6</v>
      </c>
      <c r="H100" s="10" t="s">
        <v>6</v>
      </c>
      <c r="I100" s="10" t="s">
        <v>6</v>
      </c>
      <c r="J100" s="10" t="s">
        <v>6</v>
      </c>
      <c r="K100" s="10" t="s">
        <v>6</v>
      </c>
      <c r="L100" s="56" t="s">
        <v>6</v>
      </c>
      <c r="M100" s="46"/>
      <c r="N100" s="10" t="s">
        <v>6</v>
      </c>
      <c r="O100" s="10" t="s">
        <v>6</v>
      </c>
      <c r="P100" s="10" t="s">
        <v>6</v>
      </c>
      <c r="Q100" s="57" t="s">
        <v>6</v>
      </c>
      <c r="R100" s="46"/>
    </row>
    <row r="101" spans="1:18" x14ac:dyDescent="0.25">
      <c r="A101" s="47" t="s">
        <v>176</v>
      </c>
      <c r="B101" s="46"/>
      <c r="C101" s="46"/>
      <c r="D101" s="46"/>
      <c r="E101" s="46"/>
      <c r="F101" s="46"/>
      <c r="G101" s="46"/>
      <c r="H101" s="46"/>
      <c r="I101" s="3" t="s">
        <v>6</v>
      </c>
      <c r="J101" s="3" t="s">
        <v>6</v>
      </c>
      <c r="K101" s="3" t="s">
        <v>6</v>
      </c>
      <c r="L101" s="54" t="s">
        <v>6</v>
      </c>
      <c r="M101" s="46"/>
      <c r="N101" s="3" t="s">
        <v>6</v>
      </c>
      <c r="O101" s="3" t="s">
        <v>6</v>
      </c>
      <c r="P101" s="3" t="s">
        <v>6</v>
      </c>
      <c r="Q101" s="54" t="s">
        <v>6</v>
      </c>
      <c r="R101" s="46"/>
    </row>
    <row r="102" spans="1:18" ht="22.5" x14ac:dyDescent="0.25">
      <c r="A102" s="4" t="s">
        <v>7</v>
      </c>
      <c r="B102" s="4" t="s">
        <v>8</v>
      </c>
      <c r="C102" s="4" t="s">
        <v>9</v>
      </c>
      <c r="D102" s="4" t="s">
        <v>10</v>
      </c>
      <c r="E102" s="55" t="s">
        <v>11</v>
      </c>
      <c r="F102" s="51"/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55" t="s">
        <v>17</v>
      </c>
      <c r="M102" s="51"/>
      <c r="N102" s="4" t="s">
        <v>18</v>
      </c>
      <c r="O102" s="4" t="s">
        <v>19</v>
      </c>
      <c r="P102" s="4" t="s">
        <v>20</v>
      </c>
      <c r="Q102" s="55" t="s">
        <v>21</v>
      </c>
      <c r="R102" s="51"/>
    </row>
    <row r="103" spans="1:18" x14ac:dyDescent="0.25">
      <c r="A103" s="5" t="s">
        <v>6</v>
      </c>
      <c r="B103" s="5" t="s">
        <v>6</v>
      </c>
      <c r="C103" s="5" t="s">
        <v>6</v>
      </c>
      <c r="D103" s="5" t="s">
        <v>6</v>
      </c>
      <c r="E103" s="49" t="s">
        <v>6</v>
      </c>
      <c r="F103" s="46"/>
      <c r="G103" s="5" t="s">
        <v>6</v>
      </c>
      <c r="H103" s="5" t="s">
        <v>6</v>
      </c>
      <c r="I103" s="5" t="s">
        <v>6</v>
      </c>
      <c r="J103" s="5" t="s">
        <v>6</v>
      </c>
      <c r="K103" s="5" t="s">
        <v>6</v>
      </c>
      <c r="L103" s="49" t="s">
        <v>6</v>
      </c>
      <c r="M103" s="46"/>
      <c r="N103" s="5" t="s">
        <v>6</v>
      </c>
      <c r="O103" s="5" t="s">
        <v>6</v>
      </c>
      <c r="P103" s="5" t="s">
        <v>6</v>
      </c>
      <c r="Q103" s="49" t="s">
        <v>6</v>
      </c>
      <c r="R103" s="46"/>
    </row>
    <row r="104" spans="1:18" x14ac:dyDescent="0.25">
      <c r="A104" s="18"/>
      <c r="B104" s="18" t="s">
        <v>38</v>
      </c>
      <c r="C104" s="18"/>
      <c r="D104" s="19"/>
      <c r="E104" s="62" t="s">
        <v>11</v>
      </c>
      <c r="F104" s="63"/>
      <c r="G104" s="18" t="s">
        <v>39</v>
      </c>
      <c r="H104" s="64" t="s">
        <v>40</v>
      </c>
      <c r="I104" s="65"/>
      <c r="J104" s="65"/>
      <c r="K104" s="65"/>
      <c r="L104" s="65"/>
      <c r="M104" s="65"/>
      <c r="N104" s="65"/>
      <c r="O104" s="65"/>
      <c r="P104" s="63"/>
      <c r="Q104" s="66">
        <v>187.85</v>
      </c>
      <c r="R104" s="63"/>
    </row>
    <row r="105" spans="1:18" x14ac:dyDescent="0.25">
      <c r="A105" s="6" t="s">
        <v>177</v>
      </c>
      <c r="B105" s="6" t="s">
        <v>178</v>
      </c>
      <c r="C105" s="6" t="s">
        <v>24</v>
      </c>
      <c r="D105" s="6" t="s">
        <v>43</v>
      </c>
      <c r="E105" s="50" t="s">
        <v>6</v>
      </c>
      <c r="F105" s="51"/>
      <c r="G105" s="6" t="s">
        <v>26</v>
      </c>
      <c r="H105" s="7">
        <v>46023</v>
      </c>
      <c r="I105" s="8">
        <v>902.9</v>
      </c>
      <c r="J105" s="6" t="s">
        <v>6</v>
      </c>
      <c r="K105" s="6" t="s">
        <v>27</v>
      </c>
      <c r="L105" s="50"/>
      <c r="M105" s="51"/>
      <c r="N105" s="6">
        <v>1</v>
      </c>
      <c r="O105" s="8">
        <v>23</v>
      </c>
      <c r="P105" s="9">
        <v>1</v>
      </c>
      <c r="Q105" s="52">
        <v>23</v>
      </c>
      <c r="R105" s="51"/>
    </row>
    <row r="106" spans="1:18" x14ac:dyDescent="0.25">
      <c r="A106" s="6" t="s">
        <v>179</v>
      </c>
      <c r="B106" s="6" t="s">
        <v>180</v>
      </c>
      <c r="C106" s="6" t="s">
        <v>24</v>
      </c>
      <c r="D106" s="6" t="s">
        <v>43</v>
      </c>
      <c r="E106" s="50" t="s">
        <v>6</v>
      </c>
      <c r="F106" s="51"/>
      <c r="G106" s="6" t="s">
        <v>26</v>
      </c>
      <c r="H106" s="7">
        <v>46023</v>
      </c>
      <c r="I106" s="8">
        <v>232.76</v>
      </c>
      <c r="J106" s="6" t="s">
        <v>6</v>
      </c>
      <c r="K106" s="6" t="s">
        <v>27</v>
      </c>
      <c r="L106" s="50"/>
      <c r="M106" s="51"/>
      <c r="N106" s="6">
        <v>1</v>
      </c>
      <c r="O106" s="8">
        <v>23</v>
      </c>
      <c r="P106" s="9">
        <v>1</v>
      </c>
      <c r="Q106" s="52">
        <v>23</v>
      </c>
      <c r="R106" s="51"/>
    </row>
    <row r="107" spans="1:18" x14ac:dyDescent="0.25">
      <c r="A107" s="6" t="s">
        <v>181</v>
      </c>
      <c r="B107" s="6" t="s">
        <v>182</v>
      </c>
      <c r="C107" s="6" t="s">
        <v>24</v>
      </c>
      <c r="D107" s="6" t="s">
        <v>43</v>
      </c>
      <c r="E107" s="50" t="s">
        <v>6</v>
      </c>
      <c r="F107" s="51"/>
      <c r="G107" s="6" t="s">
        <v>26</v>
      </c>
      <c r="H107" s="7">
        <v>46023</v>
      </c>
      <c r="I107" s="8">
        <v>3.73</v>
      </c>
      <c r="J107" s="6" t="s">
        <v>6</v>
      </c>
      <c r="K107" s="6" t="s">
        <v>27</v>
      </c>
      <c r="L107" s="50"/>
      <c r="M107" s="51"/>
      <c r="N107" s="6">
        <v>2</v>
      </c>
      <c r="O107" s="8">
        <v>23</v>
      </c>
      <c r="P107" s="9">
        <v>1</v>
      </c>
      <c r="Q107" s="52">
        <v>46</v>
      </c>
      <c r="R107" s="51"/>
    </row>
    <row r="108" spans="1:18" x14ac:dyDescent="0.25">
      <c r="A108" s="6" t="s">
        <v>183</v>
      </c>
      <c r="B108" s="6" t="s">
        <v>184</v>
      </c>
      <c r="C108" s="6" t="s">
        <v>24</v>
      </c>
      <c r="D108" s="6" t="s">
        <v>43</v>
      </c>
      <c r="E108" s="50" t="s">
        <v>6</v>
      </c>
      <c r="F108" s="51"/>
      <c r="G108" s="6" t="s">
        <v>26</v>
      </c>
      <c r="H108" s="7">
        <v>46023</v>
      </c>
      <c r="I108" s="8">
        <v>826.14</v>
      </c>
      <c r="J108" s="6" t="s">
        <v>6</v>
      </c>
      <c r="K108" s="6" t="s">
        <v>27</v>
      </c>
      <c r="L108" s="50"/>
      <c r="M108" s="51"/>
      <c r="N108" s="6">
        <v>1</v>
      </c>
      <c r="O108" s="8">
        <v>23</v>
      </c>
      <c r="P108" s="9">
        <v>1</v>
      </c>
      <c r="Q108" s="52">
        <v>23</v>
      </c>
      <c r="R108" s="51"/>
    </row>
    <row r="109" spans="1:18" x14ac:dyDescent="0.25">
      <c r="A109" s="5" t="s">
        <v>6</v>
      </c>
      <c r="B109" s="5" t="s">
        <v>6</v>
      </c>
      <c r="C109" s="5" t="s">
        <v>6</v>
      </c>
      <c r="D109" s="5" t="s">
        <v>6</v>
      </c>
      <c r="E109" s="49" t="s">
        <v>6</v>
      </c>
      <c r="F109" s="46"/>
      <c r="G109" s="5" t="s">
        <v>6</v>
      </c>
      <c r="H109" s="5" t="s">
        <v>6</v>
      </c>
      <c r="I109" s="5" t="s">
        <v>6</v>
      </c>
      <c r="J109" s="5" t="s">
        <v>6</v>
      </c>
      <c r="K109" s="5" t="s">
        <v>6</v>
      </c>
      <c r="L109" s="49" t="s">
        <v>6</v>
      </c>
      <c r="M109" s="46"/>
      <c r="N109" s="5" t="s">
        <v>6</v>
      </c>
      <c r="O109" s="5" t="s">
        <v>6</v>
      </c>
      <c r="P109" s="5" t="s">
        <v>6</v>
      </c>
      <c r="Q109" s="49" t="s">
        <v>6</v>
      </c>
      <c r="R109" s="46"/>
    </row>
    <row r="110" spans="1:18" x14ac:dyDescent="0.25">
      <c r="A110" s="47" t="s">
        <v>185</v>
      </c>
      <c r="B110" s="46"/>
      <c r="C110" s="46"/>
      <c r="D110" s="46"/>
      <c r="E110" s="46"/>
      <c r="F110" s="46"/>
      <c r="G110" s="46"/>
      <c r="H110" s="46"/>
      <c r="I110" s="58">
        <v>1965.53</v>
      </c>
      <c r="J110" s="46"/>
      <c r="K110" s="1" t="s">
        <v>6</v>
      </c>
      <c r="L110" s="47" t="s">
        <v>6</v>
      </c>
      <c r="M110" s="46"/>
      <c r="N110" s="1" t="s">
        <v>6</v>
      </c>
      <c r="O110" s="59">
        <v>302.85000000000002</v>
      </c>
      <c r="P110" s="46"/>
      <c r="Q110" s="46"/>
      <c r="R110" s="46"/>
    </row>
    <row r="111" spans="1:18" x14ac:dyDescent="0.25">
      <c r="A111" s="10" t="s">
        <v>6</v>
      </c>
      <c r="B111" s="10" t="s">
        <v>6</v>
      </c>
      <c r="C111" s="10" t="s">
        <v>6</v>
      </c>
      <c r="D111" s="10" t="s">
        <v>6</v>
      </c>
      <c r="E111" s="56" t="s">
        <v>6</v>
      </c>
      <c r="F111" s="46"/>
      <c r="G111" s="10" t="s">
        <v>6</v>
      </c>
      <c r="H111" s="10" t="s">
        <v>6</v>
      </c>
      <c r="I111" s="10" t="s">
        <v>6</v>
      </c>
      <c r="J111" s="10" t="s">
        <v>6</v>
      </c>
      <c r="K111" s="10" t="s">
        <v>6</v>
      </c>
      <c r="L111" s="56" t="s">
        <v>6</v>
      </c>
      <c r="M111" s="46"/>
      <c r="N111" s="10" t="s">
        <v>6</v>
      </c>
      <c r="O111" s="10" t="s">
        <v>6</v>
      </c>
      <c r="P111" s="10" t="s">
        <v>6</v>
      </c>
      <c r="Q111" s="57" t="s">
        <v>6</v>
      </c>
      <c r="R111" s="46"/>
    </row>
    <row r="112" spans="1:18" x14ac:dyDescent="0.25">
      <c r="A112" s="10" t="s">
        <v>6</v>
      </c>
      <c r="B112" s="10" t="s">
        <v>6</v>
      </c>
      <c r="C112" s="10" t="s">
        <v>6</v>
      </c>
      <c r="D112" s="10" t="s">
        <v>6</v>
      </c>
      <c r="E112" s="56" t="s">
        <v>6</v>
      </c>
      <c r="F112" s="46"/>
      <c r="G112" s="10" t="s">
        <v>6</v>
      </c>
      <c r="H112" s="10" t="s">
        <v>6</v>
      </c>
      <c r="I112" s="10" t="s">
        <v>6</v>
      </c>
      <c r="J112" s="10" t="s">
        <v>6</v>
      </c>
      <c r="K112" s="10" t="s">
        <v>6</v>
      </c>
      <c r="L112" s="56" t="s">
        <v>6</v>
      </c>
      <c r="M112" s="46"/>
      <c r="N112" s="10" t="s">
        <v>6</v>
      </c>
      <c r="O112" s="10" t="s">
        <v>6</v>
      </c>
      <c r="P112" s="10" t="s">
        <v>6</v>
      </c>
      <c r="Q112" s="57" t="s">
        <v>6</v>
      </c>
      <c r="R112" s="46"/>
    </row>
    <row r="113" spans="1:18" x14ac:dyDescent="0.25">
      <c r="A113" s="47" t="s">
        <v>186</v>
      </c>
      <c r="B113" s="46"/>
      <c r="C113" s="46"/>
      <c r="D113" s="46"/>
      <c r="E113" s="46"/>
      <c r="F113" s="46"/>
      <c r="G113" s="46"/>
      <c r="H113" s="46"/>
      <c r="I113" s="3" t="s">
        <v>6</v>
      </c>
      <c r="J113" s="3" t="s">
        <v>6</v>
      </c>
      <c r="K113" s="3" t="s">
        <v>6</v>
      </c>
      <c r="L113" s="54" t="s">
        <v>6</v>
      </c>
      <c r="M113" s="46"/>
      <c r="N113" s="3" t="s">
        <v>6</v>
      </c>
      <c r="O113" s="3" t="s">
        <v>6</v>
      </c>
      <c r="P113" s="3" t="s">
        <v>6</v>
      </c>
      <c r="Q113" s="54" t="s">
        <v>6</v>
      </c>
      <c r="R113" s="46"/>
    </row>
    <row r="114" spans="1:18" ht="22.5" x14ac:dyDescent="0.25">
      <c r="A114" s="4" t="s">
        <v>7</v>
      </c>
      <c r="B114" s="4" t="s">
        <v>8</v>
      </c>
      <c r="C114" s="4" t="s">
        <v>9</v>
      </c>
      <c r="D114" s="4" t="s">
        <v>10</v>
      </c>
      <c r="E114" s="55" t="s">
        <v>11</v>
      </c>
      <c r="F114" s="51"/>
      <c r="G114" s="4" t="s">
        <v>12</v>
      </c>
      <c r="H114" s="4" t="s">
        <v>13</v>
      </c>
      <c r="I114" s="4" t="s">
        <v>14</v>
      </c>
      <c r="J114" s="4" t="s">
        <v>15</v>
      </c>
      <c r="K114" s="4" t="s">
        <v>16</v>
      </c>
      <c r="L114" s="55" t="s">
        <v>17</v>
      </c>
      <c r="M114" s="51"/>
      <c r="N114" s="4" t="s">
        <v>18</v>
      </c>
      <c r="O114" s="4" t="s">
        <v>19</v>
      </c>
      <c r="P114" s="4" t="s">
        <v>20</v>
      </c>
      <c r="Q114" s="55" t="s">
        <v>21</v>
      </c>
      <c r="R114" s="51"/>
    </row>
    <row r="115" spans="1:18" x14ac:dyDescent="0.25">
      <c r="A115" s="5" t="s">
        <v>6</v>
      </c>
      <c r="B115" s="5" t="s">
        <v>6</v>
      </c>
      <c r="C115" s="5" t="s">
        <v>6</v>
      </c>
      <c r="D115" s="5" t="s">
        <v>6</v>
      </c>
      <c r="E115" s="49" t="s">
        <v>6</v>
      </c>
      <c r="F115" s="46"/>
      <c r="G115" s="5" t="s">
        <v>6</v>
      </c>
      <c r="H115" s="5" t="s">
        <v>6</v>
      </c>
      <c r="I115" s="5" t="s">
        <v>6</v>
      </c>
      <c r="J115" s="5" t="s">
        <v>6</v>
      </c>
      <c r="K115" s="5" t="s">
        <v>6</v>
      </c>
      <c r="L115" s="49" t="s">
        <v>6</v>
      </c>
      <c r="M115" s="46"/>
      <c r="N115" s="5" t="s">
        <v>6</v>
      </c>
      <c r="O115" s="5" t="s">
        <v>6</v>
      </c>
      <c r="P115" s="5" t="s">
        <v>6</v>
      </c>
      <c r="Q115" s="49" t="s">
        <v>6</v>
      </c>
      <c r="R115" s="46"/>
    </row>
    <row r="116" spans="1:18" x14ac:dyDescent="0.25">
      <c r="A116" s="6" t="s">
        <v>187</v>
      </c>
      <c r="B116" s="6" t="s">
        <v>188</v>
      </c>
      <c r="C116" s="6" t="s">
        <v>24</v>
      </c>
      <c r="D116" s="6" t="s">
        <v>25</v>
      </c>
      <c r="E116" s="50" t="s">
        <v>6</v>
      </c>
      <c r="F116" s="51"/>
      <c r="G116" s="6" t="s">
        <v>26</v>
      </c>
      <c r="H116" s="7">
        <v>45931</v>
      </c>
      <c r="I116" s="8">
        <v>137.97999999999999</v>
      </c>
      <c r="J116" s="6" t="s">
        <v>6</v>
      </c>
      <c r="K116" s="6" t="s">
        <v>27</v>
      </c>
      <c r="L116" s="50"/>
      <c r="M116" s="51"/>
      <c r="N116" s="6">
        <v>2</v>
      </c>
      <c r="O116" s="8">
        <v>20</v>
      </c>
      <c r="P116" s="9">
        <v>1</v>
      </c>
      <c r="Q116" s="52">
        <v>40</v>
      </c>
      <c r="R116" s="51"/>
    </row>
    <row r="117" spans="1:18" x14ac:dyDescent="0.25">
      <c r="A117" s="6" t="s">
        <v>187</v>
      </c>
      <c r="B117" s="6" t="s">
        <v>188</v>
      </c>
      <c r="C117" s="6" t="s">
        <v>24</v>
      </c>
      <c r="D117" s="6" t="s">
        <v>25</v>
      </c>
      <c r="E117" s="50" t="s">
        <v>6</v>
      </c>
      <c r="F117" s="51"/>
      <c r="G117" s="6" t="s">
        <v>26</v>
      </c>
      <c r="H117" s="7">
        <v>45962</v>
      </c>
      <c r="I117" s="8">
        <v>0</v>
      </c>
      <c r="J117" s="6" t="s">
        <v>6</v>
      </c>
      <c r="K117" s="6" t="s">
        <v>27</v>
      </c>
      <c r="L117" s="50"/>
      <c r="M117" s="51"/>
      <c r="N117" s="6">
        <v>2</v>
      </c>
      <c r="O117" s="8">
        <v>20</v>
      </c>
      <c r="P117" s="9">
        <v>1</v>
      </c>
      <c r="Q117" s="52">
        <v>40</v>
      </c>
      <c r="R117" s="51"/>
    </row>
    <row r="118" spans="1:18" x14ac:dyDescent="0.25">
      <c r="A118" s="6" t="s">
        <v>187</v>
      </c>
      <c r="B118" s="6" t="s">
        <v>188</v>
      </c>
      <c r="C118" s="6" t="s">
        <v>24</v>
      </c>
      <c r="D118" s="6" t="s">
        <v>25</v>
      </c>
      <c r="E118" s="50" t="s">
        <v>6</v>
      </c>
      <c r="F118" s="51"/>
      <c r="G118" s="6" t="s">
        <v>26</v>
      </c>
      <c r="H118" s="7">
        <v>45992</v>
      </c>
      <c r="I118" s="8">
        <v>0</v>
      </c>
      <c r="J118" s="6" t="s">
        <v>6</v>
      </c>
      <c r="K118" s="6" t="s">
        <v>27</v>
      </c>
      <c r="L118" s="50"/>
      <c r="M118" s="51"/>
      <c r="N118" s="6">
        <v>2</v>
      </c>
      <c r="O118" s="8">
        <v>20</v>
      </c>
      <c r="P118" s="9">
        <v>1</v>
      </c>
      <c r="Q118" s="52">
        <v>40</v>
      </c>
      <c r="R118" s="51"/>
    </row>
    <row r="119" spans="1:18" x14ac:dyDescent="0.25">
      <c r="A119" s="6" t="s">
        <v>187</v>
      </c>
      <c r="B119" s="6" t="s">
        <v>188</v>
      </c>
      <c r="C119" s="6" t="s">
        <v>24</v>
      </c>
      <c r="D119" s="6" t="s">
        <v>25</v>
      </c>
      <c r="E119" s="50" t="s">
        <v>6</v>
      </c>
      <c r="F119" s="51"/>
      <c r="G119" s="6" t="s">
        <v>26</v>
      </c>
      <c r="H119" s="7">
        <v>46023</v>
      </c>
      <c r="I119" s="8">
        <v>0</v>
      </c>
      <c r="J119" s="6" t="s">
        <v>6</v>
      </c>
      <c r="K119" s="6" t="s">
        <v>27</v>
      </c>
      <c r="L119" s="50"/>
      <c r="M119" s="51"/>
      <c r="N119" s="6">
        <v>2</v>
      </c>
      <c r="O119" s="8">
        <v>20</v>
      </c>
      <c r="P119" s="9">
        <v>1</v>
      </c>
      <c r="Q119" s="52">
        <v>40</v>
      </c>
      <c r="R119" s="51"/>
    </row>
    <row r="120" spans="1:18" x14ac:dyDescent="0.25">
      <c r="A120" s="5" t="s">
        <v>6</v>
      </c>
      <c r="B120" s="5" t="s">
        <v>6</v>
      </c>
      <c r="C120" s="5" t="s">
        <v>6</v>
      </c>
      <c r="D120" s="5" t="s">
        <v>6</v>
      </c>
      <c r="E120" s="49" t="s">
        <v>6</v>
      </c>
      <c r="F120" s="46"/>
      <c r="G120" s="5" t="s">
        <v>6</v>
      </c>
      <c r="H120" s="5" t="s">
        <v>6</v>
      </c>
      <c r="I120" s="5" t="s">
        <v>6</v>
      </c>
      <c r="J120" s="5" t="s">
        <v>6</v>
      </c>
      <c r="K120" s="5" t="s">
        <v>6</v>
      </c>
      <c r="L120" s="49" t="s">
        <v>6</v>
      </c>
      <c r="M120" s="46"/>
      <c r="N120" s="5" t="s">
        <v>6</v>
      </c>
      <c r="O120" s="5" t="s">
        <v>6</v>
      </c>
      <c r="P120" s="5" t="s">
        <v>6</v>
      </c>
      <c r="Q120" s="49" t="s">
        <v>6</v>
      </c>
      <c r="R120" s="46"/>
    </row>
    <row r="121" spans="1:18" x14ac:dyDescent="0.25">
      <c r="A121" s="47" t="s">
        <v>189</v>
      </c>
      <c r="B121" s="46"/>
      <c r="C121" s="46"/>
      <c r="D121" s="46"/>
      <c r="E121" s="46"/>
      <c r="F121" s="46"/>
      <c r="G121" s="46"/>
      <c r="H121" s="46"/>
      <c r="I121" s="58">
        <v>726.26</v>
      </c>
      <c r="J121" s="46"/>
      <c r="K121" s="1" t="s">
        <v>6</v>
      </c>
      <c r="L121" s="47" t="s">
        <v>6</v>
      </c>
      <c r="M121" s="46"/>
      <c r="N121" s="1" t="s">
        <v>6</v>
      </c>
      <c r="O121" s="59">
        <v>160</v>
      </c>
      <c r="P121" s="46"/>
      <c r="Q121" s="46"/>
      <c r="R121" s="46"/>
    </row>
    <row r="122" spans="1:18" x14ac:dyDescent="0.25">
      <c r="A122" s="10" t="s">
        <v>6</v>
      </c>
      <c r="B122" s="10" t="s">
        <v>6</v>
      </c>
      <c r="C122" s="10" t="s">
        <v>6</v>
      </c>
      <c r="D122" s="10" t="s">
        <v>6</v>
      </c>
      <c r="E122" s="56" t="s">
        <v>6</v>
      </c>
      <c r="F122" s="46"/>
      <c r="G122" s="10" t="s">
        <v>6</v>
      </c>
      <c r="H122" s="10" t="s">
        <v>6</v>
      </c>
      <c r="I122" s="10" t="s">
        <v>6</v>
      </c>
      <c r="J122" s="10" t="s">
        <v>6</v>
      </c>
      <c r="K122" s="10" t="s">
        <v>6</v>
      </c>
      <c r="L122" s="56" t="s">
        <v>6</v>
      </c>
      <c r="M122" s="46"/>
      <c r="N122" s="10" t="s">
        <v>6</v>
      </c>
      <c r="O122" s="10" t="s">
        <v>6</v>
      </c>
      <c r="P122" s="10" t="s">
        <v>6</v>
      </c>
      <c r="Q122" s="57" t="s">
        <v>6</v>
      </c>
      <c r="R122" s="46"/>
    </row>
    <row r="123" spans="1:18" x14ac:dyDescent="0.25">
      <c r="A123" s="10" t="s">
        <v>6</v>
      </c>
      <c r="B123" s="10" t="s">
        <v>6</v>
      </c>
      <c r="C123" s="10" t="s">
        <v>6</v>
      </c>
      <c r="D123" s="10" t="s">
        <v>6</v>
      </c>
      <c r="E123" s="56" t="s">
        <v>6</v>
      </c>
      <c r="F123" s="46"/>
      <c r="G123" s="10" t="s">
        <v>6</v>
      </c>
      <c r="H123" s="10" t="s">
        <v>6</v>
      </c>
      <c r="I123" s="10" t="s">
        <v>6</v>
      </c>
      <c r="J123" s="10" t="s">
        <v>6</v>
      </c>
      <c r="K123" s="10" t="s">
        <v>6</v>
      </c>
      <c r="L123" s="56" t="s">
        <v>6</v>
      </c>
      <c r="M123" s="46"/>
      <c r="N123" s="10" t="s">
        <v>6</v>
      </c>
      <c r="O123" s="10" t="s">
        <v>6</v>
      </c>
      <c r="P123" s="10" t="s">
        <v>6</v>
      </c>
      <c r="Q123" s="57" t="s">
        <v>6</v>
      </c>
      <c r="R123" s="46"/>
    </row>
    <row r="124" spans="1:18" x14ac:dyDescent="0.25">
      <c r="A124" s="56" t="s">
        <v>190</v>
      </c>
      <c r="B124" s="46"/>
      <c r="C124" s="10" t="s">
        <v>6</v>
      </c>
      <c r="D124" s="10" t="s">
        <v>6</v>
      </c>
      <c r="E124" s="56" t="s">
        <v>6</v>
      </c>
      <c r="F124" s="46"/>
      <c r="G124" s="10" t="s">
        <v>6</v>
      </c>
      <c r="H124" s="10" t="s">
        <v>6</v>
      </c>
      <c r="I124" s="10" t="s">
        <v>6</v>
      </c>
      <c r="J124" s="10" t="s">
        <v>6</v>
      </c>
      <c r="K124" s="10" t="s">
        <v>6</v>
      </c>
      <c r="L124" s="56" t="s">
        <v>6</v>
      </c>
      <c r="M124" s="46"/>
      <c r="N124" s="10" t="s">
        <v>6</v>
      </c>
      <c r="O124" s="67">
        <v>4343.0200000000004</v>
      </c>
      <c r="P124" s="46"/>
      <c r="Q124" s="46"/>
      <c r="R124" s="46"/>
    </row>
  </sheetData>
  <mergeCells count="360">
    <mergeCell ref="E123:F123"/>
    <mergeCell ref="L123:M123"/>
    <mergeCell ref="Q123:R123"/>
    <mergeCell ref="A124:B124"/>
    <mergeCell ref="E124:F124"/>
    <mergeCell ref="L124:M124"/>
    <mergeCell ref="O124:R124"/>
    <mergeCell ref="A121:H121"/>
    <mergeCell ref="I121:J121"/>
    <mergeCell ref="L121:M121"/>
    <mergeCell ref="O121:R121"/>
    <mergeCell ref="E122:F122"/>
    <mergeCell ref="L122:M122"/>
    <mergeCell ref="Q122:R122"/>
    <mergeCell ref="E119:F119"/>
    <mergeCell ref="L119:M119"/>
    <mergeCell ref="Q119:R119"/>
    <mergeCell ref="E120:F120"/>
    <mergeCell ref="L120:M120"/>
    <mergeCell ref="Q120:R120"/>
    <mergeCell ref="E117:F117"/>
    <mergeCell ref="L117:M117"/>
    <mergeCell ref="Q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A113:H113"/>
    <mergeCell ref="L113:M113"/>
    <mergeCell ref="Q113:R113"/>
    <mergeCell ref="E114:F114"/>
    <mergeCell ref="L114:M114"/>
    <mergeCell ref="Q114:R114"/>
    <mergeCell ref="E111:F111"/>
    <mergeCell ref="L111:M111"/>
    <mergeCell ref="Q111:R111"/>
    <mergeCell ref="E112:F112"/>
    <mergeCell ref="L112:M112"/>
    <mergeCell ref="Q112:R112"/>
    <mergeCell ref="E109:F109"/>
    <mergeCell ref="L109:M109"/>
    <mergeCell ref="Q109:R109"/>
    <mergeCell ref="A110:H110"/>
    <mergeCell ref="I110:J110"/>
    <mergeCell ref="L110:M110"/>
    <mergeCell ref="O110:R110"/>
    <mergeCell ref="E107:F107"/>
    <mergeCell ref="L107:M107"/>
    <mergeCell ref="Q107:R107"/>
    <mergeCell ref="E108:F108"/>
    <mergeCell ref="L108:M108"/>
    <mergeCell ref="Q108:R108"/>
    <mergeCell ref="E105:F105"/>
    <mergeCell ref="L105:M105"/>
    <mergeCell ref="Q105:R105"/>
    <mergeCell ref="E106:F106"/>
    <mergeCell ref="L106:M106"/>
    <mergeCell ref="Q106:R106"/>
    <mergeCell ref="E103:F103"/>
    <mergeCell ref="L103:M103"/>
    <mergeCell ref="Q103:R103"/>
    <mergeCell ref="E104:F104"/>
    <mergeCell ref="H104:P104"/>
    <mergeCell ref="Q104:R104"/>
    <mergeCell ref="A101:H101"/>
    <mergeCell ref="L101:M101"/>
    <mergeCell ref="Q101:R101"/>
    <mergeCell ref="E102:F102"/>
    <mergeCell ref="L102:M102"/>
    <mergeCell ref="Q102:R102"/>
    <mergeCell ref="E99:F99"/>
    <mergeCell ref="L99:M99"/>
    <mergeCell ref="Q99:R99"/>
    <mergeCell ref="E100:F100"/>
    <mergeCell ref="L100:M100"/>
    <mergeCell ref="Q100:R100"/>
    <mergeCell ref="E97:F97"/>
    <mergeCell ref="L97:M97"/>
    <mergeCell ref="Q97:R97"/>
    <mergeCell ref="A98:H98"/>
    <mergeCell ref="I98:J98"/>
    <mergeCell ref="L98:M98"/>
    <mergeCell ref="O98:R98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1:F91"/>
    <mergeCell ref="L91:M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A85:H85"/>
    <mergeCell ref="L85:M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1:F81"/>
    <mergeCell ref="L81:M81"/>
    <mergeCell ref="Q81:R81"/>
    <mergeCell ref="A82:H82"/>
    <mergeCell ref="I82:J82"/>
    <mergeCell ref="L82:M82"/>
    <mergeCell ref="O82:R82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H24:P24"/>
    <mergeCell ref="Q24:R24"/>
    <mergeCell ref="A21:H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E17:F17"/>
    <mergeCell ref="L17:M17"/>
    <mergeCell ref="Q17:R17"/>
    <mergeCell ref="A18:H18"/>
    <mergeCell ref="I18:J18"/>
    <mergeCell ref="L18:M18"/>
    <mergeCell ref="O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1"/>
  <sheetViews>
    <sheetView showGridLines="0" workbookViewId="0">
      <pane ySplit="8" topLeftCell="A54" activePane="bottomLeft" state="frozen"/>
      <selection pane="bottomLeft" activeCell="W62" sqref="W62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45" t="s">
        <v>0</v>
      </c>
      <c r="I1" s="46"/>
      <c r="J1" s="46"/>
    </row>
    <row r="2" spans="1:24" ht="17.25" customHeight="1" x14ac:dyDescent="0.25">
      <c r="A2" s="46"/>
      <c r="B2" s="46"/>
      <c r="H2" s="46"/>
      <c r="I2" s="46"/>
      <c r="J2" s="46"/>
    </row>
    <row r="3" spans="1:24" ht="18.75" customHeight="1" x14ac:dyDescent="0.25">
      <c r="A3" s="46"/>
      <c r="B3" s="46"/>
      <c r="H3" s="45" t="s">
        <v>1</v>
      </c>
      <c r="I3" s="46"/>
      <c r="J3" s="46"/>
    </row>
    <row r="4" spans="1:24" ht="35.450000000000003" customHeight="1" x14ac:dyDescent="0.25">
      <c r="A4" s="47" t="s">
        <v>2</v>
      </c>
      <c r="B4" s="46"/>
      <c r="H4" s="48" t="s">
        <v>3</v>
      </c>
      <c r="I4" s="46"/>
      <c r="J4" s="46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53" t="s">
        <v>4</v>
      </c>
      <c r="B7" s="46"/>
      <c r="C7" s="46"/>
      <c r="D7" s="46"/>
      <c r="E7" s="46"/>
      <c r="F7" s="46"/>
      <c r="G7" s="46"/>
      <c r="H7" s="46"/>
      <c r="I7" s="46"/>
      <c r="J7" s="46"/>
    </row>
    <row r="8" spans="1:24" ht="5.0999999999999996" customHeight="1" x14ac:dyDescent="0.25"/>
    <row r="9" spans="1:24" x14ac:dyDescent="0.25">
      <c r="A9" s="13" t="s">
        <v>191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68" t="s">
        <v>6</v>
      </c>
      <c r="H9" s="51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192</v>
      </c>
      <c r="B10" s="4" t="s">
        <v>193</v>
      </c>
      <c r="C10" s="4" t="s">
        <v>7</v>
      </c>
      <c r="D10" s="4" t="s">
        <v>8</v>
      </c>
      <c r="E10" s="4" t="s">
        <v>9</v>
      </c>
      <c r="F10" s="4" t="s">
        <v>10</v>
      </c>
      <c r="G10" s="55" t="s">
        <v>11</v>
      </c>
      <c r="H10" s="51"/>
      <c r="I10" s="4" t="s">
        <v>13</v>
      </c>
      <c r="J10" s="4" t="s">
        <v>14</v>
      </c>
      <c r="K10" s="4" t="s">
        <v>194</v>
      </c>
      <c r="L10" s="4" t="s">
        <v>195</v>
      </c>
      <c r="M10" s="4" t="s">
        <v>196</v>
      </c>
      <c r="N10" s="4" t="s">
        <v>197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198</v>
      </c>
      <c r="X10" s="4" t="s">
        <v>199</v>
      </c>
    </row>
    <row r="11" spans="1:24" x14ac:dyDescent="0.25">
      <c r="A11" s="6" t="s">
        <v>200</v>
      </c>
      <c r="B11" s="6" t="s">
        <v>201</v>
      </c>
      <c r="C11" s="6" t="s">
        <v>22</v>
      </c>
      <c r="D11" s="6" t="s">
        <v>23</v>
      </c>
      <c r="E11" s="6" t="s">
        <v>24</v>
      </c>
      <c r="F11" s="6" t="s">
        <v>25</v>
      </c>
      <c r="G11" s="50" t="s">
        <v>6</v>
      </c>
      <c r="H11" s="51"/>
      <c r="I11" s="7">
        <v>46023</v>
      </c>
      <c r="J11" s="8">
        <v>201.3</v>
      </c>
      <c r="K11" s="8">
        <v>201.3</v>
      </c>
      <c r="L11" s="8">
        <v>2002.3</v>
      </c>
      <c r="M11" s="8">
        <v>201.3</v>
      </c>
      <c r="N11" s="8">
        <v>1801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25">
      <c r="A12" s="6" t="s">
        <v>200</v>
      </c>
      <c r="B12" s="6" t="s">
        <v>201</v>
      </c>
      <c r="C12" s="6" t="s">
        <v>28</v>
      </c>
      <c r="D12" s="6" t="s">
        <v>29</v>
      </c>
      <c r="E12" s="6" t="s">
        <v>24</v>
      </c>
      <c r="F12" s="6" t="s">
        <v>25</v>
      </c>
      <c r="G12" s="50" t="s">
        <v>6</v>
      </c>
      <c r="H12" s="51"/>
      <c r="I12" s="7">
        <v>46023</v>
      </c>
      <c r="J12" s="8">
        <v>1.85</v>
      </c>
      <c r="K12" s="8">
        <v>1.85</v>
      </c>
      <c r="L12" s="8">
        <v>768.88</v>
      </c>
      <c r="M12" s="8">
        <v>1.85</v>
      </c>
      <c r="N12" s="8">
        <v>767.03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200</v>
      </c>
      <c r="B13" s="6" t="s">
        <v>201</v>
      </c>
      <c r="C13" s="6" t="s">
        <v>30</v>
      </c>
      <c r="D13" s="6" t="s">
        <v>31</v>
      </c>
      <c r="E13" s="6" t="s">
        <v>24</v>
      </c>
      <c r="F13" s="6" t="s">
        <v>25</v>
      </c>
      <c r="G13" s="50" t="s">
        <v>6</v>
      </c>
      <c r="H13" s="51"/>
      <c r="I13" s="7">
        <v>46023</v>
      </c>
      <c r="J13" s="8">
        <v>92.05</v>
      </c>
      <c r="K13" s="8">
        <v>92.05</v>
      </c>
      <c r="L13" s="8">
        <v>539.04999999999995</v>
      </c>
      <c r="M13" s="8">
        <v>92.05</v>
      </c>
      <c r="N13" s="8">
        <v>447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200</v>
      </c>
      <c r="B14" s="6" t="s">
        <v>201</v>
      </c>
      <c r="C14" s="6" t="s">
        <v>32</v>
      </c>
      <c r="D14" s="6" t="s">
        <v>33</v>
      </c>
      <c r="E14" s="6" t="s">
        <v>24</v>
      </c>
      <c r="F14" s="6" t="s">
        <v>25</v>
      </c>
      <c r="G14" s="50" t="s">
        <v>6</v>
      </c>
      <c r="H14" s="51"/>
      <c r="I14" s="7">
        <v>46023</v>
      </c>
      <c r="J14" s="8">
        <v>91.69</v>
      </c>
      <c r="K14" s="8">
        <v>91.69</v>
      </c>
      <c r="L14" s="8">
        <v>1682.69</v>
      </c>
      <c r="M14" s="8">
        <v>91.69</v>
      </c>
      <c r="N14" s="8">
        <v>1591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x14ac:dyDescent="0.25">
      <c r="A15" s="6" t="s">
        <v>200</v>
      </c>
      <c r="B15" s="6" t="s">
        <v>201</v>
      </c>
      <c r="C15" s="6" t="s">
        <v>34</v>
      </c>
      <c r="D15" s="6" t="s">
        <v>35</v>
      </c>
      <c r="E15" s="6" t="s">
        <v>24</v>
      </c>
      <c r="F15" s="6" t="s">
        <v>25</v>
      </c>
      <c r="G15" s="50" t="s">
        <v>6</v>
      </c>
      <c r="H15" s="51"/>
      <c r="I15" s="7">
        <v>46023</v>
      </c>
      <c r="J15" s="8">
        <v>899.38</v>
      </c>
      <c r="K15" s="8">
        <v>899.38</v>
      </c>
      <c r="L15" s="8">
        <v>7884.28</v>
      </c>
      <c r="M15" s="8">
        <v>4032.28</v>
      </c>
      <c r="N15" s="8">
        <v>3852</v>
      </c>
      <c r="O15" s="6" t="s">
        <v>26</v>
      </c>
      <c r="P15" s="6" t="s">
        <v>6</v>
      </c>
      <c r="Q15" s="6" t="s">
        <v>27</v>
      </c>
      <c r="R15" s="6"/>
      <c r="S15" s="6">
        <v>2</v>
      </c>
      <c r="T15" s="8">
        <v>20</v>
      </c>
      <c r="U15" s="9">
        <v>1</v>
      </c>
      <c r="V15" s="8">
        <v>40</v>
      </c>
      <c r="W15" s="6" t="s">
        <v>6</v>
      </c>
      <c r="X15" s="6"/>
    </row>
    <row r="16" spans="1:24" ht="33.75" x14ac:dyDescent="0.25">
      <c r="A16" s="6" t="s">
        <v>202</v>
      </c>
      <c r="B16" s="6" t="s">
        <v>203</v>
      </c>
      <c r="C16" s="6"/>
      <c r="D16" s="6" t="s">
        <v>38</v>
      </c>
      <c r="E16" s="6"/>
      <c r="F16" s="6"/>
      <c r="G16" s="50" t="s">
        <v>204</v>
      </c>
      <c r="H16" s="51"/>
      <c r="I16" s="6"/>
      <c r="J16" s="6"/>
      <c r="K16" s="6"/>
      <c r="L16" s="8">
        <v>0</v>
      </c>
      <c r="M16" s="6"/>
      <c r="N16" s="6"/>
      <c r="O16" s="6" t="s">
        <v>39</v>
      </c>
      <c r="P16" s="6" t="s">
        <v>6</v>
      </c>
      <c r="Q16" s="6" t="s">
        <v>205</v>
      </c>
      <c r="R16" s="6"/>
      <c r="S16" s="6"/>
      <c r="T16" s="6"/>
      <c r="U16" s="6"/>
      <c r="V16" s="8">
        <v>1329.4</v>
      </c>
      <c r="W16" s="6" t="s">
        <v>6</v>
      </c>
      <c r="X16" s="6" t="s">
        <v>40</v>
      </c>
    </row>
    <row r="17" spans="1:24" x14ac:dyDescent="0.25">
      <c r="A17" s="6" t="s">
        <v>202</v>
      </c>
      <c r="B17" s="6" t="s">
        <v>206</v>
      </c>
      <c r="C17" s="6" t="s">
        <v>41</v>
      </c>
      <c r="D17" s="6" t="s">
        <v>42</v>
      </c>
      <c r="E17" s="6" t="s">
        <v>24</v>
      </c>
      <c r="F17" s="6" t="s">
        <v>43</v>
      </c>
      <c r="G17" s="50" t="s">
        <v>6</v>
      </c>
      <c r="H17" s="51"/>
      <c r="I17" s="7">
        <v>46023</v>
      </c>
      <c r="J17" s="8">
        <v>486.35</v>
      </c>
      <c r="K17" s="8">
        <v>486.35</v>
      </c>
      <c r="L17" s="8">
        <v>486.35</v>
      </c>
      <c r="M17" s="8">
        <v>486.35</v>
      </c>
      <c r="N17" s="8">
        <v>0</v>
      </c>
      <c r="O17" s="6" t="s">
        <v>26</v>
      </c>
      <c r="P17" s="6" t="s">
        <v>6</v>
      </c>
      <c r="Q17" s="6" t="s">
        <v>27</v>
      </c>
      <c r="R17" s="6"/>
      <c r="S17" s="6">
        <v>1</v>
      </c>
      <c r="T17" s="8">
        <v>23</v>
      </c>
      <c r="U17" s="9">
        <v>1</v>
      </c>
      <c r="V17" s="8">
        <v>23</v>
      </c>
      <c r="W17" s="6" t="s">
        <v>6</v>
      </c>
      <c r="X17" s="6"/>
    </row>
    <row r="18" spans="1:24" x14ac:dyDescent="0.25">
      <c r="A18" s="6" t="s">
        <v>202</v>
      </c>
      <c r="B18" s="6" t="s">
        <v>206</v>
      </c>
      <c r="C18" s="6" t="s">
        <v>44</v>
      </c>
      <c r="D18" s="6" t="s">
        <v>45</v>
      </c>
      <c r="E18" s="6" t="s">
        <v>24</v>
      </c>
      <c r="F18" s="6" t="s">
        <v>43</v>
      </c>
      <c r="G18" s="50" t="s">
        <v>6</v>
      </c>
      <c r="H18" s="51"/>
      <c r="I18" s="7">
        <v>46023</v>
      </c>
      <c r="J18" s="8">
        <v>602.71</v>
      </c>
      <c r="K18" s="8">
        <v>602.71</v>
      </c>
      <c r="L18" s="8">
        <v>602.71</v>
      </c>
      <c r="M18" s="8">
        <v>602.71</v>
      </c>
      <c r="N18" s="8">
        <v>0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23</v>
      </c>
      <c r="U18" s="9">
        <v>1</v>
      </c>
      <c r="V18" s="8">
        <v>23</v>
      </c>
      <c r="W18" s="6" t="s">
        <v>6</v>
      </c>
      <c r="X18" s="6"/>
    </row>
    <row r="19" spans="1:24" x14ac:dyDescent="0.25">
      <c r="A19" s="6" t="s">
        <v>202</v>
      </c>
      <c r="B19" s="6" t="s">
        <v>206</v>
      </c>
      <c r="C19" s="6" t="s">
        <v>46</v>
      </c>
      <c r="D19" s="6" t="s">
        <v>47</v>
      </c>
      <c r="E19" s="6" t="s">
        <v>24</v>
      </c>
      <c r="F19" s="6" t="s">
        <v>43</v>
      </c>
      <c r="G19" s="50" t="s">
        <v>6</v>
      </c>
      <c r="H19" s="51"/>
      <c r="I19" s="7">
        <v>46023</v>
      </c>
      <c r="J19" s="8">
        <v>486.48</v>
      </c>
      <c r="K19" s="8">
        <v>486.48</v>
      </c>
      <c r="L19" s="8">
        <v>958.34</v>
      </c>
      <c r="M19" s="8">
        <v>486.48</v>
      </c>
      <c r="N19" s="8">
        <v>471.86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23</v>
      </c>
      <c r="U19" s="9">
        <v>1</v>
      </c>
      <c r="V19" s="8">
        <v>23</v>
      </c>
      <c r="W19" s="6" t="s">
        <v>6</v>
      </c>
      <c r="X19" s="6"/>
    </row>
    <row r="20" spans="1:24" x14ac:dyDescent="0.25">
      <c r="A20" s="6" t="s">
        <v>202</v>
      </c>
      <c r="B20" s="6" t="s">
        <v>206</v>
      </c>
      <c r="C20" s="6" t="s">
        <v>48</v>
      </c>
      <c r="D20" s="6" t="s">
        <v>49</v>
      </c>
      <c r="E20" s="6" t="s">
        <v>24</v>
      </c>
      <c r="F20" s="6" t="s">
        <v>43</v>
      </c>
      <c r="G20" s="50" t="s">
        <v>6</v>
      </c>
      <c r="H20" s="51"/>
      <c r="I20" s="7">
        <v>46023</v>
      </c>
      <c r="J20" s="8">
        <v>397.72</v>
      </c>
      <c r="K20" s="8">
        <v>397.72</v>
      </c>
      <c r="L20" s="8">
        <v>397.72</v>
      </c>
      <c r="M20" s="8">
        <v>397.72</v>
      </c>
      <c r="N20" s="8">
        <v>0</v>
      </c>
      <c r="O20" s="6" t="s">
        <v>26</v>
      </c>
      <c r="P20" s="6" t="s">
        <v>6</v>
      </c>
      <c r="Q20" s="6" t="s">
        <v>27</v>
      </c>
      <c r="R20" s="6"/>
      <c r="S20" s="6">
        <v>1</v>
      </c>
      <c r="T20" s="8">
        <v>23</v>
      </c>
      <c r="U20" s="9">
        <v>1</v>
      </c>
      <c r="V20" s="8">
        <v>23</v>
      </c>
      <c r="W20" s="6" t="s">
        <v>6</v>
      </c>
      <c r="X20" s="6"/>
    </row>
    <row r="21" spans="1:24" x14ac:dyDescent="0.25">
      <c r="A21" s="6" t="s">
        <v>202</v>
      </c>
      <c r="B21" s="6" t="s">
        <v>206</v>
      </c>
      <c r="C21" s="6" t="s">
        <v>50</v>
      </c>
      <c r="D21" s="6" t="s">
        <v>51</v>
      </c>
      <c r="E21" s="6" t="s">
        <v>24</v>
      </c>
      <c r="F21" s="6" t="s">
        <v>43</v>
      </c>
      <c r="G21" s="50" t="s">
        <v>6</v>
      </c>
      <c r="H21" s="51"/>
      <c r="I21" s="7">
        <v>46023</v>
      </c>
      <c r="J21" s="8">
        <v>1072.8800000000001</v>
      </c>
      <c r="K21" s="8">
        <v>1072.8800000000001</v>
      </c>
      <c r="L21" s="8">
        <v>8640.08</v>
      </c>
      <c r="M21" s="8">
        <v>7508.08</v>
      </c>
      <c r="N21" s="8">
        <v>1132</v>
      </c>
      <c r="O21" s="6" t="s">
        <v>26</v>
      </c>
      <c r="P21" s="6" t="s">
        <v>6</v>
      </c>
      <c r="Q21" s="6" t="s">
        <v>27</v>
      </c>
      <c r="R21" s="6"/>
      <c r="S21" s="6">
        <v>2</v>
      </c>
      <c r="T21" s="8">
        <v>23</v>
      </c>
      <c r="U21" s="9">
        <v>1</v>
      </c>
      <c r="V21" s="8">
        <v>46</v>
      </c>
      <c r="W21" s="6" t="s">
        <v>6</v>
      </c>
      <c r="X21" s="6"/>
    </row>
    <row r="22" spans="1:24" x14ac:dyDescent="0.25">
      <c r="A22" s="6" t="s">
        <v>202</v>
      </c>
      <c r="B22" s="6" t="s">
        <v>206</v>
      </c>
      <c r="C22" s="6" t="s">
        <v>52</v>
      </c>
      <c r="D22" s="6" t="s">
        <v>53</v>
      </c>
      <c r="E22" s="6" t="s">
        <v>24</v>
      </c>
      <c r="F22" s="6" t="s">
        <v>43</v>
      </c>
      <c r="G22" s="50" t="s">
        <v>6</v>
      </c>
      <c r="H22" s="51"/>
      <c r="I22" s="7">
        <v>46023</v>
      </c>
      <c r="J22" s="8">
        <v>207.55</v>
      </c>
      <c r="K22" s="8">
        <v>207.55</v>
      </c>
      <c r="L22" s="8">
        <v>561.11</v>
      </c>
      <c r="M22" s="8">
        <v>207.55</v>
      </c>
      <c r="N22" s="8">
        <v>353.56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25">
      <c r="A23" s="6" t="s">
        <v>202</v>
      </c>
      <c r="B23" s="6" t="s">
        <v>206</v>
      </c>
      <c r="C23" s="6" t="s">
        <v>54</v>
      </c>
      <c r="D23" s="6" t="s">
        <v>55</v>
      </c>
      <c r="E23" s="6" t="s">
        <v>24</v>
      </c>
      <c r="F23" s="6" t="s">
        <v>43</v>
      </c>
      <c r="G23" s="50" t="s">
        <v>6</v>
      </c>
      <c r="H23" s="51"/>
      <c r="I23" s="7">
        <v>46023</v>
      </c>
      <c r="J23" s="8">
        <v>2670.98</v>
      </c>
      <c r="K23" s="8">
        <v>2670.98</v>
      </c>
      <c r="L23" s="8">
        <v>2670.98</v>
      </c>
      <c r="M23" s="8">
        <v>2670.98</v>
      </c>
      <c r="N23" s="8">
        <v>0</v>
      </c>
      <c r="O23" s="6" t="s">
        <v>26</v>
      </c>
      <c r="P23" s="6" t="s">
        <v>6</v>
      </c>
      <c r="Q23" s="6" t="s">
        <v>27</v>
      </c>
      <c r="R23" s="6"/>
      <c r="S23" s="6">
        <v>5</v>
      </c>
      <c r="T23" s="8">
        <v>23</v>
      </c>
      <c r="U23" s="9">
        <v>1</v>
      </c>
      <c r="V23" s="8">
        <v>115</v>
      </c>
      <c r="W23" s="6" t="s">
        <v>6</v>
      </c>
      <c r="X23" s="6"/>
    </row>
    <row r="24" spans="1:24" x14ac:dyDescent="0.25">
      <c r="A24" s="6" t="s">
        <v>202</v>
      </c>
      <c r="B24" s="6" t="s">
        <v>206</v>
      </c>
      <c r="C24" s="6" t="s">
        <v>56</v>
      </c>
      <c r="D24" s="6" t="s">
        <v>57</v>
      </c>
      <c r="E24" s="6" t="s">
        <v>24</v>
      </c>
      <c r="F24" s="6" t="s">
        <v>43</v>
      </c>
      <c r="G24" s="50" t="s">
        <v>6</v>
      </c>
      <c r="H24" s="51"/>
      <c r="I24" s="7">
        <v>46023</v>
      </c>
      <c r="J24" s="8">
        <v>386.34</v>
      </c>
      <c r="K24" s="8">
        <v>386.34</v>
      </c>
      <c r="L24" s="8">
        <v>759.1</v>
      </c>
      <c r="M24" s="8">
        <v>386.34</v>
      </c>
      <c r="N24" s="8">
        <v>372.76</v>
      </c>
      <c r="O24" s="6" t="s">
        <v>26</v>
      </c>
      <c r="P24" s="6" t="s">
        <v>6</v>
      </c>
      <c r="Q24" s="6" t="s">
        <v>27</v>
      </c>
      <c r="R24" s="6"/>
      <c r="S24" s="6">
        <v>3</v>
      </c>
      <c r="T24" s="8">
        <v>23</v>
      </c>
      <c r="U24" s="9">
        <v>1</v>
      </c>
      <c r="V24" s="8">
        <v>69</v>
      </c>
      <c r="W24" s="6" t="s">
        <v>6</v>
      </c>
      <c r="X24" s="6"/>
    </row>
    <row r="25" spans="1:24" x14ac:dyDescent="0.25">
      <c r="A25" s="6" t="s">
        <v>202</v>
      </c>
      <c r="B25" s="6" t="s">
        <v>206</v>
      </c>
      <c r="C25" s="6" t="s">
        <v>58</v>
      </c>
      <c r="D25" s="6" t="s">
        <v>59</v>
      </c>
      <c r="E25" s="6" t="s">
        <v>24</v>
      </c>
      <c r="F25" s="6" t="s">
        <v>43</v>
      </c>
      <c r="G25" s="50" t="s">
        <v>6</v>
      </c>
      <c r="H25" s="51"/>
      <c r="I25" s="7">
        <v>46023</v>
      </c>
      <c r="J25" s="8">
        <v>146.76</v>
      </c>
      <c r="K25" s="8">
        <v>146.76</v>
      </c>
      <c r="L25" s="8">
        <v>8033.92</v>
      </c>
      <c r="M25" s="8">
        <v>1695.01</v>
      </c>
      <c r="N25" s="8">
        <v>6338.91</v>
      </c>
      <c r="O25" s="6" t="s">
        <v>26</v>
      </c>
      <c r="P25" s="6" t="s">
        <v>6</v>
      </c>
      <c r="Q25" s="6" t="s">
        <v>27</v>
      </c>
      <c r="R25" s="6"/>
      <c r="S25" s="6">
        <v>1</v>
      </c>
      <c r="T25" s="8">
        <v>23</v>
      </c>
      <c r="U25" s="9">
        <v>1</v>
      </c>
      <c r="V25" s="8">
        <v>23</v>
      </c>
      <c r="W25" s="6" t="s">
        <v>6</v>
      </c>
      <c r="X25" s="6"/>
    </row>
    <row r="26" spans="1:24" x14ac:dyDescent="0.25">
      <c r="A26" s="6" t="s">
        <v>202</v>
      </c>
      <c r="B26" s="6" t="s">
        <v>206</v>
      </c>
      <c r="C26" s="6" t="s">
        <v>60</v>
      </c>
      <c r="D26" s="6" t="s">
        <v>61</v>
      </c>
      <c r="E26" s="6" t="s">
        <v>24</v>
      </c>
      <c r="F26" s="6" t="s">
        <v>43</v>
      </c>
      <c r="G26" s="50" t="s">
        <v>6</v>
      </c>
      <c r="H26" s="51"/>
      <c r="I26" s="7">
        <v>45992</v>
      </c>
      <c r="J26" s="8">
        <v>186.1</v>
      </c>
      <c r="K26" s="8">
        <v>1115.6600000000001</v>
      </c>
      <c r="L26" s="8">
        <v>13387.92</v>
      </c>
      <c r="M26" s="8">
        <v>2233.1999999999998</v>
      </c>
      <c r="N26" s="8">
        <v>11154.72</v>
      </c>
      <c r="O26" s="6" t="s">
        <v>26</v>
      </c>
      <c r="P26" s="8">
        <v>1115.6600000000001</v>
      </c>
      <c r="Q26" s="6" t="s">
        <v>62</v>
      </c>
      <c r="R26" s="6"/>
      <c r="S26" s="6"/>
      <c r="T26" s="12">
        <v>4.2500000000000003E-2</v>
      </c>
      <c r="U26" s="9">
        <v>1</v>
      </c>
      <c r="V26" s="8">
        <v>47.41</v>
      </c>
      <c r="W26" s="6" t="s">
        <v>6</v>
      </c>
      <c r="X26" s="6"/>
    </row>
    <row r="27" spans="1:24" x14ac:dyDescent="0.25">
      <c r="A27" s="6" t="s">
        <v>202</v>
      </c>
      <c r="B27" s="6" t="s">
        <v>206</v>
      </c>
      <c r="C27" s="6" t="s">
        <v>63</v>
      </c>
      <c r="D27" s="6" t="s">
        <v>64</v>
      </c>
      <c r="E27" s="6" t="s">
        <v>24</v>
      </c>
      <c r="F27" s="6" t="s">
        <v>43</v>
      </c>
      <c r="G27" s="50" t="s">
        <v>6</v>
      </c>
      <c r="H27" s="51"/>
      <c r="I27" s="7">
        <v>46023</v>
      </c>
      <c r="J27" s="8">
        <v>1670.97</v>
      </c>
      <c r="K27" s="8">
        <v>1670.97</v>
      </c>
      <c r="L27" s="8">
        <v>1670.97</v>
      </c>
      <c r="M27" s="8">
        <v>1670.97</v>
      </c>
      <c r="N27" s="8">
        <v>0</v>
      </c>
      <c r="O27" s="6" t="s">
        <v>26</v>
      </c>
      <c r="P27" s="6" t="s">
        <v>6</v>
      </c>
      <c r="Q27" s="6" t="s">
        <v>27</v>
      </c>
      <c r="R27" s="6"/>
      <c r="S27" s="6">
        <v>2</v>
      </c>
      <c r="T27" s="8">
        <v>23</v>
      </c>
      <c r="U27" s="9">
        <v>1</v>
      </c>
      <c r="V27" s="8">
        <v>46</v>
      </c>
      <c r="W27" s="6" t="s">
        <v>6</v>
      </c>
      <c r="X27" s="6"/>
    </row>
    <row r="28" spans="1:24" x14ac:dyDescent="0.25">
      <c r="A28" s="6" t="s">
        <v>202</v>
      </c>
      <c r="B28" s="6" t="s">
        <v>206</v>
      </c>
      <c r="C28" s="6" t="s">
        <v>65</v>
      </c>
      <c r="D28" s="6" t="s">
        <v>66</v>
      </c>
      <c r="E28" s="6" t="s">
        <v>24</v>
      </c>
      <c r="F28" s="6" t="s">
        <v>43</v>
      </c>
      <c r="G28" s="50" t="s">
        <v>6</v>
      </c>
      <c r="H28" s="51"/>
      <c r="I28" s="7">
        <v>46023</v>
      </c>
      <c r="J28" s="8">
        <v>428.94</v>
      </c>
      <c r="K28" s="8">
        <v>428.94</v>
      </c>
      <c r="L28" s="8">
        <v>428.94</v>
      </c>
      <c r="M28" s="8">
        <v>428.94</v>
      </c>
      <c r="N28" s="8">
        <v>0</v>
      </c>
      <c r="O28" s="6" t="s">
        <v>26</v>
      </c>
      <c r="P28" s="6" t="s">
        <v>6</v>
      </c>
      <c r="Q28" s="6" t="s">
        <v>27</v>
      </c>
      <c r="R28" s="6"/>
      <c r="S28" s="6">
        <v>1</v>
      </c>
      <c r="T28" s="8">
        <v>23</v>
      </c>
      <c r="U28" s="9">
        <v>1</v>
      </c>
      <c r="V28" s="8">
        <v>23</v>
      </c>
      <c r="W28" s="6" t="s">
        <v>6</v>
      </c>
      <c r="X28" s="6"/>
    </row>
    <row r="29" spans="1:24" x14ac:dyDescent="0.25">
      <c r="A29" s="6" t="s">
        <v>202</v>
      </c>
      <c r="B29" s="6" t="s">
        <v>206</v>
      </c>
      <c r="C29" s="6" t="s">
        <v>67</v>
      </c>
      <c r="D29" s="6" t="s">
        <v>68</v>
      </c>
      <c r="E29" s="6" t="s">
        <v>24</v>
      </c>
      <c r="F29" s="6" t="s">
        <v>43</v>
      </c>
      <c r="G29" s="50" t="s">
        <v>6</v>
      </c>
      <c r="H29" s="51"/>
      <c r="I29" s="7">
        <v>46023</v>
      </c>
      <c r="J29" s="8">
        <v>130.63</v>
      </c>
      <c r="K29" s="8">
        <v>130.63</v>
      </c>
      <c r="L29" s="8">
        <v>1781.29</v>
      </c>
      <c r="M29" s="8">
        <v>782.33</v>
      </c>
      <c r="N29" s="8">
        <v>998.96</v>
      </c>
      <c r="O29" s="6" t="s">
        <v>26</v>
      </c>
      <c r="P29" s="6" t="s">
        <v>6</v>
      </c>
      <c r="Q29" s="6" t="s">
        <v>27</v>
      </c>
      <c r="R29" s="6"/>
      <c r="S29" s="6">
        <v>1</v>
      </c>
      <c r="T29" s="8">
        <v>23</v>
      </c>
      <c r="U29" s="9">
        <v>1</v>
      </c>
      <c r="V29" s="8">
        <v>23</v>
      </c>
      <c r="W29" s="6" t="s">
        <v>6</v>
      </c>
      <c r="X29" s="6"/>
    </row>
    <row r="30" spans="1:24" x14ac:dyDescent="0.25">
      <c r="A30" s="6" t="s">
        <v>202</v>
      </c>
      <c r="B30" s="6" t="s">
        <v>206</v>
      </c>
      <c r="C30" s="6" t="s">
        <v>69</v>
      </c>
      <c r="D30" s="6" t="s">
        <v>70</v>
      </c>
      <c r="E30" s="6" t="s">
        <v>24</v>
      </c>
      <c r="F30" s="6" t="s">
        <v>43</v>
      </c>
      <c r="G30" s="50" t="s">
        <v>6</v>
      </c>
      <c r="H30" s="51"/>
      <c r="I30" s="7">
        <v>46023</v>
      </c>
      <c r="J30" s="8">
        <v>149.83000000000001</v>
      </c>
      <c r="K30" s="8">
        <v>149.83000000000001</v>
      </c>
      <c r="L30" s="8">
        <v>836.4</v>
      </c>
      <c r="M30" s="8">
        <v>149.83000000000001</v>
      </c>
      <c r="N30" s="8">
        <v>686.57</v>
      </c>
      <c r="O30" s="6" t="s">
        <v>26</v>
      </c>
      <c r="P30" s="6" t="s">
        <v>6</v>
      </c>
      <c r="Q30" s="6" t="s">
        <v>27</v>
      </c>
      <c r="R30" s="6"/>
      <c r="S30" s="6">
        <v>1</v>
      </c>
      <c r="T30" s="8">
        <v>23</v>
      </c>
      <c r="U30" s="9">
        <v>1</v>
      </c>
      <c r="V30" s="8">
        <v>23</v>
      </c>
      <c r="W30" s="6" t="s">
        <v>6</v>
      </c>
      <c r="X30" s="6"/>
    </row>
    <row r="31" spans="1:24" x14ac:dyDescent="0.25">
      <c r="A31" s="6" t="s">
        <v>202</v>
      </c>
      <c r="B31" s="6" t="s">
        <v>206</v>
      </c>
      <c r="C31" s="6" t="s">
        <v>71</v>
      </c>
      <c r="D31" s="6" t="s">
        <v>72</v>
      </c>
      <c r="E31" s="6" t="s">
        <v>24</v>
      </c>
      <c r="F31" s="6" t="s">
        <v>43</v>
      </c>
      <c r="G31" s="50" t="s">
        <v>6</v>
      </c>
      <c r="H31" s="51"/>
      <c r="I31" s="7">
        <v>46023</v>
      </c>
      <c r="J31" s="8">
        <v>1.41</v>
      </c>
      <c r="K31" s="8">
        <v>1.41</v>
      </c>
      <c r="L31" s="8">
        <v>5349.45</v>
      </c>
      <c r="M31" s="8">
        <v>7.51</v>
      </c>
      <c r="N31" s="8">
        <v>5341.94</v>
      </c>
      <c r="O31" s="6" t="s">
        <v>26</v>
      </c>
      <c r="P31" s="6" t="s">
        <v>6</v>
      </c>
      <c r="Q31" s="6" t="s">
        <v>27</v>
      </c>
      <c r="R31" s="6"/>
      <c r="S31" s="6">
        <v>1</v>
      </c>
      <c r="T31" s="8">
        <v>23</v>
      </c>
      <c r="U31" s="9">
        <v>1</v>
      </c>
      <c r="V31" s="8">
        <v>23</v>
      </c>
      <c r="W31" s="6" t="s">
        <v>6</v>
      </c>
      <c r="X31" s="6"/>
    </row>
    <row r="32" spans="1:24" x14ac:dyDescent="0.25">
      <c r="A32" s="6" t="s">
        <v>202</v>
      </c>
      <c r="B32" s="6" t="s">
        <v>206</v>
      </c>
      <c r="C32" s="6" t="s">
        <v>73</v>
      </c>
      <c r="D32" s="6" t="s">
        <v>74</v>
      </c>
      <c r="E32" s="6" t="s">
        <v>24</v>
      </c>
      <c r="F32" s="6" t="s">
        <v>43</v>
      </c>
      <c r="G32" s="50" t="s">
        <v>6</v>
      </c>
      <c r="H32" s="51"/>
      <c r="I32" s="7">
        <v>46023</v>
      </c>
      <c r="J32" s="8">
        <v>352.44</v>
      </c>
      <c r="K32" s="8">
        <v>352.44</v>
      </c>
      <c r="L32" s="8">
        <v>3155.31</v>
      </c>
      <c r="M32" s="8">
        <v>3155.31</v>
      </c>
      <c r="N32" s="8">
        <v>0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25">
      <c r="A33" s="6" t="s">
        <v>202</v>
      </c>
      <c r="B33" s="6" t="s">
        <v>206</v>
      </c>
      <c r="C33" s="6" t="s">
        <v>75</v>
      </c>
      <c r="D33" s="6" t="s">
        <v>76</v>
      </c>
      <c r="E33" s="6" t="s">
        <v>24</v>
      </c>
      <c r="F33" s="6" t="s">
        <v>43</v>
      </c>
      <c r="G33" s="50" t="s">
        <v>6</v>
      </c>
      <c r="H33" s="51"/>
      <c r="I33" s="7">
        <v>46023</v>
      </c>
      <c r="J33" s="8">
        <v>2312.89</v>
      </c>
      <c r="K33" s="8">
        <v>2312.89</v>
      </c>
      <c r="L33" s="8">
        <v>2312.89</v>
      </c>
      <c r="M33" s="8">
        <v>2312.89</v>
      </c>
      <c r="N33" s="8">
        <v>0</v>
      </c>
      <c r="O33" s="6" t="s">
        <v>26</v>
      </c>
      <c r="P33" s="6" t="s">
        <v>6</v>
      </c>
      <c r="Q33" s="6" t="s">
        <v>27</v>
      </c>
      <c r="R33" s="6"/>
      <c r="S33" s="6">
        <v>3</v>
      </c>
      <c r="T33" s="8">
        <v>23</v>
      </c>
      <c r="U33" s="9">
        <v>1</v>
      </c>
      <c r="V33" s="8">
        <v>69</v>
      </c>
      <c r="W33" s="6" t="s">
        <v>6</v>
      </c>
      <c r="X33" s="6"/>
    </row>
    <row r="34" spans="1:24" x14ac:dyDescent="0.25">
      <c r="A34" s="6" t="s">
        <v>202</v>
      </c>
      <c r="B34" s="6" t="s">
        <v>206</v>
      </c>
      <c r="C34" s="6" t="s">
        <v>77</v>
      </c>
      <c r="D34" s="6" t="s">
        <v>78</v>
      </c>
      <c r="E34" s="6" t="s">
        <v>24</v>
      </c>
      <c r="F34" s="6" t="s">
        <v>43</v>
      </c>
      <c r="G34" s="50" t="s">
        <v>6</v>
      </c>
      <c r="H34" s="51"/>
      <c r="I34" s="7">
        <v>46023</v>
      </c>
      <c r="J34" s="8">
        <v>169.86</v>
      </c>
      <c r="K34" s="8">
        <v>169.86</v>
      </c>
      <c r="L34" s="8">
        <v>1205.8</v>
      </c>
      <c r="M34" s="8">
        <v>169.86</v>
      </c>
      <c r="N34" s="8">
        <v>1035.94</v>
      </c>
      <c r="O34" s="6" t="s">
        <v>26</v>
      </c>
      <c r="P34" s="6" t="s">
        <v>6</v>
      </c>
      <c r="Q34" s="6" t="s">
        <v>27</v>
      </c>
      <c r="R34" s="6"/>
      <c r="S34" s="6">
        <v>1</v>
      </c>
      <c r="T34" s="8">
        <v>23</v>
      </c>
      <c r="U34" s="9">
        <v>1</v>
      </c>
      <c r="V34" s="8">
        <v>23</v>
      </c>
      <c r="W34" s="6" t="s">
        <v>6</v>
      </c>
      <c r="X34" s="6"/>
    </row>
    <row r="35" spans="1:24" x14ac:dyDescent="0.25">
      <c r="A35" s="6" t="s">
        <v>202</v>
      </c>
      <c r="B35" s="6" t="s">
        <v>206</v>
      </c>
      <c r="C35" s="6" t="s">
        <v>79</v>
      </c>
      <c r="D35" s="6" t="s">
        <v>80</v>
      </c>
      <c r="E35" s="6" t="s">
        <v>24</v>
      </c>
      <c r="F35" s="6" t="s">
        <v>43</v>
      </c>
      <c r="G35" s="50" t="s">
        <v>6</v>
      </c>
      <c r="H35" s="51"/>
      <c r="I35" s="7">
        <v>46023</v>
      </c>
      <c r="J35" s="8">
        <v>162.02000000000001</v>
      </c>
      <c r="K35" s="8">
        <v>162.02000000000001</v>
      </c>
      <c r="L35" s="8">
        <v>6906.72</v>
      </c>
      <c r="M35" s="8">
        <v>1088.48</v>
      </c>
      <c r="N35" s="8">
        <v>5818.24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25">
      <c r="A36" s="6" t="s">
        <v>202</v>
      </c>
      <c r="B36" s="6" t="s">
        <v>206</v>
      </c>
      <c r="C36" s="6" t="s">
        <v>81</v>
      </c>
      <c r="D36" s="6" t="s">
        <v>82</v>
      </c>
      <c r="E36" s="6" t="s">
        <v>24</v>
      </c>
      <c r="F36" s="6" t="s">
        <v>43</v>
      </c>
      <c r="G36" s="50" t="s">
        <v>6</v>
      </c>
      <c r="H36" s="51"/>
      <c r="I36" s="7">
        <v>46023</v>
      </c>
      <c r="J36" s="8">
        <v>546.78</v>
      </c>
      <c r="K36" s="8">
        <v>546.78</v>
      </c>
      <c r="L36" s="8">
        <v>2184.91</v>
      </c>
      <c r="M36" s="8">
        <v>546.78</v>
      </c>
      <c r="N36" s="8">
        <v>1638.13</v>
      </c>
      <c r="O36" s="6" t="s">
        <v>26</v>
      </c>
      <c r="P36" s="6" t="s">
        <v>6</v>
      </c>
      <c r="Q36" s="6" t="s">
        <v>27</v>
      </c>
      <c r="R36" s="6"/>
      <c r="S36" s="6">
        <v>2</v>
      </c>
      <c r="T36" s="8">
        <v>23</v>
      </c>
      <c r="U36" s="9">
        <v>1</v>
      </c>
      <c r="V36" s="8">
        <v>46</v>
      </c>
      <c r="W36" s="6" t="s">
        <v>6</v>
      </c>
      <c r="X36" s="6"/>
    </row>
    <row r="37" spans="1:24" x14ac:dyDescent="0.25">
      <c r="A37" s="6" t="s">
        <v>202</v>
      </c>
      <c r="B37" s="6" t="s">
        <v>206</v>
      </c>
      <c r="C37" s="6" t="s">
        <v>83</v>
      </c>
      <c r="D37" s="6" t="s">
        <v>84</v>
      </c>
      <c r="E37" s="6" t="s">
        <v>24</v>
      </c>
      <c r="F37" s="6" t="s">
        <v>43</v>
      </c>
      <c r="G37" s="50" t="s">
        <v>6</v>
      </c>
      <c r="H37" s="51"/>
      <c r="I37" s="7">
        <v>46023</v>
      </c>
      <c r="J37" s="8">
        <v>921.12</v>
      </c>
      <c r="K37" s="8">
        <v>921.12</v>
      </c>
      <c r="L37" s="8">
        <v>921.12</v>
      </c>
      <c r="M37" s="8">
        <v>921.12</v>
      </c>
      <c r="N37" s="8">
        <v>0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25">
      <c r="A38" s="6" t="s">
        <v>202</v>
      </c>
      <c r="B38" s="6" t="s">
        <v>206</v>
      </c>
      <c r="C38" s="6" t="s">
        <v>85</v>
      </c>
      <c r="D38" s="6" t="s">
        <v>86</v>
      </c>
      <c r="E38" s="6" t="s">
        <v>24</v>
      </c>
      <c r="F38" s="6" t="s">
        <v>43</v>
      </c>
      <c r="G38" s="50" t="s">
        <v>6</v>
      </c>
      <c r="H38" s="51"/>
      <c r="I38" s="7">
        <v>46023</v>
      </c>
      <c r="J38" s="8">
        <v>271.91000000000003</v>
      </c>
      <c r="K38" s="8">
        <v>271.91000000000003</v>
      </c>
      <c r="L38" s="8">
        <v>851.51</v>
      </c>
      <c r="M38" s="8">
        <v>271.91000000000003</v>
      </c>
      <c r="N38" s="8">
        <v>579.6</v>
      </c>
      <c r="O38" s="6" t="s">
        <v>26</v>
      </c>
      <c r="P38" s="6" t="s">
        <v>6</v>
      </c>
      <c r="Q38" s="6" t="s">
        <v>27</v>
      </c>
      <c r="R38" s="6"/>
      <c r="S38" s="6">
        <v>1</v>
      </c>
      <c r="T38" s="8">
        <v>23</v>
      </c>
      <c r="U38" s="9">
        <v>1</v>
      </c>
      <c r="V38" s="8">
        <v>23</v>
      </c>
      <c r="W38" s="6" t="s">
        <v>6</v>
      </c>
      <c r="X38" s="6"/>
    </row>
    <row r="39" spans="1:24" x14ac:dyDescent="0.25">
      <c r="A39" s="6" t="s">
        <v>202</v>
      </c>
      <c r="B39" s="6" t="s">
        <v>206</v>
      </c>
      <c r="C39" s="6" t="s">
        <v>87</v>
      </c>
      <c r="D39" s="6" t="s">
        <v>88</v>
      </c>
      <c r="E39" s="6" t="s">
        <v>24</v>
      </c>
      <c r="F39" s="6" t="s">
        <v>43</v>
      </c>
      <c r="G39" s="50" t="s">
        <v>6</v>
      </c>
      <c r="H39" s="51"/>
      <c r="I39" s="7">
        <v>46023</v>
      </c>
      <c r="J39" s="8">
        <v>604.69000000000005</v>
      </c>
      <c r="K39" s="8">
        <v>604.69000000000005</v>
      </c>
      <c r="L39" s="8">
        <v>4492.5600000000004</v>
      </c>
      <c r="M39" s="8">
        <v>4492.5600000000004</v>
      </c>
      <c r="N39" s="8">
        <v>0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25">
      <c r="A40" s="6" t="s">
        <v>202</v>
      </c>
      <c r="B40" s="6" t="s">
        <v>206</v>
      </c>
      <c r="C40" s="6" t="s">
        <v>89</v>
      </c>
      <c r="D40" s="6" t="s">
        <v>90</v>
      </c>
      <c r="E40" s="6" t="s">
        <v>24</v>
      </c>
      <c r="F40" s="6" t="s">
        <v>43</v>
      </c>
      <c r="G40" s="50" t="s">
        <v>6</v>
      </c>
      <c r="H40" s="51"/>
      <c r="I40" s="7">
        <v>46023</v>
      </c>
      <c r="J40" s="8">
        <v>254.58</v>
      </c>
      <c r="K40" s="8">
        <v>254.58</v>
      </c>
      <c r="L40" s="8">
        <v>5999.47</v>
      </c>
      <c r="M40" s="8">
        <v>4749.18</v>
      </c>
      <c r="N40" s="8">
        <v>1250.29</v>
      </c>
      <c r="O40" s="6" t="s">
        <v>26</v>
      </c>
      <c r="P40" s="6" t="s">
        <v>6</v>
      </c>
      <c r="Q40" s="6" t="s">
        <v>27</v>
      </c>
      <c r="R40" s="6"/>
      <c r="S40" s="6">
        <v>1</v>
      </c>
      <c r="T40" s="8">
        <v>23</v>
      </c>
      <c r="U40" s="9">
        <v>1</v>
      </c>
      <c r="V40" s="8">
        <v>23</v>
      </c>
      <c r="W40" s="6" t="s">
        <v>6</v>
      </c>
      <c r="X40" s="6"/>
    </row>
    <row r="41" spans="1:24" x14ac:dyDescent="0.25">
      <c r="A41" s="6" t="s">
        <v>202</v>
      </c>
      <c r="B41" s="6" t="s">
        <v>206</v>
      </c>
      <c r="C41" s="6" t="s">
        <v>91</v>
      </c>
      <c r="D41" s="6" t="s">
        <v>92</v>
      </c>
      <c r="E41" s="6" t="s">
        <v>24</v>
      </c>
      <c r="F41" s="6" t="s">
        <v>43</v>
      </c>
      <c r="G41" s="50" t="s">
        <v>6</v>
      </c>
      <c r="H41" s="51"/>
      <c r="I41" s="7">
        <v>46023</v>
      </c>
      <c r="J41" s="8">
        <v>2419.46</v>
      </c>
      <c r="K41" s="8">
        <v>2419.46</v>
      </c>
      <c r="L41" s="8">
        <v>4501.6499999999996</v>
      </c>
      <c r="M41" s="8">
        <v>3894.86</v>
      </c>
      <c r="N41" s="8">
        <v>606.79</v>
      </c>
      <c r="O41" s="6" t="s">
        <v>26</v>
      </c>
      <c r="P41" s="6" t="s">
        <v>6</v>
      </c>
      <c r="Q41" s="6" t="s">
        <v>27</v>
      </c>
      <c r="R41" s="6"/>
      <c r="S41" s="6">
        <v>3</v>
      </c>
      <c r="T41" s="8">
        <v>23</v>
      </c>
      <c r="U41" s="9">
        <v>1</v>
      </c>
      <c r="V41" s="8">
        <v>69</v>
      </c>
      <c r="W41" s="6" t="s">
        <v>6</v>
      </c>
      <c r="X41" s="6"/>
    </row>
    <row r="42" spans="1:24" x14ac:dyDescent="0.25">
      <c r="A42" s="6" t="s">
        <v>202</v>
      </c>
      <c r="B42" s="6" t="s">
        <v>206</v>
      </c>
      <c r="C42" s="6" t="s">
        <v>93</v>
      </c>
      <c r="D42" s="6" t="s">
        <v>94</v>
      </c>
      <c r="E42" s="6" t="s">
        <v>24</v>
      </c>
      <c r="F42" s="6" t="s">
        <v>43</v>
      </c>
      <c r="G42" s="50" t="s">
        <v>6</v>
      </c>
      <c r="H42" s="51"/>
      <c r="I42" s="7">
        <v>46023</v>
      </c>
      <c r="J42" s="8">
        <v>1813.34</v>
      </c>
      <c r="K42" s="8">
        <v>1813.34</v>
      </c>
      <c r="L42" s="8">
        <v>1813.34</v>
      </c>
      <c r="M42" s="8">
        <v>1813.34</v>
      </c>
      <c r="N42" s="8">
        <v>0</v>
      </c>
      <c r="O42" s="6" t="s">
        <v>26</v>
      </c>
      <c r="P42" s="6" t="s">
        <v>6</v>
      </c>
      <c r="Q42" s="6" t="s">
        <v>27</v>
      </c>
      <c r="R42" s="6"/>
      <c r="S42" s="6">
        <v>3</v>
      </c>
      <c r="T42" s="8">
        <v>23</v>
      </c>
      <c r="U42" s="9">
        <v>1</v>
      </c>
      <c r="V42" s="8">
        <v>69</v>
      </c>
      <c r="W42" s="6" t="s">
        <v>6</v>
      </c>
      <c r="X42" s="6"/>
    </row>
    <row r="43" spans="1:24" x14ac:dyDescent="0.25">
      <c r="A43" s="6" t="s">
        <v>202</v>
      </c>
      <c r="B43" s="6" t="s">
        <v>206</v>
      </c>
      <c r="C43" s="6" t="s">
        <v>95</v>
      </c>
      <c r="D43" s="6" t="s">
        <v>96</v>
      </c>
      <c r="E43" s="6" t="s">
        <v>24</v>
      </c>
      <c r="F43" s="6" t="s">
        <v>43</v>
      </c>
      <c r="G43" s="50" t="s">
        <v>6</v>
      </c>
      <c r="H43" s="51"/>
      <c r="I43" s="7">
        <v>46023</v>
      </c>
      <c r="J43" s="8">
        <v>164.69</v>
      </c>
      <c r="K43" s="8">
        <v>164.69</v>
      </c>
      <c r="L43" s="8">
        <v>1552.94</v>
      </c>
      <c r="M43" s="8">
        <v>712.31</v>
      </c>
      <c r="N43" s="8">
        <v>840.63</v>
      </c>
      <c r="O43" s="6" t="s">
        <v>26</v>
      </c>
      <c r="P43" s="6" t="s">
        <v>6</v>
      </c>
      <c r="Q43" s="6" t="s">
        <v>27</v>
      </c>
      <c r="R43" s="6"/>
      <c r="S43" s="6">
        <v>1</v>
      </c>
      <c r="T43" s="8">
        <v>23</v>
      </c>
      <c r="U43" s="9">
        <v>1</v>
      </c>
      <c r="V43" s="8">
        <v>23</v>
      </c>
      <c r="W43" s="6" t="s">
        <v>6</v>
      </c>
      <c r="X43" s="6"/>
    </row>
    <row r="44" spans="1:24" x14ac:dyDescent="0.25">
      <c r="A44" s="6" t="s">
        <v>202</v>
      </c>
      <c r="B44" s="6" t="s">
        <v>206</v>
      </c>
      <c r="C44" s="6" t="s">
        <v>97</v>
      </c>
      <c r="D44" s="6" t="s">
        <v>98</v>
      </c>
      <c r="E44" s="6" t="s">
        <v>24</v>
      </c>
      <c r="F44" s="6" t="s">
        <v>43</v>
      </c>
      <c r="G44" s="50" t="s">
        <v>6</v>
      </c>
      <c r="H44" s="51"/>
      <c r="I44" s="7">
        <v>46023</v>
      </c>
      <c r="J44" s="8">
        <v>280.45999999999998</v>
      </c>
      <c r="K44" s="8">
        <v>280.45999999999998</v>
      </c>
      <c r="L44" s="8">
        <v>1454.36</v>
      </c>
      <c r="M44" s="8">
        <v>280.45999999999998</v>
      </c>
      <c r="N44" s="8">
        <v>1173.9000000000001</v>
      </c>
      <c r="O44" s="6" t="s">
        <v>26</v>
      </c>
      <c r="P44" s="6" t="s">
        <v>6</v>
      </c>
      <c r="Q44" s="6" t="s">
        <v>27</v>
      </c>
      <c r="R44" s="6"/>
      <c r="S44" s="6">
        <v>5</v>
      </c>
      <c r="T44" s="8">
        <v>23</v>
      </c>
      <c r="U44" s="9">
        <v>1</v>
      </c>
      <c r="V44" s="8">
        <v>115</v>
      </c>
      <c r="W44" s="6" t="s">
        <v>6</v>
      </c>
      <c r="X44" s="6"/>
    </row>
    <row r="45" spans="1:24" x14ac:dyDescent="0.25">
      <c r="A45" s="6" t="s">
        <v>202</v>
      </c>
      <c r="B45" s="6" t="s">
        <v>206</v>
      </c>
      <c r="C45" s="6" t="s">
        <v>99</v>
      </c>
      <c r="D45" s="6" t="s">
        <v>100</v>
      </c>
      <c r="E45" s="6" t="s">
        <v>24</v>
      </c>
      <c r="F45" s="6" t="s">
        <v>43</v>
      </c>
      <c r="G45" s="50" t="s">
        <v>6</v>
      </c>
      <c r="H45" s="51"/>
      <c r="I45" s="7">
        <v>46023</v>
      </c>
      <c r="J45" s="8">
        <v>493.12</v>
      </c>
      <c r="K45" s="8">
        <v>493.12</v>
      </c>
      <c r="L45" s="8">
        <v>5770.37</v>
      </c>
      <c r="M45" s="8">
        <v>2168.62</v>
      </c>
      <c r="N45" s="8">
        <v>3601.75</v>
      </c>
      <c r="O45" s="6" t="s">
        <v>26</v>
      </c>
      <c r="P45" s="6" t="s">
        <v>6</v>
      </c>
      <c r="Q45" s="6" t="s">
        <v>27</v>
      </c>
      <c r="R45" s="6"/>
      <c r="S45" s="6">
        <v>3</v>
      </c>
      <c r="T45" s="8">
        <v>23</v>
      </c>
      <c r="U45" s="9">
        <v>1</v>
      </c>
      <c r="V45" s="8">
        <v>69</v>
      </c>
      <c r="W45" s="6" t="s">
        <v>6</v>
      </c>
      <c r="X45" s="6"/>
    </row>
    <row r="46" spans="1:24" x14ac:dyDescent="0.25">
      <c r="A46" s="6" t="s">
        <v>202</v>
      </c>
      <c r="B46" s="6" t="s">
        <v>206</v>
      </c>
      <c r="C46" s="6" t="s">
        <v>101</v>
      </c>
      <c r="D46" s="6" t="s">
        <v>102</v>
      </c>
      <c r="E46" s="6" t="s">
        <v>24</v>
      </c>
      <c r="F46" s="6" t="s">
        <v>43</v>
      </c>
      <c r="G46" s="50" t="s">
        <v>6</v>
      </c>
      <c r="H46" s="51"/>
      <c r="I46" s="7">
        <v>46023</v>
      </c>
      <c r="J46" s="8">
        <v>3.37</v>
      </c>
      <c r="K46" s="8">
        <v>3.37</v>
      </c>
      <c r="L46" s="8">
        <v>1688.73</v>
      </c>
      <c r="M46" s="8">
        <v>3.37</v>
      </c>
      <c r="N46" s="8">
        <v>1685.36</v>
      </c>
      <c r="O46" s="6" t="s">
        <v>26</v>
      </c>
      <c r="P46" s="6" t="s">
        <v>6</v>
      </c>
      <c r="Q46" s="6" t="s">
        <v>27</v>
      </c>
      <c r="R46" s="6"/>
      <c r="S46" s="6">
        <v>2</v>
      </c>
      <c r="T46" s="8">
        <v>23</v>
      </c>
      <c r="U46" s="9">
        <v>1</v>
      </c>
      <c r="V46" s="8">
        <v>46</v>
      </c>
      <c r="W46" s="6" t="s">
        <v>6</v>
      </c>
      <c r="X46" s="6"/>
    </row>
    <row r="47" spans="1:24" x14ac:dyDescent="0.25">
      <c r="A47" s="6" t="s">
        <v>202</v>
      </c>
      <c r="B47" s="6" t="s">
        <v>206</v>
      </c>
      <c r="C47" s="6" t="s">
        <v>103</v>
      </c>
      <c r="D47" s="6" t="s">
        <v>104</v>
      </c>
      <c r="E47" s="6" t="s">
        <v>24</v>
      </c>
      <c r="F47" s="6" t="s">
        <v>43</v>
      </c>
      <c r="G47" s="50" t="s">
        <v>6</v>
      </c>
      <c r="H47" s="51"/>
      <c r="I47" s="7">
        <v>46023</v>
      </c>
      <c r="J47" s="8">
        <v>2</v>
      </c>
      <c r="K47" s="8">
        <v>2</v>
      </c>
      <c r="L47" s="8">
        <v>7259.27</v>
      </c>
      <c r="M47" s="8">
        <v>18</v>
      </c>
      <c r="N47" s="8">
        <v>7241.27</v>
      </c>
      <c r="O47" s="6" t="s">
        <v>26</v>
      </c>
      <c r="P47" s="6" t="s">
        <v>6</v>
      </c>
      <c r="Q47" s="6" t="s">
        <v>27</v>
      </c>
      <c r="R47" s="6"/>
      <c r="S47" s="6">
        <v>2</v>
      </c>
      <c r="T47" s="8">
        <v>23</v>
      </c>
      <c r="U47" s="9">
        <v>1</v>
      </c>
      <c r="V47" s="8">
        <v>46</v>
      </c>
      <c r="W47" s="6" t="s">
        <v>6</v>
      </c>
      <c r="X47" s="6"/>
    </row>
    <row r="48" spans="1:24" x14ac:dyDescent="0.25">
      <c r="A48" s="6" t="s">
        <v>202</v>
      </c>
      <c r="B48" s="6" t="s">
        <v>206</v>
      </c>
      <c r="C48" s="6" t="s">
        <v>105</v>
      </c>
      <c r="D48" s="6" t="s">
        <v>106</v>
      </c>
      <c r="E48" s="6" t="s">
        <v>24</v>
      </c>
      <c r="F48" s="6" t="s">
        <v>43</v>
      </c>
      <c r="G48" s="50" t="s">
        <v>6</v>
      </c>
      <c r="H48" s="51"/>
      <c r="I48" s="7">
        <v>46023</v>
      </c>
      <c r="J48" s="8">
        <v>75.84</v>
      </c>
      <c r="K48" s="8">
        <v>75.84</v>
      </c>
      <c r="L48" s="8">
        <v>343.37</v>
      </c>
      <c r="M48" s="8">
        <v>75.84</v>
      </c>
      <c r="N48" s="8">
        <v>267.52999999999997</v>
      </c>
      <c r="O48" s="6" t="s">
        <v>26</v>
      </c>
      <c r="P48" s="6" t="s">
        <v>6</v>
      </c>
      <c r="Q48" s="6" t="s">
        <v>27</v>
      </c>
      <c r="R48" s="6"/>
      <c r="S48" s="6">
        <v>1</v>
      </c>
      <c r="T48" s="8">
        <v>23</v>
      </c>
      <c r="U48" s="9">
        <v>1</v>
      </c>
      <c r="V48" s="8">
        <v>23</v>
      </c>
      <c r="W48" s="6" t="s">
        <v>6</v>
      </c>
      <c r="X48" s="6"/>
    </row>
    <row r="49" spans="1:24" x14ac:dyDescent="0.25">
      <c r="A49" s="6" t="s">
        <v>202</v>
      </c>
      <c r="B49" s="6" t="s">
        <v>206</v>
      </c>
      <c r="C49" s="6" t="s">
        <v>107</v>
      </c>
      <c r="D49" s="6" t="s">
        <v>108</v>
      </c>
      <c r="E49" s="6" t="s">
        <v>24</v>
      </c>
      <c r="F49" s="6" t="s">
        <v>43</v>
      </c>
      <c r="G49" s="50" t="s">
        <v>6</v>
      </c>
      <c r="H49" s="51"/>
      <c r="I49" s="7">
        <v>46023</v>
      </c>
      <c r="J49" s="8">
        <v>75.86</v>
      </c>
      <c r="K49" s="8">
        <v>75.86</v>
      </c>
      <c r="L49" s="8">
        <v>353.54</v>
      </c>
      <c r="M49" s="8">
        <v>75.86</v>
      </c>
      <c r="N49" s="8">
        <v>277.68</v>
      </c>
      <c r="O49" s="6" t="s">
        <v>26</v>
      </c>
      <c r="P49" s="6" t="s">
        <v>6</v>
      </c>
      <c r="Q49" s="6" t="s">
        <v>27</v>
      </c>
      <c r="R49" s="6"/>
      <c r="S49" s="6">
        <v>1</v>
      </c>
      <c r="T49" s="8">
        <v>23</v>
      </c>
      <c r="U49" s="9">
        <v>1</v>
      </c>
      <c r="V49" s="8">
        <v>23</v>
      </c>
      <c r="W49" s="6" t="s">
        <v>6</v>
      </c>
      <c r="X49" s="6"/>
    </row>
    <row r="50" spans="1:24" x14ac:dyDescent="0.25">
      <c r="A50" s="6" t="s">
        <v>202</v>
      </c>
      <c r="B50" s="6" t="s">
        <v>206</v>
      </c>
      <c r="C50" s="6" t="s">
        <v>109</v>
      </c>
      <c r="D50" s="6" t="s">
        <v>110</v>
      </c>
      <c r="E50" s="6" t="s">
        <v>24</v>
      </c>
      <c r="F50" s="6" t="s">
        <v>43</v>
      </c>
      <c r="G50" s="50" t="s">
        <v>6</v>
      </c>
      <c r="H50" s="51"/>
      <c r="I50" s="7">
        <v>46023</v>
      </c>
      <c r="J50" s="8">
        <v>849.9</v>
      </c>
      <c r="K50" s="8">
        <v>849.9</v>
      </c>
      <c r="L50" s="8">
        <v>849.9</v>
      </c>
      <c r="M50" s="8">
        <v>849.9</v>
      </c>
      <c r="N50" s="8">
        <v>0</v>
      </c>
      <c r="O50" s="6" t="s">
        <v>26</v>
      </c>
      <c r="P50" s="6" t="s">
        <v>6</v>
      </c>
      <c r="Q50" s="6" t="s">
        <v>27</v>
      </c>
      <c r="R50" s="6"/>
      <c r="S50" s="6">
        <v>3</v>
      </c>
      <c r="T50" s="8">
        <v>23</v>
      </c>
      <c r="U50" s="9">
        <v>1</v>
      </c>
      <c r="V50" s="8">
        <v>69</v>
      </c>
      <c r="W50" s="6" t="s">
        <v>6</v>
      </c>
      <c r="X50" s="6"/>
    </row>
    <row r="51" spans="1:24" x14ac:dyDescent="0.25">
      <c r="A51" s="6" t="s">
        <v>202</v>
      </c>
      <c r="B51" s="6" t="s">
        <v>206</v>
      </c>
      <c r="C51" s="6" t="s">
        <v>111</v>
      </c>
      <c r="D51" s="6" t="s">
        <v>112</v>
      </c>
      <c r="E51" s="6" t="s">
        <v>24</v>
      </c>
      <c r="F51" s="6" t="s">
        <v>43</v>
      </c>
      <c r="G51" s="50" t="s">
        <v>6</v>
      </c>
      <c r="H51" s="51"/>
      <c r="I51" s="7">
        <v>46023</v>
      </c>
      <c r="J51" s="8">
        <v>391.58</v>
      </c>
      <c r="K51" s="8">
        <v>391.58</v>
      </c>
      <c r="L51" s="8">
        <v>391.58</v>
      </c>
      <c r="M51" s="8">
        <v>391.58</v>
      </c>
      <c r="N51" s="8">
        <v>0</v>
      </c>
      <c r="O51" s="6" t="s">
        <v>26</v>
      </c>
      <c r="P51" s="6" t="s">
        <v>6</v>
      </c>
      <c r="Q51" s="6" t="s">
        <v>27</v>
      </c>
      <c r="R51" s="6"/>
      <c r="S51" s="6">
        <v>1</v>
      </c>
      <c r="T51" s="8">
        <v>23</v>
      </c>
      <c r="U51" s="9">
        <v>1</v>
      </c>
      <c r="V51" s="8">
        <v>23</v>
      </c>
      <c r="W51" s="6" t="s">
        <v>6</v>
      </c>
      <c r="X51" s="6"/>
    </row>
    <row r="52" spans="1:24" x14ac:dyDescent="0.25">
      <c r="A52" s="6" t="s">
        <v>202</v>
      </c>
      <c r="B52" s="6" t="s">
        <v>206</v>
      </c>
      <c r="C52" s="6" t="s">
        <v>113</v>
      </c>
      <c r="D52" s="6" t="s">
        <v>114</v>
      </c>
      <c r="E52" s="6" t="s">
        <v>24</v>
      </c>
      <c r="F52" s="6" t="s">
        <v>43</v>
      </c>
      <c r="G52" s="50" t="s">
        <v>6</v>
      </c>
      <c r="H52" s="51"/>
      <c r="I52" s="7">
        <v>46023</v>
      </c>
      <c r="J52" s="8">
        <v>596.28</v>
      </c>
      <c r="K52" s="8">
        <v>596.28</v>
      </c>
      <c r="L52" s="8">
        <v>596.28</v>
      </c>
      <c r="M52" s="8">
        <v>596.28</v>
      </c>
      <c r="N52" s="8">
        <v>0</v>
      </c>
      <c r="O52" s="6" t="s">
        <v>26</v>
      </c>
      <c r="P52" s="6" t="s">
        <v>6</v>
      </c>
      <c r="Q52" s="6" t="s">
        <v>27</v>
      </c>
      <c r="R52" s="6"/>
      <c r="S52" s="6">
        <v>1</v>
      </c>
      <c r="T52" s="8">
        <v>23</v>
      </c>
      <c r="U52" s="9">
        <v>1</v>
      </c>
      <c r="V52" s="8">
        <v>23</v>
      </c>
      <c r="W52" s="6" t="s">
        <v>6</v>
      </c>
      <c r="X52" s="6"/>
    </row>
    <row r="53" spans="1:24" x14ac:dyDescent="0.25">
      <c r="A53" s="6" t="s">
        <v>202</v>
      </c>
      <c r="B53" s="6" t="s">
        <v>206</v>
      </c>
      <c r="C53" s="6" t="s">
        <v>115</v>
      </c>
      <c r="D53" s="6" t="s">
        <v>116</v>
      </c>
      <c r="E53" s="6" t="s">
        <v>24</v>
      </c>
      <c r="F53" s="6" t="s">
        <v>43</v>
      </c>
      <c r="G53" s="50" t="s">
        <v>6</v>
      </c>
      <c r="H53" s="51"/>
      <c r="I53" s="7">
        <v>46023</v>
      </c>
      <c r="J53" s="8">
        <v>1204.19</v>
      </c>
      <c r="K53" s="8">
        <v>1204.19</v>
      </c>
      <c r="L53" s="8">
        <v>1204.19</v>
      </c>
      <c r="M53" s="8">
        <v>1204.19</v>
      </c>
      <c r="N53" s="8">
        <v>0</v>
      </c>
      <c r="O53" s="6" t="s">
        <v>26</v>
      </c>
      <c r="P53" s="6" t="s">
        <v>6</v>
      </c>
      <c r="Q53" s="6" t="s">
        <v>27</v>
      </c>
      <c r="R53" s="6"/>
      <c r="S53" s="6">
        <v>2</v>
      </c>
      <c r="T53" s="8">
        <v>23</v>
      </c>
      <c r="U53" s="9">
        <v>1</v>
      </c>
      <c r="V53" s="8">
        <v>46</v>
      </c>
      <c r="W53" s="6" t="s">
        <v>6</v>
      </c>
      <c r="X53" s="6"/>
    </row>
    <row r="54" spans="1:24" x14ac:dyDescent="0.25">
      <c r="A54" s="6" t="s">
        <v>202</v>
      </c>
      <c r="B54" s="6" t="s">
        <v>206</v>
      </c>
      <c r="C54" s="6" t="s">
        <v>117</v>
      </c>
      <c r="D54" s="6" t="s">
        <v>118</v>
      </c>
      <c r="E54" s="6" t="s">
        <v>24</v>
      </c>
      <c r="F54" s="6" t="s">
        <v>43</v>
      </c>
      <c r="G54" s="50" t="s">
        <v>6</v>
      </c>
      <c r="H54" s="51"/>
      <c r="I54" s="7">
        <v>46023</v>
      </c>
      <c r="J54" s="8">
        <v>131.5</v>
      </c>
      <c r="K54" s="8">
        <v>131.5</v>
      </c>
      <c r="L54" s="8">
        <v>367.85</v>
      </c>
      <c r="M54" s="8">
        <v>131.5</v>
      </c>
      <c r="N54" s="8">
        <v>236.35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25">
      <c r="A55" s="6" t="s">
        <v>202</v>
      </c>
      <c r="B55" s="6" t="s">
        <v>206</v>
      </c>
      <c r="C55" s="6" t="s">
        <v>119</v>
      </c>
      <c r="D55" s="6" t="s">
        <v>120</v>
      </c>
      <c r="E55" s="6" t="s">
        <v>24</v>
      </c>
      <c r="F55" s="6" t="s">
        <v>43</v>
      </c>
      <c r="G55" s="50" t="s">
        <v>6</v>
      </c>
      <c r="H55" s="51"/>
      <c r="I55" s="7">
        <v>46023</v>
      </c>
      <c r="J55" s="8">
        <v>1240.8699999999999</v>
      </c>
      <c r="K55" s="8">
        <v>1240.8699999999999</v>
      </c>
      <c r="L55" s="8">
        <v>9409.27</v>
      </c>
      <c r="M55" s="8">
        <v>7452.47</v>
      </c>
      <c r="N55" s="8">
        <v>1956.8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ht="22.5" x14ac:dyDescent="0.25">
      <c r="A56" s="6" t="s">
        <v>202</v>
      </c>
      <c r="B56" s="6" t="s">
        <v>206</v>
      </c>
      <c r="C56" s="6" t="s">
        <v>121</v>
      </c>
      <c r="D56" s="6" t="s">
        <v>122</v>
      </c>
      <c r="E56" s="6" t="s">
        <v>24</v>
      </c>
      <c r="F56" s="6" t="s">
        <v>43</v>
      </c>
      <c r="G56" s="50" t="s">
        <v>6</v>
      </c>
      <c r="H56" s="51"/>
      <c r="I56" s="7">
        <v>46023</v>
      </c>
      <c r="J56" s="8">
        <v>203.65</v>
      </c>
      <c r="K56" s="8">
        <v>203.65</v>
      </c>
      <c r="L56" s="8">
        <v>361.74</v>
      </c>
      <c r="M56" s="8">
        <v>203.65</v>
      </c>
      <c r="N56" s="8">
        <v>158.09</v>
      </c>
      <c r="O56" s="6" t="s">
        <v>26</v>
      </c>
      <c r="P56" s="6" t="s">
        <v>6</v>
      </c>
      <c r="Q56" s="6" t="s">
        <v>27</v>
      </c>
      <c r="R56" s="6"/>
      <c r="S56" s="6">
        <v>1</v>
      </c>
      <c r="T56" s="8">
        <v>23</v>
      </c>
      <c r="U56" s="9">
        <v>1</v>
      </c>
      <c r="V56" s="8">
        <v>23</v>
      </c>
      <c r="W56" s="6" t="s">
        <v>6</v>
      </c>
      <c r="X56" s="6"/>
    </row>
    <row r="57" spans="1:24" x14ac:dyDescent="0.25">
      <c r="A57" s="6" t="s">
        <v>202</v>
      </c>
      <c r="B57" s="6" t="s">
        <v>206</v>
      </c>
      <c r="C57" s="6" t="s">
        <v>123</v>
      </c>
      <c r="D57" s="6" t="s">
        <v>124</v>
      </c>
      <c r="E57" s="6" t="s">
        <v>24</v>
      </c>
      <c r="F57" s="6" t="s">
        <v>43</v>
      </c>
      <c r="G57" s="50" t="s">
        <v>6</v>
      </c>
      <c r="H57" s="51"/>
      <c r="I57" s="7">
        <v>46023</v>
      </c>
      <c r="J57" s="8">
        <v>296.35000000000002</v>
      </c>
      <c r="K57" s="8">
        <v>296.35000000000002</v>
      </c>
      <c r="L57" s="8">
        <v>5669.72</v>
      </c>
      <c r="M57" s="8">
        <v>1473.63</v>
      </c>
      <c r="N57" s="8">
        <v>4196.09</v>
      </c>
      <c r="O57" s="6" t="s">
        <v>26</v>
      </c>
      <c r="P57" s="6" t="s">
        <v>6</v>
      </c>
      <c r="Q57" s="6" t="s">
        <v>27</v>
      </c>
      <c r="R57" s="6"/>
      <c r="S57" s="6">
        <v>1</v>
      </c>
      <c r="T57" s="8">
        <v>23</v>
      </c>
      <c r="U57" s="9">
        <v>1</v>
      </c>
      <c r="V57" s="8">
        <v>23</v>
      </c>
      <c r="W57" s="6" t="s">
        <v>6</v>
      </c>
      <c r="X57" s="6"/>
    </row>
    <row r="58" spans="1:24" x14ac:dyDescent="0.25">
      <c r="A58" s="6" t="s">
        <v>202</v>
      </c>
      <c r="B58" s="6" t="s">
        <v>206</v>
      </c>
      <c r="C58" s="6" t="s">
        <v>125</v>
      </c>
      <c r="D58" s="6" t="s">
        <v>126</v>
      </c>
      <c r="E58" s="6" t="s">
        <v>24</v>
      </c>
      <c r="F58" s="6" t="s">
        <v>43</v>
      </c>
      <c r="G58" s="50" t="s">
        <v>6</v>
      </c>
      <c r="H58" s="51"/>
      <c r="I58" s="7">
        <v>46023</v>
      </c>
      <c r="J58" s="8">
        <v>1216.05</v>
      </c>
      <c r="K58" s="8">
        <v>1216.05</v>
      </c>
      <c r="L58" s="8">
        <v>1642.86</v>
      </c>
      <c r="M58" s="8">
        <v>1216.05</v>
      </c>
      <c r="N58" s="8">
        <v>426.81</v>
      </c>
      <c r="O58" s="6" t="s">
        <v>26</v>
      </c>
      <c r="P58" s="6" t="s">
        <v>6</v>
      </c>
      <c r="Q58" s="6" t="s">
        <v>27</v>
      </c>
      <c r="R58" s="6"/>
      <c r="S58" s="6">
        <v>4</v>
      </c>
      <c r="T58" s="8">
        <v>23</v>
      </c>
      <c r="U58" s="9">
        <v>1</v>
      </c>
      <c r="V58" s="8">
        <v>92</v>
      </c>
      <c r="W58" s="6" t="s">
        <v>6</v>
      </c>
      <c r="X58" s="6"/>
    </row>
    <row r="59" spans="1:24" x14ac:dyDescent="0.25">
      <c r="A59" s="6" t="s">
        <v>202</v>
      </c>
      <c r="B59" s="6" t="s">
        <v>206</v>
      </c>
      <c r="C59" s="6" t="s">
        <v>127</v>
      </c>
      <c r="D59" s="6" t="s">
        <v>128</v>
      </c>
      <c r="E59" s="6" t="s">
        <v>24</v>
      </c>
      <c r="F59" s="6" t="s">
        <v>43</v>
      </c>
      <c r="G59" s="50" t="s">
        <v>6</v>
      </c>
      <c r="H59" s="51"/>
      <c r="I59" s="7">
        <v>46023</v>
      </c>
      <c r="J59" s="8">
        <v>502.55</v>
      </c>
      <c r="K59" s="8">
        <v>502.55</v>
      </c>
      <c r="L59" s="8">
        <v>10079.120000000001</v>
      </c>
      <c r="M59" s="8">
        <v>2699.2</v>
      </c>
      <c r="N59" s="8">
        <v>7379.92</v>
      </c>
      <c r="O59" s="6" t="s">
        <v>26</v>
      </c>
      <c r="P59" s="6" t="s">
        <v>6</v>
      </c>
      <c r="Q59" s="6" t="s">
        <v>27</v>
      </c>
      <c r="R59" s="6"/>
      <c r="S59" s="6">
        <v>3</v>
      </c>
      <c r="T59" s="8">
        <v>23</v>
      </c>
      <c r="U59" s="9">
        <v>1</v>
      </c>
      <c r="V59" s="8">
        <v>69</v>
      </c>
      <c r="W59" s="6" t="s">
        <v>6</v>
      </c>
      <c r="X59" s="6"/>
    </row>
    <row r="60" spans="1:24" x14ac:dyDescent="0.25">
      <c r="A60" s="6" t="s">
        <v>202</v>
      </c>
      <c r="B60" s="6" t="s">
        <v>206</v>
      </c>
      <c r="C60" s="6" t="s">
        <v>129</v>
      </c>
      <c r="D60" s="6" t="s">
        <v>130</v>
      </c>
      <c r="E60" s="6" t="s">
        <v>24</v>
      </c>
      <c r="F60" s="6" t="s">
        <v>43</v>
      </c>
      <c r="G60" s="50" t="s">
        <v>6</v>
      </c>
      <c r="H60" s="51"/>
      <c r="I60" s="7">
        <v>46023</v>
      </c>
      <c r="J60" s="8">
        <v>759.38</v>
      </c>
      <c r="K60" s="8">
        <v>759.38</v>
      </c>
      <c r="L60" s="8">
        <v>10992.62</v>
      </c>
      <c r="M60" s="8">
        <v>5313.14</v>
      </c>
      <c r="N60" s="8">
        <v>5679.48</v>
      </c>
      <c r="O60" s="6" t="s">
        <v>26</v>
      </c>
      <c r="P60" s="6" t="s">
        <v>6</v>
      </c>
      <c r="Q60" s="6" t="s">
        <v>27</v>
      </c>
      <c r="R60" s="6"/>
      <c r="S60" s="6">
        <v>2</v>
      </c>
      <c r="T60" s="8">
        <v>23</v>
      </c>
      <c r="U60" s="9">
        <v>1</v>
      </c>
      <c r="V60" s="8">
        <v>46</v>
      </c>
      <c r="W60" s="6" t="s">
        <v>6</v>
      </c>
      <c r="X60" s="6"/>
    </row>
    <row r="61" spans="1:24" x14ac:dyDescent="0.25">
      <c r="A61" s="6" t="s">
        <v>202</v>
      </c>
      <c r="B61" s="6" t="s">
        <v>206</v>
      </c>
      <c r="C61" s="6" t="s">
        <v>131</v>
      </c>
      <c r="D61" s="6" t="s">
        <v>132</v>
      </c>
      <c r="E61" s="6" t="s">
        <v>24</v>
      </c>
      <c r="F61" s="6" t="s">
        <v>43</v>
      </c>
      <c r="G61" s="50" t="s">
        <v>6</v>
      </c>
      <c r="H61" s="51"/>
      <c r="I61" s="7">
        <v>46023</v>
      </c>
      <c r="J61" s="8">
        <v>77.489999999999995</v>
      </c>
      <c r="K61" s="8">
        <v>77.489999999999995</v>
      </c>
      <c r="L61" s="8">
        <v>1169.8</v>
      </c>
      <c r="M61" s="8">
        <v>77.489999999999995</v>
      </c>
      <c r="N61" s="8">
        <v>1092.31</v>
      </c>
      <c r="O61" s="6" t="s">
        <v>26</v>
      </c>
      <c r="P61" s="6" t="s">
        <v>6</v>
      </c>
      <c r="Q61" s="6" t="s">
        <v>27</v>
      </c>
      <c r="R61" s="6"/>
      <c r="S61" s="6">
        <v>1</v>
      </c>
      <c r="T61" s="8">
        <v>23</v>
      </c>
      <c r="U61" s="9">
        <v>1</v>
      </c>
      <c r="V61" s="8">
        <v>23</v>
      </c>
      <c r="W61" s="6" t="s">
        <v>6</v>
      </c>
      <c r="X61" s="6"/>
    </row>
    <row r="62" spans="1:24" x14ac:dyDescent="0.25">
      <c r="A62" s="6" t="s">
        <v>202</v>
      </c>
      <c r="B62" s="6" t="s">
        <v>206</v>
      </c>
      <c r="C62" s="6" t="s">
        <v>133</v>
      </c>
      <c r="D62" s="6" t="s">
        <v>134</v>
      </c>
      <c r="E62" s="6" t="s">
        <v>24</v>
      </c>
      <c r="F62" s="6" t="s">
        <v>43</v>
      </c>
      <c r="G62" s="50" t="s">
        <v>6</v>
      </c>
      <c r="H62" s="51"/>
      <c r="I62" s="7">
        <v>46023</v>
      </c>
      <c r="J62" s="8">
        <v>911.09</v>
      </c>
      <c r="K62" s="8">
        <v>806.5</v>
      </c>
      <c r="L62" s="8">
        <v>4137.17</v>
      </c>
      <c r="M62" s="8">
        <v>4137.17</v>
      </c>
      <c r="N62" s="8">
        <v>0</v>
      </c>
      <c r="O62" s="6" t="s">
        <v>26</v>
      </c>
      <c r="P62" s="6" t="s">
        <v>6</v>
      </c>
      <c r="Q62" s="6" t="s">
        <v>27</v>
      </c>
      <c r="R62" s="6"/>
      <c r="S62" s="6">
        <v>1</v>
      </c>
      <c r="T62" s="8">
        <v>23</v>
      </c>
      <c r="U62" s="9">
        <v>1</v>
      </c>
      <c r="V62" s="8">
        <v>20.36</v>
      </c>
      <c r="W62" s="6"/>
      <c r="X62" s="6"/>
    </row>
    <row r="63" spans="1:24" x14ac:dyDescent="0.25">
      <c r="A63" s="6" t="s">
        <v>202</v>
      </c>
      <c r="B63" s="6" t="s">
        <v>206</v>
      </c>
      <c r="C63" s="6" t="s">
        <v>135</v>
      </c>
      <c r="D63" s="6" t="s">
        <v>136</v>
      </c>
      <c r="E63" s="6" t="s">
        <v>24</v>
      </c>
      <c r="F63" s="6" t="s">
        <v>43</v>
      </c>
      <c r="G63" s="50" t="s">
        <v>6</v>
      </c>
      <c r="H63" s="51"/>
      <c r="I63" s="7">
        <v>46023</v>
      </c>
      <c r="J63" s="8">
        <v>19.87</v>
      </c>
      <c r="K63" s="8">
        <v>19.87</v>
      </c>
      <c r="L63" s="8">
        <v>877.13</v>
      </c>
      <c r="M63" s="8">
        <v>19.87</v>
      </c>
      <c r="N63" s="8">
        <v>857.26</v>
      </c>
      <c r="O63" s="6" t="s">
        <v>26</v>
      </c>
      <c r="P63" s="6" t="s">
        <v>6</v>
      </c>
      <c r="Q63" s="6" t="s">
        <v>27</v>
      </c>
      <c r="R63" s="6"/>
      <c r="S63" s="6">
        <v>1</v>
      </c>
      <c r="T63" s="8">
        <v>23</v>
      </c>
      <c r="U63" s="9">
        <v>1</v>
      </c>
      <c r="V63" s="8">
        <v>23</v>
      </c>
      <c r="W63" s="6" t="s">
        <v>6</v>
      </c>
      <c r="X63" s="6"/>
    </row>
    <row r="64" spans="1:24" x14ac:dyDescent="0.25">
      <c r="A64" s="6" t="s">
        <v>202</v>
      </c>
      <c r="B64" s="6" t="s">
        <v>206</v>
      </c>
      <c r="C64" s="6" t="s">
        <v>137</v>
      </c>
      <c r="D64" s="6" t="s">
        <v>138</v>
      </c>
      <c r="E64" s="6" t="s">
        <v>24</v>
      </c>
      <c r="F64" s="6" t="s">
        <v>43</v>
      </c>
      <c r="G64" s="50" t="s">
        <v>6</v>
      </c>
      <c r="H64" s="51"/>
      <c r="I64" s="7">
        <v>46023</v>
      </c>
      <c r="J64" s="8">
        <v>75.88</v>
      </c>
      <c r="K64" s="8">
        <v>75.88</v>
      </c>
      <c r="L64" s="8">
        <v>363.7</v>
      </c>
      <c r="M64" s="8">
        <v>75.88</v>
      </c>
      <c r="N64" s="8">
        <v>287.82</v>
      </c>
      <c r="O64" s="6" t="s">
        <v>26</v>
      </c>
      <c r="P64" s="6" t="s">
        <v>6</v>
      </c>
      <c r="Q64" s="6" t="s">
        <v>27</v>
      </c>
      <c r="R64" s="6"/>
      <c r="S64" s="6">
        <v>1</v>
      </c>
      <c r="T64" s="8">
        <v>23</v>
      </c>
      <c r="U64" s="9">
        <v>1</v>
      </c>
      <c r="V64" s="8">
        <v>23</v>
      </c>
      <c r="W64" s="6" t="s">
        <v>6</v>
      </c>
      <c r="X64" s="6"/>
    </row>
    <row r="65" spans="1:24" ht="22.5" x14ac:dyDescent="0.25">
      <c r="A65" s="6" t="s">
        <v>202</v>
      </c>
      <c r="B65" s="6" t="s">
        <v>206</v>
      </c>
      <c r="C65" s="6" t="s">
        <v>139</v>
      </c>
      <c r="D65" s="6" t="s">
        <v>140</v>
      </c>
      <c r="E65" s="6" t="s">
        <v>24</v>
      </c>
      <c r="F65" s="6" t="s">
        <v>43</v>
      </c>
      <c r="G65" s="50" t="s">
        <v>6</v>
      </c>
      <c r="H65" s="51"/>
      <c r="I65" s="7">
        <v>46023</v>
      </c>
      <c r="J65" s="8">
        <v>678.1</v>
      </c>
      <c r="K65" s="8">
        <v>707.29</v>
      </c>
      <c r="L65" s="8">
        <v>10361.620000000001</v>
      </c>
      <c r="M65" s="8">
        <v>8707.11</v>
      </c>
      <c r="N65" s="8">
        <v>1654.51</v>
      </c>
      <c r="O65" s="6" t="s">
        <v>26</v>
      </c>
      <c r="P65" s="6" t="s">
        <v>6</v>
      </c>
      <c r="Q65" s="6" t="s">
        <v>27</v>
      </c>
      <c r="R65" s="6"/>
      <c r="S65" s="6">
        <v>1</v>
      </c>
      <c r="T65" s="8">
        <v>23</v>
      </c>
      <c r="U65" s="9">
        <v>1</v>
      </c>
      <c r="V65" s="8">
        <v>23</v>
      </c>
      <c r="W65" s="6" t="s">
        <v>6</v>
      </c>
      <c r="X65" s="6"/>
    </row>
    <row r="66" spans="1:24" x14ac:dyDescent="0.25">
      <c r="A66" s="6" t="s">
        <v>202</v>
      </c>
      <c r="B66" s="6" t="s">
        <v>206</v>
      </c>
      <c r="C66" s="6" t="s">
        <v>141</v>
      </c>
      <c r="D66" s="6" t="s">
        <v>142</v>
      </c>
      <c r="E66" s="6" t="s">
        <v>24</v>
      </c>
      <c r="F66" s="6" t="s">
        <v>43</v>
      </c>
      <c r="G66" s="50" t="s">
        <v>6</v>
      </c>
      <c r="H66" s="51"/>
      <c r="I66" s="7">
        <v>46023</v>
      </c>
      <c r="J66" s="8">
        <v>423.02</v>
      </c>
      <c r="K66" s="8">
        <v>423.02</v>
      </c>
      <c r="L66" s="8">
        <v>6935.7</v>
      </c>
      <c r="M66" s="8">
        <v>6294.48</v>
      </c>
      <c r="N66" s="8">
        <v>641.22</v>
      </c>
      <c r="O66" s="6" t="s">
        <v>26</v>
      </c>
      <c r="P66" s="6" t="s">
        <v>6</v>
      </c>
      <c r="Q66" s="6" t="s">
        <v>27</v>
      </c>
      <c r="R66" s="6"/>
      <c r="S66" s="6">
        <v>1</v>
      </c>
      <c r="T66" s="8">
        <v>23</v>
      </c>
      <c r="U66" s="9">
        <v>1</v>
      </c>
      <c r="V66" s="8">
        <v>23</v>
      </c>
      <c r="W66" s="6" t="s">
        <v>6</v>
      </c>
      <c r="X66" s="6"/>
    </row>
    <row r="67" spans="1:24" x14ac:dyDescent="0.25">
      <c r="A67" s="6" t="s">
        <v>202</v>
      </c>
      <c r="B67" s="6" t="s">
        <v>206</v>
      </c>
      <c r="C67" s="6" t="s">
        <v>143</v>
      </c>
      <c r="D67" s="6" t="s">
        <v>144</v>
      </c>
      <c r="E67" s="6" t="s">
        <v>24</v>
      </c>
      <c r="F67" s="6" t="s">
        <v>43</v>
      </c>
      <c r="G67" s="50" t="s">
        <v>6</v>
      </c>
      <c r="H67" s="51"/>
      <c r="I67" s="7">
        <v>46023</v>
      </c>
      <c r="J67" s="8">
        <v>41.61</v>
      </c>
      <c r="K67" s="8">
        <v>41.61</v>
      </c>
      <c r="L67" s="8">
        <v>2268.92</v>
      </c>
      <c r="M67" s="8">
        <v>418.71</v>
      </c>
      <c r="N67" s="8">
        <v>1850.21</v>
      </c>
      <c r="O67" s="6" t="s">
        <v>26</v>
      </c>
      <c r="P67" s="6" t="s">
        <v>6</v>
      </c>
      <c r="Q67" s="6" t="s">
        <v>27</v>
      </c>
      <c r="R67" s="6"/>
      <c r="S67" s="6">
        <v>1</v>
      </c>
      <c r="T67" s="8">
        <v>23</v>
      </c>
      <c r="U67" s="9">
        <v>1</v>
      </c>
      <c r="V67" s="8">
        <v>23</v>
      </c>
      <c r="W67" s="6" t="s">
        <v>6</v>
      </c>
      <c r="X67" s="6"/>
    </row>
    <row r="68" spans="1:24" x14ac:dyDescent="0.25">
      <c r="A68" s="6" t="s">
        <v>202</v>
      </c>
      <c r="B68" s="6" t="s">
        <v>206</v>
      </c>
      <c r="C68" s="6" t="s">
        <v>145</v>
      </c>
      <c r="D68" s="6" t="s">
        <v>146</v>
      </c>
      <c r="E68" s="6" t="s">
        <v>24</v>
      </c>
      <c r="F68" s="6" t="s">
        <v>43</v>
      </c>
      <c r="G68" s="50" t="s">
        <v>6</v>
      </c>
      <c r="H68" s="51"/>
      <c r="I68" s="7">
        <v>46023</v>
      </c>
      <c r="J68" s="8">
        <v>1170.9000000000001</v>
      </c>
      <c r="K68" s="8">
        <v>1170.9000000000001</v>
      </c>
      <c r="L68" s="8">
        <v>1170.9000000000001</v>
      </c>
      <c r="M68" s="8">
        <v>1170.9000000000001</v>
      </c>
      <c r="N68" s="8">
        <v>0</v>
      </c>
      <c r="O68" s="6" t="s">
        <v>26</v>
      </c>
      <c r="P68" s="6" t="s">
        <v>6</v>
      </c>
      <c r="Q68" s="6" t="s">
        <v>27</v>
      </c>
      <c r="R68" s="6"/>
      <c r="S68" s="6">
        <v>1</v>
      </c>
      <c r="T68" s="8">
        <v>23</v>
      </c>
      <c r="U68" s="9">
        <v>1</v>
      </c>
      <c r="V68" s="8">
        <v>23</v>
      </c>
      <c r="W68" s="6" t="s">
        <v>6</v>
      </c>
      <c r="X68" s="6"/>
    </row>
    <row r="69" spans="1:24" x14ac:dyDescent="0.25">
      <c r="A69" s="6" t="s">
        <v>202</v>
      </c>
      <c r="B69" s="6" t="s">
        <v>206</v>
      </c>
      <c r="C69" s="6" t="s">
        <v>147</v>
      </c>
      <c r="D69" s="6" t="s">
        <v>148</v>
      </c>
      <c r="E69" s="6" t="s">
        <v>24</v>
      </c>
      <c r="F69" s="6" t="s">
        <v>43</v>
      </c>
      <c r="G69" s="50" t="s">
        <v>6</v>
      </c>
      <c r="H69" s="51"/>
      <c r="I69" s="7">
        <v>46023</v>
      </c>
      <c r="J69" s="8">
        <v>105.47</v>
      </c>
      <c r="K69" s="8">
        <v>105.47</v>
      </c>
      <c r="L69" s="8">
        <v>685.88</v>
      </c>
      <c r="M69" s="8">
        <v>105.47</v>
      </c>
      <c r="N69" s="8">
        <v>580.41</v>
      </c>
      <c r="O69" s="6" t="s">
        <v>26</v>
      </c>
      <c r="P69" s="6" t="s">
        <v>6</v>
      </c>
      <c r="Q69" s="6" t="s">
        <v>27</v>
      </c>
      <c r="R69" s="6"/>
      <c r="S69" s="6">
        <v>1</v>
      </c>
      <c r="T69" s="8">
        <v>23</v>
      </c>
      <c r="U69" s="9">
        <v>1</v>
      </c>
      <c r="V69" s="8">
        <v>23</v>
      </c>
      <c r="W69" s="6" t="s">
        <v>6</v>
      </c>
      <c r="X69" s="6"/>
    </row>
    <row r="70" spans="1:24" x14ac:dyDescent="0.25">
      <c r="A70" s="6" t="s">
        <v>202</v>
      </c>
      <c r="B70" s="6" t="s">
        <v>206</v>
      </c>
      <c r="C70" s="6" t="s">
        <v>149</v>
      </c>
      <c r="D70" s="6" t="s">
        <v>150</v>
      </c>
      <c r="E70" s="6" t="s">
        <v>24</v>
      </c>
      <c r="F70" s="6" t="s">
        <v>43</v>
      </c>
      <c r="G70" s="50" t="s">
        <v>6</v>
      </c>
      <c r="H70" s="51"/>
      <c r="I70" s="7">
        <v>46023</v>
      </c>
      <c r="J70" s="8">
        <v>800.76</v>
      </c>
      <c r="K70" s="8">
        <v>800.76</v>
      </c>
      <c r="L70" s="8">
        <v>800.76</v>
      </c>
      <c r="M70" s="8">
        <v>800.76</v>
      </c>
      <c r="N70" s="8">
        <v>0</v>
      </c>
      <c r="O70" s="6" t="s">
        <v>26</v>
      </c>
      <c r="P70" s="6" t="s">
        <v>6</v>
      </c>
      <c r="Q70" s="6" t="s">
        <v>27</v>
      </c>
      <c r="R70" s="6"/>
      <c r="S70" s="6">
        <v>1</v>
      </c>
      <c r="T70" s="8">
        <v>23</v>
      </c>
      <c r="U70" s="9">
        <v>1</v>
      </c>
      <c r="V70" s="8">
        <v>23</v>
      </c>
      <c r="W70" s="6" t="s">
        <v>6</v>
      </c>
      <c r="X70" s="6"/>
    </row>
    <row r="71" spans="1:24" x14ac:dyDescent="0.25">
      <c r="A71" s="6" t="s">
        <v>202</v>
      </c>
      <c r="B71" s="6" t="s">
        <v>206</v>
      </c>
      <c r="C71" s="6" t="s">
        <v>151</v>
      </c>
      <c r="D71" s="6" t="s">
        <v>152</v>
      </c>
      <c r="E71" s="6" t="s">
        <v>24</v>
      </c>
      <c r="F71" s="6" t="s">
        <v>43</v>
      </c>
      <c r="G71" s="50" t="s">
        <v>6</v>
      </c>
      <c r="H71" s="51"/>
      <c r="I71" s="7">
        <v>46023</v>
      </c>
      <c r="J71" s="8">
        <v>603.79999999999995</v>
      </c>
      <c r="K71" s="8">
        <v>603.79999999999995</v>
      </c>
      <c r="L71" s="8">
        <v>1871.69</v>
      </c>
      <c r="M71" s="8">
        <v>603.79999999999995</v>
      </c>
      <c r="N71" s="8">
        <v>1267.8900000000001</v>
      </c>
      <c r="O71" s="6" t="s">
        <v>26</v>
      </c>
      <c r="P71" s="6" t="s">
        <v>6</v>
      </c>
      <c r="Q71" s="6" t="s">
        <v>27</v>
      </c>
      <c r="R71" s="6"/>
      <c r="S71" s="6">
        <v>3</v>
      </c>
      <c r="T71" s="8">
        <v>23</v>
      </c>
      <c r="U71" s="9">
        <v>1</v>
      </c>
      <c r="V71" s="8">
        <v>69</v>
      </c>
      <c r="W71" s="6" t="s">
        <v>6</v>
      </c>
      <c r="X71" s="6"/>
    </row>
    <row r="72" spans="1:24" x14ac:dyDescent="0.25">
      <c r="A72" s="6" t="s">
        <v>202</v>
      </c>
      <c r="B72" s="6" t="s">
        <v>206</v>
      </c>
      <c r="C72" s="6" t="s">
        <v>153</v>
      </c>
      <c r="D72" s="6" t="s">
        <v>154</v>
      </c>
      <c r="E72" s="6" t="s">
        <v>24</v>
      </c>
      <c r="F72" s="6" t="s">
        <v>43</v>
      </c>
      <c r="G72" s="50" t="s">
        <v>6</v>
      </c>
      <c r="H72" s="51"/>
      <c r="I72" s="7">
        <v>46023</v>
      </c>
      <c r="J72" s="8">
        <v>168.59</v>
      </c>
      <c r="K72" s="8">
        <v>168.59</v>
      </c>
      <c r="L72" s="8">
        <v>976.44</v>
      </c>
      <c r="M72" s="8">
        <v>168.59</v>
      </c>
      <c r="N72" s="8">
        <v>807.85</v>
      </c>
      <c r="O72" s="6" t="s">
        <v>26</v>
      </c>
      <c r="P72" s="6" t="s">
        <v>6</v>
      </c>
      <c r="Q72" s="6" t="s">
        <v>27</v>
      </c>
      <c r="R72" s="6"/>
      <c r="S72" s="6">
        <v>2</v>
      </c>
      <c r="T72" s="8">
        <v>23</v>
      </c>
      <c r="U72" s="9">
        <v>1</v>
      </c>
      <c r="V72" s="8">
        <v>46</v>
      </c>
      <c r="W72" s="6" t="s">
        <v>6</v>
      </c>
      <c r="X72" s="6"/>
    </row>
    <row r="73" spans="1:24" x14ac:dyDescent="0.25">
      <c r="A73" s="6" t="s">
        <v>207</v>
      </c>
      <c r="B73" s="6" t="s">
        <v>208</v>
      </c>
      <c r="C73" s="6" t="s">
        <v>157</v>
      </c>
      <c r="D73" s="6" t="s">
        <v>158</v>
      </c>
      <c r="E73" s="6" t="s">
        <v>24</v>
      </c>
      <c r="F73" s="6" t="s">
        <v>43</v>
      </c>
      <c r="G73" s="50" t="s">
        <v>6</v>
      </c>
      <c r="H73" s="51"/>
      <c r="I73" s="7">
        <v>46023</v>
      </c>
      <c r="J73" s="8">
        <v>18.14</v>
      </c>
      <c r="K73" s="8">
        <v>18.14</v>
      </c>
      <c r="L73" s="8">
        <v>454.3</v>
      </c>
      <c r="M73" s="8">
        <v>18.14</v>
      </c>
      <c r="N73" s="8">
        <v>436.16</v>
      </c>
      <c r="O73" s="6" t="s">
        <v>26</v>
      </c>
      <c r="P73" s="6" t="s">
        <v>6</v>
      </c>
      <c r="Q73" s="6" t="s">
        <v>27</v>
      </c>
      <c r="R73" s="6"/>
      <c r="S73" s="6">
        <v>1</v>
      </c>
      <c r="T73" s="8">
        <v>23</v>
      </c>
      <c r="U73" s="9">
        <v>1</v>
      </c>
      <c r="V73" s="8">
        <v>23</v>
      </c>
      <c r="W73" s="6" t="s">
        <v>6</v>
      </c>
      <c r="X73" s="6"/>
    </row>
    <row r="74" spans="1:24" x14ac:dyDescent="0.25">
      <c r="A74" s="6" t="s">
        <v>207</v>
      </c>
      <c r="B74" s="6" t="s">
        <v>208</v>
      </c>
      <c r="C74" s="6" t="s">
        <v>159</v>
      </c>
      <c r="D74" s="6" t="s">
        <v>160</v>
      </c>
      <c r="E74" s="6" t="s">
        <v>24</v>
      </c>
      <c r="F74" s="6" t="s">
        <v>43</v>
      </c>
      <c r="G74" s="50" t="s">
        <v>6</v>
      </c>
      <c r="H74" s="51"/>
      <c r="I74" s="7">
        <v>46023</v>
      </c>
      <c r="J74" s="8">
        <v>131.12</v>
      </c>
      <c r="K74" s="8">
        <v>131.12</v>
      </c>
      <c r="L74" s="8">
        <v>1675.34</v>
      </c>
      <c r="M74" s="8">
        <v>131.12</v>
      </c>
      <c r="N74" s="8">
        <v>1544.22</v>
      </c>
      <c r="O74" s="6" t="s">
        <v>26</v>
      </c>
      <c r="P74" s="6" t="s">
        <v>6</v>
      </c>
      <c r="Q74" s="6" t="s">
        <v>27</v>
      </c>
      <c r="R74" s="6"/>
      <c r="S74" s="6">
        <v>3</v>
      </c>
      <c r="T74" s="8">
        <v>23</v>
      </c>
      <c r="U74" s="9">
        <v>1</v>
      </c>
      <c r="V74" s="8">
        <v>69</v>
      </c>
      <c r="W74" s="6" t="s">
        <v>6</v>
      </c>
      <c r="X74" s="6"/>
    </row>
    <row r="75" spans="1:24" x14ac:dyDescent="0.25">
      <c r="A75" s="6" t="s">
        <v>207</v>
      </c>
      <c r="B75" s="6" t="s">
        <v>208</v>
      </c>
      <c r="C75" s="6" t="s">
        <v>161</v>
      </c>
      <c r="D75" s="6" t="s">
        <v>162</v>
      </c>
      <c r="E75" s="6" t="s">
        <v>24</v>
      </c>
      <c r="F75" s="6" t="s">
        <v>43</v>
      </c>
      <c r="G75" s="50" t="s">
        <v>6</v>
      </c>
      <c r="H75" s="51"/>
      <c r="I75" s="7">
        <v>46023</v>
      </c>
      <c r="J75" s="8">
        <v>194.66</v>
      </c>
      <c r="K75" s="8">
        <v>194.66</v>
      </c>
      <c r="L75" s="8">
        <v>892.5</v>
      </c>
      <c r="M75" s="8">
        <v>518.5</v>
      </c>
      <c r="N75" s="8">
        <v>374</v>
      </c>
      <c r="O75" s="6" t="s">
        <v>26</v>
      </c>
      <c r="P75" s="6" t="s">
        <v>6</v>
      </c>
      <c r="Q75" s="6" t="s">
        <v>27</v>
      </c>
      <c r="R75" s="6"/>
      <c r="S75" s="6">
        <v>1</v>
      </c>
      <c r="T75" s="8">
        <v>23</v>
      </c>
      <c r="U75" s="9">
        <v>1</v>
      </c>
      <c r="V75" s="8">
        <v>23</v>
      </c>
      <c r="W75" s="6" t="s">
        <v>6</v>
      </c>
      <c r="X75" s="6"/>
    </row>
    <row r="76" spans="1:24" x14ac:dyDescent="0.25">
      <c r="A76" s="6" t="s">
        <v>207</v>
      </c>
      <c r="B76" s="6" t="s">
        <v>208</v>
      </c>
      <c r="C76" s="6" t="s">
        <v>163</v>
      </c>
      <c r="D76" s="6" t="s">
        <v>164</v>
      </c>
      <c r="E76" s="6" t="s">
        <v>24</v>
      </c>
      <c r="F76" s="6" t="s">
        <v>43</v>
      </c>
      <c r="G76" s="50" t="s">
        <v>6</v>
      </c>
      <c r="H76" s="51"/>
      <c r="I76" s="7">
        <v>46023</v>
      </c>
      <c r="J76" s="8">
        <v>370.6</v>
      </c>
      <c r="K76" s="8">
        <v>370.6</v>
      </c>
      <c r="L76" s="8">
        <v>370.6</v>
      </c>
      <c r="M76" s="8">
        <v>370.6</v>
      </c>
      <c r="N76" s="8">
        <v>0</v>
      </c>
      <c r="O76" s="6" t="s">
        <v>26</v>
      </c>
      <c r="P76" s="6" t="s">
        <v>6</v>
      </c>
      <c r="Q76" s="6" t="s">
        <v>27</v>
      </c>
      <c r="R76" s="6"/>
      <c r="S76" s="6">
        <v>1</v>
      </c>
      <c r="T76" s="8">
        <v>23</v>
      </c>
      <c r="U76" s="9">
        <v>1</v>
      </c>
      <c r="V76" s="8">
        <v>23</v>
      </c>
      <c r="W76" s="6" t="s">
        <v>6</v>
      </c>
      <c r="X76" s="6"/>
    </row>
    <row r="77" spans="1:24" x14ac:dyDescent="0.25">
      <c r="A77" s="6" t="s">
        <v>207</v>
      </c>
      <c r="B77" s="6" t="s">
        <v>208</v>
      </c>
      <c r="C77" s="6" t="s">
        <v>165</v>
      </c>
      <c r="D77" s="6" t="s">
        <v>166</v>
      </c>
      <c r="E77" s="6" t="s">
        <v>24</v>
      </c>
      <c r="F77" s="6" t="s">
        <v>43</v>
      </c>
      <c r="G77" s="50" t="s">
        <v>6</v>
      </c>
      <c r="H77" s="51"/>
      <c r="I77" s="7">
        <v>46023</v>
      </c>
      <c r="J77" s="8">
        <v>100.43</v>
      </c>
      <c r="K77" s="8">
        <v>100.43</v>
      </c>
      <c r="L77" s="8">
        <v>762.15</v>
      </c>
      <c r="M77" s="8">
        <v>100.43</v>
      </c>
      <c r="N77" s="8">
        <v>661.72</v>
      </c>
      <c r="O77" s="6" t="s">
        <v>26</v>
      </c>
      <c r="P77" s="6" t="s">
        <v>6</v>
      </c>
      <c r="Q77" s="6" t="s">
        <v>27</v>
      </c>
      <c r="R77" s="6"/>
      <c r="S77" s="6">
        <v>1</v>
      </c>
      <c r="T77" s="8">
        <v>23</v>
      </c>
      <c r="U77" s="9">
        <v>1</v>
      </c>
      <c r="V77" s="8">
        <v>23</v>
      </c>
      <c r="W77" s="6" t="s">
        <v>6</v>
      </c>
      <c r="X77" s="6"/>
    </row>
    <row r="78" spans="1:24" x14ac:dyDescent="0.25">
      <c r="A78" s="6" t="s">
        <v>207</v>
      </c>
      <c r="B78" s="6" t="s">
        <v>208</v>
      </c>
      <c r="C78" s="6" t="s">
        <v>167</v>
      </c>
      <c r="D78" s="6" t="s">
        <v>168</v>
      </c>
      <c r="E78" s="6" t="s">
        <v>24</v>
      </c>
      <c r="F78" s="6" t="s">
        <v>43</v>
      </c>
      <c r="G78" s="50" t="s">
        <v>6</v>
      </c>
      <c r="H78" s="51"/>
      <c r="I78" s="7">
        <v>46023</v>
      </c>
      <c r="J78" s="8">
        <v>332.94</v>
      </c>
      <c r="K78" s="8">
        <v>332.94</v>
      </c>
      <c r="L78" s="8">
        <v>353.16</v>
      </c>
      <c r="M78" s="8">
        <v>332.94</v>
      </c>
      <c r="N78" s="8">
        <v>20.22</v>
      </c>
      <c r="O78" s="6" t="s">
        <v>26</v>
      </c>
      <c r="P78" s="6" t="s">
        <v>6</v>
      </c>
      <c r="Q78" s="6" t="s">
        <v>27</v>
      </c>
      <c r="R78" s="6"/>
      <c r="S78" s="6">
        <v>1</v>
      </c>
      <c r="T78" s="8">
        <v>23</v>
      </c>
      <c r="U78" s="9">
        <v>1</v>
      </c>
      <c r="V78" s="8">
        <v>23</v>
      </c>
      <c r="W78" s="6" t="s">
        <v>6</v>
      </c>
      <c r="X78" s="6"/>
    </row>
    <row r="79" spans="1:24" x14ac:dyDescent="0.25">
      <c r="A79" s="6" t="s">
        <v>207</v>
      </c>
      <c r="B79" s="6" t="s">
        <v>208</v>
      </c>
      <c r="C79" s="6" t="s">
        <v>169</v>
      </c>
      <c r="D79" s="6" t="s">
        <v>170</v>
      </c>
      <c r="E79" s="6" t="s">
        <v>24</v>
      </c>
      <c r="F79" s="6" t="s">
        <v>43</v>
      </c>
      <c r="G79" s="50" t="s">
        <v>6</v>
      </c>
      <c r="H79" s="51"/>
      <c r="I79" s="7">
        <v>46023</v>
      </c>
      <c r="J79" s="8">
        <v>415.65</v>
      </c>
      <c r="K79" s="8">
        <v>415.65</v>
      </c>
      <c r="L79" s="8">
        <v>2342.8200000000002</v>
      </c>
      <c r="M79" s="8">
        <v>415.65</v>
      </c>
      <c r="N79" s="8">
        <v>1927.17</v>
      </c>
      <c r="O79" s="6" t="s">
        <v>26</v>
      </c>
      <c r="P79" s="6" t="s">
        <v>6</v>
      </c>
      <c r="Q79" s="6" t="s">
        <v>27</v>
      </c>
      <c r="R79" s="6"/>
      <c r="S79" s="6">
        <v>2</v>
      </c>
      <c r="T79" s="8">
        <v>23</v>
      </c>
      <c r="U79" s="9">
        <v>1</v>
      </c>
      <c r="V79" s="8">
        <v>46</v>
      </c>
      <c r="W79" s="6" t="s">
        <v>6</v>
      </c>
      <c r="X79" s="6"/>
    </row>
    <row r="80" spans="1:24" x14ac:dyDescent="0.25">
      <c r="A80" s="6" t="s">
        <v>207</v>
      </c>
      <c r="B80" s="6" t="s">
        <v>208</v>
      </c>
      <c r="C80" s="6" t="s">
        <v>171</v>
      </c>
      <c r="D80" s="6" t="s">
        <v>172</v>
      </c>
      <c r="E80" s="6" t="s">
        <v>24</v>
      </c>
      <c r="F80" s="6" t="s">
        <v>43</v>
      </c>
      <c r="G80" s="50" t="s">
        <v>6</v>
      </c>
      <c r="H80" s="51"/>
      <c r="I80" s="7">
        <v>46023</v>
      </c>
      <c r="J80" s="8">
        <v>392.5</v>
      </c>
      <c r="K80" s="8">
        <v>392.5</v>
      </c>
      <c r="L80" s="8">
        <v>1011.57</v>
      </c>
      <c r="M80" s="8">
        <v>392.5</v>
      </c>
      <c r="N80" s="8">
        <v>619.07000000000005</v>
      </c>
      <c r="O80" s="6" t="s">
        <v>26</v>
      </c>
      <c r="P80" s="6" t="s">
        <v>6</v>
      </c>
      <c r="Q80" s="6" t="s">
        <v>27</v>
      </c>
      <c r="R80" s="6"/>
      <c r="S80" s="6">
        <v>1</v>
      </c>
      <c r="T80" s="8">
        <v>23</v>
      </c>
      <c r="U80" s="9">
        <v>1</v>
      </c>
      <c r="V80" s="8">
        <v>23</v>
      </c>
      <c r="W80" s="6" t="s">
        <v>6</v>
      </c>
      <c r="X80" s="6"/>
    </row>
    <row r="81" spans="1:24" x14ac:dyDescent="0.25">
      <c r="A81" s="6" t="s">
        <v>207</v>
      </c>
      <c r="B81" s="6" t="s">
        <v>208</v>
      </c>
      <c r="C81" s="6" t="s">
        <v>173</v>
      </c>
      <c r="D81" s="6" t="s">
        <v>174</v>
      </c>
      <c r="E81" s="6" t="s">
        <v>24</v>
      </c>
      <c r="F81" s="6" t="s">
        <v>43</v>
      </c>
      <c r="G81" s="50" t="s">
        <v>6</v>
      </c>
      <c r="H81" s="51"/>
      <c r="I81" s="7">
        <v>46023</v>
      </c>
      <c r="J81" s="8">
        <v>141.18</v>
      </c>
      <c r="K81" s="8">
        <v>141.18</v>
      </c>
      <c r="L81" s="8">
        <v>225.47</v>
      </c>
      <c r="M81" s="8">
        <v>141.18</v>
      </c>
      <c r="N81" s="8">
        <v>84.29</v>
      </c>
      <c r="O81" s="6" t="s">
        <v>26</v>
      </c>
      <c r="P81" s="6" t="s">
        <v>6</v>
      </c>
      <c r="Q81" s="6" t="s">
        <v>27</v>
      </c>
      <c r="R81" s="6"/>
      <c r="S81" s="6">
        <v>1</v>
      </c>
      <c r="T81" s="8">
        <v>23</v>
      </c>
      <c r="U81" s="9">
        <v>1</v>
      </c>
      <c r="V81" s="8">
        <v>23</v>
      </c>
      <c r="W81" s="6" t="s">
        <v>6</v>
      </c>
      <c r="X81" s="6"/>
    </row>
    <row r="82" spans="1:24" ht="33.75" x14ac:dyDescent="0.25">
      <c r="A82" s="6" t="s">
        <v>209</v>
      </c>
      <c r="B82" s="6" t="s">
        <v>210</v>
      </c>
      <c r="C82" s="6"/>
      <c r="D82" s="6" t="s">
        <v>38</v>
      </c>
      <c r="E82" s="6"/>
      <c r="F82" s="6"/>
      <c r="G82" s="50" t="s">
        <v>204</v>
      </c>
      <c r="H82" s="51"/>
      <c r="I82" s="6"/>
      <c r="J82" s="6"/>
      <c r="K82" s="6"/>
      <c r="L82" s="8">
        <v>0</v>
      </c>
      <c r="M82" s="6"/>
      <c r="N82" s="6"/>
      <c r="O82" s="6" t="s">
        <v>39</v>
      </c>
      <c r="P82" s="6" t="s">
        <v>6</v>
      </c>
      <c r="Q82" s="6" t="s">
        <v>205</v>
      </c>
      <c r="R82" s="6"/>
      <c r="S82" s="6"/>
      <c r="T82" s="6"/>
      <c r="U82" s="6"/>
      <c r="V82" s="8">
        <v>187.85</v>
      </c>
      <c r="W82" s="6" t="s">
        <v>6</v>
      </c>
      <c r="X82" s="6" t="s">
        <v>40</v>
      </c>
    </row>
    <row r="83" spans="1:24" x14ac:dyDescent="0.25">
      <c r="A83" s="6" t="s">
        <v>209</v>
      </c>
      <c r="B83" s="6" t="s">
        <v>211</v>
      </c>
      <c r="C83" s="6" t="s">
        <v>177</v>
      </c>
      <c r="D83" s="6" t="s">
        <v>178</v>
      </c>
      <c r="E83" s="6" t="s">
        <v>24</v>
      </c>
      <c r="F83" s="6" t="s">
        <v>43</v>
      </c>
      <c r="G83" s="50" t="s">
        <v>6</v>
      </c>
      <c r="H83" s="51"/>
      <c r="I83" s="7">
        <v>46023</v>
      </c>
      <c r="J83" s="8">
        <v>902.9</v>
      </c>
      <c r="K83" s="8">
        <v>902.9</v>
      </c>
      <c r="L83" s="8">
        <v>902.9</v>
      </c>
      <c r="M83" s="8">
        <v>902.9</v>
      </c>
      <c r="N83" s="8">
        <v>0</v>
      </c>
      <c r="O83" s="6" t="s">
        <v>26</v>
      </c>
      <c r="P83" s="6" t="s">
        <v>6</v>
      </c>
      <c r="Q83" s="6" t="s">
        <v>27</v>
      </c>
      <c r="R83" s="6"/>
      <c r="S83" s="6">
        <v>1</v>
      </c>
      <c r="T83" s="8">
        <v>23</v>
      </c>
      <c r="U83" s="9">
        <v>1</v>
      </c>
      <c r="V83" s="8">
        <v>23</v>
      </c>
      <c r="W83" s="6" t="s">
        <v>6</v>
      </c>
      <c r="X83" s="6"/>
    </row>
    <row r="84" spans="1:24" x14ac:dyDescent="0.25">
      <c r="A84" s="6" t="s">
        <v>209</v>
      </c>
      <c r="B84" s="6" t="s">
        <v>211</v>
      </c>
      <c r="C84" s="6" t="s">
        <v>179</v>
      </c>
      <c r="D84" s="6" t="s">
        <v>180</v>
      </c>
      <c r="E84" s="6" t="s">
        <v>24</v>
      </c>
      <c r="F84" s="6" t="s">
        <v>43</v>
      </c>
      <c r="G84" s="50" t="s">
        <v>6</v>
      </c>
      <c r="H84" s="51"/>
      <c r="I84" s="7">
        <v>46023</v>
      </c>
      <c r="J84" s="8">
        <v>232.76</v>
      </c>
      <c r="K84" s="8">
        <v>232.76</v>
      </c>
      <c r="L84" s="8">
        <v>473.52</v>
      </c>
      <c r="M84" s="8">
        <v>232.76</v>
      </c>
      <c r="N84" s="8">
        <v>240.76</v>
      </c>
      <c r="O84" s="6" t="s">
        <v>26</v>
      </c>
      <c r="P84" s="6" t="s">
        <v>6</v>
      </c>
      <c r="Q84" s="6" t="s">
        <v>27</v>
      </c>
      <c r="R84" s="6"/>
      <c r="S84" s="6">
        <v>1</v>
      </c>
      <c r="T84" s="8">
        <v>23</v>
      </c>
      <c r="U84" s="9">
        <v>1</v>
      </c>
      <c r="V84" s="8">
        <v>23</v>
      </c>
      <c r="W84" s="6" t="s">
        <v>6</v>
      </c>
      <c r="X84" s="6"/>
    </row>
    <row r="85" spans="1:24" x14ac:dyDescent="0.25">
      <c r="A85" s="6" t="s">
        <v>209</v>
      </c>
      <c r="B85" s="6" t="s">
        <v>211</v>
      </c>
      <c r="C85" s="6" t="s">
        <v>181</v>
      </c>
      <c r="D85" s="6" t="s">
        <v>182</v>
      </c>
      <c r="E85" s="6" t="s">
        <v>24</v>
      </c>
      <c r="F85" s="6" t="s">
        <v>43</v>
      </c>
      <c r="G85" s="50" t="s">
        <v>6</v>
      </c>
      <c r="H85" s="51"/>
      <c r="I85" s="7">
        <v>46023</v>
      </c>
      <c r="J85" s="8">
        <v>3.73</v>
      </c>
      <c r="K85" s="8">
        <v>3.73</v>
      </c>
      <c r="L85" s="8">
        <v>1818.56</v>
      </c>
      <c r="M85" s="8">
        <v>3.73</v>
      </c>
      <c r="N85" s="8">
        <v>1814.83</v>
      </c>
      <c r="O85" s="6" t="s">
        <v>26</v>
      </c>
      <c r="P85" s="6" t="s">
        <v>6</v>
      </c>
      <c r="Q85" s="6" t="s">
        <v>27</v>
      </c>
      <c r="R85" s="6"/>
      <c r="S85" s="6">
        <v>2</v>
      </c>
      <c r="T85" s="8">
        <v>23</v>
      </c>
      <c r="U85" s="9">
        <v>1</v>
      </c>
      <c r="V85" s="8">
        <v>46</v>
      </c>
      <c r="W85" s="6" t="s">
        <v>6</v>
      </c>
      <c r="X85" s="6"/>
    </row>
    <row r="86" spans="1:24" x14ac:dyDescent="0.25">
      <c r="A86" s="6" t="s">
        <v>209</v>
      </c>
      <c r="B86" s="6" t="s">
        <v>211</v>
      </c>
      <c r="C86" s="6" t="s">
        <v>183</v>
      </c>
      <c r="D86" s="6" t="s">
        <v>184</v>
      </c>
      <c r="E86" s="6" t="s">
        <v>24</v>
      </c>
      <c r="F86" s="6" t="s">
        <v>43</v>
      </c>
      <c r="G86" s="50" t="s">
        <v>6</v>
      </c>
      <c r="H86" s="51"/>
      <c r="I86" s="7">
        <v>46023</v>
      </c>
      <c r="J86" s="8">
        <v>826.14</v>
      </c>
      <c r="K86" s="8">
        <v>826.14</v>
      </c>
      <c r="L86" s="8">
        <v>826.14</v>
      </c>
      <c r="M86" s="8">
        <v>826.14</v>
      </c>
      <c r="N86" s="8">
        <v>0</v>
      </c>
      <c r="O86" s="6" t="s">
        <v>26</v>
      </c>
      <c r="P86" s="6" t="s">
        <v>6</v>
      </c>
      <c r="Q86" s="6" t="s">
        <v>27</v>
      </c>
      <c r="R86" s="6"/>
      <c r="S86" s="6">
        <v>1</v>
      </c>
      <c r="T86" s="8">
        <v>23</v>
      </c>
      <c r="U86" s="9">
        <v>1</v>
      </c>
      <c r="V86" s="8">
        <v>23</v>
      </c>
      <c r="W86" s="6" t="s">
        <v>6</v>
      </c>
      <c r="X86" s="6"/>
    </row>
    <row r="87" spans="1:24" x14ac:dyDescent="0.25">
      <c r="A87" s="6" t="s">
        <v>212</v>
      </c>
      <c r="B87" s="6" t="s">
        <v>213</v>
      </c>
      <c r="C87" s="6" t="s">
        <v>187</v>
      </c>
      <c r="D87" s="6" t="s">
        <v>188</v>
      </c>
      <c r="E87" s="6" t="s">
        <v>24</v>
      </c>
      <c r="F87" s="6" t="s">
        <v>25</v>
      </c>
      <c r="G87" s="50" t="s">
        <v>6</v>
      </c>
      <c r="H87" s="51"/>
      <c r="I87" s="7">
        <v>45931</v>
      </c>
      <c r="J87" s="8">
        <v>137.97999999999999</v>
      </c>
      <c r="K87" s="8">
        <v>137.97999999999999</v>
      </c>
      <c r="L87" s="8">
        <v>6515.82</v>
      </c>
      <c r="M87" s="8">
        <v>1241.82</v>
      </c>
      <c r="N87" s="8">
        <v>5274</v>
      </c>
      <c r="O87" s="6" t="s">
        <v>26</v>
      </c>
      <c r="P87" s="6" t="s">
        <v>6</v>
      </c>
      <c r="Q87" s="6" t="s">
        <v>27</v>
      </c>
      <c r="R87" s="6"/>
      <c r="S87" s="6">
        <v>2</v>
      </c>
      <c r="T87" s="8">
        <v>20</v>
      </c>
      <c r="U87" s="9">
        <v>1</v>
      </c>
      <c r="V87" s="8">
        <v>40</v>
      </c>
      <c r="W87" s="6" t="s">
        <v>6</v>
      </c>
      <c r="X87" s="6"/>
    </row>
    <row r="88" spans="1:24" x14ac:dyDescent="0.25">
      <c r="A88" s="6" t="s">
        <v>212</v>
      </c>
      <c r="B88" s="6" t="s">
        <v>213</v>
      </c>
      <c r="C88" s="6" t="s">
        <v>187</v>
      </c>
      <c r="D88" s="6" t="s">
        <v>188</v>
      </c>
      <c r="E88" s="6" t="s">
        <v>24</v>
      </c>
      <c r="F88" s="6" t="s">
        <v>25</v>
      </c>
      <c r="G88" s="50" t="s">
        <v>6</v>
      </c>
      <c r="H88" s="51"/>
      <c r="I88" s="7">
        <v>45962</v>
      </c>
      <c r="J88" s="8">
        <v>0</v>
      </c>
      <c r="K88" s="8">
        <v>137.97999999999999</v>
      </c>
      <c r="L88" s="8">
        <v>6653.8</v>
      </c>
      <c r="M88" s="8">
        <v>1379.8</v>
      </c>
      <c r="N88" s="8">
        <v>5274</v>
      </c>
      <c r="O88" s="6" t="s">
        <v>26</v>
      </c>
      <c r="P88" s="6" t="s">
        <v>6</v>
      </c>
      <c r="Q88" s="6" t="s">
        <v>27</v>
      </c>
      <c r="R88" s="6"/>
      <c r="S88" s="6">
        <v>2</v>
      </c>
      <c r="T88" s="8">
        <v>20</v>
      </c>
      <c r="U88" s="9">
        <v>1</v>
      </c>
      <c r="V88" s="8">
        <v>40</v>
      </c>
      <c r="W88" s="6" t="s">
        <v>6</v>
      </c>
      <c r="X88" s="6"/>
    </row>
    <row r="89" spans="1:24" x14ac:dyDescent="0.25">
      <c r="A89" s="6" t="s">
        <v>212</v>
      </c>
      <c r="B89" s="6" t="s">
        <v>213</v>
      </c>
      <c r="C89" s="6" t="s">
        <v>187</v>
      </c>
      <c r="D89" s="6" t="s">
        <v>188</v>
      </c>
      <c r="E89" s="6" t="s">
        <v>24</v>
      </c>
      <c r="F89" s="6" t="s">
        <v>25</v>
      </c>
      <c r="G89" s="50" t="s">
        <v>6</v>
      </c>
      <c r="H89" s="51"/>
      <c r="I89" s="7">
        <v>45992</v>
      </c>
      <c r="J89" s="8">
        <v>0</v>
      </c>
      <c r="K89" s="8">
        <v>137.97999999999999</v>
      </c>
      <c r="L89" s="8">
        <v>6791.78</v>
      </c>
      <c r="M89" s="8">
        <v>1517.78</v>
      </c>
      <c r="N89" s="8">
        <v>5274</v>
      </c>
      <c r="O89" s="6" t="s">
        <v>26</v>
      </c>
      <c r="P89" s="6" t="s">
        <v>6</v>
      </c>
      <c r="Q89" s="6" t="s">
        <v>27</v>
      </c>
      <c r="R89" s="6"/>
      <c r="S89" s="6">
        <v>2</v>
      </c>
      <c r="T89" s="8">
        <v>20</v>
      </c>
      <c r="U89" s="9">
        <v>1</v>
      </c>
      <c r="V89" s="8">
        <v>40</v>
      </c>
      <c r="W89" s="6" t="s">
        <v>6</v>
      </c>
      <c r="X89" s="6"/>
    </row>
    <row r="90" spans="1:24" x14ac:dyDescent="0.25">
      <c r="A90" s="6" t="s">
        <v>212</v>
      </c>
      <c r="B90" s="6" t="s">
        <v>213</v>
      </c>
      <c r="C90" s="6" t="s">
        <v>187</v>
      </c>
      <c r="D90" s="6" t="s">
        <v>188</v>
      </c>
      <c r="E90" s="6" t="s">
        <v>24</v>
      </c>
      <c r="F90" s="6" t="s">
        <v>25</v>
      </c>
      <c r="G90" s="50" t="s">
        <v>6</v>
      </c>
      <c r="H90" s="51"/>
      <c r="I90" s="7">
        <v>46023</v>
      </c>
      <c r="J90" s="8">
        <v>0</v>
      </c>
      <c r="K90" s="8">
        <v>312.32</v>
      </c>
      <c r="L90" s="8">
        <v>7104.1</v>
      </c>
      <c r="M90" s="8">
        <v>1830.1</v>
      </c>
      <c r="N90" s="8">
        <v>5274</v>
      </c>
      <c r="O90" s="6" t="s">
        <v>26</v>
      </c>
      <c r="P90" s="6" t="s">
        <v>6</v>
      </c>
      <c r="Q90" s="6" t="s">
        <v>27</v>
      </c>
      <c r="R90" s="6"/>
      <c r="S90" s="6">
        <v>2</v>
      </c>
      <c r="T90" s="8">
        <v>20</v>
      </c>
      <c r="U90" s="9">
        <v>1</v>
      </c>
      <c r="V90" s="8">
        <v>40</v>
      </c>
      <c r="W90" s="6" t="s">
        <v>6</v>
      </c>
      <c r="X90" s="6"/>
    </row>
    <row r="91" spans="1:24" ht="10.9" customHeight="1" x14ac:dyDescent="0.25"/>
  </sheetData>
  <mergeCells count="88">
    <mergeCell ref="G88:H88"/>
    <mergeCell ref="G89:H89"/>
    <mergeCell ref="G90:H90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68:H68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645D-FC70-45AD-A8EB-7A113820EAA2}">
  <dimension ref="A1:R111"/>
  <sheetViews>
    <sheetView tabSelected="1" topLeftCell="A94" workbookViewId="0">
      <selection activeCell="F52" sqref="F52"/>
    </sheetView>
  </sheetViews>
  <sheetFormatPr defaultRowHeight="15" customHeight="1" x14ac:dyDescent="0.25"/>
  <cols>
    <col min="1" max="1" width="30.7109375" customWidth="1"/>
    <col min="2" max="2" width="9.28515625" customWidth="1"/>
    <col min="3" max="5" width="18" customWidth="1"/>
    <col min="6" max="7" width="15.7109375" customWidth="1"/>
    <col min="8" max="8" width="4.28515625" customWidth="1"/>
    <col min="9" max="9" width="8.140625" customWidth="1"/>
    <col min="10" max="10" width="8" style="35" customWidth="1"/>
    <col min="11" max="11" width="13.7109375" customWidth="1"/>
    <col min="12" max="12" width="6.5703125" customWidth="1"/>
    <col min="13" max="13" width="12.140625" customWidth="1"/>
    <col min="14" max="14" width="21.42578125" customWidth="1"/>
    <col min="15" max="15" width="9.7109375" customWidth="1"/>
    <col min="16" max="16" width="12.7109375" customWidth="1"/>
    <col min="17" max="17" width="14.7109375" bestFit="1" customWidth="1"/>
  </cols>
  <sheetData>
    <row r="1" spans="1:17" ht="15" customHeight="1" x14ac:dyDescent="0.25">
      <c r="A1" s="20" t="s">
        <v>192</v>
      </c>
      <c r="B1" s="20" t="s">
        <v>193</v>
      </c>
      <c r="C1" s="20" t="s">
        <v>7</v>
      </c>
      <c r="D1" s="20"/>
      <c r="E1" s="20"/>
      <c r="F1" s="20" t="s">
        <v>8</v>
      </c>
      <c r="G1" s="20"/>
      <c r="H1" s="20" t="s">
        <v>10</v>
      </c>
      <c r="I1" s="21" t="s">
        <v>11</v>
      </c>
      <c r="J1" s="32" t="s">
        <v>13</v>
      </c>
      <c r="K1" s="20" t="s">
        <v>194</v>
      </c>
      <c r="L1" s="20" t="s">
        <v>12</v>
      </c>
      <c r="M1" s="20" t="s">
        <v>16</v>
      </c>
      <c r="N1" s="20" t="s">
        <v>18</v>
      </c>
      <c r="O1" s="20" t="s">
        <v>19</v>
      </c>
      <c r="P1" s="20" t="s">
        <v>21</v>
      </c>
    </row>
    <row r="2" spans="1:17" ht="15" customHeight="1" x14ac:dyDescent="0.25">
      <c r="A2" s="22" t="s">
        <v>200</v>
      </c>
      <c r="B2" s="22">
        <v>8977234</v>
      </c>
      <c r="C2" s="22" t="s">
        <v>310</v>
      </c>
      <c r="D2" s="22" t="s">
        <v>311</v>
      </c>
      <c r="E2" s="22" t="str">
        <f>CONCATENATE(D2," ",C2)</f>
        <v>MARCO CORTES</v>
      </c>
      <c r="F2" s="23">
        <v>803374747001</v>
      </c>
      <c r="G2" s="23" t="str">
        <f>CONCATENATE(F2,0)</f>
        <v>8033747470010</v>
      </c>
      <c r="H2" s="22" t="s">
        <v>25</v>
      </c>
      <c r="I2" s="33">
        <v>46023</v>
      </c>
      <c r="J2" s="33">
        <v>46023</v>
      </c>
      <c r="K2" s="24">
        <v>1</v>
      </c>
      <c r="L2" s="22" t="s">
        <v>26</v>
      </c>
      <c r="M2" s="22" t="s">
        <v>27</v>
      </c>
      <c r="N2" s="22" t="s">
        <v>292</v>
      </c>
      <c r="O2" s="24">
        <v>20</v>
      </c>
      <c r="P2" s="24">
        <v>40</v>
      </c>
      <c r="Q2" t="s">
        <v>300</v>
      </c>
    </row>
    <row r="3" spans="1:17" ht="15" customHeight="1" x14ac:dyDescent="0.25">
      <c r="A3" s="22" t="s">
        <v>200</v>
      </c>
      <c r="B3" s="22">
        <v>8977234</v>
      </c>
      <c r="C3" s="22" t="s">
        <v>312</v>
      </c>
      <c r="D3" s="22" t="s">
        <v>313</v>
      </c>
      <c r="E3" s="22" t="str">
        <f t="shared" ref="E3:E66" si="0">CONCATENATE(D3," ",C3)</f>
        <v>STEPHANIE FOOT</v>
      </c>
      <c r="F3" s="23">
        <v>803409698001</v>
      </c>
      <c r="G3" s="23" t="str">
        <f t="shared" ref="G3:G66" si="1">CONCATENATE(F3,0)</f>
        <v>8034096980010</v>
      </c>
      <c r="H3" s="22" t="s">
        <v>25</v>
      </c>
      <c r="I3" s="33">
        <v>46023</v>
      </c>
      <c r="J3" s="33">
        <v>46023</v>
      </c>
      <c r="K3" s="24">
        <v>1</v>
      </c>
      <c r="L3" s="22" t="s">
        <v>26</v>
      </c>
      <c r="M3" s="22" t="s">
        <v>27</v>
      </c>
      <c r="N3" s="22"/>
      <c r="O3" s="24">
        <v>20</v>
      </c>
      <c r="P3" s="24">
        <v>20</v>
      </c>
      <c r="Q3" t="s">
        <v>300</v>
      </c>
    </row>
    <row r="4" spans="1:17" ht="15" customHeight="1" x14ac:dyDescent="0.25">
      <c r="A4" s="22" t="s">
        <v>200</v>
      </c>
      <c r="B4" s="22">
        <v>8977234</v>
      </c>
      <c r="C4" s="22" t="s">
        <v>314</v>
      </c>
      <c r="D4" s="22" t="s">
        <v>315</v>
      </c>
      <c r="E4" s="22" t="str">
        <f t="shared" si="0"/>
        <v>BRAYDEN SMITH</v>
      </c>
      <c r="F4" s="23">
        <v>803408128001</v>
      </c>
      <c r="G4" s="23" t="str">
        <f t="shared" si="1"/>
        <v>8034081280010</v>
      </c>
      <c r="H4" s="22" t="s">
        <v>25</v>
      </c>
      <c r="I4" s="33">
        <v>46023</v>
      </c>
      <c r="J4" s="33">
        <v>46023</v>
      </c>
      <c r="K4" s="24">
        <v>1</v>
      </c>
      <c r="L4" s="22" t="s">
        <v>26</v>
      </c>
      <c r="M4" s="22" t="s">
        <v>27</v>
      </c>
      <c r="N4" s="22"/>
      <c r="O4" s="24">
        <v>20</v>
      </c>
      <c r="P4" s="24">
        <v>20</v>
      </c>
      <c r="Q4" t="s">
        <v>300</v>
      </c>
    </row>
    <row r="5" spans="1:17" ht="15" customHeight="1" x14ac:dyDescent="0.25">
      <c r="A5" s="22" t="s">
        <v>200</v>
      </c>
      <c r="B5" s="22">
        <v>8977234</v>
      </c>
      <c r="C5" s="22" t="s">
        <v>316</v>
      </c>
      <c r="D5" s="22" t="s">
        <v>317</v>
      </c>
      <c r="E5" s="22" t="str">
        <f t="shared" si="0"/>
        <v>STEVEN STOUT</v>
      </c>
      <c r="F5" s="23">
        <v>803376130001</v>
      </c>
      <c r="G5" s="23" t="str">
        <f t="shared" si="1"/>
        <v>8033761300010</v>
      </c>
      <c r="H5" s="22" t="s">
        <v>25</v>
      </c>
      <c r="I5" s="33">
        <v>46023</v>
      </c>
      <c r="J5" s="33">
        <v>46023</v>
      </c>
      <c r="K5" s="24">
        <v>1</v>
      </c>
      <c r="L5" s="22" t="s">
        <v>26</v>
      </c>
      <c r="M5" s="22" t="s">
        <v>27</v>
      </c>
      <c r="N5" s="22" t="s">
        <v>292</v>
      </c>
      <c r="O5" s="24">
        <v>20</v>
      </c>
      <c r="P5" s="24">
        <v>40</v>
      </c>
      <c r="Q5" t="s">
        <v>300</v>
      </c>
    </row>
    <row r="6" spans="1:17" ht="15" customHeight="1" x14ac:dyDescent="0.25">
      <c r="A6" s="22" t="s">
        <v>200</v>
      </c>
      <c r="B6" s="22">
        <v>8977234</v>
      </c>
      <c r="C6" s="22" t="s">
        <v>318</v>
      </c>
      <c r="D6" s="22" t="s">
        <v>319</v>
      </c>
      <c r="E6" s="22" t="str">
        <f t="shared" si="0"/>
        <v>RYOSUKE USHIJIMA</v>
      </c>
      <c r="F6" s="23">
        <v>803246726001</v>
      </c>
      <c r="G6" s="23" t="str">
        <f t="shared" si="1"/>
        <v>8032467260010</v>
      </c>
      <c r="H6" s="22" t="s">
        <v>25</v>
      </c>
      <c r="I6" s="33">
        <v>45717</v>
      </c>
      <c r="J6" s="33">
        <v>46023</v>
      </c>
      <c r="K6" s="24">
        <v>1</v>
      </c>
      <c r="L6" s="22" t="s">
        <v>26</v>
      </c>
      <c r="M6" s="22" t="s">
        <v>27</v>
      </c>
      <c r="N6" s="22" t="s">
        <v>292</v>
      </c>
      <c r="O6" s="24">
        <v>20</v>
      </c>
      <c r="P6" s="24">
        <v>40</v>
      </c>
      <c r="Q6" t="s">
        <v>300</v>
      </c>
    </row>
    <row r="7" spans="1:17" ht="15" customHeight="1" x14ac:dyDescent="0.25">
      <c r="A7" s="22" t="s">
        <v>202</v>
      </c>
      <c r="B7" s="22">
        <v>16865615</v>
      </c>
      <c r="C7" s="22" t="s">
        <v>320</v>
      </c>
      <c r="D7" s="22" t="s">
        <v>321</v>
      </c>
      <c r="E7" s="22" t="str">
        <f t="shared" si="0"/>
        <v>REBECCA ANDRUSZKA</v>
      </c>
      <c r="F7" s="23">
        <v>802878100001</v>
      </c>
      <c r="G7" s="23" t="str">
        <f t="shared" si="1"/>
        <v>8028781000010</v>
      </c>
      <c r="H7" s="22" t="s">
        <v>43</v>
      </c>
      <c r="I7" s="33">
        <v>45658</v>
      </c>
      <c r="J7" s="33">
        <v>46023</v>
      </c>
      <c r="K7" s="24">
        <v>1</v>
      </c>
      <c r="L7" s="22" t="s">
        <v>26</v>
      </c>
      <c r="M7" s="22" t="s">
        <v>27</v>
      </c>
      <c r="N7" s="22"/>
      <c r="O7" s="24">
        <v>23</v>
      </c>
      <c r="P7" s="24">
        <v>23</v>
      </c>
      <c r="Q7" t="s">
        <v>309</v>
      </c>
    </row>
    <row r="8" spans="1:17" ht="15" customHeight="1" x14ac:dyDescent="0.25">
      <c r="A8" s="22" t="s">
        <v>202</v>
      </c>
      <c r="B8" s="22">
        <v>16865615</v>
      </c>
      <c r="C8" s="22" t="s">
        <v>322</v>
      </c>
      <c r="D8" s="22" t="s">
        <v>323</v>
      </c>
      <c r="E8" s="22" t="str">
        <f t="shared" si="0"/>
        <v>ERIC BLOOM</v>
      </c>
      <c r="F8" s="23">
        <v>802896446001</v>
      </c>
      <c r="G8" s="23" t="str">
        <f t="shared" si="1"/>
        <v>8028964460010</v>
      </c>
      <c r="H8" s="22" t="s">
        <v>43</v>
      </c>
      <c r="I8" s="33">
        <v>45658</v>
      </c>
      <c r="J8" s="33">
        <v>46023</v>
      </c>
      <c r="K8" s="24">
        <v>1</v>
      </c>
      <c r="L8" s="22" t="s">
        <v>26</v>
      </c>
      <c r="M8" s="22" t="s">
        <v>27</v>
      </c>
      <c r="N8" s="22"/>
      <c r="O8" s="24">
        <v>23</v>
      </c>
      <c r="P8" s="24">
        <v>23</v>
      </c>
      <c r="Q8" t="s">
        <v>309</v>
      </c>
    </row>
    <row r="9" spans="1:17" ht="15" customHeight="1" x14ac:dyDescent="0.25">
      <c r="A9" s="22" t="s">
        <v>202</v>
      </c>
      <c r="B9" s="22">
        <v>16865615</v>
      </c>
      <c r="C9" s="22" t="s">
        <v>324</v>
      </c>
      <c r="D9" s="22" t="s">
        <v>325</v>
      </c>
      <c r="E9" s="22" t="str">
        <f t="shared" si="0"/>
        <v>CHARLES BODINE</v>
      </c>
      <c r="F9" s="23">
        <v>803481123001</v>
      </c>
      <c r="G9" s="23" t="str">
        <f t="shared" si="1"/>
        <v>8034811230010</v>
      </c>
      <c r="H9" s="22" t="s">
        <v>43</v>
      </c>
      <c r="I9" s="33">
        <v>46023</v>
      </c>
      <c r="J9" s="33">
        <v>46023</v>
      </c>
      <c r="K9" s="24">
        <v>1</v>
      </c>
      <c r="L9" s="22" t="s">
        <v>26</v>
      </c>
      <c r="M9" s="22" t="s">
        <v>27</v>
      </c>
      <c r="N9" s="22"/>
      <c r="O9" s="24">
        <v>23</v>
      </c>
      <c r="P9" s="24">
        <v>23</v>
      </c>
      <c r="Q9" t="s">
        <v>309</v>
      </c>
    </row>
    <row r="10" spans="1:17" ht="15" customHeight="1" x14ac:dyDescent="0.25">
      <c r="A10" s="22" t="s">
        <v>202</v>
      </c>
      <c r="B10" s="22">
        <v>16865615</v>
      </c>
      <c r="C10" s="22" t="s">
        <v>326</v>
      </c>
      <c r="D10" s="22" t="s">
        <v>327</v>
      </c>
      <c r="E10" s="22" t="str">
        <f t="shared" si="0"/>
        <v>PIERRE BOUCHARD</v>
      </c>
      <c r="F10" s="23">
        <v>803406851001</v>
      </c>
      <c r="G10" s="23" t="str">
        <f t="shared" si="1"/>
        <v>8034068510010</v>
      </c>
      <c r="H10" s="22" t="s">
        <v>43</v>
      </c>
      <c r="I10" s="33">
        <v>46023</v>
      </c>
      <c r="J10" s="33">
        <v>46023</v>
      </c>
      <c r="K10" s="24">
        <v>1</v>
      </c>
      <c r="L10" s="22" t="s">
        <v>26</v>
      </c>
      <c r="M10" s="22" t="s">
        <v>27</v>
      </c>
      <c r="N10" s="22"/>
      <c r="O10" s="24">
        <v>23</v>
      </c>
      <c r="P10" s="24">
        <v>23</v>
      </c>
      <c r="Q10" t="s">
        <v>309</v>
      </c>
    </row>
    <row r="11" spans="1:17" ht="15" customHeight="1" x14ac:dyDescent="0.25">
      <c r="A11" s="22" t="s">
        <v>202</v>
      </c>
      <c r="B11" s="22">
        <v>16865615</v>
      </c>
      <c r="C11" s="22" t="s">
        <v>328</v>
      </c>
      <c r="D11" s="22" t="s">
        <v>329</v>
      </c>
      <c r="E11" s="22" t="str">
        <f t="shared" si="0"/>
        <v>JASON BOWLES</v>
      </c>
      <c r="F11" s="23">
        <v>803256188001</v>
      </c>
      <c r="G11" s="23" t="str">
        <f t="shared" si="1"/>
        <v>8032561880010</v>
      </c>
      <c r="H11" s="22" t="s">
        <v>43</v>
      </c>
      <c r="I11" s="33">
        <v>45658</v>
      </c>
      <c r="J11" s="33">
        <v>46023</v>
      </c>
      <c r="K11" s="24">
        <v>1</v>
      </c>
      <c r="L11" s="22" t="s">
        <v>26</v>
      </c>
      <c r="M11" s="22" t="s">
        <v>27</v>
      </c>
      <c r="N11" s="22" t="s">
        <v>292</v>
      </c>
      <c r="O11" s="24">
        <v>23</v>
      </c>
      <c r="P11" s="24">
        <v>46</v>
      </c>
      <c r="Q11" t="s">
        <v>309</v>
      </c>
    </row>
    <row r="12" spans="1:17" ht="15" customHeight="1" x14ac:dyDescent="0.25">
      <c r="A12" s="22" t="s">
        <v>202</v>
      </c>
      <c r="B12" s="22">
        <v>16865615</v>
      </c>
      <c r="C12" s="22" t="s">
        <v>330</v>
      </c>
      <c r="D12" s="22" t="s">
        <v>331</v>
      </c>
      <c r="E12" s="22" t="str">
        <f t="shared" si="0"/>
        <v>ANJA BRANNSTROM</v>
      </c>
      <c r="F12" s="23">
        <v>802875000001</v>
      </c>
      <c r="G12" s="23" t="str">
        <f t="shared" si="1"/>
        <v>8028750000010</v>
      </c>
      <c r="H12" s="22" t="s">
        <v>43</v>
      </c>
      <c r="I12" s="33">
        <v>45658</v>
      </c>
      <c r="J12" s="33">
        <v>46023</v>
      </c>
      <c r="K12" s="24">
        <v>1</v>
      </c>
      <c r="L12" s="22" t="s">
        <v>26</v>
      </c>
      <c r="M12" s="22" t="s">
        <v>27</v>
      </c>
      <c r="N12" s="22"/>
      <c r="O12" s="24">
        <v>23</v>
      </c>
      <c r="P12" s="24">
        <v>23</v>
      </c>
      <c r="Q12" t="s">
        <v>309</v>
      </c>
    </row>
    <row r="13" spans="1:17" ht="15" customHeight="1" x14ac:dyDescent="0.25">
      <c r="A13" s="22" t="s">
        <v>202</v>
      </c>
      <c r="B13" s="22">
        <v>16865615</v>
      </c>
      <c r="C13" s="22" t="s">
        <v>332</v>
      </c>
      <c r="D13" s="22" t="s">
        <v>333</v>
      </c>
      <c r="E13" s="22" t="str">
        <f t="shared" si="0"/>
        <v>KURT BREWER</v>
      </c>
      <c r="F13" s="23">
        <v>803455181001</v>
      </c>
      <c r="G13" s="23" t="str">
        <f t="shared" si="1"/>
        <v>8034551810010</v>
      </c>
      <c r="H13" s="22" t="s">
        <v>43</v>
      </c>
      <c r="I13" s="33">
        <v>46023</v>
      </c>
      <c r="J13" s="33">
        <v>46023</v>
      </c>
      <c r="K13" s="24">
        <v>1</v>
      </c>
      <c r="L13" s="22" t="s">
        <v>26</v>
      </c>
      <c r="M13" s="22" t="s">
        <v>27</v>
      </c>
      <c r="N13" s="22" t="s">
        <v>294</v>
      </c>
      <c r="O13" s="24">
        <v>23</v>
      </c>
      <c r="P13" s="24">
        <v>115</v>
      </c>
      <c r="Q13" t="s">
        <v>309</v>
      </c>
    </row>
    <row r="14" spans="1:17" ht="15" customHeight="1" x14ac:dyDescent="0.25">
      <c r="A14" s="22" t="s">
        <v>202</v>
      </c>
      <c r="B14" s="22">
        <v>16865615</v>
      </c>
      <c r="C14" s="22" t="s">
        <v>334</v>
      </c>
      <c r="D14" s="22" t="s">
        <v>335</v>
      </c>
      <c r="E14" s="22" t="str">
        <f t="shared" si="0"/>
        <v>JENNIFER BRIDGE</v>
      </c>
      <c r="F14" s="23">
        <v>803092864001</v>
      </c>
      <c r="G14" s="23" t="str">
        <f t="shared" si="1"/>
        <v>8030928640010</v>
      </c>
      <c r="H14" s="22" t="s">
        <v>43</v>
      </c>
      <c r="I14" s="33">
        <v>45658</v>
      </c>
      <c r="J14" s="33">
        <v>46023</v>
      </c>
      <c r="K14" s="24">
        <v>1</v>
      </c>
      <c r="L14" s="22" t="s">
        <v>26</v>
      </c>
      <c r="M14" s="22" t="s">
        <v>27</v>
      </c>
      <c r="N14" s="22" t="s">
        <v>293</v>
      </c>
      <c r="O14" s="24">
        <v>23</v>
      </c>
      <c r="P14" s="24">
        <v>69</v>
      </c>
      <c r="Q14" t="s">
        <v>309</v>
      </c>
    </row>
    <row r="15" spans="1:17" ht="15" customHeight="1" x14ac:dyDescent="0.25">
      <c r="A15" s="22" t="s">
        <v>202</v>
      </c>
      <c r="B15" s="22">
        <v>16865615</v>
      </c>
      <c r="C15" s="22" t="s">
        <v>336</v>
      </c>
      <c r="D15" s="22" t="s">
        <v>337</v>
      </c>
      <c r="E15" s="22" t="str">
        <f t="shared" si="0"/>
        <v>JENNA BRINK</v>
      </c>
      <c r="F15" s="23">
        <v>803226175001</v>
      </c>
      <c r="G15" s="23" t="str">
        <f t="shared" si="1"/>
        <v>8032261750010</v>
      </c>
      <c r="H15" s="22" t="s">
        <v>43</v>
      </c>
      <c r="I15" s="33">
        <v>45717</v>
      </c>
      <c r="J15" s="33">
        <v>46023</v>
      </c>
      <c r="K15" s="24">
        <v>1</v>
      </c>
      <c r="L15" s="22" t="s">
        <v>26</v>
      </c>
      <c r="M15" s="22" t="s">
        <v>27</v>
      </c>
      <c r="N15" s="22"/>
      <c r="O15" s="24">
        <v>23</v>
      </c>
      <c r="P15" s="24">
        <v>23</v>
      </c>
      <c r="Q15" t="s">
        <v>309</v>
      </c>
    </row>
    <row r="16" spans="1:17" s="30" customFormat="1" ht="15" customHeight="1" x14ac:dyDescent="0.25">
      <c r="A16" s="25" t="s">
        <v>202</v>
      </c>
      <c r="B16" s="22">
        <v>16865615</v>
      </c>
      <c r="C16" s="25" t="s">
        <v>338</v>
      </c>
      <c r="D16" s="25" t="s">
        <v>339</v>
      </c>
      <c r="E16" s="22" t="str">
        <f t="shared" si="0"/>
        <v>MICHAEL BURKE</v>
      </c>
      <c r="F16" s="26">
        <v>802931529001</v>
      </c>
      <c r="G16" s="26">
        <v>802931529001</v>
      </c>
      <c r="H16" s="25" t="s">
        <v>43</v>
      </c>
      <c r="I16" s="33">
        <v>45658</v>
      </c>
      <c r="J16" s="34">
        <v>45992</v>
      </c>
      <c r="K16" s="27">
        <v>1115.6600000000001</v>
      </c>
      <c r="L16" s="25" t="s">
        <v>26</v>
      </c>
      <c r="M16" s="25" t="s">
        <v>62</v>
      </c>
      <c r="N16" s="25"/>
      <c r="O16" s="28">
        <v>4.2500000000000003E-2</v>
      </c>
      <c r="P16" s="27">
        <v>47.41</v>
      </c>
      <c r="Q16" s="29" t="s">
        <v>301</v>
      </c>
    </row>
    <row r="17" spans="1:17" ht="15" customHeight="1" x14ac:dyDescent="0.25">
      <c r="A17" s="22" t="s">
        <v>202</v>
      </c>
      <c r="B17" s="22">
        <v>16865615</v>
      </c>
      <c r="C17" s="22" t="s">
        <v>340</v>
      </c>
      <c r="D17" s="22" t="s">
        <v>341</v>
      </c>
      <c r="E17" s="22" t="str">
        <f t="shared" si="0"/>
        <v>JOHN CARD</v>
      </c>
      <c r="F17" s="23">
        <v>803454120001</v>
      </c>
      <c r="G17" s="23" t="str">
        <f t="shared" si="1"/>
        <v>8034541200010</v>
      </c>
      <c r="H17" s="22" t="s">
        <v>43</v>
      </c>
      <c r="I17" s="33">
        <v>46023</v>
      </c>
      <c r="J17" s="33">
        <v>46023</v>
      </c>
      <c r="K17" s="24">
        <v>1</v>
      </c>
      <c r="L17" s="22" t="s">
        <v>26</v>
      </c>
      <c r="M17" s="22" t="s">
        <v>27</v>
      </c>
      <c r="N17" s="22" t="s">
        <v>292</v>
      </c>
      <c r="O17" s="24">
        <v>23</v>
      </c>
      <c r="P17" s="24">
        <v>46</v>
      </c>
      <c r="Q17" t="s">
        <v>309</v>
      </c>
    </row>
    <row r="18" spans="1:17" ht="15" customHeight="1" x14ac:dyDescent="0.25">
      <c r="A18" s="22" t="s">
        <v>202</v>
      </c>
      <c r="B18" s="22">
        <v>16865615</v>
      </c>
      <c r="C18" s="22" t="s">
        <v>342</v>
      </c>
      <c r="D18" s="22" t="s">
        <v>343</v>
      </c>
      <c r="E18" s="22" t="str">
        <f t="shared" si="0"/>
        <v>MARYELLEN CARLSON</v>
      </c>
      <c r="F18" s="23">
        <v>803409885001</v>
      </c>
      <c r="G18" s="23" t="str">
        <f t="shared" si="1"/>
        <v>8034098850010</v>
      </c>
      <c r="H18" s="22" t="s">
        <v>43</v>
      </c>
      <c r="I18" s="33">
        <v>46023</v>
      </c>
      <c r="J18" s="33">
        <v>46023</v>
      </c>
      <c r="K18" s="24">
        <v>1</v>
      </c>
      <c r="L18" s="22" t="s">
        <v>26</v>
      </c>
      <c r="M18" s="22" t="s">
        <v>27</v>
      </c>
      <c r="N18" s="22"/>
      <c r="O18" s="24">
        <v>23</v>
      </c>
      <c r="P18" s="24">
        <v>23</v>
      </c>
      <c r="Q18" t="s">
        <v>309</v>
      </c>
    </row>
    <row r="19" spans="1:17" ht="15" customHeight="1" x14ac:dyDescent="0.25">
      <c r="A19" s="22" t="s">
        <v>202</v>
      </c>
      <c r="B19" s="22">
        <v>16865615</v>
      </c>
      <c r="C19" s="22" t="s">
        <v>344</v>
      </c>
      <c r="D19" s="22" t="s">
        <v>345</v>
      </c>
      <c r="E19" s="22" t="str">
        <f t="shared" si="0"/>
        <v>LAUREN CARR</v>
      </c>
      <c r="F19" s="23">
        <v>803304041001</v>
      </c>
      <c r="G19" s="23" t="str">
        <f t="shared" si="1"/>
        <v>8033040410010</v>
      </c>
      <c r="H19" s="22" t="s">
        <v>43</v>
      </c>
      <c r="I19" s="33">
        <v>45658</v>
      </c>
      <c r="J19" s="33">
        <v>46023</v>
      </c>
      <c r="K19" s="24">
        <v>1</v>
      </c>
      <c r="L19" s="22" t="s">
        <v>26</v>
      </c>
      <c r="M19" s="22" t="s">
        <v>27</v>
      </c>
      <c r="N19" s="22"/>
      <c r="O19" s="24">
        <v>23</v>
      </c>
      <c r="P19" s="24">
        <v>23</v>
      </c>
      <c r="Q19" t="s">
        <v>309</v>
      </c>
    </row>
    <row r="20" spans="1:17" ht="15" customHeight="1" x14ac:dyDescent="0.25">
      <c r="A20" s="22" t="s">
        <v>202</v>
      </c>
      <c r="B20" s="22">
        <v>16865615</v>
      </c>
      <c r="C20" s="22" t="s">
        <v>346</v>
      </c>
      <c r="D20" s="22" t="s">
        <v>347</v>
      </c>
      <c r="E20" s="22" t="str">
        <f t="shared" si="0"/>
        <v>VICKI CASNELLIE</v>
      </c>
      <c r="F20" s="23">
        <v>803413171001</v>
      </c>
      <c r="G20" s="23" t="str">
        <f t="shared" si="1"/>
        <v>8034131710010</v>
      </c>
      <c r="H20" s="22" t="s">
        <v>43</v>
      </c>
      <c r="I20" s="33">
        <v>46023</v>
      </c>
      <c r="J20" s="33">
        <v>46023</v>
      </c>
      <c r="K20" s="24">
        <v>1</v>
      </c>
      <c r="L20" s="22" t="s">
        <v>26</v>
      </c>
      <c r="M20" s="22" t="s">
        <v>27</v>
      </c>
      <c r="N20" s="22"/>
      <c r="O20" s="24">
        <v>23</v>
      </c>
      <c r="P20" s="24">
        <v>23</v>
      </c>
      <c r="Q20" t="s">
        <v>309</v>
      </c>
    </row>
    <row r="21" spans="1:17" ht="15" customHeight="1" x14ac:dyDescent="0.25">
      <c r="A21" s="22" t="s">
        <v>202</v>
      </c>
      <c r="B21" s="22">
        <v>16865615</v>
      </c>
      <c r="C21" s="22" t="s">
        <v>348</v>
      </c>
      <c r="D21" s="22" t="s">
        <v>349</v>
      </c>
      <c r="E21" s="22" t="str">
        <f t="shared" si="0"/>
        <v>EDGAR CHANCE</v>
      </c>
      <c r="F21" s="23">
        <v>803305995001</v>
      </c>
      <c r="G21" s="23" t="str">
        <f t="shared" si="1"/>
        <v>8033059950010</v>
      </c>
      <c r="H21" s="22" t="s">
        <v>43</v>
      </c>
      <c r="I21" s="33">
        <v>45658</v>
      </c>
      <c r="J21" s="33">
        <v>46023</v>
      </c>
      <c r="K21" s="24">
        <v>1</v>
      </c>
      <c r="L21" s="22" t="s">
        <v>26</v>
      </c>
      <c r="M21" s="22" t="s">
        <v>27</v>
      </c>
      <c r="N21" s="22"/>
      <c r="O21" s="24">
        <v>23</v>
      </c>
      <c r="P21" s="24">
        <v>23</v>
      </c>
      <c r="Q21" t="s">
        <v>309</v>
      </c>
    </row>
    <row r="22" spans="1:17" ht="15" customHeight="1" x14ac:dyDescent="0.25">
      <c r="A22" s="22" t="s">
        <v>202</v>
      </c>
      <c r="B22" s="22">
        <v>16865615</v>
      </c>
      <c r="C22" s="22" t="s">
        <v>350</v>
      </c>
      <c r="D22" s="22" t="s">
        <v>351</v>
      </c>
      <c r="E22" s="22" t="str">
        <f t="shared" si="0"/>
        <v>SABRINA DEEMER</v>
      </c>
      <c r="F22" s="23">
        <v>802981736001</v>
      </c>
      <c r="G22" s="23" t="str">
        <f t="shared" si="1"/>
        <v>8029817360010</v>
      </c>
      <c r="H22" s="22" t="s">
        <v>43</v>
      </c>
      <c r="I22" s="33">
        <v>45658</v>
      </c>
      <c r="J22" s="33">
        <v>46023</v>
      </c>
      <c r="K22" s="24">
        <v>1</v>
      </c>
      <c r="L22" s="22" t="s">
        <v>26</v>
      </c>
      <c r="M22" s="22" t="s">
        <v>27</v>
      </c>
      <c r="N22" s="22"/>
      <c r="O22" s="24">
        <v>23</v>
      </c>
      <c r="P22" s="24">
        <v>23</v>
      </c>
      <c r="Q22" t="s">
        <v>309</v>
      </c>
    </row>
    <row r="23" spans="1:17" ht="15" customHeight="1" x14ac:dyDescent="0.25">
      <c r="A23" s="22" t="s">
        <v>202</v>
      </c>
      <c r="B23" s="22">
        <v>16865615</v>
      </c>
      <c r="C23" s="22" t="s">
        <v>352</v>
      </c>
      <c r="D23" s="22" t="s">
        <v>333</v>
      </c>
      <c r="E23" s="22" t="str">
        <f t="shared" si="0"/>
        <v>KURT DODDS</v>
      </c>
      <c r="F23" s="23">
        <v>803173626001</v>
      </c>
      <c r="G23" s="23" t="str">
        <f t="shared" si="1"/>
        <v>8031736260010</v>
      </c>
      <c r="H23" s="22" t="s">
        <v>43</v>
      </c>
      <c r="I23" s="33">
        <v>45658</v>
      </c>
      <c r="J23" s="33">
        <v>46023</v>
      </c>
      <c r="K23" s="24">
        <v>1</v>
      </c>
      <c r="L23" s="22" t="s">
        <v>26</v>
      </c>
      <c r="M23" s="22" t="s">
        <v>27</v>
      </c>
      <c r="N23" s="22" t="s">
        <v>293</v>
      </c>
      <c r="O23" s="24">
        <v>23</v>
      </c>
      <c r="P23" s="24">
        <v>69</v>
      </c>
      <c r="Q23" t="s">
        <v>309</v>
      </c>
    </row>
    <row r="24" spans="1:17" ht="15" customHeight="1" x14ac:dyDescent="0.25">
      <c r="A24" s="22" t="s">
        <v>202</v>
      </c>
      <c r="B24" s="22">
        <v>16865615</v>
      </c>
      <c r="C24" s="22" t="s">
        <v>353</v>
      </c>
      <c r="D24" s="22" t="s">
        <v>354</v>
      </c>
      <c r="E24" s="22" t="str">
        <f t="shared" si="0"/>
        <v>ARVIDAS DONOVAN</v>
      </c>
      <c r="F24" s="23">
        <v>803396619001</v>
      </c>
      <c r="G24" s="23" t="str">
        <f t="shared" si="1"/>
        <v>8033966190010</v>
      </c>
      <c r="H24" s="22" t="s">
        <v>43</v>
      </c>
      <c r="I24" s="33">
        <v>46023</v>
      </c>
      <c r="J24" s="33">
        <v>46023</v>
      </c>
      <c r="K24" s="24">
        <v>1</v>
      </c>
      <c r="L24" s="22" t="s">
        <v>26</v>
      </c>
      <c r="M24" s="22" t="s">
        <v>27</v>
      </c>
      <c r="N24" s="22"/>
      <c r="O24" s="24">
        <v>23</v>
      </c>
      <c r="P24" s="24">
        <v>23</v>
      </c>
      <c r="Q24" t="s">
        <v>309</v>
      </c>
    </row>
    <row r="25" spans="1:17" ht="15" customHeight="1" x14ac:dyDescent="0.25">
      <c r="A25" s="22" t="s">
        <v>202</v>
      </c>
      <c r="B25" s="22">
        <v>16865615</v>
      </c>
      <c r="C25" s="22" t="s">
        <v>355</v>
      </c>
      <c r="D25" s="22" t="s">
        <v>356</v>
      </c>
      <c r="E25" s="22" t="str">
        <f t="shared" si="0"/>
        <v>DELYNN DUDENHOEFFER</v>
      </c>
      <c r="F25" s="23">
        <v>803292652001</v>
      </c>
      <c r="G25" s="23" t="str">
        <f t="shared" si="1"/>
        <v>8032926520010</v>
      </c>
      <c r="H25" s="22" t="s">
        <v>43</v>
      </c>
      <c r="I25" s="33">
        <v>45658</v>
      </c>
      <c r="J25" s="33">
        <v>46023</v>
      </c>
      <c r="K25" s="24">
        <v>1</v>
      </c>
      <c r="L25" s="22" t="s">
        <v>26</v>
      </c>
      <c r="M25" s="22" t="s">
        <v>27</v>
      </c>
      <c r="N25" s="22"/>
      <c r="O25" s="24">
        <v>23</v>
      </c>
      <c r="P25" s="24">
        <v>23</v>
      </c>
      <c r="Q25" t="s">
        <v>309</v>
      </c>
    </row>
    <row r="26" spans="1:17" ht="15" customHeight="1" x14ac:dyDescent="0.25">
      <c r="A26" s="22" t="s">
        <v>202</v>
      </c>
      <c r="B26" s="22">
        <v>16865615</v>
      </c>
      <c r="C26" s="22" t="s">
        <v>357</v>
      </c>
      <c r="D26" s="22" t="s">
        <v>358</v>
      </c>
      <c r="E26" s="22" t="str">
        <f t="shared" si="0"/>
        <v>JOSEPH EAFANTI</v>
      </c>
      <c r="F26" s="23">
        <v>803457401001</v>
      </c>
      <c r="G26" s="23" t="str">
        <f t="shared" si="1"/>
        <v>8034574010010</v>
      </c>
      <c r="H26" s="22" t="s">
        <v>43</v>
      </c>
      <c r="I26" s="33">
        <v>46023</v>
      </c>
      <c r="J26" s="33">
        <v>46023</v>
      </c>
      <c r="K26" s="24">
        <v>1</v>
      </c>
      <c r="L26" s="22" t="s">
        <v>26</v>
      </c>
      <c r="M26" s="22" t="s">
        <v>27</v>
      </c>
      <c r="N26" s="22" t="s">
        <v>292</v>
      </c>
      <c r="O26" s="24">
        <v>23</v>
      </c>
      <c r="P26" s="24">
        <v>46</v>
      </c>
      <c r="Q26" t="s">
        <v>309</v>
      </c>
    </row>
    <row r="27" spans="1:17" ht="15" customHeight="1" x14ac:dyDescent="0.25">
      <c r="A27" s="22" t="s">
        <v>202</v>
      </c>
      <c r="B27" s="22">
        <v>16865615</v>
      </c>
      <c r="C27" s="22" t="s">
        <v>359</v>
      </c>
      <c r="D27" s="22" t="s">
        <v>360</v>
      </c>
      <c r="E27" s="22" t="str">
        <f t="shared" si="0"/>
        <v>LINDA ELLIS</v>
      </c>
      <c r="F27" s="23">
        <v>803400068001</v>
      </c>
      <c r="G27" s="23" t="str">
        <f t="shared" si="1"/>
        <v>8034000680010</v>
      </c>
      <c r="H27" s="22" t="s">
        <v>43</v>
      </c>
      <c r="I27" s="33">
        <v>46023</v>
      </c>
      <c r="J27" s="33">
        <v>46023</v>
      </c>
      <c r="K27" s="24">
        <v>1</v>
      </c>
      <c r="L27" s="22" t="s">
        <v>26</v>
      </c>
      <c r="M27" s="22" t="s">
        <v>27</v>
      </c>
      <c r="N27" s="22"/>
      <c r="O27" s="24">
        <v>23</v>
      </c>
      <c r="P27" s="24">
        <v>23</v>
      </c>
      <c r="Q27" t="s">
        <v>309</v>
      </c>
    </row>
    <row r="28" spans="1:17" ht="15" customHeight="1" x14ac:dyDescent="0.25">
      <c r="A28" s="22" t="s">
        <v>202</v>
      </c>
      <c r="B28" s="22">
        <v>16865615</v>
      </c>
      <c r="C28" s="22" t="s">
        <v>361</v>
      </c>
      <c r="D28" s="22" t="s">
        <v>362</v>
      </c>
      <c r="E28" s="22" t="str">
        <f t="shared" si="0"/>
        <v>KELLY EMERINE</v>
      </c>
      <c r="F28" s="23">
        <v>803105663001</v>
      </c>
      <c r="G28" s="23" t="str">
        <f t="shared" si="1"/>
        <v>8031056630010</v>
      </c>
      <c r="H28" s="22" t="s">
        <v>43</v>
      </c>
      <c r="I28" s="33">
        <v>45658</v>
      </c>
      <c r="J28" s="33">
        <v>46023</v>
      </c>
      <c r="K28" s="24">
        <v>1</v>
      </c>
      <c r="L28" s="22" t="s">
        <v>26</v>
      </c>
      <c r="M28" s="22" t="s">
        <v>27</v>
      </c>
      <c r="N28" s="22"/>
      <c r="O28" s="24">
        <v>23</v>
      </c>
      <c r="P28" s="24">
        <v>23</v>
      </c>
      <c r="Q28" t="s">
        <v>309</v>
      </c>
    </row>
    <row r="29" spans="1:17" ht="15" customHeight="1" x14ac:dyDescent="0.25">
      <c r="A29" s="22" t="s">
        <v>202</v>
      </c>
      <c r="B29" s="22">
        <v>16865615</v>
      </c>
      <c r="C29" s="22" t="s">
        <v>363</v>
      </c>
      <c r="D29" s="22" t="s">
        <v>364</v>
      </c>
      <c r="E29" s="22" t="str">
        <f t="shared" si="0"/>
        <v>THOMAS FARDEN</v>
      </c>
      <c r="F29" s="23">
        <v>803305454001</v>
      </c>
      <c r="G29" s="23" t="str">
        <f t="shared" si="1"/>
        <v>8033054540010</v>
      </c>
      <c r="H29" s="22" t="s">
        <v>43</v>
      </c>
      <c r="I29" s="33">
        <v>45658</v>
      </c>
      <c r="J29" s="33">
        <v>46023</v>
      </c>
      <c r="K29" s="24">
        <v>1</v>
      </c>
      <c r="L29" s="22" t="s">
        <v>26</v>
      </c>
      <c r="M29" s="22" t="s">
        <v>27</v>
      </c>
      <c r="N29" s="22"/>
      <c r="O29" s="24">
        <v>23</v>
      </c>
      <c r="P29" s="24">
        <v>23</v>
      </c>
      <c r="Q29" t="s">
        <v>309</v>
      </c>
    </row>
    <row r="30" spans="1:17" ht="15" customHeight="1" x14ac:dyDescent="0.25">
      <c r="A30" s="22" t="s">
        <v>202</v>
      </c>
      <c r="B30" s="22">
        <v>16865615</v>
      </c>
      <c r="C30" s="22" t="s">
        <v>365</v>
      </c>
      <c r="D30" s="22" t="s">
        <v>366</v>
      </c>
      <c r="E30" s="22" t="str">
        <f t="shared" si="0"/>
        <v>JILL FONTAINE</v>
      </c>
      <c r="F30" s="23">
        <v>803279516001</v>
      </c>
      <c r="G30" s="23" t="str">
        <f t="shared" si="1"/>
        <v>8032795160010</v>
      </c>
      <c r="H30" s="22" t="s">
        <v>43</v>
      </c>
      <c r="I30" s="33">
        <v>45658</v>
      </c>
      <c r="J30" s="33">
        <v>46023</v>
      </c>
      <c r="K30" s="24">
        <v>1</v>
      </c>
      <c r="L30" s="22" t="s">
        <v>26</v>
      </c>
      <c r="M30" s="22" t="s">
        <v>27</v>
      </c>
      <c r="N30" s="22"/>
      <c r="O30" s="24">
        <v>23</v>
      </c>
      <c r="P30" s="24">
        <v>23</v>
      </c>
      <c r="Q30" t="s">
        <v>309</v>
      </c>
    </row>
    <row r="31" spans="1:17" ht="15" customHeight="1" x14ac:dyDescent="0.25">
      <c r="A31" s="22" t="s">
        <v>202</v>
      </c>
      <c r="B31" s="22">
        <v>16865615</v>
      </c>
      <c r="C31" s="22" t="s">
        <v>367</v>
      </c>
      <c r="D31" s="22" t="s">
        <v>368</v>
      </c>
      <c r="E31" s="22" t="str">
        <f t="shared" si="0"/>
        <v>JAMES GRECO</v>
      </c>
      <c r="F31" s="23">
        <v>803399844001</v>
      </c>
      <c r="G31" s="23" t="str">
        <f t="shared" si="1"/>
        <v>8033998440010</v>
      </c>
      <c r="H31" s="22" t="s">
        <v>43</v>
      </c>
      <c r="I31" s="33">
        <v>45658</v>
      </c>
      <c r="J31" s="33">
        <v>46023</v>
      </c>
      <c r="K31" s="24">
        <v>1</v>
      </c>
      <c r="L31" s="22" t="s">
        <v>26</v>
      </c>
      <c r="M31" s="22" t="s">
        <v>27</v>
      </c>
      <c r="N31" s="22" t="s">
        <v>293</v>
      </c>
      <c r="O31" s="24">
        <v>23</v>
      </c>
      <c r="P31" s="24">
        <v>69</v>
      </c>
      <c r="Q31" t="s">
        <v>309</v>
      </c>
    </row>
    <row r="32" spans="1:17" ht="15" customHeight="1" x14ac:dyDescent="0.25">
      <c r="A32" s="22" t="s">
        <v>202</v>
      </c>
      <c r="B32" s="22">
        <v>16865615</v>
      </c>
      <c r="C32" s="22" t="s">
        <v>369</v>
      </c>
      <c r="D32" s="22" t="s">
        <v>370</v>
      </c>
      <c r="E32" s="22" t="str">
        <f t="shared" si="0"/>
        <v>DAVID HOFFMASTER</v>
      </c>
      <c r="F32" s="23">
        <v>802921278001</v>
      </c>
      <c r="G32" s="23" t="str">
        <f t="shared" si="1"/>
        <v>8029212780010</v>
      </c>
      <c r="H32" s="22" t="s">
        <v>43</v>
      </c>
      <c r="I32" s="33">
        <v>45658</v>
      </c>
      <c r="J32" s="33">
        <v>46023</v>
      </c>
      <c r="K32" s="24">
        <v>1</v>
      </c>
      <c r="L32" s="22" t="s">
        <v>26</v>
      </c>
      <c r="M32" s="22" t="s">
        <v>27</v>
      </c>
      <c r="N32" s="22" t="s">
        <v>293</v>
      </c>
      <c r="O32" s="24">
        <v>23</v>
      </c>
      <c r="P32" s="24">
        <v>69</v>
      </c>
      <c r="Q32" t="s">
        <v>309</v>
      </c>
    </row>
    <row r="33" spans="1:17" ht="15" customHeight="1" x14ac:dyDescent="0.25">
      <c r="A33" s="22" t="s">
        <v>202</v>
      </c>
      <c r="B33" s="22">
        <v>16865615</v>
      </c>
      <c r="C33" s="22" t="s">
        <v>371</v>
      </c>
      <c r="D33" s="22" t="s">
        <v>372</v>
      </c>
      <c r="E33" s="22" t="str">
        <f t="shared" si="0"/>
        <v>ERIN KINNEY</v>
      </c>
      <c r="F33" s="23">
        <v>803331163001</v>
      </c>
      <c r="G33" s="23" t="str">
        <f t="shared" si="1"/>
        <v>8033311630010</v>
      </c>
      <c r="H33" s="22" t="s">
        <v>43</v>
      </c>
      <c r="I33" s="33">
        <v>45658</v>
      </c>
      <c r="J33" s="33">
        <v>46023</v>
      </c>
      <c r="K33" s="24">
        <v>1</v>
      </c>
      <c r="L33" s="22" t="s">
        <v>26</v>
      </c>
      <c r="M33" s="22" t="s">
        <v>27</v>
      </c>
      <c r="N33" s="22"/>
      <c r="O33" s="24">
        <v>23</v>
      </c>
      <c r="P33" s="24">
        <v>23</v>
      </c>
      <c r="Q33" t="s">
        <v>309</v>
      </c>
    </row>
    <row r="34" spans="1:17" ht="15" customHeight="1" x14ac:dyDescent="0.25">
      <c r="A34" s="22" t="s">
        <v>202</v>
      </c>
      <c r="B34" s="22">
        <v>16865615</v>
      </c>
      <c r="C34" s="22" t="s">
        <v>373</v>
      </c>
      <c r="D34" s="22" t="s">
        <v>374</v>
      </c>
      <c r="E34" s="22" t="str">
        <f t="shared" si="0"/>
        <v>PAUL KONKOL</v>
      </c>
      <c r="F34" s="23">
        <v>803433433001</v>
      </c>
      <c r="G34" s="23" t="str">
        <f t="shared" si="1"/>
        <v>8034334330010</v>
      </c>
      <c r="H34" s="22" t="s">
        <v>43</v>
      </c>
      <c r="I34" s="33">
        <v>46023</v>
      </c>
      <c r="J34" s="33">
        <v>46023</v>
      </c>
      <c r="K34" s="24">
        <v>1</v>
      </c>
      <c r="L34" s="22" t="s">
        <v>26</v>
      </c>
      <c r="M34" s="22" t="s">
        <v>27</v>
      </c>
      <c r="N34" s="22" t="s">
        <v>294</v>
      </c>
      <c r="O34" s="24">
        <v>23</v>
      </c>
      <c r="P34" s="24">
        <v>115</v>
      </c>
      <c r="Q34" t="s">
        <v>309</v>
      </c>
    </row>
    <row r="35" spans="1:17" ht="15" customHeight="1" x14ac:dyDescent="0.25">
      <c r="A35" s="22" t="s">
        <v>202</v>
      </c>
      <c r="B35" s="22">
        <v>16865615</v>
      </c>
      <c r="C35" s="22" t="s">
        <v>375</v>
      </c>
      <c r="D35" s="22" t="s">
        <v>376</v>
      </c>
      <c r="E35" s="22" t="str">
        <f t="shared" si="0"/>
        <v>LYDIA KURNIAWAN-MOY</v>
      </c>
      <c r="F35" s="23">
        <v>803058283001</v>
      </c>
      <c r="G35" s="23" t="str">
        <f t="shared" si="1"/>
        <v>8030582830010</v>
      </c>
      <c r="H35" s="22" t="s">
        <v>43</v>
      </c>
      <c r="I35" s="33">
        <v>45658</v>
      </c>
      <c r="J35" s="33">
        <v>46023</v>
      </c>
      <c r="K35" s="24">
        <v>1</v>
      </c>
      <c r="L35" s="22" t="s">
        <v>26</v>
      </c>
      <c r="M35" s="22" t="s">
        <v>27</v>
      </c>
      <c r="N35" s="22" t="s">
        <v>293</v>
      </c>
      <c r="O35" s="24">
        <v>23</v>
      </c>
      <c r="P35" s="24">
        <v>69</v>
      </c>
      <c r="Q35" t="s">
        <v>309</v>
      </c>
    </row>
    <row r="36" spans="1:17" ht="15" customHeight="1" x14ac:dyDescent="0.25">
      <c r="A36" s="22" t="s">
        <v>202</v>
      </c>
      <c r="B36" s="22">
        <v>16865615</v>
      </c>
      <c r="C36" s="22" t="s">
        <v>377</v>
      </c>
      <c r="D36" s="22" t="s">
        <v>378</v>
      </c>
      <c r="E36" s="22" t="str">
        <f t="shared" si="0"/>
        <v>SUSAN LEVINE</v>
      </c>
      <c r="F36" s="23">
        <v>803467707001</v>
      </c>
      <c r="G36" s="23" t="str">
        <f t="shared" si="1"/>
        <v>8034677070010</v>
      </c>
      <c r="H36" s="22" t="s">
        <v>43</v>
      </c>
      <c r="I36" s="33">
        <v>46023</v>
      </c>
      <c r="J36" s="33">
        <v>46023</v>
      </c>
      <c r="K36" s="24">
        <v>1</v>
      </c>
      <c r="L36" s="22" t="s">
        <v>26</v>
      </c>
      <c r="M36" s="22" t="s">
        <v>27</v>
      </c>
      <c r="N36" s="22" t="s">
        <v>292</v>
      </c>
      <c r="O36" s="24">
        <v>23</v>
      </c>
      <c r="P36" s="24">
        <v>46</v>
      </c>
      <c r="Q36" t="s">
        <v>309</v>
      </c>
    </row>
    <row r="37" spans="1:17" ht="15" customHeight="1" x14ac:dyDescent="0.25">
      <c r="A37" s="22" t="s">
        <v>202</v>
      </c>
      <c r="B37" s="22">
        <v>16865615</v>
      </c>
      <c r="C37" s="22" t="s">
        <v>379</v>
      </c>
      <c r="D37" s="22" t="s">
        <v>380</v>
      </c>
      <c r="E37" s="22" t="str">
        <f t="shared" si="0"/>
        <v>KATE LEWIS</v>
      </c>
      <c r="F37" s="23">
        <v>802998630001</v>
      </c>
      <c r="G37" s="23" t="str">
        <f t="shared" si="1"/>
        <v>8029986300010</v>
      </c>
      <c r="H37" s="22" t="s">
        <v>43</v>
      </c>
      <c r="I37" s="33">
        <v>45658</v>
      </c>
      <c r="J37" s="33">
        <v>46023</v>
      </c>
      <c r="K37" s="24">
        <v>1</v>
      </c>
      <c r="L37" s="22" t="s">
        <v>26</v>
      </c>
      <c r="M37" s="22" t="s">
        <v>27</v>
      </c>
      <c r="N37" s="22" t="s">
        <v>292</v>
      </c>
      <c r="O37" s="24">
        <v>23</v>
      </c>
      <c r="P37" s="24">
        <v>46</v>
      </c>
      <c r="Q37" t="s">
        <v>309</v>
      </c>
    </row>
    <row r="38" spans="1:17" ht="15" customHeight="1" x14ac:dyDescent="0.25">
      <c r="A38" s="22" t="s">
        <v>202</v>
      </c>
      <c r="B38" s="22">
        <v>16865615</v>
      </c>
      <c r="C38" s="22" t="s">
        <v>379</v>
      </c>
      <c r="D38" s="22" t="s">
        <v>381</v>
      </c>
      <c r="E38" s="22" t="str">
        <f t="shared" si="0"/>
        <v>MARGOT LEWIS</v>
      </c>
      <c r="F38" s="23">
        <v>803417837001</v>
      </c>
      <c r="G38" s="23" t="str">
        <f t="shared" si="1"/>
        <v>8034178370010</v>
      </c>
      <c r="H38" s="22" t="s">
        <v>43</v>
      </c>
      <c r="I38" s="33">
        <v>46023</v>
      </c>
      <c r="J38" s="33">
        <v>46023</v>
      </c>
      <c r="K38" s="24">
        <v>1</v>
      </c>
      <c r="L38" s="22" t="s">
        <v>26</v>
      </c>
      <c r="M38" s="22" t="s">
        <v>27</v>
      </c>
      <c r="N38" s="22"/>
      <c r="O38" s="24">
        <v>23</v>
      </c>
      <c r="P38" s="24">
        <v>23</v>
      </c>
      <c r="Q38" t="s">
        <v>309</v>
      </c>
    </row>
    <row r="39" spans="1:17" ht="15" customHeight="1" x14ac:dyDescent="0.25">
      <c r="A39" s="22" t="s">
        <v>202</v>
      </c>
      <c r="B39" s="22">
        <v>16865615</v>
      </c>
      <c r="C39" s="22" t="s">
        <v>379</v>
      </c>
      <c r="D39" s="22" t="s">
        <v>382</v>
      </c>
      <c r="E39" s="22" t="str">
        <f t="shared" si="0"/>
        <v>QUINLAN LEWIS</v>
      </c>
      <c r="F39" s="23">
        <v>803417669001</v>
      </c>
      <c r="G39" s="23" t="str">
        <f t="shared" si="1"/>
        <v>8034176690010</v>
      </c>
      <c r="H39" s="22" t="s">
        <v>43</v>
      </c>
      <c r="I39" s="33">
        <v>46023</v>
      </c>
      <c r="J39" s="33">
        <v>46023</v>
      </c>
      <c r="K39" s="24">
        <v>1</v>
      </c>
      <c r="L39" s="22" t="s">
        <v>26</v>
      </c>
      <c r="M39" s="22" t="s">
        <v>27</v>
      </c>
      <c r="N39" s="22"/>
      <c r="O39" s="24">
        <v>23</v>
      </c>
      <c r="P39" s="24">
        <v>23</v>
      </c>
      <c r="Q39" t="s">
        <v>309</v>
      </c>
    </row>
    <row r="40" spans="1:17" ht="15" customHeight="1" x14ac:dyDescent="0.25">
      <c r="A40" s="22" t="s">
        <v>202</v>
      </c>
      <c r="B40" s="22">
        <v>16865615</v>
      </c>
      <c r="C40" s="22" t="s">
        <v>383</v>
      </c>
      <c r="D40" s="22" t="s">
        <v>384</v>
      </c>
      <c r="E40" s="22" t="str">
        <f t="shared" si="0"/>
        <v>WHITNEY LINDSEY</v>
      </c>
      <c r="F40" s="23">
        <v>803400681001</v>
      </c>
      <c r="G40" s="23" t="str">
        <f t="shared" si="1"/>
        <v>8034006810010</v>
      </c>
      <c r="H40" s="22" t="s">
        <v>43</v>
      </c>
      <c r="I40" s="33">
        <v>46023</v>
      </c>
      <c r="J40" s="33">
        <v>46023</v>
      </c>
      <c r="K40" s="24">
        <v>1</v>
      </c>
      <c r="L40" s="22" t="s">
        <v>26</v>
      </c>
      <c r="M40" s="22" t="s">
        <v>27</v>
      </c>
      <c r="N40" s="22" t="s">
        <v>293</v>
      </c>
      <c r="O40" s="24">
        <v>23</v>
      </c>
      <c r="P40" s="24">
        <v>69</v>
      </c>
      <c r="Q40" t="s">
        <v>309</v>
      </c>
    </row>
    <row r="41" spans="1:17" ht="15" customHeight="1" x14ac:dyDescent="0.25">
      <c r="A41" s="22" t="s">
        <v>202</v>
      </c>
      <c r="B41" s="22">
        <v>16865615</v>
      </c>
      <c r="C41" s="22" t="s">
        <v>385</v>
      </c>
      <c r="D41" s="22" t="s">
        <v>386</v>
      </c>
      <c r="E41" s="22" t="str">
        <f t="shared" si="0"/>
        <v>LESLIE MANSUR</v>
      </c>
      <c r="F41" s="23">
        <v>803417889001</v>
      </c>
      <c r="G41" s="23" t="str">
        <f t="shared" si="1"/>
        <v>8034178890010</v>
      </c>
      <c r="H41" s="22" t="s">
        <v>43</v>
      </c>
      <c r="I41" s="33">
        <v>46023</v>
      </c>
      <c r="J41" s="33">
        <v>46023</v>
      </c>
      <c r="K41" s="24">
        <v>1</v>
      </c>
      <c r="L41" s="22" t="s">
        <v>26</v>
      </c>
      <c r="M41" s="22" t="s">
        <v>27</v>
      </c>
      <c r="N41" s="22"/>
      <c r="O41" s="24">
        <v>23</v>
      </c>
      <c r="P41" s="24">
        <v>23</v>
      </c>
      <c r="Q41" t="s">
        <v>309</v>
      </c>
    </row>
    <row r="42" spans="1:17" ht="15" customHeight="1" x14ac:dyDescent="0.25">
      <c r="A42" s="22" t="s">
        <v>202</v>
      </c>
      <c r="B42" s="22">
        <v>16865615</v>
      </c>
      <c r="C42" s="22" t="s">
        <v>387</v>
      </c>
      <c r="D42" s="22" t="s">
        <v>388</v>
      </c>
      <c r="E42" s="22" t="str">
        <f t="shared" si="0"/>
        <v>CHRISTOPHER MATKINS</v>
      </c>
      <c r="F42" s="23">
        <v>803410073001</v>
      </c>
      <c r="G42" s="23" t="str">
        <f t="shared" si="1"/>
        <v>8034100730010</v>
      </c>
      <c r="H42" s="22" t="s">
        <v>43</v>
      </c>
      <c r="I42" s="33">
        <v>46023</v>
      </c>
      <c r="J42" s="33">
        <v>46023</v>
      </c>
      <c r="K42" s="24">
        <v>1</v>
      </c>
      <c r="L42" s="22" t="s">
        <v>26</v>
      </c>
      <c r="M42" s="22" t="s">
        <v>27</v>
      </c>
      <c r="N42" s="22"/>
      <c r="O42" s="24">
        <v>23</v>
      </c>
      <c r="P42" s="24">
        <v>23</v>
      </c>
      <c r="Q42" t="s">
        <v>309</v>
      </c>
    </row>
    <row r="43" spans="1:17" ht="15" customHeight="1" x14ac:dyDescent="0.25">
      <c r="A43" s="22" t="s">
        <v>202</v>
      </c>
      <c r="B43" s="22">
        <v>16865615</v>
      </c>
      <c r="C43" s="22" t="s">
        <v>389</v>
      </c>
      <c r="D43" s="22" t="s">
        <v>390</v>
      </c>
      <c r="E43" s="22" t="str">
        <f t="shared" si="0"/>
        <v>GREER MENDEL</v>
      </c>
      <c r="F43" s="23">
        <v>803118558001</v>
      </c>
      <c r="G43" s="23" t="str">
        <f t="shared" si="1"/>
        <v>8031185580010</v>
      </c>
      <c r="H43" s="22" t="s">
        <v>43</v>
      </c>
      <c r="I43" s="33">
        <v>45658</v>
      </c>
      <c r="J43" s="33">
        <v>46023</v>
      </c>
      <c r="K43" s="24">
        <v>1</v>
      </c>
      <c r="L43" s="22" t="s">
        <v>26</v>
      </c>
      <c r="M43" s="22" t="s">
        <v>27</v>
      </c>
      <c r="N43" s="22" t="s">
        <v>292</v>
      </c>
      <c r="O43" s="24">
        <v>23</v>
      </c>
      <c r="P43" s="24">
        <v>46</v>
      </c>
      <c r="Q43" t="s">
        <v>309</v>
      </c>
    </row>
    <row r="44" spans="1:17" ht="15" customHeight="1" x14ac:dyDescent="0.25">
      <c r="A44" s="22" t="s">
        <v>202</v>
      </c>
      <c r="B44" s="22">
        <v>16865615</v>
      </c>
      <c r="C44" s="22" t="s">
        <v>391</v>
      </c>
      <c r="D44" s="22" t="s">
        <v>392</v>
      </c>
      <c r="E44" s="22" t="str">
        <f t="shared" si="0"/>
        <v>GABRIELLA MILLER</v>
      </c>
      <c r="F44" s="23">
        <v>803102575001</v>
      </c>
      <c r="G44" s="23" t="str">
        <f t="shared" si="1"/>
        <v>8031025750010</v>
      </c>
      <c r="H44" s="22" t="s">
        <v>43</v>
      </c>
      <c r="I44" s="33">
        <v>45658</v>
      </c>
      <c r="J44" s="33">
        <v>46023</v>
      </c>
      <c r="K44" s="24">
        <v>1</v>
      </c>
      <c r="L44" s="22" t="s">
        <v>26</v>
      </c>
      <c r="M44" s="22" t="s">
        <v>27</v>
      </c>
      <c r="N44" s="22"/>
      <c r="O44" s="24">
        <v>23</v>
      </c>
      <c r="P44" s="24">
        <v>23</v>
      </c>
      <c r="Q44" t="s">
        <v>309</v>
      </c>
    </row>
    <row r="45" spans="1:17" ht="15" customHeight="1" x14ac:dyDescent="0.25">
      <c r="A45" s="22" t="s">
        <v>202</v>
      </c>
      <c r="B45" s="22">
        <v>16865615</v>
      </c>
      <c r="C45" s="22" t="s">
        <v>393</v>
      </c>
      <c r="D45" s="22" t="s">
        <v>394</v>
      </c>
      <c r="E45" s="22" t="str">
        <f t="shared" si="0"/>
        <v>ROLF MONSON</v>
      </c>
      <c r="F45" s="23">
        <v>803262901001</v>
      </c>
      <c r="G45" s="23" t="str">
        <f t="shared" si="1"/>
        <v>8032629010010</v>
      </c>
      <c r="H45" s="22" t="s">
        <v>43</v>
      </c>
      <c r="I45" s="33">
        <v>45658</v>
      </c>
      <c r="J45" s="33">
        <v>46023</v>
      </c>
      <c r="K45" s="24">
        <v>1</v>
      </c>
      <c r="L45" s="22" t="s">
        <v>26</v>
      </c>
      <c r="M45" s="22" t="s">
        <v>27</v>
      </c>
      <c r="N45" s="22"/>
      <c r="O45" s="24">
        <v>23</v>
      </c>
      <c r="P45" s="24">
        <v>23</v>
      </c>
      <c r="Q45" t="s">
        <v>309</v>
      </c>
    </row>
    <row r="46" spans="1:17" ht="15" customHeight="1" x14ac:dyDescent="0.25">
      <c r="A46" s="22" t="s">
        <v>202</v>
      </c>
      <c r="B46" s="22">
        <v>16865615</v>
      </c>
      <c r="C46" s="22" t="s">
        <v>395</v>
      </c>
      <c r="D46" s="22" t="s">
        <v>396</v>
      </c>
      <c r="E46" s="22" t="str">
        <f t="shared" si="0"/>
        <v>CARLOS MORALES-LOPEZ</v>
      </c>
      <c r="F46" s="23">
        <v>803473539001</v>
      </c>
      <c r="G46" s="23" t="str">
        <f t="shared" si="1"/>
        <v>8034735390010</v>
      </c>
      <c r="H46" s="22" t="s">
        <v>43</v>
      </c>
      <c r="I46" s="33">
        <v>46023</v>
      </c>
      <c r="J46" s="33">
        <v>46023</v>
      </c>
      <c r="K46" s="24">
        <v>1</v>
      </c>
      <c r="L46" s="22" t="s">
        <v>26</v>
      </c>
      <c r="M46" s="22" t="s">
        <v>27</v>
      </c>
      <c r="N46" s="22"/>
      <c r="O46" s="24">
        <v>23</v>
      </c>
      <c r="P46" s="24">
        <v>23</v>
      </c>
      <c r="Q46" t="s">
        <v>309</v>
      </c>
    </row>
    <row r="47" spans="1:17" ht="15" customHeight="1" x14ac:dyDescent="0.25">
      <c r="A47" s="22" t="s">
        <v>202</v>
      </c>
      <c r="B47" s="22">
        <v>16865615</v>
      </c>
      <c r="C47" s="22" t="s">
        <v>397</v>
      </c>
      <c r="D47" s="22" t="s">
        <v>398</v>
      </c>
      <c r="E47" s="22" t="str">
        <f t="shared" si="0"/>
        <v>DEANNA NEIGHBORS</v>
      </c>
      <c r="F47" s="23">
        <v>803311238001</v>
      </c>
      <c r="G47" s="23" t="str">
        <f t="shared" si="1"/>
        <v>8033112380010</v>
      </c>
      <c r="H47" s="22" t="s">
        <v>43</v>
      </c>
      <c r="I47" s="33">
        <v>45658</v>
      </c>
      <c r="J47" s="33">
        <v>46023</v>
      </c>
      <c r="K47" s="24">
        <v>1</v>
      </c>
      <c r="L47" s="22" t="s">
        <v>26</v>
      </c>
      <c r="M47" s="22" t="s">
        <v>27</v>
      </c>
      <c r="N47" s="22"/>
      <c r="O47" s="24">
        <v>23</v>
      </c>
      <c r="P47" s="24">
        <v>23</v>
      </c>
      <c r="Q47" t="s">
        <v>309</v>
      </c>
    </row>
    <row r="48" spans="1:17" ht="15" customHeight="1" x14ac:dyDescent="0.25">
      <c r="A48" s="22" t="s">
        <v>202</v>
      </c>
      <c r="B48" s="22">
        <v>16865615</v>
      </c>
      <c r="C48" s="22" t="s">
        <v>399</v>
      </c>
      <c r="D48" s="22" t="s">
        <v>341</v>
      </c>
      <c r="E48" s="22" t="str">
        <f t="shared" si="0"/>
        <v>JOHN OSBORNE</v>
      </c>
      <c r="F48" s="23">
        <v>802911081001</v>
      </c>
      <c r="G48" s="23" t="str">
        <f t="shared" si="1"/>
        <v>8029110810010</v>
      </c>
      <c r="H48" s="22" t="s">
        <v>43</v>
      </c>
      <c r="I48" s="33">
        <v>45658</v>
      </c>
      <c r="J48" s="33">
        <v>46023</v>
      </c>
      <c r="K48" s="24">
        <v>1</v>
      </c>
      <c r="L48" s="22" t="s">
        <v>26</v>
      </c>
      <c r="M48" s="22" t="s">
        <v>27</v>
      </c>
      <c r="N48" s="22" t="s">
        <v>295</v>
      </c>
      <c r="O48" s="24">
        <v>23</v>
      </c>
      <c r="P48" s="24">
        <v>92</v>
      </c>
      <c r="Q48" t="s">
        <v>309</v>
      </c>
    </row>
    <row r="49" spans="1:17" ht="15" customHeight="1" x14ac:dyDescent="0.25">
      <c r="A49" s="22" t="s">
        <v>202</v>
      </c>
      <c r="B49" s="22">
        <v>16865615</v>
      </c>
      <c r="C49" s="22" t="s">
        <v>400</v>
      </c>
      <c r="D49" s="22" t="s">
        <v>401</v>
      </c>
      <c r="E49" s="22" t="str">
        <f t="shared" si="0"/>
        <v>DENISE OSMON</v>
      </c>
      <c r="F49" s="23">
        <v>803304435001</v>
      </c>
      <c r="G49" s="23" t="str">
        <f t="shared" si="1"/>
        <v>8033044350010</v>
      </c>
      <c r="H49" s="22" t="s">
        <v>43</v>
      </c>
      <c r="I49" s="33">
        <v>45658</v>
      </c>
      <c r="J49" s="33">
        <v>46023</v>
      </c>
      <c r="K49" s="24">
        <v>1</v>
      </c>
      <c r="L49" s="22" t="s">
        <v>26</v>
      </c>
      <c r="M49" s="22" t="s">
        <v>27</v>
      </c>
      <c r="N49" s="22" t="s">
        <v>293</v>
      </c>
      <c r="O49" s="24">
        <v>23</v>
      </c>
      <c r="P49" s="24">
        <v>69</v>
      </c>
      <c r="Q49" t="s">
        <v>309</v>
      </c>
    </row>
    <row r="50" spans="1:17" ht="15" customHeight="1" x14ac:dyDescent="0.25">
      <c r="A50" s="22" t="s">
        <v>202</v>
      </c>
      <c r="B50" s="22">
        <v>16865615</v>
      </c>
      <c r="C50" s="22" t="s">
        <v>402</v>
      </c>
      <c r="D50" s="22" t="s">
        <v>341</v>
      </c>
      <c r="E50" s="22" t="str">
        <f t="shared" si="0"/>
        <v>JOHN PILLMANN</v>
      </c>
      <c r="F50" s="23">
        <v>802995059001</v>
      </c>
      <c r="G50" s="23" t="str">
        <f t="shared" si="1"/>
        <v>8029950590010</v>
      </c>
      <c r="H50" s="22" t="s">
        <v>43</v>
      </c>
      <c r="I50" s="33">
        <v>45658</v>
      </c>
      <c r="J50" s="33">
        <v>46023</v>
      </c>
      <c r="K50" s="24">
        <v>1</v>
      </c>
      <c r="L50" s="22" t="s">
        <v>26</v>
      </c>
      <c r="M50" s="22" t="s">
        <v>27</v>
      </c>
      <c r="N50" s="22" t="s">
        <v>292</v>
      </c>
      <c r="O50" s="24">
        <v>23</v>
      </c>
      <c r="P50" s="24">
        <v>46</v>
      </c>
      <c r="Q50" t="s">
        <v>309</v>
      </c>
    </row>
    <row r="51" spans="1:17" ht="15" customHeight="1" x14ac:dyDescent="0.25">
      <c r="A51" s="22" t="s">
        <v>202</v>
      </c>
      <c r="B51" s="22">
        <v>16865615</v>
      </c>
      <c r="C51" s="22" t="s">
        <v>403</v>
      </c>
      <c r="D51" s="22" t="s">
        <v>404</v>
      </c>
      <c r="E51" s="22" t="str">
        <f t="shared" si="0"/>
        <v>LAURA PRINDLE</v>
      </c>
      <c r="F51" s="23">
        <v>803406897001</v>
      </c>
      <c r="G51" s="23" t="str">
        <f t="shared" si="1"/>
        <v>8034068970010</v>
      </c>
      <c r="H51" s="22" t="s">
        <v>43</v>
      </c>
      <c r="I51" s="33">
        <v>46023</v>
      </c>
      <c r="J51" s="33">
        <v>46023</v>
      </c>
      <c r="K51" s="24">
        <v>1</v>
      </c>
      <c r="L51" s="22" t="s">
        <v>26</v>
      </c>
      <c r="M51" s="22" t="s">
        <v>27</v>
      </c>
      <c r="N51" s="22"/>
      <c r="O51" s="24">
        <v>23</v>
      </c>
      <c r="P51" s="24">
        <v>23</v>
      </c>
      <c r="Q51" t="s">
        <v>309</v>
      </c>
    </row>
    <row r="52" spans="1:17" s="30" customFormat="1" ht="15" customHeight="1" x14ac:dyDescent="0.25">
      <c r="A52" s="25" t="s">
        <v>202</v>
      </c>
      <c r="B52" s="25">
        <v>16865615</v>
      </c>
      <c r="C52" s="25" t="s">
        <v>405</v>
      </c>
      <c r="D52" s="25" t="s">
        <v>404</v>
      </c>
      <c r="E52" s="25" t="str">
        <f t="shared" si="0"/>
        <v>LAURA RIEDEL</v>
      </c>
      <c r="F52" s="26">
        <v>803319202001</v>
      </c>
      <c r="G52" s="26" t="str">
        <f t="shared" si="1"/>
        <v>8033192020010</v>
      </c>
      <c r="H52" s="25" t="s">
        <v>43</v>
      </c>
      <c r="I52" s="34">
        <v>45658</v>
      </c>
      <c r="J52" s="34">
        <v>46023</v>
      </c>
      <c r="K52" s="27">
        <v>1</v>
      </c>
      <c r="L52" s="25" t="s">
        <v>26</v>
      </c>
      <c r="M52" s="25" t="s">
        <v>27</v>
      </c>
      <c r="N52" s="25"/>
      <c r="O52" s="27">
        <v>23</v>
      </c>
      <c r="P52" s="27">
        <v>20.36</v>
      </c>
      <c r="Q52" s="30" t="s">
        <v>309</v>
      </c>
    </row>
    <row r="53" spans="1:17" ht="15" customHeight="1" x14ac:dyDescent="0.25">
      <c r="A53" s="22" t="s">
        <v>202</v>
      </c>
      <c r="B53" s="22">
        <v>16865615</v>
      </c>
      <c r="C53" s="22" t="s">
        <v>406</v>
      </c>
      <c r="D53" s="22" t="s">
        <v>407</v>
      </c>
      <c r="E53" s="22" t="str">
        <f t="shared" si="0"/>
        <v>PAULA SCARBOROUGH</v>
      </c>
      <c r="F53" s="23">
        <v>803201761001</v>
      </c>
      <c r="G53" s="23" t="str">
        <f t="shared" si="1"/>
        <v>8032017610010</v>
      </c>
      <c r="H53" s="22" t="s">
        <v>43</v>
      </c>
      <c r="I53" s="33">
        <v>45717</v>
      </c>
      <c r="J53" s="33">
        <v>46023</v>
      </c>
      <c r="K53" s="24">
        <v>1</v>
      </c>
      <c r="L53" s="22" t="s">
        <v>26</v>
      </c>
      <c r="M53" s="22" t="s">
        <v>27</v>
      </c>
      <c r="N53" s="22"/>
      <c r="O53" s="24">
        <v>23</v>
      </c>
      <c r="P53" s="24">
        <v>23</v>
      </c>
      <c r="Q53" t="s">
        <v>309</v>
      </c>
    </row>
    <row r="54" spans="1:17" ht="15" customHeight="1" x14ac:dyDescent="0.25">
      <c r="A54" s="22" t="s">
        <v>202</v>
      </c>
      <c r="B54" s="22">
        <v>16865615</v>
      </c>
      <c r="C54" s="22" t="s">
        <v>408</v>
      </c>
      <c r="D54" s="22" t="s">
        <v>409</v>
      </c>
      <c r="E54" s="22" t="str">
        <f t="shared" si="0"/>
        <v>MATTHEW SPARKS</v>
      </c>
      <c r="F54" s="23">
        <v>803156573001</v>
      </c>
      <c r="G54" s="23" t="str">
        <f t="shared" si="1"/>
        <v>8031565730010</v>
      </c>
      <c r="H54" s="22" t="s">
        <v>43</v>
      </c>
      <c r="I54" s="33">
        <v>45658</v>
      </c>
      <c r="J54" s="33">
        <v>46023</v>
      </c>
      <c r="K54" s="24">
        <v>1</v>
      </c>
      <c r="L54" s="22" t="s">
        <v>26</v>
      </c>
      <c r="M54" s="22" t="s">
        <v>27</v>
      </c>
      <c r="N54" s="22"/>
      <c r="O54" s="24">
        <v>23</v>
      </c>
      <c r="P54" s="24">
        <v>23</v>
      </c>
      <c r="Q54" t="s">
        <v>309</v>
      </c>
    </row>
    <row r="55" spans="1:17" ht="15" customHeight="1" x14ac:dyDescent="0.25">
      <c r="A55" s="22" t="s">
        <v>202</v>
      </c>
      <c r="B55" s="22">
        <v>16865615</v>
      </c>
      <c r="C55" s="22" t="s">
        <v>410</v>
      </c>
      <c r="D55" s="22" t="s">
        <v>411</v>
      </c>
      <c r="E55" s="22" t="str">
        <f t="shared" si="0"/>
        <v>ELIZABETH STONE-EHRHARDT</v>
      </c>
      <c r="F55" s="23">
        <v>802954233001</v>
      </c>
      <c r="G55" s="23" t="str">
        <f t="shared" si="1"/>
        <v>8029542330010</v>
      </c>
      <c r="H55" s="22" t="s">
        <v>43</v>
      </c>
      <c r="I55" s="33">
        <v>45658</v>
      </c>
      <c r="J55" s="33">
        <v>46023</v>
      </c>
      <c r="K55" s="24">
        <v>1</v>
      </c>
      <c r="L55" s="22" t="s">
        <v>26</v>
      </c>
      <c r="M55" s="22" t="s">
        <v>27</v>
      </c>
      <c r="N55" s="22"/>
      <c r="O55" s="24">
        <v>23</v>
      </c>
      <c r="P55" s="24">
        <v>23</v>
      </c>
      <c r="Q55" t="s">
        <v>309</v>
      </c>
    </row>
    <row r="56" spans="1:17" ht="15" customHeight="1" x14ac:dyDescent="0.25">
      <c r="A56" s="22" t="s">
        <v>202</v>
      </c>
      <c r="B56" s="22">
        <v>16865615</v>
      </c>
      <c r="C56" s="22" t="s">
        <v>412</v>
      </c>
      <c r="D56" s="22" t="s">
        <v>413</v>
      </c>
      <c r="E56" s="22" t="str">
        <f t="shared" si="0"/>
        <v>APRIL STYERS</v>
      </c>
      <c r="F56" s="23">
        <v>803267379001</v>
      </c>
      <c r="G56" s="23" t="str">
        <f t="shared" si="1"/>
        <v>8032673790010</v>
      </c>
      <c r="H56" s="22" t="s">
        <v>43</v>
      </c>
      <c r="I56" s="33">
        <v>45658</v>
      </c>
      <c r="J56" s="33">
        <v>46023</v>
      </c>
      <c r="K56" s="24">
        <v>1</v>
      </c>
      <c r="L56" s="22" t="s">
        <v>26</v>
      </c>
      <c r="M56" s="22" t="s">
        <v>27</v>
      </c>
      <c r="N56" s="22"/>
      <c r="O56" s="24">
        <v>23</v>
      </c>
      <c r="P56" s="24">
        <v>23</v>
      </c>
      <c r="Q56" t="s">
        <v>309</v>
      </c>
    </row>
    <row r="57" spans="1:17" ht="15" customHeight="1" x14ac:dyDescent="0.25">
      <c r="A57" s="22" t="s">
        <v>202</v>
      </c>
      <c r="B57" s="22">
        <v>16865615</v>
      </c>
      <c r="C57" s="22" t="s">
        <v>412</v>
      </c>
      <c r="D57" s="22" t="s">
        <v>414</v>
      </c>
      <c r="E57" s="22" t="str">
        <f t="shared" si="0"/>
        <v>MADLYN STYERS</v>
      </c>
      <c r="F57" s="23">
        <v>803297375001</v>
      </c>
      <c r="G57" s="23" t="str">
        <f t="shared" si="1"/>
        <v>8032973750010</v>
      </c>
      <c r="H57" s="22" t="s">
        <v>43</v>
      </c>
      <c r="I57" s="33">
        <v>45658</v>
      </c>
      <c r="J57" s="33">
        <v>46023</v>
      </c>
      <c r="K57" s="24">
        <v>1</v>
      </c>
      <c r="L57" s="22" t="s">
        <v>26</v>
      </c>
      <c r="M57" s="22" t="s">
        <v>27</v>
      </c>
      <c r="N57" s="22"/>
      <c r="O57" s="24">
        <v>23</v>
      </c>
      <c r="P57" s="24">
        <v>23</v>
      </c>
      <c r="Q57" t="s">
        <v>309</v>
      </c>
    </row>
    <row r="58" spans="1:17" ht="15" customHeight="1" x14ac:dyDescent="0.25">
      <c r="A58" s="22" t="s">
        <v>202</v>
      </c>
      <c r="B58" s="22">
        <v>16865615</v>
      </c>
      <c r="C58" s="22" t="s">
        <v>415</v>
      </c>
      <c r="D58" s="22" t="s">
        <v>416</v>
      </c>
      <c r="E58" s="22" t="str">
        <f t="shared" si="0"/>
        <v>SHERYL TAPPERT</v>
      </c>
      <c r="F58" s="23">
        <v>803132235001</v>
      </c>
      <c r="G58" s="23" t="str">
        <f t="shared" si="1"/>
        <v>8031322350010</v>
      </c>
      <c r="H58" s="22" t="s">
        <v>43</v>
      </c>
      <c r="I58" s="33">
        <v>45717</v>
      </c>
      <c r="J58" s="33">
        <v>46023</v>
      </c>
      <c r="K58" s="24">
        <v>1</v>
      </c>
      <c r="L58" s="22" t="s">
        <v>26</v>
      </c>
      <c r="M58" s="22" t="s">
        <v>27</v>
      </c>
      <c r="N58" s="22"/>
      <c r="O58" s="24">
        <v>23</v>
      </c>
      <c r="P58" s="24">
        <v>23</v>
      </c>
      <c r="Q58" t="s">
        <v>309</v>
      </c>
    </row>
    <row r="59" spans="1:17" ht="15" customHeight="1" x14ac:dyDescent="0.25">
      <c r="A59" s="22" t="s">
        <v>202</v>
      </c>
      <c r="B59" s="22">
        <v>16865615</v>
      </c>
      <c r="C59" s="22" t="s">
        <v>417</v>
      </c>
      <c r="D59" s="22" t="s">
        <v>418</v>
      </c>
      <c r="E59" s="22" t="str">
        <f t="shared" si="0"/>
        <v>ANGELA TILLEY</v>
      </c>
      <c r="F59" s="23">
        <v>803468235001</v>
      </c>
      <c r="G59" s="23" t="str">
        <f t="shared" si="1"/>
        <v>8034682350010</v>
      </c>
      <c r="H59" s="22" t="s">
        <v>43</v>
      </c>
      <c r="I59" s="33">
        <v>46023</v>
      </c>
      <c r="J59" s="33">
        <v>46023</v>
      </c>
      <c r="K59" s="24">
        <v>1</v>
      </c>
      <c r="L59" s="22" t="s">
        <v>26</v>
      </c>
      <c r="M59" s="22" t="s">
        <v>27</v>
      </c>
      <c r="N59" s="22"/>
      <c r="O59" s="24">
        <v>23</v>
      </c>
      <c r="P59" s="24">
        <v>23</v>
      </c>
      <c r="Q59" t="s">
        <v>309</v>
      </c>
    </row>
    <row r="60" spans="1:17" ht="15" customHeight="1" x14ac:dyDescent="0.25">
      <c r="A60" s="22" t="s">
        <v>202</v>
      </c>
      <c r="B60" s="22">
        <v>16865615</v>
      </c>
      <c r="C60" s="22" t="s">
        <v>419</v>
      </c>
      <c r="D60" s="22" t="s">
        <v>339</v>
      </c>
      <c r="E60" s="22" t="str">
        <f t="shared" si="0"/>
        <v>MICHAEL WITMORE</v>
      </c>
      <c r="F60" s="23">
        <v>803392414001</v>
      </c>
      <c r="G60" s="23" t="str">
        <f t="shared" si="1"/>
        <v>8033924140010</v>
      </c>
      <c r="H60" s="22" t="s">
        <v>43</v>
      </c>
      <c r="I60" s="33">
        <v>46023</v>
      </c>
      <c r="J60" s="33">
        <v>46023</v>
      </c>
      <c r="K60" s="24">
        <v>1</v>
      </c>
      <c r="L60" s="22" t="s">
        <v>26</v>
      </c>
      <c r="M60" s="22" t="s">
        <v>27</v>
      </c>
      <c r="N60" s="22"/>
      <c r="O60" s="24">
        <v>23</v>
      </c>
      <c r="P60" s="24">
        <v>23</v>
      </c>
      <c r="Q60" t="s">
        <v>309</v>
      </c>
    </row>
    <row r="61" spans="1:17" ht="15" customHeight="1" x14ac:dyDescent="0.25">
      <c r="A61" s="22" t="s">
        <v>202</v>
      </c>
      <c r="B61" s="22">
        <v>16865615</v>
      </c>
      <c r="C61" s="22" t="s">
        <v>420</v>
      </c>
      <c r="D61" s="22" t="s">
        <v>421</v>
      </c>
      <c r="E61" s="22" t="str">
        <f t="shared" si="0"/>
        <v>KRISTEN WOLSLEGEL</v>
      </c>
      <c r="F61" s="23">
        <v>803405363001</v>
      </c>
      <c r="G61" s="23" t="str">
        <f t="shared" si="1"/>
        <v>8034053630010</v>
      </c>
      <c r="H61" s="22" t="s">
        <v>43</v>
      </c>
      <c r="I61" s="33">
        <v>46023</v>
      </c>
      <c r="J61" s="33">
        <v>46023</v>
      </c>
      <c r="K61" s="24">
        <v>1</v>
      </c>
      <c r="L61" s="22" t="s">
        <v>26</v>
      </c>
      <c r="M61" s="22" t="s">
        <v>27</v>
      </c>
      <c r="N61" s="22" t="s">
        <v>293</v>
      </c>
      <c r="O61" s="24">
        <v>23</v>
      </c>
      <c r="P61" s="24">
        <v>69</v>
      </c>
      <c r="Q61" t="s">
        <v>309</v>
      </c>
    </row>
    <row r="62" spans="1:17" ht="15" customHeight="1" x14ac:dyDescent="0.25">
      <c r="A62" s="22" t="s">
        <v>202</v>
      </c>
      <c r="B62" s="22">
        <v>16865615</v>
      </c>
      <c r="C62" s="22" t="s">
        <v>422</v>
      </c>
      <c r="D62" s="22" t="s">
        <v>423</v>
      </c>
      <c r="E62" s="22" t="str">
        <f t="shared" si="0"/>
        <v>MICAH YARBROUGH</v>
      </c>
      <c r="F62" s="23">
        <v>803191407001</v>
      </c>
      <c r="G62" s="23" t="str">
        <f t="shared" si="1"/>
        <v>8031914070010</v>
      </c>
      <c r="H62" s="22" t="s">
        <v>43</v>
      </c>
      <c r="I62" s="33">
        <v>45717</v>
      </c>
      <c r="J62" s="33">
        <v>46023</v>
      </c>
      <c r="K62" s="24">
        <v>1</v>
      </c>
      <c r="L62" s="22" t="s">
        <v>26</v>
      </c>
      <c r="M62" s="22" t="s">
        <v>27</v>
      </c>
      <c r="N62" s="22" t="s">
        <v>292</v>
      </c>
      <c r="O62" s="24">
        <v>23</v>
      </c>
      <c r="P62" s="24">
        <v>46</v>
      </c>
      <c r="Q62" t="s">
        <v>309</v>
      </c>
    </row>
    <row r="63" spans="1:17" ht="15" customHeight="1" x14ac:dyDescent="0.25">
      <c r="A63" s="22" t="s">
        <v>207</v>
      </c>
      <c r="B63" s="22">
        <v>21313588</v>
      </c>
      <c r="C63" s="22" t="s">
        <v>424</v>
      </c>
      <c r="D63" s="22" t="s">
        <v>425</v>
      </c>
      <c r="E63" s="22" t="str">
        <f t="shared" si="0"/>
        <v>ZACHARY ARNOLD</v>
      </c>
      <c r="F63" s="23">
        <v>803433525001</v>
      </c>
      <c r="G63" s="23" t="str">
        <f t="shared" si="1"/>
        <v>8034335250010</v>
      </c>
      <c r="H63" s="22" t="s">
        <v>43</v>
      </c>
      <c r="I63" s="33">
        <v>46023</v>
      </c>
      <c r="J63" s="33">
        <v>46023</v>
      </c>
      <c r="K63" s="24">
        <v>1</v>
      </c>
      <c r="L63" s="22" t="s">
        <v>26</v>
      </c>
      <c r="M63" s="22" t="s">
        <v>27</v>
      </c>
      <c r="N63" s="22"/>
      <c r="O63" s="24">
        <v>23</v>
      </c>
      <c r="P63" s="24">
        <v>23</v>
      </c>
      <c r="Q63" t="s">
        <v>309</v>
      </c>
    </row>
    <row r="64" spans="1:17" ht="15" customHeight="1" x14ac:dyDescent="0.25">
      <c r="A64" s="22" t="s">
        <v>207</v>
      </c>
      <c r="B64" s="22">
        <v>21313588</v>
      </c>
      <c r="C64" s="22" t="s">
        <v>426</v>
      </c>
      <c r="D64" s="22" t="s">
        <v>368</v>
      </c>
      <c r="E64" s="22" t="str">
        <f t="shared" si="0"/>
        <v>JAMES CRAWFORD</v>
      </c>
      <c r="F64" s="23">
        <v>803420941001</v>
      </c>
      <c r="G64" s="23" t="str">
        <f t="shared" si="1"/>
        <v>8034209410010</v>
      </c>
      <c r="H64" s="22" t="s">
        <v>43</v>
      </c>
      <c r="I64" s="33">
        <v>46023</v>
      </c>
      <c r="J64" s="33">
        <v>46023</v>
      </c>
      <c r="K64" s="24">
        <v>1</v>
      </c>
      <c r="L64" s="22" t="s">
        <v>26</v>
      </c>
      <c r="M64" s="22" t="s">
        <v>27</v>
      </c>
      <c r="N64" s="22" t="s">
        <v>293</v>
      </c>
      <c r="O64" s="24">
        <v>23</v>
      </c>
      <c r="P64" s="24">
        <v>69</v>
      </c>
      <c r="Q64" t="s">
        <v>309</v>
      </c>
    </row>
    <row r="65" spans="1:17" ht="15" customHeight="1" x14ac:dyDescent="0.25">
      <c r="A65" s="22" t="s">
        <v>207</v>
      </c>
      <c r="B65" s="22">
        <v>21313588</v>
      </c>
      <c r="C65" s="22" t="s">
        <v>427</v>
      </c>
      <c r="D65" s="22" t="s">
        <v>428</v>
      </c>
      <c r="E65" s="22" t="str">
        <f t="shared" si="0"/>
        <v>CATE DONALD</v>
      </c>
      <c r="F65" s="23">
        <v>803132511001</v>
      </c>
      <c r="G65" s="23" t="str">
        <f t="shared" si="1"/>
        <v>8031325110010</v>
      </c>
      <c r="H65" s="22" t="s">
        <v>43</v>
      </c>
      <c r="I65" s="33">
        <v>45658</v>
      </c>
      <c r="J65" s="33">
        <v>46023</v>
      </c>
      <c r="K65" s="24">
        <v>1</v>
      </c>
      <c r="L65" s="22" t="s">
        <v>26</v>
      </c>
      <c r="M65" s="22" t="s">
        <v>27</v>
      </c>
      <c r="N65" s="22"/>
      <c r="O65" s="24">
        <v>23</v>
      </c>
      <c r="P65" s="24">
        <v>23</v>
      </c>
      <c r="Q65" t="s">
        <v>309</v>
      </c>
    </row>
    <row r="66" spans="1:17" ht="15" customHeight="1" x14ac:dyDescent="0.25">
      <c r="A66" s="22" t="s">
        <v>207</v>
      </c>
      <c r="B66" s="22">
        <v>21313588</v>
      </c>
      <c r="C66" s="22" t="s">
        <v>429</v>
      </c>
      <c r="D66" s="22" t="s">
        <v>430</v>
      </c>
      <c r="E66" s="22" t="str">
        <f t="shared" si="0"/>
        <v>GRAYSON DORNAN-FISH</v>
      </c>
      <c r="F66" s="23">
        <v>803439178001</v>
      </c>
      <c r="G66" s="23" t="str">
        <f t="shared" si="1"/>
        <v>8034391780010</v>
      </c>
      <c r="H66" s="22" t="s">
        <v>43</v>
      </c>
      <c r="I66" s="33">
        <v>46023</v>
      </c>
      <c r="J66" s="33">
        <v>46023</v>
      </c>
      <c r="K66" s="24">
        <v>1</v>
      </c>
      <c r="L66" s="22" t="s">
        <v>26</v>
      </c>
      <c r="M66" s="22" t="s">
        <v>27</v>
      </c>
      <c r="N66" s="22"/>
      <c r="O66" s="24">
        <v>23</v>
      </c>
      <c r="P66" s="24">
        <v>23</v>
      </c>
      <c r="Q66" t="s">
        <v>309</v>
      </c>
    </row>
    <row r="67" spans="1:17" ht="15" customHeight="1" x14ac:dyDescent="0.25">
      <c r="A67" s="22" t="s">
        <v>207</v>
      </c>
      <c r="B67" s="22">
        <v>21313588</v>
      </c>
      <c r="C67" s="22" t="s">
        <v>429</v>
      </c>
      <c r="D67" s="22" t="s">
        <v>335</v>
      </c>
      <c r="E67" s="22" t="str">
        <f t="shared" ref="E67:E107" si="2">CONCATENATE(D67," ",C67)</f>
        <v>JENNIFER DORNAN-FISH</v>
      </c>
      <c r="F67" s="23">
        <v>803439229001</v>
      </c>
      <c r="G67" s="23" t="str">
        <f t="shared" ref="G67:G79" si="3">CONCATENATE(F67,0)</f>
        <v>8034392290010</v>
      </c>
      <c r="H67" s="22" t="s">
        <v>43</v>
      </c>
      <c r="I67" s="33">
        <v>46023</v>
      </c>
      <c r="J67" s="33">
        <v>46023</v>
      </c>
      <c r="K67" s="24">
        <v>1</v>
      </c>
      <c r="L67" s="22" t="s">
        <v>26</v>
      </c>
      <c r="M67" s="22" t="s">
        <v>27</v>
      </c>
      <c r="N67" s="22"/>
      <c r="O67" s="24">
        <v>23</v>
      </c>
      <c r="P67" s="24">
        <v>23</v>
      </c>
      <c r="Q67" t="s">
        <v>309</v>
      </c>
    </row>
    <row r="68" spans="1:17" ht="15" customHeight="1" x14ac:dyDescent="0.25">
      <c r="A68" s="22" t="s">
        <v>207</v>
      </c>
      <c r="B68" s="22">
        <v>21313588</v>
      </c>
      <c r="C68" s="22" t="s">
        <v>431</v>
      </c>
      <c r="D68" s="22" t="s">
        <v>432</v>
      </c>
      <c r="E68" s="22" t="str">
        <f t="shared" si="2"/>
        <v>DARIA DROBNICK</v>
      </c>
      <c r="F68" s="23">
        <v>803405284001</v>
      </c>
      <c r="G68" s="23" t="str">
        <f t="shared" si="3"/>
        <v>8034052840010</v>
      </c>
      <c r="H68" s="22" t="s">
        <v>43</v>
      </c>
      <c r="I68" s="33">
        <v>46023</v>
      </c>
      <c r="J68" s="33">
        <v>46023</v>
      </c>
      <c r="K68" s="24">
        <v>1</v>
      </c>
      <c r="L68" s="22" t="s">
        <v>26</v>
      </c>
      <c r="M68" s="22" t="s">
        <v>27</v>
      </c>
      <c r="N68" s="22"/>
      <c r="O68" s="24">
        <v>23</v>
      </c>
      <c r="P68" s="24">
        <v>23</v>
      </c>
      <c r="Q68" t="s">
        <v>309</v>
      </c>
    </row>
    <row r="69" spans="1:17" ht="15" customHeight="1" x14ac:dyDescent="0.25">
      <c r="A69" s="22" t="s">
        <v>207</v>
      </c>
      <c r="B69" s="22">
        <v>21313588</v>
      </c>
      <c r="C69" s="22" t="s">
        <v>433</v>
      </c>
      <c r="D69" s="22" t="s">
        <v>434</v>
      </c>
      <c r="E69" s="22" t="str">
        <f t="shared" si="2"/>
        <v>PATRICK HEADLEY</v>
      </c>
      <c r="F69" s="23">
        <v>803456916001</v>
      </c>
      <c r="G69" s="23" t="str">
        <f t="shared" si="3"/>
        <v>8034569160010</v>
      </c>
      <c r="H69" s="22" t="s">
        <v>43</v>
      </c>
      <c r="I69" s="33">
        <v>46023</v>
      </c>
      <c r="J69" s="33">
        <v>46023</v>
      </c>
      <c r="K69" s="24">
        <v>1</v>
      </c>
      <c r="L69" s="22" t="s">
        <v>26</v>
      </c>
      <c r="M69" s="22" t="s">
        <v>27</v>
      </c>
      <c r="N69" s="22" t="s">
        <v>292</v>
      </c>
      <c r="O69" s="24">
        <v>23</v>
      </c>
      <c r="P69" s="24">
        <v>46</v>
      </c>
      <c r="Q69" t="s">
        <v>309</v>
      </c>
    </row>
    <row r="70" spans="1:17" ht="15" customHeight="1" x14ac:dyDescent="0.25">
      <c r="A70" s="22" t="s">
        <v>207</v>
      </c>
      <c r="B70" s="22">
        <v>21313588</v>
      </c>
      <c r="C70" s="22" t="s">
        <v>435</v>
      </c>
      <c r="D70" s="22" t="s">
        <v>436</v>
      </c>
      <c r="E70" s="22" t="str">
        <f t="shared" si="2"/>
        <v>DANA HYLAND</v>
      </c>
      <c r="F70" s="23">
        <v>803422316001</v>
      </c>
      <c r="G70" s="23" t="str">
        <f t="shared" si="3"/>
        <v>8034223160010</v>
      </c>
      <c r="H70" s="22" t="s">
        <v>43</v>
      </c>
      <c r="I70" s="33">
        <v>46023</v>
      </c>
      <c r="J70" s="33">
        <v>46023</v>
      </c>
      <c r="K70" s="24">
        <v>1</v>
      </c>
      <c r="L70" s="22" t="s">
        <v>26</v>
      </c>
      <c r="M70" s="22" t="s">
        <v>27</v>
      </c>
      <c r="N70" s="22"/>
      <c r="O70" s="24">
        <v>23</v>
      </c>
      <c r="P70" s="24">
        <v>23</v>
      </c>
      <c r="Q70" t="s">
        <v>309</v>
      </c>
    </row>
    <row r="71" spans="1:17" ht="15" customHeight="1" x14ac:dyDescent="0.25">
      <c r="A71" s="22" t="s">
        <v>207</v>
      </c>
      <c r="B71" s="22">
        <v>21313588</v>
      </c>
      <c r="C71" s="22" t="s">
        <v>437</v>
      </c>
      <c r="D71" s="22" t="s">
        <v>438</v>
      </c>
      <c r="E71" s="22" t="str">
        <f t="shared" si="2"/>
        <v>CHELSEA PLAGGE</v>
      </c>
      <c r="F71" s="23">
        <v>803436921001</v>
      </c>
      <c r="G71" s="23" t="str">
        <f t="shared" si="3"/>
        <v>8034369210010</v>
      </c>
      <c r="H71" s="22" t="s">
        <v>43</v>
      </c>
      <c r="I71" s="33">
        <v>46023</v>
      </c>
      <c r="J71" s="33">
        <v>46023</v>
      </c>
      <c r="K71" s="24">
        <v>1</v>
      </c>
      <c r="L71" s="22" t="s">
        <v>26</v>
      </c>
      <c r="M71" s="22" t="s">
        <v>27</v>
      </c>
      <c r="N71" s="22"/>
      <c r="O71" s="24">
        <v>23</v>
      </c>
      <c r="P71" s="24">
        <v>23</v>
      </c>
      <c r="Q71" t="s">
        <v>309</v>
      </c>
    </row>
    <row r="72" spans="1:17" s="81" customFormat="1" ht="15" customHeight="1" x14ac:dyDescent="0.25">
      <c r="A72" s="77" t="s">
        <v>209</v>
      </c>
      <c r="B72" s="77">
        <v>6634327</v>
      </c>
      <c r="C72" s="77" t="s">
        <v>439</v>
      </c>
      <c r="D72" s="77" t="s">
        <v>440</v>
      </c>
      <c r="E72" s="77" t="str">
        <f t="shared" si="2"/>
        <v>BARBARA BLUME</v>
      </c>
      <c r="F72" s="78">
        <v>803422263001</v>
      </c>
      <c r="G72" s="78" t="str">
        <f t="shared" si="3"/>
        <v>8034222630010</v>
      </c>
      <c r="H72" s="77" t="s">
        <v>43</v>
      </c>
      <c r="I72" s="79">
        <v>46023</v>
      </c>
      <c r="J72" s="79">
        <v>46023</v>
      </c>
      <c r="K72" s="80">
        <v>1</v>
      </c>
      <c r="L72" s="77" t="s">
        <v>26</v>
      </c>
      <c r="M72" s="77" t="s">
        <v>27</v>
      </c>
      <c r="N72" s="77"/>
      <c r="O72" s="80">
        <v>23</v>
      </c>
      <c r="P72" s="80">
        <v>23</v>
      </c>
      <c r="Q72" s="81" t="s">
        <v>309</v>
      </c>
    </row>
    <row r="73" spans="1:17" s="81" customFormat="1" ht="15" customHeight="1" x14ac:dyDescent="0.25">
      <c r="A73" s="77" t="s">
        <v>209</v>
      </c>
      <c r="B73" s="77">
        <v>6634327</v>
      </c>
      <c r="C73" s="77" t="s">
        <v>441</v>
      </c>
      <c r="D73" s="77" t="s">
        <v>442</v>
      </c>
      <c r="E73" s="77" t="str">
        <f t="shared" si="2"/>
        <v>ANDREW GRAFFIS</v>
      </c>
      <c r="F73" s="78">
        <v>803433234001</v>
      </c>
      <c r="G73" s="78" t="str">
        <f t="shared" si="3"/>
        <v>8034332340010</v>
      </c>
      <c r="H73" s="77" t="s">
        <v>43</v>
      </c>
      <c r="I73" s="79">
        <v>46023</v>
      </c>
      <c r="J73" s="79">
        <v>46023</v>
      </c>
      <c r="K73" s="80">
        <v>1</v>
      </c>
      <c r="L73" s="77" t="s">
        <v>26</v>
      </c>
      <c r="M73" s="77" t="s">
        <v>27</v>
      </c>
      <c r="N73" s="77"/>
      <c r="O73" s="80">
        <v>23</v>
      </c>
      <c r="P73" s="80">
        <v>23</v>
      </c>
      <c r="Q73" s="81" t="s">
        <v>309</v>
      </c>
    </row>
    <row r="74" spans="1:17" s="81" customFormat="1" ht="15" customHeight="1" x14ac:dyDescent="0.25">
      <c r="A74" s="77" t="s">
        <v>209</v>
      </c>
      <c r="B74" s="77">
        <v>6634327</v>
      </c>
      <c r="C74" s="77" t="s">
        <v>314</v>
      </c>
      <c r="D74" s="77" t="s">
        <v>443</v>
      </c>
      <c r="E74" s="77" t="str">
        <f t="shared" si="2"/>
        <v>RUSSELL SMITH</v>
      </c>
      <c r="F74" s="78">
        <v>803467543001</v>
      </c>
      <c r="G74" s="78" t="str">
        <f t="shared" si="3"/>
        <v>8034675430010</v>
      </c>
      <c r="H74" s="77" t="s">
        <v>43</v>
      </c>
      <c r="I74" s="79">
        <v>46023</v>
      </c>
      <c r="J74" s="79">
        <v>46023</v>
      </c>
      <c r="K74" s="80">
        <v>1</v>
      </c>
      <c r="L74" s="77" t="s">
        <v>26</v>
      </c>
      <c r="M74" s="77" t="s">
        <v>27</v>
      </c>
      <c r="N74" s="77" t="s">
        <v>292</v>
      </c>
      <c r="O74" s="80">
        <v>23</v>
      </c>
      <c r="P74" s="80">
        <v>46</v>
      </c>
      <c r="Q74" s="81" t="s">
        <v>309</v>
      </c>
    </row>
    <row r="75" spans="1:17" s="81" customFormat="1" ht="15" customHeight="1" x14ac:dyDescent="0.25">
      <c r="A75" s="77" t="s">
        <v>209</v>
      </c>
      <c r="B75" s="77">
        <v>6634327</v>
      </c>
      <c r="C75" s="77" t="s">
        <v>444</v>
      </c>
      <c r="D75" s="77" t="s">
        <v>445</v>
      </c>
      <c r="E75" s="77" t="str">
        <f t="shared" si="2"/>
        <v>ZARINE WILLE</v>
      </c>
      <c r="F75" s="78">
        <v>803433633001</v>
      </c>
      <c r="G75" s="78" t="str">
        <f t="shared" si="3"/>
        <v>8034336330010</v>
      </c>
      <c r="H75" s="77" t="s">
        <v>43</v>
      </c>
      <c r="I75" s="79">
        <v>46023</v>
      </c>
      <c r="J75" s="79">
        <v>46023</v>
      </c>
      <c r="K75" s="80">
        <v>1</v>
      </c>
      <c r="L75" s="77" t="s">
        <v>26</v>
      </c>
      <c r="M75" s="77" t="s">
        <v>27</v>
      </c>
      <c r="N75" s="77"/>
      <c r="O75" s="80">
        <v>23</v>
      </c>
      <c r="P75" s="80">
        <v>23</v>
      </c>
      <c r="Q75" s="81" t="s">
        <v>309</v>
      </c>
    </row>
    <row r="76" spans="1:17" s="81" customFormat="1" ht="15" customHeight="1" x14ac:dyDescent="0.25">
      <c r="A76" s="77" t="s">
        <v>212</v>
      </c>
      <c r="B76" s="77">
        <v>12047257</v>
      </c>
      <c r="C76" s="77" t="s">
        <v>446</v>
      </c>
      <c r="D76" s="77" t="s">
        <v>447</v>
      </c>
      <c r="E76" s="77" t="str">
        <f t="shared" si="2"/>
        <v>TEARA ADAMS</v>
      </c>
      <c r="F76" s="78">
        <v>802732550001</v>
      </c>
      <c r="G76" s="78" t="str">
        <f t="shared" si="3"/>
        <v>8027325500010</v>
      </c>
      <c r="H76" s="77" t="s">
        <v>25</v>
      </c>
      <c r="I76" s="79">
        <v>44986</v>
      </c>
      <c r="J76" s="79">
        <v>45931</v>
      </c>
      <c r="K76" s="80">
        <v>1</v>
      </c>
      <c r="L76" s="77" t="s">
        <v>26</v>
      </c>
      <c r="M76" s="77" t="s">
        <v>27</v>
      </c>
      <c r="N76" s="77" t="s">
        <v>292</v>
      </c>
      <c r="O76" s="80">
        <v>20</v>
      </c>
      <c r="P76" s="80">
        <v>40</v>
      </c>
      <c r="Q76" s="81" t="s">
        <v>300</v>
      </c>
    </row>
    <row r="77" spans="1:17" ht="15" customHeight="1" x14ac:dyDescent="0.25">
      <c r="A77" s="22" t="s">
        <v>212</v>
      </c>
      <c r="B77" s="22">
        <v>12047257</v>
      </c>
      <c r="C77" s="22" t="s">
        <v>446</v>
      </c>
      <c r="D77" s="22" t="s">
        <v>447</v>
      </c>
      <c r="E77" s="22" t="str">
        <f t="shared" si="2"/>
        <v>TEARA ADAMS</v>
      </c>
      <c r="F77" s="23">
        <v>802732550001</v>
      </c>
      <c r="G77" s="23" t="str">
        <f t="shared" si="3"/>
        <v>8027325500010</v>
      </c>
      <c r="H77" s="22" t="s">
        <v>25</v>
      </c>
      <c r="I77" s="33">
        <v>44986</v>
      </c>
      <c r="J77" s="33">
        <v>45962</v>
      </c>
      <c r="K77" s="24">
        <v>1</v>
      </c>
      <c r="L77" s="22" t="s">
        <v>26</v>
      </c>
      <c r="M77" s="22" t="s">
        <v>27</v>
      </c>
      <c r="N77" s="22" t="s">
        <v>292</v>
      </c>
      <c r="O77" s="24">
        <v>20</v>
      </c>
      <c r="P77" s="24">
        <v>40</v>
      </c>
      <c r="Q77" t="s">
        <v>300</v>
      </c>
    </row>
    <row r="78" spans="1:17" ht="15" customHeight="1" x14ac:dyDescent="0.25">
      <c r="A78" s="22" t="s">
        <v>212</v>
      </c>
      <c r="B78" s="22">
        <v>12047257</v>
      </c>
      <c r="C78" s="22" t="s">
        <v>446</v>
      </c>
      <c r="D78" s="22" t="s">
        <v>447</v>
      </c>
      <c r="E78" s="22" t="str">
        <f t="shared" si="2"/>
        <v>TEARA ADAMS</v>
      </c>
      <c r="F78" s="23">
        <v>802732550001</v>
      </c>
      <c r="G78" s="23" t="str">
        <f t="shared" si="3"/>
        <v>8027325500010</v>
      </c>
      <c r="H78" s="22" t="s">
        <v>25</v>
      </c>
      <c r="I78" s="33">
        <v>44986</v>
      </c>
      <c r="J78" s="33">
        <v>45992</v>
      </c>
      <c r="K78" s="24">
        <v>1</v>
      </c>
      <c r="L78" s="22" t="s">
        <v>26</v>
      </c>
      <c r="M78" s="22" t="s">
        <v>27</v>
      </c>
      <c r="N78" s="22" t="s">
        <v>292</v>
      </c>
      <c r="O78" s="24">
        <v>20</v>
      </c>
      <c r="P78" s="24">
        <v>40</v>
      </c>
      <c r="Q78" t="s">
        <v>300</v>
      </c>
    </row>
    <row r="79" spans="1:17" ht="15" customHeight="1" x14ac:dyDescent="0.25">
      <c r="A79" s="22" t="s">
        <v>212</v>
      </c>
      <c r="B79" s="22">
        <v>12047257</v>
      </c>
      <c r="C79" s="22" t="s">
        <v>446</v>
      </c>
      <c r="D79" s="22" t="s">
        <v>447</v>
      </c>
      <c r="E79" s="22" t="str">
        <f t="shared" si="2"/>
        <v>TEARA ADAMS</v>
      </c>
      <c r="F79" s="23">
        <v>802732550001</v>
      </c>
      <c r="G79" s="23" t="str">
        <f t="shared" si="3"/>
        <v>8027325500010</v>
      </c>
      <c r="H79" s="22" t="s">
        <v>25</v>
      </c>
      <c r="I79" s="33">
        <v>44986</v>
      </c>
      <c r="J79" s="33">
        <v>46023</v>
      </c>
      <c r="K79" s="24">
        <v>1</v>
      </c>
      <c r="L79" s="22" t="s">
        <v>26</v>
      </c>
      <c r="M79" s="22" t="s">
        <v>27</v>
      </c>
      <c r="N79" s="22" t="s">
        <v>292</v>
      </c>
      <c r="O79" s="24">
        <v>20</v>
      </c>
      <c r="P79" s="24">
        <v>40</v>
      </c>
      <c r="Q79" t="s">
        <v>300</v>
      </c>
    </row>
    <row r="80" spans="1:17" ht="15" customHeight="1" x14ac:dyDescent="0.25">
      <c r="A80" s="22" t="s">
        <v>202</v>
      </c>
      <c r="B80" s="22">
        <v>16865615</v>
      </c>
      <c r="C80" s="22" t="s">
        <v>448</v>
      </c>
      <c r="D80" s="22" t="s">
        <v>449</v>
      </c>
      <c r="E80" s="22" t="str">
        <f t="shared" si="2"/>
        <v>KATHERINE BARTLETT</v>
      </c>
      <c r="F80" s="23">
        <v>803309626</v>
      </c>
      <c r="G80" s="23" t="str">
        <f>CONCATENATE(F80,1)</f>
        <v>8033096261</v>
      </c>
      <c r="I80" s="36">
        <v>45962</v>
      </c>
      <c r="J80" s="33">
        <v>46023</v>
      </c>
      <c r="K80" s="24">
        <v>1</v>
      </c>
      <c r="N80" s="31" t="s">
        <v>297</v>
      </c>
      <c r="P80" s="24">
        <v>28.9</v>
      </c>
      <c r="Q80" t="s">
        <v>296</v>
      </c>
    </row>
    <row r="81" spans="1:17" ht="15" customHeight="1" x14ac:dyDescent="0.25">
      <c r="A81" s="22" t="s">
        <v>202</v>
      </c>
      <c r="B81" s="22">
        <v>16865615</v>
      </c>
      <c r="C81" s="22" t="s">
        <v>450</v>
      </c>
      <c r="D81" s="22" t="s">
        <v>451</v>
      </c>
      <c r="E81" s="22" t="str">
        <f t="shared" si="2"/>
        <v>DEEANN BEAMAN</v>
      </c>
      <c r="F81" s="23">
        <v>803223990</v>
      </c>
      <c r="G81" s="23" t="str">
        <f t="shared" ref="G81:G107" si="4">CONCATENATE(F81,1)</f>
        <v>8032239901</v>
      </c>
      <c r="I81" s="36">
        <v>45689</v>
      </c>
      <c r="J81" s="33">
        <v>46023</v>
      </c>
      <c r="K81" s="24">
        <v>1</v>
      </c>
      <c r="N81" s="31" t="s">
        <v>297</v>
      </c>
      <c r="P81" s="24">
        <v>28.9</v>
      </c>
      <c r="Q81" t="s">
        <v>296</v>
      </c>
    </row>
    <row r="82" spans="1:17" ht="15" customHeight="1" x14ac:dyDescent="0.25">
      <c r="A82" s="22" t="s">
        <v>202</v>
      </c>
      <c r="B82" s="22">
        <v>16865615</v>
      </c>
      <c r="C82" s="22" t="s">
        <v>450</v>
      </c>
      <c r="D82" s="22" t="s">
        <v>452</v>
      </c>
      <c r="E82" s="22" t="str">
        <f t="shared" si="2"/>
        <v>DENNIS BEAMAN</v>
      </c>
      <c r="F82" s="23">
        <v>803223989</v>
      </c>
      <c r="G82" s="23" t="str">
        <f t="shared" si="4"/>
        <v>8032239891</v>
      </c>
      <c r="I82" s="36">
        <v>45689</v>
      </c>
      <c r="J82" s="33">
        <v>46023</v>
      </c>
      <c r="K82" s="24">
        <v>1</v>
      </c>
      <c r="N82" s="31" t="s">
        <v>297</v>
      </c>
      <c r="P82" s="24">
        <v>28.9</v>
      </c>
      <c r="Q82" t="s">
        <v>296</v>
      </c>
    </row>
    <row r="83" spans="1:17" ht="15" customHeight="1" x14ac:dyDescent="0.25">
      <c r="A83" s="22" t="s">
        <v>202</v>
      </c>
      <c r="B83" s="22">
        <v>16865615</v>
      </c>
      <c r="C83" s="22" t="s">
        <v>453</v>
      </c>
      <c r="D83" s="22" t="s">
        <v>454</v>
      </c>
      <c r="E83" s="22" t="str">
        <f t="shared" si="2"/>
        <v>RAYMOND BRECHEISEN</v>
      </c>
      <c r="F83" s="23">
        <v>803101991</v>
      </c>
      <c r="G83" s="23" t="str">
        <f t="shared" si="4"/>
        <v>8031019911</v>
      </c>
      <c r="I83" s="36">
        <v>45658</v>
      </c>
      <c r="J83" s="33">
        <v>46023</v>
      </c>
      <c r="K83" s="24">
        <v>1</v>
      </c>
      <c r="N83" s="31" t="s">
        <v>297</v>
      </c>
      <c r="P83" s="24">
        <v>28.9</v>
      </c>
      <c r="Q83" t="s">
        <v>296</v>
      </c>
    </row>
    <row r="84" spans="1:17" ht="15" customHeight="1" x14ac:dyDescent="0.25">
      <c r="A84" s="22" t="s">
        <v>202</v>
      </c>
      <c r="B84" s="22">
        <v>16865615</v>
      </c>
      <c r="C84" s="22" t="s">
        <v>455</v>
      </c>
      <c r="D84" s="22" t="s">
        <v>456</v>
      </c>
      <c r="E84" s="22" t="str">
        <f t="shared" si="2"/>
        <v>CYNTHIA CAPUTO</v>
      </c>
      <c r="F84" s="23">
        <v>803237352</v>
      </c>
      <c r="G84" s="23" t="str">
        <f t="shared" si="4"/>
        <v>8032373521</v>
      </c>
      <c r="I84" s="36">
        <v>45778</v>
      </c>
      <c r="J84" s="33">
        <v>46023</v>
      </c>
      <c r="K84" s="24">
        <v>1</v>
      </c>
      <c r="N84" s="31" t="s">
        <v>297</v>
      </c>
      <c r="P84" s="24">
        <v>28.9</v>
      </c>
      <c r="Q84" t="s">
        <v>296</v>
      </c>
    </row>
    <row r="85" spans="1:17" ht="15" customHeight="1" x14ac:dyDescent="0.25">
      <c r="A85" s="22" t="s">
        <v>202</v>
      </c>
      <c r="B85" s="22">
        <v>16865615</v>
      </c>
      <c r="C85" s="22" t="s">
        <v>457</v>
      </c>
      <c r="D85" s="22" t="s">
        <v>458</v>
      </c>
      <c r="E85" s="22" t="str">
        <f t="shared" si="2"/>
        <v>PAMELA CAUDY</v>
      </c>
      <c r="F85" s="23">
        <v>803421588</v>
      </c>
      <c r="G85" s="23" t="str">
        <f t="shared" si="4"/>
        <v>8034215881</v>
      </c>
      <c r="I85" s="36">
        <v>46023</v>
      </c>
      <c r="J85" s="33">
        <v>46023</v>
      </c>
      <c r="K85" s="24">
        <v>1</v>
      </c>
      <c r="N85" s="31" t="s">
        <v>299</v>
      </c>
      <c r="P85" s="24">
        <v>173.4</v>
      </c>
      <c r="Q85" t="s">
        <v>296</v>
      </c>
    </row>
    <row r="86" spans="1:17" ht="15" customHeight="1" x14ac:dyDescent="0.25">
      <c r="A86" s="22" t="s">
        <v>202</v>
      </c>
      <c r="B86" s="22">
        <v>16865615</v>
      </c>
      <c r="C86" s="22" t="s">
        <v>459</v>
      </c>
      <c r="D86" s="22" t="s">
        <v>460</v>
      </c>
      <c r="E86" s="22" t="str">
        <f t="shared" si="2"/>
        <v>JUANITA DAVENPORT</v>
      </c>
      <c r="F86" s="23">
        <v>803225193</v>
      </c>
      <c r="G86" s="23" t="str">
        <f t="shared" si="4"/>
        <v>8032251931</v>
      </c>
      <c r="I86" s="36">
        <v>45689</v>
      </c>
      <c r="J86" s="33">
        <v>46023</v>
      </c>
      <c r="K86" s="24">
        <v>1</v>
      </c>
      <c r="N86" s="31" t="s">
        <v>297</v>
      </c>
      <c r="P86" s="24">
        <v>28.9</v>
      </c>
      <c r="Q86" t="s">
        <v>296</v>
      </c>
    </row>
    <row r="87" spans="1:17" ht="15" customHeight="1" x14ac:dyDescent="0.25">
      <c r="A87" s="22" t="s">
        <v>202</v>
      </c>
      <c r="B87" s="22">
        <v>16865615</v>
      </c>
      <c r="C87" s="22" t="s">
        <v>461</v>
      </c>
      <c r="D87" s="22" t="s">
        <v>462</v>
      </c>
      <c r="E87" s="22" t="str">
        <f t="shared" si="2"/>
        <v>KARA FRITCHLEE</v>
      </c>
      <c r="F87" s="23">
        <v>803440100</v>
      </c>
      <c r="G87" s="23" t="str">
        <f t="shared" si="4"/>
        <v>8034401001</v>
      </c>
      <c r="I87" s="36">
        <v>46023</v>
      </c>
      <c r="J87" s="33">
        <v>46023</v>
      </c>
      <c r="K87" s="24">
        <v>1</v>
      </c>
      <c r="N87" s="31" t="s">
        <v>299</v>
      </c>
      <c r="P87" s="24">
        <v>173.4</v>
      </c>
      <c r="Q87" t="s">
        <v>296</v>
      </c>
    </row>
    <row r="88" spans="1:17" ht="15" customHeight="1" x14ac:dyDescent="0.25">
      <c r="A88" s="22" t="s">
        <v>202</v>
      </c>
      <c r="B88" s="22">
        <v>16865615</v>
      </c>
      <c r="C88" s="22" t="s">
        <v>461</v>
      </c>
      <c r="D88" s="22" t="s">
        <v>462</v>
      </c>
      <c r="E88" s="22" t="str">
        <f t="shared" si="2"/>
        <v>KARA FRITCHLEE</v>
      </c>
      <c r="F88" s="23">
        <v>803440100</v>
      </c>
      <c r="G88" s="23" t="str">
        <f t="shared" si="4"/>
        <v>8034401001</v>
      </c>
      <c r="I88" s="36">
        <v>46023</v>
      </c>
      <c r="J88" s="33">
        <v>46023</v>
      </c>
      <c r="K88" s="24">
        <v>1</v>
      </c>
      <c r="N88" s="31" t="s">
        <v>298</v>
      </c>
      <c r="P88" s="24">
        <v>14.45</v>
      </c>
      <c r="Q88" t="s">
        <v>296</v>
      </c>
    </row>
    <row r="89" spans="1:17" ht="15" customHeight="1" x14ac:dyDescent="0.25">
      <c r="A89" s="22" t="s">
        <v>202</v>
      </c>
      <c r="B89" s="22">
        <v>16865615</v>
      </c>
      <c r="C89" s="22" t="s">
        <v>463</v>
      </c>
      <c r="D89" s="22" t="s">
        <v>464</v>
      </c>
      <c r="E89" s="22" t="str">
        <f t="shared" si="2"/>
        <v>NANCY GEWORSKY</v>
      </c>
      <c r="F89" s="23">
        <v>803076965</v>
      </c>
      <c r="G89" s="23" t="str">
        <f t="shared" si="4"/>
        <v>8030769651</v>
      </c>
      <c r="I89" s="36">
        <v>45627</v>
      </c>
      <c r="J89" s="33">
        <v>46023</v>
      </c>
      <c r="K89" s="24">
        <v>1</v>
      </c>
      <c r="N89" s="31" t="s">
        <v>297</v>
      </c>
      <c r="P89" s="24">
        <v>28.9</v>
      </c>
      <c r="Q89" t="s">
        <v>296</v>
      </c>
    </row>
    <row r="90" spans="1:17" ht="15" customHeight="1" x14ac:dyDescent="0.25">
      <c r="A90" s="22" t="s">
        <v>202</v>
      </c>
      <c r="B90" s="22">
        <v>16865615</v>
      </c>
      <c r="C90" s="22" t="s">
        <v>465</v>
      </c>
      <c r="D90" s="22" t="s">
        <v>466</v>
      </c>
      <c r="E90" s="22" t="str">
        <f t="shared" si="2"/>
        <v>DEBORAH HARMS</v>
      </c>
      <c r="F90" s="23">
        <v>803265309</v>
      </c>
      <c r="G90" s="23" t="str">
        <f t="shared" si="4"/>
        <v>8032653091</v>
      </c>
      <c r="I90" s="36">
        <v>45778</v>
      </c>
      <c r="J90" s="33">
        <v>46023</v>
      </c>
      <c r="K90" s="24">
        <v>1</v>
      </c>
      <c r="N90" s="31" t="s">
        <v>297</v>
      </c>
      <c r="P90" s="24">
        <v>28.9</v>
      </c>
      <c r="Q90" t="s">
        <v>296</v>
      </c>
    </row>
    <row r="91" spans="1:17" ht="15" customHeight="1" x14ac:dyDescent="0.25">
      <c r="A91" s="22" t="s">
        <v>202</v>
      </c>
      <c r="B91" s="22">
        <v>16865615</v>
      </c>
      <c r="C91" s="22" t="s">
        <v>467</v>
      </c>
      <c r="D91" s="22" t="s">
        <v>339</v>
      </c>
      <c r="E91" s="22" t="str">
        <f t="shared" si="2"/>
        <v>MICHAEL JACKSON</v>
      </c>
      <c r="F91" s="23">
        <v>803168056</v>
      </c>
      <c r="G91" s="23" t="str">
        <f t="shared" si="4"/>
        <v>8031680561</v>
      </c>
      <c r="I91" s="36">
        <v>45658</v>
      </c>
      <c r="J91" s="33">
        <v>46023</v>
      </c>
      <c r="K91" s="24">
        <v>1</v>
      </c>
      <c r="N91" s="31" t="s">
        <v>297</v>
      </c>
      <c r="P91" s="24">
        <v>28.9</v>
      </c>
      <c r="Q91" t="s">
        <v>296</v>
      </c>
    </row>
    <row r="92" spans="1:17" ht="15" customHeight="1" x14ac:dyDescent="0.25">
      <c r="A92" s="22" t="s">
        <v>202</v>
      </c>
      <c r="B92" s="22">
        <v>16865615</v>
      </c>
      <c r="C92" s="22" t="s">
        <v>468</v>
      </c>
      <c r="D92" s="22" t="s">
        <v>427</v>
      </c>
      <c r="E92" s="22" t="str">
        <f t="shared" si="2"/>
        <v>DONALD JENSEN</v>
      </c>
      <c r="F92" s="23">
        <v>803136752</v>
      </c>
      <c r="G92" s="23" t="str">
        <f t="shared" si="4"/>
        <v>8031367521</v>
      </c>
      <c r="I92" s="36">
        <v>45658</v>
      </c>
      <c r="J92" s="33">
        <v>46023</v>
      </c>
      <c r="K92" s="24">
        <v>1</v>
      </c>
      <c r="N92" s="31" t="s">
        <v>297</v>
      </c>
      <c r="P92" s="24">
        <v>28.9</v>
      </c>
      <c r="Q92" t="s">
        <v>296</v>
      </c>
    </row>
    <row r="93" spans="1:17" ht="15" customHeight="1" x14ac:dyDescent="0.25">
      <c r="A93" s="22" t="s">
        <v>202</v>
      </c>
      <c r="B93" s="22">
        <v>16865615</v>
      </c>
      <c r="C93" s="22" t="s">
        <v>469</v>
      </c>
      <c r="D93" s="22" t="s">
        <v>470</v>
      </c>
      <c r="E93" s="22" t="str">
        <f t="shared" si="2"/>
        <v>KENNETH KERN</v>
      </c>
      <c r="F93" s="23">
        <v>803167980</v>
      </c>
      <c r="G93" s="23" t="str">
        <f t="shared" si="4"/>
        <v>8031679801</v>
      </c>
      <c r="I93" s="36">
        <v>45658</v>
      </c>
      <c r="J93" s="33">
        <v>46023</v>
      </c>
      <c r="K93" s="24">
        <v>1</v>
      </c>
      <c r="N93" s="31" t="s">
        <v>297</v>
      </c>
      <c r="P93" s="24">
        <v>28.9</v>
      </c>
      <c r="Q93" t="s">
        <v>296</v>
      </c>
    </row>
    <row r="94" spans="1:17" ht="15" customHeight="1" x14ac:dyDescent="0.25">
      <c r="A94" s="22" t="s">
        <v>202</v>
      </c>
      <c r="B94" s="22">
        <v>16865615</v>
      </c>
      <c r="C94" s="22" t="s">
        <v>471</v>
      </c>
      <c r="D94" s="22" t="s">
        <v>472</v>
      </c>
      <c r="E94" s="22" t="str">
        <f t="shared" si="2"/>
        <v>DEBBIE KIRBY</v>
      </c>
      <c r="F94" s="23">
        <v>803440129</v>
      </c>
      <c r="G94" s="23" t="str">
        <f t="shared" si="4"/>
        <v>8034401291</v>
      </c>
      <c r="I94" s="36">
        <v>46023</v>
      </c>
      <c r="J94" s="33">
        <v>46023</v>
      </c>
      <c r="K94" s="24">
        <v>1</v>
      </c>
      <c r="N94" s="31" t="s">
        <v>299</v>
      </c>
      <c r="P94" s="24">
        <v>173.4</v>
      </c>
      <c r="Q94" t="s">
        <v>296</v>
      </c>
    </row>
    <row r="95" spans="1:17" ht="15" customHeight="1" x14ac:dyDescent="0.25">
      <c r="A95" s="22" t="s">
        <v>202</v>
      </c>
      <c r="B95" s="22">
        <v>16865615</v>
      </c>
      <c r="C95" s="22" t="s">
        <v>471</v>
      </c>
      <c r="D95" s="22" t="s">
        <v>472</v>
      </c>
      <c r="E95" s="22" t="str">
        <f t="shared" si="2"/>
        <v>DEBBIE KIRBY</v>
      </c>
      <c r="F95" s="23">
        <v>803440129</v>
      </c>
      <c r="G95" s="23" t="str">
        <f t="shared" si="4"/>
        <v>8034401291</v>
      </c>
      <c r="I95" s="36">
        <v>46023</v>
      </c>
      <c r="J95" s="33">
        <v>46023</v>
      </c>
      <c r="K95" s="24">
        <v>1</v>
      </c>
      <c r="N95" s="31" t="s">
        <v>298</v>
      </c>
      <c r="P95" s="24">
        <v>14.45</v>
      </c>
      <c r="Q95" t="s">
        <v>296</v>
      </c>
    </row>
    <row r="96" spans="1:17" ht="15" customHeight="1" x14ac:dyDescent="0.25">
      <c r="A96" s="22" t="s">
        <v>202</v>
      </c>
      <c r="B96" s="22">
        <v>16865615</v>
      </c>
      <c r="C96" s="22" t="s">
        <v>473</v>
      </c>
      <c r="D96" s="22" t="s">
        <v>427</v>
      </c>
      <c r="E96" s="22" t="str">
        <f t="shared" si="2"/>
        <v>DONALD MARTELLA</v>
      </c>
      <c r="F96" s="23">
        <v>803078257</v>
      </c>
      <c r="G96" s="23" t="str">
        <f t="shared" si="4"/>
        <v>8030782571</v>
      </c>
      <c r="I96" s="36">
        <v>45658</v>
      </c>
      <c r="J96" s="33">
        <v>46023</v>
      </c>
      <c r="K96" s="24">
        <v>1</v>
      </c>
      <c r="N96" s="31" t="s">
        <v>297</v>
      </c>
      <c r="P96" s="24">
        <v>28.9</v>
      </c>
      <c r="Q96" t="s">
        <v>296</v>
      </c>
    </row>
    <row r="97" spans="1:18" ht="15" customHeight="1" x14ac:dyDescent="0.25">
      <c r="A97" s="22" t="s">
        <v>202</v>
      </c>
      <c r="B97" s="22">
        <v>16865615</v>
      </c>
      <c r="C97" s="22" t="s">
        <v>474</v>
      </c>
      <c r="D97" s="22" t="s">
        <v>475</v>
      </c>
      <c r="E97" s="22" t="str">
        <f t="shared" si="2"/>
        <v>TOM MORRIS</v>
      </c>
      <c r="F97" s="23">
        <v>803155239</v>
      </c>
      <c r="G97" s="23" t="str">
        <f t="shared" si="4"/>
        <v>8031552391</v>
      </c>
      <c r="I97" s="36">
        <v>45658</v>
      </c>
      <c r="J97" s="33">
        <v>46023</v>
      </c>
      <c r="K97" s="24">
        <v>1</v>
      </c>
      <c r="N97" s="31" t="s">
        <v>297</v>
      </c>
      <c r="P97" s="24">
        <v>28.9</v>
      </c>
      <c r="Q97" t="s">
        <v>296</v>
      </c>
    </row>
    <row r="98" spans="1:18" ht="15" customHeight="1" x14ac:dyDescent="0.25">
      <c r="A98" s="22" t="s">
        <v>202</v>
      </c>
      <c r="B98" s="22">
        <v>16865615</v>
      </c>
      <c r="C98" s="22" t="s">
        <v>476</v>
      </c>
      <c r="D98" s="22" t="s">
        <v>477</v>
      </c>
      <c r="E98" s="22" t="str">
        <f t="shared" si="2"/>
        <v>BRENDA PADEN</v>
      </c>
      <c r="F98" s="23">
        <v>803224623</v>
      </c>
      <c r="G98" s="23" t="str">
        <f t="shared" si="4"/>
        <v>8032246231</v>
      </c>
      <c r="I98" s="36">
        <v>45689</v>
      </c>
      <c r="J98" s="33">
        <v>46023</v>
      </c>
      <c r="K98" s="24">
        <v>1</v>
      </c>
      <c r="N98" s="31" t="s">
        <v>297</v>
      </c>
      <c r="P98" s="24">
        <v>28.9</v>
      </c>
      <c r="Q98" t="s">
        <v>296</v>
      </c>
    </row>
    <row r="99" spans="1:18" ht="15" customHeight="1" x14ac:dyDescent="0.25">
      <c r="A99" s="22" t="s">
        <v>202</v>
      </c>
      <c r="B99" s="22">
        <v>16865615</v>
      </c>
      <c r="C99" s="22" t="s">
        <v>476</v>
      </c>
      <c r="D99" s="22" t="s">
        <v>339</v>
      </c>
      <c r="E99" s="22" t="str">
        <f t="shared" si="2"/>
        <v>MICHAEL PADEN</v>
      </c>
      <c r="F99" s="23">
        <v>803224622</v>
      </c>
      <c r="G99" s="23" t="str">
        <f t="shared" si="4"/>
        <v>8032246221</v>
      </c>
      <c r="I99" s="36">
        <v>45689</v>
      </c>
      <c r="J99" s="33">
        <v>46023</v>
      </c>
      <c r="K99" s="24">
        <v>1</v>
      </c>
      <c r="N99" s="31" t="s">
        <v>297</v>
      </c>
      <c r="P99" s="24">
        <v>28.9</v>
      </c>
      <c r="Q99" t="s">
        <v>296</v>
      </c>
    </row>
    <row r="100" spans="1:18" ht="15" customHeight="1" x14ac:dyDescent="0.25">
      <c r="A100" s="22" t="s">
        <v>202</v>
      </c>
      <c r="B100" s="22">
        <v>16865615</v>
      </c>
      <c r="C100" s="22" t="s">
        <v>478</v>
      </c>
      <c r="D100" s="22" t="s">
        <v>479</v>
      </c>
      <c r="E100" s="22" t="str">
        <f t="shared" si="2"/>
        <v>ADELIDA SANCHEZ</v>
      </c>
      <c r="F100" s="23">
        <v>803390240</v>
      </c>
      <c r="G100" s="23" t="str">
        <f t="shared" si="4"/>
        <v>8033902401</v>
      </c>
      <c r="I100" s="36">
        <v>46023</v>
      </c>
      <c r="J100" s="33">
        <v>46023</v>
      </c>
      <c r="K100" s="24">
        <v>1</v>
      </c>
      <c r="N100" s="31" t="s">
        <v>299</v>
      </c>
      <c r="P100" s="24">
        <v>173.4</v>
      </c>
      <c r="Q100" t="s">
        <v>296</v>
      </c>
    </row>
    <row r="101" spans="1:18" ht="15" customHeight="1" x14ac:dyDescent="0.25">
      <c r="A101" s="22" t="s">
        <v>202</v>
      </c>
      <c r="B101" s="22">
        <v>16865615</v>
      </c>
      <c r="C101" s="22" t="s">
        <v>478</v>
      </c>
      <c r="D101" s="22" t="s">
        <v>479</v>
      </c>
      <c r="E101" s="22" t="str">
        <f t="shared" si="2"/>
        <v>ADELIDA SANCHEZ</v>
      </c>
      <c r="F101" s="23">
        <v>803390240</v>
      </c>
      <c r="G101" s="23" t="str">
        <f t="shared" si="4"/>
        <v>8033902401</v>
      </c>
      <c r="I101" s="36">
        <v>46023</v>
      </c>
      <c r="J101" s="33">
        <v>46023</v>
      </c>
      <c r="K101" s="24">
        <v>1</v>
      </c>
      <c r="N101" s="31" t="s">
        <v>298</v>
      </c>
      <c r="P101" s="24">
        <v>14.45</v>
      </c>
      <c r="Q101" t="s">
        <v>296</v>
      </c>
    </row>
    <row r="102" spans="1:18" ht="15" customHeight="1" x14ac:dyDescent="0.25">
      <c r="A102" s="22" t="s">
        <v>202</v>
      </c>
      <c r="B102" s="22">
        <v>16865615</v>
      </c>
      <c r="C102" s="22" t="s">
        <v>480</v>
      </c>
      <c r="D102" s="22" t="s">
        <v>481</v>
      </c>
      <c r="E102" s="22" t="str">
        <f t="shared" si="2"/>
        <v>TERESA SPRENGER</v>
      </c>
      <c r="F102" s="23">
        <v>803404523</v>
      </c>
      <c r="G102" s="23" t="str">
        <f t="shared" si="4"/>
        <v>8034045231</v>
      </c>
      <c r="I102" s="36">
        <v>45992</v>
      </c>
      <c r="J102" s="33">
        <v>46023</v>
      </c>
      <c r="K102" s="24">
        <v>1</v>
      </c>
      <c r="N102" s="31" t="s">
        <v>297</v>
      </c>
      <c r="P102" s="24">
        <v>28.9</v>
      </c>
      <c r="Q102" t="s">
        <v>296</v>
      </c>
    </row>
    <row r="103" spans="1:18" ht="15" customHeight="1" x14ac:dyDescent="0.25">
      <c r="A103" s="22" t="s">
        <v>202</v>
      </c>
      <c r="B103" s="22">
        <v>16865615</v>
      </c>
      <c r="C103" s="22" t="s">
        <v>482</v>
      </c>
      <c r="D103" s="22" t="s">
        <v>313</v>
      </c>
      <c r="E103" s="22" t="str">
        <f t="shared" si="2"/>
        <v>STEPHANIE THAYER</v>
      </c>
      <c r="F103" s="23">
        <v>803250924</v>
      </c>
      <c r="G103" s="23" t="str">
        <f t="shared" si="4"/>
        <v>8032509241</v>
      </c>
      <c r="I103" s="36">
        <v>45748</v>
      </c>
      <c r="J103" s="33">
        <v>46023</v>
      </c>
      <c r="K103" s="24">
        <v>1</v>
      </c>
      <c r="N103" s="31" t="s">
        <v>297</v>
      </c>
      <c r="P103" s="24">
        <v>28.9</v>
      </c>
      <c r="Q103" t="s">
        <v>296</v>
      </c>
    </row>
    <row r="104" spans="1:18" ht="15" customHeight="1" x14ac:dyDescent="0.25">
      <c r="A104" s="22" t="s">
        <v>202</v>
      </c>
      <c r="B104" s="22">
        <v>16865615</v>
      </c>
      <c r="C104" s="22" t="s">
        <v>483</v>
      </c>
      <c r="D104" s="22" t="s">
        <v>484</v>
      </c>
      <c r="E104" s="22" t="str">
        <f t="shared" si="2"/>
        <v>RICHARD THOMPSON</v>
      </c>
      <c r="F104" s="23">
        <v>803123414</v>
      </c>
      <c r="G104" s="23" t="str">
        <f t="shared" si="4"/>
        <v>8031234141</v>
      </c>
      <c r="I104" s="36">
        <v>45658</v>
      </c>
      <c r="J104" s="33">
        <v>46023</v>
      </c>
      <c r="K104" s="24">
        <v>1</v>
      </c>
      <c r="N104" s="31" t="s">
        <v>297</v>
      </c>
      <c r="P104" s="24">
        <v>28.9</v>
      </c>
      <c r="Q104" t="s">
        <v>296</v>
      </c>
    </row>
    <row r="105" spans="1:18" ht="15" customHeight="1" x14ac:dyDescent="0.25">
      <c r="A105" s="22" t="s">
        <v>202</v>
      </c>
      <c r="B105" s="22">
        <v>16865615</v>
      </c>
      <c r="C105" s="22" t="s">
        <v>485</v>
      </c>
      <c r="D105" s="22" t="s">
        <v>486</v>
      </c>
      <c r="E105" s="22" t="str">
        <f t="shared" si="2"/>
        <v>KIM TRUMAN</v>
      </c>
      <c r="F105" s="23">
        <v>803322612</v>
      </c>
      <c r="G105" s="23" t="str">
        <f t="shared" si="4"/>
        <v>8033226121</v>
      </c>
      <c r="I105" s="36">
        <v>45931</v>
      </c>
      <c r="J105" s="33">
        <v>46023</v>
      </c>
      <c r="K105" s="24">
        <v>1</v>
      </c>
      <c r="N105" s="31" t="s">
        <v>297</v>
      </c>
      <c r="P105" s="24">
        <v>28.9</v>
      </c>
      <c r="Q105" t="s">
        <v>296</v>
      </c>
    </row>
    <row r="106" spans="1:18" ht="15" customHeight="1" x14ac:dyDescent="0.25">
      <c r="A106" s="43" t="s">
        <v>209</v>
      </c>
      <c r="B106" s="43">
        <v>6634327</v>
      </c>
      <c r="C106" s="43" t="s">
        <v>487</v>
      </c>
      <c r="D106" s="43" t="s">
        <v>488</v>
      </c>
      <c r="E106" s="22" t="str">
        <f t="shared" si="2"/>
        <v>KIRSTI PETERSON</v>
      </c>
      <c r="F106" s="44">
        <v>803450878</v>
      </c>
      <c r="G106" s="23" t="str">
        <f t="shared" si="4"/>
        <v>8034508781</v>
      </c>
      <c r="I106" s="36">
        <v>46023</v>
      </c>
      <c r="J106" s="33">
        <v>46023</v>
      </c>
      <c r="K106" s="24">
        <v>1</v>
      </c>
      <c r="N106" s="31" t="s">
        <v>299</v>
      </c>
      <c r="P106" s="24">
        <v>173.4</v>
      </c>
      <c r="Q106" t="s">
        <v>296</v>
      </c>
    </row>
    <row r="107" spans="1:18" ht="15" customHeight="1" x14ac:dyDescent="0.25">
      <c r="A107" s="43" t="s">
        <v>209</v>
      </c>
      <c r="B107" s="43">
        <v>6634327</v>
      </c>
      <c r="C107" s="43" t="s">
        <v>487</v>
      </c>
      <c r="D107" s="43" t="s">
        <v>488</v>
      </c>
      <c r="E107" s="22" t="str">
        <f t="shared" si="2"/>
        <v>KIRSTI PETERSON</v>
      </c>
      <c r="F107" s="44">
        <v>803450878</v>
      </c>
      <c r="G107" s="23" t="str">
        <f t="shared" si="4"/>
        <v>8034508781</v>
      </c>
      <c r="I107" s="36">
        <v>46023</v>
      </c>
      <c r="J107" s="33">
        <v>46023</v>
      </c>
      <c r="K107" s="24">
        <v>1</v>
      </c>
      <c r="N107" s="31" t="s">
        <v>298</v>
      </c>
      <c r="P107" s="24">
        <v>14.45</v>
      </c>
      <c r="Q107" t="s">
        <v>296</v>
      </c>
    </row>
    <row r="108" spans="1:18" ht="15" customHeight="1" x14ac:dyDescent="0.25">
      <c r="P108" s="8"/>
    </row>
    <row r="110" spans="1:18" s="37" customFormat="1" ht="15" customHeight="1" x14ac:dyDescent="0.25">
      <c r="A110" s="38" t="s">
        <v>202</v>
      </c>
      <c r="B110" s="38">
        <v>16865615</v>
      </c>
      <c r="C110" s="38" t="s">
        <v>250</v>
      </c>
      <c r="D110" s="38"/>
      <c r="E110" s="38"/>
      <c r="F110" s="39">
        <v>803421588</v>
      </c>
      <c r="G110" s="39" t="str">
        <f>CONCATENATE(F110,1)</f>
        <v>8034215881</v>
      </c>
      <c r="I110" s="40">
        <v>46023</v>
      </c>
      <c r="J110" s="41">
        <v>46023</v>
      </c>
      <c r="K110" s="42">
        <v>1</v>
      </c>
      <c r="N110" s="37" t="s">
        <v>298</v>
      </c>
      <c r="P110" s="42">
        <v>14.45</v>
      </c>
      <c r="Q110" s="37" t="s">
        <v>296</v>
      </c>
      <c r="R110" s="37" t="s">
        <v>302</v>
      </c>
    </row>
    <row r="111" spans="1:18" s="37" customFormat="1" ht="15" customHeight="1" x14ac:dyDescent="0.25">
      <c r="A111" s="38" t="s">
        <v>202</v>
      </c>
      <c r="B111" s="38">
        <v>16865615</v>
      </c>
      <c r="C111" s="38" t="s">
        <v>256</v>
      </c>
      <c r="D111" s="38"/>
      <c r="E111" s="38"/>
      <c r="F111" s="39">
        <v>803304058</v>
      </c>
      <c r="G111" s="39" t="str">
        <f>CONCATENATE(F111,1)</f>
        <v>8033040581</v>
      </c>
      <c r="I111" s="40">
        <v>45870</v>
      </c>
      <c r="J111" s="41">
        <v>46023</v>
      </c>
      <c r="K111" s="42">
        <v>1</v>
      </c>
      <c r="N111" s="37" t="s">
        <v>297</v>
      </c>
      <c r="P111" s="42">
        <v>28.9</v>
      </c>
      <c r="Q111" s="37" t="s">
        <v>296</v>
      </c>
      <c r="R111" s="37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2DF-3C44-4D34-B062-DF77C0D8E0CF}">
  <dimension ref="A1:M14"/>
  <sheetViews>
    <sheetView workbookViewId="0">
      <selection activeCell="G12" sqref="G12:G13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46"/>
      <c r="B1" s="46"/>
      <c r="C1" s="46"/>
      <c r="F1" s="70" t="s">
        <v>214</v>
      </c>
      <c r="G1" s="46"/>
      <c r="H1" s="46"/>
      <c r="I1" s="46"/>
      <c r="J1" s="46"/>
      <c r="K1" s="46"/>
      <c r="L1" s="46"/>
    </row>
    <row r="2" spans="1:13" ht="1.7" customHeight="1" x14ac:dyDescent="0.25">
      <c r="A2" s="46"/>
      <c r="B2" s="46"/>
      <c r="C2" s="46"/>
    </row>
    <row r="3" spans="1:13" ht="17.649999999999999" customHeight="1" x14ac:dyDescent="0.25">
      <c r="A3" s="46"/>
      <c r="B3" s="46"/>
      <c r="C3" s="46"/>
      <c r="F3" s="70" t="s">
        <v>215</v>
      </c>
      <c r="G3" s="46"/>
      <c r="H3" s="46"/>
      <c r="I3" s="46"/>
      <c r="J3" s="46"/>
      <c r="K3" s="46"/>
      <c r="L3" s="46"/>
    </row>
    <row r="4" spans="1:13" x14ac:dyDescent="0.25">
      <c r="F4" s="46"/>
      <c r="G4" s="46"/>
      <c r="H4" s="46"/>
      <c r="I4" s="46"/>
      <c r="J4" s="46"/>
      <c r="K4" s="46"/>
      <c r="L4" s="46"/>
    </row>
    <row r="5" spans="1:13" ht="16.899999999999999" customHeight="1" x14ac:dyDescent="0.25"/>
    <row r="6" spans="1:13" ht="37.700000000000003" customHeight="1" x14ac:dyDescent="0.25">
      <c r="A6" s="74" t="s">
        <v>216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</row>
    <row r="7" spans="1:13" ht="18" customHeight="1" x14ac:dyDescent="0.25">
      <c r="A7" s="70" t="s">
        <v>303</v>
      </c>
      <c r="B7" s="46"/>
      <c r="C7" s="46"/>
      <c r="D7" s="46"/>
      <c r="E7" s="46"/>
      <c r="F7" s="76" t="s">
        <v>218</v>
      </c>
      <c r="G7" s="46"/>
      <c r="H7" s="46"/>
      <c r="I7" s="46"/>
      <c r="J7" s="46"/>
      <c r="K7" s="46"/>
      <c r="L7" s="46"/>
    </row>
    <row r="8" spans="1:13" ht="18" customHeight="1" x14ac:dyDescent="0.25">
      <c r="A8" s="70" t="s">
        <v>304</v>
      </c>
      <c r="B8" s="46"/>
      <c r="C8" s="46"/>
      <c r="D8" s="46"/>
      <c r="E8" s="46"/>
      <c r="F8" s="71" t="s">
        <v>220</v>
      </c>
      <c r="G8" s="46"/>
      <c r="H8" s="46"/>
      <c r="I8" s="46"/>
      <c r="J8" s="46"/>
      <c r="K8" s="46"/>
      <c r="L8" s="46"/>
    </row>
    <row r="9" spans="1:13" ht="18" customHeight="1" x14ac:dyDescent="0.25">
      <c r="A9" s="70" t="s">
        <v>305</v>
      </c>
      <c r="B9" s="46"/>
      <c r="C9" s="46"/>
      <c r="D9" s="46"/>
      <c r="E9" s="46"/>
    </row>
    <row r="10" spans="1:13" ht="18" customHeight="1" x14ac:dyDescent="0.25">
      <c r="A10" s="70" t="s">
        <v>306</v>
      </c>
      <c r="B10" s="46"/>
      <c r="C10" s="46"/>
      <c r="D10" s="46"/>
      <c r="E10" s="46"/>
    </row>
    <row r="11" spans="1:13" ht="22.5" x14ac:dyDescent="0.25">
      <c r="A11" s="15" t="s">
        <v>223</v>
      </c>
      <c r="B11" s="15" t="s">
        <v>224</v>
      </c>
      <c r="C11" s="15" t="s">
        <v>225</v>
      </c>
      <c r="D11" s="15" t="s">
        <v>226</v>
      </c>
      <c r="E11" s="72" t="s">
        <v>227</v>
      </c>
      <c r="F11" s="73"/>
      <c r="G11" s="15" t="s">
        <v>228</v>
      </c>
      <c r="H11" s="15" t="s">
        <v>229</v>
      </c>
      <c r="I11" s="15" t="s">
        <v>230</v>
      </c>
      <c r="J11" s="15" t="s">
        <v>231</v>
      </c>
      <c r="K11" s="15" t="s">
        <v>232</v>
      </c>
      <c r="L11" s="72" t="s">
        <v>233</v>
      </c>
      <c r="M11" s="73"/>
    </row>
    <row r="12" spans="1:13" x14ac:dyDescent="0.25">
      <c r="A12" s="6" t="s">
        <v>307</v>
      </c>
      <c r="B12" s="6" t="s">
        <v>308</v>
      </c>
      <c r="C12" s="8">
        <v>173.4</v>
      </c>
      <c r="D12" s="6" t="s">
        <v>251</v>
      </c>
      <c r="E12" s="50" t="s">
        <v>6</v>
      </c>
      <c r="F12" s="51"/>
      <c r="G12" s="7">
        <v>46023</v>
      </c>
      <c r="H12" s="6" t="s">
        <v>238</v>
      </c>
      <c r="I12" s="11" t="s">
        <v>238</v>
      </c>
      <c r="J12" s="16">
        <v>46023</v>
      </c>
      <c r="K12" s="6" t="s">
        <v>239</v>
      </c>
      <c r="L12" s="50" t="s">
        <v>6</v>
      </c>
      <c r="M12" s="51"/>
    </row>
    <row r="13" spans="1:13" x14ac:dyDescent="0.25">
      <c r="A13" s="6" t="s">
        <v>307</v>
      </c>
      <c r="B13" s="6" t="s">
        <v>308</v>
      </c>
      <c r="C13" s="8">
        <v>14.45</v>
      </c>
      <c r="D13" s="6" t="s">
        <v>251</v>
      </c>
      <c r="E13" s="50" t="s">
        <v>252</v>
      </c>
      <c r="F13" s="51"/>
      <c r="G13" s="7">
        <v>46023</v>
      </c>
      <c r="H13" s="6" t="s">
        <v>238</v>
      </c>
      <c r="I13" s="11" t="s">
        <v>238</v>
      </c>
      <c r="J13" s="16">
        <v>46023</v>
      </c>
      <c r="K13" s="6" t="s">
        <v>239</v>
      </c>
      <c r="L13" s="50"/>
      <c r="M13" s="51"/>
    </row>
    <row r="14" spans="1:13" x14ac:dyDescent="0.25">
      <c r="A14" s="69" t="s">
        <v>291</v>
      </c>
      <c r="B14" s="51"/>
      <c r="C14" s="17">
        <v>187.85</v>
      </c>
      <c r="D14" s="6" t="s">
        <v>6</v>
      </c>
      <c r="E14" s="50" t="s">
        <v>6</v>
      </c>
      <c r="F14" s="51"/>
      <c r="G14" s="6" t="s">
        <v>6</v>
      </c>
      <c r="H14" s="6" t="s">
        <v>6</v>
      </c>
      <c r="I14" s="11" t="s">
        <v>6</v>
      </c>
      <c r="J14" s="11" t="s">
        <v>6</v>
      </c>
      <c r="K14" s="6" t="s">
        <v>6</v>
      </c>
      <c r="L14" s="50" t="s">
        <v>6</v>
      </c>
      <c r="M14" s="51"/>
    </row>
  </sheetData>
  <mergeCells count="19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A14:B14"/>
    <mergeCell ref="E14:F14"/>
    <mergeCell ref="L14:M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9E7F-225C-494E-A1C2-EF18D22DE422}">
  <dimension ref="A1:M40"/>
  <sheetViews>
    <sheetView topLeftCell="A7" workbookViewId="0">
      <selection activeCell="J12" sqref="J12:J39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46"/>
      <c r="B1" s="46"/>
      <c r="C1" s="46"/>
      <c r="F1" s="70" t="s">
        <v>214</v>
      </c>
      <c r="G1" s="46"/>
      <c r="H1" s="46"/>
      <c r="I1" s="46"/>
      <c r="J1" s="46"/>
      <c r="K1" s="46"/>
      <c r="L1" s="46"/>
    </row>
    <row r="2" spans="1:13" ht="1.7" customHeight="1" x14ac:dyDescent="0.25">
      <c r="A2" s="46"/>
      <c r="B2" s="46"/>
      <c r="C2" s="46"/>
    </row>
    <row r="3" spans="1:13" ht="17.649999999999999" customHeight="1" x14ac:dyDescent="0.25">
      <c r="A3" s="46"/>
      <c r="B3" s="46"/>
      <c r="C3" s="46"/>
      <c r="F3" s="70" t="s">
        <v>215</v>
      </c>
      <c r="G3" s="46"/>
      <c r="H3" s="46"/>
      <c r="I3" s="46"/>
      <c r="J3" s="46"/>
      <c r="K3" s="46"/>
      <c r="L3" s="46"/>
    </row>
    <row r="4" spans="1:13" x14ac:dyDescent="0.25">
      <c r="F4" s="46"/>
      <c r="G4" s="46"/>
      <c r="H4" s="46"/>
      <c r="I4" s="46"/>
      <c r="J4" s="46"/>
      <c r="K4" s="46"/>
      <c r="L4" s="46"/>
    </row>
    <row r="5" spans="1:13" ht="16.899999999999999" customHeight="1" x14ac:dyDescent="0.25"/>
    <row r="6" spans="1:13" ht="37.700000000000003" customHeight="1" x14ac:dyDescent="0.25">
      <c r="A6" s="74" t="s">
        <v>216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</row>
    <row r="7" spans="1:13" ht="18" customHeight="1" x14ac:dyDescent="0.25">
      <c r="A7" s="70" t="s">
        <v>217</v>
      </c>
      <c r="B7" s="46"/>
      <c r="C7" s="46"/>
      <c r="D7" s="46"/>
      <c r="E7" s="46"/>
      <c r="F7" s="76" t="s">
        <v>218</v>
      </c>
      <c r="G7" s="46"/>
      <c r="H7" s="46"/>
      <c r="I7" s="46"/>
      <c r="J7" s="46"/>
      <c r="K7" s="46"/>
      <c r="L7" s="46"/>
    </row>
    <row r="8" spans="1:13" ht="18" customHeight="1" x14ac:dyDescent="0.25">
      <c r="A8" s="70" t="s">
        <v>219</v>
      </c>
      <c r="B8" s="46"/>
      <c r="C8" s="46"/>
      <c r="D8" s="46"/>
      <c r="E8" s="46"/>
      <c r="F8" s="71" t="s">
        <v>220</v>
      </c>
      <c r="G8" s="46"/>
      <c r="H8" s="46"/>
      <c r="I8" s="46"/>
      <c r="J8" s="46"/>
      <c r="K8" s="46"/>
      <c r="L8" s="46"/>
    </row>
    <row r="9" spans="1:13" ht="18" customHeight="1" x14ac:dyDescent="0.25">
      <c r="A9" s="70" t="s">
        <v>221</v>
      </c>
      <c r="B9" s="46"/>
      <c r="C9" s="46"/>
      <c r="D9" s="46"/>
      <c r="E9" s="46"/>
    </row>
    <row r="10" spans="1:13" ht="18" customHeight="1" x14ac:dyDescent="0.25">
      <c r="A10" s="70" t="s">
        <v>222</v>
      </c>
      <c r="B10" s="46"/>
      <c r="C10" s="46"/>
      <c r="D10" s="46"/>
      <c r="E10" s="46"/>
    </row>
    <row r="11" spans="1:13" ht="22.5" x14ac:dyDescent="0.25">
      <c r="A11" s="15" t="s">
        <v>223</v>
      </c>
      <c r="B11" s="15" t="s">
        <v>224</v>
      </c>
      <c r="C11" s="15" t="s">
        <v>225</v>
      </c>
      <c r="D11" s="15" t="s">
        <v>226</v>
      </c>
      <c r="E11" s="72" t="s">
        <v>227</v>
      </c>
      <c r="F11" s="73"/>
      <c r="G11" s="15" t="s">
        <v>228</v>
      </c>
      <c r="H11" s="15" t="s">
        <v>229</v>
      </c>
      <c r="I11" s="15" t="s">
        <v>230</v>
      </c>
      <c r="J11" s="15" t="s">
        <v>231</v>
      </c>
      <c r="K11" s="15" t="s">
        <v>232</v>
      </c>
      <c r="L11" s="72" t="s">
        <v>233</v>
      </c>
      <c r="M11" s="73"/>
    </row>
    <row r="12" spans="1:13" x14ac:dyDescent="0.25">
      <c r="A12" s="6" t="s">
        <v>234</v>
      </c>
      <c r="B12" s="6" t="s">
        <v>235</v>
      </c>
      <c r="C12" s="8">
        <v>28.9</v>
      </c>
      <c r="D12" s="6" t="s">
        <v>236</v>
      </c>
      <c r="E12" s="50" t="s">
        <v>6</v>
      </c>
      <c r="F12" s="51"/>
      <c r="G12" s="7">
        <v>46023</v>
      </c>
      <c r="H12" s="6" t="s">
        <v>237</v>
      </c>
      <c r="I12" s="11" t="s">
        <v>238</v>
      </c>
      <c r="J12" s="16">
        <v>45962</v>
      </c>
      <c r="K12" s="6" t="s">
        <v>239</v>
      </c>
      <c r="L12" s="50"/>
      <c r="M12" s="51"/>
    </row>
    <row r="13" spans="1:13" x14ac:dyDescent="0.25">
      <c r="A13" s="6" t="s">
        <v>240</v>
      </c>
      <c r="B13" s="6" t="s">
        <v>241</v>
      </c>
      <c r="C13" s="8">
        <v>28.9</v>
      </c>
      <c r="D13" s="6" t="s">
        <v>236</v>
      </c>
      <c r="E13" s="50" t="s">
        <v>6</v>
      </c>
      <c r="F13" s="51"/>
      <c r="G13" s="7">
        <v>46023</v>
      </c>
      <c r="H13" s="6" t="s">
        <v>238</v>
      </c>
      <c r="I13" s="11" t="s">
        <v>238</v>
      </c>
      <c r="J13" s="16">
        <v>45689</v>
      </c>
      <c r="K13" s="6" t="s">
        <v>242</v>
      </c>
      <c r="L13" s="50"/>
      <c r="M13" s="51"/>
    </row>
    <row r="14" spans="1:13" x14ac:dyDescent="0.25">
      <c r="A14" s="6" t="s">
        <v>243</v>
      </c>
      <c r="B14" s="6" t="s">
        <v>244</v>
      </c>
      <c r="C14" s="8">
        <v>28.9</v>
      </c>
      <c r="D14" s="6" t="s">
        <v>236</v>
      </c>
      <c r="E14" s="50" t="s">
        <v>6</v>
      </c>
      <c r="F14" s="51"/>
      <c r="G14" s="7">
        <v>46023</v>
      </c>
      <c r="H14" s="6" t="s">
        <v>238</v>
      </c>
      <c r="I14" s="11" t="s">
        <v>238</v>
      </c>
      <c r="J14" s="16">
        <v>45689</v>
      </c>
      <c r="K14" s="6" t="s">
        <v>242</v>
      </c>
      <c r="L14" s="50"/>
      <c r="M14" s="51"/>
    </row>
    <row r="15" spans="1:13" x14ac:dyDescent="0.25">
      <c r="A15" s="6" t="s">
        <v>245</v>
      </c>
      <c r="B15" s="6" t="s">
        <v>246</v>
      </c>
      <c r="C15" s="8">
        <v>28.9</v>
      </c>
      <c r="D15" s="6" t="s">
        <v>236</v>
      </c>
      <c r="E15" s="50" t="s">
        <v>6</v>
      </c>
      <c r="F15" s="51"/>
      <c r="G15" s="7">
        <v>46023</v>
      </c>
      <c r="H15" s="6" t="s">
        <v>238</v>
      </c>
      <c r="I15" s="11" t="s">
        <v>238</v>
      </c>
      <c r="J15" s="16">
        <v>45658</v>
      </c>
      <c r="K15" s="6" t="s">
        <v>242</v>
      </c>
      <c r="L15" s="50"/>
      <c r="M15" s="51"/>
    </row>
    <row r="16" spans="1:13" x14ac:dyDescent="0.25">
      <c r="A16" s="6" t="s">
        <v>247</v>
      </c>
      <c r="B16" s="6" t="s">
        <v>248</v>
      </c>
      <c r="C16" s="8">
        <v>28.9</v>
      </c>
      <c r="D16" s="6" t="s">
        <v>236</v>
      </c>
      <c r="E16" s="50" t="s">
        <v>6</v>
      </c>
      <c r="F16" s="51"/>
      <c r="G16" s="7">
        <v>46023</v>
      </c>
      <c r="H16" s="6" t="s">
        <v>237</v>
      </c>
      <c r="I16" s="11" t="s">
        <v>238</v>
      </c>
      <c r="J16" s="16">
        <v>45778</v>
      </c>
      <c r="K16" s="6" t="s">
        <v>242</v>
      </c>
      <c r="L16" s="50"/>
      <c r="M16" s="51"/>
    </row>
    <row r="17" spans="1:13" x14ac:dyDescent="0.25">
      <c r="A17" s="6" t="s">
        <v>249</v>
      </c>
      <c r="B17" s="6" t="s">
        <v>250</v>
      </c>
      <c r="C17" s="8">
        <v>173.4</v>
      </c>
      <c r="D17" s="6" t="s">
        <v>251</v>
      </c>
      <c r="E17" s="50" t="s">
        <v>6</v>
      </c>
      <c r="F17" s="51"/>
      <c r="G17" s="7">
        <v>46023</v>
      </c>
      <c r="H17" s="6" t="s">
        <v>238</v>
      </c>
      <c r="I17" s="11" t="s">
        <v>238</v>
      </c>
      <c r="J17" s="16">
        <v>46023</v>
      </c>
      <c r="K17" s="6" t="s">
        <v>239</v>
      </c>
      <c r="L17" s="50" t="s">
        <v>6</v>
      </c>
      <c r="M17" s="51"/>
    </row>
    <row r="18" spans="1:13" x14ac:dyDescent="0.25">
      <c r="A18" s="6" t="s">
        <v>249</v>
      </c>
      <c r="B18" s="6" t="s">
        <v>250</v>
      </c>
      <c r="C18" s="8">
        <v>14.45</v>
      </c>
      <c r="D18" s="6" t="s">
        <v>251</v>
      </c>
      <c r="E18" s="50" t="s">
        <v>252</v>
      </c>
      <c r="F18" s="51"/>
      <c r="G18" s="7">
        <v>46023</v>
      </c>
      <c r="H18" s="6" t="s">
        <v>238</v>
      </c>
      <c r="I18" s="11" t="s">
        <v>238</v>
      </c>
      <c r="J18" s="16">
        <v>46023</v>
      </c>
      <c r="K18" s="6" t="s">
        <v>239</v>
      </c>
      <c r="L18" s="50"/>
      <c r="M18" s="51"/>
    </row>
    <row r="19" spans="1:13" x14ac:dyDescent="0.25">
      <c r="A19" s="6" t="s">
        <v>253</v>
      </c>
      <c r="B19" s="6" t="s">
        <v>254</v>
      </c>
      <c r="C19" s="8">
        <v>28.9</v>
      </c>
      <c r="D19" s="6" t="s">
        <v>236</v>
      </c>
      <c r="E19" s="50" t="s">
        <v>6</v>
      </c>
      <c r="F19" s="51"/>
      <c r="G19" s="7">
        <v>46023</v>
      </c>
      <c r="H19" s="6" t="s">
        <v>237</v>
      </c>
      <c r="I19" s="11" t="s">
        <v>238</v>
      </c>
      <c r="J19" s="16">
        <v>45689</v>
      </c>
      <c r="K19" s="6" t="s">
        <v>242</v>
      </c>
      <c r="L19" s="50"/>
      <c r="M19" s="51"/>
    </row>
    <row r="20" spans="1:13" x14ac:dyDescent="0.25">
      <c r="A20" s="6" t="s">
        <v>255</v>
      </c>
      <c r="B20" s="6" t="s">
        <v>256</v>
      </c>
      <c r="C20" s="8">
        <v>28.9</v>
      </c>
      <c r="D20" s="6" t="s">
        <v>236</v>
      </c>
      <c r="E20" s="50" t="s">
        <v>6</v>
      </c>
      <c r="F20" s="51"/>
      <c r="G20" s="7">
        <v>46023</v>
      </c>
      <c r="H20" s="6" t="s">
        <v>237</v>
      </c>
      <c r="I20" s="11" t="s">
        <v>238</v>
      </c>
      <c r="J20" s="16">
        <v>45870</v>
      </c>
      <c r="K20" s="6" t="s">
        <v>242</v>
      </c>
      <c r="L20" s="50"/>
      <c r="M20" s="51"/>
    </row>
    <row r="21" spans="1:13" x14ac:dyDescent="0.25">
      <c r="A21" s="6" t="s">
        <v>257</v>
      </c>
      <c r="B21" s="6" t="s">
        <v>258</v>
      </c>
      <c r="C21" s="8">
        <v>173.4</v>
      </c>
      <c r="D21" s="6" t="s">
        <v>251</v>
      </c>
      <c r="E21" s="50" t="s">
        <v>6</v>
      </c>
      <c r="F21" s="51"/>
      <c r="G21" s="7">
        <v>46023</v>
      </c>
      <c r="H21" s="6" t="s">
        <v>238</v>
      </c>
      <c r="I21" s="11" t="s">
        <v>238</v>
      </c>
      <c r="J21" s="16">
        <v>46023</v>
      </c>
      <c r="K21" s="6" t="s">
        <v>239</v>
      </c>
      <c r="L21" s="50" t="s">
        <v>6</v>
      </c>
      <c r="M21" s="51"/>
    </row>
    <row r="22" spans="1:13" x14ac:dyDescent="0.25">
      <c r="A22" s="6" t="s">
        <v>257</v>
      </c>
      <c r="B22" s="6" t="s">
        <v>258</v>
      </c>
      <c r="C22" s="8">
        <v>14.45</v>
      </c>
      <c r="D22" s="6" t="s">
        <v>251</v>
      </c>
      <c r="E22" s="50" t="s">
        <v>252</v>
      </c>
      <c r="F22" s="51"/>
      <c r="G22" s="7">
        <v>46023</v>
      </c>
      <c r="H22" s="6" t="s">
        <v>238</v>
      </c>
      <c r="I22" s="11" t="s">
        <v>238</v>
      </c>
      <c r="J22" s="16">
        <v>46023</v>
      </c>
      <c r="K22" s="6" t="s">
        <v>239</v>
      </c>
      <c r="L22" s="50"/>
      <c r="M22" s="51"/>
    </row>
    <row r="23" spans="1:13" x14ac:dyDescent="0.25">
      <c r="A23" s="6" t="s">
        <v>259</v>
      </c>
      <c r="B23" s="6" t="s">
        <v>260</v>
      </c>
      <c r="C23" s="8">
        <v>28.9</v>
      </c>
      <c r="D23" s="6" t="s">
        <v>236</v>
      </c>
      <c r="E23" s="50" t="s">
        <v>6</v>
      </c>
      <c r="F23" s="51"/>
      <c r="G23" s="7">
        <v>46023</v>
      </c>
      <c r="H23" s="6" t="s">
        <v>237</v>
      </c>
      <c r="I23" s="11" t="s">
        <v>238</v>
      </c>
      <c r="J23" s="16">
        <v>45627</v>
      </c>
      <c r="K23" s="6" t="s">
        <v>242</v>
      </c>
      <c r="L23" s="50"/>
      <c r="M23" s="51"/>
    </row>
    <row r="24" spans="1:13" x14ac:dyDescent="0.25">
      <c r="A24" s="6" t="s">
        <v>261</v>
      </c>
      <c r="B24" s="6" t="s">
        <v>262</v>
      </c>
      <c r="C24" s="8">
        <v>28.9</v>
      </c>
      <c r="D24" s="6" t="s">
        <v>236</v>
      </c>
      <c r="E24" s="50" t="s">
        <v>6</v>
      </c>
      <c r="F24" s="51"/>
      <c r="G24" s="7">
        <v>46023</v>
      </c>
      <c r="H24" s="6" t="s">
        <v>237</v>
      </c>
      <c r="I24" s="11" t="s">
        <v>238</v>
      </c>
      <c r="J24" s="16">
        <v>45778</v>
      </c>
      <c r="K24" s="6" t="s">
        <v>242</v>
      </c>
      <c r="L24" s="50"/>
      <c r="M24" s="51"/>
    </row>
    <row r="25" spans="1:13" x14ac:dyDescent="0.25">
      <c r="A25" s="6" t="s">
        <v>263</v>
      </c>
      <c r="B25" s="6" t="s">
        <v>264</v>
      </c>
      <c r="C25" s="8">
        <v>28.9</v>
      </c>
      <c r="D25" s="6" t="s">
        <v>236</v>
      </c>
      <c r="E25" s="50" t="s">
        <v>6</v>
      </c>
      <c r="F25" s="51"/>
      <c r="G25" s="7">
        <v>46023</v>
      </c>
      <c r="H25" s="6" t="s">
        <v>238</v>
      </c>
      <c r="I25" s="11" t="s">
        <v>238</v>
      </c>
      <c r="J25" s="16">
        <v>45658</v>
      </c>
      <c r="K25" s="6" t="s">
        <v>242</v>
      </c>
      <c r="L25" s="50"/>
      <c r="M25" s="51"/>
    </row>
    <row r="26" spans="1:13" x14ac:dyDescent="0.25">
      <c r="A26" s="6" t="s">
        <v>265</v>
      </c>
      <c r="B26" s="6" t="s">
        <v>266</v>
      </c>
      <c r="C26" s="8">
        <v>28.9</v>
      </c>
      <c r="D26" s="6" t="s">
        <v>236</v>
      </c>
      <c r="E26" s="50" t="s">
        <v>6</v>
      </c>
      <c r="F26" s="51"/>
      <c r="G26" s="7">
        <v>46023</v>
      </c>
      <c r="H26" s="6" t="s">
        <v>237</v>
      </c>
      <c r="I26" s="11" t="s">
        <v>238</v>
      </c>
      <c r="J26" s="16">
        <v>45658</v>
      </c>
      <c r="K26" s="6" t="s">
        <v>242</v>
      </c>
      <c r="L26" s="50"/>
      <c r="M26" s="51"/>
    </row>
    <row r="27" spans="1:13" x14ac:dyDescent="0.25">
      <c r="A27" s="6" t="s">
        <v>267</v>
      </c>
      <c r="B27" s="6" t="s">
        <v>268</v>
      </c>
      <c r="C27" s="8">
        <v>28.9</v>
      </c>
      <c r="D27" s="6" t="s">
        <v>236</v>
      </c>
      <c r="E27" s="50" t="s">
        <v>6</v>
      </c>
      <c r="F27" s="51"/>
      <c r="G27" s="7">
        <v>46023</v>
      </c>
      <c r="H27" s="6" t="s">
        <v>269</v>
      </c>
      <c r="I27" s="11" t="s">
        <v>238</v>
      </c>
      <c r="J27" s="16">
        <v>45658</v>
      </c>
      <c r="K27" s="6" t="s">
        <v>242</v>
      </c>
      <c r="L27" s="50"/>
      <c r="M27" s="51"/>
    </row>
    <row r="28" spans="1:13" x14ac:dyDescent="0.25">
      <c r="A28" s="6" t="s">
        <v>270</v>
      </c>
      <c r="B28" s="6" t="s">
        <v>271</v>
      </c>
      <c r="C28" s="8">
        <v>173.4</v>
      </c>
      <c r="D28" s="6" t="s">
        <v>251</v>
      </c>
      <c r="E28" s="50" t="s">
        <v>6</v>
      </c>
      <c r="F28" s="51"/>
      <c r="G28" s="7">
        <v>46023</v>
      </c>
      <c r="H28" s="6" t="s">
        <v>238</v>
      </c>
      <c r="I28" s="11" t="s">
        <v>238</v>
      </c>
      <c r="J28" s="16">
        <v>46023</v>
      </c>
      <c r="K28" s="6" t="s">
        <v>242</v>
      </c>
      <c r="L28" s="50" t="s">
        <v>6</v>
      </c>
      <c r="M28" s="51"/>
    </row>
    <row r="29" spans="1:13" x14ac:dyDescent="0.25">
      <c r="A29" s="6" t="s">
        <v>270</v>
      </c>
      <c r="B29" s="6" t="s">
        <v>271</v>
      </c>
      <c r="C29" s="8">
        <v>14.45</v>
      </c>
      <c r="D29" s="6" t="s">
        <v>251</v>
      </c>
      <c r="E29" s="50" t="s">
        <v>252</v>
      </c>
      <c r="F29" s="51"/>
      <c r="G29" s="7">
        <v>46023</v>
      </c>
      <c r="H29" s="6" t="s">
        <v>238</v>
      </c>
      <c r="I29" s="11" t="s">
        <v>238</v>
      </c>
      <c r="J29" s="16">
        <v>46023</v>
      </c>
      <c r="K29" s="6" t="s">
        <v>242</v>
      </c>
      <c r="L29" s="50"/>
      <c r="M29" s="51"/>
    </row>
    <row r="30" spans="1:13" x14ac:dyDescent="0.25">
      <c r="A30" s="6" t="s">
        <v>272</v>
      </c>
      <c r="B30" s="6" t="s">
        <v>273</v>
      </c>
      <c r="C30" s="8">
        <v>28.9</v>
      </c>
      <c r="D30" s="6" t="s">
        <v>236</v>
      </c>
      <c r="E30" s="50" t="s">
        <v>6</v>
      </c>
      <c r="F30" s="51"/>
      <c r="G30" s="7">
        <v>46023</v>
      </c>
      <c r="H30" s="6" t="s">
        <v>269</v>
      </c>
      <c r="I30" s="11" t="s">
        <v>238</v>
      </c>
      <c r="J30" s="16">
        <v>45658</v>
      </c>
      <c r="K30" s="6" t="s">
        <v>239</v>
      </c>
      <c r="L30" s="50"/>
      <c r="M30" s="51"/>
    </row>
    <row r="31" spans="1:13" x14ac:dyDescent="0.25">
      <c r="A31" s="6" t="s">
        <v>274</v>
      </c>
      <c r="B31" s="6" t="s">
        <v>275</v>
      </c>
      <c r="C31" s="8">
        <v>28.9</v>
      </c>
      <c r="D31" s="6" t="s">
        <v>236</v>
      </c>
      <c r="E31" s="50" t="s">
        <v>6</v>
      </c>
      <c r="F31" s="51"/>
      <c r="G31" s="7">
        <v>46023</v>
      </c>
      <c r="H31" s="6" t="s">
        <v>237</v>
      </c>
      <c r="I31" s="11" t="s">
        <v>238</v>
      </c>
      <c r="J31" s="16">
        <v>45658</v>
      </c>
      <c r="K31" s="6" t="s">
        <v>242</v>
      </c>
      <c r="L31" s="50"/>
      <c r="M31" s="51"/>
    </row>
    <row r="32" spans="1:13" x14ac:dyDescent="0.25">
      <c r="A32" s="6" t="s">
        <v>276</v>
      </c>
      <c r="B32" s="6" t="s">
        <v>277</v>
      </c>
      <c r="C32" s="8">
        <v>28.9</v>
      </c>
      <c r="D32" s="6" t="s">
        <v>236</v>
      </c>
      <c r="E32" s="50" t="s">
        <v>6</v>
      </c>
      <c r="F32" s="51"/>
      <c r="G32" s="7">
        <v>46023</v>
      </c>
      <c r="H32" s="6" t="s">
        <v>238</v>
      </c>
      <c r="I32" s="11" t="s">
        <v>238</v>
      </c>
      <c r="J32" s="16">
        <v>45689</v>
      </c>
      <c r="K32" s="6" t="s">
        <v>242</v>
      </c>
      <c r="L32" s="50"/>
      <c r="M32" s="51"/>
    </row>
    <row r="33" spans="1:13" x14ac:dyDescent="0.25">
      <c r="A33" s="6" t="s">
        <v>278</v>
      </c>
      <c r="B33" s="6" t="s">
        <v>279</v>
      </c>
      <c r="C33" s="8">
        <v>28.9</v>
      </c>
      <c r="D33" s="6" t="s">
        <v>236</v>
      </c>
      <c r="E33" s="50" t="s">
        <v>6</v>
      </c>
      <c r="F33" s="51"/>
      <c r="G33" s="7">
        <v>46023</v>
      </c>
      <c r="H33" s="6" t="s">
        <v>238</v>
      </c>
      <c r="I33" s="11" t="s">
        <v>238</v>
      </c>
      <c r="J33" s="16">
        <v>45689</v>
      </c>
      <c r="K33" s="6" t="s">
        <v>242</v>
      </c>
      <c r="L33" s="50"/>
      <c r="M33" s="51"/>
    </row>
    <row r="34" spans="1:13" x14ac:dyDescent="0.25">
      <c r="A34" s="6" t="s">
        <v>280</v>
      </c>
      <c r="B34" s="6" t="s">
        <v>281</v>
      </c>
      <c r="C34" s="8">
        <v>173.4</v>
      </c>
      <c r="D34" s="6" t="s">
        <v>251</v>
      </c>
      <c r="E34" s="50" t="s">
        <v>6</v>
      </c>
      <c r="F34" s="51"/>
      <c r="G34" s="7">
        <v>46023</v>
      </c>
      <c r="H34" s="6" t="s">
        <v>238</v>
      </c>
      <c r="I34" s="11" t="s">
        <v>238</v>
      </c>
      <c r="J34" s="16">
        <v>46023</v>
      </c>
      <c r="K34" s="6" t="s">
        <v>242</v>
      </c>
      <c r="L34" s="50" t="s">
        <v>6</v>
      </c>
      <c r="M34" s="51"/>
    </row>
    <row r="35" spans="1:13" x14ac:dyDescent="0.25">
      <c r="A35" s="6" t="s">
        <v>280</v>
      </c>
      <c r="B35" s="6" t="s">
        <v>281</v>
      </c>
      <c r="C35" s="8">
        <v>14.45</v>
      </c>
      <c r="D35" s="6" t="s">
        <v>251</v>
      </c>
      <c r="E35" s="50" t="s">
        <v>252</v>
      </c>
      <c r="F35" s="51"/>
      <c r="G35" s="7">
        <v>46023</v>
      </c>
      <c r="H35" s="6" t="s">
        <v>238</v>
      </c>
      <c r="I35" s="11" t="s">
        <v>238</v>
      </c>
      <c r="J35" s="16">
        <v>46023</v>
      </c>
      <c r="K35" s="6" t="s">
        <v>242</v>
      </c>
      <c r="L35" s="50"/>
      <c r="M35" s="51"/>
    </row>
    <row r="36" spans="1:13" x14ac:dyDescent="0.25">
      <c r="A36" s="6" t="s">
        <v>282</v>
      </c>
      <c r="B36" s="6" t="s">
        <v>283</v>
      </c>
      <c r="C36" s="8">
        <v>28.9</v>
      </c>
      <c r="D36" s="6" t="s">
        <v>236</v>
      </c>
      <c r="E36" s="50" t="s">
        <v>6</v>
      </c>
      <c r="F36" s="51"/>
      <c r="G36" s="7">
        <v>46023</v>
      </c>
      <c r="H36" s="6" t="s">
        <v>237</v>
      </c>
      <c r="I36" s="11" t="s">
        <v>238</v>
      </c>
      <c r="J36" s="16">
        <v>45992</v>
      </c>
      <c r="K36" s="6" t="s">
        <v>242</v>
      </c>
      <c r="L36" s="50"/>
      <c r="M36" s="51"/>
    </row>
    <row r="37" spans="1:13" x14ac:dyDescent="0.25">
      <c r="A37" s="6" t="s">
        <v>284</v>
      </c>
      <c r="B37" s="6" t="s">
        <v>285</v>
      </c>
      <c r="C37" s="8">
        <v>28.9</v>
      </c>
      <c r="D37" s="6" t="s">
        <v>236</v>
      </c>
      <c r="E37" s="50" t="s">
        <v>6</v>
      </c>
      <c r="F37" s="51"/>
      <c r="G37" s="7">
        <v>46023</v>
      </c>
      <c r="H37" s="6" t="s">
        <v>237</v>
      </c>
      <c r="I37" s="11" t="s">
        <v>238</v>
      </c>
      <c r="J37" s="16">
        <v>45748</v>
      </c>
      <c r="K37" s="6" t="s">
        <v>242</v>
      </c>
      <c r="L37" s="50"/>
      <c r="M37" s="51"/>
    </row>
    <row r="38" spans="1:13" x14ac:dyDescent="0.25">
      <c r="A38" s="6" t="s">
        <v>286</v>
      </c>
      <c r="B38" s="6" t="s">
        <v>287</v>
      </c>
      <c r="C38" s="8">
        <v>28.9</v>
      </c>
      <c r="D38" s="6" t="s">
        <v>236</v>
      </c>
      <c r="E38" s="50" t="s">
        <v>6</v>
      </c>
      <c r="F38" s="51"/>
      <c r="G38" s="7">
        <v>46023</v>
      </c>
      <c r="H38" s="6" t="s">
        <v>288</v>
      </c>
      <c r="I38" s="11" t="s">
        <v>238</v>
      </c>
      <c r="J38" s="16">
        <v>45658</v>
      </c>
      <c r="K38" s="6" t="s">
        <v>242</v>
      </c>
      <c r="L38" s="50"/>
      <c r="M38" s="51"/>
    </row>
    <row r="39" spans="1:13" x14ac:dyDescent="0.25">
      <c r="A39" s="6" t="s">
        <v>289</v>
      </c>
      <c r="B39" s="6" t="s">
        <v>290</v>
      </c>
      <c r="C39" s="8">
        <v>28.9</v>
      </c>
      <c r="D39" s="6" t="s">
        <v>236</v>
      </c>
      <c r="E39" s="50" t="s">
        <v>6</v>
      </c>
      <c r="F39" s="51"/>
      <c r="G39" s="7">
        <v>46023</v>
      </c>
      <c r="H39" s="6" t="s">
        <v>237</v>
      </c>
      <c r="I39" s="11" t="s">
        <v>238</v>
      </c>
      <c r="J39" s="16">
        <v>45931</v>
      </c>
      <c r="K39" s="6" t="s">
        <v>239</v>
      </c>
      <c r="L39" s="50"/>
      <c r="M39" s="51"/>
    </row>
    <row r="40" spans="1:13" x14ac:dyDescent="0.25">
      <c r="A40" s="69" t="s">
        <v>291</v>
      </c>
      <c r="B40" s="51"/>
      <c r="C40" s="17">
        <v>1329.4</v>
      </c>
      <c r="D40" s="6" t="s">
        <v>6</v>
      </c>
      <c r="E40" s="50" t="s">
        <v>6</v>
      </c>
      <c r="F40" s="51"/>
      <c r="G40" s="6" t="s">
        <v>6</v>
      </c>
      <c r="H40" s="6" t="s">
        <v>6</v>
      </c>
      <c r="I40" s="11" t="s">
        <v>6</v>
      </c>
      <c r="J40" s="11" t="s">
        <v>6</v>
      </c>
      <c r="K40" s="6" t="s">
        <v>6</v>
      </c>
      <c r="L40" s="50" t="s">
        <v>6</v>
      </c>
      <c r="M40" s="51"/>
    </row>
  </sheetData>
  <mergeCells count="71">
    <mergeCell ref="E39:F39"/>
    <mergeCell ref="L39:M39"/>
    <mergeCell ref="A40:B40"/>
    <mergeCell ref="E40:F40"/>
    <mergeCell ref="L40:M40"/>
    <mergeCell ref="E36:F36"/>
    <mergeCell ref="L36:M36"/>
    <mergeCell ref="E37:F37"/>
    <mergeCell ref="L37:M37"/>
    <mergeCell ref="E38:F38"/>
    <mergeCell ref="L38:M38"/>
    <mergeCell ref="E33:F33"/>
    <mergeCell ref="L33:M33"/>
    <mergeCell ref="E34:F34"/>
    <mergeCell ref="L34:M34"/>
    <mergeCell ref="E35:F35"/>
    <mergeCell ref="L35:M35"/>
    <mergeCell ref="E30:F30"/>
    <mergeCell ref="L30:M30"/>
    <mergeCell ref="E31:F31"/>
    <mergeCell ref="L31:M31"/>
    <mergeCell ref="E32:F32"/>
    <mergeCell ref="L32:M32"/>
    <mergeCell ref="E27:F27"/>
    <mergeCell ref="L27:M27"/>
    <mergeCell ref="E28:F28"/>
    <mergeCell ref="L28:M28"/>
    <mergeCell ref="E29:F29"/>
    <mergeCell ref="L29:M29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Joel Lee</vt:lpstr>
      <vt:lpstr>Heather Geske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2026-01-27T13:59:36Z</dcterms:created>
  <dcterms:modified xsi:type="dcterms:W3CDTF">2026-02-12T16:48:24Z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