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6\3-1-26\"/>
    </mc:Choice>
  </mc:AlternateContent>
  <xr:revisionPtr revIDLastSave="0" documentId="13_ncr:1_{44F7FA6B-38A1-4E61-908A-38B47531A222}" xr6:coauthVersionLast="47" xr6:coauthVersionMax="47" xr10:uidLastSave="{00000000-0000-0000-0000-000000000000}"/>
  <bookViews>
    <workbookView xWindow="28680" yWindow="-30" windowWidth="29040" windowHeight="16440" activeTab="2" xr2:uid="{00000000-000D-0000-FFFF-FFFF00000000}"/>
  </bookViews>
  <sheets>
    <sheet name="Sheet1" sheetId="1" r:id="rId1"/>
    <sheet name="Sheet2" sheetId="2" r:id="rId2"/>
    <sheet name="Sheet3" sheetId="5" r:id="rId3"/>
    <sheet name="Heather Gesker" sheetId="3" r:id="rId4"/>
    <sheet name="Joel Lee" sheetId="4" r:id="rId5"/>
  </sheets>
  <definedNames>
    <definedName name="_xlnm.Print_Titles" localSheetId="0">Sheet1!$1:$8</definedName>
    <definedName name="_xlnm.Print_Titles" localSheetId="1">Sheet2!$1:$8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83" i="2" l="1"/>
  <c r="X83" i="2" s="1"/>
  <c r="W82" i="2"/>
  <c r="X82" i="2" s="1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4" i="5"/>
  <c r="E3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2" i="5"/>
  <c r="E6" i="5"/>
  <c r="E5" i="5"/>
</calcChain>
</file>

<file path=xl/sharedStrings.xml><?xml version="1.0" encoding="utf-8"?>
<sst xmlns="http://schemas.openxmlformats.org/spreadsheetml/2006/main" count="4232" uniqueCount="383">
  <si>
    <t>COMMISSION STATEMENT</t>
  </si>
  <si>
    <t>March 2026</t>
  </si>
  <si>
    <t xml:space="preserve">MAIN LINE BENEFITS LLC - 20098
462 E.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</si>
  <si>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</si>
  <si>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</si>
  <si>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</si>
  <si>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</si>
  <si>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</si>
  <si>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</si>
  <si>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</si>
  <si>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</si>
  <si>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</si>
  <si>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</si>
  <si>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</si>
  <si>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</si>
  <si>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</si>
  <si>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</si>
  <si>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</si>
  <si>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</si>
  <si>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</si>
  <si>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</si>
  <si>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</si>
  <si>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CORTES, MARCO A                                                       </t>
  </si>
  <si>
    <t>803374747001</t>
  </si>
  <si>
    <t>INDV</t>
  </si>
  <si>
    <t>UT</t>
  </si>
  <si>
    <t>COMM</t>
  </si>
  <si>
    <t>PMPM</t>
  </si>
  <si>
    <t xml:space="preserve">FOOT, STEPHANIE                                                       </t>
  </si>
  <si>
    <t>803409698001</t>
  </si>
  <si>
    <t xml:space="preserve">HERRICK, DARBRA                                                       </t>
  </si>
  <si>
    <t>803512124001</t>
  </si>
  <si>
    <t xml:space="preserve">MORTON, MARIEL                                                        </t>
  </si>
  <si>
    <t>803363098001</t>
  </si>
  <si>
    <t xml:space="preserve">SMITH, BRAYDEN                                                        </t>
  </si>
  <si>
    <t>803408128001</t>
  </si>
  <si>
    <t xml:space="preserve">STOUT, STEVEN                                                         </t>
  </si>
  <si>
    <t>803376130001</t>
  </si>
  <si>
    <t xml:space="preserve">THOMAS, RYAN                                                          </t>
  </si>
  <si>
    <t>802698506001</t>
  </si>
  <si>
    <t xml:space="preserve">WATERS, CHARITY                                                       </t>
  </si>
  <si>
    <t>803508759001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</si>
  <si>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</si>
  <si>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</si>
  <si>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</si>
  <si>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</si>
  <si>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</si>
  <si>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K                                                  </t>
  </si>
  <si>
    <t>802878100001</t>
  </si>
  <si>
    <t>CO</t>
  </si>
  <si>
    <t xml:space="preserve">BLOOM, ERIC B                                                         </t>
  </si>
  <si>
    <t>802896446001</t>
  </si>
  <si>
    <t xml:space="preserve">BODINE, CHARLES D                                                     </t>
  </si>
  <si>
    <t>803481123001</t>
  </si>
  <si>
    <t xml:space="preserve">BONILLA-LAMBOY, FREDDIE J                                             </t>
  </si>
  <si>
    <t>803463226001</t>
  </si>
  <si>
    <t xml:space="preserve">BOUCHARD, PIERRE                                                      </t>
  </si>
  <si>
    <t>803406851001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</si>
  <si>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</si>
  <si>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</si>
  <si>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</si>
  <si>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</si>
  <si>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BREWER, KURT F                                                        </t>
  </si>
  <si>
    <t>803455181001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</si>
  <si>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</si>
  <si>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</si>
  <si>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</si>
  <si>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</si>
  <si>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</si>
  <si>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</si>
  <si>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CARD, JOHN A                                                          </t>
  </si>
  <si>
    <t>803454120001</t>
  </si>
  <si>
    <t xml:space="preserve">CARLSON, MARYELLEN                                                    </t>
  </si>
  <si>
    <t>803409885001</t>
  </si>
  <si>
    <t xml:space="preserve">CARR, LAUREN E                                                        </t>
  </si>
  <si>
    <t>803304041001</t>
  </si>
  <si>
    <t xml:space="preserve">CASNELLIE, VICKI                                                      </t>
  </si>
  <si>
    <t>803413171001</t>
  </si>
  <si>
    <t xml:space="preserve">CHANCE, EDGAR                                                         </t>
  </si>
  <si>
    <t>803305995001</t>
  </si>
  <si>
    <t xml:space="preserve">DAVIS, NOELLE K                                                       </t>
  </si>
  <si>
    <t>803433539001</t>
  </si>
  <si>
    <t xml:space="preserve">DEEMER, SABRINA M                                                     </t>
  </si>
  <si>
    <t>802981736001</t>
  </si>
  <si>
    <t xml:space="preserve">DONOVAN, ARVIDAS J                                                    </t>
  </si>
  <si>
    <t>803396619001</t>
  </si>
  <si>
    <t xml:space="preserve">DUDENHOEFFER, DELYNN                                                  </t>
  </si>
  <si>
    <t>803292652001</t>
  </si>
  <si>
    <t xml:space="preserve">COMM PD TO INCORRECT AGENT BASED ON FEB26 PREMIUMS                    </t>
  </si>
  <si>
    <t xml:space="preserve">EAFANTI, JOSEPH P                                                     </t>
  </si>
  <si>
    <t>803457401001</t>
  </si>
  <si>
    <t xml:space="preserve">ELLIS, LINDA A                                                        </t>
  </si>
  <si>
    <t>803400068001</t>
  </si>
  <si>
    <t xml:space="preserve">EMERINE, KELLY                                                        </t>
  </si>
  <si>
    <t>803105663001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</si>
  <si>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</si>
  <si>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</si>
  <si>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</si>
  <si>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</si>
  <si>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GALATIOTO, CHRISTINA E                                                </t>
  </si>
  <si>
    <t>803456890001</t>
  </si>
  <si>
    <t xml:space="preserve">GESKE, HEATHER                                                        </t>
  </si>
  <si>
    <t>803391971001</t>
  </si>
  <si>
    <t xml:space="preserve">GRECO, JAMES W                                                        </t>
  </si>
  <si>
    <t>803399844001</t>
  </si>
  <si>
    <t xml:space="preserve">HOFFMASTER, DAVID J                                                   </t>
  </si>
  <si>
    <t>802921278001</t>
  </si>
  <si>
    <t xml:space="preserve">JORDAN, SUSAN                                                         </t>
  </si>
  <si>
    <t>803463352001</t>
  </si>
  <si>
    <t xml:space="preserve">KONKOL, PAUL D                                                        </t>
  </si>
  <si>
    <t>803433433001</t>
  </si>
  <si>
    <t xml:space="preserve">KROMANAKER, HANS A                                                    </t>
  </si>
  <si>
    <t>803459539001</t>
  </si>
  <si>
    <t xml:space="preserve">KURNIAWAN-MOY, LYDIA                                                  </t>
  </si>
  <si>
    <t>803058283001</t>
  </si>
  <si>
    <t xml:space="preserve">LEVINE, SUSAN                                                         </t>
  </si>
  <si>
    <t>803467707001</t>
  </si>
  <si>
    <t xml:space="preserve">LEWIS, KATE M                                                         </t>
  </si>
  <si>
    <t>802998630001</t>
  </si>
  <si>
    <t xml:space="preserve">LEWIS, QUINLAN J                                                      </t>
  </si>
  <si>
    <t>803417669001</t>
  </si>
  <si>
    <t xml:space="preserve">LINDSEY, WHITNEY L                                                    </t>
  </si>
  <si>
    <t>803400681001</t>
  </si>
  <si>
    <t xml:space="preserve">MANSUR, LESLIE P                                                      </t>
  </si>
  <si>
    <t>803417889001</t>
  </si>
  <si>
    <t xml:space="preserve">MARTIN, SHELLEY L                                                     </t>
  </si>
  <si>
    <t>803398900001</t>
  </si>
  <si>
    <t xml:space="preserve">MATKINS, CHRISTOPHER J                                                </t>
  </si>
  <si>
    <t>803410073001</t>
  </si>
  <si>
    <t xml:space="preserve">MCGOVERN, CHAD W                                                      </t>
  </si>
  <si>
    <t>803460040001</t>
  </si>
  <si>
    <t xml:space="preserve">MCHALE, CATHERINE M                                                   </t>
  </si>
  <si>
    <t>803468097001</t>
  </si>
  <si>
    <t xml:space="preserve">MENDEL, GREER                                                         </t>
  </si>
  <si>
    <t>803118558001</t>
  </si>
  <si>
    <t xml:space="preserve">MENDER, NATHAN                                                        </t>
  </si>
  <si>
    <t>803511856001</t>
  </si>
  <si>
    <t xml:space="preserve">MEYER, GRACE E                                                        </t>
  </si>
  <si>
    <t>803516216001</t>
  </si>
  <si>
    <t xml:space="preserve">MILLER, GABRIELLA A                                                   </t>
  </si>
  <si>
    <t>803102575001</t>
  </si>
  <si>
    <t xml:space="preserve">MORALES-LOPEZ, CARLOS E                                               </t>
  </si>
  <si>
    <t>803473539001</t>
  </si>
  <si>
    <t xml:space="preserve">MORRIS, SUSAN K                                                       </t>
  </si>
  <si>
    <t>803423502001</t>
  </si>
  <si>
    <t xml:space="preserve">MOTZKIN, JOSEPH D                                                     </t>
  </si>
  <si>
    <t>803513638001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</si>
  <si>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</si>
  <si>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</si>
  <si>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</si>
  <si>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</si>
  <si>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OSMON, DENISE                                                         </t>
  </si>
  <si>
    <t>803304435001</t>
  </si>
  <si>
    <t xml:space="preserve">PHILLIPS, REBECCA R                                                   </t>
  </si>
  <si>
    <t>803511144001</t>
  </si>
  <si>
    <t xml:space="preserve">PILLMANN, JOHN                                                        </t>
  </si>
  <si>
    <t>802995059001</t>
  </si>
  <si>
    <t xml:space="preserve">PRINDLE, LAURA L                                                      </t>
  </si>
  <si>
    <t>803406897001</t>
  </si>
  <si>
    <t xml:space="preserve">RIEDEL, LAURA J                                                       </t>
  </si>
  <si>
    <t>803319202001</t>
  </si>
  <si>
    <t xml:space="preserve">RISKIN, JUSTIN                                                        </t>
  </si>
  <si>
    <t>803529066001</t>
  </si>
  <si>
    <t xml:space="preserve">RUFF, ALEXANDRA A                                                     </t>
  </si>
  <si>
    <t>803521575001</t>
  </si>
  <si>
    <t xml:space="preserve">SARAZEN, JORDAN L                                                     </t>
  </si>
  <si>
    <t>803516130001</t>
  </si>
  <si>
    <t xml:space="preserve">SARCHET, JEFF                                                         </t>
  </si>
  <si>
    <t>803529081001</t>
  </si>
  <si>
    <t xml:space="preserve">SCARBOROUGH, PAULA L                                                  </t>
  </si>
  <si>
    <t>803201761001</t>
  </si>
  <si>
    <t xml:space="preserve">SHAW, KEVIN D                                                         </t>
  </si>
  <si>
    <t>803501372001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</si>
  <si>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</si>
  <si>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</si>
  <si>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</si>
  <si>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</si>
  <si>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</si>
  <si>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</si>
  <si>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 xml:space="preserve">STYERS, MADLYN M                                                      </t>
  </si>
  <si>
    <t>803297375001</t>
  </si>
  <si>
    <t xml:space="preserve">SUTTON, KEVIN L                                                       </t>
  </si>
  <si>
    <t>803516836001</t>
  </si>
  <si>
    <t xml:space="preserve">TAPPERT, SHERYL A                                                     </t>
  </si>
  <si>
    <t>803132235001</t>
  </si>
  <si>
    <t xml:space="preserve">TILLEY, ANGELA                                                        </t>
  </si>
  <si>
    <t>803468235001</t>
  </si>
  <si>
    <t xml:space="preserve">WITMORE, MICHAEL                                                      </t>
  </si>
  <si>
    <t>803392414001</t>
  </si>
  <si>
    <t xml:space="preserve">WOLSLEGEL, KRISTEN                                                    </t>
  </si>
  <si>
    <t>803405363001</t>
  </si>
  <si>
    <t xml:space="preserve">YARBROUGH, MICAH J                                                    </t>
  </si>
  <si>
    <t>803191407001</t>
  </si>
  <si>
    <t>GESKE, HEATHER - 22585 - COMMISSIONS TOTAL</t>
  </si>
  <si>
    <t>GESKE, WILLIAM - 24451 - COMMISSIONS</t>
  </si>
  <si>
    <t xml:space="preserve">ARNOLD, ZACHARY                                                       </t>
  </si>
  <si>
    <t>803433525001</t>
  </si>
  <si>
    <t xml:space="preserve">BASS, BRIAN E                                                         </t>
  </si>
  <si>
    <t>803518581001</t>
  </si>
  <si>
    <t xml:space="preserve">CRAWFORD, JAMES B                                                     </t>
  </si>
  <si>
    <t>803420941001</t>
  </si>
  <si>
    <t xml:space="preserve">DENIRO, NIKOLAJ                                                       </t>
  </si>
  <si>
    <t>803513867001</t>
  </si>
  <si>
    <t xml:space="preserve">DONALD, CATE M                                                        </t>
  </si>
  <si>
    <t>803132511001</t>
  </si>
  <si>
    <t xml:space="preserve">DORNAN-FISH, GRAYSON                                                  </t>
  </si>
  <si>
    <t>803439178001</t>
  </si>
  <si>
    <t xml:space="preserve">DORNAN-FISH, JENNIFER                                                 </t>
  </si>
  <si>
    <t>803439229001</t>
  </si>
  <si>
    <t xml:space="preserve">DROBNICK, DARIA                                                       </t>
  </si>
  <si>
    <t>803405284001</t>
  </si>
  <si>
    <t xml:space="preserve">DURBAN, HEATHER L                                                     </t>
  </si>
  <si>
    <t>803456840001</t>
  </si>
  <si>
    <t xml:space="preserve">DURBAN, JASON W                                                       </t>
  </si>
  <si>
    <t>803458023001</t>
  </si>
  <si>
    <t xml:space="preserve">EISFELD, KIMBERLY R                                                   </t>
  </si>
  <si>
    <t>803504979001</t>
  </si>
  <si>
    <t xml:space="preserve">EVERETT, BRENT                                                        </t>
  </si>
  <si>
    <t>803504307001</t>
  </si>
  <si>
    <t xml:space="preserve">FONG, SONYA                                                           </t>
  </si>
  <si>
    <t>803507631001</t>
  </si>
  <si>
    <t xml:space="preserve">HEADLEY, PATRICK                                                      </t>
  </si>
  <si>
    <t>803456916001</t>
  </si>
  <si>
    <t xml:space="preserve">HYLAND, DANA                                                          </t>
  </si>
  <si>
    <t>803422316001</t>
  </si>
  <si>
    <t xml:space="preserve">LOFLAND, CHRISTINA R                                                  </t>
  </si>
  <si>
    <t>803436731001</t>
  </si>
  <si>
    <t xml:space="preserve">PAPPAS, PERSEFONE C                                                   </t>
  </si>
  <si>
    <t>803481057001</t>
  </si>
  <si>
    <t xml:space="preserve">PLAGGE, CHELSEA M                                                     </t>
  </si>
  <si>
    <t>803436921001</t>
  </si>
  <si>
    <t xml:space="preserve">RUIZ-CAMPOS, ISEL A                                                   </t>
  </si>
  <si>
    <t>803396535001</t>
  </si>
  <si>
    <t xml:space="preserve">SIZEMORE, TREVOR                                                      </t>
  </si>
  <si>
    <t>803513343001</t>
  </si>
  <si>
    <t xml:space="preserve">SYLVEST, AUSTIN                                                       </t>
  </si>
  <si>
    <t>803422285001</t>
  </si>
  <si>
    <t>GESKE, WILLIAM - 24451 - COMMISSIONS TOTAL</t>
  </si>
  <si>
    <t>LEE, JOEL N - 17767 - COMMISSIONS</t>
  </si>
  <si>
    <t xml:space="preserve">BLAIR, CHRISTINA J                                                    </t>
  </si>
  <si>
    <t>803500688001</t>
  </si>
  <si>
    <t xml:space="preserve">BLOOM, AMY L                                                          </t>
  </si>
  <si>
    <t>803468689001</t>
  </si>
  <si>
    <t xml:space="preserve">BLUME, BARBARA                                                        </t>
  </si>
  <si>
    <t>803422263001</t>
  </si>
  <si>
    <t xml:space="preserve">GRAFFIS, ANDREW W                                                     </t>
  </si>
  <si>
    <t>803433234001</t>
  </si>
  <si>
    <t xml:space="preserve">LAVIGNE, DAVID                                                        </t>
  </si>
  <si>
    <t>803467664001</t>
  </si>
  <si>
    <t xml:space="preserve">MOFFETT, ALEXANDRIA                                                   </t>
  </si>
  <si>
    <t>803535170001</t>
  </si>
  <si>
    <t xml:space="preserve">SANCHEZ, PEDRO                                                        </t>
  </si>
  <si>
    <t>803521560001</t>
  </si>
  <si>
    <t xml:space="preserve">SHAH, ANAYATULLAH                                                     </t>
  </si>
  <si>
    <t>803531919001</t>
  </si>
  <si>
    <t xml:space="preserve">SMITH, RUSSELL W                                                      </t>
  </si>
  <si>
    <t>803467543001</t>
  </si>
  <si>
    <t xml:space="preserve">WAWRZYNIAK, LAUREN M                                                  </t>
  </si>
  <si>
    <t>803518661001</t>
  </si>
  <si>
    <t xml:space="preserve">WILLE, ZARINE                                                         </t>
  </si>
  <si>
    <t>803433633001</t>
  </si>
  <si>
    <t>LEE, JOEL N - 17767 - COMMISSIONS TOTAL</t>
  </si>
  <si>
    <t>ZANGARI, EUGENE - 20615 - COMMISSIONS</t>
  </si>
  <si>
    <t xml:space="preserve">ADAMS, TEARA K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</si>
  <si>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</si>
  <si>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</si>
  <si>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</si>
  <si>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</si>
  <si>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</si>
  <si>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</si>
  <si>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</si>
  <si>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</si>
  <si>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</si>
  <si>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</si>
  <si>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</si>
  <si>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</si>
  <si>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</si>
  <si>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</si>
  <si>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</si>
  <si>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</si>
  <si>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</si>
  <si>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</si>
  <si>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</si>
  <si>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</si>
  <si>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</si>
  <si>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LEE, JOEL N</t>
  </si>
  <si>
    <t>17767M01</t>
  </si>
  <si>
    <t>17767C01</t>
  </si>
  <si>
    <t>ZANGARI, EUGENE</t>
  </si>
  <si>
    <t>20615C01</t>
  </si>
  <si>
    <t>PAID DATE: 3/4/2026</t>
  </si>
  <si>
    <t>PAYMENT PERIOD: 3/1/2026 - 3/31/2026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</si>
  <si>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</si>
  <si>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17767M01    </t>
  </si>
  <si>
    <t>For Commission Questions call 801- 442-5870 or 800-442-8493</t>
  </si>
  <si>
    <t xml:space="preserve">LEE, JOEL N                                            </t>
  </si>
  <si>
    <t>You may also email medicare.commissions@selecthealth.org</t>
  </si>
  <si>
    <t xml:space="preserve">5116 RIALTO DR                          </t>
  </si>
  <si>
    <t xml:space="preserve">PARKER, CO  80134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</si>
  <si>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</si>
  <si>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</si>
  <si>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</si>
  <si>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</si>
  <si>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</si>
  <si>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</si>
  <si>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</si>
  <si>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</si>
  <si>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</si>
  <si>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</si>
  <si>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</si>
  <si>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803450878</t>
  </si>
  <si>
    <t>PETERSON KIRSTI E</t>
  </si>
  <si>
    <t>INITIAL</t>
  </si>
  <si>
    <t>Electronic</t>
  </si>
  <si>
    <t>MAPD</t>
  </si>
  <si>
    <t>027</t>
  </si>
  <si>
    <t>TOTAL COMMISSION:</t>
  </si>
  <si>
    <t xml:space="preserve">BROKER ID: 22585M01    </t>
  </si>
  <si>
    <t xml:space="preserve">GESKE, HEATHER                                         </t>
  </si>
  <si>
    <t xml:space="preserve">PO BOX 129                              </t>
  </si>
  <si>
    <t xml:space="preserve">MEAD, CO  80542      </t>
  </si>
  <si>
    <t>803309626</t>
  </si>
  <si>
    <t>BARTLETT KATHERINE A</t>
  </si>
  <si>
    <t>RENEWAL</t>
  </si>
  <si>
    <t>NONE</t>
  </si>
  <si>
    <t>803223990</t>
  </si>
  <si>
    <t>BEAMAN DEEANN M</t>
  </si>
  <si>
    <t>030</t>
  </si>
  <si>
    <t>803223989</t>
  </si>
  <si>
    <t>BEAMAN DENNIS J</t>
  </si>
  <si>
    <t>803101991</t>
  </si>
  <si>
    <t>BRECHEISEN RAYMOND S</t>
  </si>
  <si>
    <t>803237352</t>
  </si>
  <si>
    <t>CAPUTO CYNTHIA A</t>
  </si>
  <si>
    <t>803225193</t>
  </si>
  <si>
    <t>DAVENPORT JUANITA D</t>
  </si>
  <si>
    <t>803304058</t>
  </si>
  <si>
    <t>DRYDEN MIGNON M</t>
  </si>
  <si>
    <t>803440100</t>
  </si>
  <si>
    <t>FRITCHLEE KARA L</t>
  </si>
  <si>
    <t>803076965</t>
  </si>
  <si>
    <t>GEWORSKY NANCY R</t>
  </si>
  <si>
    <t>803265309</t>
  </si>
  <si>
    <t>HARMS DEBORAH S</t>
  </si>
  <si>
    <t>803168056</t>
  </si>
  <si>
    <t>JACKSON MICHAEL R</t>
  </si>
  <si>
    <t>803136752</t>
  </si>
  <si>
    <t>JENSEN JR DONALD A</t>
  </si>
  <si>
    <t>803167980</t>
  </si>
  <si>
    <t>KERN KENNETH M</t>
  </si>
  <si>
    <t>TERMINATED 01/31/2026</t>
  </si>
  <si>
    <t>803440129</t>
  </si>
  <si>
    <t>KIRBY DEBBIE A</t>
  </si>
  <si>
    <t>803078257</t>
  </si>
  <si>
    <t>MARTELLA DONALD E</t>
  </si>
  <si>
    <t>PDP</t>
  </si>
  <si>
    <t>803155239</t>
  </si>
  <si>
    <t>MORRIS JR TOM C</t>
  </si>
  <si>
    <t>803224623</t>
  </si>
  <si>
    <t>PADEN BRENDA J</t>
  </si>
  <si>
    <t>803224622</t>
  </si>
  <si>
    <t>PADEN MICHAEL R</t>
  </si>
  <si>
    <t>803390240</t>
  </si>
  <si>
    <t>SANCHEZ ADELIDA A</t>
  </si>
  <si>
    <t>803404523</t>
  </si>
  <si>
    <t xml:space="preserve">SPRENGER TERESA </t>
  </si>
  <si>
    <t>803250924</t>
  </si>
  <si>
    <t xml:space="preserve">THAYER STEPHANIE </t>
  </si>
  <si>
    <t>803123414</t>
  </si>
  <si>
    <t>THOMPSON JR RICHARD M</t>
  </si>
  <si>
    <t>MA</t>
  </si>
  <si>
    <t>803322612</t>
  </si>
  <si>
    <t>TRUMAN KIM E</t>
  </si>
  <si>
    <t>[PMPM=2]</t>
  </si>
  <si>
    <t>[PMPM=3]</t>
  </si>
  <si>
    <t>[PMPM=4]</t>
  </si>
  <si>
    <t>[PMPM=5]</t>
  </si>
  <si>
    <t>[%/$=14.45]</t>
  </si>
  <si>
    <t>[%/$=347][prorate=1/12]</t>
  </si>
  <si>
    <t>SH MAPD 2026*</t>
  </si>
  <si>
    <t>SH 2025 UT</t>
  </si>
  <si>
    <t>Select Health 2026 CO</t>
  </si>
  <si>
    <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</si>
</sst>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m/yyyy"/>
    <numFmt numFmtId="165" formatCode="[$-10409]&quot;$&quot;#,##0.00;\(&quot;$&quot;#,##0.00\)"/>
    <numFmt numFmtId="166" formatCode="[$-10409]#,##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1" fontId="8" fillId="0" borderId="2" xfId="0" applyNumberFormat="1" applyFont="1" applyBorder="1" applyAlignment="1">
      <alignment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0" fontId="8" fillId="0" borderId="2" xfId="0" applyFont="1" applyBorder="1" applyAlignment="1">
      <alignment horizontal="left"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1" fontId="8" fillId="3" borderId="2" xfId="0" applyNumberFormat="1" applyFont="1" applyFill="1" applyBorder="1" applyAlignment="1">
      <alignment horizontal="left" vertical="top" wrapText="1" readingOrder="1"/>
    </xf>
    <xf numFmtId="164" fontId="8" fillId="3" borderId="2" xfId="0" applyNumberFormat="1" applyFont="1" applyFill="1" applyBorder="1" applyAlignment="1">
      <alignment vertical="top" wrapText="1" readingOrder="1"/>
    </xf>
    <xf numFmtId="165" fontId="8" fillId="3" borderId="2" xfId="0" applyNumberFormat="1" applyFont="1" applyFill="1" applyBorder="1" applyAlignment="1">
      <alignment vertical="top" wrapText="1" readingOrder="1"/>
    </xf>
    <xf numFmtId="166" fontId="8" fillId="3" borderId="2" xfId="0" applyNumberFormat="1" applyFont="1" applyFill="1" applyBorder="1" applyAlignment="1">
      <alignment vertical="top" wrapText="1" readingOrder="1"/>
    </xf>
    <xf numFmtId="14" fontId="8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/>
    <xf numFmtId="2" fontId="8" fillId="3" borderId="2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1" fillId="3" borderId="3" xfId="0" applyFont="1" applyFill="1" applyBorder="1" applyAlignment="1">
      <alignment vertical="top" wrapText="1"/>
    </xf>
    <xf numFmtId="0" fontId="7" fillId="0" borderId="2" xfId="0" applyFont="1" applyBorder="1" applyAlignment="1">
      <alignment horizontal="center" vertical="top" wrapText="1" readingOrder="1"/>
    </xf>
    <xf numFmtId="0" fontId="13" fillId="0" borderId="2" xfId="0" applyFont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1B64D-E254-4D34-AAD2-17566D32D6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32940-5ADA-4895-8086-B9335AA545F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"/>
  <sheetViews>
    <sheetView showGridLines="0" workbookViewId="0">
      <pane ySplit="8" topLeftCell="A117" activePane="bottomLeft" state="frozen"/>
      <selection pane="bottomLeft" activeCell="H126" sqref="H126"/>
    </sheetView>
  </sheetViews>
  <sheetFormatPr defaultRowHeight="14.4" x14ac:dyDescent="0.3"/>
  <cols>
    <col min="1" max="1" width="17.88671875" bestFit="1" customWidth="1"/>
    <col min="2" max="2" width="11.33203125" bestFit="1" customWidth="1"/>
    <col min="3" max="3" width="5" bestFit="1" customWidth="1"/>
    <col min="4" max="4" width="2.88671875" bestFit="1" customWidth="1"/>
    <col min="5" max="5" width="0.5546875" customWidth="1"/>
    <col min="6" max="6" width="3.88671875" customWidth="1"/>
    <col min="7" max="7" width="5.44140625" bestFit="1" customWidth="1"/>
    <col min="8" max="8" width="7.44140625" customWidth="1"/>
    <col min="9" max="9" width="7.88671875" bestFit="1" customWidth="1"/>
    <col min="10" max="10" width="8.44140625" bestFit="1" customWidth="1"/>
    <col min="11" max="11" width="5.33203125" bestFit="1" customWidth="1"/>
    <col min="12" max="12" width="4.88671875" customWidth="1"/>
    <col min="13" max="13" width="1.6640625" customWidth="1"/>
    <col min="14" max="14" width="6.6640625" bestFit="1" customWidth="1"/>
    <col min="15" max="15" width="5.6640625" bestFit="1" customWidth="1"/>
    <col min="16" max="16" width="4.6640625" bestFit="1" customWidth="1"/>
    <col min="17" max="17" width="4.33203125" customWidth="1"/>
    <col min="18" max="18" width="3.88671875" customWidth="1"/>
    <col min="19" max="19" width="161.44140625" customWidth="1"/>
  </cols>
  <sheetData>
    <row r="1" spans="1:18" x14ac:dyDescent="0.3">
      <c r="M1" s="45" t="s">
        <v>0</v>
      </c>
      <c r="N1" s="31"/>
      <c r="O1" s="31"/>
      <c r="P1" s="31"/>
      <c r="Q1" s="31"/>
    </row>
    <row r="2" spans="1:18" x14ac:dyDescent="0.3">
      <c r="A2" s="31"/>
      <c r="B2" s="31"/>
      <c r="C2" s="31"/>
      <c r="D2" s="31"/>
      <c r="E2" s="31"/>
      <c r="M2" s="31"/>
      <c r="N2" s="31"/>
      <c r="O2" s="31"/>
      <c r="P2" s="31"/>
      <c r="Q2" s="31"/>
    </row>
    <row r="3" spans="1:18" x14ac:dyDescent="0.3">
      <c r="A3" s="31"/>
      <c r="B3" s="31"/>
      <c r="C3" s="31"/>
      <c r="D3" s="31"/>
      <c r="E3" s="31"/>
      <c r="M3" s="45" t="s">
        <v>1</v>
      </c>
      <c r="N3" s="31"/>
      <c r="O3" s="31"/>
      <c r="P3" s="31"/>
      <c r="Q3" s="31"/>
    </row>
    <row r="4" spans="1:18" x14ac:dyDescent="0.3">
      <c r="A4" s="35" t="s">
        <v>2</v>
      </c>
      <c r="B4" s="31"/>
      <c r="C4" s="31"/>
      <c r="D4" s="31"/>
      <c r="E4" s="31"/>
      <c r="M4" s="46" t="s">
        <v>382</v>
      </c>
      <c r="N4" s="31"/>
      <c r="O4" s="31"/>
      <c r="P4" s="31"/>
      <c r="Q4" s="31"/>
    </row>
    <row r="6" spans="1:1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x14ac:dyDescent="0.3">
      <c r="A7" s="47" t="s">
        <v>4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9" spans="1:18" x14ac:dyDescent="0.3">
      <c r="A9" s="35" t="s">
        <v>5</v>
      </c>
      <c r="B9" s="31"/>
      <c r="C9" s="31"/>
      <c r="D9" s="31"/>
      <c r="E9" s="31"/>
      <c r="F9" s="31"/>
      <c r="G9" s="31"/>
      <c r="H9" s="31"/>
      <c r="I9" s="3" t="s">
        <v>6</v>
      </c>
      <c r="J9" s="3" t="s">
        <v>6</v>
      </c>
      <c r="K9" s="3" t="s">
        <v>6</v>
      </c>
      <c r="L9" s="41" t="s">
        <v>6</v>
      </c>
      <c r="M9" s="31"/>
      <c r="N9" s="3" t="s">
        <v>6</v>
      </c>
      <c r="O9" s="3" t="s">
        <v>6</v>
      </c>
      <c r="P9" s="3" t="s">
        <v>6</v>
      </c>
      <c r="Q9" s="41" t="s">
        <v>6</v>
      </c>
      <c r="R9" s="31"/>
    </row>
    <row r="10" spans="1:18" ht="20.399999999999999" x14ac:dyDescent="0.3">
      <c r="A10" s="4" t="s">
        <v>7</v>
      </c>
      <c r="B10" s="4" t="s">
        <v>8</v>
      </c>
      <c r="C10" s="4" t="s">
        <v>9</v>
      </c>
      <c r="D10" s="4" t="s">
        <v>10</v>
      </c>
      <c r="E10" s="42" t="s">
        <v>11</v>
      </c>
      <c r="F10" s="39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42" t="s">
        <v>17</v>
      </c>
      <c r="M10" s="39"/>
      <c r="N10" s="4" t="s">
        <v>18</v>
      </c>
      <c r="O10" s="4" t="s">
        <v>19</v>
      </c>
      <c r="P10" s="4" t="s">
        <v>20</v>
      </c>
      <c r="Q10" s="42" t="s">
        <v>21</v>
      </c>
      <c r="R10" s="39"/>
    </row>
    <row r="11" spans="1:18" x14ac:dyDescent="0.3">
      <c r="A11" s="5" t="s">
        <v>6</v>
      </c>
      <c r="B11" s="5" t="s">
        <v>6</v>
      </c>
      <c r="C11" s="5" t="s">
        <v>6</v>
      </c>
      <c r="D11" s="5" t="s">
        <v>6</v>
      </c>
      <c r="E11" s="34" t="s">
        <v>6</v>
      </c>
      <c r="F11" s="31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34" t="s">
        <v>6</v>
      </c>
      <c r="M11" s="31"/>
      <c r="N11" s="5" t="s">
        <v>6</v>
      </c>
      <c r="O11" s="5" t="s">
        <v>6</v>
      </c>
      <c r="P11" s="5" t="s">
        <v>6</v>
      </c>
      <c r="Q11" s="34" t="s">
        <v>6</v>
      </c>
      <c r="R11" s="31"/>
    </row>
    <row r="12" spans="1:18" x14ac:dyDescent="0.3">
      <c r="A12" s="6" t="s">
        <v>22</v>
      </c>
      <c r="B12" s="6" t="s">
        <v>23</v>
      </c>
      <c r="C12" s="6" t="s">
        <v>24</v>
      </c>
      <c r="D12" s="6" t="s">
        <v>25</v>
      </c>
      <c r="E12" s="38" t="s">
        <v>6</v>
      </c>
      <c r="F12" s="39"/>
      <c r="G12" s="6" t="s">
        <v>26</v>
      </c>
      <c r="H12" s="7">
        <v>46082</v>
      </c>
      <c r="I12" s="8">
        <v>201.3</v>
      </c>
      <c r="J12" s="6" t="s">
        <v>6</v>
      </c>
      <c r="K12" s="6" t="s">
        <v>27</v>
      </c>
      <c r="L12" s="38"/>
      <c r="M12" s="39"/>
      <c r="N12" s="6">
        <v>2</v>
      </c>
      <c r="O12" s="8">
        <v>20</v>
      </c>
      <c r="P12" s="9">
        <v>1</v>
      </c>
      <c r="Q12" s="40">
        <v>40</v>
      </c>
      <c r="R12" s="39"/>
    </row>
    <row r="13" spans="1:18" x14ac:dyDescent="0.3">
      <c r="A13" s="6" t="s">
        <v>28</v>
      </c>
      <c r="B13" s="6" t="s">
        <v>29</v>
      </c>
      <c r="C13" s="6" t="s">
        <v>24</v>
      </c>
      <c r="D13" s="6" t="s">
        <v>25</v>
      </c>
      <c r="E13" s="38" t="s">
        <v>6</v>
      </c>
      <c r="F13" s="39"/>
      <c r="G13" s="6" t="s">
        <v>26</v>
      </c>
      <c r="H13" s="7">
        <v>46082</v>
      </c>
      <c r="I13" s="8">
        <v>1.85</v>
      </c>
      <c r="J13" s="6" t="s">
        <v>6</v>
      </c>
      <c r="K13" s="6" t="s">
        <v>27</v>
      </c>
      <c r="L13" s="38"/>
      <c r="M13" s="39"/>
      <c r="N13" s="6">
        <v>1</v>
      </c>
      <c r="O13" s="8">
        <v>20</v>
      </c>
      <c r="P13" s="9">
        <v>1</v>
      </c>
      <c r="Q13" s="40">
        <v>20</v>
      </c>
      <c r="R13" s="39"/>
    </row>
    <row r="14" spans="1:18" x14ac:dyDescent="0.3">
      <c r="A14" s="6" t="s">
        <v>30</v>
      </c>
      <c r="B14" s="6" t="s">
        <v>31</v>
      </c>
      <c r="C14" s="6" t="s">
        <v>24</v>
      </c>
      <c r="D14" s="6" t="s">
        <v>25</v>
      </c>
      <c r="E14" s="38" t="s">
        <v>6</v>
      </c>
      <c r="F14" s="39"/>
      <c r="G14" s="6" t="s">
        <v>26</v>
      </c>
      <c r="H14" s="7">
        <v>46082</v>
      </c>
      <c r="I14" s="8">
        <v>5.65</v>
      </c>
      <c r="J14" s="6" t="s">
        <v>6</v>
      </c>
      <c r="K14" s="6" t="s">
        <v>27</v>
      </c>
      <c r="L14" s="38"/>
      <c r="M14" s="39"/>
      <c r="N14" s="6">
        <v>1</v>
      </c>
      <c r="O14" s="8">
        <v>20</v>
      </c>
      <c r="P14" s="9">
        <v>1</v>
      </c>
      <c r="Q14" s="40">
        <v>17.7</v>
      </c>
      <c r="R14" s="39"/>
    </row>
    <row r="15" spans="1:18" x14ac:dyDescent="0.3">
      <c r="A15" s="6" t="s">
        <v>32</v>
      </c>
      <c r="B15" s="6" t="s">
        <v>33</v>
      </c>
      <c r="C15" s="6" t="s">
        <v>24</v>
      </c>
      <c r="D15" s="6" t="s">
        <v>25</v>
      </c>
      <c r="E15" s="38" t="s">
        <v>6</v>
      </c>
      <c r="F15" s="39"/>
      <c r="G15" s="6" t="s">
        <v>26</v>
      </c>
      <c r="H15" s="7">
        <v>46054</v>
      </c>
      <c r="I15" s="8">
        <v>140.65</v>
      </c>
      <c r="J15" s="6" t="s">
        <v>6</v>
      </c>
      <c r="K15" s="6" t="s">
        <v>27</v>
      </c>
      <c r="L15" s="38"/>
      <c r="M15" s="39"/>
      <c r="N15" s="6">
        <v>1</v>
      </c>
      <c r="O15" s="8">
        <v>20</v>
      </c>
      <c r="P15" s="9">
        <v>1</v>
      </c>
      <c r="Q15" s="40">
        <v>20</v>
      </c>
      <c r="R15" s="39"/>
    </row>
    <row r="16" spans="1:18" x14ac:dyDescent="0.3">
      <c r="A16" s="6" t="s">
        <v>32</v>
      </c>
      <c r="B16" s="6" t="s">
        <v>33</v>
      </c>
      <c r="C16" s="6" t="s">
        <v>24</v>
      </c>
      <c r="D16" s="6" t="s">
        <v>25</v>
      </c>
      <c r="E16" s="38" t="s">
        <v>6</v>
      </c>
      <c r="F16" s="39"/>
      <c r="G16" s="6" t="s">
        <v>26</v>
      </c>
      <c r="H16" s="7">
        <v>46082</v>
      </c>
      <c r="I16" s="8">
        <v>140.65</v>
      </c>
      <c r="J16" s="6" t="s">
        <v>6</v>
      </c>
      <c r="K16" s="6" t="s">
        <v>27</v>
      </c>
      <c r="L16" s="38"/>
      <c r="M16" s="39"/>
      <c r="N16" s="6">
        <v>1</v>
      </c>
      <c r="O16" s="8">
        <v>20</v>
      </c>
      <c r="P16" s="9">
        <v>1</v>
      </c>
      <c r="Q16" s="40">
        <v>20</v>
      </c>
      <c r="R16" s="39"/>
    </row>
    <row r="17" spans="1:18" x14ac:dyDescent="0.3">
      <c r="A17" s="6" t="s">
        <v>34</v>
      </c>
      <c r="B17" s="6" t="s">
        <v>35</v>
      </c>
      <c r="C17" s="6" t="s">
        <v>24</v>
      </c>
      <c r="D17" s="6" t="s">
        <v>25</v>
      </c>
      <c r="E17" s="38" t="s">
        <v>6</v>
      </c>
      <c r="F17" s="39"/>
      <c r="G17" s="6" t="s">
        <v>26</v>
      </c>
      <c r="H17" s="7">
        <v>46082</v>
      </c>
      <c r="I17" s="8">
        <v>92.05</v>
      </c>
      <c r="J17" s="6" t="s">
        <v>6</v>
      </c>
      <c r="K17" s="6" t="s">
        <v>27</v>
      </c>
      <c r="L17" s="38"/>
      <c r="M17" s="39"/>
      <c r="N17" s="6">
        <v>1</v>
      </c>
      <c r="O17" s="8">
        <v>20</v>
      </c>
      <c r="P17" s="9">
        <v>1</v>
      </c>
      <c r="Q17" s="40">
        <v>20</v>
      </c>
      <c r="R17" s="39"/>
    </row>
    <row r="18" spans="1:18" x14ac:dyDescent="0.3">
      <c r="A18" s="6" t="s">
        <v>36</v>
      </c>
      <c r="B18" s="6" t="s">
        <v>37</v>
      </c>
      <c r="C18" s="6" t="s">
        <v>24</v>
      </c>
      <c r="D18" s="6" t="s">
        <v>25</v>
      </c>
      <c r="E18" s="38" t="s">
        <v>6</v>
      </c>
      <c r="F18" s="39"/>
      <c r="G18" s="6" t="s">
        <v>26</v>
      </c>
      <c r="H18" s="7">
        <v>46082</v>
      </c>
      <c r="I18" s="8">
        <v>91.69</v>
      </c>
      <c r="J18" s="6" t="s">
        <v>6</v>
      </c>
      <c r="K18" s="6" t="s">
        <v>27</v>
      </c>
      <c r="L18" s="38"/>
      <c r="M18" s="39"/>
      <c r="N18" s="6">
        <v>2</v>
      </c>
      <c r="O18" s="8">
        <v>20</v>
      </c>
      <c r="P18" s="9">
        <v>1</v>
      </c>
      <c r="Q18" s="40">
        <v>40</v>
      </c>
      <c r="R18" s="39"/>
    </row>
    <row r="19" spans="1:18" x14ac:dyDescent="0.3">
      <c r="A19" s="6" t="s">
        <v>38</v>
      </c>
      <c r="B19" s="6" t="s">
        <v>39</v>
      </c>
      <c r="C19" s="6" t="s">
        <v>24</v>
      </c>
      <c r="D19" s="6" t="s">
        <v>25</v>
      </c>
      <c r="E19" s="38" t="s">
        <v>6</v>
      </c>
      <c r="F19" s="39"/>
      <c r="G19" s="6" t="s">
        <v>26</v>
      </c>
      <c r="H19" s="7">
        <v>46082</v>
      </c>
      <c r="I19" s="8">
        <v>10.08</v>
      </c>
      <c r="J19" s="6" t="s">
        <v>6</v>
      </c>
      <c r="K19" s="6" t="s">
        <v>27</v>
      </c>
      <c r="L19" s="38"/>
      <c r="M19" s="39"/>
      <c r="N19" s="6">
        <v>1</v>
      </c>
      <c r="O19" s="8">
        <v>20</v>
      </c>
      <c r="P19" s="9">
        <v>1</v>
      </c>
      <c r="Q19" s="40">
        <v>20</v>
      </c>
      <c r="R19" s="39"/>
    </row>
    <row r="20" spans="1:18" x14ac:dyDescent="0.3">
      <c r="A20" s="6" t="s">
        <v>40</v>
      </c>
      <c r="B20" s="6" t="s">
        <v>41</v>
      </c>
      <c r="C20" s="6" t="s">
        <v>24</v>
      </c>
      <c r="D20" s="6" t="s">
        <v>25</v>
      </c>
      <c r="E20" s="38" t="s">
        <v>6</v>
      </c>
      <c r="F20" s="39"/>
      <c r="G20" s="6" t="s">
        <v>26</v>
      </c>
      <c r="H20" s="7">
        <v>46082</v>
      </c>
      <c r="I20" s="8">
        <v>1.03</v>
      </c>
      <c r="J20" s="6" t="s">
        <v>6</v>
      </c>
      <c r="K20" s="6" t="s">
        <v>27</v>
      </c>
      <c r="L20" s="38"/>
      <c r="M20" s="39"/>
      <c r="N20" s="6">
        <v>1</v>
      </c>
      <c r="O20" s="8">
        <v>20</v>
      </c>
      <c r="P20" s="9">
        <v>1</v>
      </c>
      <c r="Q20" s="40">
        <v>20</v>
      </c>
      <c r="R20" s="39"/>
    </row>
    <row r="21" spans="1:18" x14ac:dyDescent="0.3">
      <c r="A21" s="5" t="s">
        <v>6</v>
      </c>
      <c r="B21" s="5" t="s">
        <v>6</v>
      </c>
      <c r="C21" s="5" t="s">
        <v>6</v>
      </c>
      <c r="D21" s="5" t="s">
        <v>6</v>
      </c>
      <c r="E21" s="34" t="s">
        <v>6</v>
      </c>
      <c r="F21" s="31"/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34" t="s">
        <v>6</v>
      </c>
      <c r="M21" s="31"/>
      <c r="N21" s="5" t="s">
        <v>6</v>
      </c>
      <c r="O21" s="5" t="s">
        <v>6</v>
      </c>
      <c r="P21" s="5" t="s">
        <v>6</v>
      </c>
      <c r="Q21" s="34" t="s">
        <v>6</v>
      </c>
      <c r="R21" s="31"/>
    </row>
    <row r="22" spans="1:18" x14ac:dyDescent="0.3">
      <c r="A22" s="35" t="s">
        <v>42</v>
      </c>
      <c r="B22" s="31"/>
      <c r="C22" s="31"/>
      <c r="D22" s="31"/>
      <c r="E22" s="31"/>
      <c r="F22" s="31"/>
      <c r="G22" s="31"/>
      <c r="H22" s="31"/>
      <c r="I22" s="36">
        <v>684.3</v>
      </c>
      <c r="J22" s="31"/>
      <c r="K22" s="1" t="s">
        <v>6</v>
      </c>
      <c r="L22" s="35" t="s">
        <v>6</v>
      </c>
      <c r="M22" s="31"/>
      <c r="N22" s="1" t="s">
        <v>6</v>
      </c>
      <c r="O22" s="37">
        <v>217.7</v>
      </c>
      <c r="P22" s="31"/>
      <c r="Q22" s="31"/>
      <c r="R22" s="31"/>
    </row>
    <row r="23" spans="1:18" x14ac:dyDescent="0.3">
      <c r="A23" s="10" t="s">
        <v>6</v>
      </c>
      <c r="B23" s="10" t="s">
        <v>6</v>
      </c>
      <c r="C23" s="10" t="s">
        <v>6</v>
      </c>
      <c r="D23" s="10" t="s">
        <v>6</v>
      </c>
      <c r="E23" s="30" t="s">
        <v>6</v>
      </c>
      <c r="F23" s="31"/>
      <c r="G23" s="10" t="s">
        <v>6</v>
      </c>
      <c r="H23" s="10" t="s">
        <v>6</v>
      </c>
      <c r="I23" s="10" t="s">
        <v>6</v>
      </c>
      <c r="J23" s="10" t="s">
        <v>6</v>
      </c>
      <c r="K23" s="10" t="s">
        <v>6</v>
      </c>
      <c r="L23" s="30" t="s">
        <v>6</v>
      </c>
      <c r="M23" s="31"/>
      <c r="N23" s="10" t="s">
        <v>6</v>
      </c>
      <c r="O23" s="10" t="s">
        <v>6</v>
      </c>
      <c r="P23" s="10" t="s">
        <v>6</v>
      </c>
      <c r="Q23" s="33" t="s">
        <v>6</v>
      </c>
      <c r="R23" s="31"/>
    </row>
    <row r="24" spans="1:18" x14ac:dyDescent="0.3">
      <c r="A24" s="10" t="s">
        <v>6</v>
      </c>
      <c r="B24" s="10" t="s">
        <v>6</v>
      </c>
      <c r="C24" s="10" t="s">
        <v>6</v>
      </c>
      <c r="D24" s="10" t="s">
        <v>6</v>
      </c>
      <c r="E24" s="30" t="s">
        <v>6</v>
      </c>
      <c r="F24" s="31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30" t="s">
        <v>6</v>
      </c>
      <c r="M24" s="31"/>
      <c r="N24" s="10" t="s">
        <v>6</v>
      </c>
      <c r="O24" s="10" t="s">
        <v>6</v>
      </c>
      <c r="P24" s="10" t="s">
        <v>6</v>
      </c>
      <c r="Q24" s="33" t="s">
        <v>6</v>
      </c>
      <c r="R24" s="31"/>
    </row>
    <row r="25" spans="1:18" x14ac:dyDescent="0.3">
      <c r="A25" s="35" t="s">
        <v>43</v>
      </c>
      <c r="B25" s="31"/>
      <c r="C25" s="31"/>
      <c r="D25" s="31"/>
      <c r="E25" s="31"/>
      <c r="F25" s="31"/>
      <c r="G25" s="31"/>
      <c r="H25" s="31"/>
      <c r="I25" s="3" t="s">
        <v>6</v>
      </c>
      <c r="J25" s="3" t="s">
        <v>6</v>
      </c>
      <c r="K25" s="3" t="s">
        <v>6</v>
      </c>
      <c r="L25" s="41" t="s">
        <v>6</v>
      </c>
      <c r="M25" s="31"/>
      <c r="N25" s="3" t="s">
        <v>6</v>
      </c>
      <c r="O25" s="3" t="s">
        <v>6</v>
      </c>
      <c r="P25" s="3" t="s">
        <v>6</v>
      </c>
      <c r="Q25" s="41" t="s">
        <v>6</v>
      </c>
      <c r="R25" s="31"/>
    </row>
    <row r="26" spans="1:18" ht="20.399999999999999" x14ac:dyDescent="0.3">
      <c r="A26" s="4" t="s">
        <v>7</v>
      </c>
      <c r="B26" s="4" t="s">
        <v>8</v>
      </c>
      <c r="C26" s="4" t="s">
        <v>9</v>
      </c>
      <c r="D26" s="4" t="s">
        <v>10</v>
      </c>
      <c r="E26" s="42" t="s">
        <v>11</v>
      </c>
      <c r="F26" s="39"/>
      <c r="G26" s="4" t="s">
        <v>12</v>
      </c>
      <c r="H26" s="4" t="s">
        <v>13</v>
      </c>
      <c r="I26" s="4" t="s">
        <v>14</v>
      </c>
      <c r="J26" s="4" t="s">
        <v>15</v>
      </c>
      <c r="K26" s="4" t="s">
        <v>16</v>
      </c>
      <c r="L26" s="42" t="s">
        <v>17</v>
      </c>
      <c r="M26" s="39"/>
      <c r="N26" s="4" t="s">
        <v>18</v>
      </c>
      <c r="O26" s="4" t="s">
        <v>19</v>
      </c>
      <c r="P26" s="4" t="s">
        <v>20</v>
      </c>
      <c r="Q26" s="42" t="s">
        <v>21</v>
      </c>
      <c r="R26" s="39"/>
    </row>
    <row r="27" spans="1:18" x14ac:dyDescent="0.3">
      <c r="A27" s="5" t="s">
        <v>6</v>
      </c>
      <c r="B27" s="5" t="s">
        <v>6</v>
      </c>
      <c r="C27" s="5" t="s">
        <v>6</v>
      </c>
      <c r="D27" s="5" t="s">
        <v>6</v>
      </c>
      <c r="E27" s="34" t="s">
        <v>6</v>
      </c>
      <c r="F27" s="31"/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34" t="s">
        <v>6</v>
      </c>
      <c r="M27" s="31"/>
      <c r="N27" s="5" t="s">
        <v>6</v>
      </c>
      <c r="O27" s="5" t="s">
        <v>6</v>
      </c>
      <c r="P27" s="5" t="s">
        <v>6</v>
      </c>
      <c r="Q27" s="34" t="s">
        <v>6</v>
      </c>
      <c r="R27" s="31"/>
    </row>
    <row r="28" spans="1:18" x14ac:dyDescent="0.3">
      <c r="A28" s="6"/>
      <c r="B28" s="6" t="s">
        <v>44</v>
      </c>
      <c r="C28" s="6"/>
      <c r="D28" s="11"/>
      <c r="E28" s="43" t="s">
        <v>11</v>
      </c>
      <c r="F28" s="39"/>
      <c r="G28" s="6" t="s">
        <v>45</v>
      </c>
      <c r="H28" s="38" t="s">
        <v>46</v>
      </c>
      <c r="I28" s="44"/>
      <c r="J28" s="44"/>
      <c r="K28" s="44"/>
      <c r="L28" s="44"/>
      <c r="M28" s="44"/>
      <c r="N28" s="44"/>
      <c r="O28" s="44"/>
      <c r="P28" s="39"/>
      <c r="Q28" s="40">
        <v>563.54999999999995</v>
      </c>
      <c r="R28" s="39"/>
    </row>
    <row r="29" spans="1:18" x14ac:dyDescent="0.3">
      <c r="A29" s="6" t="s">
        <v>47</v>
      </c>
      <c r="B29" s="6" t="s">
        <v>48</v>
      </c>
      <c r="C29" s="6" t="s">
        <v>24</v>
      </c>
      <c r="D29" s="6" t="s">
        <v>49</v>
      </c>
      <c r="E29" s="38" t="s">
        <v>6</v>
      </c>
      <c r="F29" s="39"/>
      <c r="G29" s="6" t="s">
        <v>26</v>
      </c>
      <c r="H29" s="7">
        <v>46082</v>
      </c>
      <c r="I29" s="8">
        <v>486.35</v>
      </c>
      <c r="J29" s="6" t="s">
        <v>6</v>
      </c>
      <c r="K29" s="6" t="s">
        <v>27</v>
      </c>
      <c r="L29" s="38"/>
      <c r="M29" s="39"/>
      <c r="N29" s="6">
        <v>1</v>
      </c>
      <c r="O29" s="8">
        <v>23</v>
      </c>
      <c r="P29" s="9">
        <v>1</v>
      </c>
      <c r="Q29" s="40">
        <v>23</v>
      </c>
      <c r="R29" s="39"/>
    </row>
    <row r="30" spans="1:18" x14ac:dyDescent="0.3">
      <c r="A30" s="6" t="s">
        <v>50</v>
      </c>
      <c r="B30" s="6" t="s">
        <v>51</v>
      </c>
      <c r="C30" s="6" t="s">
        <v>24</v>
      </c>
      <c r="D30" s="6" t="s">
        <v>49</v>
      </c>
      <c r="E30" s="38" t="s">
        <v>6</v>
      </c>
      <c r="F30" s="39"/>
      <c r="G30" s="6" t="s">
        <v>26</v>
      </c>
      <c r="H30" s="7">
        <v>46082</v>
      </c>
      <c r="I30" s="8">
        <v>602.71</v>
      </c>
      <c r="J30" s="6" t="s">
        <v>6</v>
      </c>
      <c r="K30" s="6" t="s">
        <v>27</v>
      </c>
      <c r="L30" s="38"/>
      <c r="M30" s="39"/>
      <c r="N30" s="6">
        <v>1</v>
      </c>
      <c r="O30" s="8">
        <v>23</v>
      </c>
      <c r="P30" s="9">
        <v>1</v>
      </c>
      <c r="Q30" s="40">
        <v>23</v>
      </c>
      <c r="R30" s="39"/>
    </row>
    <row r="31" spans="1:18" x14ac:dyDescent="0.3">
      <c r="A31" s="6" t="s">
        <v>52</v>
      </c>
      <c r="B31" s="6" t="s">
        <v>53</v>
      </c>
      <c r="C31" s="6" t="s">
        <v>24</v>
      </c>
      <c r="D31" s="6" t="s">
        <v>49</v>
      </c>
      <c r="E31" s="38" t="s">
        <v>6</v>
      </c>
      <c r="F31" s="39"/>
      <c r="G31" s="6" t="s">
        <v>26</v>
      </c>
      <c r="H31" s="7">
        <v>46082</v>
      </c>
      <c r="I31" s="8">
        <v>486.48</v>
      </c>
      <c r="J31" s="6" t="s">
        <v>6</v>
      </c>
      <c r="K31" s="6" t="s">
        <v>27</v>
      </c>
      <c r="L31" s="38"/>
      <c r="M31" s="39"/>
      <c r="N31" s="6">
        <v>1</v>
      </c>
      <c r="O31" s="8">
        <v>23</v>
      </c>
      <c r="P31" s="9">
        <v>1</v>
      </c>
      <c r="Q31" s="40">
        <v>23</v>
      </c>
      <c r="R31" s="39"/>
    </row>
    <row r="32" spans="1:18" x14ac:dyDescent="0.3">
      <c r="A32" s="6" t="s">
        <v>54</v>
      </c>
      <c r="B32" s="6" t="s">
        <v>55</v>
      </c>
      <c r="C32" s="6" t="s">
        <v>24</v>
      </c>
      <c r="D32" s="6" t="s">
        <v>49</v>
      </c>
      <c r="E32" s="38" t="s">
        <v>6</v>
      </c>
      <c r="F32" s="39"/>
      <c r="G32" s="6" t="s">
        <v>26</v>
      </c>
      <c r="H32" s="7">
        <v>46082</v>
      </c>
      <c r="I32" s="8">
        <v>203.34</v>
      </c>
      <c r="J32" s="6" t="s">
        <v>6</v>
      </c>
      <c r="K32" s="6" t="s">
        <v>27</v>
      </c>
      <c r="L32" s="38"/>
      <c r="M32" s="39"/>
      <c r="N32" s="6">
        <v>1</v>
      </c>
      <c r="O32" s="8">
        <v>23</v>
      </c>
      <c r="P32" s="9">
        <v>1</v>
      </c>
      <c r="Q32" s="40">
        <v>23</v>
      </c>
      <c r="R32" s="39"/>
    </row>
    <row r="33" spans="1:18" x14ac:dyDescent="0.3">
      <c r="A33" s="6" t="s">
        <v>56</v>
      </c>
      <c r="B33" s="6" t="s">
        <v>57</v>
      </c>
      <c r="C33" s="6" t="s">
        <v>24</v>
      </c>
      <c r="D33" s="6" t="s">
        <v>49</v>
      </c>
      <c r="E33" s="38" t="s">
        <v>6</v>
      </c>
      <c r="F33" s="39"/>
      <c r="G33" s="6" t="s">
        <v>26</v>
      </c>
      <c r="H33" s="7">
        <v>46082</v>
      </c>
      <c r="I33" s="8">
        <v>397.72</v>
      </c>
      <c r="J33" s="6" t="s">
        <v>6</v>
      </c>
      <c r="K33" s="6" t="s">
        <v>27</v>
      </c>
      <c r="L33" s="38"/>
      <c r="M33" s="39"/>
      <c r="N33" s="6">
        <v>1</v>
      </c>
      <c r="O33" s="8">
        <v>23</v>
      </c>
      <c r="P33" s="9">
        <v>1</v>
      </c>
      <c r="Q33" s="40">
        <v>23</v>
      </c>
      <c r="R33" s="39"/>
    </row>
    <row r="34" spans="1:18" x14ac:dyDescent="0.3">
      <c r="A34" s="6" t="s">
        <v>58</v>
      </c>
      <c r="B34" s="6" t="s">
        <v>59</v>
      </c>
      <c r="C34" s="6" t="s">
        <v>24</v>
      </c>
      <c r="D34" s="6" t="s">
        <v>49</v>
      </c>
      <c r="E34" s="38" t="s">
        <v>6</v>
      </c>
      <c r="F34" s="39"/>
      <c r="G34" s="6" t="s">
        <v>26</v>
      </c>
      <c r="H34" s="7">
        <v>46082</v>
      </c>
      <c r="I34" s="8">
        <v>1072.8800000000001</v>
      </c>
      <c r="J34" s="6" t="s">
        <v>6</v>
      </c>
      <c r="K34" s="6" t="s">
        <v>27</v>
      </c>
      <c r="L34" s="38"/>
      <c r="M34" s="39"/>
      <c r="N34" s="6">
        <v>2</v>
      </c>
      <c r="O34" s="8">
        <v>23</v>
      </c>
      <c r="P34" s="9">
        <v>1</v>
      </c>
      <c r="Q34" s="40">
        <v>46</v>
      </c>
      <c r="R34" s="39"/>
    </row>
    <row r="35" spans="1:18" x14ac:dyDescent="0.3">
      <c r="A35" s="6" t="s">
        <v>60</v>
      </c>
      <c r="B35" s="6" t="s">
        <v>61</v>
      </c>
      <c r="C35" s="6" t="s">
        <v>24</v>
      </c>
      <c r="D35" s="6" t="s">
        <v>49</v>
      </c>
      <c r="E35" s="38" t="s">
        <v>6</v>
      </c>
      <c r="F35" s="39"/>
      <c r="G35" s="6" t="s">
        <v>26</v>
      </c>
      <c r="H35" s="7">
        <v>46082</v>
      </c>
      <c r="I35" s="8">
        <v>207.55</v>
      </c>
      <c r="J35" s="6" t="s">
        <v>6</v>
      </c>
      <c r="K35" s="6" t="s">
        <v>27</v>
      </c>
      <c r="L35" s="38"/>
      <c r="M35" s="39"/>
      <c r="N35" s="6">
        <v>1</v>
      </c>
      <c r="O35" s="8">
        <v>23</v>
      </c>
      <c r="P35" s="9">
        <v>1</v>
      </c>
      <c r="Q35" s="40">
        <v>23</v>
      </c>
      <c r="R35" s="39"/>
    </row>
    <row r="36" spans="1:18" x14ac:dyDescent="0.3">
      <c r="A36" s="6" t="s">
        <v>62</v>
      </c>
      <c r="B36" s="6" t="s">
        <v>63</v>
      </c>
      <c r="C36" s="6" t="s">
        <v>24</v>
      </c>
      <c r="D36" s="6" t="s">
        <v>49</v>
      </c>
      <c r="E36" s="38" t="s">
        <v>6</v>
      </c>
      <c r="F36" s="39"/>
      <c r="G36" s="6" t="s">
        <v>26</v>
      </c>
      <c r="H36" s="7">
        <v>46054</v>
      </c>
      <c r="I36" s="8">
        <v>2670.98</v>
      </c>
      <c r="J36" s="6" t="s">
        <v>6</v>
      </c>
      <c r="K36" s="6" t="s">
        <v>27</v>
      </c>
      <c r="L36" s="38"/>
      <c r="M36" s="39"/>
      <c r="N36" s="6">
        <v>5</v>
      </c>
      <c r="O36" s="8">
        <v>23</v>
      </c>
      <c r="P36" s="9">
        <v>1</v>
      </c>
      <c r="Q36" s="40">
        <v>115</v>
      </c>
      <c r="R36" s="39"/>
    </row>
    <row r="37" spans="1:18" x14ac:dyDescent="0.3">
      <c r="A37" s="6" t="s">
        <v>62</v>
      </c>
      <c r="B37" s="6" t="s">
        <v>63</v>
      </c>
      <c r="C37" s="6" t="s">
        <v>24</v>
      </c>
      <c r="D37" s="6" t="s">
        <v>49</v>
      </c>
      <c r="E37" s="38" t="s">
        <v>6</v>
      </c>
      <c r="F37" s="39"/>
      <c r="G37" s="6" t="s">
        <v>26</v>
      </c>
      <c r="H37" s="7">
        <v>46082</v>
      </c>
      <c r="I37" s="8">
        <v>2670.98</v>
      </c>
      <c r="J37" s="6" t="s">
        <v>6</v>
      </c>
      <c r="K37" s="6" t="s">
        <v>27</v>
      </c>
      <c r="L37" s="38"/>
      <c r="M37" s="39"/>
      <c r="N37" s="6">
        <v>5</v>
      </c>
      <c r="O37" s="8">
        <v>23</v>
      </c>
      <c r="P37" s="9">
        <v>1</v>
      </c>
      <c r="Q37" s="40">
        <v>115</v>
      </c>
      <c r="R37" s="39"/>
    </row>
    <row r="38" spans="1:18" x14ac:dyDescent="0.3">
      <c r="A38" s="6" t="s">
        <v>64</v>
      </c>
      <c r="B38" s="6" t="s">
        <v>65</v>
      </c>
      <c r="C38" s="6" t="s">
        <v>24</v>
      </c>
      <c r="D38" s="6" t="s">
        <v>49</v>
      </c>
      <c r="E38" s="38" t="s">
        <v>6</v>
      </c>
      <c r="F38" s="39"/>
      <c r="G38" s="6" t="s">
        <v>26</v>
      </c>
      <c r="H38" s="7">
        <v>46082</v>
      </c>
      <c r="I38" s="8">
        <v>386.34</v>
      </c>
      <c r="J38" s="6" t="s">
        <v>6</v>
      </c>
      <c r="K38" s="6" t="s">
        <v>27</v>
      </c>
      <c r="L38" s="38"/>
      <c r="M38" s="39"/>
      <c r="N38" s="6">
        <v>3</v>
      </c>
      <c r="O38" s="8">
        <v>23</v>
      </c>
      <c r="P38" s="9">
        <v>1</v>
      </c>
      <c r="Q38" s="40">
        <v>69</v>
      </c>
      <c r="R38" s="39"/>
    </row>
    <row r="39" spans="1:18" x14ac:dyDescent="0.3">
      <c r="A39" s="6" t="s">
        <v>66</v>
      </c>
      <c r="B39" s="6" t="s">
        <v>67</v>
      </c>
      <c r="C39" s="6" t="s">
        <v>24</v>
      </c>
      <c r="D39" s="6" t="s">
        <v>49</v>
      </c>
      <c r="E39" s="38" t="s">
        <v>6</v>
      </c>
      <c r="F39" s="39"/>
      <c r="G39" s="6" t="s">
        <v>26</v>
      </c>
      <c r="H39" s="7">
        <v>46082</v>
      </c>
      <c r="I39" s="8">
        <v>146.76</v>
      </c>
      <c r="J39" s="6" t="s">
        <v>6</v>
      </c>
      <c r="K39" s="6" t="s">
        <v>27</v>
      </c>
      <c r="L39" s="38"/>
      <c r="M39" s="39"/>
      <c r="N39" s="6">
        <v>1</v>
      </c>
      <c r="O39" s="8">
        <v>23</v>
      </c>
      <c r="P39" s="9">
        <v>1</v>
      </c>
      <c r="Q39" s="40">
        <v>23</v>
      </c>
      <c r="R39" s="39"/>
    </row>
    <row r="40" spans="1:18" x14ac:dyDescent="0.3">
      <c r="A40" s="6" t="s">
        <v>68</v>
      </c>
      <c r="B40" s="6" t="s">
        <v>69</v>
      </c>
      <c r="C40" s="6" t="s">
        <v>24</v>
      </c>
      <c r="D40" s="6" t="s">
        <v>49</v>
      </c>
      <c r="E40" s="38" t="s">
        <v>6</v>
      </c>
      <c r="F40" s="39"/>
      <c r="G40" s="6" t="s">
        <v>26</v>
      </c>
      <c r="H40" s="7">
        <v>46054</v>
      </c>
      <c r="I40" s="8">
        <v>148.91999999999999</v>
      </c>
      <c r="J40" s="6" t="s">
        <v>6</v>
      </c>
      <c r="K40" s="6" t="s">
        <v>27</v>
      </c>
      <c r="L40" s="38"/>
      <c r="M40" s="39"/>
      <c r="N40" s="6">
        <v>1</v>
      </c>
      <c r="O40" s="8">
        <v>23</v>
      </c>
      <c r="P40" s="9">
        <v>1</v>
      </c>
      <c r="Q40" s="40">
        <v>23</v>
      </c>
      <c r="R40" s="39"/>
    </row>
    <row r="41" spans="1:18" x14ac:dyDescent="0.3">
      <c r="A41" s="6" t="s">
        <v>70</v>
      </c>
      <c r="B41" s="6" t="s">
        <v>71</v>
      </c>
      <c r="C41" s="6" t="s">
        <v>24</v>
      </c>
      <c r="D41" s="6" t="s">
        <v>49</v>
      </c>
      <c r="E41" s="38" t="s">
        <v>6</v>
      </c>
      <c r="F41" s="39"/>
      <c r="G41" s="6" t="s">
        <v>26</v>
      </c>
      <c r="H41" s="7">
        <v>46082</v>
      </c>
      <c r="I41" s="8">
        <v>1670.97</v>
      </c>
      <c r="J41" s="6" t="s">
        <v>6</v>
      </c>
      <c r="K41" s="6" t="s">
        <v>27</v>
      </c>
      <c r="L41" s="38"/>
      <c r="M41" s="39"/>
      <c r="N41" s="6">
        <v>2</v>
      </c>
      <c r="O41" s="8">
        <v>23</v>
      </c>
      <c r="P41" s="9">
        <v>1</v>
      </c>
      <c r="Q41" s="40">
        <v>46</v>
      </c>
      <c r="R41" s="39"/>
    </row>
    <row r="42" spans="1:18" x14ac:dyDescent="0.3">
      <c r="A42" s="6" t="s">
        <v>72</v>
      </c>
      <c r="B42" s="6" t="s">
        <v>73</v>
      </c>
      <c r="C42" s="6" t="s">
        <v>24</v>
      </c>
      <c r="D42" s="6" t="s">
        <v>49</v>
      </c>
      <c r="E42" s="38" t="s">
        <v>6</v>
      </c>
      <c r="F42" s="39"/>
      <c r="G42" s="6" t="s">
        <v>26</v>
      </c>
      <c r="H42" s="7">
        <v>46082</v>
      </c>
      <c r="I42" s="8">
        <v>428.94</v>
      </c>
      <c r="J42" s="6" t="s">
        <v>6</v>
      </c>
      <c r="K42" s="6" t="s">
        <v>27</v>
      </c>
      <c r="L42" s="38"/>
      <c r="M42" s="39"/>
      <c r="N42" s="6">
        <v>1</v>
      </c>
      <c r="O42" s="8">
        <v>23</v>
      </c>
      <c r="P42" s="9">
        <v>1</v>
      </c>
      <c r="Q42" s="40">
        <v>23</v>
      </c>
      <c r="R42" s="39"/>
    </row>
    <row r="43" spans="1:18" x14ac:dyDescent="0.3">
      <c r="A43" s="6" t="s">
        <v>74</v>
      </c>
      <c r="B43" s="6" t="s">
        <v>75</v>
      </c>
      <c r="C43" s="6" t="s">
        <v>24</v>
      </c>
      <c r="D43" s="6" t="s">
        <v>49</v>
      </c>
      <c r="E43" s="38" t="s">
        <v>6</v>
      </c>
      <c r="F43" s="39"/>
      <c r="G43" s="6" t="s">
        <v>26</v>
      </c>
      <c r="H43" s="7">
        <v>46082</v>
      </c>
      <c r="I43" s="8">
        <v>130.63</v>
      </c>
      <c r="J43" s="6" t="s">
        <v>6</v>
      </c>
      <c r="K43" s="6" t="s">
        <v>27</v>
      </c>
      <c r="L43" s="38"/>
      <c r="M43" s="39"/>
      <c r="N43" s="6">
        <v>1</v>
      </c>
      <c r="O43" s="8">
        <v>23</v>
      </c>
      <c r="P43" s="9">
        <v>1</v>
      </c>
      <c r="Q43" s="40">
        <v>23</v>
      </c>
      <c r="R43" s="39"/>
    </row>
    <row r="44" spans="1:18" x14ac:dyDescent="0.3">
      <c r="A44" s="6" t="s">
        <v>76</v>
      </c>
      <c r="B44" s="6" t="s">
        <v>77</v>
      </c>
      <c r="C44" s="6" t="s">
        <v>24</v>
      </c>
      <c r="D44" s="6" t="s">
        <v>49</v>
      </c>
      <c r="E44" s="38" t="s">
        <v>6</v>
      </c>
      <c r="F44" s="39"/>
      <c r="G44" s="6" t="s">
        <v>26</v>
      </c>
      <c r="H44" s="7">
        <v>46082</v>
      </c>
      <c r="I44" s="8">
        <v>149.83000000000001</v>
      </c>
      <c r="J44" s="6" t="s">
        <v>6</v>
      </c>
      <c r="K44" s="6" t="s">
        <v>27</v>
      </c>
      <c r="L44" s="38"/>
      <c r="M44" s="39"/>
      <c r="N44" s="6">
        <v>1</v>
      </c>
      <c r="O44" s="8">
        <v>23</v>
      </c>
      <c r="P44" s="9">
        <v>1</v>
      </c>
      <c r="Q44" s="40">
        <v>23</v>
      </c>
      <c r="R44" s="39"/>
    </row>
    <row r="45" spans="1:18" x14ac:dyDescent="0.3">
      <c r="A45" s="6" t="s">
        <v>78</v>
      </c>
      <c r="B45" s="6" t="s">
        <v>79</v>
      </c>
      <c r="C45" s="6" t="s">
        <v>24</v>
      </c>
      <c r="D45" s="6" t="s">
        <v>49</v>
      </c>
      <c r="E45" s="38" t="s">
        <v>6</v>
      </c>
      <c r="F45" s="39"/>
      <c r="G45" s="6" t="s">
        <v>26</v>
      </c>
      <c r="H45" s="7">
        <v>46082</v>
      </c>
      <c r="I45" s="8">
        <v>1.41</v>
      </c>
      <c r="J45" s="6" t="s">
        <v>6</v>
      </c>
      <c r="K45" s="6" t="s">
        <v>27</v>
      </c>
      <c r="L45" s="38"/>
      <c r="M45" s="39"/>
      <c r="N45" s="6">
        <v>1</v>
      </c>
      <c r="O45" s="8">
        <v>23</v>
      </c>
      <c r="P45" s="9">
        <v>1</v>
      </c>
      <c r="Q45" s="40">
        <v>23</v>
      </c>
      <c r="R45" s="39"/>
    </row>
    <row r="46" spans="1:18" x14ac:dyDescent="0.3">
      <c r="A46" s="6" t="s">
        <v>80</v>
      </c>
      <c r="B46" s="6" t="s">
        <v>81</v>
      </c>
      <c r="C46" s="6" t="s">
        <v>24</v>
      </c>
      <c r="D46" s="6" t="s">
        <v>49</v>
      </c>
      <c r="E46" s="38" t="s">
        <v>6</v>
      </c>
      <c r="F46" s="39"/>
      <c r="G46" s="6" t="s">
        <v>26</v>
      </c>
      <c r="H46" s="7">
        <v>46082</v>
      </c>
      <c r="I46" s="8">
        <v>242.33</v>
      </c>
      <c r="J46" s="6" t="s">
        <v>6</v>
      </c>
      <c r="K46" s="6" t="s">
        <v>27</v>
      </c>
      <c r="L46" s="38"/>
      <c r="M46" s="39"/>
      <c r="N46" s="6">
        <v>1</v>
      </c>
      <c r="O46" s="8">
        <v>23</v>
      </c>
      <c r="P46" s="9">
        <v>1</v>
      </c>
      <c r="Q46" s="40">
        <v>23</v>
      </c>
      <c r="R46" s="39"/>
    </row>
    <row r="47" spans="1:18" x14ac:dyDescent="0.3">
      <c r="A47" s="6" t="s">
        <v>82</v>
      </c>
      <c r="B47" s="6" t="s">
        <v>83</v>
      </c>
      <c r="C47" s="6" t="s">
        <v>24</v>
      </c>
      <c r="D47" s="6" t="s">
        <v>49</v>
      </c>
      <c r="E47" s="38" t="s">
        <v>6</v>
      </c>
      <c r="F47" s="39"/>
      <c r="G47" s="6" t="s">
        <v>26</v>
      </c>
      <c r="H47" s="7">
        <v>46082</v>
      </c>
      <c r="I47" s="8">
        <v>352.44</v>
      </c>
      <c r="J47" s="6" t="s">
        <v>6</v>
      </c>
      <c r="K47" s="6" t="s">
        <v>27</v>
      </c>
      <c r="L47" s="38"/>
      <c r="M47" s="39"/>
      <c r="N47" s="6">
        <v>1</v>
      </c>
      <c r="O47" s="8">
        <v>23</v>
      </c>
      <c r="P47" s="9">
        <v>1</v>
      </c>
      <c r="Q47" s="40">
        <v>23</v>
      </c>
      <c r="R47" s="39"/>
    </row>
    <row r="48" spans="1:18" x14ac:dyDescent="0.3">
      <c r="A48" s="6" t="s">
        <v>84</v>
      </c>
      <c r="B48" s="6" t="s">
        <v>85</v>
      </c>
      <c r="C48" s="6" t="s">
        <v>24</v>
      </c>
      <c r="D48" s="6" t="s">
        <v>49</v>
      </c>
      <c r="E48" s="38" t="s">
        <v>6</v>
      </c>
      <c r="F48" s="39"/>
      <c r="G48" s="6" t="s">
        <v>26</v>
      </c>
      <c r="H48" s="7">
        <v>46082</v>
      </c>
      <c r="I48" s="8">
        <v>169.86</v>
      </c>
      <c r="J48" s="6" t="s">
        <v>6</v>
      </c>
      <c r="K48" s="6" t="s">
        <v>27</v>
      </c>
      <c r="L48" s="38"/>
      <c r="M48" s="39"/>
      <c r="N48" s="6">
        <v>1</v>
      </c>
      <c r="O48" s="8">
        <v>23</v>
      </c>
      <c r="P48" s="9">
        <v>1</v>
      </c>
      <c r="Q48" s="40">
        <v>23</v>
      </c>
      <c r="R48" s="39"/>
    </row>
    <row r="49" spans="1:18" x14ac:dyDescent="0.3">
      <c r="A49" s="6" t="s">
        <v>86</v>
      </c>
      <c r="B49" s="6" t="s">
        <v>87</v>
      </c>
      <c r="C49" s="6" t="s">
        <v>24</v>
      </c>
      <c r="D49" s="11" t="s">
        <v>49</v>
      </c>
      <c r="E49" s="43" t="s">
        <v>11</v>
      </c>
      <c r="F49" s="39"/>
      <c r="G49" s="6" t="s">
        <v>26</v>
      </c>
      <c r="H49" s="38" t="s">
        <v>88</v>
      </c>
      <c r="I49" s="44"/>
      <c r="J49" s="44"/>
      <c r="K49" s="44"/>
      <c r="L49" s="44"/>
      <c r="M49" s="44"/>
      <c r="N49" s="44"/>
      <c r="O49" s="44"/>
      <c r="P49" s="39"/>
      <c r="Q49" s="40">
        <v>-23</v>
      </c>
      <c r="R49" s="39"/>
    </row>
    <row r="50" spans="1:18" x14ac:dyDescent="0.3">
      <c r="A50" s="6" t="s">
        <v>89</v>
      </c>
      <c r="B50" s="6" t="s">
        <v>90</v>
      </c>
      <c r="C50" s="6" t="s">
        <v>24</v>
      </c>
      <c r="D50" s="6" t="s">
        <v>49</v>
      </c>
      <c r="E50" s="38" t="s">
        <v>6</v>
      </c>
      <c r="F50" s="39"/>
      <c r="G50" s="6" t="s">
        <v>26</v>
      </c>
      <c r="H50" s="7">
        <v>46082</v>
      </c>
      <c r="I50" s="8">
        <v>546.78</v>
      </c>
      <c r="J50" s="6" t="s">
        <v>6</v>
      </c>
      <c r="K50" s="6" t="s">
        <v>27</v>
      </c>
      <c r="L50" s="38"/>
      <c r="M50" s="39"/>
      <c r="N50" s="6">
        <v>2</v>
      </c>
      <c r="O50" s="8">
        <v>23</v>
      </c>
      <c r="P50" s="9">
        <v>1</v>
      </c>
      <c r="Q50" s="40">
        <v>46</v>
      </c>
      <c r="R50" s="39"/>
    </row>
    <row r="51" spans="1:18" x14ac:dyDescent="0.3">
      <c r="A51" s="6" t="s">
        <v>91</v>
      </c>
      <c r="B51" s="6" t="s">
        <v>92</v>
      </c>
      <c r="C51" s="6" t="s">
        <v>24</v>
      </c>
      <c r="D51" s="6" t="s">
        <v>49</v>
      </c>
      <c r="E51" s="38" t="s">
        <v>6</v>
      </c>
      <c r="F51" s="39"/>
      <c r="G51" s="6" t="s">
        <v>26</v>
      </c>
      <c r="H51" s="7">
        <v>46082</v>
      </c>
      <c r="I51" s="8">
        <v>921.12</v>
      </c>
      <c r="J51" s="6" t="s">
        <v>6</v>
      </c>
      <c r="K51" s="6" t="s">
        <v>27</v>
      </c>
      <c r="L51" s="38"/>
      <c r="M51" s="39"/>
      <c r="N51" s="6">
        <v>1</v>
      </c>
      <c r="O51" s="8">
        <v>23</v>
      </c>
      <c r="P51" s="9">
        <v>1</v>
      </c>
      <c r="Q51" s="40">
        <v>23</v>
      </c>
      <c r="R51" s="39"/>
    </row>
    <row r="52" spans="1:18" x14ac:dyDescent="0.3">
      <c r="A52" s="6" t="s">
        <v>93</v>
      </c>
      <c r="B52" s="6" t="s">
        <v>94</v>
      </c>
      <c r="C52" s="6" t="s">
        <v>24</v>
      </c>
      <c r="D52" s="6" t="s">
        <v>49</v>
      </c>
      <c r="E52" s="38" t="s">
        <v>6</v>
      </c>
      <c r="F52" s="39"/>
      <c r="G52" s="6" t="s">
        <v>26</v>
      </c>
      <c r="H52" s="7">
        <v>46054</v>
      </c>
      <c r="I52" s="8">
        <v>271.91000000000003</v>
      </c>
      <c r="J52" s="6" t="s">
        <v>6</v>
      </c>
      <c r="K52" s="6" t="s">
        <v>27</v>
      </c>
      <c r="L52" s="38"/>
      <c r="M52" s="39"/>
      <c r="N52" s="6">
        <v>1</v>
      </c>
      <c r="O52" s="8">
        <v>23</v>
      </c>
      <c r="P52" s="9">
        <v>1</v>
      </c>
      <c r="Q52" s="40">
        <v>23</v>
      </c>
      <c r="R52" s="39"/>
    </row>
    <row r="53" spans="1:18" x14ac:dyDescent="0.3">
      <c r="A53" s="6" t="s">
        <v>93</v>
      </c>
      <c r="B53" s="6" t="s">
        <v>94</v>
      </c>
      <c r="C53" s="6" t="s">
        <v>24</v>
      </c>
      <c r="D53" s="6" t="s">
        <v>49</v>
      </c>
      <c r="E53" s="38" t="s">
        <v>6</v>
      </c>
      <c r="F53" s="39"/>
      <c r="G53" s="6" t="s">
        <v>26</v>
      </c>
      <c r="H53" s="7">
        <v>46082</v>
      </c>
      <c r="I53" s="8">
        <v>271.91000000000003</v>
      </c>
      <c r="J53" s="6" t="s">
        <v>6</v>
      </c>
      <c r="K53" s="6" t="s">
        <v>27</v>
      </c>
      <c r="L53" s="38"/>
      <c r="M53" s="39"/>
      <c r="N53" s="6">
        <v>1</v>
      </c>
      <c r="O53" s="8">
        <v>23</v>
      </c>
      <c r="P53" s="9">
        <v>1</v>
      </c>
      <c r="Q53" s="40">
        <v>0</v>
      </c>
      <c r="R53" s="39"/>
    </row>
    <row r="54" spans="1:18" x14ac:dyDescent="0.3">
      <c r="A54" s="6" t="s">
        <v>95</v>
      </c>
      <c r="B54" s="6" t="s">
        <v>96</v>
      </c>
      <c r="C54" s="6" t="s">
        <v>24</v>
      </c>
      <c r="D54" s="6" t="s">
        <v>49</v>
      </c>
      <c r="E54" s="38" t="s">
        <v>6</v>
      </c>
      <c r="F54" s="39"/>
      <c r="G54" s="6" t="s">
        <v>26</v>
      </c>
      <c r="H54" s="7">
        <v>46082</v>
      </c>
      <c r="I54" s="8">
        <v>604.69000000000005</v>
      </c>
      <c r="J54" s="6" t="s">
        <v>6</v>
      </c>
      <c r="K54" s="6" t="s">
        <v>27</v>
      </c>
      <c r="L54" s="38"/>
      <c r="M54" s="39"/>
      <c r="N54" s="6">
        <v>1</v>
      </c>
      <c r="O54" s="8">
        <v>23</v>
      </c>
      <c r="P54" s="9">
        <v>1</v>
      </c>
      <c r="Q54" s="40">
        <v>23</v>
      </c>
      <c r="R54" s="39"/>
    </row>
    <row r="55" spans="1:18" x14ac:dyDescent="0.3">
      <c r="A55" s="6" t="s">
        <v>97</v>
      </c>
      <c r="B55" s="6" t="s">
        <v>98</v>
      </c>
      <c r="C55" s="6" t="s">
        <v>24</v>
      </c>
      <c r="D55" s="6" t="s">
        <v>49</v>
      </c>
      <c r="E55" s="38" t="s">
        <v>6</v>
      </c>
      <c r="F55" s="39"/>
      <c r="G55" s="6" t="s">
        <v>26</v>
      </c>
      <c r="H55" s="7">
        <v>46082</v>
      </c>
      <c r="I55" s="8">
        <v>315.77</v>
      </c>
      <c r="J55" s="6" t="s">
        <v>6</v>
      </c>
      <c r="K55" s="6" t="s">
        <v>27</v>
      </c>
      <c r="L55" s="38"/>
      <c r="M55" s="39"/>
      <c r="N55" s="6">
        <v>1</v>
      </c>
      <c r="O55" s="8">
        <v>23</v>
      </c>
      <c r="P55" s="9">
        <v>1</v>
      </c>
      <c r="Q55" s="40">
        <v>23</v>
      </c>
      <c r="R55" s="39"/>
    </row>
    <row r="56" spans="1:18" x14ac:dyDescent="0.3">
      <c r="A56" s="6" t="s">
        <v>99</v>
      </c>
      <c r="B56" s="6" t="s">
        <v>100</v>
      </c>
      <c r="C56" s="6" t="s">
        <v>24</v>
      </c>
      <c r="D56" s="6" t="s">
        <v>49</v>
      </c>
      <c r="E56" s="38" t="s">
        <v>6</v>
      </c>
      <c r="F56" s="39"/>
      <c r="G56" s="6" t="s">
        <v>26</v>
      </c>
      <c r="H56" s="7">
        <v>46082</v>
      </c>
      <c r="I56" s="8">
        <v>51.21</v>
      </c>
      <c r="J56" s="6" t="s">
        <v>6</v>
      </c>
      <c r="K56" s="6" t="s">
        <v>27</v>
      </c>
      <c r="L56" s="38"/>
      <c r="M56" s="39"/>
      <c r="N56" s="6">
        <v>1</v>
      </c>
      <c r="O56" s="8">
        <v>23</v>
      </c>
      <c r="P56" s="9">
        <v>1</v>
      </c>
      <c r="Q56" s="40">
        <v>23</v>
      </c>
      <c r="R56" s="39"/>
    </row>
    <row r="57" spans="1:18" x14ac:dyDescent="0.3">
      <c r="A57" s="6" t="s">
        <v>101</v>
      </c>
      <c r="B57" s="6" t="s">
        <v>102</v>
      </c>
      <c r="C57" s="6" t="s">
        <v>24</v>
      </c>
      <c r="D57" s="6" t="s">
        <v>49</v>
      </c>
      <c r="E57" s="38" t="s">
        <v>6</v>
      </c>
      <c r="F57" s="39"/>
      <c r="G57" s="6" t="s">
        <v>26</v>
      </c>
      <c r="H57" s="7">
        <v>46082</v>
      </c>
      <c r="I57" s="8">
        <v>111.83</v>
      </c>
      <c r="J57" s="6" t="s">
        <v>6</v>
      </c>
      <c r="K57" s="6" t="s">
        <v>27</v>
      </c>
      <c r="L57" s="38"/>
      <c r="M57" s="39"/>
      <c r="N57" s="6">
        <v>2</v>
      </c>
      <c r="O57" s="8">
        <v>23</v>
      </c>
      <c r="P57" s="9">
        <v>1</v>
      </c>
      <c r="Q57" s="40">
        <v>46</v>
      </c>
      <c r="R57" s="39"/>
    </row>
    <row r="58" spans="1:18" x14ac:dyDescent="0.3">
      <c r="A58" s="6" t="s">
        <v>103</v>
      </c>
      <c r="B58" s="6" t="s">
        <v>104</v>
      </c>
      <c r="C58" s="6" t="s">
        <v>24</v>
      </c>
      <c r="D58" s="6" t="s">
        <v>49</v>
      </c>
      <c r="E58" s="38" t="s">
        <v>6</v>
      </c>
      <c r="F58" s="39"/>
      <c r="G58" s="6" t="s">
        <v>26</v>
      </c>
      <c r="H58" s="7">
        <v>46082</v>
      </c>
      <c r="I58" s="8">
        <v>2419.46</v>
      </c>
      <c r="J58" s="6" t="s">
        <v>6</v>
      </c>
      <c r="K58" s="6" t="s">
        <v>27</v>
      </c>
      <c r="L58" s="38"/>
      <c r="M58" s="39"/>
      <c r="N58" s="6">
        <v>3</v>
      </c>
      <c r="O58" s="8">
        <v>23</v>
      </c>
      <c r="P58" s="9">
        <v>1</v>
      </c>
      <c r="Q58" s="40">
        <v>69</v>
      </c>
      <c r="R58" s="39"/>
    </row>
    <row r="59" spans="1:18" x14ac:dyDescent="0.3">
      <c r="A59" s="6" t="s">
        <v>105</v>
      </c>
      <c r="B59" s="6" t="s">
        <v>106</v>
      </c>
      <c r="C59" s="6" t="s">
        <v>24</v>
      </c>
      <c r="D59" s="6" t="s">
        <v>49</v>
      </c>
      <c r="E59" s="38" t="s">
        <v>6</v>
      </c>
      <c r="F59" s="39"/>
      <c r="G59" s="6" t="s">
        <v>26</v>
      </c>
      <c r="H59" s="7">
        <v>46082</v>
      </c>
      <c r="I59" s="8">
        <v>1813.34</v>
      </c>
      <c r="J59" s="6" t="s">
        <v>6</v>
      </c>
      <c r="K59" s="6" t="s">
        <v>27</v>
      </c>
      <c r="L59" s="38"/>
      <c r="M59" s="39"/>
      <c r="N59" s="6">
        <v>3</v>
      </c>
      <c r="O59" s="8">
        <v>23</v>
      </c>
      <c r="P59" s="9">
        <v>1</v>
      </c>
      <c r="Q59" s="40">
        <v>69</v>
      </c>
      <c r="R59" s="39"/>
    </row>
    <row r="60" spans="1:18" x14ac:dyDescent="0.3">
      <c r="A60" s="6" t="s">
        <v>107</v>
      </c>
      <c r="B60" s="6" t="s">
        <v>108</v>
      </c>
      <c r="C60" s="6" t="s">
        <v>24</v>
      </c>
      <c r="D60" s="6" t="s">
        <v>49</v>
      </c>
      <c r="E60" s="38" t="s">
        <v>6</v>
      </c>
      <c r="F60" s="39"/>
      <c r="G60" s="6" t="s">
        <v>26</v>
      </c>
      <c r="H60" s="7">
        <v>46082</v>
      </c>
      <c r="I60" s="8">
        <v>692.23</v>
      </c>
      <c r="J60" s="6" t="s">
        <v>6</v>
      </c>
      <c r="K60" s="6" t="s">
        <v>27</v>
      </c>
      <c r="L60" s="38"/>
      <c r="M60" s="39"/>
      <c r="N60" s="6">
        <v>1</v>
      </c>
      <c r="O60" s="8">
        <v>23</v>
      </c>
      <c r="P60" s="9">
        <v>1</v>
      </c>
      <c r="Q60" s="40">
        <v>23</v>
      </c>
      <c r="R60" s="39"/>
    </row>
    <row r="61" spans="1:18" x14ac:dyDescent="0.3">
      <c r="A61" s="6" t="s">
        <v>109</v>
      </c>
      <c r="B61" s="6" t="s">
        <v>110</v>
      </c>
      <c r="C61" s="6" t="s">
        <v>24</v>
      </c>
      <c r="D61" s="6" t="s">
        <v>49</v>
      </c>
      <c r="E61" s="38" t="s">
        <v>6</v>
      </c>
      <c r="F61" s="39"/>
      <c r="G61" s="6" t="s">
        <v>26</v>
      </c>
      <c r="H61" s="7">
        <v>46082</v>
      </c>
      <c r="I61" s="8">
        <v>280.45999999999998</v>
      </c>
      <c r="J61" s="6" t="s">
        <v>6</v>
      </c>
      <c r="K61" s="6" t="s">
        <v>27</v>
      </c>
      <c r="L61" s="38"/>
      <c r="M61" s="39"/>
      <c r="N61" s="6">
        <v>5</v>
      </c>
      <c r="O61" s="8">
        <v>23</v>
      </c>
      <c r="P61" s="9">
        <v>1</v>
      </c>
      <c r="Q61" s="40">
        <v>115</v>
      </c>
      <c r="R61" s="39"/>
    </row>
    <row r="62" spans="1:18" x14ac:dyDescent="0.3">
      <c r="A62" s="6" t="s">
        <v>111</v>
      </c>
      <c r="B62" s="6" t="s">
        <v>112</v>
      </c>
      <c r="C62" s="6" t="s">
        <v>24</v>
      </c>
      <c r="D62" s="6" t="s">
        <v>49</v>
      </c>
      <c r="E62" s="38" t="s">
        <v>6</v>
      </c>
      <c r="F62" s="39"/>
      <c r="G62" s="6" t="s">
        <v>26</v>
      </c>
      <c r="H62" s="7">
        <v>46054</v>
      </c>
      <c r="I62" s="8">
        <v>44.67</v>
      </c>
      <c r="J62" s="6" t="s">
        <v>6</v>
      </c>
      <c r="K62" s="6" t="s">
        <v>27</v>
      </c>
      <c r="L62" s="38"/>
      <c r="M62" s="39"/>
      <c r="N62" s="6">
        <v>1</v>
      </c>
      <c r="O62" s="8">
        <v>23</v>
      </c>
      <c r="P62" s="9">
        <v>1</v>
      </c>
      <c r="Q62" s="40">
        <v>23</v>
      </c>
      <c r="R62" s="39"/>
    </row>
    <row r="63" spans="1:18" x14ac:dyDescent="0.3">
      <c r="A63" s="6" t="s">
        <v>111</v>
      </c>
      <c r="B63" s="6" t="s">
        <v>112</v>
      </c>
      <c r="C63" s="6" t="s">
        <v>24</v>
      </c>
      <c r="D63" s="6" t="s">
        <v>49</v>
      </c>
      <c r="E63" s="38" t="s">
        <v>6</v>
      </c>
      <c r="F63" s="39"/>
      <c r="G63" s="6" t="s">
        <v>26</v>
      </c>
      <c r="H63" s="7">
        <v>46082</v>
      </c>
      <c r="I63" s="8">
        <v>44.67</v>
      </c>
      <c r="J63" s="6" t="s">
        <v>6</v>
      </c>
      <c r="K63" s="6" t="s">
        <v>27</v>
      </c>
      <c r="L63" s="38"/>
      <c r="M63" s="39"/>
      <c r="N63" s="6">
        <v>1</v>
      </c>
      <c r="O63" s="8">
        <v>23</v>
      </c>
      <c r="P63" s="9">
        <v>1</v>
      </c>
      <c r="Q63" s="40">
        <v>23</v>
      </c>
      <c r="R63" s="39"/>
    </row>
    <row r="64" spans="1:18" x14ac:dyDescent="0.3">
      <c r="A64" s="6" t="s">
        <v>113</v>
      </c>
      <c r="B64" s="6" t="s">
        <v>114</v>
      </c>
      <c r="C64" s="6" t="s">
        <v>24</v>
      </c>
      <c r="D64" s="6" t="s">
        <v>49</v>
      </c>
      <c r="E64" s="38" t="s">
        <v>6</v>
      </c>
      <c r="F64" s="39"/>
      <c r="G64" s="6" t="s">
        <v>26</v>
      </c>
      <c r="H64" s="7">
        <v>46082</v>
      </c>
      <c r="I64" s="8">
        <v>493.12</v>
      </c>
      <c r="J64" s="6" t="s">
        <v>6</v>
      </c>
      <c r="K64" s="6" t="s">
        <v>27</v>
      </c>
      <c r="L64" s="38"/>
      <c r="M64" s="39"/>
      <c r="N64" s="6">
        <v>3</v>
      </c>
      <c r="O64" s="8">
        <v>23</v>
      </c>
      <c r="P64" s="9">
        <v>1</v>
      </c>
      <c r="Q64" s="40">
        <v>69</v>
      </c>
      <c r="R64" s="39"/>
    </row>
    <row r="65" spans="1:18" x14ac:dyDescent="0.3">
      <c r="A65" s="6" t="s">
        <v>115</v>
      </c>
      <c r="B65" s="6" t="s">
        <v>116</v>
      </c>
      <c r="C65" s="6" t="s">
        <v>24</v>
      </c>
      <c r="D65" s="6" t="s">
        <v>49</v>
      </c>
      <c r="E65" s="38" t="s">
        <v>6</v>
      </c>
      <c r="F65" s="39"/>
      <c r="G65" s="6" t="s">
        <v>26</v>
      </c>
      <c r="H65" s="7">
        <v>46082</v>
      </c>
      <c r="I65" s="8">
        <v>3.37</v>
      </c>
      <c r="J65" s="6" t="s">
        <v>6</v>
      </c>
      <c r="K65" s="6" t="s">
        <v>27</v>
      </c>
      <c r="L65" s="38"/>
      <c r="M65" s="39"/>
      <c r="N65" s="6">
        <v>2</v>
      </c>
      <c r="O65" s="8">
        <v>23</v>
      </c>
      <c r="P65" s="9">
        <v>1</v>
      </c>
      <c r="Q65" s="40">
        <v>46</v>
      </c>
      <c r="R65" s="39"/>
    </row>
    <row r="66" spans="1:18" x14ac:dyDescent="0.3">
      <c r="A66" s="6" t="s">
        <v>117</v>
      </c>
      <c r="B66" s="6" t="s">
        <v>118</v>
      </c>
      <c r="C66" s="6" t="s">
        <v>24</v>
      </c>
      <c r="D66" s="6" t="s">
        <v>49</v>
      </c>
      <c r="E66" s="38" t="s">
        <v>6</v>
      </c>
      <c r="F66" s="39"/>
      <c r="G66" s="6" t="s">
        <v>26</v>
      </c>
      <c r="H66" s="7">
        <v>46082</v>
      </c>
      <c r="I66" s="8">
        <v>2</v>
      </c>
      <c r="J66" s="6" t="s">
        <v>6</v>
      </c>
      <c r="K66" s="6" t="s">
        <v>27</v>
      </c>
      <c r="L66" s="38"/>
      <c r="M66" s="39"/>
      <c r="N66" s="6">
        <v>2</v>
      </c>
      <c r="O66" s="8">
        <v>23</v>
      </c>
      <c r="P66" s="9">
        <v>1</v>
      </c>
      <c r="Q66" s="40">
        <v>46</v>
      </c>
      <c r="R66" s="39"/>
    </row>
    <row r="67" spans="1:18" x14ac:dyDescent="0.3">
      <c r="A67" s="6" t="s">
        <v>119</v>
      </c>
      <c r="B67" s="6" t="s">
        <v>120</v>
      </c>
      <c r="C67" s="6" t="s">
        <v>24</v>
      </c>
      <c r="D67" s="6" t="s">
        <v>49</v>
      </c>
      <c r="E67" s="38" t="s">
        <v>6</v>
      </c>
      <c r="F67" s="39"/>
      <c r="G67" s="6" t="s">
        <v>26</v>
      </c>
      <c r="H67" s="7">
        <v>46082</v>
      </c>
      <c r="I67" s="8">
        <v>75.86</v>
      </c>
      <c r="J67" s="6" t="s">
        <v>6</v>
      </c>
      <c r="K67" s="6" t="s">
        <v>27</v>
      </c>
      <c r="L67" s="38"/>
      <c r="M67" s="39"/>
      <c r="N67" s="6">
        <v>1</v>
      </c>
      <c r="O67" s="8">
        <v>23</v>
      </c>
      <c r="P67" s="9">
        <v>1</v>
      </c>
      <c r="Q67" s="40">
        <v>23</v>
      </c>
      <c r="R67" s="39"/>
    </row>
    <row r="68" spans="1:18" x14ac:dyDescent="0.3">
      <c r="A68" s="6" t="s">
        <v>121</v>
      </c>
      <c r="B68" s="6" t="s">
        <v>122</v>
      </c>
      <c r="C68" s="6" t="s">
        <v>24</v>
      </c>
      <c r="D68" s="6" t="s">
        <v>49</v>
      </c>
      <c r="E68" s="38" t="s">
        <v>6</v>
      </c>
      <c r="F68" s="39"/>
      <c r="G68" s="6" t="s">
        <v>26</v>
      </c>
      <c r="H68" s="7">
        <v>46082</v>
      </c>
      <c r="I68" s="8">
        <v>849.9</v>
      </c>
      <c r="J68" s="6" t="s">
        <v>6</v>
      </c>
      <c r="K68" s="6" t="s">
        <v>27</v>
      </c>
      <c r="L68" s="38"/>
      <c r="M68" s="39"/>
      <c r="N68" s="6">
        <v>3</v>
      </c>
      <c r="O68" s="8">
        <v>23</v>
      </c>
      <c r="P68" s="9">
        <v>1</v>
      </c>
      <c r="Q68" s="40">
        <v>69</v>
      </c>
      <c r="R68" s="39"/>
    </row>
    <row r="69" spans="1:18" x14ac:dyDescent="0.3">
      <c r="A69" s="6" t="s">
        <v>123</v>
      </c>
      <c r="B69" s="6" t="s">
        <v>124</v>
      </c>
      <c r="C69" s="6" t="s">
        <v>24</v>
      </c>
      <c r="D69" s="6" t="s">
        <v>49</v>
      </c>
      <c r="E69" s="38" t="s">
        <v>6</v>
      </c>
      <c r="F69" s="39"/>
      <c r="G69" s="6" t="s">
        <v>26</v>
      </c>
      <c r="H69" s="7">
        <v>46082</v>
      </c>
      <c r="I69" s="8">
        <v>391.58</v>
      </c>
      <c r="J69" s="6" t="s">
        <v>6</v>
      </c>
      <c r="K69" s="6" t="s">
        <v>27</v>
      </c>
      <c r="L69" s="38"/>
      <c r="M69" s="39"/>
      <c r="N69" s="6">
        <v>1</v>
      </c>
      <c r="O69" s="8">
        <v>23</v>
      </c>
      <c r="P69" s="9">
        <v>1</v>
      </c>
      <c r="Q69" s="40">
        <v>23</v>
      </c>
      <c r="R69" s="39"/>
    </row>
    <row r="70" spans="1:18" x14ac:dyDescent="0.3">
      <c r="A70" s="6" t="s">
        <v>125</v>
      </c>
      <c r="B70" s="6" t="s">
        <v>126</v>
      </c>
      <c r="C70" s="6" t="s">
        <v>24</v>
      </c>
      <c r="D70" s="6" t="s">
        <v>49</v>
      </c>
      <c r="E70" s="38" t="s">
        <v>6</v>
      </c>
      <c r="F70" s="39"/>
      <c r="G70" s="6" t="s">
        <v>26</v>
      </c>
      <c r="H70" s="7">
        <v>46082</v>
      </c>
      <c r="I70" s="8">
        <v>765.88</v>
      </c>
      <c r="J70" s="6" t="s">
        <v>6</v>
      </c>
      <c r="K70" s="6" t="s">
        <v>27</v>
      </c>
      <c r="L70" s="38"/>
      <c r="M70" s="39"/>
      <c r="N70" s="6">
        <v>1</v>
      </c>
      <c r="O70" s="8">
        <v>23</v>
      </c>
      <c r="P70" s="9">
        <v>1</v>
      </c>
      <c r="Q70" s="40">
        <v>23</v>
      </c>
      <c r="R70" s="39"/>
    </row>
    <row r="71" spans="1:18" x14ac:dyDescent="0.3">
      <c r="A71" s="6" t="s">
        <v>127</v>
      </c>
      <c r="B71" s="6" t="s">
        <v>128</v>
      </c>
      <c r="C71" s="6" t="s">
        <v>24</v>
      </c>
      <c r="D71" s="6" t="s">
        <v>49</v>
      </c>
      <c r="E71" s="38" t="s">
        <v>6</v>
      </c>
      <c r="F71" s="39"/>
      <c r="G71" s="6" t="s">
        <v>26</v>
      </c>
      <c r="H71" s="7">
        <v>46082</v>
      </c>
      <c r="I71" s="8">
        <v>596.28</v>
      </c>
      <c r="J71" s="6" t="s">
        <v>6</v>
      </c>
      <c r="K71" s="6" t="s">
        <v>27</v>
      </c>
      <c r="L71" s="38"/>
      <c r="M71" s="39"/>
      <c r="N71" s="6">
        <v>1</v>
      </c>
      <c r="O71" s="8">
        <v>23</v>
      </c>
      <c r="P71" s="9">
        <v>1</v>
      </c>
      <c r="Q71" s="40">
        <v>23</v>
      </c>
      <c r="R71" s="39"/>
    </row>
    <row r="72" spans="1:18" x14ac:dyDescent="0.3">
      <c r="A72" s="6" t="s">
        <v>129</v>
      </c>
      <c r="B72" s="6" t="s">
        <v>130</v>
      </c>
      <c r="C72" s="6" t="s">
        <v>24</v>
      </c>
      <c r="D72" s="6" t="s">
        <v>49</v>
      </c>
      <c r="E72" s="38" t="s">
        <v>6</v>
      </c>
      <c r="F72" s="39"/>
      <c r="G72" s="6" t="s">
        <v>26</v>
      </c>
      <c r="H72" s="7">
        <v>46054</v>
      </c>
      <c r="I72" s="8">
        <v>47.33</v>
      </c>
      <c r="J72" s="6" t="s">
        <v>6</v>
      </c>
      <c r="K72" s="6" t="s">
        <v>27</v>
      </c>
      <c r="L72" s="38"/>
      <c r="M72" s="39"/>
      <c r="N72" s="6">
        <v>1</v>
      </c>
      <c r="O72" s="8">
        <v>23</v>
      </c>
      <c r="P72" s="9">
        <v>1</v>
      </c>
      <c r="Q72" s="40">
        <v>23</v>
      </c>
      <c r="R72" s="39"/>
    </row>
    <row r="73" spans="1:18" x14ac:dyDescent="0.3">
      <c r="A73" s="6" t="s">
        <v>131</v>
      </c>
      <c r="B73" s="6" t="s">
        <v>132</v>
      </c>
      <c r="C73" s="6" t="s">
        <v>24</v>
      </c>
      <c r="D73" s="6" t="s">
        <v>49</v>
      </c>
      <c r="E73" s="38" t="s">
        <v>6</v>
      </c>
      <c r="F73" s="39"/>
      <c r="G73" s="6" t="s">
        <v>26</v>
      </c>
      <c r="H73" s="7">
        <v>46082</v>
      </c>
      <c r="I73" s="8">
        <v>117.64</v>
      </c>
      <c r="J73" s="6" t="s">
        <v>6</v>
      </c>
      <c r="K73" s="6" t="s">
        <v>27</v>
      </c>
      <c r="L73" s="38"/>
      <c r="M73" s="39"/>
      <c r="N73" s="6">
        <v>1</v>
      </c>
      <c r="O73" s="8">
        <v>23</v>
      </c>
      <c r="P73" s="9">
        <v>1</v>
      </c>
      <c r="Q73" s="40">
        <v>23</v>
      </c>
      <c r="R73" s="39"/>
    </row>
    <row r="74" spans="1:18" x14ac:dyDescent="0.3">
      <c r="A74" s="6" t="s">
        <v>133</v>
      </c>
      <c r="B74" s="6" t="s">
        <v>134</v>
      </c>
      <c r="C74" s="6" t="s">
        <v>24</v>
      </c>
      <c r="D74" s="6" t="s">
        <v>49</v>
      </c>
      <c r="E74" s="38" t="s">
        <v>6</v>
      </c>
      <c r="F74" s="39"/>
      <c r="G74" s="6" t="s">
        <v>26</v>
      </c>
      <c r="H74" s="7">
        <v>46082</v>
      </c>
      <c r="I74" s="8">
        <v>1204.19</v>
      </c>
      <c r="J74" s="6" t="s">
        <v>6</v>
      </c>
      <c r="K74" s="6" t="s">
        <v>27</v>
      </c>
      <c r="L74" s="38"/>
      <c r="M74" s="39"/>
      <c r="N74" s="6">
        <v>2</v>
      </c>
      <c r="O74" s="8">
        <v>23</v>
      </c>
      <c r="P74" s="9">
        <v>1</v>
      </c>
      <c r="Q74" s="40">
        <v>46</v>
      </c>
      <c r="R74" s="39"/>
    </row>
    <row r="75" spans="1:18" x14ac:dyDescent="0.3">
      <c r="A75" s="6" t="s">
        <v>135</v>
      </c>
      <c r="B75" s="6" t="s">
        <v>136</v>
      </c>
      <c r="C75" s="6" t="s">
        <v>24</v>
      </c>
      <c r="D75" s="6" t="s">
        <v>49</v>
      </c>
      <c r="E75" s="38" t="s">
        <v>6</v>
      </c>
      <c r="F75" s="39"/>
      <c r="G75" s="6" t="s">
        <v>26</v>
      </c>
      <c r="H75" s="7">
        <v>46082</v>
      </c>
      <c r="I75" s="8">
        <v>754.25</v>
      </c>
      <c r="J75" s="6" t="s">
        <v>6</v>
      </c>
      <c r="K75" s="6" t="s">
        <v>27</v>
      </c>
      <c r="L75" s="38"/>
      <c r="M75" s="39"/>
      <c r="N75" s="6">
        <v>2</v>
      </c>
      <c r="O75" s="8">
        <v>23</v>
      </c>
      <c r="P75" s="9">
        <v>1</v>
      </c>
      <c r="Q75" s="40">
        <v>46</v>
      </c>
      <c r="R75" s="39"/>
    </row>
    <row r="76" spans="1:18" x14ac:dyDescent="0.3">
      <c r="A76" s="6" t="s">
        <v>137</v>
      </c>
      <c r="B76" s="6" t="s">
        <v>138</v>
      </c>
      <c r="C76" s="6" t="s">
        <v>24</v>
      </c>
      <c r="D76" s="6" t="s">
        <v>49</v>
      </c>
      <c r="E76" s="38" t="s">
        <v>6</v>
      </c>
      <c r="F76" s="39"/>
      <c r="G76" s="6" t="s">
        <v>26</v>
      </c>
      <c r="H76" s="7">
        <v>46054</v>
      </c>
      <c r="I76" s="8">
        <v>31.69</v>
      </c>
      <c r="J76" s="6" t="s">
        <v>6</v>
      </c>
      <c r="K76" s="6" t="s">
        <v>27</v>
      </c>
      <c r="L76" s="38"/>
      <c r="M76" s="39"/>
      <c r="N76" s="6">
        <v>1</v>
      </c>
      <c r="O76" s="8">
        <v>23</v>
      </c>
      <c r="P76" s="9">
        <v>1</v>
      </c>
      <c r="Q76" s="40">
        <v>23</v>
      </c>
      <c r="R76" s="39"/>
    </row>
    <row r="77" spans="1:18" x14ac:dyDescent="0.3">
      <c r="A77" s="6" t="s">
        <v>137</v>
      </c>
      <c r="B77" s="6" t="s">
        <v>138</v>
      </c>
      <c r="C77" s="6" t="s">
        <v>24</v>
      </c>
      <c r="D77" s="6" t="s">
        <v>49</v>
      </c>
      <c r="E77" s="38" t="s">
        <v>6</v>
      </c>
      <c r="F77" s="39"/>
      <c r="G77" s="6" t="s">
        <v>26</v>
      </c>
      <c r="H77" s="7">
        <v>46082</v>
      </c>
      <c r="I77" s="8">
        <v>31.69</v>
      </c>
      <c r="J77" s="6" t="s">
        <v>6</v>
      </c>
      <c r="K77" s="6" t="s">
        <v>27</v>
      </c>
      <c r="L77" s="38"/>
      <c r="M77" s="39"/>
      <c r="N77" s="6">
        <v>1</v>
      </c>
      <c r="O77" s="8">
        <v>23</v>
      </c>
      <c r="P77" s="9">
        <v>1</v>
      </c>
      <c r="Q77" s="40">
        <v>23</v>
      </c>
      <c r="R77" s="39"/>
    </row>
    <row r="78" spans="1:18" x14ac:dyDescent="0.3">
      <c r="A78" s="6" t="s">
        <v>139</v>
      </c>
      <c r="B78" s="6" t="s">
        <v>140</v>
      </c>
      <c r="C78" s="6" t="s">
        <v>24</v>
      </c>
      <c r="D78" s="6" t="s">
        <v>49</v>
      </c>
      <c r="E78" s="38" t="s">
        <v>6</v>
      </c>
      <c r="F78" s="39"/>
      <c r="G78" s="6" t="s">
        <v>26</v>
      </c>
      <c r="H78" s="7">
        <v>46082</v>
      </c>
      <c r="I78" s="8">
        <v>131.5</v>
      </c>
      <c r="J78" s="6" t="s">
        <v>6</v>
      </c>
      <c r="K78" s="6" t="s">
        <v>27</v>
      </c>
      <c r="L78" s="38"/>
      <c r="M78" s="39"/>
      <c r="N78" s="6">
        <v>1</v>
      </c>
      <c r="O78" s="8">
        <v>23</v>
      </c>
      <c r="P78" s="9">
        <v>1</v>
      </c>
      <c r="Q78" s="40">
        <v>23</v>
      </c>
      <c r="R78" s="39"/>
    </row>
    <row r="79" spans="1:18" x14ac:dyDescent="0.3">
      <c r="A79" s="6" t="s">
        <v>141</v>
      </c>
      <c r="B79" s="6" t="s">
        <v>142</v>
      </c>
      <c r="C79" s="6" t="s">
        <v>24</v>
      </c>
      <c r="D79" s="6" t="s">
        <v>49</v>
      </c>
      <c r="E79" s="38" t="s">
        <v>6</v>
      </c>
      <c r="F79" s="39"/>
      <c r="G79" s="6" t="s">
        <v>26</v>
      </c>
      <c r="H79" s="7">
        <v>46082</v>
      </c>
      <c r="I79" s="8">
        <v>441.74</v>
      </c>
      <c r="J79" s="6" t="s">
        <v>6</v>
      </c>
      <c r="K79" s="6" t="s">
        <v>27</v>
      </c>
      <c r="L79" s="38"/>
      <c r="M79" s="39"/>
      <c r="N79" s="6">
        <v>1</v>
      </c>
      <c r="O79" s="8">
        <v>23</v>
      </c>
      <c r="P79" s="9">
        <v>1</v>
      </c>
      <c r="Q79" s="40">
        <v>23</v>
      </c>
      <c r="R79" s="39"/>
    </row>
    <row r="80" spans="1:18" x14ac:dyDescent="0.3">
      <c r="A80" s="6" t="s">
        <v>143</v>
      </c>
      <c r="B80" s="6" t="s">
        <v>144</v>
      </c>
      <c r="C80" s="6" t="s">
        <v>24</v>
      </c>
      <c r="D80" s="6" t="s">
        <v>49</v>
      </c>
      <c r="E80" s="38" t="s">
        <v>6</v>
      </c>
      <c r="F80" s="39"/>
      <c r="G80" s="6" t="s">
        <v>26</v>
      </c>
      <c r="H80" s="7">
        <v>46082</v>
      </c>
      <c r="I80" s="8">
        <v>716.33</v>
      </c>
      <c r="J80" s="6" t="s">
        <v>6</v>
      </c>
      <c r="K80" s="6" t="s">
        <v>27</v>
      </c>
      <c r="L80" s="38"/>
      <c r="M80" s="39"/>
      <c r="N80" s="6">
        <v>1</v>
      </c>
      <c r="O80" s="8">
        <v>23</v>
      </c>
      <c r="P80" s="9">
        <v>1</v>
      </c>
      <c r="Q80" s="40">
        <v>23</v>
      </c>
      <c r="R80" s="39"/>
    </row>
    <row r="81" spans="1:18" x14ac:dyDescent="0.3">
      <c r="A81" s="6" t="s">
        <v>145</v>
      </c>
      <c r="B81" s="6" t="s">
        <v>146</v>
      </c>
      <c r="C81" s="6" t="s">
        <v>24</v>
      </c>
      <c r="D81" s="6" t="s">
        <v>49</v>
      </c>
      <c r="E81" s="38" t="s">
        <v>6</v>
      </c>
      <c r="F81" s="39"/>
      <c r="G81" s="6" t="s">
        <v>26</v>
      </c>
      <c r="H81" s="7">
        <v>46054</v>
      </c>
      <c r="I81" s="8">
        <v>76.040000000000006</v>
      </c>
      <c r="J81" s="6" t="s">
        <v>6</v>
      </c>
      <c r="K81" s="6" t="s">
        <v>27</v>
      </c>
      <c r="L81" s="38"/>
      <c r="M81" s="39"/>
      <c r="N81" s="6">
        <v>1</v>
      </c>
      <c r="O81" s="8">
        <v>23</v>
      </c>
      <c r="P81" s="9">
        <v>1</v>
      </c>
      <c r="Q81" s="40">
        <v>23</v>
      </c>
      <c r="R81" s="39"/>
    </row>
    <row r="82" spans="1:18" x14ac:dyDescent="0.3">
      <c r="A82" s="6" t="s">
        <v>145</v>
      </c>
      <c r="B82" s="6" t="s">
        <v>146</v>
      </c>
      <c r="C82" s="6" t="s">
        <v>24</v>
      </c>
      <c r="D82" s="6" t="s">
        <v>49</v>
      </c>
      <c r="E82" s="38" t="s">
        <v>6</v>
      </c>
      <c r="F82" s="39"/>
      <c r="G82" s="6" t="s">
        <v>26</v>
      </c>
      <c r="H82" s="7">
        <v>46082</v>
      </c>
      <c r="I82" s="8">
        <v>76.040000000000006</v>
      </c>
      <c r="J82" s="6" t="s">
        <v>6</v>
      </c>
      <c r="K82" s="6" t="s">
        <v>27</v>
      </c>
      <c r="L82" s="38"/>
      <c r="M82" s="39"/>
      <c r="N82" s="6">
        <v>1</v>
      </c>
      <c r="O82" s="8">
        <v>23</v>
      </c>
      <c r="P82" s="9">
        <v>1</v>
      </c>
      <c r="Q82" s="40">
        <v>23</v>
      </c>
      <c r="R82" s="39"/>
    </row>
    <row r="83" spans="1:18" x14ac:dyDescent="0.3">
      <c r="A83" s="6" t="s">
        <v>147</v>
      </c>
      <c r="B83" s="6" t="s">
        <v>148</v>
      </c>
      <c r="C83" s="6" t="s">
        <v>24</v>
      </c>
      <c r="D83" s="6" t="s">
        <v>49</v>
      </c>
      <c r="E83" s="38" t="s">
        <v>6</v>
      </c>
      <c r="F83" s="39"/>
      <c r="G83" s="6" t="s">
        <v>26</v>
      </c>
      <c r="H83" s="7">
        <v>46082</v>
      </c>
      <c r="I83" s="8">
        <v>296.35000000000002</v>
      </c>
      <c r="J83" s="6" t="s">
        <v>6</v>
      </c>
      <c r="K83" s="6" t="s">
        <v>27</v>
      </c>
      <c r="L83" s="38"/>
      <c r="M83" s="39"/>
      <c r="N83" s="6">
        <v>1</v>
      </c>
      <c r="O83" s="8">
        <v>23</v>
      </c>
      <c r="P83" s="9">
        <v>1</v>
      </c>
      <c r="Q83" s="40">
        <v>23</v>
      </c>
      <c r="R83" s="39"/>
    </row>
    <row r="84" spans="1:18" x14ac:dyDescent="0.3">
      <c r="A84" s="6" t="s">
        <v>149</v>
      </c>
      <c r="B84" s="6" t="s">
        <v>150</v>
      </c>
      <c r="C84" s="6" t="s">
        <v>24</v>
      </c>
      <c r="D84" s="6" t="s">
        <v>49</v>
      </c>
      <c r="E84" s="38" t="s">
        <v>6</v>
      </c>
      <c r="F84" s="39"/>
      <c r="G84" s="6" t="s">
        <v>26</v>
      </c>
      <c r="H84" s="7">
        <v>46082</v>
      </c>
      <c r="I84" s="8">
        <v>1216.05</v>
      </c>
      <c r="J84" s="6" t="s">
        <v>6</v>
      </c>
      <c r="K84" s="6" t="s">
        <v>27</v>
      </c>
      <c r="L84" s="38"/>
      <c r="M84" s="39"/>
      <c r="N84" s="6">
        <v>4</v>
      </c>
      <c r="O84" s="8">
        <v>23</v>
      </c>
      <c r="P84" s="9">
        <v>1</v>
      </c>
      <c r="Q84" s="40">
        <v>92</v>
      </c>
      <c r="R84" s="39"/>
    </row>
    <row r="85" spans="1:18" x14ac:dyDescent="0.3">
      <c r="A85" s="6" t="s">
        <v>151</v>
      </c>
      <c r="B85" s="6" t="s">
        <v>152</v>
      </c>
      <c r="C85" s="6" t="s">
        <v>24</v>
      </c>
      <c r="D85" s="6" t="s">
        <v>49</v>
      </c>
      <c r="E85" s="38" t="s">
        <v>6</v>
      </c>
      <c r="F85" s="39"/>
      <c r="G85" s="6" t="s">
        <v>26</v>
      </c>
      <c r="H85" s="7">
        <v>46082</v>
      </c>
      <c r="I85" s="8">
        <v>502.55</v>
      </c>
      <c r="J85" s="6" t="s">
        <v>6</v>
      </c>
      <c r="K85" s="6" t="s">
        <v>27</v>
      </c>
      <c r="L85" s="38"/>
      <c r="M85" s="39"/>
      <c r="N85" s="6">
        <v>3</v>
      </c>
      <c r="O85" s="8">
        <v>23</v>
      </c>
      <c r="P85" s="9">
        <v>1</v>
      </c>
      <c r="Q85" s="40">
        <v>69</v>
      </c>
      <c r="R85" s="39"/>
    </row>
    <row r="86" spans="1:18" x14ac:dyDescent="0.3">
      <c r="A86" s="6" t="s">
        <v>153</v>
      </c>
      <c r="B86" s="6" t="s">
        <v>154</v>
      </c>
      <c r="C86" s="6" t="s">
        <v>24</v>
      </c>
      <c r="D86" s="6" t="s">
        <v>49</v>
      </c>
      <c r="E86" s="38" t="s">
        <v>6</v>
      </c>
      <c r="F86" s="39"/>
      <c r="G86" s="6" t="s">
        <v>26</v>
      </c>
      <c r="H86" s="7">
        <v>46082</v>
      </c>
      <c r="I86" s="8">
        <v>516.85</v>
      </c>
      <c r="J86" s="6" t="s">
        <v>6</v>
      </c>
      <c r="K86" s="6" t="s">
        <v>27</v>
      </c>
      <c r="L86" s="38"/>
      <c r="M86" s="39"/>
      <c r="N86" s="6">
        <v>1</v>
      </c>
      <c r="O86" s="8">
        <v>23</v>
      </c>
      <c r="P86" s="9">
        <v>1</v>
      </c>
      <c r="Q86" s="40">
        <v>23</v>
      </c>
      <c r="R86" s="39"/>
    </row>
    <row r="87" spans="1:18" x14ac:dyDescent="0.3">
      <c r="A87" s="6" t="s">
        <v>155</v>
      </c>
      <c r="B87" s="6" t="s">
        <v>156</v>
      </c>
      <c r="C87" s="6" t="s">
        <v>24</v>
      </c>
      <c r="D87" s="6" t="s">
        <v>49</v>
      </c>
      <c r="E87" s="38" t="s">
        <v>6</v>
      </c>
      <c r="F87" s="39"/>
      <c r="G87" s="6" t="s">
        <v>26</v>
      </c>
      <c r="H87" s="7">
        <v>46082</v>
      </c>
      <c r="I87" s="8">
        <v>759.38</v>
      </c>
      <c r="J87" s="6" t="s">
        <v>6</v>
      </c>
      <c r="K87" s="6" t="s">
        <v>27</v>
      </c>
      <c r="L87" s="38"/>
      <c r="M87" s="39"/>
      <c r="N87" s="6">
        <v>2</v>
      </c>
      <c r="O87" s="8">
        <v>23</v>
      </c>
      <c r="P87" s="9">
        <v>1</v>
      </c>
      <c r="Q87" s="40">
        <v>46</v>
      </c>
      <c r="R87" s="39"/>
    </row>
    <row r="88" spans="1:18" x14ac:dyDescent="0.3">
      <c r="A88" s="6" t="s">
        <v>157</v>
      </c>
      <c r="B88" s="6" t="s">
        <v>158</v>
      </c>
      <c r="C88" s="6" t="s">
        <v>24</v>
      </c>
      <c r="D88" s="6" t="s">
        <v>49</v>
      </c>
      <c r="E88" s="38" t="s">
        <v>6</v>
      </c>
      <c r="F88" s="39"/>
      <c r="G88" s="6" t="s">
        <v>26</v>
      </c>
      <c r="H88" s="7">
        <v>46054</v>
      </c>
      <c r="I88" s="8">
        <v>77.489999999999995</v>
      </c>
      <c r="J88" s="6" t="s">
        <v>6</v>
      </c>
      <c r="K88" s="6" t="s">
        <v>27</v>
      </c>
      <c r="L88" s="38"/>
      <c r="M88" s="39"/>
      <c r="N88" s="6">
        <v>1</v>
      </c>
      <c r="O88" s="8">
        <v>23</v>
      </c>
      <c r="P88" s="9">
        <v>1</v>
      </c>
      <c r="Q88" s="40">
        <v>23</v>
      </c>
      <c r="R88" s="39"/>
    </row>
    <row r="89" spans="1:18" x14ac:dyDescent="0.3">
      <c r="A89" s="6" t="s">
        <v>157</v>
      </c>
      <c r="B89" s="6" t="s">
        <v>158</v>
      </c>
      <c r="C89" s="6" t="s">
        <v>24</v>
      </c>
      <c r="D89" s="6" t="s">
        <v>49</v>
      </c>
      <c r="E89" s="38" t="s">
        <v>6</v>
      </c>
      <c r="F89" s="39"/>
      <c r="G89" s="6" t="s">
        <v>26</v>
      </c>
      <c r="H89" s="7">
        <v>46082</v>
      </c>
      <c r="I89" s="8">
        <v>77.489999999999995</v>
      </c>
      <c r="J89" s="6" t="s">
        <v>6</v>
      </c>
      <c r="K89" s="6" t="s">
        <v>27</v>
      </c>
      <c r="L89" s="38"/>
      <c r="M89" s="39"/>
      <c r="N89" s="6">
        <v>1</v>
      </c>
      <c r="O89" s="8">
        <v>23</v>
      </c>
      <c r="P89" s="9">
        <v>1</v>
      </c>
      <c r="Q89" s="40">
        <v>23</v>
      </c>
      <c r="R89" s="39"/>
    </row>
    <row r="90" spans="1:18" x14ac:dyDescent="0.3">
      <c r="A90" s="6" t="s">
        <v>159</v>
      </c>
      <c r="B90" s="6" t="s">
        <v>160</v>
      </c>
      <c r="C90" s="6" t="s">
        <v>24</v>
      </c>
      <c r="D90" s="6" t="s">
        <v>49</v>
      </c>
      <c r="E90" s="38" t="s">
        <v>6</v>
      </c>
      <c r="F90" s="39"/>
      <c r="G90" s="6" t="s">
        <v>26</v>
      </c>
      <c r="H90" s="7">
        <v>46054</v>
      </c>
      <c r="I90" s="8">
        <v>911.09</v>
      </c>
      <c r="J90" s="6" t="s">
        <v>6</v>
      </c>
      <c r="K90" s="6" t="s">
        <v>27</v>
      </c>
      <c r="L90" s="38"/>
      <c r="M90" s="39"/>
      <c r="N90" s="6">
        <v>1</v>
      </c>
      <c r="O90" s="8">
        <v>23</v>
      </c>
      <c r="P90" s="9">
        <v>1</v>
      </c>
      <c r="Q90" s="40">
        <v>5.28</v>
      </c>
      <c r="R90" s="39"/>
    </row>
    <row r="91" spans="1:18" x14ac:dyDescent="0.3">
      <c r="A91" s="6" t="s">
        <v>159</v>
      </c>
      <c r="B91" s="6" t="s">
        <v>160</v>
      </c>
      <c r="C91" s="6" t="s">
        <v>24</v>
      </c>
      <c r="D91" s="6" t="s">
        <v>49</v>
      </c>
      <c r="E91" s="38" t="s">
        <v>6</v>
      </c>
      <c r="F91" s="39"/>
      <c r="G91" s="6" t="s">
        <v>26</v>
      </c>
      <c r="H91" s="7">
        <v>46082</v>
      </c>
      <c r="I91" s="8">
        <v>911.09</v>
      </c>
      <c r="J91" s="6" t="s">
        <v>6</v>
      </c>
      <c r="K91" s="6" t="s">
        <v>27</v>
      </c>
      <c r="L91" s="38"/>
      <c r="M91" s="39"/>
      <c r="N91" s="6">
        <v>1</v>
      </c>
      <c r="O91" s="8">
        <v>23</v>
      </c>
      <c r="P91" s="9">
        <v>1</v>
      </c>
      <c r="Q91" s="40">
        <v>15.08</v>
      </c>
      <c r="R91" s="39"/>
    </row>
    <row r="92" spans="1:18" x14ac:dyDescent="0.3">
      <c r="A92" s="6" t="s">
        <v>161</v>
      </c>
      <c r="B92" s="6" t="s">
        <v>162</v>
      </c>
      <c r="C92" s="6" t="s">
        <v>24</v>
      </c>
      <c r="D92" s="6" t="s">
        <v>49</v>
      </c>
      <c r="E92" s="38" t="s">
        <v>6</v>
      </c>
      <c r="F92" s="39"/>
      <c r="G92" s="6" t="s">
        <v>26</v>
      </c>
      <c r="H92" s="7">
        <v>46054</v>
      </c>
      <c r="I92" s="8">
        <v>169.56</v>
      </c>
      <c r="J92" s="6" t="s">
        <v>6</v>
      </c>
      <c r="K92" s="6" t="s">
        <v>27</v>
      </c>
      <c r="L92" s="38"/>
      <c r="M92" s="39"/>
      <c r="N92" s="6">
        <v>1</v>
      </c>
      <c r="O92" s="8">
        <v>23</v>
      </c>
      <c r="P92" s="9">
        <v>1</v>
      </c>
      <c r="Q92" s="40">
        <v>23</v>
      </c>
      <c r="R92" s="39"/>
    </row>
    <row r="93" spans="1:18" x14ac:dyDescent="0.3">
      <c r="A93" s="6" t="s">
        <v>163</v>
      </c>
      <c r="B93" s="6" t="s">
        <v>164</v>
      </c>
      <c r="C93" s="6" t="s">
        <v>24</v>
      </c>
      <c r="D93" s="6" t="s">
        <v>49</v>
      </c>
      <c r="E93" s="38" t="s">
        <v>6</v>
      </c>
      <c r="F93" s="39"/>
      <c r="G93" s="6" t="s">
        <v>26</v>
      </c>
      <c r="H93" s="7">
        <v>46054</v>
      </c>
      <c r="I93" s="8">
        <v>187.41</v>
      </c>
      <c r="J93" s="6" t="s">
        <v>6</v>
      </c>
      <c r="K93" s="6" t="s">
        <v>27</v>
      </c>
      <c r="L93" s="38"/>
      <c r="M93" s="39"/>
      <c r="N93" s="6">
        <v>1</v>
      </c>
      <c r="O93" s="8">
        <v>23</v>
      </c>
      <c r="P93" s="9">
        <v>1</v>
      </c>
      <c r="Q93" s="40">
        <v>23</v>
      </c>
      <c r="R93" s="39"/>
    </row>
    <row r="94" spans="1:18" x14ac:dyDescent="0.3">
      <c r="A94" s="6" t="s">
        <v>163</v>
      </c>
      <c r="B94" s="6" t="s">
        <v>164</v>
      </c>
      <c r="C94" s="6" t="s">
        <v>24</v>
      </c>
      <c r="D94" s="6" t="s">
        <v>49</v>
      </c>
      <c r="E94" s="38" t="s">
        <v>6</v>
      </c>
      <c r="F94" s="39"/>
      <c r="G94" s="6" t="s">
        <v>26</v>
      </c>
      <c r="H94" s="7">
        <v>46082</v>
      </c>
      <c r="I94" s="8">
        <v>187.41</v>
      </c>
      <c r="J94" s="6" t="s">
        <v>6</v>
      </c>
      <c r="K94" s="6" t="s">
        <v>27</v>
      </c>
      <c r="L94" s="38"/>
      <c r="M94" s="39"/>
      <c r="N94" s="6">
        <v>1</v>
      </c>
      <c r="O94" s="8">
        <v>23</v>
      </c>
      <c r="P94" s="9">
        <v>1</v>
      </c>
      <c r="Q94" s="40">
        <v>23</v>
      </c>
      <c r="R94" s="39"/>
    </row>
    <row r="95" spans="1:18" x14ac:dyDescent="0.3">
      <c r="A95" s="6" t="s">
        <v>165</v>
      </c>
      <c r="B95" s="6" t="s">
        <v>166</v>
      </c>
      <c r="C95" s="6" t="s">
        <v>24</v>
      </c>
      <c r="D95" s="6" t="s">
        <v>49</v>
      </c>
      <c r="E95" s="38" t="s">
        <v>6</v>
      </c>
      <c r="F95" s="39"/>
      <c r="G95" s="6" t="s">
        <v>26</v>
      </c>
      <c r="H95" s="7">
        <v>46054</v>
      </c>
      <c r="I95" s="8">
        <v>946.61</v>
      </c>
      <c r="J95" s="6" t="s">
        <v>6</v>
      </c>
      <c r="K95" s="6" t="s">
        <v>27</v>
      </c>
      <c r="L95" s="38"/>
      <c r="M95" s="39"/>
      <c r="N95" s="6">
        <v>3</v>
      </c>
      <c r="O95" s="8">
        <v>23</v>
      </c>
      <c r="P95" s="9">
        <v>1</v>
      </c>
      <c r="Q95" s="40">
        <v>69</v>
      </c>
      <c r="R95" s="39"/>
    </row>
    <row r="96" spans="1:18" x14ac:dyDescent="0.3">
      <c r="A96" s="6" t="s">
        <v>165</v>
      </c>
      <c r="B96" s="6" t="s">
        <v>166</v>
      </c>
      <c r="C96" s="6" t="s">
        <v>24</v>
      </c>
      <c r="D96" s="6" t="s">
        <v>49</v>
      </c>
      <c r="E96" s="38" t="s">
        <v>6</v>
      </c>
      <c r="F96" s="39"/>
      <c r="G96" s="6" t="s">
        <v>26</v>
      </c>
      <c r="H96" s="7">
        <v>46082</v>
      </c>
      <c r="I96" s="8">
        <v>946.61</v>
      </c>
      <c r="J96" s="6" t="s">
        <v>6</v>
      </c>
      <c r="K96" s="6" t="s">
        <v>27</v>
      </c>
      <c r="L96" s="38"/>
      <c r="M96" s="39"/>
      <c r="N96" s="6">
        <v>3</v>
      </c>
      <c r="O96" s="8">
        <v>23</v>
      </c>
      <c r="P96" s="9">
        <v>1</v>
      </c>
      <c r="Q96" s="40">
        <v>69</v>
      </c>
      <c r="R96" s="39"/>
    </row>
    <row r="97" spans="1:18" x14ac:dyDescent="0.3">
      <c r="A97" s="6" t="s">
        <v>167</v>
      </c>
      <c r="B97" s="6" t="s">
        <v>168</v>
      </c>
      <c r="C97" s="6" t="s">
        <v>24</v>
      </c>
      <c r="D97" s="6" t="s">
        <v>49</v>
      </c>
      <c r="E97" s="38" t="s">
        <v>6</v>
      </c>
      <c r="F97" s="39"/>
      <c r="G97" s="6" t="s">
        <v>26</v>
      </c>
      <c r="H97" s="7">
        <v>46054</v>
      </c>
      <c r="I97" s="8">
        <v>1</v>
      </c>
      <c r="J97" s="6" t="s">
        <v>6</v>
      </c>
      <c r="K97" s="6" t="s">
        <v>27</v>
      </c>
      <c r="L97" s="38"/>
      <c r="M97" s="39"/>
      <c r="N97" s="6">
        <v>1</v>
      </c>
      <c r="O97" s="8">
        <v>23</v>
      </c>
      <c r="P97" s="9">
        <v>1</v>
      </c>
      <c r="Q97" s="40">
        <v>23</v>
      </c>
      <c r="R97" s="39"/>
    </row>
    <row r="98" spans="1:18" x14ac:dyDescent="0.3">
      <c r="A98" s="6" t="s">
        <v>167</v>
      </c>
      <c r="B98" s="6" t="s">
        <v>168</v>
      </c>
      <c r="C98" s="6" t="s">
        <v>24</v>
      </c>
      <c r="D98" s="6" t="s">
        <v>49</v>
      </c>
      <c r="E98" s="38" t="s">
        <v>6</v>
      </c>
      <c r="F98" s="39"/>
      <c r="G98" s="6" t="s">
        <v>26</v>
      </c>
      <c r="H98" s="7">
        <v>46082</v>
      </c>
      <c r="I98" s="8">
        <v>1</v>
      </c>
      <c r="J98" s="6" t="s">
        <v>6</v>
      </c>
      <c r="K98" s="6" t="s">
        <v>27</v>
      </c>
      <c r="L98" s="38"/>
      <c r="M98" s="39"/>
      <c r="N98" s="6">
        <v>1</v>
      </c>
      <c r="O98" s="8">
        <v>23</v>
      </c>
      <c r="P98" s="9">
        <v>1</v>
      </c>
      <c r="Q98" s="40">
        <v>23</v>
      </c>
      <c r="R98" s="39"/>
    </row>
    <row r="99" spans="1:18" x14ac:dyDescent="0.3">
      <c r="A99" s="6" t="s">
        <v>169</v>
      </c>
      <c r="B99" s="6" t="s">
        <v>170</v>
      </c>
      <c r="C99" s="6" t="s">
        <v>24</v>
      </c>
      <c r="D99" s="6" t="s">
        <v>49</v>
      </c>
      <c r="E99" s="38" t="s">
        <v>6</v>
      </c>
      <c r="F99" s="39"/>
      <c r="G99" s="6" t="s">
        <v>26</v>
      </c>
      <c r="H99" s="7">
        <v>46054</v>
      </c>
      <c r="I99" s="8">
        <v>19.87</v>
      </c>
      <c r="J99" s="6" t="s">
        <v>6</v>
      </c>
      <c r="K99" s="6" t="s">
        <v>27</v>
      </c>
      <c r="L99" s="38"/>
      <c r="M99" s="39"/>
      <c r="N99" s="6">
        <v>1</v>
      </c>
      <c r="O99" s="8">
        <v>23</v>
      </c>
      <c r="P99" s="9">
        <v>1</v>
      </c>
      <c r="Q99" s="40">
        <v>23</v>
      </c>
      <c r="R99" s="39"/>
    </row>
    <row r="100" spans="1:18" x14ac:dyDescent="0.3">
      <c r="A100" s="6" t="s">
        <v>169</v>
      </c>
      <c r="B100" s="6" t="s">
        <v>170</v>
      </c>
      <c r="C100" s="6" t="s">
        <v>24</v>
      </c>
      <c r="D100" s="6" t="s">
        <v>49</v>
      </c>
      <c r="E100" s="38" t="s">
        <v>6</v>
      </c>
      <c r="F100" s="39"/>
      <c r="G100" s="6" t="s">
        <v>26</v>
      </c>
      <c r="H100" s="7">
        <v>46082</v>
      </c>
      <c r="I100" s="8">
        <v>19.87</v>
      </c>
      <c r="J100" s="6" t="s">
        <v>6</v>
      </c>
      <c r="K100" s="6" t="s">
        <v>27</v>
      </c>
      <c r="L100" s="38"/>
      <c r="M100" s="39"/>
      <c r="N100" s="6">
        <v>1</v>
      </c>
      <c r="O100" s="8">
        <v>23</v>
      </c>
      <c r="P100" s="9">
        <v>1</v>
      </c>
      <c r="Q100" s="40">
        <v>23</v>
      </c>
      <c r="R100" s="39"/>
    </row>
    <row r="101" spans="1:18" x14ac:dyDescent="0.3">
      <c r="A101" s="6" t="s">
        <v>171</v>
      </c>
      <c r="B101" s="6" t="s">
        <v>172</v>
      </c>
      <c r="C101" s="6" t="s">
        <v>24</v>
      </c>
      <c r="D101" s="6" t="s">
        <v>49</v>
      </c>
      <c r="E101" s="38" t="s">
        <v>6</v>
      </c>
      <c r="F101" s="39"/>
      <c r="G101" s="6" t="s">
        <v>26</v>
      </c>
      <c r="H101" s="7">
        <v>46054</v>
      </c>
      <c r="I101" s="8">
        <v>1.49</v>
      </c>
      <c r="J101" s="6" t="s">
        <v>6</v>
      </c>
      <c r="K101" s="6" t="s">
        <v>27</v>
      </c>
      <c r="L101" s="38"/>
      <c r="M101" s="39"/>
      <c r="N101" s="6">
        <v>1</v>
      </c>
      <c r="O101" s="8">
        <v>23</v>
      </c>
      <c r="P101" s="9">
        <v>1</v>
      </c>
      <c r="Q101" s="40">
        <v>23</v>
      </c>
      <c r="R101" s="39"/>
    </row>
    <row r="102" spans="1:18" x14ac:dyDescent="0.3">
      <c r="A102" s="6" t="s">
        <v>171</v>
      </c>
      <c r="B102" s="6" t="s">
        <v>172</v>
      </c>
      <c r="C102" s="6" t="s">
        <v>24</v>
      </c>
      <c r="D102" s="6" t="s">
        <v>49</v>
      </c>
      <c r="E102" s="38" t="s">
        <v>6</v>
      </c>
      <c r="F102" s="39"/>
      <c r="G102" s="6" t="s">
        <v>26</v>
      </c>
      <c r="H102" s="7">
        <v>46082</v>
      </c>
      <c r="I102" s="8">
        <v>1.49</v>
      </c>
      <c r="J102" s="6" t="s">
        <v>6</v>
      </c>
      <c r="K102" s="6" t="s">
        <v>27</v>
      </c>
      <c r="L102" s="38"/>
      <c r="M102" s="39"/>
      <c r="N102" s="6">
        <v>1</v>
      </c>
      <c r="O102" s="8">
        <v>23</v>
      </c>
      <c r="P102" s="9">
        <v>1</v>
      </c>
      <c r="Q102" s="40">
        <v>23</v>
      </c>
      <c r="R102" s="39"/>
    </row>
    <row r="103" spans="1:18" x14ac:dyDescent="0.3">
      <c r="A103" s="6" t="s">
        <v>173</v>
      </c>
      <c r="B103" s="6" t="s">
        <v>174</v>
      </c>
      <c r="C103" s="6" t="s">
        <v>24</v>
      </c>
      <c r="D103" s="6" t="s">
        <v>49</v>
      </c>
      <c r="E103" s="38" t="s">
        <v>6</v>
      </c>
      <c r="F103" s="39"/>
      <c r="G103" s="6" t="s">
        <v>26</v>
      </c>
      <c r="H103" s="7">
        <v>46082</v>
      </c>
      <c r="I103" s="8">
        <v>75.88</v>
      </c>
      <c r="J103" s="6" t="s">
        <v>6</v>
      </c>
      <c r="K103" s="6" t="s">
        <v>27</v>
      </c>
      <c r="L103" s="38"/>
      <c r="M103" s="39"/>
      <c r="N103" s="6">
        <v>1</v>
      </c>
      <c r="O103" s="8">
        <v>23</v>
      </c>
      <c r="P103" s="9">
        <v>1</v>
      </c>
      <c r="Q103" s="40">
        <v>23</v>
      </c>
      <c r="R103" s="39"/>
    </row>
    <row r="104" spans="1:18" ht="20.399999999999999" x14ac:dyDescent="0.3">
      <c r="A104" s="6" t="s">
        <v>175</v>
      </c>
      <c r="B104" s="6" t="s">
        <v>176</v>
      </c>
      <c r="C104" s="6" t="s">
        <v>24</v>
      </c>
      <c r="D104" s="6" t="s">
        <v>49</v>
      </c>
      <c r="E104" s="38" t="s">
        <v>6</v>
      </c>
      <c r="F104" s="39"/>
      <c r="G104" s="6" t="s">
        <v>26</v>
      </c>
      <c r="H104" s="7">
        <v>46054</v>
      </c>
      <c r="I104" s="8">
        <v>707.29</v>
      </c>
      <c r="J104" s="6" t="s">
        <v>6</v>
      </c>
      <c r="K104" s="6" t="s">
        <v>27</v>
      </c>
      <c r="L104" s="38"/>
      <c r="M104" s="39"/>
      <c r="N104" s="6">
        <v>1</v>
      </c>
      <c r="O104" s="8">
        <v>23</v>
      </c>
      <c r="P104" s="9">
        <v>1</v>
      </c>
      <c r="Q104" s="40">
        <v>23</v>
      </c>
      <c r="R104" s="39"/>
    </row>
    <row r="105" spans="1:18" ht="20.399999999999999" x14ac:dyDescent="0.3">
      <c r="A105" s="6" t="s">
        <v>175</v>
      </c>
      <c r="B105" s="6" t="s">
        <v>176</v>
      </c>
      <c r="C105" s="6" t="s">
        <v>24</v>
      </c>
      <c r="D105" s="6" t="s">
        <v>49</v>
      </c>
      <c r="E105" s="38" t="s">
        <v>6</v>
      </c>
      <c r="F105" s="39"/>
      <c r="G105" s="6" t="s">
        <v>26</v>
      </c>
      <c r="H105" s="7">
        <v>46082</v>
      </c>
      <c r="I105" s="8">
        <v>707.29</v>
      </c>
      <c r="J105" s="6" t="s">
        <v>6</v>
      </c>
      <c r="K105" s="6" t="s">
        <v>27</v>
      </c>
      <c r="L105" s="38"/>
      <c r="M105" s="39"/>
      <c r="N105" s="6">
        <v>1</v>
      </c>
      <c r="O105" s="8">
        <v>23</v>
      </c>
      <c r="P105" s="9">
        <v>1</v>
      </c>
      <c r="Q105" s="40">
        <v>23</v>
      </c>
      <c r="R105" s="39"/>
    </row>
    <row r="106" spans="1:18" x14ac:dyDescent="0.3">
      <c r="A106" s="6" t="s">
        <v>177</v>
      </c>
      <c r="B106" s="6" t="s">
        <v>178</v>
      </c>
      <c r="C106" s="6" t="s">
        <v>24</v>
      </c>
      <c r="D106" s="6" t="s">
        <v>49</v>
      </c>
      <c r="E106" s="38" t="s">
        <v>6</v>
      </c>
      <c r="F106" s="39"/>
      <c r="G106" s="6" t="s">
        <v>26</v>
      </c>
      <c r="H106" s="7">
        <v>46082</v>
      </c>
      <c r="I106" s="8">
        <v>423.02</v>
      </c>
      <c r="J106" s="6" t="s">
        <v>6</v>
      </c>
      <c r="K106" s="6" t="s">
        <v>27</v>
      </c>
      <c r="L106" s="38"/>
      <c r="M106" s="39"/>
      <c r="N106" s="6">
        <v>1</v>
      </c>
      <c r="O106" s="8">
        <v>23</v>
      </c>
      <c r="P106" s="9">
        <v>1</v>
      </c>
      <c r="Q106" s="40">
        <v>23</v>
      </c>
      <c r="R106" s="39"/>
    </row>
    <row r="107" spans="1:18" x14ac:dyDescent="0.3">
      <c r="A107" s="6" t="s">
        <v>179</v>
      </c>
      <c r="B107" s="6" t="s">
        <v>180</v>
      </c>
      <c r="C107" s="6" t="s">
        <v>24</v>
      </c>
      <c r="D107" s="6" t="s">
        <v>49</v>
      </c>
      <c r="E107" s="38" t="s">
        <v>6</v>
      </c>
      <c r="F107" s="39"/>
      <c r="G107" s="6" t="s">
        <v>26</v>
      </c>
      <c r="H107" s="7">
        <v>46082</v>
      </c>
      <c r="I107" s="8">
        <v>41.61</v>
      </c>
      <c r="J107" s="6" t="s">
        <v>6</v>
      </c>
      <c r="K107" s="6" t="s">
        <v>27</v>
      </c>
      <c r="L107" s="38"/>
      <c r="M107" s="39"/>
      <c r="N107" s="6">
        <v>1</v>
      </c>
      <c r="O107" s="8">
        <v>23</v>
      </c>
      <c r="P107" s="9">
        <v>1</v>
      </c>
      <c r="Q107" s="40">
        <v>23</v>
      </c>
      <c r="R107" s="39"/>
    </row>
    <row r="108" spans="1:18" x14ac:dyDescent="0.3">
      <c r="A108" s="6" t="s">
        <v>181</v>
      </c>
      <c r="B108" s="6" t="s">
        <v>182</v>
      </c>
      <c r="C108" s="6" t="s">
        <v>24</v>
      </c>
      <c r="D108" s="6" t="s">
        <v>49</v>
      </c>
      <c r="E108" s="38" t="s">
        <v>6</v>
      </c>
      <c r="F108" s="39"/>
      <c r="G108" s="6" t="s">
        <v>26</v>
      </c>
      <c r="H108" s="7">
        <v>46054</v>
      </c>
      <c r="I108" s="8">
        <v>624.53</v>
      </c>
      <c r="J108" s="6" t="s">
        <v>6</v>
      </c>
      <c r="K108" s="6" t="s">
        <v>27</v>
      </c>
      <c r="L108" s="38"/>
      <c r="M108" s="39"/>
      <c r="N108" s="6">
        <v>3</v>
      </c>
      <c r="O108" s="8">
        <v>23</v>
      </c>
      <c r="P108" s="9">
        <v>1</v>
      </c>
      <c r="Q108" s="40">
        <v>69</v>
      </c>
      <c r="R108" s="39"/>
    </row>
    <row r="109" spans="1:18" x14ac:dyDescent="0.3">
      <c r="A109" s="6" t="s">
        <v>181</v>
      </c>
      <c r="B109" s="6" t="s">
        <v>182</v>
      </c>
      <c r="C109" s="6" t="s">
        <v>24</v>
      </c>
      <c r="D109" s="6" t="s">
        <v>49</v>
      </c>
      <c r="E109" s="38" t="s">
        <v>6</v>
      </c>
      <c r="F109" s="39"/>
      <c r="G109" s="6" t="s">
        <v>26</v>
      </c>
      <c r="H109" s="7">
        <v>46082</v>
      </c>
      <c r="I109" s="8">
        <v>624.53</v>
      </c>
      <c r="J109" s="6" t="s">
        <v>6</v>
      </c>
      <c r="K109" s="6" t="s">
        <v>27</v>
      </c>
      <c r="L109" s="38"/>
      <c r="M109" s="39"/>
      <c r="N109" s="6">
        <v>3</v>
      </c>
      <c r="O109" s="8">
        <v>23</v>
      </c>
      <c r="P109" s="9">
        <v>1</v>
      </c>
      <c r="Q109" s="40">
        <v>69</v>
      </c>
      <c r="R109" s="39"/>
    </row>
    <row r="110" spans="1:18" x14ac:dyDescent="0.3">
      <c r="A110" s="6" t="s">
        <v>183</v>
      </c>
      <c r="B110" s="6" t="s">
        <v>184</v>
      </c>
      <c r="C110" s="6" t="s">
        <v>24</v>
      </c>
      <c r="D110" s="6" t="s">
        <v>49</v>
      </c>
      <c r="E110" s="38" t="s">
        <v>6</v>
      </c>
      <c r="F110" s="39"/>
      <c r="G110" s="6" t="s">
        <v>26</v>
      </c>
      <c r="H110" s="7">
        <v>46082</v>
      </c>
      <c r="I110" s="8">
        <v>1170.9000000000001</v>
      </c>
      <c r="J110" s="6" t="s">
        <v>6</v>
      </c>
      <c r="K110" s="6" t="s">
        <v>27</v>
      </c>
      <c r="L110" s="38"/>
      <c r="M110" s="39"/>
      <c r="N110" s="6">
        <v>1</v>
      </c>
      <c r="O110" s="8">
        <v>23</v>
      </c>
      <c r="P110" s="9">
        <v>1</v>
      </c>
      <c r="Q110" s="40">
        <v>23</v>
      </c>
      <c r="R110" s="39"/>
    </row>
    <row r="111" spans="1:18" x14ac:dyDescent="0.3">
      <c r="A111" s="6" t="s">
        <v>185</v>
      </c>
      <c r="B111" s="6" t="s">
        <v>186</v>
      </c>
      <c r="C111" s="6" t="s">
        <v>24</v>
      </c>
      <c r="D111" s="6" t="s">
        <v>49</v>
      </c>
      <c r="E111" s="38" t="s">
        <v>6</v>
      </c>
      <c r="F111" s="39"/>
      <c r="G111" s="6" t="s">
        <v>26</v>
      </c>
      <c r="H111" s="7">
        <v>46054</v>
      </c>
      <c r="I111" s="8">
        <v>105.47</v>
      </c>
      <c r="J111" s="6" t="s">
        <v>6</v>
      </c>
      <c r="K111" s="6" t="s">
        <v>27</v>
      </c>
      <c r="L111" s="38"/>
      <c r="M111" s="39"/>
      <c r="N111" s="6">
        <v>1</v>
      </c>
      <c r="O111" s="8">
        <v>23</v>
      </c>
      <c r="P111" s="9">
        <v>1</v>
      </c>
      <c r="Q111" s="40">
        <v>23</v>
      </c>
      <c r="R111" s="39"/>
    </row>
    <row r="112" spans="1:18" x14ac:dyDescent="0.3">
      <c r="A112" s="6" t="s">
        <v>185</v>
      </c>
      <c r="B112" s="6" t="s">
        <v>186</v>
      </c>
      <c r="C112" s="6" t="s">
        <v>24</v>
      </c>
      <c r="D112" s="6" t="s">
        <v>49</v>
      </c>
      <c r="E112" s="38" t="s">
        <v>6</v>
      </c>
      <c r="F112" s="39"/>
      <c r="G112" s="6" t="s">
        <v>26</v>
      </c>
      <c r="H112" s="7">
        <v>46082</v>
      </c>
      <c r="I112" s="8">
        <v>105.47</v>
      </c>
      <c r="J112" s="6" t="s">
        <v>6</v>
      </c>
      <c r="K112" s="6" t="s">
        <v>27</v>
      </c>
      <c r="L112" s="38"/>
      <c r="M112" s="39"/>
      <c r="N112" s="6">
        <v>1</v>
      </c>
      <c r="O112" s="8">
        <v>23</v>
      </c>
      <c r="P112" s="9">
        <v>1</v>
      </c>
      <c r="Q112" s="40">
        <v>23</v>
      </c>
      <c r="R112" s="39"/>
    </row>
    <row r="113" spans="1:18" x14ac:dyDescent="0.3">
      <c r="A113" s="6" t="s">
        <v>187</v>
      </c>
      <c r="B113" s="6" t="s">
        <v>188</v>
      </c>
      <c r="C113" s="6" t="s">
        <v>24</v>
      </c>
      <c r="D113" s="6" t="s">
        <v>49</v>
      </c>
      <c r="E113" s="38" t="s">
        <v>6</v>
      </c>
      <c r="F113" s="39"/>
      <c r="G113" s="6" t="s">
        <v>26</v>
      </c>
      <c r="H113" s="7">
        <v>46082</v>
      </c>
      <c r="I113" s="8">
        <v>800.76</v>
      </c>
      <c r="J113" s="6" t="s">
        <v>6</v>
      </c>
      <c r="K113" s="6" t="s">
        <v>27</v>
      </c>
      <c r="L113" s="38"/>
      <c r="M113" s="39"/>
      <c r="N113" s="6">
        <v>1</v>
      </c>
      <c r="O113" s="8">
        <v>23</v>
      </c>
      <c r="P113" s="9">
        <v>1</v>
      </c>
      <c r="Q113" s="40">
        <v>23</v>
      </c>
      <c r="R113" s="39"/>
    </row>
    <row r="114" spans="1:18" x14ac:dyDescent="0.3">
      <c r="A114" s="6" t="s">
        <v>189</v>
      </c>
      <c r="B114" s="6" t="s">
        <v>190</v>
      </c>
      <c r="C114" s="6" t="s">
        <v>24</v>
      </c>
      <c r="D114" s="6" t="s">
        <v>49</v>
      </c>
      <c r="E114" s="38" t="s">
        <v>6</v>
      </c>
      <c r="F114" s="39"/>
      <c r="G114" s="6" t="s">
        <v>26</v>
      </c>
      <c r="H114" s="7">
        <v>46082</v>
      </c>
      <c r="I114" s="8">
        <v>603.79999999999995</v>
      </c>
      <c r="J114" s="6" t="s">
        <v>6</v>
      </c>
      <c r="K114" s="6" t="s">
        <v>27</v>
      </c>
      <c r="L114" s="38"/>
      <c r="M114" s="39"/>
      <c r="N114" s="6">
        <v>3</v>
      </c>
      <c r="O114" s="8">
        <v>23</v>
      </c>
      <c r="P114" s="9">
        <v>1</v>
      </c>
      <c r="Q114" s="40">
        <v>69</v>
      </c>
      <c r="R114" s="39"/>
    </row>
    <row r="115" spans="1:18" x14ac:dyDescent="0.3">
      <c r="A115" s="6" t="s">
        <v>191</v>
      </c>
      <c r="B115" s="6" t="s">
        <v>192</v>
      </c>
      <c r="C115" s="6" t="s">
        <v>24</v>
      </c>
      <c r="D115" s="6" t="s">
        <v>49</v>
      </c>
      <c r="E115" s="38" t="s">
        <v>6</v>
      </c>
      <c r="F115" s="39"/>
      <c r="G115" s="6" t="s">
        <v>26</v>
      </c>
      <c r="H115" s="7">
        <v>46082</v>
      </c>
      <c r="I115" s="8">
        <v>168.59</v>
      </c>
      <c r="J115" s="6" t="s">
        <v>6</v>
      </c>
      <c r="K115" s="6" t="s">
        <v>27</v>
      </c>
      <c r="L115" s="38"/>
      <c r="M115" s="39"/>
      <c r="N115" s="6">
        <v>2</v>
      </c>
      <c r="O115" s="8">
        <v>23</v>
      </c>
      <c r="P115" s="9">
        <v>1</v>
      </c>
      <c r="Q115" s="40">
        <v>46</v>
      </c>
      <c r="R115" s="39"/>
    </row>
    <row r="116" spans="1:18" x14ac:dyDescent="0.3">
      <c r="A116" s="5" t="s">
        <v>6</v>
      </c>
      <c r="B116" s="5" t="s">
        <v>6</v>
      </c>
      <c r="C116" s="5" t="s">
        <v>6</v>
      </c>
      <c r="D116" s="5" t="s">
        <v>6</v>
      </c>
      <c r="E116" s="34" t="s">
        <v>6</v>
      </c>
      <c r="F116" s="31"/>
      <c r="G116" s="5" t="s">
        <v>6</v>
      </c>
      <c r="H116" s="5" t="s">
        <v>6</v>
      </c>
      <c r="I116" s="5" t="s">
        <v>6</v>
      </c>
      <c r="J116" s="5" t="s">
        <v>6</v>
      </c>
      <c r="K116" s="5" t="s">
        <v>6</v>
      </c>
      <c r="L116" s="34" t="s">
        <v>6</v>
      </c>
      <c r="M116" s="31"/>
      <c r="N116" s="5" t="s">
        <v>6</v>
      </c>
      <c r="O116" s="5" t="s">
        <v>6</v>
      </c>
      <c r="P116" s="5" t="s">
        <v>6</v>
      </c>
      <c r="Q116" s="34" t="s">
        <v>6</v>
      </c>
      <c r="R116" s="31"/>
    </row>
    <row r="117" spans="1:18" x14ac:dyDescent="0.3">
      <c r="A117" s="35" t="s">
        <v>193</v>
      </c>
      <c r="B117" s="31"/>
      <c r="C117" s="31"/>
      <c r="D117" s="31"/>
      <c r="E117" s="31"/>
      <c r="F117" s="31"/>
      <c r="G117" s="31"/>
      <c r="H117" s="31"/>
      <c r="I117" s="36">
        <v>40208.019999999997</v>
      </c>
      <c r="J117" s="31"/>
      <c r="K117" s="1" t="s">
        <v>6</v>
      </c>
      <c r="L117" s="35" t="s">
        <v>6</v>
      </c>
      <c r="M117" s="31"/>
      <c r="N117" s="1" t="s">
        <v>6</v>
      </c>
      <c r="O117" s="37">
        <v>3550.91</v>
      </c>
      <c r="P117" s="31"/>
      <c r="Q117" s="31"/>
      <c r="R117" s="31"/>
    </row>
    <row r="118" spans="1:18" x14ac:dyDescent="0.3">
      <c r="A118" s="10" t="s">
        <v>6</v>
      </c>
      <c r="B118" s="10" t="s">
        <v>6</v>
      </c>
      <c r="C118" s="10" t="s">
        <v>6</v>
      </c>
      <c r="D118" s="10" t="s">
        <v>6</v>
      </c>
      <c r="E118" s="30" t="s">
        <v>6</v>
      </c>
      <c r="F118" s="31"/>
      <c r="G118" s="10" t="s">
        <v>6</v>
      </c>
      <c r="H118" s="10" t="s">
        <v>6</v>
      </c>
      <c r="I118" s="10" t="s">
        <v>6</v>
      </c>
      <c r="J118" s="10" t="s">
        <v>6</v>
      </c>
      <c r="K118" s="10" t="s">
        <v>6</v>
      </c>
      <c r="L118" s="30" t="s">
        <v>6</v>
      </c>
      <c r="M118" s="31"/>
      <c r="N118" s="10" t="s">
        <v>6</v>
      </c>
      <c r="O118" s="10" t="s">
        <v>6</v>
      </c>
      <c r="P118" s="10" t="s">
        <v>6</v>
      </c>
      <c r="Q118" s="33" t="s">
        <v>6</v>
      </c>
      <c r="R118" s="31"/>
    </row>
    <row r="119" spans="1:18" x14ac:dyDescent="0.3">
      <c r="A119" s="10" t="s">
        <v>6</v>
      </c>
      <c r="B119" s="10" t="s">
        <v>6</v>
      </c>
      <c r="C119" s="10" t="s">
        <v>6</v>
      </c>
      <c r="D119" s="10" t="s">
        <v>6</v>
      </c>
      <c r="E119" s="30" t="s">
        <v>6</v>
      </c>
      <c r="F119" s="31"/>
      <c r="G119" s="10" t="s">
        <v>6</v>
      </c>
      <c r="H119" s="10" t="s">
        <v>6</v>
      </c>
      <c r="I119" s="10" t="s">
        <v>6</v>
      </c>
      <c r="J119" s="10" t="s">
        <v>6</v>
      </c>
      <c r="K119" s="10" t="s">
        <v>6</v>
      </c>
      <c r="L119" s="30" t="s">
        <v>6</v>
      </c>
      <c r="M119" s="31"/>
      <c r="N119" s="10" t="s">
        <v>6</v>
      </c>
      <c r="O119" s="10" t="s">
        <v>6</v>
      </c>
      <c r="P119" s="10" t="s">
        <v>6</v>
      </c>
      <c r="Q119" s="33" t="s">
        <v>6</v>
      </c>
      <c r="R119" s="31"/>
    </row>
    <row r="120" spans="1:18" x14ac:dyDescent="0.3">
      <c r="A120" s="35" t="s">
        <v>194</v>
      </c>
      <c r="B120" s="31"/>
      <c r="C120" s="31"/>
      <c r="D120" s="31"/>
      <c r="E120" s="31"/>
      <c r="F120" s="31"/>
      <c r="G120" s="31"/>
      <c r="H120" s="31"/>
      <c r="I120" s="3" t="s">
        <v>6</v>
      </c>
      <c r="J120" s="3" t="s">
        <v>6</v>
      </c>
      <c r="K120" s="3" t="s">
        <v>6</v>
      </c>
      <c r="L120" s="41" t="s">
        <v>6</v>
      </c>
      <c r="M120" s="31"/>
      <c r="N120" s="3" t="s">
        <v>6</v>
      </c>
      <c r="O120" s="3" t="s">
        <v>6</v>
      </c>
      <c r="P120" s="3" t="s">
        <v>6</v>
      </c>
      <c r="Q120" s="41" t="s">
        <v>6</v>
      </c>
      <c r="R120" s="31"/>
    </row>
    <row r="121" spans="1:18" ht="20.399999999999999" x14ac:dyDescent="0.3">
      <c r="A121" s="4" t="s">
        <v>7</v>
      </c>
      <c r="B121" s="4" t="s">
        <v>8</v>
      </c>
      <c r="C121" s="4" t="s">
        <v>9</v>
      </c>
      <c r="D121" s="4" t="s">
        <v>10</v>
      </c>
      <c r="E121" s="42" t="s">
        <v>11</v>
      </c>
      <c r="F121" s="39"/>
      <c r="G121" s="4" t="s">
        <v>12</v>
      </c>
      <c r="H121" s="4" t="s">
        <v>13</v>
      </c>
      <c r="I121" s="4" t="s">
        <v>14</v>
      </c>
      <c r="J121" s="4" t="s">
        <v>15</v>
      </c>
      <c r="K121" s="4" t="s">
        <v>16</v>
      </c>
      <c r="L121" s="42" t="s">
        <v>17</v>
      </c>
      <c r="M121" s="39"/>
      <c r="N121" s="4" t="s">
        <v>18</v>
      </c>
      <c r="O121" s="4" t="s">
        <v>19</v>
      </c>
      <c r="P121" s="4" t="s">
        <v>20</v>
      </c>
      <c r="Q121" s="42" t="s">
        <v>21</v>
      </c>
      <c r="R121" s="39"/>
    </row>
    <row r="122" spans="1:18" x14ac:dyDescent="0.3">
      <c r="A122" s="5" t="s">
        <v>6</v>
      </c>
      <c r="B122" s="5" t="s">
        <v>6</v>
      </c>
      <c r="C122" s="5" t="s">
        <v>6</v>
      </c>
      <c r="D122" s="5" t="s">
        <v>6</v>
      </c>
      <c r="E122" s="34" t="s">
        <v>6</v>
      </c>
      <c r="F122" s="31"/>
      <c r="G122" s="5" t="s">
        <v>6</v>
      </c>
      <c r="H122" s="5" t="s">
        <v>6</v>
      </c>
      <c r="I122" s="5" t="s">
        <v>6</v>
      </c>
      <c r="J122" s="5" t="s">
        <v>6</v>
      </c>
      <c r="K122" s="5" t="s">
        <v>6</v>
      </c>
      <c r="L122" s="34" t="s">
        <v>6</v>
      </c>
      <c r="M122" s="31"/>
      <c r="N122" s="5" t="s">
        <v>6</v>
      </c>
      <c r="O122" s="5" t="s">
        <v>6</v>
      </c>
      <c r="P122" s="5" t="s">
        <v>6</v>
      </c>
      <c r="Q122" s="34" t="s">
        <v>6</v>
      </c>
      <c r="R122" s="31"/>
    </row>
    <row r="123" spans="1:18" x14ac:dyDescent="0.3">
      <c r="A123" s="6" t="s">
        <v>195</v>
      </c>
      <c r="B123" s="6" t="s">
        <v>196</v>
      </c>
      <c r="C123" s="6" t="s">
        <v>24</v>
      </c>
      <c r="D123" s="6" t="s">
        <v>49</v>
      </c>
      <c r="E123" s="38" t="s">
        <v>6</v>
      </c>
      <c r="F123" s="39"/>
      <c r="G123" s="6" t="s">
        <v>26</v>
      </c>
      <c r="H123" s="7">
        <v>46082</v>
      </c>
      <c r="I123" s="8">
        <v>18.14</v>
      </c>
      <c r="J123" s="6" t="s">
        <v>6</v>
      </c>
      <c r="K123" s="6" t="s">
        <v>27</v>
      </c>
      <c r="L123" s="38"/>
      <c r="M123" s="39"/>
      <c r="N123" s="6">
        <v>1</v>
      </c>
      <c r="O123" s="8">
        <v>23</v>
      </c>
      <c r="P123" s="9">
        <v>1</v>
      </c>
      <c r="Q123" s="40">
        <v>23</v>
      </c>
      <c r="R123" s="39"/>
    </row>
    <row r="124" spans="1:18" x14ac:dyDescent="0.3">
      <c r="A124" s="6" t="s">
        <v>197</v>
      </c>
      <c r="B124" s="6" t="s">
        <v>198</v>
      </c>
      <c r="C124" s="6" t="s">
        <v>24</v>
      </c>
      <c r="D124" s="6" t="s">
        <v>49</v>
      </c>
      <c r="E124" s="38" t="s">
        <v>6</v>
      </c>
      <c r="F124" s="39"/>
      <c r="G124" s="6" t="s">
        <v>26</v>
      </c>
      <c r="H124" s="7">
        <v>46054</v>
      </c>
      <c r="I124" s="8">
        <v>178.56</v>
      </c>
      <c r="J124" s="6" t="s">
        <v>6</v>
      </c>
      <c r="K124" s="6" t="s">
        <v>27</v>
      </c>
      <c r="L124" s="38"/>
      <c r="M124" s="39"/>
      <c r="N124" s="6">
        <v>1</v>
      </c>
      <c r="O124" s="8">
        <v>23</v>
      </c>
      <c r="P124" s="9">
        <v>1</v>
      </c>
      <c r="Q124" s="40">
        <v>23</v>
      </c>
      <c r="R124" s="39"/>
    </row>
    <row r="125" spans="1:18" x14ac:dyDescent="0.3">
      <c r="A125" s="6" t="s">
        <v>197</v>
      </c>
      <c r="B125" s="6" t="s">
        <v>198</v>
      </c>
      <c r="C125" s="6" t="s">
        <v>24</v>
      </c>
      <c r="D125" s="6" t="s">
        <v>49</v>
      </c>
      <c r="E125" s="38" t="s">
        <v>6</v>
      </c>
      <c r="F125" s="39"/>
      <c r="G125" s="6" t="s">
        <v>26</v>
      </c>
      <c r="H125" s="7">
        <v>46082</v>
      </c>
      <c r="I125" s="8">
        <v>178.56</v>
      </c>
      <c r="J125" s="6" t="s">
        <v>6</v>
      </c>
      <c r="K125" s="6" t="s">
        <v>27</v>
      </c>
      <c r="L125" s="38"/>
      <c r="M125" s="39"/>
      <c r="N125" s="6">
        <v>1</v>
      </c>
      <c r="O125" s="8">
        <v>23</v>
      </c>
      <c r="P125" s="9">
        <v>1</v>
      </c>
      <c r="Q125" s="40">
        <v>23</v>
      </c>
      <c r="R125" s="39"/>
    </row>
    <row r="126" spans="1:18" x14ac:dyDescent="0.3">
      <c r="A126" s="6" t="s">
        <v>199</v>
      </c>
      <c r="B126" s="6" t="s">
        <v>200</v>
      </c>
      <c r="C126" s="6" t="s">
        <v>24</v>
      </c>
      <c r="D126" s="6" t="s">
        <v>49</v>
      </c>
      <c r="E126" s="38" t="s">
        <v>6</v>
      </c>
      <c r="F126" s="39"/>
      <c r="G126" s="6" t="s">
        <v>26</v>
      </c>
      <c r="H126" s="7">
        <v>46082</v>
      </c>
      <c r="I126" s="8">
        <v>131.12</v>
      </c>
      <c r="J126" s="6" t="s">
        <v>6</v>
      </c>
      <c r="K126" s="6" t="s">
        <v>27</v>
      </c>
      <c r="L126" s="38"/>
      <c r="M126" s="39"/>
      <c r="N126" s="6">
        <v>3</v>
      </c>
      <c r="O126" s="8">
        <v>23</v>
      </c>
      <c r="P126" s="9">
        <v>1</v>
      </c>
      <c r="Q126" s="40">
        <v>69</v>
      </c>
      <c r="R126" s="39"/>
    </row>
    <row r="127" spans="1:18" x14ac:dyDescent="0.3">
      <c r="A127" s="6" t="s">
        <v>201</v>
      </c>
      <c r="B127" s="6" t="s">
        <v>202</v>
      </c>
      <c r="C127" s="6" t="s">
        <v>24</v>
      </c>
      <c r="D127" s="6" t="s">
        <v>49</v>
      </c>
      <c r="E127" s="38" t="s">
        <v>6</v>
      </c>
      <c r="F127" s="39"/>
      <c r="G127" s="6" t="s">
        <v>26</v>
      </c>
      <c r="H127" s="7">
        <v>46054</v>
      </c>
      <c r="I127" s="8">
        <v>225.05</v>
      </c>
      <c r="J127" s="6" t="s">
        <v>6</v>
      </c>
      <c r="K127" s="6" t="s">
        <v>27</v>
      </c>
      <c r="L127" s="38"/>
      <c r="M127" s="39"/>
      <c r="N127" s="6">
        <v>1</v>
      </c>
      <c r="O127" s="8">
        <v>23</v>
      </c>
      <c r="P127" s="9">
        <v>1</v>
      </c>
      <c r="Q127" s="40">
        <v>23</v>
      </c>
      <c r="R127" s="39"/>
    </row>
    <row r="128" spans="1:18" x14ac:dyDescent="0.3">
      <c r="A128" s="6" t="s">
        <v>203</v>
      </c>
      <c r="B128" s="6" t="s">
        <v>204</v>
      </c>
      <c r="C128" s="6" t="s">
        <v>24</v>
      </c>
      <c r="D128" s="6" t="s">
        <v>49</v>
      </c>
      <c r="E128" s="38" t="s">
        <v>6</v>
      </c>
      <c r="F128" s="39"/>
      <c r="G128" s="6" t="s">
        <v>26</v>
      </c>
      <c r="H128" s="7">
        <v>46082</v>
      </c>
      <c r="I128" s="8">
        <v>194.66</v>
      </c>
      <c r="J128" s="6" t="s">
        <v>6</v>
      </c>
      <c r="K128" s="6" t="s">
        <v>27</v>
      </c>
      <c r="L128" s="38"/>
      <c r="M128" s="39"/>
      <c r="N128" s="6">
        <v>1</v>
      </c>
      <c r="O128" s="8">
        <v>23</v>
      </c>
      <c r="P128" s="9">
        <v>1</v>
      </c>
      <c r="Q128" s="40">
        <v>23</v>
      </c>
      <c r="R128" s="39"/>
    </row>
    <row r="129" spans="1:18" x14ac:dyDescent="0.3">
      <c r="A129" s="6" t="s">
        <v>205</v>
      </c>
      <c r="B129" s="6" t="s">
        <v>206</v>
      </c>
      <c r="C129" s="6" t="s">
        <v>24</v>
      </c>
      <c r="D129" s="6" t="s">
        <v>49</v>
      </c>
      <c r="E129" s="38" t="s">
        <v>6</v>
      </c>
      <c r="F129" s="39"/>
      <c r="G129" s="6" t="s">
        <v>26</v>
      </c>
      <c r="H129" s="7">
        <v>46054</v>
      </c>
      <c r="I129" s="8">
        <v>370.6</v>
      </c>
      <c r="J129" s="6" t="s">
        <v>6</v>
      </c>
      <c r="K129" s="6" t="s">
        <v>27</v>
      </c>
      <c r="L129" s="38"/>
      <c r="M129" s="39"/>
      <c r="N129" s="6">
        <v>1</v>
      </c>
      <c r="O129" s="8">
        <v>23</v>
      </c>
      <c r="P129" s="9">
        <v>1</v>
      </c>
      <c r="Q129" s="40">
        <v>23</v>
      </c>
      <c r="R129" s="39"/>
    </row>
    <row r="130" spans="1:18" x14ac:dyDescent="0.3">
      <c r="A130" s="6" t="s">
        <v>205</v>
      </c>
      <c r="B130" s="6" t="s">
        <v>206</v>
      </c>
      <c r="C130" s="6" t="s">
        <v>24</v>
      </c>
      <c r="D130" s="6" t="s">
        <v>49</v>
      </c>
      <c r="E130" s="38" t="s">
        <v>6</v>
      </c>
      <c r="F130" s="39"/>
      <c r="G130" s="6" t="s">
        <v>26</v>
      </c>
      <c r="H130" s="7">
        <v>46082</v>
      </c>
      <c r="I130" s="8">
        <v>370.6</v>
      </c>
      <c r="J130" s="6" t="s">
        <v>6</v>
      </c>
      <c r="K130" s="6" t="s">
        <v>27</v>
      </c>
      <c r="L130" s="38"/>
      <c r="M130" s="39"/>
      <c r="N130" s="6">
        <v>1</v>
      </c>
      <c r="O130" s="8">
        <v>23</v>
      </c>
      <c r="P130" s="9">
        <v>1</v>
      </c>
      <c r="Q130" s="40">
        <v>23</v>
      </c>
      <c r="R130" s="39"/>
    </row>
    <row r="131" spans="1:18" x14ac:dyDescent="0.3">
      <c r="A131" s="6" t="s">
        <v>207</v>
      </c>
      <c r="B131" s="6" t="s">
        <v>208</v>
      </c>
      <c r="C131" s="6" t="s">
        <v>24</v>
      </c>
      <c r="D131" s="6" t="s">
        <v>49</v>
      </c>
      <c r="E131" s="38" t="s">
        <v>6</v>
      </c>
      <c r="F131" s="39"/>
      <c r="G131" s="6" t="s">
        <v>26</v>
      </c>
      <c r="H131" s="7">
        <v>46082</v>
      </c>
      <c r="I131" s="8">
        <v>100.43</v>
      </c>
      <c r="J131" s="6" t="s">
        <v>6</v>
      </c>
      <c r="K131" s="6" t="s">
        <v>27</v>
      </c>
      <c r="L131" s="38"/>
      <c r="M131" s="39"/>
      <c r="N131" s="6">
        <v>1</v>
      </c>
      <c r="O131" s="8">
        <v>23</v>
      </c>
      <c r="P131" s="9">
        <v>1</v>
      </c>
      <c r="Q131" s="40">
        <v>23</v>
      </c>
      <c r="R131" s="39"/>
    </row>
    <row r="132" spans="1:18" x14ac:dyDescent="0.3">
      <c r="A132" s="6" t="s">
        <v>209</v>
      </c>
      <c r="B132" s="6" t="s">
        <v>210</v>
      </c>
      <c r="C132" s="6" t="s">
        <v>24</v>
      </c>
      <c r="D132" s="6" t="s">
        <v>49</v>
      </c>
      <c r="E132" s="38" t="s">
        <v>6</v>
      </c>
      <c r="F132" s="39"/>
      <c r="G132" s="6" t="s">
        <v>26</v>
      </c>
      <c r="H132" s="7">
        <v>46082</v>
      </c>
      <c r="I132" s="8">
        <v>332.94</v>
      </c>
      <c r="J132" s="6" t="s">
        <v>6</v>
      </c>
      <c r="K132" s="6" t="s">
        <v>27</v>
      </c>
      <c r="L132" s="38"/>
      <c r="M132" s="39"/>
      <c r="N132" s="6">
        <v>1</v>
      </c>
      <c r="O132" s="8">
        <v>23</v>
      </c>
      <c r="P132" s="9">
        <v>1</v>
      </c>
      <c r="Q132" s="40">
        <v>23</v>
      </c>
      <c r="R132" s="39"/>
    </row>
    <row r="133" spans="1:18" x14ac:dyDescent="0.3">
      <c r="A133" s="6" t="s">
        <v>211</v>
      </c>
      <c r="B133" s="6" t="s">
        <v>212</v>
      </c>
      <c r="C133" s="6" t="s">
        <v>24</v>
      </c>
      <c r="D133" s="6" t="s">
        <v>49</v>
      </c>
      <c r="E133" s="38" t="s">
        <v>6</v>
      </c>
      <c r="F133" s="39"/>
      <c r="G133" s="6" t="s">
        <v>26</v>
      </c>
      <c r="H133" s="7">
        <v>46082</v>
      </c>
      <c r="I133" s="8">
        <v>1</v>
      </c>
      <c r="J133" s="6" t="s">
        <v>6</v>
      </c>
      <c r="K133" s="6" t="s">
        <v>27</v>
      </c>
      <c r="L133" s="38"/>
      <c r="M133" s="39"/>
      <c r="N133" s="6">
        <v>1</v>
      </c>
      <c r="O133" s="8">
        <v>23</v>
      </c>
      <c r="P133" s="9">
        <v>1</v>
      </c>
      <c r="Q133" s="40">
        <v>23</v>
      </c>
      <c r="R133" s="39"/>
    </row>
    <row r="134" spans="1:18" x14ac:dyDescent="0.3">
      <c r="A134" s="6" t="s">
        <v>213</v>
      </c>
      <c r="B134" s="6" t="s">
        <v>214</v>
      </c>
      <c r="C134" s="6" t="s">
        <v>24</v>
      </c>
      <c r="D134" s="6" t="s">
        <v>49</v>
      </c>
      <c r="E134" s="38" t="s">
        <v>6</v>
      </c>
      <c r="F134" s="39"/>
      <c r="G134" s="6" t="s">
        <v>26</v>
      </c>
      <c r="H134" s="7">
        <v>46082</v>
      </c>
      <c r="I134" s="8">
        <v>130.55000000000001</v>
      </c>
      <c r="J134" s="6" t="s">
        <v>6</v>
      </c>
      <c r="K134" s="6" t="s">
        <v>27</v>
      </c>
      <c r="L134" s="38"/>
      <c r="M134" s="39"/>
      <c r="N134" s="6">
        <v>1</v>
      </c>
      <c r="O134" s="8">
        <v>23</v>
      </c>
      <c r="P134" s="9">
        <v>1</v>
      </c>
      <c r="Q134" s="40">
        <v>23</v>
      </c>
      <c r="R134" s="39"/>
    </row>
    <row r="135" spans="1:18" x14ac:dyDescent="0.3">
      <c r="A135" s="6" t="s">
        <v>215</v>
      </c>
      <c r="B135" s="6" t="s">
        <v>216</v>
      </c>
      <c r="C135" s="6" t="s">
        <v>24</v>
      </c>
      <c r="D135" s="6" t="s">
        <v>49</v>
      </c>
      <c r="E135" s="38" t="s">
        <v>6</v>
      </c>
      <c r="F135" s="39"/>
      <c r="G135" s="6" t="s">
        <v>26</v>
      </c>
      <c r="H135" s="7">
        <v>46082</v>
      </c>
      <c r="I135" s="8">
        <v>2.48</v>
      </c>
      <c r="J135" s="6" t="s">
        <v>6</v>
      </c>
      <c r="K135" s="6" t="s">
        <v>27</v>
      </c>
      <c r="L135" s="38"/>
      <c r="M135" s="39"/>
      <c r="N135" s="6">
        <v>2</v>
      </c>
      <c r="O135" s="8">
        <v>23</v>
      </c>
      <c r="P135" s="9">
        <v>1</v>
      </c>
      <c r="Q135" s="40">
        <v>46</v>
      </c>
      <c r="R135" s="39"/>
    </row>
    <row r="136" spans="1:18" x14ac:dyDescent="0.3">
      <c r="A136" s="6" t="s">
        <v>217</v>
      </c>
      <c r="B136" s="6" t="s">
        <v>218</v>
      </c>
      <c r="C136" s="6" t="s">
        <v>24</v>
      </c>
      <c r="D136" s="6" t="s">
        <v>49</v>
      </c>
      <c r="E136" s="38" t="s">
        <v>6</v>
      </c>
      <c r="F136" s="39"/>
      <c r="G136" s="6" t="s">
        <v>26</v>
      </c>
      <c r="H136" s="7">
        <v>46023</v>
      </c>
      <c r="I136" s="8">
        <v>164.71</v>
      </c>
      <c r="J136" s="6" t="s">
        <v>6</v>
      </c>
      <c r="K136" s="6" t="s">
        <v>27</v>
      </c>
      <c r="L136" s="38"/>
      <c r="M136" s="39"/>
      <c r="N136" s="6">
        <v>1</v>
      </c>
      <c r="O136" s="8">
        <v>23</v>
      </c>
      <c r="P136" s="9">
        <v>1</v>
      </c>
      <c r="Q136" s="40">
        <v>23</v>
      </c>
      <c r="R136" s="39"/>
    </row>
    <row r="137" spans="1:18" x14ac:dyDescent="0.3">
      <c r="A137" s="6" t="s">
        <v>217</v>
      </c>
      <c r="B137" s="6" t="s">
        <v>218</v>
      </c>
      <c r="C137" s="6" t="s">
        <v>24</v>
      </c>
      <c r="D137" s="6" t="s">
        <v>49</v>
      </c>
      <c r="E137" s="38" t="s">
        <v>6</v>
      </c>
      <c r="F137" s="39"/>
      <c r="G137" s="6" t="s">
        <v>26</v>
      </c>
      <c r="H137" s="7">
        <v>46054</v>
      </c>
      <c r="I137" s="8">
        <v>164.71</v>
      </c>
      <c r="J137" s="6" t="s">
        <v>6</v>
      </c>
      <c r="K137" s="6" t="s">
        <v>27</v>
      </c>
      <c r="L137" s="38"/>
      <c r="M137" s="39"/>
      <c r="N137" s="6">
        <v>1</v>
      </c>
      <c r="O137" s="8">
        <v>23</v>
      </c>
      <c r="P137" s="9">
        <v>1</v>
      </c>
      <c r="Q137" s="40">
        <v>23</v>
      </c>
      <c r="R137" s="39"/>
    </row>
    <row r="138" spans="1:18" x14ac:dyDescent="0.3">
      <c r="A138" s="6" t="s">
        <v>219</v>
      </c>
      <c r="B138" s="6" t="s">
        <v>220</v>
      </c>
      <c r="C138" s="6" t="s">
        <v>24</v>
      </c>
      <c r="D138" s="6" t="s">
        <v>49</v>
      </c>
      <c r="E138" s="38" t="s">
        <v>6</v>
      </c>
      <c r="F138" s="39"/>
      <c r="G138" s="6" t="s">
        <v>26</v>
      </c>
      <c r="H138" s="7">
        <v>46082</v>
      </c>
      <c r="I138" s="8">
        <v>1228.1600000000001</v>
      </c>
      <c r="J138" s="6" t="s">
        <v>6</v>
      </c>
      <c r="K138" s="6" t="s">
        <v>27</v>
      </c>
      <c r="L138" s="38"/>
      <c r="M138" s="39"/>
      <c r="N138" s="6">
        <v>2</v>
      </c>
      <c r="O138" s="8">
        <v>23</v>
      </c>
      <c r="P138" s="9">
        <v>1</v>
      </c>
      <c r="Q138" s="40">
        <v>46</v>
      </c>
      <c r="R138" s="39"/>
    </row>
    <row r="139" spans="1:18" x14ac:dyDescent="0.3">
      <c r="A139" s="6" t="s">
        <v>221</v>
      </c>
      <c r="B139" s="6" t="s">
        <v>222</v>
      </c>
      <c r="C139" s="6" t="s">
        <v>24</v>
      </c>
      <c r="D139" s="6" t="s">
        <v>49</v>
      </c>
      <c r="E139" s="38" t="s">
        <v>6</v>
      </c>
      <c r="F139" s="39"/>
      <c r="G139" s="6" t="s">
        <v>26</v>
      </c>
      <c r="H139" s="7">
        <v>46082</v>
      </c>
      <c r="I139" s="8">
        <v>415.65</v>
      </c>
      <c r="J139" s="6" t="s">
        <v>6</v>
      </c>
      <c r="K139" s="6" t="s">
        <v>27</v>
      </c>
      <c r="L139" s="38"/>
      <c r="M139" s="39"/>
      <c r="N139" s="6">
        <v>2</v>
      </c>
      <c r="O139" s="8">
        <v>23</v>
      </c>
      <c r="P139" s="9">
        <v>1</v>
      </c>
      <c r="Q139" s="40">
        <v>46</v>
      </c>
      <c r="R139" s="39"/>
    </row>
    <row r="140" spans="1:18" x14ac:dyDescent="0.3">
      <c r="A140" s="6" t="s">
        <v>223</v>
      </c>
      <c r="B140" s="6" t="s">
        <v>224</v>
      </c>
      <c r="C140" s="6" t="s">
        <v>24</v>
      </c>
      <c r="D140" s="6" t="s">
        <v>49</v>
      </c>
      <c r="E140" s="38" t="s">
        <v>6</v>
      </c>
      <c r="F140" s="39"/>
      <c r="G140" s="6" t="s">
        <v>26</v>
      </c>
      <c r="H140" s="7">
        <v>46082</v>
      </c>
      <c r="I140" s="8">
        <v>392.5</v>
      </c>
      <c r="J140" s="6" t="s">
        <v>6</v>
      </c>
      <c r="K140" s="6" t="s">
        <v>27</v>
      </c>
      <c r="L140" s="38"/>
      <c r="M140" s="39"/>
      <c r="N140" s="6">
        <v>1</v>
      </c>
      <c r="O140" s="8">
        <v>23</v>
      </c>
      <c r="P140" s="9">
        <v>1</v>
      </c>
      <c r="Q140" s="40">
        <v>23</v>
      </c>
      <c r="R140" s="39"/>
    </row>
    <row r="141" spans="1:18" x14ac:dyDescent="0.3">
      <c r="A141" s="6" t="s">
        <v>225</v>
      </c>
      <c r="B141" s="6" t="s">
        <v>226</v>
      </c>
      <c r="C141" s="6" t="s">
        <v>24</v>
      </c>
      <c r="D141" s="6" t="s">
        <v>49</v>
      </c>
      <c r="E141" s="38" t="s">
        <v>6</v>
      </c>
      <c r="F141" s="39"/>
      <c r="G141" s="6" t="s">
        <v>26</v>
      </c>
      <c r="H141" s="7">
        <v>46082</v>
      </c>
      <c r="I141" s="8">
        <v>185.58</v>
      </c>
      <c r="J141" s="6" t="s">
        <v>6</v>
      </c>
      <c r="K141" s="6" t="s">
        <v>27</v>
      </c>
      <c r="L141" s="38"/>
      <c r="M141" s="39"/>
      <c r="N141" s="6">
        <v>1</v>
      </c>
      <c r="O141" s="8">
        <v>23</v>
      </c>
      <c r="P141" s="9">
        <v>1</v>
      </c>
      <c r="Q141" s="40">
        <v>23</v>
      </c>
      <c r="R141" s="39"/>
    </row>
    <row r="142" spans="1:18" x14ac:dyDescent="0.3">
      <c r="A142" s="6" t="s">
        <v>227</v>
      </c>
      <c r="B142" s="6" t="s">
        <v>228</v>
      </c>
      <c r="C142" s="6" t="s">
        <v>24</v>
      </c>
      <c r="D142" s="6" t="s">
        <v>49</v>
      </c>
      <c r="E142" s="38" t="s">
        <v>6</v>
      </c>
      <c r="F142" s="39"/>
      <c r="G142" s="6" t="s">
        <v>26</v>
      </c>
      <c r="H142" s="7">
        <v>46082</v>
      </c>
      <c r="I142" s="8">
        <v>2.77</v>
      </c>
      <c r="J142" s="6" t="s">
        <v>6</v>
      </c>
      <c r="K142" s="6" t="s">
        <v>27</v>
      </c>
      <c r="L142" s="38"/>
      <c r="M142" s="39"/>
      <c r="N142" s="6">
        <v>1</v>
      </c>
      <c r="O142" s="8">
        <v>23</v>
      </c>
      <c r="P142" s="9">
        <v>1</v>
      </c>
      <c r="Q142" s="40">
        <v>23</v>
      </c>
      <c r="R142" s="39"/>
    </row>
    <row r="143" spans="1:18" x14ac:dyDescent="0.3">
      <c r="A143" s="6" t="s">
        <v>229</v>
      </c>
      <c r="B143" s="6" t="s">
        <v>230</v>
      </c>
      <c r="C143" s="6" t="s">
        <v>24</v>
      </c>
      <c r="D143" s="6" t="s">
        <v>49</v>
      </c>
      <c r="E143" s="38" t="s">
        <v>6</v>
      </c>
      <c r="F143" s="39"/>
      <c r="G143" s="6" t="s">
        <v>26</v>
      </c>
      <c r="H143" s="7">
        <v>46082</v>
      </c>
      <c r="I143" s="8">
        <v>141.18</v>
      </c>
      <c r="J143" s="6" t="s">
        <v>6</v>
      </c>
      <c r="K143" s="6" t="s">
        <v>27</v>
      </c>
      <c r="L143" s="38"/>
      <c r="M143" s="39"/>
      <c r="N143" s="6">
        <v>1</v>
      </c>
      <c r="O143" s="8">
        <v>23</v>
      </c>
      <c r="P143" s="9">
        <v>1</v>
      </c>
      <c r="Q143" s="40">
        <v>23</v>
      </c>
      <c r="R143" s="39"/>
    </row>
    <row r="144" spans="1:18" x14ac:dyDescent="0.3">
      <c r="A144" s="6" t="s">
        <v>231</v>
      </c>
      <c r="B144" s="6" t="s">
        <v>232</v>
      </c>
      <c r="C144" s="6" t="s">
        <v>24</v>
      </c>
      <c r="D144" s="6" t="s">
        <v>49</v>
      </c>
      <c r="E144" s="38" t="s">
        <v>6</v>
      </c>
      <c r="F144" s="39"/>
      <c r="G144" s="6" t="s">
        <v>26</v>
      </c>
      <c r="H144" s="7">
        <v>46082</v>
      </c>
      <c r="I144" s="8">
        <v>65.58</v>
      </c>
      <c r="J144" s="6" t="s">
        <v>6</v>
      </c>
      <c r="K144" s="6" t="s">
        <v>27</v>
      </c>
      <c r="L144" s="38"/>
      <c r="M144" s="39"/>
      <c r="N144" s="6">
        <v>1</v>
      </c>
      <c r="O144" s="8">
        <v>23</v>
      </c>
      <c r="P144" s="9">
        <v>1</v>
      </c>
      <c r="Q144" s="40">
        <v>23</v>
      </c>
      <c r="R144" s="39"/>
    </row>
    <row r="145" spans="1:18" x14ac:dyDescent="0.3">
      <c r="A145" s="6" t="s">
        <v>233</v>
      </c>
      <c r="B145" s="6" t="s">
        <v>234</v>
      </c>
      <c r="C145" s="6" t="s">
        <v>24</v>
      </c>
      <c r="D145" s="6" t="s">
        <v>49</v>
      </c>
      <c r="E145" s="38" t="s">
        <v>6</v>
      </c>
      <c r="F145" s="39"/>
      <c r="G145" s="6" t="s">
        <v>26</v>
      </c>
      <c r="H145" s="7">
        <v>46082</v>
      </c>
      <c r="I145" s="8">
        <v>1</v>
      </c>
      <c r="J145" s="6" t="s">
        <v>6</v>
      </c>
      <c r="K145" s="6" t="s">
        <v>27</v>
      </c>
      <c r="L145" s="38"/>
      <c r="M145" s="39"/>
      <c r="N145" s="6">
        <v>1</v>
      </c>
      <c r="O145" s="8">
        <v>23</v>
      </c>
      <c r="P145" s="9">
        <v>1</v>
      </c>
      <c r="Q145" s="40">
        <v>23</v>
      </c>
      <c r="R145" s="39"/>
    </row>
    <row r="146" spans="1:18" x14ac:dyDescent="0.3">
      <c r="A146" s="6" t="s">
        <v>235</v>
      </c>
      <c r="B146" s="6" t="s">
        <v>236</v>
      </c>
      <c r="C146" s="6" t="s">
        <v>24</v>
      </c>
      <c r="D146" s="6" t="s">
        <v>49</v>
      </c>
      <c r="E146" s="38" t="s">
        <v>6</v>
      </c>
      <c r="F146" s="39"/>
      <c r="G146" s="6" t="s">
        <v>26</v>
      </c>
      <c r="H146" s="7">
        <v>46082</v>
      </c>
      <c r="I146" s="8">
        <v>152.15</v>
      </c>
      <c r="J146" s="6" t="s">
        <v>6</v>
      </c>
      <c r="K146" s="6" t="s">
        <v>27</v>
      </c>
      <c r="L146" s="38"/>
      <c r="M146" s="39"/>
      <c r="N146" s="6">
        <v>3</v>
      </c>
      <c r="O146" s="8">
        <v>23</v>
      </c>
      <c r="P146" s="9">
        <v>1</v>
      </c>
      <c r="Q146" s="40">
        <v>69</v>
      </c>
      <c r="R146" s="39"/>
    </row>
    <row r="147" spans="1:18" x14ac:dyDescent="0.3">
      <c r="A147" s="5" t="s">
        <v>6</v>
      </c>
      <c r="B147" s="5" t="s">
        <v>6</v>
      </c>
      <c r="C147" s="5" t="s">
        <v>6</v>
      </c>
      <c r="D147" s="5" t="s">
        <v>6</v>
      </c>
      <c r="E147" s="34" t="s">
        <v>6</v>
      </c>
      <c r="F147" s="31"/>
      <c r="G147" s="5" t="s">
        <v>6</v>
      </c>
      <c r="H147" s="5" t="s">
        <v>6</v>
      </c>
      <c r="I147" s="5" t="s">
        <v>6</v>
      </c>
      <c r="J147" s="5" t="s">
        <v>6</v>
      </c>
      <c r="K147" s="5" t="s">
        <v>6</v>
      </c>
      <c r="L147" s="34" t="s">
        <v>6</v>
      </c>
      <c r="M147" s="31"/>
      <c r="N147" s="5" t="s">
        <v>6</v>
      </c>
      <c r="O147" s="5" t="s">
        <v>6</v>
      </c>
      <c r="P147" s="5" t="s">
        <v>6</v>
      </c>
      <c r="Q147" s="34" t="s">
        <v>6</v>
      </c>
      <c r="R147" s="31"/>
    </row>
    <row r="148" spans="1:18" x14ac:dyDescent="0.3">
      <c r="A148" s="35" t="s">
        <v>237</v>
      </c>
      <c r="B148" s="31"/>
      <c r="C148" s="31"/>
      <c r="D148" s="31"/>
      <c r="E148" s="31"/>
      <c r="F148" s="31"/>
      <c r="G148" s="31"/>
      <c r="H148" s="31"/>
      <c r="I148" s="36">
        <v>5148.68</v>
      </c>
      <c r="J148" s="31"/>
      <c r="K148" s="1" t="s">
        <v>6</v>
      </c>
      <c r="L148" s="35" t="s">
        <v>6</v>
      </c>
      <c r="M148" s="31"/>
      <c r="N148" s="1" t="s">
        <v>6</v>
      </c>
      <c r="O148" s="37">
        <v>713</v>
      </c>
      <c r="P148" s="31"/>
      <c r="Q148" s="31"/>
      <c r="R148" s="31"/>
    </row>
    <row r="149" spans="1:18" x14ac:dyDescent="0.3">
      <c r="A149" s="10" t="s">
        <v>6</v>
      </c>
      <c r="B149" s="10" t="s">
        <v>6</v>
      </c>
      <c r="C149" s="10" t="s">
        <v>6</v>
      </c>
      <c r="D149" s="10" t="s">
        <v>6</v>
      </c>
      <c r="E149" s="30" t="s">
        <v>6</v>
      </c>
      <c r="F149" s="31"/>
      <c r="G149" s="10" t="s">
        <v>6</v>
      </c>
      <c r="H149" s="10" t="s">
        <v>6</v>
      </c>
      <c r="I149" s="10" t="s">
        <v>6</v>
      </c>
      <c r="J149" s="10" t="s">
        <v>6</v>
      </c>
      <c r="K149" s="10" t="s">
        <v>6</v>
      </c>
      <c r="L149" s="30" t="s">
        <v>6</v>
      </c>
      <c r="M149" s="31"/>
      <c r="N149" s="10" t="s">
        <v>6</v>
      </c>
      <c r="O149" s="10" t="s">
        <v>6</v>
      </c>
      <c r="P149" s="10" t="s">
        <v>6</v>
      </c>
      <c r="Q149" s="33" t="s">
        <v>6</v>
      </c>
      <c r="R149" s="31"/>
    </row>
    <row r="150" spans="1:18" x14ac:dyDescent="0.3">
      <c r="A150" s="10" t="s">
        <v>6</v>
      </c>
      <c r="B150" s="10" t="s">
        <v>6</v>
      </c>
      <c r="C150" s="10" t="s">
        <v>6</v>
      </c>
      <c r="D150" s="10" t="s">
        <v>6</v>
      </c>
      <c r="E150" s="30" t="s">
        <v>6</v>
      </c>
      <c r="F150" s="31"/>
      <c r="G150" s="10" t="s">
        <v>6</v>
      </c>
      <c r="H150" s="10" t="s">
        <v>6</v>
      </c>
      <c r="I150" s="10" t="s">
        <v>6</v>
      </c>
      <c r="J150" s="10" t="s">
        <v>6</v>
      </c>
      <c r="K150" s="10" t="s">
        <v>6</v>
      </c>
      <c r="L150" s="30" t="s">
        <v>6</v>
      </c>
      <c r="M150" s="31"/>
      <c r="N150" s="10" t="s">
        <v>6</v>
      </c>
      <c r="O150" s="10" t="s">
        <v>6</v>
      </c>
      <c r="P150" s="10" t="s">
        <v>6</v>
      </c>
      <c r="Q150" s="33" t="s">
        <v>6</v>
      </c>
      <c r="R150" s="31"/>
    </row>
    <row r="151" spans="1:18" x14ac:dyDescent="0.3">
      <c r="A151" s="35" t="s">
        <v>238</v>
      </c>
      <c r="B151" s="31"/>
      <c r="C151" s="31"/>
      <c r="D151" s="31"/>
      <c r="E151" s="31"/>
      <c r="F151" s="31"/>
      <c r="G151" s="31"/>
      <c r="H151" s="31"/>
      <c r="I151" s="3" t="s">
        <v>6</v>
      </c>
      <c r="J151" s="3" t="s">
        <v>6</v>
      </c>
      <c r="K151" s="3" t="s">
        <v>6</v>
      </c>
      <c r="L151" s="41" t="s">
        <v>6</v>
      </c>
      <c r="M151" s="31"/>
      <c r="N151" s="3" t="s">
        <v>6</v>
      </c>
      <c r="O151" s="3" t="s">
        <v>6</v>
      </c>
      <c r="P151" s="3" t="s">
        <v>6</v>
      </c>
      <c r="Q151" s="41" t="s">
        <v>6</v>
      </c>
      <c r="R151" s="31"/>
    </row>
    <row r="152" spans="1:18" ht="20.399999999999999" x14ac:dyDescent="0.3">
      <c r="A152" s="4" t="s">
        <v>7</v>
      </c>
      <c r="B152" s="4" t="s">
        <v>8</v>
      </c>
      <c r="C152" s="4" t="s">
        <v>9</v>
      </c>
      <c r="D152" s="4" t="s">
        <v>10</v>
      </c>
      <c r="E152" s="42" t="s">
        <v>11</v>
      </c>
      <c r="F152" s="39"/>
      <c r="G152" s="4" t="s">
        <v>12</v>
      </c>
      <c r="H152" s="4" t="s">
        <v>13</v>
      </c>
      <c r="I152" s="4" t="s">
        <v>14</v>
      </c>
      <c r="J152" s="4" t="s">
        <v>15</v>
      </c>
      <c r="K152" s="4" t="s">
        <v>16</v>
      </c>
      <c r="L152" s="42" t="s">
        <v>17</v>
      </c>
      <c r="M152" s="39"/>
      <c r="N152" s="4" t="s">
        <v>18</v>
      </c>
      <c r="O152" s="4" t="s">
        <v>19</v>
      </c>
      <c r="P152" s="4" t="s">
        <v>20</v>
      </c>
      <c r="Q152" s="42" t="s">
        <v>21</v>
      </c>
      <c r="R152" s="39"/>
    </row>
    <row r="153" spans="1:18" x14ac:dyDescent="0.3">
      <c r="A153" s="5" t="s">
        <v>6</v>
      </c>
      <c r="B153" s="5" t="s">
        <v>6</v>
      </c>
      <c r="C153" s="5" t="s">
        <v>6</v>
      </c>
      <c r="D153" s="5" t="s">
        <v>6</v>
      </c>
      <c r="E153" s="34" t="s">
        <v>6</v>
      </c>
      <c r="F153" s="31"/>
      <c r="G153" s="5" t="s">
        <v>6</v>
      </c>
      <c r="H153" s="5" t="s">
        <v>6</v>
      </c>
      <c r="I153" s="5" t="s">
        <v>6</v>
      </c>
      <c r="J153" s="5" t="s">
        <v>6</v>
      </c>
      <c r="K153" s="5" t="s">
        <v>6</v>
      </c>
      <c r="L153" s="34" t="s">
        <v>6</v>
      </c>
      <c r="M153" s="31"/>
      <c r="N153" s="5" t="s">
        <v>6</v>
      </c>
      <c r="O153" s="5" t="s">
        <v>6</v>
      </c>
      <c r="P153" s="5" t="s">
        <v>6</v>
      </c>
      <c r="Q153" s="34" t="s">
        <v>6</v>
      </c>
      <c r="R153" s="31"/>
    </row>
    <row r="154" spans="1:18" x14ac:dyDescent="0.3">
      <c r="A154" s="6"/>
      <c r="B154" s="6" t="s">
        <v>44</v>
      </c>
      <c r="C154" s="6"/>
      <c r="D154" s="11"/>
      <c r="E154" s="43" t="s">
        <v>11</v>
      </c>
      <c r="F154" s="39"/>
      <c r="G154" s="6" t="s">
        <v>45</v>
      </c>
      <c r="H154" s="38" t="s">
        <v>46</v>
      </c>
      <c r="I154" s="44"/>
      <c r="J154" s="44"/>
      <c r="K154" s="44"/>
      <c r="L154" s="44"/>
      <c r="M154" s="44"/>
      <c r="N154" s="44"/>
      <c r="O154" s="44"/>
      <c r="P154" s="39"/>
      <c r="Q154" s="40">
        <v>14.45</v>
      </c>
      <c r="R154" s="39"/>
    </row>
    <row r="155" spans="1:18" x14ac:dyDescent="0.3">
      <c r="A155" s="6" t="s">
        <v>239</v>
      </c>
      <c r="B155" s="6" t="s">
        <v>240</v>
      </c>
      <c r="C155" s="6" t="s">
        <v>24</v>
      </c>
      <c r="D155" s="6" t="s">
        <v>49</v>
      </c>
      <c r="E155" s="38" t="s">
        <v>6</v>
      </c>
      <c r="F155" s="39"/>
      <c r="G155" s="6" t="s">
        <v>26</v>
      </c>
      <c r="H155" s="7">
        <v>46082</v>
      </c>
      <c r="I155" s="8">
        <v>910.18</v>
      </c>
      <c r="J155" s="6" t="s">
        <v>6</v>
      </c>
      <c r="K155" s="6" t="s">
        <v>27</v>
      </c>
      <c r="L155" s="38"/>
      <c r="M155" s="39"/>
      <c r="N155" s="6">
        <v>4</v>
      </c>
      <c r="O155" s="8">
        <v>23</v>
      </c>
      <c r="P155" s="9">
        <v>1</v>
      </c>
      <c r="Q155" s="40">
        <v>92</v>
      </c>
      <c r="R155" s="39"/>
    </row>
    <row r="156" spans="1:18" x14ac:dyDescent="0.3">
      <c r="A156" s="6" t="s">
        <v>241</v>
      </c>
      <c r="B156" s="6" t="s">
        <v>242</v>
      </c>
      <c r="C156" s="6" t="s">
        <v>24</v>
      </c>
      <c r="D156" s="6" t="s">
        <v>49</v>
      </c>
      <c r="E156" s="38" t="s">
        <v>6</v>
      </c>
      <c r="F156" s="39"/>
      <c r="G156" s="6" t="s">
        <v>26</v>
      </c>
      <c r="H156" s="7">
        <v>46082</v>
      </c>
      <c r="I156" s="8">
        <v>1645.15</v>
      </c>
      <c r="J156" s="6" t="s">
        <v>6</v>
      </c>
      <c r="K156" s="6" t="s">
        <v>27</v>
      </c>
      <c r="L156" s="38"/>
      <c r="M156" s="39"/>
      <c r="N156" s="6">
        <v>5</v>
      </c>
      <c r="O156" s="8">
        <v>23</v>
      </c>
      <c r="P156" s="9">
        <v>1</v>
      </c>
      <c r="Q156" s="40">
        <v>115</v>
      </c>
      <c r="R156" s="39"/>
    </row>
    <row r="157" spans="1:18" x14ac:dyDescent="0.3">
      <c r="A157" s="6" t="s">
        <v>243</v>
      </c>
      <c r="B157" s="6" t="s">
        <v>244</v>
      </c>
      <c r="C157" s="6" t="s">
        <v>24</v>
      </c>
      <c r="D157" s="6" t="s">
        <v>49</v>
      </c>
      <c r="E157" s="38" t="s">
        <v>6</v>
      </c>
      <c r="F157" s="39"/>
      <c r="G157" s="6" t="s">
        <v>26</v>
      </c>
      <c r="H157" s="7">
        <v>46082</v>
      </c>
      <c r="I157" s="8">
        <v>902.9</v>
      </c>
      <c r="J157" s="6" t="s">
        <v>6</v>
      </c>
      <c r="K157" s="6" t="s">
        <v>27</v>
      </c>
      <c r="L157" s="38"/>
      <c r="M157" s="39"/>
      <c r="N157" s="6">
        <v>1</v>
      </c>
      <c r="O157" s="8">
        <v>23</v>
      </c>
      <c r="P157" s="9">
        <v>1</v>
      </c>
      <c r="Q157" s="40">
        <v>23</v>
      </c>
      <c r="R157" s="39"/>
    </row>
    <row r="158" spans="1:18" x14ac:dyDescent="0.3">
      <c r="A158" s="6" t="s">
        <v>245</v>
      </c>
      <c r="B158" s="6" t="s">
        <v>246</v>
      </c>
      <c r="C158" s="6" t="s">
        <v>24</v>
      </c>
      <c r="D158" s="6" t="s">
        <v>49</v>
      </c>
      <c r="E158" s="38" t="s">
        <v>6</v>
      </c>
      <c r="F158" s="39"/>
      <c r="G158" s="6" t="s">
        <v>26</v>
      </c>
      <c r="H158" s="7">
        <v>46082</v>
      </c>
      <c r="I158" s="8">
        <v>232.76</v>
      </c>
      <c r="J158" s="6" t="s">
        <v>6</v>
      </c>
      <c r="K158" s="6" t="s">
        <v>27</v>
      </c>
      <c r="L158" s="38"/>
      <c r="M158" s="39"/>
      <c r="N158" s="6">
        <v>1</v>
      </c>
      <c r="O158" s="8">
        <v>23</v>
      </c>
      <c r="P158" s="9">
        <v>1</v>
      </c>
      <c r="Q158" s="40">
        <v>23</v>
      </c>
      <c r="R158" s="39"/>
    </row>
    <row r="159" spans="1:18" x14ac:dyDescent="0.3">
      <c r="A159" s="6" t="s">
        <v>247</v>
      </c>
      <c r="B159" s="6" t="s">
        <v>248</v>
      </c>
      <c r="C159" s="6" t="s">
        <v>24</v>
      </c>
      <c r="D159" s="6" t="s">
        <v>49</v>
      </c>
      <c r="E159" s="38" t="s">
        <v>6</v>
      </c>
      <c r="F159" s="39"/>
      <c r="G159" s="6" t="s">
        <v>26</v>
      </c>
      <c r="H159" s="7">
        <v>46082</v>
      </c>
      <c r="I159" s="8">
        <v>1855.46</v>
      </c>
      <c r="J159" s="6" t="s">
        <v>6</v>
      </c>
      <c r="K159" s="6" t="s">
        <v>27</v>
      </c>
      <c r="L159" s="38"/>
      <c r="M159" s="39"/>
      <c r="N159" s="6">
        <v>2</v>
      </c>
      <c r="O159" s="8">
        <v>23</v>
      </c>
      <c r="P159" s="9">
        <v>1</v>
      </c>
      <c r="Q159" s="40">
        <v>46</v>
      </c>
      <c r="R159" s="39"/>
    </row>
    <row r="160" spans="1:18" x14ac:dyDescent="0.3">
      <c r="A160" s="6" t="s">
        <v>249</v>
      </c>
      <c r="B160" s="6" t="s">
        <v>250</v>
      </c>
      <c r="C160" s="6" t="s">
        <v>24</v>
      </c>
      <c r="D160" s="6" t="s">
        <v>49</v>
      </c>
      <c r="E160" s="38" t="s">
        <v>6</v>
      </c>
      <c r="F160" s="39"/>
      <c r="G160" s="6" t="s">
        <v>26</v>
      </c>
      <c r="H160" s="7">
        <v>46082</v>
      </c>
      <c r="I160" s="8">
        <v>314.5</v>
      </c>
      <c r="J160" s="6" t="s">
        <v>6</v>
      </c>
      <c r="K160" s="6" t="s">
        <v>27</v>
      </c>
      <c r="L160" s="38"/>
      <c r="M160" s="39"/>
      <c r="N160" s="6">
        <v>1</v>
      </c>
      <c r="O160" s="8">
        <v>23</v>
      </c>
      <c r="P160" s="9">
        <v>1</v>
      </c>
      <c r="Q160" s="40">
        <v>23</v>
      </c>
      <c r="R160" s="39"/>
    </row>
    <row r="161" spans="1:18" x14ac:dyDescent="0.3">
      <c r="A161" s="6" t="s">
        <v>251</v>
      </c>
      <c r="B161" s="6" t="s">
        <v>252</v>
      </c>
      <c r="C161" s="6" t="s">
        <v>24</v>
      </c>
      <c r="D161" s="6" t="s">
        <v>49</v>
      </c>
      <c r="E161" s="38" t="s">
        <v>6</v>
      </c>
      <c r="F161" s="39"/>
      <c r="G161" s="6" t="s">
        <v>26</v>
      </c>
      <c r="H161" s="7">
        <v>46082</v>
      </c>
      <c r="I161" s="8">
        <v>1583.92</v>
      </c>
      <c r="J161" s="6" t="s">
        <v>6</v>
      </c>
      <c r="K161" s="6" t="s">
        <v>27</v>
      </c>
      <c r="L161" s="38"/>
      <c r="M161" s="39"/>
      <c r="N161" s="6">
        <v>2</v>
      </c>
      <c r="O161" s="8">
        <v>23</v>
      </c>
      <c r="P161" s="9">
        <v>1</v>
      </c>
      <c r="Q161" s="40">
        <v>46</v>
      </c>
      <c r="R161" s="39"/>
    </row>
    <row r="162" spans="1:18" x14ac:dyDescent="0.3">
      <c r="A162" s="6" t="s">
        <v>253</v>
      </c>
      <c r="B162" s="6" t="s">
        <v>254</v>
      </c>
      <c r="C162" s="6" t="s">
        <v>24</v>
      </c>
      <c r="D162" s="6" t="s">
        <v>49</v>
      </c>
      <c r="E162" s="38" t="s">
        <v>6</v>
      </c>
      <c r="F162" s="39"/>
      <c r="G162" s="6" t="s">
        <v>26</v>
      </c>
      <c r="H162" s="7">
        <v>46082</v>
      </c>
      <c r="I162" s="8">
        <v>331.76</v>
      </c>
      <c r="J162" s="6" t="s">
        <v>6</v>
      </c>
      <c r="K162" s="6" t="s">
        <v>27</v>
      </c>
      <c r="L162" s="38"/>
      <c r="M162" s="39"/>
      <c r="N162" s="6">
        <v>4</v>
      </c>
      <c r="O162" s="8">
        <v>23</v>
      </c>
      <c r="P162" s="9">
        <v>1</v>
      </c>
      <c r="Q162" s="40">
        <v>92</v>
      </c>
      <c r="R162" s="39"/>
    </row>
    <row r="163" spans="1:18" x14ac:dyDescent="0.3">
      <c r="A163" s="6" t="s">
        <v>255</v>
      </c>
      <c r="B163" s="6" t="s">
        <v>256</v>
      </c>
      <c r="C163" s="6" t="s">
        <v>24</v>
      </c>
      <c r="D163" s="6" t="s">
        <v>49</v>
      </c>
      <c r="E163" s="38" t="s">
        <v>6</v>
      </c>
      <c r="F163" s="39"/>
      <c r="G163" s="6" t="s">
        <v>26</v>
      </c>
      <c r="H163" s="7">
        <v>46082</v>
      </c>
      <c r="I163" s="8">
        <v>3.73</v>
      </c>
      <c r="J163" s="6" t="s">
        <v>6</v>
      </c>
      <c r="K163" s="6" t="s">
        <v>27</v>
      </c>
      <c r="L163" s="38"/>
      <c r="M163" s="39"/>
      <c r="N163" s="6">
        <v>2</v>
      </c>
      <c r="O163" s="8">
        <v>23</v>
      </c>
      <c r="P163" s="9">
        <v>1</v>
      </c>
      <c r="Q163" s="40">
        <v>46</v>
      </c>
      <c r="R163" s="39"/>
    </row>
    <row r="164" spans="1:18" x14ac:dyDescent="0.3">
      <c r="A164" s="6" t="s">
        <v>257</v>
      </c>
      <c r="B164" s="6" t="s">
        <v>258</v>
      </c>
      <c r="C164" s="6" t="s">
        <v>24</v>
      </c>
      <c r="D164" s="6" t="s">
        <v>49</v>
      </c>
      <c r="E164" s="38" t="s">
        <v>6</v>
      </c>
      <c r="F164" s="39"/>
      <c r="G164" s="6" t="s">
        <v>26</v>
      </c>
      <c r="H164" s="7">
        <v>46054</v>
      </c>
      <c r="I164" s="8">
        <v>38.200000000000003</v>
      </c>
      <c r="J164" s="6" t="s">
        <v>6</v>
      </c>
      <c r="K164" s="6" t="s">
        <v>27</v>
      </c>
      <c r="L164" s="38"/>
      <c r="M164" s="39"/>
      <c r="N164" s="6">
        <v>1</v>
      </c>
      <c r="O164" s="8">
        <v>23</v>
      </c>
      <c r="P164" s="9">
        <v>1</v>
      </c>
      <c r="Q164" s="40">
        <v>23</v>
      </c>
      <c r="R164" s="39"/>
    </row>
    <row r="165" spans="1:18" x14ac:dyDescent="0.3">
      <c r="A165" s="6" t="s">
        <v>257</v>
      </c>
      <c r="B165" s="6" t="s">
        <v>258</v>
      </c>
      <c r="C165" s="6" t="s">
        <v>24</v>
      </c>
      <c r="D165" s="6" t="s">
        <v>49</v>
      </c>
      <c r="E165" s="38" t="s">
        <v>6</v>
      </c>
      <c r="F165" s="39"/>
      <c r="G165" s="6" t="s">
        <v>26</v>
      </c>
      <c r="H165" s="7">
        <v>46082</v>
      </c>
      <c r="I165" s="8">
        <v>38.200000000000003</v>
      </c>
      <c r="J165" s="6" t="s">
        <v>6</v>
      </c>
      <c r="K165" s="6" t="s">
        <v>27</v>
      </c>
      <c r="L165" s="38"/>
      <c r="M165" s="39"/>
      <c r="N165" s="6">
        <v>1</v>
      </c>
      <c r="O165" s="8">
        <v>23</v>
      </c>
      <c r="P165" s="9">
        <v>1</v>
      </c>
      <c r="Q165" s="40">
        <v>23</v>
      </c>
      <c r="R165" s="39"/>
    </row>
    <row r="166" spans="1:18" x14ac:dyDescent="0.3">
      <c r="A166" s="6" t="s">
        <v>259</v>
      </c>
      <c r="B166" s="6" t="s">
        <v>260</v>
      </c>
      <c r="C166" s="6" t="s">
        <v>24</v>
      </c>
      <c r="D166" s="6" t="s">
        <v>49</v>
      </c>
      <c r="E166" s="38" t="s">
        <v>6</v>
      </c>
      <c r="F166" s="39"/>
      <c r="G166" s="6" t="s">
        <v>26</v>
      </c>
      <c r="H166" s="7">
        <v>46082</v>
      </c>
      <c r="I166" s="8">
        <v>826.14</v>
      </c>
      <c r="J166" s="6" t="s">
        <v>6</v>
      </c>
      <c r="K166" s="6" t="s">
        <v>27</v>
      </c>
      <c r="L166" s="38"/>
      <c r="M166" s="39"/>
      <c r="N166" s="6">
        <v>1</v>
      </c>
      <c r="O166" s="8">
        <v>23</v>
      </c>
      <c r="P166" s="9">
        <v>1</v>
      </c>
      <c r="Q166" s="40">
        <v>23</v>
      </c>
      <c r="R166" s="39"/>
    </row>
    <row r="167" spans="1:18" x14ac:dyDescent="0.3">
      <c r="A167" s="5" t="s">
        <v>6</v>
      </c>
      <c r="B167" s="5" t="s">
        <v>6</v>
      </c>
      <c r="C167" s="5" t="s">
        <v>6</v>
      </c>
      <c r="D167" s="5" t="s">
        <v>6</v>
      </c>
      <c r="E167" s="34" t="s">
        <v>6</v>
      </c>
      <c r="F167" s="31"/>
      <c r="G167" s="5" t="s">
        <v>6</v>
      </c>
      <c r="H167" s="5" t="s">
        <v>6</v>
      </c>
      <c r="I167" s="5" t="s">
        <v>6</v>
      </c>
      <c r="J167" s="5" t="s">
        <v>6</v>
      </c>
      <c r="K167" s="5" t="s">
        <v>6</v>
      </c>
      <c r="L167" s="34" t="s">
        <v>6</v>
      </c>
      <c r="M167" s="31"/>
      <c r="N167" s="5" t="s">
        <v>6</v>
      </c>
      <c r="O167" s="5" t="s">
        <v>6</v>
      </c>
      <c r="P167" s="5" t="s">
        <v>6</v>
      </c>
      <c r="Q167" s="34" t="s">
        <v>6</v>
      </c>
      <c r="R167" s="31"/>
    </row>
    <row r="168" spans="1:18" x14ac:dyDescent="0.3">
      <c r="A168" s="35" t="s">
        <v>261</v>
      </c>
      <c r="B168" s="31"/>
      <c r="C168" s="31"/>
      <c r="D168" s="31"/>
      <c r="E168" s="31"/>
      <c r="F168" s="31"/>
      <c r="G168" s="31"/>
      <c r="H168" s="31"/>
      <c r="I168" s="36">
        <v>8682.9</v>
      </c>
      <c r="J168" s="31"/>
      <c r="K168" s="1" t="s">
        <v>6</v>
      </c>
      <c r="L168" s="35" t="s">
        <v>6</v>
      </c>
      <c r="M168" s="31"/>
      <c r="N168" s="1" t="s">
        <v>6</v>
      </c>
      <c r="O168" s="37">
        <v>589.45000000000005</v>
      </c>
      <c r="P168" s="31"/>
      <c r="Q168" s="31"/>
      <c r="R168" s="31"/>
    </row>
    <row r="169" spans="1:18" x14ac:dyDescent="0.3">
      <c r="A169" s="10" t="s">
        <v>6</v>
      </c>
      <c r="B169" s="10" t="s">
        <v>6</v>
      </c>
      <c r="C169" s="10" t="s">
        <v>6</v>
      </c>
      <c r="D169" s="10" t="s">
        <v>6</v>
      </c>
      <c r="E169" s="30" t="s">
        <v>6</v>
      </c>
      <c r="F169" s="31"/>
      <c r="G169" s="10" t="s">
        <v>6</v>
      </c>
      <c r="H169" s="10" t="s">
        <v>6</v>
      </c>
      <c r="I169" s="10" t="s">
        <v>6</v>
      </c>
      <c r="J169" s="10" t="s">
        <v>6</v>
      </c>
      <c r="K169" s="10" t="s">
        <v>6</v>
      </c>
      <c r="L169" s="30" t="s">
        <v>6</v>
      </c>
      <c r="M169" s="31"/>
      <c r="N169" s="10" t="s">
        <v>6</v>
      </c>
      <c r="O169" s="10" t="s">
        <v>6</v>
      </c>
      <c r="P169" s="10" t="s">
        <v>6</v>
      </c>
      <c r="Q169" s="33" t="s">
        <v>6</v>
      </c>
      <c r="R169" s="31"/>
    </row>
    <row r="170" spans="1:18" x14ac:dyDescent="0.3">
      <c r="A170" s="10" t="s">
        <v>6</v>
      </c>
      <c r="B170" s="10" t="s">
        <v>6</v>
      </c>
      <c r="C170" s="10" t="s">
        <v>6</v>
      </c>
      <c r="D170" s="10" t="s">
        <v>6</v>
      </c>
      <c r="E170" s="30" t="s">
        <v>6</v>
      </c>
      <c r="F170" s="31"/>
      <c r="G170" s="10" t="s">
        <v>6</v>
      </c>
      <c r="H170" s="10" t="s">
        <v>6</v>
      </c>
      <c r="I170" s="10" t="s">
        <v>6</v>
      </c>
      <c r="J170" s="10" t="s">
        <v>6</v>
      </c>
      <c r="K170" s="10" t="s">
        <v>6</v>
      </c>
      <c r="L170" s="30" t="s">
        <v>6</v>
      </c>
      <c r="M170" s="31"/>
      <c r="N170" s="10" t="s">
        <v>6</v>
      </c>
      <c r="O170" s="10" t="s">
        <v>6</v>
      </c>
      <c r="P170" s="10" t="s">
        <v>6</v>
      </c>
      <c r="Q170" s="33" t="s">
        <v>6</v>
      </c>
      <c r="R170" s="31"/>
    </row>
    <row r="171" spans="1:18" x14ac:dyDescent="0.3">
      <c r="A171" s="35" t="s">
        <v>262</v>
      </c>
      <c r="B171" s="31"/>
      <c r="C171" s="31"/>
      <c r="D171" s="31"/>
      <c r="E171" s="31"/>
      <c r="F171" s="31"/>
      <c r="G171" s="31"/>
      <c r="H171" s="31"/>
      <c r="I171" s="3" t="s">
        <v>6</v>
      </c>
      <c r="J171" s="3" t="s">
        <v>6</v>
      </c>
      <c r="K171" s="3" t="s">
        <v>6</v>
      </c>
      <c r="L171" s="41" t="s">
        <v>6</v>
      </c>
      <c r="M171" s="31"/>
      <c r="N171" s="3" t="s">
        <v>6</v>
      </c>
      <c r="O171" s="3" t="s">
        <v>6</v>
      </c>
      <c r="P171" s="3" t="s">
        <v>6</v>
      </c>
      <c r="Q171" s="41" t="s">
        <v>6</v>
      </c>
      <c r="R171" s="31"/>
    </row>
    <row r="172" spans="1:18" ht="20.399999999999999" x14ac:dyDescent="0.3">
      <c r="A172" s="4" t="s">
        <v>7</v>
      </c>
      <c r="B172" s="4" t="s">
        <v>8</v>
      </c>
      <c r="C172" s="4" t="s">
        <v>9</v>
      </c>
      <c r="D172" s="4" t="s">
        <v>10</v>
      </c>
      <c r="E172" s="42" t="s">
        <v>11</v>
      </c>
      <c r="F172" s="39"/>
      <c r="G172" s="4" t="s">
        <v>12</v>
      </c>
      <c r="H172" s="4" t="s">
        <v>13</v>
      </c>
      <c r="I172" s="4" t="s">
        <v>14</v>
      </c>
      <c r="J172" s="4" t="s">
        <v>15</v>
      </c>
      <c r="K172" s="4" t="s">
        <v>16</v>
      </c>
      <c r="L172" s="42" t="s">
        <v>17</v>
      </c>
      <c r="M172" s="39"/>
      <c r="N172" s="4" t="s">
        <v>18</v>
      </c>
      <c r="O172" s="4" t="s">
        <v>19</v>
      </c>
      <c r="P172" s="4" t="s">
        <v>20</v>
      </c>
      <c r="Q172" s="42" t="s">
        <v>21</v>
      </c>
      <c r="R172" s="39"/>
    </row>
    <row r="173" spans="1:18" x14ac:dyDescent="0.3">
      <c r="A173" s="5" t="s">
        <v>6</v>
      </c>
      <c r="B173" s="5" t="s">
        <v>6</v>
      </c>
      <c r="C173" s="5" t="s">
        <v>6</v>
      </c>
      <c r="D173" s="5" t="s">
        <v>6</v>
      </c>
      <c r="E173" s="34" t="s">
        <v>6</v>
      </c>
      <c r="F173" s="31"/>
      <c r="G173" s="5" t="s">
        <v>6</v>
      </c>
      <c r="H173" s="5" t="s">
        <v>6</v>
      </c>
      <c r="I173" s="5" t="s">
        <v>6</v>
      </c>
      <c r="J173" s="5" t="s">
        <v>6</v>
      </c>
      <c r="K173" s="5" t="s">
        <v>6</v>
      </c>
      <c r="L173" s="34" t="s">
        <v>6</v>
      </c>
      <c r="M173" s="31"/>
      <c r="N173" s="5" t="s">
        <v>6</v>
      </c>
      <c r="O173" s="5" t="s">
        <v>6</v>
      </c>
      <c r="P173" s="5" t="s">
        <v>6</v>
      </c>
      <c r="Q173" s="34" t="s">
        <v>6</v>
      </c>
      <c r="R173" s="31"/>
    </row>
    <row r="174" spans="1:18" x14ac:dyDescent="0.3">
      <c r="A174" s="6" t="s">
        <v>263</v>
      </c>
      <c r="B174" s="6" t="s">
        <v>264</v>
      </c>
      <c r="C174" s="6" t="s">
        <v>24</v>
      </c>
      <c r="D174" s="6" t="s">
        <v>25</v>
      </c>
      <c r="E174" s="38" t="s">
        <v>6</v>
      </c>
      <c r="F174" s="39"/>
      <c r="G174" s="6" t="s">
        <v>26</v>
      </c>
      <c r="H174" s="7">
        <v>45931</v>
      </c>
      <c r="I174" s="8">
        <v>137.97999999999999</v>
      </c>
      <c r="J174" s="6" t="s">
        <v>6</v>
      </c>
      <c r="K174" s="6" t="s">
        <v>27</v>
      </c>
      <c r="L174" s="38"/>
      <c r="M174" s="39"/>
      <c r="N174" s="6">
        <v>2</v>
      </c>
      <c r="O174" s="8">
        <v>20</v>
      </c>
      <c r="P174" s="9">
        <v>1</v>
      </c>
      <c r="Q174" s="40">
        <v>40</v>
      </c>
      <c r="R174" s="39"/>
    </row>
    <row r="175" spans="1:18" x14ac:dyDescent="0.3">
      <c r="A175" s="5" t="s">
        <v>6</v>
      </c>
      <c r="B175" s="5" t="s">
        <v>6</v>
      </c>
      <c r="C175" s="5" t="s">
        <v>6</v>
      </c>
      <c r="D175" s="5" t="s">
        <v>6</v>
      </c>
      <c r="E175" s="34" t="s">
        <v>6</v>
      </c>
      <c r="F175" s="31"/>
      <c r="G175" s="5" t="s">
        <v>6</v>
      </c>
      <c r="H175" s="5" t="s">
        <v>6</v>
      </c>
      <c r="I175" s="5" t="s">
        <v>6</v>
      </c>
      <c r="J175" s="5" t="s">
        <v>6</v>
      </c>
      <c r="K175" s="5" t="s">
        <v>6</v>
      </c>
      <c r="L175" s="34" t="s">
        <v>6</v>
      </c>
      <c r="M175" s="31"/>
      <c r="N175" s="5" t="s">
        <v>6</v>
      </c>
      <c r="O175" s="5" t="s">
        <v>6</v>
      </c>
      <c r="P175" s="5" t="s">
        <v>6</v>
      </c>
      <c r="Q175" s="34" t="s">
        <v>6</v>
      </c>
      <c r="R175" s="31"/>
    </row>
    <row r="176" spans="1:18" x14ac:dyDescent="0.3">
      <c r="A176" s="35" t="s">
        <v>265</v>
      </c>
      <c r="B176" s="31"/>
      <c r="C176" s="31"/>
      <c r="D176" s="31"/>
      <c r="E176" s="31"/>
      <c r="F176" s="31"/>
      <c r="G176" s="31"/>
      <c r="H176" s="31"/>
      <c r="I176" s="36">
        <v>137.97999999999999</v>
      </c>
      <c r="J176" s="31"/>
      <c r="K176" s="1" t="s">
        <v>6</v>
      </c>
      <c r="L176" s="35" t="s">
        <v>6</v>
      </c>
      <c r="M176" s="31"/>
      <c r="N176" s="1" t="s">
        <v>6</v>
      </c>
      <c r="O176" s="37">
        <v>40</v>
      </c>
      <c r="P176" s="31"/>
      <c r="Q176" s="31"/>
      <c r="R176" s="31"/>
    </row>
    <row r="177" spans="1:18" x14ac:dyDescent="0.3">
      <c r="A177" s="10" t="s">
        <v>6</v>
      </c>
      <c r="B177" s="10" t="s">
        <v>6</v>
      </c>
      <c r="C177" s="10" t="s">
        <v>6</v>
      </c>
      <c r="D177" s="10" t="s">
        <v>6</v>
      </c>
      <c r="E177" s="30" t="s">
        <v>6</v>
      </c>
      <c r="F177" s="31"/>
      <c r="G177" s="10" t="s">
        <v>6</v>
      </c>
      <c r="H177" s="10" t="s">
        <v>6</v>
      </c>
      <c r="I177" s="10" t="s">
        <v>6</v>
      </c>
      <c r="J177" s="10" t="s">
        <v>6</v>
      </c>
      <c r="K177" s="10" t="s">
        <v>6</v>
      </c>
      <c r="L177" s="30" t="s">
        <v>6</v>
      </c>
      <c r="M177" s="31"/>
      <c r="N177" s="10" t="s">
        <v>6</v>
      </c>
      <c r="O177" s="10" t="s">
        <v>6</v>
      </c>
      <c r="P177" s="10" t="s">
        <v>6</v>
      </c>
      <c r="Q177" s="33" t="s">
        <v>6</v>
      </c>
      <c r="R177" s="31"/>
    </row>
    <row r="178" spans="1:18" x14ac:dyDescent="0.3">
      <c r="A178" s="10" t="s">
        <v>6</v>
      </c>
      <c r="B178" s="10" t="s">
        <v>6</v>
      </c>
      <c r="C178" s="10" t="s">
        <v>6</v>
      </c>
      <c r="D178" s="10" t="s">
        <v>6</v>
      </c>
      <c r="E178" s="30" t="s">
        <v>6</v>
      </c>
      <c r="F178" s="31"/>
      <c r="G178" s="10" t="s">
        <v>6</v>
      </c>
      <c r="H178" s="10" t="s">
        <v>6</v>
      </c>
      <c r="I178" s="10" t="s">
        <v>6</v>
      </c>
      <c r="J178" s="10" t="s">
        <v>6</v>
      </c>
      <c r="K178" s="10" t="s">
        <v>6</v>
      </c>
      <c r="L178" s="30" t="s">
        <v>6</v>
      </c>
      <c r="M178" s="31"/>
      <c r="N178" s="10" t="s">
        <v>6</v>
      </c>
      <c r="O178" s="10" t="s">
        <v>6</v>
      </c>
      <c r="P178" s="10" t="s">
        <v>6</v>
      </c>
      <c r="Q178" s="33" t="s">
        <v>6</v>
      </c>
      <c r="R178" s="31"/>
    </row>
    <row r="179" spans="1:18" x14ac:dyDescent="0.3">
      <c r="A179" s="30" t="s">
        <v>266</v>
      </c>
      <c r="B179" s="31"/>
      <c r="C179" s="10" t="s">
        <v>6</v>
      </c>
      <c r="D179" s="10" t="s">
        <v>6</v>
      </c>
      <c r="E179" s="30" t="s">
        <v>6</v>
      </c>
      <c r="F179" s="31"/>
      <c r="G179" s="10" t="s">
        <v>6</v>
      </c>
      <c r="H179" s="10" t="s">
        <v>6</v>
      </c>
      <c r="I179" s="10" t="s">
        <v>6</v>
      </c>
      <c r="J179" s="10" t="s">
        <v>6</v>
      </c>
      <c r="K179" s="10" t="s">
        <v>6</v>
      </c>
      <c r="L179" s="30" t="s">
        <v>6</v>
      </c>
      <c r="M179" s="31"/>
      <c r="N179" s="10" t="s">
        <v>6</v>
      </c>
      <c r="O179" s="32">
        <v>5111.0600000000004</v>
      </c>
      <c r="P179" s="31"/>
      <c r="Q179" s="31"/>
      <c r="R179" s="31"/>
    </row>
  </sheetData>
  <mergeCells count="525"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E14:F14"/>
    <mergeCell ref="L14:M14"/>
    <mergeCell ref="Q14:R14"/>
    <mergeCell ref="E19:F19"/>
    <mergeCell ref="L19:M19"/>
    <mergeCell ref="Q19:R19"/>
    <mergeCell ref="E20:F20"/>
    <mergeCell ref="L20:M20"/>
    <mergeCell ref="Q20:R20"/>
    <mergeCell ref="E17:F17"/>
    <mergeCell ref="L17:M17"/>
    <mergeCell ref="Q17:R17"/>
    <mergeCell ref="E18:F18"/>
    <mergeCell ref="L18:M18"/>
    <mergeCell ref="Q18:R18"/>
    <mergeCell ref="E23:F23"/>
    <mergeCell ref="L23:M23"/>
    <mergeCell ref="Q23:R23"/>
    <mergeCell ref="E24:F24"/>
    <mergeCell ref="L24:M24"/>
    <mergeCell ref="Q24:R24"/>
    <mergeCell ref="E21:F21"/>
    <mergeCell ref="L21:M21"/>
    <mergeCell ref="Q21:R21"/>
    <mergeCell ref="A22:H22"/>
    <mergeCell ref="I22:J22"/>
    <mergeCell ref="L22:M22"/>
    <mergeCell ref="O22:R22"/>
    <mergeCell ref="E27:F27"/>
    <mergeCell ref="L27:M27"/>
    <mergeCell ref="Q27:R27"/>
    <mergeCell ref="E28:F28"/>
    <mergeCell ref="H28:P28"/>
    <mergeCell ref="Q28:R28"/>
    <mergeCell ref="A25:H25"/>
    <mergeCell ref="L25:M25"/>
    <mergeCell ref="Q25:R25"/>
    <mergeCell ref="E26:F26"/>
    <mergeCell ref="L26:M26"/>
    <mergeCell ref="Q26:R26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43:F43"/>
    <mergeCell ref="L43:M43"/>
    <mergeCell ref="Q43:R43"/>
    <mergeCell ref="E44:F44"/>
    <mergeCell ref="L44:M44"/>
    <mergeCell ref="Q44:R44"/>
    <mergeCell ref="E41:F41"/>
    <mergeCell ref="L41:M41"/>
    <mergeCell ref="Q41:R41"/>
    <mergeCell ref="E42:F42"/>
    <mergeCell ref="L42:M42"/>
    <mergeCell ref="Q42:R42"/>
    <mergeCell ref="E47:F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51:F51"/>
    <mergeCell ref="L51:M51"/>
    <mergeCell ref="Q51:R51"/>
    <mergeCell ref="E52:F52"/>
    <mergeCell ref="L52:M52"/>
    <mergeCell ref="Q52:R52"/>
    <mergeCell ref="E49:F49"/>
    <mergeCell ref="H49:P49"/>
    <mergeCell ref="Q49:R49"/>
    <mergeCell ref="E50:F50"/>
    <mergeCell ref="L50:M50"/>
    <mergeCell ref="Q50:R50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9:F59"/>
    <mergeCell ref="L59:M59"/>
    <mergeCell ref="Q59:R59"/>
    <mergeCell ref="E60:F60"/>
    <mergeCell ref="L60:M60"/>
    <mergeCell ref="Q60:R60"/>
    <mergeCell ref="E57:F57"/>
    <mergeCell ref="L57:M57"/>
    <mergeCell ref="Q57:R57"/>
    <mergeCell ref="E58:F58"/>
    <mergeCell ref="L58:M58"/>
    <mergeCell ref="Q58:R58"/>
    <mergeCell ref="E63:F63"/>
    <mergeCell ref="L63:M63"/>
    <mergeCell ref="Q63:R63"/>
    <mergeCell ref="E64:F64"/>
    <mergeCell ref="L64:M64"/>
    <mergeCell ref="Q64:R64"/>
    <mergeCell ref="E61:F61"/>
    <mergeCell ref="L61:M61"/>
    <mergeCell ref="Q61:R61"/>
    <mergeCell ref="E62:F62"/>
    <mergeCell ref="L62:M62"/>
    <mergeCell ref="Q62:R62"/>
    <mergeCell ref="E67:F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L66:M66"/>
    <mergeCell ref="Q66:R66"/>
    <mergeCell ref="E71:F71"/>
    <mergeCell ref="L71:M71"/>
    <mergeCell ref="Q71:R71"/>
    <mergeCell ref="E72:F72"/>
    <mergeCell ref="L72:M72"/>
    <mergeCell ref="Q72:R72"/>
    <mergeCell ref="E69:F69"/>
    <mergeCell ref="L69:M69"/>
    <mergeCell ref="Q69:R69"/>
    <mergeCell ref="E70:F70"/>
    <mergeCell ref="L70:M70"/>
    <mergeCell ref="Q70:R70"/>
    <mergeCell ref="E75:F75"/>
    <mergeCell ref="L75:M75"/>
    <mergeCell ref="Q75:R75"/>
    <mergeCell ref="E76:F76"/>
    <mergeCell ref="L76:M76"/>
    <mergeCell ref="Q76:R76"/>
    <mergeCell ref="E73:F73"/>
    <mergeCell ref="L73:M73"/>
    <mergeCell ref="Q73:R73"/>
    <mergeCell ref="E74:F74"/>
    <mergeCell ref="L74:M74"/>
    <mergeCell ref="Q74:R74"/>
    <mergeCell ref="E79:F79"/>
    <mergeCell ref="L79:M79"/>
    <mergeCell ref="Q79:R79"/>
    <mergeCell ref="E80:F80"/>
    <mergeCell ref="L80:M80"/>
    <mergeCell ref="Q80:R80"/>
    <mergeCell ref="E77:F77"/>
    <mergeCell ref="L77:M77"/>
    <mergeCell ref="Q77:R77"/>
    <mergeCell ref="E78:F78"/>
    <mergeCell ref="L78:M78"/>
    <mergeCell ref="Q78:R78"/>
    <mergeCell ref="E83:F83"/>
    <mergeCell ref="L83:M83"/>
    <mergeCell ref="Q83:R83"/>
    <mergeCell ref="E84:F84"/>
    <mergeCell ref="L84:M84"/>
    <mergeCell ref="Q84:R84"/>
    <mergeCell ref="E81:F81"/>
    <mergeCell ref="L81:M81"/>
    <mergeCell ref="Q81:R81"/>
    <mergeCell ref="E82:F82"/>
    <mergeCell ref="L82:M82"/>
    <mergeCell ref="Q82:R82"/>
    <mergeCell ref="E87:F87"/>
    <mergeCell ref="L87:M87"/>
    <mergeCell ref="Q87:R87"/>
    <mergeCell ref="E88:F88"/>
    <mergeCell ref="L88:M88"/>
    <mergeCell ref="Q88:R88"/>
    <mergeCell ref="E85:F85"/>
    <mergeCell ref="L85:M85"/>
    <mergeCell ref="Q85:R85"/>
    <mergeCell ref="E86:F86"/>
    <mergeCell ref="L86:M86"/>
    <mergeCell ref="Q86:R86"/>
    <mergeCell ref="E91:F91"/>
    <mergeCell ref="L91:M91"/>
    <mergeCell ref="Q91:R91"/>
    <mergeCell ref="E92:F92"/>
    <mergeCell ref="L92:M92"/>
    <mergeCell ref="Q92:R92"/>
    <mergeCell ref="E89:F89"/>
    <mergeCell ref="L89:M89"/>
    <mergeCell ref="Q89:R89"/>
    <mergeCell ref="E90:F90"/>
    <mergeCell ref="L90:M90"/>
    <mergeCell ref="Q90:R90"/>
    <mergeCell ref="E95:F95"/>
    <mergeCell ref="L95:M95"/>
    <mergeCell ref="Q95:R95"/>
    <mergeCell ref="E96:F96"/>
    <mergeCell ref="L96:M96"/>
    <mergeCell ref="Q96:R96"/>
    <mergeCell ref="E93:F93"/>
    <mergeCell ref="L93:M93"/>
    <mergeCell ref="Q93:R93"/>
    <mergeCell ref="E94:F94"/>
    <mergeCell ref="L94:M94"/>
    <mergeCell ref="Q94:R94"/>
    <mergeCell ref="E99:F99"/>
    <mergeCell ref="L99:M99"/>
    <mergeCell ref="Q99:R99"/>
    <mergeCell ref="E100:F100"/>
    <mergeCell ref="L100:M100"/>
    <mergeCell ref="Q100:R100"/>
    <mergeCell ref="E97:F97"/>
    <mergeCell ref="L97:M97"/>
    <mergeCell ref="Q97:R97"/>
    <mergeCell ref="E98:F98"/>
    <mergeCell ref="L98:M98"/>
    <mergeCell ref="Q98:R98"/>
    <mergeCell ref="E103:F103"/>
    <mergeCell ref="L103:M103"/>
    <mergeCell ref="Q103:R103"/>
    <mergeCell ref="E104:F104"/>
    <mergeCell ref="L104:M104"/>
    <mergeCell ref="Q104:R104"/>
    <mergeCell ref="E101:F101"/>
    <mergeCell ref="L101:M101"/>
    <mergeCell ref="Q101:R101"/>
    <mergeCell ref="E102:F102"/>
    <mergeCell ref="L102:M102"/>
    <mergeCell ref="Q102:R102"/>
    <mergeCell ref="E107:F107"/>
    <mergeCell ref="L107:M107"/>
    <mergeCell ref="Q107:R107"/>
    <mergeCell ref="E108:F108"/>
    <mergeCell ref="L108:M108"/>
    <mergeCell ref="Q108:R108"/>
    <mergeCell ref="E105:F105"/>
    <mergeCell ref="L105:M105"/>
    <mergeCell ref="Q105:R105"/>
    <mergeCell ref="E106:F106"/>
    <mergeCell ref="L106:M106"/>
    <mergeCell ref="Q106:R106"/>
    <mergeCell ref="E111:F111"/>
    <mergeCell ref="L111:M111"/>
    <mergeCell ref="Q111:R111"/>
    <mergeCell ref="E112:F112"/>
    <mergeCell ref="L112:M112"/>
    <mergeCell ref="Q112:R112"/>
    <mergeCell ref="E109:F109"/>
    <mergeCell ref="L109:M109"/>
    <mergeCell ref="Q109:R109"/>
    <mergeCell ref="E110:F110"/>
    <mergeCell ref="L110:M110"/>
    <mergeCell ref="Q110:R110"/>
    <mergeCell ref="E115:F115"/>
    <mergeCell ref="L115:M115"/>
    <mergeCell ref="Q115:R115"/>
    <mergeCell ref="E116:F116"/>
    <mergeCell ref="L116:M116"/>
    <mergeCell ref="Q116:R116"/>
    <mergeCell ref="E113:F113"/>
    <mergeCell ref="L113:M113"/>
    <mergeCell ref="Q113:R113"/>
    <mergeCell ref="E114:F114"/>
    <mergeCell ref="L114:M114"/>
    <mergeCell ref="Q114:R114"/>
    <mergeCell ref="E119:F119"/>
    <mergeCell ref="L119:M119"/>
    <mergeCell ref="Q119:R119"/>
    <mergeCell ref="A120:H120"/>
    <mergeCell ref="L120:M120"/>
    <mergeCell ref="Q120:R120"/>
    <mergeCell ref="A117:H117"/>
    <mergeCell ref="I117:J117"/>
    <mergeCell ref="L117:M117"/>
    <mergeCell ref="O117:R117"/>
    <mergeCell ref="E118:F118"/>
    <mergeCell ref="L118:M118"/>
    <mergeCell ref="Q118:R118"/>
    <mergeCell ref="E123:F123"/>
    <mergeCell ref="L123:M123"/>
    <mergeCell ref="Q123:R123"/>
    <mergeCell ref="E124:F124"/>
    <mergeCell ref="L124:M124"/>
    <mergeCell ref="Q124:R124"/>
    <mergeCell ref="E121:F121"/>
    <mergeCell ref="L121:M121"/>
    <mergeCell ref="Q121:R121"/>
    <mergeCell ref="E122:F122"/>
    <mergeCell ref="L122:M122"/>
    <mergeCell ref="Q122:R122"/>
    <mergeCell ref="E127:F127"/>
    <mergeCell ref="L127:M127"/>
    <mergeCell ref="Q127:R127"/>
    <mergeCell ref="E128:F128"/>
    <mergeCell ref="L128:M128"/>
    <mergeCell ref="Q128:R128"/>
    <mergeCell ref="E125:F125"/>
    <mergeCell ref="L125:M125"/>
    <mergeCell ref="Q125:R125"/>
    <mergeCell ref="E126:F126"/>
    <mergeCell ref="L126:M126"/>
    <mergeCell ref="Q126:R126"/>
    <mergeCell ref="E131:F131"/>
    <mergeCell ref="L131:M131"/>
    <mergeCell ref="Q131:R131"/>
    <mergeCell ref="E132:F132"/>
    <mergeCell ref="L132:M132"/>
    <mergeCell ref="Q132:R132"/>
    <mergeCell ref="E129:F129"/>
    <mergeCell ref="L129:M129"/>
    <mergeCell ref="Q129:R129"/>
    <mergeCell ref="E130:F130"/>
    <mergeCell ref="L130:M130"/>
    <mergeCell ref="Q130:R130"/>
    <mergeCell ref="E135:F135"/>
    <mergeCell ref="L135:M135"/>
    <mergeCell ref="Q135:R135"/>
    <mergeCell ref="E136:F136"/>
    <mergeCell ref="L136:M136"/>
    <mergeCell ref="Q136:R136"/>
    <mergeCell ref="E133:F133"/>
    <mergeCell ref="L133:M133"/>
    <mergeCell ref="Q133:R133"/>
    <mergeCell ref="E134:F134"/>
    <mergeCell ref="L134:M134"/>
    <mergeCell ref="Q134:R134"/>
    <mergeCell ref="E139:F139"/>
    <mergeCell ref="L139:M139"/>
    <mergeCell ref="Q139:R139"/>
    <mergeCell ref="E140:F140"/>
    <mergeCell ref="L140:M140"/>
    <mergeCell ref="Q140:R140"/>
    <mergeCell ref="E137:F137"/>
    <mergeCell ref="L137:M137"/>
    <mergeCell ref="Q137:R137"/>
    <mergeCell ref="E138:F138"/>
    <mergeCell ref="L138:M138"/>
    <mergeCell ref="Q138:R138"/>
    <mergeCell ref="E143:F143"/>
    <mergeCell ref="L143:M143"/>
    <mergeCell ref="Q143:R143"/>
    <mergeCell ref="E144:F144"/>
    <mergeCell ref="L144:M144"/>
    <mergeCell ref="Q144:R144"/>
    <mergeCell ref="E141:F141"/>
    <mergeCell ref="L141:M141"/>
    <mergeCell ref="Q141:R141"/>
    <mergeCell ref="E142:F142"/>
    <mergeCell ref="L142:M142"/>
    <mergeCell ref="Q142:R142"/>
    <mergeCell ref="E147:F147"/>
    <mergeCell ref="L147:M147"/>
    <mergeCell ref="Q147:R147"/>
    <mergeCell ref="A148:H148"/>
    <mergeCell ref="I148:J148"/>
    <mergeCell ref="L148:M148"/>
    <mergeCell ref="O148:R148"/>
    <mergeCell ref="E145:F145"/>
    <mergeCell ref="L145:M145"/>
    <mergeCell ref="Q145:R145"/>
    <mergeCell ref="E146:F146"/>
    <mergeCell ref="L146:M146"/>
    <mergeCell ref="Q146:R146"/>
    <mergeCell ref="A151:H151"/>
    <mergeCell ref="L151:M151"/>
    <mergeCell ref="Q151:R151"/>
    <mergeCell ref="E152:F152"/>
    <mergeCell ref="L152:M152"/>
    <mergeCell ref="Q152:R152"/>
    <mergeCell ref="E149:F149"/>
    <mergeCell ref="L149:M149"/>
    <mergeCell ref="Q149:R149"/>
    <mergeCell ref="E150:F150"/>
    <mergeCell ref="L150:M150"/>
    <mergeCell ref="Q150:R150"/>
    <mergeCell ref="E155:F155"/>
    <mergeCell ref="L155:M155"/>
    <mergeCell ref="Q155:R155"/>
    <mergeCell ref="E156:F156"/>
    <mergeCell ref="L156:M156"/>
    <mergeCell ref="Q156:R156"/>
    <mergeCell ref="E153:F153"/>
    <mergeCell ref="L153:M153"/>
    <mergeCell ref="Q153:R153"/>
    <mergeCell ref="E154:F154"/>
    <mergeCell ref="H154:P154"/>
    <mergeCell ref="Q154:R154"/>
    <mergeCell ref="E159:F159"/>
    <mergeCell ref="L159:M159"/>
    <mergeCell ref="Q159:R159"/>
    <mergeCell ref="E160:F160"/>
    <mergeCell ref="L160:M160"/>
    <mergeCell ref="Q160:R160"/>
    <mergeCell ref="E157:F157"/>
    <mergeCell ref="L157:M157"/>
    <mergeCell ref="Q157:R157"/>
    <mergeCell ref="E158:F158"/>
    <mergeCell ref="L158:M158"/>
    <mergeCell ref="Q158:R158"/>
    <mergeCell ref="E163:F163"/>
    <mergeCell ref="L163:M163"/>
    <mergeCell ref="Q163:R163"/>
    <mergeCell ref="E164:F164"/>
    <mergeCell ref="L164:M164"/>
    <mergeCell ref="Q164:R164"/>
    <mergeCell ref="E161:F161"/>
    <mergeCell ref="L161:M161"/>
    <mergeCell ref="Q161:R161"/>
    <mergeCell ref="E162:F162"/>
    <mergeCell ref="L162:M162"/>
    <mergeCell ref="Q162:R162"/>
    <mergeCell ref="E167:F167"/>
    <mergeCell ref="L167:M167"/>
    <mergeCell ref="Q167:R167"/>
    <mergeCell ref="A168:H168"/>
    <mergeCell ref="I168:J168"/>
    <mergeCell ref="L168:M168"/>
    <mergeCell ref="O168:R168"/>
    <mergeCell ref="E165:F165"/>
    <mergeCell ref="L165:M165"/>
    <mergeCell ref="Q165:R165"/>
    <mergeCell ref="E166:F166"/>
    <mergeCell ref="L166:M166"/>
    <mergeCell ref="Q166:R166"/>
    <mergeCell ref="A171:H171"/>
    <mergeCell ref="L171:M171"/>
    <mergeCell ref="Q171:R171"/>
    <mergeCell ref="E172:F172"/>
    <mergeCell ref="L172:M172"/>
    <mergeCell ref="Q172:R172"/>
    <mergeCell ref="E169:F169"/>
    <mergeCell ref="L169:M169"/>
    <mergeCell ref="Q169:R169"/>
    <mergeCell ref="E170:F170"/>
    <mergeCell ref="L170:M170"/>
    <mergeCell ref="Q170:R170"/>
    <mergeCell ref="E175:F175"/>
    <mergeCell ref="L175:M175"/>
    <mergeCell ref="Q175:R175"/>
    <mergeCell ref="A176:H176"/>
    <mergeCell ref="I176:J176"/>
    <mergeCell ref="L176:M176"/>
    <mergeCell ref="O176:R176"/>
    <mergeCell ref="E173:F173"/>
    <mergeCell ref="L173:M173"/>
    <mergeCell ref="Q173:R173"/>
    <mergeCell ref="E174:F174"/>
    <mergeCell ref="L174:M174"/>
    <mergeCell ref="Q174:R174"/>
    <mergeCell ref="A179:B179"/>
    <mergeCell ref="E179:F179"/>
    <mergeCell ref="L179:M179"/>
    <mergeCell ref="O179:R179"/>
    <mergeCell ref="E177:F177"/>
    <mergeCell ref="L177:M177"/>
    <mergeCell ref="Q177:R177"/>
    <mergeCell ref="E178:F178"/>
    <mergeCell ref="L178:M178"/>
    <mergeCell ref="Q178:R178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6"/>
  <sheetViews>
    <sheetView showGridLines="0" topLeftCell="B1" workbookViewId="0">
      <pane ySplit="8" topLeftCell="A18" activePane="bottomLeft" state="frozen"/>
      <selection pane="bottomLeft" activeCell="I66" sqref="I66"/>
    </sheetView>
  </sheetViews>
  <sheetFormatPr defaultRowHeight="14.4" x14ac:dyDescent="0.3"/>
  <cols>
    <col min="1" max="1" width="30.6640625" customWidth="1"/>
    <col min="2" max="2" width="9.33203125" customWidth="1"/>
    <col min="3" max="3" width="18" customWidth="1"/>
    <col min="4" max="4" width="15.6640625" customWidth="1"/>
    <col min="5" max="5" width="10.33203125" customWidth="1"/>
    <col min="6" max="6" width="4.33203125" customWidth="1"/>
    <col min="7" max="7" width="0.6640625" customWidth="1"/>
    <col min="8" max="8" width="4.33203125" customWidth="1"/>
    <col min="9" max="9" width="8" customWidth="1"/>
    <col min="10" max="11" width="13.6640625" customWidth="1"/>
    <col min="12" max="12" width="18" customWidth="1"/>
    <col min="13" max="13" width="12.33203125" customWidth="1"/>
    <col min="14" max="14" width="9.33203125" customWidth="1"/>
    <col min="15" max="15" width="6.5546875" customWidth="1"/>
    <col min="16" max="16" width="12.33203125" customWidth="1"/>
    <col min="17" max="17" width="12.109375" customWidth="1"/>
    <col min="18" max="18" width="9.44140625" customWidth="1"/>
    <col min="19" max="19" width="7.44140625" customWidth="1"/>
    <col min="20" max="20" width="9.6640625" customWidth="1"/>
    <col min="21" max="21" width="4.88671875" customWidth="1"/>
    <col min="22" max="22" width="12.6640625" customWidth="1"/>
    <col min="23" max="24" width="13.6640625" customWidth="1"/>
    <col min="25" max="25" width="9.44140625" customWidth="1"/>
  </cols>
  <sheetData>
    <row r="1" spans="1:24" x14ac:dyDescent="0.3">
      <c r="H1" s="45" t="s">
        <v>0</v>
      </c>
      <c r="I1" s="31"/>
      <c r="J1" s="31"/>
    </row>
    <row r="2" spans="1:24" ht="17.25" customHeight="1" x14ac:dyDescent="0.3">
      <c r="A2" s="31"/>
      <c r="B2" s="31"/>
      <c r="H2" s="31"/>
      <c r="I2" s="31"/>
      <c r="J2" s="31"/>
    </row>
    <row r="3" spans="1:24" ht="18.75" customHeight="1" x14ac:dyDescent="0.3">
      <c r="A3" s="31"/>
      <c r="B3" s="31"/>
      <c r="H3" s="45" t="s">
        <v>1</v>
      </c>
      <c r="I3" s="31"/>
      <c r="J3" s="31"/>
    </row>
    <row r="4" spans="1:24" ht="35.4" customHeight="1" x14ac:dyDescent="0.3">
      <c r="A4" s="35" t="s">
        <v>2</v>
      </c>
      <c r="B4" s="31"/>
      <c r="H4" s="46" t="s">
        <v>3</v>
      </c>
      <c r="I4" s="31"/>
      <c r="J4" s="31"/>
    </row>
    <row r="5" spans="1:24" ht="5.0999999999999996" customHeight="1" x14ac:dyDescent="0.3"/>
    <row r="6" spans="1:24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649999999999999" customHeight="1" x14ac:dyDescent="0.3">
      <c r="A7" s="47" t="s">
        <v>4</v>
      </c>
      <c r="B7" s="31"/>
      <c r="C7" s="31"/>
      <c r="D7" s="31"/>
      <c r="E7" s="31"/>
      <c r="F7" s="31"/>
      <c r="G7" s="31"/>
      <c r="H7" s="31"/>
      <c r="I7" s="31"/>
      <c r="J7" s="31"/>
    </row>
    <row r="8" spans="1:24" ht="5.0999999999999996" customHeight="1" x14ac:dyDescent="0.3"/>
    <row r="9" spans="1:24" x14ac:dyDescent="0.3">
      <c r="A9" s="12" t="s">
        <v>267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50" t="s">
        <v>6</v>
      </c>
      <c r="H9" s="39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0.399999999999999" x14ac:dyDescent="0.3">
      <c r="A10" s="4" t="s">
        <v>268</v>
      </c>
      <c r="B10" s="4" t="s">
        <v>269</v>
      </c>
      <c r="C10" s="4" t="s">
        <v>7</v>
      </c>
      <c r="D10" s="4" t="s">
        <v>8</v>
      </c>
      <c r="E10" s="4" t="s">
        <v>9</v>
      </c>
      <c r="F10" s="4" t="s">
        <v>10</v>
      </c>
      <c r="G10" s="42" t="s">
        <v>11</v>
      </c>
      <c r="H10" s="39"/>
      <c r="I10" s="4" t="s">
        <v>13</v>
      </c>
      <c r="J10" s="4" t="s">
        <v>14</v>
      </c>
      <c r="K10" s="4" t="s">
        <v>270</v>
      </c>
      <c r="L10" s="4" t="s">
        <v>271</v>
      </c>
      <c r="M10" s="4" t="s">
        <v>272</v>
      </c>
      <c r="N10" s="4" t="s">
        <v>273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274</v>
      </c>
      <c r="X10" s="4" t="s">
        <v>275</v>
      </c>
    </row>
    <row r="11" spans="1:24" x14ac:dyDescent="0.3">
      <c r="A11" s="6" t="s">
        <v>276</v>
      </c>
      <c r="B11" s="6" t="s">
        <v>277</v>
      </c>
      <c r="C11" s="6" t="s">
        <v>22</v>
      </c>
      <c r="D11" s="6" t="s">
        <v>23</v>
      </c>
      <c r="E11" s="6" t="s">
        <v>24</v>
      </c>
      <c r="F11" s="6" t="s">
        <v>25</v>
      </c>
      <c r="G11" s="38" t="s">
        <v>6</v>
      </c>
      <c r="H11" s="39"/>
      <c r="I11" s="7">
        <v>46082</v>
      </c>
      <c r="J11" s="8">
        <v>201.3</v>
      </c>
      <c r="K11" s="8">
        <v>201.3</v>
      </c>
      <c r="L11" s="8">
        <v>6006.9</v>
      </c>
      <c r="M11" s="8">
        <v>603.9</v>
      </c>
      <c r="N11" s="8">
        <v>5403</v>
      </c>
      <c r="O11" s="6" t="s">
        <v>26</v>
      </c>
      <c r="P11" s="6" t="s">
        <v>6</v>
      </c>
      <c r="Q11" s="6" t="s">
        <v>27</v>
      </c>
      <c r="R11" s="6"/>
      <c r="S11" s="6">
        <v>2</v>
      </c>
      <c r="T11" s="8">
        <v>20</v>
      </c>
      <c r="U11" s="9">
        <v>1</v>
      </c>
      <c r="V11" s="8">
        <v>40</v>
      </c>
      <c r="W11" s="6" t="s">
        <v>6</v>
      </c>
      <c r="X11" s="6"/>
    </row>
    <row r="12" spans="1:24" x14ac:dyDescent="0.3">
      <c r="A12" s="6" t="s">
        <v>276</v>
      </c>
      <c r="B12" s="6" t="s">
        <v>277</v>
      </c>
      <c r="C12" s="6" t="s">
        <v>28</v>
      </c>
      <c r="D12" s="6" t="s">
        <v>29</v>
      </c>
      <c r="E12" s="6" t="s">
        <v>24</v>
      </c>
      <c r="F12" s="6" t="s">
        <v>25</v>
      </c>
      <c r="G12" s="38" t="s">
        <v>6</v>
      </c>
      <c r="H12" s="39"/>
      <c r="I12" s="7">
        <v>46082</v>
      </c>
      <c r="J12" s="8">
        <v>1.85</v>
      </c>
      <c r="K12" s="8">
        <v>1.85</v>
      </c>
      <c r="L12" s="8">
        <v>2306.64</v>
      </c>
      <c r="M12" s="8">
        <v>5.55</v>
      </c>
      <c r="N12" s="8">
        <v>2301.09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s="28" customFormat="1" x14ac:dyDescent="0.3">
      <c r="A13" s="22" t="s">
        <v>276</v>
      </c>
      <c r="B13" s="22" t="s">
        <v>277</v>
      </c>
      <c r="C13" s="22" t="s">
        <v>30</v>
      </c>
      <c r="D13" s="22" t="s">
        <v>31</v>
      </c>
      <c r="E13" s="22" t="s">
        <v>24</v>
      </c>
      <c r="F13" s="22" t="s">
        <v>25</v>
      </c>
      <c r="G13" s="48" t="s">
        <v>6</v>
      </c>
      <c r="H13" s="49"/>
      <c r="I13" s="24">
        <v>46082</v>
      </c>
      <c r="J13" s="25">
        <v>5.65</v>
      </c>
      <c r="K13" s="25">
        <v>5</v>
      </c>
      <c r="L13" s="25">
        <v>1916.58</v>
      </c>
      <c r="M13" s="25">
        <v>11.3</v>
      </c>
      <c r="N13" s="25">
        <v>1905.28</v>
      </c>
      <c r="O13" s="22" t="s">
        <v>26</v>
      </c>
      <c r="P13" s="22" t="s">
        <v>6</v>
      </c>
      <c r="Q13" s="22" t="s">
        <v>27</v>
      </c>
      <c r="R13" s="22"/>
      <c r="S13" s="22">
        <v>1</v>
      </c>
      <c r="T13" s="25">
        <v>20</v>
      </c>
      <c r="U13" s="26">
        <v>1</v>
      </c>
      <c r="V13" s="25">
        <v>17.7</v>
      </c>
      <c r="W13" s="22" t="s">
        <v>6</v>
      </c>
      <c r="X13" s="22"/>
    </row>
    <row r="14" spans="1:24" x14ac:dyDescent="0.3">
      <c r="A14" s="6" t="s">
        <v>276</v>
      </c>
      <c r="B14" s="6" t="s">
        <v>277</v>
      </c>
      <c r="C14" s="6" t="s">
        <v>32</v>
      </c>
      <c r="D14" s="6" t="s">
        <v>33</v>
      </c>
      <c r="E14" s="6" t="s">
        <v>24</v>
      </c>
      <c r="F14" s="6" t="s">
        <v>25</v>
      </c>
      <c r="G14" s="38" t="s">
        <v>6</v>
      </c>
      <c r="H14" s="39"/>
      <c r="I14" s="7">
        <v>46054</v>
      </c>
      <c r="J14" s="8">
        <v>140.65</v>
      </c>
      <c r="K14" s="8">
        <v>140.65</v>
      </c>
      <c r="L14" s="8">
        <v>1051.3</v>
      </c>
      <c r="M14" s="8">
        <v>191.3</v>
      </c>
      <c r="N14" s="8">
        <v>860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20</v>
      </c>
      <c r="U14" s="9">
        <v>1</v>
      </c>
      <c r="V14" s="8">
        <v>20</v>
      </c>
      <c r="W14" s="6" t="s">
        <v>6</v>
      </c>
      <c r="X14" s="6"/>
    </row>
    <row r="15" spans="1:24" x14ac:dyDescent="0.3">
      <c r="A15" s="6" t="s">
        <v>276</v>
      </c>
      <c r="B15" s="6" t="s">
        <v>277</v>
      </c>
      <c r="C15" s="6" t="s">
        <v>32</v>
      </c>
      <c r="D15" s="6" t="s">
        <v>33</v>
      </c>
      <c r="E15" s="6" t="s">
        <v>24</v>
      </c>
      <c r="F15" s="6" t="s">
        <v>25</v>
      </c>
      <c r="G15" s="38" t="s">
        <v>6</v>
      </c>
      <c r="H15" s="39"/>
      <c r="I15" s="7">
        <v>46082</v>
      </c>
      <c r="J15" s="8">
        <v>140.65</v>
      </c>
      <c r="K15" s="8">
        <v>140.65</v>
      </c>
      <c r="L15" s="8">
        <v>1576.95</v>
      </c>
      <c r="M15" s="8">
        <v>331.95</v>
      </c>
      <c r="N15" s="8">
        <v>1245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20</v>
      </c>
      <c r="U15" s="9">
        <v>1</v>
      </c>
      <c r="V15" s="8">
        <v>20</v>
      </c>
      <c r="W15" s="6" t="s">
        <v>6</v>
      </c>
      <c r="X15" s="6"/>
    </row>
    <row r="16" spans="1:24" x14ac:dyDescent="0.3">
      <c r="A16" s="6" t="s">
        <v>276</v>
      </c>
      <c r="B16" s="6" t="s">
        <v>277</v>
      </c>
      <c r="C16" s="6" t="s">
        <v>34</v>
      </c>
      <c r="D16" s="6" t="s">
        <v>35</v>
      </c>
      <c r="E16" s="6" t="s">
        <v>24</v>
      </c>
      <c r="F16" s="6" t="s">
        <v>25</v>
      </c>
      <c r="G16" s="38" t="s">
        <v>6</v>
      </c>
      <c r="H16" s="39"/>
      <c r="I16" s="7">
        <v>46082</v>
      </c>
      <c r="J16" s="8">
        <v>92.05</v>
      </c>
      <c r="K16" s="8">
        <v>92.05</v>
      </c>
      <c r="L16" s="8">
        <v>1617.15</v>
      </c>
      <c r="M16" s="8">
        <v>276.14999999999998</v>
      </c>
      <c r="N16" s="8">
        <v>1341</v>
      </c>
      <c r="O16" s="6" t="s">
        <v>26</v>
      </c>
      <c r="P16" s="6" t="s">
        <v>6</v>
      </c>
      <c r="Q16" s="6" t="s">
        <v>27</v>
      </c>
      <c r="R16" s="6"/>
      <c r="S16" s="6">
        <v>1</v>
      </c>
      <c r="T16" s="8">
        <v>20</v>
      </c>
      <c r="U16" s="9">
        <v>1</v>
      </c>
      <c r="V16" s="8">
        <v>20</v>
      </c>
      <c r="W16" s="6" t="s">
        <v>6</v>
      </c>
      <c r="X16" s="6"/>
    </row>
    <row r="17" spans="1:24" x14ac:dyDescent="0.3">
      <c r="A17" s="6" t="s">
        <v>276</v>
      </c>
      <c r="B17" s="6" t="s">
        <v>277</v>
      </c>
      <c r="C17" s="6" t="s">
        <v>36</v>
      </c>
      <c r="D17" s="6" t="s">
        <v>37</v>
      </c>
      <c r="E17" s="6" t="s">
        <v>24</v>
      </c>
      <c r="F17" s="6" t="s">
        <v>25</v>
      </c>
      <c r="G17" s="38" t="s">
        <v>6</v>
      </c>
      <c r="H17" s="39"/>
      <c r="I17" s="7">
        <v>46082</v>
      </c>
      <c r="J17" s="8">
        <v>91.69</v>
      </c>
      <c r="K17" s="8">
        <v>91.69</v>
      </c>
      <c r="L17" s="8">
        <v>5048.07</v>
      </c>
      <c r="M17" s="8">
        <v>275.07</v>
      </c>
      <c r="N17" s="8">
        <v>4773</v>
      </c>
      <c r="O17" s="6" t="s">
        <v>26</v>
      </c>
      <c r="P17" s="6" t="s">
        <v>6</v>
      </c>
      <c r="Q17" s="6" t="s">
        <v>27</v>
      </c>
      <c r="R17" s="6"/>
      <c r="S17" s="6">
        <v>2</v>
      </c>
      <c r="T17" s="8">
        <v>20</v>
      </c>
      <c r="U17" s="9">
        <v>1</v>
      </c>
      <c r="V17" s="8">
        <v>40</v>
      </c>
      <c r="W17" s="6" t="s">
        <v>6</v>
      </c>
      <c r="X17" s="6"/>
    </row>
    <row r="18" spans="1:24" x14ac:dyDescent="0.3">
      <c r="A18" s="6" t="s">
        <v>276</v>
      </c>
      <c r="B18" s="6" t="s">
        <v>277</v>
      </c>
      <c r="C18" s="6" t="s">
        <v>38</v>
      </c>
      <c r="D18" s="6" t="s">
        <v>39</v>
      </c>
      <c r="E18" s="6" t="s">
        <v>24</v>
      </c>
      <c r="F18" s="6" t="s">
        <v>25</v>
      </c>
      <c r="G18" s="38" t="s">
        <v>6</v>
      </c>
      <c r="H18" s="39"/>
      <c r="I18" s="7">
        <v>46082</v>
      </c>
      <c r="J18" s="8">
        <v>10.08</v>
      </c>
      <c r="K18" s="8">
        <v>10.08</v>
      </c>
      <c r="L18" s="8">
        <v>2682.24</v>
      </c>
      <c r="M18" s="8">
        <v>30.24</v>
      </c>
      <c r="N18" s="8">
        <v>2652</v>
      </c>
      <c r="O18" s="6" t="s">
        <v>26</v>
      </c>
      <c r="P18" s="6" t="s">
        <v>6</v>
      </c>
      <c r="Q18" s="6" t="s">
        <v>27</v>
      </c>
      <c r="R18" s="6"/>
      <c r="S18" s="6">
        <v>1</v>
      </c>
      <c r="T18" s="8">
        <v>20</v>
      </c>
      <c r="U18" s="9">
        <v>1</v>
      </c>
      <c r="V18" s="8">
        <v>20</v>
      </c>
      <c r="W18" s="6" t="s">
        <v>6</v>
      </c>
      <c r="X18" s="6"/>
    </row>
    <row r="19" spans="1:24" x14ac:dyDescent="0.3">
      <c r="A19" s="6" t="s">
        <v>276</v>
      </c>
      <c r="B19" s="6" t="s">
        <v>277</v>
      </c>
      <c r="C19" s="6" t="s">
        <v>40</v>
      </c>
      <c r="D19" s="6" t="s">
        <v>41</v>
      </c>
      <c r="E19" s="6" t="s">
        <v>24</v>
      </c>
      <c r="F19" s="6" t="s">
        <v>25</v>
      </c>
      <c r="G19" s="38" t="s">
        <v>6</v>
      </c>
      <c r="H19" s="39"/>
      <c r="I19" s="7">
        <v>46082</v>
      </c>
      <c r="J19" s="8">
        <v>1.03</v>
      </c>
      <c r="K19" s="8">
        <v>1.03</v>
      </c>
      <c r="L19" s="8">
        <v>855.74</v>
      </c>
      <c r="M19" s="8">
        <v>2.06</v>
      </c>
      <c r="N19" s="8">
        <v>853.68</v>
      </c>
      <c r="O19" s="6" t="s">
        <v>26</v>
      </c>
      <c r="P19" s="6" t="s">
        <v>6</v>
      </c>
      <c r="Q19" s="6" t="s">
        <v>27</v>
      </c>
      <c r="R19" s="6"/>
      <c r="S19" s="6">
        <v>1</v>
      </c>
      <c r="T19" s="8">
        <v>20</v>
      </c>
      <c r="U19" s="9">
        <v>1</v>
      </c>
      <c r="V19" s="8">
        <v>20</v>
      </c>
      <c r="W19" s="6" t="s">
        <v>6</v>
      </c>
      <c r="X19" s="6"/>
    </row>
    <row r="20" spans="1:24" ht="30.6" x14ac:dyDescent="0.3">
      <c r="A20" s="6" t="s">
        <v>278</v>
      </c>
      <c r="B20" s="6" t="s">
        <v>279</v>
      </c>
      <c r="C20" s="6"/>
      <c r="D20" s="6" t="s">
        <v>44</v>
      </c>
      <c r="E20" s="6"/>
      <c r="F20" s="6"/>
      <c r="G20" s="38" t="s">
        <v>280</v>
      </c>
      <c r="H20" s="39"/>
      <c r="I20" s="6"/>
      <c r="J20" s="6"/>
      <c r="K20" s="6"/>
      <c r="L20" s="8">
        <v>0</v>
      </c>
      <c r="M20" s="6"/>
      <c r="N20" s="6"/>
      <c r="O20" s="6" t="s">
        <v>45</v>
      </c>
      <c r="P20" s="6" t="s">
        <v>6</v>
      </c>
      <c r="Q20" s="6" t="s">
        <v>281</v>
      </c>
      <c r="R20" s="6"/>
      <c r="S20" s="6"/>
      <c r="T20" s="6"/>
      <c r="U20" s="6"/>
      <c r="V20" s="8">
        <v>563.54999999999995</v>
      </c>
      <c r="W20" s="6" t="s">
        <v>6</v>
      </c>
      <c r="X20" s="6" t="s">
        <v>46</v>
      </c>
    </row>
    <row r="21" spans="1:24" x14ac:dyDescent="0.3">
      <c r="A21" s="6" t="s">
        <v>278</v>
      </c>
      <c r="B21" s="6" t="s">
        <v>282</v>
      </c>
      <c r="C21" s="6" t="s">
        <v>47</v>
      </c>
      <c r="D21" s="6" t="s">
        <v>48</v>
      </c>
      <c r="E21" s="6" t="s">
        <v>24</v>
      </c>
      <c r="F21" s="6" t="s">
        <v>49</v>
      </c>
      <c r="G21" s="38" t="s">
        <v>6</v>
      </c>
      <c r="H21" s="39"/>
      <c r="I21" s="7">
        <v>46082</v>
      </c>
      <c r="J21" s="8">
        <v>486.35</v>
      </c>
      <c r="K21" s="8">
        <v>486.35</v>
      </c>
      <c r="L21" s="8">
        <v>1459.05</v>
      </c>
      <c r="M21" s="8">
        <v>1459.05</v>
      </c>
      <c r="N21" s="8">
        <v>0</v>
      </c>
      <c r="O21" s="6" t="s">
        <v>26</v>
      </c>
      <c r="P21" s="6" t="s">
        <v>6</v>
      </c>
      <c r="Q21" s="6" t="s">
        <v>27</v>
      </c>
      <c r="R21" s="6"/>
      <c r="S21" s="6">
        <v>1</v>
      </c>
      <c r="T21" s="8">
        <v>23</v>
      </c>
      <c r="U21" s="9">
        <v>1</v>
      </c>
      <c r="V21" s="8">
        <v>23</v>
      </c>
      <c r="W21" s="6" t="s">
        <v>6</v>
      </c>
      <c r="X21" s="6"/>
    </row>
    <row r="22" spans="1:24" x14ac:dyDescent="0.3">
      <c r="A22" s="6" t="s">
        <v>278</v>
      </c>
      <c r="B22" s="6" t="s">
        <v>282</v>
      </c>
      <c r="C22" s="6" t="s">
        <v>50</v>
      </c>
      <c r="D22" s="6" t="s">
        <v>51</v>
      </c>
      <c r="E22" s="6" t="s">
        <v>24</v>
      </c>
      <c r="F22" s="6" t="s">
        <v>49</v>
      </c>
      <c r="G22" s="38" t="s">
        <v>6</v>
      </c>
      <c r="H22" s="39"/>
      <c r="I22" s="7">
        <v>46082</v>
      </c>
      <c r="J22" s="8">
        <v>602.71</v>
      </c>
      <c r="K22" s="8">
        <v>602.71</v>
      </c>
      <c r="L22" s="8">
        <v>1808.13</v>
      </c>
      <c r="M22" s="8">
        <v>1808.13</v>
      </c>
      <c r="N22" s="8">
        <v>0</v>
      </c>
      <c r="O22" s="6" t="s">
        <v>26</v>
      </c>
      <c r="P22" s="6" t="s">
        <v>6</v>
      </c>
      <c r="Q22" s="6" t="s">
        <v>27</v>
      </c>
      <c r="R22" s="6"/>
      <c r="S22" s="6">
        <v>1</v>
      </c>
      <c r="T22" s="8">
        <v>23</v>
      </c>
      <c r="U22" s="9">
        <v>1</v>
      </c>
      <c r="V22" s="8">
        <v>23</v>
      </c>
      <c r="W22" s="6" t="s">
        <v>6</v>
      </c>
      <c r="X22" s="6"/>
    </row>
    <row r="23" spans="1:24" x14ac:dyDescent="0.3">
      <c r="A23" s="6" t="s">
        <v>278</v>
      </c>
      <c r="B23" s="6" t="s">
        <v>282</v>
      </c>
      <c r="C23" s="6" t="s">
        <v>52</v>
      </c>
      <c r="D23" s="6" t="s">
        <v>53</v>
      </c>
      <c r="E23" s="6" t="s">
        <v>24</v>
      </c>
      <c r="F23" s="6" t="s">
        <v>49</v>
      </c>
      <c r="G23" s="38" t="s">
        <v>6</v>
      </c>
      <c r="H23" s="39"/>
      <c r="I23" s="7">
        <v>46082</v>
      </c>
      <c r="J23" s="8">
        <v>486.48</v>
      </c>
      <c r="K23" s="8">
        <v>486.48</v>
      </c>
      <c r="L23" s="8">
        <v>2875.02</v>
      </c>
      <c r="M23" s="8">
        <v>1459.44</v>
      </c>
      <c r="N23" s="8">
        <v>1415.58</v>
      </c>
      <c r="O23" s="6" t="s">
        <v>26</v>
      </c>
      <c r="P23" s="6" t="s">
        <v>6</v>
      </c>
      <c r="Q23" s="6" t="s">
        <v>27</v>
      </c>
      <c r="R23" s="6"/>
      <c r="S23" s="6">
        <v>1</v>
      </c>
      <c r="T23" s="8">
        <v>23</v>
      </c>
      <c r="U23" s="9">
        <v>1</v>
      </c>
      <c r="V23" s="8">
        <v>23</v>
      </c>
      <c r="W23" s="6" t="s">
        <v>6</v>
      </c>
      <c r="X23" s="6"/>
    </row>
    <row r="24" spans="1:24" x14ac:dyDescent="0.3">
      <c r="A24" s="6" t="s">
        <v>278</v>
      </c>
      <c r="B24" s="6" t="s">
        <v>282</v>
      </c>
      <c r="C24" s="6" t="s">
        <v>54</v>
      </c>
      <c r="D24" s="6" t="s">
        <v>55</v>
      </c>
      <c r="E24" s="6" t="s">
        <v>24</v>
      </c>
      <c r="F24" s="6" t="s">
        <v>49</v>
      </c>
      <c r="G24" s="38" t="s">
        <v>6</v>
      </c>
      <c r="H24" s="39"/>
      <c r="I24" s="7">
        <v>46082</v>
      </c>
      <c r="J24" s="8">
        <v>203.34</v>
      </c>
      <c r="K24" s="8">
        <v>203.34</v>
      </c>
      <c r="L24" s="8">
        <v>790.74</v>
      </c>
      <c r="M24" s="8">
        <v>610.02</v>
      </c>
      <c r="N24" s="8">
        <v>180.72</v>
      </c>
      <c r="O24" s="6" t="s">
        <v>26</v>
      </c>
      <c r="P24" s="6" t="s">
        <v>6</v>
      </c>
      <c r="Q24" s="6" t="s">
        <v>27</v>
      </c>
      <c r="R24" s="6"/>
      <c r="S24" s="6">
        <v>1</v>
      </c>
      <c r="T24" s="8">
        <v>23</v>
      </c>
      <c r="U24" s="9">
        <v>1</v>
      </c>
      <c r="V24" s="8">
        <v>23</v>
      </c>
      <c r="W24" s="6" t="s">
        <v>6</v>
      </c>
      <c r="X24" s="6"/>
    </row>
    <row r="25" spans="1:24" x14ac:dyDescent="0.3">
      <c r="A25" s="6" t="s">
        <v>278</v>
      </c>
      <c r="B25" s="6" t="s">
        <v>282</v>
      </c>
      <c r="C25" s="6" t="s">
        <v>56</v>
      </c>
      <c r="D25" s="6" t="s">
        <v>57</v>
      </c>
      <c r="E25" s="6" t="s">
        <v>24</v>
      </c>
      <c r="F25" s="6" t="s">
        <v>49</v>
      </c>
      <c r="G25" s="38" t="s">
        <v>6</v>
      </c>
      <c r="H25" s="39"/>
      <c r="I25" s="7">
        <v>46082</v>
      </c>
      <c r="J25" s="8">
        <v>397.72</v>
      </c>
      <c r="K25" s="8">
        <v>397.72</v>
      </c>
      <c r="L25" s="8">
        <v>1193.1600000000001</v>
      </c>
      <c r="M25" s="8">
        <v>1193.1600000000001</v>
      </c>
      <c r="N25" s="8">
        <v>0</v>
      </c>
      <c r="O25" s="6" t="s">
        <v>26</v>
      </c>
      <c r="P25" s="6" t="s">
        <v>6</v>
      </c>
      <c r="Q25" s="6" t="s">
        <v>27</v>
      </c>
      <c r="R25" s="6"/>
      <c r="S25" s="6">
        <v>1</v>
      </c>
      <c r="T25" s="8">
        <v>23</v>
      </c>
      <c r="U25" s="9">
        <v>1</v>
      </c>
      <c r="V25" s="8">
        <v>23</v>
      </c>
      <c r="W25" s="6" t="s">
        <v>6</v>
      </c>
      <c r="X25" s="6"/>
    </row>
    <row r="26" spans="1:24" x14ac:dyDescent="0.3">
      <c r="A26" s="6" t="s">
        <v>278</v>
      </c>
      <c r="B26" s="6" t="s">
        <v>282</v>
      </c>
      <c r="C26" s="6" t="s">
        <v>58</v>
      </c>
      <c r="D26" s="6" t="s">
        <v>59</v>
      </c>
      <c r="E26" s="6" t="s">
        <v>24</v>
      </c>
      <c r="F26" s="6" t="s">
        <v>49</v>
      </c>
      <c r="G26" s="38" t="s">
        <v>6</v>
      </c>
      <c r="H26" s="39"/>
      <c r="I26" s="7">
        <v>46082</v>
      </c>
      <c r="J26" s="8">
        <v>1072.8800000000001</v>
      </c>
      <c r="K26" s="8">
        <v>1072.8800000000001</v>
      </c>
      <c r="L26" s="8">
        <v>10785.84</v>
      </c>
      <c r="M26" s="8">
        <v>9653.84</v>
      </c>
      <c r="N26" s="8">
        <v>1132</v>
      </c>
      <c r="O26" s="6" t="s">
        <v>26</v>
      </c>
      <c r="P26" s="6" t="s">
        <v>6</v>
      </c>
      <c r="Q26" s="6" t="s">
        <v>27</v>
      </c>
      <c r="R26" s="6"/>
      <c r="S26" s="6">
        <v>2</v>
      </c>
      <c r="T26" s="8">
        <v>23</v>
      </c>
      <c r="U26" s="9">
        <v>1</v>
      </c>
      <c r="V26" s="8">
        <v>46</v>
      </c>
      <c r="W26" s="6" t="s">
        <v>6</v>
      </c>
      <c r="X26" s="6"/>
    </row>
    <row r="27" spans="1:24" x14ac:dyDescent="0.3">
      <c r="A27" s="6" t="s">
        <v>278</v>
      </c>
      <c r="B27" s="6" t="s">
        <v>282</v>
      </c>
      <c r="C27" s="6" t="s">
        <v>60</v>
      </c>
      <c r="D27" s="6" t="s">
        <v>61</v>
      </c>
      <c r="E27" s="6" t="s">
        <v>24</v>
      </c>
      <c r="F27" s="6" t="s">
        <v>49</v>
      </c>
      <c r="G27" s="38" t="s">
        <v>6</v>
      </c>
      <c r="H27" s="39"/>
      <c r="I27" s="7">
        <v>46082</v>
      </c>
      <c r="J27" s="8">
        <v>207.55</v>
      </c>
      <c r="K27" s="8">
        <v>207.55</v>
      </c>
      <c r="L27" s="8">
        <v>1683.33</v>
      </c>
      <c r="M27" s="8">
        <v>622.65</v>
      </c>
      <c r="N27" s="8">
        <v>1060.68</v>
      </c>
      <c r="O27" s="6" t="s">
        <v>26</v>
      </c>
      <c r="P27" s="6" t="s">
        <v>6</v>
      </c>
      <c r="Q27" s="6" t="s">
        <v>27</v>
      </c>
      <c r="R27" s="6"/>
      <c r="S27" s="6">
        <v>1</v>
      </c>
      <c r="T27" s="8">
        <v>23</v>
      </c>
      <c r="U27" s="9">
        <v>1</v>
      </c>
      <c r="V27" s="8">
        <v>23</v>
      </c>
      <c r="W27" s="6" t="s">
        <v>6</v>
      </c>
      <c r="X27" s="6"/>
    </row>
    <row r="28" spans="1:24" x14ac:dyDescent="0.3">
      <c r="A28" s="6" t="s">
        <v>278</v>
      </c>
      <c r="B28" s="6" t="s">
        <v>282</v>
      </c>
      <c r="C28" s="6" t="s">
        <v>62</v>
      </c>
      <c r="D28" s="6" t="s">
        <v>63</v>
      </c>
      <c r="E28" s="6" t="s">
        <v>24</v>
      </c>
      <c r="F28" s="6" t="s">
        <v>49</v>
      </c>
      <c r="G28" s="38" t="s">
        <v>6</v>
      </c>
      <c r="H28" s="39"/>
      <c r="I28" s="7">
        <v>46054</v>
      </c>
      <c r="J28" s="8">
        <v>2670.98</v>
      </c>
      <c r="K28" s="8">
        <v>2670.98</v>
      </c>
      <c r="L28" s="8">
        <v>5341.96</v>
      </c>
      <c r="M28" s="8">
        <v>5341.96</v>
      </c>
      <c r="N28" s="8">
        <v>0</v>
      </c>
      <c r="O28" s="6" t="s">
        <v>26</v>
      </c>
      <c r="P28" s="6" t="s">
        <v>6</v>
      </c>
      <c r="Q28" s="6" t="s">
        <v>27</v>
      </c>
      <c r="R28" s="6"/>
      <c r="S28" s="6">
        <v>5</v>
      </c>
      <c r="T28" s="8">
        <v>23</v>
      </c>
      <c r="U28" s="9">
        <v>1</v>
      </c>
      <c r="V28" s="8">
        <v>115</v>
      </c>
      <c r="W28" s="6" t="s">
        <v>6</v>
      </c>
      <c r="X28" s="6"/>
    </row>
    <row r="29" spans="1:24" x14ac:dyDescent="0.3">
      <c r="A29" s="6" t="s">
        <v>278</v>
      </c>
      <c r="B29" s="6" t="s">
        <v>282</v>
      </c>
      <c r="C29" s="6" t="s">
        <v>62</v>
      </c>
      <c r="D29" s="6" t="s">
        <v>63</v>
      </c>
      <c r="E29" s="6" t="s">
        <v>24</v>
      </c>
      <c r="F29" s="6" t="s">
        <v>49</v>
      </c>
      <c r="G29" s="38" t="s">
        <v>6</v>
      </c>
      <c r="H29" s="39"/>
      <c r="I29" s="7">
        <v>46082</v>
      </c>
      <c r="J29" s="8">
        <v>2670.98</v>
      </c>
      <c r="K29" s="8">
        <v>2670.98</v>
      </c>
      <c r="L29" s="8">
        <v>8012.94</v>
      </c>
      <c r="M29" s="8">
        <v>8012.94</v>
      </c>
      <c r="N29" s="8">
        <v>0</v>
      </c>
      <c r="O29" s="6" t="s">
        <v>26</v>
      </c>
      <c r="P29" s="6" t="s">
        <v>6</v>
      </c>
      <c r="Q29" s="6" t="s">
        <v>27</v>
      </c>
      <c r="R29" s="6"/>
      <c r="S29" s="6">
        <v>5</v>
      </c>
      <c r="T29" s="8">
        <v>23</v>
      </c>
      <c r="U29" s="9">
        <v>1</v>
      </c>
      <c r="V29" s="8">
        <v>115</v>
      </c>
      <c r="W29" s="6" t="s">
        <v>6</v>
      </c>
      <c r="X29" s="6"/>
    </row>
    <row r="30" spans="1:24" x14ac:dyDescent="0.3">
      <c r="A30" s="6" t="s">
        <v>278</v>
      </c>
      <c r="B30" s="6" t="s">
        <v>282</v>
      </c>
      <c r="C30" s="6" t="s">
        <v>64</v>
      </c>
      <c r="D30" s="6" t="s">
        <v>65</v>
      </c>
      <c r="E30" s="6" t="s">
        <v>24</v>
      </c>
      <c r="F30" s="6" t="s">
        <v>49</v>
      </c>
      <c r="G30" s="38" t="s">
        <v>6</v>
      </c>
      <c r="H30" s="39"/>
      <c r="I30" s="7">
        <v>46082</v>
      </c>
      <c r="J30" s="8">
        <v>386.34</v>
      </c>
      <c r="K30" s="8">
        <v>386.34</v>
      </c>
      <c r="L30" s="8">
        <v>2277.3000000000002</v>
      </c>
      <c r="M30" s="8">
        <v>1159.02</v>
      </c>
      <c r="N30" s="8">
        <v>1118.28</v>
      </c>
      <c r="O30" s="6" t="s">
        <v>26</v>
      </c>
      <c r="P30" s="6" t="s">
        <v>6</v>
      </c>
      <c r="Q30" s="6" t="s">
        <v>27</v>
      </c>
      <c r="R30" s="6"/>
      <c r="S30" s="6">
        <v>3</v>
      </c>
      <c r="T30" s="8">
        <v>23</v>
      </c>
      <c r="U30" s="9">
        <v>1</v>
      </c>
      <c r="V30" s="8">
        <v>69</v>
      </c>
      <c r="W30" s="6" t="s">
        <v>6</v>
      </c>
      <c r="X30" s="6"/>
    </row>
    <row r="31" spans="1:24" x14ac:dyDescent="0.3">
      <c r="A31" s="6" t="s">
        <v>278</v>
      </c>
      <c r="B31" s="6" t="s">
        <v>282</v>
      </c>
      <c r="C31" s="6" t="s">
        <v>66</v>
      </c>
      <c r="D31" s="6" t="s">
        <v>67</v>
      </c>
      <c r="E31" s="6" t="s">
        <v>24</v>
      </c>
      <c r="F31" s="6" t="s">
        <v>49</v>
      </c>
      <c r="G31" s="38" t="s">
        <v>6</v>
      </c>
      <c r="H31" s="39"/>
      <c r="I31" s="7">
        <v>46082</v>
      </c>
      <c r="J31" s="8">
        <v>146.76</v>
      </c>
      <c r="K31" s="8">
        <v>146.76</v>
      </c>
      <c r="L31" s="8">
        <v>1464.68</v>
      </c>
      <c r="M31" s="8">
        <v>293.52</v>
      </c>
      <c r="N31" s="8">
        <v>1171.1600000000001</v>
      </c>
      <c r="O31" s="6" t="s">
        <v>26</v>
      </c>
      <c r="P31" s="6" t="s">
        <v>6</v>
      </c>
      <c r="Q31" s="6" t="s">
        <v>27</v>
      </c>
      <c r="R31" s="6"/>
      <c r="S31" s="6">
        <v>1</v>
      </c>
      <c r="T31" s="8">
        <v>23</v>
      </c>
      <c r="U31" s="9">
        <v>1</v>
      </c>
      <c r="V31" s="8">
        <v>23</v>
      </c>
      <c r="W31" s="6" t="s">
        <v>6</v>
      </c>
      <c r="X31" s="6"/>
    </row>
    <row r="32" spans="1:24" x14ac:dyDescent="0.3">
      <c r="A32" s="6" t="s">
        <v>278</v>
      </c>
      <c r="B32" s="6" t="s">
        <v>282</v>
      </c>
      <c r="C32" s="6" t="s">
        <v>68</v>
      </c>
      <c r="D32" s="6" t="s">
        <v>69</v>
      </c>
      <c r="E32" s="6" t="s">
        <v>24</v>
      </c>
      <c r="F32" s="6" t="s">
        <v>49</v>
      </c>
      <c r="G32" s="38" t="s">
        <v>6</v>
      </c>
      <c r="H32" s="39"/>
      <c r="I32" s="7">
        <v>46054</v>
      </c>
      <c r="J32" s="8">
        <v>148.91999999999999</v>
      </c>
      <c r="K32" s="8">
        <v>148.91999999999999</v>
      </c>
      <c r="L32" s="8">
        <v>2528.9</v>
      </c>
      <c r="M32" s="8">
        <v>401.99</v>
      </c>
      <c r="N32" s="8">
        <v>2126.91</v>
      </c>
      <c r="O32" s="6" t="s">
        <v>26</v>
      </c>
      <c r="P32" s="6" t="s">
        <v>6</v>
      </c>
      <c r="Q32" s="6" t="s">
        <v>27</v>
      </c>
      <c r="R32" s="6"/>
      <c r="S32" s="6">
        <v>1</v>
      </c>
      <c r="T32" s="8">
        <v>23</v>
      </c>
      <c r="U32" s="9">
        <v>1</v>
      </c>
      <c r="V32" s="8">
        <v>23</v>
      </c>
      <c r="W32" s="6" t="s">
        <v>6</v>
      </c>
      <c r="X32" s="6"/>
    </row>
    <row r="33" spans="1:24" x14ac:dyDescent="0.3">
      <c r="A33" s="6" t="s">
        <v>278</v>
      </c>
      <c r="B33" s="6" t="s">
        <v>282</v>
      </c>
      <c r="C33" s="6" t="s">
        <v>70</v>
      </c>
      <c r="D33" s="6" t="s">
        <v>71</v>
      </c>
      <c r="E33" s="6" t="s">
        <v>24</v>
      </c>
      <c r="F33" s="6" t="s">
        <v>49</v>
      </c>
      <c r="G33" s="38" t="s">
        <v>6</v>
      </c>
      <c r="H33" s="39"/>
      <c r="I33" s="7">
        <v>46082</v>
      </c>
      <c r="J33" s="8">
        <v>1670.97</v>
      </c>
      <c r="K33" s="8">
        <v>1670.97</v>
      </c>
      <c r="L33" s="8">
        <v>5012.91</v>
      </c>
      <c r="M33" s="8">
        <v>5012.91</v>
      </c>
      <c r="N33" s="8">
        <v>0</v>
      </c>
      <c r="O33" s="6" t="s">
        <v>26</v>
      </c>
      <c r="P33" s="6" t="s">
        <v>6</v>
      </c>
      <c r="Q33" s="6" t="s">
        <v>27</v>
      </c>
      <c r="R33" s="6"/>
      <c r="S33" s="6">
        <v>2</v>
      </c>
      <c r="T33" s="8">
        <v>23</v>
      </c>
      <c r="U33" s="9">
        <v>1</v>
      </c>
      <c r="V33" s="8">
        <v>46</v>
      </c>
      <c r="W33" s="6" t="s">
        <v>6</v>
      </c>
      <c r="X33" s="6"/>
    </row>
    <row r="34" spans="1:24" x14ac:dyDescent="0.3">
      <c r="A34" s="6" t="s">
        <v>278</v>
      </c>
      <c r="B34" s="6" t="s">
        <v>282</v>
      </c>
      <c r="C34" s="6" t="s">
        <v>72</v>
      </c>
      <c r="D34" s="6" t="s">
        <v>73</v>
      </c>
      <c r="E34" s="6" t="s">
        <v>24</v>
      </c>
      <c r="F34" s="6" t="s">
        <v>49</v>
      </c>
      <c r="G34" s="38" t="s">
        <v>6</v>
      </c>
      <c r="H34" s="39"/>
      <c r="I34" s="7">
        <v>46082</v>
      </c>
      <c r="J34" s="8">
        <v>428.94</v>
      </c>
      <c r="K34" s="8">
        <v>428.94</v>
      </c>
      <c r="L34" s="8">
        <v>1286.82</v>
      </c>
      <c r="M34" s="8">
        <v>1286.82</v>
      </c>
      <c r="N34" s="8">
        <v>0</v>
      </c>
      <c r="O34" s="6" t="s">
        <v>26</v>
      </c>
      <c r="P34" s="6" t="s">
        <v>6</v>
      </c>
      <c r="Q34" s="6" t="s">
        <v>27</v>
      </c>
      <c r="R34" s="6"/>
      <c r="S34" s="6">
        <v>1</v>
      </c>
      <c r="T34" s="8">
        <v>23</v>
      </c>
      <c r="U34" s="9">
        <v>1</v>
      </c>
      <c r="V34" s="8">
        <v>23</v>
      </c>
      <c r="W34" s="6" t="s">
        <v>6</v>
      </c>
      <c r="X34" s="6"/>
    </row>
    <row r="35" spans="1:24" x14ac:dyDescent="0.3">
      <c r="A35" s="6" t="s">
        <v>278</v>
      </c>
      <c r="B35" s="6" t="s">
        <v>282</v>
      </c>
      <c r="C35" s="6" t="s">
        <v>74</v>
      </c>
      <c r="D35" s="6" t="s">
        <v>75</v>
      </c>
      <c r="E35" s="6" t="s">
        <v>24</v>
      </c>
      <c r="F35" s="6" t="s">
        <v>49</v>
      </c>
      <c r="G35" s="38" t="s">
        <v>6</v>
      </c>
      <c r="H35" s="39"/>
      <c r="I35" s="7">
        <v>46082</v>
      </c>
      <c r="J35" s="8">
        <v>130.63</v>
      </c>
      <c r="K35" s="8">
        <v>130.63</v>
      </c>
      <c r="L35" s="8">
        <v>2300.87</v>
      </c>
      <c r="M35" s="8">
        <v>1043.5899999999999</v>
      </c>
      <c r="N35" s="8">
        <v>1257.28</v>
      </c>
      <c r="O35" s="6" t="s">
        <v>26</v>
      </c>
      <c r="P35" s="6" t="s">
        <v>6</v>
      </c>
      <c r="Q35" s="6" t="s">
        <v>27</v>
      </c>
      <c r="R35" s="6"/>
      <c r="S35" s="6">
        <v>1</v>
      </c>
      <c r="T35" s="8">
        <v>23</v>
      </c>
      <c r="U35" s="9">
        <v>1</v>
      </c>
      <c r="V35" s="8">
        <v>23</v>
      </c>
      <c r="W35" s="6" t="s">
        <v>6</v>
      </c>
      <c r="X35" s="6"/>
    </row>
    <row r="36" spans="1:24" x14ac:dyDescent="0.3">
      <c r="A36" s="6" t="s">
        <v>278</v>
      </c>
      <c r="B36" s="6" t="s">
        <v>282</v>
      </c>
      <c r="C36" s="6" t="s">
        <v>76</v>
      </c>
      <c r="D36" s="6" t="s">
        <v>77</v>
      </c>
      <c r="E36" s="6" t="s">
        <v>24</v>
      </c>
      <c r="F36" s="6" t="s">
        <v>49</v>
      </c>
      <c r="G36" s="38" t="s">
        <v>6</v>
      </c>
      <c r="H36" s="39"/>
      <c r="I36" s="7">
        <v>46082</v>
      </c>
      <c r="J36" s="8">
        <v>149.83000000000001</v>
      </c>
      <c r="K36" s="8">
        <v>149.83000000000001</v>
      </c>
      <c r="L36" s="8">
        <v>2509.1999999999998</v>
      </c>
      <c r="M36" s="8">
        <v>449.49</v>
      </c>
      <c r="N36" s="8">
        <v>2059.71</v>
      </c>
      <c r="O36" s="6" t="s">
        <v>26</v>
      </c>
      <c r="P36" s="6" t="s">
        <v>6</v>
      </c>
      <c r="Q36" s="6" t="s">
        <v>27</v>
      </c>
      <c r="R36" s="6"/>
      <c r="S36" s="6">
        <v>1</v>
      </c>
      <c r="T36" s="8">
        <v>23</v>
      </c>
      <c r="U36" s="9">
        <v>1</v>
      </c>
      <c r="V36" s="8">
        <v>23</v>
      </c>
      <c r="W36" s="6" t="s">
        <v>6</v>
      </c>
      <c r="X36" s="6"/>
    </row>
    <row r="37" spans="1:24" x14ac:dyDescent="0.3">
      <c r="A37" s="6" t="s">
        <v>278</v>
      </c>
      <c r="B37" s="6" t="s">
        <v>282</v>
      </c>
      <c r="C37" s="6" t="s">
        <v>78</v>
      </c>
      <c r="D37" s="6" t="s">
        <v>79</v>
      </c>
      <c r="E37" s="6" t="s">
        <v>24</v>
      </c>
      <c r="F37" s="6" t="s">
        <v>49</v>
      </c>
      <c r="G37" s="38" t="s">
        <v>6</v>
      </c>
      <c r="H37" s="39"/>
      <c r="I37" s="7">
        <v>46082</v>
      </c>
      <c r="J37" s="8">
        <v>1.41</v>
      </c>
      <c r="K37" s="8">
        <v>1.41</v>
      </c>
      <c r="L37" s="8">
        <v>7363.85</v>
      </c>
      <c r="M37" s="8">
        <v>10.33</v>
      </c>
      <c r="N37" s="8">
        <v>7353.52</v>
      </c>
      <c r="O37" s="6" t="s">
        <v>26</v>
      </c>
      <c r="P37" s="6" t="s">
        <v>6</v>
      </c>
      <c r="Q37" s="6" t="s">
        <v>27</v>
      </c>
      <c r="R37" s="6"/>
      <c r="S37" s="6">
        <v>1</v>
      </c>
      <c r="T37" s="8">
        <v>23</v>
      </c>
      <c r="U37" s="9">
        <v>1</v>
      </c>
      <c r="V37" s="8">
        <v>23</v>
      </c>
      <c r="W37" s="6" t="s">
        <v>6</v>
      </c>
      <c r="X37" s="6"/>
    </row>
    <row r="38" spans="1:24" x14ac:dyDescent="0.3">
      <c r="A38" s="6" t="s">
        <v>278</v>
      </c>
      <c r="B38" s="6" t="s">
        <v>282</v>
      </c>
      <c r="C38" s="6" t="s">
        <v>80</v>
      </c>
      <c r="D38" s="6" t="s">
        <v>81</v>
      </c>
      <c r="E38" s="6" t="s">
        <v>24</v>
      </c>
      <c r="F38" s="6" t="s">
        <v>49</v>
      </c>
      <c r="G38" s="38" t="s">
        <v>6</v>
      </c>
      <c r="H38" s="39"/>
      <c r="I38" s="7">
        <v>46082</v>
      </c>
      <c r="J38" s="8">
        <v>242.33</v>
      </c>
      <c r="K38" s="8">
        <v>242.33</v>
      </c>
      <c r="L38" s="8">
        <v>815.01</v>
      </c>
      <c r="M38" s="8">
        <v>726.99</v>
      </c>
      <c r="N38" s="8">
        <v>88.02</v>
      </c>
      <c r="O38" s="6" t="s">
        <v>26</v>
      </c>
      <c r="P38" s="6" t="s">
        <v>6</v>
      </c>
      <c r="Q38" s="6" t="s">
        <v>27</v>
      </c>
      <c r="R38" s="6"/>
      <c r="S38" s="6">
        <v>1</v>
      </c>
      <c r="T38" s="8">
        <v>23</v>
      </c>
      <c r="U38" s="9">
        <v>1</v>
      </c>
      <c r="V38" s="8">
        <v>23</v>
      </c>
      <c r="W38" s="6" t="s">
        <v>6</v>
      </c>
      <c r="X38" s="6"/>
    </row>
    <row r="39" spans="1:24" x14ac:dyDescent="0.3">
      <c r="A39" s="6" t="s">
        <v>278</v>
      </c>
      <c r="B39" s="6" t="s">
        <v>282</v>
      </c>
      <c r="C39" s="6" t="s">
        <v>82</v>
      </c>
      <c r="D39" s="6" t="s">
        <v>83</v>
      </c>
      <c r="E39" s="6" t="s">
        <v>24</v>
      </c>
      <c r="F39" s="6" t="s">
        <v>49</v>
      </c>
      <c r="G39" s="38" t="s">
        <v>6</v>
      </c>
      <c r="H39" s="39"/>
      <c r="I39" s="7">
        <v>46082</v>
      </c>
      <c r="J39" s="8">
        <v>352.44</v>
      </c>
      <c r="K39" s="8">
        <v>352.44</v>
      </c>
      <c r="L39" s="8">
        <v>3860.19</v>
      </c>
      <c r="M39" s="8">
        <v>3860.19</v>
      </c>
      <c r="N39" s="8">
        <v>0</v>
      </c>
      <c r="O39" s="6" t="s">
        <v>26</v>
      </c>
      <c r="P39" s="6" t="s">
        <v>6</v>
      </c>
      <c r="Q39" s="6" t="s">
        <v>27</v>
      </c>
      <c r="R39" s="6"/>
      <c r="S39" s="6">
        <v>1</v>
      </c>
      <c r="T39" s="8">
        <v>23</v>
      </c>
      <c r="U39" s="9">
        <v>1</v>
      </c>
      <c r="V39" s="8">
        <v>23</v>
      </c>
      <c r="W39" s="6" t="s">
        <v>6</v>
      </c>
      <c r="X39" s="6"/>
    </row>
    <row r="40" spans="1:24" x14ac:dyDescent="0.3">
      <c r="A40" s="6" t="s">
        <v>278</v>
      </c>
      <c r="B40" s="6" t="s">
        <v>282</v>
      </c>
      <c r="C40" s="6" t="s">
        <v>84</v>
      </c>
      <c r="D40" s="6" t="s">
        <v>85</v>
      </c>
      <c r="E40" s="6" t="s">
        <v>24</v>
      </c>
      <c r="F40" s="6" t="s">
        <v>49</v>
      </c>
      <c r="G40" s="38" t="s">
        <v>6</v>
      </c>
      <c r="H40" s="39"/>
      <c r="I40" s="7">
        <v>46082</v>
      </c>
      <c r="J40" s="8">
        <v>169.86</v>
      </c>
      <c r="K40" s="8">
        <v>169.86</v>
      </c>
      <c r="L40" s="8">
        <v>3617.4</v>
      </c>
      <c r="M40" s="8">
        <v>509.58</v>
      </c>
      <c r="N40" s="8">
        <v>3107.82</v>
      </c>
      <c r="O40" s="6" t="s">
        <v>26</v>
      </c>
      <c r="P40" s="6" t="s">
        <v>6</v>
      </c>
      <c r="Q40" s="6" t="s">
        <v>27</v>
      </c>
      <c r="R40" s="6"/>
      <c r="S40" s="6">
        <v>1</v>
      </c>
      <c r="T40" s="8">
        <v>23</v>
      </c>
      <c r="U40" s="9">
        <v>1</v>
      </c>
      <c r="V40" s="8">
        <v>23</v>
      </c>
      <c r="W40" s="6" t="s">
        <v>6</v>
      </c>
      <c r="X40" s="6"/>
    </row>
    <row r="41" spans="1:24" ht="40.799999999999997" x14ac:dyDescent="0.3">
      <c r="A41" s="6" t="s">
        <v>278</v>
      </c>
      <c r="B41" s="6" t="s">
        <v>282</v>
      </c>
      <c r="C41" s="6" t="s">
        <v>86</v>
      </c>
      <c r="D41" s="6" t="s">
        <v>87</v>
      </c>
      <c r="E41" s="6" t="s">
        <v>24</v>
      </c>
      <c r="F41" s="6" t="s">
        <v>49</v>
      </c>
      <c r="G41" s="38" t="s">
        <v>280</v>
      </c>
      <c r="H41" s="39"/>
      <c r="I41" s="6"/>
      <c r="J41" s="6"/>
      <c r="K41" s="6"/>
      <c r="L41" s="8">
        <v>0</v>
      </c>
      <c r="M41" s="6"/>
      <c r="N41" s="6"/>
      <c r="O41" s="6" t="s">
        <v>26</v>
      </c>
      <c r="P41" s="6" t="s">
        <v>6</v>
      </c>
      <c r="Q41" s="6" t="s">
        <v>281</v>
      </c>
      <c r="R41" s="6"/>
      <c r="S41" s="6"/>
      <c r="T41" s="6"/>
      <c r="U41" s="6"/>
      <c r="V41" s="8">
        <v>-23</v>
      </c>
      <c r="W41" s="6" t="s">
        <v>6</v>
      </c>
      <c r="X41" s="6" t="s">
        <v>88</v>
      </c>
    </row>
    <row r="42" spans="1:24" x14ac:dyDescent="0.3">
      <c r="A42" s="6" t="s">
        <v>278</v>
      </c>
      <c r="B42" s="6" t="s">
        <v>282</v>
      </c>
      <c r="C42" s="6" t="s">
        <v>89</v>
      </c>
      <c r="D42" s="6" t="s">
        <v>90</v>
      </c>
      <c r="E42" s="6" t="s">
        <v>24</v>
      </c>
      <c r="F42" s="6" t="s">
        <v>49</v>
      </c>
      <c r="G42" s="38" t="s">
        <v>6</v>
      </c>
      <c r="H42" s="39"/>
      <c r="I42" s="7">
        <v>46082</v>
      </c>
      <c r="J42" s="8">
        <v>546.78</v>
      </c>
      <c r="K42" s="8">
        <v>546.78</v>
      </c>
      <c r="L42" s="8">
        <v>6554.73</v>
      </c>
      <c r="M42" s="8">
        <v>1640.34</v>
      </c>
      <c r="N42" s="8">
        <v>4914.3900000000003</v>
      </c>
      <c r="O42" s="6" t="s">
        <v>26</v>
      </c>
      <c r="P42" s="6" t="s">
        <v>6</v>
      </c>
      <c r="Q42" s="6" t="s">
        <v>27</v>
      </c>
      <c r="R42" s="6"/>
      <c r="S42" s="6">
        <v>2</v>
      </c>
      <c r="T42" s="8">
        <v>23</v>
      </c>
      <c r="U42" s="9">
        <v>1</v>
      </c>
      <c r="V42" s="8">
        <v>46</v>
      </c>
      <c r="W42" s="6" t="s">
        <v>6</v>
      </c>
      <c r="X42" s="6"/>
    </row>
    <row r="43" spans="1:24" x14ac:dyDescent="0.3">
      <c r="A43" s="6" t="s">
        <v>278</v>
      </c>
      <c r="B43" s="6" t="s">
        <v>282</v>
      </c>
      <c r="C43" s="6" t="s">
        <v>91</v>
      </c>
      <c r="D43" s="6" t="s">
        <v>92</v>
      </c>
      <c r="E43" s="6" t="s">
        <v>24</v>
      </c>
      <c r="F43" s="6" t="s">
        <v>49</v>
      </c>
      <c r="G43" s="38" t="s">
        <v>6</v>
      </c>
      <c r="H43" s="39"/>
      <c r="I43" s="7">
        <v>46082</v>
      </c>
      <c r="J43" s="8">
        <v>921.12</v>
      </c>
      <c r="K43" s="8">
        <v>921.12</v>
      </c>
      <c r="L43" s="8">
        <v>2763.36</v>
      </c>
      <c r="M43" s="8">
        <v>2763.36</v>
      </c>
      <c r="N43" s="8">
        <v>0</v>
      </c>
      <c r="O43" s="6" t="s">
        <v>26</v>
      </c>
      <c r="P43" s="6" t="s">
        <v>6</v>
      </c>
      <c r="Q43" s="6" t="s">
        <v>27</v>
      </c>
      <c r="R43" s="6"/>
      <c r="S43" s="6">
        <v>1</v>
      </c>
      <c r="T43" s="8">
        <v>23</v>
      </c>
      <c r="U43" s="9">
        <v>1</v>
      </c>
      <c r="V43" s="8">
        <v>23</v>
      </c>
      <c r="W43" s="6" t="s">
        <v>6</v>
      </c>
      <c r="X43" s="6"/>
    </row>
    <row r="44" spans="1:24" x14ac:dyDescent="0.3">
      <c r="A44" s="6" t="s">
        <v>278</v>
      </c>
      <c r="B44" s="6" t="s">
        <v>282</v>
      </c>
      <c r="C44" s="6" t="s">
        <v>93</v>
      </c>
      <c r="D44" s="6" t="s">
        <v>94</v>
      </c>
      <c r="E44" s="6" t="s">
        <v>24</v>
      </c>
      <c r="F44" s="6" t="s">
        <v>49</v>
      </c>
      <c r="G44" s="38" t="s">
        <v>6</v>
      </c>
      <c r="H44" s="39"/>
      <c r="I44" s="7">
        <v>46054</v>
      </c>
      <c r="J44" s="8">
        <v>271.91000000000003</v>
      </c>
      <c r="K44" s="8">
        <v>271.91000000000003</v>
      </c>
      <c r="L44" s="8">
        <v>1703.02</v>
      </c>
      <c r="M44" s="8">
        <v>543.82000000000005</v>
      </c>
      <c r="N44" s="8">
        <v>1159.2</v>
      </c>
      <c r="O44" s="6" t="s">
        <v>26</v>
      </c>
      <c r="P44" s="6" t="s">
        <v>6</v>
      </c>
      <c r="Q44" s="6" t="s">
        <v>27</v>
      </c>
      <c r="R44" s="6"/>
      <c r="S44" s="6">
        <v>1</v>
      </c>
      <c r="T44" s="8">
        <v>23</v>
      </c>
      <c r="U44" s="9">
        <v>1</v>
      </c>
      <c r="V44" s="8">
        <v>23</v>
      </c>
      <c r="W44" s="6" t="s">
        <v>6</v>
      </c>
      <c r="X44" s="6"/>
    </row>
    <row r="45" spans="1:24" x14ac:dyDescent="0.3">
      <c r="A45" s="6" t="s">
        <v>278</v>
      </c>
      <c r="B45" s="6" t="s">
        <v>282</v>
      </c>
      <c r="C45" s="6" t="s">
        <v>93</v>
      </c>
      <c r="D45" s="6" t="s">
        <v>94</v>
      </c>
      <c r="E45" s="6" t="s">
        <v>24</v>
      </c>
      <c r="F45" s="6" t="s">
        <v>49</v>
      </c>
      <c r="G45" s="38" t="s">
        <v>6</v>
      </c>
      <c r="H45" s="39"/>
      <c r="I45" s="7">
        <v>46082</v>
      </c>
      <c r="J45" s="8">
        <v>271.91000000000003</v>
      </c>
      <c r="K45" s="8">
        <v>0</v>
      </c>
      <c r="L45" s="8">
        <v>2554.5300000000002</v>
      </c>
      <c r="M45" s="8">
        <v>815.73</v>
      </c>
      <c r="N45" s="8">
        <v>1738.8</v>
      </c>
      <c r="O45" s="6" t="s">
        <v>26</v>
      </c>
      <c r="P45" s="6" t="s">
        <v>6</v>
      </c>
      <c r="Q45" s="6" t="s">
        <v>27</v>
      </c>
      <c r="R45" s="6"/>
      <c r="S45" s="6">
        <v>1</v>
      </c>
      <c r="T45" s="8">
        <v>23</v>
      </c>
      <c r="U45" s="9">
        <v>1</v>
      </c>
      <c r="V45" s="8">
        <v>0</v>
      </c>
      <c r="W45" s="6" t="s">
        <v>6</v>
      </c>
      <c r="X45" s="6"/>
    </row>
    <row r="46" spans="1:24" x14ac:dyDescent="0.3">
      <c r="A46" s="6" t="s">
        <v>278</v>
      </c>
      <c r="B46" s="6" t="s">
        <v>282</v>
      </c>
      <c r="C46" s="6" t="s">
        <v>95</v>
      </c>
      <c r="D46" s="6" t="s">
        <v>96</v>
      </c>
      <c r="E46" s="6" t="s">
        <v>24</v>
      </c>
      <c r="F46" s="6" t="s">
        <v>49</v>
      </c>
      <c r="G46" s="38" t="s">
        <v>6</v>
      </c>
      <c r="H46" s="39"/>
      <c r="I46" s="7">
        <v>46082</v>
      </c>
      <c r="J46" s="8">
        <v>604.69000000000005</v>
      </c>
      <c r="K46" s="8">
        <v>604.69000000000005</v>
      </c>
      <c r="L46" s="8">
        <v>5701.94</v>
      </c>
      <c r="M46" s="8">
        <v>5701.94</v>
      </c>
      <c r="N46" s="8">
        <v>0</v>
      </c>
      <c r="O46" s="6" t="s">
        <v>26</v>
      </c>
      <c r="P46" s="6" t="s">
        <v>6</v>
      </c>
      <c r="Q46" s="6" t="s">
        <v>27</v>
      </c>
      <c r="R46" s="6"/>
      <c r="S46" s="6">
        <v>1</v>
      </c>
      <c r="T46" s="8">
        <v>23</v>
      </c>
      <c r="U46" s="9">
        <v>1</v>
      </c>
      <c r="V46" s="8">
        <v>23</v>
      </c>
      <c r="W46" s="6" t="s">
        <v>6</v>
      </c>
      <c r="X46" s="6"/>
    </row>
    <row r="47" spans="1:24" x14ac:dyDescent="0.3">
      <c r="A47" s="6" t="s">
        <v>278</v>
      </c>
      <c r="B47" s="6" t="s">
        <v>282</v>
      </c>
      <c r="C47" s="6" t="s">
        <v>97</v>
      </c>
      <c r="D47" s="6" t="s">
        <v>98</v>
      </c>
      <c r="E47" s="6" t="s">
        <v>24</v>
      </c>
      <c r="F47" s="6" t="s">
        <v>49</v>
      </c>
      <c r="G47" s="38" t="s">
        <v>6</v>
      </c>
      <c r="H47" s="39"/>
      <c r="I47" s="7">
        <v>46082</v>
      </c>
      <c r="J47" s="8">
        <v>315.77</v>
      </c>
      <c r="K47" s="8">
        <v>315.77</v>
      </c>
      <c r="L47" s="8">
        <v>8208.33</v>
      </c>
      <c r="M47" s="8">
        <v>5319.53</v>
      </c>
      <c r="N47" s="8">
        <v>2888.8</v>
      </c>
      <c r="O47" s="6" t="s">
        <v>26</v>
      </c>
      <c r="P47" s="6" t="s">
        <v>6</v>
      </c>
      <c r="Q47" s="6" t="s">
        <v>27</v>
      </c>
      <c r="R47" s="6"/>
      <c r="S47" s="6">
        <v>1</v>
      </c>
      <c r="T47" s="8">
        <v>23</v>
      </c>
      <c r="U47" s="9">
        <v>1</v>
      </c>
      <c r="V47" s="8">
        <v>23</v>
      </c>
      <c r="W47" s="6" t="s">
        <v>6</v>
      </c>
      <c r="X47" s="6"/>
    </row>
    <row r="48" spans="1:24" x14ac:dyDescent="0.3">
      <c r="A48" s="6" t="s">
        <v>278</v>
      </c>
      <c r="B48" s="6" t="s">
        <v>282</v>
      </c>
      <c r="C48" s="6" t="s">
        <v>99</v>
      </c>
      <c r="D48" s="6" t="s">
        <v>100</v>
      </c>
      <c r="E48" s="6" t="s">
        <v>24</v>
      </c>
      <c r="F48" s="6" t="s">
        <v>49</v>
      </c>
      <c r="G48" s="38" t="s">
        <v>6</v>
      </c>
      <c r="H48" s="39"/>
      <c r="I48" s="7">
        <v>46082</v>
      </c>
      <c r="J48" s="8">
        <v>51.21</v>
      </c>
      <c r="K48" s="8">
        <v>51.21</v>
      </c>
      <c r="L48" s="8">
        <v>1147.71</v>
      </c>
      <c r="M48" s="8">
        <v>153.63</v>
      </c>
      <c r="N48" s="8">
        <v>994.08</v>
      </c>
      <c r="O48" s="6" t="s">
        <v>26</v>
      </c>
      <c r="P48" s="6" t="s">
        <v>6</v>
      </c>
      <c r="Q48" s="6" t="s">
        <v>27</v>
      </c>
      <c r="R48" s="6"/>
      <c r="S48" s="6">
        <v>1</v>
      </c>
      <c r="T48" s="8">
        <v>23</v>
      </c>
      <c r="U48" s="9">
        <v>1</v>
      </c>
      <c r="V48" s="8">
        <v>23</v>
      </c>
      <c r="W48" s="6" t="s">
        <v>6</v>
      </c>
      <c r="X48" s="6"/>
    </row>
    <row r="49" spans="1:24" x14ac:dyDescent="0.3">
      <c r="A49" s="6" t="s">
        <v>278</v>
      </c>
      <c r="B49" s="6" t="s">
        <v>282</v>
      </c>
      <c r="C49" s="6" t="s">
        <v>101</v>
      </c>
      <c r="D49" s="6" t="s">
        <v>102</v>
      </c>
      <c r="E49" s="6" t="s">
        <v>24</v>
      </c>
      <c r="F49" s="6" t="s">
        <v>49</v>
      </c>
      <c r="G49" s="38" t="s">
        <v>6</v>
      </c>
      <c r="H49" s="39"/>
      <c r="I49" s="7">
        <v>46082</v>
      </c>
      <c r="J49" s="8">
        <v>111.83</v>
      </c>
      <c r="K49" s="8">
        <v>111.83</v>
      </c>
      <c r="L49" s="8">
        <v>2711.31</v>
      </c>
      <c r="M49" s="8">
        <v>335.49</v>
      </c>
      <c r="N49" s="8">
        <v>2375.8200000000002</v>
      </c>
      <c r="O49" s="6" t="s">
        <v>26</v>
      </c>
      <c r="P49" s="6" t="s">
        <v>6</v>
      </c>
      <c r="Q49" s="6" t="s">
        <v>27</v>
      </c>
      <c r="R49" s="6"/>
      <c r="S49" s="6">
        <v>2</v>
      </c>
      <c r="T49" s="8">
        <v>23</v>
      </c>
      <c r="U49" s="9">
        <v>1</v>
      </c>
      <c r="V49" s="8">
        <v>46</v>
      </c>
      <c r="W49" s="6" t="s">
        <v>6</v>
      </c>
      <c r="X49" s="6"/>
    </row>
    <row r="50" spans="1:24" x14ac:dyDescent="0.3">
      <c r="A50" s="6" t="s">
        <v>278</v>
      </c>
      <c r="B50" s="6" t="s">
        <v>282</v>
      </c>
      <c r="C50" s="6" t="s">
        <v>103</v>
      </c>
      <c r="D50" s="6" t="s">
        <v>104</v>
      </c>
      <c r="E50" s="6" t="s">
        <v>24</v>
      </c>
      <c r="F50" s="6" t="s">
        <v>49</v>
      </c>
      <c r="G50" s="38" t="s">
        <v>6</v>
      </c>
      <c r="H50" s="39"/>
      <c r="I50" s="7">
        <v>46082</v>
      </c>
      <c r="J50" s="8">
        <v>2419.46</v>
      </c>
      <c r="K50" s="8">
        <v>2419.46</v>
      </c>
      <c r="L50" s="8">
        <v>9340.57</v>
      </c>
      <c r="M50" s="8">
        <v>8733.7800000000007</v>
      </c>
      <c r="N50" s="8">
        <v>606.79</v>
      </c>
      <c r="O50" s="6" t="s">
        <v>26</v>
      </c>
      <c r="P50" s="6" t="s">
        <v>6</v>
      </c>
      <c r="Q50" s="6" t="s">
        <v>27</v>
      </c>
      <c r="R50" s="6"/>
      <c r="S50" s="6">
        <v>3</v>
      </c>
      <c r="T50" s="8">
        <v>23</v>
      </c>
      <c r="U50" s="9">
        <v>1</v>
      </c>
      <c r="V50" s="8">
        <v>69</v>
      </c>
      <c r="W50" s="6" t="s">
        <v>6</v>
      </c>
      <c r="X50" s="6"/>
    </row>
    <row r="51" spans="1:24" x14ac:dyDescent="0.3">
      <c r="A51" s="6" t="s">
        <v>278</v>
      </c>
      <c r="B51" s="6" t="s">
        <v>282</v>
      </c>
      <c r="C51" s="6" t="s">
        <v>105</v>
      </c>
      <c r="D51" s="6" t="s">
        <v>106</v>
      </c>
      <c r="E51" s="6" t="s">
        <v>24</v>
      </c>
      <c r="F51" s="6" t="s">
        <v>49</v>
      </c>
      <c r="G51" s="38" t="s">
        <v>6</v>
      </c>
      <c r="H51" s="39"/>
      <c r="I51" s="7">
        <v>46082</v>
      </c>
      <c r="J51" s="8">
        <v>1813.34</v>
      </c>
      <c r="K51" s="8">
        <v>1813.34</v>
      </c>
      <c r="L51" s="8">
        <v>5440.02</v>
      </c>
      <c r="M51" s="8">
        <v>5440.02</v>
      </c>
      <c r="N51" s="8">
        <v>0</v>
      </c>
      <c r="O51" s="6" t="s">
        <v>26</v>
      </c>
      <c r="P51" s="6" t="s">
        <v>6</v>
      </c>
      <c r="Q51" s="6" t="s">
        <v>27</v>
      </c>
      <c r="R51" s="6"/>
      <c r="S51" s="6">
        <v>3</v>
      </c>
      <c r="T51" s="8">
        <v>23</v>
      </c>
      <c r="U51" s="9">
        <v>1</v>
      </c>
      <c r="V51" s="8">
        <v>69</v>
      </c>
      <c r="W51" s="6" t="s">
        <v>6</v>
      </c>
      <c r="X51" s="6"/>
    </row>
    <row r="52" spans="1:24" x14ac:dyDescent="0.3">
      <c r="A52" s="6" t="s">
        <v>278</v>
      </c>
      <c r="B52" s="6" t="s">
        <v>282</v>
      </c>
      <c r="C52" s="6" t="s">
        <v>107</v>
      </c>
      <c r="D52" s="6" t="s">
        <v>108</v>
      </c>
      <c r="E52" s="6" t="s">
        <v>24</v>
      </c>
      <c r="F52" s="6" t="s">
        <v>49</v>
      </c>
      <c r="G52" s="38" t="s">
        <v>6</v>
      </c>
      <c r="H52" s="39"/>
      <c r="I52" s="7">
        <v>46082</v>
      </c>
      <c r="J52" s="8">
        <v>692.23</v>
      </c>
      <c r="K52" s="8">
        <v>692.23</v>
      </c>
      <c r="L52" s="8">
        <v>2076.69</v>
      </c>
      <c r="M52" s="8">
        <v>2076.69</v>
      </c>
      <c r="N52" s="8">
        <v>0</v>
      </c>
      <c r="O52" s="6" t="s">
        <v>26</v>
      </c>
      <c r="P52" s="6" t="s">
        <v>6</v>
      </c>
      <c r="Q52" s="6" t="s">
        <v>27</v>
      </c>
      <c r="R52" s="6"/>
      <c r="S52" s="6">
        <v>1</v>
      </c>
      <c r="T52" s="8">
        <v>23</v>
      </c>
      <c r="U52" s="9">
        <v>1</v>
      </c>
      <c r="V52" s="8">
        <v>23</v>
      </c>
      <c r="W52" s="6" t="s">
        <v>6</v>
      </c>
      <c r="X52" s="6"/>
    </row>
    <row r="53" spans="1:24" x14ac:dyDescent="0.3">
      <c r="A53" s="6" t="s">
        <v>278</v>
      </c>
      <c r="B53" s="6" t="s">
        <v>282</v>
      </c>
      <c r="C53" s="6" t="s">
        <v>109</v>
      </c>
      <c r="D53" s="6" t="s">
        <v>110</v>
      </c>
      <c r="E53" s="6" t="s">
        <v>24</v>
      </c>
      <c r="F53" s="6" t="s">
        <v>49</v>
      </c>
      <c r="G53" s="38" t="s">
        <v>6</v>
      </c>
      <c r="H53" s="39"/>
      <c r="I53" s="7">
        <v>46082</v>
      </c>
      <c r="J53" s="8">
        <v>280.45999999999998</v>
      </c>
      <c r="K53" s="8">
        <v>280.45999999999998</v>
      </c>
      <c r="L53" s="8">
        <v>4363.08</v>
      </c>
      <c r="M53" s="8">
        <v>841.38</v>
      </c>
      <c r="N53" s="8">
        <v>3521.7</v>
      </c>
      <c r="O53" s="6" t="s">
        <v>26</v>
      </c>
      <c r="P53" s="6" t="s">
        <v>6</v>
      </c>
      <c r="Q53" s="6" t="s">
        <v>27</v>
      </c>
      <c r="R53" s="6"/>
      <c r="S53" s="6">
        <v>5</v>
      </c>
      <c r="T53" s="8">
        <v>23</v>
      </c>
      <c r="U53" s="9">
        <v>1</v>
      </c>
      <c r="V53" s="8">
        <v>115</v>
      </c>
      <c r="W53" s="6" t="s">
        <v>6</v>
      </c>
      <c r="X53" s="6"/>
    </row>
    <row r="54" spans="1:24" x14ac:dyDescent="0.3">
      <c r="A54" s="6" t="s">
        <v>278</v>
      </c>
      <c r="B54" s="6" t="s">
        <v>282</v>
      </c>
      <c r="C54" s="6" t="s">
        <v>111</v>
      </c>
      <c r="D54" s="6" t="s">
        <v>112</v>
      </c>
      <c r="E54" s="6" t="s">
        <v>24</v>
      </c>
      <c r="F54" s="6" t="s">
        <v>49</v>
      </c>
      <c r="G54" s="38" t="s">
        <v>6</v>
      </c>
      <c r="H54" s="39"/>
      <c r="I54" s="7">
        <v>46054</v>
      </c>
      <c r="J54" s="8">
        <v>44.67</v>
      </c>
      <c r="K54" s="8">
        <v>44.67</v>
      </c>
      <c r="L54" s="8">
        <v>586.08000000000004</v>
      </c>
      <c r="M54" s="8">
        <v>89.34</v>
      </c>
      <c r="N54" s="8">
        <v>496.74</v>
      </c>
      <c r="O54" s="6" t="s">
        <v>26</v>
      </c>
      <c r="P54" s="6" t="s">
        <v>6</v>
      </c>
      <c r="Q54" s="6" t="s">
        <v>27</v>
      </c>
      <c r="R54" s="6"/>
      <c r="S54" s="6">
        <v>1</v>
      </c>
      <c r="T54" s="8">
        <v>23</v>
      </c>
      <c r="U54" s="9">
        <v>1</v>
      </c>
      <c r="V54" s="8">
        <v>23</v>
      </c>
      <c r="W54" s="6" t="s">
        <v>6</v>
      </c>
      <c r="X54" s="6"/>
    </row>
    <row r="55" spans="1:24" x14ac:dyDescent="0.3">
      <c r="A55" s="6" t="s">
        <v>278</v>
      </c>
      <c r="B55" s="6" t="s">
        <v>282</v>
      </c>
      <c r="C55" s="6" t="s">
        <v>111</v>
      </c>
      <c r="D55" s="6" t="s">
        <v>112</v>
      </c>
      <c r="E55" s="6" t="s">
        <v>24</v>
      </c>
      <c r="F55" s="6" t="s">
        <v>49</v>
      </c>
      <c r="G55" s="38" t="s">
        <v>6</v>
      </c>
      <c r="H55" s="39"/>
      <c r="I55" s="7">
        <v>46082</v>
      </c>
      <c r="J55" s="8">
        <v>44.67</v>
      </c>
      <c r="K55" s="8">
        <v>44.67</v>
      </c>
      <c r="L55" s="8">
        <v>879.12</v>
      </c>
      <c r="M55" s="8">
        <v>134.01</v>
      </c>
      <c r="N55" s="8">
        <v>745.11</v>
      </c>
      <c r="O55" s="6" t="s">
        <v>26</v>
      </c>
      <c r="P55" s="6" t="s">
        <v>6</v>
      </c>
      <c r="Q55" s="6" t="s">
        <v>27</v>
      </c>
      <c r="R55" s="6"/>
      <c r="S55" s="6">
        <v>1</v>
      </c>
      <c r="T55" s="8">
        <v>23</v>
      </c>
      <c r="U55" s="9">
        <v>1</v>
      </c>
      <c r="V55" s="8">
        <v>23</v>
      </c>
      <c r="W55" s="6" t="s">
        <v>6</v>
      </c>
      <c r="X55" s="6"/>
    </row>
    <row r="56" spans="1:24" x14ac:dyDescent="0.3">
      <c r="A56" s="6" t="s">
        <v>278</v>
      </c>
      <c r="B56" s="6" t="s">
        <v>282</v>
      </c>
      <c r="C56" s="6" t="s">
        <v>113</v>
      </c>
      <c r="D56" s="6" t="s">
        <v>114</v>
      </c>
      <c r="E56" s="6" t="s">
        <v>24</v>
      </c>
      <c r="F56" s="6" t="s">
        <v>49</v>
      </c>
      <c r="G56" s="38" t="s">
        <v>6</v>
      </c>
      <c r="H56" s="39"/>
      <c r="I56" s="7">
        <v>46082</v>
      </c>
      <c r="J56" s="8">
        <v>493.12</v>
      </c>
      <c r="K56" s="8">
        <v>493.12</v>
      </c>
      <c r="L56" s="8">
        <v>8741.85</v>
      </c>
      <c r="M56" s="8">
        <v>3154.86</v>
      </c>
      <c r="N56" s="8">
        <v>5586.99</v>
      </c>
      <c r="O56" s="6" t="s">
        <v>26</v>
      </c>
      <c r="P56" s="6" t="s">
        <v>6</v>
      </c>
      <c r="Q56" s="6" t="s">
        <v>27</v>
      </c>
      <c r="R56" s="6"/>
      <c r="S56" s="6">
        <v>3</v>
      </c>
      <c r="T56" s="8">
        <v>23</v>
      </c>
      <c r="U56" s="9">
        <v>1</v>
      </c>
      <c r="V56" s="8">
        <v>69</v>
      </c>
      <c r="W56" s="6" t="s">
        <v>6</v>
      </c>
      <c r="X56" s="6"/>
    </row>
    <row r="57" spans="1:24" x14ac:dyDescent="0.3">
      <c r="A57" s="6" t="s">
        <v>278</v>
      </c>
      <c r="B57" s="6" t="s">
        <v>282</v>
      </c>
      <c r="C57" s="6" t="s">
        <v>115</v>
      </c>
      <c r="D57" s="6" t="s">
        <v>116</v>
      </c>
      <c r="E57" s="6" t="s">
        <v>24</v>
      </c>
      <c r="F57" s="6" t="s">
        <v>49</v>
      </c>
      <c r="G57" s="38" t="s">
        <v>6</v>
      </c>
      <c r="H57" s="39"/>
      <c r="I57" s="7">
        <v>46082</v>
      </c>
      <c r="J57" s="8">
        <v>3.37</v>
      </c>
      <c r="K57" s="8">
        <v>3.37</v>
      </c>
      <c r="L57" s="8">
        <v>5066.1899999999996</v>
      </c>
      <c r="M57" s="8">
        <v>10.11</v>
      </c>
      <c r="N57" s="8">
        <v>5056.08</v>
      </c>
      <c r="O57" s="6" t="s">
        <v>26</v>
      </c>
      <c r="P57" s="6" t="s">
        <v>6</v>
      </c>
      <c r="Q57" s="6" t="s">
        <v>27</v>
      </c>
      <c r="R57" s="6"/>
      <c r="S57" s="6">
        <v>2</v>
      </c>
      <c r="T57" s="8">
        <v>23</v>
      </c>
      <c r="U57" s="9">
        <v>1</v>
      </c>
      <c r="V57" s="8">
        <v>46</v>
      </c>
      <c r="W57" s="6" t="s">
        <v>6</v>
      </c>
      <c r="X57" s="6"/>
    </row>
    <row r="58" spans="1:24" x14ac:dyDescent="0.3">
      <c r="A58" s="6" t="s">
        <v>278</v>
      </c>
      <c r="B58" s="6" t="s">
        <v>282</v>
      </c>
      <c r="C58" s="6" t="s">
        <v>117</v>
      </c>
      <c r="D58" s="6" t="s">
        <v>118</v>
      </c>
      <c r="E58" s="6" t="s">
        <v>24</v>
      </c>
      <c r="F58" s="6" t="s">
        <v>49</v>
      </c>
      <c r="G58" s="38" t="s">
        <v>6</v>
      </c>
      <c r="H58" s="39"/>
      <c r="I58" s="7">
        <v>46082</v>
      </c>
      <c r="J58" s="8">
        <v>2</v>
      </c>
      <c r="K58" s="8">
        <v>2</v>
      </c>
      <c r="L58" s="8">
        <v>9049.9699999999993</v>
      </c>
      <c r="M58" s="8">
        <v>22</v>
      </c>
      <c r="N58" s="8">
        <v>9027.9699999999993</v>
      </c>
      <c r="O58" s="6" t="s">
        <v>26</v>
      </c>
      <c r="P58" s="6" t="s">
        <v>6</v>
      </c>
      <c r="Q58" s="6" t="s">
        <v>27</v>
      </c>
      <c r="R58" s="6"/>
      <c r="S58" s="6">
        <v>2</v>
      </c>
      <c r="T58" s="8">
        <v>23</v>
      </c>
      <c r="U58" s="9">
        <v>1</v>
      </c>
      <c r="V58" s="8">
        <v>46</v>
      </c>
      <c r="W58" s="6" t="s">
        <v>6</v>
      </c>
      <c r="X58" s="6"/>
    </row>
    <row r="59" spans="1:24" x14ac:dyDescent="0.3">
      <c r="A59" s="6" t="s">
        <v>278</v>
      </c>
      <c r="B59" s="6" t="s">
        <v>282</v>
      </c>
      <c r="C59" s="6" t="s">
        <v>119</v>
      </c>
      <c r="D59" s="6" t="s">
        <v>120</v>
      </c>
      <c r="E59" s="6" t="s">
        <v>24</v>
      </c>
      <c r="F59" s="6" t="s">
        <v>49</v>
      </c>
      <c r="G59" s="38" t="s">
        <v>6</v>
      </c>
      <c r="H59" s="39"/>
      <c r="I59" s="7">
        <v>46082</v>
      </c>
      <c r="J59" s="8">
        <v>75.86</v>
      </c>
      <c r="K59" s="8">
        <v>75.86</v>
      </c>
      <c r="L59" s="8">
        <v>1060.6199999999999</v>
      </c>
      <c r="M59" s="8">
        <v>227.58</v>
      </c>
      <c r="N59" s="8">
        <v>833.04</v>
      </c>
      <c r="O59" s="6" t="s">
        <v>26</v>
      </c>
      <c r="P59" s="6" t="s">
        <v>6</v>
      </c>
      <c r="Q59" s="6" t="s">
        <v>27</v>
      </c>
      <c r="R59" s="6"/>
      <c r="S59" s="6">
        <v>1</v>
      </c>
      <c r="T59" s="8">
        <v>23</v>
      </c>
      <c r="U59" s="9">
        <v>1</v>
      </c>
      <c r="V59" s="8">
        <v>23</v>
      </c>
      <c r="W59" s="6" t="s">
        <v>6</v>
      </c>
      <c r="X59" s="6"/>
    </row>
    <row r="60" spans="1:24" x14ac:dyDescent="0.3">
      <c r="A60" s="6" t="s">
        <v>278</v>
      </c>
      <c r="B60" s="6" t="s">
        <v>282</v>
      </c>
      <c r="C60" s="6" t="s">
        <v>121</v>
      </c>
      <c r="D60" s="6" t="s">
        <v>122</v>
      </c>
      <c r="E60" s="6" t="s">
        <v>24</v>
      </c>
      <c r="F60" s="6" t="s">
        <v>49</v>
      </c>
      <c r="G60" s="38" t="s">
        <v>6</v>
      </c>
      <c r="H60" s="39"/>
      <c r="I60" s="7">
        <v>46082</v>
      </c>
      <c r="J60" s="8">
        <v>849.9</v>
      </c>
      <c r="K60" s="8">
        <v>849.9</v>
      </c>
      <c r="L60" s="8">
        <v>2549.6999999999998</v>
      </c>
      <c r="M60" s="8">
        <v>2549.6999999999998</v>
      </c>
      <c r="N60" s="8">
        <v>0</v>
      </c>
      <c r="O60" s="6" t="s">
        <v>26</v>
      </c>
      <c r="P60" s="6" t="s">
        <v>6</v>
      </c>
      <c r="Q60" s="6" t="s">
        <v>27</v>
      </c>
      <c r="R60" s="6"/>
      <c r="S60" s="6">
        <v>3</v>
      </c>
      <c r="T60" s="8">
        <v>23</v>
      </c>
      <c r="U60" s="9">
        <v>1</v>
      </c>
      <c r="V60" s="8">
        <v>69</v>
      </c>
      <c r="W60" s="6" t="s">
        <v>6</v>
      </c>
      <c r="X60" s="6"/>
    </row>
    <row r="61" spans="1:24" x14ac:dyDescent="0.3">
      <c r="A61" s="6" t="s">
        <v>278</v>
      </c>
      <c r="B61" s="6" t="s">
        <v>282</v>
      </c>
      <c r="C61" s="6" t="s">
        <v>123</v>
      </c>
      <c r="D61" s="6" t="s">
        <v>124</v>
      </c>
      <c r="E61" s="6" t="s">
        <v>24</v>
      </c>
      <c r="F61" s="6" t="s">
        <v>49</v>
      </c>
      <c r="G61" s="38" t="s">
        <v>6</v>
      </c>
      <c r="H61" s="39"/>
      <c r="I61" s="7">
        <v>46082</v>
      </c>
      <c r="J61" s="8">
        <v>391.58</v>
      </c>
      <c r="K61" s="8">
        <v>391.58</v>
      </c>
      <c r="L61" s="8">
        <v>1174.74</v>
      </c>
      <c r="M61" s="8">
        <v>1174.74</v>
      </c>
      <c r="N61" s="8">
        <v>0</v>
      </c>
      <c r="O61" s="6" t="s">
        <v>26</v>
      </c>
      <c r="P61" s="6" t="s">
        <v>6</v>
      </c>
      <c r="Q61" s="6" t="s">
        <v>27</v>
      </c>
      <c r="R61" s="6"/>
      <c r="S61" s="6">
        <v>1</v>
      </c>
      <c r="T61" s="8">
        <v>23</v>
      </c>
      <c r="U61" s="9">
        <v>1</v>
      </c>
      <c r="V61" s="8">
        <v>23</v>
      </c>
      <c r="W61" s="6" t="s">
        <v>6</v>
      </c>
      <c r="X61" s="6"/>
    </row>
    <row r="62" spans="1:24" x14ac:dyDescent="0.3">
      <c r="A62" s="6" t="s">
        <v>278</v>
      </c>
      <c r="B62" s="6" t="s">
        <v>282</v>
      </c>
      <c r="C62" s="6" t="s">
        <v>125</v>
      </c>
      <c r="D62" s="6" t="s">
        <v>126</v>
      </c>
      <c r="E62" s="6" t="s">
        <v>24</v>
      </c>
      <c r="F62" s="6" t="s">
        <v>49</v>
      </c>
      <c r="G62" s="38" t="s">
        <v>6</v>
      </c>
      <c r="H62" s="39"/>
      <c r="I62" s="7">
        <v>46082</v>
      </c>
      <c r="J62" s="8">
        <v>765.88</v>
      </c>
      <c r="K62" s="8">
        <v>765.88</v>
      </c>
      <c r="L62" s="8">
        <v>2297.64</v>
      </c>
      <c r="M62" s="8">
        <v>2297.64</v>
      </c>
      <c r="N62" s="8">
        <v>0</v>
      </c>
      <c r="O62" s="6" t="s">
        <v>26</v>
      </c>
      <c r="P62" s="6" t="s">
        <v>6</v>
      </c>
      <c r="Q62" s="6" t="s">
        <v>27</v>
      </c>
      <c r="R62" s="6"/>
      <c r="S62" s="6">
        <v>1</v>
      </c>
      <c r="T62" s="8">
        <v>23</v>
      </c>
      <c r="U62" s="9">
        <v>1</v>
      </c>
      <c r="V62" s="8">
        <v>23</v>
      </c>
      <c r="W62" s="6" t="s">
        <v>6</v>
      </c>
      <c r="X62" s="6"/>
    </row>
    <row r="63" spans="1:24" x14ac:dyDescent="0.3">
      <c r="A63" s="6" t="s">
        <v>278</v>
      </c>
      <c r="B63" s="6" t="s">
        <v>282</v>
      </c>
      <c r="C63" s="6" t="s">
        <v>127</v>
      </c>
      <c r="D63" s="6" t="s">
        <v>128</v>
      </c>
      <c r="E63" s="6" t="s">
        <v>24</v>
      </c>
      <c r="F63" s="6" t="s">
        <v>49</v>
      </c>
      <c r="G63" s="38" t="s">
        <v>6</v>
      </c>
      <c r="H63" s="39"/>
      <c r="I63" s="7">
        <v>46082</v>
      </c>
      <c r="J63" s="8">
        <v>596.28</v>
      </c>
      <c r="K63" s="8">
        <v>596.28</v>
      </c>
      <c r="L63" s="8">
        <v>1788.84</v>
      </c>
      <c r="M63" s="8">
        <v>1788.84</v>
      </c>
      <c r="N63" s="8">
        <v>0</v>
      </c>
      <c r="O63" s="6" t="s">
        <v>26</v>
      </c>
      <c r="P63" s="6" t="s">
        <v>6</v>
      </c>
      <c r="Q63" s="6" t="s">
        <v>27</v>
      </c>
      <c r="R63" s="6"/>
      <c r="S63" s="6">
        <v>1</v>
      </c>
      <c r="T63" s="8">
        <v>23</v>
      </c>
      <c r="U63" s="9">
        <v>1</v>
      </c>
      <c r="V63" s="8">
        <v>23</v>
      </c>
      <c r="W63" s="6" t="s">
        <v>6</v>
      </c>
      <c r="X63" s="6"/>
    </row>
    <row r="64" spans="1:24" x14ac:dyDescent="0.3">
      <c r="A64" s="6" t="s">
        <v>278</v>
      </c>
      <c r="B64" s="6" t="s">
        <v>282</v>
      </c>
      <c r="C64" s="6" t="s">
        <v>129</v>
      </c>
      <c r="D64" s="6" t="s">
        <v>130</v>
      </c>
      <c r="E64" s="6" t="s">
        <v>24</v>
      </c>
      <c r="F64" s="6" t="s">
        <v>49</v>
      </c>
      <c r="G64" s="38" t="s">
        <v>6</v>
      </c>
      <c r="H64" s="39"/>
      <c r="I64" s="7">
        <v>46054</v>
      </c>
      <c r="J64" s="8">
        <v>47.33</v>
      </c>
      <c r="K64" s="8">
        <v>47.33</v>
      </c>
      <c r="L64" s="8">
        <v>1414.82</v>
      </c>
      <c r="M64" s="8">
        <v>94.66</v>
      </c>
      <c r="N64" s="8">
        <v>1320.16</v>
      </c>
      <c r="O64" s="6" t="s">
        <v>26</v>
      </c>
      <c r="P64" s="6" t="s">
        <v>6</v>
      </c>
      <c r="Q64" s="6" t="s">
        <v>27</v>
      </c>
      <c r="R64" s="6"/>
      <c r="S64" s="6">
        <v>1</v>
      </c>
      <c r="T64" s="8">
        <v>23</v>
      </c>
      <c r="U64" s="9">
        <v>1</v>
      </c>
      <c r="V64" s="8">
        <v>23</v>
      </c>
      <c r="W64" s="6" t="s">
        <v>6</v>
      </c>
      <c r="X64" s="6"/>
    </row>
    <row r="65" spans="1:24" x14ac:dyDescent="0.3">
      <c r="A65" s="6" t="s">
        <v>278</v>
      </c>
      <c r="B65" s="6" t="s">
        <v>282</v>
      </c>
      <c r="C65" s="6" t="s">
        <v>131</v>
      </c>
      <c r="D65" s="6" t="s">
        <v>132</v>
      </c>
      <c r="E65" s="6" t="s">
        <v>24</v>
      </c>
      <c r="F65" s="6" t="s">
        <v>49</v>
      </c>
      <c r="G65" s="38" t="s">
        <v>6</v>
      </c>
      <c r="H65" s="39"/>
      <c r="I65" s="7">
        <v>46082</v>
      </c>
      <c r="J65" s="8">
        <v>117.64</v>
      </c>
      <c r="K65" s="8">
        <v>117.64</v>
      </c>
      <c r="L65" s="8">
        <v>1600.38</v>
      </c>
      <c r="M65" s="8">
        <v>352.92</v>
      </c>
      <c r="N65" s="8">
        <v>1247.46</v>
      </c>
      <c r="O65" s="6" t="s">
        <v>26</v>
      </c>
      <c r="P65" s="6" t="s">
        <v>6</v>
      </c>
      <c r="Q65" s="6" t="s">
        <v>27</v>
      </c>
      <c r="R65" s="6"/>
      <c r="S65" s="6">
        <v>1</v>
      </c>
      <c r="T65" s="8">
        <v>23</v>
      </c>
      <c r="U65" s="9">
        <v>1</v>
      </c>
      <c r="V65" s="8">
        <v>23</v>
      </c>
      <c r="W65" s="6" t="s">
        <v>6</v>
      </c>
      <c r="X65" s="6"/>
    </row>
    <row r="66" spans="1:24" x14ac:dyDescent="0.3">
      <c r="A66" s="6" t="s">
        <v>278</v>
      </c>
      <c r="B66" s="6" t="s">
        <v>282</v>
      </c>
      <c r="C66" s="6" t="s">
        <v>133</v>
      </c>
      <c r="D66" s="6" t="s">
        <v>134</v>
      </c>
      <c r="E66" s="6" t="s">
        <v>24</v>
      </c>
      <c r="F66" s="6" t="s">
        <v>49</v>
      </c>
      <c r="G66" s="38" t="s">
        <v>6</v>
      </c>
      <c r="H66" s="39"/>
      <c r="I66" s="7">
        <v>46082</v>
      </c>
      <c r="J66" s="8">
        <v>1204.19</v>
      </c>
      <c r="K66" s="8">
        <v>1204.19</v>
      </c>
      <c r="L66" s="8">
        <v>3612.57</v>
      </c>
      <c r="M66" s="8">
        <v>3612.57</v>
      </c>
      <c r="N66" s="8">
        <v>0</v>
      </c>
      <c r="O66" s="6" t="s">
        <v>26</v>
      </c>
      <c r="P66" s="6" t="s">
        <v>6</v>
      </c>
      <c r="Q66" s="6" t="s">
        <v>27</v>
      </c>
      <c r="R66" s="6"/>
      <c r="S66" s="6">
        <v>2</v>
      </c>
      <c r="T66" s="8">
        <v>23</v>
      </c>
      <c r="U66" s="9">
        <v>1</v>
      </c>
      <c r="V66" s="8">
        <v>46</v>
      </c>
      <c r="W66" s="6" t="s">
        <v>6</v>
      </c>
      <c r="X66" s="6"/>
    </row>
    <row r="67" spans="1:24" x14ac:dyDescent="0.3">
      <c r="A67" s="6" t="s">
        <v>278</v>
      </c>
      <c r="B67" s="6" t="s">
        <v>282</v>
      </c>
      <c r="C67" s="6" t="s">
        <v>135</v>
      </c>
      <c r="D67" s="6" t="s">
        <v>136</v>
      </c>
      <c r="E67" s="6" t="s">
        <v>24</v>
      </c>
      <c r="F67" s="6" t="s">
        <v>49</v>
      </c>
      <c r="G67" s="38" t="s">
        <v>6</v>
      </c>
      <c r="H67" s="39"/>
      <c r="I67" s="7">
        <v>46082</v>
      </c>
      <c r="J67" s="8">
        <v>754.25</v>
      </c>
      <c r="K67" s="8">
        <v>754.25</v>
      </c>
      <c r="L67" s="8">
        <v>1508.5</v>
      </c>
      <c r="M67" s="8">
        <v>1508.5</v>
      </c>
      <c r="N67" s="8">
        <v>0</v>
      </c>
      <c r="O67" s="6" t="s">
        <v>26</v>
      </c>
      <c r="P67" s="6" t="s">
        <v>6</v>
      </c>
      <c r="Q67" s="6" t="s">
        <v>27</v>
      </c>
      <c r="R67" s="6"/>
      <c r="S67" s="6">
        <v>2</v>
      </c>
      <c r="T67" s="8">
        <v>23</v>
      </c>
      <c r="U67" s="9">
        <v>1</v>
      </c>
      <c r="V67" s="8">
        <v>46</v>
      </c>
      <c r="W67" s="6" t="s">
        <v>6</v>
      </c>
      <c r="X67" s="6"/>
    </row>
    <row r="68" spans="1:24" x14ac:dyDescent="0.3">
      <c r="A68" s="6" t="s">
        <v>278</v>
      </c>
      <c r="B68" s="6" t="s">
        <v>282</v>
      </c>
      <c r="C68" s="6" t="s">
        <v>137</v>
      </c>
      <c r="D68" s="6" t="s">
        <v>138</v>
      </c>
      <c r="E68" s="6" t="s">
        <v>24</v>
      </c>
      <c r="F68" s="6" t="s">
        <v>49</v>
      </c>
      <c r="G68" s="38" t="s">
        <v>6</v>
      </c>
      <c r="H68" s="39"/>
      <c r="I68" s="7">
        <v>46054</v>
      </c>
      <c r="J68" s="8">
        <v>31.69</v>
      </c>
      <c r="K68" s="8">
        <v>31.69</v>
      </c>
      <c r="L68" s="8">
        <v>435.28</v>
      </c>
      <c r="M68" s="8">
        <v>31.69</v>
      </c>
      <c r="N68" s="8">
        <v>403.59</v>
      </c>
      <c r="O68" s="6" t="s">
        <v>26</v>
      </c>
      <c r="P68" s="6" t="s">
        <v>6</v>
      </c>
      <c r="Q68" s="6" t="s">
        <v>27</v>
      </c>
      <c r="R68" s="6"/>
      <c r="S68" s="6">
        <v>1</v>
      </c>
      <c r="T68" s="8">
        <v>23</v>
      </c>
      <c r="U68" s="9">
        <v>1</v>
      </c>
      <c r="V68" s="8">
        <v>23</v>
      </c>
      <c r="W68" s="6" t="s">
        <v>6</v>
      </c>
      <c r="X68" s="6"/>
    </row>
    <row r="69" spans="1:24" x14ac:dyDescent="0.3">
      <c r="A69" s="6" t="s">
        <v>278</v>
      </c>
      <c r="B69" s="6" t="s">
        <v>282</v>
      </c>
      <c r="C69" s="6" t="s">
        <v>137</v>
      </c>
      <c r="D69" s="6" t="s">
        <v>138</v>
      </c>
      <c r="E69" s="6" t="s">
        <v>24</v>
      </c>
      <c r="F69" s="6" t="s">
        <v>49</v>
      </c>
      <c r="G69" s="38" t="s">
        <v>6</v>
      </c>
      <c r="H69" s="39"/>
      <c r="I69" s="7">
        <v>46082</v>
      </c>
      <c r="J69" s="8">
        <v>31.69</v>
      </c>
      <c r="K69" s="8">
        <v>31.69</v>
      </c>
      <c r="L69" s="8">
        <v>870.56</v>
      </c>
      <c r="M69" s="8">
        <v>63.38</v>
      </c>
      <c r="N69" s="8">
        <v>807.18</v>
      </c>
      <c r="O69" s="6" t="s">
        <v>26</v>
      </c>
      <c r="P69" s="6" t="s">
        <v>6</v>
      </c>
      <c r="Q69" s="6" t="s">
        <v>27</v>
      </c>
      <c r="R69" s="6"/>
      <c r="S69" s="6">
        <v>1</v>
      </c>
      <c r="T69" s="8">
        <v>23</v>
      </c>
      <c r="U69" s="9">
        <v>1</v>
      </c>
      <c r="V69" s="8">
        <v>23</v>
      </c>
      <c r="W69" s="6" t="s">
        <v>6</v>
      </c>
      <c r="X69" s="6"/>
    </row>
    <row r="70" spans="1:24" x14ac:dyDescent="0.3">
      <c r="A70" s="6" t="s">
        <v>278</v>
      </c>
      <c r="B70" s="6" t="s">
        <v>282</v>
      </c>
      <c r="C70" s="6" t="s">
        <v>139</v>
      </c>
      <c r="D70" s="6" t="s">
        <v>140</v>
      </c>
      <c r="E70" s="6" t="s">
        <v>24</v>
      </c>
      <c r="F70" s="6" t="s">
        <v>49</v>
      </c>
      <c r="G70" s="38" t="s">
        <v>6</v>
      </c>
      <c r="H70" s="39"/>
      <c r="I70" s="7">
        <v>46082</v>
      </c>
      <c r="J70" s="8">
        <v>131.5</v>
      </c>
      <c r="K70" s="8">
        <v>131.5</v>
      </c>
      <c r="L70" s="8">
        <v>1103.55</v>
      </c>
      <c r="M70" s="8">
        <v>394.5</v>
      </c>
      <c r="N70" s="8">
        <v>709.05</v>
      </c>
      <c r="O70" s="6" t="s">
        <v>26</v>
      </c>
      <c r="P70" s="6" t="s">
        <v>6</v>
      </c>
      <c r="Q70" s="6" t="s">
        <v>27</v>
      </c>
      <c r="R70" s="6"/>
      <c r="S70" s="6">
        <v>1</v>
      </c>
      <c r="T70" s="8">
        <v>23</v>
      </c>
      <c r="U70" s="9">
        <v>1</v>
      </c>
      <c r="V70" s="8">
        <v>23</v>
      </c>
      <c r="W70" s="6" t="s">
        <v>6</v>
      </c>
      <c r="X70" s="6"/>
    </row>
    <row r="71" spans="1:24" x14ac:dyDescent="0.3">
      <c r="A71" s="6" t="s">
        <v>278</v>
      </c>
      <c r="B71" s="6" t="s">
        <v>282</v>
      </c>
      <c r="C71" s="6" t="s">
        <v>141</v>
      </c>
      <c r="D71" s="6" t="s">
        <v>142</v>
      </c>
      <c r="E71" s="6" t="s">
        <v>24</v>
      </c>
      <c r="F71" s="6" t="s">
        <v>49</v>
      </c>
      <c r="G71" s="38" t="s">
        <v>6</v>
      </c>
      <c r="H71" s="39"/>
      <c r="I71" s="7">
        <v>46082</v>
      </c>
      <c r="J71" s="8">
        <v>441.74</v>
      </c>
      <c r="K71" s="8">
        <v>203.65</v>
      </c>
      <c r="L71" s="8">
        <v>1165.22</v>
      </c>
      <c r="M71" s="8">
        <v>849.04</v>
      </c>
      <c r="N71" s="8">
        <v>316.18</v>
      </c>
      <c r="O71" s="6" t="s">
        <v>26</v>
      </c>
      <c r="P71" s="6" t="s">
        <v>6</v>
      </c>
      <c r="Q71" s="6" t="s">
        <v>27</v>
      </c>
      <c r="R71" s="6"/>
      <c r="S71" s="6">
        <v>1</v>
      </c>
      <c r="T71" s="8">
        <v>23</v>
      </c>
      <c r="U71" s="9">
        <v>1</v>
      </c>
      <c r="V71" s="8">
        <v>23</v>
      </c>
      <c r="W71" s="6" t="s">
        <v>6</v>
      </c>
      <c r="X71" s="6"/>
    </row>
    <row r="72" spans="1:24" x14ac:dyDescent="0.3">
      <c r="A72" s="6" t="s">
        <v>278</v>
      </c>
      <c r="B72" s="6" t="s">
        <v>282</v>
      </c>
      <c r="C72" s="6" t="s">
        <v>143</v>
      </c>
      <c r="D72" s="6" t="s">
        <v>144</v>
      </c>
      <c r="E72" s="6" t="s">
        <v>24</v>
      </c>
      <c r="F72" s="6" t="s">
        <v>49</v>
      </c>
      <c r="G72" s="38" t="s">
        <v>6</v>
      </c>
      <c r="H72" s="39"/>
      <c r="I72" s="7">
        <v>46082</v>
      </c>
      <c r="J72" s="8">
        <v>716.33</v>
      </c>
      <c r="K72" s="8">
        <v>716.33</v>
      </c>
      <c r="L72" s="8">
        <v>2148.9899999999998</v>
      </c>
      <c r="M72" s="8">
        <v>2148.9899999999998</v>
      </c>
      <c r="N72" s="8">
        <v>0</v>
      </c>
      <c r="O72" s="6" t="s">
        <v>26</v>
      </c>
      <c r="P72" s="6" t="s">
        <v>6</v>
      </c>
      <c r="Q72" s="6" t="s">
        <v>27</v>
      </c>
      <c r="R72" s="6"/>
      <c r="S72" s="6">
        <v>1</v>
      </c>
      <c r="T72" s="8">
        <v>23</v>
      </c>
      <c r="U72" s="9">
        <v>1</v>
      </c>
      <c r="V72" s="8">
        <v>23</v>
      </c>
      <c r="W72" s="6" t="s">
        <v>6</v>
      </c>
      <c r="X72" s="6"/>
    </row>
    <row r="73" spans="1:24" x14ac:dyDescent="0.3">
      <c r="A73" s="6" t="s">
        <v>278</v>
      </c>
      <c r="B73" s="6" t="s">
        <v>282</v>
      </c>
      <c r="C73" s="6" t="s">
        <v>145</v>
      </c>
      <c r="D73" s="6" t="s">
        <v>146</v>
      </c>
      <c r="E73" s="6" t="s">
        <v>24</v>
      </c>
      <c r="F73" s="6" t="s">
        <v>49</v>
      </c>
      <c r="G73" s="38" t="s">
        <v>6</v>
      </c>
      <c r="H73" s="39"/>
      <c r="I73" s="7">
        <v>46054</v>
      </c>
      <c r="J73" s="8">
        <v>76.040000000000006</v>
      </c>
      <c r="K73" s="8">
        <v>76.040000000000006</v>
      </c>
      <c r="L73" s="8">
        <v>444.14</v>
      </c>
      <c r="M73" s="8">
        <v>76.040000000000006</v>
      </c>
      <c r="N73" s="8">
        <v>368.1</v>
      </c>
      <c r="O73" s="6" t="s">
        <v>26</v>
      </c>
      <c r="P73" s="6" t="s">
        <v>6</v>
      </c>
      <c r="Q73" s="6" t="s">
        <v>27</v>
      </c>
      <c r="R73" s="6"/>
      <c r="S73" s="6">
        <v>1</v>
      </c>
      <c r="T73" s="8">
        <v>23</v>
      </c>
      <c r="U73" s="9">
        <v>1</v>
      </c>
      <c r="V73" s="8">
        <v>23</v>
      </c>
      <c r="W73" s="6" t="s">
        <v>6</v>
      </c>
      <c r="X73" s="6"/>
    </row>
    <row r="74" spans="1:24" x14ac:dyDescent="0.3">
      <c r="A74" s="6" t="s">
        <v>278</v>
      </c>
      <c r="B74" s="6" t="s">
        <v>282</v>
      </c>
      <c r="C74" s="6" t="s">
        <v>145</v>
      </c>
      <c r="D74" s="6" t="s">
        <v>146</v>
      </c>
      <c r="E74" s="6" t="s">
        <v>24</v>
      </c>
      <c r="F74" s="6" t="s">
        <v>49</v>
      </c>
      <c r="G74" s="38" t="s">
        <v>6</v>
      </c>
      <c r="H74" s="39"/>
      <c r="I74" s="7">
        <v>46082</v>
      </c>
      <c r="J74" s="8">
        <v>76.040000000000006</v>
      </c>
      <c r="K74" s="8">
        <v>76.040000000000006</v>
      </c>
      <c r="L74" s="8">
        <v>888.28</v>
      </c>
      <c r="M74" s="8">
        <v>152.08000000000001</v>
      </c>
      <c r="N74" s="8">
        <v>736.2</v>
      </c>
      <c r="O74" s="6" t="s">
        <v>26</v>
      </c>
      <c r="P74" s="6" t="s">
        <v>6</v>
      </c>
      <c r="Q74" s="6" t="s">
        <v>27</v>
      </c>
      <c r="R74" s="6"/>
      <c r="S74" s="6">
        <v>1</v>
      </c>
      <c r="T74" s="8">
        <v>23</v>
      </c>
      <c r="U74" s="9">
        <v>1</v>
      </c>
      <c r="V74" s="8">
        <v>23</v>
      </c>
      <c r="W74" s="6" t="s">
        <v>6</v>
      </c>
      <c r="X74" s="6"/>
    </row>
    <row r="75" spans="1:24" x14ac:dyDescent="0.3">
      <c r="A75" s="6" t="s">
        <v>278</v>
      </c>
      <c r="B75" s="6" t="s">
        <v>282</v>
      </c>
      <c r="C75" s="6" t="s">
        <v>147</v>
      </c>
      <c r="D75" s="6" t="s">
        <v>148</v>
      </c>
      <c r="E75" s="6" t="s">
        <v>24</v>
      </c>
      <c r="F75" s="6" t="s">
        <v>49</v>
      </c>
      <c r="G75" s="38" t="s">
        <v>6</v>
      </c>
      <c r="H75" s="39"/>
      <c r="I75" s="7">
        <v>46082</v>
      </c>
      <c r="J75" s="8">
        <v>296.35000000000002</v>
      </c>
      <c r="K75" s="8">
        <v>296.35000000000002</v>
      </c>
      <c r="L75" s="8">
        <v>8098.28</v>
      </c>
      <c r="M75" s="8">
        <v>2066.33</v>
      </c>
      <c r="N75" s="8">
        <v>6031.95</v>
      </c>
      <c r="O75" s="6" t="s">
        <v>26</v>
      </c>
      <c r="P75" s="6" t="s">
        <v>6</v>
      </c>
      <c r="Q75" s="6" t="s">
        <v>27</v>
      </c>
      <c r="R75" s="6"/>
      <c r="S75" s="6">
        <v>1</v>
      </c>
      <c r="T75" s="8">
        <v>23</v>
      </c>
      <c r="U75" s="9">
        <v>1</v>
      </c>
      <c r="V75" s="8">
        <v>23</v>
      </c>
      <c r="W75" s="6" t="s">
        <v>6</v>
      </c>
      <c r="X75" s="6"/>
    </row>
    <row r="76" spans="1:24" x14ac:dyDescent="0.3">
      <c r="A76" s="6" t="s">
        <v>278</v>
      </c>
      <c r="B76" s="6" t="s">
        <v>282</v>
      </c>
      <c r="C76" s="6" t="s">
        <v>149</v>
      </c>
      <c r="D76" s="6" t="s">
        <v>150</v>
      </c>
      <c r="E76" s="6" t="s">
        <v>24</v>
      </c>
      <c r="F76" s="6" t="s">
        <v>49</v>
      </c>
      <c r="G76" s="38" t="s">
        <v>6</v>
      </c>
      <c r="H76" s="39"/>
      <c r="I76" s="7">
        <v>46082</v>
      </c>
      <c r="J76" s="8">
        <v>1216.05</v>
      </c>
      <c r="K76" s="8">
        <v>1216.05</v>
      </c>
      <c r="L76" s="8">
        <v>4928.58</v>
      </c>
      <c r="M76" s="8">
        <v>3648.15</v>
      </c>
      <c r="N76" s="8">
        <v>1280.43</v>
      </c>
      <c r="O76" s="6" t="s">
        <v>26</v>
      </c>
      <c r="P76" s="6" t="s">
        <v>6</v>
      </c>
      <c r="Q76" s="6" t="s">
        <v>27</v>
      </c>
      <c r="R76" s="6"/>
      <c r="S76" s="6">
        <v>4</v>
      </c>
      <c r="T76" s="8">
        <v>23</v>
      </c>
      <c r="U76" s="9">
        <v>1</v>
      </c>
      <c r="V76" s="8">
        <v>92</v>
      </c>
      <c r="W76" s="6" t="s">
        <v>6</v>
      </c>
      <c r="X76" s="6"/>
    </row>
    <row r="77" spans="1:24" x14ac:dyDescent="0.3">
      <c r="A77" s="6" t="s">
        <v>278</v>
      </c>
      <c r="B77" s="6" t="s">
        <v>282</v>
      </c>
      <c r="C77" s="6" t="s">
        <v>151</v>
      </c>
      <c r="D77" s="6" t="s">
        <v>152</v>
      </c>
      <c r="E77" s="6" t="s">
        <v>24</v>
      </c>
      <c r="F77" s="6" t="s">
        <v>49</v>
      </c>
      <c r="G77" s="38" t="s">
        <v>6</v>
      </c>
      <c r="H77" s="39"/>
      <c r="I77" s="7">
        <v>46082</v>
      </c>
      <c r="J77" s="8">
        <v>502.55</v>
      </c>
      <c r="K77" s="8">
        <v>502.55</v>
      </c>
      <c r="L77" s="8">
        <v>13673.26</v>
      </c>
      <c r="M77" s="8">
        <v>3704.3</v>
      </c>
      <c r="N77" s="8">
        <v>9968.9599999999991</v>
      </c>
      <c r="O77" s="6" t="s">
        <v>26</v>
      </c>
      <c r="P77" s="6" t="s">
        <v>6</v>
      </c>
      <c r="Q77" s="6" t="s">
        <v>27</v>
      </c>
      <c r="R77" s="6"/>
      <c r="S77" s="6">
        <v>3</v>
      </c>
      <c r="T77" s="8">
        <v>23</v>
      </c>
      <c r="U77" s="9">
        <v>1</v>
      </c>
      <c r="V77" s="8">
        <v>69</v>
      </c>
      <c r="W77" s="6" t="s">
        <v>6</v>
      </c>
      <c r="X77" s="6"/>
    </row>
    <row r="78" spans="1:24" x14ac:dyDescent="0.3">
      <c r="A78" s="6" t="s">
        <v>278</v>
      </c>
      <c r="B78" s="6" t="s">
        <v>282</v>
      </c>
      <c r="C78" s="6" t="s">
        <v>153</v>
      </c>
      <c r="D78" s="6" t="s">
        <v>154</v>
      </c>
      <c r="E78" s="6" t="s">
        <v>24</v>
      </c>
      <c r="F78" s="6" t="s">
        <v>49</v>
      </c>
      <c r="G78" s="38" t="s">
        <v>6</v>
      </c>
      <c r="H78" s="39"/>
      <c r="I78" s="7">
        <v>46082</v>
      </c>
      <c r="J78" s="8">
        <v>516.85</v>
      </c>
      <c r="K78" s="8">
        <v>516.85</v>
      </c>
      <c r="L78" s="8">
        <v>1033.7</v>
      </c>
      <c r="M78" s="8">
        <v>1033.7</v>
      </c>
      <c r="N78" s="8">
        <v>0</v>
      </c>
      <c r="O78" s="6" t="s">
        <v>26</v>
      </c>
      <c r="P78" s="6" t="s">
        <v>6</v>
      </c>
      <c r="Q78" s="6" t="s">
        <v>27</v>
      </c>
      <c r="R78" s="6"/>
      <c r="S78" s="6">
        <v>1</v>
      </c>
      <c r="T78" s="8">
        <v>23</v>
      </c>
      <c r="U78" s="9">
        <v>1</v>
      </c>
      <c r="V78" s="8">
        <v>23</v>
      </c>
      <c r="W78" s="6" t="s">
        <v>6</v>
      </c>
      <c r="X78" s="6"/>
    </row>
    <row r="79" spans="1:24" x14ac:dyDescent="0.3">
      <c r="A79" s="6" t="s">
        <v>278</v>
      </c>
      <c r="B79" s="6" t="s">
        <v>282</v>
      </c>
      <c r="C79" s="6" t="s">
        <v>155</v>
      </c>
      <c r="D79" s="6" t="s">
        <v>156</v>
      </c>
      <c r="E79" s="6" t="s">
        <v>24</v>
      </c>
      <c r="F79" s="6" t="s">
        <v>49</v>
      </c>
      <c r="G79" s="38" t="s">
        <v>6</v>
      </c>
      <c r="H79" s="39"/>
      <c r="I79" s="7">
        <v>46082</v>
      </c>
      <c r="J79" s="8">
        <v>759.38</v>
      </c>
      <c r="K79" s="8">
        <v>759.38</v>
      </c>
      <c r="L79" s="8">
        <v>15910.34</v>
      </c>
      <c r="M79" s="8">
        <v>6831.9</v>
      </c>
      <c r="N79" s="8">
        <v>9078.44</v>
      </c>
      <c r="O79" s="6" t="s">
        <v>26</v>
      </c>
      <c r="P79" s="6" t="s">
        <v>6</v>
      </c>
      <c r="Q79" s="6" t="s">
        <v>27</v>
      </c>
      <c r="R79" s="6"/>
      <c r="S79" s="6">
        <v>2</v>
      </c>
      <c r="T79" s="8">
        <v>23</v>
      </c>
      <c r="U79" s="9">
        <v>1</v>
      </c>
      <c r="V79" s="8">
        <v>46</v>
      </c>
      <c r="W79" s="6" t="s">
        <v>6</v>
      </c>
      <c r="X79" s="6"/>
    </row>
    <row r="80" spans="1:24" x14ac:dyDescent="0.3">
      <c r="A80" s="6" t="s">
        <v>278</v>
      </c>
      <c r="B80" s="6" t="s">
        <v>282</v>
      </c>
      <c r="C80" s="6" t="s">
        <v>157</v>
      </c>
      <c r="D80" s="6" t="s">
        <v>158</v>
      </c>
      <c r="E80" s="6" t="s">
        <v>24</v>
      </c>
      <c r="F80" s="6" t="s">
        <v>49</v>
      </c>
      <c r="G80" s="38" t="s">
        <v>6</v>
      </c>
      <c r="H80" s="39"/>
      <c r="I80" s="7">
        <v>46054</v>
      </c>
      <c r="J80" s="8">
        <v>77.489999999999995</v>
      </c>
      <c r="K80" s="8">
        <v>77.489999999999995</v>
      </c>
      <c r="L80" s="8">
        <v>2339.6</v>
      </c>
      <c r="M80" s="8">
        <v>154.97999999999999</v>
      </c>
      <c r="N80" s="8">
        <v>2184.62</v>
      </c>
      <c r="O80" s="6" t="s">
        <v>26</v>
      </c>
      <c r="P80" s="6" t="s">
        <v>6</v>
      </c>
      <c r="Q80" s="6" t="s">
        <v>27</v>
      </c>
      <c r="R80" s="6"/>
      <c r="S80" s="6">
        <v>1</v>
      </c>
      <c r="T80" s="8">
        <v>23</v>
      </c>
      <c r="U80" s="9">
        <v>1</v>
      </c>
      <c r="V80" s="8">
        <v>23</v>
      </c>
      <c r="W80" s="6" t="s">
        <v>6</v>
      </c>
      <c r="X80" s="6"/>
    </row>
    <row r="81" spans="1:24" x14ac:dyDescent="0.3">
      <c r="A81" s="6" t="s">
        <v>278</v>
      </c>
      <c r="B81" s="6" t="s">
        <v>282</v>
      </c>
      <c r="C81" s="6" t="s">
        <v>157</v>
      </c>
      <c r="D81" s="6" t="s">
        <v>158</v>
      </c>
      <c r="E81" s="6" t="s">
        <v>24</v>
      </c>
      <c r="F81" s="6" t="s">
        <v>49</v>
      </c>
      <c r="G81" s="38" t="s">
        <v>6</v>
      </c>
      <c r="H81" s="39"/>
      <c r="I81" s="7">
        <v>46082</v>
      </c>
      <c r="J81" s="8">
        <v>77.489999999999995</v>
      </c>
      <c r="K81" s="8">
        <v>77.489999999999995</v>
      </c>
      <c r="L81" s="8">
        <v>3509.4</v>
      </c>
      <c r="M81" s="8">
        <v>232.47</v>
      </c>
      <c r="N81" s="8">
        <v>3276.93</v>
      </c>
      <c r="O81" s="6" t="s">
        <v>26</v>
      </c>
      <c r="P81" s="6" t="s">
        <v>6</v>
      </c>
      <c r="Q81" s="6" t="s">
        <v>27</v>
      </c>
      <c r="R81" s="6"/>
      <c r="S81" s="6">
        <v>1</v>
      </c>
      <c r="T81" s="8">
        <v>23</v>
      </c>
      <c r="U81" s="9">
        <v>1</v>
      </c>
      <c r="V81" s="8">
        <v>23</v>
      </c>
      <c r="W81" s="6" t="s">
        <v>6</v>
      </c>
      <c r="X81" s="6"/>
    </row>
    <row r="82" spans="1:24" s="28" customFormat="1" x14ac:dyDescent="0.3">
      <c r="A82" s="22" t="s">
        <v>278</v>
      </c>
      <c r="B82" s="22" t="s">
        <v>282</v>
      </c>
      <c r="C82" s="22" t="s">
        <v>159</v>
      </c>
      <c r="D82" s="23">
        <v>803319202001</v>
      </c>
      <c r="E82" s="22" t="s">
        <v>24</v>
      </c>
      <c r="F82" s="22" t="s">
        <v>49</v>
      </c>
      <c r="G82" s="48" t="s">
        <v>6</v>
      </c>
      <c r="H82" s="49"/>
      <c r="I82" s="24">
        <v>46054</v>
      </c>
      <c r="J82" s="25">
        <v>911.09</v>
      </c>
      <c r="K82" s="25">
        <v>209.1</v>
      </c>
      <c r="L82" s="25">
        <v>5048.26</v>
      </c>
      <c r="M82" s="25">
        <v>5048.26</v>
      </c>
      <c r="N82" s="25">
        <v>0</v>
      </c>
      <c r="O82" s="22" t="s">
        <v>26</v>
      </c>
      <c r="P82" s="22" t="s">
        <v>6</v>
      </c>
      <c r="Q82" s="22" t="s">
        <v>27</v>
      </c>
      <c r="R82" s="22"/>
      <c r="S82" s="22">
        <v>1</v>
      </c>
      <c r="T82" s="25">
        <v>23</v>
      </c>
      <c r="U82" s="26">
        <v>1</v>
      </c>
      <c r="V82" s="25">
        <v>5.28</v>
      </c>
      <c r="W82" s="29">
        <f>V82/23%</f>
        <v>22.956521739130434</v>
      </c>
      <c r="X82" s="22">
        <f>W82*23%</f>
        <v>5.28</v>
      </c>
    </row>
    <row r="83" spans="1:24" s="28" customFormat="1" x14ac:dyDescent="0.3">
      <c r="A83" s="22" t="s">
        <v>278</v>
      </c>
      <c r="B83" s="22" t="s">
        <v>282</v>
      </c>
      <c r="C83" s="22" t="s">
        <v>159</v>
      </c>
      <c r="D83" s="22" t="s">
        <v>160</v>
      </c>
      <c r="E83" s="22" t="s">
        <v>24</v>
      </c>
      <c r="F83" s="22" t="s">
        <v>49</v>
      </c>
      <c r="G83" s="48" t="s">
        <v>6</v>
      </c>
      <c r="H83" s="49"/>
      <c r="I83" s="24">
        <v>46082</v>
      </c>
      <c r="J83" s="25">
        <v>911.09</v>
      </c>
      <c r="K83" s="25">
        <v>597.4</v>
      </c>
      <c r="L83" s="25">
        <v>5959.35</v>
      </c>
      <c r="M83" s="25">
        <v>5959.35</v>
      </c>
      <c r="N83" s="25">
        <v>0</v>
      </c>
      <c r="O83" s="22" t="s">
        <v>26</v>
      </c>
      <c r="P83" s="22" t="s">
        <v>6</v>
      </c>
      <c r="Q83" s="22" t="s">
        <v>27</v>
      </c>
      <c r="R83" s="22"/>
      <c r="S83" s="22">
        <v>1</v>
      </c>
      <c r="T83" s="25">
        <v>23</v>
      </c>
      <c r="U83" s="26">
        <v>1</v>
      </c>
      <c r="V83" s="25">
        <v>15.08</v>
      </c>
      <c r="W83" s="29">
        <f>V83/23%</f>
        <v>65.565217391304344</v>
      </c>
      <c r="X83" s="22">
        <f>W83*23%</f>
        <v>15.08</v>
      </c>
    </row>
    <row r="84" spans="1:24" x14ac:dyDescent="0.3">
      <c r="A84" s="6" t="s">
        <v>278</v>
      </c>
      <c r="B84" s="6" t="s">
        <v>282</v>
      </c>
      <c r="C84" s="6" t="s">
        <v>161</v>
      </c>
      <c r="D84" s="6" t="s">
        <v>162</v>
      </c>
      <c r="E84" s="6" t="s">
        <v>24</v>
      </c>
      <c r="F84" s="6" t="s">
        <v>49</v>
      </c>
      <c r="G84" s="38" t="s">
        <v>6</v>
      </c>
      <c r="H84" s="39"/>
      <c r="I84" s="7">
        <v>46054</v>
      </c>
      <c r="J84" s="8">
        <v>169.56</v>
      </c>
      <c r="K84" s="8">
        <v>169.56</v>
      </c>
      <c r="L84" s="8">
        <v>336.41</v>
      </c>
      <c r="M84" s="8">
        <v>169.56</v>
      </c>
      <c r="N84" s="8">
        <v>166.85</v>
      </c>
      <c r="O84" s="6" t="s">
        <v>26</v>
      </c>
      <c r="P84" s="6" t="s">
        <v>6</v>
      </c>
      <c r="Q84" s="6" t="s">
        <v>27</v>
      </c>
      <c r="R84" s="6"/>
      <c r="S84" s="6">
        <v>1</v>
      </c>
      <c r="T84" s="8">
        <v>23</v>
      </c>
      <c r="U84" s="9">
        <v>1</v>
      </c>
      <c r="V84" s="8">
        <v>23</v>
      </c>
      <c r="W84" s="6" t="s">
        <v>6</v>
      </c>
      <c r="X84" s="6"/>
    </row>
    <row r="85" spans="1:24" x14ac:dyDescent="0.3">
      <c r="A85" s="6" t="s">
        <v>278</v>
      </c>
      <c r="B85" s="6" t="s">
        <v>282</v>
      </c>
      <c r="C85" s="6" t="s">
        <v>163</v>
      </c>
      <c r="D85" s="6" t="s">
        <v>164</v>
      </c>
      <c r="E85" s="6" t="s">
        <v>24</v>
      </c>
      <c r="F85" s="6" t="s">
        <v>49</v>
      </c>
      <c r="G85" s="38" t="s">
        <v>6</v>
      </c>
      <c r="H85" s="39"/>
      <c r="I85" s="7">
        <v>46054</v>
      </c>
      <c r="J85" s="8">
        <v>187.41</v>
      </c>
      <c r="K85" s="8">
        <v>187.41</v>
      </c>
      <c r="L85" s="8">
        <v>261.82</v>
      </c>
      <c r="M85" s="8">
        <v>187.41</v>
      </c>
      <c r="N85" s="8">
        <v>74.41</v>
      </c>
      <c r="O85" s="6" t="s">
        <v>26</v>
      </c>
      <c r="P85" s="6" t="s">
        <v>6</v>
      </c>
      <c r="Q85" s="6" t="s">
        <v>27</v>
      </c>
      <c r="R85" s="6"/>
      <c r="S85" s="6">
        <v>1</v>
      </c>
      <c r="T85" s="8">
        <v>23</v>
      </c>
      <c r="U85" s="9">
        <v>1</v>
      </c>
      <c r="V85" s="8">
        <v>23</v>
      </c>
      <c r="W85" s="6" t="s">
        <v>6</v>
      </c>
      <c r="X85" s="6"/>
    </row>
    <row r="86" spans="1:24" x14ac:dyDescent="0.3">
      <c r="A86" s="6" t="s">
        <v>278</v>
      </c>
      <c r="B86" s="6" t="s">
        <v>282</v>
      </c>
      <c r="C86" s="6" t="s">
        <v>163</v>
      </c>
      <c r="D86" s="6" t="s">
        <v>164</v>
      </c>
      <c r="E86" s="6" t="s">
        <v>24</v>
      </c>
      <c r="F86" s="6" t="s">
        <v>49</v>
      </c>
      <c r="G86" s="38" t="s">
        <v>6</v>
      </c>
      <c r="H86" s="39"/>
      <c r="I86" s="7">
        <v>46082</v>
      </c>
      <c r="J86" s="8">
        <v>187.41</v>
      </c>
      <c r="K86" s="8">
        <v>187.41</v>
      </c>
      <c r="L86" s="8">
        <v>523.64</v>
      </c>
      <c r="M86" s="8">
        <v>374.82</v>
      </c>
      <c r="N86" s="8">
        <v>148.82</v>
      </c>
      <c r="O86" s="6" t="s">
        <v>26</v>
      </c>
      <c r="P86" s="6" t="s">
        <v>6</v>
      </c>
      <c r="Q86" s="6" t="s">
        <v>27</v>
      </c>
      <c r="R86" s="6"/>
      <c r="S86" s="6">
        <v>1</v>
      </c>
      <c r="T86" s="8">
        <v>23</v>
      </c>
      <c r="U86" s="9">
        <v>1</v>
      </c>
      <c r="V86" s="8">
        <v>23</v>
      </c>
      <c r="W86" s="6" t="s">
        <v>6</v>
      </c>
      <c r="X86" s="6"/>
    </row>
    <row r="87" spans="1:24" x14ac:dyDescent="0.3">
      <c r="A87" s="6" t="s">
        <v>278</v>
      </c>
      <c r="B87" s="6" t="s">
        <v>282</v>
      </c>
      <c r="C87" s="6" t="s">
        <v>165</v>
      </c>
      <c r="D87" s="6" t="s">
        <v>166</v>
      </c>
      <c r="E87" s="6" t="s">
        <v>24</v>
      </c>
      <c r="F87" s="6" t="s">
        <v>49</v>
      </c>
      <c r="G87" s="38" t="s">
        <v>6</v>
      </c>
      <c r="H87" s="39"/>
      <c r="I87" s="7">
        <v>46054</v>
      </c>
      <c r="J87" s="8">
        <v>946.61</v>
      </c>
      <c r="K87" s="8">
        <v>946.61</v>
      </c>
      <c r="L87" s="8">
        <v>946.61</v>
      </c>
      <c r="M87" s="8">
        <v>946.61</v>
      </c>
      <c r="N87" s="8">
        <v>0</v>
      </c>
      <c r="O87" s="6" t="s">
        <v>26</v>
      </c>
      <c r="P87" s="6" t="s">
        <v>6</v>
      </c>
      <c r="Q87" s="6" t="s">
        <v>27</v>
      </c>
      <c r="R87" s="6"/>
      <c r="S87" s="6">
        <v>3</v>
      </c>
      <c r="T87" s="8">
        <v>23</v>
      </c>
      <c r="U87" s="9">
        <v>1</v>
      </c>
      <c r="V87" s="8">
        <v>69</v>
      </c>
      <c r="W87" s="6" t="s">
        <v>6</v>
      </c>
      <c r="X87" s="6"/>
    </row>
    <row r="88" spans="1:24" x14ac:dyDescent="0.3">
      <c r="A88" s="6" t="s">
        <v>278</v>
      </c>
      <c r="B88" s="6" t="s">
        <v>282</v>
      </c>
      <c r="C88" s="6" t="s">
        <v>165</v>
      </c>
      <c r="D88" s="6" t="s">
        <v>166</v>
      </c>
      <c r="E88" s="6" t="s">
        <v>24</v>
      </c>
      <c r="F88" s="6" t="s">
        <v>49</v>
      </c>
      <c r="G88" s="38" t="s">
        <v>6</v>
      </c>
      <c r="H88" s="39"/>
      <c r="I88" s="7">
        <v>46082</v>
      </c>
      <c r="J88" s="8">
        <v>946.61</v>
      </c>
      <c r="K88" s="8">
        <v>946.61</v>
      </c>
      <c r="L88" s="8">
        <v>1893.22</v>
      </c>
      <c r="M88" s="8">
        <v>1893.22</v>
      </c>
      <c r="N88" s="8">
        <v>0</v>
      </c>
      <c r="O88" s="6" t="s">
        <v>26</v>
      </c>
      <c r="P88" s="6" t="s">
        <v>6</v>
      </c>
      <c r="Q88" s="6" t="s">
        <v>27</v>
      </c>
      <c r="R88" s="6"/>
      <c r="S88" s="6">
        <v>3</v>
      </c>
      <c r="T88" s="8">
        <v>23</v>
      </c>
      <c r="U88" s="9">
        <v>1</v>
      </c>
      <c r="V88" s="8">
        <v>69</v>
      </c>
      <c r="W88" s="6" t="s">
        <v>6</v>
      </c>
      <c r="X88" s="6"/>
    </row>
    <row r="89" spans="1:24" x14ac:dyDescent="0.3">
      <c r="A89" s="6" t="s">
        <v>278</v>
      </c>
      <c r="B89" s="6" t="s">
        <v>282</v>
      </c>
      <c r="C89" s="6" t="s">
        <v>167</v>
      </c>
      <c r="D89" s="6" t="s">
        <v>168</v>
      </c>
      <c r="E89" s="6" t="s">
        <v>24</v>
      </c>
      <c r="F89" s="6" t="s">
        <v>49</v>
      </c>
      <c r="G89" s="38" t="s">
        <v>6</v>
      </c>
      <c r="H89" s="39"/>
      <c r="I89" s="7">
        <v>46054</v>
      </c>
      <c r="J89" s="8">
        <v>1</v>
      </c>
      <c r="K89" s="8">
        <v>1</v>
      </c>
      <c r="L89" s="8">
        <v>330.89</v>
      </c>
      <c r="M89" s="8">
        <v>1</v>
      </c>
      <c r="N89" s="8">
        <v>329.89</v>
      </c>
      <c r="O89" s="6" t="s">
        <v>26</v>
      </c>
      <c r="P89" s="6" t="s">
        <v>6</v>
      </c>
      <c r="Q89" s="6" t="s">
        <v>27</v>
      </c>
      <c r="R89" s="6"/>
      <c r="S89" s="6">
        <v>1</v>
      </c>
      <c r="T89" s="8">
        <v>23</v>
      </c>
      <c r="U89" s="9">
        <v>1</v>
      </c>
      <c r="V89" s="8">
        <v>23</v>
      </c>
      <c r="W89" s="6" t="s">
        <v>6</v>
      </c>
      <c r="X89" s="6"/>
    </row>
    <row r="90" spans="1:24" x14ac:dyDescent="0.3">
      <c r="A90" s="6" t="s">
        <v>278</v>
      </c>
      <c r="B90" s="6" t="s">
        <v>282</v>
      </c>
      <c r="C90" s="6" t="s">
        <v>167</v>
      </c>
      <c r="D90" s="6" t="s">
        <v>168</v>
      </c>
      <c r="E90" s="6" t="s">
        <v>24</v>
      </c>
      <c r="F90" s="6" t="s">
        <v>49</v>
      </c>
      <c r="G90" s="38" t="s">
        <v>6</v>
      </c>
      <c r="H90" s="39"/>
      <c r="I90" s="7">
        <v>46082</v>
      </c>
      <c r="J90" s="8">
        <v>1</v>
      </c>
      <c r="K90" s="8">
        <v>1</v>
      </c>
      <c r="L90" s="8">
        <v>661.78</v>
      </c>
      <c r="M90" s="8">
        <v>2</v>
      </c>
      <c r="N90" s="8">
        <v>659.78</v>
      </c>
      <c r="O90" s="6" t="s">
        <v>26</v>
      </c>
      <c r="P90" s="6" t="s">
        <v>6</v>
      </c>
      <c r="Q90" s="6" t="s">
        <v>27</v>
      </c>
      <c r="R90" s="6"/>
      <c r="S90" s="6">
        <v>1</v>
      </c>
      <c r="T90" s="8">
        <v>23</v>
      </c>
      <c r="U90" s="9">
        <v>1</v>
      </c>
      <c r="V90" s="8">
        <v>23</v>
      </c>
      <c r="W90" s="6" t="s">
        <v>6</v>
      </c>
      <c r="X90" s="6"/>
    </row>
    <row r="91" spans="1:24" x14ac:dyDescent="0.3">
      <c r="A91" s="6" t="s">
        <v>278</v>
      </c>
      <c r="B91" s="6" t="s">
        <v>282</v>
      </c>
      <c r="C91" s="6" t="s">
        <v>169</v>
      </c>
      <c r="D91" s="6" t="s">
        <v>170</v>
      </c>
      <c r="E91" s="6" t="s">
        <v>24</v>
      </c>
      <c r="F91" s="6" t="s">
        <v>49</v>
      </c>
      <c r="G91" s="38" t="s">
        <v>6</v>
      </c>
      <c r="H91" s="39"/>
      <c r="I91" s="7">
        <v>46054</v>
      </c>
      <c r="J91" s="8">
        <v>19.87</v>
      </c>
      <c r="K91" s="8">
        <v>19.87</v>
      </c>
      <c r="L91" s="8">
        <v>1754.26</v>
      </c>
      <c r="M91" s="8">
        <v>39.74</v>
      </c>
      <c r="N91" s="8">
        <v>1714.52</v>
      </c>
      <c r="O91" s="6" t="s">
        <v>26</v>
      </c>
      <c r="P91" s="6" t="s">
        <v>6</v>
      </c>
      <c r="Q91" s="6" t="s">
        <v>27</v>
      </c>
      <c r="R91" s="6"/>
      <c r="S91" s="6">
        <v>1</v>
      </c>
      <c r="T91" s="8">
        <v>23</v>
      </c>
      <c r="U91" s="9">
        <v>1</v>
      </c>
      <c r="V91" s="8">
        <v>23</v>
      </c>
      <c r="W91" s="6" t="s">
        <v>6</v>
      </c>
      <c r="X91" s="6"/>
    </row>
    <row r="92" spans="1:24" x14ac:dyDescent="0.3">
      <c r="A92" s="6" t="s">
        <v>278</v>
      </c>
      <c r="B92" s="6" t="s">
        <v>282</v>
      </c>
      <c r="C92" s="6" t="s">
        <v>169</v>
      </c>
      <c r="D92" s="6" t="s">
        <v>170</v>
      </c>
      <c r="E92" s="6" t="s">
        <v>24</v>
      </c>
      <c r="F92" s="6" t="s">
        <v>49</v>
      </c>
      <c r="G92" s="38" t="s">
        <v>6</v>
      </c>
      <c r="H92" s="39"/>
      <c r="I92" s="7">
        <v>46082</v>
      </c>
      <c r="J92" s="8">
        <v>19.87</v>
      </c>
      <c r="K92" s="8">
        <v>19.87</v>
      </c>
      <c r="L92" s="8">
        <v>2631.39</v>
      </c>
      <c r="M92" s="8">
        <v>59.61</v>
      </c>
      <c r="N92" s="8">
        <v>2571.7800000000002</v>
      </c>
      <c r="O92" s="6" t="s">
        <v>26</v>
      </c>
      <c r="P92" s="6" t="s">
        <v>6</v>
      </c>
      <c r="Q92" s="6" t="s">
        <v>27</v>
      </c>
      <c r="R92" s="6"/>
      <c r="S92" s="6">
        <v>1</v>
      </c>
      <c r="T92" s="8">
        <v>23</v>
      </c>
      <c r="U92" s="9">
        <v>1</v>
      </c>
      <c r="V92" s="8">
        <v>23</v>
      </c>
      <c r="W92" s="6" t="s">
        <v>6</v>
      </c>
      <c r="X92" s="6"/>
    </row>
    <row r="93" spans="1:24" x14ac:dyDescent="0.3">
      <c r="A93" s="6" t="s">
        <v>278</v>
      </c>
      <c r="B93" s="6" t="s">
        <v>282</v>
      </c>
      <c r="C93" s="6" t="s">
        <v>171</v>
      </c>
      <c r="D93" s="6" t="s">
        <v>172</v>
      </c>
      <c r="E93" s="6" t="s">
        <v>24</v>
      </c>
      <c r="F93" s="6" t="s">
        <v>49</v>
      </c>
      <c r="G93" s="38" t="s">
        <v>6</v>
      </c>
      <c r="H93" s="39"/>
      <c r="I93" s="7">
        <v>46054</v>
      </c>
      <c r="J93" s="8">
        <v>1.49</v>
      </c>
      <c r="K93" s="8">
        <v>1.49</v>
      </c>
      <c r="L93" s="8">
        <v>1488.86</v>
      </c>
      <c r="M93" s="8">
        <v>2.98</v>
      </c>
      <c r="N93" s="8">
        <v>1485.88</v>
      </c>
      <c r="O93" s="6" t="s">
        <v>26</v>
      </c>
      <c r="P93" s="6" t="s">
        <v>6</v>
      </c>
      <c r="Q93" s="6" t="s">
        <v>27</v>
      </c>
      <c r="R93" s="6"/>
      <c r="S93" s="6">
        <v>1</v>
      </c>
      <c r="T93" s="8">
        <v>23</v>
      </c>
      <c r="U93" s="9">
        <v>1</v>
      </c>
      <c r="V93" s="8">
        <v>23</v>
      </c>
      <c r="W93" s="6" t="s">
        <v>6</v>
      </c>
      <c r="X93" s="6"/>
    </row>
    <row r="94" spans="1:24" x14ac:dyDescent="0.3">
      <c r="A94" s="6" t="s">
        <v>278</v>
      </c>
      <c r="B94" s="6" t="s">
        <v>282</v>
      </c>
      <c r="C94" s="6" t="s">
        <v>171</v>
      </c>
      <c r="D94" s="6" t="s">
        <v>172</v>
      </c>
      <c r="E94" s="6" t="s">
        <v>24</v>
      </c>
      <c r="F94" s="6" t="s">
        <v>49</v>
      </c>
      <c r="G94" s="38" t="s">
        <v>6</v>
      </c>
      <c r="H94" s="39"/>
      <c r="I94" s="7">
        <v>46082</v>
      </c>
      <c r="J94" s="8">
        <v>1.49</v>
      </c>
      <c r="K94" s="8">
        <v>1.49</v>
      </c>
      <c r="L94" s="8">
        <v>2233.29</v>
      </c>
      <c r="M94" s="8">
        <v>4.47</v>
      </c>
      <c r="N94" s="8">
        <v>2228.8200000000002</v>
      </c>
      <c r="O94" s="6" t="s">
        <v>26</v>
      </c>
      <c r="P94" s="6" t="s">
        <v>6</v>
      </c>
      <c r="Q94" s="6" t="s">
        <v>27</v>
      </c>
      <c r="R94" s="6"/>
      <c r="S94" s="6">
        <v>1</v>
      </c>
      <c r="T94" s="8">
        <v>23</v>
      </c>
      <c r="U94" s="9">
        <v>1</v>
      </c>
      <c r="V94" s="8">
        <v>23</v>
      </c>
      <c r="W94" s="6" t="s">
        <v>6</v>
      </c>
      <c r="X94" s="6"/>
    </row>
    <row r="95" spans="1:24" x14ac:dyDescent="0.3">
      <c r="A95" s="6" t="s">
        <v>278</v>
      </c>
      <c r="B95" s="6" t="s">
        <v>282</v>
      </c>
      <c r="C95" s="6" t="s">
        <v>173</v>
      </c>
      <c r="D95" s="6" t="s">
        <v>174</v>
      </c>
      <c r="E95" s="6" t="s">
        <v>24</v>
      </c>
      <c r="F95" s="6" t="s">
        <v>49</v>
      </c>
      <c r="G95" s="38" t="s">
        <v>6</v>
      </c>
      <c r="H95" s="39"/>
      <c r="I95" s="7">
        <v>46082</v>
      </c>
      <c r="J95" s="8">
        <v>75.88</v>
      </c>
      <c r="K95" s="8">
        <v>75.88</v>
      </c>
      <c r="L95" s="8">
        <v>1091.0999999999999</v>
      </c>
      <c r="M95" s="8">
        <v>227.64</v>
      </c>
      <c r="N95" s="8">
        <v>863.46</v>
      </c>
      <c r="O95" s="6" t="s">
        <v>26</v>
      </c>
      <c r="P95" s="6" t="s">
        <v>6</v>
      </c>
      <c r="Q95" s="6" t="s">
        <v>27</v>
      </c>
      <c r="R95" s="6"/>
      <c r="S95" s="6">
        <v>1</v>
      </c>
      <c r="T95" s="8">
        <v>23</v>
      </c>
      <c r="U95" s="9">
        <v>1</v>
      </c>
      <c r="V95" s="8">
        <v>23</v>
      </c>
      <c r="W95" s="6" t="s">
        <v>6</v>
      </c>
      <c r="X95" s="6"/>
    </row>
    <row r="96" spans="1:24" ht="20.399999999999999" x14ac:dyDescent="0.3">
      <c r="A96" s="6" t="s">
        <v>278</v>
      </c>
      <c r="B96" s="6" t="s">
        <v>282</v>
      </c>
      <c r="C96" s="6" t="s">
        <v>175</v>
      </c>
      <c r="D96" s="6" t="s">
        <v>176</v>
      </c>
      <c r="E96" s="6" t="s">
        <v>24</v>
      </c>
      <c r="F96" s="6" t="s">
        <v>49</v>
      </c>
      <c r="G96" s="38" t="s">
        <v>6</v>
      </c>
      <c r="H96" s="39"/>
      <c r="I96" s="7">
        <v>46054</v>
      </c>
      <c r="J96" s="8">
        <v>707.29</v>
      </c>
      <c r="K96" s="8">
        <v>707.29</v>
      </c>
      <c r="L96" s="8">
        <v>940.34</v>
      </c>
      <c r="M96" s="8">
        <v>707.29</v>
      </c>
      <c r="N96" s="8">
        <v>233.05</v>
      </c>
      <c r="O96" s="6" t="s">
        <v>26</v>
      </c>
      <c r="P96" s="6" t="s">
        <v>6</v>
      </c>
      <c r="Q96" s="6" t="s">
        <v>27</v>
      </c>
      <c r="R96" s="6"/>
      <c r="S96" s="6">
        <v>1</v>
      </c>
      <c r="T96" s="8">
        <v>23</v>
      </c>
      <c r="U96" s="9">
        <v>1</v>
      </c>
      <c r="V96" s="8">
        <v>23</v>
      </c>
      <c r="W96" s="6" t="s">
        <v>6</v>
      </c>
      <c r="X96" s="6"/>
    </row>
    <row r="97" spans="1:24" ht="20.399999999999999" x14ac:dyDescent="0.3">
      <c r="A97" s="6" t="s">
        <v>278</v>
      </c>
      <c r="B97" s="6" t="s">
        <v>282</v>
      </c>
      <c r="C97" s="6" t="s">
        <v>175</v>
      </c>
      <c r="D97" s="6" t="s">
        <v>176</v>
      </c>
      <c r="E97" s="6" t="s">
        <v>24</v>
      </c>
      <c r="F97" s="6" t="s">
        <v>49</v>
      </c>
      <c r="G97" s="38" t="s">
        <v>6</v>
      </c>
      <c r="H97" s="39"/>
      <c r="I97" s="7">
        <v>46082</v>
      </c>
      <c r="J97" s="8">
        <v>707.29</v>
      </c>
      <c r="K97" s="8">
        <v>707.29</v>
      </c>
      <c r="L97" s="8">
        <v>1880.68</v>
      </c>
      <c r="M97" s="8">
        <v>1414.58</v>
      </c>
      <c r="N97" s="8">
        <v>466.1</v>
      </c>
      <c r="O97" s="6" t="s">
        <v>26</v>
      </c>
      <c r="P97" s="6" t="s">
        <v>6</v>
      </c>
      <c r="Q97" s="6" t="s">
        <v>27</v>
      </c>
      <c r="R97" s="6"/>
      <c r="S97" s="6">
        <v>1</v>
      </c>
      <c r="T97" s="8">
        <v>23</v>
      </c>
      <c r="U97" s="9">
        <v>1</v>
      </c>
      <c r="V97" s="8">
        <v>23</v>
      </c>
      <c r="W97" s="6" t="s">
        <v>6</v>
      </c>
      <c r="X97" s="6"/>
    </row>
    <row r="98" spans="1:24" x14ac:dyDescent="0.3">
      <c r="A98" s="6" t="s">
        <v>278</v>
      </c>
      <c r="B98" s="6" t="s">
        <v>282</v>
      </c>
      <c r="C98" s="6" t="s">
        <v>177</v>
      </c>
      <c r="D98" s="6" t="s">
        <v>178</v>
      </c>
      <c r="E98" s="6" t="s">
        <v>24</v>
      </c>
      <c r="F98" s="6" t="s">
        <v>49</v>
      </c>
      <c r="G98" s="38" t="s">
        <v>6</v>
      </c>
      <c r="H98" s="39"/>
      <c r="I98" s="7">
        <v>46082</v>
      </c>
      <c r="J98" s="8">
        <v>423.02</v>
      </c>
      <c r="K98" s="8">
        <v>423.02</v>
      </c>
      <c r="L98" s="8">
        <v>8816.3799999999992</v>
      </c>
      <c r="M98" s="8">
        <v>7140.52</v>
      </c>
      <c r="N98" s="8">
        <v>1675.86</v>
      </c>
      <c r="O98" s="6" t="s">
        <v>26</v>
      </c>
      <c r="P98" s="6" t="s">
        <v>6</v>
      </c>
      <c r="Q98" s="6" t="s">
        <v>27</v>
      </c>
      <c r="R98" s="6"/>
      <c r="S98" s="6">
        <v>1</v>
      </c>
      <c r="T98" s="8">
        <v>23</v>
      </c>
      <c r="U98" s="9">
        <v>1</v>
      </c>
      <c r="V98" s="8">
        <v>23</v>
      </c>
      <c r="W98" s="6" t="s">
        <v>6</v>
      </c>
      <c r="X98" s="6"/>
    </row>
    <row r="99" spans="1:24" x14ac:dyDescent="0.3">
      <c r="A99" s="6" t="s">
        <v>278</v>
      </c>
      <c r="B99" s="6" t="s">
        <v>282</v>
      </c>
      <c r="C99" s="6" t="s">
        <v>179</v>
      </c>
      <c r="D99" s="6" t="s">
        <v>180</v>
      </c>
      <c r="E99" s="6" t="s">
        <v>24</v>
      </c>
      <c r="F99" s="6" t="s">
        <v>49</v>
      </c>
      <c r="G99" s="38" t="s">
        <v>6</v>
      </c>
      <c r="H99" s="39"/>
      <c r="I99" s="7">
        <v>46082</v>
      </c>
      <c r="J99" s="8">
        <v>41.61</v>
      </c>
      <c r="K99" s="8">
        <v>41.61</v>
      </c>
      <c r="L99" s="8">
        <v>3000.96</v>
      </c>
      <c r="M99" s="8">
        <v>501.93</v>
      </c>
      <c r="N99" s="8">
        <v>2499.0300000000002</v>
      </c>
      <c r="O99" s="6" t="s">
        <v>26</v>
      </c>
      <c r="P99" s="6" t="s">
        <v>6</v>
      </c>
      <c r="Q99" s="6" t="s">
        <v>27</v>
      </c>
      <c r="R99" s="6"/>
      <c r="S99" s="6">
        <v>1</v>
      </c>
      <c r="T99" s="8">
        <v>23</v>
      </c>
      <c r="U99" s="9">
        <v>1</v>
      </c>
      <c r="V99" s="8">
        <v>23</v>
      </c>
      <c r="W99" s="6" t="s">
        <v>6</v>
      </c>
      <c r="X99" s="6"/>
    </row>
    <row r="100" spans="1:24" x14ac:dyDescent="0.3">
      <c r="A100" s="6" t="s">
        <v>278</v>
      </c>
      <c r="B100" s="6" t="s">
        <v>282</v>
      </c>
      <c r="C100" s="6" t="s">
        <v>181</v>
      </c>
      <c r="D100" s="6" t="s">
        <v>182</v>
      </c>
      <c r="E100" s="6" t="s">
        <v>24</v>
      </c>
      <c r="F100" s="6" t="s">
        <v>49</v>
      </c>
      <c r="G100" s="38" t="s">
        <v>6</v>
      </c>
      <c r="H100" s="39"/>
      <c r="I100" s="7">
        <v>46054</v>
      </c>
      <c r="J100" s="8">
        <v>624.53</v>
      </c>
      <c r="K100" s="8">
        <v>624.53</v>
      </c>
      <c r="L100" s="8">
        <v>1537.92</v>
      </c>
      <c r="M100" s="8">
        <v>624.53</v>
      </c>
      <c r="N100" s="8">
        <v>913.39</v>
      </c>
      <c r="O100" s="6" t="s">
        <v>26</v>
      </c>
      <c r="P100" s="6" t="s">
        <v>6</v>
      </c>
      <c r="Q100" s="6" t="s">
        <v>27</v>
      </c>
      <c r="R100" s="6"/>
      <c r="S100" s="6">
        <v>3</v>
      </c>
      <c r="T100" s="8">
        <v>23</v>
      </c>
      <c r="U100" s="9">
        <v>1</v>
      </c>
      <c r="V100" s="8">
        <v>69</v>
      </c>
      <c r="W100" s="6" t="s">
        <v>6</v>
      </c>
      <c r="X100" s="6"/>
    </row>
    <row r="101" spans="1:24" x14ac:dyDescent="0.3">
      <c r="A101" s="6" t="s">
        <v>278</v>
      </c>
      <c r="B101" s="6" t="s">
        <v>282</v>
      </c>
      <c r="C101" s="6" t="s">
        <v>181</v>
      </c>
      <c r="D101" s="6" t="s">
        <v>182</v>
      </c>
      <c r="E101" s="6" t="s">
        <v>24</v>
      </c>
      <c r="F101" s="6" t="s">
        <v>49</v>
      </c>
      <c r="G101" s="38" t="s">
        <v>6</v>
      </c>
      <c r="H101" s="39"/>
      <c r="I101" s="7">
        <v>46082</v>
      </c>
      <c r="J101" s="8">
        <v>624.53</v>
      </c>
      <c r="K101" s="8">
        <v>624.53</v>
      </c>
      <c r="L101" s="8">
        <v>3075.84</v>
      </c>
      <c r="M101" s="8">
        <v>1249.06</v>
      </c>
      <c r="N101" s="8">
        <v>1826.78</v>
      </c>
      <c r="O101" s="6" t="s">
        <v>26</v>
      </c>
      <c r="P101" s="6" t="s">
        <v>6</v>
      </c>
      <c r="Q101" s="6" t="s">
        <v>27</v>
      </c>
      <c r="R101" s="6"/>
      <c r="S101" s="6">
        <v>3</v>
      </c>
      <c r="T101" s="8">
        <v>23</v>
      </c>
      <c r="U101" s="9">
        <v>1</v>
      </c>
      <c r="V101" s="8">
        <v>69</v>
      </c>
      <c r="W101" s="6" t="s">
        <v>6</v>
      </c>
      <c r="X101" s="6"/>
    </row>
    <row r="102" spans="1:24" x14ac:dyDescent="0.3">
      <c r="A102" s="6" t="s">
        <v>278</v>
      </c>
      <c r="B102" s="6" t="s">
        <v>282</v>
      </c>
      <c r="C102" s="6" t="s">
        <v>183</v>
      </c>
      <c r="D102" s="6" t="s">
        <v>184</v>
      </c>
      <c r="E102" s="6" t="s">
        <v>24</v>
      </c>
      <c r="F102" s="6" t="s">
        <v>49</v>
      </c>
      <c r="G102" s="38" t="s">
        <v>6</v>
      </c>
      <c r="H102" s="39"/>
      <c r="I102" s="7">
        <v>46082</v>
      </c>
      <c r="J102" s="8">
        <v>1170.9000000000001</v>
      </c>
      <c r="K102" s="8">
        <v>1170.9000000000001</v>
      </c>
      <c r="L102" s="8">
        <v>3512.7</v>
      </c>
      <c r="M102" s="8">
        <v>3512.7</v>
      </c>
      <c r="N102" s="8">
        <v>0</v>
      </c>
      <c r="O102" s="6" t="s">
        <v>26</v>
      </c>
      <c r="P102" s="6" t="s">
        <v>6</v>
      </c>
      <c r="Q102" s="6" t="s">
        <v>27</v>
      </c>
      <c r="R102" s="6"/>
      <c r="S102" s="6">
        <v>1</v>
      </c>
      <c r="T102" s="8">
        <v>23</v>
      </c>
      <c r="U102" s="9">
        <v>1</v>
      </c>
      <c r="V102" s="8">
        <v>23</v>
      </c>
      <c r="W102" s="6" t="s">
        <v>6</v>
      </c>
      <c r="X102" s="6"/>
    </row>
    <row r="103" spans="1:24" x14ac:dyDescent="0.3">
      <c r="A103" s="6" t="s">
        <v>278</v>
      </c>
      <c r="B103" s="6" t="s">
        <v>282</v>
      </c>
      <c r="C103" s="6" t="s">
        <v>185</v>
      </c>
      <c r="D103" s="6" t="s">
        <v>186</v>
      </c>
      <c r="E103" s="6" t="s">
        <v>24</v>
      </c>
      <c r="F103" s="6" t="s">
        <v>49</v>
      </c>
      <c r="G103" s="38" t="s">
        <v>6</v>
      </c>
      <c r="H103" s="39"/>
      <c r="I103" s="7">
        <v>46054</v>
      </c>
      <c r="J103" s="8">
        <v>105.47</v>
      </c>
      <c r="K103" s="8">
        <v>105.47</v>
      </c>
      <c r="L103" s="8">
        <v>1371.76</v>
      </c>
      <c r="M103" s="8">
        <v>210.94</v>
      </c>
      <c r="N103" s="8">
        <v>1160.82</v>
      </c>
      <c r="O103" s="6" t="s">
        <v>26</v>
      </c>
      <c r="P103" s="6" t="s">
        <v>6</v>
      </c>
      <c r="Q103" s="6" t="s">
        <v>27</v>
      </c>
      <c r="R103" s="6"/>
      <c r="S103" s="6">
        <v>1</v>
      </c>
      <c r="T103" s="8">
        <v>23</v>
      </c>
      <c r="U103" s="9">
        <v>1</v>
      </c>
      <c r="V103" s="8">
        <v>23</v>
      </c>
      <c r="W103" s="6" t="s">
        <v>6</v>
      </c>
      <c r="X103" s="6"/>
    </row>
    <row r="104" spans="1:24" x14ac:dyDescent="0.3">
      <c r="A104" s="6" t="s">
        <v>278</v>
      </c>
      <c r="B104" s="6" t="s">
        <v>282</v>
      </c>
      <c r="C104" s="6" t="s">
        <v>185</v>
      </c>
      <c r="D104" s="6" t="s">
        <v>186</v>
      </c>
      <c r="E104" s="6" t="s">
        <v>24</v>
      </c>
      <c r="F104" s="6" t="s">
        <v>49</v>
      </c>
      <c r="G104" s="38" t="s">
        <v>6</v>
      </c>
      <c r="H104" s="39"/>
      <c r="I104" s="7">
        <v>46082</v>
      </c>
      <c r="J104" s="8">
        <v>105.47</v>
      </c>
      <c r="K104" s="8">
        <v>105.47</v>
      </c>
      <c r="L104" s="8">
        <v>2057.64</v>
      </c>
      <c r="M104" s="8">
        <v>316.41000000000003</v>
      </c>
      <c r="N104" s="8">
        <v>1741.23</v>
      </c>
      <c r="O104" s="6" t="s">
        <v>26</v>
      </c>
      <c r="P104" s="6" t="s">
        <v>6</v>
      </c>
      <c r="Q104" s="6" t="s">
        <v>27</v>
      </c>
      <c r="R104" s="6"/>
      <c r="S104" s="6">
        <v>1</v>
      </c>
      <c r="T104" s="8">
        <v>23</v>
      </c>
      <c r="U104" s="9">
        <v>1</v>
      </c>
      <c r="V104" s="8">
        <v>23</v>
      </c>
      <c r="W104" s="6" t="s">
        <v>6</v>
      </c>
      <c r="X104" s="6"/>
    </row>
    <row r="105" spans="1:24" x14ac:dyDescent="0.3">
      <c r="A105" s="6" t="s">
        <v>278</v>
      </c>
      <c r="B105" s="6" t="s">
        <v>282</v>
      </c>
      <c r="C105" s="6" t="s">
        <v>187</v>
      </c>
      <c r="D105" s="6" t="s">
        <v>188</v>
      </c>
      <c r="E105" s="6" t="s">
        <v>24</v>
      </c>
      <c r="F105" s="6" t="s">
        <v>49</v>
      </c>
      <c r="G105" s="38" t="s">
        <v>6</v>
      </c>
      <c r="H105" s="39"/>
      <c r="I105" s="7">
        <v>46082</v>
      </c>
      <c r="J105" s="8">
        <v>800.76</v>
      </c>
      <c r="K105" s="8">
        <v>800.76</v>
      </c>
      <c r="L105" s="8">
        <v>2402.2800000000002</v>
      </c>
      <c r="M105" s="8">
        <v>2402.2800000000002</v>
      </c>
      <c r="N105" s="8">
        <v>0</v>
      </c>
      <c r="O105" s="6" t="s">
        <v>26</v>
      </c>
      <c r="P105" s="6" t="s">
        <v>6</v>
      </c>
      <c r="Q105" s="6" t="s">
        <v>27</v>
      </c>
      <c r="R105" s="6"/>
      <c r="S105" s="6">
        <v>1</v>
      </c>
      <c r="T105" s="8">
        <v>23</v>
      </c>
      <c r="U105" s="9">
        <v>1</v>
      </c>
      <c r="V105" s="8">
        <v>23</v>
      </c>
      <c r="W105" s="6" t="s">
        <v>6</v>
      </c>
      <c r="X105" s="6"/>
    </row>
    <row r="106" spans="1:24" x14ac:dyDescent="0.3">
      <c r="A106" s="6" t="s">
        <v>278</v>
      </c>
      <c r="B106" s="6" t="s">
        <v>282</v>
      </c>
      <c r="C106" s="6" t="s">
        <v>189</v>
      </c>
      <c r="D106" s="6" t="s">
        <v>190</v>
      </c>
      <c r="E106" s="6" t="s">
        <v>24</v>
      </c>
      <c r="F106" s="6" t="s">
        <v>49</v>
      </c>
      <c r="G106" s="38" t="s">
        <v>6</v>
      </c>
      <c r="H106" s="39"/>
      <c r="I106" s="7">
        <v>46082</v>
      </c>
      <c r="J106" s="8">
        <v>603.79999999999995</v>
      </c>
      <c r="K106" s="8">
        <v>603.79999999999995</v>
      </c>
      <c r="L106" s="8">
        <v>5615.07</v>
      </c>
      <c r="M106" s="8">
        <v>1811.4</v>
      </c>
      <c r="N106" s="8">
        <v>3803.67</v>
      </c>
      <c r="O106" s="6" t="s">
        <v>26</v>
      </c>
      <c r="P106" s="6" t="s">
        <v>6</v>
      </c>
      <c r="Q106" s="6" t="s">
        <v>27</v>
      </c>
      <c r="R106" s="6"/>
      <c r="S106" s="6">
        <v>3</v>
      </c>
      <c r="T106" s="8">
        <v>23</v>
      </c>
      <c r="U106" s="9">
        <v>1</v>
      </c>
      <c r="V106" s="8">
        <v>69</v>
      </c>
      <c r="W106" s="6" t="s">
        <v>6</v>
      </c>
      <c r="X106" s="6"/>
    </row>
    <row r="107" spans="1:24" x14ac:dyDescent="0.3">
      <c r="A107" s="6" t="s">
        <v>278</v>
      </c>
      <c r="B107" s="6" t="s">
        <v>282</v>
      </c>
      <c r="C107" s="6" t="s">
        <v>191</v>
      </c>
      <c r="D107" s="6" t="s">
        <v>192</v>
      </c>
      <c r="E107" s="6" t="s">
        <v>24</v>
      </c>
      <c r="F107" s="6" t="s">
        <v>49</v>
      </c>
      <c r="G107" s="38" t="s">
        <v>6</v>
      </c>
      <c r="H107" s="39"/>
      <c r="I107" s="7">
        <v>46082</v>
      </c>
      <c r="J107" s="8">
        <v>168.59</v>
      </c>
      <c r="K107" s="8">
        <v>168.59</v>
      </c>
      <c r="L107" s="8">
        <v>2929.32</v>
      </c>
      <c r="M107" s="8">
        <v>505.77</v>
      </c>
      <c r="N107" s="8">
        <v>2423.5500000000002</v>
      </c>
      <c r="O107" s="6" t="s">
        <v>26</v>
      </c>
      <c r="P107" s="6" t="s">
        <v>6</v>
      </c>
      <c r="Q107" s="6" t="s">
        <v>27</v>
      </c>
      <c r="R107" s="6"/>
      <c r="S107" s="6">
        <v>2</v>
      </c>
      <c r="T107" s="8">
        <v>23</v>
      </c>
      <c r="U107" s="9">
        <v>1</v>
      </c>
      <c r="V107" s="8">
        <v>46</v>
      </c>
      <c r="W107" s="6" t="s">
        <v>6</v>
      </c>
      <c r="X107" s="6"/>
    </row>
    <row r="108" spans="1:24" x14ac:dyDescent="0.3">
      <c r="A108" s="6" t="s">
        <v>283</v>
      </c>
      <c r="B108" s="6" t="s">
        <v>284</v>
      </c>
      <c r="C108" s="6" t="s">
        <v>195</v>
      </c>
      <c r="D108" s="6" t="s">
        <v>196</v>
      </c>
      <c r="E108" s="6" t="s">
        <v>24</v>
      </c>
      <c r="F108" s="6" t="s">
        <v>49</v>
      </c>
      <c r="G108" s="38" t="s">
        <v>6</v>
      </c>
      <c r="H108" s="39"/>
      <c r="I108" s="7">
        <v>46082</v>
      </c>
      <c r="J108" s="8">
        <v>18.14</v>
      </c>
      <c r="K108" s="8">
        <v>18.14</v>
      </c>
      <c r="L108" s="8">
        <v>1362.9</v>
      </c>
      <c r="M108" s="8">
        <v>54.42</v>
      </c>
      <c r="N108" s="8">
        <v>1308.48</v>
      </c>
      <c r="O108" s="6" t="s">
        <v>26</v>
      </c>
      <c r="P108" s="6" t="s">
        <v>6</v>
      </c>
      <c r="Q108" s="6" t="s">
        <v>27</v>
      </c>
      <c r="R108" s="6"/>
      <c r="S108" s="6">
        <v>1</v>
      </c>
      <c r="T108" s="8">
        <v>23</v>
      </c>
      <c r="U108" s="9">
        <v>1</v>
      </c>
      <c r="V108" s="8">
        <v>23</v>
      </c>
      <c r="W108" s="6" t="s">
        <v>6</v>
      </c>
      <c r="X108" s="6"/>
    </row>
    <row r="109" spans="1:24" x14ac:dyDescent="0.3">
      <c r="A109" s="6" t="s">
        <v>283</v>
      </c>
      <c r="B109" s="6" t="s">
        <v>284</v>
      </c>
      <c r="C109" s="6" t="s">
        <v>197</v>
      </c>
      <c r="D109" s="6" t="s">
        <v>198</v>
      </c>
      <c r="E109" s="6" t="s">
        <v>24</v>
      </c>
      <c r="F109" s="6" t="s">
        <v>49</v>
      </c>
      <c r="G109" s="38" t="s">
        <v>6</v>
      </c>
      <c r="H109" s="39"/>
      <c r="I109" s="7">
        <v>46054</v>
      </c>
      <c r="J109" s="8">
        <v>178.56</v>
      </c>
      <c r="K109" s="8">
        <v>178.56</v>
      </c>
      <c r="L109" s="8">
        <v>622.79</v>
      </c>
      <c r="M109" s="8">
        <v>178.56</v>
      </c>
      <c r="N109" s="8">
        <v>444.23</v>
      </c>
      <c r="O109" s="6" t="s">
        <v>26</v>
      </c>
      <c r="P109" s="6" t="s">
        <v>6</v>
      </c>
      <c r="Q109" s="6" t="s">
        <v>27</v>
      </c>
      <c r="R109" s="6"/>
      <c r="S109" s="6">
        <v>1</v>
      </c>
      <c r="T109" s="8">
        <v>23</v>
      </c>
      <c r="U109" s="9">
        <v>1</v>
      </c>
      <c r="V109" s="8">
        <v>23</v>
      </c>
      <c r="W109" s="6" t="s">
        <v>6</v>
      </c>
      <c r="X109" s="6"/>
    </row>
    <row r="110" spans="1:24" x14ac:dyDescent="0.3">
      <c r="A110" s="6" t="s">
        <v>283</v>
      </c>
      <c r="B110" s="6" t="s">
        <v>284</v>
      </c>
      <c r="C110" s="6" t="s">
        <v>197</v>
      </c>
      <c r="D110" s="6" t="s">
        <v>198</v>
      </c>
      <c r="E110" s="6" t="s">
        <v>24</v>
      </c>
      <c r="F110" s="6" t="s">
        <v>49</v>
      </c>
      <c r="G110" s="38" t="s">
        <v>6</v>
      </c>
      <c r="H110" s="39"/>
      <c r="I110" s="7">
        <v>46082</v>
      </c>
      <c r="J110" s="8">
        <v>178.56</v>
      </c>
      <c r="K110" s="8">
        <v>178.56</v>
      </c>
      <c r="L110" s="8">
        <v>1245.58</v>
      </c>
      <c r="M110" s="8">
        <v>357.12</v>
      </c>
      <c r="N110" s="8">
        <v>888.46</v>
      </c>
      <c r="O110" s="6" t="s">
        <v>26</v>
      </c>
      <c r="P110" s="6" t="s">
        <v>6</v>
      </c>
      <c r="Q110" s="6" t="s">
        <v>27</v>
      </c>
      <c r="R110" s="6"/>
      <c r="S110" s="6">
        <v>1</v>
      </c>
      <c r="T110" s="8">
        <v>23</v>
      </c>
      <c r="U110" s="9">
        <v>1</v>
      </c>
      <c r="V110" s="8">
        <v>23</v>
      </c>
      <c r="W110" s="6" t="s">
        <v>6</v>
      </c>
      <c r="X110" s="6"/>
    </row>
    <row r="111" spans="1:24" x14ac:dyDescent="0.3">
      <c r="A111" s="6" t="s">
        <v>283</v>
      </c>
      <c r="B111" s="6" t="s">
        <v>284</v>
      </c>
      <c r="C111" s="6" t="s">
        <v>199</v>
      </c>
      <c r="D111" s="6" t="s">
        <v>200</v>
      </c>
      <c r="E111" s="6" t="s">
        <v>24</v>
      </c>
      <c r="F111" s="6" t="s">
        <v>49</v>
      </c>
      <c r="G111" s="38" t="s">
        <v>6</v>
      </c>
      <c r="H111" s="39"/>
      <c r="I111" s="7">
        <v>46082</v>
      </c>
      <c r="J111" s="8">
        <v>131.12</v>
      </c>
      <c r="K111" s="8">
        <v>131.12</v>
      </c>
      <c r="L111" s="8">
        <v>5026.0200000000004</v>
      </c>
      <c r="M111" s="8">
        <v>393.36</v>
      </c>
      <c r="N111" s="8">
        <v>4632.66</v>
      </c>
      <c r="O111" s="6" t="s">
        <v>26</v>
      </c>
      <c r="P111" s="6" t="s">
        <v>6</v>
      </c>
      <c r="Q111" s="6" t="s">
        <v>27</v>
      </c>
      <c r="R111" s="6"/>
      <c r="S111" s="6">
        <v>3</v>
      </c>
      <c r="T111" s="8">
        <v>23</v>
      </c>
      <c r="U111" s="9">
        <v>1</v>
      </c>
      <c r="V111" s="8">
        <v>69</v>
      </c>
      <c r="W111" s="6" t="s">
        <v>6</v>
      </c>
      <c r="X111" s="6"/>
    </row>
    <row r="112" spans="1:24" x14ac:dyDescent="0.3">
      <c r="A112" s="6" t="s">
        <v>283</v>
      </c>
      <c r="B112" s="6" t="s">
        <v>284</v>
      </c>
      <c r="C112" s="6" t="s">
        <v>201</v>
      </c>
      <c r="D112" s="6" t="s">
        <v>202</v>
      </c>
      <c r="E112" s="6" t="s">
        <v>24</v>
      </c>
      <c r="F112" s="6" t="s">
        <v>49</v>
      </c>
      <c r="G112" s="38" t="s">
        <v>6</v>
      </c>
      <c r="H112" s="39"/>
      <c r="I112" s="7">
        <v>46054</v>
      </c>
      <c r="J112" s="8">
        <v>225.05</v>
      </c>
      <c r="K112" s="8">
        <v>225.05</v>
      </c>
      <c r="L112" s="8">
        <v>242.72</v>
      </c>
      <c r="M112" s="8">
        <v>225.05</v>
      </c>
      <c r="N112" s="8">
        <v>17.670000000000002</v>
      </c>
      <c r="O112" s="6" t="s">
        <v>26</v>
      </c>
      <c r="P112" s="6" t="s">
        <v>6</v>
      </c>
      <c r="Q112" s="6" t="s">
        <v>27</v>
      </c>
      <c r="R112" s="6"/>
      <c r="S112" s="6">
        <v>1</v>
      </c>
      <c r="T112" s="8">
        <v>23</v>
      </c>
      <c r="U112" s="9">
        <v>1</v>
      </c>
      <c r="V112" s="8">
        <v>23</v>
      </c>
      <c r="W112" s="6" t="s">
        <v>6</v>
      </c>
      <c r="X112" s="6"/>
    </row>
    <row r="113" spans="1:24" x14ac:dyDescent="0.3">
      <c r="A113" s="6" t="s">
        <v>283</v>
      </c>
      <c r="B113" s="6" t="s">
        <v>284</v>
      </c>
      <c r="C113" s="6" t="s">
        <v>203</v>
      </c>
      <c r="D113" s="6" t="s">
        <v>204</v>
      </c>
      <c r="E113" s="6" t="s">
        <v>24</v>
      </c>
      <c r="F113" s="6" t="s">
        <v>49</v>
      </c>
      <c r="G113" s="38" t="s">
        <v>6</v>
      </c>
      <c r="H113" s="39"/>
      <c r="I113" s="7">
        <v>46082</v>
      </c>
      <c r="J113" s="8">
        <v>194.66</v>
      </c>
      <c r="K113" s="8">
        <v>194.66</v>
      </c>
      <c r="L113" s="8">
        <v>1640.12</v>
      </c>
      <c r="M113" s="8">
        <v>907.82</v>
      </c>
      <c r="N113" s="8">
        <v>732.3</v>
      </c>
      <c r="O113" s="6" t="s">
        <v>26</v>
      </c>
      <c r="P113" s="6" t="s">
        <v>6</v>
      </c>
      <c r="Q113" s="6" t="s">
        <v>27</v>
      </c>
      <c r="R113" s="6"/>
      <c r="S113" s="6">
        <v>1</v>
      </c>
      <c r="T113" s="8">
        <v>23</v>
      </c>
      <c r="U113" s="9">
        <v>1</v>
      </c>
      <c r="V113" s="8">
        <v>23</v>
      </c>
      <c r="W113" s="6" t="s">
        <v>6</v>
      </c>
      <c r="X113" s="6"/>
    </row>
    <row r="114" spans="1:24" x14ac:dyDescent="0.3">
      <c r="A114" s="6" t="s">
        <v>283</v>
      </c>
      <c r="B114" s="6" t="s">
        <v>284</v>
      </c>
      <c r="C114" s="6" t="s">
        <v>205</v>
      </c>
      <c r="D114" s="6" t="s">
        <v>206</v>
      </c>
      <c r="E114" s="6" t="s">
        <v>24</v>
      </c>
      <c r="F114" s="6" t="s">
        <v>49</v>
      </c>
      <c r="G114" s="38" t="s">
        <v>6</v>
      </c>
      <c r="H114" s="39"/>
      <c r="I114" s="7">
        <v>46054</v>
      </c>
      <c r="J114" s="8">
        <v>370.6</v>
      </c>
      <c r="K114" s="8">
        <v>370.6</v>
      </c>
      <c r="L114" s="8">
        <v>741.2</v>
      </c>
      <c r="M114" s="8">
        <v>741.2</v>
      </c>
      <c r="N114" s="8">
        <v>0</v>
      </c>
      <c r="O114" s="6" t="s">
        <v>26</v>
      </c>
      <c r="P114" s="6" t="s">
        <v>6</v>
      </c>
      <c r="Q114" s="6" t="s">
        <v>27</v>
      </c>
      <c r="R114" s="6"/>
      <c r="S114" s="6">
        <v>1</v>
      </c>
      <c r="T114" s="8">
        <v>23</v>
      </c>
      <c r="U114" s="9">
        <v>1</v>
      </c>
      <c r="V114" s="8">
        <v>23</v>
      </c>
      <c r="W114" s="6" t="s">
        <v>6</v>
      </c>
      <c r="X114" s="6"/>
    </row>
    <row r="115" spans="1:24" x14ac:dyDescent="0.3">
      <c r="A115" s="6" t="s">
        <v>283</v>
      </c>
      <c r="B115" s="6" t="s">
        <v>284</v>
      </c>
      <c r="C115" s="6" t="s">
        <v>205</v>
      </c>
      <c r="D115" s="6" t="s">
        <v>206</v>
      </c>
      <c r="E115" s="6" t="s">
        <v>24</v>
      </c>
      <c r="F115" s="6" t="s">
        <v>49</v>
      </c>
      <c r="G115" s="38" t="s">
        <v>6</v>
      </c>
      <c r="H115" s="39"/>
      <c r="I115" s="7">
        <v>46082</v>
      </c>
      <c r="J115" s="8">
        <v>370.6</v>
      </c>
      <c r="K115" s="8">
        <v>370.6</v>
      </c>
      <c r="L115" s="8">
        <v>1111.8</v>
      </c>
      <c r="M115" s="8">
        <v>1111.8</v>
      </c>
      <c r="N115" s="8">
        <v>0</v>
      </c>
      <c r="O115" s="6" t="s">
        <v>26</v>
      </c>
      <c r="P115" s="6" t="s">
        <v>6</v>
      </c>
      <c r="Q115" s="6" t="s">
        <v>27</v>
      </c>
      <c r="R115" s="6"/>
      <c r="S115" s="6">
        <v>1</v>
      </c>
      <c r="T115" s="8">
        <v>23</v>
      </c>
      <c r="U115" s="9">
        <v>1</v>
      </c>
      <c r="V115" s="8">
        <v>23</v>
      </c>
      <c r="W115" s="6" t="s">
        <v>6</v>
      </c>
      <c r="X115" s="6"/>
    </row>
    <row r="116" spans="1:24" x14ac:dyDescent="0.3">
      <c r="A116" s="6" t="s">
        <v>283</v>
      </c>
      <c r="B116" s="6" t="s">
        <v>284</v>
      </c>
      <c r="C116" s="6" t="s">
        <v>207</v>
      </c>
      <c r="D116" s="6" t="s">
        <v>208</v>
      </c>
      <c r="E116" s="6" t="s">
        <v>24</v>
      </c>
      <c r="F116" s="6" t="s">
        <v>49</v>
      </c>
      <c r="G116" s="38" t="s">
        <v>6</v>
      </c>
      <c r="H116" s="39"/>
      <c r="I116" s="7">
        <v>46082</v>
      </c>
      <c r="J116" s="8">
        <v>100.43</v>
      </c>
      <c r="K116" s="8">
        <v>100.43</v>
      </c>
      <c r="L116" s="8">
        <v>2286.4499999999998</v>
      </c>
      <c r="M116" s="8">
        <v>301.29000000000002</v>
      </c>
      <c r="N116" s="8">
        <v>1985.16</v>
      </c>
      <c r="O116" s="6" t="s">
        <v>26</v>
      </c>
      <c r="P116" s="6" t="s">
        <v>6</v>
      </c>
      <c r="Q116" s="6" t="s">
        <v>27</v>
      </c>
      <c r="R116" s="6"/>
      <c r="S116" s="6">
        <v>1</v>
      </c>
      <c r="T116" s="8">
        <v>23</v>
      </c>
      <c r="U116" s="9">
        <v>1</v>
      </c>
      <c r="V116" s="8">
        <v>23</v>
      </c>
      <c r="W116" s="6" t="s">
        <v>6</v>
      </c>
      <c r="X116" s="6"/>
    </row>
    <row r="117" spans="1:24" x14ac:dyDescent="0.3">
      <c r="A117" s="6" t="s">
        <v>283</v>
      </c>
      <c r="B117" s="6" t="s">
        <v>284</v>
      </c>
      <c r="C117" s="6" t="s">
        <v>209</v>
      </c>
      <c r="D117" s="6" t="s">
        <v>210</v>
      </c>
      <c r="E117" s="6" t="s">
        <v>24</v>
      </c>
      <c r="F117" s="6" t="s">
        <v>49</v>
      </c>
      <c r="G117" s="38" t="s">
        <v>6</v>
      </c>
      <c r="H117" s="39"/>
      <c r="I117" s="7">
        <v>46082</v>
      </c>
      <c r="J117" s="8">
        <v>332.94</v>
      </c>
      <c r="K117" s="8">
        <v>332.94</v>
      </c>
      <c r="L117" s="8">
        <v>1059.48</v>
      </c>
      <c r="M117" s="8">
        <v>998.82</v>
      </c>
      <c r="N117" s="8">
        <v>60.66</v>
      </c>
      <c r="O117" s="6" t="s">
        <v>26</v>
      </c>
      <c r="P117" s="6" t="s">
        <v>6</v>
      </c>
      <c r="Q117" s="6" t="s">
        <v>27</v>
      </c>
      <c r="R117" s="6"/>
      <c r="S117" s="6">
        <v>1</v>
      </c>
      <c r="T117" s="8">
        <v>23</v>
      </c>
      <c r="U117" s="9">
        <v>1</v>
      </c>
      <c r="V117" s="8">
        <v>23</v>
      </c>
      <c r="W117" s="6" t="s">
        <v>6</v>
      </c>
      <c r="X117" s="6"/>
    </row>
    <row r="118" spans="1:24" x14ac:dyDescent="0.3">
      <c r="A118" s="6" t="s">
        <v>283</v>
      </c>
      <c r="B118" s="6" t="s">
        <v>284</v>
      </c>
      <c r="C118" s="6" t="s">
        <v>211</v>
      </c>
      <c r="D118" s="6" t="s">
        <v>212</v>
      </c>
      <c r="E118" s="6" t="s">
        <v>24</v>
      </c>
      <c r="F118" s="6" t="s">
        <v>49</v>
      </c>
      <c r="G118" s="38" t="s">
        <v>6</v>
      </c>
      <c r="H118" s="39"/>
      <c r="I118" s="7">
        <v>46082</v>
      </c>
      <c r="J118" s="8">
        <v>1</v>
      </c>
      <c r="K118" s="8">
        <v>1</v>
      </c>
      <c r="L118" s="8">
        <v>1266.45</v>
      </c>
      <c r="M118" s="8">
        <v>3</v>
      </c>
      <c r="N118" s="8">
        <v>1263.45</v>
      </c>
      <c r="O118" s="6" t="s">
        <v>26</v>
      </c>
      <c r="P118" s="6" t="s">
        <v>6</v>
      </c>
      <c r="Q118" s="6" t="s">
        <v>27</v>
      </c>
      <c r="R118" s="6"/>
      <c r="S118" s="6">
        <v>1</v>
      </c>
      <c r="T118" s="8">
        <v>23</v>
      </c>
      <c r="U118" s="9">
        <v>1</v>
      </c>
      <c r="V118" s="8">
        <v>23</v>
      </c>
      <c r="W118" s="6" t="s">
        <v>6</v>
      </c>
      <c r="X118" s="6"/>
    </row>
    <row r="119" spans="1:24" x14ac:dyDescent="0.3">
      <c r="A119" s="6" t="s">
        <v>283</v>
      </c>
      <c r="B119" s="6" t="s">
        <v>284</v>
      </c>
      <c r="C119" s="6" t="s">
        <v>213</v>
      </c>
      <c r="D119" s="6" t="s">
        <v>214</v>
      </c>
      <c r="E119" s="6" t="s">
        <v>24</v>
      </c>
      <c r="F119" s="6" t="s">
        <v>49</v>
      </c>
      <c r="G119" s="38" t="s">
        <v>6</v>
      </c>
      <c r="H119" s="39"/>
      <c r="I119" s="7">
        <v>46082</v>
      </c>
      <c r="J119" s="8">
        <v>130.55000000000001</v>
      </c>
      <c r="K119" s="8">
        <v>130.55000000000001</v>
      </c>
      <c r="L119" s="8">
        <v>1701.93</v>
      </c>
      <c r="M119" s="8">
        <v>391.65</v>
      </c>
      <c r="N119" s="8">
        <v>1310.28</v>
      </c>
      <c r="O119" s="6" t="s">
        <v>26</v>
      </c>
      <c r="P119" s="6" t="s">
        <v>6</v>
      </c>
      <c r="Q119" s="6" t="s">
        <v>27</v>
      </c>
      <c r="R119" s="6"/>
      <c r="S119" s="6">
        <v>1</v>
      </c>
      <c r="T119" s="8">
        <v>23</v>
      </c>
      <c r="U119" s="9">
        <v>1</v>
      </c>
      <c r="V119" s="8">
        <v>23</v>
      </c>
      <c r="W119" s="6" t="s">
        <v>6</v>
      </c>
      <c r="X119" s="6"/>
    </row>
    <row r="120" spans="1:24" x14ac:dyDescent="0.3">
      <c r="A120" s="6" t="s">
        <v>283</v>
      </c>
      <c r="B120" s="6" t="s">
        <v>284</v>
      </c>
      <c r="C120" s="6" t="s">
        <v>215</v>
      </c>
      <c r="D120" s="6" t="s">
        <v>216</v>
      </c>
      <c r="E120" s="6" t="s">
        <v>24</v>
      </c>
      <c r="F120" s="6" t="s">
        <v>49</v>
      </c>
      <c r="G120" s="38" t="s">
        <v>6</v>
      </c>
      <c r="H120" s="39"/>
      <c r="I120" s="7">
        <v>46082</v>
      </c>
      <c r="J120" s="8">
        <v>2.48</v>
      </c>
      <c r="K120" s="8">
        <v>2.48</v>
      </c>
      <c r="L120" s="8">
        <v>2260.48</v>
      </c>
      <c r="M120" s="8">
        <v>4.96</v>
      </c>
      <c r="N120" s="8">
        <v>2255.52</v>
      </c>
      <c r="O120" s="6" t="s">
        <v>26</v>
      </c>
      <c r="P120" s="6" t="s">
        <v>6</v>
      </c>
      <c r="Q120" s="6" t="s">
        <v>27</v>
      </c>
      <c r="R120" s="6"/>
      <c r="S120" s="6">
        <v>2</v>
      </c>
      <c r="T120" s="8">
        <v>23</v>
      </c>
      <c r="U120" s="9">
        <v>1</v>
      </c>
      <c r="V120" s="8">
        <v>46</v>
      </c>
      <c r="W120" s="6" t="s">
        <v>6</v>
      </c>
      <c r="X120" s="6"/>
    </row>
    <row r="121" spans="1:24" x14ac:dyDescent="0.3">
      <c r="A121" s="6" t="s">
        <v>283</v>
      </c>
      <c r="B121" s="6" t="s">
        <v>284</v>
      </c>
      <c r="C121" s="6" t="s">
        <v>217</v>
      </c>
      <c r="D121" s="6" t="s">
        <v>218</v>
      </c>
      <c r="E121" s="6" t="s">
        <v>24</v>
      </c>
      <c r="F121" s="6" t="s">
        <v>49</v>
      </c>
      <c r="G121" s="38" t="s">
        <v>6</v>
      </c>
      <c r="H121" s="39"/>
      <c r="I121" s="7">
        <v>46023</v>
      </c>
      <c r="J121" s="8">
        <v>164.71</v>
      </c>
      <c r="K121" s="8">
        <v>164.71</v>
      </c>
      <c r="L121" s="8">
        <v>516.28</v>
      </c>
      <c r="M121" s="8">
        <v>164.71</v>
      </c>
      <c r="N121" s="8">
        <v>351.57</v>
      </c>
      <c r="O121" s="6" t="s">
        <v>26</v>
      </c>
      <c r="P121" s="6" t="s">
        <v>6</v>
      </c>
      <c r="Q121" s="6" t="s">
        <v>27</v>
      </c>
      <c r="R121" s="6"/>
      <c r="S121" s="6">
        <v>1</v>
      </c>
      <c r="T121" s="8">
        <v>23</v>
      </c>
      <c r="U121" s="9">
        <v>1</v>
      </c>
      <c r="V121" s="8">
        <v>23</v>
      </c>
      <c r="W121" s="6" t="s">
        <v>6</v>
      </c>
      <c r="X121" s="6"/>
    </row>
    <row r="122" spans="1:24" x14ac:dyDescent="0.3">
      <c r="A122" s="6" t="s">
        <v>283</v>
      </c>
      <c r="B122" s="6" t="s">
        <v>284</v>
      </c>
      <c r="C122" s="6" t="s">
        <v>217</v>
      </c>
      <c r="D122" s="6" t="s">
        <v>218</v>
      </c>
      <c r="E122" s="6" t="s">
        <v>24</v>
      </c>
      <c r="F122" s="6" t="s">
        <v>49</v>
      </c>
      <c r="G122" s="38" t="s">
        <v>6</v>
      </c>
      <c r="H122" s="39"/>
      <c r="I122" s="7">
        <v>46054</v>
      </c>
      <c r="J122" s="8">
        <v>164.71</v>
      </c>
      <c r="K122" s="8">
        <v>164.71</v>
      </c>
      <c r="L122" s="8">
        <v>1032.56</v>
      </c>
      <c r="M122" s="8">
        <v>329.42</v>
      </c>
      <c r="N122" s="8">
        <v>703.14</v>
      </c>
      <c r="O122" s="6" t="s">
        <v>26</v>
      </c>
      <c r="P122" s="6" t="s">
        <v>6</v>
      </c>
      <c r="Q122" s="6" t="s">
        <v>27</v>
      </c>
      <c r="R122" s="6"/>
      <c r="S122" s="6">
        <v>1</v>
      </c>
      <c r="T122" s="8">
        <v>23</v>
      </c>
      <c r="U122" s="9">
        <v>1</v>
      </c>
      <c r="V122" s="8">
        <v>23</v>
      </c>
      <c r="W122" s="6" t="s">
        <v>6</v>
      </c>
      <c r="X122" s="6"/>
    </row>
    <row r="123" spans="1:24" x14ac:dyDescent="0.3">
      <c r="A123" s="6" t="s">
        <v>283</v>
      </c>
      <c r="B123" s="6" t="s">
        <v>284</v>
      </c>
      <c r="C123" s="6" t="s">
        <v>219</v>
      </c>
      <c r="D123" s="6" t="s">
        <v>220</v>
      </c>
      <c r="E123" s="6" t="s">
        <v>24</v>
      </c>
      <c r="F123" s="6" t="s">
        <v>49</v>
      </c>
      <c r="G123" s="38" t="s">
        <v>6</v>
      </c>
      <c r="H123" s="39"/>
      <c r="I123" s="7">
        <v>46082</v>
      </c>
      <c r="J123" s="8">
        <v>1228.1600000000001</v>
      </c>
      <c r="K123" s="8">
        <v>1228.1600000000001</v>
      </c>
      <c r="L123" s="8">
        <v>3684.48</v>
      </c>
      <c r="M123" s="8">
        <v>3684.48</v>
      </c>
      <c r="N123" s="8">
        <v>0</v>
      </c>
      <c r="O123" s="6" t="s">
        <v>26</v>
      </c>
      <c r="P123" s="6" t="s">
        <v>6</v>
      </c>
      <c r="Q123" s="6" t="s">
        <v>27</v>
      </c>
      <c r="R123" s="6"/>
      <c r="S123" s="6">
        <v>2</v>
      </c>
      <c r="T123" s="8">
        <v>23</v>
      </c>
      <c r="U123" s="9">
        <v>1</v>
      </c>
      <c r="V123" s="8">
        <v>46</v>
      </c>
      <c r="W123" s="6" t="s">
        <v>6</v>
      </c>
      <c r="X123" s="6"/>
    </row>
    <row r="124" spans="1:24" x14ac:dyDescent="0.3">
      <c r="A124" s="6" t="s">
        <v>283</v>
      </c>
      <c r="B124" s="6" t="s">
        <v>284</v>
      </c>
      <c r="C124" s="6" t="s">
        <v>221</v>
      </c>
      <c r="D124" s="6" t="s">
        <v>222</v>
      </c>
      <c r="E124" s="6" t="s">
        <v>24</v>
      </c>
      <c r="F124" s="6" t="s">
        <v>49</v>
      </c>
      <c r="G124" s="38" t="s">
        <v>6</v>
      </c>
      <c r="H124" s="39"/>
      <c r="I124" s="7">
        <v>46082</v>
      </c>
      <c r="J124" s="8">
        <v>415.65</v>
      </c>
      <c r="K124" s="8">
        <v>415.65</v>
      </c>
      <c r="L124" s="8">
        <v>7028.46</v>
      </c>
      <c r="M124" s="8">
        <v>1246.95</v>
      </c>
      <c r="N124" s="8">
        <v>5781.51</v>
      </c>
      <c r="O124" s="6" t="s">
        <v>26</v>
      </c>
      <c r="P124" s="6" t="s">
        <v>6</v>
      </c>
      <c r="Q124" s="6" t="s">
        <v>27</v>
      </c>
      <c r="R124" s="6"/>
      <c r="S124" s="6">
        <v>2</v>
      </c>
      <c r="T124" s="8">
        <v>23</v>
      </c>
      <c r="U124" s="9">
        <v>1</v>
      </c>
      <c r="V124" s="8">
        <v>46</v>
      </c>
      <c r="W124" s="6" t="s">
        <v>6</v>
      </c>
      <c r="X124" s="6"/>
    </row>
    <row r="125" spans="1:24" x14ac:dyDescent="0.3">
      <c r="A125" s="6" t="s">
        <v>283</v>
      </c>
      <c r="B125" s="6" t="s">
        <v>284</v>
      </c>
      <c r="C125" s="6" t="s">
        <v>223</v>
      </c>
      <c r="D125" s="6" t="s">
        <v>224</v>
      </c>
      <c r="E125" s="6" t="s">
        <v>24</v>
      </c>
      <c r="F125" s="6" t="s">
        <v>49</v>
      </c>
      <c r="G125" s="38" t="s">
        <v>6</v>
      </c>
      <c r="H125" s="39"/>
      <c r="I125" s="7">
        <v>46082</v>
      </c>
      <c r="J125" s="8">
        <v>392.5</v>
      </c>
      <c r="K125" s="8">
        <v>392.5</v>
      </c>
      <c r="L125" s="8">
        <v>3034.71</v>
      </c>
      <c r="M125" s="8">
        <v>1177.5</v>
      </c>
      <c r="N125" s="8">
        <v>1857.21</v>
      </c>
      <c r="O125" s="6" t="s">
        <v>26</v>
      </c>
      <c r="P125" s="6" t="s">
        <v>6</v>
      </c>
      <c r="Q125" s="6" t="s">
        <v>27</v>
      </c>
      <c r="R125" s="6"/>
      <c r="S125" s="6">
        <v>1</v>
      </c>
      <c r="T125" s="8">
        <v>23</v>
      </c>
      <c r="U125" s="9">
        <v>1</v>
      </c>
      <c r="V125" s="8">
        <v>23</v>
      </c>
      <c r="W125" s="6" t="s">
        <v>6</v>
      </c>
      <c r="X125" s="6"/>
    </row>
    <row r="126" spans="1:24" x14ac:dyDescent="0.3">
      <c r="A126" s="6" t="s">
        <v>283</v>
      </c>
      <c r="B126" s="6" t="s">
        <v>284</v>
      </c>
      <c r="C126" s="6" t="s">
        <v>225</v>
      </c>
      <c r="D126" s="6" t="s">
        <v>226</v>
      </c>
      <c r="E126" s="6" t="s">
        <v>24</v>
      </c>
      <c r="F126" s="6" t="s">
        <v>49</v>
      </c>
      <c r="G126" s="38" t="s">
        <v>6</v>
      </c>
      <c r="H126" s="39"/>
      <c r="I126" s="7">
        <v>46082</v>
      </c>
      <c r="J126" s="8">
        <v>185.58</v>
      </c>
      <c r="K126" s="8">
        <v>185.58</v>
      </c>
      <c r="L126" s="8">
        <v>817.95</v>
      </c>
      <c r="M126" s="8">
        <v>556.74</v>
      </c>
      <c r="N126" s="8">
        <v>261.20999999999998</v>
      </c>
      <c r="O126" s="6" t="s">
        <v>26</v>
      </c>
      <c r="P126" s="6" t="s">
        <v>6</v>
      </c>
      <c r="Q126" s="6" t="s">
        <v>27</v>
      </c>
      <c r="R126" s="6"/>
      <c r="S126" s="6">
        <v>1</v>
      </c>
      <c r="T126" s="8">
        <v>23</v>
      </c>
      <c r="U126" s="9">
        <v>1</v>
      </c>
      <c r="V126" s="8">
        <v>23</v>
      </c>
      <c r="W126" s="6" t="s">
        <v>6</v>
      </c>
      <c r="X126" s="6"/>
    </row>
    <row r="127" spans="1:24" x14ac:dyDescent="0.3">
      <c r="A127" s="6" t="s">
        <v>283</v>
      </c>
      <c r="B127" s="6" t="s">
        <v>284</v>
      </c>
      <c r="C127" s="6" t="s">
        <v>227</v>
      </c>
      <c r="D127" s="6" t="s">
        <v>228</v>
      </c>
      <c r="E127" s="6" t="s">
        <v>24</v>
      </c>
      <c r="F127" s="6" t="s">
        <v>49</v>
      </c>
      <c r="G127" s="38" t="s">
        <v>6</v>
      </c>
      <c r="H127" s="39"/>
      <c r="I127" s="7">
        <v>46082</v>
      </c>
      <c r="J127" s="8">
        <v>2.77</v>
      </c>
      <c r="K127" s="8">
        <v>2.77</v>
      </c>
      <c r="L127" s="8">
        <v>593</v>
      </c>
      <c r="M127" s="8">
        <v>5.54</v>
      </c>
      <c r="N127" s="8">
        <v>587.46</v>
      </c>
      <c r="O127" s="6" t="s">
        <v>26</v>
      </c>
      <c r="P127" s="6" t="s">
        <v>6</v>
      </c>
      <c r="Q127" s="6" t="s">
        <v>27</v>
      </c>
      <c r="R127" s="6"/>
      <c r="S127" s="6">
        <v>1</v>
      </c>
      <c r="T127" s="8">
        <v>23</v>
      </c>
      <c r="U127" s="9">
        <v>1</v>
      </c>
      <c r="V127" s="8">
        <v>23</v>
      </c>
      <c r="W127" s="6" t="s">
        <v>6</v>
      </c>
      <c r="X127" s="6"/>
    </row>
    <row r="128" spans="1:24" x14ac:dyDescent="0.3">
      <c r="A128" s="6" t="s">
        <v>283</v>
      </c>
      <c r="B128" s="6" t="s">
        <v>284</v>
      </c>
      <c r="C128" s="6" t="s">
        <v>229</v>
      </c>
      <c r="D128" s="6" t="s">
        <v>230</v>
      </c>
      <c r="E128" s="6" t="s">
        <v>24</v>
      </c>
      <c r="F128" s="6" t="s">
        <v>49</v>
      </c>
      <c r="G128" s="38" t="s">
        <v>6</v>
      </c>
      <c r="H128" s="39"/>
      <c r="I128" s="7">
        <v>46082</v>
      </c>
      <c r="J128" s="8">
        <v>141.18</v>
      </c>
      <c r="K128" s="8">
        <v>141.18</v>
      </c>
      <c r="L128" s="8">
        <v>676.41</v>
      </c>
      <c r="M128" s="8">
        <v>423.54</v>
      </c>
      <c r="N128" s="8">
        <v>252.87</v>
      </c>
      <c r="O128" s="6" t="s">
        <v>26</v>
      </c>
      <c r="P128" s="6" t="s">
        <v>6</v>
      </c>
      <c r="Q128" s="6" t="s">
        <v>27</v>
      </c>
      <c r="R128" s="6"/>
      <c r="S128" s="6">
        <v>1</v>
      </c>
      <c r="T128" s="8">
        <v>23</v>
      </c>
      <c r="U128" s="9">
        <v>1</v>
      </c>
      <c r="V128" s="8">
        <v>23</v>
      </c>
      <c r="W128" s="6" t="s">
        <v>6</v>
      </c>
      <c r="X128" s="6"/>
    </row>
    <row r="129" spans="1:24" x14ac:dyDescent="0.3">
      <c r="A129" s="6" t="s">
        <v>283</v>
      </c>
      <c r="B129" s="6" t="s">
        <v>284</v>
      </c>
      <c r="C129" s="6" t="s">
        <v>231</v>
      </c>
      <c r="D129" s="6" t="s">
        <v>232</v>
      </c>
      <c r="E129" s="6" t="s">
        <v>24</v>
      </c>
      <c r="F129" s="6" t="s">
        <v>49</v>
      </c>
      <c r="G129" s="38" t="s">
        <v>6</v>
      </c>
      <c r="H129" s="39"/>
      <c r="I129" s="7">
        <v>46082</v>
      </c>
      <c r="J129" s="8">
        <v>65.58</v>
      </c>
      <c r="K129" s="8">
        <v>65.58</v>
      </c>
      <c r="L129" s="8">
        <v>703.23</v>
      </c>
      <c r="M129" s="8">
        <v>196.74</v>
      </c>
      <c r="N129" s="8">
        <v>506.49</v>
      </c>
      <c r="O129" s="6" t="s">
        <v>26</v>
      </c>
      <c r="P129" s="6" t="s">
        <v>6</v>
      </c>
      <c r="Q129" s="6" t="s">
        <v>27</v>
      </c>
      <c r="R129" s="6"/>
      <c r="S129" s="6">
        <v>1</v>
      </c>
      <c r="T129" s="8">
        <v>23</v>
      </c>
      <c r="U129" s="9">
        <v>1</v>
      </c>
      <c r="V129" s="8">
        <v>23</v>
      </c>
      <c r="W129" s="6" t="s">
        <v>6</v>
      </c>
      <c r="X129" s="6"/>
    </row>
    <row r="130" spans="1:24" x14ac:dyDescent="0.3">
      <c r="A130" s="6" t="s">
        <v>283</v>
      </c>
      <c r="B130" s="6" t="s">
        <v>284</v>
      </c>
      <c r="C130" s="6" t="s">
        <v>233</v>
      </c>
      <c r="D130" s="6" t="s">
        <v>234</v>
      </c>
      <c r="E130" s="6" t="s">
        <v>24</v>
      </c>
      <c r="F130" s="6" t="s">
        <v>49</v>
      </c>
      <c r="G130" s="38" t="s">
        <v>6</v>
      </c>
      <c r="H130" s="39"/>
      <c r="I130" s="7">
        <v>46082</v>
      </c>
      <c r="J130" s="8">
        <v>1</v>
      </c>
      <c r="K130" s="8">
        <v>1</v>
      </c>
      <c r="L130" s="8">
        <v>552.5</v>
      </c>
      <c r="M130" s="8">
        <v>2</v>
      </c>
      <c r="N130" s="8">
        <v>550.5</v>
      </c>
      <c r="O130" s="6" t="s">
        <v>26</v>
      </c>
      <c r="P130" s="6" t="s">
        <v>6</v>
      </c>
      <c r="Q130" s="6" t="s">
        <v>27</v>
      </c>
      <c r="R130" s="6"/>
      <c r="S130" s="6">
        <v>1</v>
      </c>
      <c r="T130" s="8">
        <v>23</v>
      </c>
      <c r="U130" s="9">
        <v>1</v>
      </c>
      <c r="V130" s="8">
        <v>23</v>
      </c>
      <c r="W130" s="6" t="s">
        <v>6</v>
      </c>
      <c r="X130" s="6"/>
    </row>
    <row r="131" spans="1:24" x14ac:dyDescent="0.3">
      <c r="A131" s="6" t="s">
        <v>283</v>
      </c>
      <c r="B131" s="6" t="s">
        <v>284</v>
      </c>
      <c r="C131" s="6" t="s">
        <v>235</v>
      </c>
      <c r="D131" s="6" t="s">
        <v>236</v>
      </c>
      <c r="E131" s="6" t="s">
        <v>24</v>
      </c>
      <c r="F131" s="6" t="s">
        <v>49</v>
      </c>
      <c r="G131" s="38" t="s">
        <v>6</v>
      </c>
      <c r="H131" s="39"/>
      <c r="I131" s="7">
        <v>46082</v>
      </c>
      <c r="J131" s="8">
        <v>152.15</v>
      </c>
      <c r="K131" s="8">
        <v>152.15</v>
      </c>
      <c r="L131" s="8">
        <v>2584.8000000000002</v>
      </c>
      <c r="M131" s="8">
        <v>456.45</v>
      </c>
      <c r="N131" s="8">
        <v>2128.35</v>
      </c>
      <c r="O131" s="6" t="s">
        <v>26</v>
      </c>
      <c r="P131" s="6" t="s">
        <v>6</v>
      </c>
      <c r="Q131" s="6" t="s">
        <v>27</v>
      </c>
      <c r="R131" s="6"/>
      <c r="S131" s="6">
        <v>3</v>
      </c>
      <c r="T131" s="8">
        <v>23</v>
      </c>
      <c r="U131" s="9">
        <v>1</v>
      </c>
      <c r="V131" s="8">
        <v>69</v>
      </c>
      <c r="W131" s="6" t="s">
        <v>6</v>
      </c>
      <c r="X131" s="6"/>
    </row>
    <row r="132" spans="1:24" ht="30.6" x14ac:dyDescent="0.3">
      <c r="A132" s="6" t="s">
        <v>285</v>
      </c>
      <c r="B132" s="6" t="s">
        <v>286</v>
      </c>
      <c r="C132" s="6"/>
      <c r="D132" s="6" t="s">
        <v>44</v>
      </c>
      <c r="E132" s="6"/>
      <c r="F132" s="6"/>
      <c r="G132" s="38" t="s">
        <v>280</v>
      </c>
      <c r="H132" s="39"/>
      <c r="I132" s="6"/>
      <c r="J132" s="6"/>
      <c r="K132" s="6"/>
      <c r="L132" s="8">
        <v>0</v>
      </c>
      <c r="M132" s="6"/>
      <c r="N132" s="6"/>
      <c r="O132" s="6" t="s">
        <v>45</v>
      </c>
      <c r="P132" s="6" t="s">
        <v>6</v>
      </c>
      <c r="Q132" s="6" t="s">
        <v>281</v>
      </c>
      <c r="R132" s="6"/>
      <c r="S132" s="6"/>
      <c r="T132" s="6"/>
      <c r="U132" s="6"/>
      <c r="V132" s="8">
        <v>14.45</v>
      </c>
      <c r="W132" s="6" t="s">
        <v>6</v>
      </c>
      <c r="X132" s="6" t="s">
        <v>46</v>
      </c>
    </row>
    <row r="133" spans="1:24" x14ac:dyDescent="0.3">
      <c r="A133" s="6" t="s">
        <v>285</v>
      </c>
      <c r="B133" s="6" t="s">
        <v>287</v>
      </c>
      <c r="C133" s="6" t="s">
        <v>239</v>
      </c>
      <c r="D133" s="6" t="s">
        <v>240</v>
      </c>
      <c r="E133" s="6" t="s">
        <v>24</v>
      </c>
      <c r="F133" s="6" t="s">
        <v>49</v>
      </c>
      <c r="G133" s="38" t="s">
        <v>6</v>
      </c>
      <c r="H133" s="39"/>
      <c r="I133" s="7">
        <v>46082</v>
      </c>
      <c r="J133" s="8">
        <v>910.18</v>
      </c>
      <c r="K133" s="8">
        <v>910.18</v>
      </c>
      <c r="L133" s="8">
        <v>5826.06</v>
      </c>
      <c r="M133" s="8">
        <v>1365.27</v>
      </c>
      <c r="N133" s="8">
        <v>4460.79</v>
      </c>
      <c r="O133" s="6" t="s">
        <v>26</v>
      </c>
      <c r="P133" s="6" t="s">
        <v>6</v>
      </c>
      <c r="Q133" s="6" t="s">
        <v>27</v>
      </c>
      <c r="R133" s="6"/>
      <c r="S133" s="6">
        <v>4</v>
      </c>
      <c r="T133" s="8">
        <v>23</v>
      </c>
      <c r="U133" s="9">
        <v>1</v>
      </c>
      <c r="V133" s="8">
        <v>92</v>
      </c>
      <c r="W133" s="6" t="s">
        <v>6</v>
      </c>
      <c r="X133" s="6"/>
    </row>
    <row r="134" spans="1:24" x14ac:dyDescent="0.3">
      <c r="A134" s="6" t="s">
        <v>285</v>
      </c>
      <c r="B134" s="6" t="s">
        <v>287</v>
      </c>
      <c r="C134" s="6" t="s">
        <v>241</v>
      </c>
      <c r="D134" s="6" t="s">
        <v>242</v>
      </c>
      <c r="E134" s="6" t="s">
        <v>24</v>
      </c>
      <c r="F134" s="6" t="s">
        <v>49</v>
      </c>
      <c r="G134" s="38" t="s">
        <v>6</v>
      </c>
      <c r="H134" s="39"/>
      <c r="I134" s="7">
        <v>46082</v>
      </c>
      <c r="J134" s="8">
        <v>1645.15</v>
      </c>
      <c r="K134" s="8">
        <v>1645.15</v>
      </c>
      <c r="L134" s="8">
        <v>4935.45</v>
      </c>
      <c r="M134" s="8">
        <v>4935.45</v>
      </c>
      <c r="N134" s="8">
        <v>0</v>
      </c>
      <c r="O134" s="6" t="s">
        <v>26</v>
      </c>
      <c r="P134" s="6" t="s">
        <v>6</v>
      </c>
      <c r="Q134" s="6" t="s">
        <v>27</v>
      </c>
      <c r="R134" s="6"/>
      <c r="S134" s="6">
        <v>5</v>
      </c>
      <c r="T134" s="8">
        <v>23</v>
      </c>
      <c r="U134" s="9">
        <v>1</v>
      </c>
      <c r="V134" s="8">
        <v>115</v>
      </c>
      <c r="W134" s="6" t="s">
        <v>6</v>
      </c>
      <c r="X134" s="6"/>
    </row>
    <row r="135" spans="1:24" x14ac:dyDescent="0.3">
      <c r="A135" s="6" t="s">
        <v>285</v>
      </c>
      <c r="B135" s="6" t="s">
        <v>287</v>
      </c>
      <c r="C135" s="6" t="s">
        <v>243</v>
      </c>
      <c r="D135" s="6" t="s">
        <v>244</v>
      </c>
      <c r="E135" s="6" t="s">
        <v>24</v>
      </c>
      <c r="F135" s="6" t="s">
        <v>49</v>
      </c>
      <c r="G135" s="38" t="s">
        <v>6</v>
      </c>
      <c r="H135" s="39"/>
      <c r="I135" s="7">
        <v>46082</v>
      </c>
      <c r="J135" s="8">
        <v>902.9</v>
      </c>
      <c r="K135" s="8">
        <v>902.9</v>
      </c>
      <c r="L135" s="8">
        <v>2708.7</v>
      </c>
      <c r="M135" s="8">
        <v>2708.7</v>
      </c>
      <c r="N135" s="8">
        <v>0</v>
      </c>
      <c r="O135" s="6" t="s">
        <v>26</v>
      </c>
      <c r="P135" s="6" t="s">
        <v>6</v>
      </c>
      <c r="Q135" s="6" t="s">
        <v>27</v>
      </c>
      <c r="R135" s="6"/>
      <c r="S135" s="6">
        <v>1</v>
      </c>
      <c r="T135" s="8">
        <v>23</v>
      </c>
      <c r="U135" s="9">
        <v>1</v>
      </c>
      <c r="V135" s="8">
        <v>23</v>
      </c>
      <c r="W135" s="6" t="s">
        <v>6</v>
      </c>
      <c r="X135" s="6"/>
    </row>
    <row r="136" spans="1:24" x14ac:dyDescent="0.3">
      <c r="A136" s="6" t="s">
        <v>285</v>
      </c>
      <c r="B136" s="6" t="s">
        <v>287</v>
      </c>
      <c r="C136" s="6" t="s">
        <v>245</v>
      </c>
      <c r="D136" s="6" t="s">
        <v>246</v>
      </c>
      <c r="E136" s="6" t="s">
        <v>24</v>
      </c>
      <c r="F136" s="6" t="s">
        <v>49</v>
      </c>
      <c r="G136" s="38" t="s">
        <v>6</v>
      </c>
      <c r="H136" s="39"/>
      <c r="I136" s="7">
        <v>46082</v>
      </c>
      <c r="J136" s="8">
        <v>232.76</v>
      </c>
      <c r="K136" s="8">
        <v>232.76</v>
      </c>
      <c r="L136" s="8">
        <v>1420.56</v>
      </c>
      <c r="M136" s="8">
        <v>698.28</v>
      </c>
      <c r="N136" s="8">
        <v>722.28</v>
      </c>
      <c r="O136" s="6" t="s">
        <v>26</v>
      </c>
      <c r="P136" s="6" t="s">
        <v>6</v>
      </c>
      <c r="Q136" s="6" t="s">
        <v>27</v>
      </c>
      <c r="R136" s="6"/>
      <c r="S136" s="6">
        <v>1</v>
      </c>
      <c r="T136" s="8">
        <v>23</v>
      </c>
      <c r="U136" s="9">
        <v>1</v>
      </c>
      <c r="V136" s="8">
        <v>23</v>
      </c>
      <c r="W136" s="6" t="s">
        <v>6</v>
      </c>
      <c r="X136" s="6"/>
    </row>
    <row r="137" spans="1:24" x14ac:dyDescent="0.3">
      <c r="A137" s="6" t="s">
        <v>285</v>
      </c>
      <c r="B137" s="6" t="s">
        <v>287</v>
      </c>
      <c r="C137" s="6" t="s">
        <v>247</v>
      </c>
      <c r="D137" s="6" t="s">
        <v>248</v>
      </c>
      <c r="E137" s="6" t="s">
        <v>24</v>
      </c>
      <c r="F137" s="6" t="s">
        <v>49</v>
      </c>
      <c r="G137" s="38" t="s">
        <v>6</v>
      </c>
      <c r="H137" s="39"/>
      <c r="I137" s="7">
        <v>46082</v>
      </c>
      <c r="J137" s="8">
        <v>1855.46</v>
      </c>
      <c r="K137" s="8">
        <v>1855.46</v>
      </c>
      <c r="L137" s="8">
        <v>5566.38</v>
      </c>
      <c r="M137" s="8">
        <v>5566.38</v>
      </c>
      <c r="N137" s="8">
        <v>0</v>
      </c>
      <c r="O137" s="6" t="s">
        <v>26</v>
      </c>
      <c r="P137" s="6" t="s">
        <v>6</v>
      </c>
      <c r="Q137" s="6" t="s">
        <v>27</v>
      </c>
      <c r="R137" s="6"/>
      <c r="S137" s="6">
        <v>2</v>
      </c>
      <c r="T137" s="8">
        <v>23</v>
      </c>
      <c r="U137" s="9">
        <v>1</v>
      </c>
      <c r="V137" s="8">
        <v>46</v>
      </c>
      <c r="W137" s="6" t="s">
        <v>6</v>
      </c>
      <c r="X137" s="6"/>
    </row>
    <row r="138" spans="1:24" x14ac:dyDescent="0.3">
      <c r="A138" s="6" t="s">
        <v>285</v>
      </c>
      <c r="B138" s="6" t="s">
        <v>287</v>
      </c>
      <c r="C138" s="6" t="s">
        <v>249</v>
      </c>
      <c r="D138" s="6" t="s">
        <v>250</v>
      </c>
      <c r="E138" s="6" t="s">
        <v>24</v>
      </c>
      <c r="F138" s="6" t="s">
        <v>49</v>
      </c>
      <c r="G138" s="38" t="s">
        <v>6</v>
      </c>
      <c r="H138" s="39"/>
      <c r="I138" s="7">
        <v>46082</v>
      </c>
      <c r="J138" s="8">
        <v>314.5</v>
      </c>
      <c r="K138" s="8">
        <v>314.5</v>
      </c>
      <c r="L138" s="8">
        <v>314.5</v>
      </c>
      <c r="M138" s="8">
        <v>314.5</v>
      </c>
      <c r="N138" s="8">
        <v>0</v>
      </c>
      <c r="O138" s="6" t="s">
        <v>26</v>
      </c>
      <c r="P138" s="6" t="s">
        <v>6</v>
      </c>
      <c r="Q138" s="6" t="s">
        <v>27</v>
      </c>
      <c r="R138" s="6"/>
      <c r="S138" s="6">
        <v>1</v>
      </c>
      <c r="T138" s="8">
        <v>23</v>
      </c>
      <c r="U138" s="9">
        <v>1</v>
      </c>
      <c r="V138" s="8">
        <v>23</v>
      </c>
      <c r="W138" s="6" t="s">
        <v>6</v>
      </c>
      <c r="X138" s="6"/>
    </row>
    <row r="139" spans="1:24" x14ac:dyDescent="0.3">
      <c r="A139" s="6" t="s">
        <v>285</v>
      </c>
      <c r="B139" s="6" t="s">
        <v>287</v>
      </c>
      <c r="C139" s="6" t="s">
        <v>251</v>
      </c>
      <c r="D139" s="6" t="s">
        <v>252</v>
      </c>
      <c r="E139" s="6" t="s">
        <v>24</v>
      </c>
      <c r="F139" s="6" t="s">
        <v>49</v>
      </c>
      <c r="G139" s="38" t="s">
        <v>6</v>
      </c>
      <c r="H139" s="39"/>
      <c r="I139" s="7">
        <v>46082</v>
      </c>
      <c r="J139" s="8">
        <v>1583.92</v>
      </c>
      <c r="K139" s="8">
        <v>1583.92</v>
      </c>
      <c r="L139" s="8">
        <v>3167.84</v>
      </c>
      <c r="M139" s="8">
        <v>3167.84</v>
      </c>
      <c r="N139" s="8">
        <v>0</v>
      </c>
      <c r="O139" s="6" t="s">
        <v>26</v>
      </c>
      <c r="P139" s="6" t="s">
        <v>6</v>
      </c>
      <c r="Q139" s="6" t="s">
        <v>27</v>
      </c>
      <c r="R139" s="6"/>
      <c r="S139" s="6">
        <v>2</v>
      </c>
      <c r="T139" s="8">
        <v>23</v>
      </c>
      <c r="U139" s="9">
        <v>1</v>
      </c>
      <c r="V139" s="8">
        <v>46</v>
      </c>
      <c r="W139" s="6" t="s">
        <v>6</v>
      </c>
      <c r="X139" s="6"/>
    </row>
    <row r="140" spans="1:24" x14ac:dyDescent="0.3">
      <c r="A140" s="6" t="s">
        <v>285</v>
      </c>
      <c r="B140" s="6" t="s">
        <v>287</v>
      </c>
      <c r="C140" s="6" t="s">
        <v>253</v>
      </c>
      <c r="D140" s="6" t="s">
        <v>254</v>
      </c>
      <c r="E140" s="6" t="s">
        <v>24</v>
      </c>
      <c r="F140" s="6" t="s">
        <v>49</v>
      </c>
      <c r="G140" s="38" t="s">
        <v>6</v>
      </c>
      <c r="H140" s="39"/>
      <c r="I140" s="7">
        <v>46082</v>
      </c>
      <c r="J140" s="8">
        <v>331.76</v>
      </c>
      <c r="K140" s="8">
        <v>331.76</v>
      </c>
      <c r="L140" s="8">
        <v>1562.43</v>
      </c>
      <c r="M140" s="8">
        <v>331.76</v>
      </c>
      <c r="N140" s="8">
        <v>1230.67</v>
      </c>
      <c r="O140" s="6" t="s">
        <v>26</v>
      </c>
      <c r="P140" s="6" t="s">
        <v>6</v>
      </c>
      <c r="Q140" s="6" t="s">
        <v>27</v>
      </c>
      <c r="R140" s="6"/>
      <c r="S140" s="6">
        <v>4</v>
      </c>
      <c r="T140" s="8">
        <v>23</v>
      </c>
      <c r="U140" s="9">
        <v>1</v>
      </c>
      <c r="V140" s="8">
        <v>92</v>
      </c>
      <c r="W140" s="6" t="s">
        <v>6</v>
      </c>
      <c r="X140" s="6"/>
    </row>
    <row r="141" spans="1:24" x14ac:dyDescent="0.3">
      <c r="A141" s="6" t="s">
        <v>285</v>
      </c>
      <c r="B141" s="6" t="s">
        <v>287</v>
      </c>
      <c r="C141" s="6" t="s">
        <v>255</v>
      </c>
      <c r="D141" s="6" t="s">
        <v>256</v>
      </c>
      <c r="E141" s="6" t="s">
        <v>24</v>
      </c>
      <c r="F141" s="6" t="s">
        <v>49</v>
      </c>
      <c r="G141" s="38" t="s">
        <v>6</v>
      </c>
      <c r="H141" s="39"/>
      <c r="I141" s="7">
        <v>46082</v>
      </c>
      <c r="J141" s="8">
        <v>3.73</v>
      </c>
      <c r="K141" s="8">
        <v>3.73</v>
      </c>
      <c r="L141" s="8">
        <v>5455.68</v>
      </c>
      <c r="M141" s="8">
        <v>11.19</v>
      </c>
      <c r="N141" s="8">
        <v>5444.49</v>
      </c>
      <c r="O141" s="6" t="s">
        <v>26</v>
      </c>
      <c r="P141" s="6" t="s">
        <v>6</v>
      </c>
      <c r="Q141" s="6" t="s">
        <v>27</v>
      </c>
      <c r="R141" s="6"/>
      <c r="S141" s="6">
        <v>2</v>
      </c>
      <c r="T141" s="8">
        <v>23</v>
      </c>
      <c r="U141" s="9">
        <v>1</v>
      </c>
      <c r="V141" s="8">
        <v>46</v>
      </c>
      <c r="W141" s="6" t="s">
        <v>6</v>
      </c>
      <c r="X141" s="6"/>
    </row>
    <row r="142" spans="1:24" x14ac:dyDescent="0.3">
      <c r="A142" s="6" t="s">
        <v>285</v>
      </c>
      <c r="B142" s="6" t="s">
        <v>287</v>
      </c>
      <c r="C142" s="6" t="s">
        <v>257</v>
      </c>
      <c r="D142" s="6" t="s">
        <v>258</v>
      </c>
      <c r="E142" s="6" t="s">
        <v>24</v>
      </c>
      <c r="F142" s="6" t="s">
        <v>49</v>
      </c>
      <c r="G142" s="38" t="s">
        <v>6</v>
      </c>
      <c r="H142" s="39"/>
      <c r="I142" s="7">
        <v>46054</v>
      </c>
      <c r="J142" s="8">
        <v>38.200000000000003</v>
      </c>
      <c r="K142" s="8">
        <v>38.200000000000003</v>
      </c>
      <c r="L142" s="8">
        <v>321.39999999999998</v>
      </c>
      <c r="M142" s="8">
        <v>38.200000000000003</v>
      </c>
      <c r="N142" s="8">
        <v>283.2</v>
      </c>
      <c r="O142" s="6" t="s">
        <v>26</v>
      </c>
      <c r="P142" s="6" t="s">
        <v>6</v>
      </c>
      <c r="Q142" s="6" t="s">
        <v>27</v>
      </c>
      <c r="R142" s="6"/>
      <c r="S142" s="6">
        <v>1</v>
      </c>
      <c r="T142" s="8">
        <v>23</v>
      </c>
      <c r="U142" s="9">
        <v>1</v>
      </c>
      <c r="V142" s="8">
        <v>23</v>
      </c>
      <c r="W142" s="6" t="s">
        <v>6</v>
      </c>
      <c r="X142" s="6"/>
    </row>
    <row r="143" spans="1:24" x14ac:dyDescent="0.3">
      <c r="A143" s="6" t="s">
        <v>285</v>
      </c>
      <c r="B143" s="6" t="s">
        <v>287</v>
      </c>
      <c r="C143" s="6" t="s">
        <v>257</v>
      </c>
      <c r="D143" s="6" t="s">
        <v>258</v>
      </c>
      <c r="E143" s="6" t="s">
        <v>24</v>
      </c>
      <c r="F143" s="6" t="s">
        <v>49</v>
      </c>
      <c r="G143" s="38" t="s">
        <v>6</v>
      </c>
      <c r="H143" s="39"/>
      <c r="I143" s="7">
        <v>46082</v>
      </c>
      <c r="J143" s="8">
        <v>38.200000000000003</v>
      </c>
      <c r="K143" s="8">
        <v>38.200000000000003</v>
      </c>
      <c r="L143" s="8">
        <v>642.79999999999995</v>
      </c>
      <c r="M143" s="8">
        <v>76.400000000000006</v>
      </c>
      <c r="N143" s="8">
        <v>566.4</v>
      </c>
      <c r="O143" s="6" t="s">
        <v>26</v>
      </c>
      <c r="P143" s="6" t="s">
        <v>6</v>
      </c>
      <c r="Q143" s="6" t="s">
        <v>27</v>
      </c>
      <c r="R143" s="6"/>
      <c r="S143" s="6">
        <v>1</v>
      </c>
      <c r="T143" s="8">
        <v>23</v>
      </c>
      <c r="U143" s="9">
        <v>1</v>
      </c>
      <c r="V143" s="8">
        <v>23</v>
      </c>
      <c r="W143" s="6" t="s">
        <v>6</v>
      </c>
      <c r="X143" s="6"/>
    </row>
    <row r="144" spans="1:24" x14ac:dyDescent="0.3">
      <c r="A144" s="6" t="s">
        <v>285</v>
      </c>
      <c r="B144" s="6" t="s">
        <v>287</v>
      </c>
      <c r="C144" s="6" t="s">
        <v>259</v>
      </c>
      <c r="D144" s="6" t="s">
        <v>260</v>
      </c>
      <c r="E144" s="6" t="s">
        <v>24</v>
      </c>
      <c r="F144" s="6" t="s">
        <v>49</v>
      </c>
      <c r="G144" s="38" t="s">
        <v>6</v>
      </c>
      <c r="H144" s="39"/>
      <c r="I144" s="7">
        <v>46082</v>
      </c>
      <c r="J144" s="8">
        <v>826.14</v>
      </c>
      <c r="K144" s="8">
        <v>826.14</v>
      </c>
      <c r="L144" s="8">
        <v>2478.42</v>
      </c>
      <c r="M144" s="8">
        <v>2478.42</v>
      </c>
      <c r="N144" s="8">
        <v>0</v>
      </c>
      <c r="O144" s="6" t="s">
        <v>26</v>
      </c>
      <c r="P144" s="6" t="s">
        <v>6</v>
      </c>
      <c r="Q144" s="6" t="s">
        <v>27</v>
      </c>
      <c r="R144" s="6"/>
      <c r="S144" s="6">
        <v>1</v>
      </c>
      <c r="T144" s="8">
        <v>23</v>
      </c>
      <c r="U144" s="9">
        <v>1</v>
      </c>
      <c r="V144" s="8">
        <v>23</v>
      </c>
      <c r="W144" s="6" t="s">
        <v>6</v>
      </c>
      <c r="X144" s="6"/>
    </row>
    <row r="145" spans="1:24" x14ac:dyDescent="0.3">
      <c r="A145" s="6" t="s">
        <v>288</v>
      </c>
      <c r="B145" s="6" t="s">
        <v>289</v>
      </c>
      <c r="C145" s="6" t="s">
        <v>263</v>
      </c>
      <c r="D145" s="6" t="s">
        <v>264</v>
      </c>
      <c r="E145" s="6" t="s">
        <v>24</v>
      </c>
      <c r="F145" s="6" t="s">
        <v>25</v>
      </c>
      <c r="G145" s="38" t="s">
        <v>6</v>
      </c>
      <c r="H145" s="39"/>
      <c r="I145" s="7">
        <v>45931</v>
      </c>
      <c r="J145" s="8">
        <v>137.97999999999999</v>
      </c>
      <c r="K145" s="8">
        <v>137.97999999999999</v>
      </c>
      <c r="L145" s="8">
        <v>6515.82</v>
      </c>
      <c r="M145" s="8">
        <v>1241.82</v>
      </c>
      <c r="N145" s="8">
        <v>5274</v>
      </c>
      <c r="O145" s="6" t="s">
        <v>26</v>
      </c>
      <c r="P145" s="6" t="s">
        <v>6</v>
      </c>
      <c r="Q145" s="6" t="s">
        <v>27</v>
      </c>
      <c r="R145" s="6"/>
      <c r="S145" s="6">
        <v>2</v>
      </c>
      <c r="T145" s="8">
        <v>20</v>
      </c>
      <c r="U145" s="9">
        <v>1</v>
      </c>
      <c r="V145" s="8">
        <v>40</v>
      </c>
      <c r="W145" s="6" t="s">
        <v>6</v>
      </c>
      <c r="X145" s="6"/>
    </row>
    <row r="146" spans="1:24" ht="10.95" customHeight="1" x14ac:dyDescent="0.3"/>
  </sheetData>
  <mergeCells count="143"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58:H58"/>
    <mergeCell ref="G59:H59"/>
    <mergeCell ref="G60:H60"/>
    <mergeCell ref="G61:H61"/>
    <mergeCell ref="G62:H62"/>
    <mergeCell ref="G53:H53"/>
    <mergeCell ref="G54:H54"/>
    <mergeCell ref="G55:H55"/>
    <mergeCell ref="G56:H56"/>
    <mergeCell ref="G57:H57"/>
    <mergeCell ref="G68:H68"/>
    <mergeCell ref="G69:H69"/>
    <mergeCell ref="G70:H70"/>
    <mergeCell ref="G71:H71"/>
    <mergeCell ref="G72:H72"/>
    <mergeCell ref="G63:H63"/>
    <mergeCell ref="G64:H64"/>
    <mergeCell ref="G65:H65"/>
    <mergeCell ref="G66:H66"/>
    <mergeCell ref="G67:H67"/>
    <mergeCell ref="G78:H78"/>
    <mergeCell ref="G79:H79"/>
    <mergeCell ref="G80:H80"/>
    <mergeCell ref="G81:H81"/>
    <mergeCell ref="G82:H82"/>
    <mergeCell ref="G73:H73"/>
    <mergeCell ref="G74:H74"/>
    <mergeCell ref="G75:H75"/>
    <mergeCell ref="G76:H76"/>
    <mergeCell ref="G77:H77"/>
    <mergeCell ref="G88:H88"/>
    <mergeCell ref="G89:H89"/>
    <mergeCell ref="G90:H90"/>
    <mergeCell ref="G91:H91"/>
    <mergeCell ref="G92:H92"/>
    <mergeCell ref="G83:H83"/>
    <mergeCell ref="G84:H84"/>
    <mergeCell ref="G85:H85"/>
    <mergeCell ref="G86:H86"/>
    <mergeCell ref="G87:H87"/>
    <mergeCell ref="G98:H98"/>
    <mergeCell ref="G99:H99"/>
    <mergeCell ref="G100:H100"/>
    <mergeCell ref="G101:H101"/>
    <mergeCell ref="G102:H102"/>
    <mergeCell ref="G93:H93"/>
    <mergeCell ref="G94:H94"/>
    <mergeCell ref="G95:H95"/>
    <mergeCell ref="G96:H96"/>
    <mergeCell ref="G97:H97"/>
    <mergeCell ref="G108:H108"/>
    <mergeCell ref="G109:H109"/>
    <mergeCell ref="G110:H110"/>
    <mergeCell ref="G111:H111"/>
    <mergeCell ref="G112:H112"/>
    <mergeCell ref="G103:H103"/>
    <mergeCell ref="G104:H104"/>
    <mergeCell ref="G105:H105"/>
    <mergeCell ref="G106:H106"/>
    <mergeCell ref="G107:H107"/>
    <mergeCell ref="G118:H118"/>
    <mergeCell ref="G119:H119"/>
    <mergeCell ref="G120:H120"/>
    <mergeCell ref="G121:H121"/>
    <mergeCell ref="G122:H122"/>
    <mergeCell ref="G113:H113"/>
    <mergeCell ref="G114:H114"/>
    <mergeCell ref="G115:H115"/>
    <mergeCell ref="G116:H116"/>
    <mergeCell ref="G117:H117"/>
    <mergeCell ref="G128:H128"/>
    <mergeCell ref="G129:H129"/>
    <mergeCell ref="G130:H130"/>
    <mergeCell ref="G131:H131"/>
    <mergeCell ref="G132:H132"/>
    <mergeCell ref="G123:H123"/>
    <mergeCell ref="G124:H124"/>
    <mergeCell ref="G125:H125"/>
    <mergeCell ref="G126:H126"/>
    <mergeCell ref="G127:H127"/>
    <mergeCell ref="G143:H143"/>
    <mergeCell ref="G144:H144"/>
    <mergeCell ref="G145:H145"/>
    <mergeCell ref="G138:H138"/>
    <mergeCell ref="G139:H139"/>
    <mergeCell ref="G140:H140"/>
    <mergeCell ref="G141:H141"/>
    <mergeCell ref="G142:H142"/>
    <mergeCell ref="G133:H133"/>
    <mergeCell ref="G134:H134"/>
    <mergeCell ref="G135:H135"/>
    <mergeCell ref="G136:H136"/>
    <mergeCell ref="G137:H137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7B14-9E17-40B5-95F2-979BB48DDC4D}">
  <dimension ref="A1:Y158"/>
  <sheetViews>
    <sheetView tabSelected="1" workbookViewId="0">
      <selection activeCell="S3" sqref="S3:S4"/>
    </sheetView>
  </sheetViews>
  <sheetFormatPr defaultRowHeight="14.4" x14ac:dyDescent="0.3"/>
  <cols>
    <col min="1" max="1" width="30.6640625" customWidth="1"/>
    <col min="2" max="2" width="9.33203125" customWidth="1"/>
    <col min="3" max="3" width="18" customWidth="1"/>
    <col min="4" max="5" width="15.6640625" customWidth="1"/>
    <col min="6" max="6" width="4.33203125" customWidth="1"/>
    <col min="7" max="7" width="4.109375" bestFit="1" customWidth="1"/>
    <col min="8" max="8" width="8" customWidth="1"/>
    <col min="9" max="10" width="13.6640625" customWidth="1"/>
    <col min="11" max="11" width="12.109375" customWidth="1"/>
    <col min="12" max="12" width="7.88671875" customWidth="1"/>
    <col min="13" max="13" width="9.6640625" customWidth="1"/>
    <col min="14" max="14" width="4.88671875" customWidth="1"/>
    <col min="15" max="15" width="12.6640625" customWidth="1"/>
    <col min="16" max="17" width="13.6640625" customWidth="1"/>
    <col min="18" max="18" width="9.44140625" customWidth="1"/>
  </cols>
  <sheetData>
    <row r="1" spans="1:25" ht="22.5" customHeight="1" x14ac:dyDescent="0.3">
      <c r="A1" s="4" t="s">
        <v>268</v>
      </c>
      <c r="B1" s="4" t="s">
        <v>269</v>
      </c>
      <c r="C1" s="4" t="s">
        <v>7</v>
      </c>
      <c r="D1" s="4" t="s">
        <v>8</v>
      </c>
      <c r="E1" s="4"/>
      <c r="F1" s="4" t="s">
        <v>10</v>
      </c>
      <c r="G1" s="19" t="s">
        <v>11</v>
      </c>
      <c r="H1" s="19" t="s">
        <v>13</v>
      </c>
      <c r="I1" s="19" t="s">
        <v>14</v>
      </c>
      <c r="J1" s="4" t="s">
        <v>270</v>
      </c>
      <c r="K1" s="4" t="s">
        <v>16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274</v>
      </c>
      <c r="Q1" s="4" t="s">
        <v>275</v>
      </c>
    </row>
    <row r="2" spans="1:25" ht="15" customHeight="1" x14ac:dyDescent="0.3">
      <c r="A2" s="22" t="s">
        <v>276</v>
      </c>
      <c r="B2" s="22">
        <v>8977234</v>
      </c>
      <c r="C2" s="22" t="s">
        <v>30</v>
      </c>
      <c r="D2" s="23">
        <v>803512124001</v>
      </c>
      <c r="E2" s="23" t="str">
        <f t="shared" ref="E2:E33" si="0">CONCATENATE(D2,0)</f>
        <v>8035121240010</v>
      </c>
      <c r="F2" s="22" t="s">
        <v>25</v>
      </c>
      <c r="G2" s="22" t="s">
        <v>6</v>
      </c>
      <c r="H2" s="24">
        <v>46082</v>
      </c>
      <c r="I2" s="25">
        <v>5.65</v>
      </c>
      <c r="J2" s="25">
        <v>5</v>
      </c>
      <c r="K2" s="22" t="s">
        <v>27</v>
      </c>
      <c r="L2" s="22"/>
      <c r="M2" s="25">
        <v>20</v>
      </c>
      <c r="N2" s="26">
        <v>1</v>
      </c>
      <c r="O2" s="25">
        <v>17.7</v>
      </c>
      <c r="P2" s="27">
        <v>46023</v>
      </c>
      <c r="Q2" s="22" t="s">
        <v>380</v>
      </c>
      <c r="R2" s="28"/>
      <c r="S2" s="28"/>
      <c r="T2" s="28"/>
      <c r="U2" s="28"/>
      <c r="V2" s="28"/>
      <c r="W2" s="28"/>
      <c r="X2" s="28"/>
      <c r="Y2" s="28"/>
    </row>
    <row r="3" spans="1:25" ht="15" customHeight="1" x14ac:dyDescent="0.3">
      <c r="A3" s="22" t="s">
        <v>278</v>
      </c>
      <c r="B3" s="22">
        <v>16865615</v>
      </c>
      <c r="C3" s="22" t="s">
        <v>159</v>
      </c>
      <c r="D3" s="23">
        <v>803319202001</v>
      </c>
      <c r="E3" s="23" t="str">
        <f t="shared" si="0"/>
        <v>8033192020010</v>
      </c>
      <c r="F3" s="22" t="s">
        <v>49</v>
      </c>
      <c r="G3" s="22" t="s">
        <v>6</v>
      </c>
      <c r="H3" s="24">
        <v>46054</v>
      </c>
      <c r="I3" s="25">
        <v>911.09</v>
      </c>
      <c r="J3" s="25">
        <v>209.1</v>
      </c>
      <c r="K3" s="22" t="s">
        <v>27</v>
      </c>
      <c r="L3" s="22"/>
      <c r="M3" s="25">
        <v>23</v>
      </c>
      <c r="N3" s="26">
        <v>1</v>
      </c>
      <c r="O3" s="25">
        <v>5.28</v>
      </c>
      <c r="P3" s="27">
        <v>46023</v>
      </c>
      <c r="Q3" s="22" t="s">
        <v>381</v>
      </c>
      <c r="R3" s="28"/>
      <c r="S3" s="28"/>
      <c r="T3" s="28"/>
      <c r="U3" s="28"/>
      <c r="V3" s="28"/>
      <c r="W3" s="28"/>
      <c r="X3" s="28"/>
      <c r="Y3" s="28"/>
    </row>
    <row r="4" spans="1:25" s="28" customFormat="1" ht="15" customHeight="1" x14ac:dyDescent="0.3">
      <c r="A4" s="22" t="s">
        <v>278</v>
      </c>
      <c r="B4" s="22">
        <v>16865615</v>
      </c>
      <c r="C4" s="22" t="s">
        <v>159</v>
      </c>
      <c r="D4" s="23">
        <v>803319202001</v>
      </c>
      <c r="E4" s="23" t="str">
        <f t="shared" si="0"/>
        <v>8033192020010</v>
      </c>
      <c r="F4" s="22" t="s">
        <v>49</v>
      </c>
      <c r="G4" s="22" t="s">
        <v>6</v>
      </c>
      <c r="H4" s="24">
        <v>46082</v>
      </c>
      <c r="I4" s="25">
        <v>911.09</v>
      </c>
      <c r="J4" s="25">
        <v>597.4</v>
      </c>
      <c r="K4" s="22" t="s">
        <v>27</v>
      </c>
      <c r="L4" s="22"/>
      <c r="M4" s="25">
        <v>23</v>
      </c>
      <c r="N4" s="26">
        <v>1</v>
      </c>
      <c r="O4" s="25">
        <v>15.08</v>
      </c>
      <c r="P4" s="27">
        <v>46023</v>
      </c>
      <c r="Q4" s="22" t="s">
        <v>381</v>
      </c>
    </row>
    <row r="5" spans="1:25" ht="15" customHeight="1" x14ac:dyDescent="0.3">
      <c r="A5" s="6" t="s">
        <v>276</v>
      </c>
      <c r="B5" s="6">
        <v>8977234</v>
      </c>
      <c r="C5" s="6" t="s">
        <v>22</v>
      </c>
      <c r="D5" s="18">
        <v>803374747001</v>
      </c>
      <c r="E5" s="18" t="str">
        <f t="shared" si="0"/>
        <v>8033747470010</v>
      </c>
      <c r="F5" s="6" t="s">
        <v>25</v>
      </c>
      <c r="G5" s="6" t="s">
        <v>6</v>
      </c>
      <c r="H5" s="7">
        <v>46082</v>
      </c>
      <c r="I5" s="8">
        <v>201.3</v>
      </c>
      <c r="J5" s="8">
        <v>201.3</v>
      </c>
      <c r="K5" s="6" t="s">
        <v>27</v>
      </c>
      <c r="L5" s="6" t="s">
        <v>373</v>
      </c>
      <c r="M5" s="8">
        <v>20</v>
      </c>
      <c r="N5" s="9">
        <v>1</v>
      </c>
      <c r="O5" s="8">
        <v>40</v>
      </c>
      <c r="P5" s="21">
        <v>46023</v>
      </c>
      <c r="Q5" s="6" t="s">
        <v>380</v>
      </c>
    </row>
    <row r="6" spans="1:25" ht="15" customHeight="1" x14ac:dyDescent="0.3">
      <c r="A6" s="6" t="s">
        <v>276</v>
      </c>
      <c r="B6" s="6">
        <v>8977234</v>
      </c>
      <c r="C6" s="6" t="s">
        <v>28</v>
      </c>
      <c r="D6" s="18">
        <v>803409698001</v>
      </c>
      <c r="E6" s="18" t="str">
        <f t="shared" si="0"/>
        <v>8034096980010</v>
      </c>
      <c r="F6" s="6" t="s">
        <v>25</v>
      </c>
      <c r="G6" s="6" t="s">
        <v>6</v>
      </c>
      <c r="H6" s="7">
        <v>46082</v>
      </c>
      <c r="I6" s="8">
        <v>1.85</v>
      </c>
      <c r="J6" s="8">
        <v>1.85</v>
      </c>
      <c r="K6" s="6" t="s">
        <v>27</v>
      </c>
      <c r="L6" s="6"/>
      <c r="M6" s="8">
        <v>20</v>
      </c>
      <c r="N6" s="9">
        <v>1</v>
      </c>
      <c r="O6" s="8">
        <v>20</v>
      </c>
      <c r="P6" s="21">
        <v>46023</v>
      </c>
      <c r="Q6" s="6" t="s">
        <v>380</v>
      </c>
    </row>
    <row r="7" spans="1:25" ht="15" customHeight="1" x14ac:dyDescent="0.3">
      <c r="A7" s="6" t="s">
        <v>276</v>
      </c>
      <c r="B7" s="6">
        <v>8977234</v>
      </c>
      <c r="C7" s="6" t="s">
        <v>32</v>
      </c>
      <c r="D7" s="18">
        <v>803363098001</v>
      </c>
      <c r="E7" s="18" t="str">
        <f t="shared" si="0"/>
        <v>8033630980010</v>
      </c>
      <c r="F7" s="6" t="s">
        <v>25</v>
      </c>
      <c r="G7" s="6" t="s">
        <v>6</v>
      </c>
      <c r="H7" s="7">
        <v>46054</v>
      </c>
      <c r="I7" s="8">
        <v>140.65</v>
      </c>
      <c r="J7" s="8">
        <v>140.65</v>
      </c>
      <c r="K7" s="6" t="s">
        <v>27</v>
      </c>
      <c r="L7" s="6"/>
      <c r="M7" s="8">
        <v>20</v>
      </c>
      <c r="N7" s="9">
        <v>1</v>
      </c>
      <c r="O7" s="8">
        <v>20</v>
      </c>
      <c r="P7" s="21">
        <v>46023</v>
      </c>
      <c r="Q7" s="6" t="s">
        <v>380</v>
      </c>
    </row>
    <row r="8" spans="1:25" ht="15" customHeight="1" x14ac:dyDescent="0.3">
      <c r="A8" s="6" t="s">
        <v>276</v>
      </c>
      <c r="B8" s="6">
        <v>8977234</v>
      </c>
      <c r="C8" s="6" t="s">
        <v>32</v>
      </c>
      <c r="D8" s="18">
        <v>803363098001</v>
      </c>
      <c r="E8" s="18" t="str">
        <f t="shared" si="0"/>
        <v>8033630980010</v>
      </c>
      <c r="F8" s="6" t="s">
        <v>25</v>
      </c>
      <c r="G8" s="6" t="s">
        <v>6</v>
      </c>
      <c r="H8" s="7">
        <v>46082</v>
      </c>
      <c r="I8" s="8">
        <v>140.65</v>
      </c>
      <c r="J8" s="8">
        <v>140.65</v>
      </c>
      <c r="K8" s="6" t="s">
        <v>27</v>
      </c>
      <c r="L8" s="6"/>
      <c r="M8" s="8">
        <v>20</v>
      </c>
      <c r="N8" s="9">
        <v>1</v>
      </c>
      <c r="O8" s="8">
        <v>20</v>
      </c>
      <c r="P8" s="21">
        <v>46023</v>
      </c>
      <c r="Q8" s="6" t="s">
        <v>380</v>
      </c>
    </row>
    <row r="9" spans="1:25" ht="15" customHeight="1" x14ac:dyDescent="0.3">
      <c r="A9" s="6" t="s">
        <v>276</v>
      </c>
      <c r="B9" s="6">
        <v>8977234</v>
      </c>
      <c r="C9" s="6" t="s">
        <v>34</v>
      </c>
      <c r="D9" s="17">
        <v>803408128001</v>
      </c>
      <c r="E9" s="18" t="str">
        <f t="shared" si="0"/>
        <v>8034081280010</v>
      </c>
      <c r="F9" s="6" t="s">
        <v>25</v>
      </c>
      <c r="G9" s="6" t="s">
        <v>6</v>
      </c>
      <c r="H9" s="7">
        <v>46082</v>
      </c>
      <c r="I9" s="8">
        <v>92.05</v>
      </c>
      <c r="J9" s="8">
        <v>92.05</v>
      </c>
      <c r="K9" s="6" t="s">
        <v>27</v>
      </c>
      <c r="L9" s="6"/>
      <c r="M9" s="8">
        <v>20</v>
      </c>
      <c r="N9" s="9">
        <v>1</v>
      </c>
      <c r="O9" s="8">
        <v>20</v>
      </c>
      <c r="P9" s="21">
        <v>46023</v>
      </c>
      <c r="Q9" s="6" t="s">
        <v>380</v>
      </c>
    </row>
    <row r="10" spans="1:25" ht="15" customHeight="1" x14ac:dyDescent="0.3">
      <c r="A10" s="6" t="s">
        <v>276</v>
      </c>
      <c r="B10" s="6">
        <v>8977234</v>
      </c>
      <c r="C10" s="6" t="s">
        <v>36</v>
      </c>
      <c r="D10" s="18">
        <v>803376130001</v>
      </c>
      <c r="E10" s="18" t="str">
        <f t="shared" si="0"/>
        <v>8033761300010</v>
      </c>
      <c r="F10" s="6" t="s">
        <v>25</v>
      </c>
      <c r="G10" s="6" t="s">
        <v>6</v>
      </c>
      <c r="H10" s="7">
        <v>46082</v>
      </c>
      <c r="I10" s="8">
        <v>91.69</v>
      </c>
      <c r="J10" s="8">
        <v>91.69</v>
      </c>
      <c r="K10" s="6" t="s">
        <v>27</v>
      </c>
      <c r="L10" s="6" t="s">
        <v>373</v>
      </c>
      <c r="M10" s="8">
        <v>20</v>
      </c>
      <c r="N10" s="9">
        <v>1</v>
      </c>
      <c r="O10" s="8">
        <v>40</v>
      </c>
      <c r="P10" s="21">
        <v>46023</v>
      </c>
      <c r="Q10" s="6" t="s">
        <v>380</v>
      </c>
    </row>
    <row r="11" spans="1:25" ht="15" customHeight="1" x14ac:dyDescent="0.3">
      <c r="A11" s="6" t="s">
        <v>276</v>
      </c>
      <c r="B11" s="6">
        <v>8977234</v>
      </c>
      <c r="C11" s="6" t="s">
        <v>38</v>
      </c>
      <c r="D11" s="18">
        <v>802698506001</v>
      </c>
      <c r="E11" s="18" t="str">
        <f t="shared" si="0"/>
        <v>8026985060010</v>
      </c>
      <c r="F11" s="6" t="s">
        <v>25</v>
      </c>
      <c r="G11" s="6" t="s">
        <v>6</v>
      </c>
      <c r="H11" s="7">
        <v>46082</v>
      </c>
      <c r="I11" s="8">
        <v>10.08</v>
      </c>
      <c r="J11" s="8">
        <v>10.08</v>
      </c>
      <c r="K11" s="6" t="s">
        <v>27</v>
      </c>
      <c r="L11" s="6"/>
      <c r="M11" s="8">
        <v>20</v>
      </c>
      <c r="N11" s="9">
        <v>1</v>
      </c>
      <c r="O11" s="8">
        <v>20</v>
      </c>
      <c r="P11" s="21">
        <v>46023</v>
      </c>
      <c r="Q11" s="6" t="s">
        <v>380</v>
      </c>
    </row>
    <row r="12" spans="1:25" ht="15" customHeight="1" x14ac:dyDescent="0.3">
      <c r="A12" s="6" t="s">
        <v>276</v>
      </c>
      <c r="B12" s="6">
        <v>8977234</v>
      </c>
      <c r="C12" s="6" t="s">
        <v>40</v>
      </c>
      <c r="D12" s="18">
        <v>803508759001</v>
      </c>
      <c r="E12" s="18" t="str">
        <f t="shared" si="0"/>
        <v>8035087590010</v>
      </c>
      <c r="F12" s="6" t="s">
        <v>25</v>
      </c>
      <c r="G12" s="6" t="s">
        <v>6</v>
      </c>
      <c r="H12" s="7">
        <v>46082</v>
      </c>
      <c r="I12" s="8">
        <v>1.03</v>
      </c>
      <c r="J12" s="8">
        <v>1.03</v>
      </c>
      <c r="K12" s="6" t="s">
        <v>27</v>
      </c>
      <c r="L12" s="6"/>
      <c r="M12" s="8">
        <v>20</v>
      </c>
      <c r="N12" s="9">
        <v>1</v>
      </c>
      <c r="O12" s="8">
        <v>20</v>
      </c>
      <c r="P12" s="21">
        <v>46023</v>
      </c>
      <c r="Q12" s="6" t="s">
        <v>380</v>
      </c>
    </row>
    <row r="13" spans="1:25" ht="15" customHeight="1" x14ac:dyDescent="0.3">
      <c r="A13" s="6" t="s">
        <v>278</v>
      </c>
      <c r="B13" s="6">
        <v>16865615</v>
      </c>
      <c r="C13" s="6" t="s">
        <v>47</v>
      </c>
      <c r="D13" s="18">
        <v>802878100001</v>
      </c>
      <c r="E13" s="18" t="str">
        <f t="shared" si="0"/>
        <v>8028781000010</v>
      </c>
      <c r="F13" s="6" t="s">
        <v>49</v>
      </c>
      <c r="G13" s="6" t="s">
        <v>6</v>
      </c>
      <c r="H13" s="7">
        <v>46082</v>
      </c>
      <c r="I13" s="8">
        <v>486.35</v>
      </c>
      <c r="J13" s="8">
        <v>486.35</v>
      </c>
      <c r="K13" s="6" t="s">
        <v>27</v>
      </c>
      <c r="L13" s="6"/>
      <c r="M13" s="8">
        <v>23</v>
      </c>
      <c r="N13" s="9">
        <v>1</v>
      </c>
      <c r="O13" s="8">
        <v>23</v>
      </c>
      <c r="P13" s="21">
        <v>46023</v>
      </c>
      <c r="Q13" s="6" t="s">
        <v>381</v>
      </c>
    </row>
    <row r="14" spans="1:25" ht="15" customHeight="1" x14ac:dyDescent="0.3">
      <c r="A14" s="6" t="s">
        <v>278</v>
      </c>
      <c r="B14" s="6">
        <v>16865615</v>
      </c>
      <c r="C14" s="6" t="s">
        <v>50</v>
      </c>
      <c r="D14" s="18">
        <v>802896446001</v>
      </c>
      <c r="E14" s="18" t="str">
        <f t="shared" si="0"/>
        <v>8028964460010</v>
      </c>
      <c r="F14" s="6" t="s">
        <v>49</v>
      </c>
      <c r="G14" s="6" t="s">
        <v>6</v>
      </c>
      <c r="H14" s="7">
        <v>46082</v>
      </c>
      <c r="I14" s="8">
        <v>602.71</v>
      </c>
      <c r="J14" s="8">
        <v>602.71</v>
      </c>
      <c r="K14" s="6" t="s">
        <v>27</v>
      </c>
      <c r="L14" s="6"/>
      <c r="M14" s="8">
        <v>23</v>
      </c>
      <c r="N14" s="9">
        <v>1</v>
      </c>
      <c r="O14" s="8">
        <v>23</v>
      </c>
      <c r="P14" s="21">
        <v>46023</v>
      </c>
      <c r="Q14" s="6" t="s">
        <v>381</v>
      </c>
    </row>
    <row r="15" spans="1:25" ht="15" customHeight="1" x14ac:dyDescent="0.3">
      <c r="A15" s="6" t="s">
        <v>278</v>
      </c>
      <c r="B15" s="6">
        <v>16865615</v>
      </c>
      <c r="C15" s="6" t="s">
        <v>52</v>
      </c>
      <c r="D15" s="18">
        <v>803481123001</v>
      </c>
      <c r="E15" s="18" t="str">
        <f t="shared" si="0"/>
        <v>8034811230010</v>
      </c>
      <c r="F15" s="6" t="s">
        <v>49</v>
      </c>
      <c r="G15" s="6" t="s">
        <v>6</v>
      </c>
      <c r="H15" s="7">
        <v>46082</v>
      </c>
      <c r="I15" s="8">
        <v>486.48</v>
      </c>
      <c r="J15" s="8">
        <v>486.48</v>
      </c>
      <c r="K15" s="6" t="s">
        <v>27</v>
      </c>
      <c r="L15" s="6"/>
      <c r="M15" s="8">
        <v>23</v>
      </c>
      <c r="N15" s="9">
        <v>1</v>
      </c>
      <c r="O15" s="8">
        <v>23</v>
      </c>
      <c r="P15" s="21">
        <v>46023</v>
      </c>
      <c r="Q15" s="6" t="s">
        <v>381</v>
      </c>
    </row>
    <row r="16" spans="1:25" ht="15" customHeight="1" x14ac:dyDescent="0.3">
      <c r="A16" s="6" t="s">
        <v>278</v>
      </c>
      <c r="B16" s="6">
        <v>16865615</v>
      </c>
      <c r="C16" s="6" t="s">
        <v>54</v>
      </c>
      <c r="D16" s="18">
        <v>803463226001</v>
      </c>
      <c r="E16" s="18" t="str">
        <f t="shared" si="0"/>
        <v>8034632260010</v>
      </c>
      <c r="F16" s="6" t="s">
        <v>49</v>
      </c>
      <c r="G16" s="6" t="s">
        <v>6</v>
      </c>
      <c r="H16" s="7">
        <v>46082</v>
      </c>
      <c r="I16" s="8">
        <v>203.34</v>
      </c>
      <c r="J16" s="8">
        <v>203.34</v>
      </c>
      <c r="K16" s="6" t="s">
        <v>27</v>
      </c>
      <c r="L16" s="6"/>
      <c r="M16" s="8">
        <v>23</v>
      </c>
      <c r="N16" s="9">
        <v>1</v>
      </c>
      <c r="O16" s="8">
        <v>23</v>
      </c>
      <c r="P16" s="21">
        <v>46023</v>
      </c>
      <c r="Q16" s="6" t="s">
        <v>381</v>
      </c>
    </row>
    <row r="17" spans="1:17" ht="15" customHeight="1" x14ac:dyDescent="0.3">
      <c r="A17" s="6" t="s">
        <v>278</v>
      </c>
      <c r="B17" s="6">
        <v>16865615</v>
      </c>
      <c r="C17" s="6" t="s">
        <v>56</v>
      </c>
      <c r="D17" s="18">
        <v>803406851001</v>
      </c>
      <c r="E17" s="18" t="str">
        <f t="shared" si="0"/>
        <v>8034068510010</v>
      </c>
      <c r="F17" s="6" t="s">
        <v>49</v>
      </c>
      <c r="G17" s="6" t="s">
        <v>6</v>
      </c>
      <c r="H17" s="7">
        <v>46082</v>
      </c>
      <c r="I17" s="8">
        <v>397.72</v>
      </c>
      <c r="J17" s="8">
        <v>397.72</v>
      </c>
      <c r="K17" s="6" t="s">
        <v>27</v>
      </c>
      <c r="L17" s="6"/>
      <c r="M17" s="8">
        <v>23</v>
      </c>
      <c r="N17" s="9">
        <v>1</v>
      </c>
      <c r="O17" s="8">
        <v>23</v>
      </c>
      <c r="P17" s="21">
        <v>46023</v>
      </c>
      <c r="Q17" s="6" t="s">
        <v>381</v>
      </c>
    </row>
    <row r="18" spans="1:17" ht="15" customHeight="1" x14ac:dyDescent="0.3">
      <c r="A18" s="6" t="s">
        <v>278</v>
      </c>
      <c r="B18" s="6">
        <v>16865615</v>
      </c>
      <c r="C18" s="6" t="s">
        <v>58</v>
      </c>
      <c r="D18" s="18">
        <v>803256188001</v>
      </c>
      <c r="E18" s="18" t="str">
        <f t="shared" si="0"/>
        <v>8032561880010</v>
      </c>
      <c r="F18" s="6" t="s">
        <v>49</v>
      </c>
      <c r="G18" s="6" t="s">
        <v>6</v>
      </c>
      <c r="H18" s="7">
        <v>46082</v>
      </c>
      <c r="I18" s="8">
        <v>1072.8800000000001</v>
      </c>
      <c r="J18" s="8">
        <v>1072.8800000000001</v>
      </c>
      <c r="K18" s="6" t="s">
        <v>27</v>
      </c>
      <c r="L18" s="6" t="s">
        <v>373</v>
      </c>
      <c r="M18" s="8">
        <v>23</v>
      </c>
      <c r="N18" s="9">
        <v>1</v>
      </c>
      <c r="O18" s="8">
        <v>46</v>
      </c>
      <c r="P18" s="21">
        <v>46023</v>
      </c>
      <c r="Q18" s="6" t="s">
        <v>381</v>
      </c>
    </row>
    <row r="19" spans="1:17" ht="15" customHeight="1" x14ac:dyDescent="0.3">
      <c r="A19" s="6" t="s">
        <v>278</v>
      </c>
      <c r="B19" s="6">
        <v>16865615</v>
      </c>
      <c r="C19" s="6" t="s">
        <v>60</v>
      </c>
      <c r="D19" s="18">
        <v>802875000001</v>
      </c>
      <c r="E19" s="18" t="str">
        <f t="shared" si="0"/>
        <v>8028750000010</v>
      </c>
      <c r="F19" s="6" t="s">
        <v>49</v>
      </c>
      <c r="G19" s="6" t="s">
        <v>6</v>
      </c>
      <c r="H19" s="7">
        <v>46082</v>
      </c>
      <c r="I19" s="8">
        <v>207.55</v>
      </c>
      <c r="J19" s="8">
        <v>207.55</v>
      </c>
      <c r="K19" s="6" t="s">
        <v>27</v>
      </c>
      <c r="L19" s="6"/>
      <c r="M19" s="8">
        <v>23</v>
      </c>
      <c r="N19" s="9">
        <v>1</v>
      </c>
      <c r="O19" s="8">
        <v>23</v>
      </c>
      <c r="P19" s="21">
        <v>46023</v>
      </c>
      <c r="Q19" s="6" t="s">
        <v>381</v>
      </c>
    </row>
    <row r="20" spans="1:17" ht="15" customHeight="1" x14ac:dyDescent="0.3">
      <c r="A20" s="6" t="s">
        <v>278</v>
      </c>
      <c r="B20" s="6">
        <v>16865615</v>
      </c>
      <c r="C20" s="6" t="s">
        <v>62</v>
      </c>
      <c r="D20" s="18">
        <v>803455181001</v>
      </c>
      <c r="E20" s="18" t="str">
        <f t="shared" si="0"/>
        <v>8034551810010</v>
      </c>
      <c r="F20" s="6" t="s">
        <v>49</v>
      </c>
      <c r="G20" s="6" t="s">
        <v>6</v>
      </c>
      <c r="H20" s="7">
        <v>46054</v>
      </c>
      <c r="I20" s="8">
        <v>2670.98</v>
      </c>
      <c r="J20" s="8">
        <v>2670.98</v>
      </c>
      <c r="K20" s="6" t="s">
        <v>27</v>
      </c>
      <c r="L20" s="6" t="s">
        <v>376</v>
      </c>
      <c r="M20" s="8">
        <v>23</v>
      </c>
      <c r="N20" s="9">
        <v>1</v>
      </c>
      <c r="O20" s="8">
        <v>115</v>
      </c>
      <c r="P20" s="21">
        <v>46023</v>
      </c>
      <c r="Q20" s="6" t="s">
        <v>381</v>
      </c>
    </row>
    <row r="21" spans="1:17" ht="15" customHeight="1" x14ac:dyDescent="0.3">
      <c r="A21" s="6" t="s">
        <v>278</v>
      </c>
      <c r="B21" s="6">
        <v>16865615</v>
      </c>
      <c r="C21" s="6" t="s">
        <v>62</v>
      </c>
      <c r="D21" s="18">
        <v>803455181001</v>
      </c>
      <c r="E21" s="18" t="str">
        <f t="shared" si="0"/>
        <v>8034551810010</v>
      </c>
      <c r="F21" s="6" t="s">
        <v>49</v>
      </c>
      <c r="G21" s="6" t="s">
        <v>6</v>
      </c>
      <c r="H21" s="7">
        <v>46082</v>
      </c>
      <c r="I21" s="8">
        <v>2670.98</v>
      </c>
      <c r="J21" s="8">
        <v>2670.98</v>
      </c>
      <c r="K21" s="6" t="s">
        <v>27</v>
      </c>
      <c r="L21" s="6" t="s">
        <v>376</v>
      </c>
      <c r="M21" s="8">
        <v>23</v>
      </c>
      <c r="N21" s="9">
        <v>1</v>
      </c>
      <c r="O21" s="8">
        <v>115</v>
      </c>
      <c r="P21" s="21">
        <v>46023</v>
      </c>
      <c r="Q21" s="6" t="s">
        <v>381</v>
      </c>
    </row>
    <row r="22" spans="1:17" ht="15" customHeight="1" x14ac:dyDescent="0.3">
      <c r="A22" s="6" t="s">
        <v>278</v>
      </c>
      <c r="B22" s="6">
        <v>16865615</v>
      </c>
      <c r="C22" s="6" t="s">
        <v>64</v>
      </c>
      <c r="D22" s="18">
        <v>803092864001</v>
      </c>
      <c r="E22" s="18" t="str">
        <f t="shared" si="0"/>
        <v>8030928640010</v>
      </c>
      <c r="F22" s="6" t="s">
        <v>49</v>
      </c>
      <c r="G22" s="6" t="s">
        <v>6</v>
      </c>
      <c r="H22" s="7">
        <v>46082</v>
      </c>
      <c r="I22" s="8">
        <v>386.34</v>
      </c>
      <c r="J22" s="8">
        <v>386.34</v>
      </c>
      <c r="K22" s="6" t="s">
        <v>27</v>
      </c>
      <c r="L22" s="6" t="s">
        <v>374</v>
      </c>
      <c r="M22" s="8">
        <v>23</v>
      </c>
      <c r="N22" s="9">
        <v>1</v>
      </c>
      <c r="O22" s="8">
        <v>69</v>
      </c>
      <c r="P22" s="21">
        <v>46023</v>
      </c>
      <c r="Q22" s="6" t="s">
        <v>381</v>
      </c>
    </row>
    <row r="23" spans="1:17" ht="15" customHeight="1" x14ac:dyDescent="0.3">
      <c r="A23" s="6" t="s">
        <v>278</v>
      </c>
      <c r="B23" s="6">
        <v>16865615</v>
      </c>
      <c r="C23" s="6" t="s">
        <v>66</v>
      </c>
      <c r="D23" s="18">
        <v>803226175001</v>
      </c>
      <c r="E23" s="18" t="str">
        <f t="shared" si="0"/>
        <v>8032261750010</v>
      </c>
      <c r="F23" s="6" t="s">
        <v>49</v>
      </c>
      <c r="G23" s="6" t="s">
        <v>6</v>
      </c>
      <c r="H23" s="7">
        <v>46082</v>
      </c>
      <c r="I23" s="8">
        <v>146.76</v>
      </c>
      <c r="J23" s="8">
        <v>146.76</v>
      </c>
      <c r="K23" s="6" t="s">
        <v>27</v>
      </c>
      <c r="L23" s="6"/>
      <c r="M23" s="8">
        <v>23</v>
      </c>
      <c r="N23" s="9">
        <v>1</v>
      </c>
      <c r="O23" s="8">
        <v>23</v>
      </c>
      <c r="P23" s="21">
        <v>46023</v>
      </c>
      <c r="Q23" s="6" t="s">
        <v>381</v>
      </c>
    </row>
    <row r="24" spans="1:17" ht="15" customHeight="1" x14ac:dyDescent="0.3">
      <c r="A24" s="6" t="s">
        <v>278</v>
      </c>
      <c r="B24" s="6">
        <v>16865615</v>
      </c>
      <c r="C24" s="6" t="s">
        <v>68</v>
      </c>
      <c r="D24" s="18">
        <v>802931529001</v>
      </c>
      <c r="E24" s="18" t="str">
        <f t="shared" si="0"/>
        <v>8029315290010</v>
      </c>
      <c r="F24" s="6" t="s">
        <v>49</v>
      </c>
      <c r="G24" s="6" t="s">
        <v>6</v>
      </c>
      <c r="H24" s="7">
        <v>46054</v>
      </c>
      <c r="I24" s="8">
        <v>148.91999999999999</v>
      </c>
      <c r="J24" s="8">
        <v>148.91999999999999</v>
      </c>
      <c r="K24" s="6" t="s">
        <v>27</v>
      </c>
      <c r="L24" s="6"/>
      <c r="M24" s="8">
        <v>23</v>
      </c>
      <c r="N24" s="9">
        <v>1</v>
      </c>
      <c r="O24" s="8">
        <v>23</v>
      </c>
      <c r="P24" s="21">
        <v>46023</v>
      </c>
      <c r="Q24" s="6" t="s">
        <v>381</v>
      </c>
    </row>
    <row r="25" spans="1:17" ht="15" customHeight="1" x14ac:dyDescent="0.3">
      <c r="A25" s="6" t="s">
        <v>278</v>
      </c>
      <c r="B25" s="6">
        <v>16865615</v>
      </c>
      <c r="C25" s="6" t="s">
        <v>70</v>
      </c>
      <c r="D25" s="18">
        <v>803454120001</v>
      </c>
      <c r="E25" s="18" t="str">
        <f t="shared" si="0"/>
        <v>8034541200010</v>
      </c>
      <c r="F25" s="6" t="s">
        <v>49</v>
      </c>
      <c r="G25" s="6" t="s">
        <v>6</v>
      </c>
      <c r="H25" s="7">
        <v>46082</v>
      </c>
      <c r="I25" s="8">
        <v>1670.97</v>
      </c>
      <c r="J25" s="8">
        <v>1670.97</v>
      </c>
      <c r="K25" s="6" t="s">
        <v>27</v>
      </c>
      <c r="L25" s="6" t="s">
        <v>373</v>
      </c>
      <c r="M25" s="8">
        <v>23</v>
      </c>
      <c r="N25" s="9">
        <v>1</v>
      </c>
      <c r="O25" s="8">
        <v>46</v>
      </c>
      <c r="P25" s="21">
        <v>46023</v>
      </c>
      <c r="Q25" s="6" t="s">
        <v>381</v>
      </c>
    </row>
    <row r="26" spans="1:17" ht="15" customHeight="1" x14ac:dyDescent="0.3">
      <c r="A26" s="6" t="s">
        <v>278</v>
      </c>
      <c r="B26" s="6">
        <v>16865615</v>
      </c>
      <c r="C26" s="6" t="s">
        <v>72</v>
      </c>
      <c r="D26" s="18">
        <v>803409885001</v>
      </c>
      <c r="E26" s="18" t="str">
        <f t="shared" si="0"/>
        <v>8034098850010</v>
      </c>
      <c r="F26" s="6" t="s">
        <v>49</v>
      </c>
      <c r="G26" s="6" t="s">
        <v>6</v>
      </c>
      <c r="H26" s="7">
        <v>46082</v>
      </c>
      <c r="I26" s="8">
        <v>428.94</v>
      </c>
      <c r="J26" s="8">
        <v>428.94</v>
      </c>
      <c r="K26" s="6" t="s">
        <v>27</v>
      </c>
      <c r="L26" s="6"/>
      <c r="M26" s="8">
        <v>23</v>
      </c>
      <c r="N26" s="9">
        <v>1</v>
      </c>
      <c r="O26" s="8">
        <v>23</v>
      </c>
      <c r="P26" s="21">
        <v>46023</v>
      </c>
      <c r="Q26" s="6" t="s">
        <v>381</v>
      </c>
    </row>
    <row r="27" spans="1:17" ht="15" customHeight="1" x14ac:dyDescent="0.3">
      <c r="A27" s="6" t="s">
        <v>278</v>
      </c>
      <c r="B27" s="6">
        <v>16865615</v>
      </c>
      <c r="C27" s="6" t="s">
        <v>74</v>
      </c>
      <c r="D27" s="18">
        <v>803304041001</v>
      </c>
      <c r="E27" s="18" t="str">
        <f t="shared" si="0"/>
        <v>8033040410010</v>
      </c>
      <c r="F27" s="6" t="s">
        <v>49</v>
      </c>
      <c r="G27" s="6" t="s">
        <v>6</v>
      </c>
      <c r="H27" s="7">
        <v>46082</v>
      </c>
      <c r="I27" s="8">
        <v>130.63</v>
      </c>
      <c r="J27" s="8">
        <v>130.63</v>
      </c>
      <c r="K27" s="6" t="s">
        <v>27</v>
      </c>
      <c r="L27" s="6"/>
      <c r="M27" s="8">
        <v>23</v>
      </c>
      <c r="N27" s="9">
        <v>1</v>
      </c>
      <c r="O27" s="8">
        <v>23</v>
      </c>
      <c r="P27" s="21">
        <v>46023</v>
      </c>
      <c r="Q27" s="6" t="s">
        <v>381</v>
      </c>
    </row>
    <row r="28" spans="1:17" ht="15" customHeight="1" x14ac:dyDescent="0.3">
      <c r="A28" s="6" t="s">
        <v>278</v>
      </c>
      <c r="B28" s="6">
        <v>16865615</v>
      </c>
      <c r="C28" s="6" t="s">
        <v>76</v>
      </c>
      <c r="D28" s="18">
        <v>803413171001</v>
      </c>
      <c r="E28" s="18" t="str">
        <f t="shared" si="0"/>
        <v>8034131710010</v>
      </c>
      <c r="F28" s="6" t="s">
        <v>49</v>
      </c>
      <c r="G28" s="6" t="s">
        <v>6</v>
      </c>
      <c r="H28" s="7">
        <v>46082</v>
      </c>
      <c r="I28" s="8">
        <v>149.83000000000001</v>
      </c>
      <c r="J28" s="8">
        <v>149.83000000000001</v>
      </c>
      <c r="K28" s="6" t="s">
        <v>27</v>
      </c>
      <c r="L28" s="6"/>
      <c r="M28" s="8">
        <v>23</v>
      </c>
      <c r="N28" s="9">
        <v>1</v>
      </c>
      <c r="O28" s="8">
        <v>23</v>
      </c>
      <c r="P28" s="21">
        <v>46023</v>
      </c>
      <c r="Q28" s="6" t="s">
        <v>381</v>
      </c>
    </row>
    <row r="29" spans="1:17" ht="15" customHeight="1" x14ac:dyDescent="0.3">
      <c r="A29" s="6" t="s">
        <v>278</v>
      </c>
      <c r="B29" s="6">
        <v>16865615</v>
      </c>
      <c r="C29" s="6" t="s">
        <v>78</v>
      </c>
      <c r="D29" s="18">
        <v>803305995001</v>
      </c>
      <c r="E29" s="18" t="str">
        <f t="shared" si="0"/>
        <v>8033059950010</v>
      </c>
      <c r="F29" s="6" t="s">
        <v>49</v>
      </c>
      <c r="G29" s="6" t="s">
        <v>6</v>
      </c>
      <c r="H29" s="7">
        <v>46082</v>
      </c>
      <c r="I29" s="8">
        <v>1.41</v>
      </c>
      <c r="J29" s="8">
        <v>1.41</v>
      </c>
      <c r="K29" s="6" t="s">
        <v>27</v>
      </c>
      <c r="L29" s="6"/>
      <c r="M29" s="8">
        <v>23</v>
      </c>
      <c r="N29" s="9">
        <v>1</v>
      </c>
      <c r="O29" s="8">
        <v>23</v>
      </c>
      <c r="P29" s="21">
        <v>46023</v>
      </c>
      <c r="Q29" s="6" t="s">
        <v>381</v>
      </c>
    </row>
    <row r="30" spans="1:17" ht="15" customHeight="1" x14ac:dyDescent="0.3">
      <c r="A30" s="6" t="s">
        <v>278</v>
      </c>
      <c r="B30" s="6">
        <v>16865615</v>
      </c>
      <c r="C30" s="6" t="s">
        <v>80</v>
      </c>
      <c r="D30" s="18">
        <v>803433539001</v>
      </c>
      <c r="E30" s="18" t="str">
        <f t="shared" si="0"/>
        <v>8034335390010</v>
      </c>
      <c r="F30" s="6" t="s">
        <v>49</v>
      </c>
      <c r="G30" s="6" t="s">
        <v>6</v>
      </c>
      <c r="H30" s="7">
        <v>46082</v>
      </c>
      <c r="I30" s="8">
        <v>242.33</v>
      </c>
      <c r="J30" s="8">
        <v>242.33</v>
      </c>
      <c r="K30" s="6" t="s">
        <v>27</v>
      </c>
      <c r="L30" s="6"/>
      <c r="M30" s="8">
        <v>23</v>
      </c>
      <c r="N30" s="9">
        <v>1</v>
      </c>
      <c r="O30" s="8">
        <v>23</v>
      </c>
      <c r="P30" s="21">
        <v>46023</v>
      </c>
      <c r="Q30" s="6" t="s">
        <v>381</v>
      </c>
    </row>
    <row r="31" spans="1:17" ht="15" customHeight="1" x14ac:dyDescent="0.3">
      <c r="A31" s="6" t="s">
        <v>278</v>
      </c>
      <c r="B31" s="6">
        <v>16865615</v>
      </c>
      <c r="C31" s="6" t="s">
        <v>82</v>
      </c>
      <c r="D31" s="18">
        <v>802981736001</v>
      </c>
      <c r="E31" s="18" t="str">
        <f t="shared" si="0"/>
        <v>8029817360010</v>
      </c>
      <c r="F31" s="6" t="s">
        <v>49</v>
      </c>
      <c r="G31" s="6" t="s">
        <v>6</v>
      </c>
      <c r="H31" s="7">
        <v>46082</v>
      </c>
      <c r="I31" s="8">
        <v>352.44</v>
      </c>
      <c r="J31" s="8">
        <v>352.44</v>
      </c>
      <c r="K31" s="6" t="s">
        <v>27</v>
      </c>
      <c r="L31" s="6"/>
      <c r="M31" s="8">
        <v>23</v>
      </c>
      <c r="N31" s="9">
        <v>1</v>
      </c>
      <c r="O31" s="8">
        <v>23</v>
      </c>
      <c r="P31" s="21">
        <v>46023</v>
      </c>
      <c r="Q31" s="6" t="s">
        <v>381</v>
      </c>
    </row>
    <row r="32" spans="1:17" ht="15" customHeight="1" x14ac:dyDescent="0.3">
      <c r="A32" s="6" t="s">
        <v>278</v>
      </c>
      <c r="B32" s="6">
        <v>16865615</v>
      </c>
      <c r="C32" s="6" t="s">
        <v>84</v>
      </c>
      <c r="D32" s="18">
        <v>803396619001</v>
      </c>
      <c r="E32" s="18" t="str">
        <f t="shared" si="0"/>
        <v>8033966190010</v>
      </c>
      <c r="F32" s="6" t="s">
        <v>49</v>
      </c>
      <c r="G32" s="6" t="s">
        <v>6</v>
      </c>
      <c r="H32" s="7">
        <v>46082</v>
      </c>
      <c r="I32" s="8">
        <v>169.86</v>
      </c>
      <c r="J32" s="8">
        <v>169.86</v>
      </c>
      <c r="K32" s="6" t="s">
        <v>27</v>
      </c>
      <c r="L32" s="6"/>
      <c r="M32" s="8">
        <v>23</v>
      </c>
      <c r="N32" s="9">
        <v>1</v>
      </c>
      <c r="O32" s="8">
        <v>23</v>
      </c>
      <c r="P32" s="21">
        <v>46023</v>
      </c>
      <c r="Q32" s="6" t="s">
        <v>381</v>
      </c>
    </row>
    <row r="33" spans="1:17" ht="15" customHeight="1" x14ac:dyDescent="0.3">
      <c r="A33" s="6" t="s">
        <v>278</v>
      </c>
      <c r="B33" s="6">
        <v>16865615</v>
      </c>
      <c r="C33" s="6" t="s">
        <v>86</v>
      </c>
      <c r="D33" s="18">
        <v>803292652001</v>
      </c>
      <c r="E33" s="18" t="str">
        <f t="shared" si="0"/>
        <v>8032926520010</v>
      </c>
      <c r="F33" s="6" t="s">
        <v>49</v>
      </c>
      <c r="G33" s="6" t="s">
        <v>280</v>
      </c>
      <c r="H33" s="6"/>
      <c r="I33" s="6"/>
      <c r="J33" s="6"/>
      <c r="K33" s="6" t="s">
        <v>281</v>
      </c>
      <c r="L33" s="6"/>
      <c r="M33" s="6"/>
      <c r="N33" s="6"/>
      <c r="O33" s="8">
        <v>-23</v>
      </c>
      <c r="P33" s="21">
        <v>46023</v>
      </c>
      <c r="Q33" s="6" t="s">
        <v>381</v>
      </c>
    </row>
    <row r="34" spans="1:17" ht="15" customHeight="1" x14ac:dyDescent="0.3">
      <c r="A34" s="6" t="s">
        <v>278</v>
      </c>
      <c r="B34" s="6">
        <v>16865615</v>
      </c>
      <c r="C34" s="6" t="s">
        <v>89</v>
      </c>
      <c r="D34" s="18">
        <v>803457401001</v>
      </c>
      <c r="E34" s="18" t="str">
        <f t="shared" ref="E34:E65" si="1">CONCATENATE(D34,0)</f>
        <v>8034574010010</v>
      </c>
      <c r="F34" s="6" t="s">
        <v>49</v>
      </c>
      <c r="G34" s="6" t="s">
        <v>6</v>
      </c>
      <c r="H34" s="7">
        <v>46082</v>
      </c>
      <c r="I34" s="8">
        <v>546.78</v>
      </c>
      <c r="J34" s="8">
        <v>546.78</v>
      </c>
      <c r="K34" s="6" t="s">
        <v>27</v>
      </c>
      <c r="L34" s="6" t="s">
        <v>373</v>
      </c>
      <c r="M34" s="8">
        <v>23</v>
      </c>
      <c r="N34" s="9">
        <v>1</v>
      </c>
      <c r="O34" s="8">
        <v>46</v>
      </c>
      <c r="P34" s="21">
        <v>46023</v>
      </c>
      <c r="Q34" s="6" t="s">
        <v>381</v>
      </c>
    </row>
    <row r="35" spans="1:17" ht="15" customHeight="1" x14ac:dyDescent="0.3">
      <c r="A35" s="6" t="s">
        <v>278</v>
      </c>
      <c r="B35" s="6">
        <v>16865615</v>
      </c>
      <c r="C35" s="6" t="s">
        <v>91</v>
      </c>
      <c r="D35" s="18">
        <v>803400068001</v>
      </c>
      <c r="E35" s="18" t="str">
        <f t="shared" si="1"/>
        <v>8034000680010</v>
      </c>
      <c r="F35" s="6" t="s">
        <v>49</v>
      </c>
      <c r="G35" s="6" t="s">
        <v>6</v>
      </c>
      <c r="H35" s="7">
        <v>46082</v>
      </c>
      <c r="I35" s="8">
        <v>921.12</v>
      </c>
      <c r="J35" s="8">
        <v>921.12</v>
      </c>
      <c r="K35" s="6" t="s">
        <v>27</v>
      </c>
      <c r="L35" s="6"/>
      <c r="M35" s="8">
        <v>23</v>
      </c>
      <c r="N35" s="9">
        <v>1</v>
      </c>
      <c r="O35" s="8">
        <v>23</v>
      </c>
      <c r="P35" s="21">
        <v>46023</v>
      </c>
      <c r="Q35" s="6" t="s">
        <v>381</v>
      </c>
    </row>
    <row r="36" spans="1:17" ht="15" customHeight="1" x14ac:dyDescent="0.3">
      <c r="A36" s="6" t="s">
        <v>278</v>
      </c>
      <c r="B36" s="6">
        <v>16865615</v>
      </c>
      <c r="C36" s="6" t="s">
        <v>93</v>
      </c>
      <c r="D36" s="18">
        <v>803105663001</v>
      </c>
      <c r="E36" s="18" t="str">
        <f t="shared" si="1"/>
        <v>8031056630010</v>
      </c>
      <c r="F36" s="6" t="s">
        <v>49</v>
      </c>
      <c r="G36" s="6" t="s">
        <v>6</v>
      </c>
      <c r="H36" s="7">
        <v>46054</v>
      </c>
      <c r="I36" s="8">
        <v>271.91000000000003</v>
      </c>
      <c r="J36" s="8">
        <v>271.91000000000003</v>
      </c>
      <c r="K36" s="6" t="s">
        <v>27</v>
      </c>
      <c r="L36" s="6"/>
      <c r="M36" s="8">
        <v>23</v>
      </c>
      <c r="N36" s="9">
        <v>1</v>
      </c>
      <c r="O36" s="8">
        <v>23</v>
      </c>
      <c r="P36" s="21">
        <v>46023</v>
      </c>
      <c r="Q36" s="6" t="s">
        <v>381</v>
      </c>
    </row>
    <row r="37" spans="1:17" ht="15" customHeight="1" x14ac:dyDescent="0.3">
      <c r="A37" s="6" t="s">
        <v>278</v>
      </c>
      <c r="B37" s="6">
        <v>16865615</v>
      </c>
      <c r="C37" s="6" t="s">
        <v>93</v>
      </c>
      <c r="D37" s="18">
        <v>803105663001</v>
      </c>
      <c r="E37" s="18" t="str">
        <f t="shared" si="1"/>
        <v>8031056630010</v>
      </c>
      <c r="F37" s="6" t="s">
        <v>49</v>
      </c>
      <c r="G37" s="6" t="s">
        <v>6</v>
      </c>
      <c r="H37" s="7">
        <v>46082</v>
      </c>
      <c r="I37" s="8">
        <v>271.91000000000003</v>
      </c>
      <c r="J37" s="8">
        <v>0</v>
      </c>
      <c r="K37" s="6" t="s">
        <v>27</v>
      </c>
      <c r="L37" s="6"/>
      <c r="M37" s="8">
        <v>23</v>
      </c>
      <c r="N37" s="9">
        <v>1</v>
      </c>
      <c r="O37" s="8">
        <v>0</v>
      </c>
      <c r="P37" s="21">
        <v>46023</v>
      </c>
      <c r="Q37" s="6" t="s">
        <v>381</v>
      </c>
    </row>
    <row r="38" spans="1:17" ht="15" customHeight="1" x14ac:dyDescent="0.3">
      <c r="A38" s="6" t="s">
        <v>278</v>
      </c>
      <c r="B38" s="6">
        <v>16865615</v>
      </c>
      <c r="C38" s="6" t="s">
        <v>95</v>
      </c>
      <c r="D38" s="18">
        <v>803305454001</v>
      </c>
      <c r="E38" s="18" t="str">
        <f t="shared" si="1"/>
        <v>8033054540010</v>
      </c>
      <c r="F38" s="6" t="s">
        <v>49</v>
      </c>
      <c r="G38" s="6" t="s">
        <v>6</v>
      </c>
      <c r="H38" s="7">
        <v>46082</v>
      </c>
      <c r="I38" s="8">
        <v>604.69000000000005</v>
      </c>
      <c r="J38" s="8">
        <v>604.69000000000005</v>
      </c>
      <c r="K38" s="6" t="s">
        <v>27</v>
      </c>
      <c r="L38" s="6"/>
      <c r="M38" s="8">
        <v>23</v>
      </c>
      <c r="N38" s="9">
        <v>1</v>
      </c>
      <c r="O38" s="8">
        <v>23</v>
      </c>
      <c r="P38" s="21">
        <v>46023</v>
      </c>
      <c r="Q38" s="6" t="s">
        <v>381</v>
      </c>
    </row>
    <row r="39" spans="1:17" ht="15" customHeight="1" x14ac:dyDescent="0.3">
      <c r="A39" s="6" t="s">
        <v>278</v>
      </c>
      <c r="B39" s="6">
        <v>16865615</v>
      </c>
      <c r="C39" s="6" t="s">
        <v>97</v>
      </c>
      <c r="D39" s="18">
        <v>803279516001</v>
      </c>
      <c r="E39" s="18" t="str">
        <f t="shared" si="1"/>
        <v>8032795160010</v>
      </c>
      <c r="F39" s="6" t="s">
        <v>49</v>
      </c>
      <c r="G39" s="6" t="s">
        <v>6</v>
      </c>
      <c r="H39" s="7">
        <v>46082</v>
      </c>
      <c r="I39" s="8">
        <v>315.77</v>
      </c>
      <c r="J39" s="8">
        <v>315.77</v>
      </c>
      <c r="K39" s="6" t="s">
        <v>27</v>
      </c>
      <c r="L39" s="6"/>
      <c r="M39" s="8">
        <v>23</v>
      </c>
      <c r="N39" s="9">
        <v>1</v>
      </c>
      <c r="O39" s="8">
        <v>23</v>
      </c>
      <c r="P39" s="21">
        <v>46023</v>
      </c>
      <c r="Q39" s="6" t="s">
        <v>381</v>
      </c>
    </row>
    <row r="40" spans="1:17" ht="15" customHeight="1" x14ac:dyDescent="0.3">
      <c r="A40" s="6" t="s">
        <v>278</v>
      </c>
      <c r="B40" s="6">
        <v>16865615</v>
      </c>
      <c r="C40" s="6" t="s">
        <v>99</v>
      </c>
      <c r="D40" s="18">
        <v>803456890001</v>
      </c>
      <c r="E40" s="18" t="str">
        <f t="shared" si="1"/>
        <v>8034568900010</v>
      </c>
      <c r="F40" s="6" t="s">
        <v>49</v>
      </c>
      <c r="G40" s="6" t="s">
        <v>6</v>
      </c>
      <c r="H40" s="7">
        <v>46082</v>
      </c>
      <c r="I40" s="8">
        <v>51.21</v>
      </c>
      <c r="J40" s="8">
        <v>51.21</v>
      </c>
      <c r="K40" s="6" t="s">
        <v>27</v>
      </c>
      <c r="L40" s="6"/>
      <c r="M40" s="8">
        <v>23</v>
      </c>
      <c r="N40" s="9">
        <v>1</v>
      </c>
      <c r="O40" s="8">
        <v>23</v>
      </c>
      <c r="P40" s="21">
        <v>46023</v>
      </c>
      <c r="Q40" s="6" t="s">
        <v>381</v>
      </c>
    </row>
    <row r="41" spans="1:17" ht="15" customHeight="1" x14ac:dyDescent="0.3">
      <c r="A41" s="6" t="s">
        <v>278</v>
      </c>
      <c r="B41" s="6">
        <v>16865615</v>
      </c>
      <c r="C41" s="6" t="s">
        <v>101</v>
      </c>
      <c r="D41" s="18">
        <v>803391971001</v>
      </c>
      <c r="E41" s="18" t="str">
        <f t="shared" si="1"/>
        <v>8033919710010</v>
      </c>
      <c r="F41" s="6" t="s">
        <v>49</v>
      </c>
      <c r="G41" s="6" t="s">
        <v>6</v>
      </c>
      <c r="H41" s="7">
        <v>46082</v>
      </c>
      <c r="I41" s="8">
        <v>111.83</v>
      </c>
      <c r="J41" s="8">
        <v>111.83</v>
      </c>
      <c r="K41" s="6" t="s">
        <v>27</v>
      </c>
      <c r="L41" s="6" t="s">
        <v>373</v>
      </c>
      <c r="M41" s="8">
        <v>23</v>
      </c>
      <c r="N41" s="9">
        <v>1</v>
      </c>
      <c r="O41" s="8">
        <v>46</v>
      </c>
      <c r="P41" s="21">
        <v>46023</v>
      </c>
      <c r="Q41" s="6" t="s">
        <v>381</v>
      </c>
    </row>
    <row r="42" spans="1:17" ht="15" customHeight="1" x14ac:dyDescent="0.3">
      <c r="A42" s="6" t="s">
        <v>278</v>
      </c>
      <c r="B42" s="6">
        <v>16865615</v>
      </c>
      <c r="C42" s="6" t="s">
        <v>103</v>
      </c>
      <c r="D42" s="18">
        <v>803399844001</v>
      </c>
      <c r="E42" s="18" t="str">
        <f t="shared" si="1"/>
        <v>8033998440010</v>
      </c>
      <c r="F42" s="6" t="s">
        <v>49</v>
      </c>
      <c r="G42" s="6" t="s">
        <v>6</v>
      </c>
      <c r="H42" s="7">
        <v>46082</v>
      </c>
      <c r="I42" s="8">
        <v>2419.46</v>
      </c>
      <c r="J42" s="8">
        <v>2419.46</v>
      </c>
      <c r="K42" s="6" t="s">
        <v>27</v>
      </c>
      <c r="L42" s="6" t="s">
        <v>374</v>
      </c>
      <c r="M42" s="8">
        <v>23</v>
      </c>
      <c r="N42" s="9">
        <v>1</v>
      </c>
      <c r="O42" s="8">
        <v>69</v>
      </c>
      <c r="P42" s="21">
        <v>46023</v>
      </c>
      <c r="Q42" s="6" t="s">
        <v>381</v>
      </c>
    </row>
    <row r="43" spans="1:17" ht="15" customHeight="1" x14ac:dyDescent="0.3">
      <c r="A43" s="6" t="s">
        <v>278</v>
      </c>
      <c r="B43" s="6">
        <v>16865615</v>
      </c>
      <c r="C43" s="6" t="s">
        <v>105</v>
      </c>
      <c r="D43" s="18">
        <v>802921278001</v>
      </c>
      <c r="E43" s="18" t="str">
        <f t="shared" si="1"/>
        <v>8029212780010</v>
      </c>
      <c r="F43" s="6" t="s">
        <v>49</v>
      </c>
      <c r="G43" s="6" t="s">
        <v>6</v>
      </c>
      <c r="H43" s="7">
        <v>46082</v>
      </c>
      <c r="I43" s="8">
        <v>1813.34</v>
      </c>
      <c r="J43" s="8">
        <v>1813.34</v>
      </c>
      <c r="K43" s="6" t="s">
        <v>27</v>
      </c>
      <c r="L43" s="6" t="s">
        <v>374</v>
      </c>
      <c r="M43" s="8">
        <v>23</v>
      </c>
      <c r="N43" s="9">
        <v>1</v>
      </c>
      <c r="O43" s="8">
        <v>69</v>
      </c>
      <c r="P43" s="21">
        <v>46023</v>
      </c>
      <c r="Q43" s="6" t="s">
        <v>381</v>
      </c>
    </row>
    <row r="44" spans="1:17" ht="15" customHeight="1" x14ac:dyDescent="0.3">
      <c r="A44" s="6" t="s">
        <v>278</v>
      </c>
      <c r="B44" s="6">
        <v>16865615</v>
      </c>
      <c r="C44" s="6" t="s">
        <v>107</v>
      </c>
      <c r="D44" s="18">
        <v>803463352001</v>
      </c>
      <c r="E44" s="18" t="str">
        <f t="shared" si="1"/>
        <v>8034633520010</v>
      </c>
      <c r="F44" s="6" t="s">
        <v>49</v>
      </c>
      <c r="G44" s="6" t="s">
        <v>6</v>
      </c>
      <c r="H44" s="7">
        <v>46082</v>
      </c>
      <c r="I44" s="8">
        <v>692.23</v>
      </c>
      <c r="J44" s="8">
        <v>692.23</v>
      </c>
      <c r="K44" s="6" t="s">
        <v>27</v>
      </c>
      <c r="L44" s="6"/>
      <c r="M44" s="8">
        <v>23</v>
      </c>
      <c r="N44" s="9">
        <v>1</v>
      </c>
      <c r="O44" s="8">
        <v>23</v>
      </c>
      <c r="P44" s="21">
        <v>46023</v>
      </c>
      <c r="Q44" s="6" t="s">
        <v>381</v>
      </c>
    </row>
    <row r="45" spans="1:17" ht="15" customHeight="1" x14ac:dyDescent="0.3">
      <c r="A45" s="6" t="s">
        <v>278</v>
      </c>
      <c r="B45" s="6">
        <v>16865615</v>
      </c>
      <c r="C45" s="6" t="s">
        <v>109</v>
      </c>
      <c r="D45" s="18">
        <v>803433433001</v>
      </c>
      <c r="E45" s="18" t="str">
        <f t="shared" si="1"/>
        <v>8034334330010</v>
      </c>
      <c r="F45" s="6" t="s">
        <v>49</v>
      </c>
      <c r="G45" s="6" t="s">
        <v>6</v>
      </c>
      <c r="H45" s="7">
        <v>46082</v>
      </c>
      <c r="I45" s="8">
        <v>280.45999999999998</v>
      </c>
      <c r="J45" s="8">
        <v>280.45999999999998</v>
      </c>
      <c r="K45" s="6" t="s">
        <v>27</v>
      </c>
      <c r="L45" s="6" t="s">
        <v>376</v>
      </c>
      <c r="M45" s="8">
        <v>23</v>
      </c>
      <c r="N45" s="9">
        <v>1</v>
      </c>
      <c r="O45" s="8">
        <v>115</v>
      </c>
      <c r="P45" s="21">
        <v>46023</v>
      </c>
      <c r="Q45" s="6" t="s">
        <v>381</v>
      </c>
    </row>
    <row r="46" spans="1:17" ht="15" customHeight="1" x14ac:dyDescent="0.3">
      <c r="A46" s="6" t="s">
        <v>278</v>
      </c>
      <c r="B46" s="6">
        <v>16865615</v>
      </c>
      <c r="C46" s="6" t="s">
        <v>111</v>
      </c>
      <c r="D46" s="18">
        <v>803459539001</v>
      </c>
      <c r="E46" s="18" t="str">
        <f t="shared" si="1"/>
        <v>8034595390010</v>
      </c>
      <c r="F46" s="6" t="s">
        <v>49</v>
      </c>
      <c r="G46" s="6" t="s">
        <v>6</v>
      </c>
      <c r="H46" s="7">
        <v>46054</v>
      </c>
      <c r="I46" s="8">
        <v>44.67</v>
      </c>
      <c r="J46" s="8">
        <v>44.67</v>
      </c>
      <c r="K46" s="6" t="s">
        <v>27</v>
      </c>
      <c r="L46" s="6"/>
      <c r="M46" s="8">
        <v>23</v>
      </c>
      <c r="N46" s="9">
        <v>1</v>
      </c>
      <c r="O46" s="8">
        <v>23</v>
      </c>
      <c r="P46" s="21">
        <v>46023</v>
      </c>
      <c r="Q46" s="6" t="s">
        <v>381</v>
      </c>
    </row>
    <row r="47" spans="1:17" ht="15" customHeight="1" x14ac:dyDescent="0.3">
      <c r="A47" s="6" t="s">
        <v>278</v>
      </c>
      <c r="B47" s="6">
        <v>16865615</v>
      </c>
      <c r="C47" s="6" t="s">
        <v>111</v>
      </c>
      <c r="D47" s="18">
        <v>803459539001</v>
      </c>
      <c r="E47" s="18" t="str">
        <f t="shared" si="1"/>
        <v>8034595390010</v>
      </c>
      <c r="F47" s="6" t="s">
        <v>49</v>
      </c>
      <c r="G47" s="6" t="s">
        <v>6</v>
      </c>
      <c r="H47" s="7">
        <v>46082</v>
      </c>
      <c r="I47" s="8">
        <v>44.67</v>
      </c>
      <c r="J47" s="8">
        <v>44.67</v>
      </c>
      <c r="K47" s="6" t="s">
        <v>27</v>
      </c>
      <c r="L47" s="6"/>
      <c r="M47" s="8">
        <v>23</v>
      </c>
      <c r="N47" s="9">
        <v>1</v>
      </c>
      <c r="O47" s="8">
        <v>23</v>
      </c>
      <c r="P47" s="21">
        <v>46023</v>
      </c>
      <c r="Q47" s="6" t="s">
        <v>381</v>
      </c>
    </row>
    <row r="48" spans="1:17" ht="15" customHeight="1" x14ac:dyDescent="0.3">
      <c r="A48" s="6" t="s">
        <v>278</v>
      </c>
      <c r="B48" s="6">
        <v>16865615</v>
      </c>
      <c r="C48" s="6" t="s">
        <v>113</v>
      </c>
      <c r="D48" s="18">
        <v>803058283001</v>
      </c>
      <c r="E48" s="18" t="str">
        <f t="shared" si="1"/>
        <v>8030582830010</v>
      </c>
      <c r="F48" s="6" t="s">
        <v>49</v>
      </c>
      <c r="G48" s="6" t="s">
        <v>6</v>
      </c>
      <c r="H48" s="7">
        <v>46082</v>
      </c>
      <c r="I48" s="8">
        <v>493.12</v>
      </c>
      <c r="J48" s="8">
        <v>493.12</v>
      </c>
      <c r="K48" s="6" t="s">
        <v>27</v>
      </c>
      <c r="L48" s="6" t="s">
        <v>374</v>
      </c>
      <c r="M48" s="8">
        <v>23</v>
      </c>
      <c r="N48" s="9">
        <v>1</v>
      </c>
      <c r="O48" s="8">
        <v>69</v>
      </c>
      <c r="P48" s="21">
        <v>46023</v>
      </c>
      <c r="Q48" s="6" t="s">
        <v>381</v>
      </c>
    </row>
    <row r="49" spans="1:17" ht="15" customHeight="1" x14ac:dyDescent="0.3">
      <c r="A49" s="6" t="s">
        <v>278</v>
      </c>
      <c r="B49" s="6">
        <v>16865615</v>
      </c>
      <c r="C49" s="6" t="s">
        <v>115</v>
      </c>
      <c r="D49" s="18">
        <v>803467707001</v>
      </c>
      <c r="E49" s="18" t="str">
        <f t="shared" si="1"/>
        <v>8034677070010</v>
      </c>
      <c r="F49" s="6" t="s">
        <v>49</v>
      </c>
      <c r="G49" s="6" t="s">
        <v>6</v>
      </c>
      <c r="H49" s="7">
        <v>46082</v>
      </c>
      <c r="I49" s="8">
        <v>3.37</v>
      </c>
      <c r="J49" s="8">
        <v>3.37</v>
      </c>
      <c r="K49" s="6" t="s">
        <v>27</v>
      </c>
      <c r="L49" s="6" t="s">
        <v>373</v>
      </c>
      <c r="M49" s="8">
        <v>23</v>
      </c>
      <c r="N49" s="9">
        <v>1</v>
      </c>
      <c r="O49" s="8">
        <v>46</v>
      </c>
      <c r="P49" s="21">
        <v>46023</v>
      </c>
      <c r="Q49" s="6" t="s">
        <v>381</v>
      </c>
    </row>
    <row r="50" spans="1:17" ht="15" customHeight="1" x14ac:dyDescent="0.3">
      <c r="A50" s="6" t="s">
        <v>278</v>
      </c>
      <c r="B50" s="6">
        <v>16865615</v>
      </c>
      <c r="C50" s="6" t="s">
        <v>117</v>
      </c>
      <c r="D50" s="18">
        <v>802998630001</v>
      </c>
      <c r="E50" s="18" t="str">
        <f t="shared" si="1"/>
        <v>8029986300010</v>
      </c>
      <c r="F50" s="6" t="s">
        <v>49</v>
      </c>
      <c r="G50" s="6" t="s">
        <v>6</v>
      </c>
      <c r="H50" s="7">
        <v>46082</v>
      </c>
      <c r="I50" s="8">
        <v>2</v>
      </c>
      <c r="J50" s="8">
        <v>2</v>
      </c>
      <c r="K50" s="6" t="s">
        <v>27</v>
      </c>
      <c r="L50" s="6" t="s">
        <v>373</v>
      </c>
      <c r="M50" s="8">
        <v>23</v>
      </c>
      <c r="N50" s="9">
        <v>1</v>
      </c>
      <c r="O50" s="8">
        <v>46</v>
      </c>
      <c r="P50" s="21">
        <v>46023</v>
      </c>
      <c r="Q50" s="6" t="s">
        <v>381</v>
      </c>
    </row>
    <row r="51" spans="1:17" ht="15" customHeight="1" x14ac:dyDescent="0.3">
      <c r="A51" s="6" t="s">
        <v>278</v>
      </c>
      <c r="B51" s="6">
        <v>16865615</v>
      </c>
      <c r="C51" s="6" t="s">
        <v>119</v>
      </c>
      <c r="D51" s="18">
        <v>803417669001</v>
      </c>
      <c r="E51" s="18" t="str">
        <f t="shared" si="1"/>
        <v>8034176690010</v>
      </c>
      <c r="F51" s="6" t="s">
        <v>49</v>
      </c>
      <c r="G51" s="6" t="s">
        <v>6</v>
      </c>
      <c r="H51" s="7">
        <v>46082</v>
      </c>
      <c r="I51" s="8">
        <v>75.86</v>
      </c>
      <c r="J51" s="8">
        <v>75.86</v>
      </c>
      <c r="K51" s="6" t="s">
        <v>27</v>
      </c>
      <c r="L51" s="6"/>
      <c r="M51" s="8">
        <v>23</v>
      </c>
      <c r="N51" s="9">
        <v>1</v>
      </c>
      <c r="O51" s="8">
        <v>23</v>
      </c>
      <c r="P51" s="21">
        <v>46023</v>
      </c>
      <c r="Q51" s="6" t="s">
        <v>381</v>
      </c>
    </row>
    <row r="52" spans="1:17" ht="15" customHeight="1" x14ac:dyDescent="0.3">
      <c r="A52" s="6" t="s">
        <v>278</v>
      </c>
      <c r="B52" s="6">
        <v>16865615</v>
      </c>
      <c r="C52" s="6" t="s">
        <v>121</v>
      </c>
      <c r="D52" s="18">
        <v>803400681001</v>
      </c>
      <c r="E52" s="18" t="str">
        <f t="shared" si="1"/>
        <v>8034006810010</v>
      </c>
      <c r="F52" s="6" t="s">
        <v>49</v>
      </c>
      <c r="G52" s="6" t="s">
        <v>6</v>
      </c>
      <c r="H52" s="7">
        <v>46082</v>
      </c>
      <c r="I52" s="8">
        <v>849.9</v>
      </c>
      <c r="J52" s="8">
        <v>849.9</v>
      </c>
      <c r="K52" s="6" t="s">
        <v>27</v>
      </c>
      <c r="L52" s="6" t="s">
        <v>374</v>
      </c>
      <c r="M52" s="8">
        <v>23</v>
      </c>
      <c r="N52" s="9">
        <v>1</v>
      </c>
      <c r="O52" s="8">
        <v>69</v>
      </c>
      <c r="P52" s="21">
        <v>46023</v>
      </c>
      <c r="Q52" s="6" t="s">
        <v>381</v>
      </c>
    </row>
    <row r="53" spans="1:17" ht="15" customHeight="1" x14ac:dyDescent="0.3">
      <c r="A53" s="6" t="s">
        <v>278</v>
      </c>
      <c r="B53" s="6">
        <v>16865615</v>
      </c>
      <c r="C53" s="6" t="s">
        <v>123</v>
      </c>
      <c r="D53" s="18">
        <v>803417889001</v>
      </c>
      <c r="E53" s="18" t="str">
        <f t="shared" si="1"/>
        <v>8034178890010</v>
      </c>
      <c r="F53" s="6" t="s">
        <v>49</v>
      </c>
      <c r="G53" s="6" t="s">
        <v>6</v>
      </c>
      <c r="H53" s="7">
        <v>46082</v>
      </c>
      <c r="I53" s="8">
        <v>391.58</v>
      </c>
      <c r="J53" s="8">
        <v>391.58</v>
      </c>
      <c r="K53" s="6" t="s">
        <v>27</v>
      </c>
      <c r="L53" s="6"/>
      <c r="M53" s="8">
        <v>23</v>
      </c>
      <c r="N53" s="9">
        <v>1</v>
      </c>
      <c r="O53" s="8">
        <v>23</v>
      </c>
      <c r="P53" s="21">
        <v>46023</v>
      </c>
      <c r="Q53" s="6" t="s">
        <v>381</v>
      </c>
    </row>
    <row r="54" spans="1:17" ht="15" customHeight="1" x14ac:dyDescent="0.3">
      <c r="A54" s="6" t="s">
        <v>278</v>
      </c>
      <c r="B54" s="6">
        <v>16865615</v>
      </c>
      <c r="C54" s="6" t="s">
        <v>125</v>
      </c>
      <c r="D54" s="18">
        <v>803398900001</v>
      </c>
      <c r="E54" s="18" t="str">
        <f t="shared" si="1"/>
        <v>8033989000010</v>
      </c>
      <c r="F54" s="6" t="s">
        <v>49</v>
      </c>
      <c r="G54" s="6" t="s">
        <v>6</v>
      </c>
      <c r="H54" s="7">
        <v>46082</v>
      </c>
      <c r="I54" s="8">
        <v>765.88</v>
      </c>
      <c r="J54" s="8">
        <v>765.88</v>
      </c>
      <c r="K54" s="6" t="s">
        <v>27</v>
      </c>
      <c r="L54" s="6"/>
      <c r="M54" s="8">
        <v>23</v>
      </c>
      <c r="N54" s="9">
        <v>1</v>
      </c>
      <c r="O54" s="8">
        <v>23</v>
      </c>
      <c r="P54" s="21">
        <v>46023</v>
      </c>
      <c r="Q54" s="6" t="s">
        <v>381</v>
      </c>
    </row>
    <row r="55" spans="1:17" ht="15" customHeight="1" x14ac:dyDescent="0.3">
      <c r="A55" s="6" t="s">
        <v>278</v>
      </c>
      <c r="B55" s="6">
        <v>16865615</v>
      </c>
      <c r="C55" s="6" t="s">
        <v>127</v>
      </c>
      <c r="D55" s="18">
        <v>803410073001</v>
      </c>
      <c r="E55" s="18" t="str">
        <f t="shared" si="1"/>
        <v>8034100730010</v>
      </c>
      <c r="F55" s="6" t="s">
        <v>49</v>
      </c>
      <c r="G55" s="6" t="s">
        <v>6</v>
      </c>
      <c r="H55" s="7">
        <v>46082</v>
      </c>
      <c r="I55" s="8">
        <v>596.28</v>
      </c>
      <c r="J55" s="8">
        <v>596.28</v>
      </c>
      <c r="K55" s="6" t="s">
        <v>27</v>
      </c>
      <c r="L55" s="6"/>
      <c r="M55" s="8">
        <v>23</v>
      </c>
      <c r="N55" s="9">
        <v>1</v>
      </c>
      <c r="O55" s="8">
        <v>23</v>
      </c>
      <c r="P55" s="21">
        <v>46023</v>
      </c>
      <c r="Q55" s="6" t="s">
        <v>381</v>
      </c>
    </row>
    <row r="56" spans="1:17" ht="15" customHeight="1" x14ac:dyDescent="0.3">
      <c r="A56" s="6" t="s">
        <v>278</v>
      </c>
      <c r="B56" s="6">
        <v>16865615</v>
      </c>
      <c r="C56" s="6" t="s">
        <v>129</v>
      </c>
      <c r="D56" s="18">
        <v>803460040001</v>
      </c>
      <c r="E56" s="18" t="str">
        <f t="shared" si="1"/>
        <v>8034600400010</v>
      </c>
      <c r="F56" s="6" t="s">
        <v>49</v>
      </c>
      <c r="G56" s="6" t="s">
        <v>6</v>
      </c>
      <c r="H56" s="7">
        <v>46054</v>
      </c>
      <c r="I56" s="8">
        <v>47.33</v>
      </c>
      <c r="J56" s="8">
        <v>47.33</v>
      </c>
      <c r="K56" s="6" t="s">
        <v>27</v>
      </c>
      <c r="L56" s="6"/>
      <c r="M56" s="8">
        <v>23</v>
      </c>
      <c r="N56" s="9">
        <v>1</v>
      </c>
      <c r="O56" s="8">
        <v>23</v>
      </c>
      <c r="P56" s="21">
        <v>46023</v>
      </c>
      <c r="Q56" s="6" t="s">
        <v>381</v>
      </c>
    </row>
    <row r="57" spans="1:17" ht="15" customHeight="1" x14ac:dyDescent="0.3">
      <c r="A57" s="6" t="s">
        <v>278</v>
      </c>
      <c r="B57" s="6">
        <v>16865615</v>
      </c>
      <c r="C57" s="6" t="s">
        <v>131</v>
      </c>
      <c r="D57" s="18">
        <v>803468097001</v>
      </c>
      <c r="E57" s="18" t="str">
        <f t="shared" si="1"/>
        <v>8034680970010</v>
      </c>
      <c r="F57" s="6" t="s">
        <v>49</v>
      </c>
      <c r="G57" s="6" t="s">
        <v>6</v>
      </c>
      <c r="H57" s="7">
        <v>46082</v>
      </c>
      <c r="I57" s="8">
        <v>117.64</v>
      </c>
      <c r="J57" s="8">
        <v>117.64</v>
      </c>
      <c r="K57" s="6" t="s">
        <v>27</v>
      </c>
      <c r="L57" s="6"/>
      <c r="M57" s="8">
        <v>23</v>
      </c>
      <c r="N57" s="9">
        <v>1</v>
      </c>
      <c r="O57" s="8">
        <v>23</v>
      </c>
      <c r="P57" s="21">
        <v>46023</v>
      </c>
      <c r="Q57" s="6" t="s">
        <v>381</v>
      </c>
    </row>
    <row r="58" spans="1:17" ht="15" customHeight="1" x14ac:dyDescent="0.3">
      <c r="A58" s="6" t="s">
        <v>278</v>
      </c>
      <c r="B58" s="6">
        <v>16865615</v>
      </c>
      <c r="C58" s="6" t="s">
        <v>133</v>
      </c>
      <c r="D58" s="18">
        <v>803118558001</v>
      </c>
      <c r="E58" s="18" t="str">
        <f t="shared" si="1"/>
        <v>8031185580010</v>
      </c>
      <c r="F58" s="6" t="s">
        <v>49</v>
      </c>
      <c r="G58" s="6" t="s">
        <v>6</v>
      </c>
      <c r="H58" s="7">
        <v>46082</v>
      </c>
      <c r="I58" s="8">
        <v>1204.19</v>
      </c>
      <c r="J58" s="8">
        <v>1204.19</v>
      </c>
      <c r="K58" s="6" t="s">
        <v>27</v>
      </c>
      <c r="L58" s="6" t="s">
        <v>373</v>
      </c>
      <c r="M58" s="8">
        <v>23</v>
      </c>
      <c r="N58" s="9">
        <v>1</v>
      </c>
      <c r="O58" s="8">
        <v>46</v>
      </c>
      <c r="P58" s="21">
        <v>46023</v>
      </c>
      <c r="Q58" s="6" t="s">
        <v>381</v>
      </c>
    </row>
    <row r="59" spans="1:17" ht="15" customHeight="1" x14ac:dyDescent="0.3">
      <c r="A59" s="6" t="s">
        <v>278</v>
      </c>
      <c r="B59" s="6">
        <v>16865615</v>
      </c>
      <c r="C59" s="6" t="s">
        <v>135</v>
      </c>
      <c r="D59" s="18">
        <v>803511856001</v>
      </c>
      <c r="E59" s="18" t="str">
        <f t="shared" si="1"/>
        <v>8035118560010</v>
      </c>
      <c r="F59" s="6" t="s">
        <v>49</v>
      </c>
      <c r="G59" s="6" t="s">
        <v>6</v>
      </c>
      <c r="H59" s="7">
        <v>46082</v>
      </c>
      <c r="I59" s="8">
        <v>754.25</v>
      </c>
      <c r="J59" s="8">
        <v>754.25</v>
      </c>
      <c r="K59" s="6" t="s">
        <v>27</v>
      </c>
      <c r="L59" s="6" t="s">
        <v>373</v>
      </c>
      <c r="M59" s="8">
        <v>23</v>
      </c>
      <c r="N59" s="9">
        <v>1</v>
      </c>
      <c r="O59" s="8">
        <v>46</v>
      </c>
      <c r="P59" s="21">
        <v>46023</v>
      </c>
      <c r="Q59" s="6" t="s">
        <v>381</v>
      </c>
    </row>
    <row r="60" spans="1:17" ht="15" customHeight="1" x14ac:dyDescent="0.3">
      <c r="A60" s="6" t="s">
        <v>278</v>
      </c>
      <c r="B60" s="6">
        <v>16865615</v>
      </c>
      <c r="C60" s="6" t="s">
        <v>137</v>
      </c>
      <c r="D60" s="18">
        <v>803516216001</v>
      </c>
      <c r="E60" s="18" t="str">
        <f t="shared" si="1"/>
        <v>8035162160010</v>
      </c>
      <c r="F60" s="6" t="s">
        <v>49</v>
      </c>
      <c r="G60" s="6" t="s">
        <v>6</v>
      </c>
      <c r="H60" s="7">
        <v>46054</v>
      </c>
      <c r="I60" s="8">
        <v>31.69</v>
      </c>
      <c r="J60" s="8">
        <v>31.69</v>
      </c>
      <c r="K60" s="6" t="s">
        <v>27</v>
      </c>
      <c r="L60" s="6"/>
      <c r="M60" s="8">
        <v>23</v>
      </c>
      <c r="N60" s="9">
        <v>1</v>
      </c>
      <c r="O60" s="8">
        <v>23</v>
      </c>
      <c r="P60" s="21">
        <v>46023</v>
      </c>
      <c r="Q60" s="6" t="s">
        <v>381</v>
      </c>
    </row>
    <row r="61" spans="1:17" ht="15" customHeight="1" x14ac:dyDescent="0.3">
      <c r="A61" s="6" t="s">
        <v>278</v>
      </c>
      <c r="B61" s="6">
        <v>16865615</v>
      </c>
      <c r="C61" s="6" t="s">
        <v>137</v>
      </c>
      <c r="D61" s="18">
        <v>803516216001</v>
      </c>
      <c r="E61" s="18" t="str">
        <f t="shared" si="1"/>
        <v>8035162160010</v>
      </c>
      <c r="F61" s="6" t="s">
        <v>49</v>
      </c>
      <c r="G61" s="6" t="s">
        <v>6</v>
      </c>
      <c r="H61" s="7">
        <v>46082</v>
      </c>
      <c r="I61" s="8">
        <v>31.69</v>
      </c>
      <c r="J61" s="8">
        <v>31.69</v>
      </c>
      <c r="K61" s="6" t="s">
        <v>27</v>
      </c>
      <c r="L61" s="6"/>
      <c r="M61" s="8">
        <v>23</v>
      </c>
      <c r="N61" s="9">
        <v>1</v>
      </c>
      <c r="O61" s="8">
        <v>23</v>
      </c>
      <c r="P61" s="21">
        <v>46023</v>
      </c>
      <c r="Q61" s="6" t="s">
        <v>381</v>
      </c>
    </row>
    <row r="62" spans="1:17" ht="15" customHeight="1" x14ac:dyDescent="0.3">
      <c r="A62" s="6" t="s">
        <v>278</v>
      </c>
      <c r="B62" s="6">
        <v>16865615</v>
      </c>
      <c r="C62" s="6" t="s">
        <v>139</v>
      </c>
      <c r="D62" s="18">
        <v>803102575001</v>
      </c>
      <c r="E62" s="18" t="str">
        <f t="shared" si="1"/>
        <v>8031025750010</v>
      </c>
      <c r="F62" s="6" t="s">
        <v>49</v>
      </c>
      <c r="G62" s="6" t="s">
        <v>6</v>
      </c>
      <c r="H62" s="7">
        <v>46082</v>
      </c>
      <c r="I62" s="8">
        <v>131.5</v>
      </c>
      <c r="J62" s="8">
        <v>131.5</v>
      </c>
      <c r="K62" s="6" t="s">
        <v>27</v>
      </c>
      <c r="L62" s="6"/>
      <c r="M62" s="8">
        <v>23</v>
      </c>
      <c r="N62" s="9">
        <v>1</v>
      </c>
      <c r="O62" s="8">
        <v>23</v>
      </c>
      <c r="P62" s="21">
        <v>46023</v>
      </c>
      <c r="Q62" s="6" t="s">
        <v>381</v>
      </c>
    </row>
    <row r="63" spans="1:17" ht="15" customHeight="1" x14ac:dyDescent="0.3">
      <c r="A63" s="6" t="s">
        <v>278</v>
      </c>
      <c r="B63" s="6">
        <v>16865615</v>
      </c>
      <c r="C63" s="6" t="s">
        <v>141</v>
      </c>
      <c r="D63" s="18">
        <v>803473539001</v>
      </c>
      <c r="E63" s="18" t="str">
        <f t="shared" si="1"/>
        <v>8034735390010</v>
      </c>
      <c r="F63" s="6" t="s">
        <v>49</v>
      </c>
      <c r="G63" s="6" t="s">
        <v>6</v>
      </c>
      <c r="H63" s="7">
        <v>46082</v>
      </c>
      <c r="I63" s="8">
        <v>441.74</v>
      </c>
      <c r="J63" s="8">
        <v>203.65</v>
      </c>
      <c r="K63" s="6" t="s">
        <v>27</v>
      </c>
      <c r="L63" s="6"/>
      <c r="M63" s="8">
        <v>23</v>
      </c>
      <c r="N63" s="9">
        <v>1</v>
      </c>
      <c r="O63" s="8">
        <v>23</v>
      </c>
      <c r="P63" s="21">
        <v>46023</v>
      </c>
      <c r="Q63" s="6" t="s">
        <v>381</v>
      </c>
    </row>
    <row r="64" spans="1:17" ht="15" customHeight="1" x14ac:dyDescent="0.3">
      <c r="A64" s="6" t="s">
        <v>278</v>
      </c>
      <c r="B64" s="6">
        <v>16865615</v>
      </c>
      <c r="C64" s="6" t="s">
        <v>143</v>
      </c>
      <c r="D64" s="18">
        <v>803423502001</v>
      </c>
      <c r="E64" s="18" t="str">
        <f t="shared" si="1"/>
        <v>8034235020010</v>
      </c>
      <c r="F64" s="6" t="s">
        <v>49</v>
      </c>
      <c r="G64" s="6" t="s">
        <v>6</v>
      </c>
      <c r="H64" s="7">
        <v>46082</v>
      </c>
      <c r="I64" s="8">
        <v>716.33</v>
      </c>
      <c r="J64" s="8">
        <v>716.33</v>
      </c>
      <c r="K64" s="6" t="s">
        <v>27</v>
      </c>
      <c r="L64" s="6"/>
      <c r="M64" s="8">
        <v>23</v>
      </c>
      <c r="N64" s="9">
        <v>1</v>
      </c>
      <c r="O64" s="8">
        <v>23</v>
      </c>
      <c r="P64" s="21">
        <v>46023</v>
      </c>
      <c r="Q64" s="6" t="s">
        <v>381</v>
      </c>
    </row>
    <row r="65" spans="1:25" ht="15" customHeight="1" x14ac:dyDescent="0.3">
      <c r="A65" s="6" t="s">
        <v>278</v>
      </c>
      <c r="B65" s="6">
        <v>16865615</v>
      </c>
      <c r="C65" s="6" t="s">
        <v>145</v>
      </c>
      <c r="D65" s="18">
        <v>803513638001</v>
      </c>
      <c r="E65" s="18" t="str">
        <f t="shared" si="1"/>
        <v>8035136380010</v>
      </c>
      <c r="F65" s="6" t="s">
        <v>49</v>
      </c>
      <c r="G65" s="6" t="s">
        <v>6</v>
      </c>
      <c r="H65" s="7">
        <v>46054</v>
      </c>
      <c r="I65" s="8">
        <v>76.040000000000006</v>
      </c>
      <c r="J65" s="8">
        <v>76.040000000000006</v>
      </c>
      <c r="K65" s="6" t="s">
        <v>27</v>
      </c>
      <c r="L65" s="6"/>
      <c r="M65" s="8">
        <v>23</v>
      </c>
      <c r="N65" s="9">
        <v>1</v>
      </c>
      <c r="O65" s="8">
        <v>23</v>
      </c>
      <c r="P65" s="21">
        <v>46023</v>
      </c>
      <c r="Q65" s="6" t="s">
        <v>381</v>
      </c>
    </row>
    <row r="66" spans="1:25" ht="15" customHeight="1" x14ac:dyDescent="0.3">
      <c r="A66" s="6" t="s">
        <v>278</v>
      </c>
      <c r="B66" s="6">
        <v>16865615</v>
      </c>
      <c r="C66" s="6" t="s">
        <v>145</v>
      </c>
      <c r="D66" s="18">
        <v>803513638001</v>
      </c>
      <c r="E66" s="18" t="str">
        <f t="shared" ref="E66:E97" si="2">CONCATENATE(D66,0)</f>
        <v>8035136380010</v>
      </c>
      <c r="F66" s="6" t="s">
        <v>49</v>
      </c>
      <c r="G66" s="6" t="s">
        <v>6</v>
      </c>
      <c r="H66" s="7">
        <v>46082</v>
      </c>
      <c r="I66" s="8">
        <v>76.040000000000006</v>
      </c>
      <c r="J66" s="8">
        <v>76.040000000000006</v>
      </c>
      <c r="K66" s="6" t="s">
        <v>27</v>
      </c>
      <c r="L66" s="6"/>
      <c r="M66" s="8">
        <v>23</v>
      </c>
      <c r="N66" s="9">
        <v>1</v>
      </c>
      <c r="O66" s="8">
        <v>23</v>
      </c>
      <c r="P66" s="21">
        <v>46023</v>
      </c>
      <c r="Q66" s="6" t="s">
        <v>381</v>
      </c>
    </row>
    <row r="67" spans="1:25" ht="15" customHeight="1" x14ac:dyDescent="0.3">
      <c r="A67" s="6" t="s">
        <v>278</v>
      </c>
      <c r="B67" s="6">
        <v>16865615</v>
      </c>
      <c r="C67" s="6" t="s">
        <v>147</v>
      </c>
      <c r="D67" s="18">
        <v>803311238001</v>
      </c>
      <c r="E67" s="18" t="str">
        <f t="shared" si="2"/>
        <v>8033112380010</v>
      </c>
      <c r="F67" s="6" t="s">
        <v>49</v>
      </c>
      <c r="G67" s="6" t="s">
        <v>6</v>
      </c>
      <c r="H67" s="7">
        <v>46082</v>
      </c>
      <c r="I67" s="8">
        <v>296.35000000000002</v>
      </c>
      <c r="J67" s="8">
        <v>296.35000000000002</v>
      </c>
      <c r="K67" s="6" t="s">
        <v>27</v>
      </c>
      <c r="L67" s="6"/>
      <c r="M67" s="8">
        <v>23</v>
      </c>
      <c r="N67" s="9">
        <v>1</v>
      </c>
      <c r="O67" s="8">
        <v>23</v>
      </c>
      <c r="P67" s="21">
        <v>46023</v>
      </c>
      <c r="Q67" s="6" t="s">
        <v>381</v>
      </c>
    </row>
    <row r="68" spans="1:25" ht="15" customHeight="1" x14ac:dyDescent="0.3">
      <c r="A68" s="6" t="s">
        <v>278</v>
      </c>
      <c r="B68" s="6">
        <v>16865615</v>
      </c>
      <c r="C68" s="6" t="s">
        <v>149</v>
      </c>
      <c r="D68" s="18">
        <v>802911081001</v>
      </c>
      <c r="E68" s="18" t="str">
        <f t="shared" si="2"/>
        <v>8029110810010</v>
      </c>
      <c r="F68" s="6" t="s">
        <v>49</v>
      </c>
      <c r="G68" s="6" t="s">
        <v>6</v>
      </c>
      <c r="H68" s="7">
        <v>46082</v>
      </c>
      <c r="I68" s="8">
        <v>1216.05</v>
      </c>
      <c r="J68" s="8">
        <v>1216.05</v>
      </c>
      <c r="K68" s="6" t="s">
        <v>27</v>
      </c>
      <c r="L68" s="6" t="s">
        <v>375</v>
      </c>
      <c r="M68" s="8">
        <v>23</v>
      </c>
      <c r="N68" s="9">
        <v>1</v>
      </c>
      <c r="O68" s="8">
        <v>92</v>
      </c>
      <c r="P68" s="21">
        <v>46023</v>
      </c>
      <c r="Q68" s="6" t="s">
        <v>381</v>
      </c>
    </row>
    <row r="69" spans="1:25" ht="15" customHeight="1" x14ac:dyDescent="0.3">
      <c r="A69" s="6" t="s">
        <v>278</v>
      </c>
      <c r="B69" s="6">
        <v>16865615</v>
      </c>
      <c r="C69" s="6" t="s">
        <v>151</v>
      </c>
      <c r="D69" s="18">
        <v>803304435001</v>
      </c>
      <c r="E69" s="18" t="str">
        <f t="shared" si="2"/>
        <v>8033044350010</v>
      </c>
      <c r="F69" s="6" t="s">
        <v>49</v>
      </c>
      <c r="G69" s="6" t="s">
        <v>6</v>
      </c>
      <c r="H69" s="7">
        <v>46082</v>
      </c>
      <c r="I69" s="8">
        <v>502.55</v>
      </c>
      <c r="J69" s="8">
        <v>502.55</v>
      </c>
      <c r="K69" s="6" t="s">
        <v>27</v>
      </c>
      <c r="L69" s="6" t="s">
        <v>374</v>
      </c>
      <c r="M69" s="8">
        <v>23</v>
      </c>
      <c r="N69" s="9">
        <v>1</v>
      </c>
      <c r="O69" s="8">
        <v>69</v>
      </c>
      <c r="P69" s="21">
        <v>46023</v>
      </c>
      <c r="Q69" s="6" t="s">
        <v>381</v>
      </c>
    </row>
    <row r="70" spans="1:25" ht="15" customHeight="1" x14ac:dyDescent="0.3">
      <c r="A70" s="6" t="s">
        <v>278</v>
      </c>
      <c r="B70" s="6">
        <v>16865615</v>
      </c>
      <c r="C70" s="6" t="s">
        <v>153</v>
      </c>
      <c r="D70" s="18">
        <v>803511144001</v>
      </c>
      <c r="E70" s="18" t="str">
        <f t="shared" si="2"/>
        <v>8035111440010</v>
      </c>
      <c r="F70" s="6" t="s">
        <v>49</v>
      </c>
      <c r="G70" s="6" t="s">
        <v>6</v>
      </c>
      <c r="H70" s="7">
        <v>46082</v>
      </c>
      <c r="I70" s="8">
        <v>516.85</v>
      </c>
      <c r="J70" s="8">
        <v>516.85</v>
      </c>
      <c r="K70" s="6" t="s">
        <v>27</v>
      </c>
      <c r="L70" s="6"/>
      <c r="M70" s="8">
        <v>23</v>
      </c>
      <c r="N70" s="9">
        <v>1</v>
      </c>
      <c r="O70" s="8">
        <v>23</v>
      </c>
      <c r="P70" s="21">
        <v>46023</v>
      </c>
      <c r="Q70" s="6" t="s">
        <v>381</v>
      </c>
    </row>
    <row r="71" spans="1:25" ht="15" customHeight="1" x14ac:dyDescent="0.3">
      <c r="A71" s="6" t="s">
        <v>278</v>
      </c>
      <c r="B71" s="6">
        <v>16865615</v>
      </c>
      <c r="C71" s="6" t="s">
        <v>155</v>
      </c>
      <c r="D71" s="18">
        <v>802995059001</v>
      </c>
      <c r="E71" s="18" t="str">
        <f t="shared" si="2"/>
        <v>8029950590010</v>
      </c>
      <c r="F71" s="6" t="s">
        <v>49</v>
      </c>
      <c r="G71" s="6" t="s">
        <v>6</v>
      </c>
      <c r="H71" s="7">
        <v>46082</v>
      </c>
      <c r="I71" s="8">
        <v>759.38</v>
      </c>
      <c r="J71" s="8">
        <v>759.38</v>
      </c>
      <c r="K71" s="6" t="s">
        <v>27</v>
      </c>
      <c r="L71" s="6" t="s">
        <v>373</v>
      </c>
      <c r="M71" s="8">
        <v>23</v>
      </c>
      <c r="N71" s="9">
        <v>1</v>
      </c>
      <c r="O71" s="8">
        <v>46</v>
      </c>
      <c r="P71" s="21">
        <v>46023</v>
      </c>
      <c r="Q71" s="6" t="s">
        <v>381</v>
      </c>
    </row>
    <row r="72" spans="1:25" s="28" customFormat="1" ht="15" customHeight="1" x14ac:dyDescent="0.3">
      <c r="A72" s="6" t="s">
        <v>278</v>
      </c>
      <c r="B72" s="6">
        <v>16865615</v>
      </c>
      <c r="C72" s="6" t="s">
        <v>157</v>
      </c>
      <c r="D72" s="18">
        <v>803406897001</v>
      </c>
      <c r="E72" s="18" t="str">
        <f t="shared" si="2"/>
        <v>8034068970010</v>
      </c>
      <c r="F72" s="6" t="s">
        <v>49</v>
      </c>
      <c r="G72" s="6" t="s">
        <v>6</v>
      </c>
      <c r="H72" s="7">
        <v>46054</v>
      </c>
      <c r="I72" s="8">
        <v>77.489999999999995</v>
      </c>
      <c r="J72" s="8">
        <v>77.489999999999995</v>
      </c>
      <c r="K72" s="6" t="s">
        <v>27</v>
      </c>
      <c r="L72" s="6"/>
      <c r="M72" s="8">
        <v>23</v>
      </c>
      <c r="N72" s="9">
        <v>1</v>
      </c>
      <c r="O72" s="8">
        <v>23</v>
      </c>
      <c r="P72" s="21">
        <v>46023</v>
      </c>
      <c r="Q72" s="6" t="s">
        <v>381</v>
      </c>
      <c r="R72"/>
      <c r="S72"/>
      <c r="T72"/>
      <c r="U72"/>
      <c r="V72"/>
      <c r="W72"/>
      <c r="X72"/>
      <c r="Y72"/>
    </row>
    <row r="73" spans="1:25" s="28" customFormat="1" ht="15" customHeight="1" x14ac:dyDescent="0.3">
      <c r="A73" s="6" t="s">
        <v>278</v>
      </c>
      <c r="B73" s="6">
        <v>16865615</v>
      </c>
      <c r="C73" s="6" t="s">
        <v>157</v>
      </c>
      <c r="D73" s="18">
        <v>803406897001</v>
      </c>
      <c r="E73" s="18" t="str">
        <f t="shared" si="2"/>
        <v>8034068970010</v>
      </c>
      <c r="F73" s="6" t="s">
        <v>49</v>
      </c>
      <c r="G73" s="6" t="s">
        <v>6</v>
      </c>
      <c r="H73" s="7">
        <v>46082</v>
      </c>
      <c r="I73" s="8">
        <v>77.489999999999995</v>
      </c>
      <c r="J73" s="8">
        <v>77.489999999999995</v>
      </c>
      <c r="K73" s="6" t="s">
        <v>27</v>
      </c>
      <c r="L73" s="6"/>
      <c r="M73" s="8">
        <v>23</v>
      </c>
      <c r="N73" s="9">
        <v>1</v>
      </c>
      <c r="O73" s="8">
        <v>23</v>
      </c>
      <c r="P73" s="21">
        <v>46023</v>
      </c>
      <c r="Q73" s="6" t="s">
        <v>381</v>
      </c>
      <c r="R73"/>
      <c r="S73"/>
      <c r="T73"/>
      <c r="U73"/>
      <c r="V73"/>
      <c r="W73"/>
      <c r="X73"/>
      <c r="Y73"/>
    </row>
    <row r="74" spans="1:25" ht="15" customHeight="1" x14ac:dyDescent="0.3">
      <c r="A74" s="6" t="s">
        <v>278</v>
      </c>
      <c r="B74" s="6">
        <v>16865615</v>
      </c>
      <c r="C74" s="6" t="s">
        <v>161</v>
      </c>
      <c r="D74" s="18">
        <v>803529066001</v>
      </c>
      <c r="E74" s="18" t="str">
        <f t="shared" si="2"/>
        <v>8035290660010</v>
      </c>
      <c r="F74" s="6" t="s">
        <v>49</v>
      </c>
      <c r="G74" s="6" t="s">
        <v>6</v>
      </c>
      <c r="H74" s="7">
        <v>46054</v>
      </c>
      <c r="I74" s="8">
        <v>169.56</v>
      </c>
      <c r="J74" s="8">
        <v>169.56</v>
      </c>
      <c r="K74" s="6" t="s">
        <v>27</v>
      </c>
      <c r="L74" s="6"/>
      <c r="M74" s="8">
        <v>23</v>
      </c>
      <c r="N74" s="9">
        <v>1</v>
      </c>
      <c r="O74" s="8">
        <v>23</v>
      </c>
      <c r="P74" s="21">
        <v>46023</v>
      </c>
      <c r="Q74" s="6" t="s">
        <v>381</v>
      </c>
    </row>
    <row r="75" spans="1:25" ht="15" customHeight="1" x14ac:dyDescent="0.3">
      <c r="A75" s="6" t="s">
        <v>278</v>
      </c>
      <c r="B75" s="6">
        <v>16865615</v>
      </c>
      <c r="C75" s="6" t="s">
        <v>163</v>
      </c>
      <c r="D75" s="18">
        <v>803521575001</v>
      </c>
      <c r="E75" s="18" t="str">
        <f t="shared" si="2"/>
        <v>8035215750010</v>
      </c>
      <c r="F75" s="6" t="s">
        <v>49</v>
      </c>
      <c r="G75" s="6" t="s">
        <v>6</v>
      </c>
      <c r="H75" s="7">
        <v>46054</v>
      </c>
      <c r="I75" s="8">
        <v>187.41</v>
      </c>
      <c r="J75" s="8">
        <v>187.41</v>
      </c>
      <c r="K75" s="6" t="s">
        <v>27</v>
      </c>
      <c r="L75" s="6"/>
      <c r="M75" s="8">
        <v>23</v>
      </c>
      <c r="N75" s="9">
        <v>1</v>
      </c>
      <c r="O75" s="8">
        <v>23</v>
      </c>
      <c r="P75" s="21">
        <v>46023</v>
      </c>
      <c r="Q75" s="6" t="s">
        <v>381</v>
      </c>
    </row>
    <row r="76" spans="1:25" ht="15" customHeight="1" x14ac:dyDescent="0.3">
      <c r="A76" s="6" t="s">
        <v>278</v>
      </c>
      <c r="B76" s="6">
        <v>16865615</v>
      </c>
      <c r="C76" s="6" t="s">
        <v>163</v>
      </c>
      <c r="D76" s="18">
        <v>803521575001</v>
      </c>
      <c r="E76" s="18" t="str">
        <f t="shared" si="2"/>
        <v>8035215750010</v>
      </c>
      <c r="F76" s="6" t="s">
        <v>49</v>
      </c>
      <c r="G76" s="6" t="s">
        <v>6</v>
      </c>
      <c r="H76" s="7">
        <v>46082</v>
      </c>
      <c r="I76" s="8">
        <v>187.41</v>
      </c>
      <c r="J76" s="8">
        <v>187.41</v>
      </c>
      <c r="K76" s="6" t="s">
        <v>27</v>
      </c>
      <c r="L76" s="6"/>
      <c r="M76" s="8">
        <v>23</v>
      </c>
      <c r="N76" s="9">
        <v>1</v>
      </c>
      <c r="O76" s="8">
        <v>23</v>
      </c>
      <c r="P76" s="21">
        <v>46023</v>
      </c>
      <c r="Q76" s="6" t="s">
        <v>381</v>
      </c>
    </row>
    <row r="77" spans="1:25" ht="15" customHeight="1" x14ac:dyDescent="0.3">
      <c r="A77" s="6" t="s">
        <v>278</v>
      </c>
      <c r="B77" s="6">
        <v>16865615</v>
      </c>
      <c r="C77" s="6" t="s">
        <v>165</v>
      </c>
      <c r="D77" s="18">
        <v>803516130001</v>
      </c>
      <c r="E77" s="18" t="str">
        <f t="shared" si="2"/>
        <v>8035161300010</v>
      </c>
      <c r="F77" s="6" t="s">
        <v>49</v>
      </c>
      <c r="G77" s="6" t="s">
        <v>6</v>
      </c>
      <c r="H77" s="7">
        <v>46054</v>
      </c>
      <c r="I77" s="8">
        <v>946.61</v>
      </c>
      <c r="J77" s="8">
        <v>946.61</v>
      </c>
      <c r="K77" s="6" t="s">
        <v>27</v>
      </c>
      <c r="L77" s="6" t="s">
        <v>374</v>
      </c>
      <c r="M77" s="8">
        <v>23</v>
      </c>
      <c r="N77" s="9">
        <v>1</v>
      </c>
      <c r="O77" s="8">
        <v>69</v>
      </c>
      <c r="P77" s="21">
        <v>46023</v>
      </c>
      <c r="Q77" s="6" t="s">
        <v>381</v>
      </c>
    </row>
    <row r="78" spans="1:25" ht="15" customHeight="1" x14ac:dyDescent="0.3">
      <c r="A78" s="6" t="s">
        <v>278</v>
      </c>
      <c r="B78" s="6">
        <v>16865615</v>
      </c>
      <c r="C78" s="6" t="s">
        <v>165</v>
      </c>
      <c r="D78" s="18">
        <v>803516130001</v>
      </c>
      <c r="E78" s="18" t="str">
        <f t="shared" si="2"/>
        <v>8035161300010</v>
      </c>
      <c r="F78" s="6" t="s">
        <v>49</v>
      </c>
      <c r="G78" s="6" t="s">
        <v>6</v>
      </c>
      <c r="H78" s="7">
        <v>46082</v>
      </c>
      <c r="I78" s="8">
        <v>946.61</v>
      </c>
      <c r="J78" s="8">
        <v>946.61</v>
      </c>
      <c r="K78" s="6" t="s">
        <v>27</v>
      </c>
      <c r="L78" s="6" t="s">
        <v>374</v>
      </c>
      <c r="M78" s="8">
        <v>23</v>
      </c>
      <c r="N78" s="9">
        <v>1</v>
      </c>
      <c r="O78" s="8">
        <v>69</v>
      </c>
      <c r="P78" s="21">
        <v>46023</v>
      </c>
      <c r="Q78" s="6" t="s">
        <v>381</v>
      </c>
    </row>
    <row r="79" spans="1:25" ht="15" customHeight="1" x14ac:dyDescent="0.3">
      <c r="A79" s="6" t="s">
        <v>278</v>
      </c>
      <c r="B79" s="6">
        <v>16865615</v>
      </c>
      <c r="C79" s="6" t="s">
        <v>167</v>
      </c>
      <c r="D79" s="18">
        <v>803529081001</v>
      </c>
      <c r="E79" s="18" t="str">
        <f t="shared" si="2"/>
        <v>8035290810010</v>
      </c>
      <c r="F79" s="6" t="s">
        <v>49</v>
      </c>
      <c r="G79" s="6" t="s">
        <v>6</v>
      </c>
      <c r="H79" s="7">
        <v>46054</v>
      </c>
      <c r="I79" s="8">
        <v>1</v>
      </c>
      <c r="J79" s="8">
        <v>1</v>
      </c>
      <c r="K79" s="6" t="s">
        <v>27</v>
      </c>
      <c r="L79" s="6"/>
      <c r="M79" s="8">
        <v>23</v>
      </c>
      <c r="N79" s="9">
        <v>1</v>
      </c>
      <c r="O79" s="8">
        <v>23</v>
      </c>
      <c r="P79" s="21">
        <v>46023</v>
      </c>
      <c r="Q79" s="6" t="s">
        <v>381</v>
      </c>
    </row>
    <row r="80" spans="1:25" ht="15" customHeight="1" x14ac:dyDescent="0.3">
      <c r="A80" s="6" t="s">
        <v>278</v>
      </c>
      <c r="B80" s="6">
        <v>16865615</v>
      </c>
      <c r="C80" s="6" t="s">
        <v>167</v>
      </c>
      <c r="D80" s="18">
        <v>803529081001</v>
      </c>
      <c r="E80" s="18" t="str">
        <f t="shared" si="2"/>
        <v>8035290810010</v>
      </c>
      <c r="F80" s="6" t="s">
        <v>49</v>
      </c>
      <c r="G80" s="6" t="s">
        <v>6</v>
      </c>
      <c r="H80" s="7">
        <v>46082</v>
      </c>
      <c r="I80" s="8">
        <v>1</v>
      </c>
      <c r="J80" s="8">
        <v>1</v>
      </c>
      <c r="K80" s="6" t="s">
        <v>27</v>
      </c>
      <c r="L80" s="6"/>
      <c r="M80" s="8">
        <v>23</v>
      </c>
      <c r="N80" s="9">
        <v>1</v>
      </c>
      <c r="O80" s="8">
        <v>23</v>
      </c>
      <c r="P80" s="21">
        <v>46023</v>
      </c>
      <c r="Q80" s="6" t="s">
        <v>381</v>
      </c>
    </row>
    <row r="81" spans="1:17" ht="15" customHeight="1" x14ac:dyDescent="0.3">
      <c r="A81" s="6" t="s">
        <v>278</v>
      </c>
      <c r="B81" s="6">
        <v>16865615</v>
      </c>
      <c r="C81" s="6" t="s">
        <v>169</v>
      </c>
      <c r="D81" s="18">
        <v>803201761001</v>
      </c>
      <c r="E81" s="18" t="str">
        <f t="shared" si="2"/>
        <v>8032017610010</v>
      </c>
      <c r="F81" s="6" t="s">
        <v>49</v>
      </c>
      <c r="G81" s="6" t="s">
        <v>6</v>
      </c>
      <c r="H81" s="7">
        <v>46054</v>
      </c>
      <c r="I81" s="8">
        <v>19.87</v>
      </c>
      <c r="J81" s="8">
        <v>19.87</v>
      </c>
      <c r="K81" s="6" t="s">
        <v>27</v>
      </c>
      <c r="L81" s="6"/>
      <c r="M81" s="8">
        <v>23</v>
      </c>
      <c r="N81" s="9">
        <v>1</v>
      </c>
      <c r="O81" s="8">
        <v>23</v>
      </c>
      <c r="P81" s="21">
        <v>46023</v>
      </c>
      <c r="Q81" s="6" t="s">
        <v>381</v>
      </c>
    </row>
    <row r="82" spans="1:17" ht="15" customHeight="1" x14ac:dyDescent="0.3">
      <c r="A82" s="6" t="s">
        <v>278</v>
      </c>
      <c r="B82" s="6">
        <v>16865615</v>
      </c>
      <c r="C82" s="6" t="s">
        <v>169</v>
      </c>
      <c r="D82" s="18">
        <v>803201761001</v>
      </c>
      <c r="E82" s="18" t="str">
        <f t="shared" si="2"/>
        <v>8032017610010</v>
      </c>
      <c r="F82" s="6" t="s">
        <v>49</v>
      </c>
      <c r="G82" s="6" t="s">
        <v>6</v>
      </c>
      <c r="H82" s="7">
        <v>46082</v>
      </c>
      <c r="I82" s="8">
        <v>19.87</v>
      </c>
      <c r="J82" s="8">
        <v>19.87</v>
      </c>
      <c r="K82" s="6" t="s">
        <v>27</v>
      </c>
      <c r="L82" s="6"/>
      <c r="M82" s="8">
        <v>23</v>
      </c>
      <c r="N82" s="9">
        <v>1</v>
      </c>
      <c r="O82" s="8">
        <v>23</v>
      </c>
      <c r="P82" s="21">
        <v>46023</v>
      </c>
      <c r="Q82" s="6" t="s">
        <v>381</v>
      </c>
    </row>
    <row r="83" spans="1:17" ht="15" customHeight="1" x14ac:dyDescent="0.3">
      <c r="A83" s="6" t="s">
        <v>278</v>
      </c>
      <c r="B83" s="6">
        <v>16865615</v>
      </c>
      <c r="C83" s="6" t="s">
        <v>171</v>
      </c>
      <c r="D83" s="18">
        <v>803501372001</v>
      </c>
      <c r="E83" s="18" t="str">
        <f t="shared" si="2"/>
        <v>8035013720010</v>
      </c>
      <c r="F83" s="6" t="s">
        <v>49</v>
      </c>
      <c r="G83" s="6" t="s">
        <v>6</v>
      </c>
      <c r="H83" s="7">
        <v>46054</v>
      </c>
      <c r="I83" s="8">
        <v>1.49</v>
      </c>
      <c r="J83" s="8">
        <v>1.49</v>
      </c>
      <c r="K83" s="6" t="s">
        <v>27</v>
      </c>
      <c r="L83" s="6"/>
      <c r="M83" s="8">
        <v>23</v>
      </c>
      <c r="N83" s="9">
        <v>1</v>
      </c>
      <c r="O83" s="8">
        <v>23</v>
      </c>
      <c r="P83" s="21">
        <v>46023</v>
      </c>
      <c r="Q83" s="6" t="s">
        <v>381</v>
      </c>
    </row>
    <row r="84" spans="1:17" ht="15" customHeight="1" x14ac:dyDescent="0.3">
      <c r="A84" s="6" t="s">
        <v>278</v>
      </c>
      <c r="B84" s="6">
        <v>16865615</v>
      </c>
      <c r="C84" s="6" t="s">
        <v>171</v>
      </c>
      <c r="D84" s="18">
        <v>803501372001</v>
      </c>
      <c r="E84" s="18" t="str">
        <f t="shared" si="2"/>
        <v>8035013720010</v>
      </c>
      <c r="F84" s="6" t="s">
        <v>49</v>
      </c>
      <c r="G84" s="6" t="s">
        <v>6</v>
      </c>
      <c r="H84" s="7">
        <v>46082</v>
      </c>
      <c r="I84" s="8">
        <v>1.49</v>
      </c>
      <c r="J84" s="8">
        <v>1.49</v>
      </c>
      <c r="K84" s="6" t="s">
        <v>27</v>
      </c>
      <c r="L84" s="6"/>
      <c r="M84" s="8">
        <v>23</v>
      </c>
      <c r="N84" s="9">
        <v>1</v>
      </c>
      <c r="O84" s="8">
        <v>23</v>
      </c>
      <c r="P84" s="21">
        <v>46023</v>
      </c>
      <c r="Q84" s="6" t="s">
        <v>381</v>
      </c>
    </row>
    <row r="85" spans="1:17" ht="15" customHeight="1" x14ac:dyDescent="0.3">
      <c r="A85" s="6" t="s">
        <v>278</v>
      </c>
      <c r="B85" s="6">
        <v>16865615</v>
      </c>
      <c r="C85" s="6" t="s">
        <v>173</v>
      </c>
      <c r="D85" s="18">
        <v>803156573001</v>
      </c>
      <c r="E85" s="18" t="str">
        <f t="shared" si="2"/>
        <v>8031565730010</v>
      </c>
      <c r="F85" s="6" t="s">
        <v>49</v>
      </c>
      <c r="G85" s="6" t="s">
        <v>6</v>
      </c>
      <c r="H85" s="7">
        <v>46082</v>
      </c>
      <c r="I85" s="8">
        <v>75.88</v>
      </c>
      <c r="J85" s="8">
        <v>75.88</v>
      </c>
      <c r="K85" s="6" t="s">
        <v>27</v>
      </c>
      <c r="L85" s="6"/>
      <c r="M85" s="8">
        <v>23</v>
      </c>
      <c r="N85" s="9">
        <v>1</v>
      </c>
      <c r="O85" s="8">
        <v>23</v>
      </c>
      <c r="P85" s="21">
        <v>46023</v>
      </c>
      <c r="Q85" s="6" t="s">
        <v>381</v>
      </c>
    </row>
    <row r="86" spans="1:17" ht="15" customHeight="1" x14ac:dyDescent="0.3">
      <c r="A86" s="6" t="s">
        <v>278</v>
      </c>
      <c r="B86" s="6">
        <v>16865615</v>
      </c>
      <c r="C86" s="6" t="s">
        <v>175</v>
      </c>
      <c r="D86" s="18">
        <v>802954233001</v>
      </c>
      <c r="E86" s="18" t="str">
        <f t="shared" si="2"/>
        <v>8029542330010</v>
      </c>
      <c r="F86" s="6" t="s">
        <v>49</v>
      </c>
      <c r="G86" s="6" t="s">
        <v>6</v>
      </c>
      <c r="H86" s="7">
        <v>46054</v>
      </c>
      <c r="I86" s="8">
        <v>707.29</v>
      </c>
      <c r="J86" s="8">
        <v>707.29</v>
      </c>
      <c r="K86" s="6" t="s">
        <v>27</v>
      </c>
      <c r="L86" s="6"/>
      <c r="M86" s="8">
        <v>23</v>
      </c>
      <c r="N86" s="9">
        <v>1</v>
      </c>
      <c r="O86" s="8">
        <v>23</v>
      </c>
      <c r="P86" s="21">
        <v>46023</v>
      </c>
      <c r="Q86" s="6" t="s">
        <v>381</v>
      </c>
    </row>
    <row r="87" spans="1:17" ht="15" customHeight="1" x14ac:dyDescent="0.3">
      <c r="A87" s="6" t="s">
        <v>278</v>
      </c>
      <c r="B87" s="6">
        <v>16865615</v>
      </c>
      <c r="C87" s="6" t="s">
        <v>175</v>
      </c>
      <c r="D87" s="18">
        <v>802954233001</v>
      </c>
      <c r="E87" s="18" t="str">
        <f t="shared" si="2"/>
        <v>8029542330010</v>
      </c>
      <c r="F87" s="6" t="s">
        <v>49</v>
      </c>
      <c r="G87" s="6" t="s">
        <v>6</v>
      </c>
      <c r="H87" s="7">
        <v>46082</v>
      </c>
      <c r="I87" s="8">
        <v>707.29</v>
      </c>
      <c r="J87" s="8">
        <v>707.29</v>
      </c>
      <c r="K87" s="6" t="s">
        <v>27</v>
      </c>
      <c r="L87" s="6"/>
      <c r="M87" s="8">
        <v>23</v>
      </c>
      <c r="N87" s="9">
        <v>1</v>
      </c>
      <c r="O87" s="8">
        <v>23</v>
      </c>
      <c r="P87" s="21">
        <v>46023</v>
      </c>
      <c r="Q87" s="6" t="s">
        <v>381</v>
      </c>
    </row>
    <row r="88" spans="1:17" ht="15" customHeight="1" x14ac:dyDescent="0.3">
      <c r="A88" s="6" t="s">
        <v>278</v>
      </c>
      <c r="B88" s="6">
        <v>16865615</v>
      </c>
      <c r="C88" s="6" t="s">
        <v>177</v>
      </c>
      <c r="D88" s="18">
        <v>803267379001</v>
      </c>
      <c r="E88" s="18" t="str">
        <f t="shared" si="2"/>
        <v>8032673790010</v>
      </c>
      <c r="F88" s="6" t="s">
        <v>49</v>
      </c>
      <c r="G88" s="6" t="s">
        <v>6</v>
      </c>
      <c r="H88" s="7">
        <v>46082</v>
      </c>
      <c r="I88" s="8">
        <v>423.02</v>
      </c>
      <c r="J88" s="8">
        <v>423.02</v>
      </c>
      <c r="K88" s="6" t="s">
        <v>27</v>
      </c>
      <c r="L88" s="6"/>
      <c r="M88" s="8">
        <v>23</v>
      </c>
      <c r="N88" s="9">
        <v>1</v>
      </c>
      <c r="O88" s="8">
        <v>23</v>
      </c>
      <c r="P88" s="21">
        <v>46023</v>
      </c>
      <c r="Q88" s="6" t="s">
        <v>381</v>
      </c>
    </row>
    <row r="89" spans="1:17" ht="15" customHeight="1" x14ac:dyDescent="0.3">
      <c r="A89" s="6" t="s">
        <v>278</v>
      </c>
      <c r="B89" s="6">
        <v>16865615</v>
      </c>
      <c r="C89" s="6" t="s">
        <v>179</v>
      </c>
      <c r="D89" s="18">
        <v>803297375001</v>
      </c>
      <c r="E89" s="18" t="str">
        <f t="shared" si="2"/>
        <v>8032973750010</v>
      </c>
      <c r="F89" s="6" t="s">
        <v>49</v>
      </c>
      <c r="G89" s="6" t="s">
        <v>6</v>
      </c>
      <c r="H89" s="7">
        <v>46082</v>
      </c>
      <c r="I89" s="8">
        <v>41.61</v>
      </c>
      <c r="J89" s="8">
        <v>41.61</v>
      </c>
      <c r="K89" s="6" t="s">
        <v>27</v>
      </c>
      <c r="L89" s="6"/>
      <c r="M89" s="8">
        <v>23</v>
      </c>
      <c r="N89" s="9">
        <v>1</v>
      </c>
      <c r="O89" s="8">
        <v>23</v>
      </c>
      <c r="P89" s="21">
        <v>46023</v>
      </c>
      <c r="Q89" s="6" t="s">
        <v>381</v>
      </c>
    </row>
    <row r="90" spans="1:17" ht="15" customHeight="1" x14ac:dyDescent="0.3">
      <c r="A90" s="6" t="s">
        <v>278</v>
      </c>
      <c r="B90" s="6">
        <v>16865615</v>
      </c>
      <c r="C90" s="6" t="s">
        <v>181</v>
      </c>
      <c r="D90" s="18">
        <v>803516836001</v>
      </c>
      <c r="E90" s="18" t="str">
        <f t="shared" si="2"/>
        <v>8035168360010</v>
      </c>
      <c r="F90" s="6" t="s">
        <v>49</v>
      </c>
      <c r="G90" s="6" t="s">
        <v>6</v>
      </c>
      <c r="H90" s="7">
        <v>46054</v>
      </c>
      <c r="I90" s="8">
        <v>624.53</v>
      </c>
      <c r="J90" s="8">
        <v>624.53</v>
      </c>
      <c r="K90" s="6" t="s">
        <v>27</v>
      </c>
      <c r="L90" s="6" t="s">
        <v>374</v>
      </c>
      <c r="M90" s="8">
        <v>23</v>
      </c>
      <c r="N90" s="9">
        <v>1</v>
      </c>
      <c r="O90" s="8">
        <v>69</v>
      </c>
      <c r="P90" s="21">
        <v>46023</v>
      </c>
      <c r="Q90" s="6" t="s">
        <v>381</v>
      </c>
    </row>
    <row r="91" spans="1:17" ht="15" customHeight="1" x14ac:dyDescent="0.3">
      <c r="A91" s="6" t="s">
        <v>278</v>
      </c>
      <c r="B91" s="6">
        <v>16865615</v>
      </c>
      <c r="C91" s="6" t="s">
        <v>181</v>
      </c>
      <c r="D91" s="18">
        <v>803516836001</v>
      </c>
      <c r="E91" s="18" t="str">
        <f t="shared" si="2"/>
        <v>8035168360010</v>
      </c>
      <c r="F91" s="6" t="s">
        <v>49</v>
      </c>
      <c r="G91" s="6" t="s">
        <v>6</v>
      </c>
      <c r="H91" s="7">
        <v>46082</v>
      </c>
      <c r="I91" s="8">
        <v>624.53</v>
      </c>
      <c r="J91" s="8">
        <v>624.53</v>
      </c>
      <c r="K91" s="6" t="s">
        <v>27</v>
      </c>
      <c r="L91" s="6" t="s">
        <v>374</v>
      </c>
      <c r="M91" s="8">
        <v>23</v>
      </c>
      <c r="N91" s="9">
        <v>1</v>
      </c>
      <c r="O91" s="8">
        <v>69</v>
      </c>
      <c r="P91" s="21">
        <v>46023</v>
      </c>
      <c r="Q91" s="6" t="s">
        <v>381</v>
      </c>
    </row>
    <row r="92" spans="1:17" ht="15" customHeight="1" x14ac:dyDescent="0.3">
      <c r="A92" s="6" t="s">
        <v>278</v>
      </c>
      <c r="B92" s="6">
        <v>16865615</v>
      </c>
      <c r="C92" s="6" t="s">
        <v>183</v>
      </c>
      <c r="D92" s="18">
        <v>803132235001</v>
      </c>
      <c r="E92" s="18" t="str">
        <f t="shared" si="2"/>
        <v>8031322350010</v>
      </c>
      <c r="F92" s="6" t="s">
        <v>49</v>
      </c>
      <c r="G92" s="6" t="s">
        <v>6</v>
      </c>
      <c r="H92" s="7">
        <v>46082</v>
      </c>
      <c r="I92" s="8">
        <v>1170.9000000000001</v>
      </c>
      <c r="J92" s="8">
        <v>1170.9000000000001</v>
      </c>
      <c r="K92" s="6" t="s">
        <v>27</v>
      </c>
      <c r="L92" s="6"/>
      <c r="M92" s="8">
        <v>23</v>
      </c>
      <c r="N92" s="9">
        <v>1</v>
      </c>
      <c r="O92" s="8">
        <v>23</v>
      </c>
      <c r="P92" s="21">
        <v>46023</v>
      </c>
      <c r="Q92" s="6" t="s">
        <v>381</v>
      </c>
    </row>
    <row r="93" spans="1:17" ht="15" customHeight="1" x14ac:dyDescent="0.3">
      <c r="A93" s="6" t="s">
        <v>278</v>
      </c>
      <c r="B93" s="6">
        <v>16865615</v>
      </c>
      <c r="C93" s="6" t="s">
        <v>185</v>
      </c>
      <c r="D93" s="18">
        <v>803468235001</v>
      </c>
      <c r="E93" s="18" t="str">
        <f t="shared" si="2"/>
        <v>8034682350010</v>
      </c>
      <c r="F93" s="6" t="s">
        <v>49</v>
      </c>
      <c r="G93" s="6" t="s">
        <v>6</v>
      </c>
      <c r="H93" s="7">
        <v>46054</v>
      </c>
      <c r="I93" s="8">
        <v>105.47</v>
      </c>
      <c r="J93" s="8">
        <v>105.47</v>
      </c>
      <c r="K93" s="6" t="s">
        <v>27</v>
      </c>
      <c r="L93" s="6"/>
      <c r="M93" s="8">
        <v>23</v>
      </c>
      <c r="N93" s="9">
        <v>1</v>
      </c>
      <c r="O93" s="8">
        <v>23</v>
      </c>
      <c r="P93" s="21">
        <v>46023</v>
      </c>
      <c r="Q93" s="6" t="s">
        <v>381</v>
      </c>
    </row>
    <row r="94" spans="1:17" ht="15" customHeight="1" x14ac:dyDescent="0.3">
      <c r="A94" s="6" t="s">
        <v>278</v>
      </c>
      <c r="B94" s="6">
        <v>16865615</v>
      </c>
      <c r="C94" s="6" t="s">
        <v>185</v>
      </c>
      <c r="D94" s="18">
        <v>803468235001</v>
      </c>
      <c r="E94" s="18" t="str">
        <f t="shared" si="2"/>
        <v>8034682350010</v>
      </c>
      <c r="F94" s="6" t="s">
        <v>49</v>
      </c>
      <c r="G94" s="6" t="s">
        <v>6</v>
      </c>
      <c r="H94" s="7">
        <v>46082</v>
      </c>
      <c r="I94" s="8">
        <v>105.47</v>
      </c>
      <c r="J94" s="8">
        <v>105.47</v>
      </c>
      <c r="K94" s="6" t="s">
        <v>27</v>
      </c>
      <c r="L94" s="6"/>
      <c r="M94" s="8">
        <v>23</v>
      </c>
      <c r="N94" s="9">
        <v>1</v>
      </c>
      <c r="O94" s="8">
        <v>23</v>
      </c>
      <c r="P94" s="21">
        <v>46023</v>
      </c>
      <c r="Q94" s="6" t="s">
        <v>381</v>
      </c>
    </row>
    <row r="95" spans="1:17" ht="15" customHeight="1" x14ac:dyDescent="0.3">
      <c r="A95" s="6" t="s">
        <v>278</v>
      </c>
      <c r="B95" s="6">
        <v>16865615</v>
      </c>
      <c r="C95" s="6" t="s">
        <v>187</v>
      </c>
      <c r="D95" s="18">
        <v>803392414001</v>
      </c>
      <c r="E95" s="18" t="str">
        <f t="shared" si="2"/>
        <v>8033924140010</v>
      </c>
      <c r="F95" s="6" t="s">
        <v>49</v>
      </c>
      <c r="G95" s="6" t="s">
        <v>6</v>
      </c>
      <c r="H95" s="7">
        <v>46082</v>
      </c>
      <c r="I95" s="8">
        <v>800.76</v>
      </c>
      <c r="J95" s="8">
        <v>800.76</v>
      </c>
      <c r="K95" s="6" t="s">
        <v>27</v>
      </c>
      <c r="L95" s="6"/>
      <c r="M95" s="8">
        <v>23</v>
      </c>
      <c r="N95" s="9">
        <v>1</v>
      </c>
      <c r="O95" s="8">
        <v>23</v>
      </c>
      <c r="P95" s="21">
        <v>46023</v>
      </c>
      <c r="Q95" s="6" t="s">
        <v>381</v>
      </c>
    </row>
    <row r="96" spans="1:17" ht="15" customHeight="1" x14ac:dyDescent="0.3">
      <c r="A96" s="6" t="s">
        <v>278</v>
      </c>
      <c r="B96" s="6">
        <v>16865615</v>
      </c>
      <c r="C96" s="6" t="s">
        <v>189</v>
      </c>
      <c r="D96" s="18">
        <v>803405363001</v>
      </c>
      <c r="E96" s="18" t="str">
        <f t="shared" si="2"/>
        <v>8034053630010</v>
      </c>
      <c r="F96" s="6" t="s">
        <v>49</v>
      </c>
      <c r="G96" s="6" t="s">
        <v>6</v>
      </c>
      <c r="H96" s="7">
        <v>46082</v>
      </c>
      <c r="I96" s="8">
        <v>603.79999999999995</v>
      </c>
      <c r="J96" s="8">
        <v>603.79999999999995</v>
      </c>
      <c r="K96" s="6" t="s">
        <v>27</v>
      </c>
      <c r="L96" s="6" t="s">
        <v>374</v>
      </c>
      <c r="M96" s="8">
        <v>23</v>
      </c>
      <c r="N96" s="9">
        <v>1</v>
      </c>
      <c r="O96" s="8">
        <v>69</v>
      </c>
      <c r="P96" s="21">
        <v>46023</v>
      </c>
      <c r="Q96" s="6" t="s">
        <v>381</v>
      </c>
    </row>
    <row r="97" spans="1:17" ht="15" customHeight="1" x14ac:dyDescent="0.3">
      <c r="A97" s="6" t="s">
        <v>278</v>
      </c>
      <c r="B97" s="6">
        <v>16865615</v>
      </c>
      <c r="C97" s="6" t="s">
        <v>191</v>
      </c>
      <c r="D97" s="18">
        <v>803191407001</v>
      </c>
      <c r="E97" s="18" t="str">
        <f t="shared" si="2"/>
        <v>8031914070010</v>
      </c>
      <c r="F97" s="6" t="s">
        <v>49</v>
      </c>
      <c r="G97" s="6" t="s">
        <v>6</v>
      </c>
      <c r="H97" s="7">
        <v>46082</v>
      </c>
      <c r="I97" s="8">
        <v>168.59</v>
      </c>
      <c r="J97" s="8">
        <v>168.59</v>
      </c>
      <c r="K97" s="6" t="s">
        <v>27</v>
      </c>
      <c r="L97" s="6" t="s">
        <v>373</v>
      </c>
      <c r="M97" s="8">
        <v>23</v>
      </c>
      <c r="N97" s="9">
        <v>1</v>
      </c>
      <c r="O97" s="8">
        <v>46</v>
      </c>
      <c r="P97" s="21">
        <v>46023</v>
      </c>
      <c r="Q97" s="6" t="s">
        <v>381</v>
      </c>
    </row>
    <row r="98" spans="1:17" ht="15" customHeight="1" x14ac:dyDescent="0.3">
      <c r="A98" s="6" t="s">
        <v>283</v>
      </c>
      <c r="B98" s="6">
        <v>21313588</v>
      </c>
      <c r="C98" s="6" t="s">
        <v>195</v>
      </c>
      <c r="D98" s="18">
        <v>803433525001</v>
      </c>
      <c r="E98" s="18" t="str">
        <f t="shared" ref="E98:E129" si="3">CONCATENATE(D98,0)</f>
        <v>8034335250010</v>
      </c>
      <c r="F98" s="6" t="s">
        <v>49</v>
      </c>
      <c r="G98" s="6" t="s">
        <v>6</v>
      </c>
      <c r="H98" s="7">
        <v>46082</v>
      </c>
      <c r="I98" s="8">
        <v>18.14</v>
      </c>
      <c r="J98" s="8">
        <v>18.14</v>
      </c>
      <c r="K98" s="6" t="s">
        <v>27</v>
      </c>
      <c r="L98" s="6"/>
      <c r="M98" s="8">
        <v>23</v>
      </c>
      <c r="N98" s="9">
        <v>1</v>
      </c>
      <c r="O98" s="8">
        <v>23</v>
      </c>
      <c r="P98" s="21">
        <v>46023</v>
      </c>
      <c r="Q98" s="6" t="s">
        <v>381</v>
      </c>
    </row>
    <row r="99" spans="1:17" ht="15" customHeight="1" x14ac:dyDescent="0.3">
      <c r="A99" s="6" t="s">
        <v>283</v>
      </c>
      <c r="B99" s="6">
        <v>21313588</v>
      </c>
      <c r="C99" s="6" t="s">
        <v>197</v>
      </c>
      <c r="D99" s="18">
        <v>803518581001</v>
      </c>
      <c r="E99" s="18" t="str">
        <f t="shared" si="3"/>
        <v>8035185810010</v>
      </c>
      <c r="F99" s="6" t="s">
        <v>49</v>
      </c>
      <c r="G99" s="6" t="s">
        <v>6</v>
      </c>
      <c r="H99" s="7">
        <v>46054</v>
      </c>
      <c r="I99" s="8">
        <v>178.56</v>
      </c>
      <c r="J99" s="8">
        <v>178.56</v>
      </c>
      <c r="K99" s="6" t="s">
        <v>27</v>
      </c>
      <c r="L99" s="6"/>
      <c r="M99" s="8">
        <v>23</v>
      </c>
      <c r="N99" s="9">
        <v>1</v>
      </c>
      <c r="O99" s="8">
        <v>23</v>
      </c>
      <c r="P99" s="21">
        <v>46023</v>
      </c>
      <c r="Q99" s="6" t="s">
        <v>381</v>
      </c>
    </row>
    <row r="100" spans="1:17" ht="15" customHeight="1" x14ac:dyDescent="0.3">
      <c r="A100" s="6" t="s">
        <v>283</v>
      </c>
      <c r="B100" s="6">
        <v>21313588</v>
      </c>
      <c r="C100" s="6" t="s">
        <v>197</v>
      </c>
      <c r="D100" s="18">
        <v>803518581001</v>
      </c>
      <c r="E100" s="18" t="str">
        <f t="shared" si="3"/>
        <v>8035185810010</v>
      </c>
      <c r="F100" s="6" t="s">
        <v>49</v>
      </c>
      <c r="G100" s="6" t="s">
        <v>6</v>
      </c>
      <c r="H100" s="7">
        <v>46082</v>
      </c>
      <c r="I100" s="8">
        <v>178.56</v>
      </c>
      <c r="J100" s="8">
        <v>178.56</v>
      </c>
      <c r="K100" s="6" t="s">
        <v>27</v>
      </c>
      <c r="L100" s="6"/>
      <c r="M100" s="8">
        <v>23</v>
      </c>
      <c r="N100" s="9">
        <v>1</v>
      </c>
      <c r="O100" s="8">
        <v>23</v>
      </c>
      <c r="P100" s="21">
        <v>46023</v>
      </c>
      <c r="Q100" s="6" t="s">
        <v>381</v>
      </c>
    </row>
    <row r="101" spans="1:17" ht="15" customHeight="1" x14ac:dyDescent="0.3">
      <c r="A101" s="6" t="s">
        <v>283</v>
      </c>
      <c r="B101" s="6">
        <v>21313588</v>
      </c>
      <c r="C101" s="6" t="s">
        <v>199</v>
      </c>
      <c r="D101" s="18">
        <v>803420941001</v>
      </c>
      <c r="E101" s="18" t="str">
        <f t="shared" si="3"/>
        <v>8034209410010</v>
      </c>
      <c r="F101" s="6" t="s">
        <v>49</v>
      </c>
      <c r="G101" s="6" t="s">
        <v>6</v>
      </c>
      <c r="H101" s="7">
        <v>46082</v>
      </c>
      <c r="I101" s="8">
        <v>131.12</v>
      </c>
      <c r="J101" s="8">
        <v>131.12</v>
      </c>
      <c r="K101" s="6" t="s">
        <v>27</v>
      </c>
      <c r="L101" s="6" t="s">
        <v>374</v>
      </c>
      <c r="M101" s="8">
        <v>23</v>
      </c>
      <c r="N101" s="9">
        <v>1</v>
      </c>
      <c r="O101" s="8">
        <v>69</v>
      </c>
      <c r="P101" s="21">
        <v>46023</v>
      </c>
      <c r="Q101" s="6" t="s">
        <v>381</v>
      </c>
    </row>
    <row r="102" spans="1:17" ht="15" customHeight="1" x14ac:dyDescent="0.3">
      <c r="A102" s="6" t="s">
        <v>283</v>
      </c>
      <c r="B102" s="6">
        <v>21313588</v>
      </c>
      <c r="C102" s="6" t="s">
        <v>201</v>
      </c>
      <c r="D102" s="18">
        <v>803513867001</v>
      </c>
      <c r="E102" s="18" t="str">
        <f t="shared" si="3"/>
        <v>8035138670010</v>
      </c>
      <c r="F102" s="6" t="s">
        <v>49</v>
      </c>
      <c r="G102" s="6" t="s">
        <v>6</v>
      </c>
      <c r="H102" s="7">
        <v>46054</v>
      </c>
      <c r="I102" s="8">
        <v>225.05</v>
      </c>
      <c r="J102" s="8">
        <v>225.05</v>
      </c>
      <c r="K102" s="6" t="s">
        <v>27</v>
      </c>
      <c r="L102" s="6"/>
      <c r="M102" s="8">
        <v>23</v>
      </c>
      <c r="N102" s="9">
        <v>1</v>
      </c>
      <c r="O102" s="8">
        <v>23</v>
      </c>
      <c r="P102" s="21">
        <v>46023</v>
      </c>
      <c r="Q102" s="6" t="s">
        <v>381</v>
      </c>
    </row>
    <row r="103" spans="1:17" ht="15" customHeight="1" x14ac:dyDescent="0.3">
      <c r="A103" s="6" t="s">
        <v>283</v>
      </c>
      <c r="B103" s="6">
        <v>21313588</v>
      </c>
      <c r="C103" s="6" t="s">
        <v>203</v>
      </c>
      <c r="D103" s="18">
        <v>803132511001</v>
      </c>
      <c r="E103" s="18" t="str">
        <f t="shared" si="3"/>
        <v>8031325110010</v>
      </c>
      <c r="F103" s="6" t="s">
        <v>49</v>
      </c>
      <c r="G103" s="6" t="s">
        <v>6</v>
      </c>
      <c r="H103" s="7">
        <v>46082</v>
      </c>
      <c r="I103" s="8">
        <v>194.66</v>
      </c>
      <c r="J103" s="8">
        <v>194.66</v>
      </c>
      <c r="K103" s="6" t="s">
        <v>27</v>
      </c>
      <c r="L103" s="6"/>
      <c r="M103" s="8">
        <v>23</v>
      </c>
      <c r="N103" s="9">
        <v>1</v>
      </c>
      <c r="O103" s="8">
        <v>23</v>
      </c>
      <c r="P103" s="21">
        <v>46023</v>
      </c>
      <c r="Q103" s="6" t="s">
        <v>381</v>
      </c>
    </row>
    <row r="104" spans="1:17" ht="15" customHeight="1" x14ac:dyDescent="0.3">
      <c r="A104" s="6" t="s">
        <v>283</v>
      </c>
      <c r="B104" s="6">
        <v>21313588</v>
      </c>
      <c r="C104" s="6" t="s">
        <v>205</v>
      </c>
      <c r="D104" s="18">
        <v>803439178001</v>
      </c>
      <c r="E104" s="18" t="str">
        <f t="shared" si="3"/>
        <v>8034391780010</v>
      </c>
      <c r="F104" s="6" t="s">
        <v>49</v>
      </c>
      <c r="G104" s="6" t="s">
        <v>6</v>
      </c>
      <c r="H104" s="7">
        <v>46054</v>
      </c>
      <c r="I104" s="8">
        <v>370.6</v>
      </c>
      <c r="J104" s="8">
        <v>370.6</v>
      </c>
      <c r="K104" s="6" t="s">
        <v>27</v>
      </c>
      <c r="L104" s="6"/>
      <c r="M104" s="8">
        <v>23</v>
      </c>
      <c r="N104" s="9">
        <v>1</v>
      </c>
      <c r="O104" s="8">
        <v>23</v>
      </c>
      <c r="P104" s="21">
        <v>46023</v>
      </c>
      <c r="Q104" s="6" t="s">
        <v>381</v>
      </c>
    </row>
    <row r="105" spans="1:17" ht="15" customHeight="1" x14ac:dyDescent="0.3">
      <c r="A105" s="6" t="s">
        <v>283</v>
      </c>
      <c r="B105" s="6">
        <v>21313588</v>
      </c>
      <c r="C105" s="6" t="s">
        <v>205</v>
      </c>
      <c r="D105" s="18">
        <v>803439178001</v>
      </c>
      <c r="E105" s="18" t="str">
        <f t="shared" si="3"/>
        <v>8034391780010</v>
      </c>
      <c r="F105" s="6" t="s">
        <v>49</v>
      </c>
      <c r="G105" s="6" t="s">
        <v>6</v>
      </c>
      <c r="H105" s="7">
        <v>46082</v>
      </c>
      <c r="I105" s="8">
        <v>370.6</v>
      </c>
      <c r="J105" s="8">
        <v>370.6</v>
      </c>
      <c r="K105" s="6" t="s">
        <v>27</v>
      </c>
      <c r="L105" s="6"/>
      <c r="M105" s="8">
        <v>23</v>
      </c>
      <c r="N105" s="9">
        <v>1</v>
      </c>
      <c r="O105" s="8">
        <v>23</v>
      </c>
      <c r="P105" s="21">
        <v>46023</v>
      </c>
      <c r="Q105" s="6" t="s">
        <v>381</v>
      </c>
    </row>
    <row r="106" spans="1:17" ht="15" customHeight="1" x14ac:dyDescent="0.3">
      <c r="A106" s="6" t="s">
        <v>283</v>
      </c>
      <c r="B106" s="6">
        <v>21313588</v>
      </c>
      <c r="C106" s="6" t="s">
        <v>207</v>
      </c>
      <c r="D106" s="18">
        <v>803439229001</v>
      </c>
      <c r="E106" s="18" t="str">
        <f t="shared" si="3"/>
        <v>8034392290010</v>
      </c>
      <c r="F106" s="6" t="s">
        <v>49</v>
      </c>
      <c r="G106" s="6" t="s">
        <v>6</v>
      </c>
      <c r="H106" s="7">
        <v>46082</v>
      </c>
      <c r="I106" s="8">
        <v>100.43</v>
      </c>
      <c r="J106" s="8">
        <v>100.43</v>
      </c>
      <c r="K106" s="6" t="s">
        <v>27</v>
      </c>
      <c r="L106" s="6"/>
      <c r="M106" s="8">
        <v>23</v>
      </c>
      <c r="N106" s="9">
        <v>1</v>
      </c>
      <c r="O106" s="8">
        <v>23</v>
      </c>
      <c r="P106" s="21">
        <v>46023</v>
      </c>
      <c r="Q106" s="6" t="s">
        <v>381</v>
      </c>
    </row>
    <row r="107" spans="1:17" ht="15" customHeight="1" x14ac:dyDescent="0.3">
      <c r="A107" s="6" t="s">
        <v>283</v>
      </c>
      <c r="B107" s="6">
        <v>21313588</v>
      </c>
      <c r="C107" s="6" t="s">
        <v>209</v>
      </c>
      <c r="D107" s="18">
        <v>803405284001</v>
      </c>
      <c r="E107" s="18" t="str">
        <f t="shared" si="3"/>
        <v>8034052840010</v>
      </c>
      <c r="F107" s="6" t="s">
        <v>49</v>
      </c>
      <c r="G107" s="6" t="s">
        <v>6</v>
      </c>
      <c r="H107" s="7">
        <v>46082</v>
      </c>
      <c r="I107" s="8">
        <v>332.94</v>
      </c>
      <c r="J107" s="8">
        <v>332.94</v>
      </c>
      <c r="K107" s="6" t="s">
        <v>27</v>
      </c>
      <c r="L107" s="6"/>
      <c r="M107" s="8">
        <v>23</v>
      </c>
      <c r="N107" s="9">
        <v>1</v>
      </c>
      <c r="O107" s="8">
        <v>23</v>
      </c>
      <c r="P107" s="21">
        <v>46023</v>
      </c>
      <c r="Q107" s="6" t="s">
        <v>381</v>
      </c>
    </row>
    <row r="108" spans="1:17" ht="15" customHeight="1" x14ac:dyDescent="0.3">
      <c r="A108" s="6" t="s">
        <v>283</v>
      </c>
      <c r="B108" s="6">
        <v>21313588</v>
      </c>
      <c r="C108" s="6" t="s">
        <v>211</v>
      </c>
      <c r="D108" s="18">
        <v>803456840001</v>
      </c>
      <c r="E108" s="18" t="str">
        <f t="shared" si="3"/>
        <v>8034568400010</v>
      </c>
      <c r="F108" s="6" t="s">
        <v>49</v>
      </c>
      <c r="G108" s="6" t="s">
        <v>6</v>
      </c>
      <c r="H108" s="7">
        <v>46082</v>
      </c>
      <c r="I108" s="8">
        <v>1</v>
      </c>
      <c r="J108" s="8">
        <v>1</v>
      </c>
      <c r="K108" s="6" t="s">
        <v>27</v>
      </c>
      <c r="L108" s="6"/>
      <c r="M108" s="8">
        <v>23</v>
      </c>
      <c r="N108" s="9">
        <v>1</v>
      </c>
      <c r="O108" s="8">
        <v>23</v>
      </c>
      <c r="P108" s="21">
        <v>46023</v>
      </c>
      <c r="Q108" s="6" t="s">
        <v>381</v>
      </c>
    </row>
    <row r="109" spans="1:17" ht="15" customHeight="1" x14ac:dyDescent="0.3">
      <c r="A109" s="6" t="s">
        <v>283</v>
      </c>
      <c r="B109" s="6">
        <v>21313588</v>
      </c>
      <c r="C109" s="6" t="s">
        <v>213</v>
      </c>
      <c r="D109" s="18">
        <v>803458023001</v>
      </c>
      <c r="E109" s="18" t="str">
        <f t="shared" si="3"/>
        <v>8034580230010</v>
      </c>
      <c r="F109" s="6" t="s">
        <v>49</v>
      </c>
      <c r="G109" s="6" t="s">
        <v>6</v>
      </c>
      <c r="H109" s="7">
        <v>46082</v>
      </c>
      <c r="I109" s="8">
        <v>130.55000000000001</v>
      </c>
      <c r="J109" s="8">
        <v>130.55000000000001</v>
      </c>
      <c r="K109" s="6" t="s">
        <v>27</v>
      </c>
      <c r="L109" s="6"/>
      <c r="M109" s="8">
        <v>23</v>
      </c>
      <c r="N109" s="9">
        <v>1</v>
      </c>
      <c r="O109" s="8">
        <v>23</v>
      </c>
      <c r="P109" s="21">
        <v>46023</v>
      </c>
      <c r="Q109" s="6" t="s">
        <v>381</v>
      </c>
    </row>
    <row r="110" spans="1:17" ht="15" customHeight="1" x14ac:dyDescent="0.3">
      <c r="A110" s="6" t="s">
        <v>283</v>
      </c>
      <c r="B110" s="6">
        <v>21313588</v>
      </c>
      <c r="C110" s="6" t="s">
        <v>215</v>
      </c>
      <c r="D110" s="18">
        <v>803504979001</v>
      </c>
      <c r="E110" s="18" t="str">
        <f t="shared" si="3"/>
        <v>8035049790010</v>
      </c>
      <c r="F110" s="6" t="s">
        <v>49</v>
      </c>
      <c r="G110" s="6" t="s">
        <v>6</v>
      </c>
      <c r="H110" s="7">
        <v>46082</v>
      </c>
      <c r="I110" s="8">
        <v>2.48</v>
      </c>
      <c r="J110" s="8">
        <v>2.48</v>
      </c>
      <c r="K110" s="6" t="s">
        <v>27</v>
      </c>
      <c r="L110" s="6" t="s">
        <v>373</v>
      </c>
      <c r="M110" s="8">
        <v>23</v>
      </c>
      <c r="N110" s="9">
        <v>1</v>
      </c>
      <c r="O110" s="8">
        <v>46</v>
      </c>
      <c r="P110" s="21">
        <v>46023</v>
      </c>
      <c r="Q110" s="6" t="s">
        <v>381</v>
      </c>
    </row>
    <row r="111" spans="1:17" ht="15" customHeight="1" x14ac:dyDescent="0.3">
      <c r="A111" s="6" t="s">
        <v>283</v>
      </c>
      <c r="B111" s="6">
        <v>21313588</v>
      </c>
      <c r="C111" s="6" t="s">
        <v>217</v>
      </c>
      <c r="D111" s="18">
        <v>803504307001</v>
      </c>
      <c r="E111" s="18" t="str">
        <f t="shared" si="3"/>
        <v>8035043070010</v>
      </c>
      <c r="F111" s="6" t="s">
        <v>49</v>
      </c>
      <c r="G111" s="6" t="s">
        <v>6</v>
      </c>
      <c r="H111" s="7">
        <v>46023</v>
      </c>
      <c r="I111" s="8">
        <v>164.71</v>
      </c>
      <c r="J111" s="8">
        <v>164.71</v>
      </c>
      <c r="K111" s="6" t="s">
        <v>27</v>
      </c>
      <c r="L111" s="6"/>
      <c r="M111" s="8">
        <v>23</v>
      </c>
      <c r="N111" s="9">
        <v>1</v>
      </c>
      <c r="O111" s="8">
        <v>23</v>
      </c>
      <c r="P111" s="21">
        <v>46023</v>
      </c>
      <c r="Q111" s="6" t="s">
        <v>381</v>
      </c>
    </row>
    <row r="112" spans="1:17" ht="15" customHeight="1" x14ac:dyDescent="0.3">
      <c r="A112" s="6" t="s">
        <v>283</v>
      </c>
      <c r="B112" s="6">
        <v>21313588</v>
      </c>
      <c r="C112" s="6" t="s">
        <v>217</v>
      </c>
      <c r="D112" s="18">
        <v>803504307001</v>
      </c>
      <c r="E112" s="18" t="str">
        <f t="shared" si="3"/>
        <v>8035043070010</v>
      </c>
      <c r="F112" s="6" t="s">
        <v>49</v>
      </c>
      <c r="G112" s="6" t="s">
        <v>6</v>
      </c>
      <c r="H112" s="7">
        <v>46054</v>
      </c>
      <c r="I112" s="8">
        <v>164.71</v>
      </c>
      <c r="J112" s="8">
        <v>164.71</v>
      </c>
      <c r="K112" s="6" t="s">
        <v>27</v>
      </c>
      <c r="L112" s="6"/>
      <c r="M112" s="8">
        <v>23</v>
      </c>
      <c r="N112" s="9">
        <v>1</v>
      </c>
      <c r="O112" s="8">
        <v>23</v>
      </c>
      <c r="P112" s="21">
        <v>46023</v>
      </c>
      <c r="Q112" s="6" t="s">
        <v>381</v>
      </c>
    </row>
    <row r="113" spans="1:17" ht="15" customHeight="1" x14ac:dyDescent="0.3">
      <c r="A113" s="6" t="s">
        <v>283</v>
      </c>
      <c r="B113" s="6">
        <v>21313588</v>
      </c>
      <c r="C113" s="6" t="s">
        <v>219</v>
      </c>
      <c r="D113" s="18">
        <v>803507631001</v>
      </c>
      <c r="E113" s="18" t="str">
        <f t="shared" si="3"/>
        <v>8035076310010</v>
      </c>
      <c r="F113" s="6" t="s">
        <v>49</v>
      </c>
      <c r="G113" s="6" t="s">
        <v>6</v>
      </c>
      <c r="H113" s="7">
        <v>46082</v>
      </c>
      <c r="I113" s="8">
        <v>1228.1600000000001</v>
      </c>
      <c r="J113" s="8">
        <v>1228.1600000000001</v>
      </c>
      <c r="K113" s="6" t="s">
        <v>27</v>
      </c>
      <c r="L113" s="6" t="s">
        <v>373</v>
      </c>
      <c r="M113" s="8">
        <v>23</v>
      </c>
      <c r="N113" s="9">
        <v>1</v>
      </c>
      <c r="O113" s="8">
        <v>46</v>
      </c>
      <c r="P113" s="21">
        <v>46023</v>
      </c>
      <c r="Q113" s="6" t="s">
        <v>381</v>
      </c>
    </row>
    <row r="114" spans="1:17" ht="15" customHeight="1" x14ac:dyDescent="0.3">
      <c r="A114" s="6" t="s">
        <v>283</v>
      </c>
      <c r="B114" s="6">
        <v>21313588</v>
      </c>
      <c r="C114" s="6" t="s">
        <v>221</v>
      </c>
      <c r="D114" s="18">
        <v>803456916001</v>
      </c>
      <c r="E114" s="18" t="str">
        <f t="shared" si="3"/>
        <v>8034569160010</v>
      </c>
      <c r="F114" s="6" t="s">
        <v>49</v>
      </c>
      <c r="G114" s="6" t="s">
        <v>6</v>
      </c>
      <c r="H114" s="7">
        <v>46082</v>
      </c>
      <c r="I114" s="8">
        <v>415.65</v>
      </c>
      <c r="J114" s="8">
        <v>415.65</v>
      </c>
      <c r="K114" s="6" t="s">
        <v>27</v>
      </c>
      <c r="L114" s="6" t="s">
        <v>373</v>
      </c>
      <c r="M114" s="8">
        <v>23</v>
      </c>
      <c r="N114" s="9">
        <v>1</v>
      </c>
      <c r="O114" s="8">
        <v>46</v>
      </c>
      <c r="P114" s="21">
        <v>46023</v>
      </c>
      <c r="Q114" s="6" t="s">
        <v>381</v>
      </c>
    </row>
    <row r="115" spans="1:17" ht="15" customHeight="1" x14ac:dyDescent="0.3">
      <c r="A115" s="6" t="s">
        <v>283</v>
      </c>
      <c r="B115" s="6">
        <v>21313588</v>
      </c>
      <c r="C115" s="6" t="s">
        <v>223</v>
      </c>
      <c r="D115" s="18">
        <v>803422316001</v>
      </c>
      <c r="E115" s="18" t="str">
        <f t="shared" si="3"/>
        <v>8034223160010</v>
      </c>
      <c r="F115" s="6" t="s">
        <v>49</v>
      </c>
      <c r="G115" s="6" t="s">
        <v>6</v>
      </c>
      <c r="H115" s="7">
        <v>46082</v>
      </c>
      <c r="I115" s="8">
        <v>392.5</v>
      </c>
      <c r="J115" s="8">
        <v>392.5</v>
      </c>
      <c r="K115" s="6" t="s">
        <v>27</v>
      </c>
      <c r="L115" s="6"/>
      <c r="M115" s="8">
        <v>23</v>
      </c>
      <c r="N115" s="9">
        <v>1</v>
      </c>
      <c r="O115" s="8">
        <v>23</v>
      </c>
      <c r="P115" s="21">
        <v>46023</v>
      </c>
      <c r="Q115" s="6" t="s">
        <v>381</v>
      </c>
    </row>
    <row r="116" spans="1:17" ht="15" customHeight="1" x14ac:dyDescent="0.3">
      <c r="A116" s="6" t="s">
        <v>283</v>
      </c>
      <c r="B116" s="6">
        <v>21313588</v>
      </c>
      <c r="C116" s="6" t="s">
        <v>225</v>
      </c>
      <c r="D116" s="18">
        <v>803436731001</v>
      </c>
      <c r="E116" s="18" t="str">
        <f t="shared" si="3"/>
        <v>8034367310010</v>
      </c>
      <c r="F116" s="6" t="s">
        <v>49</v>
      </c>
      <c r="G116" s="6" t="s">
        <v>6</v>
      </c>
      <c r="H116" s="7">
        <v>46082</v>
      </c>
      <c r="I116" s="8">
        <v>185.58</v>
      </c>
      <c r="J116" s="8">
        <v>185.58</v>
      </c>
      <c r="K116" s="6" t="s">
        <v>27</v>
      </c>
      <c r="L116" s="6"/>
      <c r="M116" s="8">
        <v>23</v>
      </c>
      <c r="N116" s="9">
        <v>1</v>
      </c>
      <c r="O116" s="8">
        <v>23</v>
      </c>
      <c r="P116" s="21">
        <v>46023</v>
      </c>
      <c r="Q116" s="6" t="s">
        <v>381</v>
      </c>
    </row>
    <row r="117" spans="1:17" ht="15" customHeight="1" x14ac:dyDescent="0.3">
      <c r="A117" s="6" t="s">
        <v>283</v>
      </c>
      <c r="B117" s="6">
        <v>21313588</v>
      </c>
      <c r="C117" s="6" t="s">
        <v>227</v>
      </c>
      <c r="D117" s="18">
        <v>803481057001</v>
      </c>
      <c r="E117" s="18" t="str">
        <f t="shared" si="3"/>
        <v>8034810570010</v>
      </c>
      <c r="F117" s="6" t="s">
        <v>49</v>
      </c>
      <c r="G117" s="6" t="s">
        <v>6</v>
      </c>
      <c r="H117" s="7">
        <v>46082</v>
      </c>
      <c r="I117" s="8">
        <v>2.77</v>
      </c>
      <c r="J117" s="8">
        <v>2.77</v>
      </c>
      <c r="K117" s="6" t="s">
        <v>27</v>
      </c>
      <c r="L117" s="6"/>
      <c r="M117" s="8">
        <v>23</v>
      </c>
      <c r="N117" s="9">
        <v>1</v>
      </c>
      <c r="O117" s="8">
        <v>23</v>
      </c>
      <c r="P117" s="21">
        <v>46023</v>
      </c>
      <c r="Q117" s="6" t="s">
        <v>381</v>
      </c>
    </row>
    <row r="118" spans="1:17" ht="15" customHeight="1" x14ac:dyDescent="0.3">
      <c r="A118" s="6" t="s">
        <v>283</v>
      </c>
      <c r="B118" s="6">
        <v>21313588</v>
      </c>
      <c r="C118" s="6" t="s">
        <v>229</v>
      </c>
      <c r="D118" s="18">
        <v>803436921001</v>
      </c>
      <c r="E118" s="18" t="str">
        <f t="shared" si="3"/>
        <v>8034369210010</v>
      </c>
      <c r="F118" s="6" t="s">
        <v>49</v>
      </c>
      <c r="G118" s="6" t="s">
        <v>6</v>
      </c>
      <c r="H118" s="7">
        <v>46082</v>
      </c>
      <c r="I118" s="8">
        <v>141.18</v>
      </c>
      <c r="J118" s="8">
        <v>141.18</v>
      </c>
      <c r="K118" s="6" t="s">
        <v>27</v>
      </c>
      <c r="L118" s="6"/>
      <c r="M118" s="8">
        <v>23</v>
      </c>
      <c r="N118" s="9">
        <v>1</v>
      </c>
      <c r="O118" s="8">
        <v>23</v>
      </c>
      <c r="P118" s="21">
        <v>46023</v>
      </c>
      <c r="Q118" s="6" t="s">
        <v>381</v>
      </c>
    </row>
    <row r="119" spans="1:17" ht="15" customHeight="1" x14ac:dyDescent="0.3">
      <c r="A119" s="6" t="s">
        <v>283</v>
      </c>
      <c r="B119" s="6">
        <v>21313588</v>
      </c>
      <c r="C119" s="6" t="s">
        <v>231</v>
      </c>
      <c r="D119" s="18">
        <v>803396535001</v>
      </c>
      <c r="E119" s="18" t="str">
        <f t="shared" si="3"/>
        <v>8033965350010</v>
      </c>
      <c r="F119" s="6" t="s">
        <v>49</v>
      </c>
      <c r="G119" s="6" t="s">
        <v>6</v>
      </c>
      <c r="H119" s="7">
        <v>46082</v>
      </c>
      <c r="I119" s="8">
        <v>65.58</v>
      </c>
      <c r="J119" s="8">
        <v>65.58</v>
      </c>
      <c r="K119" s="6" t="s">
        <v>27</v>
      </c>
      <c r="L119" s="6"/>
      <c r="M119" s="8">
        <v>23</v>
      </c>
      <c r="N119" s="9">
        <v>1</v>
      </c>
      <c r="O119" s="8">
        <v>23</v>
      </c>
      <c r="P119" s="21">
        <v>46023</v>
      </c>
      <c r="Q119" s="6" t="s">
        <v>381</v>
      </c>
    </row>
    <row r="120" spans="1:17" ht="15" customHeight="1" x14ac:dyDescent="0.3">
      <c r="A120" s="6" t="s">
        <v>283</v>
      </c>
      <c r="B120" s="6">
        <v>21313588</v>
      </c>
      <c r="C120" s="6" t="s">
        <v>233</v>
      </c>
      <c r="D120" s="18">
        <v>803513343001</v>
      </c>
      <c r="E120" s="18" t="str">
        <f t="shared" si="3"/>
        <v>8035133430010</v>
      </c>
      <c r="F120" s="6" t="s">
        <v>49</v>
      </c>
      <c r="G120" s="6" t="s">
        <v>6</v>
      </c>
      <c r="H120" s="7">
        <v>46082</v>
      </c>
      <c r="I120" s="8">
        <v>1</v>
      </c>
      <c r="J120" s="8">
        <v>1</v>
      </c>
      <c r="K120" s="6" t="s">
        <v>27</v>
      </c>
      <c r="L120" s="6"/>
      <c r="M120" s="8">
        <v>23</v>
      </c>
      <c r="N120" s="9">
        <v>1</v>
      </c>
      <c r="O120" s="8">
        <v>23</v>
      </c>
      <c r="P120" s="21">
        <v>46023</v>
      </c>
      <c r="Q120" s="6" t="s">
        <v>381</v>
      </c>
    </row>
    <row r="121" spans="1:17" ht="15" customHeight="1" x14ac:dyDescent="0.3">
      <c r="A121" s="6" t="s">
        <v>283</v>
      </c>
      <c r="B121" s="6">
        <v>21313588</v>
      </c>
      <c r="C121" s="6" t="s">
        <v>235</v>
      </c>
      <c r="D121" s="18">
        <v>803422285001</v>
      </c>
      <c r="E121" s="18" t="str">
        <f t="shared" si="3"/>
        <v>8034222850010</v>
      </c>
      <c r="F121" s="6" t="s">
        <v>49</v>
      </c>
      <c r="G121" s="6" t="s">
        <v>6</v>
      </c>
      <c r="H121" s="7">
        <v>46082</v>
      </c>
      <c r="I121" s="8">
        <v>152.15</v>
      </c>
      <c r="J121" s="8">
        <v>152.15</v>
      </c>
      <c r="K121" s="6" t="s">
        <v>27</v>
      </c>
      <c r="L121" s="6" t="s">
        <v>374</v>
      </c>
      <c r="M121" s="8">
        <v>23</v>
      </c>
      <c r="N121" s="9">
        <v>1</v>
      </c>
      <c r="O121" s="8">
        <v>69</v>
      </c>
      <c r="P121" s="21">
        <v>46023</v>
      </c>
      <c r="Q121" s="6" t="s">
        <v>381</v>
      </c>
    </row>
    <row r="122" spans="1:17" ht="15" customHeight="1" x14ac:dyDescent="0.3">
      <c r="A122" s="6" t="s">
        <v>285</v>
      </c>
      <c r="B122" s="6">
        <v>6634327</v>
      </c>
      <c r="C122" s="6" t="s">
        <v>239</v>
      </c>
      <c r="D122" s="18">
        <v>803500688001</v>
      </c>
      <c r="E122" s="18" t="str">
        <f t="shared" si="3"/>
        <v>8035006880010</v>
      </c>
      <c r="F122" s="6" t="s">
        <v>49</v>
      </c>
      <c r="G122" s="6" t="s">
        <v>6</v>
      </c>
      <c r="H122" s="7">
        <v>46082</v>
      </c>
      <c r="I122" s="8">
        <v>910.18</v>
      </c>
      <c r="J122" s="8">
        <v>910.18</v>
      </c>
      <c r="K122" s="6" t="s">
        <v>27</v>
      </c>
      <c r="L122" s="6" t="s">
        <v>375</v>
      </c>
      <c r="M122" s="8">
        <v>23</v>
      </c>
      <c r="N122" s="9">
        <v>1</v>
      </c>
      <c r="O122" s="8">
        <v>92</v>
      </c>
      <c r="P122" s="21">
        <v>46023</v>
      </c>
      <c r="Q122" s="6" t="s">
        <v>381</v>
      </c>
    </row>
    <row r="123" spans="1:17" ht="15" customHeight="1" x14ac:dyDescent="0.3">
      <c r="A123" s="6" t="s">
        <v>285</v>
      </c>
      <c r="B123" s="6">
        <v>6634327</v>
      </c>
      <c r="C123" s="6" t="s">
        <v>241</v>
      </c>
      <c r="D123" s="18">
        <v>803468689001</v>
      </c>
      <c r="E123" s="18" t="str">
        <f t="shared" si="3"/>
        <v>8034686890010</v>
      </c>
      <c r="F123" s="6" t="s">
        <v>49</v>
      </c>
      <c r="G123" s="6" t="s">
        <v>6</v>
      </c>
      <c r="H123" s="7">
        <v>46082</v>
      </c>
      <c r="I123" s="8">
        <v>1645.15</v>
      </c>
      <c r="J123" s="8">
        <v>1645.15</v>
      </c>
      <c r="K123" s="6" t="s">
        <v>27</v>
      </c>
      <c r="L123" s="6" t="s">
        <v>376</v>
      </c>
      <c r="M123" s="8">
        <v>23</v>
      </c>
      <c r="N123" s="9">
        <v>1</v>
      </c>
      <c r="O123" s="8">
        <v>115</v>
      </c>
      <c r="P123" s="21">
        <v>46023</v>
      </c>
      <c r="Q123" s="6" t="s">
        <v>381</v>
      </c>
    </row>
    <row r="124" spans="1:17" ht="15" customHeight="1" x14ac:dyDescent="0.3">
      <c r="A124" s="6" t="s">
        <v>285</v>
      </c>
      <c r="B124" s="6">
        <v>6634327</v>
      </c>
      <c r="C124" s="6" t="s">
        <v>243</v>
      </c>
      <c r="D124" s="18">
        <v>803422263001</v>
      </c>
      <c r="E124" s="18" t="str">
        <f t="shared" si="3"/>
        <v>8034222630010</v>
      </c>
      <c r="F124" s="6" t="s">
        <v>49</v>
      </c>
      <c r="G124" s="6" t="s">
        <v>6</v>
      </c>
      <c r="H124" s="7">
        <v>46082</v>
      </c>
      <c r="I124" s="8">
        <v>902.9</v>
      </c>
      <c r="J124" s="8">
        <v>902.9</v>
      </c>
      <c r="K124" s="6" t="s">
        <v>27</v>
      </c>
      <c r="L124" s="6"/>
      <c r="M124" s="8">
        <v>23</v>
      </c>
      <c r="N124" s="9">
        <v>1</v>
      </c>
      <c r="O124" s="8">
        <v>23</v>
      </c>
      <c r="P124" s="21">
        <v>46023</v>
      </c>
      <c r="Q124" s="6" t="s">
        <v>381</v>
      </c>
    </row>
    <row r="125" spans="1:17" ht="15" customHeight="1" x14ac:dyDescent="0.3">
      <c r="A125" s="6" t="s">
        <v>285</v>
      </c>
      <c r="B125" s="6">
        <v>6634327</v>
      </c>
      <c r="C125" s="6" t="s">
        <v>245</v>
      </c>
      <c r="D125" s="18">
        <v>803433234001</v>
      </c>
      <c r="E125" s="18" t="str">
        <f t="shared" si="3"/>
        <v>8034332340010</v>
      </c>
      <c r="F125" s="6" t="s">
        <v>49</v>
      </c>
      <c r="G125" s="6" t="s">
        <v>6</v>
      </c>
      <c r="H125" s="7">
        <v>46082</v>
      </c>
      <c r="I125" s="8">
        <v>232.76</v>
      </c>
      <c r="J125" s="8">
        <v>232.76</v>
      </c>
      <c r="K125" s="6" t="s">
        <v>27</v>
      </c>
      <c r="L125" s="6"/>
      <c r="M125" s="8">
        <v>23</v>
      </c>
      <c r="N125" s="9">
        <v>1</v>
      </c>
      <c r="O125" s="8">
        <v>23</v>
      </c>
      <c r="P125" s="21">
        <v>46023</v>
      </c>
      <c r="Q125" s="6" t="s">
        <v>381</v>
      </c>
    </row>
    <row r="126" spans="1:17" ht="15" customHeight="1" x14ac:dyDescent="0.3">
      <c r="A126" s="6" t="s">
        <v>285</v>
      </c>
      <c r="B126" s="6">
        <v>6634327</v>
      </c>
      <c r="C126" s="6" t="s">
        <v>247</v>
      </c>
      <c r="D126" s="18">
        <v>803467664001</v>
      </c>
      <c r="E126" s="18" t="str">
        <f t="shared" si="3"/>
        <v>8034676640010</v>
      </c>
      <c r="F126" s="6" t="s">
        <v>49</v>
      </c>
      <c r="G126" s="6" t="s">
        <v>6</v>
      </c>
      <c r="H126" s="7">
        <v>46082</v>
      </c>
      <c r="I126" s="8">
        <v>1855.46</v>
      </c>
      <c r="J126" s="8">
        <v>1855.46</v>
      </c>
      <c r="K126" s="6" t="s">
        <v>27</v>
      </c>
      <c r="L126" s="6" t="s">
        <v>373</v>
      </c>
      <c r="M126" s="8">
        <v>23</v>
      </c>
      <c r="N126" s="9">
        <v>1</v>
      </c>
      <c r="O126" s="8">
        <v>46</v>
      </c>
      <c r="P126" s="21">
        <v>46023</v>
      </c>
      <c r="Q126" s="6" t="s">
        <v>381</v>
      </c>
    </row>
    <row r="127" spans="1:17" ht="15" customHeight="1" x14ac:dyDescent="0.3">
      <c r="A127" s="6" t="s">
        <v>285</v>
      </c>
      <c r="B127" s="6">
        <v>6634327</v>
      </c>
      <c r="C127" s="6" t="s">
        <v>249</v>
      </c>
      <c r="D127" s="18">
        <v>803535170001</v>
      </c>
      <c r="E127" s="18" t="str">
        <f t="shared" si="3"/>
        <v>8035351700010</v>
      </c>
      <c r="F127" s="6" t="s">
        <v>49</v>
      </c>
      <c r="G127" s="6" t="s">
        <v>6</v>
      </c>
      <c r="H127" s="7">
        <v>46082</v>
      </c>
      <c r="I127" s="8">
        <v>314.5</v>
      </c>
      <c r="J127" s="8">
        <v>314.5</v>
      </c>
      <c r="K127" s="6" t="s">
        <v>27</v>
      </c>
      <c r="L127" s="6"/>
      <c r="M127" s="8">
        <v>23</v>
      </c>
      <c r="N127" s="9">
        <v>1</v>
      </c>
      <c r="O127" s="8">
        <v>23</v>
      </c>
      <c r="P127" s="21">
        <v>46023</v>
      </c>
      <c r="Q127" s="6" t="s">
        <v>381</v>
      </c>
    </row>
    <row r="128" spans="1:17" ht="15" customHeight="1" x14ac:dyDescent="0.3">
      <c r="A128" s="6" t="s">
        <v>285</v>
      </c>
      <c r="B128" s="6">
        <v>6634327</v>
      </c>
      <c r="C128" s="6" t="s">
        <v>251</v>
      </c>
      <c r="D128" s="18">
        <v>803521560001</v>
      </c>
      <c r="E128" s="18" t="str">
        <f t="shared" si="3"/>
        <v>8035215600010</v>
      </c>
      <c r="F128" s="6" t="s">
        <v>49</v>
      </c>
      <c r="G128" s="6" t="s">
        <v>6</v>
      </c>
      <c r="H128" s="7">
        <v>46082</v>
      </c>
      <c r="I128" s="8">
        <v>1583.92</v>
      </c>
      <c r="J128" s="8">
        <v>1583.92</v>
      </c>
      <c r="K128" s="6" t="s">
        <v>27</v>
      </c>
      <c r="L128" s="6" t="s">
        <v>373</v>
      </c>
      <c r="M128" s="8">
        <v>23</v>
      </c>
      <c r="N128" s="9">
        <v>1</v>
      </c>
      <c r="O128" s="8">
        <v>46</v>
      </c>
      <c r="P128" s="21">
        <v>46023</v>
      </c>
      <c r="Q128" s="6" t="s">
        <v>381</v>
      </c>
    </row>
    <row r="129" spans="1:17" ht="15" customHeight="1" x14ac:dyDescent="0.3">
      <c r="A129" s="6" t="s">
        <v>285</v>
      </c>
      <c r="B129" s="6">
        <v>6634327</v>
      </c>
      <c r="C129" s="6" t="s">
        <v>253</v>
      </c>
      <c r="D129" s="18">
        <v>803531919001</v>
      </c>
      <c r="E129" s="18" t="str">
        <f t="shared" si="3"/>
        <v>8035319190010</v>
      </c>
      <c r="F129" s="6" t="s">
        <v>49</v>
      </c>
      <c r="G129" s="6" t="s">
        <v>6</v>
      </c>
      <c r="H129" s="7">
        <v>46082</v>
      </c>
      <c r="I129" s="8">
        <v>331.76</v>
      </c>
      <c r="J129" s="8">
        <v>331.76</v>
      </c>
      <c r="K129" s="6" t="s">
        <v>27</v>
      </c>
      <c r="L129" s="6" t="s">
        <v>375</v>
      </c>
      <c r="M129" s="8">
        <v>23</v>
      </c>
      <c r="N129" s="9">
        <v>1</v>
      </c>
      <c r="O129" s="8">
        <v>92</v>
      </c>
      <c r="P129" s="21">
        <v>46023</v>
      </c>
      <c r="Q129" s="6" t="s">
        <v>381</v>
      </c>
    </row>
    <row r="130" spans="1:17" ht="15" customHeight="1" x14ac:dyDescent="0.3">
      <c r="A130" s="6" t="s">
        <v>285</v>
      </c>
      <c r="B130" s="6">
        <v>6634327</v>
      </c>
      <c r="C130" s="6" t="s">
        <v>255</v>
      </c>
      <c r="D130" s="18">
        <v>803467543001</v>
      </c>
      <c r="E130" s="18" t="str">
        <f t="shared" ref="E130:E134" si="4">CONCATENATE(D130,0)</f>
        <v>8034675430010</v>
      </c>
      <c r="F130" s="6" t="s">
        <v>49</v>
      </c>
      <c r="G130" s="6" t="s">
        <v>6</v>
      </c>
      <c r="H130" s="7">
        <v>46082</v>
      </c>
      <c r="I130" s="8">
        <v>3.73</v>
      </c>
      <c r="J130" s="8">
        <v>3.73</v>
      </c>
      <c r="K130" s="6" t="s">
        <v>27</v>
      </c>
      <c r="L130" s="6" t="s">
        <v>373</v>
      </c>
      <c r="M130" s="8">
        <v>23</v>
      </c>
      <c r="N130" s="9">
        <v>1</v>
      </c>
      <c r="O130" s="8">
        <v>46</v>
      </c>
      <c r="P130" s="21">
        <v>46023</v>
      </c>
      <c r="Q130" s="6" t="s">
        <v>381</v>
      </c>
    </row>
    <row r="131" spans="1:17" ht="15" customHeight="1" x14ac:dyDescent="0.3">
      <c r="A131" s="6" t="s">
        <v>285</v>
      </c>
      <c r="B131" s="6">
        <v>6634327</v>
      </c>
      <c r="C131" s="6" t="s">
        <v>257</v>
      </c>
      <c r="D131" s="18">
        <v>803518661001</v>
      </c>
      <c r="E131" s="18" t="str">
        <f t="shared" si="4"/>
        <v>8035186610010</v>
      </c>
      <c r="F131" s="6" t="s">
        <v>49</v>
      </c>
      <c r="G131" s="6" t="s">
        <v>6</v>
      </c>
      <c r="H131" s="7">
        <v>46054</v>
      </c>
      <c r="I131" s="8">
        <v>38.200000000000003</v>
      </c>
      <c r="J131" s="8">
        <v>38.200000000000003</v>
      </c>
      <c r="K131" s="6" t="s">
        <v>27</v>
      </c>
      <c r="L131" s="6"/>
      <c r="M131" s="8">
        <v>23</v>
      </c>
      <c r="N131" s="9">
        <v>1</v>
      </c>
      <c r="O131" s="8">
        <v>23</v>
      </c>
      <c r="P131" s="21">
        <v>46023</v>
      </c>
      <c r="Q131" s="6" t="s">
        <v>381</v>
      </c>
    </row>
    <row r="132" spans="1:17" ht="15" customHeight="1" x14ac:dyDescent="0.3">
      <c r="A132" s="6" t="s">
        <v>285</v>
      </c>
      <c r="B132" s="6">
        <v>6634327</v>
      </c>
      <c r="C132" s="6" t="s">
        <v>257</v>
      </c>
      <c r="D132" s="18">
        <v>803518661001</v>
      </c>
      <c r="E132" s="18" t="str">
        <f t="shared" si="4"/>
        <v>8035186610010</v>
      </c>
      <c r="F132" s="6" t="s">
        <v>49</v>
      </c>
      <c r="G132" s="6" t="s">
        <v>6</v>
      </c>
      <c r="H132" s="7">
        <v>46082</v>
      </c>
      <c r="I132" s="8">
        <v>38.200000000000003</v>
      </c>
      <c r="J132" s="8">
        <v>38.200000000000003</v>
      </c>
      <c r="K132" s="6" t="s">
        <v>27</v>
      </c>
      <c r="L132" s="6"/>
      <c r="M132" s="8">
        <v>23</v>
      </c>
      <c r="N132" s="9">
        <v>1</v>
      </c>
      <c r="O132" s="8">
        <v>23</v>
      </c>
      <c r="P132" s="21">
        <v>46023</v>
      </c>
      <c r="Q132" s="6" t="s">
        <v>381</v>
      </c>
    </row>
    <row r="133" spans="1:17" ht="15" customHeight="1" x14ac:dyDescent="0.3">
      <c r="A133" s="6" t="s">
        <v>285</v>
      </c>
      <c r="B133" s="6">
        <v>6634327</v>
      </c>
      <c r="C133" s="6" t="s">
        <v>259</v>
      </c>
      <c r="D133" s="18">
        <v>803433633001</v>
      </c>
      <c r="E133" s="18" t="str">
        <f t="shared" si="4"/>
        <v>8034336330010</v>
      </c>
      <c r="F133" s="6" t="s">
        <v>49</v>
      </c>
      <c r="G133" s="6" t="s">
        <v>6</v>
      </c>
      <c r="H133" s="7">
        <v>46082</v>
      </c>
      <c r="I133" s="8">
        <v>826.14</v>
      </c>
      <c r="J133" s="8">
        <v>826.14</v>
      </c>
      <c r="K133" s="6" t="s">
        <v>27</v>
      </c>
      <c r="L133" s="6"/>
      <c r="M133" s="8">
        <v>23</v>
      </c>
      <c r="N133" s="9">
        <v>1</v>
      </c>
      <c r="O133" s="8">
        <v>23</v>
      </c>
      <c r="P133" s="21">
        <v>46023</v>
      </c>
      <c r="Q133" s="6" t="s">
        <v>381</v>
      </c>
    </row>
    <row r="134" spans="1:17" ht="15" customHeight="1" x14ac:dyDescent="0.3">
      <c r="A134" s="6" t="s">
        <v>288</v>
      </c>
      <c r="B134" s="6">
        <v>12047257</v>
      </c>
      <c r="C134" s="6" t="s">
        <v>263</v>
      </c>
      <c r="D134" s="18">
        <v>802732550001</v>
      </c>
      <c r="E134" s="18" t="str">
        <f t="shared" si="4"/>
        <v>8027325500010</v>
      </c>
      <c r="F134" s="6" t="s">
        <v>25</v>
      </c>
      <c r="G134" s="6" t="s">
        <v>6</v>
      </c>
      <c r="H134" s="7">
        <v>45931</v>
      </c>
      <c r="I134" s="8">
        <v>137.97999999999999</v>
      </c>
      <c r="J134" s="8">
        <v>137.97999999999999</v>
      </c>
      <c r="K134" s="6" t="s">
        <v>27</v>
      </c>
      <c r="L134" s="6" t="s">
        <v>373</v>
      </c>
      <c r="M134" s="8">
        <v>20</v>
      </c>
      <c r="N134" s="9">
        <v>1</v>
      </c>
      <c r="O134" s="8">
        <v>40</v>
      </c>
      <c r="P134" s="21">
        <v>46023</v>
      </c>
      <c r="Q134" s="6" t="s">
        <v>380</v>
      </c>
    </row>
    <row r="135" spans="1:17" x14ac:dyDescent="0.3">
      <c r="A135" s="6" t="s">
        <v>278</v>
      </c>
      <c r="B135" s="6">
        <v>16865615</v>
      </c>
      <c r="C135" s="6" t="s">
        <v>322</v>
      </c>
      <c r="D135" s="20">
        <v>803309626</v>
      </c>
      <c r="E135" s="18" t="str">
        <f t="shared" ref="E135:E158" si="5">CONCATENATE(D135,1)</f>
        <v>8033096261</v>
      </c>
      <c r="H135" s="7">
        <v>46082</v>
      </c>
      <c r="L135" t="s">
        <v>378</v>
      </c>
      <c r="O135" s="8">
        <v>28.9</v>
      </c>
      <c r="P135" s="15">
        <v>45962</v>
      </c>
      <c r="Q135" t="s">
        <v>379</v>
      </c>
    </row>
    <row r="136" spans="1:17" x14ac:dyDescent="0.3">
      <c r="A136" s="6" t="s">
        <v>278</v>
      </c>
      <c r="B136" s="6">
        <v>16865615</v>
      </c>
      <c r="C136" s="6" t="s">
        <v>326</v>
      </c>
      <c r="D136" s="20">
        <v>803223990</v>
      </c>
      <c r="E136" s="18" t="str">
        <f t="shared" si="5"/>
        <v>8032239901</v>
      </c>
      <c r="H136" s="7">
        <v>46082</v>
      </c>
      <c r="L136" t="s">
        <v>378</v>
      </c>
      <c r="O136" s="8">
        <v>28.9</v>
      </c>
      <c r="P136" s="15">
        <v>45689</v>
      </c>
      <c r="Q136" t="s">
        <v>379</v>
      </c>
    </row>
    <row r="137" spans="1:17" x14ac:dyDescent="0.3">
      <c r="A137" s="6" t="s">
        <v>278</v>
      </c>
      <c r="B137" s="6">
        <v>16865615</v>
      </c>
      <c r="C137" s="6" t="s">
        <v>329</v>
      </c>
      <c r="D137" s="20">
        <v>803223989</v>
      </c>
      <c r="E137" s="18" t="str">
        <f t="shared" si="5"/>
        <v>8032239891</v>
      </c>
      <c r="H137" s="7">
        <v>46082</v>
      </c>
      <c r="L137" t="s">
        <v>378</v>
      </c>
      <c r="O137" s="8">
        <v>28.9</v>
      </c>
      <c r="P137" s="15">
        <v>45689</v>
      </c>
      <c r="Q137" t="s">
        <v>379</v>
      </c>
    </row>
    <row r="138" spans="1:17" x14ac:dyDescent="0.3">
      <c r="A138" s="6" t="s">
        <v>278</v>
      </c>
      <c r="B138" s="6">
        <v>16865615</v>
      </c>
      <c r="C138" s="6" t="s">
        <v>331</v>
      </c>
      <c r="D138" s="20">
        <v>803101991</v>
      </c>
      <c r="E138" s="18" t="str">
        <f t="shared" si="5"/>
        <v>8031019911</v>
      </c>
      <c r="H138" s="7">
        <v>46082</v>
      </c>
      <c r="L138" t="s">
        <v>378</v>
      </c>
      <c r="O138" s="8">
        <v>28.9</v>
      </c>
      <c r="P138" s="15">
        <v>45658</v>
      </c>
      <c r="Q138" t="s">
        <v>379</v>
      </c>
    </row>
    <row r="139" spans="1:17" x14ac:dyDescent="0.3">
      <c r="A139" s="6" t="s">
        <v>278</v>
      </c>
      <c r="B139" s="6">
        <v>16865615</v>
      </c>
      <c r="C139" s="6" t="s">
        <v>333</v>
      </c>
      <c r="D139" s="20">
        <v>803237352</v>
      </c>
      <c r="E139" s="18" t="str">
        <f t="shared" si="5"/>
        <v>8032373521</v>
      </c>
      <c r="H139" s="7">
        <v>46082</v>
      </c>
      <c r="L139" t="s">
        <v>378</v>
      </c>
      <c r="O139" s="8">
        <v>28.9</v>
      </c>
      <c r="P139" s="15">
        <v>45778</v>
      </c>
      <c r="Q139" t="s">
        <v>379</v>
      </c>
    </row>
    <row r="140" spans="1:17" x14ac:dyDescent="0.3">
      <c r="A140" s="6" t="s">
        <v>278</v>
      </c>
      <c r="B140" s="6">
        <v>16865615</v>
      </c>
      <c r="C140" s="6" t="s">
        <v>335</v>
      </c>
      <c r="D140" s="20">
        <v>803225193</v>
      </c>
      <c r="E140" s="18" t="str">
        <f t="shared" si="5"/>
        <v>8032251931</v>
      </c>
      <c r="H140" s="7">
        <v>46082</v>
      </c>
      <c r="L140" t="s">
        <v>378</v>
      </c>
      <c r="O140" s="8">
        <v>28.9</v>
      </c>
      <c r="P140" s="15">
        <v>45689</v>
      </c>
      <c r="Q140" t="s">
        <v>379</v>
      </c>
    </row>
    <row r="141" spans="1:17" x14ac:dyDescent="0.3">
      <c r="A141" s="6" t="s">
        <v>278</v>
      </c>
      <c r="B141" s="6">
        <v>16865615</v>
      </c>
      <c r="C141" s="6" t="s">
        <v>337</v>
      </c>
      <c r="D141" s="20">
        <v>803304058</v>
      </c>
      <c r="E141" s="18" t="str">
        <f t="shared" si="5"/>
        <v>8033040581</v>
      </c>
      <c r="H141" s="7">
        <v>46082</v>
      </c>
      <c r="L141" t="s">
        <v>378</v>
      </c>
      <c r="O141" s="8">
        <v>28.9</v>
      </c>
      <c r="P141" s="15">
        <v>45870</v>
      </c>
      <c r="Q141" t="s">
        <v>379</v>
      </c>
    </row>
    <row r="142" spans="1:17" x14ac:dyDescent="0.3">
      <c r="A142" s="6" t="s">
        <v>278</v>
      </c>
      <c r="B142" s="6">
        <v>16865615</v>
      </c>
      <c r="C142" s="6" t="s">
        <v>339</v>
      </c>
      <c r="D142" s="20">
        <v>803440100</v>
      </c>
      <c r="E142" s="18" t="str">
        <f t="shared" si="5"/>
        <v>8034401001</v>
      </c>
      <c r="H142" s="7">
        <v>46082</v>
      </c>
      <c r="L142" t="s">
        <v>377</v>
      </c>
      <c r="O142" s="8">
        <v>14.45</v>
      </c>
      <c r="P142" s="15">
        <v>46023</v>
      </c>
      <c r="Q142" t="s">
        <v>379</v>
      </c>
    </row>
    <row r="143" spans="1:17" x14ac:dyDescent="0.3">
      <c r="A143" s="6" t="s">
        <v>278</v>
      </c>
      <c r="B143" s="6">
        <v>16865615</v>
      </c>
      <c r="C143" s="6" t="s">
        <v>341</v>
      </c>
      <c r="D143" s="20">
        <v>803076965</v>
      </c>
      <c r="E143" s="18" t="str">
        <f t="shared" si="5"/>
        <v>8030769651</v>
      </c>
      <c r="H143" s="7">
        <v>46082</v>
      </c>
      <c r="L143" t="s">
        <v>378</v>
      </c>
      <c r="O143" s="8">
        <v>28.9</v>
      </c>
      <c r="P143" s="15">
        <v>45627</v>
      </c>
      <c r="Q143" t="s">
        <v>379</v>
      </c>
    </row>
    <row r="144" spans="1:17" x14ac:dyDescent="0.3">
      <c r="A144" s="6" t="s">
        <v>278</v>
      </c>
      <c r="B144" s="6">
        <v>16865615</v>
      </c>
      <c r="C144" s="6" t="s">
        <v>343</v>
      </c>
      <c r="D144" s="20">
        <v>803265309</v>
      </c>
      <c r="E144" s="18" t="str">
        <f t="shared" si="5"/>
        <v>8032653091</v>
      </c>
      <c r="H144" s="7">
        <v>46082</v>
      </c>
      <c r="L144" t="s">
        <v>378</v>
      </c>
      <c r="O144" s="8">
        <v>28.9</v>
      </c>
      <c r="P144" s="15">
        <v>45778</v>
      </c>
      <c r="Q144" t="s">
        <v>379</v>
      </c>
    </row>
    <row r="145" spans="1:17" x14ac:dyDescent="0.3">
      <c r="A145" s="6" t="s">
        <v>278</v>
      </c>
      <c r="B145" s="6">
        <v>16865615</v>
      </c>
      <c r="C145" s="6" t="s">
        <v>345</v>
      </c>
      <c r="D145" s="20">
        <v>803168056</v>
      </c>
      <c r="E145" s="18" t="str">
        <f t="shared" si="5"/>
        <v>8031680561</v>
      </c>
      <c r="H145" s="7">
        <v>46082</v>
      </c>
      <c r="L145" t="s">
        <v>378</v>
      </c>
      <c r="O145" s="8">
        <v>28.9</v>
      </c>
      <c r="P145" s="15">
        <v>45658</v>
      </c>
      <c r="Q145" t="s">
        <v>379</v>
      </c>
    </row>
    <row r="146" spans="1:17" x14ac:dyDescent="0.3">
      <c r="A146" s="6" t="s">
        <v>278</v>
      </c>
      <c r="B146" s="6">
        <v>16865615</v>
      </c>
      <c r="C146" s="6" t="s">
        <v>347</v>
      </c>
      <c r="D146" s="20">
        <v>803136752</v>
      </c>
      <c r="E146" s="18" t="str">
        <f t="shared" si="5"/>
        <v>8031367521</v>
      </c>
      <c r="H146" s="7">
        <v>46082</v>
      </c>
      <c r="L146" t="s">
        <v>378</v>
      </c>
      <c r="O146" s="8">
        <v>28.9</v>
      </c>
      <c r="P146" s="15">
        <v>45658</v>
      </c>
      <c r="Q146" t="s">
        <v>379</v>
      </c>
    </row>
    <row r="147" spans="1:17" x14ac:dyDescent="0.3">
      <c r="A147" s="6" t="s">
        <v>278</v>
      </c>
      <c r="B147" s="6">
        <v>16865615</v>
      </c>
      <c r="C147" s="6" t="s">
        <v>349</v>
      </c>
      <c r="D147" s="20">
        <v>803167980</v>
      </c>
      <c r="E147" s="18" t="str">
        <f t="shared" si="5"/>
        <v>8031679801</v>
      </c>
      <c r="H147" s="7">
        <v>46054</v>
      </c>
      <c r="L147" t="s">
        <v>378</v>
      </c>
      <c r="O147" s="8">
        <v>-28.9</v>
      </c>
      <c r="P147" s="15">
        <v>45658</v>
      </c>
      <c r="Q147" t="s">
        <v>379</v>
      </c>
    </row>
    <row r="148" spans="1:17" x14ac:dyDescent="0.3">
      <c r="A148" s="6" t="s">
        <v>278</v>
      </c>
      <c r="B148" s="6">
        <v>16865615</v>
      </c>
      <c r="C148" s="6" t="s">
        <v>352</v>
      </c>
      <c r="D148" s="20">
        <v>803440129</v>
      </c>
      <c r="E148" s="18" t="str">
        <f t="shared" si="5"/>
        <v>8034401291</v>
      </c>
      <c r="H148" s="7">
        <v>46082</v>
      </c>
      <c r="L148" t="s">
        <v>377</v>
      </c>
      <c r="O148" s="8">
        <v>14.45</v>
      </c>
      <c r="P148" s="15">
        <v>46023</v>
      </c>
      <c r="Q148" t="s">
        <v>379</v>
      </c>
    </row>
    <row r="149" spans="1:17" x14ac:dyDescent="0.3">
      <c r="A149" s="6" t="s">
        <v>278</v>
      </c>
      <c r="B149" s="6">
        <v>16865615</v>
      </c>
      <c r="C149" s="6" t="s">
        <v>354</v>
      </c>
      <c r="D149" s="20">
        <v>803078257</v>
      </c>
      <c r="E149" s="18" t="str">
        <f t="shared" si="5"/>
        <v>8030782571</v>
      </c>
      <c r="H149" s="7">
        <v>46082</v>
      </c>
      <c r="L149" t="s">
        <v>378</v>
      </c>
      <c r="O149" s="8">
        <v>28.9</v>
      </c>
      <c r="P149" s="15">
        <v>45658</v>
      </c>
      <c r="Q149" t="s">
        <v>379</v>
      </c>
    </row>
    <row r="150" spans="1:17" x14ac:dyDescent="0.3">
      <c r="A150" s="6" t="s">
        <v>278</v>
      </c>
      <c r="B150" s="6">
        <v>16865615</v>
      </c>
      <c r="C150" s="6" t="s">
        <v>357</v>
      </c>
      <c r="D150" s="20">
        <v>803155239</v>
      </c>
      <c r="E150" s="18" t="str">
        <f t="shared" si="5"/>
        <v>8031552391</v>
      </c>
      <c r="H150" s="7">
        <v>46082</v>
      </c>
      <c r="L150" t="s">
        <v>378</v>
      </c>
      <c r="O150" s="8">
        <v>28.9</v>
      </c>
      <c r="P150" s="15">
        <v>45658</v>
      </c>
      <c r="Q150" t="s">
        <v>379</v>
      </c>
    </row>
    <row r="151" spans="1:17" x14ac:dyDescent="0.3">
      <c r="A151" s="6" t="s">
        <v>278</v>
      </c>
      <c r="B151" s="6">
        <v>16865615</v>
      </c>
      <c r="C151" s="6" t="s">
        <v>359</v>
      </c>
      <c r="D151" s="20">
        <v>803224623</v>
      </c>
      <c r="E151" s="18" t="str">
        <f t="shared" si="5"/>
        <v>8032246231</v>
      </c>
      <c r="H151" s="7">
        <v>46082</v>
      </c>
      <c r="L151" t="s">
        <v>378</v>
      </c>
      <c r="O151" s="8">
        <v>28.9</v>
      </c>
      <c r="P151" s="15">
        <v>45689</v>
      </c>
      <c r="Q151" t="s">
        <v>379</v>
      </c>
    </row>
    <row r="152" spans="1:17" x14ac:dyDescent="0.3">
      <c r="A152" s="6" t="s">
        <v>278</v>
      </c>
      <c r="B152" s="6">
        <v>16865615</v>
      </c>
      <c r="C152" s="6" t="s">
        <v>361</v>
      </c>
      <c r="D152" s="20">
        <v>803224622</v>
      </c>
      <c r="E152" s="18" t="str">
        <f t="shared" si="5"/>
        <v>8032246221</v>
      </c>
      <c r="H152" s="7">
        <v>46082</v>
      </c>
      <c r="L152" t="s">
        <v>378</v>
      </c>
      <c r="O152" s="8">
        <v>28.9</v>
      </c>
      <c r="P152" s="15">
        <v>45689</v>
      </c>
      <c r="Q152" t="s">
        <v>379</v>
      </c>
    </row>
    <row r="153" spans="1:17" x14ac:dyDescent="0.3">
      <c r="A153" s="6" t="s">
        <v>278</v>
      </c>
      <c r="B153" s="6">
        <v>16865615</v>
      </c>
      <c r="C153" s="6" t="s">
        <v>363</v>
      </c>
      <c r="D153" s="20">
        <v>803390240</v>
      </c>
      <c r="E153" s="18" t="str">
        <f t="shared" si="5"/>
        <v>8033902401</v>
      </c>
      <c r="H153" s="7">
        <v>46082</v>
      </c>
      <c r="L153" t="s">
        <v>377</v>
      </c>
      <c r="O153" s="8">
        <v>14.45</v>
      </c>
      <c r="P153" s="15">
        <v>46023</v>
      </c>
      <c r="Q153" t="s">
        <v>379</v>
      </c>
    </row>
    <row r="154" spans="1:17" x14ac:dyDescent="0.3">
      <c r="A154" s="6" t="s">
        <v>278</v>
      </c>
      <c r="B154" s="6">
        <v>16865615</v>
      </c>
      <c r="C154" s="6" t="s">
        <v>365</v>
      </c>
      <c r="D154" s="20">
        <v>803404523</v>
      </c>
      <c r="E154" s="18" t="str">
        <f t="shared" si="5"/>
        <v>8034045231</v>
      </c>
      <c r="H154" s="7">
        <v>46082</v>
      </c>
      <c r="L154" t="s">
        <v>378</v>
      </c>
      <c r="O154" s="8">
        <v>28.9</v>
      </c>
      <c r="P154" s="15">
        <v>45992</v>
      </c>
      <c r="Q154" t="s">
        <v>379</v>
      </c>
    </row>
    <row r="155" spans="1:17" x14ac:dyDescent="0.3">
      <c r="A155" s="6" t="s">
        <v>278</v>
      </c>
      <c r="B155" s="6">
        <v>16865615</v>
      </c>
      <c r="C155" s="6" t="s">
        <v>367</v>
      </c>
      <c r="D155" s="20">
        <v>803250924</v>
      </c>
      <c r="E155" s="18" t="str">
        <f t="shared" si="5"/>
        <v>8032509241</v>
      </c>
      <c r="H155" s="7">
        <v>46082</v>
      </c>
      <c r="L155" t="s">
        <v>378</v>
      </c>
      <c r="O155" s="8">
        <v>28.9</v>
      </c>
      <c r="P155" s="15">
        <v>45748</v>
      </c>
      <c r="Q155" t="s">
        <v>379</v>
      </c>
    </row>
    <row r="156" spans="1:17" x14ac:dyDescent="0.3">
      <c r="A156" s="6" t="s">
        <v>278</v>
      </c>
      <c r="B156" s="6">
        <v>16865615</v>
      </c>
      <c r="C156" s="6" t="s">
        <v>369</v>
      </c>
      <c r="D156" s="20">
        <v>803123414</v>
      </c>
      <c r="E156" s="18" t="str">
        <f t="shared" si="5"/>
        <v>8031234141</v>
      </c>
      <c r="H156" s="7">
        <v>46082</v>
      </c>
      <c r="L156" t="s">
        <v>378</v>
      </c>
      <c r="O156" s="8">
        <v>28.9</v>
      </c>
      <c r="P156" s="15">
        <v>45658</v>
      </c>
      <c r="Q156" t="s">
        <v>379</v>
      </c>
    </row>
    <row r="157" spans="1:17" x14ac:dyDescent="0.3">
      <c r="A157" s="6" t="s">
        <v>278</v>
      </c>
      <c r="B157" s="6">
        <v>16865615</v>
      </c>
      <c r="C157" s="6" t="s">
        <v>372</v>
      </c>
      <c r="D157" s="20">
        <v>803322612</v>
      </c>
      <c r="E157" s="18" t="str">
        <f t="shared" si="5"/>
        <v>8033226121</v>
      </c>
      <c r="H157" s="7">
        <v>46082</v>
      </c>
      <c r="L157" t="s">
        <v>378</v>
      </c>
      <c r="O157" s="8">
        <v>28.9</v>
      </c>
      <c r="P157" s="15">
        <v>45931</v>
      </c>
      <c r="Q157" t="s">
        <v>379</v>
      </c>
    </row>
    <row r="158" spans="1:17" x14ac:dyDescent="0.3">
      <c r="A158" s="6" t="s">
        <v>285</v>
      </c>
      <c r="B158" s="6">
        <v>6634327</v>
      </c>
      <c r="C158" s="6" t="s">
        <v>311</v>
      </c>
      <c r="D158" s="20">
        <v>803450878</v>
      </c>
      <c r="E158" s="18" t="str">
        <f t="shared" si="5"/>
        <v>8034508781</v>
      </c>
      <c r="H158" s="7">
        <v>46082</v>
      </c>
      <c r="L158" t="s">
        <v>377</v>
      </c>
      <c r="O158" s="8">
        <v>14.45</v>
      </c>
      <c r="P158" s="15">
        <v>46023</v>
      </c>
      <c r="Q158" t="s">
        <v>379</v>
      </c>
    </row>
  </sheetData>
  <sortState xmlns:xlrd2="http://schemas.microsoft.com/office/spreadsheetml/2017/richdata2" ref="A2:Y158">
    <sortCondition sortBy="cellColor" ref="A2:A158" dxfId="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1C36-8698-44E0-8D39-C9D155CFB92F}">
  <dimension ref="A1:M35"/>
  <sheetViews>
    <sheetView topLeftCell="A4" workbookViewId="0">
      <selection activeCell="N25" sqref="N25"/>
    </sheetView>
  </sheetViews>
  <sheetFormatPr defaultRowHeight="14.4" x14ac:dyDescent="0.3"/>
  <cols>
    <col min="1" max="1" width="10.88671875" customWidth="1"/>
    <col min="2" max="2" width="22.5546875" customWidth="1"/>
    <col min="3" max="3" width="10.44140625" customWidth="1"/>
    <col min="4" max="4" width="11.6640625" customWidth="1"/>
    <col min="5" max="5" width="10" customWidth="1"/>
    <col min="6" max="6" width="3.6640625" customWidth="1"/>
    <col min="7" max="7" width="10" customWidth="1"/>
    <col min="8" max="8" width="6.33203125" customWidth="1"/>
    <col min="9" max="9" width="8.33203125" customWidth="1"/>
    <col min="10" max="10" width="9.88671875" customWidth="1"/>
    <col min="11" max="11" width="4.44140625" customWidth="1"/>
    <col min="12" max="12" width="18" customWidth="1"/>
    <col min="13" max="13" width="13.6640625" customWidth="1"/>
  </cols>
  <sheetData>
    <row r="1" spans="1:13" ht="18" customHeight="1" x14ac:dyDescent="0.3">
      <c r="A1" s="31"/>
      <c r="B1" s="31"/>
      <c r="C1" s="31"/>
      <c r="F1" s="52" t="s">
        <v>290</v>
      </c>
      <c r="G1" s="31"/>
      <c r="H1" s="31"/>
      <c r="I1" s="31"/>
      <c r="J1" s="31"/>
      <c r="K1" s="31"/>
      <c r="L1" s="31"/>
    </row>
    <row r="2" spans="1:13" ht="1.65" customHeight="1" x14ac:dyDescent="0.3">
      <c r="A2" s="31"/>
      <c r="B2" s="31"/>
      <c r="C2" s="31"/>
    </row>
    <row r="3" spans="1:13" ht="17.7" customHeight="1" x14ac:dyDescent="0.3">
      <c r="A3" s="31"/>
      <c r="B3" s="31"/>
      <c r="C3" s="31"/>
      <c r="F3" s="52" t="s">
        <v>291</v>
      </c>
      <c r="G3" s="31"/>
      <c r="H3" s="31"/>
      <c r="I3" s="31"/>
      <c r="J3" s="31"/>
      <c r="K3" s="31"/>
      <c r="L3" s="31"/>
    </row>
    <row r="4" spans="1:13" x14ac:dyDescent="0.3">
      <c r="F4" s="31"/>
      <c r="G4" s="31"/>
      <c r="H4" s="31"/>
      <c r="I4" s="31"/>
      <c r="J4" s="31"/>
      <c r="K4" s="31"/>
      <c r="L4" s="31"/>
    </row>
    <row r="5" spans="1:13" ht="16.95" customHeight="1" x14ac:dyDescent="0.3"/>
    <row r="6" spans="1:13" ht="37.65" customHeight="1" x14ac:dyDescent="0.3">
      <c r="A6" s="56" t="s">
        <v>292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3" ht="18" customHeight="1" x14ac:dyDescent="0.3">
      <c r="A7" s="52" t="s">
        <v>317</v>
      </c>
      <c r="B7" s="31"/>
      <c r="C7" s="31"/>
      <c r="D7" s="31"/>
      <c r="E7" s="31"/>
      <c r="F7" s="58" t="s">
        <v>294</v>
      </c>
      <c r="G7" s="31"/>
      <c r="H7" s="31"/>
      <c r="I7" s="31"/>
      <c r="J7" s="31"/>
      <c r="K7" s="31"/>
      <c r="L7" s="31"/>
    </row>
    <row r="8" spans="1:13" ht="18" customHeight="1" x14ac:dyDescent="0.3">
      <c r="A8" s="52" t="s">
        <v>318</v>
      </c>
      <c r="B8" s="31"/>
      <c r="C8" s="31"/>
      <c r="D8" s="31"/>
      <c r="E8" s="31"/>
      <c r="F8" s="53" t="s">
        <v>296</v>
      </c>
      <c r="G8" s="31"/>
      <c r="H8" s="31"/>
      <c r="I8" s="31"/>
      <c r="J8" s="31"/>
      <c r="K8" s="31"/>
      <c r="L8" s="31"/>
    </row>
    <row r="9" spans="1:13" ht="18" customHeight="1" x14ac:dyDescent="0.3">
      <c r="A9" s="52" t="s">
        <v>319</v>
      </c>
      <c r="B9" s="31"/>
      <c r="C9" s="31"/>
      <c r="D9" s="31"/>
      <c r="E9" s="31"/>
    </row>
    <row r="10" spans="1:13" ht="18" customHeight="1" x14ac:dyDescent="0.3">
      <c r="A10" s="52" t="s">
        <v>320</v>
      </c>
      <c r="B10" s="31"/>
      <c r="C10" s="31"/>
      <c r="D10" s="31"/>
      <c r="E10" s="31"/>
    </row>
    <row r="11" spans="1:13" ht="20.399999999999999" x14ac:dyDescent="0.3">
      <c r="A11" s="14" t="s">
        <v>299</v>
      </c>
      <c r="B11" s="14" t="s">
        <v>300</v>
      </c>
      <c r="C11" s="14" t="s">
        <v>301</v>
      </c>
      <c r="D11" s="14" t="s">
        <v>302</v>
      </c>
      <c r="E11" s="54" t="s">
        <v>303</v>
      </c>
      <c r="F11" s="55"/>
      <c r="G11" s="14" t="s">
        <v>304</v>
      </c>
      <c r="H11" s="14" t="s">
        <v>305</v>
      </c>
      <c r="I11" s="14" t="s">
        <v>306</v>
      </c>
      <c r="J11" s="14" t="s">
        <v>307</v>
      </c>
      <c r="K11" s="14" t="s">
        <v>308</v>
      </c>
      <c r="L11" s="54" t="s">
        <v>309</v>
      </c>
      <c r="M11" s="55"/>
    </row>
    <row r="12" spans="1:13" x14ac:dyDescent="0.3">
      <c r="A12" s="6" t="s">
        <v>321</v>
      </c>
      <c r="B12" s="6" t="s">
        <v>322</v>
      </c>
      <c r="C12" s="8">
        <v>28.9</v>
      </c>
      <c r="D12" s="6" t="s">
        <v>323</v>
      </c>
      <c r="E12" s="38" t="s">
        <v>6</v>
      </c>
      <c r="F12" s="39"/>
      <c r="G12" s="7">
        <v>46082</v>
      </c>
      <c r="H12" s="6" t="s">
        <v>324</v>
      </c>
      <c r="I12" s="11" t="s">
        <v>314</v>
      </c>
      <c r="J12" s="15">
        <v>45962</v>
      </c>
      <c r="K12" s="6" t="s">
        <v>315</v>
      </c>
      <c r="L12" s="38"/>
      <c r="M12" s="39"/>
    </row>
    <row r="13" spans="1:13" x14ac:dyDescent="0.3">
      <c r="A13" s="6" t="s">
        <v>325</v>
      </c>
      <c r="B13" s="6" t="s">
        <v>326</v>
      </c>
      <c r="C13" s="8">
        <v>28.9</v>
      </c>
      <c r="D13" s="6" t="s">
        <v>323</v>
      </c>
      <c r="E13" s="38" t="s">
        <v>6</v>
      </c>
      <c r="F13" s="39"/>
      <c r="G13" s="7">
        <v>46082</v>
      </c>
      <c r="H13" s="6" t="s">
        <v>314</v>
      </c>
      <c r="I13" s="11" t="s">
        <v>314</v>
      </c>
      <c r="J13" s="15">
        <v>45689</v>
      </c>
      <c r="K13" s="6" t="s">
        <v>327</v>
      </c>
      <c r="L13" s="38"/>
      <c r="M13" s="39"/>
    </row>
    <row r="14" spans="1:13" x14ac:dyDescent="0.3">
      <c r="A14" s="6" t="s">
        <v>328</v>
      </c>
      <c r="B14" s="6" t="s">
        <v>329</v>
      </c>
      <c r="C14" s="8">
        <v>28.9</v>
      </c>
      <c r="D14" s="6" t="s">
        <v>323</v>
      </c>
      <c r="E14" s="38" t="s">
        <v>6</v>
      </c>
      <c r="F14" s="39"/>
      <c r="G14" s="7">
        <v>46082</v>
      </c>
      <c r="H14" s="6" t="s">
        <v>314</v>
      </c>
      <c r="I14" s="11" t="s">
        <v>314</v>
      </c>
      <c r="J14" s="15">
        <v>45689</v>
      </c>
      <c r="K14" s="6" t="s">
        <v>327</v>
      </c>
      <c r="L14" s="38"/>
      <c r="M14" s="39"/>
    </row>
    <row r="15" spans="1:13" x14ac:dyDescent="0.3">
      <c r="A15" s="6" t="s">
        <v>330</v>
      </c>
      <c r="B15" s="6" t="s">
        <v>331</v>
      </c>
      <c r="C15" s="8">
        <v>28.9</v>
      </c>
      <c r="D15" s="6" t="s">
        <v>323</v>
      </c>
      <c r="E15" s="38" t="s">
        <v>6</v>
      </c>
      <c r="F15" s="39"/>
      <c r="G15" s="7">
        <v>46082</v>
      </c>
      <c r="H15" s="6" t="s">
        <v>314</v>
      </c>
      <c r="I15" s="11" t="s">
        <v>314</v>
      </c>
      <c r="J15" s="15">
        <v>45658</v>
      </c>
      <c r="K15" s="6" t="s">
        <v>327</v>
      </c>
      <c r="L15" s="38"/>
      <c r="M15" s="39"/>
    </row>
    <row r="16" spans="1:13" x14ac:dyDescent="0.3">
      <c r="A16" s="6" t="s">
        <v>332</v>
      </c>
      <c r="B16" s="6" t="s">
        <v>333</v>
      </c>
      <c r="C16" s="8">
        <v>28.9</v>
      </c>
      <c r="D16" s="6" t="s">
        <v>323</v>
      </c>
      <c r="E16" s="38" t="s">
        <v>6</v>
      </c>
      <c r="F16" s="39"/>
      <c r="G16" s="7">
        <v>46082</v>
      </c>
      <c r="H16" s="6" t="s">
        <v>324</v>
      </c>
      <c r="I16" s="11" t="s">
        <v>314</v>
      </c>
      <c r="J16" s="15">
        <v>45778</v>
      </c>
      <c r="K16" s="6" t="s">
        <v>327</v>
      </c>
      <c r="L16" s="38"/>
      <c r="M16" s="39"/>
    </row>
    <row r="17" spans="1:13" x14ac:dyDescent="0.3">
      <c r="A17" s="6" t="s">
        <v>334</v>
      </c>
      <c r="B17" s="6" t="s">
        <v>335</v>
      </c>
      <c r="C17" s="8">
        <v>28.9</v>
      </c>
      <c r="D17" s="6" t="s">
        <v>323</v>
      </c>
      <c r="E17" s="38" t="s">
        <v>6</v>
      </c>
      <c r="F17" s="39"/>
      <c r="G17" s="7">
        <v>46082</v>
      </c>
      <c r="H17" s="6" t="s">
        <v>324</v>
      </c>
      <c r="I17" s="11" t="s">
        <v>314</v>
      </c>
      <c r="J17" s="15">
        <v>45689</v>
      </c>
      <c r="K17" s="6" t="s">
        <v>327</v>
      </c>
      <c r="L17" s="38"/>
      <c r="M17" s="39"/>
    </row>
    <row r="18" spans="1:13" x14ac:dyDescent="0.3">
      <c r="A18" s="6" t="s">
        <v>336</v>
      </c>
      <c r="B18" s="6" t="s">
        <v>337</v>
      </c>
      <c r="C18" s="8">
        <v>28.9</v>
      </c>
      <c r="D18" s="6" t="s">
        <v>323</v>
      </c>
      <c r="E18" s="38" t="s">
        <v>6</v>
      </c>
      <c r="F18" s="39"/>
      <c r="G18" s="7">
        <v>46082</v>
      </c>
      <c r="H18" s="6" t="s">
        <v>324</v>
      </c>
      <c r="I18" s="11" t="s">
        <v>314</v>
      </c>
      <c r="J18" s="15">
        <v>45870</v>
      </c>
      <c r="K18" s="6" t="s">
        <v>327</v>
      </c>
      <c r="L18" s="38"/>
      <c r="M18" s="39"/>
    </row>
    <row r="19" spans="1:13" x14ac:dyDescent="0.3">
      <c r="A19" s="6" t="s">
        <v>338</v>
      </c>
      <c r="B19" s="6" t="s">
        <v>339</v>
      </c>
      <c r="C19" s="8">
        <v>14.45</v>
      </c>
      <c r="D19" s="6" t="s">
        <v>312</v>
      </c>
      <c r="E19" s="38" t="s">
        <v>313</v>
      </c>
      <c r="F19" s="39"/>
      <c r="G19" s="7">
        <v>46082</v>
      </c>
      <c r="H19" s="6" t="s">
        <v>314</v>
      </c>
      <c r="I19" s="11" t="s">
        <v>314</v>
      </c>
      <c r="J19" s="15">
        <v>46023</v>
      </c>
      <c r="K19" s="6" t="s">
        <v>315</v>
      </c>
      <c r="L19" s="38"/>
      <c r="M19" s="39"/>
    </row>
    <row r="20" spans="1:13" x14ac:dyDescent="0.3">
      <c r="A20" s="6" t="s">
        <v>340</v>
      </c>
      <c r="B20" s="6" t="s">
        <v>341</v>
      </c>
      <c r="C20" s="8">
        <v>28.9</v>
      </c>
      <c r="D20" s="6" t="s">
        <v>323</v>
      </c>
      <c r="E20" s="38" t="s">
        <v>6</v>
      </c>
      <c r="F20" s="39"/>
      <c r="G20" s="7">
        <v>46082</v>
      </c>
      <c r="H20" s="6" t="s">
        <v>324</v>
      </c>
      <c r="I20" s="11" t="s">
        <v>314</v>
      </c>
      <c r="J20" s="15">
        <v>45627</v>
      </c>
      <c r="K20" s="6" t="s">
        <v>327</v>
      </c>
      <c r="L20" s="38"/>
      <c r="M20" s="39"/>
    </row>
    <row r="21" spans="1:13" x14ac:dyDescent="0.3">
      <c r="A21" s="6" t="s">
        <v>342</v>
      </c>
      <c r="B21" s="6" t="s">
        <v>343</v>
      </c>
      <c r="C21" s="8">
        <v>28.9</v>
      </c>
      <c r="D21" s="6" t="s">
        <v>323</v>
      </c>
      <c r="E21" s="38" t="s">
        <v>6</v>
      </c>
      <c r="F21" s="39"/>
      <c r="G21" s="7">
        <v>46082</v>
      </c>
      <c r="H21" s="6" t="s">
        <v>324</v>
      </c>
      <c r="I21" s="11" t="s">
        <v>314</v>
      </c>
      <c r="J21" s="15">
        <v>45778</v>
      </c>
      <c r="K21" s="6" t="s">
        <v>327</v>
      </c>
      <c r="L21" s="38"/>
      <c r="M21" s="39"/>
    </row>
    <row r="22" spans="1:13" x14ac:dyDescent="0.3">
      <c r="A22" s="6" t="s">
        <v>344</v>
      </c>
      <c r="B22" s="6" t="s">
        <v>345</v>
      </c>
      <c r="C22" s="8">
        <v>28.9</v>
      </c>
      <c r="D22" s="6" t="s">
        <v>323</v>
      </c>
      <c r="E22" s="38" t="s">
        <v>6</v>
      </c>
      <c r="F22" s="39"/>
      <c r="G22" s="7">
        <v>46082</v>
      </c>
      <c r="H22" s="6" t="s">
        <v>314</v>
      </c>
      <c r="I22" s="11" t="s">
        <v>314</v>
      </c>
      <c r="J22" s="15">
        <v>45658</v>
      </c>
      <c r="K22" s="6" t="s">
        <v>327</v>
      </c>
      <c r="L22" s="38"/>
      <c r="M22" s="39"/>
    </row>
    <row r="23" spans="1:13" x14ac:dyDescent="0.3">
      <c r="A23" s="6" t="s">
        <v>346</v>
      </c>
      <c r="B23" s="6" t="s">
        <v>347</v>
      </c>
      <c r="C23" s="8">
        <v>28.9</v>
      </c>
      <c r="D23" s="6" t="s">
        <v>323</v>
      </c>
      <c r="E23" s="38" t="s">
        <v>6</v>
      </c>
      <c r="F23" s="39"/>
      <c r="G23" s="7">
        <v>46082</v>
      </c>
      <c r="H23" s="6" t="s">
        <v>324</v>
      </c>
      <c r="I23" s="11" t="s">
        <v>314</v>
      </c>
      <c r="J23" s="15">
        <v>45658</v>
      </c>
      <c r="K23" s="6" t="s">
        <v>327</v>
      </c>
      <c r="L23" s="38"/>
      <c r="M23" s="39"/>
    </row>
    <row r="24" spans="1:13" x14ac:dyDescent="0.3">
      <c r="A24" s="6" t="s">
        <v>348</v>
      </c>
      <c r="B24" s="6" t="s">
        <v>349</v>
      </c>
      <c r="C24" s="8">
        <v>-28.9</v>
      </c>
      <c r="D24" s="6" t="s">
        <v>323</v>
      </c>
      <c r="E24" s="38" t="s">
        <v>6</v>
      </c>
      <c r="F24" s="39"/>
      <c r="G24" s="7">
        <v>46054</v>
      </c>
      <c r="H24" s="6"/>
      <c r="I24" s="11" t="s">
        <v>314</v>
      </c>
      <c r="J24" s="15">
        <v>45658</v>
      </c>
      <c r="K24" s="6" t="s">
        <v>327</v>
      </c>
      <c r="L24" s="38" t="s">
        <v>350</v>
      </c>
      <c r="M24" s="39"/>
    </row>
    <row r="25" spans="1:13" x14ac:dyDescent="0.3">
      <c r="A25" s="6" t="s">
        <v>351</v>
      </c>
      <c r="B25" s="6" t="s">
        <v>352</v>
      </c>
      <c r="C25" s="8">
        <v>14.45</v>
      </c>
      <c r="D25" s="6" t="s">
        <v>312</v>
      </c>
      <c r="E25" s="38" t="s">
        <v>313</v>
      </c>
      <c r="F25" s="39"/>
      <c r="G25" s="7">
        <v>46082</v>
      </c>
      <c r="H25" s="6" t="s">
        <v>314</v>
      </c>
      <c r="I25" s="11" t="s">
        <v>314</v>
      </c>
      <c r="J25" s="15">
        <v>46023</v>
      </c>
      <c r="K25" s="6" t="s">
        <v>327</v>
      </c>
      <c r="L25" s="38"/>
      <c r="M25" s="39"/>
    </row>
    <row r="26" spans="1:13" x14ac:dyDescent="0.3">
      <c r="A26" s="6" t="s">
        <v>353</v>
      </c>
      <c r="B26" s="6" t="s">
        <v>354</v>
      </c>
      <c r="C26" s="8">
        <v>28.9</v>
      </c>
      <c r="D26" s="6" t="s">
        <v>323</v>
      </c>
      <c r="E26" s="38" t="s">
        <v>6</v>
      </c>
      <c r="F26" s="39"/>
      <c r="G26" s="7">
        <v>46082</v>
      </c>
      <c r="H26" s="6" t="s">
        <v>355</v>
      </c>
      <c r="I26" s="11" t="s">
        <v>314</v>
      </c>
      <c r="J26" s="15">
        <v>45658</v>
      </c>
      <c r="K26" s="6" t="s">
        <v>315</v>
      </c>
      <c r="L26" s="38"/>
      <c r="M26" s="39"/>
    </row>
    <row r="27" spans="1:13" x14ac:dyDescent="0.3">
      <c r="A27" s="6" t="s">
        <v>356</v>
      </c>
      <c r="B27" s="6" t="s">
        <v>357</v>
      </c>
      <c r="C27" s="8">
        <v>28.9</v>
      </c>
      <c r="D27" s="6" t="s">
        <v>323</v>
      </c>
      <c r="E27" s="38" t="s">
        <v>6</v>
      </c>
      <c r="F27" s="39"/>
      <c r="G27" s="7">
        <v>46082</v>
      </c>
      <c r="H27" s="6" t="s">
        <v>324</v>
      </c>
      <c r="I27" s="11" t="s">
        <v>314</v>
      </c>
      <c r="J27" s="15">
        <v>45658</v>
      </c>
      <c r="K27" s="6" t="s">
        <v>327</v>
      </c>
      <c r="L27" s="38"/>
      <c r="M27" s="39"/>
    </row>
    <row r="28" spans="1:13" x14ac:dyDescent="0.3">
      <c r="A28" s="6" t="s">
        <v>358</v>
      </c>
      <c r="B28" s="6" t="s">
        <v>359</v>
      </c>
      <c r="C28" s="8">
        <v>28.9</v>
      </c>
      <c r="D28" s="6" t="s">
        <v>323</v>
      </c>
      <c r="E28" s="38" t="s">
        <v>6</v>
      </c>
      <c r="F28" s="39"/>
      <c r="G28" s="7">
        <v>46082</v>
      </c>
      <c r="H28" s="6" t="s">
        <v>314</v>
      </c>
      <c r="I28" s="11" t="s">
        <v>314</v>
      </c>
      <c r="J28" s="15">
        <v>45689</v>
      </c>
      <c r="K28" s="6" t="s">
        <v>327</v>
      </c>
      <c r="L28" s="38"/>
      <c r="M28" s="39"/>
    </row>
    <row r="29" spans="1:13" x14ac:dyDescent="0.3">
      <c r="A29" s="6" t="s">
        <v>360</v>
      </c>
      <c r="B29" s="6" t="s">
        <v>361</v>
      </c>
      <c r="C29" s="8">
        <v>28.9</v>
      </c>
      <c r="D29" s="6" t="s">
        <v>323</v>
      </c>
      <c r="E29" s="38" t="s">
        <v>6</v>
      </c>
      <c r="F29" s="39"/>
      <c r="G29" s="7">
        <v>46082</v>
      </c>
      <c r="H29" s="6" t="s">
        <v>314</v>
      </c>
      <c r="I29" s="11" t="s">
        <v>314</v>
      </c>
      <c r="J29" s="15">
        <v>45689</v>
      </c>
      <c r="K29" s="6" t="s">
        <v>327</v>
      </c>
      <c r="L29" s="38"/>
      <c r="M29" s="39"/>
    </row>
    <row r="30" spans="1:13" x14ac:dyDescent="0.3">
      <c r="A30" s="6" t="s">
        <v>362</v>
      </c>
      <c r="B30" s="6" t="s">
        <v>363</v>
      </c>
      <c r="C30" s="8">
        <v>14.45</v>
      </c>
      <c r="D30" s="6" t="s">
        <v>312</v>
      </c>
      <c r="E30" s="38" t="s">
        <v>313</v>
      </c>
      <c r="F30" s="39"/>
      <c r="G30" s="7">
        <v>46082</v>
      </c>
      <c r="H30" s="6" t="s">
        <v>314</v>
      </c>
      <c r="I30" s="11" t="s">
        <v>314</v>
      </c>
      <c r="J30" s="15">
        <v>46023</v>
      </c>
      <c r="K30" s="6" t="s">
        <v>327</v>
      </c>
      <c r="L30" s="38"/>
      <c r="M30" s="39"/>
    </row>
    <row r="31" spans="1:13" x14ac:dyDescent="0.3">
      <c r="A31" s="6" t="s">
        <v>364</v>
      </c>
      <c r="B31" s="6" t="s">
        <v>365</v>
      </c>
      <c r="C31" s="8">
        <v>28.9</v>
      </c>
      <c r="D31" s="6" t="s">
        <v>323</v>
      </c>
      <c r="E31" s="38" t="s">
        <v>6</v>
      </c>
      <c r="F31" s="39"/>
      <c r="G31" s="7">
        <v>46082</v>
      </c>
      <c r="H31" s="6" t="s">
        <v>324</v>
      </c>
      <c r="I31" s="11" t="s">
        <v>314</v>
      </c>
      <c r="J31" s="15">
        <v>45992</v>
      </c>
      <c r="K31" s="6" t="s">
        <v>327</v>
      </c>
      <c r="L31" s="38"/>
      <c r="M31" s="39"/>
    </row>
    <row r="32" spans="1:13" x14ac:dyDescent="0.3">
      <c r="A32" s="6" t="s">
        <v>366</v>
      </c>
      <c r="B32" s="6" t="s">
        <v>367</v>
      </c>
      <c r="C32" s="8">
        <v>28.9</v>
      </c>
      <c r="D32" s="6" t="s">
        <v>323</v>
      </c>
      <c r="E32" s="38" t="s">
        <v>6</v>
      </c>
      <c r="F32" s="39"/>
      <c r="G32" s="7">
        <v>46082</v>
      </c>
      <c r="H32" s="6" t="s">
        <v>324</v>
      </c>
      <c r="I32" s="11" t="s">
        <v>314</v>
      </c>
      <c r="J32" s="15">
        <v>45748</v>
      </c>
      <c r="K32" s="6" t="s">
        <v>327</v>
      </c>
      <c r="L32" s="38"/>
      <c r="M32" s="39"/>
    </row>
    <row r="33" spans="1:13" x14ac:dyDescent="0.3">
      <c r="A33" s="6" t="s">
        <v>368</v>
      </c>
      <c r="B33" s="6" t="s">
        <v>369</v>
      </c>
      <c r="C33" s="8">
        <v>28.9</v>
      </c>
      <c r="D33" s="6" t="s">
        <v>323</v>
      </c>
      <c r="E33" s="38" t="s">
        <v>6</v>
      </c>
      <c r="F33" s="39"/>
      <c r="G33" s="7">
        <v>46082</v>
      </c>
      <c r="H33" s="6" t="s">
        <v>370</v>
      </c>
      <c r="I33" s="11" t="s">
        <v>314</v>
      </c>
      <c r="J33" s="15">
        <v>45658</v>
      </c>
      <c r="K33" s="6" t="s">
        <v>327</v>
      </c>
      <c r="L33" s="38"/>
      <c r="M33" s="39"/>
    </row>
    <row r="34" spans="1:13" x14ac:dyDescent="0.3">
      <c r="A34" s="6" t="s">
        <v>371</v>
      </c>
      <c r="B34" s="6" t="s">
        <v>372</v>
      </c>
      <c r="C34" s="8">
        <v>28.9</v>
      </c>
      <c r="D34" s="6" t="s">
        <v>323</v>
      </c>
      <c r="E34" s="38" t="s">
        <v>6</v>
      </c>
      <c r="F34" s="39"/>
      <c r="G34" s="7">
        <v>46082</v>
      </c>
      <c r="H34" s="6" t="s">
        <v>324</v>
      </c>
      <c r="I34" s="11" t="s">
        <v>314</v>
      </c>
      <c r="J34" s="15">
        <v>45931</v>
      </c>
      <c r="K34" s="6" t="s">
        <v>315</v>
      </c>
      <c r="L34" s="38"/>
      <c r="M34" s="39"/>
    </row>
    <row r="35" spans="1:13" x14ac:dyDescent="0.3">
      <c r="A35" s="51" t="s">
        <v>316</v>
      </c>
      <c r="B35" s="39"/>
      <c r="C35" s="16">
        <v>563.54999999999995</v>
      </c>
      <c r="D35" s="6" t="s">
        <v>6</v>
      </c>
      <c r="E35" s="38" t="s">
        <v>6</v>
      </c>
      <c r="F35" s="39"/>
      <c r="G35" s="6" t="s">
        <v>6</v>
      </c>
      <c r="H35" s="6" t="s">
        <v>6</v>
      </c>
      <c r="I35" s="11" t="s">
        <v>6</v>
      </c>
      <c r="J35" s="11" t="s">
        <v>6</v>
      </c>
      <c r="K35" s="6" t="s">
        <v>6</v>
      </c>
      <c r="L35" s="38" t="s">
        <v>6</v>
      </c>
      <c r="M35" s="39"/>
    </row>
  </sheetData>
  <mergeCells count="61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E27:F27"/>
    <mergeCell ref="L27:M27"/>
    <mergeCell ref="E28:F28"/>
    <mergeCell ref="L28:M28"/>
    <mergeCell ref="E29:F29"/>
    <mergeCell ref="L29:M29"/>
    <mergeCell ref="E30:F30"/>
    <mergeCell ref="L30:M30"/>
    <mergeCell ref="E31:F31"/>
    <mergeCell ref="L31:M31"/>
    <mergeCell ref="E32:F32"/>
    <mergeCell ref="L32:M32"/>
    <mergeCell ref="E33:F33"/>
    <mergeCell ref="L33:M33"/>
    <mergeCell ref="E34:F34"/>
    <mergeCell ref="L34:M34"/>
    <mergeCell ref="A35:B35"/>
    <mergeCell ref="E35:F35"/>
    <mergeCell ref="L35:M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9FC2-F8A3-4DE4-9619-B8B48B10B571}">
  <dimension ref="A1:M13"/>
  <sheetViews>
    <sheetView workbookViewId="0">
      <selection activeCell="J12" sqref="J12"/>
    </sheetView>
  </sheetViews>
  <sheetFormatPr defaultRowHeight="14.4" x14ac:dyDescent="0.3"/>
  <cols>
    <col min="1" max="1" width="10.88671875" customWidth="1"/>
    <col min="2" max="2" width="22.5546875" customWidth="1"/>
    <col min="3" max="3" width="10.44140625" customWidth="1"/>
    <col min="4" max="4" width="11.6640625" customWidth="1"/>
    <col min="5" max="5" width="10" customWidth="1"/>
    <col min="6" max="6" width="3.6640625" customWidth="1"/>
    <col min="7" max="7" width="10" customWidth="1"/>
    <col min="8" max="8" width="6.33203125" customWidth="1"/>
    <col min="9" max="9" width="8.33203125" customWidth="1"/>
    <col min="10" max="10" width="9.88671875" customWidth="1"/>
    <col min="11" max="11" width="4.44140625" customWidth="1"/>
    <col min="12" max="12" width="18" customWidth="1"/>
    <col min="13" max="13" width="13.6640625" customWidth="1"/>
  </cols>
  <sheetData>
    <row r="1" spans="1:13" ht="18" customHeight="1" x14ac:dyDescent="0.3">
      <c r="A1" s="31"/>
      <c r="B1" s="31"/>
      <c r="C1" s="31"/>
      <c r="F1" s="52" t="s">
        <v>290</v>
      </c>
      <c r="G1" s="31"/>
      <c r="H1" s="31"/>
      <c r="I1" s="31"/>
      <c r="J1" s="31"/>
      <c r="K1" s="31"/>
      <c r="L1" s="31"/>
    </row>
    <row r="2" spans="1:13" ht="1.65" customHeight="1" x14ac:dyDescent="0.3">
      <c r="A2" s="31"/>
      <c r="B2" s="31"/>
      <c r="C2" s="31"/>
    </row>
    <row r="3" spans="1:13" ht="17.7" customHeight="1" x14ac:dyDescent="0.3">
      <c r="A3" s="31"/>
      <c r="B3" s="31"/>
      <c r="C3" s="31"/>
      <c r="F3" s="52" t="s">
        <v>291</v>
      </c>
      <c r="G3" s="31"/>
      <c r="H3" s="31"/>
      <c r="I3" s="31"/>
      <c r="J3" s="31"/>
      <c r="K3" s="31"/>
      <c r="L3" s="31"/>
    </row>
    <row r="4" spans="1:13" x14ac:dyDescent="0.3">
      <c r="F4" s="31"/>
      <c r="G4" s="31"/>
      <c r="H4" s="31"/>
      <c r="I4" s="31"/>
      <c r="J4" s="31"/>
      <c r="K4" s="31"/>
      <c r="L4" s="31"/>
    </row>
    <row r="5" spans="1:13" ht="16.95" customHeight="1" x14ac:dyDescent="0.3"/>
    <row r="6" spans="1:13" ht="37.65" customHeight="1" x14ac:dyDescent="0.3">
      <c r="A6" s="56" t="s">
        <v>292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3" ht="18" customHeight="1" x14ac:dyDescent="0.3">
      <c r="A7" s="52" t="s">
        <v>293</v>
      </c>
      <c r="B7" s="31"/>
      <c r="C7" s="31"/>
      <c r="D7" s="31"/>
      <c r="E7" s="31"/>
      <c r="F7" s="58" t="s">
        <v>294</v>
      </c>
      <c r="G7" s="31"/>
      <c r="H7" s="31"/>
      <c r="I7" s="31"/>
      <c r="J7" s="31"/>
      <c r="K7" s="31"/>
      <c r="L7" s="31"/>
    </row>
    <row r="8" spans="1:13" ht="18" customHeight="1" x14ac:dyDescent="0.3">
      <c r="A8" s="52" t="s">
        <v>295</v>
      </c>
      <c r="B8" s="31"/>
      <c r="C8" s="31"/>
      <c r="D8" s="31"/>
      <c r="E8" s="31"/>
      <c r="F8" s="53" t="s">
        <v>296</v>
      </c>
      <c r="G8" s="31"/>
      <c r="H8" s="31"/>
      <c r="I8" s="31"/>
      <c r="J8" s="31"/>
      <c r="K8" s="31"/>
      <c r="L8" s="31"/>
    </row>
    <row r="9" spans="1:13" ht="18" customHeight="1" x14ac:dyDescent="0.3">
      <c r="A9" s="52" t="s">
        <v>297</v>
      </c>
      <c r="B9" s="31"/>
      <c r="C9" s="31"/>
      <c r="D9" s="31"/>
      <c r="E9" s="31"/>
    </row>
    <row r="10" spans="1:13" ht="18" customHeight="1" x14ac:dyDescent="0.3">
      <c r="A10" s="52" t="s">
        <v>298</v>
      </c>
      <c r="B10" s="31"/>
      <c r="C10" s="31"/>
      <c r="D10" s="31"/>
      <c r="E10" s="31"/>
    </row>
    <row r="11" spans="1:13" ht="20.399999999999999" x14ac:dyDescent="0.3">
      <c r="A11" s="14" t="s">
        <v>299</v>
      </c>
      <c r="B11" s="14" t="s">
        <v>300</v>
      </c>
      <c r="C11" s="14" t="s">
        <v>301</v>
      </c>
      <c r="D11" s="14" t="s">
        <v>302</v>
      </c>
      <c r="E11" s="54" t="s">
        <v>303</v>
      </c>
      <c r="F11" s="55"/>
      <c r="G11" s="14" t="s">
        <v>304</v>
      </c>
      <c r="H11" s="14" t="s">
        <v>305</v>
      </c>
      <c r="I11" s="14" t="s">
        <v>306</v>
      </c>
      <c r="J11" s="14" t="s">
        <v>307</v>
      </c>
      <c r="K11" s="14" t="s">
        <v>308</v>
      </c>
      <c r="L11" s="54" t="s">
        <v>309</v>
      </c>
      <c r="M11" s="55"/>
    </row>
    <row r="12" spans="1:13" x14ac:dyDescent="0.3">
      <c r="A12" s="6" t="s">
        <v>310</v>
      </c>
      <c r="B12" s="6" t="s">
        <v>311</v>
      </c>
      <c r="C12" s="8">
        <v>14.45</v>
      </c>
      <c r="D12" s="6" t="s">
        <v>312</v>
      </c>
      <c r="E12" s="38" t="s">
        <v>313</v>
      </c>
      <c r="F12" s="39"/>
      <c r="G12" s="7">
        <v>46082</v>
      </c>
      <c r="H12" s="6" t="s">
        <v>314</v>
      </c>
      <c r="I12" s="11" t="s">
        <v>314</v>
      </c>
      <c r="J12" s="15">
        <v>46023</v>
      </c>
      <c r="K12" s="6" t="s">
        <v>315</v>
      </c>
      <c r="L12" s="38"/>
      <c r="M12" s="39"/>
    </row>
    <row r="13" spans="1:13" x14ac:dyDescent="0.3">
      <c r="A13" s="51" t="s">
        <v>316</v>
      </c>
      <c r="B13" s="39"/>
      <c r="C13" s="16">
        <v>14.45</v>
      </c>
      <c r="D13" s="6" t="s">
        <v>6</v>
      </c>
      <c r="E13" s="38" t="s">
        <v>6</v>
      </c>
      <c r="F13" s="39"/>
      <c r="G13" s="6" t="s">
        <v>6</v>
      </c>
      <c r="H13" s="6" t="s">
        <v>6</v>
      </c>
      <c r="I13" s="11" t="s">
        <v>6</v>
      </c>
      <c r="J13" s="11" t="s">
        <v>6</v>
      </c>
      <c r="K13" s="6" t="s">
        <v>6</v>
      </c>
      <c r="L13" s="38" t="s">
        <v>6</v>
      </c>
      <c r="M13" s="39"/>
    </row>
  </sheetData>
  <mergeCells count="17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A13:B13"/>
    <mergeCell ref="E13:F13"/>
    <mergeCell ref="L13:M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Heather Gesker</vt:lpstr>
      <vt:lpstr>Joel Lee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2026-03-17T13:34:38Z</dcterms:created>
  <dcterms:modified xsi:type="dcterms:W3CDTF">2026-04-08T18:41:12Z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