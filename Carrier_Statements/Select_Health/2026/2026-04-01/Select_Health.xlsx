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6\4-1-2026\"/>
    </mc:Choice>
  </mc:AlternateContent>
  <xr:revisionPtr revIDLastSave="0" documentId="13_ncr:1_{944E6E38-34E1-4C3E-8228-2DE8757B3C55}" xr6:coauthVersionLast="47" xr6:coauthVersionMax="47" xr10:uidLastSave="{00000000-0000-0000-0000-000000000000}"/>
  <bookViews>
    <workbookView xWindow="28680" yWindow="-30" windowWidth="29040" windowHeight="16440" activeTab="3" xr2:uid="{00000000-000D-0000-FFFF-FFFF00000000}"/>
  </bookViews>
  <sheets>
    <sheet name="MLB" sheetId="1" r:id="rId1"/>
    <sheet name="HEATHER GESKE" sheetId="2" r:id="rId2"/>
    <sheet name="Sheet1" sheetId="5" r:id="rId3"/>
    <sheet name="Heather Geske -2" sheetId="3" r:id="rId4"/>
    <sheet name="LEE JOEL" sheetId="4" r:id="rId5"/>
  </sheets>
  <definedNames>
    <definedName name="_xlnm.Print_Titles" localSheetId="0">MLB!$1:$10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2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</calcChain>
</file>

<file path=xl/sharedStrings.xml><?xml version="1.0" encoding="utf-8"?>
<sst xmlns="http://schemas.openxmlformats.org/spreadsheetml/2006/main" count="5476" uniqueCount="668">
  <si>
    <t>PAID DATE: 4/8/2026</t>
  </si>
  <si>
    <t>PAYMENT PERIOD: 4/1/2026 - 4/30/2026</t>
  </si>
  <si>
    <r>
      <rPr>
        <b/>
        <sz val="13"/>
        <color rgb="FF808080"/>
        <rFont val="Calibri"/>
        <family val="2"/>
      </rPr>
      <t xml:space="preserve">Commission Remittance Advice
</t>
    </r>
    <r>
      <rPr>
        <b/>
        <sz val="13"/>
        <color rgb="FF808080"/>
        <rFont val="Calibri"/>
        <family val="2"/>
      </rPr>
      <t>SelectHealth Medicare</t>
    </r>
  </si>
  <si>
    <t xml:space="preserve">BROKER ID: 22585M01    </t>
  </si>
  <si>
    <t>For Commission Questions call 801- 442-5870 or 800-442-8493</t>
  </si>
  <si>
    <t xml:space="preserve">GESKE, HEATHER                                         </t>
  </si>
  <si>
    <t>You may also email medicare.commissions@selecthealth.org</t>
  </si>
  <si>
    <t xml:space="preserve">PO BOX 129                              </t>
  </si>
  <si>
    <t xml:space="preserve">MEAD, CO  80542      </t>
  </si>
  <si>
    <t>SUBSCRIBER ID</t>
  </si>
  <si>
    <t>SUBSCRIBER NAME</t>
  </si>
  <si>
    <t>AMOUNT</t>
  </si>
  <si>
    <t>COMMISSION TYPE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</si>
  <si>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</si>
  <si>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 PERIOD</t>
  </si>
  <si>
    <t xml:space="preserve">PRIOR PLAN </t>
  </si>
  <si>
    <t>CURRENT PLAN</t>
  </si>
  <si>
    <t>COVERAGE EFFECTIVE</t>
  </si>
  <si>
    <t xml:space="preserve">PBP </t>
  </si>
  <si>
    <t>ADJUSTMENT REASON</t>
  </si>
  <si>
    <t>803309626</t>
  </si>
  <si>
    <t>BARTLETT KATHERINE A</t>
  </si>
  <si>
    <t>RENEWAL</t>
  </si>
  <si>
    <t/>
  </si>
  <si>
    <t>NONE</t>
  </si>
  <si>
    <t>MAPD</t>
  </si>
  <si>
    <t>027</t>
  </si>
  <si>
    <t>803223990</t>
  </si>
  <si>
    <t>BEAMAN DEEANN M</t>
  </si>
  <si>
    <t>030</t>
  </si>
  <si>
    <t>803223989</t>
  </si>
  <si>
    <t>BEAMAN DENNIS J</t>
  </si>
  <si>
    <t>803101991</t>
  </si>
  <si>
    <t>BRECHEISEN RAYMOND S</t>
  </si>
  <si>
    <t>803237352</t>
  </si>
  <si>
    <t>CAPUTO CYNTHIA A</t>
  </si>
  <si>
    <t>803225193</t>
  </si>
  <si>
    <t>DAVENPORT JUANITA D</t>
  </si>
  <si>
    <t>803304058</t>
  </si>
  <si>
    <t>DRYDEN MIGNON M</t>
  </si>
  <si>
    <t>803440100</t>
  </si>
  <si>
    <t>FRITCHLEE KARA L</t>
  </si>
  <si>
    <t>INITIAL</t>
  </si>
  <si>
    <t>Electronic</t>
  </si>
  <si>
    <t>803076965</t>
  </si>
  <si>
    <t>GEWORSKY NANCY R</t>
  </si>
  <si>
    <t>803265309</t>
  </si>
  <si>
    <t>HARMS DEBORAH S</t>
  </si>
  <si>
    <t>803168056</t>
  </si>
  <si>
    <t>JACKSON MICHAEL R</t>
  </si>
  <si>
    <t>803136752</t>
  </si>
  <si>
    <t>JENSEN JR DONALD A</t>
  </si>
  <si>
    <t>803440129</t>
  </si>
  <si>
    <t>KIRBY DEBBIE A</t>
  </si>
  <si>
    <t>803078257</t>
  </si>
  <si>
    <t>MARTELLA DONALD E</t>
  </si>
  <si>
    <t>PDP</t>
  </si>
  <si>
    <t>803155239</t>
  </si>
  <si>
    <t>MORRIS JR TOM C</t>
  </si>
  <si>
    <t>803224623</t>
  </si>
  <si>
    <t>PADEN BRENDA J</t>
  </si>
  <si>
    <t>803224622</t>
  </si>
  <si>
    <t>PADEN MICHAEL R</t>
  </si>
  <si>
    <t>803390240</t>
  </si>
  <si>
    <t>SANCHEZ ADELIDA A</t>
  </si>
  <si>
    <t>803404523</t>
  </si>
  <si>
    <t xml:space="preserve">SPRENGER TERESA </t>
  </si>
  <si>
    <t>803250924</t>
  </si>
  <si>
    <t xml:space="preserve">THAYER STEPHANIE </t>
  </si>
  <si>
    <t>803123414</t>
  </si>
  <si>
    <t>THOMPSON JR RICHARD M</t>
  </si>
  <si>
    <t>MA</t>
  </si>
  <si>
    <t>803322612</t>
  </si>
  <si>
    <t>TRUMAN KIM E</t>
  </si>
  <si>
    <t>TOTAL COMMISSION:</t>
  </si>
  <si>
    <t>STATEMENT TOTAL</t>
  </si>
  <si>
    <t>SHULMAN, JAKE - 26297 - COMMISSIONS TOTAL</t>
  </si>
  <si>
    <t>PMPM</t>
  </si>
  <si>
    <t>COMM</t>
  </si>
  <si>
    <t>CO</t>
  </si>
  <si>
    <t>INDV</t>
  </si>
  <si>
    <t>803521258001</t>
  </si>
  <si>
    <t xml:space="preserve">KAZBAI, AGIN                                                          </t>
  </si>
  <si>
    <t>COMP EARNED</t>
  </si>
  <si>
    <t>SPLIT</t>
  </si>
  <si>
    <t>COMP RATE</t>
  </si>
  <si>
    <t>MEMBER COUNT</t>
  </si>
  <si>
    <t>SUBSCR COUNT</t>
  </si>
  <si>
    <t>COMP TYPE</t>
  </si>
  <si>
    <t>COMP BASE</t>
  </si>
  <si>
    <t>PREMIUM BILLED</t>
  </si>
  <si>
    <t>PREMIUM MONTH</t>
  </si>
  <si>
    <t>PYMT TYPE</t>
  </si>
  <si>
    <t>ADJ</t>
  </si>
  <si>
    <t>ST</t>
  </si>
  <si>
    <t>POLICY TYPE</t>
  </si>
  <si>
    <t>ARRANGEMENT ID</t>
  </si>
  <si>
    <t>ARRANGEMENT NAME</t>
  </si>
  <si>
    <t>SHULMAN, JAKE - 26297 - COMMISSIONS</t>
  </si>
  <si>
    <t>LEE, JOEL N - 17767 - COMMISSIONS TOTAL</t>
  </si>
  <si>
    <t>803433633001</t>
  </si>
  <si>
    <t xml:space="preserve">WILLE, ZARINE                                                         </t>
  </si>
  <si>
    <t>803518661001</t>
  </si>
  <si>
    <t xml:space="preserve">WAWRZYNIAK, LAUREN M                                                  </t>
  </si>
  <si>
    <t>803129702001</t>
  </si>
  <si>
    <t xml:space="preserve">WAHIDI, ZARLASHT                                                      </t>
  </si>
  <si>
    <t>803185137001</t>
  </si>
  <si>
    <t xml:space="preserve">VAN ZEE, KARIN                                                        </t>
  </si>
  <si>
    <t>802875118001</t>
  </si>
  <si>
    <t xml:space="preserve">TRIGG, TEMPLE                                                         </t>
  </si>
  <si>
    <t>803167370001</t>
  </si>
  <si>
    <t xml:space="preserve">TAUNTON, MARY                                                         </t>
  </si>
  <si>
    <t>802927503001</t>
  </si>
  <si>
    <t xml:space="preserve">SULLIVAN, TONY                                                        </t>
  </si>
  <si>
    <t>803467543001</t>
  </si>
  <si>
    <t xml:space="preserve">SMITH, RUSSELL W                                                      </t>
  </si>
  <si>
    <t>803531919001</t>
  </si>
  <si>
    <t xml:space="preserve">SHAH, ANAYATULLAH                                                     </t>
  </si>
  <si>
    <t>802968815001</t>
  </si>
  <si>
    <t xml:space="preserve">SCHWAPPACH, THOMAS                                                    </t>
  </si>
  <si>
    <t>803541727001</t>
  </si>
  <si>
    <t xml:space="preserve">SCAVO, STEVIE J                                                       </t>
  </si>
  <si>
    <t>803535170001</t>
  </si>
  <si>
    <t xml:space="preserve">MOFFETT, ALEXANDRIA                                                   </t>
  </si>
  <si>
    <t>802896503001</t>
  </si>
  <si>
    <t xml:space="preserve">LUKENBILL, TINA                                                       </t>
  </si>
  <si>
    <t>803467664001</t>
  </si>
  <si>
    <t xml:space="preserve">LAVIGNE, DAVID                                                        </t>
  </si>
  <si>
    <t>803063060001</t>
  </si>
  <si>
    <t xml:space="preserve">LANGFIELD, DANIELLE                                                   </t>
  </si>
  <si>
    <t>%Prem</t>
  </si>
  <si>
    <t>802949176001</t>
  </si>
  <si>
    <t xml:space="preserve">KEENAN, PATRICK F                                                     </t>
  </si>
  <si>
    <t>803433234001</t>
  </si>
  <si>
    <t xml:space="preserve">GRAFFIS, ANDREW W                                                     </t>
  </si>
  <si>
    <t>802903258001</t>
  </si>
  <si>
    <t xml:space="preserve">DAVIS, JOHN E                                                         </t>
  </si>
  <si>
    <t>803539221001</t>
  </si>
  <si>
    <t xml:space="preserve">CURTIS, HERBERT B                                                     </t>
  </si>
  <si>
    <t>802903048001</t>
  </si>
  <si>
    <t xml:space="preserve">CREWS, DEMETRE                                                        </t>
  </si>
  <si>
    <t>803422263001</t>
  </si>
  <si>
    <t xml:space="preserve">BLUME, BARBARA                                                        </t>
  </si>
  <si>
    <t>803468689001</t>
  </si>
  <si>
    <t xml:space="preserve">BLOOM, AMY L                                                          </t>
  </si>
  <si>
    <t>803500688001</t>
  </si>
  <si>
    <t xml:space="preserve">BLAIR, CHRISTINA J                                                    </t>
  </si>
  <si>
    <t xml:space="preserve">MEDICARE COLORADO - Commissions                                       </t>
  </si>
  <si>
    <t>MDCR</t>
  </si>
  <si>
    <t xml:space="preserve">            </t>
  </si>
  <si>
    <t>LEE, JOEL N - 17767 - COMMISSIONS</t>
  </si>
  <si>
    <t>GESKE, WILLIAM - 24451 - COMMISSIONS TOTAL</t>
  </si>
  <si>
    <t>803422285001</t>
  </si>
  <si>
    <t xml:space="preserve">SYLVEST, AUSTIN                                                       </t>
  </si>
  <si>
    <t>803513343001</t>
  </si>
  <si>
    <t xml:space="preserve">SIZEMORE, TREVOR                                                      </t>
  </si>
  <si>
    <t>803396535001</t>
  </si>
  <si>
    <t xml:space="preserve">RUIZ-CAMPOS, ISEL A                                                   </t>
  </si>
  <si>
    <t>803436921001</t>
  </si>
  <si>
    <t xml:space="preserve">PLAGGE, CHELSEA M                                                     </t>
  </si>
  <si>
    <t>803481057001</t>
  </si>
  <si>
    <t xml:space="preserve">PAPPAS, PERSEFONE C                                                   </t>
  </si>
  <si>
    <t>803436731001</t>
  </si>
  <si>
    <t xml:space="preserve">LOFLAND, CHRISTINA R                                                  </t>
  </si>
  <si>
    <t>803422316001</t>
  </si>
  <si>
    <t xml:space="preserve">HYLAND, DANA                                                          </t>
  </si>
  <si>
    <t>803456916001</t>
  </si>
  <si>
    <t xml:space="preserve">HEADLEY, PATRICK                                                      </t>
  </si>
  <si>
    <t>803536593001</t>
  </si>
  <si>
    <t xml:space="preserve">GARRETT, LISA D                                                       </t>
  </si>
  <si>
    <t>803507631001</t>
  </si>
  <si>
    <t xml:space="preserve">FONG, SONYA                                                           </t>
  </si>
  <si>
    <t>803504307001</t>
  </si>
  <si>
    <t xml:space="preserve">EVERETT, BRENT                                                        </t>
  </si>
  <si>
    <t>803504979001</t>
  </si>
  <si>
    <t xml:space="preserve">EISFELD, KIMBERLY R                                                   </t>
  </si>
  <si>
    <t>803458023001</t>
  </si>
  <si>
    <t xml:space="preserve">DURBAN, JASON W                                                       </t>
  </si>
  <si>
    <t>803456840001</t>
  </si>
  <si>
    <t xml:space="preserve">DURBAN, HEATHER L                                                     </t>
  </si>
  <si>
    <t>803405284001</t>
  </si>
  <si>
    <t xml:space="preserve">DROBNICK, DARIA                                                       </t>
  </si>
  <si>
    <t>803439229001</t>
  </si>
  <si>
    <t xml:space="preserve">DORNAN-FISH, JENNIFER                                                 </t>
  </si>
  <si>
    <t>803132511001</t>
  </si>
  <si>
    <t xml:space="preserve">DONALD, CATE M                                                        </t>
  </si>
  <si>
    <t>803420941001</t>
  </si>
  <si>
    <t xml:space="preserve">CRAWFORD, JAMES B                                                     </t>
  </si>
  <si>
    <t>803518581001</t>
  </si>
  <si>
    <t xml:space="preserve">BASS, BRIAN E                                                         </t>
  </si>
  <si>
    <t>803433525001</t>
  </si>
  <si>
    <t xml:space="preserve">ARNOLD, ZACHARY                                                       </t>
  </si>
  <si>
    <t>GESKE, WILLIAM - 24451 - COMMISSIONS</t>
  </si>
  <si>
    <t>GESKE, HEATHER - 22585 - COMMISSIONS TOTAL</t>
  </si>
  <si>
    <t>803191407001</t>
  </si>
  <si>
    <t xml:space="preserve">YARBROUGH, MICAH J                                                    </t>
  </si>
  <si>
    <t>803405363001</t>
  </si>
  <si>
    <t xml:space="preserve">WOLSLEGEL, KRISTEN                                                    </t>
  </si>
  <si>
    <t>803392414001</t>
  </si>
  <si>
    <t xml:space="preserve">WITMORE, MICHAEL                                                      </t>
  </si>
  <si>
    <t>803311233001</t>
  </si>
  <si>
    <t xml:space="preserve">TROUT, JASON                                                          </t>
  </si>
  <si>
    <t>803468235001</t>
  </si>
  <si>
    <t xml:space="preserve">TILLEY, ANGELA                                                        </t>
  </si>
  <si>
    <t>803132235001</t>
  </si>
  <si>
    <t xml:space="preserve">TAPPERT, SHERYL A                                                     </t>
  </si>
  <si>
    <t>803297375001</t>
  </si>
  <si>
    <t xml:space="preserve">STYERS, MADLYN M                                                      </t>
  </si>
  <si>
    <t>803267379001</t>
  </si>
  <si>
    <t xml:space="preserve">STYERS, APRIL D                                                       </t>
  </si>
  <si>
    <t>802954233001</t>
  </si>
  <si>
    <t xml:space="preserve">STONE-EHRHARDT, ELIZABETH                                             </t>
  </si>
  <si>
    <t>803156573001</t>
  </si>
  <si>
    <t xml:space="preserve">SPARKS, MATTHEW                                                       </t>
  </si>
  <si>
    <t>803501372001</t>
  </si>
  <si>
    <t xml:space="preserve">SHAW, KEVIN D                                                         </t>
  </si>
  <si>
    <t>803201761001</t>
  </si>
  <si>
    <t xml:space="preserve">SCARBOROUGH, PAULA L                                                  </t>
  </si>
  <si>
    <t>803529081001</t>
  </si>
  <si>
    <t xml:space="preserve">SARCHET, JEFF                                                         </t>
  </si>
  <si>
    <t>803516130001</t>
  </si>
  <si>
    <t xml:space="preserve">SARAZEN, JORDAN L                                                     </t>
  </si>
  <si>
    <t>803521575001</t>
  </si>
  <si>
    <t xml:space="preserve">RUFF, ALEXANDRA A                                                     </t>
  </si>
  <si>
    <t>803529066001</t>
  </si>
  <si>
    <t xml:space="preserve">RISKIN, JUSTIN                                                        </t>
  </si>
  <si>
    <t>803319202001</t>
  </si>
  <si>
    <t xml:space="preserve">RIEDEL, LAURA J                                                       </t>
  </si>
  <si>
    <t>803406897001</t>
  </si>
  <si>
    <t xml:space="preserve">PRINDLE, LAURA L                                                      </t>
  </si>
  <si>
    <t>802995059001</t>
  </si>
  <si>
    <t xml:space="preserve">PILLMANN, JOHN                                                        </t>
  </si>
  <si>
    <t>803511144001</t>
  </si>
  <si>
    <t xml:space="preserve">PHILLIPS, REBECCA R                                                   </t>
  </si>
  <si>
    <t>803513855001</t>
  </si>
  <si>
    <t xml:space="preserve">PERLMAN, BRYAN                                                        </t>
  </si>
  <si>
    <t>803304435001</t>
  </si>
  <si>
    <t xml:space="preserve">OSMON, DENISE                                                         </t>
  </si>
  <si>
    <t>802911081001</t>
  </si>
  <si>
    <t xml:space="preserve">OSBORNE, JOHN D                                                       </t>
  </si>
  <si>
    <t>803311238001</t>
  </si>
  <si>
    <t xml:space="preserve">NEIGHBORS, DEANNA L                                                   </t>
  </si>
  <si>
    <t>803513638001</t>
  </si>
  <si>
    <t xml:space="preserve">MOTZKIN, JOSEPH D                                                     </t>
  </si>
  <si>
    <t>803473539001</t>
  </si>
  <si>
    <t xml:space="preserve">MORALES-LOPEZ, CARLOS E                                               </t>
  </si>
  <si>
    <t>803102575001</t>
  </si>
  <si>
    <t xml:space="preserve">MILLER, GABRIELLA A                                                   </t>
  </si>
  <si>
    <t>803516216001</t>
  </si>
  <si>
    <t xml:space="preserve">MEYER, GRACE E                                                        </t>
  </si>
  <si>
    <t>803511856001</t>
  </si>
  <si>
    <t xml:space="preserve">MENDER, NATHAN                                                        </t>
  </si>
  <si>
    <t>803118558001</t>
  </si>
  <si>
    <t xml:space="preserve">MENDEL, GREER                                                         </t>
  </si>
  <si>
    <t>803468097001</t>
  </si>
  <si>
    <t xml:space="preserve">MCHALE, CATHERINE M                                                   </t>
  </si>
  <si>
    <t>803460040001</t>
  </si>
  <si>
    <t xml:space="preserve">MCGOVERN, CHAD W                                                      </t>
  </si>
  <si>
    <t>803410073001</t>
  </si>
  <si>
    <t xml:space="preserve">MATKINS, CHRISTOPHER J                                                </t>
  </si>
  <si>
    <t>803398900001</t>
  </si>
  <si>
    <t xml:space="preserve">MARTIN, SHELLEY L                                                     </t>
  </si>
  <si>
    <t>803417889001</t>
  </si>
  <si>
    <t xml:space="preserve">MANSUR, LESLIE P                                                      </t>
  </si>
  <si>
    <t>803030379001</t>
  </si>
  <si>
    <t xml:space="preserve">MANSFIELD, IAN S                                                      </t>
  </si>
  <si>
    <t>803400681001</t>
  </si>
  <si>
    <t xml:space="preserve">LINDSEY, WHITNEY L                                                    </t>
  </si>
  <si>
    <t>803417669001</t>
  </si>
  <si>
    <t xml:space="preserve">LEWIS, QUINLAN J                                                      </t>
  </si>
  <si>
    <t>803417837001</t>
  </si>
  <si>
    <t xml:space="preserve">LEWIS, MARGOT E                                                       </t>
  </si>
  <si>
    <t>802998630001</t>
  </si>
  <si>
    <t xml:space="preserve">LEWIS, KATE M                                                         </t>
  </si>
  <si>
    <t>803467707001</t>
  </si>
  <si>
    <t xml:space="preserve">LEVINE, SUSAN                                                         </t>
  </si>
  <si>
    <t>803058283001</t>
  </si>
  <si>
    <t xml:space="preserve">KURNIAWAN-MOY, LYDIA                                                  </t>
  </si>
  <si>
    <t>803459539001</t>
  </si>
  <si>
    <t xml:space="preserve">KROMANAKER, HANS A                                                    </t>
  </si>
  <si>
    <t>803433433001</t>
  </si>
  <si>
    <t xml:space="preserve">KONKOL, PAUL D                                                        </t>
  </si>
  <si>
    <t>803463352001</t>
  </si>
  <si>
    <t xml:space="preserve">JORDAN, SUSAN                                                         </t>
  </si>
  <si>
    <t>802921278001</t>
  </si>
  <si>
    <t xml:space="preserve">HOFFMASTER, DAVID J                                                   </t>
  </si>
  <si>
    <t>803399844001</t>
  </si>
  <si>
    <t xml:space="preserve">GRECO, JAMES W                                                        </t>
  </si>
  <si>
    <t>802986110001</t>
  </si>
  <si>
    <t xml:space="preserve">GOLAY, TIMOTHY J                                                      </t>
  </si>
  <si>
    <t>803391971001</t>
  </si>
  <si>
    <t xml:space="preserve">GESKE, HEATHER                                                        </t>
  </si>
  <si>
    <t>803456890001</t>
  </si>
  <si>
    <t xml:space="preserve">GALATIOTO, CHRISTINA E                                                </t>
  </si>
  <si>
    <t>803279516001</t>
  </si>
  <si>
    <t xml:space="preserve">FONTAINE, JILL M                                                      </t>
  </si>
  <si>
    <t>803305454001</t>
  </si>
  <si>
    <t xml:space="preserve">FARDEN, THOMAS M                                                      </t>
  </si>
  <si>
    <t>803105663001</t>
  </si>
  <si>
    <t xml:space="preserve">EMERINE, KELLY                                                        </t>
  </si>
  <si>
    <t>803400068001</t>
  </si>
  <si>
    <t xml:space="preserve">ELLIS, LINDA A                                                        </t>
  </si>
  <si>
    <t>803457401001</t>
  </si>
  <si>
    <t xml:space="preserve">EAFANTI, JOSEPH P                                                     </t>
  </si>
  <si>
    <t>803396619001</t>
  </si>
  <si>
    <t xml:space="preserve">DONOVAN, ARVIDAS J                                                    </t>
  </si>
  <si>
    <t>802981736001</t>
  </si>
  <si>
    <t xml:space="preserve">DEEMER, SABRINA M                                                     </t>
  </si>
  <si>
    <t>803433539001</t>
  </si>
  <si>
    <t xml:space="preserve">DAVIS, NOELLE K                                                       </t>
  </si>
  <si>
    <t>803305995001</t>
  </si>
  <si>
    <t xml:space="preserve">CHANCE, EDGAR                                                         </t>
  </si>
  <si>
    <t>803413171001</t>
  </si>
  <si>
    <t xml:space="preserve">CASNELLIE, VICKI                                                      </t>
  </si>
  <si>
    <t>803304041001</t>
  </si>
  <si>
    <t xml:space="preserve">CARR, LAUREN E                                                        </t>
  </si>
  <si>
    <t>803409885001</t>
  </si>
  <si>
    <t xml:space="preserve">CARLSON, MARYELLEN                                                    </t>
  </si>
  <si>
    <t>803454120001</t>
  </si>
  <si>
    <t xml:space="preserve">CARD, JOHN A                                                          </t>
  </si>
  <si>
    <t>802931529001</t>
  </si>
  <si>
    <t xml:space="preserve">BURKE, MICHAEL T                                                      </t>
  </si>
  <si>
    <t>803226175001</t>
  </si>
  <si>
    <t xml:space="preserve">BRINK, JENNA                                                          </t>
  </si>
  <si>
    <t>803092864001</t>
  </si>
  <si>
    <t xml:space="preserve">BRIDGE, JENNIFER L                                                    </t>
  </si>
  <si>
    <t>803455181001</t>
  </si>
  <si>
    <t xml:space="preserve">BREWER, KURT F                                                        </t>
  </si>
  <si>
    <t>802875000001</t>
  </si>
  <si>
    <t xml:space="preserve">BRANNSTROM, ANJA                                                      </t>
  </si>
  <si>
    <t>803256188001</t>
  </si>
  <si>
    <t xml:space="preserve">BOWLES, JASON M                                                       </t>
  </si>
  <si>
    <t>803406851001</t>
  </si>
  <si>
    <t xml:space="preserve">BOUCHARD, PIERRE                                                      </t>
  </si>
  <si>
    <t>803463226001</t>
  </si>
  <si>
    <t xml:space="preserve">BONILLA-LAMBOY, FREDDIE J                                             </t>
  </si>
  <si>
    <t>803481123001</t>
  </si>
  <si>
    <t xml:space="preserve">BODINE, CHARLES D                                                     </t>
  </si>
  <si>
    <t>802896446001</t>
  </si>
  <si>
    <t xml:space="preserve">BLOOM, ERIC B                                                         </t>
  </si>
  <si>
    <t>802878100001</t>
  </si>
  <si>
    <t xml:space="preserve">ANDRUSZKA, REBECCA K                                                  </t>
  </si>
  <si>
    <t xml:space="preserve">Colorado Individual Bonus 2025 Part 2                                 </t>
  </si>
  <si>
    <t xml:space="preserve">BON </t>
  </si>
  <si>
    <t>GESKE, HEATHER - 22585 - COMMISSIONS</t>
  </si>
  <si>
    <t>CALTAGIRONE, RYAN - 20318 - COMMISSIONS TOTAL</t>
  </si>
  <si>
    <t>UT</t>
  </si>
  <si>
    <t>803508759001</t>
  </si>
  <si>
    <t xml:space="preserve">WATERS, CHARITY                                                       </t>
  </si>
  <si>
    <t>802698506001</t>
  </si>
  <si>
    <t xml:space="preserve">THOMAS, RYAN                                                          </t>
  </si>
  <si>
    <t>803376130001</t>
  </si>
  <si>
    <t xml:space="preserve">STOUT, STEVEN                                                         </t>
  </si>
  <si>
    <t>803408128001</t>
  </si>
  <si>
    <t xml:space="preserve">SMITH, BRAYDEN                                                        </t>
  </si>
  <si>
    <t>803363098001</t>
  </si>
  <si>
    <t xml:space="preserve">MORTON, MARIEL                                                        </t>
  </si>
  <si>
    <t>803409698001</t>
  </si>
  <si>
    <t xml:space="preserve">FOOT, STEPHANIE                                                       </t>
  </si>
  <si>
    <t>803374747001</t>
  </si>
  <si>
    <t xml:space="preserve">CORTES, MARCO A                                                       </t>
  </si>
  <si>
    <t>CALTAGIRONE, RYAN - 20318 - COMMISSIONS</t>
  </si>
  <si>
    <t>Please note that commissions are paid based on either premium paid or subscriber/member count for the specific premium month.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</si>
  <si>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</si>
  <si>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 xml:space="preserve">MAIN LINE BENEFITS LLC - 20098
462 E. KING ST  
MALVERN PA, 19355      </t>
  </si>
  <si>
    <t>April 2026</t>
  </si>
  <si>
    <t>COMMISSION STATEMENT</t>
  </si>
  <si>
    <t>26297C01</t>
  </si>
  <si>
    <t>SHULMAN, JAKE</t>
  </si>
  <si>
    <t>17767C01</t>
  </si>
  <si>
    <t>LEE, JOEL N</t>
  </si>
  <si>
    <t>Other</t>
  </si>
  <si>
    <t>ADJ*</t>
  </si>
  <si>
    <t>17767M01</t>
  </si>
  <si>
    <t>24451C01</t>
  </si>
  <si>
    <t>GESKE, WILLIAM</t>
  </si>
  <si>
    <t>22585C01</t>
  </si>
  <si>
    <t>GESKE, HEATHER</t>
  </si>
  <si>
    <t>22585M01</t>
  </si>
  <si>
    <t>20318C01</t>
  </si>
  <si>
    <t>CALTAGIRONE, RYAN</t>
  </si>
  <si>
    <t>ADJ DESC</t>
  </si>
  <si>
    <t>WRITING AGENT</t>
  </si>
  <si>
    <t>PLAN YTD APTC</t>
  </si>
  <si>
    <t>PLAN YTD PREM ONLY</t>
  </si>
  <si>
    <t>PLAN YTD PREM TOTAL</t>
  </si>
  <si>
    <t>PREMIUM PAID</t>
  </si>
  <si>
    <t>AGENT ID</t>
  </si>
  <si>
    <t>AGENT NAME</t>
  </si>
  <si>
    <t>Tabular Data</t>
  </si>
  <si>
    <t>PETERSON KIRSTI E</t>
  </si>
  <si>
    <t>803450878</t>
  </si>
  <si>
    <t xml:space="preserve">PARKER, CO  80134      </t>
  </si>
  <si>
    <t xml:space="preserve">5116 RIALTO DR                          </t>
  </si>
  <si>
    <t xml:space="preserve">LEE, JOEL N                                            </t>
  </si>
  <si>
    <t xml:space="preserve">BROKER ID: 17767M01    </t>
  </si>
  <si>
    <t>Select Health CO</t>
  </si>
  <si>
    <t>SH MAPD 2026*</t>
  </si>
  <si>
    <t>[PMPM=2]</t>
  </si>
  <si>
    <t>[PMPM=3]</t>
  </si>
  <si>
    <t>[PMPM=4]</t>
  </si>
  <si>
    <t>[PMPM=5]</t>
  </si>
  <si>
    <t>Select Health 2026 CO</t>
  </si>
  <si>
    <t>SH 2025 UT</t>
  </si>
  <si>
    <t>[%/$=14.45]</t>
  </si>
  <si>
    <t>[%/$=347][prorate=1/12]</t>
  </si>
  <si>
    <t>18201929L2</t>
  </si>
  <si>
    <t>CORTES</t>
  </si>
  <si>
    <t>MARCO</t>
  </si>
  <si>
    <t>FOOT</t>
  </si>
  <si>
    <t>STEPHANIE</t>
  </si>
  <si>
    <t>MORTON</t>
  </si>
  <si>
    <t>MARIEL</t>
  </si>
  <si>
    <t>SMITH</t>
  </si>
  <si>
    <t>BRAYDEN</t>
  </si>
  <si>
    <t>STOUT</t>
  </si>
  <si>
    <t>STEVEN</t>
  </si>
  <si>
    <t>THOMAS</t>
  </si>
  <si>
    <t>RYAN</t>
  </si>
  <si>
    <t>WATERS</t>
  </si>
  <si>
    <t>CHARITY</t>
  </si>
  <si>
    <t>ANDRUSZKA</t>
  </si>
  <si>
    <t>REBECCA</t>
  </si>
  <si>
    <t>BLOOM</t>
  </si>
  <si>
    <t>ERIC</t>
  </si>
  <si>
    <t>BODINE</t>
  </si>
  <si>
    <t>CHARLES</t>
  </si>
  <si>
    <t>BONILLA-LAMBOY</t>
  </si>
  <si>
    <t>FREDDIE</t>
  </si>
  <si>
    <t>BOUCHARD</t>
  </si>
  <si>
    <t>PIERRE</t>
  </si>
  <si>
    <t>BOWLES</t>
  </si>
  <si>
    <t>JASON</t>
  </si>
  <si>
    <t>BRANNSTROM</t>
  </si>
  <si>
    <t>ANJA</t>
  </si>
  <si>
    <t>BREWER</t>
  </si>
  <si>
    <t>KURT</t>
  </si>
  <si>
    <t>BRIDGE</t>
  </si>
  <si>
    <t>JENNIFER</t>
  </si>
  <si>
    <t>BRINK</t>
  </si>
  <si>
    <t>JENNA</t>
  </si>
  <si>
    <t>BURKE</t>
  </si>
  <si>
    <t>MICHAEL</t>
  </si>
  <si>
    <t>CARD</t>
  </si>
  <si>
    <t>JOHN</t>
  </si>
  <si>
    <t>CARLSON</t>
  </si>
  <si>
    <t>MARYELLEN</t>
  </si>
  <si>
    <t>CARR</t>
  </si>
  <si>
    <t>LAUREN</t>
  </si>
  <si>
    <t>CASNELLIE</t>
  </si>
  <si>
    <t>VICKI</t>
  </si>
  <si>
    <t>CHANCE</t>
  </si>
  <si>
    <t>EDGAR</t>
  </si>
  <si>
    <t>DAVIS</t>
  </si>
  <si>
    <t>NOELLE</t>
  </si>
  <si>
    <t>DEEMER</t>
  </si>
  <si>
    <t>SABRINA</t>
  </si>
  <si>
    <t>DONOVAN</t>
  </si>
  <si>
    <t>ARVIDAS</t>
  </si>
  <si>
    <t>EAFANTI</t>
  </si>
  <si>
    <t>JOSEPH</t>
  </si>
  <si>
    <t>ELLIS</t>
  </si>
  <si>
    <t>LINDA</t>
  </si>
  <si>
    <t>EMERINE</t>
  </si>
  <si>
    <t>KELLY</t>
  </si>
  <si>
    <t>FARDEN</t>
  </si>
  <si>
    <t>FONTAINE</t>
  </si>
  <si>
    <t>JILL</t>
  </si>
  <si>
    <t>GALATIOTO</t>
  </si>
  <si>
    <t>CHRISTINA</t>
  </si>
  <si>
    <t>GESKE</t>
  </si>
  <si>
    <t>HEATHER</t>
  </si>
  <si>
    <t>GOLAY</t>
  </si>
  <si>
    <t>TIMOTHY</t>
  </si>
  <si>
    <t>GRECO</t>
  </si>
  <si>
    <t>JAMES</t>
  </si>
  <si>
    <t>HOFFMASTER</t>
  </si>
  <si>
    <t>DAVID</t>
  </si>
  <si>
    <t>JORDAN</t>
  </si>
  <si>
    <t>SUSAN</t>
  </si>
  <si>
    <t>KONKOL</t>
  </si>
  <si>
    <t>PAUL</t>
  </si>
  <si>
    <t>KROMANAKER</t>
  </si>
  <si>
    <t>HANS</t>
  </si>
  <si>
    <t>KURNIAWAN-MOY</t>
  </si>
  <si>
    <t>LYDIA</t>
  </si>
  <si>
    <t>LEVINE</t>
  </si>
  <si>
    <t>LEWIS</t>
  </si>
  <si>
    <t>KATE</t>
  </si>
  <si>
    <t>MARGOT</t>
  </si>
  <si>
    <t>QUINLAN</t>
  </si>
  <si>
    <t>LINDSEY</t>
  </si>
  <si>
    <t>WHITNEY</t>
  </si>
  <si>
    <t>MANSFIELD</t>
  </si>
  <si>
    <t>IAN</t>
  </si>
  <si>
    <t>MANSUR</t>
  </si>
  <si>
    <t>LESLIE</t>
  </si>
  <si>
    <t>MARTIN</t>
  </si>
  <si>
    <t>SHELLEY</t>
  </si>
  <si>
    <t>MATKINS</t>
  </si>
  <si>
    <t>CHRISTOPHER</t>
  </si>
  <si>
    <t>MCGOVERN</t>
  </si>
  <si>
    <t>CHAD</t>
  </si>
  <si>
    <t>MCHALE</t>
  </si>
  <si>
    <t>CATHERINE</t>
  </si>
  <si>
    <t>MENDEL</t>
  </si>
  <si>
    <t>GREER</t>
  </si>
  <si>
    <t>MENDER</t>
  </si>
  <si>
    <t>NATHAN</t>
  </si>
  <si>
    <t>MEYER</t>
  </si>
  <si>
    <t>GRACE</t>
  </si>
  <si>
    <t>MILLER</t>
  </si>
  <si>
    <t>GABRIELLA</t>
  </si>
  <si>
    <t>MORALES-LOPEZ</t>
  </si>
  <si>
    <t>CARLOS</t>
  </si>
  <si>
    <t>MOTZKIN</t>
  </si>
  <si>
    <t>NEIGHBORS</t>
  </si>
  <si>
    <t>DEANNA</t>
  </si>
  <si>
    <t>OSBORNE</t>
  </si>
  <si>
    <t>OSMON</t>
  </si>
  <si>
    <t>DENISE</t>
  </si>
  <si>
    <t>PERLMAN</t>
  </si>
  <si>
    <t>BRYAN</t>
  </si>
  <si>
    <t>PHILLIPS</t>
  </si>
  <si>
    <t>PILLMANN</t>
  </si>
  <si>
    <t>PRINDLE</t>
  </si>
  <si>
    <t>LAURA</t>
  </si>
  <si>
    <t>RIEDEL</t>
  </si>
  <si>
    <t>RISKIN</t>
  </si>
  <si>
    <t>JUSTIN</t>
  </si>
  <si>
    <t>RUFF</t>
  </si>
  <si>
    <t>ALEXANDRA</t>
  </si>
  <si>
    <t>SARAZEN</t>
  </si>
  <si>
    <t>SARCHET</t>
  </si>
  <si>
    <t>JEFF</t>
  </si>
  <si>
    <t>SCARBOROUGH</t>
  </si>
  <si>
    <t>PAULA</t>
  </si>
  <si>
    <t>SHAW</t>
  </si>
  <si>
    <t>KEVIN</t>
  </si>
  <si>
    <t>SPARKS</t>
  </si>
  <si>
    <t>MATTHEW</t>
  </si>
  <si>
    <t>STONE-EHRHARDT</t>
  </si>
  <si>
    <t>ELIZABETH</t>
  </si>
  <si>
    <t>STYERS</t>
  </si>
  <si>
    <t>APRIL</t>
  </si>
  <si>
    <t>MADLYN</t>
  </si>
  <si>
    <t>TAPPERT</t>
  </si>
  <si>
    <t>SHERYL</t>
  </si>
  <si>
    <t>TILLEY</t>
  </si>
  <si>
    <t>ANGELA</t>
  </si>
  <si>
    <t>TROUT</t>
  </si>
  <si>
    <t>WITMORE</t>
  </si>
  <si>
    <t>WOLSLEGEL</t>
  </si>
  <si>
    <t>KRISTEN</t>
  </si>
  <si>
    <t>YARBROUGH</t>
  </si>
  <si>
    <t>MICAH</t>
  </si>
  <si>
    <t>ARNOLD</t>
  </si>
  <si>
    <t>ZACHARY</t>
  </si>
  <si>
    <t>BASS</t>
  </si>
  <si>
    <t>BRIAN</t>
  </si>
  <si>
    <t>CRAWFORD</t>
  </si>
  <si>
    <t>DONALD</t>
  </si>
  <si>
    <t>CATE</t>
  </si>
  <si>
    <t>DORNAN-FISH</t>
  </si>
  <si>
    <t>DROBNICK</t>
  </si>
  <si>
    <t>DARIA</t>
  </si>
  <si>
    <t>DURBAN</t>
  </si>
  <si>
    <t>EISFELD</t>
  </si>
  <si>
    <t>KIMBERLY</t>
  </si>
  <si>
    <t>EVERETT</t>
  </si>
  <si>
    <t>BRENT</t>
  </si>
  <si>
    <t>FONG</t>
  </si>
  <si>
    <t>SONYA</t>
  </si>
  <si>
    <t>GARRETT</t>
  </si>
  <si>
    <t>LISA</t>
  </si>
  <si>
    <t>HEADLEY</t>
  </si>
  <si>
    <t>PATRICK</t>
  </si>
  <si>
    <t>HYLAND</t>
  </si>
  <si>
    <t>DANA</t>
  </si>
  <si>
    <t>LOFLAND</t>
  </si>
  <si>
    <t>PAPPAS</t>
  </si>
  <si>
    <t>PERSEFONE</t>
  </si>
  <si>
    <t>PLAGGE</t>
  </si>
  <si>
    <t>CHELSEA</t>
  </si>
  <si>
    <t>RUIZ-CAMPOS</t>
  </si>
  <si>
    <t>ISEL</t>
  </si>
  <si>
    <t>SIZEMORE</t>
  </si>
  <si>
    <t>TREVOR</t>
  </si>
  <si>
    <t>SYLVEST</t>
  </si>
  <si>
    <t>AUSTIN</t>
  </si>
  <si>
    <t>BLAIR</t>
  </si>
  <si>
    <t>AMY</t>
  </si>
  <si>
    <t>BLUME</t>
  </si>
  <si>
    <t>BARBARA</t>
  </si>
  <si>
    <t>CREWS</t>
  </si>
  <si>
    <t>DEMETRE</t>
  </si>
  <si>
    <t>CURTIS</t>
  </si>
  <si>
    <t>HERBERT</t>
  </si>
  <si>
    <t>GRAFFIS</t>
  </si>
  <si>
    <t>ANDREW</t>
  </si>
  <si>
    <t>KEENAN</t>
  </si>
  <si>
    <t>LANGFIELD</t>
  </si>
  <si>
    <t>DANIELLE</t>
  </si>
  <si>
    <t>LAVIGNE</t>
  </si>
  <si>
    <t>LUKENBILL</t>
  </si>
  <si>
    <t>TINA</t>
  </si>
  <si>
    <t>MOFFETT</t>
  </si>
  <si>
    <t>ALEXANDRIA</t>
  </si>
  <si>
    <t>SCAVO</t>
  </si>
  <si>
    <t>STEVIE</t>
  </si>
  <si>
    <t>SCHWAPPACH</t>
  </si>
  <si>
    <t>SHAH</t>
  </si>
  <si>
    <t>ANAYATULLAH</t>
  </si>
  <si>
    <t>RUSSELL</t>
  </si>
  <si>
    <t>SULLIVAN</t>
  </si>
  <si>
    <t>TONY</t>
  </si>
  <si>
    <t>TAUNTON</t>
  </si>
  <si>
    <t>MARY</t>
  </si>
  <si>
    <t>TRIGG</t>
  </si>
  <si>
    <t>TEMPLE</t>
  </si>
  <si>
    <t>VAN</t>
  </si>
  <si>
    <t>KARIN</t>
  </si>
  <si>
    <t>WAHIDI</t>
  </si>
  <si>
    <t>ZARLASHT</t>
  </si>
  <si>
    <t>WAWRZYNIAK</t>
  </si>
  <si>
    <t>WILLE</t>
  </si>
  <si>
    <t>ZARINE</t>
  </si>
  <si>
    <t>KAZBAI</t>
  </si>
  <si>
    <t>AGIN</t>
  </si>
  <si>
    <t>BARTLETT</t>
  </si>
  <si>
    <t>KATHERINE</t>
  </si>
  <si>
    <t>BEAMAN</t>
  </si>
  <si>
    <t>DEEANN</t>
  </si>
  <si>
    <t>DENNIS</t>
  </si>
  <si>
    <t>BRECHEISEN</t>
  </si>
  <si>
    <t>RAYMOND</t>
  </si>
  <si>
    <t>CAPUTO</t>
  </si>
  <si>
    <t>CYNTHIA</t>
  </si>
  <si>
    <t>DAVENPORT</t>
  </si>
  <si>
    <t>JUANITA</t>
  </si>
  <si>
    <t>DRYDEN</t>
  </si>
  <si>
    <t>MIGNON</t>
  </si>
  <si>
    <t>FRITCHLEE</t>
  </si>
  <si>
    <t>KARA</t>
  </si>
  <si>
    <t>GEWORSKY</t>
  </si>
  <si>
    <t>NANCY</t>
  </si>
  <si>
    <t>HARMS</t>
  </si>
  <si>
    <t>DEBORAH</t>
  </si>
  <si>
    <t>JACKSON</t>
  </si>
  <si>
    <t>JENSEN</t>
  </si>
  <si>
    <t>KIRBY</t>
  </si>
  <si>
    <t>DEBBIE</t>
  </si>
  <si>
    <t>MARTELLA</t>
  </si>
  <si>
    <t>MORRIS</t>
  </si>
  <si>
    <t>TOM</t>
  </si>
  <si>
    <t>PADEN</t>
  </si>
  <si>
    <t>BRENDA</t>
  </si>
  <si>
    <t>SANCHEZ</t>
  </si>
  <si>
    <t>ADELIDA</t>
  </si>
  <si>
    <t>SPRENGER</t>
  </si>
  <si>
    <t>TERESA</t>
  </si>
  <si>
    <t>THAYER</t>
  </si>
  <si>
    <t>THOMPSON</t>
  </si>
  <si>
    <t>RICHARD</t>
  </si>
  <si>
    <t>TRUMAN</t>
  </si>
  <si>
    <t>KIM</t>
  </si>
  <si>
    <t>PETERSON</t>
  </si>
  <si>
    <t>KIRSTI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</si>
</sst>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164" formatCode="[$-10409]&quot;$&quot;#,##0.00;\(&quot;$&quot;#,##0.00\)"/>
    <numFmt numFmtId="165" formatCode="[$-10409]mm/yyyy"/>
    <numFmt numFmtId="166" formatCode="[$-10409]#,##0%"/>
    <numFmt numFmtId="167" formatCode="[$-10409]#,##0.00%"/>
  </numFmts>
  <fonts count="1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</font>
    <font>
      <b/>
      <sz val="13"/>
      <color rgb="FF808080"/>
      <name val="Calibri"/>
      <family val="2"/>
    </font>
    <font>
      <sz val="10"/>
      <color rgb="FFC0C0C0"/>
      <name val="Calibri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Arial"/>
      <family val="2"/>
    </font>
    <font>
      <b/>
      <sz val="9"/>
      <color rgb="FF000000"/>
      <name val="Calibri"/>
      <family val="2"/>
    </font>
    <font>
      <sz val="10"/>
      <color rgb="FF000000"/>
      <name val="Arial"/>
      <family val="2"/>
    </font>
    <font>
      <b/>
      <i/>
      <sz val="10"/>
      <color rgb="FF000000"/>
      <name val="Calibri"/>
      <family val="2"/>
    </font>
    <font>
      <b/>
      <sz val="8"/>
      <color rgb="FF110057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8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1" fillId="0" borderId="0" xfId="0" applyFont="1"/>
    <xf numFmtId="0" fontId="5" fillId="2" borderId="2" xfId="0" applyFont="1" applyFill="1" applyBorder="1" applyAlignment="1">
      <alignment horizontal="center" vertical="top" wrapText="1" readingOrder="1"/>
    </xf>
    <xf numFmtId="0" fontId="6" fillId="0" borderId="4" xfId="0" applyFont="1" applyBorder="1" applyAlignment="1">
      <alignment vertical="top" wrapText="1" readingOrder="1"/>
    </xf>
    <xf numFmtId="164" fontId="6" fillId="0" borderId="4" xfId="0" applyNumberFormat="1" applyFont="1" applyBorder="1" applyAlignment="1">
      <alignment vertical="top" wrapText="1" readingOrder="1"/>
    </xf>
    <xf numFmtId="165" fontId="6" fillId="0" borderId="4" xfId="0" applyNumberFormat="1" applyFont="1" applyBorder="1" applyAlignment="1">
      <alignment vertical="top" wrapText="1" readingOrder="1"/>
    </xf>
    <xf numFmtId="0" fontId="6" fillId="0" borderId="4" xfId="0" applyFont="1" applyBorder="1" applyAlignment="1">
      <alignment horizontal="center" vertical="top" wrapText="1" readingOrder="1"/>
    </xf>
    <xf numFmtId="165" fontId="6" fillId="0" borderId="4" xfId="0" applyNumberFormat="1" applyFont="1" applyBorder="1" applyAlignment="1">
      <alignment horizontal="center" vertical="top" wrapText="1" readingOrder="1"/>
    </xf>
    <xf numFmtId="164" fontId="7" fillId="0" borderId="4" xfId="0" applyNumberFormat="1" applyFont="1" applyBorder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166" fontId="6" fillId="0" borderId="4" xfId="0" applyNumberFormat="1" applyFont="1" applyBorder="1" applyAlignment="1">
      <alignment vertical="top" wrapText="1" readingOrder="1"/>
    </xf>
    <xf numFmtId="0" fontId="5" fillId="2" borderId="4" xfId="0" applyFont="1" applyFill="1" applyBorder="1" applyAlignment="1">
      <alignment horizontal="center" vertical="top" wrapText="1" readingOrder="1"/>
    </xf>
    <xf numFmtId="0" fontId="11" fillId="0" borderId="0" xfId="0" applyFont="1" applyAlignment="1">
      <alignment vertical="top" wrapText="1" readingOrder="1"/>
    </xf>
    <xf numFmtId="167" fontId="6" fillId="0" borderId="4" xfId="0" applyNumberFormat="1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top" wrapText="1" readingOrder="1"/>
    </xf>
    <xf numFmtId="0" fontId="8" fillId="0" borderId="4" xfId="0" applyFont="1" applyBorder="1" applyAlignment="1">
      <alignment horizontal="left" vertical="top" wrapText="1" readingOrder="1"/>
    </xf>
    <xf numFmtId="0" fontId="6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7" fillId="0" borderId="4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4" fillId="0" borderId="0" xfId="0" applyFont="1" applyAlignment="1">
      <alignment vertical="top" wrapText="1" readingOrder="1"/>
    </xf>
    <xf numFmtId="0" fontId="5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right" vertical="top" wrapText="1" readingOrder="1"/>
    </xf>
    <xf numFmtId="0" fontId="10" fillId="0" borderId="0" xfId="0" applyFont="1" applyAlignment="1">
      <alignment vertical="top" wrapText="1" readingOrder="1"/>
    </xf>
    <xf numFmtId="0" fontId="13" fillId="0" borderId="0" xfId="0" applyFont="1" applyAlignment="1">
      <alignment horizontal="right" vertical="top" wrapText="1" readingOrder="1"/>
    </xf>
    <xf numFmtId="0" fontId="12" fillId="0" borderId="0" xfId="0" applyFont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5" fillId="2" borderId="4" xfId="0" applyFont="1" applyFill="1" applyBorder="1" applyAlignment="1">
      <alignment horizontal="center" vertical="top" wrapText="1" readingOrder="1"/>
    </xf>
    <xf numFmtId="0" fontId="6" fillId="0" borderId="0" xfId="0" applyFont="1" applyAlignment="1">
      <alignment vertical="top" wrapText="1" readingOrder="1"/>
    </xf>
    <xf numFmtId="164" fontId="6" fillId="0" borderId="4" xfId="0" applyNumberFormat="1" applyFont="1" applyBorder="1" applyAlignment="1">
      <alignment vertical="top" wrapText="1" readingOrder="1"/>
    </xf>
    <xf numFmtId="164" fontId="10" fillId="0" borderId="0" xfId="0" applyNumberFormat="1" applyFont="1" applyAlignment="1">
      <alignment horizontal="right" vertical="top" wrapText="1" readingOrder="1"/>
    </xf>
    <xf numFmtId="164" fontId="10" fillId="0" borderId="0" xfId="0" applyNumberFormat="1" applyFont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6" fillId="0" borderId="4" xfId="0" applyFont="1" applyBorder="1" applyAlignment="1">
      <alignment horizontal="center" vertical="top" wrapText="1" readingOrder="1"/>
    </xf>
    <xf numFmtId="0" fontId="1" fillId="0" borderId="6" xfId="0" applyFont="1" applyBorder="1" applyAlignment="1">
      <alignment vertical="top" wrapText="1"/>
    </xf>
    <xf numFmtId="164" fontId="8" fillId="0" borderId="0" xfId="0" applyNumberFormat="1" applyFont="1" applyAlignment="1">
      <alignment vertical="top" wrapText="1" readingOrder="1"/>
    </xf>
    <xf numFmtId="0" fontId="5" fillId="0" borderId="4" xfId="0" applyFont="1" applyBorder="1" applyAlignment="1">
      <alignment horizontal="center" vertical="top" wrapText="1" readingOrder="1"/>
    </xf>
    <xf numFmtId="1" fontId="6" fillId="0" borderId="4" xfId="0" applyNumberFormat="1" applyFont="1" applyBorder="1" applyAlignment="1">
      <alignment horizontal="left" vertical="top" wrapText="1" readingOrder="1"/>
    </xf>
    <xf numFmtId="0" fontId="1" fillId="0" borderId="0" xfId="0" applyFont="1" applyAlignment="1"/>
    <xf numFmtId="0" fontId="5" fillId="2" borderId="4" xfId="0" applyFont="1" applyFill="1" applyBorder="1" applyAlignment="1">
      <alignment vertical="top" wrapText="1" readingOrder="1"/>
    </xf>
    <xf numFmtId="0" fontId="6" fillId="0" borderId="4" xfId="0" applyNumberFormat="1" applyFont="1" applyBorder="1" applyAlignment="1">
      <alignment horizontal="left" vertical="top" wrapText="1" readingOrder="1"/>
    </xf>
    <xf numFmtId="0" fontId="5" fillId="2" borderId="4" xfId="0" applyFont="1" applyFill="1" applyBorder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14" fontId="6" fillId="0" borderId="4" xfId="0" applyNumberFormat="1" applyFont="1" applyBorder="1" applyAlignment="1">
      <alignment vertical="top" wrapText="1" readingOrder="1"/>
    </xf>
    <xf numFmtId="7" fontId="1" fillId="0" borderId="0" xfId="0" applyNumberFormat="1" applyFont="1" applyAlignment="1"/>
    <xf numFmtId="14" fontId="5" fillId="2" borderId="4" xfId="0" applyNumberFormat="1" applyFont="1" applyFill="1" applyBorder="1" applyAlignment="1">
      <alignment vertical="top" wrapText="1" readingOrder="1"/>
    </xf>
    <xf numFmtId="14" fontId="6" fillId="0" borderId="4" xfId="0" applyNumberFormat="1" applyFont="1" applyBorder="1" applyAlignment="1">
      <alignment horizontal="center" vertical="top" wrapText="1" readingOrder="1"/>
    </xf>
    <xf numFmtId="14" fontId="1" fillId="0" borderId="0" xfId="0" applyNumberFormat="1" applyFont="1"/>
    <xf numFmtId="14" fontId="1" fillId="0" borderId="0" xfId="0" applyNumberFormat="1" applyFont="1" applyAlignment="1"/>
    <xf numFmtId="0" fontId="14" fillId="0" borderId="4" xfId="0" applyFont="1" applyBorder="1" applyAlignment="1">
      <alignment vertical="top" wrapText="1" readingOrder="1"/>
    </xf>
    <xf numFmtId="1" fontId="14" fillId="0" borderId="4" xfId="0" applyNumberFormat="1" applyFont="1" applyBorder="1" applyAlignment="1">
      <alignment horizontal="left" vertical="top" wrapText="1" readingOrder="1"/>
    </xf>
    <xf numFmtId="14" fontId="14" fillId="0" borderId="4" xfId="0" applyNumberFormat="1" applyFont="1" applyBorder="1" applyAlignment="1">
      <alignment vertical="top" wrapText="1" readingOrder="1"/>
    </xf>
    <xf numFmtId="164" fontId="14" fillId="0" borderId="4" xfId="0" applyNumberFormat="1" applyFont="1" applyBorder="1" applyAlignment="1">
      <alignment vertical="top" wrapText="1" readingOrder="1"/>
    </xf>
    <xf numFmtId="167" fontId="14" fillId="0" borderId="4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808080"/>
      <rgbColor rgb="00C0C0C0"/>
      <rgbColor rgb="00110057"/>
      <rgbColor rgb="00FFFFFF"/>
      <rgbColor rgb="00D3D3D3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713C83-034F-4142-BCEC-A67D7268D25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0"/>
          <a:ext cx="610264" cy="381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84FF07-DF8E-4966-9C71-3E091FABB51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0"/>
          <a:ext cx="607827" cy="381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830CDB-AA98-4461-95C4-9F5A7B816CC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71168" cy="567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showGridLines="0" workbookViewId="0">
      <pane ySplit="10" topLeftCell="A11" activePane="bottomLeft" state="frozen"/>
      <selection pane="bottomLeft" activeCell="J12" sqref="J12:J33"/>
    </sheetView>
  </sheetViews>
  <sheetFormatPr defaultRowHeight="14.4" x14ac:dyDescent="0.3"/>
  <cols>
    <col min="1" max="1" width="10.88671875" customWidth="1"/>
    <col min="2" max="2" width="22.5546875" customWidth="1"/>
    <col min="3" max="3" width="10.44140625" customWidth="1"/>
    <col min="4" max="4" width="11.6640625" customWidth="1"/>
    <col min="5" max="5" width="10" customWidth="1"/>
    <col min="6" max="6" width="3.6640625" customWidth="1"/>
    <col min="7" max="7" width="10" customWidth="1"/>
    <col min="8" max="8" width="6.33203125" customWidth="1"/>
    <col min="9" max="9" width="8.33203125" customWidth="1"/>
    <col min="10" max="10" width="9.88671875" customWidth="1"/>
    <col min="11" max="11" width="4.44140625" customWidth="1"/>
    <col min="12" max="12" width="18" customWidth="1"/>
    <col min="13" max="13" width="13.6640625" customWidth="1"/>
  </cols>
  <sheetData>
    <row r="1" spans="1:13" ht="18" customHeight="1" x14ac:dyDescent="0.3">
      <c r="A1" s="22"/>
      <c r="B1" s="22"/>
      <c r="C1" s="22"/>
      <c r="F1" s="21" t="s">
        <v>0</v>
      </c>
      <c r="G1" s="22"/>
      <c r="H1" s="22"/>
      <c r="I1" s="22"/>
      <c r="J1" s="22"/>
      <c r="K1" s="22"/>
      <c r="L1" s="22"/>
    </row>
    <row r="2" spans="1:13" ht="1.65" customHeight="1" x14ac:dyDescent="0.3">
      <c r="A2" s="22"/>
      <c r="B2" s="22"/>
      <c r="C2" s="22"/>
    </row>
    <row r="3" spans="1:13" ht="17.7" customHeight="1" x14ac:dyDescent="0.3">
      <c r="A3" s="22"/>
      <c r="B3" s="22"/>
      <c r="C3" s="22"/>
      <c r="F3" s="21" t="s">
        <v>1</v>
      </c>
      <c r="G3" s="22"/>
      <c r="H3" s="22"/>
      <c r="I3" s="22"/>
      <c r="J3" s="22"/>
      <c r="K3" s="22"/>
      <c r="L3" s="22"/>
    </row>
    <row r="4" spans="1:13" x14ac:dyDescent="0.3">
      <c r="F4" s="22"/>
      <c r="G4" s="22"/>
      <c r="H4" s="22"/>
      <c r="I4" s="22"/>
      <c r="J4" s="22"/>
      <c r="K4" s="22"/>
      <c r="L4" s="22"/>
    </row>
    <row r="5" spans="1:13" ht="16.95" customHeight="1" x14ac:dyDescent="0.3"/>
    <row r="6" spans="1:13" ht="37.65" customHeight="1" x14ac:dyDescent="0.3">
      <c r="A6" s="26" t="s">
        <v>2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3" ht="18" customHeight="1" x14ac:dyDescent="0.3">
      <c r="A7" s="21" t="s">
        <v>3</v>
      </c>
      <c r="B7" s="22"/>
      <c r="C7" s="22"/>
      <c r="D7" s="22"/>
      <c r="E7" s="22"/>
      <c r="F7" s="28" t="s">
        <v>4</v>
      </c>
      <c r="G7" s="22"/>
      <c r="H7" s="22"/>
      <c r="I7" s="22"/>
      <c r="J7" s="22"/>
      <c r="K7" s="22"/>
      <c r="L7" s="22"/>
    </row>
    <row r="8" spans="1:13" ht="18" customHeight="1" x14ac:dyDescent="0.3">
      <c r="A8" s="21" t="s">
        <v>5</v>
      </c>
      <c r="B8" s="22"/>
      <c r="C8" s="22"/>
      <c r="D8" s="22"/>
      <c r="E8" s="22"/>
      <c r="F8" s="23" t="s">
        <v>6</v>
      </c>
      <c r="G8" s="22"/>
      <c r="H8" s="22"/>
      <c r="I8" s="22"/>
      <c r="J8" s="22"/>
      <c r="K8" s="22"/>
      <c r="L8" s="22"/>
    </row>
    <row r="9" spans="1:13" ht="18" customHeight="1" x14ac:dyDescent="0.3">
      <c r="A9" s="21" t="s">
        <v>7</v>
      </c>
      <c r="B9" s="22"/>
      <c r="C9" s="22"/>
      <c r="D9" s="22"/>
      <c r="E9" s="22"/>
    </row>
    <row r="10" spans="1:13" ht="18" customHeight="1" x14ac:dyDescent="0.3">
      <c r="A10" s="21" t="s">
        <v>8</v>
      </c>
      <c r="B10" s="22"/>
      <c r="C10" s="22"/>
      <c r="D10" s="22"/>
      <c r="E10" s="22"/>
    </row>
    <row r="11" spans="1:13" ht="20.399999999999999" x14ac:dyDescent="0.3">
      <c r="A11" s="1" t="s">
        <v>9</v>
      </c>
      <c r="B11" s="1" t="s">
        <v>10</v>
      </c>
      <c r="C11" s="1" t="s">
        <v>11</v>
      </c>
      <c r="D11" s="1" t="s">
        <v>12</v>
      </c>
      <c r="E11" s="24" t="s">
        <v>13</v>
      </c>
      <c r="F11" s="25"/>
      <c r="G11" s="1" t="s">
        <v>14</v>
      </c>
      <c r="H11" s="1" t="s">
        <v>15</v>
      </c>
      <c r="I11" s="1" t="s">
        <v>16</v>
      </c>
      <c r="J11" s="1" t="s">
        <v>17</v>
      </c>
      <c r="K11" s="1" t="s">
        <v>18</v>
      </c>
      <c r="L11" s="24" t="s">
        <v>19</v>
      </c>
      <c r="M11" s="25"/>
    </row>
    <row r="12" spans="1:13" x14ac:dyDescent="0.3">
      <c r="A12" s="2" t="s">
        <v>20</v>
      </c>
      <c r="B12" s="2" t="s">
        <v>21</v>
      </c>
      <c r="C12" s="3">
        <v>28.9</v>
      </c>
      <c r="D12" s="2" t="s">
        <v>22</v>
      </c>
      <c r="E12" s="18" t="s">
        <v>23</v>
      </c>
      <c r="F12" s="19"/>
      <c r="G12" s="4">
        <v>46113</v>
      </c>
      <c r="H12" s="2" t="s">
        <v>24</v>
      </c>
      <c r="I12" s="5" t="s">
        <v>25</v>
      </c>
      <c r="J12" s="6">
        <v>45962</v>
      </c>
      <c r="K12" s="2" t="s">
        <v>26</v>
      </c>
      <c r="L12" s="18"/>
      <c r="M12" s="19"/>
    </row>
    <row r="13" spans="1:13" x14ac:dyDescent="0.3">
      <c r="A13" s="2" t="s">
        <v>27</v>
      </c>
      <c r="B13" s="2" t="s">
        <v>28</v>
      </c>
      <c r="C13" s="3">
        <v>28.9</v>
      </c>
      <c r="D13" s="2" t="s">
        <v>22</v>
      </c>
      <c r="E13" s="18" t="s">
        <v>23</v>
      </c>
      <c r="F13" s="19"/>
      <c r="G13" s="4">
        <v>46113</v>
      </c>
      <c r="H13" s="2" t="s">
        <v>25</v>
      </c>
      <c r="I13" s="5" t="s">
        <v>25</v>
      </c>
      <c r="J13" s="6">
        <v>45689</v>
      </c>
      <c r="K13" s="2" t="s">
        <v>29</v>
      </c>
      <c r="L13" s="18"/>
      <c r="M13" s="19"/>
    </row>
    <row r="14" spans="1:13" x14ac:dyDescent="0.3">
      <c r="A14" s="2" t="s">
        <v>30</v>
      </c>
      <c r="B14" s="2" t="s">
        <v>31</v>
      </c>
      <c r="C14" s="3">
        <v>28.9</v>
      </c>
      <c r="D14" s="2" t="s">
        <v>22</v>
      </c>
      <c r="E14" s="18" t="s">
        <v>23</v>
      </c>
      <c r="F14" s="19"/>
      <c r="G14" s="4">
        <v>46113</v>
      </c>
      <c r="H14" s="2" t="s">
        <v>25</v>
      </c>
      <c r="I14" s="5" t="s">
        <v>25</v>
      </c>
      <c r="J14" s="6">
        <v>45689</v>
      </c>
      <c r="K14" s="2" t="s">
        <v>29</v>
      </c>
      <c r="L14" s="18"/>
      <c r="M14" s="19"/>
    </row>
    <row r="15" spans="1:13" x14ac:dyDescent="0.3">
      <c r="A15" s="2" t="s">
        <v>32</v>
      </c>
      <c r="B15" s="2" t="s">
        <v>33</v>
      </c>
      <c r="C15" s="3">
        <v>28.9</v>
      </c>
      <c r="D15" s="2" t="s">
        <v>22</v>
      </c>
      <c r="E15" s="18" t="s">
        <v>23</v>
      </c>
      <c r="F15" s="19"/>
      <c r="G15" s="4">
        <v>46113</v>
      </c>
      <c r="H15" s="2" t="s">
        <v>25</v>
      </c>
      <c r="I15" s="5" t="s">
        <v>25</v>
      </c>
      <c r="J15" s="6">
        <v>45658</v>
      </c>
      <c r="K15" s="2" t="s">
        <v>29</v>
      </c>
      <c r="L15" s="18"/>
      <c r="M15" s="19"/>
    </row>
    <row r="16" spans="1:13" x14ac:dyDescent="0.3">
      <c r="A16" s="2" t="s">
        <v>34</v>
      </c>
      <c r="B16" s="2" t="s">
        <v>35</v>
      </c>
      <c r="C16" s="3">
        <v>28.9</v>
      </c>
      <c r="D16" s="2" t="s">
        <v>22</v>
      </c>
      <c r="E16" s="18" t="s">
        <v>23</v>
      </c>
      <c r="F16" s="19"/>
      <c r="G16" s="4">
        <v>46113</v>
      </c>
      <c r="H16" s="2" t="s">
        <v>24</v>
      </c>
      <c r="I16" s="5" t="s">
        <v>25</v>
      </c>
      <c r="J16" s="6">
        <v>45778</v>
      </c>
      <c r="K16" s="2" t="s">
        <v>29</v>
      </c>
      <c r="L16" s="18"/>
      <c r="M16" s="19"/>
    </row>
    <row r="17" spans="1:13" x14ac:dyDescent="0.3">
      <c r="A17" s="2" t="s">
        <v>36</v>
      </c>
      <c r="B17" s="2" t="s">
        <v>37</v>
      </c>
      <c r="C17" s="3">
        <v>28.9</v>
      </c>
      <c r="D17" s="2" t="s">
        <v>22</v>
      </c>
      <c r="E17" s="18" t="s">
        <v>23</v>
      </c>
      <c r="F17" s="19"/>
      <c r="G17" s="4">
        <v>46113</v>
      </c>
      <c r="H17" s="2" t="s">
        <v>24</v>
      </c>
      <c r="I17" s="5" t="s">
        <v>25</v>
      </c>
      <c r="J17" s="6">
        <v>45689</v>
      </c>
      <c r="K17" s="2" t="s">
        <v>29</v>
      </c>
      <c r="L17" s="18"/>
      <c r="M17" s="19"/>
    </row>
    <row r="18" spans="1:13" x14ac:dyDescent="0.3">
      <c r="A18" s="2" t="s">
        <v>38</v>
      </c>
      <c r="B18" s="2" t="s">
        <v>39</v>
      </c>
      <c r="C18" s="3">
        <v>28.9</v>
      </c>
      <c r="D18" s="2" t="s">
        <v>22</v>
      </c>
      <c r="E18" s="18" t="s">
        <v>23</v>
      </c>
      <c r="F18" s="19"/>
      <c r="G18" s="4">
        <v>46113</v>
      </c>
      <c r="H18" s="2" t="s">
        <v>24</v>
      </c>
      <c r="I18" s="5" t="s">
        <v>25</v>
      </c>
      <c r="J18" s="6">
        <v>45870</v>
      </c>
      <c r="K18" s="2" t="s">
        <v>29</v>
      </c>
      <c r="L18" s="18"/>
      <c r="M18" s="19"/>
    </row>
    <row r="19" spans="1:13" x14ac:dyDescent="0.3">
      <c r="A19" s="2" t="s">
        <v>40</v>
      </c>
      <c r="B19" s="2" t="s">
        <v>41</v>
      </c>
      <c r="C19" s="3">
        <v>14.45</v>
      </c>
      <c r="D19" s="2" t="s">
        <v>42</v>
      </c>
      <c r="E19" s="18" t="s">
        <v>43</v>
      </c>
      <c r="F19" s="19"/>
      <c r="G19" s="4">
        <v>46113</v>
      </c>
      <c r="H19" s="2" t="s">
        <v>25</v>
      </c>
      <c r="I19" s="5" t="s">
        <v>25</v>
      </c>
      <c r="J19" s="6">
        <v>46023</v>
      </c>
      <c r="K19" s="2" t="s">
        <v>26</v>
      </c>
      <c r="L19" s="18"/>
      <c r="M19" s="19"/>
    </row>
    <row r="20" spans="1:13" x14ac:dyDescent="0.3">
      <c r="A20" s="2" t="s">
        <v>44</v>
      </c>
      <c r="B20" s="2" t="s">
        <v>45</v>
      </c>
      <c r="C20" s="3">
        <v>28.9</v>
      </c>
      <c r="D20" s="2" t="s">
        <v>22</v>
      </c>
      <c r="E20" s="18" t="s">
        <v>23</v>
      </c>
      <c r="F20" s="19"/>
      <c r="G20" s="4">
        <v>46113</v>
      </c>
      <c r="H20" s="2" t="s">
        <v>24</v>
      </c>
      <c r="I20" s="5" t="s">
        <v>25</v>
      </c>
      <c r="J20" s="6">
        <v>45627</v>
      </c>
      <c r="K20" s="2" t="s">
        <v>29</v>
      </c>
      <c r="L20" s="18"/>
      <c r="M20" s="19"/>
    </row>
    <row r="21" spans="1:13" x14ac:dyDescent="0.3">
      <c r="A21" s="2" t="s">
        <v>46</v>
      </c>
      <c r="B21" s="2" t="s">
        <v>47</v>
      </c>
      <c r="C21" s="3">
        <v>28.9</v>
      </c>
      <c r="D21" s="2" t="s">
        <v>22</v>
      </c>
      <c r="E21" s="18" t="s">
        <v>23</v>
      </c>
      <c r="F21" s="19"/>
      <c r="G21" s="4">
        <v>46113</v>
      </c>
      <c r="H21" s="2" t="s">
        <v>24</v>
      </c>
      <c r="I21" s="5" t="s">
        <v>25</v>
      </c>
      <c r="J21" s="6">
        <v>45778</v>
      </c>
      <c r="K21" s="2" t="s">
        <v>29</v>
      </c>
      <c r="L21" s="18"/>
      <c r="M21" s="19"/>
    </row>
    <row r="22" spans="1:13" x14ac:dyDescent="0.3">
      <c r="A22" s="2" t="s">
        <v>48</v>
      </c>
      <c r="B22" s="2" t="s">
        <v>49</v>
      </c>
      <c r="C22" s="3">
        <v>28.9</v>
      </c>
      <c r="D22" s="2" t="s">
        <v>22</v>
      </c>
      <c r="E22" s="18" t="s">
        <v>23</v>
      </c>
      <c r="F22" s="19"/>
      <c r="G22" s="4">
        <v>46113</v>
      </c>
      <c r="H22" s="2" t="s">
        <v>25</v>
      </c>
      <c r="I22" s="5" t="s">
        <v>25</v>
      </c>
      <c r="J22" s="6">
        <v>45658</v>
      </c>
      <c r="K22" s="2" t="s">
        <v>29</v>
      </c>
      <c r="L22" s="18"/>
      <c r="M22" s="19"/>
    </row>
    <row r="23" spans="1:13" x14ac:dyDescent="0.3">
      <c r="A23" s="2" t="s">
        <v>50</v>
      </c>
      <c r="B23" s="2" t="s">
        <v>51</v>
      </c>
      <c r="C23" s="3">
        <v>28.9</v>
      </c>
      <c r="D23" s="2" t="s">
        <v>22</v>
      </c>
      <c r="E23" s="18" t="s">
        <v>23</v>
      </c>
      <c r="F23" s="19"/>
      <c r="G23" s="4">
        <v>46113</v>
      </c>
      <c r="H23" s="2" t="s">
        <v>24</v>
      </c>
      <c r="I23" s="5" t="s">
        <v>25</v>
      </c>
      <c r="J23" s="6">
        <v>45658</v>
      </c>
      <c r="K23" s="2" t="s">
        <v>29</v>
      </c>
      <c r="L23" s="18"/>
      <c r="M23" s="19"/>
    </row>
    <row r="24" spans="1:13" x14ac:dyDescent="0.3">
      <c r="A24" s="2" t="s">
        <v>52</v>
      </c>
      <c r="B24" s="2" t="s">
        <v>53</v>
      </c>
      <c r="C24" s="3">
        <v>14.45</v>
      </c>
      <c r="D24" s="2" t="s">
        <v>42</v>
      </c>
      <c r="E24" s="18" t="s">
        <v>43</v>
      </c>
      <c r="F24" s="19"/>
      <c r="G24" s="4">
        <v>46113</v>
      </c>
      <c r="H24" s="2" t="s">
        <v>25</v>
      </c>
      <c r="I24" s="5" t="s">
        <v>25</v>
      </c>
      <c r="J24" s="6">
        <v>46023</v>
      </c>
      <c r="K24" s="2" t="s">
        <v>29</v>
      </c>
      <c r="L24" s="18"/>
      <c r="M24" s="19"/>
    </row>
    <row r="25" spans="1:13" x14ac:dyDescent="0.3">
      <c r="A25" s="2" t="s">
        <v>54</v>
      </c>
      <c r="B25" s="2" t="s">
        <v>55</v>
      </c>
      <c r="C25" s="3">
        <v>28.9</v>
      </c>
      <c r="D25" s="2" t="s">
        <v>22</v>
      </c>
      <c r="E25" s="18" t="s">
        <v>23</v>
      </c>
      <c r="F25" s="19"/>
      <c r="G25" s="4">
        <v>46113</v>
      </c>
      <c r="H25" s="2" t="s">
        <v>56</v>
      </c>
      <c r="I25" s="5" t="s">
        <v>25</v>
      </c>
      <c r="J25" s="6">
        <v>45658</v>
      </c>
      <c r="K25" s="2" t="s">
        <v>26</v>
      </c>
      <c r="L25" s="18"/>
      <c r="M25" s="19"/>
    </row>
    <row r="26" spans="1:13" x14ac:dyDescent="0.3">
      <c r="A26" s="2" t="s">
        <v>57</v>
      </c>
      <c r="B26" s="2" t="s">
        <v>58</v>
      </c>
      <c r="C26" s="3">
        <v>28.9</v>
      </c>
      <c r="D26" s="2" t="s">
        <v>22</v>
      </c>
      <c r="E26" s="18" t="s">
        <v>23</v>
      </c>
      <c r="F26" s="19"/>
      <c r="G26" s="4">
        <v>46113</v>
      </c>
      <c r="H26" s="2" t="s">
        <v>24</v>
      </c>
      <c r="I26" s="5" t="s">
        <v>25</v>
      </c>
      <c r="J26" s="6">
        <v>45658</v>
      </c>
      <c r="K26" s="2" t="s">
        <v>29</v>
      </c>
      <c r="L26" s="18"/>
      <c r="M26" s="19"/>
    </row>
    <row r="27" spans="1:13" x14ac:dyDescent="0.3">
      <c r="A27" s="2" t="s">
        <v>59</v>
      </c>
      <c r="B27" s="2" t="s">
        <v>60</v>
      </c>
      <c r="C27" s="3">
        <v>28.9</v>
      </c>
      <c r="D27" s="2" t="s">
        <v>22</v>
      </c>
      <c r="E27" s="18" t="s">
        <v>23</v>
      </c>
      <c r="F27" s="19"/>
      <c r="G27" s="4">
        <v>46113</v>
      </c>
      <c r="H27" s="2" t="s">
        <v>25</v>
      </c>
      <c r="I27" s="5" t="s">
        <v>25</v>
      </c>
      <c r="J27" s="6">
        <v>45689</v>
      </c>
      <c r="K27" s="2" t="s">
        <v>29</v>
      </c>
      <c r="L27" s="18"/>
      <c r="M27" s="19"/>
    </row>
    <row r="28" spans="1:13" x14ac:dyDescent="0.3">
      <c r="A28" s="2" t="s">
        <v>61</v>
      </c>
      <c r="B28" s="2" t="s">
        <v>62</v>
      </c>
      <c r="C28" s="3">
        <v>28.9</v>
      </c>
      <c r="D28" s="2" t="s">
        <v>22</v>
      </c>
      <c r="E28" s="18" t="s">
        <v>23</v>
      </c>
      <c r="F28" s="19"/>
      <c r="G28" s="4">
        <v>46113</v>
      </c>
      <c r="H28" s="2" t="s">
        <v>25</v>
      </c>
      <c r="I28" s="5" t="s">
        <v>25</v>
      </c>
      <c r="J28" s="6">
        <v>45689</v>
      </c>
      <c r="K28" s="2" t="s">
        <v>29</v>
      </c>
      <c r="L28" s="18"/>
      <c r="M28" s="19"/>
    </row>
    <row r="29" spans="1:13" x14ac:dyDescent="0.3">
      <c r="A29" s="2" t="s">
        <v>63</v>
      </c>
      <c r="B29" s="2" t="s">
        <v>64</v>
      </c>
      <c r="C29" s="3">
        <v>14.45</v>
      </c>
      <c r="D29" s="2" t="s">
        <v>42</v>
      </c>
      <c r="E29" s="18" t="s">
        <v>43</v>
      </c>
      <c r="F29" s="19"/>
      <c r="G29" s="4">
        <v>46113</v>
      </c>
      <c r="H29" s="2" t="s">
        <v>25</v>
      </c>
      <c r="I29" s="5" t="s">
        <v>25</v>
      </c>
      <c r="J29" s="6">
        <v>46023</v>
      </c>
      <c r="K29" s="2" t="s">
        <v>29</v>
      </c>
      <c r="L29" s="18"/>
      <c r="M29" s="19"/>
    </row>
    <row r="30" spans="1:13" x14ac:dyDescent="0.3">
      <c r="A30" s="2" t="s">
        <v>65</v>
      </c>
      <c r="B30" s="2" t="s">
        <v>66</v>
      </c>
      <c r="C30" s="3">
        <v>28.9</v>
      </c>
      <c r="D30" s="2" t="s">
        <v>22</v>
      </c>
      <c r="E30" s="18" t="s">
        <v>23</v>
      </c>
      <c r="F30" s="19"/>
      <c r="G30" s="4">
        <v>46113</v>
      </c>
      <c r="H30" s="2" t="s">
        <v>24</v>
      </c>
      <c r="I30" s="5" t="s">
        <v>25</v>
      </c>
      <c r="J30" s="6">
        <v>45992</v>
      </c>
      <c r="K30" s="2" t="s">
        <v>29</v>
      </c>
      <c r="L30" s="18"/>
      <c r="M30" s="19"/>
    </row>
    <row r="31" spans="1:13" x14ac:dyDescent="0.3">
      <c r="A31" s="2" t="s">
        <v>67</v>
      </c>
      <c r="B31" s="2" t="s">
        <v>68</v>
      </c>
      <c r="C31" s="3">
        <v>28.9</v>
      </c>
      <c r="D31" s="2" t="s">
        <v>22</v>
      </c>
      <c r="E31" s="18" t="s">
        <v>23</v>
      </c>
      <c r="F31" s="19"/>
      <c r="G31" s="4">
        <v>46113</v>
      </c>
      <c r="H31" s="2" t="s">
        <v>24</v>
      </c>
      <c r="I31" s="5" t="s">
        <v>25</v>
      </c>
      <c r="J31" s="6">
        <v>45748</v>
      </c>
      <c r="K31" s="2" t="s">
        <v>29</v>
      </c>
      <c r="L31" s="18"/>
      <c r="M31" s="19"/>
    </row>
    <row r="32" spans="1:13" x14ac:dyDescent="0.3">
      <c r="A32" s="2" t="s">
        <v>69</v>
      </c>
      <c r="B32" s="2" t="s">
        <v>70</v>
      </c>
      <c r="C32" s="3">
        <v>28.9</v>
      </c>
      <c r="D32" s="2" t="s">
        <v>22</v>
      </c>
      <c r="E32" s="18" t="s">
        <v>23</v>
      </c>
      <c r="F32" s="19"/>
      <c r="G32" s="4">
        <v>46113</v>
      </c>
      <c r="H32" s="2" t="s">
        <v>71</v>
      </c>
      <c r="I32" s="5" t="s">
        <v>25</v>
      </c>
      <c r="J32" s="6">
        <v>45658</v>
      </c>
      <c r="K32" s="2" t="s">
        <v>29</v>
      </c>
      <c r="L32" s="18"/>
      <c r="M32" s="19"/>
    </row>
    <row r="33" spans="1:13" x14ac:dyDescent="0.3">
      <c r="A33" s="2" t="s">
        <v>72</v>
      </c>
      <c r="B33" s="2" t="s">
        <v>73</v>
      </c>
      <c r="C33" s="3">
        <v>28.9</v>
      </c>
      <c r="D33" s="2" t="s">
        <v>22</v>
      </c>
      <c r="E33" s="18" t="s">
        <v>23</v>
      </c>
      <c r="F33" s="19"/>
      <c r="G33" s="4">
        <v>46113</v>
      </c>
      <c r="H33" s="2" t="s">
        <v>24</v>
      </c>
      <c r="I33" s="5" t="s">
        <v>25</v>
      </c>
      <c r="J33" s="6">
        <v>45931</v>
      </c>
      <c r="K33" s="2" t="s">
        <v>26</v>
      </c>
      <c r="L33" s="18"/>
      <c r="M33" s="19"/>
    </row>
    <row r="34" spans="1:13" x14ac:dyDescent="0.3">
      <c r="A34" s="20" t="s">
        <v>74</v>
      </c>
      <c r="B34" s="19"/>
      <c r="C34" s="7">
        <v>592.45000000000005</v>
      </c>
      <c r="D34" s="2" t="s">
        <v>23</v>
      </c>
      <c r="E34" s="18" t="s">
        <v>23</v>
      </c>
      <c r="F34" s="19"/>
      <c r="G34" s="2" t="s">
        <v>23</v>
      </c>
      <c r="H34" s="2" t="s">
        <v>23</v>
      </c>
      <c r="I34" s="5" t="s">
        <v>23</v>
      </c>
      <c r="J34" s="5" t="s">
        <v>23</v>
      </c>
      <c r="K34" s="2" t="s">
        <v>23</v>
      </c>
      <c r="L34" s="18" t="s">
        <v>23</v>
      </c>
      <c r="M34" s="19"/>
    </row>
  </sheetData>
  <mergeCells count="59">
    <mergeCell ref="A1:C3"/>
    <mergeCell ref="F1:L1"/>
    <mergeCell ref="F3:L4"/>
    <mergeCell ref="A6:L6"/>
    <mergeCell ref="A7:E7"/>
    <mergeCell ref="F7:L7"/>
    <mergeCell ref="A8:E8"/>
    <mergeCell ref="F8:L8"/>
    <mergeCell ref="A9:E9"/>
    <mergeCell ref="A10:E10"/>
    <mergeCell ref="E11:F11"/>
    <mergeCell ref="L11:M11"/>
    <mergeCell ref="E12:F12"/>
    <mergeCell ref="L12:M12"/>
    <mergeCell ref="E13:F13"/>
    <mergeCell ref="L13:M13"/>
    <mergeCell ref="E14:F14"/>
    <mergeCell ref="L14:M14"/>
    <mergeCell ref="E15:F15"/>
    <mergeCell ref="L15:M15"/>
    <mergeCell ref="E16:F16"/>
    <mergeCell ref="L16:M16"/>
    <mergeCell ref="E17:F17"/>
    <mergeCell ref="L17:M17"/>
    <mergeCell ref="E18:F18"/>
    <mergeCell ref="L18:M18"/>
    <mergeCell ref="E19:F19"/>
    <mergeCell ref="L19:M19"/>
    <mergeCell ref="E20:F20"/>
    <mergeCell ref="L20:M20"/>
    <mergeCell ref="E21:F21"/>
    <mergeCell ref="L21:M21"/>
    <mergeCell ref="E22:F22"/>
    <mergeCell ref="L22:M22"/>
    <mergeCell ref="E23:F23"/>
    <mergeCell ref="L23:M23"/>
    <mergeCell ref="E24:F24"/>
    <mergeCell ref="L24:M24"/>
    <mergeCell ref="E25:F25"/>
    <mergeCell ref="L25:M25"/>
    <mergeCell ref="E26:F26"/>
    <mergeCell ref="L26:M26"/>
    <mergeCell ref="E27:F27"/>
    <mergeCell ref="L27:M27"/>
    <mergeCell ref="E28:F28"/>
    <mergeCell ref="L28:M28"/>
    <mergeCell ref="E29:F29"/>
    <mergeCell ref="L29:M29"/>
    <mergeCell ref="E30:F30"/>
    <mergeCell ref="L30:M30"/>
    <mergeCell ref="E31:F31"/>
    <mergeCell ref="L31:M31"/>
    <mergeCell ref="E32:F32"/>
    <mergeCell ref="L32:M32"/>
    <mergeCell ref="E33:F33"/>
    <mergeCell ref="L33:M33"/>
    <mergeCell ref="A34:B34"/>
    <mergeCell ref="E34:F34"/>
    <mergeCell ref="L34:M34"/>
  </mergeCells>
  <pageMargins left="0.5" right="0.5" top="0.5" bottom="0.75" header="0.5" footer="0.5"/>
  <pageSetup orientation="landscape" horizontalDpi="300" verticalDpi="300"/>
  <headerFooter alignWithMargins="0">
    <oddFooter>&amp;L&amp;"Calibri,Regular"&amp;10 4/14/2026 12:14:59 PM &amp;R&amp;"Calibri,Regular"&amp;10Page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4E71-054E-49AE-972F-495316DB982A}">
  <dimension ref="A1:R215"/>
  <sheetViews>
    <sheetView topLeftCell="A181" workbookViewId="0">
      <selection activeCell="Q12" sqref="Q12:R18"/>
    </sheetView>
  </sheetViews>
  <sheetFormatPr defaultRowHeight="14.4" x14ac:dyDescent="0.3"/>
  <cols>
    <col min="1" max="1" width="18.44140625" customWidth="1"/>
    <col min="2" max="2" width="11.6640625" customWidth="1"/>
    <col min="3" max="3" width="5.44140625" customWidth="1"/>
    <col min="4" max="4" width="3.88671875" customWidth="1"/>
    <col min="5" max="5" width="0.5546875" customWidth="1"/>
    <col min="6" max="6" width="3.88671875" customWidth="1"/>
    <col min="7" max="7" width="5.6640625" customWidth="1"/>
    <col min="8" max="8" width="7.44140625" customWidth="1"/>
    <col min="9" max="9" width="10.5546875" customWidth="1"/>
    <col min="10" max="10" width="9.44140625" customWidth="1"/>
    <col min="11" max="11" width="7.109375" customWidth="1"/>
    <col min="12" max="12" width="4.88671875" customWidth="1"/>
    <col min="13" max="13" width="1.6640625" customWidth="1"/>
    <col min="14" max="14" width="8" customWidth="1"/>
    <col min="15" max="15" width="7.109375" customWidth="1"/>
    <col min="16" max="16" width="4.88671875" customWidth="1"/>
    <col min="17" max="17" width="4.33203125" customWidth="1"/>
    <col min="18" max="18" width="3.88671875" customWidth="1"/>
    <col min="19" max="19" width="161.44140625" customWidth="1"/>
  </cols>
  <sheetData>
    <row r="1" spans="1:18" x14ac:dyDescent="0.3">
      <c r="M1" s="29" t="s">
        <v>366</v>
      </c>
      <c r="N1" s="22"/>
      <c r="O1" s="22"/>
      <c r="P1" s="22"/>
      <c r="Q1" s="22"/>
    </row>
    <row r="2" spans="1:18" ht="17.25" customHeight="1" x14ac:dyDescent="0.3">
      <c r="A2" s="22"/>
      <c r="B2" s="22"/>
      <c r="C2" s="22"/>
      <c r="D2" s="22"/>
      <c r="E2" s="22"/>
      <c r="M2" s="22"/>
      <c r="N2" s="22"/>
      <c r="O2" s="22"/>
      <c r="P2" s="22"/>
      <c r="Q2" s="22"/>
    </row>
    <row r="3" spans="1:18" x14ac:dyDescent="0.3">
      <c r="A3" s="22"/>
      <c r="B3" s="22"/>
      <c r="C3" s="22"/>
      <c r="D3" s="22"/>
      <c r="E3" s="22"/>
      <c r="M3" s="29" t="s">
        <v>365</v>
      </c>
      <c r="N3" s="22"/>
      <c r="O3" s="22"/>
      <c r="P3" s="22"/>
      <c r="Q3" s="22"/>
    </row>
    <row r="4" spans="1:18" x14ac:dyDescent="0.3">
      <c r="A4" s="30" t="s">
        <v>364</v>
      </c>
      <c r="B4" s="22"/>
      <c r="C4" s="22"/>
      <c r="D4" s="22"/>
      <c r="E4" s="22"/>
      <c r="M4" s="31" t="s">
        <v>363</v>
      </c>
      <c r="N4" s="22"/>
      <c r="O4" s="22"/>
      <c r="P4" s="22"/>
      <c r="Q4" s="22"/>
    </row>
    <row r="5" spans="1:18" ht="5.0999999999999996" customHeight="1" x14ac:dyDescent="0.3"/>
    <row r="6" spans="1:18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8" x14ac:dyDescent="0.3">
      <c r="A7" s="32" t="s">
        <v>362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spans="1:18" ht="5.0999999999999996" customHeight="1" x14ac:dyDescent="0.3"/>
    <row r="9" spans="1:18" x14ac:dyDescent="0.3">
      <c r="A9" s="30" t="s">
        <v>361</v>
      </c>
      <c r="B9" s="22"/>
      <c r="C9" s="22"/>
      <c r="D9" s="22"/>
      <c r="E9" s="22"/>
      <c r="F9" s="22"/>
      <c r="G9" s="22"/>
      <c r="H9" s="22"/>
      <c r="I9" s="13" t="s">
        <v>23</v>
      </c>
      <c r="J9" s="13" t="s">
        <v>23</v>
      </c>
      <c r="K9" s="13" t="s">
        <v>23</v>
      </c>
      <c r="L9" s="33" t="s">
        <v>23</v>
      </c>
      <c r="M9" s="22"/>
      <c r="N9" s="13" t="s">
        <v>23</v>
      </c>
      <c r="O9" s="13" t="s">
        <v>23</v>
      </c>
      <c r="P9" s="13" t="s">
        <v>23</v>
      </c>
      <c r="Q9" s="33" t="s">
        <v>23</v>
      </c>
      <c r="R9" s="22"/>
    </row>
    <row r="10" spans="1:18" ht="20.399999999999999" x14ac:dyDescent="0.3">
      <c r="A10" s="12" t="s">
        <v>97</v>
      </c>
      <c r="B10" s="12" t="s">
        <v>96</v>
      </c>
      <c r="C10" s="12" t="s">
        <v>95</v>
      </c>
      <c r="D10" s="12" t="s">
        <v>94</v>
      </c>
      <c r="E10" s="34" t="s">
        <v>93</v>
      </c>
      <c r="F10" s="19"/>
      <c r="G10" s="12" t="s">
        <v>92</v>
      </c>
      <c r="H10" s="12" t="s">
        <v>91</v>
      </c>
      <c r="I10" s="12" t="s">
        <v>90</v>
      </c>
      <c r="J10" s="12" t="s">
        <v>89</v>
      </c>
      <c r="K10" s="12" t="s">
        <v>88</v>
      </c>
      <c r="L10" s="34" t="s">
        <v>87</v>
      </c>
      <c r="M10" s="19"/>
      <c r="N10" s="12" t="s">
        <v>86</v>
      </c>
      <c r="O10" s="12" t="s">
        <v>85</v>
      </c>
      <c r="P10" s="12" t="s">
        <v>84</v>
      </c>
      <c r="Q10" s="34" t="s">
        <v>83</v>
      </c>
      <c r="R10" s="19"/>
    </row>
    <row r="11" spans="1:18" x14ac:dyDescent="0.3">
      <c r="A11" s="10" t="s">
        <v>23</v>
      </c>
      <c r="B11" s="10" t="s">
        <v>23</v>
      </c>
      <c r="C11" s="10" t="s">
        <v>23</v>
      </c>
      <c r="D11" s="10" t="s">
        <v>23</v>
      </c>
      <c r="E11" s="35" t="s">
        <v>23</v>
      </c>
      <c r="F11" s="22"/>
      <c r="G11" s="10" t="s">
        <v>23</v>
      </c>
      <c r="H11" s="10" t="s">
        <v>23</v>
      </c>
      <c r="I11" s="10" t="s">
        <v>23</v>
      </c>
      <c r="J11" s="10" t="s">
        <v>23</v>
      </c>
      <c r="K11" s="10" t="s">
        <v>23</v>
      </c>
      <c r="L11" s="35" t="s">
        <v>23</v>
      </c>
      <c r="M11" s="22"/>
      <c r="N11" s="10" t="s">
        <v>23</v>
      </c>
      <c r="O11" s="10" t="s">
        <v>23</v>
      </c>
      <c r="P11" s="10" t="s">
        <v>23</v>
      </c>
      <c r="Q11" s="35" t="s">
        <v>23</v>
      </c>
      <c r="R11" s="22"/>
    </row>
    <row r="12" spans="1:18" x14ac:dyDescent="0.3">
      <c r="A12" s="2" t="s">
        <v>360</v>
      </c>
      <c r="B12" s="2" t="s">
        <v>359</v>
      </c>
      <c r="C12" s="2" t="s">
        <v>80</v>
      </c>
      <c r="D12" s="2" t="s">
        <v>346</v>
      </c>
      <c r="E12" s="18" t="s">
        <v>23</v>
      </c>
      <c r="F12" s="19"/>
      <c r="G12" s="2" t="s">
        <v>78</v>
      </c>
      <c r="H12" s="4">
        <v>46113</v>
      </c>
      <c r="I12" s="3">
        <v>201.3</v>
      </c>
      <c r="J12" s="2" t="s">
        <v>23</v>
      </c>
      <c r="K12" s="2" t="s">
        <v>77</v>
      </c>
      <c r="L12" s="18"/>
      <c r="M12" s="19"/>
      <c r="N12" s="2">
        <v>2</v>
      </c>
      <c r="O12" s="3">
        <v>20</v>
      </c>
      <c r="P12" s="11">
        <v>1</v>
      </c>
      <c r="Q12" s="36">
        <v>40</v>
      </c>
      <c r="R12" s="19"/>
    </row>
    <row r="13" spans="1:18" x14ac:dyDescent="0.3">
      <c r="A13" s="2" t="s">
        <v>358</v>
      </c>
      <c r="B13" s="2" t="s">
        <v>357</v>
      </c>
      <c r="C13" s="2" t="s">
        <v>80</v>
      </c>
      <c r="D13" s="2" t="s">
        <v>346</v>
      </c>
      <c r="E13" s="18" t="s">
        <v>23</v>
      </c>
      <c r="F13" s="19"/>
      <c r="G13" s="2" t="s">
        <v>78</v>
      </c>
      <c r="H13" s="4">
        <v>46113</v>
      </c>
      <c r="I13" s="3">
        <v>1.85</v>
      </c>
      <c r="J13" s="2" t="s">
        <v>23</v>
      </c>
      <c r="K13" s="2" t="s">
        <v>77</v>
      </c>
      <c r="L13" s="18"/>
      <c r="M13" s="19"/>
      <c r="N13" s="2">
        <v>1</v>
      </c>
      <c r="O13" s="3">
        <v>20</v>
      </c>
      <c r="P13" s="11">
        <v>1</v>
      </c>
      <c r="Q13" s="36">
        <v>20</v>
      </c>
      <c r="R13" s="19"/>
    </row>
    <row r="14" spans="1:18" x14ac:dyDescent="0.3">
      <c r="A14" s="2" t="s">
        <v>356</v>
      </c>
      <c r="B14" s="2" t="s">
        <v>355</v>
      </c>
      <c r="C14" s="2" t="s">
        <v>80</v>
      </c>
      <c r="D14" s="2" t="s">
        <v>346</v>
      </c>
      <c r="E14" s="18" t="s">
        <v>23</v>
      </c>
      <c r="F14" s="19"/>
      <c r="G14" s="2" t="s">
        <v>78</v>
      </c>
      <c r="H14" s="4">
        <v>46113</v>
      </c>
      <c r="I14" s="3">
        <v>140.65</v>
      </c>
      <c r="J14" s="2" t="s">
        <v>23</v>
      </c>
      <c r="K14" s="2" t="s">
        <v>77</v>
      </c>
      <c r="L14" s="18"/>
      <c r="M14" s="19"/>
      <c r="N14" s="2">
        <v>1</v>
      </c>
      <c r="O14" s="3">
        <v>20</v>
      </c>
      <c r="P14" s="11">
        <v>1</v>
      </c>
      <c r="Q14" s="36">
        <v>20</v>
      </c>
      <c r="R14" s="19"/>
    </row>
    <row r="15" spans="1:18" x14ac:dyDescent="0.3">
      <c r="A15" s="2" t="s">
        <v>354</v>
      </c>
      <c r="B15" s="2" t="s">
        <v>353</v>
      </c>
      <c r="C15" s="2" t="s">
        <v>80</v>
      </c>
      <c r="D15" s="2" t="s">
        <v>346</v>
      </c>
      <c r="E15" s="18" t="s">
        <v>23</v>
      </c>
      <c r="F15" s="19"/>
      <c r="G15" s="2" t="s">
        <v>78</v>
      </c>
      <c r="H15" s="4">
        <v>46113</v>
      </c>
      <c r="I15" s="3">
        <v>92.05</v>
      </c>
      <c r="J15" s="2" t="s">
        <v>23</v>
      </c>
      <c r="K15" s="2" t="s">
        <v>77</v>
      </c>
      <c r="L15" s="18"/>
      <c r="M15" s="19"/>
      <c r="N15" s="2">
        <v>1</v>
      </c>
      <c r="O15" s="3">
        <v>20</v>
      </c>
      <c r="P15" s="11">
        <v>1</v>
      </c>
      <c r="Q15" s="36">
        <v>20</v>
      </c>
      <c r="R15" s="19"/>
    </row>
    <row r="16" spans="1:18" x14ac:dyDescent="0.3">
      <c r="A16" s="2" t="s">
        <v>352</v>
      </c>
      <c r="B16" s="2" t="s">
        <v>351</v>
      </c>
      <c r="C16" s="2" t="s">
        <v>80</v>
      </c>
      <c r="D16" s="2" t="s">
        <v>346</v>
      </c>
      <c r="E16" s="18" t="s">
        <v>23</v>
      </c>
      <c r="F16" s="19"/>
      <c r="G16" s="2" t="s">
        <v>78</v>
      </c>
      <c r="H16" s="4">
        <v>46113</v>
      </c>
      <c r="I16" s="3">
        <v>3.06</v>
      </c>
      <c r="J16" s="2" t="s">
        <v>23</v>
      </c>
      <c r="K16" s="2" t="s">
        <v>77</v>
      </c>
      <c r="L16" s="18"/>
      <c r="M16" s="19"/>
      <c r="N16" s="2">
        <v>2</v>
      </c>
      <c r="O16" s="3">
        <v>20</v>
      </c>
      <c r="P16" s="11">
        <v>1</v>
      </c>
      <c r="Q16" s="36">
        <v>40</v>
      </c>
      <c r="R16" s="19"/>
    </row>
    <row r="17" spans="1:18" x14ac:dyDescent="0.3">
      <c r="A17" s="2" t="s">
        <v>350</v>
      </c>
      <c r="B17" s="2" t="s">
        <v>349</v>
      </c>
      <c r="C17" s="2" t="s">
        <v>80</v>
      </c>
      <c r="D17" s="2" t="s">
        <v>346</v>
      </c>
      <c r="E17" s="18" t="s">
        <v>23</v>
      </c>
      <c r="F17" s="19"/>
      <c r="G17" s="2" t="s">
        <v>78</v>
      </c>
      <c r="H17" s="4">
        <v>46113</v>
      </c>
      <c r="I17" s="3">
        <v>10.08</v>
      </c>
      <c r="J17" s="2" t="s">
        <v>23</v>
      </c>
      <c r="K17" s="2" t="s">
        <v>77</v>
      </c>
      <c r="L17" s="18"/>
      <c r="M17" s="19"/>
      <c r="N17" s="2">
        <v>1</v>
      </c>
      <c r="O17" s="3">
        <v>20</v>
      </c>
      <c r="P17" s="11">
        <v>1</v>
      </c>
      <c r="Q17" s="36">
        <v>20</v>
      </c>
      <c r="R17" s="19"/>
    </row>
    <row r="18" spans="1:18" x14ac:dyDescent="0.3">
      <c r="A18" s="2" t="s">
        <v>348</v>
      </c>
      <c r="B18" s="2" t="s">
        <v>347</v>
      </c>
      <c r="C18" s="2" t="s">
        <v>80</v>
      </c>
      <c r="D18" s="2" t="s">
        <v>346</v>
      </c>
      <c r="E18" s="18" t="s">
        <v>23</v>
      </c>
      <c r="F18" s="19"/>
      <c r="G18" s="2" t="s">
        <v>78</v>
      </c>
      <c r="H18" s="4">
        <v>46113</v>
      </c>
      <c r="I18" s="3">
        <v>1.03</v>
      </c>
      <c r="J18" s="2" t="s">
        <v>23</v>
      </c>
      <c r="K18" s="2" t="s">
        <v>77</v>
      </c>
      <c r="L18" s="18"/>
      <c r="M18" s="19"/>
      <c r="N18" s="2">
        <v>1</v>
      </c>
      <c r="O18" s="3">
        <v>20</v>
      </c>
      <c r="P18" s="11">
        <v>1</v>
      </c>
      <c r="Q18" s="36">
        <v>20</v>
      </c>
      <c r="R18" s="19"/>
    </row>
    <row r="19" spans="1:18" x14ac:dyDescent="0.3">
      <c r="A19" s="10" t="s">
        <v>23</v>
      </c>
      <c r="B19" s="10" t="s">
        <v>23</v>
      </c>
      <c r="C19" s="10" t="s">
        <v>23</v>
      </c>
      <c r="D19" s="10" t="s">
        <v>23</v>
      </c>
      <c r="E19" s="35" t="s">
        <v>23</v>
      </c>
      <c r="F19" s="22"/>
      <c r="G19" s="10" t="s">
        <v>23</v>
      </c>
      <c r="H19" s="10" t="s">
        <v>23</v>
      </c>
      <c r="I19" s="10" t="s">
        <v>23</v>
      </c>
      <c r="J19" s="10" t="s">
        <v>23</v>
      </c>
      <c r="K19" s="10" t="s">
        <v>23</v>
      </c>
      <c r="L19" s="35" t="s">
        <v>23</v>
      </c>
      <c r="M19" s="22"/>
      <c r="N19" s="10" t="s">
        <v>23</v>
      </c>
      <c r="O19" s="10" t="s">
        <v>23</v>
      </c>
      <c r="P19" s="10" t="s">
        <v>23</v>
      </c>
      <c r="Q19" s="35" t="s">
        <v>23</v>
      </c>
      <c r="R19" s="22"/>
    </row>
    <row r="20" spans="1:18" x14ac:dyDescent="0.3">
      <c r="A20" s="30" t="s">
        <v>345</v>
      </c>
      <c r="B20" s="22"/>
      <c r="C20" s="22"/>
      <c r="D20" s="22"/>
      <c r="E20" s="22"/>
      <c r="F20" s="22"/>
      <c r="G20" s="22"/>
      <c r="H20" s="22"/>
      <c r="I20" s="37">
        <v>538.65</v>
      </c>
      <c r="J20" s="22"/>
      <c r="K20" s="9" t="s">
        <v>23</v>
      </c>
      <c r="L20" s="30" t="s">
        <v>23</v>
      </c>
      <c r="M20" s="22"/>
      <c r="N20" s="9" t="s">
        <v>23</v>
      </c>
      <c r="O20" s="38">
        <v>180</v>
      </c>
      <c r="P20" s="22"/>
      <c r="Q20" s="22"/>
      <c r="R20" s="22"/>
    </row>
    <row r="21" spans="1:18" x14ac:dyDescent="0.3">
      <c r="A21" s="8" t="s">
        <v>23</v>
      </c>
      <c r="B21" s="8" t="s">
        <v>23</v>
      </c>
      <c r="C21" s="8" t="s">
        <v>23</v>
      </c>
      <c r="D21" s="8" t="s">
        <v>23</v>
      </c>
      <c r="E21" s="39" t="s">
        <v>23</v>
      </c>
      <c r="F21" s="22"/>
      <c r="G21" s="8" t="s">
        <v>23</v>
      </c>
      <c r="H21" s="8" t="s">
        <v>23</v>
      </c>
      <c r="I21" s="8" t="s">
        <v>23</v>
      </c>
      <c r="J21" s="8" t="s">
        <v>23</v>
      </c>
      <c r="K21" s="8" t="s">
        <v>23</v>
      </c>
      <c r="L21" s="39" t="s">
        <v>23</v>
      </c>
      <c r="M21" s="22"/>
      <c r="N21" s="8" t="s">
        <v>23</v>
      </c>
      <c r="O21" s="8" t="s">
        <v>23</v>
      </c>
      <c r="P21" s="8" t="s">
        <v>23</v>
      </c>
      <c r="Q21" s="40" t="s">
        <v>23</v>
      </c>
      <c r="R21" s="22"/>
    </row>
    <row r="22" spans="1:18" x14ac:dyDescent="0.3">
      <c r="A22" s="8" t="s">
        <v>23</v>
      </c>
      <c r="B22" s="8" t="s">
        <v>23</v>
      </c>
      <c r="C22" s="8" t="s">
        <v>23</v>
      </c>
      <c r="D22" s="8" t="s">
        <v>23</v>
      </c>
      <c r="E22" s="39" t="s">
        <v>23</v>
      </c>
      <c r="F22" s="22"/>
      <c r="G22" s="8" t="s">
        <v>23</v>
      </c>
      <c r="H22" s="8" t="s">
        <v>23</v>
      </c>
      <c r="I22" s="8" t="s">
        <v>23</v>
      </c>
      <c r="J22" s="8" t="s">
        <v>23</v>
      </c>
      <c r="K22" s="8" t="s">
        <v>23</v>
      </c>
      <c r="L22" s="39" t="s">
        <v>23</v>
      </c>
      <c r="M22" s="22"/>
      <c r="N22" s="8" t="s">
        <v>23</v>
      </c>
      <c r="O22" s="8" t="s">
        <v>23</v>
      </c>
      <c r="P22" s="8" t="s">
        <v>23</v>
      </c>
      <c r="Q22" s="40" t="s">
        <v>23</v>
      </c>
      <c r="R22" s="22"/>
    </row>
    <row r="23" spans="1:18" x14ac:dyDescent="0.3">
      <c r="A23" s="30" t="s">
        <v>344</v>
      </c>
      <c r="B23" s="22"/>
      <c r="C23" s="22"/>
      <c r="D23" s="22"/>
      <c r="E23" s="22"/>
      <c r="F23" s="22"/>
      <c r="G23" s="22"/>
      <c r="H23" s="22"/>
      <c r="I23" s="13" t="s">
        <v>23</v>
      </c>
      <c r="J23" s="13" t="s">
        <v>23</v>
      </c>
      <c r="K23" s="13" t="s">
        <v>23</v>
      </c>
      <c r="L23" s="33" t="s">
        <v>23</v>
      </c>
      <c r="M23" s="22"/>
      <c r="N23" s="13" t="s">
        <v>23</v>
      </c>
      <c r="O23" s="13" t="s">
        <v>23</v>
      </c>
      <c r="P23" s="13" t="s">
        <v>23</v>
      </c>
      <c r="Q23" s="33" t="s">
        <v>23</v>
      </c>
      <c r="R23" s="22"/>
    </row>
    <row r="24" spans="1:18" ht="20.399999999999999" x14ac:dyDescent="0.3">
      <c r="A24" s="12" t="s">
        <v>97</v>
      </c>
      <c r="B24" s="12" t="s">
        <v>96</v>
      </c>
      <c r="C24" s="12" t="s">
        <v>95</v>
      </c>
      <c r="D24" s="12" t="s">
        <v>94</v>
      </c>
      <c r="E24" s="34" t="s">
        <v>93</v>
      </c>
      <c r="F24" s="19"/>
      <c r="G24" s="12" t="s">
        <v>92</v>
      </c>
      <c r="H24" s="12" t="s">
        <v>91</v>
      </c>
      <c r="I24" s="12" t="s">
        <v>90</v>
      </c>
      <c r="J24" s="12" t="s">
        <v>89</v>
      </c>
      <c r="K24" s="12" t="s">
        <v>88</v>
      </c>
      <c r="L24" s="34" t="s">
        <v>87</v>
      </c>
      <c r="M24" s="19"/>
      <c r="N24" s="12" t="s">
        <v>86</v>
      </c>
      <c r="O24" s="12" t="s">
        <v>85</v>
      </c>
      <c r="P24" s="12" t="s">
        <v>84</v>
      </c>
      <c r="Q24" s="34" t="s">
        <v>83</v>
      </c>
      <c r="R24" s="19"/>
    </row>
    <row r="25" spans="1:18" x14ac:dyDescent="0.3">
      <c r="A25" s="10" t="s">
        <v>23</v>
      </c>
      <c r="B25" s="10" t="s">
        <v>23</v>
      </c>
      <c r="C25" s="10" t="s">
        <v>23</v>
      </c>
      <c r="D25" s="10" t="s">
        <v>23</v>
      </c>
      <c r="E25" s="35" t="s">
        <v>23</v>
      </c>
      <c r="F25" s="22"/>
      <c r="G25" s="10" t="s">
        <v>23</v>
      </c>
      <c r="H25" s="10" t="s">
        <v>23</v>
      </c>
      <c r="I25" s="10" t="s">
        <v>23</v>
      </c>
      <c r="J25" s="10" t="s">
        <v>23</v>
      </c>
      <c r="K25" s="10" t="s">
        <v>23</v>
      </c>
      <c r="L25" s="35" t="s">
        <v>23</v>
      </c>
      <c r="M25" s="22"/>
      <c r="N25" s="10" t="s">
        <v>23</v>
      </c>
      <c r="O25" s="10" t="s">
        <v>23</v>
      </c>
      <c r="P25" s="10" t="s">
        <v>23</v>
      </c>
      <c r="Q25" s="35" t="s">
        <v>23</v>
      </c>
      <c r="R25" s="22"/>
    </row>
    <row r="26" spans="1:18" x14ac:dyDescent="0.3">
      <c r="A26" s="2"/>
      <c r="B26" s="2" t="s">
        <v>149</v>
      </c>
      <c r="C26" s="2"/>
      <c r="D26" s="5"/>
      <c r="E26" s="41" t="s">
        <v>93</v>
      </c>
      <c r="F26" s="19"/>
      <c r="G26" s="2" t="s">
        <v>343</v>
      </c>
      <c r="H26" s="18" t="s">
        <v>342</v>
      </c>
      <c r="I26" s="42"/>
      <c r="J26" s="42"/>
      <c r="K26" s="42"/>
      <c r="L26" s="42"/>
      <c r="M26" s="42"/>
      <c r="N26" s="42"/>
      <c r="O26" s="42"/>
      <c r="P26" s="19"/>
      <c r="Q26" s="36">
        <v>1500</v>
      </c>
      <c r="R26" s="19"/>
    </row>
    <row r="27" spans="1:18" x14ac:dyDescent="0.3">
      <c r="A27" s="2"/>
      <c r="B27" s="2" t="s">
        <v>149</v>
      </c>
      <c r="C27" s="2"/>
      <c r="D27" s="5"/>
      <c r="E27" s="41" t="s">
        <v>93</v>
      </c>
      <c r="F27" s="19"/>
      <c r="G27" s="2" t="s">
        <v>148</v>
      </c>
      <c r="H27" s="18" t="s">
        <v>147</v>
      </c>
      <c r="I27" s="42"/>
      <c r="J27" s="42"/>
      <c r="K27" s="42"/>
      <c r="L27" s="42"/>
      <c r="M27" s="42"/>
      <c r="N27" s="42"/>
      <c r="O27" s="42"/>
      <c r="P27" s="19"/>
      <c r="Q27" s="36">
        <v>592.45000000000005</v>
      </c>
      <c r="R27" s="19"/>
    </row>
    <row r="28" spans="1:18" x14ac:dyDescent="0.3">
      <c r="A28" s="2" t="s">
        <v>341</v>
      </c>
      <c r="B28" s="2" t="s">
        <v>340</v>
      </c>
      <c r="C28" s="2" t="s">
        <v>80</v>
      </c>
      <c r="D28" s="2" t="s">
        <v>79</v>
      </c>
      <c r="E28" s="18" t="s">
        <v>23</v>
      </c>
      <c r="F28" s="19"/>
      <c r="G28" s="2" t="s">
        <v>78</v>
      </c>
      <c r="H28" s="4">
        <v>46113</v>
      </c>
      <c r="I28" s="3">
        <v>486.35</v>
      </c>
      <c r="J28" s="2" t="s">
        <v>23</v>
      </c>
      <c r="K28" s="2" t="s">
        <v>77</v>
      </c>
      <c r="L28" s="18"/>
      <c r="M28" s="19"/>
      <c r="N28" s="2">
        <v>1</v>
      </c>
      <c r="O28" s="3">
        <v>23</v>
      </c>
      <c r="P28" s="11">
        <v>1</v>
      </c>
      <c r="Q28" s="36">
        <v>23</v>
      </c>
      <c r="R28" s="19"/>
    </row>
    <row r="29" spans="1:18" x14ac:dyDescent="0.3">
      <c r="A29" s="2" t="s">
        <v>339</v>
      </c>
      <c r="B29" s="2" t="s">
        <v>338</v>
      </c>
      <c r="C29" s="2" t="s">
        <v>80</v>
      </c>
      <c r="D29" s="2" t="s">
        <v>79</v>
      </c>
      <c r="E29" s="18" t="s">
        <v>23</v>
      </c>
      <c r="F29" s="19"/>
      <c r="G29" s="2" t="s">
        <v>78</v>
      </c>
      <c r="H29" s="4">
        <v>46113</v>
      </c>
      <c r="I29" s="3">
        <v>602.71</v>
      </c>
      <c r="J29" s="2" t="s">
        <v>23</v>
      </c>
      <c r="K29" s="2" t="s">
        <v>77</v>
      </c>
      <c r="L29" s="18"/>
      <c r="M29" s="19"/>
      <c r="N29" s="2">
        <v>1</v>
      </c>
      <c r="O29" s="3">
        <v>23</v>
      </c>
      <c r="P29" s="11">
        <v>1</v>
      </c>
      <c r="Q29" s="36">
        <v>23</v>
      </c>
      <c r="R29" s="19"/>
    </row>
    <row r="30" spans="1:18" x14ac:dyDescent="0.3">
      <c r="A30" s="2" t="s">
        <v>337</v>
      </c>
      <c r="B30" s="2" t="s">
        <v>336</v>
      </c>
      <c r="C30" s="2" t="s">
        <v>80</v>
      </c>
      <c r="D30" s="2" t="s">
        <v>79</v>
      </c>
      <c r="E30" s="18" t="s">
        <v>23</v>
      </c>
      <c r="F30" s="19"/>
      <c r="G30" s="2" t="s">
        <v>78</v>
      </c>
      <c r="H30" s="4">
        <v>46113</v>
      </c>
      <c r="I30" s="3">
        <v>486.48</v>
      </c>
      <c r="J30" s="2" t="s">
        <v>23</v>
      </c>
      <c r="K30" s="2" t="s">
        <v>77</v>
      </c>
      <c r="L30" s="18"/>
      <c r="M30" s="19"/>
      <c r="N30" s="2">
        <v>1</v>
      </c>
      <c r="O30" s="3">
        <v>23</v>
      </c>
      <c r="P30" s="11">
        <v>1</v>
      </c>
      <c r="Q30" s="36">
        <v>23</v>
      </c>
      <c r="R30" s="19"/>
    </row>
    <row r="31" spans="1:18" x14ac:dyDescent="0.3">
      <c r="A31" s="2" t="s">
        <v>335</v>
      </c>
      <c r="B31" s="2" t="s">
        <v>334</v>
      </c>
      <c r="C31" s="2" t="s">
        <v>80</v>
      </c>
      <c r="D31" s="2" t="s">
        <v>79</v>
      </c>
      <c r="E31" s="18" t="s">
        <v>23</v>
      </c>
      <c r="F31" s="19"/>
      <c r="G31" s="2" t="s">
        <v>78</v>
      </c>
      <c r="H31" s="4">
        <v>46113</v>
      </c>
      <c r="I31" s="3">
        <v>7.98</v>
      </c>
      <c r="J31" s="2" t="s">
        <v>23</v>
      </c>
      <c r="K31" s="2" t="s">
        <v>77</v>
      </c>
      <c r="L31" s="18"/>
      <c r="M31" s="19"/>
      <c r="N31" s="2">
        <v>1</v>
      </c>
      <c r="O31" s="3">
        <v>23</v>
      </c>
      <c r="P31" s="11">
        <v>1</v>
      </c>
      <c r="Q31" s="36">
        <v>23</v>
      </c>
      <c r="R31" s="19"/>
    </row>
    <row r="32" spans="1:18" x14ac:dyDescent="0.3">
      <c r="A32" s="2" t="s">
        <v>333</v>
      </c>
      <c r="B32" s="2" t="s">
        <v>332</v>
      </c>
      <c r="C32" s="2" t="s">
        <v>80</v>
      </c>
      <c r="D32" s="2" t="s">
        <v>79</v>
      </c>
      <c r="E32" s="18" t="s">
        <v>23</v>
      </c>
      <c r="F32" s="19"/>
      <c r="G32" s="2" t="s">
        <v>78</v>
      </c>
      <c r="H32" s="4">
        <v>46113</v>
      </c>
      <c r="I32" s="3">
        <v>397.72</v>
      </c>
      <c r="J32" s="2" t="s">
        <v>23</v>
      </c>
      <c r="K32" s="2" t="s">
        <v>77</v>
      </c>
      <c r="L32" s="18"/>
      <c r="M32" s="19"/>
      <c r="N32" s="2">
        <v>1</v>
      </c>
      <c r="O32" s="3">
        <v>23</v>
      </c>
      <c r="P32" s="11">
        <v>1</v>
      </c>
      <c r="Q32" s="36">
        <v>23</v>
      </c>
      <c r="R32" s="19"/>
    </row>
    <row r="33" spans="1:18" x14ac:dyDescent="0.3">
      <c r="A33" s="2" t="s">
        <v>331</v>
      </c>
      <c r="B33" s="2" t="s">
        <v>330</v>
      </c>
      <c r="C33" s="2" t="s">
        <v>80</v>
      </c>
      <c r="D33" s="2" t="s">
        <v>79</v>
      </c>
      <c r="E33" s="18" t="s">
        <v>23</v>
      </c>
      <c r="F33" s="19"/>
      <c r="G33" s="2" t="s">
        <v>78</v>
      </c>
      <c r="H33" s="4">
        <v>46113</v>
      </c>
      <c r="I33" s="3">
        <v>1072.8800000000001</v>
      </c>
      <c r="J33" s="2" t="s">
        <v>23</v>
      </c>
      <c r="K33" s="2" t="s">
        <v>77</v>
      </c>
      <c r="L33" s="18"/>
      <c r="M33" s="19"/>
      <c r="N33" s="2">
        <v>2</v>
      </c>
      <c r="O33" s="3">
        <v>23</v>
      </c>
      <c r="P33" s="11">
        <v>1</v>
      </c>
      <c r="Q33" s="36">
        <v>46</v>
      </c>
      <c r="R33" s="19"/>
    </row>
    <row r="34" spans="1:18" x14ac:dyDescent="0.3">
      <c r="A34" s="2" t="s">
        <v>329</v>
      </c>
      <c r="B34" s="2" t="s">
        <v>328</v>
      </c>
      <c r="C34" s="2" t="s">
        <v>80</v>
      </c>
      <c r="D34" s="2" t="s">
        <v>79</v>
      </c>
      <c r="E34" s="18" t="s">
        <v>23</v>
      </c>
      <c r="F34" s="19"/>
      <c r="G34" s="2" t="s">
        <v>78</v>
      </c>
      <c r="H34" s="4">
        <v>46113</v>
      </c>
      <c r="I34" s="3">
        <v>207.55</v>
      </c>
      <c r="J34" s="2" t="s">
        <v>23</v>
      </c>
      <c r="K34" s="2" t="s">
        <v>77</v>
      </c>
      <c r="L34" s="18"/>
      <c r="M34" s="19"/>
      <c r="N34" s="2">
        <v>1</v>
      </c>
      <c r="O34" s="3">
        <v>23</v>
      </c>
      <c r="P34" s="11">
        <v>1</v>
      </c>
      <c r="Q34" s="36">
        <v>23</v>
      </c>
      <c r="R34" s="19"/>
    </row>
    <row r="35" spans="1:18" x14ac:dyDescent="0.3">
      <c r="A35" s="2" t="s">
        <v>327</v>
      </c>
      <c r="B35" s="2" t="s">
        <v>326</v>
      </c>
      <c r="C35" s="2" t="s">
        <v>80</v>
      </c>
      <c r="D35" s="2" t="s">
        <v>79</v>
      </c>
      <c r="E35" s="18" t="s">
        <v>23</v>
      </c>
      <c r="F35" s="19"/>
      <c r="G35" s="2" t="s">
        <v>78</v>
      </c>
      <c r="H35" s="4">
        <v>46113</v>
      </c>
      <c r="I35" s="3">
        <v>2670.98</v>
      </c>
      <c r="J35" s="2" t="s">
        <v>23</v>
      </c>
      <c r="K35" s="2" t="s">
        <v>77</v>
      </c>
      <c r="L35" s="18"/>
      <c r="M35" s="19"/>
      <c r="N35" s="2">
        <v>5</v>
      </c>
      <c r="O35" s="3">
        <v>23</v>
      </c>
      <c r="P35" s="11">
        <v>1</v>
      </c>
      <c r="Q35" s="36">
        <v>115</v>
      </c>
      <c r="R35" s="19"/>
    </row>
    <row r="36" spans="1:18" x14ac:dyDescent="0.3">
      <c r="A36" s="2" t="s">
        <v>325</v>
      </c>
      <c r="B36" s="2" t="s">
        <v>324</v>
      </c>
      <c r="C36" s="2" t="s">
        <v>80</v>
      </c>
      <c r="D36" s="2" t="s">
        <v>79</v>
      </c>
      <c r="E36" s="18" t="s">
        <v>23</v>
      </c>
      <c r="F36" s="19"/>
      <c r="G36" s="2" t="s">
        <v>78</v>
      </c>
      <c r="H36" s="4">
        <v>46113</v>
      </c>
      <c r="I36" s="3">
        <v>386.34</v>
      </c>
      <c r="J36" s="2" t="s">
        <v>23</v>
      </c>
      <c r="K36" s="2" t="s">
        <v>77</v>
      </c>
      <c r="L36" s="18"/>
      <c r="M36" s="19"/>
      <c r="N36" s="2">
        <v>3</v>
      </c>
      <c r="O36" s="3">
        <v>23</v>
      </c>
      <c r="P36" s="11">
        <v>1</v>
      </c>
      <c r="Q36" s="36">
        <v>69</v>
      </c>
      <c r="R36" s="19"/>
    </row>
    <row r="37" spans="1:18" x14ac:dyDescent="0.3">
      <c r="A37" s="2" t="s">
        <v>323</v>
      </c>
      <c r="B37" s="2" t="s">
        <v>322</v>
      </c>
      <c r="C37" s="2" t="s">
        <v>80</v>
      </c>
      <c r="D37" s="2" t="s">
        <v>79</v>
      </c>
      <c r="E37" s="18" t="s">
        <v>23</v>
      </c>
      <c r="F37" s="19"/>
      <c r="G37" s="2" t="s">
        <v>78</v>
      </c>
      <c r="H37" s="4">
        <v>46113</v>
      </c>
      <c r="I37" s="3">
        <v>146.76</v>
      </c>
      <c r="J37" s="2" t="s">
        <v>23</v>
      </c>
      <c r="K37" s="2" t="s">
        <v>77</v>
      </c>
      <c r="L37" s="18"/>
      <c r="M37" s="19"/>
      <c r="N37" s="2">
        <v>1</v>
      </c>
      <c r="O37" s="3">
        <v>23</v>
      </c>
      <c r="P37" s="11">
        <v>1</v>
      </c>
      <c r="Q37" s="36">
        <v>23</v>
      </c>
      <c r="R37" s="19"/>
    </row>
    <row r="38" spans="1:18" x14ac:dyDescent="0.3">
      <c r="A38" s="2" t="s">
        <v>321</v>
      </c>
      <c r="B38" s="2" t="s">
        <v>320</v>
      </c>
      <c r="C38" s="2" t="s">
        <v>80</v>
      </c>
      <c r="D38" s="2" t="s">
        <v>79</v>
      </c>
      <c r="E38" s="18" t="s">
        <v>23</v>
      </c>
      <c r="F38" s="19"/>
      <c r="G38" s="2" t="s">
        <v>78</v>
      </c>
      <c r="H38" s="4">
        <v>46082</v>
      </c>
      <c r="I38" s="3">
        <v>148.91999999999999</v>
      </c>
      <c r="J38" s="2" t="s">
        <v>23</v>
      </c>
      <c r="K38" s="2" t="s">
        <v>77</v>
      </c>
      <c r="L38" s="18"/>
      <c r="M38" s="19"/>
      <c r="N38" s="2">
        <v>1</v>
      </c>
      <c r="O38" s="3">
        <v>23</v>
      </c>
      <c r="P38" s="11">
        <v>1</v>
      </c>
      <c r="Q38" s="36">
        <v>23</v>
      </c>
      <c r="R38" s="19"/>
    </row>
    <row r="39" spans="1:18" x14ac:dyDescent="0.3">
      <c r="A39" s="2" t="s">
        <v>319</v>
      </c>
      <c r="B39" s="2" t="s">
        <v>318</v>
      </c>
      <c r="C39" s="2" t="s">
        <v>80</v>
      </c>
      <c r="D39" s="2" t="s">
        <v>79</v>
      </c>
      <c r="E39" s="18" t="s">
        <v>23</v>
      </c>
      <c r="F39" s="19"/>
      <c r="G39" s="2" t="s">
        <v>78</v>
      </c>
      <c r="H39" s="4">
        <v>46113</v>
      </c>
      <c r="I39" s="3">
        <v>1670.97</v>
      </c>
      <c r="J39" s="2" t="s">
        <v>23</v>
      </c>
      <c r="K39" s="2" t="s">
        <v>77</v>
      </c>
      <c r="L39" s="18"/>
      <c r="M39" s="19"/>
      <c r="N39" s="2">
        <v>2</v>
      </c>
      <c r="O39" s="3">
        <v>23</v>
      </c>
      <c r="P39" s="11">
        <v>1</v>
      </c>
      <c r="Q39" s="36">
        <v>46</v>
      </c>
      <c r="R39" s="19"/>
    </row>
    <row r="40" spans="1:18" x14ac:dyDescent="0.3">
      <c r="A40" s="2" t="s">
        <v>317</v>
      </c>
      <c r="B40" s="2" t="s">
        <v>316</v>
      </c>
      <c r="C40" s="2" t="s">
        <v>80</v>
      </c>
      <c r="D40" s="2" t="s">
        <v>79</v>
      </c>
      <c r="E40" s="18" t="s">
        <v>23</v>
      </c>
      <c r="F40" s="19"/>
      <c r="G40" s="2" t="s">
        <v>78</v>
      </c>
      <c r="H40" s="4">
        <v>46113</v>
      </c>
      <c r="I40" s="3">
        <v>428.94</v>
      </c>
      <c r="J40" s="2" t="s">
        <v>23</v>
      </c>
      <c r="K40" s="2" t="s">
        <v>77</v>
      </c>
      <c r="L40" s="18"/>
      <c r="M40" s="19"/>
      <c r="N40" s="2">
        <v>1</v>
      </c>
      <c r="O40" s="3">
        <v>23</v>
      </c>
      <c r="P40" s="11">
        <v>1</v>
      </c>
      <c r="Q40" s="36">
        <v>23</v>
      </c>
      <c r="R40" s="19"/>
    </row>
    <row r="41" spans="1:18" x14ac:dyDescent="0.3">
      <c r="A41" s="2" t="s">
        <v>315</v>
      </c>
      <c r="B41" s="2" t="s">
        <v>314</v>
      </c>
      <c r="C41" s="2" t="s">
        <v>80</v>
      </c>
      <c r="D41" s="2" t="s">
        <v>79</v>
      </c>
      <c r="E41" s="18" t="s">
        <v>23</v>
      </c>
      <c r="F41" s="19"/>
      <c r="G41" s="2" t="s">
        <v>78</v>
      </c>
      <c r="H41" s="4">
        <v>46113</v>
      </c>
      <c r="I41" s="3">
        <v>130.63</v>
      </c>
      <c r="J41" s="2" t="s">
        <v>23</v>
      </c>
      <c r="K41" s="2" t="s">
        <v>77</v>
      </c>
      <c r="L41" s="18"/>
      <c r="M41" s="19"/>
      <c r="N41" s="2">
        <v>1</v>
      </c>
      <c r="O41" s="3">
        <v>23</v>
      </c>
      <c r="P41" s="11">
        <v>1</v>
      </c>
      <c r="Q41" s="36">
        <v>23</v>
      </c>
      <c r="R41" s="19"/>
    </row>
    <row r="42" spans="1:18" x14ac:dyDescent="0.3">
      <c r="A42" s="2" t="s">
        <v>313</v>
      </c>
      <c r="B42" s="2" t="s">
        <v>312</v>
      </c>
      <c r="C42" s="2" t="s">
        <v>80</v>
      </c>
      <c r="D42" s="2" t="s">
        <v>79</v>
      </c>
      <c r="E42" s="18" t="s">
        <v>23</v>
      </c>
      <c r="F42" s="19"/>
      <c r="G42" s="2" t="s">
        <v>78</v>
      </c>
      <c r="H42" s="4">
        <v>46113</v>
      </c>
      <c r="I42" s="3">
        <v>149.83000000000001</v>
      </c>
      <c r="J42" s="2" t="s">
        <v>23</v>
      </c>
      <c r="K42" s="2" t="s">
        <v>77</v>
      </c>
      <c r="L42" s="18"/>
      <c r="M42" s="19"/>
      <c r="N42" s="2">
        <v>1</v>
      </c>
      <c r="O42" s="3">
        <v>23</v>
      </c>
      <c r="P42" s="11">
        <v>1</v>
      </c>
      <c r="Q42" s="36">
        <v>23</v>
      </c>
      <c r="R42" s="19"/>
    </row>
    <row r="43" spans="1:18" x14ac:dyDescent="0.3">
      <c r="A43" s="2" t="s">
        <v>311</v>
      </c>
      <c r="B43" s="2" t="s">
        <v>310</v>
      </c>
      <c r="C43" s="2" t="s">
        <v>80</v>
      </c>
      <c r="D43" s="2" t="s">
        <v>79</v>
      </c>
      <c r="E43" s="18" t="s">
        <v>23</v>
      </c>
      <c r="F43" s="19"/>
      <c r="G43" s="2" t="s">
        <v>78</v>
      </c>
      <c r="H43" s="4">
        <v>46113</v>
      </c>
      <c r="I43" s="3">
        <v>1.41</v>
      </c>
      <c r="J43" s="2" t="s">
        <v>23</v>
      </c>
      <c r="K43" s="2" t="s">
        <v>77</v>
      </c>
      <c r="L43" s="18"/>
      <c r="M43" s="19"/>
      <c r="N43" s="2">
        <v>1</v>
      </c>
      <c r="O43" s="3">
        <v>23</v>
      </c>
      <c r="P43" s="11">
        <v>1</v>
      </c>
      <c r="Q43" s="36">
        <v>23</v>
      </c>
      <c r="R43" s="19"/>
    </row>
    <row r="44" spans="1:18" x14ac:dyDescent="0.3">
      <c r="A44" s="2" t="s">
        <v>309</v>
      </c>
      <c r="B44" s="2" t="s">
        <v>308</v>
      </c>
      <c r="C44" s="2" t="s">
        <v>80</v>
      </c>
      <c r="D44" s="2" t="s">
        <v>79</v>
      </c>
      <c r="E44" s="18" t="s">
        <v>23</v>
      </c>
      <c r="F44" s="19"/>
      <c r="G44" s="2" t="s">
        <v>78</v>
      </c>
      <c r="H44" s="4">
        <v>46113</v>
      </c>
      <c r="I44" s="3">
        <v>242.33</v>
      </c>
      <c r="J44" s="2" t="s">
        <v>23</v>
      </c>
      <c r="K44" s="2" t="s">
        <v>77</v>
      </c>
      <c r="L44" s="18"/>
      <c r="M44" s="19"/>
      <c r="N44" s="2">
        <v>1</v>
      </c>
      <c r="O44" s="3">
        <v>23</v>
      </c>
      <c r="P44" s="11">
        <v>1</v>
      </c>
      <c r="Q44" s="36">
        <v>23</v>
      </c>
      <c r="R44" s="19"/>
    </row>
    <row r="45" spans="1:18" x14ac:dyDescent="0.3">
      <c r="A45" s="2" t="s">
        <v>307</v>
      </c>
      <c r="B45" s="2" t="s">
        <v>306</v>
      </c>
      <c r="C45" s="2" t="s">
        <v>80</v>
      </c>
      <c r="D45" s="2" t="s">
        <v>79</v>
      </c>
      <c r="E45" s="18" t="s">
        <v>23</v>
      </c>
      <c r="F45" s="19"/>
      <c r="G45" s="2" t="s">
        <v>78</v>
      </c>
      <c r="H45" s="4">
        <v>46113</v>
      </c>
      <c r="I45" s="3">
        <v>352.44</v>
      </c>
      <c r="J45" s="2" t="s">
        <v>23</v>
      </c>
      <c r="K45" s="2" t="s">
        <v>77</v>
      </c>
      <c r="L45" s="18"/>
      <c r="M45" s="19"/>
      <c r="N45" s="2">
        <v>1</v>
      </c>
      <c r="O45" s="3">
        <v>23</v>
      </c>
      <c r="P45" s="11">
        <v>1</v>
      </c>
      <c r="Q45" s="36">
        <v>23</v>
      </c>
      <c r="R45" s="19"/>
    </row>
    <row r="46" spans="1:18" x14ac:dyDescent="0.3">
      <c r="A46" s="2" t="s">
        <v>305</v>
      </c>
      <c r="B46" s="2" t="s">
        <v>304</v>
      </c>
      <c r="C46" s="2" t="s">
        <v>80</v>
      </c>
      <c r="D46" s="2" t="s">
        <v>79</v>
      </c>
      <c r="E46" s="18" t="s">
        <v>23</v>
      </c>
      <c r="F46" s="19"/>
      <c r="G46" s="2" t="s">
        <v>78</v>
      </c>
      <c r="H46" s="4">
        <v>46113</v>
      </c>
      <c r="I46" s="3">
        <v>169.86</v>
      </c>
      <c r="J46" s="2" t="s">
        <v>23</v>
      </c>
      <c r="K46" s="2" t="s">
        <v>77</v>
      </c>
      <c r="L46" s="18"/>
      <c r="M46" s="19"/>
      <c r="N46" s="2">
        <v>1</v>
      </c>
      <c r="O46" s="3">
        <v>23</v>
      </c>
      <c r="P46" s="11">
        <v>1</v>
      </c>
      <c r="Q46" s="36">
        <v>23</v>
      </c>
      <c r="R46" s="19"/>
    </row>
    <row r="47" spans="1:18" x14ac:dyDescent="0.3">
      <c r="A47" s="2" t="s">
        <v>303</v>
      </c>
      <c r="B47" s="2" t="s">
        <v>302</v>
      </c>
      <c r="C47" s="2" t="s">
        <v>80</v>
      </c>
      <c r="D47" s="2" t="s">
        <v>79</v>
      </c>
      <c r="E47" s="18" t="s">
        <v>23</v>
      </c>
      <c r="F47" s="19"/>
      <c r="G47" s="2" t="s">
        <v>78</v>
      </c>
      <c r="H47" s="4">
        <v>46113</v>
      </c>
      <c r="I47" s="3">
        <v>546.78</v>
      </c>
      <c r="J47" s="2" t="s">
        <v>23</v>
      </c>
      <c r="K47" s="2" t="s">
        <v>77</v>
      </c>
      <c r="L47" s="18"/>
      <c r="M47" s="19"/>
      <c r="N47" s="2">
        <v>2</v>
      </c>
      <c r="O47" s="3">
        <v>23</v>
      </c>
      <c r="P47" s="11">
        <v>1</v>
      </c>
      <c r="Q47" s="36">
        <v>46</v>
      </c>
      <c r="R47" s="19"/>
    </row>
    <row r="48" spans="1:18" x14ac:dyDescent="0.3">
      <c r="A48" s="2" t="s">
        <v>301</v>
      </c>
      <c r="B48" s="2" t="s">
        <v>300</v>
      </c>
      <c r="C48" s="2" t="s">
        <v>80</v>
      </c>
      <c r="D48" s="2" t="s">
        <v>79</v>
      </c>
      <c r="E48" s="18" t="s">
        <v>23</v>
      </c>
      <c r="F48" s="19"/>
      <c r="G48" s="2" t="s">
        <v>78</v>
      </c>
      <c r="H48" s="4">
        <v>46113</v>
      </c>
      <c r="I48" s="3">
        <v>921.12</v>
      </c>
      <c r="J48" s="2" t="s">
        <v>23</v>
      </c>
      <c r="K48" s="2" t="s">
        <v>77</v>
      </c>
      <c r="L48" s="18"/>
      <c r="M48" s="19"/>
      <c r="N48" s="2">
        <v>1</v>
      </c>
      <c r="O48" s="3">
        <v>23</v>
      </c>
      <c r="P48" s="11">
        <v>1</v>
      </c>
      <c r="Q48" s="36">
        <v>23</v>
      </c>
      <c r="R48" s="19"/>
    </row>
    <row r="49" spans="1:18" x14ac:dyDescent="0.3">
      <c r="A49" s="2" t="s">
        <v>299</v>
      </c>
      <c r="B49" s="2" t="s">
        <v>298</v>
      </c>
      <c r="C49" s="2" t="s">
        <v>80</v>
      </c>
      <c r="D49" s="2" t="s">
        <v>79</v>
      </c>
      <c r="E49" s="18" t="s">
        <v>23</v>
      </c>
      <c r="F49" s="19"/>
      <c r="G49" s="2" t="s">
        <v>78</v>
      </c>
      <c r="H49" s="4">
        <v>46082</v>
      </c>
      <c r="I49" s="3">
        <v>271.91000000000003</v>
      </c>
      <c r="J49" s="2" t="s">
        <v>23</v>
      </c>
      <c r="K49" s="2" t="s">
        <v>77</v>
      </c>
      <c r="L49" s="18"/>
      <c r="M49" s="19"/>
      <c r="N49" s="2">
        <v>1</v>
      </c>
      <c r="O49" s="3">
        <v>23</v>
      </c>
      <c r="P49" s="11">
        <v>1</v>
      </c>
      <c r="Q49" s="36">
        <v>23</v>
      </c>
      <c r="R49" s="19"/>
    </row>
    <row r="50" spans="1:18" x14ac:dyDescent="0.3">
      <c r="A50" s="2" t="s">
        <v>299</v>
      </c>
      <c r="B50" s="2" t="s">
        <v>298</v>
      </c>
      <c r="C50" s="2" t="s">
        <v>80</v>
      </c>
      <c r="D50" s="2" t="s">
        <v>79</v>
      </c>
      <c r="E50" s="18" t="s">
        <v>23</v>
      </c>
      <c r="F50" s="19"/>
      <c r="G50" s="2" t="s">
        <v>78</v>
      </c>
      <c r="H50" s="4">
        <v>46113</v>
      </c>
      <c r="I50" s="3">
        <v>271.91000000000003</v>
      </c>
      <c r="J50" s="2" t="s">
        <v>23</v>
      </c>
      <c r="K50" s="2" t="s">
        <v>77</v>
      </c>
      <c r="L50" s="18"/>
      <c r="M50" s="19"/>
      <c r="N50" s="2">
        <v>1</v>
      </c>
      <c r="O50" s="3">
        <v>23</v>
      </c>
      <c r="P50" s="11">
        <v>1</v>
      </c>
      <c r="Q50" s="36">
        <v>23</v>
      </c>
      <c r="R50" s="19"/>
    </row>
    <row r="51" spans="1:18" x14ac:dyDescent="0.3">
      <c r="A51" s="2" t="s">
        <v>297</v>
      </c>
      <c r="B51" s="2" t="s">
        <v>296</v>
      </c>
      <c r="C51" s="2" t="s">
        <v>80</v>
      </c>
      <c r="D51" s="2" t="s">
        <v>79</v>
      </c>
      <c r="E51" s="18" t="s">
        <v>23</v>
      </c>
      <c r="F51" s="19"/>
      <c r="G51" s="2" t="s">
        <v>78</v>
      </c>
      <c r="H51" s="4">
        <v>46113</v>
      </c>
      <c r="I51" s="3">
        <v>604.69000000000005</v>
      </c>
      <c r="J51" s="2" t="s">
        <v>23</v>
      </c>
      <c r="K51" s="2" t="s">
        <v>77</v>
      </c>
      <c r="L51" s="18"/>
      <c r="M51" s="19"/>
      <c r="N51" s="2">
        <v>1</v>
      </c>
      <c r="O51" s="3">
        <v>23</v>
      </c>
      <c r="P51" s="11">
        <v>1</v>
      </c>
      <c r="Q51" s="36">
        <v>23</v>
      </c>
      <c r="R51" s="19"/>
    </row>
    <row r="52" spans="1:18" x14ac:dyDescent="0.3">
      <c r="A52" s="2" t="s">
        <v>295</v>
      </c>
      <c r="B52" s="2" t="s">
        <v>294</v>
      </c>
      <c r="C52" s="2" t="s">
        <v>80</v>
      </c>
      <c r="D52" s="2" t="s">
        <v>79</v>
      </c>
      <c r="E52" s="18" t="s">
        <v>23</v>
      </c>
      <c r="F52" s="19"/>
      <c r="G52" s="2" t="s">
        <v>78</v>
      </c>
      <c r="H52" s="4">
        <v>46113</v>
      </c>
      <c r="I52" s="3">
        <v>315.77</v>
      </c>
      <c r="J52" s="2" t="s">
        <v>23</v>
      </c>
      <c r="K52" s="2" t="s">
        <v>77</v>
      </c>
      <c r="L52" s="18"/>
      <c r="M52" s="19"/>
      <c r="N52" s="2">
        <v>1</v>
      </c>
      <c r="O52" s="3">
        <v>23</v>
      </c>
      <c r="P52" s="11">
        <v>1</v>
      </c>
      <c r="Q52" s="36">
        <v>23</v>
      </c>
      <c r="R52" s="19"/>
    </row>
    <row r="53" spans="1:18" x14ac:dyDescent="0.3">
      <c r="A53" s="2" t="s">
        <v>293</v>
      </c>
      <c r="B53" s="2" t="s">
        <v>292</v>
      </c>
      <c r="C53" s="2" t="s">
        <v>80</v>
      </c>
      <c r="D53" s="2" t="s">
        <v>79</v>
      </c>
      <c r="E53" s="18" t="s">
        <v>23</v>
      </c>
      <c r="F53" s="19"/>
      <c r="G53" s="2" t="s">
        <v>78</v>
      </c>
      <c r="H53" s="4">
        <v>46113</v>
      </c>
      <c r="I53" s="3">
        <v>51.21</v>
      </c>
      <c r="J53" s="2" t="s">
        <v>23</v>
      </c>
      <c r="K53" s="2" t="s">
        <v>77</v>
      </c>
      <c r="L53" s="18"/>
      <c r="M53" s="19"/>
      <c r="N53" s="2">
        <v>1</v>
      </c>
      <c r="O53" s="3">
        <v>23</v>
      </c>
      <c r="P53" s="11">
        <v>1</v>
      </c>
      <c r="Q53" s="36">
        <v>23</v>
      </c>
      <c r="R53" s="19"/>
    </row>
    <row r="54" spans="1:18" x14ac:dyDescent="0.3">
      <c r="A54" s="2" t="s">
        <v>291</v>
      </c>
      <c r="B54" s="2" t="s">
        <v>290</v>
      </c>
      <c r="C54" s="2" t="s">
        <v>80</v>
      </c>
      <c r="D54" s="2" t="s">
        <v>79</v>
      </c>
      <c r="E54" s="18" t="s">
        <v>23</v>
      </c>
      <c r="F54" s="19"/>
      <c r="G54" s="2" t="s">
        <v>78</v>
      </c>
      <c r="H54" s="4">
        <v>46113</v>
      </c>
      <c r="I54" s="3">
        <v>130.38999999999999</v>
      </c>
      <c r="J54" s="2" t="s">
        <v>23</v>
      </c>
      <c r="K54" s="2" t="s">
        <v>77</v>
      </c>
      <c r="L54" s="18"/>
      <c r="M54" s="19"/>
      <c r="N54" s="2">
        <v>2</v>
      </c>
      <c r="O54" s="3">
        <v>23</v>
      </c>
      <c r="P54" s="11">
        <v>1</v>
      </c>
      <c r="Q54" s="36">
        <v>39.450000000000003</v>
      </c>
      <c r="R54" s="19"/>
    </row>
    <row r="55" spans="1:18" x14ac:dyDescent="0.3">
      <c r="A55" s="2" t="s">
        <v>289</v>
      </c>
      <c r="B55" s="2" t="s">
        <v>288</v>
      </c>
      <c r="C55" s="2" t="s">
        <v>80</v>
      </c>
      <c r="D55" s="2" t="s">
        <v>79</v>
      </c>
      <c r="E55" s="18" t="s">
        <v>23</v>
      </c>
      <c r="F55" s="19"/>
      <c r="G55" s="2" t="s">
        <v>78</v>
      </c>
      <c r="H55" s="4">
        <v>45992</v>
      </c>
      <c r="I55" s="3">
        <v>159.22</v>
      </c>
      <c r="J55" s="3">
        <v>1735.31</v>
      </c>
      <c r="K55" s="2" t="s">
        <v>130</v>
      </c>
      <c r="L55" s="18"/>
      <c r="M55" s="19"/>
      <c r="N55" s="2"/>
      <c r="O55" s="14">
        <v>4.2500000000000003E-2</v>
      </c>
      <c r="P55" s="11">
        <v>1</v>
      </c>
      <c r="Q55" s="36">
        <v>73.75</v>
      </c>
      <c r="R55" s="19"/>
    </row>
    <row r="56" spans="1:18" x14ac:dyDescent="0.3">
      <c r="A56" s="2" t="s">
        <v>289</v>
      </c>
      <c r="B56" s="2" t="s">
        <v>288</v>
      </c>
      <c r="C56" s="2" t="s">
        <v>80</v>
      </c>
      <c r="D56" s="2" t="s">
        <v>79</v>
      </c>
      <c r="E56" s="18" t="s">
        <v>23</v>
      </c>
      <c r="F56" s="19"/>
      <c r="G56" s="2" t="s">
        <v>78</v>
      </c>
      <c r="H56" s="4">
        <v>46023</v>
      </c>
      <c r="I56" s="3">
        <v>172.17</v>
      </c>
      <c r="J56" s="2" t="s">
        <v>23</v>
      </c>
      <c r="K56" s="2" t="s">
        <v>77</v>
      </c>
      <c r="L56" s="18"/>
      <c r="M56" s="19"/>
      <c r="N56" s="2">
        <v>5</v>
      </c>
      <c r="O56" s="3">
        <v>23</v>
      </c>
      <c r="P56" s="11">
        <v>1</v>
      </c>
      <c r="Q56" s="36">
        <v>115</v>
      </c>
      <c r="R56" s="19"/>
    </row>
    <row r="57" spans="1:18" x14ac:dyDescent="0.3">
      <c r="A57" s="2" t="s">
        <v>289</v>
      </c>
      <c r="B57" s="2" t="s">
        <v>288</v>
      </c>
      <c r="C57" s="2" t="s">
        <v>80</v>
      </c>
      <c r="D57" s="2" t="s">
        <v>79</v>
      </c>
      <c r="E57" s="18" t="s">
        <v>23</v>
      </c>
      <c r="F57" s="19"/>
      <c r="G57" s="2" t="s">
        <v>78</v>
      </c>
      <c r="H57" s="4">
        <v>46054</v>
      </c>
      <c r="I57" s="3">
        <v>172.17</v>
      </c>
      <c r="J57" s="2" t="s">
        <v>23</v>
      </c>
      <c r="K57" s="2" t="s">
        <v>77</v>
      </c>
      <c r="L57" s="18"/>
      <c r="M57" s="19"/>
      <c r="N57" s="2">
        <v>5</v>
      </c>
      <c r="O57" s="3">
        <v>23</v>
      </c>
      <c r="P57" s="11">
        <v>1</v>
      </c>
      <c r="Q57" s="36">
        <v>115</v>
      </c>
      <c r="R57" s="19"/>
    </row>
    <row r="58" spans="1:18" x14ac:dyDescent="0.3">
      <c r="A58" s="2" t="s">
        <v>289</v>
      </c>
      <c r="B58" s="2" t="s">
        <v>288</v>
      </c>
      <c r="C58" s="2" t="s">
        <v>80</v>
      </c>
      <c r="D58" s="2" t="s">
        <v>79</v>
      </c>
      <c r="E58" s="18" t="s">
        <v>23</v>
      </c>
      <c r="F58" s="19"/>
      <c r="G58" s="2" t="s">
        <v>78</v>
      </c>
      <c r="H58" s="4">
        <v>46082</v>
      </c>
      <c r="I58" s="3">
        <v>172.17</v>
      </c>
      <c r="J58" s="2" t="s">
        <v>23</v>
      </c>
      <c r="K58" s="2" t="s">
        <v>77</v>
      </c>
      <c r="L58" s="18"/>
      <c r="M58" s="19"/>
      <c r="N58" s="2">
        <v>5</v>
      </c>
      <c r="O58" s="3">
        <v>23</v>
      </c>
      <c r="P58" s="11">
        <v>1</v>
      </c>
      <c r="Q58" s="36">
        <v>115</v>
      </c>
      <c r="R58" s="19"/>
    </row>
    <row r="59" spans="1:18" x14ac:dyDescent="0.3">
      <c r="A59" s="2" t="s">
        <v>289</v>
      </c>
      <c r="B59" s="2" t="s">
        <v>288</v>
      </c>
      <c r="C59" s="2" t="s">
        <v>80</v>
      </c>
      <c r="D59" s="2" t="s">
        <v>79</v>
      </c>
      <c r="E59" s="18" t="s">
        <v>23</v>
      </c>
      <c r="F59" s="19"/>
      <c r="G59" s="2" t="s">
        <v>78</v>
      </c>
      <c r="H59" s="4">
        <v>46113</v>
      </c>
      <c r="I59" s="3">
        <v>172.17</v>
      </c>
      <c r="J59" s="2" t="s">
        <v>23</v>
      </c>
      <c r="K59" s="2" t="s">
        <v>77</v>
      </c>
      <c r="L59" s="18"/>
      <c r="M59" s="19"/>
      <c r="N59" s="2">
        <v>5</v>
      </c>
      <c r="O59" s="3">
        <v>23</v>
      </c>
      <c r="P59" s="11">
        <v>1</v>
      </c>
      <c r="Q59" s="36">
        <v>115</v>
      </c>
      <c r="R59" s="19"/>
    </row>
    <row r="60" spans="1:18" x14ac:dyDescent="0.3">
      <c r="A60" s="2" t="s">
        <v>287</v>
      </c>
      <c r="B60" s="2" t="s">
        <v>286</v>
      </c>
      <c r="C60" s="2" t="s">
        <v>80</v>
      </c>
      <c r="D60" s="2" t="s">
        <v>79</v>
      </c>
      <c r="E60" s="18" t="s">
        <v>23</v>
      </c>
      <c r="F60" s="19"/>
      <c r="G60" s="2" t="s">
        <v>78</v>
      </c>
      <c r="H60" s="4">
        <v>46113</v>
      </c>
      <c r="I60" s="3">
        <v>2419.46</v>
      </c>
      <c r="J60" s="2" t="s">
        <v>23</v>
      </c>
      <c r="K60" s="2" t="s">
        <v>77</v>
      </c>
      <c r="L60" s="18"/>
      <c r="M60" s="19"/>
      <c r="N60" s="2">
        <v>3</v>
      </c>
      <c r="O60" s="3">
        <v>23</v>
      </c>
      <c r="P60" s="11">
        <v>1</v>
      </c>
      <c r="Q60" s="36">
        <v>69</v>
      </c>
      <c r="R60" s="19"/>
    </row>
    <row r="61" spans="1:18" x14ac:dyDescent="0.3">
      <c r="A61" s="2" t="s">
        <v>285</v>
      </c>
      <c r="B61" s="2" t="s">
        <v>284</v>
      </c>
      <c r="C61" s="2" t="s">
        <v>80</v>
      </c>
      <c r="D61" s="2" t="s">
        <v>79</v>
      </c>
      <c r="E61" s="18" t="s">
        <v>23</v>
      </c>
      <c r="F61" s="19"/>
      <c r="G61" s="2" t="s">
        <v>78</v>
      </c>
      <c r="H61" s="4">
        <v>46113</v>
      </c>
      <c r="I61" s="3">
        <v>1813.34</v>
      </c>
      <c r="J61" s="2" t="s">
        <v>23</v>
      </c>
      <c r="K61" s="2" t="s">
        <v>77</v>
      </c>
      <c r="L61" s="18"/>
      <c r="M61" s="19"/>
      <c r="N61" s="2">
        <v>3</v>
      </c>
      <c r="O61" s="3">
        <v>23</v>
      </c>
      <c r="P61" s="11">
        <v>1</v>
      </c>
      <c r="Q61" s="36">
        <v>69</v>
      </c>
      <c r="R61" s="19"/>
    </row>
    <row r="62" spans="1:18" x14ac:dyDescent="0.3">
      <c r="A62" s="2" t="s">
        <v>283</v>
      </c>
      <c r="B62" s="2" t="s">
        <v>282</v>
      </c>
      <c r="C62" s="2" t="s">
        <v>80</v>
      </c>
      <c r="D62" s="2" t="s">
        <v>79</v>
      </c>
      <c r="E62" s="18" t="s">
        <v>23</v>
      </c>
      <c r="F62" s="19"/>
      <c r="G62" s="2" t="s">
        <v>78</v>
      </c>
      <c r="H62" s="4">
        <v>46113</v>
      </c>
      <c r="I62" s="3">
        <v>692.23</v>
      </c>
      <c r="J62" s="2" t="s">
        <v>23</v>
      </c>
      <c r="K62" s="2" t="s">
        <v>77</v>
      </c>
      <c r="L62" s="18"/>
      <c r="M62" s="19"/>
      <c r="N62" s="2">
        <v>1</v>
      </c>
      <c r="O62" s="3">
        <v>23</v>
      </c>
      <c r="P62" s="11">
        <v>1</v>
      </c>
      <c r="Q62" s="36">
        <v>23</v>
      </c>
      <c r="R62" s="19"/>
    </row>
    <row r="63" spans="1:18" x14ac:dyDescent="0.3">
      <c r="A63" s="2" t="s">
        <v>281</v>
      </c>
      <c r="B63" s="2" t="s">
        <v>280</v>
      </c>
      <c r="C63" s="2" t="s">
        <v>80</v>
      </c>
      <c r="D63" s="2" t="s">
        <v>79</v>
      </c>
      <c r="E63" s="18" t="s">
        <v>23</v>
      </c>
      <c r="F63" s="19"/>
      <c r="G63" s="2" t="s">
        <v>78</v>
      </c>
      <c r="H63" s="4">
        <v>46113</v>
      </c>
      <c r="I63" s="3">
        <v>280.45999999999998</v>
      </c>
      <c r="J63" s="2" t="s">
        <v>23</v>
      </c>
      <c r="K63" s="2" t="s">
        <v>77</v>
      </c>
      <c r="L63" s="18"/>
      <c r="M63" s="19"/>
      <c r="N63" s="2">
        <v>5</v>
      </c>
      <c r="O63" s="3">
        <v>23</v>
      </c>
      <c r="P63" s="11">
        <v>1</v>
      </c>
      <c r="Q63" s="36">
        <v>115</v>
      </c>
      <c r="R63" s="19"/>
    </row>
    <row r="64" spans="1:18" x14ac:dyDescent="0.3">
      <c r="A64" s="2" t="s">
        <v>279</v>
      </c>
      <c r="B64" s="2" t="s">
        <v>278</v>
      </c>
      <c r="C64" s="2" t="s">
        <v>80</v>
      </c>
      <c r="D64" s="2" t="s">
        <v>79</v>
      </c>
      <c r="E64" s="18" t="s">
        <v>23</v>
      </c>
      <c r="F64" s="19"/>
      <c r="G64" s="2" t="s">
        <v>78</v>
      </c>
      <c r="H64" s="4">
        <v>46113</v>
      </c>
      <c r="I64" s="3">
        <v>44.67</v>
      </c>
      <c r="J64" s="2" t="s">
        <v>23</v>
      </c>
      <c r="K64" s="2" t="s">
        <v>77</v>
      </c>
      <c r="L64" s="18"/>
      <c r="M64" s="19"/>
      <c r="N64" s="2">
        <v>1</v>
      </c>
      <c r="O64" s="3">
        <v>23</v>
      </c>
      <c r="P64" s="11">
        <v>1</v>
      </c>
      <c r="Q64" s="36">
        <v>23</v>
      </c>
      <c r="R64" s="19"/>
    </row>
    <row r="65" spans="1:18" x14ac:dyDescent="0.3">
      <c r="A65" s="2" t="s">
        <v>277</v>
      </c>
      <c r="B65" s="2" t="s">
        <v>276</v>
      </c>
      <c r="C65" s="2" t="s">
        <v>80</v>
      </c>
      <c r="D65" s="2" t="s">
        <v>79</v>
      </c>
      <c r="E65" s="18" t="s">
        <v>23</v>
      </c>
      <c r="F65" s="19"/>
      <c r="G65" s="2" t="s">
        <v>78</v>
      </c>
      <c r="H65" s="4">
        <v>46113</v>
      </c>
      <c r="I65" s="3">
        <v>493.12</v>
      </c>
      <c r="J65" s="2" t="s">
        <v>23</v>
      </c>
      <c r="K65" s="2" t="s">
        <v>77</v>
      </c>
      <c r="L65" s="18"/>
      <c r="M65" s="19"/>
      <c r="N65" s="2">
        <v>3</v>
      </c>
      <c r="O65" s="3">
        <v>23</v>
      </c>
      <c r="P65" s="11">
        <v>1</v>
      </c>
      <c r="Q65" s="36">
        <v>69</v>
      </c>
      <c r="R65" s="19"/>
    </row>
    <row r="66" spans="1:18" x14ac:dyDescent="0.3">
      <c r="A66" s="2" t="s">
        <v>275</v>
      </c>
      <c r="B66" s="2" t="s">
        <v>274</v>
      </c>
      <c r="C66" s="2" t="s">
        <v>80</v>
      </c>
      <c r="D66" s="2" t="s">
        <v>79</v>
      </c>
      <c r="E66" s="18" t="s">
        <v>23</v>
      </c>
      <c r="F66" s="19"/>
      <c r="G66" s="2" t="s">
        <v>78</v>
      </c>
      <c r="H66" s="4">
        <v>46113</v>
      </c>
      <c r="I66" s="3">
        <v>3.37</v>
      </c>
      <c r="J66" s="2" t="s">
        <v>23</v>
      </c>
      <c r="K66" s="2" t="s">
        <v>77</v>
      </c>
      <c r="L66" s="18"/>
      <c r="M66" s="19"/>
      <c r="N66" s="2">
        <v>2</v>
      </c>
      <c r="O66" s="3">
        <v>23</v>
      </c>
      <c r="P66" s="11">
        <v>1</v>
      </c>
      <c r="Q66" s="36">
        <v>46</v>
      </c>
      <c r="R66" s="19"/>
    </row>
    <row r="67" spans="1:18" x14ac:dyDescent="0.3">
      <c r="A67" s="2" t="s">
        <v>273</v>
      </c>
      <c r="B67" s="2" t="s">
        <v>272</v>
      </c>
      <c r="C67" s="2" t="s">
        <v>80</v>
      </c>
      <c r="D67" s="2" t="s">
        <v>79</v>
      </c>
      <c r="E67" s="18" t="s">
        <v>23</v>
      </c>
      <c r="F67" s="19"/>
      <c r="G67" s="2" t="s">
        <v>78</v>
      </c>
      <c r="H67" s="4">
        <v>46113</v>
      </c>
      <c r="I67" s="3">
        <v>2</v>
      </c>
      <c r="J67" s="2" t="s">
        <v>23</v>
      </c>
      <c r="K67" s="2" t="s">
        <v>77</v>
      </c>
      <c r="L67" s="18"/>
      <c r="M67" s="19"/>
      <c r="N67" s="2">
        <v>2</v>
      </c>
      <c r="O67" s="3">
        <v>23</v>
      </c>
      <c r="P67" s="11">
        <v>1</v>
      </c>
      <c r="Q67" s="36">
        <v>46</v>
      </c>
      <c r="R67" s="19"/>
    </row>
    <row r="68" spans="1:18" x14ac:dyDescent="0.3">
      <c r="A68" s="2" t="s">
        <v>271</v>
      </c>
      <c r="B68" s="2" t="s">
        <v>270</v>
      </c>
      <c r="C68" s="2" t="s">
        <v>80</v>
      </c>
      <c r="D68" s="2" t="s">
        <v>79</v>
      </c>
      <c r="E68" s="18" t="s">
        <v>23</v>
      </c>
      <c r="F68" s="19"/>
      <c r="G68" s="2" t="s">
        <v>78</v>
      </c>
      <c r="H68" s="4">
        <v>46054</v>
      </c>
      <c r="I68" s="3">
        <v>75.84</v>
      </c>
      <c r="J68" s="2" t="s">
        <v>23</v>
      </c>
      <c r="K68" s="2" t="s">
        <v>77</v>
      </c>
      <c r="L68" s="18"/>
      <c r="M68" s="19"/>
      <c r="N68" s="2">
        <v>1</v>
      </c>
      <c r="O68" s="3">
        <v>23</v>
      </c>
      <c r="P68" s="11">
        <v>1</v>
      </c>
      <c r="Q68" s="36">
        <v>23</v>
      </c>
      <c r="R68" s="19"/>
    </row>
    <row r="69" spans="1:18" x14ac:dyDescent="0.3">
      <c r="A69" s="2" t="s">
        <v>271</v>
      </c>
      <c r="B69" s="2" t="s">
        <v>270</v>
      </c>
      <c r="C69" s="2" t="s">
        <v>80</v>
      </c>
      <c r="D69" s="2" t="s">
        <v>79</v>
      </c>
      <c r="E69" s="18" t="s">
        <v>23</v>
      </c>
      <c r="F69" s="19"/>
      <c r="G69" s="2" t="s">
        <v>78</v>
      </c>
      <c r="H69" s="4">
        <v>46082</v>
      </c>
      <c r="I69" s="3">
        <v>75.84</v>
      </c>
      <c r="J69" s="2" t="s">
        <v>23</v>
      </c>
      <c r="K69" s="2" t="s">
        <v>77</v>
      </c>
      <c r="L69" s="18"/>
      <c r="M69" s="19"/>
      <c r="N69" s="2">
        <v>1</v>
      </c>
      <c r="O69" s="3">
        <v>23</v>
      </c>
      <c r="P69" s="11">
        <v>1</v>
      </c>
      <c r="Q69" s="36">
        <v>23</v>
      </c>
      <c r="R69" s="19"/>
    </row>
    <row r="70" spans="1:18" x14ac:dyDescent="0.3">
      <c r="A70" s="2" t="s">
        <v>271</v>
      </c>
      <c r="B70" s="2" t="s">
        <v>270</v>
      </c>
      <c r="C70" s="2" t="s">
        <v>80</v>
      </c>
      <c r="D70" s="2" t="s">
        <v>79</v>
      </c>
      <c r="E70" s="18" t="s">
        <v>23</v>
      </c>
      <c r="F70" s="19"/>
      <c r="G70" s="2" t="s">
        <v>78</v>
      </c>
      <c r="H70" s="4">
        <v>46113</v>
      </c>
      <c r="I70" s="3">
        <v>75.84</v>
      </c>
      <c r="J70" s="2" t="s">
        <v>23</v>
      </c>
      <c r="K70" s="2" t="s">
        <v>77</v>
      </c>
      <c r="L70" s="18"/>
      <c r="M70" s="19"/>
      <c r="N70" s="2">
        <v>1</v>
      </c>
      <c r="O70" s="3">
        <v>23</v>
      </c>
      <c r="P70" s="11">
        <v>1</v>
      </c>
      <c r="Q70" s="36">
        <v>23</v>
      </c>
      <c r="R70" s="19"/>
    </row>
    <row r="71" spans="1:18" x14ac:dyDescent="0.3">
      <c r="A71" s="2" t="s">
        <v>269</v>
      </c>
      <c r="B71" s="2" t="s">
        <v>268</v>
      </c>
      <c r="C71" s="2" t="s">
        <v>80</v>
      </c>
      <c r="D71" s="2" t="s">
        <v>79</v>
      </c>
      <c r="E71" s="18" t="s">
        <v>23</v>
      </c>
      <c r="F71" s="19"/>
      <c r="G71" s="2" t="s">
        <v>78</v>
      </c>
      <c r="H71" s="4">
        <v>46113</v>
      </c>
      <c r="I71" s="3">
        <v>75.86</v>
      </c>
      <c r="J71" s="2" t="s">
        <v>23</v>
      </c>
      <c r="K71" s="2" t="s">
        <v>77</v>
      </c>
      <c r="L71" s="18"/>
      <c r="M71" s="19"/>
      <c r="N71" s="2">
        <v>1</v>
      </c>
      <c r="O71" s="3">
        <v>23</v>
      </c>
      <c r="P71" s="11">
        <v>1</v>
      </c>
      <c r="Q71" s="36">
        <v>23</v>
      </c>
      <c r="R71" s="19"/>
    </row>
    <row r="72" spans="1:18" x14ac:dyDescent="0.3">
      <c r="A72" s="2" t="s">
        <v>267</v>
      </c>
      <c r="B72" s="2" t="s">
        <v>266</v>
      </c>
      <c r="C72" s="2" t="s">
        <v>80</v>
      </c>
      <c r="D72" s="2" t="s">
        <v>79</v>
      </c>
      <c r="E72" s="18" t="s">
        <v>23</v>
      </c>
      <c r="F72" s="19"/>
      <c r="G72" s="2" t="s">
        <v>78</v>
      </c>
      <c r="H72" s="4">
        <v>46113</v>
      </c>
      <c r="I72" s="3">
        <v>849.9</v>
      </c>
      <c r="J72" s="2" t="s">
        <v>23</v>
      </c>
      <c r="K72" s="2" t="s">
        <v>77</v>
      </c>
      <c r="L72" s="18"/>
      <c r="M72" s="19"/>
      <c r="N72" s="2">
        <v>3</v>
      </c>
      <c r="O72" s="3">
        <v>23</v>
      </c>
      <c r="P72" s="11">
        <v>1</v>
      </c>
      <c r="Q72" s="36">
        <v>69</v>
      </c>
      <c r="R72" s="19"/>
    </row>
    <row r="73" spans="1:18" x14ac:dyDescent="0.3">
      <c r="A73" s="2" t="s">
        <v>265</v>
      </c>
      <c r="B73" s="2" t="s">
        <v>264</v>
      </c>
      <c r="C73" s="2" t="s">
        <v>80</v>
      </c>
      <c r="D73" s="2" t="s">
        <v>79</v>
      </c>
      <c r="E73" s="18" t="s">
        <v>23</v>
      </c>
      <c r="F73" s="19"/>
      <c r="G73" s="2" t="s">
        <v>78</v>
      </c>
      <c r="H73" s="4">
        <v>46054</v>
      </c>
      <c r="I73" s="3">
        <v>42.79</v>
      </c>
      <c r="J73" s="2" t="s">
        <v>23</v>
      </c>
      <c r="K73" s="2" t="s">
        <v>77</v>
      </c>
      <c r="L73" s="18"/>
      <c r="M73" s="19"/>
      <c r="N73" s="2">
        <v>1</v>
      </c>
      <c r="O73" s="3">
        <v>23</v>
      </c>
      <c r="P73" s="11">
        <v>1</v>
      </c>
      <c r="Q73" s="36">
        <v>23</v>
      </c>
      <c r="R73" s="19"/>
    </row>
    <row r="74" spans="1:18" x14ac:dyDescent="0.3">
      <c r="A74" s="2" t="s">
        <v>263</v>
      </c>
      <c r="B74" s="2" t="s">
        <v>262</v>
      </c>
      <c r="C74" s="2" t="s">
        <v>80</v>
      </c>
      <c r="D74" s="2" t="s">
        <v>79</v>
      </c>
      <c r="E74" s="18" t="s">
        <v>23</v>
      </c>
      <c r="F74" s="19"/>
      <c r="G74" s="2" t="s">
        <v>78</v>
      </c>
      <c r="H74" s="4">
        <v>46113</v>
      </c>
      <c r="I74" s="3">
        <v>391.58</v>
      </c>
      <c r="J74" s="2" t="s">
        <v>23</v>
      </c>
      <c r="K74" s="2" t="s">
        <v>77</v>
      </c>
      <c r="L74" s="18"/>
      <c r="M74" s="19"/>
      <c r="N74" s="2">
        <v>1</v>
      </c>
      <c r="O74" s="3">
        <v>23</v>
      </c>
      <c r="P74" s="11">
        <v>1</v>
      </c>
      <c r="Q74" s="36">
        <v>23</v>
      </c>
      <c r="R74" s="19"/>
    </row>
    <row r="75" spans="1:18" x14ac:dyDescent="0.3">
      <c r="A75" s="2" t="s">
        <v>261</v>
      </c>
      <c r="B75" s="2" t="s">
        <v>260</v>
      </c>
      <c r="C75" s="2" t="s">
        <v>80</v>
      </c>
      <c r="D75" s="2" t="s">
        <v>79</v>
      </c>
      <c r="E75" s="18" t="s">
        <v>23</v>
      </c>
      <c r="F75" s="19"/>
      <c r="G75" s="2" t="s">
        <v>78</v>
      </c>
      <c r="H75" s="4">
        <v>46113</v>
      </c>
      <c r="I75" s="3">
        <v>765.88</v>
      </c>
      <c r="J75" s="2" t="s">
        <v>23</v>
      </c>
      <c r="K75" s="2" t="s">
        <v>77</v>
      </c>
      <c r="L75" s="18"/>
      <c r="M75" s="19"/>
      <c r="N75" s="2">
        <v>1</v>
      </c>
      <c r="O75" s="3">
        <v>23</v>
      </c>
      <c r="P75" s="11">
        <v>1</v>
      </c>
      <c r="Q75" s="36">
        <v>23</v>
      </c>
      <c r="R75" s="19"/>
    </row>
    <row r="76" spans="1:18" x14ac:dyDescent="0.3">
      <c r="A76" s="2" t="s">
        <v>259</v>
      </c>
      <c r="B76" s="2" t="s">
        <v>258</v>
      </c>
      <c r="C76" s="2" t="s">
        <v>80</v>
      </c>
      <c r="D76" s="2" t="s">
        <v>79</v>
      </c>
      <c r="E76" s="18" t="s">
        <v>23</v>
      </c>
      <c r="F76" s="19"/>
      <c r="G76" s="2" t="s">
        <v>78</v>
      </c>
      <c r="H76" s="4">
        <v>46113</v>
      </c>
      <c r="I76" s="3">
        <v>596.28</v>
      </c>
      <c r="J76" s="2" t="s">
        <v>23</v>
      </c>
      <c r="K76" s="2" t="s">
        <v>77</v>
      </c>
      <c r="L76" s="18"/>
      <c r="M76" s="19"/>
      <c r="N76" s="2">
        <v>1</v>
      </c>
      <c r="O76" s="3">
        <v>23</v>
      </c>
      <c r="P76" s="11">
        <v>1</v>
      </c>
      <c r="Q76" s="36">
        <v>23</v>
      </c>
      <c r="R76" s="19"/>
    </row>
    <row r="77" spans="1:18" x14ac:dyDescent="0.3">
      <c r="A77" s="2" t="s">
        <v>257</v>
      </c>
      <c r="B77" s="2" t="s">
        <v>256</v>
      </c>
      <c r="C77" s="2" t="s">
        <v>80</v>
      </c>
      <c r="D77" s="2" t="s">
        <v>79</v>
      </c>
      <c r="E77" s="18" t="s">
        <v>23</v>
      </c>
      <c r="F77" s="19"/>
      <c r="G77" s="2" t="s">
        <v>78</v>
      </c>
      <c r="H77" s="4">
        <v>46082</v>
      </c>
      <c r="I77" s="3">
        <v>47.33</v>
      </c>
      <c r="J77" s="2" t="s">
        <v>23</v>
      </c>
      <c r="K77" s="2" t="s">
        <v>77</v>
      </c>
      <c r="L77" s="18"/>
      <c r="M77" s="19"/>
      <c r="N77" s="2">
        <v>1</v>
      </c>
      <c r="O77" s="3">
        <v>23</v>
      </c>
      <c r="P77" s="11">
        <v>1</v>
      </c>
      <c r="Q77" s="36">
        <v>23</v>
      </c>
      <c r="R77" s="19"/>
    </row>
    <row r="78" spans="1:18" x14ac:dyDescent="0.3">
      <c r="A78" s="2" t="s">
        <v>257</v>
      </c>
      <c r="B78" s="2" t="s">
        <v>256</v>
      </c>
      <c r="C78" s="2" t="s">
        <v>80</v>
      </c>
      <c r="D78" s="2" t="s">
        <v>79</v>
      </c>
      <c r="E78" s="18" t="s">
        <v>23</v>
      </c>
      <c r="F78" s="19"/>
      <c r="G78" s="2" t="s">
        <v>78</v>
      </c>
      <c r="H78" s="4">
        <v>46113</v>
      </c>
      <c r="I78" s="3">
        <v>47.33</v>
      </c>
      <c r="J78" s="2" t="s">
        <v>23</v>
      </c>
      <c r="K78" s="2" t="s">
        <v>77</v>
      </c>
      <c r="L78" s="18"/>
      <c r="M78" s="19"/>
      <c r="N78" s="2">
        <v>1</v>
      </c>
      <c r="O78" s="3">
        <v>23</v>
      </c>
      <c r="P78" s="11">
        <v>1</v>
      </c>
      <c r="Q78" s="36">
        <v>23</v>
      </c>
      <c r="R78" s="19"/>
    </row>
    <row r="79" spans="1:18" x14ac:dyDescent="0.3">
      <c r="A79" s="2" t="s">
        <v>255</v>
      </c>
      <c r="B79" s="2" t="s">
        <v>254</v>
      </c>
      <c r="C79" s="2" t="s">
        <v>80</v>
      </c>
      <c r="D79" s="2" t="s">
        <v>79</v>
      </c>
      <c r="E79" s="18" t="s">
        <v>23</v>
      </c>
      <c r="F79" s="19"/>
      <c r="G79" s="2" t="s">
        <v>78</v>
      </c>
      <c r="H79" s="4">
        <v>46113</v>
      </c>
      <c r="I79" s="3">
        <v>117.64</v>
      </c>
      <c r="J79" s="2" t="s">
        <v>23</v>
      </c>
      <c r="K79" s="2" t="s">
        <v>77</v>
      </c>
      <c r="L79" s="18"/>
      <c r="M79" s="19"/>
      <c r="N79" s="2">
        <v>1</v>
      </c>
      <c r="O79" s="3">
        <v>23</v>
      </c>
      <c r="P79" s="11">
        <v>1</v>
      </c>
      <c r="Q79" s="36">
        <v>23</v>
      </c>
      <c r="R79" s="19"/>
    </row>
    <row r="80" spans="1:18" x14ac:dyDescent="0.3">
      <c r="A80" s="2" t="s">
        <v>253</v>
      </c>
      <c r="B80" s="2" t="s">
        <v>252</v>
      </c>
      <c r="C80" s="2" t="s">
        <v>80</v>
      </c>
      <c r="D80" s="2" t="s">
        <v>79</v>
      </c>
      <c r="E80" s="18" t="s">
        <v>23</v>
      </c>
      <c r="F80" s="19"/>
      <c r="G80" s="2" t="s">
        <v>78</v>
      </c>
      <c r="H80" s="4">
        <v>46113</v>
      </c>
      <c r="I80" s="3">
        <v>1204.19</v>
      </c>
      <c r="J80" s="2" t="s">
        <v>23</v>
      </c>
      <c r="K80" s="2" t="s">
        <v>77</v>
      </c>
      <c r="L80" s="18"/>
      <c r="M80" s="19"/>
      <c r="N80" s="2">
        <v>2</v>
      </c>
      <c r="O80" s="3">
        <v>23</v>
      </c>
      <c r="P80" s="11">
        <v>1</v>
      </c>
      <c r="Q80" s="36">
        <v>46</v>
      </c>
      <c r="R80" s="19"/>
    </row>
    <row r="81" spans="1:18" x14ac:dyDescent="0.3">
      <c r="A81" s="2" t="s">
        <v>251</v>
      </c>
      <c r="B81" s="2" t="s">
        <v>250</v>
      </c>
      <c r="C81" s="2" t="s">
        <v>80</v>
      </c>
      <c r="D81" s="2" t="s">
        <v>79</v>
      </c>
      <c r="E81" s="18" t="s">
        <v>23</v>
      </c>
      <c r="F81" s="19"/>
      <c r="G81" s="2" t="s">
        <v>78</v>
      </c>
      <c r="H81" s="4">
        <v>46113</v>
      </c>
      <c r="I81" s="3">
        <v>754.25</v>
      </c>
      <c r="J81" s="2" t="s">
        <v>23</v>
      </c>
      <c r="K81" s="2" t="s">
        <v>77</v>
      </c>
      <c r="L81" s="18"/>
      <c r="M81" s="19"/>
      <c r="N81" s="2">
        <v>2</v>
      </c>
      <c r="O81" s="3">
        <v>23</v>
      </c>
      <c r="P81" s="11">
        <v>1</v>
      </c>
      <c r="Q81" s="36">
        <v>46</v>
      </c>
      <c r="R81" s="19"/>
    </row>
    <row r="82" spans="1:18" x14ac:dyDescent="0.3">
      <c r="A82" s="2" t="s">
        <v>249</v>
      </c>
      <c r="B82" s="2" t="s">
        <v>248</v>
      </c>
      <c r="C82" s="2" t="s">
        <v>80</v>
      </c>
      <c r="D82" s="2" t="s">
        <v>79</v>
      </c>
      <c r="E82" s="18" t="s">
        <v>23</v>
      </c>
      <c r="F82" s="19"/>
      <c r="G82" s="2" t="s">
        <v>78</v>
      </c>
      <c r="H82" s="4">
        <v>46113</v>
      </c>
      <c r="I82" s="3">
        <v>31.69</v>
      </c>
      <c r="J82" s="2" t="s">
        <v>23</v>
      </c>
      <c r="K82" s="2" t="s">
        <v>77</v>
      </c>
      <c r="L82" s="18"/>
      <c r="M82" s="19"/>
      <c r="N82" s="2">
        <v>1</v>
      </c>
      <c r="O82" s="3">
        <v>23</v>
      </c>
      <c r="P82" s="11">
        <v>1</v>
      </c>
      <c r="Q82" s="36">
        <v>23</v>
      </c>
      <c r="R82" s="19"/>
    </row>
    <row r="83" spans="1:18" x14ac:dyDescent="0.3">
      <c r="A83" s="2" t="s">
        <v>247</v>
      </c>
      <c r="B83" s="2" t="s">
        <v>246</v>
      </c>
      <c r="C83" s="2" t="s">
        <v>80</v>
      </c>
      <c r="D83" s="2" t="s">
        <v>79</v>
      </c>
      <c r="E83" s="18" t="s">
        <v>23</v>
      </c>
      <c r="F83" s="19"/>
      <c r="G83" s="2" t="s">
        <v>78</v>
      </c>
      <c r="H83" s="4">
        <v>46113</v>
      </c>
      <c r="I83" s="3">
        <v>131.5</v>
      </c>
      <c r="J83" s="2" t="s">
        <v>23</v>
      </c>
      <c r="K83" s="2" t="s">
        <v>77</v>
      </c>
      <c r="L83" s="18"/>
      <c r="M83" s="19"/>
      <c r="N83" s="2">
        <v>1</v>
      </c>
      <c r="O83" s="3">
        <v>23</v>
      </c>
      <c r="P83" s="11">
        <v>1</v>
      </c>
      <c r="Q83" s="36">
        <v>23</v>
      </c>
      <c r="R83" s="19"/>
    </row>
    <row r="84" spans="1:18" x14ac:dyDescent="0.3">
      <c r="A84" s="2" t="s">
        <v>245</v>
      </c>
      <c r="B84" s="2" t="s">
        <v>244</v>
      </c>
      <c r="C84" s="2" t="s">
        <v>80</v>
      </c>
      <c r="D84" s="2" t="s">
        <v>79</v>
      </c>
      <c r="E84" s="18" t="s">
        <v>23</v>
      </c>
      <c r="F84" s="19"/>
      <c r="G84" s="2" t="s">
        <v>78</v>
      </c>
      <c r="H84" s="4">
        <v>46113</v>
      </c>
      <c r="I84" s="3">
        <v>441.74</v>
      </c>
      <c r="J84" s="2" t="s">
        <v>23</v>
      </c>
      <c r="K84" s="2" t="s">
        <v>77</v>
      </c>
      <c r="L84" s="18"/>
      <c r="M84" s="19"/>
      <c r="N84" s="2">
        <v>1</v>
      </c>
      <c r="O84" s="3">
        <v>23</v>
      </c>
      <c r="P84" s="11">
        <v>1</v>
      </c>
      <c r="Q84" s="36">
        <v>23</v>
      </c>
      <c r="R84" s="19"/>
    </row>
    <row r="85" spans="1:18" x14ac:dyDescent="0.3">
      <c r="A85" s="2" t="s">
        <v>243</v>
      </c>
      <c r="B85" s="2" t="s">
        <v>242</v>
      </c>
      <c r="C85" s="2" t="s">
        <v>80</v>
      </c>
      <c r="D85" s="2" t="s">
        <v>79</v>
      </c>
      <c r="E85" s="18" t="s">
        <v>23</v>
      </c>
      <c r="F85" s="19"/>
      <c r="G85" s="2" t="s">
        <v>78</v>
      </c>
      <c r="H85" s="4">
        <v>46113</v>
      </c>
      <c r="I85" s="3">
        <v>76.040000000000006</v>
      </c>
      <c r="J85" s="2" t="s">
        <v>23</v>
      </c>
      <c r="K85" s="2" t="s">
        <v>77</v>
      </c>
      <c r="L85" s="18"/>
      <c r="M85" s="19"/>
      <c r="N85" s="2">
        <v>1</v>
      </c>
      <c r="O85" s="3">
        <v>23</v>
      </c>
      <c r="P85" s="11">
        <v>1</v>
      </c>
      <c r="Q85" s="36">
        <v>23</v>
      </c>
      <c r="R85" s="19"/>
    </row>
    <row r="86" spans="1:18" x14ac:dyDescent="0.3">
      <c r="A86" s="2" t="s">
        <v>241</v>
      </c>
      <c r="B86" s="2" t="s">
        <v>240</v>
      </c>
      <c r="C86" s="2" t="s">
        <v>80</v>
      </c>
      <c r="D86" s="2" t="s">
        <v>79</v>
      </c>
      <c r="E86" s="18" t="s">
        <v>23</v>
      </c>
      <c r="F86" s="19"/>
      <c r="G86" s="2" t="s">
        <v>78</v>
      </c>
      <c r="H86" s="4">
        <v>46113</v>
      </c>
      <c r="I86" s="3">
        <v>296.35000000000002</v>
      </c>
      <c r="J86" s="2" t="s">
        <v>23</v>
      </c>
      <c r="K86" s="2" t="s">
        <v>77</v>
      </c>
      <c r="L86" s="18"/>
      <c r="M86" s="19"/>
      <c r="N86" s="2">
        <v>1</v>
      </c>
      <c r="O86" s="3">
        <v>23</v>
      </c>
      <c r="P86" s="11">
        <v>1</v>
      </c>
      <c r="Q86" s="36">
        <v>23</v>
      </c>
      <c r="R86" s="19"/>
    </row>
    <row r="87" spans="1:18" x14ac:dyDescent="0.3">
      <c r="A87" s="2" t="s">
        <v>239</v>
      </c>
      <c r="B87" s="2" t="s">
        <v>238</v>
      </c>
      <c r="C87" s="2" t="s">
        <v>80</v>
      </c>
      <c r="D87" s="2" t="s">
        <v>79</v>
      </c>
      <c r="E87" s="18" t="s">
        <v>23</v>
      </c>
      <c r="F87" s="19"/>
      <c r="G87" s="2" t="s">
        <v>78</v>
      </c>
      <c r="H87" s="4">
        <v>46113</v>
      </c>
      <c r="I87" s="3">
        <v>1216.05</v>
      </c>
      <c r="J87" s="2" t="s">
        <v>23</v>
      </c>
      <c r="K87" s="2" t="s">
        <v>77</v>
      </c>
      <c r="L87" s="18"/>
      <c r="M87" s="19"/>
      <c r="N87" s="2">
        <v>4</v>
      </c>
      <c r="O87" s="3">
        <v>23</v>
      </c>
      <c r="P87" s="11">
        <v>1</v>
      </c>
      <c r="Q87" s="36">
        <v>92</v>
      </c>
      <c r="R87" s="19"/>
    </row>
    <row r="88" spans="1:18" x14ac:dyDescent="0.3">
      <c r="A88" s="2" t="s">
        <v>237</v>
      </c>
      <c r="B88" s="2" t="s">
        <v>236</v>
      </c>
      <c r="C88" s="2" t="s">
        <v>80</v>
      </c>
      <c r="D88" s="2" t="s">
        <v>79</v>
      </c>
      <c r="E88" s="18" t="s">
        <v>23</v>
      </c>
      <c r="F88" s="19"/>
      <c r="G88" s="2" t="s">
        <v>78</v>
      </c>
      <c r="H88" s="4">
        <v>46113</v>
      </c>
      <c r="I88" s="3">
        <v>502.55</v>
      </c>
      <c r="J88" s="2" t="s">
        <v>23</v>
      </c>
      <c r="K88" s="2" t="s">
        <v>77</v>
      </c>
      <c r="L88" s="18"/>
      <c r="M88" s="19"/>
      <c r="N88" s="2">
        <v>3</v>
      </c>
      <c r="O88" s="3">
        <v>23</v>
      </c>
      <c r="P88" s="11">
        <v>1</v>
      </c>
      <c r="Q88" s="36">
        <v>69</v>
      </c>
      <c r="R88" s="19"/>
    </row>
    <row r="89" spans="1:18" x14ac:dyDescent="0.3">
      <c r="A89" s="2" t="s">
        <v>235</v>
      </c>
      <c r="B89" s="2" t="s">
        <v>234</v>
      </c>
      <c r="C89" s="2" t="s">
        <v>80</v>
      </c>
      <c r="D89" s="2" t="s">
        <v>79</v>
      </c>
      <c r="E89" s="18" t="s">
        <v>23</v>
      </c>
      <c r="F89" s="19"/>
      <c r="G89" s="2" t="s">
        <v>78</v>
      </c>
      <c r="H89" s="4">
        <v>46082</v>
      </c>
      <c r="I89" s="3">
        <v>207.55</v>
      </c>
      <c r="J89" s="2" t="s">
        <v>23</v>
      </c>
      <c r="K89" s="2" t="s">
        <v>77</v>
      </c>
      <c r="L89" s="18"/>
      <c r="M89" s="19"/>
      <c r="N89" s="2">
        <v>1</v>
      </c>
      <c r="O89" s="3">
        <v>23</v>
      </c>
      <c r="P89" s="11">
        <v>1</v>
      </c>
      <c r="Q89" s="36">
        <v>23</v>
      </c>
      <c r="R89" s="19"/>
    </row>
    <row r="90" spans="1:18" x14ac:dyDescent="0.3">
      <c r="A90" s="2" t="s">
        <v>235</v>
      </c>
      <c r="B90" s="2" t="s">
        <v>234</v>
      </c>
      <c r="C90" s="2" t="s">
        <v>80</v>
      </c>
      <c r="D90" s="2" t="s">
        <v>79</v>
      </c>
      <c r="E90" s="18" t="s">
        <v>23</v>
      </c>
      <c r="F90" s="19"/>
      <c r="G90" s="2" t="s">
        <v>78</v>
      </c>
      <c r="H90" s="4">
        <v>46113</v>
      </c>
      <c r="I90" s="3">
        <v>207.55</v>
      </c>
      <c r="J90" s="2" t="s">
        <v>23</v>
      </c>
      <c r="K90" s="2" t="s">
        <v>77</v>
      </c>
      <c r="L90" s="18"/>
      <c r="M90" s="19"/>
      <c r="N90" s="2">
        <v>1</v>
      </c>
      <c r="O90" s="3">
        <v>23</v>
      </c>
      <c r="P90" s="11">
        <v>1</v>
      </c>
      <c r="Q90" s="36">
        <v>23</v>
      </c>
      <c r="R90" s="19"/>
    </row>
    <row r="91" spans="1:18" x14ac:dyDescent="0.3">
      <c r="A91" s="2" t="s">
        <v>233</v>
      </c>
      <c r="B91" s="2" t="s">
        <v>232</v>
      </c>
      <c r="C91" s="2" t="s">
        <v>80</v>
      </c>
      <c r="D91" s="2" t="s">
        <v>79</v>
      </c>
      <c r="E91" s="18" t="s">
        <v>23</v>
      </c>
      <c r="F91" s="19"/>
      <c r="G91" s="2" t="s">
        <v>78</v>
      </c>
      <c r="H91" s="4">
        <v>46113</v>
      </c>
      <c r="I91" s="3">
        <v>516.85</v>
      </c>
      <c r="J91" s="2" t="s">
        <v>23</v>
      </c>
      <c r="K91" s="2" t="s">
        <v>77</v>
      </c>
      <c r="L91" s="18"/>
      <c r="M91" s="19"/>
      <c r="N91" s="2">
        <v>1</v>
      </c>
      <c r="O91" s="3">
        <v>23</v>
      </c>
      <c r="P91" s="11">
        <v>1</v>
      </c>
      <c r="Q91" s="36">
        <v>23</v>
      </c>
      <c r="R91" s="19"/>
    </row>
    <row r="92" spans="1:18" x14ac:dyDescent="0.3">
      <c r="A92" s="2" t="s">
        <v>231</v>
      </c>
      <c r="B92" s="2" t="s">
        <v>230</v>
      </c>
      <c r="C92" s="2" t="s">
        <v>80</v>
      </c>
      <c r="D92" s="2" t="s">
        <v>79</v>
      </c>
      <c r="E92" s="18" t="s">
        <v>23</v>
      </c>
      <c r="F92" s="19"/>
      <c r="G92" s="2" t="s">
        <v>78</v>
      </c>
      <c r="H92" s="4">
        <v>46113</v>
      </c>
      <c r="I92" s="3">
        <v>759.38</v>
      </c>
      <c r="J92" s="2" t="s">
        <v>23</v>
      </c>
      <c r="K92" s="2" t="s">
        <v>77</v>
      </c>
      <c r="L92" s="18"/>
      <c r="M92" s="19"/>
      <c r="N92" s="2">
        <v>2</v>
      </c>
      <c r="O92" s="3">
        <v>23</v>
      </c>
      <c r="P92" s="11">
        <v>1</v>
      </c>
      <c r="Q92" s="36">
        <v>46</v>
      </c>
      <c r="R92" s="19"/>
    </row>
    <row r="93" spans="1:18" x14ac:dyDescent="0.3">
      <c r="A93" s="2" t="s">
        <v>229</v>
      </c>
      <c r="B93" s="2" t="s">
        <v>228</v>
      </c>
      <c r="C93" s="2" t="s">
        <v>80</v>
      </c>
      <c r="D93" s="2" t="s">
        <v>79</v>
      </c>
      <c r="E93" s="18" t="s">
        <v>23</v>
      </c>
      <c r="F93" s="19"/>
      <c r="G93" s="2" t="s">
        <v>78</v>
      </c>
      <c r="H93" s="4">
        <v>46113</v>
      </c>
      <c r="I93" s="3">
        <v>77.489999999999995</v>
      </c>
      <c r="J93" s="2" t="s">
        <v>23</v>
      </c>
      <c r="K93" s="2" t="s">
        <v>77</v>
      </c>
      <c r="L93" s="18"/>
      <c r="M93" s="19"/>
      <c r="N93" s="2">
        <v>1</v>
      </c>
      <c r="O93" s="3">
        <v>23</v>
      </c>
      <c r="P93" s="11">
        <v>1</v>
      </c>
      <c r="Q93" s="36">
        <v>23</v>
      </c>
      <c r="R93" s="19"/>
    </row>
    <row r="94" spans="1:18" x14ac:dyDescent="0.3">
      <c r="A94" s="2" t="s">
        <v>227</v>
      </c>
      <c r="B94" s="2" t="s">
        <v>226</v>
      </c>
      <c r="C94" s="2" t="s">
        <v>80</v>
      </c>
      <c r="D94" s="2" t="s">
        <v>79</v>
      </c>
      <c r="E94" s="18" t="s">
        <v>23</v>
      </c>
      <c r="F94" s="19"/>
      <c r="G94" s="2" t="s">
        <v>78</v>
      </c>
      <c r="H94" s="4">
        <v>46082</v>
      </c>
      <c r="I94" s="3">
        <v>911.09</v>
      </c>
      <c r="J94" s="2" t="s">
        <v>23</v>
      </c>
      <c r="K94" s="2" t="s">
        <v>77</v>
      </c>
      <c r="L94" s="18"/>
      <c r="M94" s="19"/>
      <c r="N94" s="2">
        <v>1</v>
      </c>
      <c r="O94" s="3">
        <v>23</v>
      </c>
      <c r="P94" s="11">
        <v>1</v>
      </c>
      <c r="Q94" s="36">
        <v>7.92</v>
      </c>
      <c r="R94" s="19"/>
    </row>
    <row r="95" spans="1:18" x14ac:dyDescent="0.3">
      <c r="A95" s="2" t="s">
        <v>227</v>
      </c>
      <c r="B95" s="2" t="s">
        <v>226</v>
      </c>
      <c r="C95" s="2" t="s">
        <v>80</v>
      </c>
      <c r="D95" s="2" t="s">
        <v>79</v>
      </c>
      <c r="E95" s="18" t="s">
        <v>23</v>
      </c>
      <c r="F95" s="19"/>
      <c r="G95" s="2" t="s">
        <v>78</v>
      </c>
      <c r="H95" s="4">
        <v>46113</v>
      </c>
      <c r="I95" s="3">
        <v>860.07</v>
      </c>
      <c r="J95" s="2" t="s">
        <v>23</v>
      </c>
      <c r="K95" s="2" t="s">
        <v>77</v>
      </c>
      <c r="L95" s="18"/>
      <c r="M95" s="19"/>
      <c r="N95" s="2">
        <v>1</v>
      </c>
      <c r="O95" s="3">
        <v>23</v>
      </c>
      <c r="P95" s="11">
        <v>1</v>
      </c>
      <c r="Q95" s="36">
        <v>13.18</v>
      </c>
      <c r="R95" s="19"/>
    </row>
    <row r="96" spans="1:18" x14ac:dyDescent="0.3">
      <c r="A96" s="2" t="s">
        <v>225</v>
      </c>
      <c r="B96" s="2" t="s">
        <v>224</v>
      </c>
      <c r="C96" s="2" t="s">
        <v>80</v>
      </c>
      <c r="D96" s="2" t="s">
        <v>79</v>
      </c>
      <c r="E96" s="18" t="s">
        <v>23</v>
      </c>
      <c r="F96" s="19"/>
      <c r="G96" s="2" t="s">
        <v>78</v>
      </c>
      <c r="H96" s="4">
        <v>46082</v>
      </c>
      <c r="I96" s="3">
        <v>169.56</v>
      </c>
      <c r="J96" s="2" t="s">
        <v>23</v>
      </c>
      <c r="K96" s="2" t="s">
        <v>77</v>
      </c>
      <c r="L96" s="18"/>
      <c r="M96" s="19"/>
      <c r="N96" s="2">
        <v>1</v>
      </c>
      <c r="O96" s="3">
        <v>23</v>
      </c>
      <c r="P96" s="11">
        <v>1</v>
      </c>
      <c r="Q96" s="36">
        <v>23</v>
      </c>
      <c r="R96" s="19"/>
    </row>
    <row r="97" spans="1:18" x14ac:dyDescent="0.3">
      <c r="A97" s="2" t="s">
        <v>225</v>
      </c>
      <c r="B97" s="2" t="s">
        <v>224</v>
      </c>
      <c r="C97" s="2" t="s">
        <v>80</v>
      </c>
      <c r="D97" s="2" t="s">
        <v>79</v>
      </c>
      <c r="E97" s="18" t="s">
        <v>23</v>
      </c>
      <c r="F97" s="19"/>
      <c r="G97" s="2" t="s">
        <v>78</v>
      </c>
      <c r="H97" s="4">
        <v>46113</v>
      </c>
      <c r="I97" s="3">
        <v>169.56</v>
      </c>
      <c r="J97" s="2" t="s">
        <v>23</v>
      </c>
      <c r="K97" s="2" t="s">
        <v>77</v>
      </c>
      <c r="L97" s="18"/>
      <c r="M97" s="19"/>
      <c r="N97" s="2">
        <v>1</v>
      </c>
      <c r="O97" s="3">
        <v>23</v>
      </c>
      <c r="P97" s="11">
        <v>1</v>
      </c>
      <c r="Q97" s="36">
        <v>23</v>
      </c>
      <c r="R97" s="19"/>
    </row>
    <row r="98" spans="1:18" x14ac:dyDescent="0.3">
      <c r="A98" s="2" t="s">
        <v>223</v>
      </c>
      <c r="B98" s="2" t="s">
        <v>222</v>
      </c>
      <c r="C98" s="2" t="s">
        <v>80</v>
      </c>
      <c r="D98" s="2" t="s">
        <v>79</v>
      </c>
      <c r="E98" s="18" t="s">
        <v>23</v>
      </c>
      <c r="F98" s="19"/>
      <c r="G98" s="2" t="s">
        <v>78</v>
      </c>
      <c r="H98" s="4">
        <v>46113</v>
      </c>
      <c r="I98" s="3">
        <v>187.41</v>
      </c>
      <c r="J98" s="2" t="s">
        <v>23</v>
      </c>
      <c r="K98" s="2" t="s">
        <v>77</v>
      </c>
      <c r="L98" s="18"/>
      <c r="M98" s="19"/>
      <c r="N98" s="2">
        <v>1</v>
      </c>
      <c r="O98" s="3">
        <v>23</v>
      </c>
      <c r="P98" s="11">
        <v>1</v>
      </c>
      <c r="Q98" s="36">
        <v>23</v>
      </c>
      <c r="R98" s="19"/>
    </row>
    <row r="99" spans="1:18" x14ac:dyDescent="0.3">
      <c r="A99" s="2" t="s">
        <v>221</v>
      </c>
      <c r="B99" s="2" t="s">
        <v>220</v>
      </c>
      <c r="C99" s="2" t="s">
        <v>80</v>
      </c>
      <c r="D99" s="2" t="s">
        <v>79</v>
      </c>
      <c r="E99" s="18" t="s">
        <v>23</v>
      </c>
      <c r="F99" s="19"/>
      <c r="G99" s="2" t="s">
        <v>78</v>
      </c>
      <c r="H99" s="4">
        <v>46113</v>
      </c>
      <c r="I99" s="3">
        <v>946.61</v>
      </c>
      <c r="J99" s="2" t="s">
        <v>23</v>
      </c>
      <c r="K99" s="2" t="s">
        <v>77</v>
      </c>
      <c r="L99" s="18"/>
      <c r="M99" s="19"/>
      <c r="N99" s="2">
        <v>3</v>
      </c>
      <c r="O99" s="3">
        <v>23</v>
      </c>
      <c r="P99" s="11">
        <v>1</v>
      </c>
      <c r="Q99" s="36">
        <v>69</v>
      </c>
      <c r="R99" s="19"/>
    </row>
    <row r="100" spans="1:18" x14ac:dyDescent="0.3">
      <c r="A100" s="2" t="s">
        <v>219</v>
      </c>
      <c r="B100" s="2" t="s">
        <v>218</v>
      </c>
      <c r="C100" s="2" t="s">
        <v>80</v>
      </c>
      <c r="D100" s="2" t="s">
        <v>79</v>
      </c>
      <c r="E100" s="18" t="s">
        <v>23</v>
      </c>
      <c r="F100" s="19"/>
      <c r="G100" s="2" t="s">
        <v>78</v>
      </c>
      <c r="H100" s="4">
        <v>46113</v>
      </c>
      <c r="I100" s="3">
        <v>1</v>
      </c>
      <c r="J100" s="2" t="s">
        <v>23</v>
      </c>
      <c r="K100" s="2" t="s">
        <v>77</v>
      </c>
      <c r="L100" s="18"/>
      <c r="M100" s="19"/>
      <c r="N100" s="2">
        <v>1</v>
      </c>
      <c r="O100" s="3">
        <v>23</v>
      </c>
      <c r="P100" s="11">
        <v>1</v>
      </c>
      <c r="Q100" s="36">
        <v>23</v>
      </c>
      <c r="R100" s="19"/>
    </row>
    <row r="101" spans="1:18" x14ac:dyDescent="0.3">
      <c r="A101" s="2" t="s">
        <v>217</v>
      </c>
      <c r="B101" s="2" t="s">
        <v>216</v>
      </c>
      <c r="C101" s="2" t="s">
        <v>80</v>
      </c>
      <c r="D101" s="2" t="s">
        <v>79</v>
      </c>
      <c r="E101" s="18" t="s">
        <v>23</v>
      </c>
      <c r="F101" s="19"/>
      <c r="G101" s="2" t="s">
        <v>78</v>
      </c>
      <c r="H101" s="4">
        <v>46113</v>
      </c>
      <c r="I101" s="3">
        <v>19.87</v>
      </c>
      <c r="J101" s="2" t="s">
        <v>23</v>
      </c>
      <c r="K101" s="2" t="s">
        <v>77</v>
      </c>
      <c r="L101" s="18"/>
      <c r="M101" s="19"/>
      <c r="N101" s="2">
        <v>1</v>
      </c>
      <c r="O101" s="3">
        <v>23</v>
      </c>
      <c r="P101" s="11">
        <v>1</v>
      </c>
      <c r="Q101" s="36">
        <v>23</v>
      </c>
      <c r="R101" s="19"/>
    </row>
    <row r="102" spans="1:18" x14ac:dyDescent="0.3">
      <c r="A102" s="2" t="s">
        <v>215</v>
      </c>
      <c r="B102" s="2" t="s">
        <v>214</v>
      </c>
      <c r="C102" s="2" t="s">
        <v>80</v>
      </c>
      <c r="D102" s="2" t="s">
        <v>79</v>
      </c>
      <c r="E102" s="18" t="s">
        <v>23</v>
      </c>
      <c r="F102" s="19"/>
      <c r="G102" s="2" t="s">
        <v>78</v>
      </c>
      <c r="H102" s="4">
        <v>46113</v>
      </c>
      <c r="I102" s="3">
        <v>1.49</v>
      </c>
      <c r="J102" s="2" t="s">
        <v>23</v>
      </c>
      <c r="K102" s="2" t="s">
        <v>77</v>
      </c>
      <c r="L102" s="18"/>
      <c r="M102" s="19"/>
      <c r="N102" s="2">
        <v>1</v>
      </c>
      <c r="O102" s="3">
        <v>23</v>
      </c>
      <c r="P102" s="11">
        <v>1</v>
      </c>
      <c r="Q102" s="36">
        <v>23</v>
      </c>
      <c r="R102" s="19"/>
    </row>
    <row r="103" spans="1:18" x14ac:dyDescent="0.3">
      <c r="A103" s="2" t="s">
        <v>213</v>
      </c>
      <c r="B103" s="2" t="s">
        <v>212</v>
      </c>
      <c r="C103" s="2" t="s">
        <v>80</v>
      </c>
      <c r="D103" s="2" t="s">
        <v>79</v>
      </c>
      <c r="E103" s="18" t="s">
        <v>23</v>
      </c>
      <c r="F103" s="19"/>
      <c r="G103" s="2" t="s">
        <v>78</v>
      </c>
      <c r="H103" s="4">
        <v>46113</v>
      </c>
      <c r="I103" s="3">
        <v>75.88</v>
      </c>
      <c r="J103" s="2" t="s">
        <v>23</v>
      </c>
      <c r="K103" s="2" t="s">
        <v>77</v>
      </c>
      <c r="L103" s="18"/>
      <c r="M103" s="19"/>
      <c r="N103" s="2">
        <v>1</v>
      </c>
      <c r="O103" s="3">
        <v>23</v>
      </c>
      <c r="P103" s="11">
        <v>1</v>
      </c>
      <c r="Q103" s="36">
        <v>23</v>
      </c>
      <c r="R103" s="19"/>
    </row>
    <row r="104" spans="1:18" ht="20.399999999999999" x14ac:dyDescent="0.3">
      <c r="A104" s="2" t="s">
        <v>211</v>
      </c>
      <c r="B104" s="2" t="s">
        <v>210</v>
      </c>
      <c r="C104" s="2" t="s">
        <v>80</v>
      </c>
      <c r="D104" s="2" t="s">
        <v>79</v>
      </c>
      <c r="E104" s="18" t="s">
        <v>23</v>
      </c>
      <c r="F104" s="19"/>
      <c r="G104" s="2" t="s">
        <v>78</v>
      </c>
      <c r="H104" s="4">
        <v>46113</v>
      </c>
      <c r="I104" s="3">
        <v>707.29</v>
      </c>
      <c r="J104" s="2" t="s">
        <v>23</v>
      </c>
      <c r="K104" s="2" t="s">
        <v>77</v>
      </c>
      <c r="L104" s="18"/>
      <c r="M104" s="19"/>
      <c r="N104" s="2">
        <v>1</v>
      </c>
      <c r="O104" s="3">
        <v>23</v>
      </c>
      <c r="P104" s="11">
        <v>1</v>
      </c>
      <c r="Q104" s="36">
        <v>23</v>
      </c>
      <c r="R104" s="19"/>
    </row>
    <row r="105" spans="1:18" x14ac:dyDescent="0.3">
      <c r="A105" s="2" t="s">
        <v>209</v>
      </c>
      <c r="B105" s="2" t="s">
        <v>208</v>
      </c>
      <c r="C105" s="2" t="s">
        <v>80</v>
      </c>
      <c r="D105" s="2" t="s">
        <v>79</v>
      </c>
      <c r="E105" s="18" t="s">
        <v>23</v>
      </c>
      <c r="F105" s="19"/>
      <c r="G105" s="2" t="s">
        <v>78</v>
      </c>
      <c r="H105" s="4">
        <v>46113</v>
      </c>
      <c r="I105" s="3">
        <v>423.02</v>
      </c>
      <c r="J105" s="2" t="s">
        <v>23</v>
      </c>
      <c r="K105" s="2" t="s">
        <v>77</v>
      </c>
      <c r="L105" s="18"/>
      <c r="M105" s="19"/>
      <c r="N105" s="2">
        <v>1</v>
      </c>
      <c r="O105" s="3">
        <v>23</v>
      </c>
      <c r="P105" s="11">
        <v>1</v>
      </c>
      <c r="Q105" s="36">
        <v>23</v>
      </c>
      <c r="R105" s="19"/>
    </row>
    <row r="106" spans="1:18" x14ac:dyDescent="0.3">
      <c r="A106" s="2" t="s">
        <v>207</v>
      </c>
      <c r="B106" s="2" t="s">
        <v>206</v>
      </c>
      <c r="C106" s="2" t="s">
        <v>80</v>
      </c>
      <c r="D106" s="2" t="s">
        <v>79</v>
      </c>
      <c r="E106" s="18" t="s">
        <v>23</v>
      </c>
      <c r="F106" s="19"/>
      <c r="G106" s="2" t="s">
        <v>78</v>
      </c>
      <c r="H106" s="4">
        <v>46113</v>
      </c>
      <c r="I106" s="3">
        <v>41.61</v>
      </c>
      <c r="J106" s="2" t="s">
        <v>23</v>
      </c>
      <c r="K106" s="2" t="s">
        <v>77</v>
      </c>
      <c r="L106" s="18"/>
      <c r="M106" s="19"/>
      <c r="N106" s="2">
        <v>1</v>
      </c>
      <c r="O106" s="3">
        <v>23</v>
      </c>
      <c r="P106" s="11">
        <v>1</v>
      </c>
      <c r="Q106" s="36">
        <v>23</v>
      </c>
      <c r="R106" s="19"/>
    </row>
    <row r="107" spans="1:18" x14ac:dyDescent="0.3">
      <c r="A107" s="2" t="s">
        <v>205</v>
      </c>
      <c r="B107" s="2" t="s">
        <v>204</v>
      </c>
      <c r="C107" s="2" t="s">
        <v>80</v>
      </c>
      <c r="D107" s="2" t="s">
        <v>79</v>
      </c>
      <c r="E107" s="18" t="s">
        <v>23</v>
      </c>
      <c r="F107" s="19"/>
      <c r="G107" s="2" t="s">
        <v>78</v>
      </c>
      <c r="H107" s="4">
        <v>46113</v>
      </c>
      <c r="I107" s="3">
        <v>1170.9000000000001</v>
      </c>
      <c r="J107" s="2" t="s">
        <v>23</v>
      </c>
      <c r="K107" s="2" t="s">
        <v>77</v>
      </c>
      <c r="L107" s="18"/>
      <c r="M107" s="19"/>
      <c r="N107" s="2">
        <v>1</v>
      </c>
      <c r="O107" s="3">
        <v>23</v>
      </c>
      <c r="P107" s="11">
        <v>1</v>
      </c>
      <c r="Q107" s="36">
        <v>23</v>
      </c>
      <c r="R107" s="19"/>
    </row>
    <row r="108" spans="1:18" x14ac:dyDescent="0.3">
      <c r="A108" s="2" t="s">
        <v>203</v>
      </c>
      <c r="B108" s="2" t="s">
        <v>202</v>
      </c>
      <c r="C108" s="2" t="s">
        <v>80</v>
      </c>
      <c r="D108" s="2" t="s">
        <v>79</v>
      </c>
      <c r="E108" s="18" t="s">
        <v>23</v>
      </c>
      <c r="F108" s="19"/>
      <c r="G108" s="2" t="s">
        <v>78</v>
      </c>
      <c r="H108" s="4">
        <v>46113</v>
      </c>
      <c r="I108" s="3">
        <v>105.47</v>
      </c>
      <c r="J108" s="2" t="s">
        <v>23</v>
      </c>
      <c r="K108" s="2" t="s">
        <v>77</v>
      </c>
      <c r="L108" s="18"/>
      <c r="M108" s="19"/>
      <c r="N108" s="2">
        <v>1</v>
      </c>
      <c r="O108" s="3">
        <v>23</v>
      </c>
      <c r="P108" s="11">
        <v>1</v>
      </c>
      <c r="Q108" s="36">
        <v>23</v>
      </c>
      <c r="R108" s="19"/>
    </row>
    <row r="109" spans="1:18" x14ac:dyDescent="0.3">
      <c r="A109" s="2" t="s">
        <v>201</v>
      </c>
      <c r="B109" s="2" t="s">
        <v>200</v>
      </c>
      <c r="C109" s="2" t="s">
        <v>80</v>
      </c>
      <c r="D109" s="2" t="s">
        <v>79</v>
      </c>
      <c r="E109" s="18" t="s">
        <v>23</v>
      </c>
      <c r="F109" s="19"/>
      <c r="G109" s="2" t="s">
        <v>78</v>
      </c>
      <c r="H109" s="4">
        <v>46023</v>
      </c>
      <c r="I109" s="3">
        <v>187.02</v>
      </c>
      <c r="J109" s="2" t="s">
        <v>23</v>
      </c>
      <c r="K109" s="2" t="s">
        <v>77</v>
      </c>
      <c r="L109" s="18"/>
      <c r="M109" s="19"/>
      <c r="N109" s="2">
        <v>2</v>
      </c>
      <c r="O109" s="3">
        <v>23</v>
      </c>
      <c r="P109" s="11">
        <v>1</v>
      </c>
      <c r="Q109" s="36">
        <v>46</v>
      </c>
      <c r="R109" s="19"/>
    </row>
    <row r="110" spans="1:18" x14ac:dyDescent="0.3">
      <c r="A110" s="2" t="s">
        <v>201</v>
      </c>
      <c r="B110" s="2" t="s">
        <v>200</v>
      </c>
      <c r="C110" s="2" t="s">
        <v>80</v>
      </c>
      <c r="D110" s="2" t="s">
        <v>79</v>
      </c>
      <c r="E110" s="18" t="s">
        <v>23</v>
      </c>
      <c r="F110" s="19"/>
      <c r="G110" s="2" t="s">
        <v>78</v>
      </c>
      <c r="H110" s="4">
        <v>46054</v>
      </c>
      <c r="I110" s="3">
        <v>187.02</v>
      </c>
      <c r="J110" s="2" t="s">
        <v>23</v>
      </c>
      <c r="K110" s="2" t="s">
        <v>77</v>
      </c>
      <c r="L110" s="18"/>
      <c r="M110" s="19"/>
      <c r="N110" s="2">
        <v>2</v>
      </c>
      <c r="O110" s="3">
        <v>23</v>
      </c>
      <c r="P110" s="11">
        <v>1</v>
      </c>
      <c r="Q110" s="36">
        <v>46</v>
      </c>
      <c r="R110" s="19"/>
    </row>
    <row r="111" spans="1:18" x14ac:dyDescent="0.3">
      <c r="A111" s="2" t="s">
        <v>201</v>
      </c>
      <c r="B111" s="2" t="s">
        <v>200</v>
      </c>
      <c r="C111" s="2" t="s">
        <v>80</v>
      </c>
      <c r="D111" s="2" t="s">
        <v>79</v>
      </c>
      <c r="E111" s="18" t="s">
        <v>23</v>
      </c>
      <c r="F111" s="19"/>
      <c r="G111" s="2" t="s">
        <v>78</v>
      </c>
      <c r="H111" s="4">
        <v>46082</v>
      </c>
      <c r="I111" s="3">
        <v>187.02</v>
      </c>
      <c r="J111" s="2" t="s">
        <v>23</v>
      </c>
      <c r="K111" s="2" t="s">
        <v>77</v>
      </c>
      <c r="L111" s="18"/>
      <c r="M111" s="19"/>
      <c r="N111" s="2">
        <v>2</v>
      </c>
      <c r="O111" s="3">
        <v>23</v>
      </c>
      <c r="P111" s="11">
        <v>1</v>
      </c>
      <c r="Q111" s="36">
        <v>46</v>
      </c>
      <c r="R111" s="19"/>
    </row>
    <row r="112" spans="1:18" x14ac:dyDescent="0.3">
      <c r="A112" s="2" t="s">
        <v>201</v>
      </c>
      <c r="B112" s="2" t="s">
        <v>200</v>
      </c>
      <c r="C112" s="2" t="s">
        <v>80</v>
      </c>
      <c r="D112" s="2" t="s">
        <v>79</v>
      </c>
      <c r="E112" s="18" t="s">
        <v>23</v>
      </c>
      <c r="F112" s="19"/>
      <c r="G112" s="2" t="s">
        <v>78</v>
      </c>
      <c r="H112" s="4">
        <v>46113</v>
      </c>
      <c r="I112" s="3">
        <v>187.02</v>
      </c>
      <c r="J112" s="2" t="s">
        <v>23</v>
      </c>
      <c r="K112" s="2" t="s">
        <v>77</v>
      </c>
      <c r="L112" s="18"/>
      <c r="M112" s="19"/>
      <c r="N112" s="2">
        <v>2</v>
      </c>
      <c r="O112" s="3">
        <v>23</v>
      </c>
      <c r="P112" s="11">
        <v>1</v>
      </c>
      <c r="Q112" s="36">
        <v>46</v>
      </c>
      <c r="R112" s="19"/>
    </row>
    <row r="113" spans="1:18" x14ac:dyDescent="0.3">
      <c r="A113" s="2" t="s">
        <v>199</v>
      </c>
      <c r="B113" s="2" t="s">
        <v>198</v>
      </c>
      <c r="C113" s="2" t="s">
        <v>80</v>
      </c>
      <c r="D113" s="2" t="s">
        <v>79</v>
      </c>
      <c r="E113" s="18" t="s">
        <v>23</v>
      </c>
      <c r="F113" s="19"/>
      <c r="G113" s="2" t="s">
        <v>78</v>
      </c>
      <c r="H113" s="4">
        <v>46113</v>
      </c>
      <c r="I113" s="3">
        <v>800.76</v>
      </c>
      <c r="J113" s="2" t="s">
        <v>23</v>
      </c>
      <c r="K113" s="2" t="s">
        <v>77</v>
      </c>
      <c r="L113" s="18"/>
      <c r="M113" s="19"/>
      <c r="N113" s="2">
        <v>1</v>
      </c>
      <c r="O113" s="3">
        <v>23</v>
      </c>
      <c r="P113" s="11">
        <v>1</v>
      </c>
      <c r="Q113" s="36">
        <v>23</v>
      </c>
      <c r="R113" s="19"/>
    </row>
    <row r="114" spans="1:18" x14ac:dyDescent="0.3">
      <c r="A114" s="2" t="s">
        <v>197</v>
      </c>
      <c r="B114" s="2" t="s">
        <v>196</v>
      </c>
      <c r="C114" s="2" t="s">
        <v>80</v>
      </c>
      <c r="D114" s="2" t="s">
        <v>79</v>
      </c>
      <c r="E114" s="18" t="s">
        <v>23</v>
      </c>
      <c r="F114" s="19"/>
      <c r="G114" s="2" t="s">
        <v>78</v>
      </c>
      <c r="H114" s="4">
        <v>46113</v>
      </c>
      <c r="I114" s="3">
        <v>603.79999999999995</v>
      </c>
      <c r="J114" s="2" t="s">
        <v>23</v>
      </c>
      <c r="K114" s="2" t="s">
        <v>77</v>
      </c>
      <c r="L114" s="18"/>
      <c r="M114" s="19"/>
      <c r="N114" s="2">
        <v>3</v>
      </c>
      <c r="O114" s="3">
        <v>23</v>
      </c>
      <c r="P114" s="11">
        <v>1</v>
      </c>
      <c r="Q114" s="36">
        <v>69</v>
      </c>
      <c r="R114" s="19"/>
    </row>
    <row r="115" spans="1:18" x14ac:dyDescent="0.3">
      <c r="A115" s="2" t="s">
        <v>195</v>
      </c>
      <c r="B115" s="2" t="s">
        <v>194</v>
      </c>
      <c r="C115" s="2" t="s">
        <v>80</v>
      </c>
      <c r="D115" s="2" t="s">
        <v>79</v>
      </c>
      <c r="E115" s="18" t="s">
        <v>23</v>
      </c>
      <c r="F115" s="19"/>
      <c r="G115" s="2" t="s">
        <v>78</v>
      </c>
      <c r="H115" s="4">
        <v>46113</v>
      </c>
      <c r="I115" s="3">
        <v>168.59</v>
      </c>
      <c r="J115" s="2" t="s">
        <v>23</v>
      </c>
      <c r="K115" s="2" t="s">
        <v>77</v>
      </c>
      <c r="L115" s="18"/>
      <c r="M115" s="19"/>
      <c r="N115" s="2">
        <v>2</v>
      </c>
      <c r="O115" s="3">
        <v>23</v>
      </c>
      <c r="P115" s="11">
        <v>1</v>
      </c>
      <c r="Q115" s="36">
        <v>46</v>
      </c>
      <c r="R115" s="19"/>
    </row>
    <row r="116" spans="1:18" x14ac:dyDescent="0.3">
      <c r="A116" s="10" t="s">
        <v>23</v>
      </c>
      <c r="B116" s="10" t="s">
        <v>23</v>
      </c>
      <c r="C116" s="10" t="s">
        <v>23</v>
      </c>
      <c r="D116" s="10" t="s">
        <v>23</v>
      </c>
      <c r="E116" s="35" t="s">
        <v>23</v>
      </c>
      <c r="F116" s="22"/>
      <c r="G116" s="10" t="s">
        <v>23</v>
      </c>
      <c r="H116" s="10" t="s">
        <v>23</v>
      </c>
      <c r="I116" s="10" t="s">
        <v>23</v>
      </c>
      <c r="J116" s="10" t="s">
        <v>23</v>
      </c>
      <c r="K116" s="10" t="s">
        <v>23</v>
      </c>
      <c r="L116" s="35" t="s">
        <v>23</v>
      </c>
      <c r="M116" s="22"/>
      <c r="N116" s="10" t="s">
        <v>23</v>
      </c>
      <c r="O116" s="10" t="s">
        <v>23</v>
      </c>
      <c r="P116" s="10" t="s">
        <v>23</v>
      </c>
      <c r="Q116" s="35" t="s">
        <v>23</v>
      </c>
      <c r="R116" s="22"/>
    </row>
    <row r="117" spans="1:18" x14ac:dyDescent="0.3">
      <c r="A117" s="30" t="s">
        <v>193</v>
      </c>
      <c r="B117" s="22"/>
      <c r="C117" s="22"/>
      <c r="D117" s="22"/>
      <c r="E117" s="22"/>
      <c r="F117" s="22"/>
      <c r="G117" s="22"/>
      <c r="H117" s="22"/>
      <c r="I117" s="37">
        <v>37955.71</v>
      </c>
      <c r="J117" s="22"/>
      <c r="K117" s="9" t="s">
        <v>23</v>
      </c>
      <c r="L117" s="30" t="s">
        <v>23</v>
      </c>
      <c r="M117" s="22"/>
      <c r="N117" s="9" t="s">
        <v>23</v>
      </c>
      <c r="O117" s="38">
        <v>5446.75</v>
      </c>
      <c r="P117" s="22"/>
      <c r="Q117" s="22"/>
      <c r="R117" s="22"/>
    </row>
    <row r="118" spans="1:18" x14ac:dyDescent="0.3">
      <c r="A118" s="8" t="s">
        <v>23</v>
      </c>
      <c r="B118" s="8" t="s">
        <v>23</v>
      </c>
      <c r="C118" s="8" t="s">
        <v>23</v>
      </c>
      <c r="D118" s="8" t="s">
        <v>23</v>
      </c>
      <c r="E118" s="39" t="s">
        <v>23</v>
      </c>
      <c r="F118" s="22"/>
      <c r="G118" s="8" t="s">
        <v>23</v>
      </c>
      <c r="H118" s="8" t="s">
        <v>23</v>
      </c>
      <c r="I118" s="8" t="s">
        <v>23</v>
      </c>
      <c r="J118" s="8" t="s">
        <v>23</v>
      </c>
      <c r="K118" s="8" t="s">
        <v>23</v>
      </c>
      <c r="L118" s="39" t="s">
        <v>23</v>
      </c>
      <c r="M118" s="22"/>
      <c r="N118" s="8" t="s">
        <v>23</v>
      </c>
      <c r="O118" s="8" t="s">
        <v>23</v>
      </c>
      <c r="P118" s="8" t="s">
        <v>23</v>
      </c>
      <c r="Q118" s="40" t="s">
        <v>23</v>
      </c>
      <c r="R118" s="22"/>
    </row>
    <row r="119" spans="1:18" x14ac:dyDescent="0.3">
      <c r="A119" s="8" t="s">
        <v>23</v>
      </c>
      <c r="B119" s="8" t="s">
        <v>23</v>
      </c>
      <c r="C119" s="8" t="s">
        <v>23</v>
      </c>
      <c r="D119" s="8" t="s">
        <v>23</v>
      </c>
      <c r="E119" s="39" t="s">
        <v>23</v>
      </c>
      <c r="F119" s="22"/>
      <c r="G119" s="8" t="s">
        <v>23</v>
      </c>
      <c r="H119" s="8" t="s">
        <v>23</v>
      </c>
      <c r="I119" s="8" t="s">
        <v>23</v>
      </c>
      <c r="J119" s="8" t="s">
        <v>23</v>
      </c>
      <c r="K119" s="8" t="s">
        <v>23</v>
      </c>
      <c r="L119" s="39" t="s">
        <v>23</v>
      </c>
      <c r="M119" s="22"/>
      <c r="N119" s="8" t="s">
        <v>23</v>
      </c>
      <c r="O119" s="8" t="s">
        <v>23</v>
      </c>
      <c r="P119" s="8" t="s">
        <v>23</v>
      </c>
      <c r="Q119" s="40" t="s">
        <v>23</v>
      </c>
      <c r="R119" s="22"/>
    </row>
    <row r="120" spans="1:18" x14ac:dyDescent="0.3">
      <c r="A120" s="30" t="s">
        <v>192</v>
      </c>
      <c r="B120" s="22"/>
      <c r="C120" s="22"/>
      <c r="D120" s="22"/>
      <c r="E120" s="22"/>
      <c r="F120" s="22"/>
      <c r="G120" s="22"/>
      <c r="H120" s="22"/>
      <c r="I120" s="13" t="s">
        <v>23</v>
      </c>
      <c r="J120" s="13" t="s">
        <v>23</v>
      </c>
      <c r="K120" s="13" t="s">
        <v>23</v>
      </c>
      <c r="L120" s="33" t="s">
        <v>23</v>
      </c>
      <c r="M120" s="22"/>
      <c r="N120" s="13" t="s">
        <v>23</v>
      </c>
      <c r="O120" s="13" t="s">
        <v>23</v>
      </c>
      <c r="P120" s="13" t="s">
        <v>23</v>
      </c>
      <c r="Q120" s="33" t="s">
        <v>23</v>
      </c>
      <c r="R120" s="22"/>
    </row>
    <row r="121" spans="1:18" ht="20.399999999999999" x14ac:dyDescent="0.3">
      <c r="A121" s="12" t="s">
        <v>97</v>
      </c>
      <c r="B121" s="12" t="s">
        <v>96</v>
      </c>
      <c r="C121" s="12" t="s">
        <v>95</v>
      </c>
      <c r="D121" s="12" t="s">
        <v>94</v>
      </c>
      <c r="E121" s="34" t="s">
        <v>93</v>
      </c>
      <c r="F121" s="19"/>
      <c r="G121" s="12" t="s">
        <v>92</v>
      </c>
      <c r="H121" s="12" t="s">
        <v>91</v>
      </c>
      <c r="I121" s="12" t="s">
        <v>90</v>
      </c>
      <c r="J121" s="12" t="s">
        <v>89</v>
      </c>
      <c r="K121" s="12" t="s">
        <v>88</v>
      </c>
      <c r="L121" s="34" t="s">
        <v>87</v>
      </c>
      <c r="M121" s="19"/>
      <c r="N121" s="12" t="s">
        <v>86</v>
      </c>
      <c r="O121" s="12" t="s">
        <v>85</v>
      </c>
      <c r="P121" s="12" t="s">
        <v>84</v>
      </c>
      <c r="Q121" s="34" t="s">
        <v>83</v>
      </c>
      <c r="R121" s="19"/>
    </row>
    <row r="122" spans="1:18" x14ac:dyDescent="0.3">
      <c r="A122" s="10" t="s">
        <v>23</v>
      </c>
      <c r="B122" s="10" t="s">
        <v>23</v>
      </c>
      <c r="C122" s="10" t="s">
        <v>23</v>
      </c>
      <c r="D122" s="10" t="s">
        <v>23</v>
      </c>
      <c r="E122" s="35" t="s">
        <v>23</v>
      </c>
      <c r="F122" s="22"/>
      <c r="G122" s="10" t="s">
        <v>23</v>
      </c>
      <c r="H122" s="10" t="s">
        <v>23</v>
      </c>
      <c r="I122" s="10" t="s">
        <v>23</v>
      </c>
      <c r="J122" s="10" t="s">
        <v>23</v>
      </c>
      <c r="K122" s="10" t="s">
        <v>23</v>
      </c>
      <c r="L122" s="35" t="s">
        <v>23</v>
      </c>
      <c r="M122" s="22"/>
      <c r="N122" s="10" t="s">
        <v>23</v>
      </c>
      <c r="O122" s="10" t="s">
        <v>23</v>
      </c>
      <c r="P122" s="10" t="s">
        <v>23</v>
      </c>
      <c r="Q122" s="35" t="s">
        <v>23</v>
      </c>
      <c r="R122" s="22"/>
    </row>
    <row r="123" spans="1:18" x14ac:dyDescent="0.3">
      <c r="A123" s="2" t="s">
        <v>191</v>
      </c>
      <c r="B123" s="2" t="s">
        <v>190</v>
      </c>
      <c r="C123" s="2" t="s">
        <v>80</v>
      </c>
      <c r="D123" s="2" t="s">
        <v>79</v>
      </c>
      <c r="E123" s="18" t="s">
        <v>23</v>
      </c>
      <c r="F123" s="19"/>
      <c r="G123" s="2" t="s">
        <v>78</v>
      </c>
      <c r="H123" s="4">
        <v>46113</v>
      </c>
      <c r="I123" s="3">
        <v>18.14</v>
      </c>
      <c r="J123" s="2" t="s">
        <v>23</v>
      </c>
      <c r="K123" s="2" t="s">
        <v>77</v>
      </c>
      <c r="L123" s="18"/>
      <c r="M123" s="19"/>
      <c r="N123" s="2">
        <v>1</v>
      </c>
      <c r="O123" s="3">
        <v>23</v>
      </c>
      <c r="P123" s="11">
        <v>1</v>
      </c>
      <c r="Q123" s="36">
        <v>23</v>
      </c>
      <c r="R123" s="19"/>
    </row>
    <row r="124" spans="1:18" x14ac:dyDescent="0.3">
      <c r="A124" s="2" t="s">
        <v>189</v>
      </c>
      <c r="B124" s="2" t="s">
        <v>188</v>
      </c>
      <c r="C124" s="2" t="s">
        <v>80</v>
      </c>
      <c r="D124" s="2" t="s">
        <v>79</v>
      </c>
      <c r="E124" s="18" t="s">
        <v>23</v>
      </c>
      <c r="F124" s="19"/>
      <c r="G124" s="2" t="s">
        <v>78</v>
      </c>
      <c r="H124" s="4">
        <v>46113</v>
      </c>
      <c r="I124" s="3">
        <v>178.56</v>
      </c>
      <c r="J124" s="2" t="s">
        <v>23</v>
      </c>
      <c r="K124" s="2" t="s">
        <v>77</v>
      </c>
      <c r="L124" s="18"/>
      <c r="M124" s="19"/>
      <c r="N124" s="2">
        <v>1</v>
      </c>
      <c r="O124" s="3">
        <v>23</v>
      </c>
      <c r="P124" s="11">
        <v>1</v>
      </c>
      <c r="Q124" s="36">
        <v>23</v>
      </c>
      <c r="R124" s="19"/>
    </row>
    <row r="125" spans="1:18" x14ac:dyDescent="0.3">
      <c r="A125" s="2" t="s">
        <v>187</v>
      </c>
      <c r="B125" s="2" t="s">
        <v>186</v>
      </c>
      <c r="C125" s="2" t="s">
        <v>80</v>
      </c>
      <c r="D125" s="2" t="s">
        <v>79</v>
      </c>
      <c r="E125" s="18" t="s">
        <v>23</v>
      </c>
      <c r="F125" s="19"/>
      <c r="G125" s="2" t="s">
        <v>78</v>
      </c>
      <c r="H125" s="4">
        <v>46113</v>
      </c>
      <c r="I125" s="3">
        <v>131.12</v>
      </c>
      <c r="J125" s="2" t="s">
        <v>23</v>
      </c>
      <c r="K125" s="2" t="s">
        <v>77</v>
      </c>
      <c r="L125" s="18"/>
      <c r="M125" s="19"/>
      <c r="N125" s="2">
        <v>3</v>
      </c>
      <c r="O125" s="3">
        <v>23</v>
      </c>
      <c r="P125" s="11">
        <v>1</v>
      </c>
      <c r="Q125" s="36">
        <v>69</v>
      </c>
      <c r="R125" s="19"/>
    </row>
    <row r="126" spans="1:18" x14ac:dyDescent="0.3">
      <c r="A126" s="2" t="s">
        <v>185</v>
      </c>
      <c r="B126" s="2" t="s">
        <v>184</v>
      </c>
      <c r="C126" s="2" t="s">
        <v>80</v>
      </c>
      <c r="D126" s="2" t="s">
        <v>79</v>
      </c>
      <c r="E126" s="18" t="s">
        <v>23</v>
      </c>
      <c r="F126" s="19"/>
      <c r="G126" s="2" t="s">
        <v>78</v>
      </c>
      <c r="H126" s="4">
        <v>46113</v>
      </c>
      <c r="I126" s="3">
        <v>194.66</v>
      </c>
      <c r="J126" s="2" t="s">
        <v>23</v>
      </c>
      <c r="K126" s="2" t="s">
        <v>77</v>
      </c>
      <c r="L126" s="18"/>
      <c r="M126" s="19"/>
      <c r="N126" s="2">
        <v>1</v>
      </c>
      <c r="O126" s="3">
        <v>23</v>
      </c>
      <c r="P126" s="11">
        <v>1</v>
      </c>
      <c r="Q126" s="36">
        <v>23</v>
      </c>
      <c r="R126" s="19"/>
    </row>
    <row r="127" spans="1:18" x14ac:dyDescent="0.3">
      <c r="A127" s="2" t="s">
        <v>183</v>
      </c>
      <c r="B127" s="2" t="s">
        <v>182</v>
      </c>
      <c r="C127" s="2" t="s">
        <v>80</v>
      </c>
      <c r="D127" s="2" t="s">
        <v>79</v>
      </c>
      <c r="E127" s="18" t="s">
        <v>23</v>
      </c>
      <c r="F127" s="19"/>
      <c r="G127" s="2" t="s">
        <v>78</v>
      </c>
      <c r="H127" s="4">
        <v>46113</v>
      </c>
      <c r="I127" s="3">
        <v>431.96</v>
      </c>
      <c r="J127" s="2" t="s">
        <v>23</v>
      </c>
      <c r="K127" s="2" t="s">
        <v>77</v>
      </c>
      <c r="L127" s="18"/>
      <c r="M127" s="19"/>
      <c r="N127" s="2">
        <v>2</v>
      </c>
      <c r="O127" s="3">
        <v>23</v>
      </c>
      <c r="P127" s="11">
        <v>1</v>
      </c>
      <c r="Q127" s="36">
        <v>46</v>
      </c>
      <c r="R127" s="19"/>
    </row>
    <row r="128" spans="1:18" x14ac:dyDescent="0.3">
      <c r="A128" s="2" t="s">
        <v>181</v>
      </c>
      <c r="B128" s="2" t="s">
        <v>180</v>
      </c>
      <c r="C128" s="2" t="s">
        <v>80</v>
      </c>
      <c r="D128" s="2" t="s">
        <v>79</v>
      </c>
      <c r="E128" s="18" t="s">
        <v>23</v>
      </c>
      <c r="F128" s="19"/>
      <c r="G128" s="2" t="s">
        <v>78</v>
      </c>
      <c r="H128" s="4">
        <v>46113</v>
      </c>
      <c r="I128" s="3">
        <v>332.94</v>
      </c>
      <c r="J128" s="2" t="s">
        <v>23</v>
      </c>
      <c r="K128" s="2" t="s">
        <v>77</v>
      </c>
      <c r="L128" s="18"/>
      <c r="M128" s="19"/>
      <c r="N128" s="2">
        <v>1</v>
      </c>
      <c r="O128" s="3">
        <v>23</v>
      </c>
      <c r="P128" s="11">
        <v>1</v>
      </c>
      <c r="Q128" s="36">
        <v>23</v>
      </c>
      <c r="R128" s="19"/>
    </row>
    <row r="129" spans="1:18" x14ac:dyDescent="0.3">
      <c r="A129" s="2" t="s">
        <v>179</v>
      </c>
      <c r="B129" s="2" t="s">
        <v>178</v>
      </c>
      <c r="C129" s="2" t="s">
        <v>80</v>
      </c>
      <c r="D129" s="2" t="s">
        <v>79</v>
      </c>
      <c r="E129" s="18" t="s">
        <v>23</v>
      </c>
      <c r="F129" s="19"/>
      <c r="G129" s="2" t="s">
        <v>78</v>
      </c>
      <c r="H129" s="4">
        <v>46113</v>
      </c>
      <c r="I129" s="3">
        <v>1</v>
      </c>
      <c r="J129" s="2" t="s">
        <v>23</v>
      </c>
      <c r="K129" s="2" t="s">
        <v>77</v>
      </c>
      <c r="L129" s="18"/>
      <c r="M129" s="19"/>
      <c r="N129" s="2">
        <v>1</v>
      </c>
      <c r="O129" s="3">
        <v>23</v>
      </c>
      <c r="P129" s="11">
        <v>1</v>
      </c>
      <c r="Q129" s="36">
        <v>23</v>
      </c>
      <c r="R129" s="19"/>
    </row>
    <row r="130" spans="1:18" x14ac:dyDescent="0.3">
      <c r="A130" s="2" t="s">
        <v>177</v>
      </c>
      <c r="B130" s="2" t="s">
        <v>176</v>
      </c>
      <c r="C130" s="2" t="s">
        <v>80</v>
      </c>
      <c r="D130" s="2" t="s">
        <v>79</v>
      </c>
      <c r="E130" s="18" t="s">
        <v>23</v>
      </c>
      <c r="F130" s="19"/>
      <c r="G130" s="2" t="s">
        <v>78</v>
      </c>
      <c r="H130" s="4">
        <v>46113</v>
      </c>
      <c r="I130" s="3">
        <v>130.55000000000001</v>
      </c>
      <c r="J130" s="2" t="s">
        <v>23</v>
      </c>
      <c r="K130" s="2" t="s">
        <v>77</v>
      </c>
      <c r="L130" s="18"/>
      <c r="M130" s="19"/>
      <c r="N130" s="2">
        <v>1</v>
      </c>
      <c r="O130" s="3">
        <v>23</v>
      </c>
      <c r="P130" s="11">
        <v>1</v>
      </c>
      <c r="Q130" s="36">
        <v>23</v>
      </c>
      <c r="R130" s="19"/>
    </row>
    <row r="131" spans="1:18" x14ac:dyDescent="0.3">
      <c r="A131" s="2" t="s">
        <v>175</v>
      </c>
      <c r="B131" s="2" t="s">
        <v>174</v>
      </c>
      <c r="C131" s="2" t="s">
        <v>80</v>
      </c>
      <c r="D131" s="2" t="s">
        <v>79</v>
      </c>
      <c r="E131" s="18" t="s">
        <v>23</v>
      </c>
      <c r="F131" s="19"/>
      <c r="G131" s="2" t="s">
        <v>78</v>
      </c>
      <c r="H131" s="4">
        <v>46113</v>
      </c>
      <c r="I131" s="3">
        <v>2.48</v>
      </c>
      <c r="J131" s="2" t="s">
        <v>23</v>
      </c>
      <c r="K131" s="2" t="s">
        <v>77</v>
      </c>
      <c r="L131" s="18"/>
      <c r="M131" s="19"/>
      <c r="N131" s="2">
        <v>2</v>
      </c>
      <c r="O131" s="3">
        <v>23</v>
      </c>
      <c r="P131" s="11">
        <v>1</v>
      </c>
      <c r="Q131" s="36">
        <v>46</v>
      </c>
      <c r="R131" s="19"/>
    </row>
    <row r="132" spans="1:18" x14ac:dyDescent="0.3">
      <c r="A132" s="2" t="s">
        <v>173</v>
      </c>
      <c r="B132" s="2" t="s">
        <v>172</v>
      </c>
      <c r="C132" s="2" t="s">
        <v>80</v>
      </c>
      <c r="D132" s="2" t="s">
        <v>79</v>
      </c>
      <c r="E132" s="18" t="s">
        <v>23</v>
      </c>
      <c r="F132" s="19"/>
      <c r="G132" s="2" t="s">
        <v>78</v>
      </c>
      <c r="H132" s="4">
        <v>46082</v>
      </c>
      <c r="I132" s="3">
        <v>164.71</v>
      </c>
      <c r="J132" s="2" t="s">
        <v>23</v>
      </c>
      <c r="K132" s="2" t="s">
        <v>77</v>
      </c>
      <c r="L132" s="18"/>
      <c r="M132" s="19"/>
      <c r="N132" s="2">
        <v>1</v>
      </c>
      <c r="O132" s="3">
        <v>23</v>
      </c>
      <c r="P132" s="11">
        <v>1</v>
      </c>
      <c r="Q132" s="36">
        <v>23</v>
      </c>
      <c r="R132" s="19"/>
    </row>
    <row r="133" spans="1:18" x14ac:dyDescent="0.3">
      <c r="A133" s="2" t="s">
        <v>171</v>
      </c>
      <c r="B133" s="2" t="s">
        <v>170</v>
      </c>
      <c r="C133" s="2" t="s">
        <v>80</v>
      </c>
      <c r="D133" s="2" t="s">
        <v>79</v>
      </c>
      <c r="E133" s="18" t="s">
        <v>23</v>
      </c>
      <c r="F133" s="19"/>
      <c r="G133" s="2" t="s">
        <v>78</v>
      </c>
      <c r="H133" s="4">
        <v>46113</v>
      </c>
      <c r="I133" s="3">
        <v>1228.1600000000001</v>
      </c>
      <c r="J133" s="2" t="s">
        <v>23</v>
      </c>
      <c r="K133" s="2" t="s">
        <v>77</v>
      </c>
      <c r="L133" s="18"/>
      <c r="M133" s="19"/>
      <c r="N133" s="2">
        <v>2</v>
      </c>
      <c r="O133" s="3">
        <v>23</v>
      </c>
      <c r="P133" s="11">
        <v>1</v>
      </c>
      <c r="Q133" s="36">
        <v>46</v>
      </c>
      <c r="R133" s="19"/>
    </row>
    <row r="134" spans="1:18" x14ac:dyDescent="0.3">
      <c r="A134" s="2" t="s">
        <v>169</v>
      </c>
      <c r="B134" s="2" t="s">
        <v>168</v>
      </c>
      <c r="C134" s="2" t="s">
        <v>80</v>
      </c>
      <c r="D134" s="2" t="s">
        <v>79</v>
      </c>
      <c r="E134" s="18" t="s">
        <v>23</v>
      </c>
      <c r="F134" s="19"/>
      <c r="G134" s="2" t="s">
        <v>78</v>
      </c>
      <c r="H134" s="4">
        <v>46082</v>
      </c>
      <c r="I134" s="3">
        <v>90.1</v>
      </c>
      <c r="J134" s="2" t="s">
        <v>23</v>
      </c>
      <c r="K134" s="2" t="s">
        <v>77</v>
      </c>
      <c r="L134" s="18"/>
      <c r="M134" s="19"/>
      <c r="N134" s="2">
        <v>1</v>
      </c>
      <c r="O134" s="3">
        <v>23</v>
      </c>
      <c r="P134" s="11">
        <v>1</v>
      </c>
      <c r="Q134" s="36">
        <v>23</v>
      </c>
      <c r="R134" s="19"/>
    </row>
    <row r="135" spans="1:18" x14ac:dyDescent="0.3">
      <c r="A135" s="2" t="s">
        <v>167</v>
      </c>
      <c r="B135" s="2" t="s">
        <v>166</v>
      </c>
      <c r="C135" s="2" t="s">
        <v>80</v>
      </c>
      <c r="D135" s="2" t="s">
        <v>79</v>
      </c>
      <c r="E135" s="18" t="s">
        <v>23</v>
      </c>
      <c r="F135" s="19"/>
      <c r="G135" s="2" t="s">
        <v>78</v>
      </c>
      <c r="H135" s="4">
        <v>46113</v>
      </c>
      <c r="I135" s="3">
        <v>415.65</v>
      </c>
      <c r="J135" s="2" t="s">
        <v>23</v>
      </c>
      <c r="K135" s="2" t="s">
        <v>77</v>
      </c>
      <c r="L135" s="18"/>
      <c r="M135" s="19"/>
      <c r="N135" s="2">
        <v>2</v>
      </c>
      <c r="O135" s="3">
        <v>23</v>
      </c>
      <c r="P135" s="11">
        <v>1</v>
      </c>
      <c r="Q135" s="36">
        <v>46</v>
      </c>
      <c r="R135" s="19"/>
    </row>
    <row r="136" spans="1:18" x14ac:dyDescent="0.3">
      <c r="A136" s="2" t="s">
        <v>165</v>
      </c>
      <c r="B136" s="2" t="s">
        <v>164</v>
      </c>
      <c r="C136" s="2" t="s">
        <v>80</v>
      </c>
      <c r="D136" s="2" t="s">
        <v>79</v>
      </c>
      <c r="E136" s="18" t="s">
        <v>23</v>
      </c>
      <c r="F136" s="19"/>
      <c r="G136" s="2" t="s">
        <v>78</v>
      </c>
      <c r="H136" s="4">
        <v>46113</v>
      </c>
      <c r="I136" s="3">
        <v>392.5</v>
      </c>
      <c r="J136" s="2" t="s">
        <v>23</v>
      </c>
      <c r="K136" s="2" t="s">
        <v>77</v>
      </c>
      <c r="L136" s="18"/>
      <c r="M136" s="19"/>
      <c r="N136" s="2">
        <v>1</v>
      </c>
      <c r="O136" s="3">
        <v>23</v>
      </c>
      <c r="P136" s="11">
        <v>1</v>
      </c>
      <c r="Q136" s="36">
        <v>23</v>
      </c>
      <c r="R136" s="19"/>
    </row>
    <row r="137" spans="1:18" x14ac:dyDescent="0.3">
      <c r="A137" s="2" t="s">
        <v>163</v>
      </c>
      <c r="B137" s="2" t="s">
        <v>162</v>
      </c>
      <c r="C137" s="2" t="s">
        <v>80</v>
      </c>
      <c r="D137" s="2" t="s">
        <v>79</v>
      </c>
      <c r="E137" s="18" t="s">
        <v>23</v>
      </c>
      <c r="F137" s="19"/>
      <c r="G137" s="2" t="s">
        <v>78</v>
      </c>
      <c r="H137" s="4">
        <v>46113</v>
      </c>
      <c r="I137" s="3">
        <v>185.58</v>
      </c>
      <c r="J137" s="2" t="s">
        <v>23</v>
      </c>
      <c r="K137" s="2" t="s">
        <v>77</v>
      </c>
      <c r="L137" s="18"/>
      <c r="M137" s="19"/>
      <c r="N137" s="2">
        <v>1</v>
      </c>
      <c r="O137" s="3">
        <v>23</v>
      </c>
      <c r="P137" s="11">
        <v>1</v>
      </c>
      <c r="Q137" s="36">
        <v>23</v>
      </c>
      <c r="R137" s="19"/>
    </row>
    <row r="138" spans="1:18" x14ac:dyDescent="0.3">
      <c r="A138" s="2" t="s">
        <v>161</v>
      </c>
      <c r="B138" s="2" t="s">
        <v>160</v>
      </c>
      <c r="C138" s="2" t="s">
        <v>80</v>
      </c>
      <c r="D138" s="2" t="s">
        <v>79</v>
      </c>
      <c r="E138" s="18" t="s">
        <v>23</v>
      </c>
      <c r="F138" s="19"/>
      <c r="G138" s="2" t="s">
        <v>78</v>
      </c>
      <c r="H138" s="4">
        <v>46113</v>
      </c>
      <c r="I138" s="3">
        <v>2.77</v>
      </c>
      <c r="J138" s="2" t="s">
        <v>23</v>
      </c>
      <c r="K138" s="2" t="s">
        <v>77</v>
      </c>
      <c r="L138" s="18"/>
      <c r="M138" s="19"/>
      <c r="N138" s="2">
        <v>1</v>
      </c>
      <c r="O138" s="3">
        <v>23</v>
      </c>
      <c r="P138" s="11">
        <v>1</v>
      </c>
      <c r="Q138" s="36">
        <v>23</v>
      </c>
      <c r="R138" s="19"/>
    </row>
    <row r="139" spans="1:18" x14ac:dyDescent="0.3">
      <c r="A139" s="2" t="s">
        <v>159</v>
      </c>
      <c r="B139" s="2" t="s">
        <v>158</v>
      </c>
      <c r="C139" s="2" t="s">
        <v>80</v>
      </c>
      <c r="D139" s="2" t="s">
        <v>79</v>
      </c>
      <c r="E139" s="18" t="s">
        <v>23</v>
      </c>
      <c r="F139" s="19"/>
      <c r="G139" s="2" t="s">
        <v>78</v>
      </c>
      <c r="H139" s="4">
        <v>46113</v>
      </c>
      <c r="I139" s="3">
        <v>141.18</v>
      </c>
      <c r="J139" s="2" t="s">
        <v>23</v>
      </c>
      <c r="K139" s="2" t="s">
        <v>77</v>
      </c>
      <c r="L139" s="18"/>
      <c r="M139" s="19"/>
      <c r="N139" s="2">
        <v>1</v>
      </c>
      <c r="O139" s="3">
        <v>23</v>
      </c>
      <c r="P139" s="11">
        <v>1</v>
      </c>
      <c r="Q139" s="36">
        <v>23</v>
      </c>
      <c r="R139" s="19"/>
    </row>
    <row r="140" spans="1:18" x14ac:dyDescent="0.3">
      <c r="A140" s="2" t="s">
        <v>157</v>
      </c>
      <c r="B140" s="2" t="s">
        <v>156</v>
      </c>
      <c r="C140" s="2" t="s">
        <v>80</v>
      </c>
      <c r="D140" s="2" t="s">
        <v>79</v>
      </c>
      <c r="E140" s="18" t="s">
        <v>23</v>
      </c>
      <c r="F140" s="19"/>
      <c r="G140" s="2" t="s">
        <v>78</v>
      </c>
      <c r="H140" s="4">
        <v>46113</v>
      </c>
      <c r="I140" s="3">
        <v>65.58</v>
      </c>
      <c r="J140" s="2" t="s">
        <v>23</v>
      </c>
      <c r="K140" s="2" t="s">
        <v>77</v>
      </c>
      <c r="L140" s="18"/>
      <c r="M140" s="19"/>
      <c r="N140" s="2">
        <v>1</v>
      </c>
      <c r="O140" s="3">
        <v>23</v>
      </c>
      <c r="P140" s="11">
        <v>1</v>
      </c>
      <c r="Q140" s="36">
        <v>23</v>
      </c>
      <c r="R140" s="19"/>
    </row>
    <row r="141" spans="1:18" x14ac:dyDescent="0.3">
      <c r="A141" s="2" t="s">
        <v>155</v>
      </c>
      <c r="B141" s="2" t="s">
        <v>154</v>
      </c>
      <c r="C141" s="2" t="s">
        <v>80</v>
      </c>
      <c r="D141" s="2" t="s">
        <v>79</v>
      </c>
      <c r="E141" s="18" t="s">
        <v>23</v>
      </c>
      <c r="F141" s="19"/>
      <c r="G141" s="2" t="s">
        <v>78</v>
      </c>
      <c r="H141" s="4">
        <v>46113</v>
      </c>
      <c r="I141" s="3">
        <v>1</v>
      </c>
      <c r="J141" s="2" t="s">
        <v>23</v>
      </c>
      <c r="K141" s="2" t="s">
        <v>77</v>
      </c>
      <c r="L141" s="18"/>
      <c r="M141" s="19"/>
      <c r="N141" s="2">
        <v>1</v>
      </c>
      <c r="O141" s="3">
        <v>23</v>
      </c>
      <c r="P141" s="11">
        <v>1</v>
      </c>
      <c r="Q141" s="36">
        <v>23</v>
      </c>
      <c r="R141" s="19"/>
    </row>
    <row r="142" spans="1:18" x14ac:dyDescent="0.3">
      <c r="A142" s="2" t="s">
        <v>153</v>
      </c>
      <c r="B142" s="2" t="s">
        <v>152</v>
      </c>
      <c r="C142" s="2" t="s">
        <v>80</v>
      </c>
      <c r="D142" s="2" t="s">
        <v>79</v>
      </c>
      <c r="E142" s="18" t="s">
        <v>23</v>
      </c>
      <c r="F142" s="19"/>
      <c r="G142" s="2" t="s">
        <v>78</v>
      </c>
      <c r="H142" s="4">
        <v>46113</v>
      </c>
      <c r="I142" s="3">
        <v>152.15</v>
      </c>
      <c r="J142" s="2" t="s">
        <v>23</v>
      </c>
      <c r="K142" s="2" t="s">
        <v>77</v>
      </c>
      <c r="L142" s="18"/>
      <c r="M142" s="19"/>
      <c r="N142" s="2">
        <v>3</v>
      </c>
      <c r="O142" s="3">
        <v>23</v>
      </c>
      <c r="P142" s="11">
        <v>1</v>
      </c>
      <c r="Q142" s="36">
        <v>69</v>
      </c>
      <c r="R142" s="19"/>
    </row>
    <row r="143" spans="1:18" x14ac:dyDescent="0.3">
      <c r="A143" s="10" t="s">
        <v>23</v>
      </c>
      <c r="B143" s="10" t="s">
        <v>23</v>
      </c>
      <c r="C143" s="10" t="s">
        <v>23</v>
      </c>
      <c r="D143" s="10" t="s">
        <v>23</v>
      </c>
      <c r="E143" s="35" t="s">
        <v>23</v>
      </c>
      <c r="F143" s="22"/>
      <c r="G143" s="10" t="s">
        <v>23</v>
      </c>
      <c r="H143" s="10" t="s">
        <v>23</v>
      </c>
      <c r="I143" s="10" t="s">
        <v>23</v>
      </c>
      <c r="J143" s="10" t="s">
        <v>23</v>
      </c>
      <c r="K143" s="10" t="s">
        <v>23</v>
      </c>
      <c r="L143" s="35" t="s">
        <v>23</v>
      </c>
      <c r="M143" s="22"/>
      <c r="N143" s="10" t="s">
        <v>23</v>
      </c>
      <c r="O143" s="10" t="s">
        <v>23</v>
      </c>
      <c r="P143" s="10" t="s">
        <v>23</v>
      </c>
      <c r="Q143" s="35" t="s">
        <v>23</v>
      </c>
      <c r="R143" s="22"/>
    </row>
    <row r="144" spans="1:18" x14ac:dyDescent="0.3">
      <c r="A144" s="30" t="s">
        <v>151</v>
      </c>
      <c r="B144" s="22"/>
      <c r="C144" s="22"/>
      <c r="D144" s="22"/>
      <c r="E144" s="22"/>
      <c r="F144" s="22"/>
      <c r="G144" s="22"/>
      <c r="H144" s="22"/>
      <c r="I144" s="37">
        <v>4260.79</v>
      </c>
      <c r="J144" s="22"/>
      <c r="K144" s="9" t="s">
        <v>23</v>
      </c>
      <c r="L144" s="30" t="s">
        <v>23</v>
      </c>
      <c r="M144" s="22"/>
      <c r="N144" s="9" t="s">
        <v>23</v>
      </c>
      <c r="O144" s="38">
        <v>644</v>
      </c>
      <c r="P144" s="22"/>
      <c r="Q144" s="22"/>
      <c r="R144" s="22"/>
    </row>
    <row r="145" spans="1:18" x14ac:dyDescent="0.3">
      <c r="A145" s="8" t="s">
        <v>23</v>
      </c>
      <c r="B145" s="8" t="s">
        <v>23</v>
      </c>
      <c r="C145" s="8" t="s">
        <v>23</v>
      </c>
      <c r="D145" s="8" t="s">
        <v>23</v>
      </c>
      <c r="E145" s="39" t="s">
        <v>23</v>
      </c>
      <c r="F145" s="22"/>
      <c r="G145" s="8" t="s">
        <v>23</v>
      </c>
      <c r="H145" s="8" t="s">
        <v>23</v>
      </c>
      <c r="I145" s="8" t="s">
        <v>23</v>
      </c>
      <c r="J145" s="8" t="s">
        <v>23</v>
      </c>
      <c r="K145" s="8" t="s">
        <v>23</v>
      </c>
      <c r="L145" s="39" t="s">
        <v>23</v>
      </c>
      <c r="M145" s="22"/>
      <c r="N145" s="8" t="s">
        <v>23</v>
      </c>
      <c r="O145" s="8" t="s">
        <v>23</v>
      </c>
      <c r="P145" s="8" t="s">
        <v>23</v>
      </c>
      <c r="Q145" s="40" t="s">
        <v>23</v>
      </c>
      <c r="R145" s="22"/>
    </row>
    <row r="146" spans="1:18" x14ac:dyDescent="0.3">
      <c r="A146" s="8" t="s">
        <v>23</v>
      </c>
      <c r="B146" s="8" t="s">
        <v>23</v>
      </c>
      <c r="C146" s="8" t="s">
        <v>23</v>
      </c>
      <c r="D146" s="8" t="s">
        <v>23</v>
      </c>
      <c r="E146" s="39" t="s">
        <v>23</v>
      </c>
      <c r="F146" s="22"/>
      <c r="G146" s="8" t="s">
        <v>23</v>
      </c>
      <c r="H146" s="8" t="s">
        <v>23</v>
      </c>
      <c r="I146" s="8" t="s">
        <v>23</v>
      </c>
      <c r="J146" s="8" t="s">
        <v>23</v>
      </c>
      <c r="K146" s="8" t="s">
        <v>23</v>
      </c>
      <c r="L146" s="39" t="s">
        <v>23</v>
      </c>
      <c r="M146" s="22"/>
      <c r="N146" s="8" t="s">
        <v>23</v>
      </c>
      <c r="O146" s="8" t="s">
        <v>23</v>
      </c>
      <c r="P146" s="8" t="s">
        <v>23</v>
      </c>
      <c r="Q146" s="40" t="s">
        <v>23</v>
      </c>
      <c r="R146" s="22"/>
    </row>
    <row r="147" spans="1:18" x14ac:dyDescent="0.3">
      <c r="A147" s="30" t="s">
        <v>150</v>
      </c>
      <c r="B147" s="22"/>
      <c r="C147" s="22"/>
      <c r="D147" s="22"/>
      <c r="E147" s="22"/>
      <c r="F147" s="22"/>
      <c r="G147" s="22"/>
      <c r="H147" s="22"/>
      <c r="I147" s="13" t="s">
        <v>23</v>
      </c>
      <c r="J147" s="13" t="s">
        <v>23</v>
      </c>
      <c r="K147" s="13" t="s">
        <v>23</v>
      </c>
      <c r="L147" s="33" t="s">
        <v>23</v>
      </c>
      <c r="M147" s="22"/>
      <c r="N147" s="13" t="s">
        <v>23</v>
      </c>
      <c r="O147" s="13" t="s">
        <v>23</v>
      </c>
      <c r="P147" s="13" t="s">
        <v>23</v>
      </c>
      <c r="Q147" s="33" t="s">
        <v>23</v>
      </c>
      <c r="R147" s="22"/>
    </row>
    <row r="148" spans="1:18" ht="20.399999999999999" x14ac:dyDescent="0.3">
      <c r="A148" s="12" t="s">
        <v>97</v>
      </c>
      <c r="B148" s="12" t="s">
        <v>96</v>
      </c>
      <c r="C148" s="12" t="s">
        <v>95</v>
      </c>
      <c r="D148" s="12" t="s">
        <v>94</v>
      </c>
      <c r="E148" s="34" t="s">
        <v>93</v>
      </c>
      <c r="F148" s="19"/>
      <c r="G148" s="12" t="s">
        <v>92</v>
      </c>
      <c r="H148" s="12" t="s">
        <v>91</v>
      </c>
      <c r="I148" s="12" t="s">
        <v>90</v>
      </c>
      <c r="J148" s="12" t="s">
        <v>89</v>
      </c>
      <c r="K148" s="12" t="s">
        <v>88</v>
      </c>
      <c r="L148" s="34" t="s">
        <v>87</v>
      </c>
      <c r="M148" s="19"/>
      <c r="N148" s="12" t="s">
        <v>86</v>
      </c>
      <c r="O148" s="12" t="s">
        <v>85</v>
      </c>
      <c r="P148" s="12" t="s">
        <v>84</v>
      </c>
      <c r="Q148" s="34" t="s">
        <v>83</v>
      </c>
      <c r="R148" s="19"/>
    </row>
    <row r="149" spans="1:18" x14ac:dyDescent="0.3">
      <c r="A149" s="10" t="s">
        <v>23</v>
      </c>
      <c r="B149" s="10" t="s">
        <v>23</v>
      </c>
      <c r="C149" s="10" t="s">
        <v>23</v>
      </c>
      <c r="D149" s="10" t="s">
        <v>23</v>
      </c>
      <c r="E149" s="35" t="s">
        <v>23</v>
      </c>
      <c r="F149" s="22"/>
      <c r="G149" s="10" t="s">
        <v>23</v>
      </c>
      <c r="H149" s="10" t="s">
        <v>23</v>
      </c>
      <c r="I149" s="10" t="s">
        <v>23</v>
      </c>
      <c r="J149" s="10" t="s">
        <v>23</v>
      </c>
      <c r="K149" s="10" t="s">
        <v>23</v>
      </c>
      <c r="L149" s="35" t="s">
        <v>23</v>
      </c>
      <c r="M149" s="22"/>
      <c r="N149" s="10" t="s">
        <v>23</v>
      </c>
      <c r="O149" s="10" t="s">
        <v>23</v>
      </c>
      <c r="P149" s="10" t="s">
        <v>23</v>
      </c>
      <c r="Q149" s="35" t="s">
        <v>23</v>
      </c>
      <c r="R149" s="22"/>
    </row>
    <row r="150" spans="1:18" x14ac:dyDescent="0.3">
      <c r="A150" s="2"/>
      <c r="B150" s="2" t="s">
        <v>149</v>
      </c>
      <c r="C150" s="2"/>
      <c r="D150" s="5"/>
      <c r="E150" s="41" t="s">
        <v>93</v>
      </c>
      <c r="F150" s="19"/>
      <c r="G150" s="2" t="s">
        <v>148</v>
      </c>
      <c r="H150" s="18" t="s">
        <v>147</v>
      </c>
      <c r="I150" s="42"/>
      <c r="J150" s="42"/>
      <c r="K150" s="42"/>
      <c r="L150" s="42"/>
      <c r="M150" s="42"/>
      <c r="N150" s="42"/>
      <c r="O150" s="42"/>
      <c r="P150" s="19"/>
      <c r="Q150" s="36">
        <v>14.45</v>
      </c>
      <c r="R150" s="19"/>
    </row>
    <row r="151" spans="1:18" x14ac:dyDescent="0.3">
      <c r="A151" s="2" t="s">
        <v>146</v>
      </c>
      <c r="B151" s="2" t="s">
        <v>145</v>
      </c>
      <c r="C151" s="2" t="s">
        <v>80</v>
      </c>
      <c r="D151" s="2" t="s">
        <v>79</v>
      </c>
      <c r="E151" s="18" t="s">
        <v>23</v>
      </c>
      <c r="F151" s="19"/>
      <c r="G151" s="2" t="s">
        <v>78</v>
      </c>
      <c r="H151" s="4">
        <v>46113</v>
      </c>
      <c r="I151" s="3">
        <v>455.09</v>
      </c>
      <c r="J151" s="2" t="s">
        <v>23</v>
      </c>
      <c r="K151" s="2" t="s">
        <v>77</v>
      </c>
      <c r="L151" s="18"/>
      <c r="M151" s="19"/>
      <c r="N151" s="2">
        <v>2</v>
      </c>
      <c r="O151" s="3">
        <v>23</v>
      </c>
      <c r="P151" s="11">
        <v>1</v>
      </c>
      <c r="Q151" s="36">
        <v>46</v>
      </c>
      <c r="R151" s="19"/>
    </row>
    <row r="152" spans="1:18" x14ac:dyDescent="0.3">
      <c r="A152" s="2" t="s">
        <v>144</v>
      </c>
      <c r="B152" s="2" t="s">
        <v>143</v>
      </c>
      <c r="C152" s="2" t="s">
        <v>80</v>
      </c>
      <c r="D152" s="2" t="s">
        <v>79</v>
      </c>
      <c r="E152" s="18" t="s">
        <v>23</v>
      </c>
      <c r="F152" s="19"/>
      <c r="G152" s="2" t="s">
        <v>78</v>
      </c>
      <c r="H152" s="4">
        <v>46113</v>
      </c>
      <c r="I152" s="3">
        <v>1645.15</v>
      </c>
      <c r="J152" s="2" t="s">
        <v>23</v>
      </c>
      <c r="K152" s="2" t="s">
        <v>77</v>
      </c>
      <c r="L152" s="18"/>
      <c r="M152" s="19"/>
      <c r="N152" s="2">
        <v>5</v>
      </c>
      <c r="O152" s="3">
        <v>23</v>
      </c>
      <c r="P152" s="11">
        <v>1</v>
      </c>
      <c r="Q152" s="36">
        <v>115</v>
      </c>
      <c r="R152" s="19"/>
    </row>
    <row r="153" spans="1:18" x14ac:dyDescent="0.3">
      <c r="A153" s="2" t="s">
        <v>142</v>
      </c>
      <c r="B153" s="2" t="s">
        <v>141</v>
      </c>
      <c r="C153" s="2" t="s">
        <v>80</v>
      </c>
      <c r="D153" s="2" t="s">
        <v>79</v>
      </c>
      <c r="E153" s="18" t="s">
        <v>23</v>
      </c>
      <c r="F153" s="19"/>
      <c r="G153" s="2" t="s">
        <v>78</v>
      </c>
      <c r="H153" s="4">
        <v>46113</v>
      </c>
      <c r="I153" s="3">
        <v>902.9</v>
      </c>
      <c r="J153" s="2" t="s">
        <v>23</v>
      </c>
      <c r="K153" s="2" t="s">
        <v>77</v>
      </c>
      <c r="L153" s="18"/>
      <c r="M153" s="19"/>
      <c r="N153" s="2">
        <v>1</v>
      </c>
      <c r="O153" s="3">
        <v>23</v>
      </c>
      <c r="P153" s="11">
        <v>1</v>
      </c>
      <c r="Q153" s="36">
        <v>23</v>
      </c>
      <c r="R153" s="19"/>
    </row>
    <row r="154" spans="1:18" x14ac:dyDescent="0.3">
      <c r="A154" s="2" t="s">
        <v>140</v>
      </c>
      <c r="B154" s="2" t="s">
        <v>139</v>
      </c>
      <c r="C154" s="2" t="s">
        <v>80</v>
      </c>
      <c r="D154" s="2" t="s">
        <v>79</v>
      </c>
      <c r="E154" s="18" t="s">
        <v>23</v>
      </c>
      <c r="F154" s="19"/>
      <c r="G154" s="2" t="s">
        <v>78</v>
      </c>
      <c r="H154" s="4">
        <v>46023</v>
      </c>
      <c r="I154" s="3">
        <v>441.78</v>
      </c>
      <c r="J154" s="2" t="s">
        <v>23</v>
      </c>
      <c r="K154" s="2" t="s">
        <v>77</v>
      </c>
      <c r="L154" s="18"/>
      <c r="M154" s="19"/>
      <c r="N154" s="2">
        <v>1</v>
      </c>
      <c r="O154" s="3">
        <v>23</v>
      </c>
      <c r="P154" s="11">
        <v>1</v>
      </c>
      <c r="Q154" s="36">
        <v>23</v>
      </c>
      <c r="R154" s="19"/>
    </row>
    <row r="155" spans="1:18" x14ac:dyDescent="0.3">
      <c r="A155" s="2" t="s">
        <v>140</v>
      </c>
      <c r="B155" s="2" t="s">
        <v>139</v>
      </c>
      <c r="C155" s="2" t="s">
        <v>80</v>
      </c>
      <c r="D155" s="2" t="s">
        <v>79</v>
      </c>
      <c r="E155" s="18" t="s">
        <v>23</v>
      </c>
      <c r="F155" s="19"/>
      <c r="G155" s="2" t="s">
        <v>78</v>
      </c>
      <c r="H155" s="4">
        <v>46054</v>
      </c>
      <c r="I155" s="3">
        <v>441.78</v>
      </c>
      <c r="J155" s="2" t="s">
        <v>23</v>
      </c>
      <c r="K155" s="2" t="s">
        <v>77</v>
      </c>
      <c r="L155" s="18"/>
      <c r="M155" s="19"/>
      <c r="N155" s="2">
        <v>1</v>
      </c>
      <c r="O155" s="3">
        <v>23</v>
      </c>
      <c r="P155" s="11">
        <v>1</v>
      </c>
      <c r="Q155" s="36">
        <v>23</v>
      </c>
      <c r="R155" s="19"/>
    </row>
    <row r="156" spans="1:18" x14ac:dyDescent="0.3">
      <c r="A156" s="2" t="s">
        <v>140</v>
      </c>
      <c r="B156" s="2" t="s">
        <v>139</v>
      </c>
      <c r="C156" s="2" t="s">
        <v>80</v>
      </c>
      <c r="D156" s="2" t="s">
        <v>79</v>
      </c>
      <c r="E156" s="18" t="s">
        <v>23</v>
      </c>
      <c r="F156" s="19"/>
      <c r="G156" s="2" t="s">
        <v>78</v>
      </c>
      <c r="H156" s="4">
        <v>46082</v>
      </c>
      <c r="I156" s="3">
        <v>441.78</v>
      </c>
      <c r="J156" s="2" t="s">
        <v>23</v>
      </c>
      <c r="K156" s="2" t="s">
        <v>77</v>
      </c>
      <c r="L156" s="18"/>
      <c r="M156" s="19"/>
      <c r="N156" s="2">
        <v>1</v>
      </c>
      <c r="O156" s="3">
        <v>23</v>
      </c>
      <c r="P156" s="11">
        <v>1</v>
      </c>
      <c r="Q156" s="36">
        <v>23</v>
      </c>
      <c r="R156" s="19"/>
    </row>
    <row r="157" spans="1:18" x14ac:dyDescent="0.3">
      <c r="A157" s="2" t="s">
        <v>140</v>
      </c>
      <c r="B157" s="2" t="s">
        <v>139</v>
      </c>
      <c r="C157" s="2" t="s">
        <v>80</v>
      </c>
      <c r="D157" s="2" t="s">
        <v>79</v>
      </c>
      <c r="E157" s="18" t="s">
        <v>23</v>
      </c>
      <c r="F157" s="19"/>
      <c r="G157" s="2" t="s">
        <v>78</v>
      </c>
      <c r="H157" s="4">
        <v>46113</v>
      </c>
      <c r="I157" s="3">
        <v>441.78</v>
      </c>
      <c r="J157" s="2" t="s">
        <v>23</v>
      </c>
      <c r="K157" s="2" t="s">
        <v>77</v>
      </c>
      <c r="L157" s="18"/>
      <c r="M157" s="19"/>
      <c r="N157" s="2">
        <v>1</v>
      </c>
      <c r="O157" s="3">
        <v>23</v>
      </c>
      <c r="P157" s="11">
        <v>1</v>
      </c>
      <c r="Q157" s="36">
        <v>23</v>
      </c>
      <c r="R157" s="19"/>
    </row>
    <row r="158" spans="1:18" x14ac:dyDescent="0.3">
      <c r="A158" s="2" t="s">
        <v>138</v>
      </c>
      <c r="B158" s="2" t="s">
        <v>137</v>
      </c>
      <c r="C158" s="2" t="s">
        <v>80</v>
      </c>
      <c r="D158" s="2" t="s">
        <v>79</v>
      </c>
      <c r="E158" s="18" t="s">
        <v>23</v>
      </c>
      <c r="F158" s="19"/>
      <c r="G158" s="2" t="s">
        <v>78</v>
      </c>
      <c r="H158" s="4">
        <v>46082</v>
      </c>
      <c r="I158" s="3">
        <v>162.38</v>
      </c>
      <c r="J158" s="2" t="s">
        <v>23</v>
      </c>
      <c r="K158" s="2" t="s">
        <v>77</v>
      </c>
      <c r="L158" s="18"/>
      <c r="M158" s="19"/>
      <c r="N158" s="2">
        <v>1</v>
      </c>
      <c r="O158" s="3">
        <v>23</v>
      </c>
      <c r="P158" s="11">
        <v>1</v>
      </c>
      <c r="Q158" s="36">
        <v>23</v>
      </c>
      <c r="R158" s="19"/>
    </row>
    <row r="159" spans="1:18" x14ac:dyDescent="0.3">
      <c r="A159" s="2" t="s">
        <v>138</v>
      </c>
      <c r="B159" s="2" t="s">
        <v>137</v>
      </c>
      <c r="C159" s="2" t="s">
        <v>80</v>
      </c>
      <c r="D159" s="2" t="s">
        <v>79</v>
      </c>
      <c r="E159" s="18" t="s">
        <v>23</v>
      </c>
      <c r="F159" s="19"/>
      <c r="G159" s="2" t="s">
        <v>78</v>
      </c>
      <c r="H159" s="4">
        <v>46113</v>
      </c>
      <c r="I159" s="3">
        <v>162.38</v>
      </c>
      <c r="J159" s="2" t="s">
        <v>23</v>
      </c>
      <c r="K159" s="2" t="s">
        <v>77</v>
      </c>
      <c r="L159" s="18"/>
      <c r="M159" s="19"/>
      <c r="N159" s="2">
        <v>1</v>
      </c>
      <c r="O159" s="3">
        <v>23</v>
      </c>
      <c r="P159" s="11">
        <v>1</v>
      </c>
      <c r="Q159" s="36">
        <v>23</v>
      </c>
      <c r="R159" s="19"/>
    </row>
    <row r="160" spans="1:18" x14ac:dyDescent="0.3">
      <c r="A160" s="2" t="s">
        <v>136</v>
      </c>
      <c r="B160" s="2" t="s">
        <v>135</v>
      </c>
      <c r="C160" s="2" t="s">
        <v>80</v>
      </c>
      <c r="D160" s="2" t="s">
        <v>79</v>
      </c>
      <c r="E160" s="18" t="s">
        <v>23</v>
      </c>
      <c r="F160" s="19"/>
      <c r="G160" s="2" t="s">
        <v>78</v>
      </c>
      <c r="H160" s="4">
        <v>46023</v>
      </c>
      <c r="I160" s="3">
        <v>127.6</v>
      </c>
      <c r="J160" s="2" t="s">
        <v>23</v>
      </c>
      <c r="K160" s="2" t="s">
        <v>77</v>
      </c>
      <c r="L160" s="18"/>
      <c r="M160" s="19"/>
      <c r="N160" s="2">
        <v>1</v>
      </c>
      <c r="O160" s="3">
        <v>23</v>
      </c>
      <c r="P160" s="11">
        <v>1</v>
      </c>
      <c r="Q160" s="36">
        <v>23</v>
      </c>
      <c r="R160" s="19"/>
    </row>
    <row r="161" spans="1:18" x14ac:dyDescent="0.3">
      <c r="A161" s="2" t="s">
        <v>136</v>
      </c>
      <c r="B161" s="2" t="s">
        <v>135</v>
      </c>
      <c r="C161" s="2" t="s">
        <v>80</v>
      </c>
      <c r="D161" s="2" t="s">
        <v>79</v>
      </c>
      <c r="E161" s="18" t="s">
        <v>23</v>
      </c>
      <c r="F161" s="19"/>
      <c r="G161" s="2" t="s">
        <v>78</v>
      </c>
      <c r="H161" s="4">
        <v>46054</v>
      </c>
      <c r="I161" s="3">
        <v>127.6</v>
      </c>
      <c r="J161" s="2" t="s">
        <v>23</v>
      </c>
      <c r="K161" s="2" t="s">
        <v>77</v>
      </c>
      <c r="L161" s="18"/>
      <c r="M161" s="19"/>
      <c r="N161" s="2">
        <v>1</v>
      </c>
      <c r="O161" s="3">
        <v>23</v>
      </c>
      <c r="P161" s="11">
        <v>1</v>
      </c>
      <c r="Q161" s="36">
        <v>23</v>
      </c>
      <c r="R161" s="19"/>
    </row>
    <row r="162" spans="1:18" x14ac:dyDescent="0.3">
      <c r="A162" s="2" t="s">
        <v>136</v>
      </c>
      <c r="B162" s="2" t="s">
        <v>135</v>
      </c>
      <c r="C162" s="2" t="s">
        <v>80</v>
      </c>
      <c r="D162" s="2" t="s">
        <v>79</v>
      </c>
      <c r="E162" s="18" t="s">
        <v>23</v>
      </c>
      <c r="F162" s="19"/>
      <c r="G162" s="2" t="s">
        <v>78</v>
      </c>
      <c r="H162" s="4">
        <v>46082</v>
      </c>
      <c r="I162" s="3">
        <v>127.6</v>
      </c>
      <c r="J162" s="2" t="s">
        <v>23</v>
      </c>
      <c r="K162" s="2" t="s">
        <v>77</v>
      </c>
      <c r="L162" s="18"/>
      <c r="M162" s="19"/>
      <c r="N162" s="2">
        <v>1</v>
      </c>
      <c r="O162" s="3">
        <v>23</v>
      </c>
      <c r="P162" s="11">
        <v>1</v>
      </c>
      <c r="Q162" s="36">
        <v>23</v>
      </c>
      <c r="R162" s="19"/>
    </row>
    <row r="163" spans="1:18" x14ac:dyDescent="0.3">
      <c r="A163" s="2" t="s">
        <v>136</v>
      </c>
      <c r="B163" s="2" t="s">
        <v>135</v>
      </c>
      <c r="C163" s="2" t="s">
        <v>80</v>
      </c>
      <c r="D163" s="2" t="s">
        <v>79</v>
      </c>
      <c r="E163" s="18" t="s">
        <v>23</v>
      </c>
      <c r="F163" s="19"/>
      <c r="G163" s="2" t="s">
        <v>78</v>
      </c>
      <c r="H163" s="4">
        <v>46113</v>
      </c>
      <c r="I163" s="3">
        <v>127.6</v>
      </c>
      <c r="J163" s="2" t="s">
        <v>23</v>
      </c>
      <c r="K163" s="2" t="s">
        <v>77</v>
      </c>
      <c r="L163" s="18"/>
      <c r="M163" s="19"/>
      <c r="N163" s="2">
        <v>1</v>
      </c>
      <c r="O163" s="3">
        <v>23</v>
      </c>
      <c r="P163" s="11">
        <v>1</v>
      </c>
      <c r="Q163" s="36">
        <v>23</v>
      </c>
      <c r="R163" s="19"/>
    </row>
    <row r="164" spans="1:18" x14ac:dyDescent="0.3">
      <c r="A164" s="2" t="s">
        <v>134</v>
      </c>
      <c r="B164" s="2" t="s">
        <v>133</v>
      </c>
      <c r="C164" s="2" t="s">
        <v>80</v>
      </c>
      <c r="D164" s="2" t="s">
        <v>79</v>
      </c>
      <c r="E164" s="18" t="s">
        <v>23</v>
      </c>
      <c r="F164" s="19"/>
      <c r="G164" s="2" t="s">
        <v>78</v>
      </c>
      <c r="H164" s="4">
        <v>46113</v>
      </c>
      <c r="I164" s="3">
        <v>232.76</v>
      </c>
      <c r="J164" s="2" t="s">
        <v>23</v>
      </c>
      <c r="K164" s="2" t="s">
        <v>77</v>
      </c>
      <c r="L164" s="18"/>
      <c r="M164" s="19"/>
      <c r="N164" s="2">
        <v>1</v>
      </c>
      <c r="O164" s="3">
        <v>23</v>
      </c>
      <c r="P164" s="11">
        <v>1</v>
      </c>
      <c r="Q164" s="36">
        <v>23</v>
      </c>
      <c r="R164" s="19"/>
    </row>
    <row r="165" spans="1:18" x14ac:dyDescent="0.3">
      <c r="A165" s="2" t="s">
        <v>132</v>
      </c>
      <c r="B165" s="2" t="s">
        <v>131</v>
      </c>
      <c r="C165" s="2" t="s">
        <v>80</v>
      </c>
      <c r="D165" s="2" t="s">
        <v>79</v>
      </c>
      <c r="E165" s="18" t="s">
        <v>23</v>
      </c>
      <c r="F165" s="19"/>
      <c r="G165" s="2" t="s">
        <v>78</v>
      </c>
      <c r="H165" s="4">
        <v>46054</v>
      </c>
      <c r="I165" s="3">
        <v>1652.28</v>
      </c>
      <c r="J165" s="2" t="s">
        <v>23</v>
      </c>
      <c r="K165" s="2" t="s">
        <v>77</v>
      </c>
      <c r="L165" s="18"/>
      <c r="M165" s="19"/>
      <c r="N165" s="2">
        <v>2</v>
      </c>
      <c r="O165" s="3">
        <v>23</v>
      </c>
      <c r="P165" s="11">
        <v>1</v>
      </c>
      <c r="Q165" s="36">
        <v>46</v>
      </c>
      <c r="R165" s="19"/>
    </row>
    <row r="166" spans="1:18" x14ac:dyDescent="0.3">
      <c r="A166" s="2" t="s">
        <v>132</v>
      </c>
      <c r="B166" s="2" t="s">
        <v>131</v>
      </c>
      <c r="C166" s="2" t="s">
        <v>80</v>
      </c>
      <c r="D166" s="2" t="s">
        <v>79</v>
      </c>
      <c r="E166" s="18" t="s">
        <v>23</v>
      </c>
      <c r="F166" s="19"/>
      <c r="G166" s="2" t="s">
        <v>78</v>
      </c>
      <c r="H166" s="4">
        <v>46082</v>
      </c>
      <c r="I166" s="3">
        <v>1652.28</v>
      </c>
      <c r="J166" s="2" t="s">
        <v>23</v>
      </c>
      <c r="K166" s="2" t="s">
        <v>77</v>
      </c>
      <c r="L166" s="18"/>
      <c r="M166" s="19"/>
      <c r="N166" s="2">
        <v>2</v>
      </c>
      <c r="O166" s="3">
        <v>23</v>
      </c>
      <c r="P166" s="11">
        <v>1</v>
      </c>
      <c r="Q166" s="36">
        <v>46</v>
      </c>
      <c r="R166" s="19"/>
    </row>
    <row r="167" spans="1:18" x14ac:dyDescent="0.3">
      <c r="A167" s="2" t="s">
        <v>132</v>
      </c>
      <c r="B167" s="2" t="s">
        <v>131</v>
      </c>
      <c r="C167" s="2" t="s">
        <v>80</v>
      </c>
      <c r="D167" s="2" t="s">
        <v>79</v>
      </c>
      <c r="E167" s="18" t="s">
        <v>23</v>
      </c>
      <c r="F167" s="19"/>
      <c r="G167" s="2" t="s">
        <v>78</v>
      </c>
      <c r="H167" s="4">
        <v>46113</v>
      </c>
      <c r="I167" s="3">
        <v>1652.28</v>
      </c>
      <c r="J167" s="2" t="s">
        <v>23</v>
      </c>
      <c r="K167" s="2" t="s">
        <v>77</v>
      </c>
      <c r="L167" s="18"/>
      <c r="M167" s="19"/>
      <c r="N167" s="2">
        <v>2</v>
      </c>
      <c r="O167" s="3">
        <v>23</v>
      </c>
      <c r="P167" s="11">
        <v>1</v>
      </c>
      <c r="Q167" s="36">
        <v>46</v>
      </c>
      <c r="R167" s="19"/>
    </row>
    <row r="168" spans="1:18" x14ac:dyDescent="0.3">
      <c r="A168" s="2" t="s">
        <v>129</v>
      </c>
      <c r="B168" s="2" t="s">
        <v>128</v>
      </c>
      <c r="C168" s="2" t="s">
        <v>80</v>
      </c>
      <c r="D168" s="2" t="s">
        <v>79</v>
      </c>
      <c r="E168" s="18" t="s">
        <v>23</v>
      </c>
      <c r="F168" s="19"/>
      <c r="G168" s="2" t="s">
        <v>78</v>
      </c>
      <c r="H168" s="4">
        <v>45931</v>
      </c>
      <c r="I168" s="3">
        <v>483.42</v>
      </c>
      <c r="J168" s="3">
        <v>483.42</v>
      </c>
      <c r="K168" s="2" t="s">
        <v>130</v>
      </c>
      <c r="L168" s="18"/>
      <c r="M168" s="19"/>
      <c r="N168" s="2"/>
      <c r="O168" s="14">
        <v>4.2500000000000003E-2</v>
      </c>
      <c r="P168" s="11">
        <v>1</v>
      </c>
      <c r="Q168" s="36">
        <v>20.55</v>
      </c>
      <c r="R168" s="19"/>
    </row>
    <row r="169" spans="1:18" x14ac:dyDescent="0.3">
      <c r="A169" s="2" t="s">
        <v>129</v>
      </c>
      <c r="B169" s="2" t="s">
        <v>128</v>
      </c>
      <c r="C169" s="2" t="s">
        <v>80</v>
      </c>
      <c r="D169" s="2" t="s">
        <v>79</v>
      </c>
      <c r="E169" s="18" t="s">
        <v>23</v>
      </c>
      <c r="F169" s="19"/>
      <c r="G169" s="2" t="s">
        <v>78</v>
      </c>
      <c r="H169" s="4">
        <v>45962</v>
      </c>
      <c r="I169" s="3">
        <v>483.42</v>
      </c>
      <c r="J169" s="3">
        <v>483.42</v>
      </c>
      <c r="K169" s="2" t="s">
        <v>130</v>
      </c>
      <c r="L169" s="18"/>
      <c r="M169" s="19"/>
      <c r="N169" s="2"/>
      <c r="O169" s="14">
        <v>4.2500000000000003E-2</v>
      </c>
      <c r="P169" s="11">
        <v>1</v>
      </c>
      <c r="Q169" s="36">
        <v>20.54</v>
      </c>
      <c r="R169" s="19"/>
    </row>
    <row r="170" spans="1:18" x14ac:dyDescent="0.3">
      <c r="A170" s="2" t="s">
        <v>129</v>
      </c>
      <c r="B170" s="2" t="s">
        <v>128</v>
      </c>
      <c r="C170" s="2" t="s">
        <v>80</v>
      </c>
      <c r="D170" s="2" t="s">
        <v>79</v>
      </c>
      <c r="E170" s="18" t="s">
        <v>23</v>
      </c>
      <c r="F170" s="19"/>
      <c r="G170" s="2" t="s">
        <v>78</v>
      </c>
      <c r="H170" s="4">
        <v>45992</v>
      </c>
      <c r="I170" s="3">
        <v>483.42</v>
      </c>
      <c r="J170" s="3">
        <v>483.42</v>
      </c>
      <c r="K170" s="2" t="s">
        <v>130</v>
      </c>
      <c r="L170" s="18"/>
      <c r="M170" s="19"/>
      <c r="N170" s="2"/>
      <c r="O170" s="14">
        <v>4.2500000000000003E-2</v>
      </c>
      <c r="P170" s="11">
        <v>1</v>
      </c>
      <c r="Q170" s="36">
        <v>20.55</v>
      </c>
      <c r="R170" s="19"/>
    </row>
    <row r="171" spans="1:18" x14ac:dyDescent="0.3">
      <c r="A171" s="2" t="s">
        <v>129</v>
      </c>
      <c r="B171" s="2" t="s">
        <v>128</v>
      </c>
      <c r="C171" s="2" t="s">
        <v>80</v>
      </c>
      <c r="D171" s="2" t="s">
        <v>79</v>
      </c>
      <c r="E171" s="18" t="s">
        <v>23</v>
      </c>
      <c r="F171" s="19"/>
      <c r="G171" s="2" t="s">
        <v>78</v>
      </c>
      <c r="H171" s="4">
        <v>46023</v>
      </c>
      <c r="I171" s="3">
        <v>571.64</v>
      </c>
      <c r="J171" s="2" t="s">
        <v>23</v>
      </c>
      <c r="K171" s="2" t="s">
        <v>77</v>
      </c>
      <c r="L171" s="18"/>
      <c r="M171" s="19"/>
      <c r="N171" s="2">
        <v>1</v>
      </c>
      <c r="O171" s="3">
        <v>23</v>
      </c>
      <c r="P171" s="11">
        <v>1</v>
      </c>
      <c r="Q171" s="36">
        <v>23</v>
      </c>
      <c r="R171" s="19"/>
    </row>
    <row r="172" spans="1:18" x14ac:dyDescent="0.3">
      <c r="A172" s="2" t="s">
        <v>129</v>
      </c>
      <c r="B172" s="2" t="s">
        <v>128</v>
      </c>
      <c r="C172" s="2" t="s">
        <v>80</v>
      </c>
      <c r="D172" s="2" t="s">
        <v>79</v>
      </c>
      <c r="E172" s="18" t="s">
        <v>23</v>
      </c>
      <c r="F172" s="19"/>
      <c r="G172" s="2" t="s">
        <v>78</v>
      </c>
      <c r="H172" s="4">
        <v>46054</v>
      </c>
      <c r="I172" s="3">
        <v>571.64</v>
      </c>
      <c r="J172" s="2" t="s">
        <v>23</v>
      </c>
      <c r="K172" s="2" t="s">
        <v>77</v>
      </c>
      <c r="L172" s="18"/>
      <c r="M172" s="19"/>
      <c r="N172" s="2">
        <v>1</v>
      </c>
      <c r="O172" s="3">
        <v>23</v>
      </c>
      <c r="P172" s="11">
        <v>1</v>
      </c>
      <c r="Q172" s="36">
        <v>23</v>
      </c>
      <c r="R172" s="19"/>
    </row>
    <row r="173" spans="1:18" x14ac:dyDescent="0.3">
      <c r="A173" s="2" t="s">
        <v>129</v>
      </c>
      <c r="B173" s="2" t="s">
        <v>128</v>
      </c>
      <c r="C173" s="2" t="s">
        <v>80</v>
      </c>
      <c r="D173" s="2" t="s">
        <v>79</v>
      </c>
      <c r="E173" s="18" t="s">
        <v>23</v>
      </c>
      <c r="F173" s="19"/>
      <c r="G173" s="2" t="s">
        <v>78</v>
      </c>
      <c r="H173" s="4">
        <v>46082</v>
      </c>
      <c r="I173" s="3">
        <v>571.64</v>
      </c>
      <c r="J173" s="2" t="s">
        <v>23</v>
      </c>
      <c r="K173" s="2" t="s">
        <v>77</v>
      </c>
      <c r="L173" s="18"/>
      <c r="M173" s="19"/>
      <c r="N173" s="2">
        <v>1</v>
      </c>
      <c r="O173" s="3">
        <v>23</v>
      </c>
      <c r="P173" s="11">
        <v>1</v>
      </c>
      <c r="Q173" s="36">
        <v>23</v>
      </c>
      <c r="R173" s="19"/>
    </row>
    <row r="174" spans="1:18" x14ac:dyDescent="0.3">
      <c r="A174" s="2" t="s">
        <v>129</v>
      </c>
      <c r="B174" s="2" t="s">
        <v>128</v>
      </c>
      <c r="C174" s="2" t="s">
        <v>80</v>
      </c>
      <c r="D174" s="2" t="s">
        <v>79</v>
      </c>
      <c r="E174" s="18" t="s">
        <v>23</v>
      </c>
      <c r="F174" s="19"/>
      <c r="G174" s="2" t="s">
        <v>78</v>
      </c>
      <c r="H174" s="4">
        <v>46113</v>
      </c>
      <c r="I174" s="3">
        <v>571.64</v>
      </c>
      <c r="J174" s="2" t="s">
        <v>23</v>
      </c>
      <c r="K174" s="2" t="s">
        <v>77</v>
      </c>
      <c r="L174" s="18"/>
      <c r="M174" s="19"/>
      <c r="N174" s="2">
        <v>1</v>
      </c>
      <c r="O174" s="3">
        <v>23</v>
      </c>
      <c r="P174" s="11">
        <v>1</v>
      </c>
      <c r="Q174" s="36">
        <v>23</v>
      </c>
      <c r="R174" s="19"/>
    </row>
    <row r="175" spans="1:18" x14ac:dyDescent="0.3">
      <c r="A175" s="2" t="s">
        <v>127</v>
      </c>
      <c r="B175" s="2" t="s">
        <v>126</v>
      </c>
      <c r="C175" s="2" t="s">
        <v>80</v>
      </c>
      <c r="D175" s="2" t="s">
        <v>79</v>
      </c>
      <c r="E175" s="18" t="s">
        <v>23</v>
      </c>
      <c r="F175" s="19"/>
      <c r="G175" s="2" t="s">
        <v>78</v>
      </c>
      <c r="H175" s="4">
        <v>46113</v>
      </c>
      <c r="I175" s="3">
        <v>1855.46</v>
      </c>
      <c r="J175" s="2" t="s">
        <v>23</v>
      </c>
      <c r="K175" s="2" t="s">
        <v>77</v>
      </c>
      <c r="L175" s="18"/>
      <c r="M175" s="19"/>
      <c r="N175" s="2">
        <v>2</v>
      </c>
      <c r="O175" s="3">
        <v>23</v>
      </c>
      <c r="P175" s="11">
        <v>1</v>
      </c>
      <c r="Q175" s="36">
        <v>46</v>
      </c>
      <c r="R175" s="19"/>
    </row>
    <row r="176" spans="1:18" x14ac:dyDescent="0.3">
      <c r="A176" s="2" t="s">
        <v>125</v>
      </c>
      <c r="B176" s="2" t="s">
        <v>124</v>
      </c>
      <c r="C176" s="2" t="s">
        <v>80</v>
      </c>
      <c r="D176" s="2" t="s">
        <v>79</v>
      </c>
      <c r="E176" s="18" t="s">
        <v>23</v>
      </c>
      <c r="F176" s="19"/>
      <c r="G176" s="2" t="s">
        <v>78</v>
      </c>
      <c r="H176" s="4">
        <v>46054</v>
      </c>
      <c r="I176" s="3">
        <v>327.96</v>
      </c>
      <c r="J176" s="2" t="s">
        <v>23</v>
      </c>
      <c r="K176" s="2" t="s">
        <v>77</v>
      </c>
      <c r="L176" s="18"/>
      <c r="M176" s="19"/>
      <c r="N176" s="2">
        <v>1</v>
      </c>
      <c r="O176" s="3">
        <v>23</v>
      </c>
      <c r="P176" s="11">
        <v>1</v>
      </c>
      <c r="Q176" s="36">
        <v>23</v>
      </c>
      <c r="R176" s="19"/>
    </row>
    <row r="177" spans="1:18" x14ac:dyDescent="0.3">
      <c r="A177" s="2" t="s">
        <v>125</v>
      </c>
      <c r="B177" s="2" t="s">
        <v>124</v>
      </c>
      <c r="C177" s="2" t="s">
        <v>80</v>
      </c>
      <c r="D177" s="2" t="s">
        <v>79</v>
      </c>
      <c r="E177" s="18" t="s">
        <v>23</v>
      </c>
      <c r="F177" s="19"/>
      <c r="G177" s="2" t="s">
        <v>78</v>
      </c>
      <c r="H177" s="4">
        <v>46082</v>
      </c>
      <c r="I177" s="3">
        <v>327.96</v>
      </c>
      <c r="J177" s="2" t="s">
        <v>23</v>
      </c>
      <c r="K177" s="2" t="s">
        <v>77</v>
      </c>
      <c r="L177" s="18"/>
      <c r="M177" s="19"/>
      <c r="N177" s="2">
        <v>1</v>
      </c>
      <c r="O177" s="3">
        <v>23</v>
      </c>
      <c r="P177" s="11">
        <v>1</v>
      </c>
      <c r="Q177" s="36">
        <v>23</v>
      </c>
      <c r="R177" s="19"/>
    </row>
    <row r="178" spans="1:18" x14ac:dyDescent="0.3">
      <c r="A178" s="2" t="s">
        <v>125</v>
      </c>
      <c r="B178" s="2" t="s">
        <v>124</v>
      </c>
      <c r="C178" s="2" t="s">
        <v>80</v>
      </c>
      <c r="D178" s="2" t="s">
        <v>79</v>
      </c>
      <c r="E178" s="18" t="s">
        <v>23</v>
      </c>
      <c r="F178" s="19"/>
      <c r="G178" s="2" t="s">
        <v>78</v>
      </c>
      <c r="H178" s="4">
        <v>46113</v>
      </c>
      <c r="I178" s="3">
        <v>327.96</v>
      </c>
      <c r="J178" s="2" t="s">
        <v>23</v>
      </c>
      <c r="K178" s="2" t="s">
        <v>77</v>
      </c>
      <c r="L178" s="18"/>
      <c r="M178" s="19"/>
      <c r="N178" s="2">
        <v>1</v>
      </c>
      <c r="O178" s="3">
        <v>23</v>
      </c>
      <c r="P178" s="11">
        <v>1</v>
      </c>
      <c r="Q178" s="36">
        <v>23</v>
      </c>
      <c r="R178" s="19"/>
    </row>
    <row r="179" spans="1:18" x14ac:dyDescent="0.3">
      <c r="A179" s="2" t="s">
        <v>123</v>
      </c>
      <c r="B179" s="2" t="s">
        <v>122</v>
      </c>
      <c r="C179" s="2" t="s">
        <v>80</v>
      </c>
      <c r="D179" s="2" t="s">
        <v>79</v>
      </c>
      <c r="E179" s="18" t="s">
        <v>23</v>
      </c>
      <c r="F179" s="19"/>
      <c r="G179" s="2" t="s">
        <v>78</v>
      </c>
      <c r="H179" s="4">
        <v>46113</v>
      </c>
      <c r="I179" s="3">
        <v>314.5</v>
      </c>
      <c r="J179" s="2" t="s">
        <v>23</v>
      </c>
      <c r="K179" s="2" t="s">
        <v>77</v>
      </c>
      <c r="L179" s="18"/>
      <c r="M179" s="19"/>
      <c r="N179" s="2">
        <v>1</v>
      </c>
      <c r="O179" s="3">
        <v>23</v>
      </c>
      <c r="P179" s="11">
        <v>1</v>
      </c>
      <c r="Q179" s="36">
        <v>23</v>
      </c>
      <c r="R179" s="19"/>
    </row>
    <row r="180" spans="1:18" x14ac:dyDescent="0.3">
      <c r="A180" s="2" t="s">
        <v>121</v>
      </c>
      <c r="B180" s="2" t="s">
        <v>120</v>
      </c>
      <c r="C180" s="2" t="s">
        <v>80</v>
      </c>
      <c r="D180" s="2" t="s">
        <v>79</v>
      </c>
      <c r="E180" s="18" t="s">
        <v>23</v>
      </c>
      <c r="F180" s="19"/>
      <c r="G180" s="2" t="s">
        <v>78</v>
      </c>
      <c r="H180" s="4">
        <v>46082</v>
      </c>
      <c r="I180" s="3">
        <v>500.03</v>
      </c>
      <c r="J180" s="2" t="s">
        <v>23</v>
      </c>
      <c r="K180" s="2" t="s">
        <v>77</v>
      </c>
      <c r="L180" s="18"/>
      <c r="M180" s="19"/>
      <c r="N180" s="2">
        <v>1</v>
      </c>
      <c r="O180" s="3">
        <v>23</v>
      </c>
      <c r="P180" s="11">
        <v>1</v>
      </c>
      <c r="Q180" s="36">
        <v>23</v>
      </c>
      <c r="R180" s="19"/>
    </row>
    <row r="181" spans="1:18" x14ac:dyDescent="0.3">
      <c r="A181" s="2" t="s">
        <v>121</v>
      </c>
      <c r="B181" s="2" t="s">
        <v>120</v>
      </c>
      <c r="C181" s="2" t="s">
        <v>80</v>
      </c>
      <c r="D181" s="2" t="s">
        <v>79</v>
      </c>
      <c r="E181" s="18" t="s">
        <v>23</v>
      </c>
      <c r="F181" s="19"/>
      <c r="G181" s="2" t="s">
        <v>78</v>
      </c>
      <c r="H181" s="4">
        <v>46113</v>
      </c>
      <c r="I181" s="3">
        <v>472.03</v>
      </c>
      <c r="J181" s="2" t="s">
        <v>23</v>
      </c>
      <c r="K181" s="2" t="s">
        <v>77</v>
      </c>
      <c r="L181" s="18"/>
      <c r="M181" s="19"/>
      <c r="N181" s="2">
        <v>1</v>
      </c>
      <c r="O181" s="3">
        <v>23</v>
      </c>
      <c r="P181" s="11">
        <v>1</v>
      </c>
      <c r="Q181" s="36">
        <v>23</v>
      </c>
      <c r="R181" s="19"/>
    </row>
    <row r="182" spans="1:18" x14ac:dyDescent="0.3">
      <c r="A182" s="2" t="s">
        <v>119</v>
      </c>
      <c r="B182" s="2" t="s">
        <v>118</v>
      </c>
      <c r="C182" s="2" t="s">
        <v>80</v>
      </c>
      <c r="D182" s="2" t="s">
        <v>79</v>
      </c>
      <c r="E182" s="18" t="s">
        <v>23</v>
      </c>
      <c r="F182" s="19"/>
      <c r="G182" s="2" t="s">
        <v>78</v>
      </c>
      <c r="H182" s="4">
        <v>46082</v>
      </c>
      <c r="I182" s="3">
        <v>178.19</v>
      </c>
      <c r="J182" s="2" t="s">
        <v>23</v>
      </c>
      <c r="K182" s="2" t="s">
        <v>77</v>
      </c>
      <c r="L182" s="18"/>
      <c r="M182" s="19"/>
      <c r="N182" s="2">
        <v>1</v>
      </c>
      <c r="O182" s="3">
        <v>23</v>
      </c>
      <c r="P182" s="11">
        <v>1</v>
      </c>
      <c r="Q182" s="36">
        <v>23</v>
      </c>
      <c r="R182" s="19"/>
    </row>
    <row r="183" spans="1:18" x14ac:dyDescent="0.3">
      <c r="A183" s="2" t="s">
        <v>119</v>
      </c>
      <c r="B183" s="2" t="s">
        <v>118</v>
      </c>
      <c r="C183" s="2" t="s">
        <v>80</v>
      </c>
      <c r="D183" s="2" t="s">
        <v>79</v>
      </c>
      <c r="E183" s="18" t="s">
        <v>23</v>
      </c>
      <c r="F183" s="19"/>
      <c r="G183" s="2" t="s">
        <v>78</v>
      </c>
      <c r="H183" s="4">
        <v>46113</v>
      </c>
      <c r="I183" s="3">
        <v>178.19</v>
      </c>
      <c r="J183" s="2" t="s">
        <v>23</v>
      </c>
      <c r="K183" s="2" t="s">
        <v>77</v>
      </c>
      <c r="L183" s="18"/>
      <c r="M183" s="19"/>
      <c r="N183" s="2">
        <v>1</v>
      </c>
      <c r="O183" s="3">
        <v>23</v>
      </c>
      <c r="P183" s="11">
        <v>1</v>
      </c>
      <c r="Q183" s="36">
        <v>23</v>
      </c>
      <c r="R183" s="19"/>
    </row>
    <row r="184" spans="1:18" x14ac:dyDescent="0.3">
      <c r="A184" s="2" t="s">
        <v>117</v>
      </c>
      <c r="B184" s="2" t="s">
        <v>116</v>
      </c>
      <c r="C184" s="2" t="s">
        <v>80</v>
      </c>
      <c r="D184" s="2" t="s">
        <v>79</v>
      </c>
      <c r="E184" s="18" t="s">
        <v>23</v>
      </c>
      <c r="F184" s="19"/>
      <c r="G184" s="2" t="s">
        <v>78</v>
      </c>
      <c r="H184" s="4">
        <v>46113</v>
      </c>
      <c r="I184" s="3">
        <v>331.76</v>
      </c>
      <c r="J184" s="2" t="s">
        <v>23</v>
      </c>
      <c r="K184" s="2" t="s">
        <v>77</v>
      </c>
      <c r="L184" s="18"/>
      <c r="M184" s="19"/>
      <c r="N184" s="2">
        <v>4</v>
      </c>
      <c r="O184" s="3">
        <v>23</v>
      </c>
      <c r="P184" s="11">
        <v>1</v>
      </c>
      <c r="Q184" s="36">
        <v>92</v>
      </c>
      <c r="R184" s="19"/>
    </row>
    <row r="185" spans="1:18" x14ac:dyDescent="0.3">
      <c r="A185" s="2" t="s">
        <v>115</v>
      </c>
      <c r="B185" s="2" t="s">
        <v>114</v>
      </c>
      <c r="C185" s="2" t="s">
        <v>80</v>
      </c>
      <c r="D185" s="2" t="s">
        <v>79</v>
      </c>
      <c r="E185" s="18" t="s">
        <v>23</v>
      </c>
      <c r="F185" s="19"/>
      <c r="G185" s="2" t="s">
        <v>78</v>
      </c>
      <c r="H185" s="4">
        <v>46113</v>
      </c>
      <c r="I185" s="3">
        <v>3.73</v>
      </c>
      <c r="J185" s="2" t="s">
        <v>23</v>
      </c>
      <c r="K185" s="2" t="s">
        <v>77</v>
      </c>
      <c r="L185" s="18"/>
      <c r="M185" s="19"/>
      <c r="N185" s="2">
        <v>2</v>
      </c>
      <c r="O185" s="3">
        <v>23</v>
      </c>
      <c r="P185" s="11">
        <v>1</v>
      </c>
      <c r="Q185" s="36">
        <v>46</v>
      </c>
      <c r="R185" s="19"/>
    </row>
    <row r="186" spans="1:18" x14ac:dyDescent="0.3">
      <c r="A186" s="2" t="s">
        <v>113</v>
      </c>
      <c r="B186" s="2" t="s">
        <v>112</v>
      </c>
      <c r="C186" s="2" t="s">
        <v>80</v>
      </c>
      <c r="D186" s="2" t="s">
        <v>79</v>
      </c>
      <c r="E186" s="18" t="s">
        <v>23</v>
      </c>
      <c r="F186" s="19"/>
      <c r="G186" s="2" t="s">
        <v>78</v>
      </c>
      <c r="H186" s="4">
        <v>46023</v>
      </c>
      <c r="I186" s="3">
        <v>540.82000000000005</v>
      </c>
      <c r="J186" s="2" t="s">
        <v>23</v>
      </c>
      <c r="K186" s="2" t="s">
        <v>77</v>
      </c>
      <c r="L186" s="18"/>
      <c r="M186" s="19"/>
      <c r="N186" s="2">
        <v>2</v>
      </c>
      <c r="O186" s="3">
        <v>23</v>
      </c>
      <c r="P186" s="11">
        <v>1</v>
      </c>
      <c r="Q186" s="36">
        <v>46</v>
      </c>
      <c r="R186" s="19"/>
    </row>
    <row r="187" spans="1:18" x14ac:dyDescent="0.3">
      <c r="A187" s="2" t="s">
        <v>113</v>
      </c>
      <c r="B187" s="2" t="s">
        <v>112</v>
      </c>
      <c r="C187" s="2" t="s">
        <v>80</v>
      </c>
      <c r="D187" s="2" t="s">
        <v>79</v>
      </c>
      <c r="E187" s="18" t="s">
        <v>23</v>
      </c>
      <c r="F187" s="19"/>
      <c r="G187" s="2" t="s">
        <v>78</v>
      </c>
      <c r="H187" s="4">
        <v>46054</v>
      </c>
      <c r="I187" s="3">
        <v>540.82000000000005</v>
      </c>
      <c r="J187" s="2" t="s">
        <v>23</v>
      </c>
      <c r="K187" s="2" t="s">
        <v>77</v>
      </c>
      <c r="L187" s="18"/>
      <c r="M187" s="19"/>
      <c r="N187" s="2">
        <v>2</v>
      </c>
      <c r="O187" s="3">
        <v>23</v>
      </c>
      <c r="P187" s="11">
        <v>1</v>
      </c>
      <c r="Q187" s="36">
        <v>46</v>
      </c>
      <c r="R187" s="19"/>
    </row>
    <row r="188" spans="1:18" x14ac:dyDescent="0.3">
      <c r="A188" s="2" t="s">
        <v>113</v>
      </c>
      <c r="B188" s="2" t="s">
        <v>112</v>
      </c>
      <c r="C188" s="2" t="s">
        <v>80</v>
      </c>
      <c r="D188" s="2" t="s">
        <v>79</v>
      </c>
      <c r="E188" s="18" t="s">
        <v>23</v>
      </c>
      <c r="F188" s="19"/>
      <c r="G188" s="2" t="s">
        <v>78</v>
      </c>
      <c r="H188" s="4">
        <v>46082</v>
      </c>
      <c r="I188" s="3">
        <v>540.82000000000005</v>
      </c>
      <c r="J188" s="2" t="s">
        <v>23</v>
      </c>
      <c r="K188" s="2" t="s">
        <v>77</v>
      </c>
      <c r="L188" s="18"/>
      <c r="M188" s="19"/>
      <c r="N188" s="2">
        <v>2</v>
      </c>
      <c r="O188" s="3">
        <v>23</v>
      </c>
      <c r="P188" s="11">
        <v>1</v>
      </c>
      <c r="Q188" s="36">
        <v>46</v>
      </c>
      <c r="R188" s="19"/>
    </row>
    <row r="189" spans="1:18" x14ac:dyDescent="0.3">
      <c r="A189" s="2" t="s">
        <v>113</v>
      </c>
      <c r="B189" s="2" t="s">
        <v>112</v>
      </c>
      <c r="C189" s="2" t="s">
        <v>80</v>
      </c>
      <c r="D189" s="2" t="s">
        <v>79</v>
      </c>
      <c r="E189" s="18" t="s">
        <v>23</v>
      </c>
      <c r="F189" s="19"/>
      <c r="G189" s="2" t="s">
        <v>78</v>
      </c>
      <c r="H189" s="4">
        <v>46113</v>
      </c>
      <c r="I189" s="3">
        <v>540.82000000000005</v>
      </c>
      <c r="J189" s="2" t="s">
        <v>23</v>
      </c>
      <c r="K189" s="2" t="s">
        <v>77</v>
      </c>
      <c r="L189" s="18"/>
      <c r="M189" s="19"/>
      <c r="N189" s="2">
        <v>2</v>
      </c>
      <c r="O189" s="3">
        <v>23</v>
      </c>
      <c r="P189" s="11">
        <v>1</v>
      </c>
      <c r="Q189" s="36">
        <v>46</v>
      </c>
      <c r="R189" s="19"/>
    </row>
    <row r="190" spans="1:18" x14ac:dyDescent="0.3">
      <c r="A190" s="2" t="s">
        <v>111</v>
      </c>
      <c r="B190" s="2" t="s">
        <v>110</v>
      </c>
      <c r="C190" s="2" t="s">
        <v>80</v>
      </c>
      <c r="D190" s="2" t="s">
        <v>79</v>
      </c>
      <c r="E190" s="18" t="s">
        <v>23</v>
      </c>
      <c r="F190" s="19"/>
      <c r="G190" s="2" t="s">
        <v>78</v>
      </c>
      <c r="H190" s="4">
        <v>46023</v>
      </c>
      <c r="I190" s="3">
        <v>517.39</v>
      </c>
      <c r="J190" s="2" t="s">
        <v>23</v>
      </c>
      <c r="K190" s="2" t="s">
        <v>77</v>
      </c>
      <c r="L190" s="18"/>
      <c r="M190" s="19"/>
      <c r="N190" s="2">
        <v>1</v>
      </c>
      <c r="O190" s="3">
        <v>23</v>
      </c>
      <c r="P190" s="11">
        <v>1</v>
      </c>
      <c r="Q190" s="36">
        <v>23</v>
      </c>
      <c r="R190" s="19"/>
    </row>
    <row r="191" spans="1:18" x14ac:dyDescent="0.3">
      <c r="A191" s="2" t="s">
        <v>109</v>
      </c>
      <c r="B191" s="2" t="s">
        <v>108</v>
      </c>
      <c r="C191" s="2" t="s">
        <v>80</v>
      </c>
      <c r="D191" s="2" t="s">
        <v>79</v>
      </c>
      <c r="E191" s="18" t="s">
        <v>23</v>
      </c>
      <c r="F191" s="19"/>
      <c r="G191" s="2" t="s">
        <v>78</v>
      </c>
      <c r="H191" s="4">
        <v>46023</v>
      </c>
      <c r="I191" s="3">
        <v>692.23</v>
      </c>
      <c r="J191" s="2" t="s">
        <v>23</v>
      </c>
      <c r="K191" s="2" t="s">
        <v>77</v>
      </c>
      <c r="L191" s="18"/>
      <c r="M191" s="19"/>
      <c r="N191" s="2">
        <v>1</v>
      </c>
      <c r="O191" s="3">
        <v>23</v>
      </c>
      <c r="P191" s="11">
        <v>1</v>
      </c>
      <c r="Q191" s="36">
        <v>23</v>
      </c>
      <c r="R191" s="19"/>
    </row>
    <row r="192" spans="1:18" x14ac:dyDescent="0.3">
      <c r="A192" s="2" t="s">
        <v>109</v>
      </c>
      <c r="B192" s="2" t="s">
        <v>108</v>
      </c>
      <c r="C192" s="2" t="s">
        <v>80</v>
      </c>
      <c r="D192" s="2" t="s">
        <v>79</v>
      </c>
      <c r="E192" s="18" t="s">
        <v>23</v>
      </c>
      <c r="F192" s="19"/>
      <c r="G192" s="2" t="s">
        <v>78</v>
      </c>
      <c r="H192" s="4">
        <v>46054</v>
      </c>
      <c r="I192" s="3">
        <v>692.23</v>
      </c>
      <c r="J192" s="2" t="s">
        <v>23</v>
      </c>
      <c r="K192" s="2" t="s">
        <v>77</v>
      </c>
      <c r="L192" s="18"/>
      <c r="M192" s="19"/>
      <c r="N192" s="2">
        <v>1</v>
      </c>
      <c r="O192" s="3">
        <v>23</v>
      </c>
      <c r="P192" s="11">
        <v>1</v>
      </c>
      <c r="Q192" s="36">
        <v>23</v>
      </c>
      <c r="R192" s="19"/>
    </row>
    <row r="193" spans="1:18" x14ac:dyDescent="0.3">
      <c r="A193" s="2" t="s">
        <v>109</v>
      </c>
      <c r="B193" s="2" t="s">
        <v>108</v>
      </c>
      <c r="C193" s="2" t="s">
        <v>80</v>
      </c>
      <c r="D193" s="2" t="s">
        <v>79</v>
      </c>
      <c r="E193" s="18" t="s">
        <v>23</v>
      </c>
      <c r="F193" s="19"/>
      <c r="G193" s="2" t="s">
        <v>78</v>
      </c>
      <c r="H193" s="4">
        <v>46082</v>
      </c>
      <c r="I193" s="3">
        <v>692.23</v>
      </c>
      <c r="J193" s="2" t="s">
        <v>23</v>
      </c>
      <c r="K193" s="2" t="s">
        <v>77</v>
      </c>
      <c r="L193" s="18"/>
      <c r="M193" s="19"/>
      <c r="N193" s="2">
        <v>1</v>
      </c>
      <c r="O193" s="3">
        <v>23</v>
      </c>
      <c r="P193" s="11">
        <v>1</v>
      </c>
      <c r="Q193" s="36">
        <v>23</v>
      </c>
      <c r="R193" s="19"/>
    </row>
    <row r="194" spans="1:18" x14ac:dyDescent="0.3">
      <c r="A194" s="2" t="s">
        <v>109</v>
      </c>
      <c r="B194" s="2" t="s">
        <v>108</v>
      </c>
      <c r="C194" s="2" t="s">
        <v>80</v>
      </c>
      <c r="D194" s="2" t="s">
        <v>79</v>
      </c>
      <c r="E194" s="18" t="s">
        <v>23</v>
      </c>
      <c r="F194" s="19"/>
      <c r="G194" s="2" t="s">
        <v>78</v>
      </c>
      <c r="H194" s="4">
        <v>46113</v>
      </c>
      <c r="I194" s="3">
        <v>692.23</v>
      </c>
      <c r="J194" s="2" t="s">
        <v>23</v>
      </c>
      <c r="K194" s="2" t="s">
        <v>77</v>
      </c>
      <c r="L194" s="18"/>
      <c r="M194" s="19"/>
      <c r="N194" s="2">
        <v>1</v>
      </c>
      <c r="O194" s="3">
        <v>23</v>
      </c>
      <c r="P194" s="11">
        <v>1</v>
      </c>
      <c r="Q194" s="36">
        <v>23</v>
      </c>
      <c r="R194" s="19"/>
    </row>
    <row r="195" spans="1:18" x14ac:dyDescent="0.3">
      <c r="A195" s="2" t="s">
        <v>107</v>
      </c>
      <c r="B195" s="2" t="s">
        <v>106</v>
      </c>
      <c r="C195" s="2" t="s">
        <v>80</v>
      </c>
      <c r="D195" s="2" t="s">
        <v>79</v>
      </c>
      <c r="E195" s="18" t="s">
        <v>23</v>
      </c>
      <c r="F195" s="19"/>
      <c r="G195" s="2" t="s">
        <v>78</v>
      </c>
      <c r="H195" s="4">
        <v>46054</v>
      </c>
      <c r="I195" s="3">
        <v>1239.5</v>
      </c>
      <c r="J195" s="2" t="s">
        <v>23</v>
      </c>
      <c r="K195" s="2" t="s">
        <v>77</v>
      </c>
      <c r="L195" s="18"/>
      <c r="M195" s="19"/>
      <c r="N195" s="2">
        <v>1</v>
      </c>
      <c r="O195" s="3">
        <v>23</v>
      </c>
      <c r="P195" s="11">
        <v>1</v>
      </c>
      <c r="Q195" s="36">
        <v>23</v>
      </c>
      <c r="R195" s="19"/>
    </row>
    <row r="196" spans="1:18" x14ac:dyDescent="0.3">
      <c r="A196" s="2" t="s">
        <v>107</v>
      </c>
      <c r="B196" s="2" t="s">
        <v>106</v>
      </c>
      <c r="C196" s="2" t="s">
        <v>80</v>
      </c>
      <c r="D196" s="2" t="s">
        <v>79</v>
      </c>
      <c r="E196" s="18" t="s">
        <v>23</v>
      </c>
      <c r="F196" s="19"/>
      <c r="G196" s="2" t="s">
        <v>78</v>
      </c>
      <c r="H196" s="4">
        <v>46082</v>
      </c>
      <c r="I196" s="3">
        <v>1239.5</v>
      </c>
      <c r="J196" s="2" t="s">
        <v>23</v>
      </c>
      <c r="K196" s="2" t="s">
        <v>77</v>
      </c>
      <c r="L196" s="18"/>
      <c r="M196" s="19"/>
      <c r="N196" s="2">
        <v>1</v>
      </c>
      <c r="O196" s="3">
        <v>23</v>
      </c>
      <c r="P196" s="11">
        <v>1</v>
      </c>
      <c r="Q196" s="36">
        <v>23</v>
      </c>
      <c r="R196" s="19"/>
    </row>
    <row r="197" spans="1:18" x14ac:dyDescent="0.3">
      <c r="A197" s="2" t="s">
        <v>107</v>
      </c>
      <c r="B197" s="2" t="s">
        <v>106</v>
      </c>
      <c r="C197" s="2" t="s">
        <v>80</v>
      </c>
      <c r="D197" s="2" t="s">
        <v>79</v>
      </c>
      <c r="E197" s="18" t="s">
        <v>23</v>
      </c>
      <c r="F197" s="19"/>
      <c r="G197" s="2" t="s">
        <v>78</v>
      </c>
      <c r="H197" s="4">
        <v>46113</v>
      </c>
      <c r="I197" s="3">
        <v>1239.5</v>
      </c>
      <c r="J197" s="2" t="s">
        <v>23</v>
      </c>
      <c r="K197" s="2" t="s">
        <v>77</v>
      </c>
      <c r="L197" s="18"/>
      <c r="M197" s="19"/>
      <c r="N197" s="2">
        <v>1</v>
      </c>
      <c r="O197" s="3">
        <v>23</v>
      </c>
      <c r="P197" s="11">
        <v>1</v>
      </c>
      <c r="Q197" s="36">
        <v>23</v>
      </c>
      <c r="R197" s="19"/>
    </row>
    <row r="198" spans="1:18" x14ac:dyDescent="0.3">
      <c r="A198" s="2" t="s">
        <v>105</v>
      </c>
      <c r="B198" s="2" t="s">
        <v>104</v>
      </c>
      <c r="C198" s="2" t="s">
        <v>80</v>
      </c>
      <c r="D198" s="2" t="s">
        <v>79</v>
      </c>
      <c r="E198" s="18" t="s">
        <v>23</v>
      </c>
      <c r="F198" s="19"/>
      <c r="G198" s="2" t="s">
        <v>78</v>
      </c>
      <c r="H198" s="4">
        <v>46023</v>
      </c>
      <c r="I198" s="3">
        <v>795.35</v>
      </c>
      <c r="J198" s="2" t="s">
        <v>23</v>
      </c>
      <c r="K198" s="2" t="s">
        <v>77</v>
      </c>
      <c r="L198" s="18"/>
      <c r="M198" s="19"/>
      <c r="N198" s="2">
        <v>3</v>
      </c>
      <c r="O198" s="3">
        <v>23</v>
      </c>
      <c r="P198" s="11">
        <v>1</v>
      </c>
      <c r="Q198" s="36">
        <v>69</v>
      </c>
      <c r="R198" s="19"/>
    </row>
    <row r="199" spans="1:18" x14ac:dyDescent="0.3">
      <c r="A199" s="2" t="s">
        <v>105</v>
      </c>
      <c r="B199" s="2" t="s">
        <v>104</v>
      </c>
      <c r="C199" s="2" t="s">
        <v>80</v>
      </c>
      <c r="D199" s="2" t="s">
        <v>79</v>
      </c>
      <c r="E199" s="18" t="s">
        <v>23</v>
      </c>
      <c r="F199" s="19"/>
      <c r="G199" s="2" t="s">
        <v>78</v>
      </c>
      <c r="H199" s="4">
        <v>46054</v>
      </c>
      <c r="I199" s="3">
        <v>795.35</v>
      </c>
      <c r="J199" s="2" t="s">
        <v>23</v>
      </c>
      <c r="K199" s="2" t="s">
        <v>77</v>
      </c>
      <c r="L199" s="18"/>
      <c r="M199" s="19"/>
      <c r="N199" s="2">
        <v>3</v>
      </c>
      <c r="O199" s="3">
        <v>23</v>
      </c>
      <c r="P199" s="11">
        <v>1</v>
      </c>
      <c r="Q199" s="36">
        <v>69</v>
      </c>
      <c r="R199" s="19"/>
    </row>
    <row r="200" spans="1:18" x14ac:dyDescent="0.3">
      <c r="A200" s="2" t="s">
        <v>103</v>
      </c>
      <c r="B200" s="2" t="s">
        <v>102</v>
      </c>
      <c r="C200" s="2" t="s">
        <v>80</v>
      </c>
      <c r="D200" s="2" t="s">
        <v>79</v>
      </c>
      <c r="E200" s="18" t="s">
        <v>23</v>
      </c>
      <c r="F200" s="19"/>
      <c r="G200" s="2" t="s">
        <v>78</v>
      </c>
      <c r="H200" s="4">
        <v>46113</v>
      </c>
      <c r="I200" s="3">
        <v>38.200000000000003</v>
      </c>
      <c r="J200" s="2" t="s">
        <v>23</v>
      </c>
      <c r="K200" s="2" t="s">
        <v>77</v>
      </c>
      <c r="L200" s="18"/>
      <c r="M200" s="19"/>
      <c r="N200" s="2">
        <v>1</v>
      </c>
      <c r="O200" s="3">
        <v>23</v>
      </c>
      <c r="P200" s="11">
        <v>1</v>
      </c>
      <c r="Q200" s="36">
        <v>23</v>
      </c>
      <c r="R200" s="19"/>
    </row>
    <row r="201" spans="1:18" x14ac:dyDescent="0.3">
      <c r="A201" s="2" t="s">
        <v>101</v>
      </c>
      <c r="B201" s="2" t="s">
        <v>100</v>
      </c>
      <c r="C201" s="2" t="s">
        <v>80</v>
      </c>
      <c r="D201" s="2" t="s">
        <v>79</v>
      </c>
      <c r="E201" s="18" t="s">
        <v>23</v>
      </c>
      <c r="F201" s="19"/>
      <c r="G201" s="2" t="s">
        <v>78</v>
      </c>
      <c r="H201" s="4">
        <v>46113</v>
      </c>
      <c r="I201" s="3">
        <v>826.14</v>
      </c>
      <c r="J201" s="2" t="s">
        <v>23</v>
      </c>
      <c r="K201" s="2" t="s">
        <v>77</v>
      </c>
      <c r="L201" s="18"/>
      <c r="M201" s="19"/>
      <c r="N201" s="2">
        <v>1</v>
      </c>
      <c r="O201" s="3">
        <v>23</v>
      </c>
      <c r="P201" s="11">
        <v>1</v>
      </c>
      <c r="Q201" s="36">
        <v>23</v>
      </c>
      <c r="R201" s="19"/>
    </row>
    <row r="202" spans="1:18" x14ac:dyDescent="0.3">
      <c r="A202" s="10" t="s">
        <v>23</v>
      </c>
      <c r="B202" s="10" t="s">
        <v>23</v>
      </c>
      <c r="C202" s="10" t="s">
        <v>23</v>
      </c>
      <c r="D202" s="10" t="s">
        <v>23</v>
      </c>
      <c r="E202" s="35" t="s">
        <v>23</v>
      </c>
      <c r="F202" s="22"/>
      <c r="G202" s="10" t="s">
        <v>23</v>
      </c>
      <c r="H202" s="10" t="s">
        <v>23</v>
      </c>
      <c r="I202" s="10" t="s">
        <v>23</v>
      </c>
      <c r="J202" s="10" t="s">
        <v>23</v>
      </c>
      <c r="K202" s="10" t="s">
        <v>23</v>
      </c>
      <c r="L202" s="35" t="s">
        <v>23</v>
      </c>
      <c r="M202" s="22"/>
      <c r="N202" s="10" t="s">
        <v>23</v>
      </c>
      <c r="O202" s="10" t="s">
        <v>23</v>
      </c>
      <c r="P202" s="10" t="s">
        <v>23</v>
      </c>
      <c r="Q202" s="35" t="s">
        <v>23</v>
      </c>
      <c r="R202" s="22"/>
    </row>
    <row r="203" spans="1:18" x14ac:dyDescent="0.3">
      <c r="A203" s="30" t="s">
        <v>99</v>
      </c>
      <c r="B203" s="22"/>
      <c r="C203" s="22"/>
      <c r="D203" s="22"/>
      <c r="E203" s="22"/>
      <c r="F203" s="22"/>
      <c r="G203" s="22"/>
      <c r="H203" s="22"/>
      <c r="I203" s="37">
        <v>30986.74</v>
      </c>
      <c r="J203" s="22"/>
      <c r="K203" s="9" t="s">
        <v>23</v>
      </c>
      <c r="L203" s="30" t="s">
        <v>23</v>
      </c>
      <c r="M203" s="22"/>
      <c r="N203" s="9" t="s">
        <v>23</v>
      </c>
      <c r="O203" s="38">
        <v>1663.09</v>
      </c>
      <c r="P203" s="22"/>
      <c r="Q203" s="22"/>
      <c r="R203" s="22"/>
    </row>
    <row r="204" spans="1:18" x14ac:dyDescent="0.3">
      <c r="A204" s="8" t="s">
        <v>23</v>
      </c>
      <c r="B204" s="8" t="s">
        <v>23</v>
      </c>
      <c r="C204" s="8" t="s">
        <v>23</v>
      </c>
      <c r="D204" s="8" t="s">
        <v>23</v>
      </c>
      <c r="E204" s="39" t="s">
        <v>23</v>
      </c>
      <c r="F204" s="22"/>
      <c r="G204" s="8" t="s">
        <v>23</v>
      </c>
      <c r="H204" s="8" t="s">
        <v>23</v>
      </c>
      <c r="I204" s="8" t="s">
        <v>23</v>
      </c>
      <c r="J204" s="8" t="s">
        <v>23</v>
      </c>
      <c r="K204" s="8" t="s">
        <v>23</v>
      </c>
      <c r="L204" s="39" t="s">
        <v>23</v>
      </c>
      <c r="M204" s="22"/>
      <c r="N204" s="8" t="s">
        <v>23</v>
      </c>
      <c r="O204" s="8" t="s">
        <v>23</v>
      </c>
      <c r="P204" s="8" t="s">
        <v>23</v>
      </c>
      <c r="Q204" s="40" t="s">
        <v>23</v>
      </c>
      <c r="R204" s="22"/>
    </row>
    <row r="205" spans="1:18" x14ac:dyDescent="0.3">
      <c r="A205" s="8" t="s">
        <v>23</v>
      </c>
      <c r="B205" s="8" t="s">
        <v>23</v>
      </c>
      <c r="C205" s="8" t="s">
        <v>23</v>
      </c>
      <c r="D205" s="8" t="s">
        <v>23</v>
      </c>
      <c r="E205" s="39" t="s">
        <v>23</v>
      </c>
      <c r="F205" s="22"/>
      <c r="G205" s="8" t="s">
        <v>23</v>
      </c>
      <c r="H205" s="8" t="s">
        <v>23</v>
      </c>
      <c r="I205" s="8" t="s">
        <v>23</v>
      </c>
      <c r="J205" s="8" t="s">
        <v>23</v>
      </c>
      <c r="K205" s="8" t="s">
        <v>23</v>
      </c>
      <c r="L205" s="39" t="s">
        <v>23</v>
      </c>
      <c r="M205" s="22"/>
      <c r="N205" s="8" t="s">
        <v>23</v>
      </c>
      <c r="O205" s="8" t="s">
        <v>23</v>
      </c>
      <c r="P205" s="8" t="s">
        <v>23</v>
      </c>
      <c r="Q205" s="40" t="s">
        <v>23</v>
      </c>
      <c r="R205" s="22"/>
    </row>
    <row r="206" spans="1:18" x14ac:dyDescent="0.3">
      <c r="A206" s="30" t="s">
        <v>98</v>
      </c>
      <c r="B206" s="22"/>
      <c r="C206" s="22"/>
      <c r="D206" s="22"/>
      <c r="E206" s="22"/>
      <c r="F206" s="22"/>
      <c r="G206" s="22"/>
      <c r="H206" s="22"/>
      <c r="I206" s="13" t="s">
        <v>23</v>
      </c>
      <c r="J206" s="13" t="s">
        <v>23</v>
      </c>
      <c r="K206" s="13" t="s">
        <v>23</v>
      </c>
      <c r="L206" s="33" t="s">
        <v>23</v>
      </c>
      <c r="M206" s="22"/>
      <c r="N206" s="13" t="s">
        <v>23</v>
      </c>
      <c r="O206" s="13" t="s">
        <v>23</v>
      </c>
      <c r="P206" s="13" t="s">
        <v>23</v>
      </c>
      <c r="Q206" s="33" t="s">
        <v>23</v>
      </c>
      <c r="R206" s="22"/>
    </row>
    <row r="207" spans="1:18" ht="20.399999999999999" x14ac:dyDescent="0.3">
      <c r="A207" s="12" t="s">
        <v>97</v>
      </c>
      <c r="B207" s="12" t="s">
        <v>96</v>
      </c>
      <c r="C207" s="12" t="s">
        <v>95</v>
      </c>
      <c r="D207" s="12" t="s">
        <v>94</v>
      </c>
      <c r="E207" s="34" t="s">
        <v>93</v>
      </c>
      <c r="F207" s="19"/>
      <c r="G207" s="12" t="s">
        <v>92</v>
      </c>
      <c r="H207" s="12" t="s">
        <v>91</v>
      </c>
      <c r="I207" s="12" t="s">
        <v>90</v>
      </c>
      <c r="J207" s="12" t="s">
        <v>89</v>
      </c>
      <c r="K207" s="12" t="s">
        <v>88</v>
      </c>
      <c r="L207" s="34" t="s">
        <v>87</v>
      </c>
      <c r="M207" s="19"/>
      <c r="N207" s="12" t="s">
        <v>86</v>
      </c>
      <c r="O207" s="12" t="s">
        <v>85</v>
      </c>
      <c r="P207" s="12" t="s">
        <v>84</v>
      </c>
      <c r="Q207" s="34" t="s">
        <v>83</v>
      </c>
      <c r="R207" s="19"/>
    </row>
    <row r="208" spans="1:18" x14ac:dyDescent="0.3">
      <c r="A208" s="10" t="s">
        <v>23</v>
      </c>
      <c r="B208" s="10" t="s">
        <v>23</v>
      </c>
      <c r="C208" s="10" t="s">
        <v>23</v>
      </c>
      <c r="D208" s="10" t="s">
        <v>23</v>
      </c>
      <c r="E208" s="35" t="s">
        <v>23</v>
      </c>
      <c r="F208" s="22"/>
      <c r="G208" s="10" t="s">
        <v>23</v>
      </c>
      <c r="H208" s="10" t="s">
        <v>23</v>
      </c>
      <c r="I208" s="10" t="s">
        <v>23</v>
      </c>
      <c r="J208" s="10" t="s">
        <v>23</v>
      </c>
      <c r="K208" s="10" t="s">
        <v>23</v>
      </c>
      <c r="L208" s="35" t="s">
        <v>23</v>
      </c>
      <c r="M208" s="22"/>
      <c r="N208" s="10" t="s">
        <v>23</v>
      </c>
      <c r="O208" s="10" t="s">
        <v>23</v>
      </c>
      <c r="P208" s="10" t="s">
        <v>23</v>
      </c>
      <c r="Q208" s="35" t="s">
        <v>23</v>
      </c>
      <c r="R208" s="22"/>
    </row>
    <row r="209" spans="1:18" x14ac:dyDescent="0.3">
      <c r="A209" s="2" t="s">
        <v>82</v>
      </c>
      <c r="B209" s="2" t="s">
        <v>81</v>
      </c>
      <c r="C209" s="2" t="s">
        <v>80</v>
      </c>
      <c r="D209" s="2" t="s">
        <v>79</v>
      </c>
      <c r="E209" s="18" t="s">
        <v>23</v>
      </c>
      <c r="F209" s="19"/>
      <c r="G209" s="2" t="s">
        <v>78</v>
      </c>
      <c r="H209" s="4">
        <v>46082</v>
      </c>
      <c r="I209" s="3">
        <v>386.55</v>
      </c>
      <c r="J209" s="2" t="s">
        <v>23</v>
      </c>
      <c r="K209" s="2" t="s">
        <v>77</v>
      </c>
      <c r="L209" s="18"/>
      <c r="M209" s="19"/>
      <c r="N209" s="2">
        <v>1</v>
      </c>
      <c r="O209" s="3">
        <v>23</v>
      </c>
      <c r="P209" s="11">
        <v>1</v>
      </c>
      <c r="Q209" s="36">
        <v>23</v>
      </c>
      <c r="R209" s="19"/>
    </row>
    <row r="210" spans="1:18" x14ac:dyDescent="0.3">
      <c r="A210" s="2" t="s">
        <v>82</v>
      </c>
      <c r="B210" s="2" t="s">
        <v>81</v>
      </c>
      <c r="C210" s="2" t="s">
        <v>80</v>
      </c>
      <c r="D210" s="2" t="s">
        <v>79</v>
      </c>
      <c r="E210" s="18" t="s">
        <v>23</v>
      </c>
      <c r="F210" s="19"/>
      <c r="G210" s="2" t="s">
        <v>78</v>
      </c>
      <c r="H210" s="4">
        <v>46113</v>
      </c>
      <c r="I210" s="3">
        <v>386.55</v>
      </c>
      <c r="J210" s="2" t="s">
        <v>23</v>
      </c>
      <c r="K210" s="2" t="s">
        <v>77</v>
      </c>
      <c r="L210" s="18"/>
      <c r="M210" s="19"/>
      <c r="N210" s="2">
        <v>1</v>
      </c>
      <c r="O210" s="3">
        <v>23</v>
      </c>
      <c r="P210" s="11">
        <v>1</v>
      </c>
      <c r="Q210" s="36">
        <v>23</v>
      </c>
      <c r="R210" s="19"/>
    </row>
    <row r="211" spans="1:18" x14ac:dyDescent="0.3">
      <c r="A211" s="10" t="s">
        <v>23</v>
      </c>
      <c r="B211" s="10" t="s">
        <v>23</v>
      </c>
      <c r="C211" s="10" t="s">
        <v>23</v>
      </c>
      <c r="D211" s="10" t="s">
        <v>23</v>
      </c>
      <c r="E211" s="35" t="s">
        <v>23</v>
      </c>
      <c r="F211" s="22"/>
      <c r="G211" s="10" t="s">
        <v>23</v>
      </c>
      <c r="H211" s="10" t="s">
        <v>23</v>
      </c>
      <c r="I211" s="10" t="s">
        <v>23</v>
      </c>
      <c r="J211" s="10" t="s">
        <v>23</v>
      </c>
      <c r="K211" s="10" t="s">
        <v>23</v>
      </c>
      <c r="L211" s="35" t="s">
        <v>23</v>
      </c>
      <c r="M211" s="22"/>
      <c r="N211" s="10" t="s">
        <v>23</v>
      </c>
      <c r="O211" s="10" t="s">
        <v>23</v>
      </c>
      <c r="P211" s="10" t="s">
        <v>23</v>
      </c>
      <c r="Q211" s="35" t="s">
        <v>23</v>
      </c>
      <c r="R211" s="22"/>
    </row>
    <row r="212" spans="1:18" x14ac:dyDescent="0.3">
      <c r="A212" s="30" t="s">
        <v>76</v>
      </c>
      <c r="B212" s="22"/>
      <c r="C212" s="22"/>
      <c r="D212" s="22"/>
      <c r="E212" s="22"/>
      <c r="F212" s="22"/>
      <c r="G212" s="22"/>
      <c r="H212" s="22"/>
      <c r="I212" s="37">
        <v>773.1</v>
      </c>
      <c r="J212" s="22"/>
      <c r="K212" s="9" t="s">
        <v>23</v>
      </c>
      <c r="L212" s="30" t="s">
        <v>23</v>
      </c>
      <c r="M212" s="22"/>
      <c r="N212" s="9" t="s">
        <v>23</v>
      </c>
      <c r="O212" s="38">
        <v>46</v>
      </c>
      <c r="P212" s="22"/>
      <c r="Q212" s="22"/>
      <c r="R212" s="22"/>
    </row>
    <row r="213" spans="1:18" x14ac:dyDescent="0.3">
      <c r="A213" s="8" t="s">
        <v>23</v>
      </c>
      <c r="B213" s="8" t="s">
        <v>23</v>
      </c>
      <c r="C213" s="8" t="s">
        <v>23</v>
      </c>
      <c r="D213" s="8" t="s">
        <v>23</v>
      </c>
      <c r="E213" s="39" t="s">
        <v>23</v>
      </c>
      <c r="F213" s="22"/>
      <c r="G213" s="8" t="s">
        <v>23</v>
      </c>
      <c r="H213" s="8" t="s">
        <v>23</v>
      </c>
      <c r="I213" s="8" t="s">
        <v>23</v>
      </c>
      <c r="J213" s="8" t="s">
        <v>23</v>
      </c>
      <c r="K213" s="8" t="s">
        <v>23</v>
      </c>
      <c r="L213" s="39" t="s">
        <v>23</v>
      </c>
      <c r="M213" s="22"/>
      <c r="N213" s="8" t="s">
        <v>23</v>
      </c>
      <c r="O213" s="8" t="s">
        <v>23</v>
      </c>
      <c r="P213" s="8" t="s">
        <v>23</v>
      </c>
      <c r="Q213" s="40" t="s">
        <v>23</v>
      </c>
      <c r="R213" s="22"/>
    </row>
    <row r="214" spans="1:18" x14ac:dyDescent="0.3">
      <c r="A214" s="8" t="s">
        <v>23</v>
      </c>
      <c r="B214" s="8" t="s">
        <v>23</v>
      </c>
      <c r="C214" s="8" t="s">
        <v>23</v>
      </c>
      <c r="D214" s="8" t="s">
        <v>23</v>
      </c>
      <c r="E214" s="39" t="s">
        <v>23</v>
      </c>
      <c r="F214" s="22"/>
      <c r="G214" s="8" t="s">
        <v>23</v>
      </c>
      <c r="H214" s="8" t="s">
        <v>23</v>
      </c>
      <c r="I214" s="8" t="s">
        <v>23</v>
      </c>
      <c r="J214" s="8" t="s">
        <v>23</v>
      </c>
      <c r="K214" s="8" t="s">
        <v>23</v>
      </c>
      <c r="L214" s="39" t="s">
        <v>23</v>
      </c>
      <c r="M214" s="22"/>
      <c r="N214" s="8" t="s">
        <v>23</v>
      </c>
      <c r="O214" s="8" t="s">
        <v>23</v>
      </c>
      <c r="P214" s="8" t="s">
        <v>23</v>
      </c>
      <c r="Q214" s="40" t="s">
        <v>23</v>
      </c>
      <c r="R214" s="22"/>
    </row>
    <row r="215" spans="1:18" x14ac:dyDescent="0.3">
      <c r="A215" s="39" t="s">
        <v>75</v>
      </c>
      <c r="B215" s="22"/>
      <c r="C215" s="8" t="s">
        <v>23</v>
      </c>
      <c r="D215" s="8" t="s">
        <v>23</v>
      </c>
      <c r="E215" s="39" t="s">
        <v>23</v>
      </c>
      <c r="F215" s="22"/>
      <c r="G215" s="8" t="s">
        <v>23</v>
      </c>
      <c r="H215" s="8" t="s">
        <v>23</v>
      </c>
      <c r="I215" s="8" t="s">
        <v>23</v>
      </c>
      <c r="J215" s="8" t="s">
        <v>23</v>
      </c>
      <c r="K215" s="8" t="s">
        <v>23</v>
      </c>
      <c r="L215" s="39" t="s">
        <v>23</v>
      </c>
      <c r="M215" s="22"/>
      <c r="N215" s="8" t="s">
        <v>23</v>
      </c>
      <c r="O215" s="43">
        <v>7979.84</v>
      </c>
      <c r="P215" s="22"/>
      <c r="Q215" s="22"/>
      <c r="R215" s="22"/>
    </row>
  </sheetData>
  <mergeCells count="633">
    <mergeCell ref="E211:F211"/>
    <mergeCell ref="L211:M211"/>
    <mergeCell ref="Q211:R211"/>
    <mergeCell ref="A212:H212"/>
    <mergeCell ref="I212:J212"/>
    <mergeCell ref="L212:M212"/>
    <mergeCell ref="O212:R212"/>
    <mergeCell ref="A215:B215"/>
    <mergeCell ref="E215:F215"/>
    <mergeCell ref="L215:M215"/>
    <mergeCell ref="O215:R215"/>
    <mergeCell ref="E213:F213"/>
    <mergeCell ref="L213:M213"/>
    <mergeCell ref="Q213:R213"/>
    <mergeCell ref="E214:F214"/>
    <mergeCell ref="L214:M214"/>
    <mergeCell ref="Q214:R214"/>
    <mergeCell ref="E208:F208"/>
    <mergeCell ref="L208:M208"/>
    <mergeCell ref="Q208:R208"/>
    <mergeCell ref="E209:F209"/>
    <mergeCell ref="L209:M209"/>
    <mergeCell ref="Q209:R209"/>
    <mergeCell ref="E210:F210"/>
    <mergeCell ref="L210:M210"/>
    <mergeCell ref="Q210:R210"/>
    <mergeCell ref="E205:F205"/>
    <mergeCell ref="L205:M205"/>
    <mergeCell ref="Q205:R205"/>
    <mergeCell ref="A206:H206"/>
    <mergeCell ref="L206:M206"/>
    <mergeCell ref="Q206:R206"/>
    <mergeCell ref="E207:F207"/>
    <mergeCell ref="L207:M207"/>
    <mergeCell ref="Q207:R207"/>
    <mergeCell ref="E202:F202"/>
    <mergeCell ref="L202:M202"/>
    <mergeCell ref="Q202:R202"/>
    <mergeCell ref="A203:H203"/>
    <mergeCell ref="I203:J203"/>
    <mergeCell ref="L203:M203"/>
    <mergeCell ref="O203:R203"/>
    <mergeCell ref="E204:F204"/>
    <mergeCell ref="L204:M204"/>
    <mergeCell ref="Q204:R204"/>
    <mergeCell ref="E199:F199"/>
    <mergeCell ref="L199:M199"/>
    <mergeCell ref="Q199:R199"/>
    <mergeCell ref="E200:F200"/>
    <mergeCell ref="L200:M200"/>
    <mergeCell ref="Q200:R200"/>
    <mergeCell ref="E201:F201"/>
    <mergeCell ref="L201:M201"/>
    <mergeCell ref="Q201:R201"/>
    <mergeCell ref="E196:F196"/>
    <mergeCell ref="L196:M196"/>
    <mergeCell ref="Q196:R196"/>
    <mergeCell ref="E197:F197"/>
    <mergeCell ref="L197:M197"/>
    <mergeCell ref="Q197:R197"/>
    <mergeCell ref="E198:F198"/>
    <mergeCell ref="L198:M198"/>
    <mergeCell ref="Q198:R198"/>
    <mergeCell ref="E193:F193"/>
    <mergeCell ref="L193:M193"/>
    <mergeCell ref="Q193:R193"/>
    <mergeCell ref="E194:F194"/>
    <mergeCell ref="L194:M194"/>
    <mergeCell ref="Q194:R194"/>
    <mergeCell ref="E195:F195"/>
    <mergeCell ref="L195:M195"/>
    <mergeCell ref="Q195:R195"/>
    <mergeCell ref="E190:F190"/>
    <mergeCell ref="L190:M190"/>
    <mergeCell ref="Q190:R190"/>
    <mergeCell ref="E191:F191"/>
    <mergeCell ref="L191:M191"/>
    <mergeCell ref="Q191:R191"/>
    <mergeCell ref="E192:F192"/>
    <mergeCell ref="L192:M192"/>
    <mergeCell ref="Q192:R192"/>
    <mergeCell ref="E187:F187"/>
    <mergeCell ref="L187:M187"/>
    <mergeCell ref="Q187:R187"/>
    <mergeCell ref="E188:F188"/>
    <mergeCell ref="L188:M188"/>
    <mergeCell ref="Q188:R188"/>
    <mergeCell ref="E189:F189"/>
    <mergeCell ref="L189:M189"/>
    <mergeCell ref="Q189:R189"/>
    <mergeCell ref="E184:F184"/>
    <mergeCell ref="L184:M184"/>
    <mergeCell ref="Q184:R184"/>
    <mergeCell ref="E185:F185"/>
    <mergeCell ref="L185:M185"/>
    <mergeCell ref="Q185:R185"/>
    <mergeCell ref="E186:F186"/>
    <mergeCell ref="L186:M186"/>
    <mergeCell ref="Q186:R186"/>
    <mergeCell ref="E181:F181"/>
    <mergeCell ref="L181:M181"/>
    <mergeCell ref="Q181:R181"/>
    <mergeCell ref="E182:F182"/>
    <mergeCell ref="L182:M182"/>
    <mergeCell ref="Q182:R182"/>
    <mergeCell ref="E183:F183"/>
    <mergeCell ref="L183:M183"/>
    <mergeCell ref="Q183:R183"/>
    <mergeCell ref="E178:F178"/>
    <mergeCell ref="L178:M178"/>
    <mergeCell ref="Q178:R178"/>
    <mergeCell ref="E179:F179"/>
    <mergeCell ref="L179:M179"/>
    <mergeCell ref="Q179:R179"/>
    <mergeCell ref="E180:F180"/>
    <mergeCell ref="L180:M180"/>
    <mergeCell ref="Q180:R180"/>
    <mergeCell ref="E175:F175"/>
    <mergeCell ref="L175:M175"/>
    <mergeCell ref="Q175:R175"/>
    <mergeCell ref="E176:F176"/>
    <mergeCell ref="L176:M176"/>
    <mergeCell ref="Q176:R176"/>
    <mergeCell ref="E177:F177"/>
    <mergeCell ref="L177:M177"/>
    <mergeCell ref="Q177:R177"/>
    <mergeCell ref="E172:F172"/>
    <mergeCell ref="L172:M172"/>
    <mergeCell ref="Q172:R172"/>
    <mergeCell ref="E173:F173"/>
    <mergeCell ref="L173:M173"/>
    <mergeCell ref="Q173:R173"/>
    <mergeCell ref="E174:F174"/>
    <mergeCell ref="L174:M174"/>
    <mergeCell ref="Q174:R174"/>
    <mergeCell ref="E169:F169"/>
    <mergeCell ref="L169:M169"/>
    <mergeCell ref="Q169:R169"/>
    <mergeCell ref="E170:F170"/>
    <mergeCell ref="L170:M170"/>
    <mergeCell ref="Q170:R170"/>
    <mergeCell ref="E171:F171"/>
    <mergeCell ref="L171:M171"/>
    <mergeCell ref="Q171:R171"/>
    <mergeCell ref="E166:F166"/>
    <mergeCell ref="L166:M166"/>
    <mergeCell ref="Q166:R166"/>
    <mergeCell ref="E167:F167"/>
    <mergeCell ref="L167:M167"/>
    <mergeCell ref="Q167:R167"/>
    <mergeCell ref="E168:F168"/>
    <mergeCell ref="L168:M168"/>
    <mergeCell ref="Q168:R168"/>
    <mergeCell ref="E163:F163"/>
    <mergeCell ref="L163:M163"/>
    <mergeCell ref="Q163:R163"/>
    <mergeCell ref="E164:F164"/>
    <mergeCell ref="L164:M164"/>
    <mergeCell ref="Q164:R164"/>
    <mergeCell ref="E165:F165"/>
    <mergeCell ref="L165:M165"/>
    <mergeCell ref="Q165:R165"/>
    <mergeCell ref="E160:F160"/>
    <mergeCell ref="L160:M160"/>
    <mergeCell ref="Q160:R160"/>
    <mergeCell ref="E161:F161"/>
    <mergeCell ref="L161:M161"/>
    <mergeCell ref="Q161:R161"/>
    <mergeCell ref="E162:F162"/>
    <mergeCell ref="L162:M162"/>
    <mergeCell ref="Q162:R162"/>
    <mergeCell ref="E157:F157"/>
    <mergeCell ref="L157:M157"/>
    <mergeCell ref="Q157:R157"/>
    <mergeCell ref="E158:F158"/>
    <mergeCell ref="L158:M158"/>
    <mergeCell ref="Q158:R158"/>
    <mergeCell ref="E159:F159"/>
    <mergeCell ref="L159:M159"/>
    <mergeCell ref="Q159:R159"/>
    <mergeCell ref="E154:F154"/>
    <mergeCell ref="L154:M154"/>
    <mergeCell ref="Q154:R154"/>
    <mergeCell ref="E155:F155"/>
    <mergeCell ref="L155:M155"/>
    <mergeCell ref="Q155:R155"/>
    <mergeCell ref="E156:F156"/>
    <mergeCell ref="L156:M156"/>
    <mergeCell ref="Q156:R156"/>
    <mergeCell ref="E151:F151"/>
    <mergeCell ref="L151:M151"/>
    <mergeCell ref="Q151:R151"/>
    <mergeCell ref="E152:F152"/>
    <mergeCell ref="L152:M152"/>
    <mergeCell ref="Q152:R152"/>
    <mergeCell ref="E153:F153"/>
    <mergeCell ref="L153:M153"/>
    <mergeCell ref="Q153:R153"/>
    <mergeCell ref="E148:F148"/>
    <mergeCell ref="L148:M148"/>
    <mergeCell ref="Q148:R148"/>
    <mergeCell ref="E149:F149"/>
    <mergeCell ref="L149:M149"/>
    <mergeCell ref="Q149:R149"/>
    <mergeCell ref="E150:F150"/>
    <mergeCell ref="H150:P150"/>
    <mergeCell ref="Q150:R150"/>
    <mergeCell ref="E145:F145"/>
    <mergeCell ref="L145:M145"/>
    <mergeCell ref="Q145:R145"/>
    <mergeCell ref="E146:F146"/>
    <mergeCell ref="L146:M146"/>
    <mergeCell ref="Q146:R146"/>
    <mergeCell ref="A147:H147"/>
    <mergeCell ref="L147:M147"/>
    <mergeCell ref="Q147:R147"/>
    <mergeCell ref="E142:F142"/>
    <mergeCell ref="L142:M142"/>
    <mergeCell ref="Q142:R142"/>
    <mergeCell ref="E143:F143"/>
    <mergeCell ref="L143:M143"/>
    <mergeCell ref="Q143:R143"/>
    <mergeCell ref="A144:H144"/>
    <mergeCell ref="I144:J144"/>
    <mergeCell ref="L144:M144"/>
    <mergeCell ref="O144:R144"/>
    <mergeCell ref="E139:F139"/>
    <mergeCell ref="L139:M139"/>
    <mergeCell ref="Q139:R139"/>
    <mergeCell ref="E140:F140"/>
    <mergeCell ref="L140:M140"/>
    <mergeCell ref="Q140:R140"/>
    <mergeCell ref="E141:F141"/>
    <mergeCell ref="L141:M141"/>
    <mergeCell ref="Q141:R141"/>
    <mergeCell ref="E136:F136"/>
    <mergeCell ref="L136:M136"/>
    <mergeCell ref="Q136:R136"/>
    <mergeCell ref="E137:F137"/>
    <mergeCell ref="L137:M137"/>
    <mergeCell ref="Q137:R137"/>
    <mergeCell ref="E138:F138"/>
    <mergeCell ref="L138:M138"/>
    <mergeCell ref="Q138:R138"/>
    <mergeCell ref="E133:F133"/>
    <mergeCell ref="L133:M133"/>
    <mergeCell ref="Q133:R133"/>
    <mergeCell ref="E134:F134"/>
    <mergeCell ref="L134:M134"/>
    <mergeCell ref="Q134:R134"/>
    <mergeCell ref="E135:F135"/>
    <mergeCell ref="L135:M135"/>
    <mergeCell ref="Q135:R135"/>
    <mergeCell ref="E130:F130"/>
    <mergeCell ref="L130:M130"/>
    <mergeCell ref="Q130:R130"/>
    <mergeCell ref="E131:F131"/>
    <mergeCell ref="L131:M131"/>
    <mergeCell ref="Q131:R131"/>
    <mergeCell ref="E132:F132"/>
    <mergeCell ref="L132:M132"/>
    <mergeCell ref="Q132:R132"/>
    <mergeCell ref="E127:F127"/>
    <mergeCell ref="L127:M127"/>
    <mergeCell ref="Q127:R127"/>
    <mergeCell ref="E128:F128"/>
    <mergeCell ref="L128:M128"/>
    <mergeCell ref="Q128:R128"/>
    <mergeCell ref="E129:F129"/>
    <mergeCell ref="L129:M129"/>
    <mergeCell ref="Q129:R129"/>
    <mergeCell ref="E124:F124"/>
    <mergeCell ref="L124:M124"/>
    <mergeCell ref="Q124:R124"/>
    <mergeCell ref="E125:F125"/>
    <mergeCell ref="L125:M125"/>
    <mergeCell ref="Q125:R125"/>
    <mergeCell ref="E126:F126"/>
    <mergeCell ref="L126:M126"/>
    <mergeCell ref="Q126:R126"/>
    <mergeCell ref="E121:F121"/>
    <mergeCell ref="L121:M121"/>
    <mergeCell ref="Q121:R121"/>
    <mergeCell ref="E122:F122"/>
    <mergeCell ref="L122:M122"/>
    <mergeCell ref="Q122:R122"/>
    <mergeCell ref="E123:F123"/>
    <mergeCell ref="L123:M123"/>
    <mergeCell ref="Q123:R123"/>
    <mergeCell ref="E118:F118"/>
    <mergeCell ref="L118:M118"/>
    <mergeCell ref="Q118:R118"/>
    <mergeCell ref="E119:F119"/>
    <mergeCell ref="L119:M119"/>
    <mergeCell ref="Q119:R119"/>
    <mergeCell ref="A120:H120"/>
    <mergeCell ref="L120:M120"/>
    <mergeCell ref="Q120:R120"/>
    <mergeCell ref="E115:F115"/>
    <mergeCell ref="L115:M115"/>
    <mergeCell ref="Q115:R115"/>
    <mergeCell ref="E116:F116"/>
    <mergeCell ref="L116:M116"/>
    <mergeCell ref="Q116:R116"/>
    <mergeCell ref="A117:H117"/>
    <mergeCell ref="I117:J117"/>
    <mergeCell ref="L117:M117"/>
    <mergeCell ref="O117:R117"/>
    <mergeCell ref="E112:F112"/>
    <mergeCell ref="L112:M112"/>
    <mergeCell ref="Q112:R112"/>
    <mergeCell ref="E113:F113"/>
    <mergeCell ref="L113:M113"/>
    <mergeCell ref="Q113:R113"/>
    <mergeCell ref="E114:F114"/>
    <mergeCell ref="L114:M114"/>
    <mergeCell ref="Q114:R114"/>
    <mergeCell ref="E109:F109"/>
    <mergeCell ref="L109:M109"/>
    <mergeCell ref="Q109:R109"/>
    <mergeCell ref="E110:F110"/>
    <mergeCell ref="L110:M110"/>
    <mergeCell ref="Q110:R110"/>
    <mergeCell ref="E111:F111"/>
    <mergeCell ref="L111:M111"/>
    <mergeCell ref="Q111:R111"/>
    <mergeCell ref="E106:F106"/>
    <mergeCell ref="L106:M106"/>
    <mergeCell ref="Q106:R106"/>
    <mergeCell ref="E107:F107"/>
    <mergeCell ref="L107:M107"/>
    <mergeCell ref="Q107:R107"/>
    <mergeCell ref="E108:F108"/>
    <mergeCell ref="L108:M108"/>
    <mergeCell ref="Q108:R108"/>
    <mergeCell ref="E103:F103"/>
    <mergeCell ref="L103:M103"/>
    <mergeCell ref="Q103:R103"/>
    <mergeCell ref="E104:F104"/>
    <mergeCell ref="L104:M104"/>
    <mergeCell ref="Q104:R104"/>
    <mergeCell ref="E105:F105"/>
    <mergeCell ref="L105:M105"/>
    <mergeCell ref="Q105:R105"/>
    <mergeCell ref="E100:F100"/>
    <mergeCell ref="L100:M100"/>
    <mergeCell ref="Q100:R100"/>
    <mergeCell ref="E101:F101"/>
    <mergeCell ref="L101:M101"/>
    <mergeCell ref="Q101:R101"/>
    <mergeCell ref="E102:F102"/>
    <mergeCell ref="L102:M102"/>
    <mergeCell ref="Q102:R102"/>
    <mergeCell ref="E97:F97"/>
    <mergeCell ref="L97:M97"/>
    <mergeCell ref="Q97:R97"/>
    <mergeCell ref="E98:F98"/>
    <mergeCell ref="L98:M98"/>
    <mergeCell ref="Q98:R98"/>
    <mergeCell ref="E99:F99"/>
    <mergeCell ref="L99:M99"/>
    <mergeCell ref="Q99:R99"/>
    <mergeCell ref="E94:F94"/>
    <mergeCell ref="L94:M94"/>
    <mergeCell ref="Q94:R94"/>
    <mergeCell ref="E95:F95"/>
    <mergeCell ref="L95:M95"/>
    <mergeCell ref="Q95:R95"/>
    <mergeCell ref="E96:F96"/>
    <mergeCell ref="L96:M96"/>
    <mergeCell ref="Q96:R96"/>
    <mergeCell ref="E91:F91"/>
    <mergeCell ref="L91:M91"/>
    <mergeCell ref="Q91:R91"/>
    <mergeCell ref="E92:F92"/>
    <mergeCell ref="L92:M92"/>
    <mergeCell ref="Q92:R92"/>
    <mergeCell ref="E93:F93"/>
    <mergeCell ref="L93:M93"/>
    <mergeCell ref="Q93:R93"/>
    <mergeCell ref="E88:F88"/>
    <mergeCell ref="L88:M88"/>
    <mergeCell ref="Q88:R88"/>
    <mergeCell ref="E89:F89"/>
    <mergeCell ref="L89:M89"/>
    <mergeCell ref="Q89:R89"/>
    <mergeCell ref="E90:F90"/>
    <mergeCell ref="L90:M90"/>
    <mergeCell ref="Q90:R90"/>
    <mergeCell ref="E85:F85"/>
    <mergeCell ref="L85:M85"/>
    <mergeCell ref="Q85:R85"/>
    <mergeCell ref="E86:F86"/>
    <mergeCell ref="L86:M86"/>
    <mergeCell ref="Q86:R86"/>
    <mergeCell ref="E87:F87"/>
    <mergeCell ref="L87:M87"/>
    <mergeCell ref="Q87:R87"/>
    <mergeCell ref="E82:F82"/>
    <mergeCell ref="L82:M82"/>
    <mergeCell ref="Q82:R82"/>
    <mergeCell ref="E83:F83"/>
    <mergeCell ref="L83:M83"/>
    <mergeCell ref="Q83:R83"/>
    <mergeCell ref="E84:F84"/>
    <mergeCell ref="L84:M84"/>
    <mergeCell ref="Q84:R84"/>
    <mergeCell ref="E79:F79"/>
    <mergeCell ref="L79:M79"/>
    <mergeCell ref="Q79:R79"/>
    <mergeCell ref="E80:F80"/>
    <mergeCell ref="L80:M80"/>
    <mergeCell ref="Q80:R80"/>
    <mergeCell ref="E81:F81"/>
    <mergeCell ref="L81:M81"/>
    <mergeCell ref="Q81:R81"/>
    <mergeCell ref="E76:F76"/>
    <mergeCell ref="L76:M76"/>
    <mergeCell ref="Q76:R76"/>
    <mergeCell ref="E77:F77"/>
    <mergeCell ref="L77:M77"/>
    <mergeCell ref="Q77:R77"/>
    <mergeCell ref="E78:F78"/>
    <mergeCell ref="L78:M78"/>
    <mergeCell ref="Q78:R78"/>
    <mergeCell ref="E73:F73"/>
    <mergeCell ref="L73:M73"/>
    <mergeCell ref="Q73:R73"/>
    <mergeCell ref="E74:F74"/>
    <mergeCell ref="L74:M74"/>
    <mergeCell ref="Q74:R74"/>
    <mergeCell ref="E75:F75"/>
    <mergeCell ref="L75:M75"/>
    <mergeCell ref="Q75:R75"/>
    <mergeCell ref="E70:F70"/>
    <mergeCell ref="L70:M70"/>
    <mergeCell ref="Q70:R70"/>
    <mergeCell ref="E71:F71"/>
    <mergeCell ref="L71:M71"/>
    <mergeCell ref="Q71:R71"/>
    <mergeCell ref="E72:F72"/>
    <mergeCell ref="L72:M72"/>
    <mergeCell ref="Q72:R72"/>
    <mergeCell ref="E67:F67"/>
    <mergeCell ref="L67:M67"/>
    <mergeCell ref="Q67:R67"/>
    <mergeCell ref="E68:F68"/>
    <mergeCell ref="L68:M68"/>
    <mergeCell ref="Q68:R68"/>
    <mergeCell ref="E69:F69"/>
    <mergeCell ref="L69:M69"/>
    <mergeCell ref="Q69:R69"/>
    <mergeCell ref="E64:F64"/>
    <mergeCell ref="L64:M64"/>
    <mergeCell ref="Q64:R64"/>
    <mergeCell ref="E65:F65"/>
    <mergeCell ref="L65:M65"/>
    <mergeCell ref="Q65:R65"/>
    <mergeCell ref="E66:F66"/>
    <mergeCell ref="L66:M66"/>
    <mergeCell ref="Q66:R66"/>
    <mergeCell ref="E61:F61"/>
    <mergeCell ref="L61:M61"/>
    <mergeCell ref="Q61:R61"/>
    <mergeCell ref="E62:F62"/>
    <mergeCell ref="L62:M62"/>
    <mergeCell ref="Q62:R62"/>
    <mergeCell ref="E63:F63"/>
    <mergeCell ref="L63:M63"/>
    <mergeCell ref="Q63:R63"/>
    <mergeCell ref="E58:F58"/>
    <mergeCell ref="L58:M58"/>
    <mergeCell ref="Q58:R58"/>
    <mergeCell ref="E59:F59"/>
    <mergeCell ref="L59:M59"/>
    <mergeCell ref="Q59:R59"/>
    <mergeCell ref="E60:F60"/>
    <mergeCell ref="L60:M60"/>
    <mergeCell ref="Q60:R60"/>
    <mergeCell ref="E55:F55"/>
    <mergeCell ref="L55:M55"/>
    <mergeCell ref="Q55:R55"/>
    <mergeCell ref="E56:F56"/>
    <mergeCell ref="L56:M56"/>
    <mergeCell ref="Q56:R56"/>
    <mergeCell ref="E57:F57"/>
    <mergeCell ref="L57:M57"/>
    <mergeCell ref="Q57:R57"/>
    <mergeCell ref="E52:F52"/>
    <mergeCell ref="L52:M52"/>
    <mergeCell ref="Q52:R52"/>
    <mergeCell ref="E53:F53"/>
    <mergeCell ref="L53:M53"/>
    <mergeCell ref="Q53:R53"/>
    <mergeCell ref="E54:F54"/>
    <mergeCell ref="L54:M54"/>
    <mergeCell ref="Q54:R54"/>
    <mergeCell ref="E49:F49"/>
    <mergeCell ref="L49:M49"/>
    <mergeCell ref="Q49:R49"/>
    <mergeCell ref="E50:F50"/>
    <mergeCell ref="L50:M50"/>
    <mergeCell ref="Q50:R50"/>
    <mergeCell ref="E51:F51"/>
    <mergeCell ref="L51:M51"/>
    <mergeCell ref="Q51:R51"/>
    <mergeCell ref="E46:F46"/>
    <mergeCell ref="L46:M46"/>
    <mergeCell ref="Q46:R46"/>
    <mergeCell ref="E47:F47"/>
    <mergeCell ref="L47:M47"/>
    <mergeCell ref="Q47:R47"/>
    <mergeCell ref="E48:F48"/>
    <mergeCell ref="L48:M48"/>
    <mergeCell ref="Q48:R48"/>
    <mergeCell ref="E43:F43"/>
    <mergeCell ref="L43:M43"/>
    <mergeCell ref="Q43:R43"/>
    <mergeCell ref="E44:F44"/>
    <mergeCell ref="L44:M44"/>
    <mergeCell ref="Q44:R44"/>
    <mergeCell ref="E45:F45"/>
    <mergeCell ref="L45:M45"/>
    <mergeCell ref="Q45:R45"/>
    <mergeCell ref="E40:F40"/>
    <mergeCell ref="L40:M40"/>
    <mergeCell ref="Q40:R40"/>
    <mergeCell ref="E41:F41"/>
    <mergeCell ref="L41:M41"/>
    <mergeCell ref="Q41:R41"/>
    <mergeCell ref="E42:F42"/>
    <mergeCell ref="L42:M42"/>
    <mergeCell ref="Q42:R42"/>
    <mergeCell ref="E37:F37"/>
    <mergeCell ref="L37:M37"/>
    <mergeCell ref="Q37:R37"/>
    <mergeCell ref="E38:F38"/>
    <mergeCell ref="L38:M38"/>
    <mergeCell ref="Q38:R38"/>
    <mergeCell ref="E39:F39"/>
    <mergeCell ref="L39:M39"/>
    <mergeCell ref="Q39:R39"/>
    <mergeCell ref="E34:F34"/>
    <mergeCell ref="L34:M34"/>
    <mergeCell ref="Q34:R34"/>
    <mergeCell ref="E35:F35"/>
    <mergeCell ref="L35:M35"/>
    <mergeCell ref="Q35:R35"/>
    <mergeCell ref="E36:F36"/>
    <mergeCell ref="L36:M36"/>
    <mergeCell ref="Q36:R36"/>
    <mergeCell ref="E31:F31"/>
    <mergeCell ref="L31:M31"/>
    <mergeCell ref="Q31:R31"/>
    <mergeCell ref="E32:F32"/>
    <mergeCell ref="L32:M32"/>
    <mergeCell ref="Q32:R32"/>
    <mergeCell ref="E33:F33"/>
    <mergeCell ref="L33:M33"/>
    <mergeCell ref="Q33:R33"/>
    <mergeCell ref="E28:F28"/>
    <mergeCell ref="L28:M28"/>
    <mergeCell ref="Q28:R28"/>
    <mergeCell ref="E29:F29"/>
    <mergeCell ref="L29:M29"/>
    <mergeCell ref="Q29:R29"/>
    <mergeCell ref="E30:F30"/>
    <mergeCell ref="L30:M30"/>
    <mergeCell ref="Q30:R30"/>
    <mergeCell ref="E25:F25"/>
    <mergeCell ref="L25:M25"/>
    <mergeCell ref="Q25:R25"/>
    <mergeCell ref="E26:F26"/>
    <mergeCell ref="H26:P26"/>
    <mergeCell ref="Q26:R26"/>
    <mergeCell ref="E27:F27"/>
    <mergeCell ref="H27:P27"/>
    <mergeCell ref="Q27:R27"/>
    <mergeCell ref="E22:F22"/>
    <mergeCell ref="L22:M22"/>
    <mergeCell ref="Q22:R22"/>
    <mergeCell ref="A23:H23"/>
    <mergeCell ref="L23:M23"/>
    <mergeCell ref="Q23:R23"/>
    <mergeCell ref="E24:F24"/>
    <mergeCell ref="L24:M24"/>
    <mergeCell ref="Q24:R24"/>
    <mergeCell ref="E19:F19"/>
    <mergeCell ref="L19:M19"/>
    <mergeCell ref="Q19:R19"/>
    <mergeCell ref="A20:H20"/>
    <mergeCell ref="I20:J20"/>
    <mergeCell ref="L20:M20"/>
    <mergeCell ref="O20:R20"/>
    <mergeCell ref="E21:F21"/>
    <mergeCell ref="L21:M21"/>
    <mergeCell ref="Q21:R21"/>
    <mergeCell ref="E16:F16"/>
    <mergeCell ref="L16:M16"/>
    <mergeCell ref="Q16:R16"/>
    <mergeCell ref="E17:F17"/>
    <mergeCell ref="L17:M17"/>
    <mergeCell ref="Q17:R17"/>
    <mergeCell ref="E18:F18"/>
    <mergeCell ref="L18:M18"/>
    <mergeCell ref="Q18:R18"/>
    <mergeCell ref="E13:F13"/>
    <mergeCell ref="L13:M13"/>
    <mergeCell ref="Q13:R13"/>
    <mergeCell ref="E14:F14"/>
    <mergeCell ref="L14:M14"/>
    <mergeCell ref="Q14:R14"/>
    <mergeCell ref="E15:F15"/>
    <mergeCell ref="L15:M15"/>
    <mergeCell ref="Q15:R15"/>
    <mergeCell ref="E10:F10"/>
    <mergeCell ref="L10:M10"/>
    <mergeCell ref="Q10:R10"/>
    <mergeCell ref="E11:F11"/>
    <mergeCell ref="L11:M11"/>
    <mergeCell ref="Q11:R11"/>
    <mergeCell ref="E12:F12"/>
    <mergeCell ref="L12:M12"/>
    <mergeCell ref="Q12:R12"/>
    <mergeCell ref="M1:Q2"/>
    <mergeCell ref="A2:E3"/>
    <mergeCell ref="M3:Q3"/>
    <mergeCell ref="A4:E4"/>
    <mergeCell ref="M4:Q4"/>
    <mergeCell ref="A7:Q7"/>
    <mergeCell ref="A9:H9"/>
    <mergeCell ref="L9:M9"/>
    <mergeCell ref="Q9:R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6668-130F-49E1-AC3E-211369B6E485}">
  <dimension ref="A1:S242"/>
  <sheetViews>
    <sheetView topLeftCell="A165" workbookViewId="0">
      <selection activeCell="B179" sqref="B179"/>
    </sheetView>
  </sheetViews>
  <sheetFormatPr defaultRowHeight="14.4" x14ac:dyDescent="0.3"/>
  <cols>
    <col min="1" max="1" width="30.6640625" customWidth="1"/>
    <col min="2" max="2" width="9.33203125" customWidth="1"/>
    <col min="3" max="5" width="18" customWidth="1"/>
    <col min="6" max="7" width="15.6640625" style="50" customWidth="1"/>
    <col min="8" max="8" width="10.33203125" customWidth="1"/>
    <col min="9" max="9" width="5" customWidth="1"/>
    <col min="10" max="10" width="8" style="55" customWidth="1"/>
    <col min="11" max="11" width="6.5546875" customWidth="1"/>
    <col min="12" max="12" width="12.33203125" customWidth="1"/>
    <col min="13" max="13" width="12.109375" customWidth="1"/>
    <col min="14" max="14" width="11.77734375" customWidth="1"/>
    <col min="15" max="15" width="9.6640625" customWidth="1"/>
    <col min="16" max="16" width="12.6640625" customWidth="1"/>
    <col min="17" max="17" width="13.6640625" style="55" customWidth="1"/>
    <col min="18" max="18" width="15.5546875" bestFit="1" customWidth="1"/>
    <col min="19" max="19" width="9.44140625" customWidth="1"/>
  </cols>
  <sheetData>
    <row r="1" spans="1:19" ht="20.399999999999999" customHeight="1" x14ac:dyDescent="0.3">
      <c r="A1" s="12" t="s">
        <v>388</v>
      </c>
      <c r="B1" s="12" t="s">
        <v>387</v>
      </c>
      <c r="C1" s="12" t="s">
        <v>97</v>
      </c>
      <c r="D1" s="12"/>
      <c r="E1" s="12"/>
      <c r="F1" s="49" t="s">
        <v>96</v>
      </c>
      <c r="G1" s="49"/>
      <c r="H1" s="12" t="s">
        <v>95</v>
      </c>
      <c r="I1" s="12" t="s">
        <v>94</v>
      </c>
      <c r="J1" s="53" t="s">
        <v>91</v>
      </c>
      <c r="K1" s="47" t="s">
        <v>92</v>
      </c>
      <c r="L1" s="12" t="s">
        <v>89</v>
      </c>
      <c r="M1" s="12" t="s">
        <v>88</v>
      </c>
      <c r="N1" s="47" t="s">
        <v>86</v>
      </c>
      <c r="O1" s="47" t="s">
        <v>85</v>
      </c>
      <c r="P1" s="47" t="s">
        <v>83</v>
      </c>
      <c r="Q1" s="53" t="s">
        <v>382</v>
      </c>
      <c r="R1" s="47" t="s">
        <v>381</v>
      </c>
    </row>
    <row r="2" spans="1:19" ht="15" customHeight="1" x14ac:dyDescent="0.3">
      <c r="A2" s="2" t="s">
        <v>380</v>
      </c>
      <c r="B2" s="2">
        <v>8977234</v>
      </c>
      <c r="C2" s="2" t="s">
        <v>407</v>
      </c>
      <c r="D2" s="2" t="s">
        <v>408</v>
      </c>
      <c r="E2" s="2" t="str">
        <f>_xlfn.CONCAT(D2," ",C2)</f>
        <v>MARCO CORTES</v>
      </c>
      <c r="F2" s="45">
        <v>803374747001</v>
      </c>
      <c r="G2" s="45" t="str">
        <f>_xlfn.CONCAT(F2,0)</f>
        <v>8033747470010</v>
      </c>
      <c r="H2" s="2" t="s">
        <v>80</v>
      </c>
      <c r="I2" s="2" t="s">
        <v>346</v>
      </c>
      <c r="J2" s="51">
        <v>46113</v>
      </c>
      <c r="K2" s="2" t="s">
        <v>78</v>
      </c>
      <c r="L2" s="2">
        <v>1</v>
      </c>
      <c r="M2" s="2" t="s">
        <v>77</v>
      </c>
      <c r="N2" s="2" t="s">
        <v>398</v>
      </c>
      <c r="O2" s="3">
        <v>20</v>
      </c>
      <c r="P2" s="3">
        <v>40</v>
      </c>
      <c r="Q2" s="51">
        <v>46023</v>
      </c>
      <c r="R2" s="2" t="s">
        <v>403</v>
      </c>
    </row>
    <row r="3" spans="1:19" ht="15" customHeight="1" x14ac:dyDescent="0.3">
      <c r="A3" s="2" t="s">
        <v>380</v>
      </c>
      <c r="B3" s="2">
        <v>8977234</v>
      </c>
      <c r="C3" s="2" t="s">
        <v>409</v>
      </c>
      <c r="D3" s="2" t="s">
        <v>410</v>
      </c>
      <c r="E3" s="2" t="str">
        <f t="shared" ref="E3:E66" si="0">_xlfn.CONCAT(D3," ",C3)</f>
        <v>STEPHANIE FOOT</v>
      </c>
      <c r="F3" s="45">
        <v>803409698001</v>
      </c>
      <c r="G3" s="45" t="str">
        <f t="shared" ref="G3:G66" si="1">_xlfn.CONCAT(F3,0)</f>
        <v>8034096980010</v>
      </c>
      <c r="H3" s="2" t="s">
        <v>80</v>
      </c>
      <c r="I3" s="2" t="s">
        <v>346</v>
      </c>
      <c r="J3" s="51">
        <v>46113</v>
      </c>
      <c r="K3" s="2" t="s">
        <v>78</v>
      </c>
      <c r="L3" s="2">
        <v>1</v>
      </c>
      <c r="M3" s="2" t="s">
        <v>77</v>
      </c>
      <c r="N3" s="2"/>
      <c r="O3" s="3">
        <v>20</v>
      </c>
      <c r="P3" s="3">
        <v>20</v>
      </c>
      <c r="Q3" s="51">
        <v>46023</v>
      </c>
      <c r="R3" s="2" t="s">
        <v>403</v>
      </c>
    </row>
    <row r="4" spans="1:19" ht="15" customHeight="1" x14ac:dyDescent="0.3">
      <c r="A4" s="2" t="s">
        <v>380</v>
      </c>
      <c r="B4" s="2">
        <v>8977234</v>
      </c>
      <c r="C4" s="2" t="s">
        <v>411</v>
      </c>
      <c r="D4" s="2" t="s">
        <v>412</v>
      </c>
      <c r="E4" s="2" t="str">
        <f t="shared" si="0"/>
        <v>MARIEL MORTON</v>
      </c>
      <c r="F4" s="45">
        <v>803363098001</v>
      </c>
      <c r="G4" s="45" t="str">
        <f t="shared" si="1"/>
        <v>8033630980010</v>
      </c>
      <c r="H4" s="2" t="s">
        <v>80</v>
      </c>
      <c r="I4" s="2" t="s">
        <v>346</v>
      </c>
      <c r="J4" s="51">
        <v>46113</v>
      </c>
      <c r="K4" s="2" t="s">
        <v>78</v>
      </c>
      <c r="L4" s="2">
        <v>1</v>
      </c>
      <c r="M4" s="2" t="s">
        <v>77</v>
      </c>
      <c r="N4" s="2"/>
      <c r="O4" s="3">
        <v>20</v>
      </c>
      <c r="P4" s="3">
        <v>20</v>
      </c>
      <c r="Q4" s="51">
        <v>46023</v>
      </c>
      <c r="R4" s="2" t="s">
        <v>403</v>
      </c>
    </row>
    <row r="5" spans="1:19" ht="15" customHeight="1" x14ac:dyDescent="0.3">
      <c r="A5" s="2" t="s">
        <v>380</v>
      </c>
      <c r="B5" s="2">
        <v>8977234</v>
      </c>
      <c r="C5" s="2" t="s">
        <v>413</v>
      </c>
      <c r="D5" s="2" t="s">
        <v>414</v>
      </c>
      <c r="E5" s="2" t="str">
        <f t="shared" si="0"/>
        <v>BRAYDEN SMITH</v>
      </c>
      <c r="F5" s="45">
        <v>803408128001</v>
      </c>
      <c r="G5" s="45" t="str">
        <f t="shared" si="1"/>
        <v>8034081280010</v>
      </c>
      <c r="H5" s="2" t="s">
        <v>80</v>
      </c>
      <c r="I5" s="2" t="s">
        <v>346</v>
      </c>
      <c r="J5" s="51">
        <v>46113</v>
      </c>
      <c r="K5" s="2" t="s">
        <v>78</v>
      </c>
      <c r="L5" s="2">
        <v>1</v>
      </c>
      <c r="M5" s="2" t="s">
        <v>77</v>
      </c>
      <c r="N5" s="2"/>
      <c r="O5" s="3">
        <v>20</v>
      </c>
      <c r="P5" s="3">
        <v>20</v>
      </c>
      <c r="Q5" s="51">
        <v>46023</v>
      </c>
      <c r="R5" s="2" t="s">
        <v>403</v>
      </c>
    </row>
    <row r="6" spans="1:19" ht="15" customHeight="1" x14ac:dyDescent="0.3">
      <c r="A6" s="2" t="s">
        <v>380</v>
      </c>
      <c r="B6" s="2">
        <v>8977234</v>
      </c>
      <c r="C6" s="2" t="s">
        <v>415</v>
      </c>
      <c r="D6" s="2" t="s">
        <v>416</v>
      </c>
      <c r="E6" s="2" t="str">
        <f t="shared" si="0"/>
        <v>STEVEN STOUT</v>
      </c>
      <c r="F6" s="45">
        <v>803376130001</v>
      </c>
      <c r="G6" s="45" t="str">
        <f t="shared" si="1"/>
        <v>8033761300010</v>
      </c>
      <c r="H6" s="2" t="s">
        <v>80</v>
      </c>
      <c r="I6" s="2" t="s">
        <v>346</v>
      </c>
      <c r="J6" s="51">
        <v>46113</v>
      </c>
      <c r="K6" s="2" t="s">
        <v>78</v>
      </c>
      <c r="L6" s="2">
        <v>1</v>
      </c>
      <c r="M6" s="2" t="s">
        <v>77</v>
      </c>
      <c r="N6" s="2" t="s">
        <v>398</v>
      </c>
      <c r="O6" s="3">
        <v>20</v>
      </c>
      <c r="P6" s="3">
        <v>40</v>
      </c>
      <c r="Q6" s="51">
        <v>46023</v>
      </c>
      <c r="R6" s="2" t="s">
        <v>403</v>
      </c>
    </row>
    <row r="7" spans="1:19" ht="15" customHeight="1" x14ac:dyDescent="0.3">
      <c r="A7" s="2" t="s">
        <v>380</v>
      </c>
      <c r="B7" s="2">
        <v>8977234</v>
      </c>
      <c r="C7" s="2" t="s">
        <v>417</v>
      </c>
      <c r="D7" s="2" t="s">
        <v>418</v>
      </c>
      <c r="E7" s="2" t="str">
        <f t="shared" si="0"/>
        <v>RYAN THOMAS</v>
      </c>
      <c r="F7" s="45">
        <v>802698506001</v>
      </c>
      <c r="G7" s="45" t="str">
        <f t="shared" si="1"/>
        <v>8026985060010</v>
      </c>
      <c r="H7" s="2" t="s">
        <v>80</v>
      </c>
      <c r="I7" s="2" t="s">
        <v>346</v>
      </c>
      <c r="J7" s="51">
        <v>46113</v>
      </c>
      <c r="K7" s="2" t="s">
        <v>78</v>
      </c>
      <c r="L7" s="2">
        <v>1</v>
      </c>
      <c r="M7" s="2" t="s">
        <v>77</v>
      </c>
      <c r="N7" s="2"/>
      <c r="O7" s="3">
        <v>20</v>
      </c>
      <c r="P7" s="3">
        <v>20</v>
      </c>
      <c r="Q7" s="51">
        <v>46023</v>
      </c>
      <c r="R7" s="2" t="s">
        <v>403</v>
      </c>
    </row>
    <row r="8" spans="1:19" ht="15" customHeight="1" x14ac:dyDescent="0.3">
      <c r="A8" s="2" t="s">
        <v>380</v>
      </c>
      <c r="B8" s="2">
        <v>8977234</v>
      </c>
      <c r="C8" s="2" t="s">
        <v>419</v>
      </c>
      <c r="D8" s="2" t="s">
        <v>420</v>
      </c>
      <c r="E8" s="2" t="str">
        <f t="shared" si="0"/>
        <v>CHARITY WATERS</v>
      </c>
      <c r="F8" s="45">
        <v>803508759001</v>
      </c>
      <c r="G8" s="45" t="str">
        <f t="shared" si="1"/>
        <v>8035087590010</v>
      </c>
      <c r="H8" s="2" t="s">
        <v>80</v>
      </c>
      <c r="I8" s="2" t="s">
        <v>346</v>
      </c>
      <c r="J8" s="51">
        <v>46113</v>
      </c>
      <c r="K8" s="2" t="s">
        <v>78</v>
      </c>
      <c r="L8" s="2">
        <v>1</v>
      </c>
      <c r="M8" s="2" t="s">
        <v>77</v>
      </c>
      <c r="N8" s="2"/>
      <c r="O8" s="3">
        <v>20</v>
      </c>
      <c r="P8" s="3">
        <v>20</v>
      </c>
      <c r="Q8" s="51">
        <v>46023</v>
      </c>
      <c r="R8" s="2" t="s">
        <v>403</v>
      </c>
    </row>
    <row r="9" spans="1:19" ht="15" customHeight="1" x14ac:dyDescent="0.3">
      <c r="A9" s="2" t="s">
        <v>377</v>
      </c>
      <c r="B9" s="2">
        <v>16865615</v>
      </c>
      <c r="C9" s="2" t="s">
        <v>421</v>
      </c>
      <c r="D9" s="2" t="s">
        <v>422</v>
      </c>
      <c r="E9" s="2" t="str">
        <f t="shared" si="0"/>
        <v>REBECCA ANDRUSZKA</v>
      </c>
      <c r="F9" s="45">
        <v>802878100001</v>
      </c>
      <c r="G9" s="45" t="str">
        <f t="shared" si="1"/>
        <v>8028781000010</v>
      </c>
      <c r="H9" s="2" t="s">
        <v>80</v>
      </c>
      <c r="I9" s="2" t="s">
        <v>79</v>
      </c>
      <c r="J9" s="51">
        <v>46113</v>
      </c>
      <c r="K9" s="2" t="s">
        <v>78</v>
      </c>
      <c r="L9" s="2">
        <v>1</v>
      </c>
      <c r="M9" s="2" t="s">
        <v>77</v>
      </c>
      <c r="N9" s="2"/>
      <c r="O9" s="3">
        <v>23</v>
      </c>
      <c r="P9" s="3">
        <v>23</v>
      </c>
      <c r="Q9" s="51">
        <v>46023</v>
      </c>
      <c r="R9" s="2" t="s">
        <v>402</v>
      </c>
      <c r="S9" s="46"/>
    </row>
    <row r="10" spans="1:19" ht="15" customHeight="1" x14ac:dyDescent="0.3">
      <c r="A10" s="2" t="s">
        <v>377</v>
      </c>
      <c r="B10" s="2">
        <v>16865615</v>
      </c>
      <c r="C10" s="2" t="s">
        <v>423</v>
      </c>
      <c r="D10" s="2" t="s">
        <v>424</v>
      </c>
      <c r="E10" s="2" t="str">
        <f t="shared" si="0"/>
        <v>ERIC BLOOM</v>
      </c>
      <c r="F10" s="45">
        <v>802896446001</v>
      </c>
      <c r="G10" s="45" t="str">
        <f t="shared" si="1"/>
        <v>8028964460010</v>
      </c>
      <c r="H10" s="2" t="s">
        <v>80</v>
      </c>
      <c r="I10" s="2" t="s">
        <v>79</v>
      </c>
      <c r="J10" s="51">
        <v>46113</v>
      </c>
      <c r="K10" s="2" t="s">
        <v>78</v>
      </c>
      <c r="L10" s="2">
        <v>1</v>
      </c>
      <c r="M10" s="2" t="s">
        <v>77</v>
      </c>
      <c r="N10" s="2"/>
      <c r="O10" s="3">
        <v>23</v>
      </c>
      <c r="P10" s="3">
        <v>23</v>
      </c>
      <c r="Q10" s="51">
        <v>46023</v>
      </c>
      <c r="R10" s="2" t="s">
        <v>402</v>
      </c>
      <c r="S10" s="46"/>
    </row>
    <row r="11" spans="1:19" ht="15" customHeight="1" x14ac:dyDescent="0.3">
      <c r="A11" s="2" t="s">
        <v>377</v>
      </c>
      <c r="B11" s="2">
        <v>16865615</v>
      </c>
      <c r="C11" s="2" t="s">
        <v>425</v>
      </c>
      <c r="D11" s="2" t="s">
        <v>426</v>
      </c>
      <c r="E11" s="2" t="str">
        <f t="shared" si="0"/>
        <v>CHARLES BODINE</v>
      </c>
      <c r="F11" s="45">
        <v>803481123001</v>
      </c>
      <c r="G11" s="45" t="str">
        <f t="shared" si="1"/>
        <v>8034811230010</v>
      </c>
      <c r="H11" s="2" t="s">
        <v>80</v>
      </c>
      <c r="I11" s="2" t="s">
        <v>79</v>
      </c>
      <c r="J11" s="51">
        <v>46113</v>
      </c>
      <c r="K11" s="2" t="s">
        <v>78</v>
      </c>
      <c r="L11" s="2">
        <v>1</v>
      </c>
      <c r="M11" s="2" t="s">
        <v>77</v>
      </c>
      <c r="N11" s="2"/>
      <c r="O11" s="3">
        <v>23</v>
      </c>
      <c r="P11" s="3">
        <v>23</v>
      </c>
      <c r="Q11" s="51">
        <v>46023</v>
      </c>
      <c r="R11" s="2" t="s">
        <v>402</v>
      </c>
      <c r="S11" s="46"/>
    </row>
    <row r="12" spans="1:19" ht="15" customHeight="1" x14ac:dyDescent="0.3">
      <c r="A12" s="2" t="s">
        <v>377</v>
      </c>
      <c r="B12" s="2">
        <v>16865615</v>
      </c>
      <c r="C12" s="2" t="s">
        <v>427</v>
      </c>
      <c r="D12" s="2" t="s">
        <v>428</v>
      </c>
      <c r="E12" s="2" t="str">
        <f t="shared" si="0"/>
        <v>FREDDIE BONILLA-LAMBOY</v>
      </c>
      <c r="F12" s="45">
        <v>803463226001</v>
      </c>
      <c r="G12" s="45" t="str">
        <f t="shared" si="1"/>
        <v>8034632260010</v>
      </c>
      <c r="H12" s="2" t="s">
        <v>80</v>
      </c>
      <c r="I12" s="2" t="s">
        <v>79</v>
      </c>
      <c r="J12" s="51">
        <v>46113</v>
      </c>
      <c r="K12" s="2" t="s">
        <v>78</v>
      </c>
      <c r="L12" s="2">
        <v>1</v>
      </c>
      <c r="M12" s="2" t="s">
        <v>77</v>
      </c>
      <c r="N12" s="2"/>
      <c r="O12" s="3">
        <v>23</v>
      </c>
      <c r="P12" s="3">
        <v>23</v>
      </c>
      <c r="Q12" s="51">
        <v>46023</v>
      </c>
      <c r="R12" s="2" t="s">
        <v>402</v>
      </c>
      <c r="S12" s="46"/>
    </row>
    <row r="13" spans="1:19" ht="15" customHeight="1" x14ac:dyDescent="0.3">
      <c r="A13" s="2" t="s">
        <v>377</v>
      </c>
      <c r="B13" s="2">
        <v>16865615</v>
      </c>
      <c r="C13" s="2" t="s">
        <v>429</v>
      </c>
      <c r="D13" s="2" t="s">
        <v>430</v>
      </c>
      <c r="E13" s="2" t="str">
        <f t="shared" si="0"/>
        <v>PIERRE BOUCHARD</v>
      </c>
      <c r="F13" s="45">
        <v>803406851001</v>
      </c>
      <c r="G13" s="45" t="str">
        <f t="shared" si="1"/>
        <v>8034068510010</v>
      </c>
      <c r="H13" s="2" t="s">
        <v>80</v>
      </c>
      <c r="I13" s="2" t="s">
        <v>79</v>
      </c>
      <c r="J13" s="51">
        <v>46113</v>
      </c>
      <c r="K13" s="2" t="s">
        <v>78</v>
      </c>
      <c r="L13" s="2">
        <v>1</v>
      </c>
      <c r="M13" s="2" t="s">
        <v>77</v>
      </c>
      <c r="N13" s="2"/>
      <c r="O13" s="3">
        <v>23</v>
      </c>
      <c r="P13" s="3">
        <v>23</v>
      </c>
      <c r="Q13" s="51">
        <v>46023</v>
      </c>
      <c r="R13" s="2" t="s">
        <v>402</v>
      </c>
      <c r="S13" s="46"/>
    </row>
    <row r="14" spans="1:19" ht="15" customHeight="1" x14ac:dyDescent="0.3">
      <c r="A14" s="2" t="s">
        <v>377</v>
      </c>
      <c r="B14" s="2">
        <v>16865615</v>
      </c>
      <c r="C14" s="2" t="s">
        <v>431</v>
      </c>
      <c r="D14" s="2" t="s">
        <v>432</v>
      </c>
      <c r="E14" s="2" t="str">
        <f t="shared" si="0"/>
        <v>JASON BOWLES</v>
      </c>
      <c r="F14" s="45">
        <v>803256188001</v>
      </c>
      <c r="G14" s="45" t="str">
        <f t="shared" si="1"/>
        <v>8032561880010</v>
      </c>
      <c r="H14" s="2" t="s">
        <v>80</v>
      </c>
      <c r="I14" s="2" t="s">
        <v>79</v>
      </c>
      <c r="J14" s="51">
        <v>46113</v>
      </c>
      <c r="K14" s="2" t="s">
        <v>78</v>
      </c>
      <c r="L14" s="2">
        <v>1</v>
      </c>
      <c r="M14" s="2" t="s">
        <v>77</v>
      </c>
      <c r="N14" s="2" t="s">
        <v>398</v>
      </c>
      <c r="O14" s="3">
        <v>23</v>
      </c>
      <c r="P14" s="3">
        <v>46</v>
      </c>
      <c r="Q14" s="51">
        <v>46023</v>
      </c>
      <c r="R14" s="2" t="s">
        <v>402</v>
      </c>
      <c r="S14" s="46"/>
    </row>
    <row r="15" spans="1:19" ht="15" customHeight="1" x14ac:dyDescent="0.3">
      <c r="A15" s="2" t="s">
        <v>377</v>
      </c>
      <c r="B15" s="2">
        <v>16865615</v>
      </c>
      <c r="C15" s="2" t="s">
        <v>433</v>
      </c>
      <c r="D15" s="2" t="s">
        <v>434</v>
      </c>
      <c r="E15" s="2" t="str">
        <f t="shared" si="0"/>
        <v>ANJA BRANNSTROM</v>
      </c>
      <c r="F15" s="45">
        <v>802875000001</v>
      </c>
      <c r="G15" s="45" t="str">
        <f t="shared" si="1"/>
        <v>8028750000010</v>
      </c>
      <c r="H15" s="2" t="s">
        <v>80</v>
      </c>
      <c r="I15" s="2" t="s">
        <v>79</v>
      </c>
      <c r="J15" s="51">
        <v>46113</v>
      </c>
      <c r="K15" s="2" t="s">
        <v>78</v>
      </c>
      <c r="L15" s="2">
        <v>1</v>
      </c>
      <c r="M15" s="2" t="s">
        <v>77</v>
      </c>
      <c r="N15" s="2"/>
      <c r="O15" s="3">
        <v>23</v>
      </c>
      <c r="P15" s="3">
        <v>23</v>
      </c>
      <c r="Q15" s="51">
        <v>46023</v>
      </c>
      <c r="R15" s="2" t="s">
        <v>402</v>
      </c>
      <c r="S15" s="46"/>
    </row>
    <row r="16" spans="1:19" ht="15" customHeight="1" x14ac:dyDescent="0.3">
      <c r="A16" s="2" t="s">
        <v>377</v>
      </c>
      <c r="B16" s="2">
        <v>16865615</v>
      </c>
      <c r="C16" s="2" t="s">
        <v>435</v>
      </c>
      <c r="D16" s="2" t="s">
        <v>436</v>
      </c>
      <c r="E16" s="2" t="str">
        <f t="shared" si="0"/>
        <v>KURT BREWER</v>
      </c>
      <c r="F16" s="45">
        <v>803455181001</v>
      </c>
      <c r="G16" s="45" t="str">
        <f t="shared" si="1"/>
        <v>8034551810010</v>
      </c>
      <c r="H16" s="2" t="s">
        <v>80</v>
      </c>
      <c r="I16" s="2" t="s">
        <v>79</v>
      </c>
      <c r="J16" s="51">
        <v>46113</v>
      </c>
      <c r="K16" s="2" t="s">
        <v>78</v>
      </c>
      <c r="L16" s="2">
        <v>1</v>
      </c>
      <c r="M16" s="2" t="s">
        <v>77</v>
      </c>
      <c r="N16" s="2" t="s">
        <v>401</v>
      </c>
      <c r="O16" s="3">
        <v>23</v>
      </c>
      <c r="P16" s="3">
        <v>115</v>
      </c>
      <c r="Q16" s="51">
        <v>46023</v>
      </c>
      <c r="R16" s="2" t="s">
        <v>402</v>
      </c>
      <c r="S16" s="46"/>
    </row>
    <row r="17" spans="1:19" ht="15" customHeight="1" x14ac:dyDescent="0.3">
      <c r="A17" s="2" t="s">
        <v>377</v>
      </c>
      <c r="B17" s="2">
        <v>16865615</v>
      </c>
      <c r="C17" s="2" t="s">
        <v>437</v>
      </c>
      <c r="D17" s="2" t="s">
        <v>438</v>
      </c>
      <c r="E17" s="2" t="str">
        <f t="shared" si="0"/>
        <v>JENNIFER BRIDGE</v>
      </c>
      <c r="F17" s="45">
        <v>803092864001</v>
      </c>
      <c r="G17" s="45" t="str">
        <f t="shared" si="1"/>
        <v>8030928640010</v>
      </c>
      <c r="H17" s="2" t="s">
        <v>80</v>
      </c>
      <c r="I17" s="2" t="s">
        <v>79</v>
      </c>
      <c r="J17" s="51">
        <v>46113</v>
      </c>
      <c r="K17" s="2" t="s">
        <v>78</v>
      </c>
      <c r="L17" s="2">
        <v>1</v>
      </c>
      <c r="M17" s="2" t="s">
        <v>77</v>
      </c>
      <c r="N17" s="2" t="s">
        <v>399</v>
      </c>
      <c r="O17" s="3">
        <v>23</v>
      </c>
      <c r="P17" s="3">
        <v>69</v>
      </c>
      <c r="Q17" s="51">
        <v>46023</v>
      </c>
      <c r="R17" s="2" t="s">
        <v>402</v>
      </c>
      <c r="S17" s="46"/>
    </row>
    <row r="18" spans="1:19" ht="15" customHeight="1" x14ac:dyDescent="0.3">
      <c r="A18" s="2" t="s">
        <v>377</v>
      </c>
      <c r="B18" s="2">
        <v>16865615</v>
      </c>
      <c r="C18" s="2" t="s">
        <v>439</v>
      </c>
      <c r="D18" s="2" t="s">
        <v>440</v>
      </c>
      <c r="E18" s="2" t="str">
        <f t="shared" si="0"/>
        <v>JENNA BRINK</v>
      </c>
      <c r="F18" s="45">
        <v>803226175001</v>
      </c>
      <c r="G18" s="45" t="str">
        <f t="shared" si="1"/>
        <v>8032261750010</v>
      </c>
      <c r="H18" s="2" t="s">
        <v>80</v>
      </c>
      <c r="I18" s="2" t="s">
        <v>79</v>
      </c>
      <c r="J18" s="51">
        <v>46113</v>
      </c>
      <c r="K18" s="2" t="s">
        <v>78</v>
      </c>
      <c r="L18" s="2">
        <v>1</v>
      </c>
      <c r="M18" s="2" t="s">
        <v>77</v>
      </c>
      <c r="N18" s="2"/>
      <c r="O18" s="3">
        <v>23</v>
      </c>
      <c r="P18" s="3">
        <v>23</v>
      </c>
      <c r="Q18" s="51">
        <v>46023</v>
      </c>
      <c r="R18" s="2" t="s">
        <v>402</v>
      </c>
      <c r="S18" s="46"/>
    </row>
    <row r="19" spans="1:19" ht="15" customHeight="1" x14ac:dyDescent="0.3">
      <c r="A19" s="2" t="s">
        <v>377</v>
      </c>
      <c r="B19" s="2">
        <v>16865615</v>
      </c>
      <c r="C19" s="2" t="s">
        <v>441</v>
      </c>
      <c r="D19" s="2" t="s">
        <v>442</v>
      </c>
      <c r="E19" s="2" t="str">
        <f t="shared" si="0"/>
        <v>MICHAEL BURKE</v>
      </c>
      <c r="F19" s="45">
        <v>802931529001</v>
      </c>
      <c r="G19" s="45" t="str">
        <f t="shared" si="1"/>
        <v>8029315290010</v>
      </c>
      <c r="H19" s="2" t="s">
        <v>80</v>
      </c>
      <c r="I19" s="2" t="s">
        <v>79</v>
      </c>
      <c r="J19" s="51">
        <v>46082</v>
      </c>
      <c r="K19" s="2" t="s">
        <v>78</v>
      </c>
      <c r="L19" s="2">
        <v>1</v>
      </c>
      <c r="M19" s="2" t="s">
        <v>77</v>
      </c>
      <c r="N19" s="2"/>
      <c r="O19" s="3">
        <v>23</v>
      </c>
      <c r="P19" s="3">
        <v>23</v>
      </c>
      <c r="Q19" s="51">
        <v>46023</v>
      </c>
      <c r="R19" s="2" t="s">
        <v>402</v>
      </c>
      <c r="S19" s="46"/>
    </row>
    <row r="20" spans="1:19" ht="15" customHeight="1" x14ac:dyDescent="0.3">
      <c r="A20" s="2" t="s">
        <v>377</v>
      </c>
      <c r="B20" s="2">
        <v>16865615</v>
      </c>
      <c r="C20" s="2" t="s">
        <v>443</v>
      </c>
      <c r="D20" s="2" t="s">
        <v>444</v>
      </c>
      <c r="E20" s="2" t="str">
        <f t="shared" si="0"/>
        <v>JOHN CARD</v>
      </c>
      <c r="F20" s="45">
        <v>803454120001</v>
      </c>
      <c r="G20" s="45" t="str">
        <f t="shared" si="1"/>
        <v>8034541200010</v>
      </c>
      <c r="H20" s="2" t="s">
        <v>80</v>
      </c>
      <c r="I20" s="2" t="s">
        <v>79</v>
      </c>
      <c r="J20" s="51">
        <v>46113</v>
      </c>
      <c r="K20" s="2" t="s">
        <v>78</v>
      </c>
      <c r="L20" s="2">
        <v>1</v>
      </c>
      <c r="M20" s="2" t="s">
        <v>77</v>
      </c>
      <c r="N20" s="2" t="s">
        <v>398</v>
      </c>
      <c r="O20" s="3">
        <v>23</v>
      </c>
      <c r="P20" s="3">
        <v>46</v>
      </c>
      <c r="Q20" s="51">
        <v>46023</v>
      </c>
      <c r="R20" s="2" t="s">
        <v>402</v>
      </c>
      <c r="S20" s="46"/>
    </row>
    <row r="21" spans="1:19" ht="15" customHeight="1" x14ac:dyDescent="0.3">
      <c r="A21" s="2" t="s">
        <v>377</v>
      </c>
      <c r="B21" s="2">
        <v>16865615</v>
      </c>
      <c r="C21" s="2" t="s">
        <v>445</v>
      </c>
      <c r="D21" s="2" t="s">
        <v>446</v>
      </c>
      <c r="E21" s="2" t="str">
        <f t="shared" si="0"/>
        <v>MARYELLEN CARLSON</v>
      </c>
      <c r="F21" s="45">
        <v>803409885001</v>
      </c>
      <c r="G21" s="45" t="str">
        <f t="shared" si="1"/>
        <v>8034098850010</v>
      </c>
      <c r="H21" s="2" t="s">
        <v>80</v>
      </c>
      <c r="I21" s="2" t="s">
        <v>79</v>
      </c>
      <c r="J21" s="51">
        <v>46113</v>
      </c>
      <c r="K21" s="2" t="s">
        <v>78</v>
      </c>
      <c r="L21" s="2">
        <v>1</v>
      </c>
      <c r="M21" s="2" t="s">
        <v>77</v>
      </c>
      <c r="N21" s="2"/>
      <c r="O21" s="3">
        <v>23</v>
      </c>
      <c r="P21" s="3">
        <v>23</v>
      </c>
      <c r="Q21" s="51">
        <v>46023</v>
      </c>
      <c r="R21" s="2" t="s">
        <v>402</v>
      </c>
      <c r="S21" s="46"/>
    </row>
    <row r="22" spans="1:19" ht="15" customHeight="1" x14ac:dyDescent="0.3">
      <c r="A22" s="2" t="s">
        <v>377</v>
      </c>
      <c r="B22" s="2">
        <v>16865615</v>
      </c>
      <c r="C22" s="2" t="s">
        <v>447</v>
      </c>
      <c r="D22" s="2" t="s">
        <v>448</v>
      </c>
      <c r="E22" s="2" t="str">
        <f t="shared" si="0"/>
        <v>LAUREN CARR</v>
      </c>
      <c r="F22" s="45">
        <v>803304041001</v>
      </c>
      <c r="G22" s="45" t="str">
        <f t="shared" si="1"/>
        <v>8033040410010</v>
      </c>
      <c r="H22" s="2" t="s">
        <v>80</v>
      </c>
      <c r="I22" s="2" t="s">
        <v>79</v>
      </c>
      <c r="J22" s="51">
        <v>46113</v>
      </c>
      <c r="K22" s="2" t="s">
        <v>78</v>
      </c>
      <c r="L22" s="2">
        <v>1</v>
      </c>
      <c r="M22" s="2" t="s">
        <v>77</v>
      </c>
      <c r="N22" s="2"/>
      <c r="O22" s="3">
        <v>23</v>
      </c>
      <c r="P22" s="3">
        <v>23</v>
      </c>
      <c r="Q22" s="51">
        <v>46023</v>
      </c>
      <c r="R22" s="2" t="s">
        <v>402</v>
      </c>
      <c r="S22" s="46"/>
    </row>
    <row r="23" spans="1:19" ht="15" customHeight="1" x14ac:dyDescent="0.3">
      <c r="A23" s="2" t="s">
        <v>377</v>
      </c>
      <c r="B23" s="2">
        <v>16865615</v>
      </c>
      <c r="C23" s="2" t="s">
        <v>449</v>
      </c>
      <c r="D23" s="2" t="s">
        <v>450</v>
      </c>
      <c r="E23" s="2" t="str">
        <f t="shared" si="0"/>
        <v>VICKI CASNELLIE</v>
      </c>
      <c r="F23" s="45">
        <v>803413171001</v>
      </c>
      <c r="G23" s="45" t="str">
        <f t="shared" si="1"/>
        <v>8034131710010</v>
      </c>
      <c r="H23" s="2" t="s">
        <v>80</v>
      </c>
      <c r="I23" s="2" t="s">
        <v>79</v>
      </c>
      <c r="J23" s="51">
        <v>46113</v>
      </c>
      <c r="K23" s="2" t="s">
        <v>78</v>
      </c>
      <c r="L23" s="2">
        <v>1</v>
      </c>
      <c r="M23" s="2" t="s">
        <v>77</v>
      </c>
      <c r="N23" s="2"/>
      <c r="O23" s="3">
        <v>23</v>
      </c>
      <c r="P23" s="3">
        <v>23</v>
      </c>
      <c r="Q23" s="51">
        <v>46023</v>
      </c>
      <c r="R23" s="2" t="s">
        <v>402</v>
      </c>
      <c r="S23" s="46"/>
    </row>
    <row r="24" spans="1:19" ht="15" customHeight="1" x14ac:dyDescent="0.3">
      <c r="A24" s="2" t="s">
        <v>377</v>
      </c>
      <c r="B24" s="2">
        <v>16865615</v>
      </c>
      <c r="C24" s="2" t="s">
        <v>451</v>
      </c>
      <c r="D24" s="2" t="s">
        <v>452</v>
      </c>
      <c r="E24" s="2" t="str">
        <f t="shared" si="0"/>
        <v>EDGAR CHANCE</v>
      </c>
      <c r="F24" s="45">
        <v>803305995001</v>
      </c>
      <c r="G24" s="45" t="str">
        <f t="shared" si="1"/>
        <v>8033059950010</v>
      </c>
      <c r="H24" s="2" t="s">
        <v>80</v>
      </c>
      <c r="I24" s="2" t="s">
        <v>79</v>
      </c>
      <c r="J24" s="51">
        <v>46113</v>
      </c>
      <c r="K24" s="2" t="s">
        <v>78</v>
      </c>
      <c r="L24" s="2">
        <v>1</v>
      </c>
      <c r="M24" s="2" t="s">
        <v>77</v>
      </c>
      <c r="N24" s="2"/>
      <c r="O24" s="3">
        <v>23</v>
      </c>
      <c r="P24" s="3">
        <v>23</v>
      </c>
      <c r="Q24" s="51">
        <v>46023</v>
      </c>
      <c r="R24" s="2" t="s">
        <v>402</v>
      </c>
      <c r="S24" s="46"/>
    </row>
    <row r="25" spans="1:19" ht="15" customHeight="1" x14ac:dyDescent="0.3">
      <c r="A25" s="2" t="s">
        <v>377</v>
      </c>
      <c r="B25" s="2">
        <v>16865615</v>
      </c>
      <c r="C25" s="2" t="s">
        <v>453</v>
      </c>
      <c r="D25" s="2" t="s">
        <v>454</v>
      </c>
      <c r="E25" s="2" t="str">
        <f t="shared" si="0"/>
        <v>NOELLE DAVIS</v>
      </c>
      <c r="F25" s="45">
        <v>803433539001</v>
      </c>
      <c r="G25" s="45" t="str">
        <f t="shared" si="1"/>
        <v>8034335390010</v>
      </c>
      <c r="H25" s="2" t="s">
        <v>80</v>
      </c>
      <c r="I25" s="2" t="s">
        <v>79</v>
      </c>
      <c r="J25" s="51">
        <v>46113</v>
      </c>
      <c r="K25" s="2" t="s">
        <v>78</v>
      </c>
      <c r="L25" s="2">
        <v>1</v>
      </c>
      <c r="M25" s="2" t="s">
        <v>77</v>
      </c>
      <c r="N25" s="2"/>
      <c r="O25" s="3">
        <v>23</v>
      </c>
      <c r="P25" s="3">
        <v>23</v>
      </c>
      <c r="Q25" s="51">
        <v>46023</v>
      </c>
      <c r="R25" s="2" t="s">
        <v>402</v>
      </c>
      <c r="S25" s="46"/>
    </row>
    <row r="26" spans="1:19" ht="15" customHeight="1" x14ac:dyDescent="0.3">
      <c r="A26" s="2" t="s">
        <v>377</v>
      </c>
      <c r="B26" s="2">
        <v>16865615</v>
      </c>
      <c r="C26" s="2" t="s">
        <v>455</v>
      </c>
      <c r="D26" s="2" t="s">
        <v>456</v>
      </c>
      <c r="E26" s="2" t="str">
        <f t="shared" si="0"/>
        <v>SABRINA DEEMER</v>
      </c>
      <c r="F26" s="45">
        <v>802981736001</v>
      </c>
      <c r="G26" s="45" t="str">
        <f t="shared" si="1"/>
        <v>8029817360010</v>
      </c>
      <c r="H26" s="2" t="s">
        <v>80</v>
      </c>
      <c r="I26" s="2" t="s">
        <v>79</v>
      </c>
      <c r="J26" s="51">
        <v>46113</v>
      </c>
      <c r="K26" s="2" t="s">
        <v>78</v>
      </c>
      <c r="L26" s="2">
        <v>1</v>
      </c>
      <c r="M26" s="2" t="s">
        <v>77</v>
      </c>
      <c r="N26" s="2"/>
      <c r="O26" s="3">
        <v>23</v>
      </c>
      <c r="P26" s="3">
        <v>23</v>
      </c>
      <c r="Q26" s="51">
        <v>46023</v>
      </c>
      <c r="R26" s="2" t="s">
        <v>402</v>
      </c>
      <c r="S26" s="46"/>
    </row>
    <row r="27" spans="1:19" ht="15" customHeight="1" x14ac:dyDescent="0.3">
      <c r="A27" s="2" t="s">
        <v>377</v>
      </c>
      <c r="B27" s="2">
        <v>16865615</v>
      </c>
      <c r="C27" s="2" t="s">
        <v>457</v>
      </c>
      <c r="D27" s="2" t="s">
        <v>458</v>
      </c>
      <c r="E27" s="2" t="str">
        <f t="shared" si="0"/>
        <v>ARVIDAS DONOVAN</v>
      </c>
      <c r="F27" s="45">
        <v>803396619001</v>
      </c>
      <c r="G27" s="45" t="str">
        <f t="shared" si="1"/>
        <v>8033966190010</v>
      </c>
      <c r="H27" s="2" t="s">
        <v>80</v>
      </c>
      <c r="I27" s="2" t="s">
        <v>79</v>
      </c>
      <c r="J27" s="51">
        <v>46113</v>
      </c>
      <c r="K27" s="2" t="s">
        <v>78</v>
      </c>
      <c r="L27" s="2">
        <v>1</v>
      </c>
      <c r="M27" s="2" t="s">
        <v>77</v>
      </c>
      <c r="N27" s="2"/>
      <c r="O27" s="3">
        <v>23</v>
      </c>
      <c r="P27" s="3">
        <v>23</v>
      </c>
      <c r="Q27" s="51">
        <v>46023</v>
      </c>
      <c r="R27" s="2" t="s">
        <v>402</v>
      </c>
      <c r="S27" s="46"/>
    </row>
    <row r="28" spans="1:19" ht="15" customHeight="1" x14ac:dyDescent="0.3">
      <c r="A28" s="2" t="s">
        <v>377</v>
      </c>
      <c r="B28" s="2">
        <v>16865615</v>
      </c>
      <c r="C28" s="2" t="s">
        <v>459</v>
      </c>
      <c r="D28" s="2" t="s">
        <v>460</v>
      </c>
      <c r="E28" s="2" t="str">
        <f t="shared" si="0"/>
        <v>JOSEPH EAFANTI</v>
      </c>
      <c r="F28" s="45">
        <v>803457401001</v>
      </c>
      <c r="G28" s="45" t="str">
        <f t="shared" si="1"/>
        <v>8034574010010</v>
      </c>
      <c r="H28" s="2" t="s">
        <v>80</v>
      </c>
      <c r="I28" s="2" t="s">
        <v>79</v>
      </c>
      <c r="J28" s="51">
        <v>46113</v>
      </c>
      <c r="K28" s="2" t="s">
        <v>78</v>
      </c>
      <c r="L28" s="2">
        <v>1</v>
      </c>
      <c r="M28" s="2" t="s">
        <v>77</v>
      </c>
      <c r="N28" s="2" t="s">
        <v>398</v>
      </c>
      <c r="O28" s="3">
        <v>23</v>
      </c>
      <c r="P28" s="3">
        <v>46</v>
      </c>
      <c r="Q28" s="51">
        <v>46023</v>
      </c>
      <c r="R28" s="2" t="s">
        <v>402</v>
      </c>
      <c r="S28" s="46"/>
    </row>
    <row r="29" spans="1:19" ht="15" customHeight="1" x14ac:dyDescent="0.3">
      <c r="A29" s="2" t="s">
        <v>377</v>
      </c>
      <c r="B29" s="2">
        <v>16865615</v>
      </c>
      <c r="C29" s="2" t="s">
        <v>461</v>
      </c>
      <c r="D29" s="2" t="s">
        <v>462</v>
      </c>
      <c r="E29" s="2" t="str">
        <f t="shared" si="0"/>
        <v>LINDA ELLIS</v>
      </c>
      <c r="F29" s="45">
        <v>803400068001</v>
      </c>
      <c r="G29" s="45" t="str">
        <f t="shared" si="1"/>
        <v>8034000680010</v>
      </c>
      <c r="H29" s="2" t="s">
        <v>80</v>
      </c>
      <c r="I29" s="2" t="s">
        <v>79</v>
      </c>
      <c r="J29" s="51">
        <v>46113</v>
      </c>
      <c r="K29" s="2" t="s">
        <v>78</v>
      </c>
      <c r="L29" s="2">
        <v>1</v>
      </c>
      <c r="M29" s="2" t="s">
        <v>77</v>
      </c>
      <c r="N29" s="2"/>
      <c r="O29" s="3">
        <v>23</v>
      </c>
      <c r="P29" s="3">
        <v>23</v>
      </c>
      <c r="Q29" s="51">
        <v>46023</v>
      </c>
      <c r="R29" s="2" t="s">
        <v>402</v>
      </c>
      <c r="S29" s="46"/>
    </row>
    <row r="30" spans="1:19" ht="15" customHeight="1" x14ac:dyDescent="0.3">
      <c r="A30" s="2" t="s">
        <v>377</v>
      </c>
      <c r="B30" s="2">
        <v>16865615</v>
      </c>
      <c r="C30" s="2" t="s">
        <v>463</v>
      </c>
      <c r="D30" s="2" t="s">
        <v>464</v>
      </c>
      <c r="E30" s="2" t="str">
        <f t="shared" si="0"/>
        <v>KELLY EMERINE</v>
      </c>
      <c r="F30" s="45">
        <v>803105663001</v>
      </c>
      <c r="G30" s="45" t="str">
        <f t="shared" si="1"/>
        <v>8031056630010</v>
      </c>
      <c r="H30" s="2" t="s">
        <v>80</v>
      </c>
      <c r="I30" s="2" t="s">
        <v>79</v>
      </c>
      <c r="J30" s="51">
        <v>46082</v>
      </c>
      <c r="K30" s="2" t="s">
        <v>78</v>
      </c>
      <c r="L30" s="2">
        <v>1</v>
      </c>
      <c r="M30" s="2" t="s">
        <v>77</v>
      </c>
      <c r="N30" s="2"/>
      <c r="O30" s="3">
        <v>23</v>
      </c>
      <c r="P30" s="3">
        <v>23</v>
      </c>
      <c r="Q30" s="51">
        <v>46023</v>
      </c>
      <c r="R30" s="2" t="s">
        <v>402</v>
      </c>
      <c r="S30" s="46"/>
    </row>
    <row r="31" spans="1:19" ht="15" customHeight="1" x14ac:dyDescent="0.3">
      <c r="A31" s="2" t="s">
        <v>377</v>
      </c>
      <c r="B31" s="2">
        <v>16865615</v>
      </c>
      <c r="C31" s="2" t="s">
        <v>463</v>
      </c>
      <c r="D31" s="2" t="s">
        <v>464</v>
      </c>
      <c r="E31" s="2" t="str">
        <f t="shared" si="0"/>
        <v>KELLY EMERINE</v>
      </c>
      <c r="F31" s="45">
        <v>803105663001</v>
      </c>
      <c r="G31" s="45" t="str">
        <f t="shared" si="1"/>
        <v>8031056630010</v>
      </c>
      <c r="H31" s="2" t="s">
        <v>80</v>
      </c>
      <c r="I31" s="2" t="s">
        <v>79</v>
      </c>
      <c r="J31" s="51">
        <v>46113</v>
      </c>
      <c r="K31" s="2" t="s">
        <v>78</v>
      </c>
      <c r="L31" s="2">
        <v>1</v>
      </c>
      <c r="M31" s="2" t="s">
        <v>77</v>
      </c>
      <c r="N31" s="2"/>
      <c r="O31" s="3">
        <v>23</v>
      </c>
      <c r="P31" s="3">
        <v>23</v>
      </c>
      <c r="Q31" s="51">
        <v>46023</v>
      </c>
      <c r="R31" s="2" t="s">
        <v>402</v>
      </c>
      <c r="S31" s="46"/>
    </row>
    <row r="32" spans="1:19" ht="15" customHeight="1" x14ac:dyDescent="0.3">
      <c r="A32" s="2" t="s">
        <v>377</v>
      </c>
      <c r="B32" s="2">
        <v>16865615</v>
      </c>
      <c r="C32" s="2" t="s">
        <v>465</v>
      </c>
      <c r="D32" s="2" t="s">
        <v>417</v>
      </c>
      <c r="E32" s="2" t="str">
        <f t="shared" si="0"/>
        <v>THOMAS FARDEN</v>
      </c>
      <c r="F32" s="45">
        <v>803305454001</v>
      </c>
      <c r="G32" s="45" t="str">
        <f t="shared" si="1"/>
        <v>8033054540010</v>
      </c>
      <c r="H32" s="2" t="s">
        <v>80</v>
      </c>
      <c r="I32" s="2" t="s">
        <v>79</v>
      </c>
      <c r="J32" s="51">
        <v>46113</v>
      </c>
      <c r="K32" s="2" t="s">
        <v>78</v>
      </c>
      <c r="L32" s="2">
        <v>1</v>
      </c>
      <c r="M32" s="2" t="s">
        <v>77</v>
      </c>
      <c r="N32" s="2"/>
      <c r="O32" s="3">
        <v>23</v>
      </c>
      <c r="P32" s="3">
        <v>23</v>
      </c>
      <c r="Q32" s="51">
        <v>46023</v>
      </c>
      <c r="R32" s="2" t="s">
        <v>402</v>
      </c>
      <c r="S32" s="46"/>
    </row>
    <row r="33" spans="1:19" ht="15" customHeight="1" x14ac:dyDescent="0.3">
      <c r="A33" s="2" t="s">
        <v>377</v>
      </c>
      <c r="B33" s="2">
        <v>16865615</v>
      </c>
      <c r="C33" s="2" t="s">
        <v>466</v>
      </c>
      <c r="D33" s="2" t="s">
        <v>467</v>
      </c>
      <c r="E33" s="2" t="str">
        <f t="shared" si="0"/>
        <v>JILL FONTAINE</v>
      </c>
      <c r="F33" s="45">
        <v>803279516001</v>
      </c>
      <c r="G33" s="45" t="str">
        <f t="shared" si="1"/>
        <v>8032795160010</v>
      </c>
      <c r="H33" s="2" t="s">
        <v>80</v>
      </c>
      <c r="I33" s="2" t="s">
        <v>79</v>
      </c>
      <c r="J33" s="51">
        <v>46113</v>
      </c>
      <c r="K33" s="2" t="s">
        <v>78</v>
      </c>
      <c r="L33" s="2">
        <v>1</v>
      </c>
      <c r="M33" s="2" t="s">
        <v>77</v>
      </c>
      <c r="N33" s="2"/>
      <c r="O33" s="3">
        <v>23</v>
      </c>
      <c r="P33" s="3">
        <v>23</v>
      </c>
      <c r="Q33" s="51">
        <v>46023</v>
      </c>
      <c r="R33" s="2" t="s">
        <v>402</v>
      </c>
      <c r="S33" s="46"/>
    </row>
    <row r="34" spans="1:19" ht="15" customHeight="1" x14ac:dyDescent="0.3">
      <c r="A34" s="2" t="s">
        <v>377</v>
      </c>
      <c r="B34" s="2">
        <v>16865615</v>
      </c>
      <c r="C34" s="2" t="s">
        <v>468</v>
      </c>
      <c r="D34" s="2" t="s">
        <v>469</v>
      </c>
      <c r="E34" s="2" t="str">
        <f t="shared" si="0"/>
        <v>CHRISTINA GALATIOTO</v>
      </c>
      <c r="F34" s="45">
        <v>803456890001</v>
      </c>
      <c r="G34" s="45" t="str">
        <f t="shared" si="1"/>
        <v>8034568900010</v>
      </c>
      <c r="H34" s="2" t="s">
        <v>80</v>
      </c>
      <c r="I34" s="2" t="s">
        <v>79</v>
      </c>
      <c r="J34" s="51">
        <v>46113</v>
      </c>
      <c r="K34" s="2" t="s">
        <v>78</v>
      </c>
      <c r="L34" s="2">
        <v>1</v>
      </c>
      <c r="M34" s="2" t="s">
        <v>77</v>
      </c>
      <c r="N34" s="2"/>
      <c r="O34" s="3">
        <v>23</v>
      </c>
      <c r="P34" s="3">
        <v>23</v>
      </c>
      <c r="Q34" s="51">
        <v>46023</v>
      </c>
      <c r="R34" s="2" t="s">
        <v>402</v>
      </c>
      <c r="S34" s="46"/>
    </row>
    <row r="35" spans="1:19" ht="15" customHeight="1" x14ac:dyDescent="0.3">
      <c r="A35" s="2" t="s">
        <v>377</v>
      </c>
      <c r="B35" s="2">
        <v>16865615</v>
      </c>
      <c r="C35" s="2" t="s">
        <v>470</v>
      </c>
      <c r="D35" s="2" t="s">
        <v>471</v>
      </c>
      <c r="E35" s="2" t="str">
        <f t="shared" si="0"/>
        <v>HEATHER GESKE</v>
      </c>
      <c r="F35" s="45">
        <v>803391971001</v>
      </c>
      <c r="G35" s="45" t="str">
        <f t="shared" si="1"/>
        <v>8033919710010</v>
      </c>
      <c r="H35" s="2" t="s">
        <v>80</v>
      </c>
      <c r="I35" s="2" t="s">
        <v>79</v>
      </c>
      <c r="J35" s="51">
        <v>46113</v>
      </c>
      <c r="K35" s="2" t="s">
        <v>78</v>
      </c>
      <c r="L35" s="2">
        <v>1</v>
      </c>
      <c r="M35" s="2" t="s">
        <v>77</v>
      </c>
      <c r="N35" s="2" t="s">
        <v>398</v>
      </c>
      <c r="O35" s="3">
        <v>23</v>
      </c>
      <c r="P35" s="3">
        <v>39.450000000000003</v>
      </c>
      <c r="Q35" s="51">
        <v>46023</v>
      </c>
      <c r="R35" s="2" t="s">
        <v>402</v>
      </c>
      <c r="S35" s="46"/>
    </row>
    <row r="36" spans="1:19" ht="15" customHeight="1" x14ac:dyDescent="0.3">
      <c r="A36" s="2" t="s">
        <v>377</v>
      </c>
      <c r="B36" s="2">
        <v>16865615</v>
      </c>
      <c r="C36" s="2" t="s">
        <v>472</v>
      </c>
      <c r="D36" s="2" t="s">
        <v>473</v>
      </c>
      <c r="E36" s="2" t="str">
        <f t="shared" si="0"/>
        <v>TIMOTHY GOLAY</v>
      </c>
      <c r="F36" s="45">
        <v>802986110001</v>
      </c>
      <c r="G36" s="45">
        <v>802986110001</v>
      </c>
      <c r="H36" s="2" t="s">
        <v>80</v>
      </c>
      <c r="I36" s="2" t="s">
        <v>79</v>
      </c>
      <c r="J36" s="51">
        <v>45992</v>
      </c>
      <c r="K36" s="2" t="s">
        <v>78</v>
      </c>
      <c r="L36" s="3">
        <v>1735.31</v>
      </c>
      <c r="M36" s="2" t="s">
        <v>130</v>
      </c>
      <c r="N36" s="2"/>
      <c r="O36" s="14">
        <v>4.2500000000000003E-2</v>
      </c>
      <c r="P36" s="3">
        <v>73.75</v>
      </c>
      <c r="Q36" s="51">
        <v>45992</v>
      </c>
      <c r="R36" s="2" t="s">
        <v>396</v>
      </c>
      <c r="S36" s="52"/>
    </row>
    <row r="37" spans="1:19" ht="15" customHeight="1" x14ac:dyDescent="0.3">
      <c r="A37" s="2" t="s">
        <v>377</v>
      </c>
      <c r="B37" s="2">
        <v>16865615</v>
      </c>
      <c r="C37" s="2" t="s">
        <v>472</v>
      </c>
      <c r="D37" s="2" t="s">
        <v>473</v>
      </c>
      <c r="E37" s="2" t="str">
        <f t="shared" si="0"/>
        <v>TIMOTHY GOLAY</v>
      </c>
      <c r="F37" s="45">
        <v>802986110001</v>
      </c>
      <c r="G37" s="45" t="str">
        <f t="shared" si="1"/>
        <v>8029861100010</v>
      </c>
      <c r="H37" s="2" t="s">
        <v>80</v>
      </c>
      <c r="I37" s="2" t="s">
        <v>79</v>
      </c>
      <c r="J37" s="51">
        <v>46023</v>
      </c>
      <c r="K37" s="2" t="s">
        <v>78</v>
      </c>
      <c r="L37" s="2">
        <v>1</v>
      </c>
      <c r="M37" s="2" t="s">
        <v>77</v>
      </c>
      <c r="N37" s="2" t="s">
        <v>401</v>
      </c>
      <c r="O37" s="3">
        <v>23</v>
      </c>
      <c r="P37" s="3">
        <v>115</v>
      </c>
      <c r="Q37" s="51">
        <v>46023</v>
      </c>
      <c r="R37" s="2" t="s">
        <v>402</v>
      </c>
      <c r="S37" s="46"/>
    </row>
    <row r="38" spans="1:19" ht="15" customHeight="1" x14ac:dyDescent="0.3">
      <c r="A38" s="2" t="s">
        <v>377</v>
      </c>
      <c r="B38" s="2">
        <v>16865615</v>
      </c>
      <c r="C38" s="2" t="s">
        <v>472</v>
      </c>
      <c r="D38" s="2" t="s">
        <v>473</v>
      </c>
      <c r="E38" s="2" t="str">
        <f t="shared" si="0"/>
        <v>TIMOTHY GOLAY</v>
      </c>
      <c r="F38" s="45">
        <v>802986110001</v>
      </c>
      <c r="G38" s="45" t="str">
        <f t="shared" si="1"/>
        <v>8029861100010</v>
      </c>
      <c r="H38" s="2" t="s">
        <v>80</v>
      </c>
      <c r="I38" s="2" t="s">
        <v>79</v>
      </c>
      <c r="J38" s="51">
        <v>46054</v>
      </c>
      <c r="K38" s="2" t="s">
        <v>78</v>
      </c>
      <c r="L38" s="2">
        <v>1</v>
      </c>
      <c r="M38" s="2" t="s">
        <v>77</v>
      </c>
      <c r="N38" s="2" t="s">
        <v>401</v>
      </c>
      <c r="O38" s="3">
        <v>23</v>
      </c>
      <c r="P38" s="3">
        <v>115</v>
      </c>
      <c r="Q38" s="51">
        <v>46023</v>
      </c>
      <c r="R38" s="2" t="s">
        <v>402</v>
      </c>
      <c r="S38" s="46"/>
    </row>
    <row r="39" spans="1:19" ht="15" customHeight="1" x14ac:dyDescent="0.3">
      <c r="A39" s="2" t="s">
        <v>377</v>
      </c>
      <c r="B39" s="2">
        <v>16865615</v>
      </c>
      <c r="C39" s="2" t="s">
        <v>472</v>
      </c>
      <c r="D39" s="2" t="s">
        <v>473</v>
      </c>
      <c r="E39" s="2" t="str">
        <f t="shared" si="0"/>
        <v>TIMOTHY GOLAY</v>
      </c>
      <c r="F39" s="45">
        <v>802986110001</v>
      </c>
      <c r="G39" s="45" t="str">
        <f t="shared" si="1"/>
        <v>8029861100010</v>
      </c>
      <c r="H39" s="2" t="s">
        <v>80</v>
      </c>
      <c r="I39" s="2" t="s">
        <v>79</v>
      </c>
      <c r="J39" s="51">
        <v>46082</v>
      </c>
      <c r="K39" s="2" t="s">
        <v>78</v>
      </c>
      <c r="L39" s="2">
        <v>1</v>
      </c>
      <c r="M39" s="2" t="s">
        <v>77</v>
      </c>
      <c r="N39" s="2" t="s">
        <v>401</v>
      </c>
      <c r="O39" s="3">
        <v>23</v>
      </c>
      <c r="P39" s="3">
        <v>115</v>
      </c>
      <c r="Q39" s="51">
        <v>46023</v>
      </c>
      <c r="R39" s="2" t="s">
        <v>402</v>
      </c>
      <c r="S39" s="46"/>
    </row>
    <row r="40" spans="1:19" ht="15" customHeight="1" x14ac:dyDescent="0.3">
      <c r="A40" s="2" t="s">
        <v>377</v>
      </c>
      <c r="B40" s="2">
        <v>16865615</v>
      </c>
      <c r="C40" s="2" t="s">
        <v>472</v>
      </c>
      <c r="D40" s="2" t="s">
        <v>473</v>
      </c>
      <c r="E40" s="2" t="str">
        <f t="shared" si="0"/>
        <v>TIMOTHY GOLAY</v>
      </c>
      <c r="F40" s="45">
        <v>802986110001</v>
      </c>
      <c r="G40" s="45" t="str">
        <f t="shared" si="1"/>
        <v>8029861100010</v>
      </c>
      <c r="H40" s="2" t="s">
        <v>80</v>
      </c>
      <c r="I40" s="2" t="s">
        <v>79</v>
      </c>
      <c r="J40" s="51">
        <v>46113</v>
      </c>
      <c r="K40" s="2" t="s">
        <v>78</v>
      </c>
      <c r="L40" s="2">
        <v>1</v>
      </c>
      <c r="M40" s="2" t="s">
        <v>77</v>
      </c>
      <c r="N40" s="2" t="s">
        <v>401</v>
      </c>
      <c r="O40" s="3">
        <v>23</v>
      </c>
      <c r="P40" s="3">
        <v>115</v>
      </c>
      <c r="Q40" s="51">
        <v>46023</v>
      </c>
      <c r="R40" s="2" t="s">
        <v>402</v>
      </c>
      <c r="S40" s="46"/>
    </row>
    <row r="41" spans="1:19" ht="15" customHeight="1" x14ac:dyDescent="0.3">
      <c r="A41" s="2" t="s">
        <v>377</v>
      </c>
      <c r="B41" s="2">
        <v>16865615</v>
      </c>
      <c r="C41" s="2" t="s">
        <v>474</v>
      </c>
      <c r="D41" s="2" t="s">
        <v>475</v>
      </c>
      <c r="E41" s="2" t="str">
        <f t="shared" si="0"/>
        <v>JAMES GRECO</v>
      </c>
      <c r="F41" s="45">
        <v>803399844001</v>
      </c>
      <c r="G41" s="45" t="str">
        <f t="shared" si="1"/>
        <v>8033998440010</v>
      </c>
      <c r="H41" s="2" t="s">
        <v>80</v>
      </c>
      <c r="I41" s="2" t="s">
        <v>79</v>
      </c>
      <c r="J41" s="51">
        <v>46113</v>
      </c>
      <c r="K41" s="2" t="s">
        <v>78</v>
      </c>
      <c r="L41" s="2">
        <v>1</v>
      </c>
      <c r="M41" s="2" t="s">
        <v>77</v>
      </c>
      <c r="N41" s="2" t="s">
        <v>399</v>
      </c>
      <c r="O41" s="3">
        <v>23</v>
      </c>
      <c r="P41" s="3">
        <v>69</v>
      </c>
      <c r="Q41" s="51">
        <v>46023</v>
      </c>
      <c r="R41" s="2" t="s">
        <v>402</v>
      </c>
      <c r="S41" s="46"/>
    </row>
    <row r="42" spans="1:19" ht="15" customHeight="1" x14ac:dyDescent="0.3">
      <c r="A42" s="2" t="s">
        <v>377</v>
      </c>
      <c r="B42" s="2">
        <v>16865615</v>
      </c>
      <c r="C42" s="2" t="s">
        <v>476</v>
      </c>
      <c r="D42" s="2" t="s">
        <v>477</v>
      </c>
      <c r="E42" s="2" t="str">
        <f t="shared" si="0"/>
        <v>DAVID HOFFMASTER</v>
      </c>
      <c r="F42" s="45">
        <v>802921278001</v>
      </c>
      <c r="G42" s="45" t="str">
        <f t="shared" si="1"/>
        <v>8029212780010</v>
      </c>
      <c r="H42" s="2" t="s">
        <v>80</v>
      </c>
      <c r="I42" s="2" t="s">
        <v>79</v>
      </c>
      <c r="J42" s="51">
        <v>46113</v>
      </c>
      <c r="K42" s="2" t="s">
        <v>78</v>
      </c>
      <c r="L42" s="2">
        <v>1</v>
      </c>
      <c r="M42" s="2" t="s">
        <v>77</v>
      </c>
      <c r="N42" s="2" t="s">
        <v>399</v>
      </c>
      <c r="O42" s="3">
        <v>23</v>
      </c>
      <c r="P42" s="3">
        <v>69</v>
      </c>
      <c r="Q42" s="51">
        <v>46023</v>
      </c>
      <c r="R42" s="2" t="s">
        <v>402</v>
      </c>
      <c r="S42" s="46"/>
    </row>
    <row r="43" spans="1:19" ht="15" customHeight="1" x14ac:dyDescent="0.3">
      <c r="A43" s="2" t="s">
        <v>377</v>
      </c>
      <c r="B43" s="2">
        <v>16865615</v>
      </c>
      <c r="C43" s="2" t="s">
        <v>478</v>
      </c>
      <c r="D43" s="2" t="s">
        <v>479</v>
      </c>
      <c r="E43" s="2" t="str">
        <f t="shared" si="0"/>
        <v>SUSAN JORDAN</v>
      </c>
      <c r="F43" s="45">
        <v>803463352001</v>
      </c>
      <c r="G43" s="45" t="str">
        <f t="shared" si="1"/>
        <v>8034633520010</v>
      </c>
      <c r="H43" s="2" t="s">
        <v>80</v>
      </c>
      <c r="I43" s="2" t="s">
        <v>79</v>
      </c>
      <c r="J43" s="51">
        <v>46113</v>
      </c>
      <c r="K43" s="2" t="s">
        <v>78</v>
      </c>
      <c r="L43" s="2">
        <v>1</v>
      </c>
      <c r="M43" s="2" t="s">
        <v>77</v>
      </c>
      <c r="N43" s="2"/>
      <c r="O43" s="3">
        <v>23</v>
      </c>
      <c r="P43" s="3">
        <v>23</v>
      </c>
      <c r="Q43" s="51">
        <v>46023</v>
      </c>
      <c r="R43" s="2" t="s">
        <v>402</v>
      </c>
      <c r="S43" s="46"/>
    </row>
    <row r="44" spans="1:19" ht="15" customHeight="1" x14ac:dyDescent="0.3">
      <c r="A44" s="2" t="s">
        <v>377</v>
      </c>
      <c r="B44" s="2">
        <v>16865615</v>
      </c>
      <c r="C44" s="2" t="s">
        <v>480</v>
      </c>
      <c r="D44" s="2" t="s">
        <v>481</v>
      </c>
      <c r="E44" s="2" t="str">
        <f t="shared" si="0"/>
        <v>PAUL KONKOL</v>
      </c>
      <c r="F44" s="45">
        <v>803433433001</v>
      </c>
      <c r="G44" s="45" t="str">
        <f t="shared" si="1"/>
        <v>8034334330010</v>
      </c>
      <c r="H44" s="2" t="s">
        <v>80</v>
      </c>
      <c r="I44" s="2" t="s">
        <v>79</v>
      </c>
      <c r="J44" s="51">
        <v>46113</v>
      </c>
      <c r="K44" s="2" t="s">
        <v>78</v>
      </c>
      <c r="L44" s="2">
        <v>1</v>
      </c>
      <c r="M44" s="2" t="s">
        <v>77</v>
      </c>
      <c r="N44" s="2" t="s">
        <v>401</v>
      </c>
      <c r="O44" s="3">
        <v>23</v>
      </c>
      <c r="P44" s="3">
        <v>115</v>
      </c>
      <c r="Q44" s="51">
        <v>46023</v>
      </c>
      <c r="R44" s="2" t="s">
        <v>402</v>
      </c>
      <c r="S44" s="46"/>
    </row>
    <row r="45" spans="1:19" ht="15" customHeight="1" x14ac:dyDescent="0.3">
      <c r="A45" s="2" t="s">
        <v>377</v>
      </c>
      <c r="B45" s="2">
        <v>16865615</v>
      </c>
      <c r="C45" s="2" t="s">
        <v>482</v>
      </c>
      <c r="D45" s="2" t="s">
        <v>483</v>
      </c>
      <c r="E45" s="2" t="str">
        <f t="shared" si="0"/>
        <v>HANS KROMANAKER</v>
      </c>
      <c r="F45" s="45">
        <v>803459539001</v>
      </c>
      <c r="G45" s="45" t="str">
        <f t="shared" si="1"/>
        <v>8034595390010</v>
      </c>
      <c r="H45" s="2" t="s">
        <v>80</v>
      </c>
      <c r="I45" s="2" t="s">
        <v>79</v>
      </c>
      <c r="J45" s="51">
        <v>46113</v>
      </c>
      <c r="K45" s="2" t="s">
        <v>78</v>
      </c>
      <c r="L45" s="2">
        <v>1</v>
      </c>
      <c r="M45" s="2" t="s">
        <v>77</v>
      </c>
      <c r="N45" s="2"/>
      <c r="O45" s="3">
        <v>23</v>
      </c>
      <c r="P45" s="3">
        <v>23</v>
      </c>
      <c r="Q45" s="51">
        <v>46023</v>
      </c>
      <c r="R45" s="2" t="s">
        <v>402</v>
      </c>
      <c r="S45" s="46"/>
    </row>
    <row r="46" spans="1:19" ht="15" customHeight="1" x14ac:dyDescent="0.3">
      <c r="A46" s="2" t="s">
        <v>377</v>
      </c>
      <c r="B46" s="2">
        <v>16865615</v>
      </c>
      <c r="C46" s="2" t="s">
        <v>484</v>
      </c>
      <c r="D46" s="2" t="s">
        <v>485</v>
      </c>
      <c r="E46" s="2" t="str">
        <f t="shared" si="0"/>
        <v>LYDIA KURNIAWAN-MOY</v>
      </c>
      <c r="F46" s="45">
        <v>803058283001</v>
      </c>
      <c r="G46" s="45" t="str">
        <f t="shared" si="1"/>
        <v>8030582830010</v>
      </c>
      <c r="H46" s="2" t="s">
        <v>80</v>
      </c>
      <c r="I46" s="2" t="s">
        <v>79</v>
      </c>
      <c r="J46" s="51">
        <v>46113</v>
      </c>
      <c r="K46" s="2" t="s">
        <v>78</v>
      </c>
      <c r="L46" s="2">
        <v>1</v>
      </c>
      <c r="M46" s="2" t="s">
        <v>77</v>
      </c>
      <c r="N46" s="2" t="s">
        <v>399</v>
      </c>
      <c r="O46" s="3">
        <v>23</v>
      </c>
      <c r="P46" s="3">
        <v>69</v>
      </c>
      <c r="Q46" s="51">
        <v>46023</v>
      </c>
      <c r="R46" s="2" t="s">
        <v>402</v>
      </c>
      <c r="S46" s="46"/>
    </row>
    <row r="47" spans="1:19" ht="15" customHeight="1" x14ac:dyDescent="0.3">
      <c r="A47" s="2" t="s">
        <v>377</v>
      </c>
      <c r="B47" s="2">
        <v>16865615</v>
      </c>
      <c r="C47" s="2" t="s">
        <v>486</v>
      </c>
      <c r="D47" s="2" t="s">
        <v>479</v>
      </c>
      <c r="E47" s="2" t="str">
        <f t="shared" si="0"/>
        <v>SUSAN LEVINE</v>
      </c>
      <c r="F47" s="45">
        <v>803467707001</v>
      </c>
      <c r="G47" s="45" t="str">
        <f t="shared" si="1"/>
        <v>8034677070010</v>
      </c>
      <c r="H47" s="2" t="s">
        <v>80</v>
      </c>
      <c r="I47" s="2" t="s">
        <v>79</v>
      </c>
      <c r="J47" s="51">
        <v>46113</v>
      </c>
      <c r="K47" s="2" t="s">
        <v>78</v>
      </c>
      <c r="L47" s="2">
        <v>1</v>
      </c>
      <c r="M47" s="2" t="s">
        <v>77</v>
      </c>
      <c r="N47" s="2" t="s">
        <v>398</v>
      </c>
      <c r="O47" s="3">
        <v>23</v>
      </c>
      <c r="P47" s="3">
        <v>46</v>
      </c>
      <c r="Q47" s="51">
        <v>46023</v>
      </c>
      <c r="R47" s="2" t="s">
        <v>402</v>
      </c>
      <c r="S47" s="46"/>
    </row>
    <row r="48" spans="1:19" ht="15" customHeight="1" x14ac:dyDescent="0.3">
      <c r="A48" s="2" t="s">
        <v>377</v>
      </c>
      <c r="B48" s="2">
        <v>16865615</v>
      </c>
      <c r="C48" s="2" t="s">
        <v>487</v>
      </c>
      <c r="D48" s="2" t="s">
        <v>488</v>
      </c>
      <c r="E48" s="2" t="str">
        <f t="shared" si="0"/>
        <v>KATE LEWIS</v>
      </c>
      <c r="F48" s="45">
        <v>802998630001</v>
      </c>
      <c r="G48" s="45" t="str">
        <f t="shared" si="1"/>
        <v>8029986300010</v>
      </c>
      <c r="H48" s="2" t="s">
        <v>80</v>
      </c>
      <c r="I48" s="2" t="s">
        <v>79</v>
      </c>
      <c r="J48" s="51">
        <v>46113</v>
      </c>
      <c r="K48" s="2" t="s">
        <v>78</v>
      </c>
      <c r="L48" s="2">
        <v>1</v>
      </c>
      <c r="M48" s="2" t="s">
        <v>77</v>
      </c>
      <c r="N48" s="2" t="s">
        <v>398</v>
      </c>
      <c r="O48" s="3">
        <v>23</v>
      </c>
      <c r="P48" s="3">
        <v>46</v>
      </c>
      <c r="Q48" s="51">
        <v>46023</v>
      </c>
      <c r="R48" s="2" t="s">
        <v>402</v>
      </c>
      <c r="S48" s="46"/>
    </row>
    <row r="49" spans="1:19" ht="15" customHeight="1" x14ac:dyDescent="0.3">
      <c r="A49" s="2" t="s">
        <v>377</v>
      </c>
      <c r="B49" s="2">
        <v>16865615</v>
      </c>
      <c r="C49" s="2" t="s">
        <v>487</v>
      </c>
      <c r="D49" s="2" t="s">
        <v>489</v>
      </c>
      <c r="E49" s="2" t="str">
        <f t="shared" si="0"/>
        <v>MARGOT LEWIS</v>
      </c>
      <c r="F49" s="45">
        <v>803417837001</v>
      </c>
      <c r="G49" s="45" t="str">
        <f t="shared" si="1"/>
        <v>8034178370010</v>
      </c>
      <c r="H49" s="2" t="s">
        <v>80</v>
      </c>
      <c r="I49" s="2" t="s">
        <v>79</v>
      </c>
      <c r="J49" s="51">
        <v>46054</v>
      </c>
      <c r="K49" s="2" t="s">
        <v>78</v>
      </c>
      <c r="L49" s="2">
        <v>1</v>
      </c>
      <c r="M49" s="2" t="s">
        <v>77</v>
      </c>
      <c r="N49" s="2"/>
      <c r="O49" s="3">
        <v>23</v>
      </c>
      <c r="P49" s="3">
        <v>23</v>
      </c>
      <c r="Q49" s="51">
        <v>46023</v>
      </c>
      <c r="R49" s="2" t="s">
        <v>402</v>
      </c>
      <c r="S49" s="46"/>
    </row>
    <row r="50" spans="1:19" ht="15" customHeight="1" x14ac:dyDescent="0.3">
      <c r="A50" s="2" t="s">
        <v>377</v>
      </c>
      <c r="B50" s="2">
        <v>16865615</v>
      </c>
      <c r="C50" s="2" t="s">
        <v>487</v>
      </c>
      <c r="D50" s="2" t="s">
        <v>489</v>
      </c>
      <c r="E50" s="2" t="str">
        <f t="shared" si="0"/>
        <v>MARGOT LEWIS</v>
      </c>
      <c r="F50" s="45">
        <v>803417837001</v>
      </c>
      <c r="G50" s="45" t="str">
        <f t="shared" si="1"/>
        <v>8034178370010</v>
      </c>
      <c r="H50" s="2" t="s">
        <v>80</v>
      </c>
      <c r="I50" s="2" t="s">
        <v>79</v>
      </c>
      <c r="J50" s="51">
        <v>46082</v>
      </c>
      <c r="K50" s="2" t="s">
        <v>78</v>
      </c>
      <c r="L50" s="2">
        <v>1</v>
      </c>
      <c r="M50" s="2" t="s">
        <v>77</v>
      </c>
      <c r="N50" s="2"/>
      <c r="O50" s="3">
        <v>23</v>
      </c>
      <c r="P50" s="3">
        <v>23</v>
      </c>
      <c r="Q50" s="51">
        <v>46023</v>
      </c>
      <c r="R50" s="2" t="s">
        <v>402</v>
      </c>
      <c r="S50" s="46"/>
    </row>
    <row r="51" spans="1:19" ht="15" customHeight="1" x14ac:dyDescent="0.3">
      <c r="A51" s="2" t="s">
        <v>377</v>
      </c>
      <c r="B51" s="2">
        <v>16865615</v>
      </c>
      <c r="C51" s="2" t="s">
        <v>487</v>
      </c>
      <c r="D51" s="2" t="s">
        <v>489</v>
      </c>
      <c r="E51" s="2" t="str">
        <f t="shared" si="0"/>
        <v>MARGOT LEWIS</v>
      </c>
      <c r="F51" s="45">
        <v>803417837001</v>
      </c>
      <c r="G51" s="45" t="str">
        <f t="shared" si="1"/>
        <v>8034178370010</v>
      </c>
      <c r="H51" s="2" t="s">
        <v>80</v>
      </c>
      <c r="I51" s="2" t="s">
        <v>79</v>
      </c>
      <c r="J51" s="51">
        <v>46113</v>
      </c>
      <c r="K51" s="2" t="s">
        <v>78</v>
      </c>
      <c r="L51" s="2">
        <v>1</v>
      </c>
      <c r="M51" s="2" t="s">
        <v>77</v>
      </c>
      <c r="N51" s="2"/>
      <c r="O51" s="3">
        <v>23</v>
      </c>
      <c r="P51" s="3">
        <v>23</v>
      </c>
      <c r="Q51" s="51">
        <v>46023</v>
      </c>
      <c r="R51" s="2" t="s">
        <v>402</v>
      </c>
      <c r="S51" s="46"/>
    </row>
    <row r="52" spans="1:19" ht="15" customHeight="1" x14ac:dyDescent="0.3">
      <c r="A52" s="2" t="s">
        <v>377</v>
      </c>
      <c r="B52" s="2">
        <v>16865615</v>
      </c>
      <c r="C52" s="2" t="s">
        <v>487</v>
      </c>
      <c r="D52" s="2" t="s">
        <v>490</v>
      </c>
      <c r="E52" s="2" t="str">
        <f t="shared" si="0"/>
        <v>QUINLAN LEWIS</v>
      </c>
      <c r="F52" s="45">
        <v>803417669001</v>
      </c>
      <c r="G52" s="45" t="str">
        <f t="shared" si="1"/>
        <v>8034176690010</v>
      </c>
      <c r="H52" s="2" t="s">
        <v>80</v>
      </c>
      <c r="I52" s="2" t="s">
        <v>79</v>
      </c>
      <c r="J52" s="51">
        <v>46113</v>
      </c>
      <c r="K52" s="2" t="s">
        <v>78</v>
      </c>
      <c r="L52" s="2">
        <v>1</v>
      </c>
      <c r="M52" s="2" t="s">
        <v>77</v>
      </c>
      <c r="N52" s="2"/>
      <c r="O52" s="3">
        <v>23</v>
      </c>
      <c r="P52" s="3">
        <v>23</v>
      </c>
      <c r="Q52" s="51">
        <v>46023</v>
      </c>
      <c r="R52" s="2" t="s">
        <v>402</v>
      </c>
      <c r="S52" s="46"/>
    </row>
    <row r="53" spans="1:19" ht="15" customHeight="1" x14ac:dyDescent="0.3">
      <c r="A53" s="2" t="s">
        <v>377</v>
      </c>
      <c r="B53" s="2">
        <v>16865615</v>
      </c>
      <c r="C53" s="2" t="s">
        <v>491</v>
      </c>
      <c r="D53" s="2" t="s">
        <v>492</v>
      </c>
      <c r="E53" s="2" t="str">
        <f t="shared" si="0"/>
        <v>WHITNEY LINDSEY</v>
      </c>
      <c r="F53" s="45">
        <v>803400681001</v>
      </c>
      <c r="G53" s="45" t="str">
        <f t="shared" si="1"/>
        <v>8034006810010</v>
      </c>
      <c r="H53" s="2" t="s">
        <v>80</v>
      </c>
      <c r="I53" s="2" t="s">
        <v>79</v>
      </c>
      <c r="J53" s="51">
        <v>46113</v>
      </c>
      <c r="K53" s="2" t="s">
        <v>78</v>
      </c>
      <c r="L53" s="2">
        <v>1</v>
      </c>
      <c r="M53" s="2" t="s">
        <v>77</v>
      </c>
      <c r="N53" s="2" t="s">
        <v>399</v>
      </c>
      <c r="O53" s="3">
        <v>23</v>
      </c>
      <c r="P53" s="3">
        <v>69</v>
      </c>
      <c r="Q53" s="51">
        <v>46023</v>
      </c>
      <c r="R53" s="2" t="s">
        <v>402</v>
      </c>
      <c r="S53" s="46"/>
    </row>
    <row r="54" spans="1:19" ht="15" customHeight="1" x14ac:dyDescent="0.3">
      <c r="A54" s="2" t="s">
        <v>377</v>
      </c>
      <c r="B54" s="2">
        <v>16865615</v>
      </c>
      <c r="C54" s="2" t="s">
        <v>493</v>
      </c>
      <c r="D54" s="2" t="s">
        <v>494</v>
      </c>
      <c r="E54" s="2" t="str">
        <f t="shared" si="0"/>
        <v>IAN MANSFIELD</v>
      </c>
      <c r="F54" s="45">
        <v>803030379001</v>
      </c>
      <c r="G54" s="45" t="str">
        <f t="shared" si="1"/>
        <v>8030303790010</v>
      </c>
      <c r="H54" s="2" t="s">
        <v>80</v>
      </c>
      <c r="I54" s="2" t="s">
        <v>79</v>
      </c>
      <c r="J54" s="51">
        <v>46054</v>
      </c>
      <c r="K54" s="2" t="s">
        <v>78</v>
      </c>
      <c r="L54" s="2">
        <v>1</v>
      </c>
      <c r="M54" s="2" t="s">
        <v>77</v>
      </c>
      <c r="N54" s="2"/>
      <c r="O54" s="3">
        <v>23</v>
      </c>
      <c r="P54" s="3">
        <v>23</v>
      </c>
      <c r="Q54" s="51">
        <v>46023</v>
      </c>
      <c r="R54" s="2" t="s">
        <v>402</v>
      </c>
      <c r="S54" s="46"/>
    </row>
    <row r="55" spans="1:19" ht="15" customHeight="1" x14ac:dyDescent="0.3">
      <c r="A55" s="2" t="s">
        <v>377</v>
      </c>
      <c r="B55" s="2">
        <v>16865615</v>
      </c>
      <c r="C55" s="2" t="s">
        <v>495</v>
      </c>
      <c r="D55" s="2" t="s">
        <v>496</v>
      </c>
      <c r="E55" s="2" t="str">
        <f t="shared" si="0"/>
        <v>LESLIE MANSUR</v>
      </c>
      <c r="F55" s="45">
        <v>803417889001</v>
      </c>
      <c r="G55" s="45" t="str">
        <f t="shared" si="1"/>
        <v>8034178890010</v>
      </c>
      <c r="H55" s="2" t="s">
        <v>80</v>
      </c>
      <c r="I55" s="2" t="s">
        <v>79</v>
      </c>
      <c r="J55" s="51">
        <v>46113</v>
      </c>
      <c r="K55" s="2" t="s">
        <v>78</v>
      </c>
      <c r="L55" s="2">
        <v>1</v>
      </c>
      <c r="M55" s="2" t="s">
        <v>77</v>
      </c>
      <c r="N55" s="2"/>
      <c r="O55" s="3">
        <v>23</v>
      </c>
      <c r="P55" s="3">
        <v>23</v>
      </c>
      <c r="Q55" s="51">
        <v>46023</v>
      </c>
      <c r="R55" s="2" t="s">
        <v>402</v>
      </c>
      <c r="S55" s="46"/>
    </row>
    <row r="56" spans="1:19" ht="15" customHeight="1" x14ac:dyDescent="0.3">
      <c r="A56" s="2" t="s">
        <v>377</v>
      </c>
      <c r="B56" s="2">
        <v>16865615</v>
      </c>
      <c r="C56" s="2" t="s">
        <v>497</v>
      </c>
      <c r="D56" s="2" t="s">
        <v>498</v>
      </c>
      <c r="E56" s="2" t="str">
        <f t="shared" si="0"/>
        <v>SHELLEY MARTIN</v>
      </c>
      <c r="F56" s="45">
        <v>803398900001</v>
      </c>
      <c r="G56" s="45" t="str">
        <f t="shared" si="1"/>
        <v>8033989000010</v>
      </c>
      <c r="H56" s="2" t="s">
        <v>80</v>
      </c>
      <c r="I56" s="2" t="s">
        <v>79</v>
      </c>
      <c r="J56" s="51">
        <v>46113</v>
      </c>
      <c r="K56" s="2" t="s">
        <v>78</v>
      </c>
      <c r="L56" s="2">
        <v>1</v>
      </c>
      <c r="M56" s="2" t="s">
        <v>77</v>
      </c>
      <c r="N56" s="2"/>
      <c r="O56" s="3">
        <v>23</v>
      </c>
      <c r="P56" s="3">
        <v>23</v>
      </c>
      <c r="Q56" s="51">
        <v>46023</v>
      </c>
      <c r="R56" s="2" t="s">
        <v>402</v>
      </c>
      <c r="S56" s="46"/>
    </row>
    <row r="57" spans="1:19" ht="15" customHeight="1" x14ac:dyDescent="0.3">
      <c r="A57" s="2" t="s">
        <v>377</v>
      </c>
      <c r="B57" s="2">
        <v>16865615</v>
      </c>
      <c r="C57" s="2" t="s">
        <v>499</v>
      </c>
      <c r="D57" s="2" t="s">
        <v>500</v>
      </c>
      <c r="E57" s="2" t="str">
        <f t="shared" si="0"/>
        <v>CHRISTOPHER MATKINS</v>
      </c>
      <c r="F57" s="45">
        <v>803410073001</v>
      </c>
      <c r="G57" s="45" t="str">
        <f t="shared" si="1"/>
        <v>8034100730010</v>
      </c>
      <c r="H57" s="2" t="s">
        <v>80</v>
      </c>
      <c r="I57" s="2" t="s">
        <v>79</v>
      </c>
      <c r="J57" s="51">
        <v>46113</v>
      </c>
      <c r="K57" s="2" t="s">
        <v>78</v>
      </c>
      <c r="L57" s="2">
        <v>1</v>
      </c>
      <c r="M57" s="2" t="s">
        <v>77</v>
      </c>
      <c r="N57" s="2"/>
      <c r="O57" s="3">
        <v>23</v>
      </c>
      <c r="P57" s="3">
        <v>23</v>
      </c>
      <c r="Q57" s="51">
        <v>46023</v>
      </c>
      <c r="R57" s="2" t="s">
        <v>402</v>
      </c>
      <c r="S57" s="46"/>
    </row>
    <row r="58" spans="1:19" ht="15" customHeight="1" x14ac:dyDescent="0.3">
      <c r="A58" s="2" t="s">
        <v>377</v>
      </c>
      <c r="B58" s="2">
        <v>16865615</v>
      </c>
      <c r="C58" s="2" t="s">
        <v>501</v>
      </c>
      <c r="D58" s="2" t="s">
        <v>502</v>
      </c>
      <c r="E58" s="2" t="str">
        <f t="shared" si="0"/>
        <v>CHAD MCGOVERN</v>
      </c>
      <c r="F58" s="45">
        <v>803460040001</v>
      </c>
      <c r="G58" s="45" t="str">
        <f t="shared" si="1"/>
        <v>8034600400010</v>
      </c>
      <c r="H58" s="2" t="s">
        <v>80</v>
      </c>
      <c r="I58" s="2" t="s">
        <v>79</v>
      </c>
      <c r="J58" s="51">
        <v>46082</v>
      </c>
      <c r="K58" s="2" t="s">
        <v>78</v>
      </c>
      <c r="L58" s="2">
        <v>1</v>
      </c>
      <c r="M58" s="2" t="s">
        <v>77</v>
      </c>
      <c r="N58" s="2"/>
      <c r="O58" s="3">
        <v>23</v>
      </c>
      <c r="P58" s="3">
        <v>23</v>
      </c>
      <c r="Q58" s="51">
        <v>46023</v>
      </c>
      <c r="R58" s="2" t="s">
        <v>402</v>
      </c>
      <c r="S58" s="46"/>
    </row>
    <row r="59" spans="1:19" ht="15" customHeight="1" x14ac:dyDescent="0.3">
      <c r="A59" s="2" t="s">
        <v>377</v>
      </c>
      <c r="B59" s="2">
        <v>16865615</v>
      </c>
      <c r="C59" s="2" t="s">
        <v>501</v>
      </c>
      <c r="D59" s="2" t="s">
        <v>502</v>
      </c>
      <c r="E59" s="2" t="str">
        <f t="shared" si="0"/>
        <v>CHAD MCGOVERN</v>
      </c>
      <c r="F59" s="45">
        <v>803460040001</v>
      </c>
      <c r="G59" s="45" t="str">
        <f t="shared" si="1"/>
        <v>8034600400010</v>
      </c>
      <c r="H59" s="2" t="s">
        <v>80</v>
      </c>
      <c r="I59" s="2" t="s">
        <v>79</v>
      </c>
      <c r="J59" s="51">
        <v>46113</v>
      </c>
      <c r="K59" s="2" t="s">
        <v>78</v>
      </c>
      <c r="L59" s="2">
        <v>1</v>
      </c>
      <c r="M59" s="2" t="s">
        <v>77</v>
      </c>
      <c r="N59" s="2"/>
      <c r="O59" s="3">
        <v>23</v>
      </c>
      <c r="P59" s="3">
        <v>23</v>
      </c>
      <c r="Q59" s="51">
        <v>46023</v>
      </c>
      <c r="R59" s="2" t="s">
        <v>402</v>
      </c>
      <c r="S59" s="46"/>
    </row>
    <row r="60" spans="1:19" ht="15" customHeight="1" x14ac:dyDescent="0.3">
      <c r="A60" s="2" t="s">
        <v>377</v>
      </c>
      <c r="B60" s="2">
        <v>16865615</v>
      </c>
      <c r="C60" s="2" t="s">
        <v>503</v>
      </c>
      <c r="D60" s="2" t="s">
        <v>504</v>
      </c>
      <c r="E60" s="2" t="str">
        <f t="shared" si="0"/>
        <v>CATHERINE MCHALE</v>
      </c>
      <c r="F60" s="45">
        <v>803468097001</v>
      </c>
      <c r="G60" s="45" t="str">
        <f t="shared" si="1"/>
        <v>8034680970010</v>
      </c>
      <c r="H60" s="2" t="s">
        <v>80</v>
      </c>
      <c r="I60" s="2" t="s">
        <v>79</v>
      </c>
      <c r="J60" s="51">
        <v>46113</v>
      </c>
      <c r="K60" s="2" t="s">
        <v>78</v>
      </c>
      <c r="L60" s="2">
        <v>1</v>
      </c>
      <c r="M60" s="2" t="s">
        <v>77</v>
      </c>
      <c r="N60" s="2"/>
      <c r="O60" s="3">
        <v>23</v>
      </c>
      <c r="P60" s="3">
        <v>23</v>
      </c>
      <c r="Q60" s="51">
        <v>46023</v>
      </c>
      <c r="R60" s="2" t="s">
        <v>402</v>
      </c>
      <c r="S60" s="46"/>
    </row>
    <row r="61" spans="1:19" ht="15" customHeight="1" x14ac:dyDescent="0.3">
      <c r="A61" s="2" t="s">
        <v>377</v>
      </c>
      <c r="B61" s="2">
        <v>16865615</v>
      </c>
      <c r="C61" s="2" t="s">
        <v>505</v>
      </c>
      <c r="D61" s="2" t="s">
        <v>506</v>
      </c>
      <c r="E61" s="2" t="str">
        <f t="shared" si="0"/>
        <v>GREER MENDEL</v>
      </c>
      <c r="F61" s="45">
        <v>803118558001</v>
      </c>
      <c r="G61" s="45" t="str">
        <f t="shared" si="1"/>
        <v>8031185580010</v>
      </c>
      <c r="H61" s="2" t="s">
        <v>80</v>
      </c>
      <c r="I61" s="2" t="s">
        <v>79</v>
      </c>
      <c r="J61" s="51">
        <v>46113</v>
      </c>
      <c r="K61" s="2" t="s">
        <v>78</v>
      </c>
      <c r="L61" s="2">
        <v>1</v>
      </c>
      <c r="M61" s="2" t="s">
        <v>77</v>
      </c>
      <c r="N61" s="2" t="s">
        <v>398</v>
      </c>
      <c r="O61" s="3">
        <v>23</v>
      </c>
      <c r="P61" s="3">
        <v>46</v>
      </c>
      <c r="Q61" s="51">
        <v>46023</v>
      </c>
      <c r="R61" s="2" t="s">
        <v>402</v>
      </c>
      <c r="S61" s="46"/>
    </row>
    <row r="62" spans="1:19" ht="15" customHeight="1" x14ac:dyDescent="0.3">
      <c r="A62" s="2" t="s">
        <v>377</v>
      </c>
      <c r="B62" s="2">
        <v>16865615</v>
      </c>
      <c r="C62" s="2" t="s">
        <v>507</v>
      </c>
      <c r="D62" s="2" t="s">
        <v>508</v>
      </c>
      <c r="E62" s="2" t="str">
        <f t="shared" si="0"/>
        <v>NATHAN MENDER</v>
      </c>
      <c r="F62" s="45">
        <v>803511856001</v>
      </c>
      <c r="G62" s="45" t="str">
        <f t="shared" si="1"/>
        <v>8035118560010</v>
      </c>
      <c r="H62" s="2" t="s">
        <v>80</v>
      </c>
      <c r="I62" s="2" t="s">
        <v>79</v>
      </c>
      <c r="J62" s="51">
        <v>46113</v>
      </c>
      <c r="K62" s="2" t="s">
        <v>78</v>
      </c>
      <c r="L62" s="2">
        <v>1</v>
      </c>
      <c r="M62" s="2" t="s">
        <v>77</v>
      </c>
      <c r="N62" s="2" t="s">
        <v>398</v>
      </c>
      <c r="O62" s="3">
        <v>23</v>
      </c>
      <c r="P62" s="3">
        <v>46</v>
      </c>
      <c r="Q62" s="51">
        <v>46023</v>
      </c>
      <c r="R62" s="2" t="s">
        <v>402</v>
      </c>
      <c r="S62" s="46"/>
    </row>
    <row r="63" spans="1:19" ht="15" customHeight="1" x14ac:dyDescent="0.3">
      <c r="A63" s="2" t="s">
        <v>377</v>
      </c>
      <c r="B63" s="2">
        <v>16865615</v>
      </c>
      <c r="C63" s="2" t="s">
        <v>509</v>
      </c>
      <c r="D63" s="2" t="s">
        <v>510</v>
      </c>
      <c r="E63" s="2" t="str">
        <f t="shared" si="0"/>
        <v>GRACE MEYER</v>
      </c>
      <c r="F63" s="45">
        <v>803516216001</v>
      </c>
      <c r="G63" s="45" t="str">
        <f t="shared" si="1"/>
        <v>8035162160010</v>
      </c>
      <c r="H63" s="2" t="s">
        <v>80</v>
      </c>
      <c r="I63" s="2" t="s">
        <v>79</v>
      </c>
      <c r="J63" s="51">
        <v>46113</v>
      </c>
      <c r="K63" s="2" t="s">
        <v>78</v>
      </c>
      <c r="L63" s="2">
        <v>1</v>
      </c>
      <c r="M63" s="2" t="s">
        <v>77</v>
      </c>
      <c r="N63" s="2"/>
      <c r="O63" s="3">
        <v>23</v>
      </c>
      <c r="P63" s="3">
        <v>23</v>
      </c>
      <c r="Q63" s="51">
        <v>46023</v>
      </c>
      <c r="R63" s="2" t="s">
        <v>402</v>
      </c>
      <c r="S63" s="46"/>
    </row>
    <row r="64" spans="1:19" ht="15" customHeight="1" x14ac:dyDescent="0.3">
      <c r="A64" s="2" t="s">
        <v>377</v>
      </c>
      <c r="B64" s="2">
        <v>16865615</v>
      </c>
      <c r="C64" s="2" t="s">
        <v>511</v>
      </c>
      <c r="D64" s="2" t="s">
        <v>512</v>
      </c>
      <c r="E64" s="2" t="str">
        <f t="shared" si="0"/>
        <v>GABRIELLA MILLER</v>
      </c>
      <c r="F64" s="45">
        <v>803102575001</v>
      </c>
      <c r="G64" s="45" t="str">
        <f t="shared" si="1"/>
        <v>8031025750010</v>
      </c>
      <c r="H64" s="2" t="s">
        <v>80</v>
      </c>
      <c r="I64" s="2" t="s">
        <v>79</v>
      </c>
      <c r="J64" s="51">
        <v>46113</v>
      </c>
      <c r="K64" s="2" t="s">
        <v>78</v>
      </c>
      <c r="L64" s="2">
        <v>1</v>
      </c>
      <c r="M64" s="2" t="s">
        <v>77</v>
      </c>
      <c r="N64" s="2"/>
      <c r="O64" s="3">
        <v>23</v>
      </c>
      <c r="P64" s="3">
        <v>23</v>
      </c>
      <c r="Q64" s="51">
        <v>46023</v>
      </c>
      <c r="R64" s="2" t="s">
        <v>402</v>
      </c>
      <c r="S64" s="46"/>
    </row>
    <row r="65" spans="1:19" ht="15" customHeight="1" x14ac:dyDescent="0.3">
      <c r="A65" s="2" t="s">
        <v>377</v>
      </c>
      <c r="B65" s="2">
        <v>16865615</v>
      </c>
      <c r="C65" s="2" t="s">
        <v>513</v>
      </c>
      <c r="D65" s="2" t="s">
        <v>514</v>
      </c>
      <c r="E65" s="2" t="str">
        <f t="shared" si="0"/>
        <v>CARLOS MORALES-LOPEZ</v>
      </c>
      <c r="F65" s="45">
        <v>803473539001</v>
      </c>
      <c r="G65" s="45" t="str">
        <f t="shared" si="1"/>
        <v>8034735390010</v>
      </c>
      <c r="H65" s="2" t="s">
        <v>80</v>
      </c>
      <c r="I65" s="2" t="s">
        <v>79</v>
      </c>
      <c r="J65" s="51">
        <v>46113</v>
      </c>
      <c r="K65" s="2" t="s">
        <v>78</v>
      </c>
      <c r="L65" s="2">
        <v>1</v>
      </c>
      <c r="M65" s="2" t="s">
        <v>77</v>
      </c>
      <c r="N65" s="2"/>
      <c r="O65" s="3">
        <v>23</v>
      </c>
      <c r="P65" s="3">
        <v>23</v>
      </c>
      <c r="Q65" s="51">
        <v>46023</v>
      </c>
      <c r="R65" s="2" t="s">
        <v>402</v>
      </c>
      <c r="S65" s="46"/>
    </row>
    <row r="66" spans="1:19" ht="15" customHeight="1" x14ac:dyDescent="0.3">
      <c r="A66" s="2" t="s">
        <v>377</v>
      </c>
      <c r="B66" s="2">
        <v>16865615</v>
      </c>
      <c r="C66" s="2" t="s">
        <v>515</v>
      </c>
      <c r="D66" s="2" t="s">
        <v>460</v>
      </c>
      <c r="E66" s="2" t="str">
        <f t="shared" si="0"/>
        <v>JOSEPH MOTZKIN</v>
      </c>
      <c r="F66" s="45">
        <v>803513638001</v>
      </c>
      <c r="G66" s="45" t="str">
        <f t="shared" si="1"/>
        <v>8035136380010</v>
      </c>
      <c r="H66" s="2" t="s">
        <v>80</v>
      </c>
      <c r="I66" s="2" t="s">
        <v>79</v>
      </c>
      <c r="J66" s="51">
        <v>46113</v>
      </c>
      <c r="K66" s="2" t="s">
        <v>78</v>
      </c>
      <c r="L66" s="2">
        <v>1</v>
      </c>
      <c r="M66" s="2" t="s">
        <v>77</v>
      </c>
      <c r="N66" s="2"/>
      <c r="O66" s="3">
        <v>23</v>
      </c>
      <c r="P66" s="3">
        <v>23</v>
      </c>
      <c r="Q66" s="51">
        <v>46023</v>
      </c>
      <c r="R66" s="2" t="s">
        <v>402</v>
      </c>
      <c r="S66" s="46"/>
    </row>
    <row r="67" spans="1:19" ht="15" customHeight="1" x14ac:dyDescent="0.3">
      <c r="A67" s="2" t="s">
        <v>377</v>
      </c>
      <c r="B67" s="2">
        <v>16865615</v>
      </c>
      <c r="C67" s="2" t="s">
        <v>516</v>
      </c>
      <c r="D67" s="2" t="s">
        <v>517</v>
      </c>
      <c r="E67" s="2" t="str">
        <f t="shared" ref="E67:E130" si="2">_xlfn.CONCAT(D67," ",C67)</f>
        <v>DEANNA NEIGHBORS</v>
      </c>
      <c r="F67" s="45">
        <v>803311238001</v>
      </c>
      <c r="G67" s="45" t="str">
        <f t="shared" ref="G67:G130" si="3">_xlfn.CONCAT(F67,0)</f>
        <v>8033112380010</v>
      </c>
      <c r="H67" s="2" t="s">
        <v>80</v>
      </c>
      <c r="I67" s="2" t="s">
        <v>79</v>
      </c>
      <c r="J67" s="51">
        <v>46113</v>
      </c>
      <c r="K67" s="2" t="s">
        <v>78</v>
      </c>
      <c r="L67" s="2">
        <v>1</v>
      </c>
      <c r="M67" s="2" t="s">
        <v>77</v>
      </c>
      <c r="N67" s="2"/>
      <c r="O67" s="3">
        <v>23</v>
      </c>
      <c r="P67" s="3">
        <v>23</v>
      </c>
      <c r="Q67" s="51">
        <v>46023</v>
      </c>
      <c r="R67" s="2" t="s">
        <v>402</v>
      </c>
      <c r="S67" s="46"/>
    </row>
    <row r="68" spans="1:19" ht="15" customHeight="1" x14ac:dyDescent="0.3">
      <c r="A68" s="2" t="s">
        <v>377</v>
      </c>
      <c r="B68" s="2">
        <v>16865615</v>
      </c>
      <c r="C68" s="2" t="s">
        <v>518</v>
      </c>
      <c r="D68" s="2" t="s">
        <v>444</v>
      </c>
      <c r="E68" s="2" t="str">
        <f t="shared" si="2"/>
        <v>JOHN OSBORNE</v>
      </c>
      <c r="F68" s="45">
        <v>802911081001</v>
      </c>
      <c r="G68" s="45" t="str">
        <f t="shared" si="3"/>
        <v>8029110810010</v>
      </c>
      <c r="H68" s="2" t="s">
        <v>80</v>
      </c>
      <c r="I68" s="2" t="s">
        <v>79</v>
      </c>
      <c r="J68" s="51">
        <v>46113</v>
      </c>
      <c r="K68" s="2" t="s">
        <v>78</v>
      </c>
      <c r="L68" s="2">
        <v>1</v>
      </c>
      <c r="M68" s="2" t="s">
        <v>77</v>
      </c>
      <c r="N68" s="2" t="s">
        <v>400</v>
      </c>
      <c r="O68" s="3">
        <v>23</v>
      </c>
      <c r="P68" s="3">
        <v>92</v>
      </c>
      <c r="Q68" s="51">
        <v>46023</v>
      </c>
      <c r="R68" s="2" t="s">
        <v>402</v>
      </c>
      <c r="S68" s="46"/>
    </row>
    <row r="69" spans="1:19" ht="15" customHeight="1" x14ac:dyDescent="0.3">
      <c r="A69" s="2" t="s">
        <v>377</v>
      </c>
      <c r="B69" s="2">
        <v>16865615</v>
      </c>
      <c r="C69" s="2" t="s">
        <v>519</v>
      </c>
      <c r="D69" s="2" t="s">
        <v>520</v>
      </c>
      <c r="E69" s="2" t="str">
        <f t="shared" si="2"/>
        <v>DENISE OSMON</v>
      </c>
      <c r="F69" s="45">
        <v>803304435001</v>
      </c>
      <c r="G69" s="45" t="str">
        <f t="shared" si="3"/>
        <v>8033044350010</v>
      </c>
      <c r="H69" s="2" t="s">
        <v>80</v>
      </c>
      <c r="I69" s="2" t="s">
        <v>79</v>
      </c>
      <c r="J69" s="51">
        <v>46113</v>
      </c>
      <c r="K69" s="2" t="s">
        <v>78</v>
      </c>
      <c r="L69" s="2">
        <v>1</v>
      </c>
      <c r="M69" s="2" t="s">
        <v>77</v>
      </c>
      <c r="N69" s="2" t="s">
        <v>399</v>
      </c>
      <c r="O69" s="3">
        <v>23</v>
      </c>
      <c r="P69" s="3">
        <v>69</v>
      </c>
      <c r="Q69" s="51">
        <v>46023</v>
      </c>
      <c r="R69" s="2" t="s">
        <v>402</v>
      </c>
      <c r="S69" s="46"/>
    </row>
    <row r="70" spans="1:19" ht="15" customHeight="1" x14ac:dyDescent="0.3">
      <c r="A70" s="2" t="s">
        <v>377</v>
      </c>
      <c r="B70" s="2">
        <v>16865615</v>
      </c>
      <c r="C70" s="2" t="s">
        <v>521</v>
      </c>
      <c r="D70" s="2" t="s">
        <v>522</v>
      </c>
      <c r="E70" s="2" t="str">
        <f t="shared" si="2"/>
        <v>BRYAN PERLMAN</v>
      </c>
      <c r="F70" s="45">
        <v>803513855001</v>
      </c>
      <c r="G70" s="45" t="str">
        <f t="shared" si="3"/>
        <v>8035138550010</v>
      </c>
      <c r="H70" s="2" t="s">
        <v>80</v>
      </c>
      <c r="I70" s="2" t="s">
        <v>79</v>
      </c>
      <c r="J70" s="51">
        <v>46082</v>
      </c>
      <c r="K70" s="2" t="s">
        <v>78</v>
      </c>
      <c r="L70" s="2">
        <v>1</v>
      </c>
      <c r="M70" s="2" t="s">
        <v>77</v>
      </c>
      <c r="N70" s="2"/>
      <c r="O70" s="3">
        <v>23</v>
      </c>
      <c r="P70" s="3">
        <v>23</v>
      </c>
      <c r="Q70" s="51">
        <v>46023</v>
      </c>
      <c r="R70" s="2" t="s">
        <v>402</v>
      </c>
      <c r="S70" s="46"/>
    </row>
    <row r="71" spans="1:19" ht="15" customHeight="1" x14ac:dyDescent="0.3">
      <c r="A71" s="2" t="s">
        <v>377</v>
      </c>
      <c r="B71" s="2">
        <v>16865615</v>
      </c>
      <c r="C71" s="2" t="s">
        <v>521</v>
      </c>
      <c r="D71" s="2" t="s">
        <v>522</v>
      </c>
      <c r="E71" s="2" t="str">
        <f t="shared" si="2"/>
        <v>BRYAN PERLMAN</v>
      </c>
      <c r="F71" s="45">
        <v>803513855001</v>
      </c>
      <c r="G71" s="45" t="str">
        <f t="shared" si="3"/>
        <v>8035138550010</v>
      </c>
      <c r="H71" s="2" t="s">
        <v>80</v>
      </c>
      <c r="I71" s="2" t="s">
        <v>79</v>
      </c>
      <c r="J71" s="51">
        <v>46113</v>
      </c>
      <c r="K71" s="2" t="s">
        <v>78</v>
      </c>
      <c r="L71" s="2">
        <v>1</v>
      </c>
      <c r="M71" s="2" t="s">
        <v>77</v>
      </c>
      <c r="N71" s="2"/>
      <c r="O71" s="3">
        <v>23</v>
      </c>
      <c r="P71" s="3">
        <v>23</v>
      </c>
      <c r="Q71" s="51">
        <v>46023</v>
      </c>
      <c r="R71" s="2" t="s">
        <v>402</v>
      </c>
      <c r="S71" s="46"/>
    </row>
    <row r="72" spans="1:19" ht="15" customHeight="1" x14ac:dyDescent="0.3">
      <c r="A72" s="2" t="s">
        <v>377</v>
      </c>
      <c r="B72" s="2">
        <v>16865615</v>
      </c>
      <c r="C72" s="2" t="s">
        <v>523</v>
      </c>
      <c r="D72" s="2" t="s">
        <v>422</v>
      </c>
      <c r="E72" s="2" t="str">
        <f t="shared" si="2"/>
        <v>REBECCA PHILLIPS</v>
      </c>
      <c r="F72" s="45">
        <v>803511144001</v>
      </c>
      <c r="G72" s="45" t="str">
        <f t="shared" si="3"/>
        <v>8035111440010</v>
      </c>
      <c r="H72" s="2" t="s">
        <v>80</v>
      </c>
      <c r="I72" s="2" t="s">
        <v>79</v>
      </c>
      <c r="J72" s="51">
        <v>46113</v>
      </c>
      <c r="K72" s="2" t="s">
        <v>78</v>
      </c>
      <c r="L72" s="2">
        <v>1</v>
      </c>
      <c r="M72" s="2" t="s">
        <v>77</v>
      </c>
      <c r="N72" s="2"/>
      <c r="O72" s="3">
        <v>23</v>
      </c>
      <c r="P72" s="3">
        <v>23</v>
      </c>
      <c r="Q72" s="51">
        <v>46023</v>
      </c>
      <c r="R72" s="2" t="s">
        <v>402</v>
      </c>
      <c r="S72" s="46"/>
    </row>
    <row r="73" spans="1:19" ht="15" customHeight="1" x14ac:dyDescent="0.3">
      <c r="A73" s="2" t="s">
        <v>377</v>
      </c>
      <c r="B73" s="2">
        <v>16865615</v>
      </c>
      <c r="C73" s="2" t="s">
        <v>524</v>
      </c>
      <c r="D73" s="2" t="s">
        <v>444</v>
      </c>
      <c r="E73" s="2" t="str">
        <f t="shared" si="2"/>
        <v>JOHN PILLMANN</v>
      </c>
      <c r="F73" s="45">
        <v>802995059001</v>
      </c>
      <c r="G73" s="45" t="str">
        <f t="shared" si="3"/>
        <v>8029950590010</v>
      </c>
      <c r="H73" s="2" t="s">
        <v>80</v>
      </c>
      <c r="I73" s="2" t="s">
        <v>79</v>
      </c>
      <c r="J73" s="51">
        <v>46113</v>
      </c>
      <c r="K73" s="2" t="s">
        <v>78</v>
      </c>
      <c r="L73" s="2">
        <v>1</v>
      </c>
      <c r="M73" s="2" t="s">
        <v>77</v>
      </c>
      <c r="N73" s="2" t="s">
        <v>398</v>
      </c>
      <c r="O73" s="3">
        <v>23</v>
      </c>
      <c r="P73" s="3">
        <v>46</v>
      </c>
      <c r="Q73" s="51">
        <v>46023</v>
      </c>
      <c r="R73" s="2" t="s">
        <v>402</v>
      </c>
      <c r="S73" s="46"/>
    </row>
    <row r="74" spans="1:19" ht="15" customHeight="1" x14ac:dyDescent="0.3">
      <c r="A74" s="2" t="s">
        <v>377</v>
      </c>
      <c r="B74" s="2">
        <v>16865615</v>
      </c>
      <c r="C74" s="2" t="s">
        <v>525</v>
      </c>
      <c r="D74" s="2" t="s">
        <v>526</v>
      </c>
      <c r="E74" s="2" t="str">
        <f t="shared" si="2"/>
        <v>LAURA PRINDLE</v>
      </c>
      <c r="F74" s="45">
        <v>803406897001</v>
      </c>
      <c r="G74" s="45" t="str">
        <f t="shared" si="3"/>
        <v>8034068970010</v>
      </c>
      <c r="H74" s="2" t="s">
        <v>80</v>
      </c>
      <c r="I74" s="2" t="s">
        <v>79</v>
      </c>
      <c r="J74" s="51">
        <v>46113</v>
      </c>
      <c r="K74" s="2" t="s">
        <v>78</v>
      </c>
      <c r="L74" s="2">
        <v>1</v>
      </c>
      <c r="M74" s="2" t="s">
        <v>77</v>
      </c>
      <c r="N74" s="2"/>
      <c r="O74" s="3">
        <v>23</v>
      </c>
      <c r="P74" s="3">
        <v>23</v>
      </c>
      <c r="Q74" s="51">
        <v>46023</v>
      </c>
      <c r="R74" s="2" t="s">
        <v>402</v>
      </c>
      <c r="S74" s="46"/>
    </row>
    <row r="75" spans="1:19" ht="15" customHeight="1" x14ac:dyDescent="0.3">
      <c r="A75" s="2" t="s">
        <v>377</v>
      </c>
      <c r="B75" s="2">
        <v>16865615</v>
      </c>
      <c r="C75" s="2" t="s">
        <v>527</v>
      </c>
      <c r="D75" s="2" t="s">
        <v>526</v>
      </c>
      <c r="E75" s="2" t="str">
        <f t="shared" si="2"/>
        <v>LAURA RIEDEL</v>
      </c>
      <c r="F75" s="45">
        <v>803319202001</v>
      </c>
      <c r="G75" s="45" t="str">
        <f t="shared" si="3"/>
        <v>8033192020010</v>
      </c>
      <c r="H75" s="2" t="s">
        <v>80</v>
      </c>
      <c r="I75" s="2" t="s">
        <v>79</v>
      </c>
      <c r="J75" s="51">
        <v>46082</v>
      </c>
      <c r="K75" s="2" t="s">
        <v>78</v>
      </c>
      <c r="L75" s="2">
        <v>1</v>
      </c>
      <c r="M75" s="2" t="s">
        <v>77</v>
      </c>
      <c r="N75" s="2"/>
      <c r="O75" s="3">
        <v>23</v>
      </c>
      <c r="P75" s="3">
        <v>7.92</v>
      </c>
      <c r="Q75" s="51">
        <v>46023</v>
      </c>
      <c r="R75" s="2" t="s">
        <v>402</v>
      </c>
      <c r="S75" s="46"/>
    </row>
    <row r="76" spans="1:19" ht="15" customHeight="1" x14ac:dyDescent="0.3">
      <c r="A76" s="2" t="s">
        <v>377</v>
      </c>
      <c r="B76" s="2">
        <v>16865615</v>
      </c>
      <c r="C76" s="2" t="s">
        <v>527</v>
      </c>
      <c r="D76" s="2" t="s">
        <v>526</v>
      </c>
      <c r="E76" s="2" t="str">
        <f t="shared" si="2"/>
        <v>LAURA RIEDEL</v>
      </c>
      <c r="F76" s="45">
        <v>803319202001</v>
      </c>
      <c r="G76" s="45" t="str">
        <f t="shared" si="3"/>
        <v>8033192020010</v>
      </c>
      <c r="H76" s="2" t="s">
        <v>80</v>
      </c>
      <c r="I76" s="2" t="s">
        <v>79</v>
      </c>
      <c r="J76" s="51">
        <v>46113</v>
      </c>
      <c r="K76" s="2" t="s">
        <v>78</v>
      </c>
      <c r="L76" s="2">
        <v>1</v>
      </c>
      <c r="M76" s="2" t="s">
        <v>77</v>
      </c>
      <c r="N76" s="2"/>
      <c r="O76" s="3">
        <v>23</v>
      </c>
      <c r="P76" s="3">
        <v>13.18</v>
      </c>
      <c r="Q76" s="51">
        <v>46023</v>
      </c>
      <c r="R76" s="2" t="s">
        <v>402</v>
      </c>
      <c r="S76" s="46"/>
    </row>
    <row r="77" spans="1:19" ht="15" customHeight="1" x14ac:dyDescent="0.3">
      <c r="A77" s="2" t="s">
        <v>377</v>
      </c>
      <c r="B77" s="2">
        <v>16865615</v>
      </c>
      <c r="C77" s="2" t="s">
        <v>528</v>
      </c>
      <c r="D77" s="2" t="s">
        <v>529</v>
      </c>
      <c r="E77" s="2" t="str">
        <f t="shared" si="2"/>
        <v>JUSTIN RISKIN</v>
      </c>
      <c r="F77" s="45">
        <v>803529066001</v>
      </c>
      <c r="G77" s="45" t="str">
        <f t="shared" si="3"/>
        <v>8035290660010</v>
      </c>
      <c r="H77" s="2" t="s">
        <v>80</v>
      </c>
      <c r="I77" s="2" t="s">
        <v>79</v>
      </c>
      <c r="J77" s="51">
        <v>46082</v>
      </c>
      <c r="K77" s="2" t="s">
        <v>78</v>
      </c>
      <c r="L77" s="2">
        <v>1</v>
      </c>
      <c r="M77" s="2" t="s">
        <v>77</v>
      </c>
      <c r="N77" s="2"/>
      <c r="O77" s="3">
        <v>23</v>
      </c>
      <c r="P77" s="3">
        <v>23</v>
      </c>
      <c r="Q77" s="51">
        <v>46023</v>
      </c>
      <c r="R77" s="2" t="s">
        <v>402</v>
      </c>
      <c r="S77" s="46"/>
    </row>
    <row r="78" spans="1:19" ht="15" customHeight="1" x14ac:dyDescent="0.3">
      <c r="A78" s="2" t="s">
        <v>377</v>
      </c>
      <c r="B78" s="2">
        <v>16865615</v>
      </c>
      <c r="C78" s="2" t="s">
        <v>528</v>
      </c>
      <c r="D78" s="2" t="s">
        <v>529</v>
      </c>
      <c r="E78" s="2" t="str">
        <f t="shared" si="2"/>
        <v>JUSTIN RISKIN</v>
      </c>
      <c r="F78" s="45">
        <v>803529066001</v>
      </c>
      <c r="G78" s="45" t="str">
        <f t="shared" si="3"/>
        <v>8035290660010</v>
      </c>
      <c r="H78" s="2" t="s">
        <v>80</v>
      </c>
      <c r="I78" s="2" t="s">
        <v>79</v>
      </c>
      <c r="J78" s="51">
        <v>46113</v>
      </c>
      <c r="K78" s="2" t="s">
        <v>78</v>
      </c>
      <c r="L78" s="2">
        <v>1</v>
      </c>
      <c r="M78" s="2" t="s">
        <v>77</v>
      </c>
      <c r="N78" s="2"/>
      <c r="O78" s="3">
        <v>23</v>
      </c>
      <c r="P78" s="3">
        <v>23</v>
      </c>
      <c r="Q78" s="51">
        <v>46023</v>
      </c>
      <c r="R78" s="2" t="s">
        <v>402</v>
      </c>
      <c r="S78" s="46"/>
    </row>
    <row r="79" spans="1:19" ht="15" customHeight="1" x14ac:dyDescent="0.3">
      <c r="A79" s="2" t="s">
        <v>377</v>
      </c>
      <c r="B79" s="2">
        <v>16865615</v>
      </c>
      <c r="C79" s="2" t="s">
        <v>530</v>
      </c>
      <c r="D79" s="2" t="s">
        <v>531</v>
      </c>
      <c r="E79" s="2" t="str">
        <f t="shared" si="2"/>
        <v>ALEXANDRA RUFF</v>
      </c>
      <c r="F79" s="45">
        <v>803521575001</v>
      </c>
      <c r="G79" s="45" t="str">
        <f t="shared" si="3"/>
        <v>8035215750010</v>
      </c>
      <c r="H79" s="2" t="s">
        <v>80</v>
      </c>
      <c r="I79" s="2" t="s">
        <v>79</v>
      </c>
      <c r="J79" s="51">
        <v>46113</v>
      </c>
      <c r="K79" s="2" t="s">
        <v>78</v>
      </c>
      <c r="L79" s="2">
        <v>1</v>
      </c>
      <c r="M79" s="2" t="s">
        <v>77</v>
      </c>
      <c r="N79" s="2"/>
      <c r="O79" s="3">
        <v>23</v>
      </c>
      <c r="P79" s="3">
        <v>23</v>
      </c>
      <c r="Q79" s="51">
        <v>46023</v>
      </c>
      <c r="R79" s="2" t="s">
        <v>402</v>
      </c>
      <c r="S79" s="46"/>
    </row>
    <row r="80" spans="1:19" ht="15" customHeight="1" x14ac:dyDescent="0.3">
      <c r="A80" s="2" t="s">
        <v>377</v>
      </c>
      <c r="B80" s="2">
        <v>16865615</v>
      </c>
      <c r="C80" s="2" t="s">
        <v>532</v>
      </c>
      <c r="D80" s="2" t="s">
        <v>478</v>
      </c>
      <c r="E80" s="2" t="str">
        <f t="shared" si="2"/>
        <v>JORDAN SARAZEN</v>
      </c>
      <c r="F80" s="45">
        <v>803516130001</v>
      </c>
      <c r="G80" s="45" t="str">
        <f t="shared" si="3"/>
        <v>8035161300010</v>
      </c>
      <c r="H80" s="2" t="s">
        <v>80</v>
      </c>
      <c r="I80" s="2" t="s">
        <v>79</v>
      </c>
      <c r="J80" s="51">
        <v>46113</v>
      </c>
      <c r="K80" s="2" t="s">
        <v>78</v>
      </c>
      <c r="L80" s="2">
        <v>1</v>
      </c>
      <c r="M80" s="2" t="s">
        <v>77</v>
      </c>
      <c r="N80" s="2" t="s">
        <v>399</v>
      </c>
      <c r="O80" s="3">
        <v>23</v>
      </c>
      <c r="P80" s="3">
        <v>69</v>
      </c>
      <c r="Q80" s="51">
        <v>46023</v>
      </c>
      <c r="R80" s="2" t="s">
        <v>402</v>
      </c>
      <c r="S80" s="46"/>
    </row>
    <row r="81" spans="1:19" ht="15" customHeight="1" x14ac:dyDescent="0.3">
      <c r="A81" s="2" t="s">
        <v>377</v>
      </c>
      <c r="B81" s="2">
        <v>16865615</v>
      </c>
      <c r="C81" s="2" t="s">
        <v>533</v>
      </c>
      <c r="D81" s="2" t="s">
        <v>534</v>
      </c>
      <c r="E81" s="2" t="str">
        <f t="shared" si="2"/>
        <v>JEFF SARCHET</v>
      </c>
      <c r="F81" s="45">
        <v>803529081001</v>
      </c>
      <c r="G81" s="45" t="str">
        <f t="shared" si="3"/>
        <v>8035290810010</v>
      </c>
      <c r="H81" s="2" t="s">
        <v>80</v>
      </c>
      <c r="I81" s="2" t="s">
        <v>79</v>
      </c>
      <c r="J81" s="51">
        <v>46113</v>
      </c>
      <c r="K81" s="2" t="s">
        <v>78</v>
      </c>
      <c r="L81" s="2">
        <v>1</v>
      </c>
      <c r="M81" s="2" t="s">
        <v>77</v>
      </c>
      <c r="N81" s="2"/>
      <c r="O81" s="3">
        <v>23</v>
      </c>
      <c r="P81" s="3">
        <v>23</v>
      </c>
      <c r="Q81" s="51">
        <v>46023</v>
      </c>
      <c r="R81" s="2" t="s">
        <v>402</v>
      </c>
      <c r="S81" s="46"/>
    </row>
    <row r="82" spans="1:19" ht="15" customHeight="1" x14ac:dyDescent="0.3">
      <c r="A82" s="2" t="s">
        <v>377</v>
      </c>
      <c r="B82" s="2">
        <v>16865615</v>
      </c>
      <c r="C82" s="2" t="s">
        <v>535</v>
      </c>
      <c r="D82" s="2" t="s">
        <v>536</v>
      </c>
      <c r="E82" s="2" t="str">
        <f t="shared" si="2"/>
        <v>PAULA SCARBOROUGH</v>
      </c>
      <c r="F82" s="45">
        <v>803201761001</v>
      </c>
      <c r="G82" s="45" t="str">
        <f t="shared" si="3"/>
        <v>8032017610010</v>
      </c>
      <c r="H82" s="2" t="s">
        <v>80</v>
      </c>
      <c r="I82" s="2" t="s">
        <v>79</v>
      </c>
      <c r="J82" s="51">
        <v>46113</v>
      </c>
      <c r="K82" s="2" t="s">
        <v>78</v>
      </c>
      <c r="L82" s="2">
        <v>1</v>
      </c>
      <c r="M82" s="2" t="s">
        <v>77</v>
      </c>
      <c r="N82" s="2"/>
      <c r="O82" s="3">
        <v>23</v>
      </c>
      <c r="P82" s="3">
        <v>23</v>
      </c>
      <c r="Q82" s="51">
        <v>46023</v>
      </c>
      <c r="R82" s="2" t="s">
        <v>402</v>
      </c>
      <c r="S82" s="46"/>
    </row>
    <row r="83" spans="1:19" ht="15" customHeight="1" x14ac:dyDescent="0.3">
      <c r="A83" s="2" t="s">
        <v>377</v>
      </c>
      <c r="B83" s="2">
        <v>16865615</v>
      </c>
      <c r="C83" s="2" t="s">
        <v>537</v>
      </c>
      <c r="D83" s="2" t="s">
        <v>538</v>
      </c>
      <c r="E83" s="2" t="str">
        <f t="shared" si="2"/>
        <v>KEVIN SHAW</v>
      </c>
      <c r="F83" s="45">
        <v>803501372001</v>
      </c>
      <c r="G83" s="45" t="str">
        <f t="shared" si="3"/>
        <v>8035013720010</v>
      </c>
      <c r="H83" s="2" t="s">
        <v>80</v>
      </c>
      <c r="I83" s="2" t="s">
        <v>79</v>
      </c>
      <c r="J83" s="51">
        <v>46113</v>
      </c>
      <c r="K83" s="2" t="s">
        <v>78</v>
      </c>
      <c r="L83" s="2">
        <v>1</v>
      </c>
      <c r="M83" s="2" t="s">
        <v>77</v>
      </c>
      <c r="N83" s="2"/>
      <c r="O83" s="3">
        <v>23</v>
      </c>
      <c r="P83" s="3">
        <v>23</v>
      </c>
      <c r="Q83" s="51">
        <v>46023</v>
      </c>
      <c r="R83" s="2" t="s">
        <v>402</v>
      </c>
      <c r="S83" s="46"/>
    </row>
    <row r="84" spans="1:19" ht="15" customHeight="1" x14ac:dyDescent="0.3">
      <c r="A84" s="2" t="s">
        <v>377</v>
      </c>
      <c r="B84" s="2">
        <v>16865615</v>
      </c>
      <c r="C84" s="2" t="s">
        <v>539</v>
      </c>
      <c r="D84" s="2" t="s">
        <v>540</v>
      </c>
      <c r="E84" s="2" t="str">
        <f t="shared" si="2"/>
        <v>MATTHEW SPARKS</v>
      </c>
      <c r="F84" s="45">
        <v>803156573001</v>
      </c>
      <c r="G84" s="45" t="str">
        <f t="shared" si="3"/>
        <v>8031565730010</v>
      </c>
      <c r="H84" s="2" t="s">
        <v>80</v>
      </c>
      <c r="I84" s="2" t="s">
        <v>79</v>
      </c>
      <c r="J84" s="51">
        <v>46113</v>
      </c>
      <c r="K84" s="2" t="s">
        <v>78</v>
      </c>
      <c r="L84" s="2">
        <v>1</v>
      </c>
      <c r="M84" s="2" t="s">
        <v>77</v>
      </c>
      <c r="N84" s="2"/>
      <c r="O84" s="3">
        <v>23</v>
      </c>
      <c r="P84" s="3">
        <v>23</v>
      </c>
      <c r="Q84" s="51">
        <v>46023</v>
      </c>
      <c r="R84" s="2" t="s">
        <v>402</v>
      </c>
      <c r="S84" s="46"/>
    </row>
    <row r="85" spans="1:19" ht="15" customHeight="1" x14ac:dyDescent="0.3">
      <c r="A85" s="2" t="s">
        <v>377</v>
      </c>
      <c r="B85" s="2">
        <v>16865615</v>
      </c>
      <c r="C85" s="2" t="s">
        <v>541</v>
      </c>
      <c r="D85" s="2" t="s">
        <v>542</v>
      </c>
      <c r="E85" s="2" t="str">
        <f t="shared" si="2"/>
        <v>ELIZABETH STONE-EHRHARDT</v>
      </c>
      <c r="F85" s="45">
        <v>802954233001</v>
      </c>
      <c r="G85" s="45" t="str">
        <f t="shared" si="3"/>
        <v>8029542330010</v>
      </c>
      <c r="H85" s="2" t="s">
        <v>80</v>
      </c>
      <c r="I85" s="2" t="s">
        <v>79</v>
      </c>
      <c r="J85" s="51">
        <v>46113</v>
      </c>
      <c r="K85" s="2" t="s">
        <v>78</v>
      </c>
      <c r="L85" s="2">
        <v>1</v>
      </c>
      <c r="M85" s="2" t="s">
        <v>77</v>
      </c>
      <c r="N85" s="2"/>
      <c r="O85" s="3">
        <v>23</v>
      </c>
      <c r="P85" s="3">
        <v>23</v>
      </c>
      <c r="Q85" s="51">
        <v>46023</v>
      </c>
      <c r="R85" s="2" t="s">
        <v>402</v>
      </c>
      <c r="S85" s="46"/>
    </row>
    <row r="86" spans="1:19" ht="15" customHeight="1" x14ac:dyDescent="0.3">
      <c r="A86" s="2" t="s">
        <v>377</v>
      </c>
      <c r="B86" s="2">
        <v>16865615</v>
      </c>
      <c r="C86" s="2" t="s">
        <v>543</v>
      </c>
      <c r="D86" s="2" t="s">
        <v>544</v>
      </c>
      <c r="E86" s="2" t="str">
        <f t="shared" si="2"/>
        <v>APRIL STYERS</v>
      </c>
      <c r="F86" s="45">
        <v>803267379001</v>
      </c>
      <c r="G86" s="45" t="str">
        <f t="shared" si="3"/>
        <v>8032673790010</v>
      </c>
      <c r="H86" s="2" t="s">
        <v>80</v>
      </c>
      <c r="I86" s="2" t="s">
        <v>79</v>
      </c>
      <c r="J86" s="51">
        <v>46113</v>
      </c>
      <c r="K86" s="2" t="s">
        <v>78</v>
      </c>
      <c r="L86" s="2">
        <v>1</v>
      </c>
      <c r="M86" s="2" t="s">
        <v>77</v>
      </c>
      <c r="N86" s="2"/>
      <c r="O86" s="3">
        <v>23</v>
      </c>
      <c r="P86" s="3">
        <v>23</v>
      </c>
      <c r="Q86" s="51">
        <v>46023</v>
      </c>
      <c r="R86" s="2" t="s">
        <v>402</v>
      </c>
      <c r="S86" s="46"/>
    </row>
    <row r="87" spans="1:19" ht="15" customHeight="1" x14ac:dyDescent="0.3">
      <c r="A87" s="2" t="s">
        <v>377</v>
      </c>
      <c r="B87" s="2">
        <v>16865615</v>
      </c>
      <c r="C87" s="2" t="s">
        <v>543</v>
      </c>
      <c r="D87" s="2" t="s">
        <v>545</v>
      </c>
      <c r="E87" s="2" t="str">
        <f t="shared" si="2"/>
        <v>MADLYN STYERS</v>
      </c>
      <c r="F87" s="45">
        <v>803297375001</v>
      </c>
      <c r="G87" s="45" t="str">
        <f t="shared" si="3"/>
        <v>8032973750010</v>
      </c>
      <c r="H87" s="2" t="s">
        <v>80</v>
      </c>
      <c r="I87" s="2" t="s">
        <v>79</v>
      </c>
      <c r="J87" s="51">
        <v>46113</v>
      </c>
      <c r="K87" s="2" t="s">
        <v>78</v>
      </c>
      <c r="L87" s="2">
        <v>1</v>
      </c>
      <c r="M87" s="2" t="s">
        <v>77</v>
      </c>
      <c r="N87" s="2"/>
      <c r="O87" s="3">
        <v>23</v>
      </c>
      <c r="P87" s="3">
        <v>23</v>
      </c>
      <c r="Q87" s="51">
        <v>46023</v>
      </c>
      <c r="R87" s="2" t="s">
        <v>402</v>
      </c>
      <c r="S87" s="46"/>
    </row>
    <row r="88" spans="1:19" ht="15" customHeight="1" x14ac:dyDescent="0.3">
      <c r="A88" s="2" t="s">
        <v>377</v>
      </c>
      <c r="B88" s="2">
        <v>16865615</v>
      </c>
      <c r="C88" s="2" t="s">
        <v>546</v>
      </c>
      <c r="D88" s="2" t="s">
        <v>547</v>
      </c>
      <c r="E88" s="2" t="str">
        <f t="shared" si="2"/>
        <v>SHERYL TAPPERT</v>
      </c>
      <c r="F88" s="45">
        <v>803132235001</v>
      </c>
      <c r="G88" s="45" t="str">
        <f t="shared" si="3"/>
        <v>8031322350010</v>
      </c>
      <c r="H88" s="2" t="s">
        <v>80</v>
      </c>
      <c r="I88" s="2" t="s">
        <v>79</v>
      </c>
      <c r="J88" s="51">
        <v>46113</v>
      </c>
      <c r="K88" s="2" t="s">
        <v>78</v>
      </c>
      <c r="L88" s="2">
        <v>1</v>
      </c>
      <c r="M88" s="2" t="s">
        <v>77</v>
      </c>
      <c r="N88" s="2"/>
      <c r="O88" s="3">
        <v>23</v>
      </c>
      <c r="P88" s="3">
        <v>23</v>
      </c>
      <c r="Q88" s="51">
        <v>46023</v>
      </c>
      <c r="R88" s="2" t="s">
        <v>402</v>
      </c>
      <c r="S88" s="46"/>
    </row>
    <row r="89" spans="1:19" ht="15" customHeight="1" x14ac:dyDescent="0.3">
      <c r="A89" s="2" t="s">
        <v>377</v>
      </c>
      <c r="B89" s="2">
        <v>16865615</v>
      </c>
      <c r="C89" s="2" t="s">
        <v>548</v>
      </c>
      <c r="D89" s="2" t="s">
        <v>549</v>
      </c>
      <c r="E89" s="2" t="str">
        <f t="shared" si="2"/>
        <v>ANGELA TILLEY</v>
      </c>
      <c r="F89" s="45">
        <v>803468235001</v>
      </c>
      <c r="G89" s="45" t="str">
        <f t="shared" si="3"/>
        <v>8034682350010</v>
      </c>
      <c r="H89" s="2" t="s">
        <v>80</v>
      </c>
      <c r="I89" s="2" t="s">
        <v>79</v>
      </c>
      <c r="J89" s="51">
        <v>46113</v>
      </c>
      <c r="K89" s="2" t="s">
        <v>78</v>
      </c>
      <c r="L89" s="2">
        <v>1</v>
      </c>
      <c r="M89" s="2" t="s">
        <v>77</v>
      </c>
      <c r="N89" s="2"/>
      <c r="O89" s="3">
        <v>23</v>
      </c>
      <c r="P89" s="3">
        <v>23</v>
      </c>
      <c r="Q89" s="51">
        <v>46023</v>
      </c>
      <c r="R89" s="2" t="s">
        <v>402</v>
      </c>
      <c r="S89" s="46"/>
    </row>
    <row r="90" spans="1:19" ht="15" customHeight="1" x14ac:dyDescent="0.3">
      <c r="A90" s="2" t="s">
        <v>377</v>
      </c>
      <c r="B90" s="2">
        <v>16865615</v>
      </c>
      <c r="C90" s="2" t="s">
        <v>550</v>
      </c>
      <c r="D90" s="2" t="s">
        <v>432</v>
      </c>
      <c r="E90" s="2" t="str">
        <f t="shared" si="2"/>
        <v>JASON TROUT</v>
      </c>
      <c r="F90" s="45">
        <v>803311233001</v>
      </c>
      <c r="G90" s="45" t="str">
        <f t="shared" si="3"/>
        <v>8033112330010</v>
      </c>
      <c r="H90" s="2" t="s">
        <v>80</v>
      </c>
      <c r="I90" s="2" t="s">
        <v>79</v>
      </c>
      <c r="J90" s="51">
        <v>46023</v>
      </c>
      <c r="K90" s="2" t="s">
        <v>78</v>
      </c>
      <c r="L90" s="2">
        <v>1</v>
      </c>
      <c r="M90" s="2" t="s">
        <v>77</v>
      </c>
      <c r="N90" s="2" t="s">
        <v>398</v>
      </c>
      <c r="O90" s="3">
        <v>23</v>
      </c>
      <c r="P90" s="3">
        <v>46</v>
      </c>
      <c r="Q90" s="51">
        <v>46023</v>
      </c>
      <c r="R90" s="2" t="s">
        <v>402</v>
      </c>
      <c r="S90" s="46"/>
    </row>
    <row r="91" spans="1:19" ht="15" customHeight="1" x14ac:dyDescent="0.3">
      <c r="A91" s="2" t="s">
        <v>377</v>
      </c>
      <c r="B91" s="2">
        <v>16865615</v>
      </c>
      <c r="C91" s="2" t="s">
        <v>550</v>
      </c>
      <c r="D91" s="2" t="s">
        <v>432</v>
      </c>
      <c r="E91" s="2" t="str">
        <f t="shared" si="2"/>
        <v>JASON TROUT</v>
      </c>
      <c r="F91" s="45">
        <v>803311233001</v>
      </c>
      <c r="G91" s="45" t="str">
        <f t="shared" si="3"/>
        <v>8033112330010</v>
      </c>
      <c r="H91" s="2" t="s">
        <v>80</v>
      </c>
      <c r="I91" s="2" t="s">
        <v>79</v>
      </c>
      <c r="J91" s="51">
        <v>46054</v>
      </c>
      <c r="K91" s="2" t="s">
        <v>78</v>
      </c>
      <c r="L91" s="2">
        <v>1</v>
      </c>
      <c r="M91" s="2" t="s">
        <v>77</v>
      </c>
      <c r="N91" s="2" t="s">
        <v>398</v>
      </c>
      <c r="O91" s="3">
        <v>23</v>
      </c>
      <c r="P91" s="3">
        <v>46</v>
      </c>
      <c r="Q91" s="51">
        <v>46023</v>
      </c>
      <c r="R91" s="2" t="s">
        <v>402</v>
      </c>
      <c r="S91" s="46"/>
    </row>
    <row r="92" spans="1:19" ht="15" customHeight="1" x14ac:dyDescent="0.3">
      <c r="A92" s="2" t="s">
        <v>377</v>
      </c>
      <c r="B92" s="2">
        <v>16865615</v>
      </c>
      <c r="C92" s="2" t="s">
        <v>550</v>
      </c>
      <c r="D92" s="2" t="s">
        <v>432</v>
      </c>
      <c r="E92" s="2" t="str">
        <f t="shared" si="2"/>
        <v>JASON TROUT</v>
      </c>
      <c r="F92" s="45">
        <v>803311233001</v>
      </c>
      <c r="G92" s="45" t="str">
        <f t="shared" si="3"/>
        <v>8033112330010</v>
      </c>
      <c r="H92" s="2" t="s">
        <v>80</v>
      </c>
      <c r="I92" s="2" t="s">
        <v>79</v>
      </c>
      <c r="J92" s="51">
        <v>46082</v>
      </c>
      <c r="K92" s="2" t="s">
        <v>78</v>
      </c>
      <c r="L92" s="2">
        <v>1</v>
      </c>
      <c r="M92" s="2" t="s">
        <v>77</v>
      </c>
      <c r="N92" s="2" t="s">
        <v>398</v>
      </c>
      <c r="O92" s="3">
        <v>23</v>
      </c>
      <c r="P92" s="3">
        <v>46</v>
      </c>
      <c r="Q92" s="51">
        <v>46023</v>
      </c>
      <c r="R92" s="2" t="s">
        <v>402</v>
      </c>
      <c r="S92" s="46"/>
    </row>
    <row r="93" spans="1:19" ht="15" customHeight="1" x14ac:dyDescent="0.3">
      <c r="A93" s="2" t="s">
        <v>377</v>
      </c>
      <c r="B93" s="2">
        <v>16865615</v>
      </c>
      <c r="C93" s="2" t="s">
        <v>550</v>
      </c>
      <c r="D93" s="2" t="s">
        <v>432</v>
      </c>
      <c r="E93" s="2" t="str">
        <f t="shared" si="2"/>
        <v>JASON TROUT</v>
      </c>
      <c r="F93" s="45">
        <v>803311233001</v>
      </c>
      <c r="G93" s="45" t="str">
        <f t="shared" si="3"/>
        <v>8033112330010</v>
      </c>
      <c r="H93" s="2" t="s">
        <v>80</v>
      </c>
      <c r="I93" s="2" t="s">
        <v>79</v>
      </c>
      <c r="J93" s="51">
        <v>46113</v>
      </c>
      <c r="K93" s="2" t="s">
        <v>78</v>
      </c>
      <c r="L93" s="2">
        <v>1</v>
      </c>
      <c r="M93" s="2" t="s">
        <v>77</v>
      </c>
      <c r="N93" s="2" t="s">
        <v>398</v>
      </c>
      <c r="O93" s="3">
        <v>23</v>
      </c>
      <c r="P93" s="3">
        <v>46</v>
      </c>
      <c r="Q93" s="51">
        <v>46023</v>
      </c>
      <c r="R93" s="2" t="s">
        <v>402</v>
      </c>
      <c r="S93" s="46"/>
    </row>
    <row r="94" spans="1:19" ht="15" customHeight="1" x14ac:dyDescent="0.3">
      <c r="A94" s="2" t="s">
        <v>377</v>
      </c>
      <c r="B94" s="2">
        <v>16865615</v>
      </c>
      <c r="C94" s="2" t="s">
        <v>551</v>
      </c>
      <c r="D94" s="2" t="s">
        <v>442</v>
      </c>
      <c r="E94" s="2" t="str">
        <f t="shared" si="2"/>
        <v>MICHAEL WITMORE</v>
      </c>
      <c r="F94" s="45">
        <v>803392414001</v>
      </c>
      <c r="G94" s="45" t="str">
        <f t="shared" si="3"/>
        <v>8033924140010</v>
      </c>
      <c r="H94" s="2" t="s">
        <v>80</v>
      </c>
      <c r="I94" s="2" t="s">
        <v>79</v>
      </c>
      <c r="J94" s="51">
        <v>46113</v>
      </c>
      <c r="K94" s="2" t="s">
        <v>78</v>
      </c>
      <c r="L94" s="2">
        <v>1</v>
      </c>
      <c r="M94" s="2" t="s">
        <v>77</v>
      </c>
      <c r="N94" s="2"/>
      <c r="O94" s="3">
        <v>23</v>
      </c>
      <c r="P94" s="3">
        <v>23</v>
      </c>
      <c r="Q94" s="51">
        <v>46023</v>
      </c>
      <c r="R94" s="2" t="s">
        <v>402</v>
      </c>
      <c r="S94" s="46"/>
    </row>
    <row r="95" spans="1:19" ht="15" customHeight="1" x14ac:dyDescent="0.3">
      <c r="A95" s="2" t="s">
        <v>377</v>
      </c>
      <c r="B95" s="2">
        <v>16865615</v>
      </c>
      <c r="C95" s="2" t="s">
        <v>552</v>
      </c>
      <c r="D95" s="2" t="s">
        <v>553</v>
      </c>
      <c r="E95" s="2" t="str">
        <f t="shared" si="2"/>
        <v>KRISTEN WOLSLEGEL</v>
      </c>
      <c r="F95" s="45">
        <v>803405363001</v>
      </c>
      <c r="G95" s="45" t="str">
        <f t="shared" si="3"/>
        <v>8034053630010</v>
      </c>
      <c r="H95" s="2" t="s">
        <v>80</v>
      </c>
      <c r="I95" s="2" t="s">
        <v>79</v>
      </c>
      <c r="J95" s="51">
        <v>46113</v>
      </c>
      <c r="K95" s="2" t="s">
        <v>78</v>
      </c>
      <c r="L95" s="2">
        <v>1</v>
      </c>
      <c r="M95" s="2" t="s">
        <v>77</v>
      </c>
      <c r="N95" s="2" t="s">
        <v>399</v>
      </c>
      <c r="O95" s="3">
        <v>23</v>
      </c>
      <c r="P95" s="3">
        <v>69</v>
      </c>
      <c r="Q95" s="51">
        <v>46023</v>
      </c>
      <c r="R95" s="2" t="s">
        <v>402</v>
      </c>
      <c r="S95" s="46"/>
    </row>
    <row r="96" spans="1:19" ht="15" customHeight="1" x14ac:dyDescent="0.3">
      <c r="A96" s="2" t="s">
        <v>377</v>
      </c>
      <c r="B96" s="2">
        <v>16865615</v>
      </c>
      <c r="C96" s="2" t="s">
        <v>554</v>
      </c>
      <c r="D96" s="2" t="s">
        <v>555</v>
      </c>
      <c r="E96" s="2" t="str">
        <f t="shared" si="2"/>
        <v>MICAH YARBROUGH</v>
      </c>
      <c r="F96" s="45">
        <v>803191407001</v>
      </c>
      <c r="G96" s="45" t="str">
        <f t="shared" si="3"/>
        <v>8031914070010</v>
      </c>
      <c r="H96" s="2" t="s">
        <v>80</v>
      </c>
      <c r="I96" s="2" t="s">
        <v>79</v>
      </c>
      <c r="J96" s="51">
        <v>46113</v>
      </c>
      <c r="K96" s="2" t="s">
        <v>78</v>
      </c>
      <c r="L96" s="2">
        <v>1</v>
      </c>
      <c r="M96" s="2" t="s">
        <v>77</v>
      </c>
      <c r="N96" s="2" t="s">
        <v>398</v>
      </c>
      <c r="O96" s="3">
        <v>23</v>
      </c>
      <c r="P96" s="3">
        <v>46</v>
      </c>
      <c r="Q96" s="51">
        <v>46023</v>
      </c>
      <c r="R96" s="2" t="s">
        <v>402</v>
      </c>
      <c r="S96" s="46"/>
    </row>
    <row r="97" spans="1:19" ht="15" customHeight="1" x14ac:dyDescent="0.3">
      <c r="A97" s="2" t="s">
        <v>375</v>
      </c>
      <c r="B97" s="2">
        <v>21313588</v>
      </c>
      <c r="C97" s="2" t="s">
        <v>556</v>
      </c>
      <c r="D97" s="2" t="s">
        <v>557</v>
      </c>
      <c r="E97" s="2" t="str">
        <f t="shared" si="2"/>
        <v>ZACHARY ARNOLD</v>
      </c>
      <c r="F97" s="45">
        <v>803433525001</v>
      </c>
      <c r="G97" s="45" t="str">
        <f t="shared" si="3"/>
        <v>8034335250010</v>
      </c>
      <c r="H97" s="2" t="s">
        <v>80</v>
      </c>
      <c r="I97" s="2" t="s">
        <v>79</v>
      </c>
      <c r="J97" s="51">
        <v>46113</v>
      </c>
      <c r="K97" s="2" t="s">
        <v>78</v>
      </c>
      <c r="L97" s="2">
        <v>1</v>
      </c>
      <c r="M97" s="2" t="s">
        <v>77</v>
      </c>
      <c r="N97" s="2"/>
      <c r="O97" s="3">
        <v>23</v>
      </c>
      <c r="P97" s="3">
        <v>23</v>
      </c>
      <c r="Q97" s="51">
        <v>46023</v>
      </c>
      <c r="R97" s="2" t="s">
        <v>402</v>
      </c>
      <c r="S97" s="46"/>
    </row>
    <row r="98" spans="1:19" ht="15" customHeight="1" x14ac:dyDescent="0.3">
      <c r="A98" s="2" t="s">
        <v>375</v>
      </c>
      <c r="B98" s="2">
        <v>21313588</v>
      </c>
      <c r="C98" s="2" t="s">
        <v>558</v>
      </c>
      <c r="D98" s="2" t="s">
        <v>559</v>
      </c>
      <c r="E98" s="2" t="str">
        <f t="shared" si="2"/>
        <v>BRIAN BASS</v>
      </c>
      <c r="F98" s="45">
        <v>803518581001</v>
      </c>
      <c r="G98" s="45" t="str">
        <f t="shared" si="3"/>
        <v>8035185810010</v>
      </c>
      <c r="H98" s="2" t="s">
        <v>80</v>
      </c>
      <c r="I98" s="2" t="s">
        <v>79</v>
      </c>
      <c r="J98" s="51">
        <v>46113</v>
      </c>
      <c r="K98" s="2" t="s">
        <v>78</v>
      </c>
      <c r="L98" s="2">
        <v>1</v>
      </c>
      <c r="M98" s="2" t="s">
        <v>77</v>
      </c>
      <c r="N98" s="2"/>
      <c r="O98" s="3">
        <v>23</v>
      </c>
      <c r="P98" s="3">
        <v>23</v>
      </c>
      <c r="Q98" s="51">
        <v>46023</v>
      </c>
      <c r="R98" s="2" t="s">
        <v>402</v>
      </c>
      <c r="S98" s="46"/>
    </row>
    <row r="99" spans="1:19" ht="15" customHeight="1" x14ac:dyDescent="0.3">
      <c r="A99" s="2" t="s">
        <v>375</v>
      </c>
      <c r="B99" s="2">
        <v>21313588</v>
      </c>
      <c r="C99" s="2" t="s">
        <v>560</v>
      </c>
      <c r="D99" s="2" t="s">
        <v>475</v>
      </c>
      <c r="E99" s="2" t="str">
        <f t="shared" si="2"/>
        <v>JAMES CRAWFORD</v>
      </c>
      <c r="F99" s="45">
        <v>803420941001</v>
      </c>
      <c r="G99" s="45" t="str">
        <f t="shared" si="3"/>
        <v>8034209410010</v>
      </c>
      <c r="H99" s="2" t="s">
        <v>80</v>
      </c>
      <c r="I99" s="2" t="s">
        <v>79</v>
      </c>
      <c r="J99" s="51">
        <v>46113</v>
      </c>
      <c r="K99" s="2" t="s">
        <v>78</v>
      </c>
      <c r="L99" s="2">
        <v>1</v>
      </c>
      <c r="M99" s="2" t="s">
        <v>77</v>
      </c>
      <c r="N99" s="2" t="s">
        <v>399</v>
      </c>
      <c r="O99" s="3">
        <v>23</v>
      </c>
      <c r="P99" s="3">
        <v>69</v>
      </c>
      <c r="Q99" s="51">
        <v>46023</v>
      </c>
      <c r="R99" s="2" t="s">
        <v>402</v>
      </c>
      <c r="S99" s="46"/>
    </row>
    <row r="100" spans="1:19" ht="15" customHeight="1" x14ac:dyDescent="0.3">
      <c r="A100" s="2" t="s">
        <v>375</v>
      </c>
      <c r="B100" s="2">
        <v>21313588</v>
      </c>
      <c r="C100" s="2" t="s">
        <v>561</v>
      </c>
      <c r="D100" s="2" t="s">
        <v>562</v>
      </c>
      <c r="E100" s="2" t="str">
        <f t="shared" si="2"/>
        <v>CATE DONALD</v>
      </c>
      <c r="F100" s="45">
        <v>803132511001</v>
      </c>
      <c r="G100" s="45" t="str">
        <f t="shared" si="3"/>
        <v>8031325110010</v>
      </c>
      <c r="H100" s="2" t="s">
        <v>80</v>
      </c>
      <c r="I100" s="2" t="s">
        <v>79</v>
      </c>
      <c r="J100" s="51">
        <v>46113</v>
      </c>
      <c r="K100" s="2" t="s">
        <v>78</v>
      </c>
      <c r="L100" s="2">
        <v>1</v>
      </c>
      <c r="M100" s="2" t="s">
        <v>77</v>
      </c>
      <c r="N100" s="2"/>
      <c r="O100" s="3">
        <v>23</v>
      </c>
      <c r="P100" s="3">
        <v>23</v>
      </c>
      <c r="Q100" s="51">
        <v>46023</v>
      </c>
      <c r="R100" s="2" t="s">
        <v>402</v>
      </c>
      <c r="S100" s="46"/>
    </row>
    <row r="101" spans="1:19" ht="15" customHeight="1" x14ac:dyDescent="0.3">
      <c r="A101" s="2" t="s">
        <v>375</v>
      </c>
      <c r="B101" s="2">
        <v>21313588</v>
      </c>
      <c r="C101" s="2" t="s">
        <v>563</v>
      </c>
      <c r="D101" s="2" t="s">
        <v>438</v>
      </c>
      <c r="E101" s="2" t="str">
        <f t="shared" si="2"/>
        <v>JENNIFER DORNAN-FISH</v>
      </c>
      <c r="F101" s="45">
        <v>803439229001</v>
      </c>
      <c r="G101" s="45" t="str">
        <f t="shared" si="3"/>
        <v>8034392290010</v>
      </c>
      <c r="H101" s="2" t="s">
        <v>80</v>
      </c>
      <c r="I101" s="2" t="s">
        <v>79</v>
      </c>
      <c r="J101" s="51">
        <v>46113</v>
      </c>
      <c r="K101" s="2" t="s">
        <v>78</v>
      </c>
      <c r="L101" s="2">
        <v>1</v>
      </c>
      <c r="M101" s="2" t="s">
        <v>77</v>
      </c>
      <c r="N101" s="2" t="s">
        <v>398</v>
      </c>
      <c r="O101" s="3">
        <v>23</v>
      </c>
      <c r="P101" s="3">
        <v>46</v>
      </c>
      <c r="Q101" s="51">
        <v>46023</v>
      </c>
      <c r="R101" s="2" t="s">
        <v>402</v>
      </c>
      <c r="S101" s="46"/>
    </row>
    <row r="102" spans="1:19" ht="15" customHeight="1" x14ac:dyDescent="0.3">
      <c r="A102" s="2" t="s">
        <v>375</v>
      </c>
      <c r="B102" s="2">
        <v>21313588</v>
      </c>
      <c r="C102" s="2" t="s">
        <v>564</v>
      </c>
      <c r="D102" s="2" t="s">
        <v>565</v>
      </c>
      <c r="E102" s="2" t="str">
        <f t="shared" si="2"/>
        <v>DARIA DROBNICK</v>
      </c>
      <c r="F102" s="45">
        <v>803405284001</v>
      </c>
      <c r="G102" s="45" t="str">
        <f t="shared" si="3"/>
        <v>8034052840010</v>
      </c>
      <c r="H102" s="2" t="s">
        <v>80</v>
      </c>
      <c r="I102" s="2" t="s">
        <v>79</v>
      </c>
      <c r="J102" s="51">
        <v>46113</v>
      </c>
      <c r="K102" s="2" t="s">
        <v>78</v>
      </c>
      <c r="L102" s="2">
        <v>1</v>
      </c>
      <c r="M102" s="2" t="s">
        <v>77</v>
      </c>
      <c r="N102" s="2"/>
      <c r="O102" s="3">
        <v>23</v>
      </c>
      <c r="P102" s="3">
        <v>23</v>
      </c>
      <c r="Q102" s="51">
        <v>46023</v>
      </c>
      <c r="R102" s="2" t="s">
        <v>402</v>
      </c>
      <c r="S102" s="46"/>
    </row>
    <row r="103" spans="1:19" ht="15" customHeight="1" x14ac:dyDescent="0.3">
      <c r="A103" s="2" t="s">
        <v>375</v>
      </c>
      <c r="B103" s="2">
        <v>21313588</v>
      </c>
      <c r="C103" s="2" t="s">
        <v>566</v>
      </c>
      <c r="D103" s="2" t="s">
        <v>471</v>
      </c>
      <c r="E103" s="2" t="str">
        <f t="shared" si="2"/>
        <v>HEATHER DURBAN</v>
      </c>
      <c r="F103" s="45">
        <v>803456840001</v>
      </c>
      <c r="G103" s="45" t="str">
        <f t="shared" si="3"/>
        <v>8034568400010</v>
      </c>
      <c r="H103" s="2" t="s">
        <v>80</v>
      </c>
      <c r="I103" s="2" t="s">
        <v>79</v>
      </c>
      <c r="J103" s="51">
        <v>46113</v>
      </c>
      <c r="K103" s="2" t="s">
        <v>78</v>
      </c>
      <c r="L103" s="2">
        <v>1</v>
      </c>
      <c r="M103" s="2" t="s">
        <v>77</v>
      </c>
      <c r="N103" s="2"/>
      <c r="O103" s="3">
        <v>23</v>
      </c>
      <c r="P103" s="3">
        <v>23</v>
      </c>
      <c r="Q103" s="51">
        <v>46023</v>
      </c>
      <c r="R103" s="2" t="s">
        <v>402</v>
      </c>
      <c r="S103" s="46"/>
    </row>
    <row r="104" spans="1:19" ht="15" customHeight="1" x14ac:dyDescent="0.3">
      <c r="A104" s="2" t="s">
        <v>375</v>
      </c>
      <c r="B104" s="2">
        <v>21313588</v>
      </c>
      <c r="C104" s="2" t="s">
        <v>566</v>
      </c>
      <c r="D104" s="2" t="s">
        <v>432</v>
      </c>
      <c r="E104" s="2" t="str">
        <f t="shared" si="2"/>
        <v>JASON DURBAN</v>
      </c>
      <c r="F104" s="45">
        <v>803458023001</v>
      </c>
      <c r="G104" s="45" t="str">
        <f t="shared" si="3"/>
        <v>8034580230010</v>
      </c>
      <c r="H104" s="2" t="s">
        <v>80</v>
      </c>
      <c r="I104" s="2" t="s">
        <v>79</v>
      </c>
      <c r="J104" s="51">
        <v>46113</v>
      </c>
      <c r="K104" s="2" t="s">
        <v>78</v>
      </c>
      <c r="L104" s="2">
        <v>1</v>
      </c>
      <c r="M104" s="2" t="s">
        <v>77</v>
      </c>
      <c r="N104" s="2"/>
      <c r="O104" s="3">
        <v>23</v>
      </c>
      <c r="P104" s="3">
        <v>23</v>
      </c>
      <c r="Q104" s="51">
        <v>46023</v>
      </c>
      <c r="R104" s="2" t="s">
        <v>402</v>
      </c>
      <c r="S104" s="46"/>
    </row>
    <row r="105" spans="1:19" ht="15" customHeight="1" x14ac:dyDescent="0.3">
      <c r="A105" s="2" t="s">
        <v>375</v>
      </c>
      <c r="B105" s="2">
        <v>21313588</v>
      </c>
      <c r="C105" s="2" t="s">
        <v>567</v>
      </c>
      <c r="D105" s="2" t="s">
        <v>568</v>
      </c>
      <c r="E105" s="2" t="str">
        <f t="shared" si="2"/>
        <v>KIMBERLY EISFELD</v>
      </c>
      <c r="F105" s="45">
        <v>803504979001</v>
      </c>
      <c r="G105" s="45" t="str">
        <f t="shared" si="3"/>
        <v>8035049790010</v>
      </c>
      <c r="H105" s="2" t="s">
        <v>80</v>
      </c>
      <c r="I105" s="2" t="s">
        <v>79</v>
      </c>
      <c r="J105" s="51">
        <v>46113</v>
      </c>
      <c r="K105" s="2" t="s">
        <v>78</v>
      </c>
      <c r="L105" s="2">
        <v>1</v>
      </c>
      <c r="M105" s="2" t="s">
        <v>77</v>
      </c>
      <c r="N105" s="2" t="s">
        <v>398</v>
      </c>
      <c r="O105" s="3">
        <v>23</v>
      </c>
      <c r="P105" s="3">
        <v>46</v>
      </c>
      <c r="Q105" s="51">
        <v>46023</v>
      </c>
      <c r="R105" s="2" t="s">
        <v>402</v>
      </c>
      <c r="S105" s="46"/>
    </row>
    <row r="106" spans="1:19" ht="15" customHeight="1" x14ac:dyDescent="0.3">
      <c r="A106" s="2" t="s">
        <v>375</v>
      </c>
      <c r="B106" s="2">
        <v>21313588</v>
      </c>
      <c r="C106" s="2" t="s">
        <v>569</v>
      </c>
      <c r="D106" s="2" t="s">
        <v>570</v>
      </c>
      <c r="E106" s="2" t="str">
        <f t="shared" si="2"/>
        <v>BRENT EVERETT</v>
      </c>
      <c r="F106" s="45">
        <v>803504307001</v>
      </c>
      <c r="G106" s="45" t="str">
        <f t="shared" si="3"/>
        <v>8035043070010</v>
      </c>
      <c r="H106" s="2" t="s">
        <v>80</v>
      </c>
      <c r="I106" s="2" t="s">
        <v>79</v>
      </c>
      <c r="J106" s="51">
        <v>46082</v>
      </c>
      <c r="K106" s="2" t="s">
        <v>78</v>
      </c>
      <c r="L106" s="2">
        <v>1</v>
      </c>
      <c r="M106" s="2" t="s">
        <v>77</v>
      </c>
      <c r="N106" s="2"/>
      <c r="O106" s="3">
        <v>23</v>
      </c>
      <c r="P106" s="3">
        <v>23</v>
      </c>
      <c r="Q106" s="51">
        <v>46023</v>
      </c>
      <c r="R106" s="2" t="s">
        <v>402</v>
      </c>
      <c r="S106" s="46"/>
    </row>
    <row r="107" spans="1:19" ht="15" customHeight="1" x14ac:dyDescent="0.3">
      <c r="A107" s="2" t="s">
        <v>375</v>
      </c>
      <c r="B107" s="2">
        <v>21313588</v>
      </c>
      <c r="C107" s="2" t="s">
        <v>571</v>
      </c>
      <c r="D107" s="2" t="s">
        <v>572</v>
      </c>
      <c r="E107" s="2" t="str">
        <f t="shared" si="2"/>
        <v>SONYA FONG</v>
      </c>
      <c r="F107" s="45">
        <v>803507631001</v>
      </c>
      <c r="G107" s="45" t="str">
        <f t="shared" si="3"/>
        <v>8035076310010</v>
      </c>
      <c r="H107" s="2" t="s">
        <v>80</v>
      </c>
      <c r="I107" s="2" t="s">
        <v>79</v>
      </c>
      <c r="J107" s="51">
        <v>46113</v>
      </c>
      <c r="K107" s="2" t="s">
        <v>78</v>
      </c>
      <c r="L107" s="2">
        <v>1</v>
      </c>
      <c r="M107" s="2" t="s">
        <v>77</v>
      </c>
      <c r="N107" s="2" t="s">
        <v>398</v>
      </c>
      <c r="O107" s="3">
        <v>23</v>
      </c>
      <c r="P107" s="3">
        <v>46</v>
      </c>
      <c r="Q107" s="51">
        <v>46023</v>
      </c>
      <c r="R107" s="2" t="s">
        <v>402</v>
      </c>
      <c r="S107" s="46"/>
    </row>
    <row r="108" spans="1:19" ht="15" customHeight="1" x14ac:dyDescent="0.3">
      <c r="A108" s="2" t="s">
        <v>375</v>
      </c>
      <c r="B108" s="2">
        <v>21313588</v>
      </c>
      <c r="C108" s="2" t="s">
        <v>573</v>
      </c>
      <c r="D108" s="2" t="s">
        <v>574</v>
      </c>
      <c r="E108" s="2" t="str">
        <f t="shared" si="2"/>
        <v>LISA GARRETT</v>
      </c>
      <c r="F108" s="45">
        <v>803536593001</v>
      </c>
      <c r="G108" s="45" t="str">
        <f t="shared" si="3"/>
        <v>8035365930010</v>
      </c>
      <c r="H108" s="2" t="s">
        <v>80</v>
      </c>
      <c r="I108" s="2" t="s">
        <v>79</v>
      </c>
      <c r="J108" s="51">
        <v>46082</v>
      </c>
      <c r="K108" s="2" t="s">
        <v>78</v>
      </c>
      <c r="L108" s="2">
        <v>1</v>
      </c>
      <c r="M108" s="2" t="s">
        <v>77</v>
      </c>
      <c r="N108" s="2"/>
      <c r="O108" s="3">
        <v>23</v>
      </c>
      <c r="P108" s="3">
        <v>23</v>
      </c>
      <c r="Q108" s="51">
        <v>46023</v>
      </c>
      <c r="R108" s="2" t="s">
        <v>402</v>
      </c>
      <c r="S108" s="46"/>
    </row>
    <row r="109" spans="1:19" ht="15" customHeight="1" x14ac:dyDescent="0.3">
      <c r="A109" s="2" t="s">
        <v>375</v>
      </c>
      <c r="B109" s="2">
        <v>21313588</v>
      </c>
      <c r="C109" s="2" t="s">
        <v>575</v>
      </c>
      <c r="D109" s="2" t="s">
        <v>576</v>
      </c>
      <c r="E109" s="2" t="str">
        <f t="shared" si="2"/>
        <v>PATRICK HEADLEY</v>
      </c>
      <c r="F109" s="45">
        <v>803456916001</v>
      </c>
      <c r="G109" s="45" t="str">
        <f t="shared" si="3"/>
        <v>8034569160010</v>
      </c>
      <c r="H109" s="2" t="s">
        <v>80</v>
      </c>
      <c r="I109" s="2" t="s">
        <v>79</v>
      </c>
      <c r="J109" s="51">
        <v>46113</v>
      </c>
      <c r="K109" s="2" t="s">
        <v>78</v>
      </c>
      <c r="L109" s="2">
        <v>1</v>
      </c>
      <c r="M109" s="2" t="s">
        <v>77</v>
      </c>
      <c r="N109" s="2" t="s">
        <v>398</v>
      </c>
      <c r="O109" s="3">
        <v>23</v>
      </c>
      <c r="P109" s="3">
        <v>46</v>
      </c>
      <c r="Q109" s="51">
        <v>46023</v>
      </c>
      <c r="R109" s="2" t="s">
        <v>402</v>
      </c>
      <c r="S109" s="46"/>
    </row>
    <row r="110" spans="1:19" ht="15" customHeight="1" x14ac:dyDescent="0.3">
      <c r="A110" s="2" t="s">
        <v>375</v>
      </c>
      <c r="B110" s="2">
        <v>21313588</v>
      </c>
      <c r="C110" s="2" t="s">
        <v>577</v>
      </c>
      <c r="D110" s="2" t="s">
        <v>578</v>
      </c>
      <c r="E110" s="2" t="str">
        <f t="shared" si="2"/>
        <v>DANA HYLAND</v>
      </c>
      <c r="F110" s="45">
        <v>803422316001</v>
      </c>
      <c r="G110" s="45" t="str">
        <f t="shared" si="3"/>
        <v>8034223160010</v>
      </c>
      <c r="H110" s="2" t="s">
        <v>80</v>
      </c>
      <c r="I110" s="2" t="s">
        <v>79</v>
      </c>
      <c r="J110" s="51">
        <v>46113</v>
      </c>
      <c r="K110" s="2" t="s">
        <v>78</v>
      </c>
      <c r="L110" s="2">
        <v>1</v>
      </c>
      <c r="M110" s="2" t="s">
        <v>77</v>
      </c>
      <c r="N110" s="2"/>
      <c r="O110" s="3">
        <v>23</v>
      </c>
      <c r="P110" s="3">
        <v>23</v>
      </c>
      <c r="Q110" s="51">
        <v>46023</v>
      </c>
      <c r="R110" s="2" t="s">
        <v>402</v>
      </c>
      <c r="S110" s="46"/>
    </row>
    <row r="111" spans="1:19" ht="15" customHeight="1" x14ac:dyDescent="0.3">
      <c r="A111" s="2" t="s">
        <v>375</v>
      </c>
      <c r="B111" s="2">
        <v>21313588</v>
      </c>
      <c r="C111" s="2" t="s">
        <v>579</v>
      </c>
      <c r="D111" s="2" t="s">
        <v>469</v>
      </c>
      <c r="E111" s="2" t="str">
        <f t="shared" si="2"/>
        <v>CHRISTINA LOFLAND</v>
      </c>
      <c r="F111" s="45">
        <v>803436731001</v>
      </c>
      <c r="G111" s="45" t="str">
        <f t="shared" si="3"/>
        <v>8034367310010</v>
      </c>
      <c r="H111" s="2" t="s">
        <v>80</v>
      </c>
      <c r="I111" s="2" t="s">
        <v>79</v>
      </c>
      <c r="J111" s="51">
        <v>46113</v>
      </c>
      <c r="K111" s="2" t="s">
        <v>78</v>
      </c>
      <c r="L111" s="2">
        <v>1</v>
      </c>
      <c r="M111" s="2" t="s">
        <v>77</v>
      </c>
      <c r="N111" s="2"/>
      <c r="O111" s="3">
        <v>23</v>
      </c>
      <c r="P111" s="3">
        <v>23</v>
      </c>
      <c r="Q111" s="51">
        <v>46023</v>
      </c>
      <c r="R111" s="2" t="s">
        <v>402</v>
      </c>
      <c r="S111" s="46"/>
    </row>
    <row r="112" spans="1:19" ht="15" customHeight="1" x14ac:dyDescent="0.3">
      <c r="A112" s="2" t="s">
        <v>375</v>
      </c>
      <c r="B112" s="2">
        <v>21313588</v>
      </c>
      <c r="C112" s="2" t="s">
        <v>580</v>
      </c>
      <c r="D112" s="2" t="s">
        <v>581</v>
      </c>
      <c r="E112" s="2" t="str">
        <f t="shared" si="2"/>
        <v>PERSEFONE PAPPAS</v>
      </c>
      <c r="F112" s="45">
        <v>803481057001</v>
      </c>
      <c r="G112" s="45" t="str">
        <f t="shared" si="3"/>
        <v>8034810570010</v>
      </c>
      <c r="H112" s="2" t="s">
        <v>80</v>
      </c>
      <c r="I112" s="2" t="s">
        <v>79</v>
      </c>
      <c r="J112" s="51">
        <v>46113</v>
      </c>
      <c r="K112" s="2" t="s">
        <v>78</v>
      </c>
      <c r="L112" s="2">
        <v>1</v>
      </c>
      <c r="M112" s="2" t="s">
        <v>77</v>
      </c>
      <c r="N112" s="2"/>
      <c r="O112" s="3">
        <v>23</v>
      </c>
      <c r="P112" s="3">
        <v>23</v>
      </c>
      <c r="Q112" s="51">
        <v>46023</v>
      </c>
      <c r="R112" s="2" t="s">
        <v>402</v>
      </c>
      <c r="S112" s="46"/>
    </row>
    <row r="113" spans="1:19" ht="15" customHeight="1" x14ac:dyDescent="0.3">
      <c r="A113" s="2" t="s">
        <v>375</v>
      </c>
      <c r="B113" s="2">
        <v>21313588</v>
      </c>
      <c r="C113" s="2" t="s">
        <v>582</v>
      </c>
      <c r="D113" s="2" t="s">
        <v>583</v>
      </c>
      <c r="E113" s="2" t="str">
        <f t="shared" si="2"/>
        <v>CHELSEA PLAGGE</v>
      </c>
      <c r="F113" s="45">
        <v>803436921001</v>
      </c>
      <c r="G113" s="45" t="str">
        <f t="shared" si="3"/>
        <v>8034369210010</v>
      </c>
      <c r="H113" s="2" t="s">
        <v>80</v>
      </c>
      <c r="I113" s="2" t="s">
        <v>79</v>
      </c>
      <c r="J113" s="51">
        <v>46113</v>
      </c>
      <c r="K113" s="2" t="s">
        <v>78</v>
      </c>
      <c r="L113" s="2">
        <v>1</v>
      </c>
      <c r="M113" s="2" t="s">
        <v>77</v>
      </c>
      <c r="N113" s="2"/>
      <c r="O113" s="3">
        <v>23</v>
      </c>
      <c r="P113" s="3">
        <v>23</v>
      </c>
      <c r="Q113" s="51">
        <v>46023</v>
      </c>
      <c r="R113" s="2" t="s">
        <v>402</v>
      </c>
      <c r="S113" s="46"/>
    </row>
    <row r="114" spans="1:19" ht="15" customHeight="1" x14ac:dyDescent="0.3">
      <c r="A114" s="2" t="s">
        <v>375</v>
      </c>
      <c r="B114" s="2">
        <v>21313588</v>
      </c>
      <c r="C114" s="2" t="s">
        <v>584</v>
      </c>
      <c r="D114" s="2" t="s">
        <v>585</v>
      </c>
      <c r="E114" s="2" t="str">
        <f t="shared" si="2"/>
        <v>ISEL RUIZ-CAMPOS</v>
      </c>
      <c r="F114" s="45">
        <v>803396535001</v>
      </c>
      <c r="G114" s="45" t="str">
        <f t="shared" si="3"/>
        <v>8033965350010</v>
      </c>
      <c r="H114" s="2" t="s">
        <v>80</v>
      </c>
      <c r="I114" s="2" t="s">
        <v>79</v>
      </c>
      <c r="J114" s="51">
        <v>46113</v>
      </c>
      <c r="K114" s="2" t="s">
        <v>78</v>
      </c>
      <c r="L114" s="2">
        <v>1</v>
      </c>
      <c r="M114" s="2" t="s">
        <v>77</v>
      </c>
      <c r="N114" s="2"/>
      <c r="O114" s="3">
        <v>23</v>
      </c>
      <c r="P114" s="3">
        <v>23</v>
      </c>
      <c r="Q114" s="51">
        <v>46023</v>
      </c>
      <c r="R114" s="2" t="s">
        <v>402</v>
      </c>
      <c r="S114" s="46"/>
    </row>
    <row r="115" spans="1:19" ht="15" customHeight="1" x14ac:dyDescent="0.3">
      <c r="A115" s="2" t="s">
        <v>375</v>
      </c>
      <c r="B115" s="2">
        <v>21313588</v>
      </c>
      <c r="C115" s="2" t="s">
        <v>586</v>
      </c>
      <c r="D115" s="2" t="s">
        <v>587</v>
      </c>
      <c r="E115" s="2" t="str">
        <f t="shared" si="2"/>
        <v>TREVOR SIZEMORE</v>
      </c>
      <c r="F115" s="45">
        <v>803513343001</v>
      </c>
      <c r="G115" s="45" t="str">
        <f t="shared" si="3"/>
        <v>8035133430010</v>
      </c>
      <c r="H115" s="2" t="s">
        <v>80</v>
      </c>
      <c r="I115" s="2" t="s">
        <v>79</v>
      </c>
      <c r="J115" s="51">
        <v>46113</v>
      </c>
      <c r="K115" s="2" t="s">
        <v>78</v>
      </c>
      <c r="L115" s="2">
        <v>1</v>
      </c>
      <c r="M115" s="2" t="s">
        <v>77</v>
      </c>
      <c r="N115" s="2"/>
      <c r="O115" s="3">
        <v>23</v>
      </c>
      <c r="P115" s="3">
        <v>23</v>
      </c>
      <c r="Q115" s="51">
        <v>46023</v>
      </c>
      <c r="R115" s="2" t="s">
        <v>402</v>
      </c>
      <c r="S115" s="46"/>
    </row>
    <row r="116" spans="1:19" ht="15" customHeight="1" x14ac:dyDescent="0.3">
      <c r="A116" s="2" t="s">
        <v>375</v>
      </c>
      <c r="B116" s="2">
        <v>21313588</v>
      </c>
      <c r="C116" s="2" t="s">
        <v>588</v>
      </c>
      <c r="D116" s="2" t="s">
        <v>589</v>
      </c>
      <c r="E116" s="2" t="str">
        <f t="shared" si="2"/>
        <v>AUSTIN SYLVEST</v>
      </c>
      <c r="F116" s="45">
        <v>803422285001</v>
      </c>
      <c r="G116" s="45" t="str">
        <f t="shared" si="3"/>
        <v>8034222850010</v>
      </c>
      <c r="H116" s="2" t="s">
        <v>80</v>
      </c>
      <c r="I116" s="2" t="s">
        <v>79</v>
      </c>
      <c r="J116" s="51">
        <v>46113</v>
      </c>
      <c r="K116" s="2" t="s">
        <v>78</v>
      </c>
      <c r="L116" s="2">
        <v>1</v>
      </c>
      <c r="M116" s="2" t="s">
        <v>77</v>
      </c>
      <c r="N116" s="2" t="s">
        <v>399</v>
      </c>
      <c r="O116" s="3">
        <v>23</v>
      </c>
      <c r="P116" s="3">
        <v>69</v>
      </c>
      <c r="Q116" s="51">
        <v>46023</v>
      </c>
      <c r="R116" s="2" t="s">
        <v>402</v>
      </c>
      <c r="S116" s="46"/>
    </row>
    <row r="117" spans="1:19" ht="15" customHeight="1" x14ac:dyDescent="0.3">
      <c r="A117" s="2" t="s">
        <v>370</v>
      </c>
      <c r="B117" s="2">
        <v>6634327</v>
      </c>
      <c r="C117" s="2" t="s">
        <v>590</v>
      </c>
      <c r="D117" s="2" t="s">
        <v>469</v>
      </c>
      <c r="E117" s="2" t="str">
        <f t="shared" si="2"/>
        <v>CHRISTINA BLAIR</v>
      </c>
      <c r="F117" s="45">
        <v>803500688001</v>
      </c>
      <c r="G117" s="45" t="str">
        <f t="shared" si="3"/>
        <v>8035006880010</v>
      </c>
      <c r="H117" s="2" t="s">
        <v>80</v>
      </c>
      <c r="I117" s="2" t="s">
        <v>79</v>
      </c>
      <c r="J117" s="51">
        <v>46113</v>
      </c>
      <c r="K117" s="2" t="s">
        <v>78</v>
      </c>
      <c r="L117" s="2">
        <v>1</v>
      </c>
      <c r="M117" s="2" t="s">
        <v>77</v>
      </c>
      <c r="N117" s="2" t="s">
        <v>398</v>
      </c>
      <c r="O117" s="3">
        <v>23</v>
      </c>
      <c r="P117" s="3">
        <v>46</v>
      </c>
      <c r="Q117" s="51">
        <v>46023</v>
      </c>
      <c r="R117" s="2" t="s">
        <v>402</v>
      </c>
      <c r="S117" s="46"/>
    </row>
    <row r="118" spans="1:19" ht="15" customHeight="1" x14ac:dyDescent="0.3">
      <c r="A118" s="2" t="s">
        <v>370</v>
      </c>
      <c r="B118" s="2">
        <v>6634327</v>
      </c>
      <c r="C118" s="2" t="s">
        <v>423</v>
      </c>
      <c r="D118" s="2" t="s">
        <v>591</v>
      </c>
      <c r="E118" s="2" t="str">
        <f t="shared" si="2"/>
        <v>AMY BLOOM</v>
      </c>
      <c r="F118" s="45">
        <v>803468689001</v>
      </c>
      <c r="G118" s="45" t="str">
        <f t="shared" si="3"/>
        <v>8034686890010</v>
      </c>
      <c r="H118" s="2" t="s">
        <v>80</v>
      </c>
      <c r="I118" s="2" t="s">
        <v>79</v>
      </c>
      <c r="J118" s="51">
        <v>46113</v>
      </c>
      <c r="K118" s="2" t="s">
        <v>78</v>
      </c>
      <c r="L118" s="2">
        <v>1</v>
      </c>
      <c r="M118" s="2" t="s">
        <v>77</v>
      </c>
      <c r="N118" s="2" t="s">
        <v>401</v>
      </c>
      <c r="O118" s="3">
        <v>23</v>
      </c>
      <c r="P118" s="3">
        <v>115</v>
      </c>
      <c r="Q118" s="51">
        <v>46023</v>
      </c>
      <c r="R118" s="2" t="s">
        <v>402</v>
      </c>
      <c r="S118" s="46"/>
    </row>
    <row r="119" spans="1:19" ht="15" customHeight="1" x14ac:dyDescent="0.3">
      <c r="A119" s="2" t="s">
        <v>370</v>
      </c>
      <c r="B119" s="2">
        <v>6634327</v>
      </c>
      <c r="C119" s="2" t="s">
        <v>592</v>
      </c>
      <c r="D119" s="2" t="s">
        <v>593</v>
      </c>
      <c r="E119" s="2" t="str">
        <f t="shared" si="2"/>
        <v>BARBARA BLUME</v>
      </c>
      <c r="F119" s="45">
        <v>803422263001</v>
      </c>
      <c r="G119" s="45" t="str">
        <f t="shared" si="3"/>
        <v>8034222630010</v>
      </c>
      <c r="H119" s="2" t="s">
        <v>80</v>
      </c>
      <c r="I119" s="2" t="s">
        <v>79</v>
      </c>
      <c r="J119" s="51">
        <v>46113</v>
      </c>
      <c r="K119" s="2" t="s">
        <v>78</v>
      </c>
      <c r="L119" s="2">
        <v>1</v>
      </c>
      <c r="M119" s="2" t="s">
        <v>77</v>
      </c>
      <c r="N119" s="2"/>
      <c r="O119" s="3">
        <v>23</v>
      </c>
      <c r="P119" s="3">
        <v>23</v>
      </c>
      <c r="Q119" s="51">
        <v>46023</v>
      </c>
      <c r="R119" s="2" t="s">
        <v>402</v>
      </c>
      <c r="S119" s="46"/>
    </row>
    <row r="120" spans="1:19" ht="15" customHeight="1" x14ac:dyDescent="0.3">
      <c r="A120" s="2" t="s">
        <v>370</v>
      </c>
      <c r="B120" s="2">
        <v>6634327</v>
      </c>
      <c r="C120" s="2" t="s">
        <v>594</v>
      </c>
      <c r="D120" s="2" t="s">
        <v>595</v>
      </c>
      <c r="E120" s="2" t="str">
        <f t="shared" si="2"/>
        <v>DEMETRE CREWS</v>
      </c>
      <c r="F120" s="45">
        <v>802903048001</v>
      </c>
      <c r="G120" s="45" t="str">
        <f t="shared" si="3"/>
        <v>8029030480010</v>
      </c>
      <c r="H120" s="2" t="s">
        <v>80</v>
      </c>
      <c r="I120" s="2" t="s">
        <v>79</v>
      </c>
      <c r="J120" s="51">
        <v>46023</v>
      </c>
      <c r="K120" s="2" t="s">
        <v>78</v>
      </c>
      <c r="L120" s="2">
        <v>1</v>
      </c>
      <c r="M120" s="2" t="s">
        <v>77</v>
      </c>
      <c r="N120" s="2"/>
      <c r="O120" s="3">
        <v>23</v>
      </c>
      <c r="P120" s="3">
        <v>23</v>
      </c>
      <c r="Q120" s="51">
        <v>46023</v>
      </c>
      <c r="R120" s="2" t="s">
        <v>402</v>
      </c>
      <c r="S120" s="46"/>
    </row>
    <row r="121" spans="1:19" ht="15" customHeight="1" x14ac:dyDescent="0.3">
      <c r="A121" s="2" t="s">
        <v>370</v>
      </c>
      <c r="B121" s="2">
        <v>6634327</v>
      </c>
      <c r="C121" s="2" t="s">
        <v>594</v>
      </c>
      <c r="D121" s="2" t="s">
        <v>595</v>
      </c>
      <c r="E121" s="2" t="str">
        <f t="shared" si="2"/>
        <v>DEMETRE CREWS</v>
      </c>
      <c r="F121" s="45">
        <v>802903048001</v>
      </c>
      <c r="G121" s="45" t="str">
        <f t="shared" si="3"/>
        <v>8029030480010</v>
      </c>
      <c r="H121" s="2" t="s">
        <v>80</v>
      </c>
      <c r="I121" s="2" t="s">
        <v>79</v>
      </c>
      <c r="J121" s="51">
        <v>46054</v>
      </c>
      <c r="K121" s="2" t="s">
        <v>78</v>
      </c>
      <c r="L121" s="2">
        <v>1</v>
      </c>
      <c r="M121" s="2" t="s">
        <v>77</v>
      </c>
      <c r="N121" s="2"/>
      <c r="O121" s="3">
        <v>23</v>
      </c>
      <c r="P121" s="3">
        <v>23</v>
      </c>
      <c r="Q121" s="51">
        <v>46023</v>
      </c>
      <c r="R121" s="2" t="s">
        <v>402</v>
      </c>
      <c r="S121" s="46"/>
    </row>
    <row r="122" spans="1:19" ht="15" customHeight="1" x14ac:dyDescent="0.3">
      <c r="A122" s="2" t="s">
        <v>370</v>
      </c>
      <c r="B122" s="2">
        <v>6634327</v>
      </c>
      <c r="C122" s="2" t="s">
        <v>594</v>
      </c>
      <c r="D122" s="2" t="s">
        <v>595</v>
      </c>
      <c r="E122" s="2" t="str">
        <f t="shared" si="2"/>
        <v>DEMETRE CREWS</v>
      </c>
      <c r="F122" s="45">
        <v>802903048001</v>
      </c>
      <c r="G122" s="45" t="str">
        <f t="shared" si="3"/>
        <v>8029030480010</v>
      </c>
      <c r="H122" s="2" t="s">
        <v>80</v>
      </c>
      <c r="I122" s="2" t="s">
        <v>79</v>
      </c>
      <c r="J122" s="51">
        <v>46082</v>
      </c>
      <c r="K122" s="2" t="s">
        <v>78</v>
      </c>
      <c r="L122" s="2">
        <v>1</v>
      </c>
      <c r="M122" s="2" t="s">
        <v>77</v>
      </c>
      <c r="N122" s="2"/>
      <c r="O122" s="3">
        <v>23</v>
      </c>
      <c r="P122" s="3">
        <v>23</v>
      </c>
      <c r="Q122" s="51">
        <v>46023</v>
      </c>
      <c r="R122" s="2" t="s">
        <v>402</v>
      </c>
      <c r="S122" s="46"/>
    </row>
    <row r="123" spans="1:19" ht="15" customHeight="1" x14ac:dyDescent="0.3">
      <c r="A123" s="2" t="s">
        <v>370</v>
      </c>
      <c r="B123" s="2">
        <v>6634327</v>
      </c>
      <c r="C123" s="2" t="s">
        <v>594</v>
      </c>
      <c r="D123" s="2" t="s">
        <v>595</v>
      </c>
      <c r="E123" s="2" t="str">
        <f t="shared" si="2"/>
        <v>DEMETRE CREWS</v>
      </c>
      <c r="F123" s="45">
        <v>802903048001</v>
      </c>
      <c r="G123" s="45" t="str">
        <f t="shared" si="3"/>
        <v>8029030480010</v>
      </c>
      <c r="H123" s="2" t="s">
        <v>80</v>
      </c>
      <c r="I123" s="2" t="s">
        <v>79</v>
      </c>
      <c r="J123" s="51">
        <v>46113</v>
      </c>
      <c r="K123" s="2" t="s">
        <v>78</v>
      </c>
      <c r="L123" s="2">
        <v>1</v>
      </c>
      <c r="M123" s="2" t="s">
        <v>77</v>
      </c>
      <c r="N123" s="2"/>
      <c r="O123" s="3">
        <v>23</v>
      </c>
      <c r="P123" s="3">
        <v>23</v>
      </c>
      <c r="Q123" s="51">
        <v>46023</v>
      </c>
      <c r="R123" s="2" t="s">
        <v>402</v>
      </c>
      <c r="S123" s="46"/>
    </row>
    <row r="124" spans="1:19" ht="15" customHeight="1" x14ac:dyDescent="0.3">
      <c r="A124" s="2" t="s">
        <v>370</v>
      </c>
      <c r="B124" s="2">
        <v>6634327</v>
      </c>
      <c r="C124" s="2" t="s">
        <v>596</v>
      </c>
      <c r="D124" s="2" t="s">
        <v>597</v>
      </c>
      <c r="E124" s="2" t="str">
        <f t="shared" si="2"/>
        <v>HERBERT CURTIS</v>
      </c>
      <c r="F124" s="45">
        <v>803539221001</v>
      </c>
      <c r="G124" s="45" t="str">
        <f t="shared" si="3"/>
        <v>8035392210010</v>
      </c>
      <c r="H124" s="2" t="s">
        <v>80</v>
      </c>
      <c r="I124" s="2" t="s">
        <v>79</v>
      </c>
      <c r="J124" s="51">
        <v>46082</v>
      </c>
      <c r="K124" s="2" t="s">
        <v>78</v>
      </c>
      <c r="L124" s="2">
        <v>1</v>
      </c>
      <c r="M124" s="2" t="s">
        <v>77</v>
      </c>
      <c r="N124" s="2"/>
      <c r="O124" s="3">
        <v>23</v>
      </c>
      <c r="P124" s="3">
        <v>23</v>
      </c>
      <c r="Q124" s="51">
        <v>46023</v>
      </c>
      <c r="R124" s="2" t="s">
        <v>402</v>
      </c>
      <c r="S124" s="46"/>
    </row>
    <row r="125" spans="1:19" ht="15" customHeight="1" x14ac:dyDescent="0.3">
      <c r="A125" s="2" t="s">
        <v>370</v>
      </c>
      <c r="B125" s="2">
        <v>6634327</v>
      </c>
      <c r="C125" s="2" t="s">
        <v>596</v>
      </c>
      <c r="D125" s="2" t="s">
        <v>597</v>
      </c>
      <c r="E125" s="2" t="str">
        <f t="shared" si="2"/>
        <v>HERBERT CURTIS</v>
      </c>
      <c r="F125" s="45">
        <v>803539221001</v>
      </c>
      <c r="G125" s="45" t="str">
        <f t="shared" si="3"/>
        <v>8035392210010</v>
      </c>
      <c r="H125" s="2" t="s">
        <v>80</v>
      </c>
      <c r="I125" s="2" t="s">
        <v>79</v>
      </c>
      <c r="J125" s="51">
        <v>46113</v>
      </c>
      <c r="K125" s="2" t="s">
        <v>78</v>
      </c>
      <c r="L125" s="2">
        <v>1</v>
      </c>
      <c r="M125" s="2" t="s">
        <v>77</v>
      </c>
      <c r="N125" s="2"/>
      <c r="O125" s="3">
        <v>23</v>
      </c>
      <c r="P125" s="3">
        <v>23</v>
      </c>
      <c r="Q125" s="51">
        <v>46023</v>
      </c>
      <c r="R125" s="2" t="s">
        <v>402</v>
      </c>
      <c r="S125" s="46"/>
    </row>
    <row r="126" spans="1:19" ht="15" customHeight="1" x14ac:dyDescent="0.3">
      <c r="A126" s="2" t="s">
        <v>370</v>
      </c>
      <c r="B126" s="2">
        <v>6634327</v>
      </c>
      <c r="C126" s="2" t="s">
        <v>453</v>
      </c>
      <c r="D126" s="2" t="s">
        <v>444</v>
      </c>
      <c r="E126" s="2" t="str">
        <f t="shared" si="2"/>
        <v>JOHN DAVIS</v>
      </c>
      <c r="F126" s="45">
        <v>802903258001</v>
      </c>
      <c r="G126" s="45" t="str">
        <f t="shared" si="3"/>
        <v>8029032580010</v>
      </c>
      <c r="H126" s="2" t="s">
        <v>80</v>
      </c>
      <c r="I126" s="2" t="s">
        <v>79</v>
      </c>
      <c r="J126" s="51">
        <v>46023</v>
      </c>
      <c r="K126" s="2" t="s">
        <v>78</v>
      </c>
      <c r="L126" s="2">
        <v>1</v>
      </c>
      <c r="M126" s="2" t="s">
        <v>77</v>
      </c>
      <c r="N126" s="2"/>
      <c r="O126" s="3">
        <v>23</v>
      </c>
      <c r="P126" s="3">
        <v>23</v>
      </c>
      <c r="Q126" s="51">
        <v>46023</v>
      </c>
      <c r="R126" s="2" t="s">
        <v>402</v>
      </c>
      <c r="S126" s="46"/>
    </row>
    <row r="127" spans="1:19" ht="15" customHeight="1" x14ac:dyDescent="0.3">
      <c r="A127" s="2" t="s">
        <v>370</v>
      </c>
      <c r="B127" s="2">
        <v>6634327</v>
      </c>
      <c r="C127" s="2" t="s">
        <v>453</v>
      </c>
      <c r="D127" s="2" t="s">
        <v>444</v>
      </c>
      <c r="E127" s="2" t="str">
        <f t="shared" si="2"/>
        <v>JOHN DAVIS</v>
      </c>
      <c r="F127" s="45">
        <v>802903258001</v>
      </c>
      <c r="G127" s="45" t="str">
        <f t="shared" si="3"/>
        <v>8029032580010</v>
      </c>
      <c r="H127" s="2" t="s">
        <v>80</v>
      </c>
      <c r="I127" s="2" t="s">
        <v>79</v>
      </c>
      <c r="J127" s="51">
        <v>46054</v>
      </c>
      <c r="K127" s="2" t="s">
        <v>78</v>
      </c>
      <c r="L127" s="2">
        <v>1</v>
      </c>
      <c r="M127" s="2" t="s">
        <v>77</v>
      </c>
      <c r="N127" s="2"/>
      <c r="O127" s="3">
        <v>23</v>
      </c>
      <c r="P127" s="3">
        <v>23</v>
      </c>
      <c r="Q127" s="51">
        <v>46023</v>
      </c>
      <c r="R127" s="2" t="s">
        <v>402</v>
      </c>
      <c r="S127" s="46"/>
    </row>
    <row r="128" spans="1:19" ht="15" customHeight="1" x14ac:dyDescent="0.3">
      <c r="A128" s="2" t="s">
        <v>370</v>
      </c>
      <c r="B128" s="2">
        <v>6634327</v>
      </c>
      <c r="C128" s="2" t="s">
        <v>453</v>
      </c>
      <c r="D128" s="2" t="s">
        <v>444</v>
      </c>
      <c r="E128" s="2" t="str">
        <f t="shared" si="2"/>
        <v>JOHN DAVIS</v>
      </c>
      <c r="F128" s="45">
        <v>802903258001</v>
      </c>
      <c r="G128" s="45" t="str">
        <f t="shared" si="3"/>
        <v>8029032580010</v>
      </c>
      <c r="H128" s="2" t="s">
        <v>80</v>
      </c>
      <c r="I128" s="2" t="s">
        <v>79</v>
      </c>
      <c r="J128" s="51">
        <v>46082</v>
      </c>
      <c r="K128" s="2" t="s">
        <v>78</v>
      </c>
      <c r="L128" s="2">
        <v>1</v>
      </c>
      <c r="M128" s="2" t="s">
        <v>77</v>
      </c>
      <c r="N128" s="2"/>
      <c r="O128" s="3">
        <v>23</v>
      </c>
      <c r="P128" s="3">
        <v>23</v>
      </c>
      <c r="Q128" s="51">
        <v>46023</v>
      </c>
      <c r="R128" s="2" t="s">
        <v>402</v>
      </c>
      <c r="S128" s="46"/>
    </row>
    <row r="129" spans="1:19" ht="15" customHeight="1" x14ac:dyDescent="0.3">
      <c r="A129" s="2" t="s">
        <v>370</v>
      </c>
      <c r="B129" s="2">
        <v>6634327</v>
      </c>
      <c r="C129" s="2" t="s">
        <v>453</v>
      </c>
      <c r="D129" s="2" t="s">
        <v>444</v>
      </c>
      <c r="E129" s="2" t="str">
        <f t="shared" si="2"/>
        <v>JOHN DAVIS</v>
      </c>
      <c r="F129" s="45">
        <v>802903258001</v>
      </c>
      <c r="G129" s="45" t="str">
        <f t="shared" si="3"/>
        <v>8029032580010</v>
      </c>
      <c r="H129" s="2" t="s">
        <v>80</v>
      </c>
      <c r="I129" s="2" t="s">
        <v>79</v>
      </c>
      <c r="J129" s="51">
        <v>46113</v>
      </c>
      <c r="K129" s="2" t="s">
        <v>78</v>
      </c>
      <c r="L129" s="2">
        <v>1</v>
      </c>
      <c r="M129" s="2" t="s">
        <v>77</v>
      </c>
      <c r="N129" s="2"/>
      <c r="O129" s="3">
        <v>23</v>
      </c>
      <c r="P129" s="3">
        <v>23</v>
      </c>
      <c r="Q129" s="51">
        <v>46023</v>
      </c>
      <c r="R129" s="2" t="s">
        <v>402</v>
      </c>
      <c r="S129" s="46"/>
    </row>
    <row r="130" spans="1:19" ht="15" customHeight="1" x14ac:dyDescent="0.3">
      <c r="A130" s="2" t="s">
        <v>370</v>
      </c>
      <c r="B130" s="2">
        <v>6634327</v>
      </c>
      <c r="C130" s="2" t="s">
        <v>598</v>
      </c>
      <c r="D130" s="2" t="s">
        <v>599</v>
      </c>
      <c r="E130" s="2" t="str">
        <f t="shared" si="2"/>
        <v>ANDREW GRAFFIS</v>
      </c>
      <c r="F130" s="45">
        <v>803433234001</v>
      </c>
      <c r="G130" s="45" t="str">
        <f t="shared" si="3"/>
        <v>8034332340010</v>
      </c>
      <c r="H130" s="2" t="s">
        <v>80</v>
      </c>
      <c r="I130" s="2" t="s">
        <v>79</v>
      </c>
      <c r="J130" s="51">
        <v>46113</v>
      </c>
      <c r="K130" s="2" t="s">
        <v>78</v>
      </c>
      <c r="L130" s="2">
        <v>1</v>
      </c>
      <c r="M130" s="2" t="s">
        <v>77</v>
      </c>
      <c r="N130" s="2"/>
      <c r="O130" s="3">
        <v>23</v>
      </c>
      <c r="P130" s="3">
        <v>23</v>
      </c>
      <c r="Q130" s="51">
        <v>46023</v>
      </c>
      <c r="R130" s="2" t="s">
        <v>402</v>
      </c>
      <c r="S130" s="46"/>
    </row>
    <row r="131" spans="1:19" ht="15" customHeight="1" x14ac:dyDescent="0.3">
      <c r="A131" s="2" t="s">
        <v>370</v>
      </c>
      <c r="B131" s="2">
        <v>6634327</v>
      </c>
      <c r="C131" s="2" t="s">
        <v>600</v>
      </c>
      <c r="D131" s="2" t="s">
        <v>576</v>
      </c>
      <c r="E131" s="2" t="str">
        <f t="shared" ref="E131:E192" si="4">_xlfn.CONCAT(D131," ",C131)</f>
        <v>PATRICK KEENAN</v>
      </c>
      <c r="F131" s="45">
        <v>802949176001</v>
      </c>
      <c r="G131" s="45" t="str">
        <f t="shared" ref="G131:G169" si="5">_xlfn.CONCAT(F131,0)</f>
        <v>8029491760010</v>
      </c>
      <c r="H131" s="2" t="s">
        <v>80</v>
      </c>
      <c r="I131" s="2" t="s">
        <v>79</v>
      </c>
      <c r="J131" s="51">
        <v>46054</v>
      </c>
      <c r="K131" s="2" t="s">
        <v>78</v>
      </c>
      <c r="L131" s="2">
        <v>1</v>
      </c>
      <c r="M131" s="2" t="s">
        <v>77</v>
      </c>
      <c r="N131" s="2" t="s">
        <v>398</v>
      </c>
      <c r="O131" s="3">
        <v>23</v>
      </c>
      <c r="P131" s="3">
        <v>46</v>
      </c>
      <c r="Q131" s="51">
        <v>46023</v>
      </c>
      <c r="R131" s="2" t="s">
        <v>402</v>
      </c>
      <c r="S131" s="46"/>
    </row>
    <row r="132" spans="1:19" ht="15" customHeight="1" x14ac:dyDescent="0.3">
      <c r="A132" s="2" t="s">
        <v>370</v>
      </c>
      <c r="B132" s="2">
        <v>6634327</v>
      </c>
      <c r="C132" s="2" t="s">
        <v>600</v>
      </c>
      <c r="D132" s="2" t="s">
        <v>576</v>
      </c>
      <c r="E132" s="2" t="str">
        <f t="shared" si="4"/>
        <v>PATRICK KEENAN</v>
      </c>
      <c r="F132" s="45">
        <v>802949176001</v>
      </c>
      <c r="G132" s="45" t="str">
        <f t="shared" si="5"/>
        <v>8029491760010</v>
      </c>
      <c r="H132" s="2" t="s">
        <v>80</v>
      </c>
      <c r="I132" s="2" t="s">
        <v>79</v>
      </c>
      <c r="J132" s="51">
        <v>46082</v>
      </c>
      <c r="K132" s="2" t="s">
        <v>78</v>
      </c>
      <c r="L132" s="2">
        <v>1</v>
      </c>
      <c r="M132" s="2" t="s">
        <v>77</v>
      </c>
      <c r="N132" s="2" t="s">
        <v>398</v>
      </c>
      <c r="O132" s="3">
        <v>23</v>
      </c>
      <c r="P132" s="3">
        <v>46</v>
      </c>
      <c r="Q132" s="51">
        <v>46023</v>
      </c>
      <c r="R132" s="2" t="s">
        <v>402</v>
      </c>
      <c r="S132" s="46"/>
    </row>
    <row r="133" spans="1:19" ht="15" customHeight="1" x14ac:dyDescent="0.3">
      <c r="A133" s="2" t="s">
        <v>370</v>
      </c>
      <c r="B133" s="2">
        <v>6634327</v>
      </c>
      <c r="C133" s="2" t="s">
        <v>600</v>
      </c>
      <c r="D133" s="2" t="s">
        <v>576</v>
      </c>
      <c r="E133" s="2" t="str">
        <f t="shared" si="4"/>
        <v>PATRICK KEENAN</v>
      </c>
      <c r="F133" s="45">
        <v>802949176001</v>
      </c>
      <c r="G133" s="45" t="str">
        <f t="shared" si="5"/>
        <v>8029491760010</v>
      </c>
      <c r="H133" s="2" t="s">
        <v>80</v>
      </c>
      <c r="I133" s="2" t="s">
        <v>79</v>
      </c>
      <c r="J133" s="51">
        <v>46113</v>
      </c>
      <c r="K133" s="2" t="s">
        <v>78</v>
      </c>
      <c r="L133" s="2">
        <v>1</v>
      </c>
      <c r="M133" s="2" t="s">
        <v>77</v>
      </c>
      <c r="N133" s="2" t="s">
        <v>398</v>
      </c>
      <c r="O133" s="3">
        <v>23</v>
      </c>
      <c r="P133" s="3">
        <v>46</v>
      </c>
      <c r="Q133" s="51">
        <v>46023</v>
      </c>
      <c r="R133" s="2" t="s">
        <v>402</v>
      </c>
      <c r="S133" s="46"/>
    </row>
    <row r="134" spans="1:19" ht="15" customHeight="1" x14ac:dyDescent="0.3">
      <c r="A134" s="57" t="s">
        <v>370</v>
      </c>
      <c r="B134" s="2">
        <v>6634327</v>
      </c>
      <c r="C134" s="57" t="s">
        <v>601</v>
      </c>
      <c r="D134" s="57" t="s">
        <v>602</v>
      </c>
      <c r="E134" s="2" t="str">
        <f t="shared" si="4"/>
        <v>DANIELLE LANGFIELD</v>
      </c>
      <c r="F134" s="58">
        <v>803063060001</v>
      </c>
      <c r="G134" s="58">
        <v>803063060001</v>
      </c>
      <c r="H134" s="57" t="s">
        <v>80</v>
      </c>
      <c r="I134" s="57" t="s">
        <v>79</v>
      </c>
      <c r="J134" s="59">
        <v>45931</v>
      </c>
      <c r="K134" s="57" t="s">
        <v>78</v>
      </c>
      <c r="L134" s="60">
        <v>483.42</v>
      </c>
      <c r="M134" s="57" t="s">
        <v>130</v>
      </c>
      <c r="N134" s="57"/>
      <c r="O134" s="61">
        <v>4.2500000000000003E-2</v>
      </c>
      <c r="P134" s="60">
        <v>20.55</v>
      </c>
      <c r="Q134" s="59">
        <v>45931</v>
      </c>
      <c r="R134" s="57" t="s">
        <v>396</v>
      </c>
      <c r="S134" s="52"/>
    </row>
    <row r="135" spans="1:19" ht="15" customHeight="1" x14ac:dyDescent="0.3">
      <c r="A135" s="57" t="s">
        <v>370</v>
      </c>
      <c r="B135" s="2">
        <v>6634327</v>
      </c>
      <c r="C135" s="57" t="s">
        <v>601</v>
      </c>
      <c r="D135" s="57" t="s">
        <v>602</v>
      </c>
      <c r="E135" s="2" t="str">
        <f t="shared" si="4"/>
        <v>DANIELLE LANGFIELD</v>
      </c>
      <c r="F135" s="58">
        <v>803063060001</v>
      </c>
      <c r="G135" s="58">
        <v>803063060001</v>
      </c>
      <c r="H135" s="57" t="s">
        <v>80</v>
      </c>
      <c r="I135" s="57" t="s">
        <v>79</v>
      </c>
      <c r="J135" s="59">
        <v>45962</v>
      </c>
      <c r="K135" s="57" t="s">
        <v>78</v>
      </c>
      <c r="L135" s="60">
        <v>483.42</v>
      </c>
      <c r="M135" s="57" t="s">
        <v>130</v>
      </c>
      <c r="N135" s="57"/>
      <c r="O135" s="61">
        <v>4.2500000000000003E-2</v>
      </c>
      <c r="P135" s="60">
        <v>20.54</v>
      </c>
      <c r="Q135" s="59">
        <v>45931</v>
      </c>
      <c r="R135" s="57" t="s">
        <v>396</v>
      </c>
      <c r="S135" s="52"/>
    </row>
    <row r="136" spans="1:19" ht="15" customHeight="1" x14ac:dyDescent="0.3">
      <c r="A136" s="57" t="s">
        <v>370</v>
      </c>
      <c r="B136" s="2">
        <v>6634327</v>
      </c>
      <c r="C136" s="57" t="s">
        <v>601</v>
      </c>
      <c r="D136" s="57" t="s">
        <v>602</v>
      </c>
      <c r="E136" s="2" t="str">
        <f t="shared" si="4"/>
        <v>DANIELLE LANGFIELD</v>
      </c>
      <c r="F136" s="58">
        <v>803063060001</v>
      </c>
      <c r="G136" s="58">
        <v>803063060001</v>
      </c>
      <c r="H136" s="57" t="s">
        <v>80</v>
      </c>
      <c r="I136" s="57" t="s">
        <v>79</v>
      </c>
      <c r="J136" s="59">
        <v>45992</v>
      </c>
      <c r="K136" s="57" t="s">
        <v>78</v>
      </c>
      <c r="L136" s="60">
        <v>483.42</v>
      </c>
      <c r="M136" s="57" t="s">
        <v>130</v>
      </c>
      <c r="N136" s="57"/>
      <c r="O136" s="61">
        <v>4.2500000000000003E-2</v>
      </c>
      <c r="P136" s="60">
        <v>20.55</v>
      </c>
      <c r="Q136" s="59">
        <v>45931</v>
      </c>
      <c r="R136" s="57" t="s">
        <v>396</v>
      </c>
      <c r="S136" s="52"/>
    </row>
    <row r="137" spans="1:19" ht="15" customHeight="1" x14ac:dyDescent="0.3">
      <c r="A137" s="57" t="s">
        <v>370</v>
      </c>
      <c r="B137" s="2">
        <v>6634327</v>
      </c>
      <c r="C137" s="57" t="s">
        <v>601</v>
      </c>
      <c r="D137" s="57" t="s">
        <v>602</v>
      </c>
      <c r="E137" s="2" t="str">
        <f t="shared" si="4"/>
        <v>DANIELLE LANGFIELD</v>
      </c>
      <c r="F137" s="58">
        <v>803063060001</v>
      </c>
      <c r="G137" s="58" t="str">
        <f t="shared" si="5"/>
        <v>8030630600010</v>
      </c>
      <c r="H137" s="57" t="s">
        <v>80</v>
      </c>
      <c r="I137" s="57" t="s">
        <v>79</v>
      </c>
      <c r="J137" s="59">
        <v>46023</v>
      </c>
      <c r="K137" s="57" t="s">
        <v>78</v>
      </c>
      <c r="L137" s="2">
        <v>1</v>
      </c>
      <c r="M137" s="57" t="s">
        <v>77</v>
      </c>
      <c r="N137" s="57"/>
      <c r="O137" s="60">
        <v>23</v>
      </c>
      <c r="P137" s="60">
        <v>23</v>
      </c>
      <c r="Q137" s="59">
        <v>45931</v>
      </c>
      <c r="R137" s="57" t="s">
        <v>402</v>
      </c>
      <c r="S137" s="46"/>
    </row>
    <row r="138" spans="1:19" ht="15" customHeight="1" x14ac:dyDescent="0.3">
      <c r="A138" s="57" t="s">
        <v>370</v>
      </c>
      <c r="B138" s="2">
        <v>6634327</v>
      </c>
      <c r="C138" s="57" t="s">
        <v>601</v>
      </c>
      <c r="D138" s="57" t="s">
        <v>602</v>
      </c>
      <c r="E138" s="2" t="str">
        <f t="shared" si="4"/>
        <v>DANIELLE LANGFIELD</v>
      </c>
      <c r="F138" s="58">
        <v>803063060001</v>
      </c>
      <c r="G138" s="58" t="str">
        <f t="shared" si="5"/>
        <v>8030630600010</v>
      </c>
      <c r="H138" s="57" t="s">
        <v>80</v>
      </c>
      <c r="I138" s="57" t="s">
        <v>79</v>
      </c>
      <c r="J138" s="59">
        <v>46054</v>
      </c>
      <c r="K138" s="57" t="s">
        <v>78</v>
      </c>
      <c r="L138" s="2">
        <v>1</v>
      </c>
      <c r="M138" s="57" t="s">
        <v>77</v>
      </c>
      <c r="N138" s="57"/>
      <c r="O138" s="60">
        <v>23</v>
      </c>
      <c r="P138" s="60">
        <v>23</v>
      </c>
      <c r="Q138" s="59">
        <v>45931</v>
      </c>
      <c r="R138" s="57" t="s">
        <v>402</v>
      </c>
      <c r="S138" s="46"/>
    </row>
    <row r="139" spans="1:19" ht="15" customHeight="1" x14ac:dyDescent="0.3">
      <c r="A139" s="57" t="s">
        <v>370</v>
      </c>
      <c r="B139" s="2">
        <v>6634327</v>
      </c>
      <c r="C139" s="57" t="s">
        <v>601</v>
      </c>
      <c r="D139" s="57" t="s">
        <v>602</v>
      </c>
      <c r="E139" s="2" t="str">
        <f t="shared" si="4"/>
        <v>DANIELLE LANGFIELD</v>
      </c>
      <c r="F139" s="58">
        <v>803063060001</v>
      </c>
      <c r="G139" s="58" t="str">
        <f t="shared" si="5"/>
        <v>8030630600010</v>
      </c>
      <c r="H139" s="57" t="s">
        <v>80</v>
      </c>
      <c r="I139" s="57" t="s">
        <v>79</v>
      </c>
      <c r="J139" s="59">
        <v>46082</v>
      </c>
      <c r="K139" s="57" t="s">
        <v>78</v>
      </c>
      <c r="L139" s="2">
        <v>1</v>
      </c>
      <c r="M139" s="57" t="s">
        <v>77</v>
      </c>
      <c r="N139" s="57"/>
      <c r="O139" s="60">
        <v>23</v>
      </c>
      <c r="P139" s="60">
        <v>23</v>
      </c>
      <c r="Q139" s="59">
        <v>45931</v>
      </c>
      <c r="R139" s="57" t="s">
        <v>402</v>
      </c>
      <c r="S139" s="46"/>
    </row>
    <row r="140" spans="1:19" ht="15" customHeight="1" x14ac:dyDescent="0.3">
      <c r="A140" s="57" t="s">
        <v>370</v>
      </c>
      <c r="B140" s="2">
        <v>6634327</v>
      </c>
      <c r="C140" s="57" t="s">
        <v>601</v>
      </c>
      <c r="D140" s="57" t="s">
        <v>602</v>
      </c>
      <c r="E140" s="2" t="str">
        <f t="shared" si="4"/>
        <v>DANIELLE LANGFIELD</v>
      </c>
      <c r="F140" s="58">
        <v>803063060001</v>
      </c>
      <c r="G140" s="58" t="str">
        <f t="shared" si="5"/>
        <v>8030630600010</v>
      </c>
      <c r="H140" s="57" t="s">
        <v>80</v>
      </c>
      <c r="I140" s="57" t="s">
        <v>79</v>
      </c>
      <c r="J140" s="59">
        <v>46113</v>
      </c>
      <c r="K140" s="57" t="s">
        <v>78</v>
      </c>
      <c r="L140" s="2">
        <v>1</v>
      </c>
      <c r="M140" s="57" t="s">
        <v>77</v>
      </c>
      <c r="N140" s="57"/>
      <c r="O140" s="60">
        <v>23</v>
      </c>
      <c r="P140" s="60">
        <v>23</v>
      </c>
      <c r="Q140" s="59">
        <v>45931</v>
      </c>
      <c r="R140" s="57" t="s">
        <v>402</v>
      </c>
      <c r="S140" s="46"/>
    </row>
    <row r="141" spans="1:19" ht="15" customHeight="1" x14ac:dyDescent="0.3">
      <c r="A141" s="2" t="s">
        <v>370</v>
      </c>
      <c r="B141" s="2">
        <v>6634327</v>
      </c>
      <c r="C141" s="2" t="s">
        <v>603</v>
      </c>
      <c r="D141" s="2" t="s">
        <v>477</v>
      </c>
      <c r="E141" s="2" t="str">
        <f t="shared" si="4"/>
        <v>DAVID LAVIGNE</v>
      </c>
      <c r="F141" s="45">
        <v>803467664001</v>
      </c>
      <c r="G141" s="45" t="str">
        <f t="shared" si="5"/>
        <v>8034676640010</v>
      </c>
      <c r="H141" s="2" t="s">
        <v>80</v>
      </c>
      <c r="I141" s="2" t="s">
        <v>79</v>
      </c>
      <c r="J141" s="51">
        <v>46113</v>
      </c>
      <c r="K141" s="2" t="s">
        <v>78</v>
      </c>
      <c r="L141" s="2">
        <v>1</v>
      </c>
      <c r="M141" s="2" t="s">
        <v>77</v>
      </c>
      <c r="N141" s="2" t="s">
        <v>398</v>
      </c>
      <c r="O141" s="3">
        <v>23</v>
      </c>
      <c r="P141" s="3">
        <v>46</v>
      </c>
      <c r="Q141" s="51">
        <v>46023</v>
      </c>
      <c r="R141" s="2" t="s">
        <v>402</v>
      </c>
      <c r="S141" s="46"/>
    </row>
    <row r="142" spans="1:19" ht="15" customHeight="1" x14ac:dyDescent="0.3">
      <c r="A142" s="2" t="s">
        <v>370</v>
      </c>
      <c r="B142" s="2">
        <v>6634327</v>
      </c>
      <c r="C142" s="2" t="s">
        <v>604</v>
      </c>
      <c r="D142" s="2" t="s">
        <v>605</v>
      </c>
      <c r="E142" s="2" t="str">
        <f t="shared" si="4"/>
        <v>TINA LUKENBILL</v>
      </c>
      <c r="F142" s="45">
        <v>802896503001</v>
      </c>
      <c r="G142" s="45" t="str">
        <f t="shared" si="5"/>
        <v>8028965030010</v>
      </c>
      <c r="H142" s="2" t="s">
        <v>80</v>
      </c>
      <c r="I142" s="2" t="s">
        <v>79</v>
      </c>
      <c r="J142" s="51">
        <v>46054</v>
      </c>
      <c r="K142" s="2" t="s">
        <v>78</v>
      </c>
      <c r="L142" s="2">
        <v>1</v>
      </c>
      <c r="M142" s="2" t="s">
        <v>77</v>
      </c>
      <c r="N142" s="2"/>
      <c r="O142" s="3">
        <v>23</v>
      </c>
      <c r="P142" s="3">
        <v>23</v>
      </c>
      <c r="Q142" s="51">
        <v>46023</v>
      </c>
      <c r="R142" s="2" t="s">
        <v>402</v>
      </c>
      <c r="S142" s="46"/>
    </row>
    <row r="143" spans="1:19" ht="15" customHeight="1" x14ac:dyDescent="0.3">
      <c r="A143" s="2" t="s">
        <v>370</v>
      </c>
      <c r="B143" s="2">
        <v>6634327</v>
      </c>
      <c r="C143" s="2" t="s">
        <v>604</v>
      </c>
      <c r="D143" s="2" t="s">
        <v>605</v>
      </c>
      <c r="E143" s="2" t="str">
        <f t="shared" si="4"/>
        <v>TINA LUKENBILL</v>
      </c>
      <c r="F143" s="45">
        <v>802896503001</v>
      </c>
      <c r="G143" s="45" t="str">
        <f t="shared" si="5"/>
        <v>8028965030010</v>
      </c>
      <c r="H143" s="2" t="s">
        <v>80</v>
      </c>
      <c r="I143" s="2" t="s">
        <v>79</v>
      </c>
      <c r="J143" s="51">
        <v>46082</v>
      </c>
      <c r="K143" s="2" t="s">
        <v>78</v>
      </c>
      <c r="L143" s="2">
        <v>1</v>
      </c>
      <c r="M143" s="2" t="s">
        <v>77</v>
      </c>
      <c r="N143" s="2"/>
      <c r="O143" s="3">
        <v>23</v>
      </c>
      <c r="P143" s="3">
        <v>23</v>
      </c>
      <c r="Q143" s="51">
        <v>46023</v>
      </c>
      <c r="R143" s="2" t="s">
        <v>402</v>
      </c>
      <c r="S143" s="46"/>
    </row>
    <row r="144" spans="1:19" ht="15" customHeight="1" x14ac:dyDescent="0.3">
      <c r="A144" s="2" t="s">
        <v>370</v>
      </c>
      <c r="B144" s="2">
        <v>6634327</v>
      </c>
      <c r="C144" s="2" t="s">
        <v>604</v>
      </c>
      <c r="D144" s="2" t="s">
        <v>605</v>
      </c>
      <c r="E144" s="2" t="str">
        <f t="shared" si="4"/>
        <v>TINA LUKENBILL</v>
      </c>
      <c r="F144" s="45">
        <v>802896503001</v>
      </c>
      <c r="G144" s="45" t="str">
        <f t="shared" si="5"/>
        <v>8028965030010</v>
      </c>
      <c r="H144" s="2" t="s">
        <v>80</v>
      </c>
      <c r="I144" s="2" t="s">
        <v>79</v>
      </c>
      <c r="J144" s="51">
        <v>46113</v>
      </c>
      <c r="K144" s="2" t="s">
        <v>78</v>
      </c>
      <c r="L144" s="2">
        <v>1</v>
      </c>
      <c r="M144" s="2" t="s">
        <v>77</v>
      </c>
      <c r="N144" s="2"/>
      <c r="O144" s="3">
        <v>23</v>
      </c>
      <c r="P144" s="3">
        <v>23</v>
      </c>
      <c r="Q144" s="51">
        <v>46023</v>
      </c>
      <c r="R144" s="2" t="s">
        <v>402</v>
      </c>
      <c r="S144" s="46"/>
    </row>
    <row r="145" spans="1:19" ht="15" customHeight="1" x14ac:dyDescent="0.3">
      <c r="A145" s="2" t="s">
        <v>370</v>
      </c>
      <c r="B145" s="2">
        <v>6634327</v>
      </c>
      <c r="C145" s="2" t="s">
        <v>606</v>
      </c>
      <c r="D145" s="2" t="s">
        <v>607</v>
      </c>
      <c r="E145" s="2" t="str">
        <f t="shared" si="4"/>
        <v>ALEXANDRIA MOFFETT</v>
      </c>
      <c r="F145" s="45">
        <v>803535170001</v>
      </c>
      <c r="G145" s="45" t="str">
        <f t="shared" si="5"/>
        <v>8035351700010</v>
      </c>
      <c r="H145" s="2" t="s">
        <v>80</v>
      </c>
      <c r="I145" s="2" t="s">
        <v>79</v>
      </c>
      <c r="J145" s="51">
        <v>46113</v>
      </c>
      <c r="K145" s="2" t="s">
        <v>78</v>
      </c>
      <c r="L145" s="2">
        <v>1</v>
      </c>
      <c r="M145" s="2" t="s">
        <v>77</v>
      </c>
      <c r="N145" s="2"/>
      <c r="O145" s="3">
        <v>23</v>
      </c>
      <c r="P145" s="3">
        <v>23</v>
      </c>
      <c r="Q145" s="51">
        <v>46023</v>
      </c>
      <c r="R145" s="2" t="s">
        <v>402</v>
      </c>
      <c r="S145" s="46"/>
    </row>
    <row r="146" spans="1:19" ht="15" customHeight="1" x14ac:dyDescent="0.3">
      <c r="A146" s="2" t="s">
        <v>370</v>
      </c>
      <c r="B146" s="2">
        <v>6634327</v>
      </c>
      <c r="C146" s="2" t="s">
        <v>608</v>
      </c>
      <c r="D146" s="2" t="s">
        <v>609</v>
      </c>
      <c r="E146" s="2" t="str">
        <f t="shared" si="4"/>
        <v>STEVIE SCAVO</v>
      </c>
      <c r="F146" s="45">
        <v>803541727001</v>
      </c>
      <c r="G146" s="45" t="str">
        <f t="shared" si="5"/>
        <v>8035417270010</v>
      </c>
      <c r="H146" s="2" t="s">
        <v>80</v>
      </c>
      <c r="I146" s="2" t="s">
        <v>79</v>
      </c>
      <c r="J146" s="51">
        <v>46082</v>
      </c>
      <c r="K146" s="2" t="s">
        <v>78</v>
      </c>
      <c r="L146" s="2">
        <v>1</v>
      </c>
      <c r="M146" s="2" t="s">
        <v>77</v>
      </c>
      <c r="N146" s="2"/>
      <c r="O146" s="3">
        <v>23</v>
      </c>
      <c r="P146" s="3">
        <v>23</v>
      </c>
      <c r="Q146" s="51">
        <v>46023</v>
      </c>
      <c r="R146" s="2" t="s">
        <v>402</v>
      </c>
      <c r="S146" s="46"/>
    </row>
    <row r="147" spans="1:19" ht="15" customHeight="1" x14ac:dyDescent="0.3">
      <c r="A147" s="2" t="s">
        <v>370</v>
      </c>
      <c r="B147" s="2">
        <v>6634327</v>
      </c>
      <c r="C147" s="2" t="s">
        <v>608</v>
      </c>
      <c r="D147" s="2" t="s">
        <v>609</v>
      </c>
      <c r="E147" s="2" t="str">
        <f t="shared" si="4"/>
        <v>STEVIE SCAVO</v>
      </c>
      <c r="F147" s="45">
        <v>803541727001</v>
      </c>
      <c r="G147" s="45" t="str">
        <f t="shared" si="5"/>
        <v>8035417270010</v>
      </c>
      <c r="H147" s="2" t="s">
        <v>80</v>
      </c>
      <c r="I147" s="2" t="s">
        <v>79</v>
      </c>
      <c r="J147" s="51">
        <v>46113</v>
      </c>
      <c r="K147" s="2" t="s">
        <v>78</v>
      </c>
      <c r="L147" s="2">
        <v>1</v>
      </c>
      <c r="M147" s="2" t="s">
        <v>77</v>
      </c>
      <c r="N147" s="2"/>
      <c r="O147" s="3">
        <v>23</v>
      </c>
      <c r="P147" s="3">
        <v>23</v>
      </c>
      <c r="Q147" s="51">
        <v>46023</v>
      </c>
      <c r="R147" s="2" t="s">
        <v>402</v>
      </c>
      <c r="S147" s="46"/>
    </row>
    <row r="148" spans="1:19" ht="15" customHeight="1" x14ac:dyDescent="0.3">
      <c r="A148" s="2" t="s">
        <v>370</v>
      </c>
      <c r="B148" s="2">
        <v>6634327</v>
      </c>
      <c r="C148" s="2" t="s">
        <v>610</v>
      </c>
      <c r="D148" s="2" t="s">
        <v>417</v>
      </c>
      <c r="E148" s="2" t="str">
        <f t="shared" si="4"/>
        <v>THOMAS SCHWAPPACH</v>
      </c>
      <c r="F148" s="45">
        <v>802968815001</v>
      </c>
      <c r="G148" s="45" t="str">
        <f t="shared" si="5"/>
        <v>8029688150010</v>
      </c>
      <c r="H148" s="2" t="s">
        <v>80</v>
      </c>
      <c r="I148" s="2" t="s">
        <v>79</v>
      </c>
      <c r="J148" s="51">
        <v>46082</v>
      </c>
      <c r="K148" s="2" t="s">
        <v>78</v>
      </c>
      <c r="L148" s="2">
        <v>1</v>
      </c>
      <c r="M148" s="2" t="s">
        <v>77</v>
      </c>
      <c r="N148" s="2"/>
      <c r="O148" s="3">
        <v>23</v>
      </c>
      <c r="P148" s="3">
        <v>23</v>
      </c>
      <c r="Q148" s="51">
        <v>46023</v>
      </c>
      <c r="R148" s="2" t="s">
        <v>402</v>
      </c>
      <c r="S148" s="46"/>
    </row>
    <row r="149" spans="1:19" ht="15" customHeight="1" x14ac:dyDescent="0.3">
      <c r="A149" s="2" t="s">
        <v>370</v>
      </c>
      <c r="B149" s="2">
        <v>6634327</v>
      </c>
      <c r="C149" s="2" t="s">
        <v>610</v>
      </c>
      <c r="D149" s="2" t="s">
        <v>417</v>
      </c>
      <c r="E149" s="2" t="str">
        <f t="shared" si="4"/>
        <v>THOMAS SCHWAPPACH</v>
      </c>
      <c r="F149" s="45">
        <v>802968815001</v>
      </c>
      <c r="G149" s="45" t="str">
        <f t="shared" si="5"/>
        <v>8029688150010</v>
      </c>
      <c r="H149" s="2" t="s">
        <v>80</v>
      </c>
      <c r="I149" s="2" t="s">
        <v>79</v>
      </c>
      <c r="J149" s="51">
        <v>46113</v>
      </c>
      <c r="K149" s="2" t="s">
        <v>78</v>
      </c>
      <c r="L149" s="2">
        <v>1</v>
      </c>
      <c r="M149" s="2" t="s">
        <v>77</v>
      </c>
      <c r="N149" s="2"/>
      <c r="O149" s="3">
        <v>23</v>
      </c>
      <c r="P149" s="3">
        <v>23</v>
      </c>
      <c r="Q149" s="51">
        <v>46023</v>
      </c>
      <c r="R149" s="2" t="s">
        <v>402</v>
      </c>
      <c r="S149" s="46"/>
    </row>
    <row r="150" spans="1:19" ht="15" customHeight="1" x14ac:dyDescent="0.3">
      <c r="A150" s="2" t="s">
        <v>370</v>
      </c>
      <c r="B150" s="2">
        <v>6634327</v>
      </c>
      <c r="C150" s="2" t="s">
        <v>611</v>
      </c>
      <c r="D150" s="2" t="s">
        <v>612</v>
      </c>
      <c r="E150" s="2" t="str">
        <f t="shared" si="4"/>
        <v>ANAYATULLAH SHAH</v>
      </c>
      <c r="F150" s="45">
        <v>803531919001</v>
      </c>
      <c r="G150" s="45" t="str">
        <f t="shared" si="5"/>
        <v>8035319190010</v>
      </c>
      <c r="H150" s="2" t="s">
        <v>80</v>
      </c>
      <c r="I150" s="2" t="s">
        <v>79</v>
      </c>
      <c r="J150" s="51">
        <v>46113</v>
      </c>
      <c r="K150" s="2" t="s">
        <v>78</v>
      </c>
      <c r="L150" s="2">
        <v>1</v>
      </c>
      <c r="M150" s="2" t="s">
        <v>77</v>
      </c>
      <c r="N150" s="2" t="s">
        <v>400</v>
      </c>
      <c r="O150" s="3">
        <v>23</v>
      </c>
      <c r="P150" s="3">
        <v>92</v>
      </c>
      <c r="Q150" s="51">
        <v>46023</v>
      </c>
      <c r="R150" s="2" t="s">
        <v>402</v>
      </c>
      <c r="S150" s="46"/>
    </row>
    <row r="151" spans="1:19" ht="15" customHeight="1" x14ac:dyDescent="0.3">
      <c r="A151" s="2" t="s">
        <v>370</v>
      </c>
      <c r="B151" s="2">
        <v>6634327</v>
      </c>
      <c r="C151" s="2" t="s">
        <v>413</v>
      </c>
      <c r="D151" s="2" t="s">
        <v>613</v>
      </c>
      <c r="E151" s="2" t="str">
        <f t="shared" si="4"/>
        <v>RUSSELL SMITH</v>
      </c>
      <c r="F151" s="45">
        <v>803467543001</v>
      </c>
      <c r="G151" s="45" t="str">
        <f t="shared" si="5"/>
        <v>8034675430010</v>
      </c>
      <c r="H151" s="2" t="s">
        <v>80</v>
      </c>
      <c r="I151" s="2" t="s">
        <v>79</v>
      </c>
      <c r="J151" s="51">
        <v>46113</v>
      </c>
      <c r="K151" s="2" t="s">
        <v>78</v>
      </c>
      <c r="L151" s="2">
        <v>1</v>
      </c>
      <c r="M151" s="2" t="s">
        <v>77</v>
      </c>
      <c r="N151" s="2" t="s">
        <v>398</v>
      </c>
      <c r="O151" s="3">
        <v>23</v>
      </c>
      <c r="P151" s="3">
        <v>46</v>
      </c>
      <c r="Q151" s="51">
        <v>46023</v>
      </c>
      <c r="R151" s="2" t="s">
        <v>402</v>
      </c>
      <c r="S151" s="46"/>
    </row>
    <row r="152" spans="1:19" ht="15" customHeight="1" x14ac:dyDescent="0.3">
      <c r="A152" s="2" t="s">
        <v>370</v>
      </c>
      <c r="B152" s="2">
        <v>6634327</v>
      </c>
      <c r="C152" s="2" t="s">
        <v>614</v>
      </c>
      <c r="D152" s="2" t="s">
        <v>615</v>
      </c>
      <c r="E152" s="2" t="str">
        <f t="shared" si="4"/>
        <v>TONY SULLIVAN</v>
      </c>
      <c r="F152" s="45">
        <v>802927503001</v>
      </c>
      <c r="G152" s="45" t="str">
        <f t="shared" si="5"/>
        <v>8029275030010</v>
      </c>
      <c r="H152" s="2" t="s">
        <v>80</v>
      </c>
      <c r="I152" s="2" t="s">
        <v>79</v>
      </c>
      <c r="J152" s="51">
        <v>46023</v>
      </c>
      <c r="K152" s="2" t="s">
        <v>78</v>
      </c>
      <c r="L152" s="2">
        <v>1</v>
      </c>
      <c r="M152" s="2" t="s">
        <v>77</v>
      </c>
      <c r="N152" s="2" t="s">
        <v>398</v>
      </c>
      <c r="O152" s="3">
        <v>23</v>
      </c>
      <c r="P152" s="3">
        <v>46</v>
      </c>
      <c r="Q152" s="51">
        <v>46023</v>
      </c>
      <c r="R152" s="2" t="s">
        <v>402</v>
      </c>
      <c r="S152" s="46"/>
    </row>
    <row r="153" spans="1:19" ht="15" customHeight="1" x14ac:dyDescent="0.3">
      <c r="A153" s="2" t="s">
        <v>370</v>
      </c>
      <c r="B153" s="2">
        <v>6634327</v>
      </c>
      <c r="C153" s="2" t="s">
        <v>614</v>
      </c>
      <c r="D153" s="2" t="s">
        <v>615</v>
      </c>
      <c r="E153" s="2" t="str">
        <f t="shared" si="4"/>
        <v>TONY SULLIVAN</v>
      </c>
      <c r="F153" s="45">
        <v>802927503001</v>
      </c>
      <c r="G153" s="45" t="str">
        <f t="shared" si="5"/>
        <v>8029275030010</v>
      </c>
      <c r="H153" s="2" t="s">
        <v>80</v>
      </c>
      <c r="I153" s="2" t="s">
        <v>79</v>
      </c>
      <c r="J153" s="51">
        <v>46054</v>
      </c>
      <c r="K153" s="2" t="s">
        <v>78</v>
      </c>
      <c r="L153" s="2">
        <v>1</v>
      </c>
      <c r="M153" s="2" t="s">
        <v>77</v>
      </c>
      <c r="N153" s="2" t="s">
        <v>398</v>
      </c>
      <c r="O153" s="3">
        <v>23</v>
      </c>
      <c r="P153" s="3">
        <v>46</v>
      </c>
      <c r="Q153" s="51">
        <v>46023</v>
      </c>
      <c r="R153" s="2" t="s">
        <v>402</v>
      </c>
      <c r="S153" s="46"/>
    </row>
    <row r="154" spans="1:19" ht="15" customHeight="1" x14ac:dyDescent="0.3">
      <c r="A154" s="2" t="s">
        <v>370</v>
      </c>
      <c r="B154" s="2">
        <v>6634327</v>
      </c>
      <c r="C154" s="2" t="s">
        <v>614</v>
      </c>
      <c r="D154" s="2" t="s">
        <v>615</v>
      </c>
      <c r="E154" s="2" t="str">
        <f t="shared" si="4"/>
        <v>TONY SULLIVAN</v>
      </c>
      <c r="F154" s="45">
        <v>802927503001</v>
      </c>
      <c r="G154" s="45" t="str">
        <f t="shared" si="5"/>
        <v>8029275030010</v>
      </c>
      <c r="H154" s="2" t="s">
        <v>80</v>
      </c>
      <c r="I154" s="2" t="s">
        <v>79</v>
      </c>
      <c r="J154" s="51">
        <v>46082</v>
      </c>
      <c r="K154" s="2" t="s">
        <v>78</v>
      </c>
      <c r="L154" s="2">
        <v>1</v>
      </c>
      <c r="M154" s="2" t="s">
        <v>77</v>
      </c>
      <c r="N154" s="2" t="s">
        <v>398</v>
      </c>
      <c r="O154" s="3">
        <v>23</v>
      </c>
      <c r="P154" s="3">
        <v>46</v>
      </c>
      <c r="Q154" s="51">
        <v>46023</v>
      </c>
      <c r="R154" s="2" t="s">
        <v>402</v>
      </c>
      <c r="S154" s="46"/>
    </row>
    <row r="155" spans="1:19" ht="15" customHeight="1" x14ac:dyDescent="0.3">
      <c r="A155" s="2" t="s">
        <v>370</v>
      </c>
      <c r="B155" s="2">
        <v>6634327</v>
      </c>
      <c r="C155" s="2" t="s">
        <v>614</v>
      </c>
      <c r="D155" s="2" t="s">
        <v>615</v>
      </c>
      <c r="E155" s="2" t="str">
        <f t="shared" si="4"/>
        <v>TONY SULLIVAN</v>
      </c>
      <c r="F155" s="45">
        <v>802927503001</v>
      </c>
      <c r="G155" s="45" t="str">
        <f t="shared" si="5"/>
        <v>8029275030010</v>
      </c>
      <c r="H155" s="2" t="s">
        <v>80</v>
      </c>
      <c r="I155" s="2" t="s">
        <v>79</v>
      </c>
      <c r="J155" s="51">
        <v>46113</v>
      </c>
      <c r="K155" s="2" t="s">
        <v>78</v>
      </c>
      <c r="L155" s="2">
        <v>1</v>
      </c>
      <c r="M155" s="2" t="s">
        <v>77</v>
      </c>
      <c r="N155" s="2" t="s">
        <v>398</v>
      </c>
      <c r="O155" s="3">
        <v>23</v>
      </c>
      <c r="P155" s="3">
        <v>46</v>
      </c>
      <c r="Q155" s="51">
        <v>46023</v>
      </c>
      <c r="R155" s="2" t="s">
        <v>402</v>
      </c>
      <c r="S155" s="46"/>
    </row>
    <row r="156" spans="1:19" ht="15" customHeight="1" x14ac:dyDescent="0.3">
      <c r="A156" s="2" t="s">
        <v>370</v>
      </c>
      <c r="B156" s="2">
        <v>6634327</v>
      </c>
      <c r="C156" s="2" t="s">
        <v>616</v>
      </c>
      <c r="D156" s="2" t="s">
        <v>617</v>
      </c>
      <c r="E156" s="2" t="str">
        <f t="shared" si="4"/>
        <v>MARY TAUNTON</v>
      </c>
      <c r="F156" s="45">
        <v>803167370001</v>
      </c>
      <c r="G156" s="45" t="str">
        <f t="shared" si="5"/>
        <v>8031673700010</v>
      </c>
      <c r="H156" s="2" t="s">
        <v>80</v>
      </c>
      <c r="I156" s="2" t="s">
        <v>79</v>
      </c>
      <c r="J156" s="51">
        <v>46023</v>
      </c>
      <c r="K156" s="2" t="s">
        <v>78</v>
      </c>
      <c r="L156" s="2">
        <v>1</v>
      </c>
      <c r="M156" s="2" t="s">
        <v>77</v>
      </c>
      <c r="N156" s="2"/>
      <c r="O156" s="3">
        <v>23</v>
      </c>
      <c r="P156" s="3">
        <v>23</v>
      </c>
      <c r="Q156" s="51">
        <v>46023</v>
      </c>
      <c r="R156" s="2" t="s">
        <v>402</v>
      </c>
      <c r="S156" s="46"/>
    </row>
    <row r="157" spans="1:19" ht="15" customHeight="1" x14ac:dyDescent="0.3">
      <c r="A157" s="2" t="s">
        <v>370</v>
      </c>
      <c r="B157" s="2">
        <v>6634327</v>
      </c>
      <c r="C157" s="2" t="s">
        <v>618</v>
      </c>
      <c r="D157" s="2" t="s">
        <v>619</v>
      </c>
      <c r="E157" s="2" t="str">
        <f t="shared" si="4"/>
        <v>TEMPLE TRIGG</v>
      </c>
      <c r="F157" s="45">
        <v>802875118001</v>
      </c>
      <c r="G157" s="45" t="str">
        <f t="shared" si="5"/>
        <v>8028751180010</v>
      </c>
      <c r="H157" s="2" t="s">
        <v>80</v>
      </c>
      <c r="I157" s="2" t="s">
        <v>79</v>
      </c>
      <c r="J157" s="51">
        <v>46023</v>
      </c>
      <c r="K157" s="2" t="s">
        <v>78</v>
      </c>
      <c r="L157" s="2">
        <v>1</v>
      </c>
      <c r="M157" s="2" t="s">
        <v>77</v>
      </c>
      <c r="N157" s="2"/>
      <c r="O157" s="3">
        <v>23</v>
      </c>
      <c r="P157" s="3">
        <v>23</v>
      </c>
      <c r="Q157" s="51">
        <v>46023</v>
      </c>
      <c r="R157" s="2" t="s">
        <v>402</v>
      </c>
      <c r="S157" s="46"/>
    </row>
    <row r="158" spans="1:19" ht="15" customHeight="1" x14ac:dyDescent="0.3">
      <c r="A158" s="2" t="s">
        <v>370</v>
      </c>
      <c r="B158" s="2">
        <v>6634327</v>
      </c>
      <c r="C158" s="2" t="s">
        <v>618</v>
      </c>
      <c r="D158" s="2" t="s">
        <v>619</v>
      </c>
      <c r="E158" s="2" t="str">
        <f t="shared" si="4"/>
        <v>TEMPLE TRIGG</v>
      </c>
      <c r="F158" s="45">
        <v>802875118001</v>
      </c>
      <c r="G158" s="45" t="str">
        <f t="shared" si="5"/>
        <v>8028751180010</v>
      </c>
      <c r="H158" s="2" t="s">
        <v>80</v>
      </c>
      <c r="I158" s="2" t="s">
        <v>79</v>
      </c>
      <c r="J158" s="51">
        <v>46054</v>
      </c>
      <c r="K158" s="2" t="s">
        <v>78</v>
      </c>
      <c r="L158" s="2">
        <v>1</v>
      </c>
      <c r="M158" s="2" t="s">
        <v>77</v>
      </c>
      <c r="N158" s="2"/>
      <c r="O158" s="3">
        <v>23</v>
      </c>
      <c r="P158" s="3">
        <v>23</v>
      </c>
      <c r="Q158" s="51">
        <v>46023</v>
      </c>
      <c r="R158" s="2" t="s">
        <v>402</v>
      </c>
      <c r="S158" s="46"/>
    </row>
    <row r="159" spans="1:19" ht="15" customHeight="1" x14ac:dyDescent="0.3">
      <c r="A159" s="2" t="s">
        <v>370</v>
      </c>
      <c r="B159" s="2">
        <v>6634327</v>
      </c>
      <c r="C159" s="2" t="s">
        <v>618</v>
      </c>
      <c r="D159" s="2" t="s">
        <v>619</v>
      </c>
      <c r="E159" s="2" t="str">
        <f t="shared" si="4"/>
        <v>TEMPLE TRIGG</v>
      </c>
      <c r="F159" s="45">
        <v>802875118001</v>
      </c>
      <c r="G159" s="45" t="str">
        <f t="shared" si="5"/>
        <v>8028751180010</v>
      </c>
      <c r="H159" s="2" t="s">
        <v>80</v>
      </c>
      <c r="I159" s="2" t="s">
        <v>79</v>
      </c>
      <c r="J159" s="51">
        <v>46082</v>
      </c>
      <c r="K159" s="2" t="s">
        <v>78</v>
      </c>
      <c r="L159" s="2">
        <v>1</v>
      </c>
      <c r="M159" s="2" t="s">
        <v>77</v>
      </c>
      <c r="N159" s="2"/>
      <c r="O159" s="3">
        <v>23</v>
      </c>
      <c r="P159" s="3">
        <v>23</v>
      </c>
      <c r="Q159" s="51">
        <v>46023</v>
      </c>
      <c r="R159" s="2" t="s">
        <v>402</v>
      </c>
      <c r="S159" s="46"/>
    </row>
    <row r="160" spans="1:19" ht="15" customHeight="1" x14ac:dyDescent="0.3">
      <c r="A160" s="2" t="s">
        <v>370</v>
      </c>
      <c r="B160" s="2">
        <v>6634327</v>
      </c>
      <c r="C160" s="2" t="s">
        <v>618</v>
      </c>
      <c r="D160" s="2" t="s">
        <v>619</v>
      </c>
      <c r="E160" s="2" t="str">
        <f t="shared" si="4"/>
        <v>TEMPLE TRIGG</v>
      </c>
      <c r="F160" s="45">
        <v>802875118001</v>
      </c>
      <c r="G160" s="45" t="str">
        <f t="shared" si="5"/>
        <v>8028751180010</v>
      </c>
      <c r="H160" s="2" t="s">
        <v>80</v>
      </c>
      <c r="I160" s="2" t="s">
        <v>79</v>
      </c>
      <c r="J160" s="51">
        <v>46113</v>
      </c>
      <c r="K160" s="2" t="s">
        <v>78</v>
      </c>
      <c r="L160" s="2">
        <v>1</v>
      </c>
      <c r="M160" s="2" t="s">
        <v>77</v>
      </c>
      <c r="N160" s="2"/>
      <c r="O160" s="3">
        <v>23</v>
      </c>
      <c r="P160" s="3">
        <v>23</v>
      </c>
      <c r="Q160" s="51">
        <v>46023</v>
      </c>
      <c r="R160" s="2" t="s">
        <v>402</v>
      </c>
      <c r="S160" s="46"/>
    </row>
    <row r="161" spans="1:19" ht="15" customHeight="1" x14ac:dyDescent="0.3">
      <c r="A161" s="2" t="s">
        <v>370</v>
      </c>
      <c r="B161" s="2">
        <v>6634327</v>
      </c>
      <c r="C161" s="2" t="s">
        <v>620</v>
      </c>
      <c r="D161" s="2" t="s">
        <v>621</v>
      </c>
      <c r="E161" s="2" t="str">
        <f t="shared" si="4"/>
        <v>KARIN VAN</v>
      </c>
      <c r="F161" s="45">
        <v>803185137001</v>
      </c>
      <c r="G161" s="45" t="str">
        <f t="shared" si="5"/>
        <v>8031851370010</v>
      </c>
      <c r="H161" s="2" t="s">
        <v>80</v>
      </c>
      <c r="I161" s="2" t="s">
        <v>79</v>
      </c>
      <c r="J161" s="51">
        <v>46054</v>
      </c>
      <c r="K161" s="2" t="s">
        <v>78</v>
      </c>
      <c r="L161" s="2">
        <v>1</v>
      </c>
      <c r="M161" s="2" t="s">
        <v>77</v>
      </c>
      <c r="N161" s="2"/>
      <c r="O161" s="3">
        <v>23</v>
      </c>
      <c r="P161" s="3">
        <v>23</v>
      </c>
      <c r="Q161" s="51">
        <v>46023</v>
      </c>
      <c r="R161" s="2" t="s">
        <v>402</v>
      </c>
      <c r="S161" s="46"/>
    </row>
    <row r="162" spans="1:19" ht="15" customHeight="1" x14ac:dyDescent="0.3">
      <c r="A162" s="2" t="s">
        <v>370</v>
      </c>
      <c r="B162" s="2">
        <v>6634327</v>
      </c>
      <c r="C162" s="2" t="s">
        <v>620</v>
      </c>
      <c r="D162" s="2" t="s">
        <v>621</v>
      </c>
      <c r="E162" s="2" t="str">
        <f t="shared" si="4"/>
        <v>KARIN VAN</v>
      </c>
      <c r="F162" s="45">
        <v>803185137001</v>
      </c>
      <c r="G162" s="45" t="str">
        <f t="shared" si="5"/>
        <v>8031851370010</v>
      </c>
      <c r="H162" s="2" t="s">
        <v>80</v>
      </c>
      <c r="I162" s="2" t="s">
        <v>79</v>
      </c>
      <c r="J162" s="51">
        <v>46082</v>
      </c>
      <c r="K162" s="2" t="s">
        <v>78</v>
      </c>
      <c r="L162" s="2">
        <v>1</v>
      </c>
      <c r="M162" s="2" t="s">
        <v>77</v>
      </c>
      <c r="N162" s="2"/>
      <c r="O162" s="3">
        <v>23</v>
      </c>
      <c r="P162" s="3">
        <v>23</v>
      </c>
      <c r="Q162" s="51">
        <v>46023</v>
      </c>
      <c r="R162" s="2" t="s">
        <v>402</v>
      </c>
      <c r="S162" s="46"/>
    </row>
    <row r="163" spans="1:19" ht="15" customHeight="1" x14ac:dyDescent="0.3">
      <c r="A163" s="2" t="s">
        <v>370</v>
      </c>
      <c r="B163" s="2">
        <v>6634327</v>
      </c>
      <c r="C163" s="2" t="s">
        <v>620</v>
      </c>
      <c r="D163" s="2" t="s">
        <v>621</v>
      </c>
      <c r="E163" s="2" t="str">
        <f t="shared" si="4"/>
        <v>KARIN VAN</v>
      </c>
      <c r="F163" s="45">
        <v>803185137001</v>
      </c>
      <c r="G163" s="45" t="str">
        <f t="shared" si="5"/>
        <v>8031851370010</v>
      </c>
      <c r="H163" s="2" t="s">
        <v>80</v>
      </c>
      <c r="I163" s="2" t="s">
        <v>79</v>
      </c>
      <c r="J163" s="51">
        <v>46113</v>
      </c>
      <c r="K163" s="2" t="s">
        <v>78</v>
      </c>
      <c r="L163" s="2">
        <v>1</v>
      </c>
      <c r="M163" s="2" t="s">
        <v>77</v>
      </c>
      <c r="N163" s="2"/>
      <c r="O163" s="3">
        <v>23</v>
      </c>
      <c r="P163" s="3">
        <v>23</v>
      </c>
      <c r="Q163" s="51">
        <v>46023</v>
      </c>
      <c r="R163" s="2" t="s">
        <v>402</v>
      </c>
      <c r="S163" s="46"/>
    </row>
    <row r="164" spans="1:19" ht="15" customHeight="1" x14ac:dyDescent="0.3">
      <c r="A164" s="2" t="s">
        <v>370</v>
      </c>
      <c r="B164" s="2">
        <v>6634327</v>
      </c>
      <c r="C164" s="2" t="s">
        <v>622</v>
      </c>
      <c r="D164" s="2" t="s">
        <v>623</v>
      </c>
      <c r="E164" s="2" t="str">
        <f t="shared" si="4"/>
        <v>ZARLASHT WAHIDI</v>
      </c>
      <c r="F164" s="45">
        <v>803129702001</v>
      </c>
      <c r="G164" s="45" t="str">
        <f t="shared" si="5"/>
        <v>8031297020010</v>
      </c>
      <c r="H164" s="2" t="s">
        <v>80</v>
      </c>
      <c r="I164" s="2" t="s">
        <v>79</v>
      </c>
      <c r="J164" s="51">
        <v>46023</v>
      </c>
      <c r="K164" s="2" t="s">
        <v>78</v>
      </c>
      <c r="L164" s="2">
        <v>1</v>
      </c>
      <c r="M164" s="2" t="s">
        <v>77</v>
      </c>
      <c r="N164" s="2" t="s">
        <v>399</v>
      </c>
      <c r="O164" s="3">
        <v>23</v>
      </c>
      <c r="P164" s="3">
        <v>69</v>
      </c>
      <c r="Q164" s="51">
        <v>46023</v>
      </c>
      <c r="R164" s="2" t="s">
        <v>402</v>
      </c>
      <c r="S164" s="46"/>
    </row>
    <row r="165" spans="1:19" ht="15" customHeight="1" x14ac:dyDescent="0.3">
      <c r="A165" s="2" t="s">
        <v>370</v>
      </c>
      <c r="B165" s="2">
        <v>6634327</v>
      </c>
      <c r="C165" s="2" t="s">
        <v>622</v>
      </c>
      <c r="D165" s="2" t="s">
        <v>623</v>
      </c>
      <c r="E165" s="2" t="str">
        <f t="shared" si="4"/>
        <v>ZARLASHT WAHIDI</v>
      </c>
      <c r="F165" s="45">
        <v>803129702001</v>
      </c>
      <c r="G165" s="45" t="str">
        <f t="shared" si="5"/>
        <v>8031297020010</v>
      </c>
      <c r="H165" s="2" t="s">
        <v>80</v>
      </c>
      <c r="I165" s="2" t="s">
        <v>79</v>
      </c>
      <c r="J165" s="51">
        <v>46054</v>
      </c>
      <c r="K165" s="2" t="s">
        <v>78</v>
      </c>
      <c r="L165" s="2">
        <v>1</v>
      </c>
      <c r="M165" s="2" t="s">
        <v>77</v>
      </c>
      <c r="N165" s="2" t="s">
        <v>399</v>
      </c>
      <c r="O165" s="3">
        <v>23</v>
      </c>
      <c r="P165" s="3">
        <v>69</v>
      </c>
      <c r="Q165" s="51">
        <v>46023</v>
      </c>
      <c r="R165" s="2" t="s">
        <v>402</v>
      </c>
      <c r="S165" s="46"/>
    </row>
    <row r="166" spans="1:19" ht="15" customHeight="1" x14ac:dyDescent="0.3">
      <c r="A166" s="2" t="s">
        <v>370</v>
      </c>
      <c r="B166" s="2">
        <v>6634327</v>
      </c>
      <c r="C166" s="2" t="s">
        <v>624</v>
      </c>
      <c r="D166" s="2" t="s">
        <v>448</v>
      </c>
      <c r="E166" s="2" t="str">
        <f t="shared" si="4"/>
        <v>LAUREN WAWRZYNIAK</v>
      </c>
      <c r="F166" s="45">
        <v>803518661001</v>
      </c>
      <c r="G166" s="45" t="str">
        <f t="shared" si="5"/>
        <v>8035186610010</v>
      </c>
      <c r="H166" s="2" t="s">
        <v>80</v>
      </c>
      <c r="I166" s="2" t="s">
        <v>79</v>
      </c>
      <c r="J166" s="51">
        <v>46113</v>
      </c>
      <c r="K166" s="2" t="s">
        <v>78</v>
      </c>
      <c r="L166" s="2">
        <v>1</v>
      </c>
      <c r="M166" s="2" t="s">
        <v>77</v>
      </c>
      <c r="N166" s="2"/>
      <c r="O166" s="3">
        <v>23</v>
      </c>
      <c r="P166" s="3">
        <v>23</v>
      </c>
      <c r="Q166" s="51">
        <v>46023</v>
      </c>
      <c r="R166" s="2" t="s">
        <v>402</v>
      </c>
      <c r="S166" s="46"/>
    </row>
    <row r="167" spans="1:19" ht="15" customHeight="1" x14ac:dyDescent="0.3">
      <c r="A167" s="2" t="s">
        <v>370</v>
      </c>
      <c r="B167" s="2">
        <v>6634327</v>
      </c>
      <c r="C167" s="2" t="s">
        <v>625</v>
      </c>
      <c r="D167" s="2" t="s">
        <v>626</v>
      </c>
      <c r="E167" s="2" t="str">
        <f t="shared" si="4"/>
        <v>ZARINE WILLE</v>
      </c>
      <c r="F167" s="45">
        <v>803433633001</v>
      </c>
      <c r="G167" s="45" t="str">
        <f t="shared" si="5"/>
        <v>8034336330010</v>
      </c>
      <c r="H167" s="2" t="s">
        <v>80</v>
      </c>
      <c r="I167" s="2" t="s">
        <v>79</v>
      </c>
      <c r="J167" s="51">
        <v>46113</v>
      </c>
      <c r="K167" s="2" t="s">
        <v>78</v>
      </c>
      <c r="L167" s="2">
        <v>1</v>
      </c>
      <c r="M167" s="2" t="s">
        <v>77</v>
      </c>
      <c r="N167" s="2"/>
      <c r="O167" s="3">
        <v>23</v>
      </c>
      <c r="P167" s="3">
        <v>23</v>
      </c>
      <c r="Q167" s="51">
        <v>46023</v>
      </c>
      <c r="R167" s="2" t="s">
        <v>402</v>
      </c>
      <c r="S167" s="46"/>
    </row>
    <row r="168" spans="1:19" ht="15" customHeight="1" x14ac:dyDescent="0.3">
      <c r="A168" s="2" t="s">
        <v>368</v>
      </c>
      <c r="B168" s="2" t="s">
        <v>406</v>
      </c>
      <c r="C168" s="2" t="s">
        <v>627</v>
      </c>
      <c r="D168" s="2" t="s">
        <v>628</v>
      </c>
      <c r="E168" s="2" t="str">
        <f t="shared" si="4"/>
        <v>AGIN KAZBAI</v>
      </c>
      <c r="F168" s="45">
        <v>803521258001</v>
      </c>
      <c r="G168" s="45" t="str">
        <f t="shared" si="5"/>
        <v>8035212580010</v>
      </c>
      <c r="H168" s="2" t="s">
        <v>80</v>
      </c>
      <c r="I168" s="2" t="s">
        <v>79</v>
      </c>
      <c r="J168" s="51">
        <v>46082</v>
      </c>
      <c r="K168" s="2" t="s">
        <v>78</v>
      </c>
      <c r="L168" s="2">
        <v>1</v>
      </c>
      <c r="M168" s="2" t="s">
        <v>77</v>
      </c>
      <c r="N168" s="2"/>
      <c r="O168" s="3">
        <v>23</v>
      </c>
      <c r="P168" s="3">
        <v>23</v>
      </c>
      <c r="Q168" s="51">
        <v>46082</v>
      </c>
      <c r="R168" s="2" t="s">
        <v>402</v>
      </c>
      <c r="S168" s="46"/>
    </row>
    <row r="169" spans="1:19" ht="15" customHeight="1" x14ac:dyDescent="0.3">
      <c r="A169" s="2" t="s">
        <v>368</v>
      </c>
      <c r="B169" s="2" t="s">
        <v>406</v>
      </c>
      <c r="C169" s="2" t="s">
        <v>627</v>
      </c>
      <c r="D169" s="2" t="s">
        <v>628</v>
      </c>
      <c r="E169" s="2" t="str">
        <f t="shared" si="4"/>
        <v>AGIN KAZBAI</v>
      </c>
      <c r="F169" s="45">
        <v>803521258001</v>
      </c>
      <c r="G169" s="45" t="str">
        <f t="shared" si="5"/>
        <v>8035212580010</v>
      </c>
      <c r="H169" s="2" t="s">
        <v>80</v>
      </c>
      <c r="I169" s="2" t="s">
        <v>79</v>
      </c>
      <c r="J169" s="51">
        <v>46113</v>
      </c>
      <c r="K169" s="2" t="s">
        <v>78</v>
      </c>
      <c r="L169" s="2">
        <v>1</v>
      </c>
      <c r="M169" s="2" t="s">
        <v>77</v>
      </c>
      <c r="N169" s="2"/>
      <c r="O169" s="3">
        <v>23</v>
      </c>
      <c r="P169" s="3">
        <v>23</v>
      </c>
      <c r="Q169" s="51">
        <v>46082</v>
      </c>
      <c r="R169" s="2" t="s">
        <v>402</v>
      </c>
      <c r="S169" s="46"/>
    </row>
    <row r="170" spans="1:19" x14ac:dyDescent="0.3">
      <c r="A170" s="2" t="s">
        <v>377</v>
      </c>
      <c r="B170" s="2">
        <v>16865615</v>
      </c>
      <c r="C170" s="2" t="s">
        <v>629</v>
      </c>
      <c r="D170" s="2" t="s">
        <v>630</v>
      </c>
      <c r="E170" s="2" t="str">
        <f t="shared" si="4"/>
        <v>KATHERINE BARTLETT</v>
      </c>
      <c r="F170" s="48">
        <v>803309626</v>
      </c>
      <c r="G170" s="45" t="str">
        <f>_xlfn.CONCAT(F170,1)</f>
        <v>8033096261</v>
      </c>
      <c r="H170" s="46"/>
      <c r="I170" s="46"/>
      <c r="J170" s="51">
        <v>46113</v>
      </c>
      <c r="L170" s="2">
        <v>1</v>
      </c>
      <c r="M170" s="46"/>
      <c r="N170" s="46" t="s">
        <v>405</v>
      </c>
      <c r="P170" s="3">
        <v>28.9</v>
      </c>
      <c r="Q170" s="54">
        <v>45962</v>
      </c>
      <c r="R170" s="46" t="s">
        <v>397</v>
      </c>
      <c r="S170" s="46"/>
    </row>
    <row r="171" spans="1:19" x14ac:dyDescent="0.3">
      <c r="A171" s="2" t="s">
        <v>377</v>
      </c>
      <c r="B171" s="2">
        <v>16865615</v>
      </c>
      <c r="C171" s="2" t="s">
        <v>631</v>
      </c>
      <c r="D171" s="2" t="s">
        <v>632</v>
      </c>
      <c r="E171" s="2" t="str">
        <f t="shared" si="4"/>
        <v>DEEANN BEAMAN</v>
      </c>
      <c r="F171" s="48">
        <v>803223990</v>
      </c>
      <c r="G171" s="45" t="str">
        <f t="shared" ref="G171:G192" si="6">_xlfn.CONCAT(F171,1)</f>
        <v>8032239901</v>
      </c>
      <c r="H171" s="46"/>
      <c r="I171" s="46"/>
      <c r="J171" s="51">
        <v>46113</v>
      </c>
      <c r="L171" s="2">
        <v>1</v>
      </c>
      <c r="M171" s="46"/>
      <c r="N171" s="46" t="s">
        <v>405</v>
      </c>
      <c r="P171" s="3">
        <v>28.9</v>
      </c>
      <c r="Q171" s="54">
        <v>45689</v>
      </c>
      <c r="R171" s="46" t="s">
        <v>397</v>
      </c>
      <c r="S171" s="46"/>
    </row>
    <row r="172" spans="1:19" x14ac:dyDescent="0.3">
      <c r="A172" s="2" t="s">
        <v>377</v>
      </c>
      <c r="B172" s="2">
        <v>16865615</v>
      </c>
      <c r="C172" s="2" t="s">
        <v>631</v>
      </c>
      <c r="D172" s="2" t="s">
        <v>633</v>
      </c>
      <c r="E172" s="2" t="str">
        <f t="shared" si="4"/>
        <v>DENNIS BEAMAN</v>
      </c>
      <c r="F172" s="48">
        <v>803223989</v>
      </c>
      <c r="G172" s="45" t="str">
        <f t="shared" si="6"/>
        <v>8032239891</v>
      </c>
      <c r="H172" s="46"/>
      <c r="I172" s="46"/>
      <c r="J172" s="51">
        <v>46113</v>
      </c>
      <c r="L172" s="2">
        <v>1</v>
      </c>
      <c r="M172" s="46"/>
      <c r="N172" s="46" t="s">
        <v>405</v>
      </c>
      <c r="P172" s="3">
        <v>28.9</v>
      </c>
      <c r="Q172" s="54">
        <v>45689</v>
      </c>
      <c r="R172" s="46" t="s">
        <v>397</v>
      </c>
      <c r="S172" s="46"/>
    </row>
    <row r="173" spans="1:19" x14ac:dyDescent="0.3">
      <c r="A173" s="2" t="s">
        <v>377</v>
      </c>
      <c r="B173" s="2">
        <v>16865615</v>
      </c>
      <c r="C173" s="2" t="s">
        <v>634</v>
      </c>
      <c r="D173" s="2" t="s">
        <v>635</v>
      </c>
      <c r="E173" s="2" t="str">
        <f t="shared" si="4"/>
        <v>RAYMOND BRECHEISEN</v>
      </c>
      <c r="F173" s="48">
        <v>803101991</v>
      </c>
      <c r="G173" s="45" t="str">
        <f t="shared" si="6"/>
        <v>8031019911</v>
      </c>
      <c r="H173" s="46"/>
      <c r="I173" s="46"/>
      <c r="J173" s="51">
        <v>46113</v>
      </c>
      <c r="L173" s="2">
        <v>1</v>
      </c>
      <c r="M173" s="46"/>
      <c r="N173" s="46" t="s">
        <v>405</v>
      </c>
      <c r="P173" s="3">
        <v>28.9</v>
      </c>
      <c r="Q173" s="54">
        <v>45658</v>
      </c>
      <c r="R173" s="46" t="s">
        <v>397</v>
      </c>
      <c r="S173" s="46"/>
    </row>
    <row r="174" spans="1:19" x14ac:dyDescent="0.3">
      <c r="A174" s="2" t="s">
        <v>377</v>
      </c>
      <c r="B174" s="2">
        <v>16865615</v>
      </c>
      <c r="C174" s="2" t="s">
        <v>636</v>
      </c>
      <c r="D174" s="2" t="s">
        <v>637</v>
      </c>
      <c r="E174" s="2" t="str">
        <f t="shared" si="4"/>
        <v>CYNTHIA CAPUTO</v>
      </c>
      <c r="F174" s="48">
        <v>803237352</v>
      </c>
      <c r="G174" s="45" t="str">
        <f t="shared" si="6"/>
        <v>8032373521</v>
      </c>
      <c r="H174" s="46"/>
      <c r="I174" s="46"/>
      <c r="J174" s="51">
        <v>46113</v>
      </c>
      <c r="L174" s="2">
        <v>1</v>
      </c>
      <c r="M174" s="46"/>
      <c r="N174" s="46" t="s">
        <v>405</v>
      </c>
      <c r="P174" s="3">
        <v>28.9</v>
      </c>
      <c r="Q174" s="54">
        <v>45778</v>
      </c>
      <c r="R174" s="46" t="s">
        <v>397</v>
      </c>
      <c r="S174" s="46"/>
    </row>
    <row r="175" spans="1:19" x14ac:dyDescent="0.3">
      <c r="A175" s="2" t="s">
        <v>377</v>
      </c>
      <c r="B175" s="2">
        <v>16865615</v>
      </c>
      <c r="C175" s="2" t="s">
        <v>638</v>
      </c>
      <c r="D175" s="2" t="s">
        <v>639</v>
      </c>
      <c r="E175" s="2" t="str">
        <f t="shared" si="4"/>
        <v>JUANITA DAVENPORT</v>
      </c>
      <c r="F175" s="48">
        <v>803225193</v>
      </c>
      <c r="G175" s="45" t="str">
        <f t="shared" si="6"/>
        <v>8032251931</v>
      </c>
      <c r="H175" s="46"/>
      <c r="I175" s="46"/>
      <c r="J175" s="51">
        <v>46113</v>
      </c>
      <c r="L175" s="2">
        <v>1</v>
      </c>
      <c r="M175" s="46"/>
      <c r="N175" s="46" t="s">
        <v>405</v>
      </c>
      <c r="P175" s="3">
        <v>28.9</v>
      </c>
      <c r="Q175" s="54">
        <v>45689</v>
      </c>
      <c r="R175" s="46" t="s">
        <v>397</v>
      </c>
      <c r="S175" s="46"/>
    </row>
    <row r="176" spans="1:19" x14ac:dyDescent="0.3">
      <c r="A176" s="2" t="s">
        <v>377</v>
      </c>
      <c r="B176" s="2">
        <v>16865615</v>
      </c>
      <c r="C176" s="2" t="s">
        <v>640</v>
      </c>
      <c r="D176" s="2" t="s">
        <v>641</v>
      </c>
      <c r="E176" s="2" t="str">
        <f t="shared" si="4"/>
        <v>MIGNON DRYDEN</v>
      </c>
      <c r="F176" s="48">
        <v>803304058</v>
      </c>
      <c r="G176" s="45" t="str">
        <f t="shared" si="6"/>
        <v>8033040581</v>
      </c>
      <c r="H176" s="46"/>
      <c r="I176" s="46"/>
      <c r="J176" s="51">
        <v>46113</v>
      </c>
      <c r="L176" s="2">
        <v>1</v>
      </c>
      <c r="M176" s="46"/>
      <c r="N176" s="46" t="s">
        <v>405</v>
      </c>
      <c r="P176" s="3">
        <v>28.9</v>
      </c>
      <c r="Q176" s="54">
        <v>45870</v>
      </c>
      <c r="R176" s="46" t="s">
        <v>397</v>
      </c>
      <c r="S176" s="46"/>
    </row>
    <row r="177" spans="1:19" x14ac:dyDescent="0.3">
      <c r="A177" s="2" t="s">
        <v>377</v>
      </c>
      <c r="B177" s="2">
        <v>16865615</v>
      </c>
      <c r="C177" s="2" t="s">
        <v>642</v>
      </c>
      <c r="D177" s="2" t="s">
        <v>643</v>
      </c>
      <c r="E177" s="2" t="str">
        <f t="shared" si="4"/>
        <v>KARA FRITCHLEE</v>
      </c>
      <c r="F177" s="48">
        <v>803440100</v>
      </c>
      <c r="G177" s="45" t="str">
        <f t="shared" si="6"/>
        <v>8034401001</v>
      </c>
      <c r="H177" s="46"/>
      <c r="I177" s="46"/>
      <c r="J177" s="51">
        <v>46113</v>
      </c>
      <c r="L177" s="2">
        <v>1</v>
      </c>
      <c r="M177" s="46"/>
      <c r="N177" s="46" t="s">
        <v>404</v>
      </c>
      <c r="P177" s="3">
        <v>14.45</v>
      </c>
      <c r="Q177" s="54">
        <v>46023</v>
      </c>
      <c r="R177" s="46" t="s">
        <v>397</v>
      </c>
      <c r="S177" s="46"/>
    </row>
    <row r="178" spans="1:19" x14ac:dyDescent="0.3">
      <c r="A178" s="2" t="s">
        <v>377</v>
      </c>
      <c r="B178" s="2">
        <v>16865615</v>
      </c>
      <c r="C178" s="2" t="s">
        <v>644</v>
      </c>
      <c r="D178" s="2" t="s">
        <v>645</v>
      </c>
      <c r="E178" s="2" t="str">
        <f t="shared" si="4"/>
        <v>NANCY GEWORSKY</v>
      </c>
      <c r="F178" s="48">
        <v>803076965</v>
      </c>
      <c r="G178" s="45" t="str">
        <f t="shared" si="6"/>
        <v>8030769651</v>
      </c>
      <c r="H178" s="46"/>
      <c r="I178" s="46"/>
      <c r="J178" s="51">
        <v>46113</v>
      </c>
      <c r="L178" s="2">
        <v>1</v>
      </c>
      <c r="M178" s="46"/>
      <c r="N178" s="46" t="s">
        <v>405</v>
      </c>
      <c r="P178" s="3">
        <v>28.9</v>
      </c>
      <c r="Q178" s="54">
        <v>45627</v>
      </c>
      <c r="R178" s="46" t="s">
        <v>397</v>
      </c>
      <c r="S178" s="46"/>
    </row>
    <row r="179" spans="1:19" x14ac:dyDescent="0.3">
      <c r="A179" s="2" t="s">
        <v>377</v>
      </c>
      <c r="B179" s="2">
        <v>16865615</v>
      </c>
      <c r="C179" s="2" t="s">
        <v>646</v>
      </c>
      <c r="D179" s="2" t="s">
        <v>647</v>
      </c>
      <c r="E179" s="2" t="str">
        <f t="shared" si="4"/>
        <v>DEBORAH HARMS</v>
      </c>
      <c r="F179" s="48">
        <v>803265309</v>
      </c>
      <c r="G179" s="45" t="str">
        <f t="shared" si="6"/>
        <v>8032653091</v>
      </c>
      <c r="H179" s="46"/>
      <c r="I179" s="46"/>
      <c r="J179" s="51">
        <v>46113</v>
      </c>
      <c r="L179" s="2">
        <v>1</v>
      </c>
      <c r="M179" s="46"/>
      <c r="N179" s="46" t="s">
        <v>405</v>
      </c>
      <c r="P179" s="3">
        <v>28.9</v>
      </c>
      <c r="Q179" s="54">
        <v>45778</v>
      </c>
      <c r="R179" s="46" t="s">
        <v>397</v>
      </c>
      <c r="S179" s="46"/>
    </row>
    <row r="180" spans="1:19" x14ac:dyDescent="0.3">
      <c r="A180" s="2" t="s">
        <v>377</v>
      </c>
      <c r="B180" s="2">
        <v>16865615</v>
      </c>
      <c r="C180" s="2" t="s">
        <v>648</v>
      </c>
      <c r="D180" s="2" t="s">
        <v>442</v>
      </c>
      <c r="E180" s="2" t="str">
        <f t="shared" si="4"/>
        <v>MICHAEL JACKSON</v>
      </c>
      <c r="F180" s="48">
        <v>803168056</v>
      </c>
      <c r="G180" s="45" t="str">
        <f t="shared" si="6"/>
        <v>8031680561</v>
      </c>
      <c r="H180" s="46"/>
      <c r="I180" s="46"/>
      <c r="J180" s="51">
        <v>46113</v>
      </c>
      <c r="L180" s="2">
        <v>1</v>
      </c>
      <c r="M180" s="46"/>
      <c r="N180" s="46" t="s">
        <v>405</v>
      </c>
      <c r="P180" s="3">
        <v>28.9</v>
      </c>
      <c r="Q180" s="54">
        <v>45658</v>
      </c>
      <c r="R180" s="46" t="s">
        <v>397</v>
      </c>
      <c r="S180" s="46"/>
    </row>
    <row r="181" spans="1:19" x14ac:dyDescent="0.3">
      <c r="A181" s="2" t="s">
        <v>377</v>
      </c>
      <c r="B181" s="2">
        <v>16865615</v>
      </c>
      <c r="C181" s="2" t="s">
        <v>649</v>
      </c>
      <c r="D181" s="2" t="s">
        <v>561</v>
      </c>
      <c r="E181" s="2" t="str">
        <f t="shared" si="4"/>
        <v>DONALD JENSEN</v>
      </c>
      <c r="F181" s="48">
        <v>803136752</v>
      </c>
      <c r="G181" s="45" t="str">
        <f t="shared" si="6"/>
        <v>8031367521</v>
      </c>
      <c r="H181" s="46"/>
      <c r="I181" s="46"/>
      <c r="J181" s="51">
        <v>46113</v>
      </c>
      <c r="L181" s="2">
        <v>1</v>
      </c>
      <c r="M181" s="46"/>
      <c r="N181" s="46" t="s">
        <v>405</v>
      </c>
      <c r="P181" s="3">
        <v>28.9</v>
      </c>
      <c r="Q181" s="54">
        <v>45658</v>
      </c>
      <c r="R181" s="46" t="s">
        <v>397</v>
      </c>
      <c r="S181" s="46"/>
    </row>
    <row r="182" spans="1:19" x14ac:dyDescent="0.3">
      <c r="A182" s="2" t="s">
        <v>377</v>
      </c>
      <c r="B182" s="2">
        <v>16865615</v>
      </c>
      <c r="C182" s="2" t="s">
        <v>650</v>
      </c>
      <c r="D182" s="2" t="s">
        <v>651</v>
      </c>
      <c r="E182" s="2" t="str">
        <f t="shared" si="4"/>
        <v>DEBBIE KIRBY</v>
      </c>
      <c r="F182" s="48">
        <v>803440129</v>
      </c>
      <c r="G182" s="45" t="str">
        <f t="shared" si="6"/>
        <v>8034401291</v>
      </c>
      <c r="H182" s="46"/>
      <c r="I182" s="46"/>
      <c r="J182" s="51">
        <v>46113</v>
      </c>
      <c r="L182" s="2">
        <v>1</v>
      </c>
      <c r="M182" s="46"/>
      <c r="N182" s="46" t="s">
        <v>404</v>
      </c>
      <c r="P182" s="3">
        <v>14.45</v>
      </c>
      <c r="Q182" s="54">
        <v>46023</v>
      </c>
      <c r="R182" s="46" t="s">
        <v>397</v>
      </c>
      <c r="S182" s="46"/>
    </row>
    <row r="183" spans="1:19" x14ac:dyDescent="0.3">
      <c r="A183" s="2" t="s">
        <v>377</v>
      </c>
      <c r="B183" s="2">
        <v>16865615</v>
      </c>
      <c r="C183" s="2" t="s">
        <v>652</v>
      </c>
      <c r="D183" s="2" t="s">
        <v>561</v>
      </c>
      <c r="E183" s="2" t="str">
        <f t="shared" si="4"/>
        <v>DONALD MARTELLA</v>
      </c>
      <c r="F183" s="48">
        <v>803078257</v>
      </c>
      <c r="G183" s="45" t="str">
        <f t="shared" si="6"/>
        <v>8030782571</v>
      </c>
      <c r="H183" s="46"/>
      <c r="I183" s="46"/>
      <c r="J183" s="51">
        <v>46113</v>
      </c>
      <c r="L183" s="2">
        <v>1</v>
      </c>
      <c r="M183" s="46"/>
      <c r="N183" s="46" t="s">
        <v>405</v>
      </c>
      <c r="P183" s="3">
        <v>28.9</v>
      </c>
      <c r="Q183" s="54">
        <v>45658</v>
      </c>
      <c r="R183" s="46" t="s">
        <v>397</v>
      </c>
      <c r="S183" s="46"/>
    </row>
    <row r="184" spans="1:19" x14ac:dyDescent="0.3">
      <c r="A184" s="2" t="s">
        <v>377</v>
      </c>
      <c r="B184" s="2">
        <v>16865615</v>
      </c>
      <c r="C184" s="2" t="s">
        <v>653</v>
      </c>
      <c r="D184" s="2" t="s">
        <v>654</v>
      </c>
      <c r="E184" s="2" t="str">
        <f t="shared" si="4"/>
        <v>TOM MORRIS</v>
      </c>
      <c r="F184" s="48">
        <v>803155239</v>
      </c>
      <c r="G184" s="45" t="str">
        <f t="shared" si="6"/>
        <v>8031552391</v>
      </c>
      <c r="H184" s="46"/>
      <c r="I184" s="46"/>
      <c r="J184" s="51">
        <v>46113</v>
      </c>
      <c r="L184" s="2">
        <v>1</v>
      </c>
      <c r="M184" s="46"/>
      <c r="N184" s="46" t="s">
        <v>405</v>
      </c>
      <c r="P184" s="3">
        <v>28.9</v>
      </c>
      <c r="Q184" s="54">
        <v>45658</v>
      </c>
      <c r="R184" s="46" t="s">
        <v>397</v>
      </c>
      <c r="S184" s="46"/>
    </row>
    <row r="185" spans="1:19" x14ac:dyDescent="0.3">
      <c r="A185" s="2" t="s">
        <v>377</v>
      </c>
      <c r="B185" s="2">
        <v>16865615</v>
      </c>
      <c r="C185" s="2" t="s">
        <v>655</v>
      </c>
      <c r="D185" s="2" t="s">
        <v>656</v>
      </c>
      <c r="E185" s="2" t="str">
        <f t="shared" si="4"/>
        <v>BRENDA PADEN</v>
      </c>
      <c r="F185" s="48">
        <v>803224623</v>
      </c>
      <c r="G185" s="45" t="str">
        <f t="shared" si="6"/>
        <v>8032246231</v>
      </c>
      <c r="H185" s="46"/>
      <c r="I185" s="46"/>
      <c r="J185" s="51">
        <v>46113</v>
      </c>
      <c r="L185" s="2">
        <v>1</v>
      </c>
      <c r="M185" s="46"/>
      <c r="N185" s="46" t="s">
        <v>405</v>
      </c>
      <c r="P185" s="3">
        <v>28.9</v>
      </c>
      <c r="Q185" s="54">
        <v>45689</v>
      </c>
      <c r="R185" s="46" t="s">
        <v>397</v>
      </c>
      <c r="S185" s="46"/>
    </row>
    <row r="186" spans="1:19" x14ac:dyDescent="0.3">
      <c r="A186" s="2" t="s">
        <v>377</v>
      </c>
      <c r="B186" s="2">
        <v>16865615</v>
      </c>
      <c r="C186" s="2" t="s">
        <v>655</v>
      </c>
      <c r="D186" s="2" t="s">
        <v>442</v>
      </c>
      <c r="E186" s="2" t="str">
        <f t="shared" si="4"/>
        <v>MICHAEL PADEN</v>
      </c>
      <c r="F186" s="48">
        <v>803224622</v>
      </c>
      <c r="G186" s="45" t="str">
        <f t="shared" si="6"/>
        <v>8032246221</v>
      </c>
      <c r="H186" s="46"/>
      <c r="I186" s="46"/>
      <c r="J186" s="51">
        <v>46113</v>
      </c>
      <c r="L186" s="2">
        <v>1</v>
      </c>
      <c r="M186" s="46"/>
      <c r="N186" s="46" t="s">
        <v>405</v>
      </c>
      <c r="P186" s="3">
        <v>28.9</v>
      </c>
      <c r="Q186" s="54">
        <v>45689</v>
      </c>
      <c r="R186" s="46" t="s">
        <v>397</v>
      </c>
      <c r="S186" s="46"/>
    </row>
    <row r="187" spans="1:19" x14ac:dyDescent="0.3">
      <c r="A187" s="2" t="s">
        <v>377</v>
      </c>
      <c r="B187" s="2">
        <v>16865615</v>
      </c>
      <c r="C187" s="2" t="s">
        <v>657</v>
      </c>
      <c r="D187" s="2" t="s">
        <v>658</v>
      </c>
      <c r="E187" s="2" t="str">
        <f t="shared" si="4"/>
        <v>ADELIDA SANCHEZ</v>
      </c>
      <c r="F187" s="48">
        <v>803390240</v>
      </c>
      <c r="G187" s="45" t="str">
        <f t="shared" si="6"/>
        <v>8033902401</v>
      </c>
      <c r="H187" s="46"/>
      <c r="I187" s="46"/>
      <c r="J187" s="51">
        <v>46113</v>
      </c>
      <c r="L187" s="2">
        <v>1</v>
      </c>
      <c r="M187" s="46"/>
      <c r="N187" s="46" t="s">
        <v>404</v>
      </c>
      <c r="P187" s="3">
        <v>14.45</v>
      </c>
      <c r="Q187" s="54">
        <v>46023</v>
      </c>
      <c r="R187" s="46" t="s">
        <v>397</v>
      </c>
      <c r="S187" s="46"/>
    </row>
    <row r="188" spans="1:19" x14ac:dyDescent="0.3">
      <c r="A188" s="2" t="s">
        <v>377</v>
      </c>
      <c r="B188" s="2">
        <v>16865615</v>
      </c>
      <c r="C188" s="2" t="s">
        <v>659</v>
      </c>
      <c r="D188" s="2" t="s">
        <v>660</v>
      </c>
      <c r="E188" s="2" t="str">
        <f t="shared" si="4"/>
        <v>TERESA SPRENGER</v>
      </c>
      <c r="F188" s="48">
        <v>803404523</v>
      </c>
      <c r="G188" s="45" t="str">
        <f t="shared" si="6"/>
        <v>8034045231</v>
      </c>
      <c r="H188" s="46"/>
      <c r="I188" s="46"/>
      <c r="J188" s="51">
        <v>46113</v>
      </c>
      <c r="L188" s="2">
        <v>1</v>
      </c>
      <c r="M188" s="46"/>
      <c r="N188" s="46" t="s">
        <v>405</v>
      </c>
      <c r="P188" s="3">
        <v>28.9</v>
      </c>
      <c r="Q188" s="54">
        <v>45992</v>
      </c>
      <c r="R188" s="46" t="s">
        <v>397</v>
      </c>
      <c r="S188" s="46"/>
    </row>
    <row r="189" spans="1:19" x14ac:dyDescent="0.3">
      <c r="A189" s="2" t="s">
        <v>377</v>
      </c>
      <c r="B189" s="2">
        <v>16865615</v>
      </c>
      <c r="C189" s="2" t="s">
        <v>661</v>
      </c>
      <c r="D189" s="2" t="s">
        <v>410</v>
      </c>
      <c r="E189" s="2" t="str">
        <f t="shared" si="4"/>
        <v>STEPHANIE THAYER</v>
      </c>
      <c r="F189" s="48">
        <v>803250924</v>
      </c>
      <c r="G189" s="45" t="str">
        <f t="shared" si="6"/>
        <v>8032509241</v>
      </c>
      <c r="H189" s="46"/>
      <c r="I189" s="46"/>
      <c r="J189" s="51">
        <v>46113</v>
      </c>
      <c r="L189" s="2">
        <v>1</v>
      </c>
      <c r="M189" s="46"/>
      <c r="N189" s="46" t="s">
        <v>405</v>
      </c>
      <c r="P189" s="3">
        <v>28.9</v>
      </c>
      <c r="Q189" s="54">
        <v>45748</v>
      </c>
      <c r="R189" s="46" t="s">
        <v>397</v>
      </c>
      <c r="S189" s="46"/>
    </row>
    <row r="190" spans="1:19" x14ac:dyDescent="0.3">
      <c r="A190" s="2" t="s">
        <v>377</v>
      </c>
      <c r="B190" s="2">
        <v>16865615</v>
      </c>
      <c r="C190" s="2" t="s">
        <v>662</v>
      </c>
      <c r="D190" s="2" t="s">
        <v>663</v>
      </c>
      <c r="E190" s="2" t="str">
        <f t="shared" si="4"/>
        <v>RICHARD THOMPSON</v>
      </c>
      <c r="F190" s="48">
        <v>803123414</v>
      </c>
      <c r="G190" s="45" t="str">
        <f t="shared" si="6"/>
        <v>8031234141</v>
      </c>
      <c r="H190" s="46"/>
      <c r="I190" s="46"/>
      <c r="J190" s="51">
        <v>46113</v>
      </c>
      <c r="L190" s="2">
        <v>1</v>
      </c>
      <c r="M190" s="46"/>
      <c r="N190" s="46" t="s">
        <v>405</v>
      </c>
      <c r="P190" s="3">
        <v>28.9</v>
      </c>
      <c r="Q190" s="54">
        <v>45658</v>
      </c>
      <c r="R190" s="46" t="s">
        <v>397</v>
      </c>
      <c r="S190" s="46"/>
    </row>
    <row r="191" spans="1:19" x14ac:dyDescent="0.3">
      <c r="A191" s="2" t="s">
        <v>377</v>
      </c>
      <c r="B191" s="2">
        <v>16865615</v>
      </c>
      <c r="C191" s="2" t="s">
        <v>664</v>
      </c>
      <c r="D191" s="2" t="s">
        <v>665</v>
      </c>
      <c r="E191" s="2" t="str">
        <f t="shared" si="4"/>
        <v>KIM TRUMAN</v>
      </c>
      <c r="F191" s="48">
        <v>803322612</v>
      </c>
      <c r="G191" s="45" t="str">
        <f t="shared" si="6"/>
        <v>8033226121</v>
      </c>
      <c r="H191" s="46"/>
      <c r="I191" s="46"/>
      <c r="J191" s="51">
        <v>46113</v>
      </c>
      <c r="L191" s="2">
        <v>1</v>
      </c>
      <c r="M191" s="46"/>
      <c r="N191" s="46" t="s">
        <v>405</v>
      </c>
      <c r="P191" s="3">
        <v>28.9</v>
      </c>
      <c r="Q191" s="54">
        <v>45931</v>
      </c>
      <c r="R191" s="46" t="s">
        <v>397</v>
      </c>
      <c r="S191" s="46"/>
    </row>
    <row r="192" spans="1:19" x14ac:dyDescent="0.3">
      <c r="A192" s="2" t="s">
        <v>370</v>
      </c>
      <c r="B192" s="2">
        <v>6634327</v>
      </c>
      <c r="C192" s="2" t="s">
        <v>666</v>
      </c>
      <c r="D192" s="2" t="s">
        <v>667</v>
      </c>
      <c r="E192" s="2" t="str">
        <f t="shared" si="4"/>
        <v>KIRSTI PETERSON</v>
      </c>
      <c r="F192" s="48">
        <v>803450878</v>
      </c>
      <c r="G192" s="45" t="str">
        <f t="shared" si="6"/>
        <v>8034508781</v>
      </c>
      <c r="H192" s="46"/>
      <c r="I192" s="46"/>
      <c r="J192" s="51">
        <v>46113</v>
      </c>
      <c r="L192" s="2">
        <v>1</v>
      </c>
      <c r="M192" s="46"/>
      <c r="N192" s="46" t="s">
        <v>404</v>
      </c>
      <c r="P192" s="3">
        <v>14.45</v>
      </c>
      <c r="Q192" s="54">
        <v>46023</v>
      </c>
      <c r="R192" s="46" t="s">
        <v>397</v>
      </c>
      <c r="S192" s="46"/>
    </row>
    <row r="193" spans="1:19" x14ac:dyDescent="0.3">
      <c r="H193" s="46"/>
      <c r="I193" s="46"/>
      <c r="M193" s="46"/>
      <c r="N193" s="46"/>
      <c r="R193" s="46"/>
      <c r="S193" s="46"/>
    </row>
    <row r="194" spans="1:19" x14ac:dyDescent="0.3">
      <c r="H194" s="46"/>
      <c r="I194" s="46"/>
      <c r="M194" s="46"/>
      <c r="N194" s="46"/>
      <c r="R194" s="46"/>
      <c r="S194" s="46"/>
    </row>
    <row r="195" spans="1:19" x14ac:dyDescent="0.3">
      <c r="H195" s="46"/>
      <c r="I195" s="46"/>
      <c r="M195" s="46"/>
      <c r="N195" s="46"/>
      <c r="R195" s="46"/>
      <c r="S195" s="46"/>
    </row>
    <row r="196" spans="1:19" x14ac:dyDescent="0.3">
      <c r="H196" s="46"/>
      <c r="I196" s="46"/>
      <c r="M196" s="46"/>
      <c r="N196" s="46"/>
      <c r="R196" s="46"/>
      <c r="S196" s="46"/>
    </row>
    <row r="197" spans="1:19" x14ac:dyDescent="0.3">
      <c r="H197" s="46"/>
      <c r="I197" s="46"/>
      <c r="M197" s="46"/>
      <c r="N197" s="46"/>
      <c r="R197" s="46"/>
      <c r="S197" s="46"/>
    </row>
    <row r="198" spans="1:19" x14ac:dyDescent="0.3">
      <c r="H198" s="46"/>
      <c r="I198" s="46"/>
      <c r="M198" s="46"/>
      <c r="N198" s="46"/>
      <c r="R198" s="46"/>
      <c r="S198" s="46"/>
    </row>
    <row r="199" spans="1:19" x14ac:dyDescent="0.3">
      <c r="H199" s="46"/>
      <c r="I199" s="46"/>
      <c r="M199" s="46"/>
      <c r="N199" s="46"/>
      <c r="R199" s="46"/>
      <c r="S199" s="46"/>
    </row>
    <row r="200" spans="1:19" x14ac:dyDescent="0.3">
      <c r="H200" s="46"/>
      <c r="I200" s="46"/>
      <c r="M200" s="46"/>
      <c r="N200" s="46"/>
      <c r="R200" s="46"/>
      <c r="S200" s="46"/>
    </row>
    <row r="201" spans="1:19" x14ac:dyDescent="0.3">
      <c r="A201" s="46"/>
      <c r="B201" s="46"/>
      <c r="C201" s="46"/>
      <c r="D201" s="46"/>
      <c r="E201" s="46"/>
      <c r="H201" s="46"/>
      <c r="I201" s="46"/>
      <c r="J201" s="56"/>
      <c r="K201" s="46"/>
      <c r="M201" s="46"/>
      <c r="N201" s="46"/>
      <c r="P201" s="46"/>
      <c r="Q201" s="56"/>
      <c r="R201" s="46"/>
      <c r="S201" s="46"/>
    </row>
    <row r="202" spans="1:19" x14ac:dyDescent="0.3">
      <c r="H202" s="46"/>
      <c r="I202" s="46"/>
      <c r="M202" s="46"/>
      <c r="N202" s="46"/>
      <c r="R202" s="46"/>
      <c r="S202" s="46"/>
    </row>
    <row r="203" spans="1:19" x14ac:dyDescent="0.3">
      <c r="H203" s="46"/>
      <c r="I203" s="46"/>
      <c r="M203" s="46"/>
      <c r="N203" s="46"/>
      <c r="R203" s="46"/>
      <c r="S203" s="46"/>
    </row>
    <row r="204" spans="1:19" x14ac:dyDescent="0.3">
      <c r="A204" s="46"/>
      <c r="B204" s="46"/>
      <c r="C204" s="46"/>
      <c r="D204" s="46"/>
      <c r="E204" s="46"/>
      <c r="H204" s="46"/>
      <c r="I204" s="46"/>
      <c r="M204" s="46"/>
      <c r="N204" s="46"/>
      <c r="R204" s="46"/>
      <c r="S204" s="46"/>
    </row>
    <row r="205" spans="1:19" x14ac:dyDescent="0.3">
      <c r="H205" s="46"/>
      <c r="I205" s="46"/>
      <c r="M205" s="46"/>
      <c r="N205" s="46"/>
      <c r="R205" s="46"/>
      <c r="S205" s="46"/>
    </row>
    <row r="206" spans="1:19" x14ac:dyDescent="0.3">
      <c r="H206" s="46"/>
      <c r="I206" s="46"/>
      <c r="M206" s="46"/>
      <c r="N206" s="46"/>
      <c r="R206" s="46"/>
      <c r="S206" s="46"/>
    </row>
    <row r="207" spans="1:19" x14ac:dyDescent="0.3">
      <c r="H207" s="46"/>
      <c r="I207" s="46"/>
      <c r="M207" s="46"/>
      <c r="N207" s="46"/>
      <c r="R207" s="46"/>
      <c r="S207" s="46"/>
    </row>
    <row r="208" spans="1:19" x14ac:dyDescent="0.3">
      <c r="H208" s="46"/>
      <c r="I208" s="46"/>
      <c r="M208" s="46"/>
      <c r="N208" s="46"/>
      <c r="R208" s="46"/>
      <c r="S208" s="46"/>
    </row>
    <row r="209" spans="1:19" x14ac:dyDescent="0.3">
      <c r="H209" s="46"/>
      <c r="I209" s="46"/>
      <c r="M209" s="46"/>
      <c r="N209" s="46"/>
      <c r="R209" s="46"/>
      <c r="S209" s="46"/>
    </row>
    <row r="210" spans="1:19" x14ac:dyDescent="0.3">
      <c r="A210" s="46"/>
      <c r="B210" s="46"/>
      <c r="C210" s="46"/>
      <c r="D210" s="46"/>
      <c r="E210" s="46"/>
      <c r="H210" s="46"/>
      <c r="I210" s="46"/>
      <c r="J210" s="56"/>
      <c r="K210" s="46"/>
      <c r="M210" s="46"/>
      <c r="N210" s="46"/>
      <c r="P210" s="46"/>
      <c r="Q210" s="56"/>
      <c r="R210" s="46"/>
      <c r="S210" s="46"/>
    </row>
    <row r="211" spans="1:19" x14ac:dyDescent="0.3">
      <c r="H211" s="46"/>
      <c r="I211" s="46"/>
      <c r="M211" s="46"/>
      <c r="N211" s="46"/>
      <c r="R211" s="46"/>
      <c r="S211" s="46"/>
    </row>
    <row r="212" spans="1:19" x14ac:dyDescent="0.3">
      <c r="H212" s="46"/>
      <c r="I212" s="46"/>
      <c r="M212" s="46"/>
      <c r="N212" s="46"/>
      <c r="R212" s="46"/>
      <c r="S212" s="46"/>
    </row>
    <row r="213" spans="1:19" x14ac:dyDescent="0.3">
      <c r="A213" s="46"/>
      <c r="B213" s="46"/>
      <c r="H213" s="46"/>
      <c r="I213" s="46"/>
      <c r="M213" s="46"/>
      <c r="N213" s="46"/>
      <c r="P213" s="46"/>
      <c r="Q213" s="56"/>
      <c r="R213" s="46"/>
      <c r="S213" s="46"/>
    </row>
    <row r="218" spans="1:19" x14ac:dyDescent="0.3">
      <c r="H218" s="46"/>
      <c r="I218" s="46"/>
      <c r="M218" s="46"/>
      <c r="N218" s="46"/>
    </row>
    <row r="219" spans="1:19" x14ac:dyDescent="0.3">
      <c r="H219" s="46"/>
      <c r="I219" s="46"/>
      <c r="M219" s="46"/>
      <c r="N219" s="46"/>
    </row>
    <row r="220" spans="1:19" x14ac:dyDescent="0.3">
      <c r="H220" s="46"/>
      <c r="I220" s="46"/>
      <c r="M220" s="46"/>
      <c r="N220" s="46"/>
    </row>
    <row r="221" spans="1:19" x14ac:dyDescent="0.3">
      <c r="H221" s="46"/>
      <c r="I221" s="46"/>
      <c r="M221" s="46"/>
      <c r="N221" s="46"/>
    </row>
    <row r="222" spans="1:19" x14ac:dyDescent="0.3">
      <c r="H222" s="46"/>
      <c r="I222" s="46"/>
      <c r="M222" s="46"/>
      <c r="N222" s="46"/>
    </row>
    <row r="223" spans="1:19" x14ac:dyDescent="0.3">
      <c r="H223" s="46"/>
      <c r="I223" s="46"/>
      <c r="M223" s="46"/>
      <c r="N223" s="46"/>
    </row>
    <row r="224" spans="1:19" x14ac:dyDescent="0.3">
      <c r="H224" s="46"/>
      <c r="I224" s="46"/>
      <c r="M224" s="46"/>
      <c r="N224" s="46"/>
    </row>
    <row r="225" spans="8:14" x14ac:dyDescent="0.3">
      <c r="H225" s="46"/>
      <c r="I225" s="46"/>
      <c r="M225" s="46"/>
      <c r="N225" s="46"/>
    </row>
    <row r="226" spans="8:14" x14ac:dyDescent="0.3">
      <c r="H226" s="46"/>
      <c r="I226" s="46"/>
      <c r="M226" s="46"/>
      <c r="N226" s="46"/>
    </row>
    <row r="227" spans="8:14" x14ac:dyDescent="0.3">
      <c r="H227" s="46"/>
      <c r="I227" s="46"/>
      <c r="M227" s="46"/>
      <c r="N227" s="46"/>
    </row>
    <row r="228" spans="8:14" x14ac:dyDescent="0.3">
      <c r="H228" s="46"/>
      <c r="I228" s="46"/>
      <c r="M228" s="46"/>
      <c r="N228" s="46"/>
    </row>
    <row r="229" spans="8:14" x14ac:dyDescent="0.3">
      <c r="H229" s="46"/>
      <c r="I229" s="46"/>
      <c r="M229" s="46"/>
      <c r="N229" s="46"/>
    </row>
    <row r="230" spans="8:14" x14ac:dyDescent="0.3">
      <c r="H230" s="46"/>
      <c r="I230" s="46"/>
      <c r="M230" s="46"/>
      <c r="N230" s="46"/>
    </row>
    <row r="231" spans="8:14" x14ac:dyDescent="0.3">
      <c r="H231" s="46"/>
      <c r="I231" s="46"/>
      <c r="M231" s="46"/>
      <c r="N231" s="46"/>
    </row>
    <row r="232" spans="8:14" x14ac:dyDescent="0.3">
      <c r="H232" s="46"/>
      <c r="I232" s="46"/>
      <c r="M232" s="46"/>
      <c r="N232" s="46"/>
    </row>
    <row r="233" spans="8:14" x14ac:dyDescent="0.3">
      <c r="H233" s="46"/>
      <c r="I233" s="46"/>
      <c r="M233" s="46"/>
      <c r="N233" s="46"/>
    </row>
    <row r="234" spans="8:14" x14ac:dyDescent="0.3">
      <c r="H234" s="46"/>
      <c r="I234" s="46"/>
      <c r="M234" s="46"/>
      <c r="N234" s="46"/>
    </row>
    <row r="235" spans="8:14" x14ac:dyDescent="0.3">
      <c r="H235" s="46"/>
      <c r="I235" s="46"/>
      <c r="M235" s="46"/>
      <c r="N235" s="46"/>
    </row>
    <row r="236" spans="8:14" x14ac:dyDescent="0.3">
      <c r="H236" s="46"/>
      <c r="I236" s="46"/>
      <c r="M236" s="46"/>
      <c r="N236" s="46"/>
    </row>
    <row r="237" spans="8:14" x14ac:dyDescent="0.3">
      <c r="H237" s="46"/>
      <c r="I237" s="46"/>
      <c r="M237" s="46"/>
      <c r="N237" s="46"/>
    </row>
    <row r="238" spans="8:14" x14ac:dyDescent="0.3">
      <c r="H238" s="46"/>
      <c r="I238" s="46"/>
      <c r="M238" s="46"/>
      <c r="N238" s="46"/>
    </row>
    <row r="239" spans="8:14" x14ac:dyDescent="0.3">
      <c r="H239" s="46"/>
      <c r="I239" s="46"/>
      <c r="M239" s="46"/>
      <c r="N239" s="46"/>
    </row>
    <row r="240" spans="8:14" x14ac:dyDescent="0.3">
      <c r="H240" s="46"/>
      <c r="I240" s="46"/>
      <c r="M240" s="46"/>
      <c r="N240" s="46"/>
    </row>
    <row r="242" spans="8:14" x14ac:dyDescent="0.3">
      <c r="H242" s="46"/>
      <c r="I242" s="46"/>
      <c r="M242" s="46"/>
      <c r="N242" s="4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84F5-CC5C-4AE9-90CD-BA8F2525BE28}">
  <dimension ref="A1:X244"/>
  <sheetViews>
    <sheetView tabSelected="1" topLeftCell="B67" workbookViewId="0">
      <selection activeCell="B46" sqref="A46:XFD46"/>
    </sheetView>
  </sheetViews>
  <sheetFormatPr defaultRowHeight="14.4" x14ac:dyDescent="0.3"/>
  <cols>
    <col min="1" max="1" width="30.6640625" customWidth="1"/>
    <col min="2" max="2" width="9.33203125" customWidth="1"/>
    <col min="3" max="3" width="18" customWidth="1"/>
    <col min="4" max="4" width="15.6640625" customWidth="1"/>
    <col min="5" max="5" width="10.33203125" customWidth="1"/>
    <col min="6" max="6" width="4.33203125" customWidth="1"/>
    <col min="7" max="7" width="0.6640625" customWidth="1"/>
    <col min="8" max="8" width="4.33203125" customWidth="1"/>
    <col min="9" max="9" width="8" customWidth="1"/>
    <col min="10" max="11" width="13.6640625" customWidth="1"/>
    <col min="12" max="12" width="18" customWidth="1"/>
    <col min="13" max="13" width="12.33203125" customWidth="1"/>
    <col min="14" max="14" width="9.33203125" customWidth="1"/>
    <col min="15" max="15" width="6.5546875" customWidth="1"/>
    <col min="16" max="16" width="12.33203125" customWidth="1"/>
    <col min="17" max="17" width="12.109375" customWidth="1"/>
    <col min="18" max="18" width="9.44140625" customWidth="1"/>
    <col min="19" max="19" width="7.44140625" customWidth="1"/>
    <col min="20" max="20" width="9.6640625" customWidth="1"/>
    <col min="21" max="21" width="4.88671875" customWidth="1"/>
    <col min="22" max="22" width="12.6640625" customWidth="1"/>
    <col min="23" max="24" width="13.6640625" customWidth="1"/>
    <col min="25" max="25" width="9.44140625" customWidth="1"/>
  </cols>
  <sheetData>
    <row r="1" spans="1:24" x14ac:dyDescent="0.3">
      <c r="H1" s="29" t="s">
        <v>366</v>
      </c>
      <c r="I1" s="22"/>
      <c r="J1" s="22"/>
    </row>
    <row r="2" spans="1:24" ht="17.25" customHeight="1" x14ac:dyDescent="0.3">
      <c r="A2" s="22"/>
      <c r="B2" s="22"/>
      <c r="H2" s="22"/>
      <c r="I2" s="22"/>
      <c r="J2" s="22"/>
    </row>
    <row r="3" spans="1:24" x14ac:dyDescent="0.3">
      <c r="A3" s="22"/>
      <c r="B3" s="22"/>
      <c r="H3" s="29" t="s">
        <v>365</v>
      </c>
      <c r="I3" s="22"/>
      <c r="J3" s="22"/>
    </row>
    <row r="4" spans="1:24" x14ac:dyDescent="0.3">
      <c r="A4" s="30" t="s">
        <v>364</v>
      </c>
      <c r="B4" s="22"/>
      <c r="H4" s="31" t="s">
        <v>363</v>
      </c>
      <c r="I4" s="22"/>
      <c r="J4" s="22"/>
    </row>
    <row r="5" spans="1:24" ht="5.0999999999999996" customHeight="1" x14ac:dyDescent="0.3"/>
    <row r="6" spans="1:24" x14ac:dyDescent="0.3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24" x14ac:dyDescent="0.3">
      <c r="A7" s="32" t="s">
        <v>362</v>
      </c>
      <c r="B7" s="22"/>
      <c r="C7" s="22"/>
      <c r="D7" s="22"/>
      <c r="E7" s="22"/>
      <c r="F7" s="22"/>
      <c r="G7" s="22"/>
      <c r="H7" s="22"/>
      <c r="I7" s="22"/>
      <c r="J7" s="22"/>
    </row>
    <row r="8" spans="1:24" ht="5.0999999999999996" customHeight="1" x14ac:dyDescent="0.3"/>
    <row r="9" spans="1:24" x14ac:dyDescent="0.3">
      <c r="A9" s="17" t="s">
        <v>389</v>
      </c>
      <c r="B9" s="16" t="s">
        <v>23</v>
      </c>
      <c r="C9" s="16" t="s">
        <v>23</v>
      </c>
      <c r="D9" s="16" t="s">
        <v>23</v>
      </c>
      <c r="E9" s="16" t="s">
        <v>23</v>
      </c>
      <c r="F9" s="16" t="s">
        <v>23</v>
      </c>
      <c r="G9" s="44" t="s">
        <v>23</v>
      </c>
      <c r="H9" s="19"/>
      <c r="I9" s="16" t="s">
        <v>23</v>
      </c>
      <c r="J9" s="16" t="s">
        <v>23</v>
      </c>
      <c r="K9" s="16" t="s">
        <v>23</v>
      </c>
      <c r="L9" s="16" t="s">
        <v>23</v>
      </c>
      <c r="M9" s="16" t="s">
        <v>23</v>
      </c>
      <c r="N9" s="16" t="s">
        <v>23</v>
      </c>
      <c r="O9" s="16" t="s">
        <v>23</v>
      </c>
      <c r="P9" s="16" t="s">
        <v>23</v>
      </c>
      <c r="Q9" s="16" t="s">
        <v>23</v>
      </c>
      <c r="R9" s="16" t="s">
        <v>23</v>
      </c>
      <c r="S9" s="16" t="s">
        <v>23</v>
      </c>
      <c r="T9" s="16" t="s">
        <v>23</v>
      </c>
      <c r="U9" s="16" t="s">
        <v>23</v>
      </c>
      <c r="V9" s="16" t="s">
        <v>23</v>
      </c>
      <c r="W9" s="16" t="s">
        <v>23</v>
      </c>
      <c r="X9" s="16" t="s">
        <v>23</v>
      </c>
    </row>
    <row r="10" spans="1:24" ht="20.399999999999999" x14ac:dyDescent="0.3">
      <c r="A10" s="12" t="s">
        <v>388</v>
      </c>
      <c r="B10" s="12" t="s">
        <v>387</v>
      </c>
      <c r="C10" s="12" t="s">
        <v>97</v>
      </c>
      <c r="D10" s="12" t="s">
        <v>96</v>
      </c>
      <c r="E10" s="12" t="s">
        <v>95</v>
      </c>
      <c r="F10" s="12" t="s">
        <v>94</v>
      </c>
      <c r="G10" s="34" t="s">
        <v>93</v>
      </c>
      <c r="H10" s="19"/>
      <c r="I10" s="12" t="s">
        <v>91</v>
      </c>
      <c r="J10" s="12" t="s">
        <v>90</v>
      </c>
      <c r="K10" s="12" t="s">
        <v>386</v>
      </c>
      <c r="L10" s="12" t="s">
        <v>385</v>
      </c>
      <c r="M10" s="12" t="s">
        <v>384</v>
      </c>
      <c r="N10" s="12" t="s">
        <v>383</v>
      </c>
      <c r="O10" s="12" t="s">
        <v>92</v>
      </c>
      <c r="P10" s="12" t="s">
        <v>89</v>
      </c>
      <c r="Q10" s="12" t="s">
        <v>88</v>
      </c>
      <c r="R10" s="12" t="s">
        <v>87</v>
      </c>
      <c r="S10" s="12" t="s">
        <v>86</v>
      </c>
      <c r="T10" s="12" t="s">
        <v>85</v>
      </c>
      <c r="U10" s="12" t="s">
        <v>84</v>
      </c>
      <c r="V10" s="12" t="s">
        <v>83</v>
      </c>
      <c r="W10" s="12" t="s">
        <v>382</v>
      </c>
      <c r="X10" s="12" t="s">
        <v>381</v>
      </c>
    </row>
    <row r="11" spans="1:24" x14ac:dyDescent="0.3">
      <c r="A11" s="2" t="s">
        <v>380</v>
      </c>
      <c r="B11" s="2" t="s">
        <v>379</v>
      </c>
      <c r="C11" s="2" t="s">
        <v>360</v>
      </c>
      <c r="D11" s="2" t="s">
        <v>359</v>
      </c>
      <c r="E11" s="2" t="s">
        <v>80</v>
      </c>
      <c r="F11" s="2" t="s">
        <v>346</v>
      </c>
      <c r="G11" s="18" t="s">
        <v>23</v>
      </c>
      <c r="H11" s="19"/>
      <c r="I11" s="4">
        <v>46113</v>
      </c>
      <c r="J11" s="3">
        <v>201.3</v>
      </c>
      <c r="K11" s="3">
        <v>201.3</v>
      </c>
      <c r="L11" s="3">
        <v>8009.2</v>
      </c>
      <c r="M11" s="3">
        <v>805.2</v>
      </c>
      <c r="N11" s="3">
        <v>7204</v>
      </c>
      <c r="O11" s="2" t="s">
        <v>78</v>
      </c>
      <c r="P11" s="2" t="s">
        <v>23</v>
      </c>
      <c r="Q11" s="2" t="s">
        <v>77</v>
      </c>
      <c r="R11" s="2"/>
      <c r="S11" s="2">
        <v>2</v>
      </c>
      <c r="T11" s="3">
        <v>20</v>
      </c>
      <c r="U11" s="11">
        <v>1</v>
      </c>
      <c r="V11" s="3">
        <v>40</v>
      </c>
      <c r="W11" s="2" t="s">
        <v>23</v>
      </c>
      <c r="X11" s="2"/>
    </row>
    <row r="12" spans="1:24" x14ac:dyDescent="0.3">
      <c r="A12" s="2" t="s">
        <v>380</v>
      </c>
      <c r="B12" s="2" t="s">
        <v>379</v>
      </c>
      <c r="C12" s="2" t="s">
        <v>358</v>
      </c>
      <c r="D12" s="2" t="s">
        <v>357</v>
      </c>
      <c r="E12" s="2" t="s">
        <v>80</v>
      </c>
      <c r="F12" s="2" t="s">
        <v>346</v>
      </c>
      <c r="G12" s="18" t="s">
        <v>23</v>
      </c>
      <c r="H12" s="19"/>
      <c r="I12" s="4">
        <v>46113</v>
      </c>
      <c r="J12" s="3">
        <v>1.85</v>
      </c>
      <c r="K12" s="3">
        <v>1.85</v>
      </c>
      <c r="L12" s="3">
        <v>3075.52</v>
      </c>
      <c r="M12" s="3">
        <v>7.4</v>
      </c>
      <c r="N12" s="3">
        <v>3068.12</v>
      </c>
      <c r="O12" s="2" t="s">
        <v>78</v>
      </c>
      <c r="P12" s="2" t="s">
        <v>23</v>
      </c>
      <c r="Q12" s="2" t="s">
        <v>77</v>
      </c>
      <c r="R12" s="2"/>
      <c r="S12" s="2">
        <v>1</v>
      </c>
      <c r="T12" s="3">
        <v>20</v>
      </c>
      <c r="U12" s="11">
        <v>1</v>
      </c>
      <c r="V12" s="3">
        <v>20</v>
      </c>
      <c r="W12" s="2" t="s">
        <v>23</v>
      </c>
      <c r="X12" s="2"/>
    </row>
    <row r="13" spans="1:24" x14ac:dyDescent="0.3">
      <c r="A13" s="2" t="s">
        <v>380</v>
      </c>
      <c r="B13" s="2" t="s">
        <v>379</v>
      </c>
      <c r="C13" s="2" t="s">
        <v>356</v>
      </c>
      <c r="D13" s="2" t="s">
        <v>355</v>
      </c>
      <c r="E13" s="2" t="s">
        <v>80</v>
      </c>
      <c r="F13" s="2" t="s">
        <v>346</v>
      </c>
      <c r="G13" s="18" t="s">
        <v>23</v>
      </c>
      <c r="H13" s="19"/>
      <c r="I13" s="4">
        <v>46113</v>
      </c>
      <c r="J13" s="3">
        <v>140.65</v>
      </c>
      <c r="K13" s="3">
        <v>140.65</v>
      </c>
      <c r="L13" s="3">
        <v>2102.6</v>
      </c>
      <c r="M13" s="3">
        <v>472.6</v>
      </c>
      <c r="N13" s="3">
        <v>1630</v>
      </c>
      <c r="O13" s="2" t="s">
        <v>78</v>
      </c>
      <c r="P13" s="2" t="s">
        <v>23</v>
      </c>
      <c r="Q13" s="2" t="s">
        <v>77</v>
      </c>
      <c r="R13" s="2"/>
      <c r="S13" s="2">
        <v>1</v>
      </c>
      <c r="T13" s="3">
        <v>20</v>
      </c>
      <c r="U13" s="11">
        <v>1</v>
      </c>
      <c r="V13" s="3">
        <v>20</v>
      </c>
      <c r="W13" s="2" t="s">
        <v>23</v>
      </c>
      <c r="X13" s="2"/>
    </row>
    <row r="14" spans="1:24" x14ac:dyDescent="0.3">
      <c r="A14" s="2" t="s">
        <v>380</v>
      </c>
      <c r="B14" s="2" t="s">
        <v>379</v>
      </c>
      <c r="C14" s="2" t="s">
        <v>354</v>
      </c>
      <c r="D14" s="2" t="s">
        <v>353</v>
      </c>
      <c r="E14" s="2" t="s">
        <v>80</v>
      </c>
      <c r="F14" s="2" t="s">
        <v>346</v>
      </c>
      <c r="G14" s="18" t="s">
        <v>23</v>
      </c>
      <c r="H14" s="19"/>
      <c r="I14" s="4">
        <v>46113</v>
      </c>
      <c r="J14" s="3">
        <v>92.05</v>
      </c>
      <c r="K14" s="3">
        <v>92.05</v>
      </c>
      <c r="L14" s="3">
        <v>2156.1999999999998</v>
      </c>
      <c r="M14" s="3">
        <v>368.2</v>
      </c>
      <c r="N14" s="3">
        <v>1788</v>
      </c>
      <c r="O14" s="2" t="s">
        <v>78</v>
      </c>
      <c r="P14" s="2" t="s">
        <v>23</v>
      </c>
      <c r="Q14" s="2" t="s">
        <v>77</v>
      </c>
      <c r="R14" s="2"/>
      <c r="S14" s="2">
        <v>1</v>
      </c>
      <c r="T14" s="3">
        <v>20</v>
      </c>
      <c r="U14" s="11">
        <v>1</v>
      </c>
      <c r="V14" s="3">
        <v>20</v>
      </c>
      <c r="W14" s="2" t="s">
        <v>23</v>
      </c>
      <c r="X14" s="2"/>
    </row>
    <row r="15" spans="1:24" x14ac:dyDescent="0.3">
      <c r="A15" s="2" t="s">
        <v>380</v>
      </c>
      <c r="B15" s="2" t="s">
        <v>379</v>
      </c>
      <c r="C15" s="2" t="s">
        <v>352</v>
      </c>
      <c r="D15" s="2" t="s">
        <v>351</v>
      </c>
      <c r="E15" s="2" t="s">
        <v>80</v>
      </c>
      <c r="F15" s="2" t="s">
        <v>346</v>
      </c>
      <c r="G15" s="18" t="s">
        <v>23</v>
      </c>
      <c r="H15" s="19"/>
      <c r="I15" s="4">
        <v>46113</v>
      </c>
      <c r="J15" s="3">
        <v>3.06</v>
      </c>
      <c r="K15" s="3">
        <v>91.69</v>
      </c>
      <c r="L15" s="3">
        <v>5104.16</v>
      </c>
      <c r="M15" s="3">
        <v>278.13</v>
      </c>
      <c r="N15" s="3">
        <v>4826.03</v>
      </c>
      <c r="O15" s="2" t="s">
        <v>78</v>
      </c>
      <c r="P15" s="2" t="s">
        <v>23</v>
      </c>
      <c r="Q15" s="2" t="s">
        <v>77</v>
      </c>
      <c r="R15" s="2"/>
      <c r="S15" s="2">
        <v>2</v>
      </c>
      <c r="T15" s="3">
        <v>20</v>
      </c>
      <c r="U15" s="11">
        <v>1</v>
      </c>
      <c r="V15" s="3">
        <v>40</v>
      </c>
      <c r="W15" s="2" t="s">
        <v>23</v>
      </c>
      <c r="X15" s="2"/>
    </row>
    <row r="16" spans="1:24" x14ac:dyDescent="0.3">
      <c r="A16" s="2" t="s">
        <v>380</v>
      </c>
      <c r="B16" s="2" t="s">
        <v>379</v>
      </c>
      <c r="C16" s="2" t="s">
        <v>350</v>
      </c>
      <c r="D16" s="2" t="s">
        <v>349</v>
      </c>
      <c r="E16" s="2" t="s">
        <v>80</v>
      </c>
      <c r="F16" s="2" t="s">
        <v>346</v>
      </c>
      <c r="G16" s="18" t="s">
        <v>23</v>
      </c>
      <c r="H16" s="19"/>
      <c r="I16" s="4">
        <v>46113</v>
      </c>
      <c r="J16" s="3">
        <v>10.08</v>
      </c>
      <c r="K16" s="3">
        <v>10.08</v>
      </c>
      <c r="L16" s="3">
        <v>3576.32</v>
      </c>
      <c r="M16" s="3">
        <v>40.32</v>
      </c>
      <c r="N16" s="3">
        <v>3536</v>
      </c>
      <c r="O16" s="2" t="s">
        <v>78</v>
      </c>
      <c r="P16" s="2" t="s">
        <v>23</v>
      </c>
      <c r="Q16" s="2" t="s">
        <v>77</v>
      </c>
      <c r="R16" s="2"/>
      <c r="S16" s="2">
        <v>1</v>
      </c>
      <c r="T16" s="3">
        <v>20</v>
      </c>
      <c r="U16" s="11">
        <v>1</v>
      </c>
      <c r="V16" s="3">
        <v>20</v>
      </c>
      <c r="W16" s="2" t="s">
        <v>23</v>
      </c>
      <c r="X16" s="2"/>
    </row>
    <row r="17" spans="1:24" x14ac:dyDescent="0.3">
      <c r="A17" s="2" t="s">
        <v>380</v>
      </c>
      <c r="B17" s="2" t="s">
        <v>379</v>
      </c>
      <c r="C17" s="2" t="s">
        <v>348</v>
      </c>
      <c r="D17" s="2" t="s">
        <v>347</v>
      </c>
      <c r="E17" s="2" t="s">
        <v>80</v>
      </c>
      <c r="F17" s="2" t="s">
        <v>346</v>
      </c>
      <c r="G17" s="18" t="s">
        <v>23</v>
      </c>
      <c r="H17" s="19"/>
      <c r="I17" s="4">
        <v>46113</v>
      </c>
      <c r="J17" s="3">
        <v>1.03</v>
      </c>
      <c r="K17" s="3">
        <v>1.03</v>
      </c>
      <c r="L17" s="3">
        <v>1283.6099999999999</v>
      </c>
      <c r="M17" s="3">
        <v>3.09</v>
      </c>
      <c r="N17" s="3">
        <v>1280.52</v>
      </c>
      <c r="O17" s="2" t="s">
        <v>78</v>
      </c>
      <c r="P17" s="2" t="s">
        <v>23</v>
      </c>
      <c r="Q17" s="2" t="s">
        <v>77</v>
      </c>
      <c r="R17" s="2"/>
      <c r="S17" s="2">
        <v>1</v>
      </c>
      <c r="T17" s="3">
        <v>20</v>
      </c>
      <c r="U17" s="11">
        <v>1</v>
      </c>
      <c r="V17" s="3">
        <v>20</v>
      </c>
      <c r="W17" s="2" t="s">
        <v>23</v>
      </c>
      <c r="X17" s="2"/>
    </row>
    <row r="18" spans="1:24" ht="20.399999999999999" x14ac:dyDescent="0.3">
      <c r="A18" s="2" t="s">
        <v>377</v>
      </c>
      <c r="B18" s="2" t="s">
        <v>376</v>
      </c>
      <c r="C18" s="2"/>
      <c r="D18" s="2" t="s">
        <v>149</v>
      </c>
      <c r="E18" s="2"/>
      <c r="F18" s="2"/>
      <c r="G18" s="18" t="s">
        <v>372</v>
      </c>
      <c r="H18" s="19"/>
      <c r="I18" s="2"/>
      <c r="J18" s="2"/>
      <c r="K18" s="2"/>
      <c r="L18" s="3">
        <v>0</v>
      </c>
      <c r="M18" s="2"/>
      <c r="N18" s="2"/>
      <c r="O18" s="2" t="s">
        <v>343</v>
      </c>
      <c r="P18" s="2" t="s">
        <v>23</v>
      </c>
      <c r="Q18" s="2" t="s">
        <v>371</v>
      </c>
      <c r="R18" s="2"/>
      <c r="S18" s="2"/>
      <c r="T18" s="2"/>
      <c r="U18" s="2"/>
      <c r="V18" s="3">
        <v>1500</v>
      </c>
      <c r="W18" s="2" t="s">
        <v>23</v>
      </c>
      <c r="X18" s="2" t="s">
        <v>342</v>
      </c>
    </row>
    <row r="19" spans="1:24" ht="30.6" x14ac:dyDescent="0.3">
      <c r="A19" s="2" t="s">
        <v>377</v>
      </c>
      <c r="B19" s="2" t="s">
        <v>378</v>
      </c>
      <c r="C19" s="2"/>
      <c r="D19" s="2" t="s">
        <v>149</v>
      </c>
      <c r="E19" s="2"/>
      <c r="F19" s="2"/>
      <c r="G19" s="18" t="s">
        <v>372</v>
      </c>
      <c r="H19" s="19"/>
      <c r="I19" s="2"/>
      <c r="J19" s="2"/>
      <c r="K19" s="2"/>
      <c r="L19" s="3">
        <v>0</v>
      </c>
      <c r="M19" s="2"/>
      <c r="N19" s="2"/>
      <c r="O19" s="2" t="s">
        <v>148</v>
      </c>
      <c r="P19" s="2" t="s">
        <v>23</v>
      </c>
      <c r="Q19" s="2" t="s">
        <v>371</v>
      </c>
      <c r="R19" s="2"/>
      <c r="S19" s="2"/>
      <c r="T19" s="2"/>
      <c r="U19" s="2"/>
      <c r="V19" s="3">
        <v>592.45000000000005</v>
      </c>
      <c r="W19" s="2" t="s">
        <v>23</v>
      </c>
      <c r="X19" s="2" t="s">
        <v>147</v>
      </c>
    </row>
    <row r="20" spans="1:24" x14ac:dyDescent="0.3">
      <c r="A20" s="2" t="s">
        <v>377</v>
      </c>
      <c r="B20" s="2" t="s">
        <v>376</v>
      </c>
      <c r="C20" s="2" t="s">
        <v>341</v>
      </c>
      <c r="D20" s="2" t="s">
        <v>340</v>
      </c>
      <c r="E20" s="2" t="s">
        <v>80</v>
      </c>
      <c r="F20" s="2" t="s">
        <v>79</v>
      </c>
      <c r="G20" s="18" t="s">
        <v>23</v>
      </c>
      <c r="H20" s="19"/>
      <c r="I20" s="4">
        <v>46113</v>
      </c>
      <c r="J20" s="3">
        <v>486.35</v>
      </c>
      <c r="K20" s="3">
        <v>486.35</v>
      </c>
      <c r="L20" s="3">
        <v>1945.4</v>
      </c>
      <c r="M20" s="3">
        <v>1945.4</v>
      </c>
      <c r="N20" s="3">
        <v>0</v>
      </c>
      <c r="O20" s="2" t="s">
        <v>78</v>
      </c>
      <c r="P20" s="2" t="s">
        <v>23</v>
      </c>
      <c r="Q20" s="2" t="s">
        <v>77</v>
      </c>
      <c r="R20" s="2"/>
      <c r="S20" s="2">
        <v>1</v>
      </c>
      <c r="T20" s="3">
        <v>23</v>
      </c>
      <c r="U20" s="11">
        <v>1</v>
      </c>
      <c r="V20" s="3">
        <v>23</v>
      </c>
      <c r="W20" s="2" t="s">
        <v>23</v>
      </c>
      <c r="X20" s="2"/>
    </row>
    <row r="21" spans="1:24" x14ac:dyDescent="0.3">
      <c r="A21" s="2" t="s">
        <v>377</v>
      </c>
      <c r="B21" s="2" t="s">
        <v>376</v>
      </c>
      <c r="C21" s="2" t="s">
        <v>339</v>
      </c>
      <c r="D21" s="2" t="s">
        <v>338</v>
      </c>
      <c r="E21" s="2" t="s">
        <v>80</v>
      </c>
      <c r="F21" s="2" t="s">
        <v>79</v>
      </c>
      <c r="G21" s="18" t="s">
        <v>23</v>
      </c>
      <c r="H21" s="19"/>
      <c r="I21" s="4">
        <v>46113</v>
      </c>
      <c r="J21" s="3">
        <v>602.71</v>
      </c>
      <c r="K21" s="3">
        <v>602.71</v>
      </c>
      <c r="L21" s="3">
        <v>2410.84</v>
      </c>
      <c r="M21" s="3">
        <v>2410.84</v>
      </c>
      <c r="N21" s="3">
        <v>0</v>
      </c>
      <c r="O21" s="2" t="s">
        <v>78</v>
      </c>
      <c r="P21" s="2" t="s">
        <v>23</v>
      </c>
      <c r="Q21" s="2" t="s">
        <v>77</v>
      </c>
      <c r="R21" s="2"/>
      <c r="S21" s="2">
        <v>1</v>
      </c>
      <c r="T21" s="3">
        <v>23</v>
      </c>
      <c r="U21" s="11">
        <v>1</v>
      </c>
      <c r="V21" s="3">
        <v>23</v>
      </c>
      <c r="W21" s="2" t="s">
        <v>23</v>
      </c>
      <c r="X21" s="2"/>
    </row>
    <row r="22" spans="1:24" x14ac:dyDescent="0.3">
      <c r="A22" s="2" t="s">
        <v>377</v>
      </c>
      <c r="B22" s="2" t="s">
        <v>376</v>
      </c>
      <c r="C22" s="2" t="s">
        <v>337</v>
      </c>
      <c r="D22" s="2" t="s">
        <v>336</v>
      </c>
      <c r="E22" s="2" t="s">
        <v>80</v>
      </c>
      <c r="F22" s="2" t="s">
        <v>79</v>
      </c>
      <c r="G22" s="18" t="s">
        <v>23</v>
      </c>
      <c r="H22" s="19"/>
      <c r="I22" s="4">
        <v>46113</v>
      </c>
      <c r="J22" s="3">
        <v>486.48</v>
      </c>
      <c r="K22" s="3">
        <v>486.48</v>
      </c>
      <c r="L22" s="3">
        <v>3833.36</v>
      </c>
      <c r="M22" s="3">
        <v>1945.92</v>
      </c>
      <c r="N22" s="3">
        <v>1887.44</v>
      </c>
      <c r="O22" s="2" t="s">
        <v>78</v>
      </c>
      <c r="P22" s="2" t="s">
        <v>23</v>
      </c>
      <c r="Q22" s="2" t="s">
        <v>77</v>
      </c>
      <c r="R22" s="2"/>
      <c r="S22" s="2">
        <v>1</v>
      </c>
      <c r="T22" s="3">
        <v>23</v>
      </c>
      <c r="U22" s="11">
        <v>1</v>
      </c>
      <c r="V22" s="3">
        <v>23</v>
      </c>
      <c r="W22" s="2" t="s">
        <v>23</v>
      </c>
      <c r="X22" s="2"/>
    </row>
    <row r="23" spans="1:24" x14ac:dyDescent="0.3">
      <c r="A23" s="2" t="s">
        <v>377</v>
      </c>
      <c r="B23" s="2" t="s">
        <v>376</v>
      </c>
      <c r="C23" s="2" t="s">
        <v>335</v>
      </c>
      <c r="D23" s="2" t="s">
        <v>334</v>
      </c>
      <c r="E23" s="2" t="s">
        <v>80</v>
      </c>
      <c r="F23" s="2" t="s">
        <v>79</v>
      </c>
      <c r="G23" s="18" t="s">
        <v>23</v>
      </c>
      <c r="H23" s="19"/>
      <c r="I23" s="4">
        <v>46113</v>
      </c>
      <c r="J23" s="3">
        <v>7.98</v>
      </c>
      <c r="K23" s="3">
        <v>203.34</v>
      </c>
      <c r="L23" s="3">
        <v>994.08</v>
      </c>
      <c r="M23" s="3">
        <v>813.36</v>
      </c>
      <c r="N23" s="3">
        <v>180.72</v>
      </c>
      <c r="O23" s="2" t="s">
        <v>78</v>
      </c>
      <c r="P23" s="2" t="s">
        <v>23</v>
      </c>
      <c r="Q23" s="2" t="s">
        <v>77</v>
      </c>
      <c r="R23" s="2"/>
      <c r="S23" s="2">
        <v>1</v>
      </c>
      <c r="T23" s="3">
        <v>23</v>
      </c>
      <c r="U23" s="11">
        <v>1</v>
      </c>
      <c r="V23" s="3">
        <v>23</v>
      </c>
      <c r="W23" s="2" t="s">
        <v>23</v>
      </c>
      <c r="X23" s="2"/>
    </row>
    <row r="24" spans="1:24" x14ac:dyDescent="0.3">
      <c r="A24" s="2" t="s">
        <v>377</v>
      </c>
      <c r="B24" s="2" t="s">
        <v>376</v>
      </c>
      <c r="C24" s="2" t="s">
        <v>333</v>
      </c>
      <c r="D24" s="2" t="s">
        <v>332</v>
      </c>
      <c r="E24" s="2" t="s">
        <v>80</v>
      </c>
      <c r="F24" s="2" t="s">
        <v>79</v>
      </c>
      <c r="G24" s="18" t="s">
        <v>23</v>
      </c>
      <c r="H24" s="19"/>
      <c r="I24" s="4">
        <v>46113</v>
      </c>
      <c r="J24" s="3">
        <v>397.72</v>
      </c>
      <c r="K24" s="3">
        <v>397.72</v>
      </c>
      <c r="L24" s="3">
        <v>1590.88</v>
      </c>
      <c r="M24" s="3">
        <v>1590.88</v>
      </c>
      <c r="N24" s="3">
        <v>0</v>
      </c>
      <c r="O24" s="2" t="s">
        <v>78</v>
      </c>
      <c r="P24" s="2" t="s">
        <v>23</v>
      </c>
      <c r="Q24" s="2" t="s">
        <v>77</v>
      </c>
      <c r="R24" s="2"/>
      <c r="S24" s="2">
        <v>1</v>
      </c>
      <c r="T24" s="3">
        <v>23</v>
      </c>
      <c r="U24" s="11">
        <v>1</v>
      </c>
      <c r="V24" s="3">
        <v>23</v>
      </c>
      <c r="W24" s="2" t="s">
        <v>23</v>
      </c>
      <c r="X24" s="2"/>
    </row>
    <row r="25" spans="1:24" x14ac:dyDescent="0.3">
      <c r="A25" s="2" t="s">
        <v>377</v>
      </c>
      <c r="B25" s="2" t="s">
        <v>376</v>
      </c>
      <c r="C25" s="2" t="s">
        <v>331</v>
      </c>
      <c r="D25" s="2" t="s">
        <v>330</v>
      </c>
      <c r="E25" s="2" t="s">
        <v>80</v>
      </c>
      <c r="F25" s="2" t="s">
        <v>79</v>
      </c>
      <c r="G25" s="18" t="s">
        <v>23</v>
      </c>
      <c r="H25" s="19"/>
      <c r="I25" s="4">
        <v>46113</v>
      </c>
      <c r="J25" s="3">
        <v>1072.8800000000001</v>
      </c>
      <c r="K25" s="3">
        <v>1072.8800000000001</v>
      </c>
      <c r="L25" s="3">
        <v>11858.72</v>
      </c>
      <c r="M25" s="3">
        <v>10726.72</v>
      </c>
      <c r="N25" s="3">
        <v>1132</v>
      </c>
      <c r="O25" s="2" t="s">
        <v>78</v>
      </c>
      <c r="P25" s="2" t="s">
        <v>23</v>
      </c>
      <c r="Q25" s="2" t="s">
        <v>77</v>
      </c>
      <c r="R25" s="2"/>
      <c r="S25" s="2">
        <v>2</v>
      </c>
      <c r="T25" s="3">
        <v>23</v>
      </c>
      <c r="U25" s="11">
        <v>1</v>
      </c>
      <c r="V25" s="3">
        <v>46</v>
      </c>
      <c r="W25" s="2" t="s">
        <v>23</v>
      </c>
      <c r="X25" s="2"/>
    </row>
    <row r="26" spans="1:24" x14ac:dyDescent="0.3">
      <c r="A26" s="2" t="s">
        <v>377</v>
      </c>
      <c r="B26" s="2" t="s">
        <v>376</v>
      </c>
      <c r="C26" s="2" t="s">
        <v>329</v>
      </c>
      <c r="D26" s="2" t="s">
        <v>328</v>
      </c>
      <c r="E26" s="2" t="s">
        <v>80</v>
      </c>
      <c r="F26" s="2" t="s">
        <v>79</v>
      </c>
      <c r="G26" s="18" t="s">
        <v>23</v>
      </c>
      <c r="H26" s="19"/>
      <c r="I26" s="4">
        <v>46113</v>
      </c>
      <c r="J26" s="3">
        <v>207.55</v>
      </c>
      <c r="K26" s="3">
        <v>207.55</v>
      </c>
      <c r="L26" s="3">
        <v>2244.44</v>
      </c>
      <c r="M26" s="3">
        <v>830.2</v>
      </c>
      <c r="N26" s="3">
        <v>1414.24</v>
      </c>
      <c r="O26" s="2" t="s">
        <v>78</v>
      </c>
      <c r="P26" s="2" t="s">
        <v>23</v>
      </c>
      <c r="Q26" s="2" t="s">
        <v>77</v>
      </c>
      <c r="R26" s="2"/>
      <c r="S26" s="2">
        <v>1</v>
      </c>
      <c r="T26" s="3">
        <v>23</v>
      </c>
      <c r="U26" s="11">
        <v>1</v>
      </c>
      <c r="V26" s="3">
        <v>23</v>
      </c>
      <c r="W26" s="2" t="s">
        <v>23</v>
      </c>
      <c r="X26" s="2"/>
    </row>
    <row r="27" spans="1:24" x14ac:dyDescent="0.3">
      <c r="A27" s="2" t="s">
        <v>377</v>
      </c>
      <c r="B27" s="2" t="s">
        <v>376</v>
      </c>
      <c r="C27" s="2" t="s">
        <v>327</v>
      </c>
      <c r="D27" s="2" t="s">
        <v>326</v>
      </c>
      <c r="E27" s="2" t="s">
        <v>80</v>
      </c>
      <c r="F27" s="2" t="s">
        <v>79</v>
      </c>
      <c r="G27" s="18" t="s">
        <v>23</v>
      </c>
      <c r="H27" s="19"/>
      <c r="I27" s="4">
        <v>46113</v>
      </c>
      <c r="J27" s="3">
        <v>2670.98</v>
      </c>
      <c r="K27" s="3">
        <v>2670.98</v>
      </c>
      <c r="L27" s="3">
        <v>10683.92</v>
      </c>
      <c r="M27" s="3">
        <v>10683.92</v>
      </c>
      <c r="N27" s="3">
        <v>0</v>
      </c>
      <c r="O27" s="2" t="s">
        <v>78</v>
      </c>
      <c r="P27" s="2" t="s">
        <v>23</v>
      </c>
      <c r="Q27" s="2" t="s">
        <v>77</v>
      </c>
      <c r="R27" s="2"/>
      <c r="S27" s="2">
        <v>5</v>
      </c>
      <c r="T27" s="3">
        <v>23</v>
      </c>
      <c r="U27" s="11">
        <v>1</v>
      </c>
      <c r="V27" s="3">
        <v>115</v>
      </c>
      <c r="W27" s="2" t="s">
        <v>23</v>
      </c>
      <c r="X27" s="2"/>
    </row>
    <row r="28" spans="1:24" x14ac:dyDescent="0.3">
      <c r="A28" s="2" t="s">
        <v>377</v>
      </c>
      <c r="B28" s="2" t="s">
        <v>376</v>
      </c>
      <c r="C28" s="2" t="s">
        <v>325</v>
      </c>
      <c r="D28" s="2" t="s">
        <v>324</v>
      </c>
      <c r="E28" s="2" t="s">
        <v>80</v>
      </c>
      <c r="F28" s="2" t="s">
        <v>79</v>
      </c>
      <c r="G28" s="18" t="s">
        <v>23</v>
      </c>
      <c r="H28" s="19"/>
      <c r="I28" s="4">
        <v>46113</v>
      </c>
      <c r="J28" s="3">
        <v>386.34</v>
      </c>
      <c r="K28" s="3">
        <v>386.34</v>
      </c>
      <c r="L28" s="3">
        <v>3036.4</v>
      </c>
      <c r="M28" s="3">
        <v>1545.36</v>
      </c>
      <c r="N28" s="3">
        <v>1491.04</v>
      </c>
      <c r="O28" s="2" t="s">
        <v>78</v>
      </c>
      <c r="P28" s="2" t="s">
        <v>23</v>
      </c>
      <c r="Q28" s="2" t="s">
        <v>77</v>
      </c>
      <c r="R28" s="2"/>
      <c r="S28" s="2">
        <v>3</v>
      </c>
      <c r="T28" s="3">
        <v>23</v>
      </c>
      <c r="U28" s="11">
        <v>1</v>
      </c>
      <c r="V28" s="3">
        <v>69</v>
      </c>
      <c r="W28" s="2" t="s">
        <v>23</v>
      </c>
      <c r="X28" s="2"/>
    </row>
    <row r="29" spans="1:24" x14ac:dyDescent="0.3">
      <c r="A29" s="2" t="s">
        <v>377</v>
      </c>
      <c r="B29" s="2" t="s">
        <v>376</v>
      </c>
      <c r="C29" s="2" t="s">
        <v>323</v>
      </c>
      <c r="D29" s="2" t="s">
        <v>322</v>
      </c>
      <c r="E29" s="2" t="s">
        <v>80</v>
      </c>
      <c r="F29" s="2" t="s">
        <v>79</v>
      </c>
      <c r="G29" s="18" t="s">
        <v>23</v>
      </c>
      <c r="H29" s="19"/>
      <c r="I29" s="4">
        <v>46113</v>
      </c>
      <c r="J29" s="3">
        <v>146.76</v>
      </c>
      <c r="K29" s="3">
        <v>146.76</v>
      </c>
      <c r="L29" s="3">
        <v>2197.02</v>
      </c>
      <c r="M29" s="3">
        <v>440.28</v>
      </c>
      <c r="N29" s="3">
        <v>1756.74</v>
      </c>
      <c r="O29" s="2" t="s">
        <v>78</v>
      </c>
      <c r="P29" s="2" t="s">
        <v>23</v>
      </c>
      <c r="Q29" s="2" t="s">
        <v>77</v>
      </c>
      <c r="R29" s="2"/>
      <c r="S29" s="2">
        <v>1</v>
      </c>
      <c r="T29" s="3">
        <v>23</v>
      </c>
      <c r="U29" s="11">
        <v>1</v>
      </c>
      <c r="V29" s="3">
        <v>23</v>
      </c>
      <c r="W29" s="2" t="s">
        <v>23</v>
      </c>
      <c r="X29" s="2"/>
    </row>
    <row r="30" spans="1:24" x14ac:dyDescent="0.3">
      <c r="A30" s="2" t="s">
        <v>377</v>
      </c>
      <c r="B30" s="2" t="s">
        <v>376</v>
      </c>
      <c r="C30" s="2" t="s">
        <v>321</v>
      </c>
      <c r="D30" s="2" t="s">
        <v>320</v>
      </c>
      <c r="E30" s="2" t="s">
        <v>80</v>
      </c>
      <c r="F30" s="2" t="s">
        <v>79</v>
      </c>
      <c r="G30" s="18" t="s">
        <v>23</v>
      </c>
      <c r="H30" s="19"/>
      <c r="I30" s="4">
        <v>46082</v>
      </c>
      <c r="J30" s="3">
        <v>148.91999999999999</v>
      </c>
      <c r="K30" s="3">
        <v>148.91999999999999</v>
      </c>
      <c r="L30" s="3">
        <v>3793.35</v>
      </c>
      <c r="M30" s="3">
        <v>550.91</v>
      </c>
      <c r="N30" s="3">
        <v>3242.44</v>
      </c>
      <c r="O30" s="2" t="s">
        <v>78</v>
      </c>
      <c r="P30" s="2" t="s">
        <v>23</v>
      </c>
      <c r="Q30" s="2" t="s">
        <v>77</v>
      </c>
      <c r="R30" s="2"/>
      <c r="S30" s="2">
        <v>1</v>
      </c>
      <c r="T30" s="3">
        <v>23</v>
      </c>
      <c r="U30" s="11">
        <v>1</v>
      </c>
      <c r="V30" s="3">
        <v>23</v>
      </c>
      <c r="W30" s="2" t="s">
        <v>23</v>
      </c>
      <c r="X30" s="2"/>
    </row>
    <row r="31" spans="1:24" x14ac:dyDescent="0.3">
      <c r="A31" s="2" t="s">
        <v>377</v>
      </c>
      <c r="B31" s="2" t="s">
        <v>376</v>
      </c>
      <c r="C31" s="2" t="s">
        <v>319</v>
      </c>
      <c r="D31" s="2" t="s">
        <v>318</v>
      </c>
      <c r="E31" s="2" t="s">
        <v>80</v>
      </c>
      <c r="F31" s="2" t="s">
        <v>79</v>
      </c>
      <c r="G31" s="18" t="s">
        <v>23</v>
      </c>
      <c r="H31" s="19"/>
      <c r="I31" s="4">
        <v>46113</v>
      </c>
      <c r="J31" s="3">
        <v>1670.97</v>
      </c>
      <c r="K31" s="3">
        <v>1670.97</v>
      </c>
      <c r="L31" s="3">
        <v>6683.88</v>
      </c>
      <c r="M31" s="3">
        <v>6683.88</v>
      </c>
      <c r="N31" s="3">
        <v>0</v>
      </c>
      <c r="O31" s="2" t="s">
        <v>78</v>
      </c>
      <c r="P31" s="2" t="s">
        <v>23</v>
      </c>
      <c r="Q31" s="2" t="s">
        <v>77</v>
      </c>
      <c r="R31" s="2"/>
      <c r="S31" s="2">
        <v>2</v>
      </c>
      <c r="T31" s="3">
        <v>23</v>
      </c>
      <c r="U31" s="11">
        <v>1</v>
      </c>
      <c r="V31" s="3">
        <v>46</v>
      </c>
      <c r="W31" s="2" t="s">
        <v>23</v>
      </c>
      <c r="X31" s="2"/>
    </row>
    <row r="32" spans="1:24" x14ac:dyDescent="0.3">
      <c r="A32" s="2" t="s">
        <v>377</v>
      </c>
      <c r="B32" s="2" t="s">
        <v>376</v>
      </c>
      <c r="C32" s="2" t="s">
        <v>317</v>
      </c>
      <c r="D32" s="2" t="s">
        <v>316</v>
      </c>
      <c r="E32" s="2" t="s">
        <v>80</v>
      </c>
      <c r="F32" s="2" t="s">
        <v>79</v>
      </c>
      <c r="G32" s="18" t="s">
        <v>23</v>
      </c>
      <c r="H32" s="19"/>
      <c r="I32" s="4">
        <v>46113</v>
      </c>
      <c r="J32" s="3">
        <v>428.94</v>
      </c>
      <c r="K32" s="3">
        <v>428.94</v>
      </c>
      <c r="L32" s="3">
        <v>1715.76</v>
      </c>
      <c r="M32" s="3">
        <v>1715.76</v>
      </c>
      <c r="N32" s="3">
        <v>0</v>
      </c>
      <c r="O32" s="2" t="s">
        <v>78</v>
      </c>
      <c r="P32" s="2" t="s">
        <v>23</v>
      </c>
      <c r="Q32" s="2" t="s">
        <v>77</v>
      </c>
      <c r="R32" s="2"/>
      <c r="S32" s="2">
        <v>1</v>
      </c>
      <c r="T32" s="3">
        <v>23</v>
      </c>
      <c r="U32" s="11">
        <v>1</v>
      </c>
      <c r="V32" s="3">
        <v>23</v>
      </c>
      <c r="W32" s="2" t="s">
        <v>23</v>
      </c>
      <c r="X32" s="2"/>
    </row>
    <row r="33" spans="1:24" x14ac:dyDescent="0.3">
      <c r="A33" s="2" t="s">
        <v>377</v>
      </c>
      <c r="B33" s="2" t="s">
        <v>376</v>
      </c>
      <c r="C33" s="2" t="s">
        <v>315</v>
      </c>
      <c r="D33" s="2" t="s">
        <v>314</v>
      </c>
      <c r="E33" s="2" t="s">
        <v>80</v>
      </c>
      <c r="F33" s="2" t="s">
        <v>79</v>
      </c>
      <c r="G33" s="18" t="s">
        <v>23</v>
      </c>
      <c r="H33" s="19"/>
      <c r="I33" s="4">
        <v>46113</v>
      </c>
      <c r="J33" s="3">
        <v>130.63</v>
      </c>
      <c r="K33" s="3">
        <v>130.63</v>
      </c>
      <c r="L33" s="3">
        <v>2560.66</v>
      </c>
      <c r="M33" s="3">
        <v>1174.22</v>
      </c>
      <c r="N33" s="3">
        <v>1386.44</v>
      </c>
      <c r="O33" s="2" t="s">
        <v>78</v>
      </c>
      <c r="P33" s="2" t="s">
        <v>23</v>
      </c>
      <c r="Q33" s="2" t="s">
        <v>77</v>
      </c>
      <c r="R33" s="2"/>
      <c r="S33" s="2">
        <v>1</v>
      </c>
      <c r="T33" s="3">
        <v>23</v>
      </c>
      <c r="U33" s="11">
        <v>1</v>
      </c>
      <c r="V33" s="3">
        <v>23</v>
      </c>
      <c r="W33" s="2" t="s">
        <v>23</v>
      </c>
      <c r="X33" s="2"/>
    </row>
    <row r="34" spans="1:24" x14ac:dyDescent="0.3">
      <c r="A34" s="2" t="s">
        <v>377</v>
      </c>
      <c r="B34" s="2" t="s">
        <v>376</v>
      </c>
      <c r="C34" s="2" t="s">
        <v>313</v>
      </c>
      <c r="D34" s="2" t="s">
        <v>312</v>
      </c>
      <c r="E34" s="2" t="s">
        <v>80</v>
      </c>
      <c r="F34" s="2" t="s">
        <v>79</v>
      </c>
      <c r="G34" s="18" t="s">
        <v>23</v>
      </c>
      <c r="H34" s="19"/>
      <c r="I34" s="4">
        <v>46113</v>
      </c>
      <c r="J34" s="3">
        <v>149.83000000000001</v>
      </c>
      <c r="K34" s="3">
        <v>149.83000000000001</v>
      </c>
      <c r="L34" s="3">
        <v>3345.6</v>
      </c>
      <c r="M34" s="3">
        <v>599.32000000000005</v>
      </c>
      <c r="N34" s="3">
        <v>2746.28</v>
      </c>
      <c r="O34" s="2" t="s">
        <v>78</v>
      </c>
      <c r="P34" s="2" t="s">
        <v>23</v>
      </c>
      <c r="Q34" s="2" t="s">
        <v>77</v>
      </c>
      <c r="R34" s="2"/>
      <c r="S34" s="2">
        <v>1</v>
      </c>
      <c r="T34" s="3">
        <v>23</v>
      </c>
      <c r="U34" s="11">
        <v>1</v>
      </c>
      <c r="V34" s="3">
        <v>23</v>
      </c>
      <c r="W34" s="2" t="s">
        <v>23</v>
      </c>
      <c r="X34" s="2"/>
    </row>
    <row r="35" spans="1:24" x14ac:dyDescent="0.3">
      <c r="A35" s="2" t="s">
        <v>377</v>
      </c>
      <c r="B35" s="2" t="s">
        <v>376</v>
      </c>
      <c r="C35" s="2" t="s">
        <v>311</v>
      </c>
      <c r="D35" s="2" t="s">
        <v>310</v>
      </c>
      <c r="E35" s="2" t="s">
        <v>80</v>
      </c>
      <c r="F35" s="2" t="s">
        <v>79</v>
      </c>
      <c r="G35" s="18" t="s">
        <v>23</v>
      </c>
      <c r="H35" s="19"/>
      <c r="I35" s="4">
        <v>46113</v>
      </c>
      <c r="J35" s="3">
        <v>1.41</v>
      </c>
      <c r="K35" s="3">
        <v>1.41</v>
      </c>
      <c r="L35" s="3">
        <v>8371.0499999999993</v>
      </c>
      <c r="M35" s="3">
        <v>11.74</v>
      </c>
      <c r="N35" s="3">
        <v>8359.31</v>
      </c>
      <c r="O35" s="2" t="s">
        <v>78</v>
      </c>
      <c r="P35" s="2" t="s">
        <v>23</v>
      </c>
      <c r="Q35" s="2" t="s">
        <v>77</v>
      </c>
      <c r="R35" s="2"/>
      <c r="S35" s="2">
        <v>1</v>
      </c>
      <c r="T35" s="3">
        <v>23</v>
      </c>
      <c r="U35" s="11">
        <v>1</v>
      </c>
      <c r="V35" s="3">
        <v>23</v>
      </c>
      <c r="W35" s="2" t="s">
        <v>23</v>
      </c>
      <c r="X35" s="2"/>
    </row>
    <row r="36" spans="1:24" x14ac:dyDescent="0.3">
      <c r="A36" s="2" t="s">
        <v>377</v>
      </c>
      <c r="B36" s="2" t="s">
        <v>376</v>
      </c>
      <c r="C36" s="2" t="s">
        <v>309</v>
      </c>
      <c r="D36" s="2" t="s">
        <v>308</v>
      </c>
      <c r="E36" s="2" t="s">
        <v>80</v>
      </c>
      <c r="F36" s="2" t="s">
        <v>79</v>
      </c>
      <c r="G36" s="18" t="s">
        <v>23</v>
      </c>
      <c r="H36" s="19"/>
      <c r="I36" s="4">
        <v>46113</v>
      </c>
      <c r="J36" s="3">
        <v>242.33</v>
      </c>
      <c r="K36" s="3">
        <v>242.33</v>
      </c>
      <c r="L36" s="3">
        <v>1086.68</v>
      </c>
      <c r="M36" s="3">
        <v>969.32</v>
      </c>
      <c r="N36" s="3">
        <v>117.36</v>
      </c>
      <c r="O36" s="2" t="s">
        <v>78</v>
      </c>
      <c r="P36" s="2" t="s">
        <v>23</v>
      </c>
      <c r="Q36" s="2" t="s">
        <v>77</v>
      </c>
      <c r="R36" s="2"/>
      <c r="S36" s="2">
        <v>1</v>
      </c>
      <c r="T36" s="3">
        <v>23</v>
      </c>
      <c r="U36" s="11">
        <v>1</v>
      </c>
      <c r="V36" s="3">
        <v>23</v>
      </c>
      <c r="W36" s="2" t="s">
        <v>23</v>
      </c>
      <c r="X36" s="2"/>
    </row>
    <row r="37" spans="1:24" x14ac:dyDescent="0.3">
      <c r="A37" s="2" t="s">
        <v>377</v>
      </c>
      <c r="B37" s="2" t="s">
        <v>376</v>
      </c>
      <c r="C37" s="2" t="s">
        <v>307</v>
      </c>
      <c r="D37" s="2" t="s">
        <v>306</v>
      </c>
      <c r="E37" s="2" t="s">
        <v>80</v>
      </c>
      <c r="F37" s="2" t="s">
        <v>79</v>
      </c>
      <c r="G37" s="18" t="s">
        <v>23</v>
      </c>
      <c r="H37" s="19"/>
      <c r="I37" s="4">
        <v>46113</v>
      </c>
      <c r="J37" s="3">
        <v>352.44</v>
      </c>
      <c r="K37" s="3">
        <v>352.44</v>
      </c>
      <c r="L37" s="3">
        <v>352.44</v>
      </c>
      <c r="M37" s="3">
        <v>352.44</v>
      </c>
      <c r="N37" s="3">
        <v>0</v>
      </c>
      <c r="O37" s="2" t="s">
        <v>78</v>
      </c>
      <c r="P37" s="2" t="s">
        <v>23</v>
      </c>
      <c r="Q37" s="2" t="s">
        <v>77</v>
      </c>
      <c r="R37" s="2"/>
      <c r="S37" s="2">
        <v>1</v>
      </c>
      <c r="T37" s="3">
        <v>23</v>
      </c>
      <c r="U37" s="11">
        <v>1</v>
      </c>
      <c r="V37" s="3">
        <v>23</v>
      </c>
      <c r="W37" s="2" t="s">
        <v>23</v>
      </c>
      <c r="X37" s="2"/>
    </row>
    <row r="38" spans="1:24" x14ac:dyDescent="0.3">
      <c r="A38" s="2" t="s">
        <v>377</v>
      </c>
      <c r="B38" s="2" t="s">
        <v>376</v>
      </c>
      <c r="C38" s="2" t="s">
        <v>305</v>
      </c>
      <c r="D38" s="2" t="s">
        <v>304</v>
      </c>
      <c r="E38" s="2" t="s">
        <v>80</v>
      </c>
      <c r="F38" s="2" t="s">
        <v>79</v>
      </c>
      <c r="G38" s="18" t="s">
        <v>23</v>
      </c>
      <c r="H38" s="19"/>
      <c r="I38" s="4">
        <v>46113</v>
      </c>
      <c r="J38" s="3">
        <v>169.86</v>
      </c>
      <c r="K38" s="3">
        <v>169.86</v>
      </c>
      <c r="L38" s="3">
        <v>4823.2</v>
      </c>
      <c r="M38" s="3">
        <v>679.44</v>
      </c>
      <c r="N38" s="3">
        <v>4143.76</v>
      </c>
      <c r="O38" s="2" t="s">
        <v>78</v>
      </c>
      <c r="P38" s="2" t="s">
        <v>23</v>
      </c>
      <c r="Q38" s="2" t="s">
        <v>77</v>
      </c>
      <c r="R38" s="2"/>
      <c r="S38" s="2">
        <v>1</v>
      </c>
      <c r="T38" s="3">
        <v>23</v>
      </c>
      <c r="U38" s="11">
        <v>1</v>
      </c>
      <c r="V38" s="3">
        <v>23</v>
      </c>
      <c r="W38" s="2" t="s">
        <v>23</v>
      </c>
      <c r="X38" s="2"/>
    </row>
    <row r="39" spans="1:24" x14ac:dyDescent="0.3">
      <c r="A39" s="2" t="s">
        <v>377</v>
      </c>
      <c r="B39" s="2" t="s">
        <v>376</v>
      </c>
      <c r="C39" s="2" t="s">
        <v>303</v>
      </c>
      <c r="D39" s="2" t="s">
        <v>302</v>
      </c>
      <c r="E39" s="2" t="s">
        <v>80</v>
      </c>
      <c r="F39" s="2" t="s">
        <v>79</v>
      </c>
      <c r="G39" s="18" t="s">
        <v>23</v>
      </c>
      <c r="H39" s="19"/>
      <c r="I39" s="4">
        <v>46113</v>
      </c>
      <c r="J39" s="3">
        <v>546.78</v>
      </c>
      <c r="K39" s="3">
        <v>546.78</v>
      </c>
      <c r="L39" s="3">
        <v>8739.64</v>
      </c>
      <c r="M39" s="3">
        <v>2187.12</v>
      </c>
      <c r="N39" s="3">
        <v>6552.52</v>
      </c>
      <c r="O39" s="2" t="s">
        <v>78</v>
      </c>
      <c r="P39" s="2" t="s">
        <v>23</v>
      </c>
      <c r="Q39" s="2" t="s">
        <v>77</v>
      </c>
      <c r="R39" s="2"/>
      <c r="S39" s="2">
        <v>2</v>
      </c>
      <c r="T39" s="3">
        <v>23</v>
      </c>
      <c r="U39" s="11">
        <v>1</v>
      </c>
      <c r="V39" s="3">
        <v>46</v>
      </c>
      <c r="W39" s="2" t="s">
        <v>23</v>
      </c>
      <c r="X39" s="2"/>
    </row>
    <row r="40" spans="1:24" x14ac:dyDescent="0.3">
      <c r="A40" s="2" t="s">
        <v>377</v>
      </c>
      <c r="B40" s="2" t="s">
        <v>376</v>
      </c>
      <c r="C40" s="2" t="s">
        <v>301</v>
      </c>
      <c r="D40" s="2" t="s">
        <v>300</v>
      </c>
      <c r="E40" s="2" t="s">
        <v>80</v>
      </c>
      <c r="F40" s="2" t="s">
        <v>79</v>
      </c>
      <c r="G40" s="18" t="s">
        <v>23</v>
      </c>
      <c r="H40" s="19"/>
      <c r="I40" s="4">
        <v>46113</v>
      </c>
      <c r="J40" s="3">
        <v>921.12</v>
      </c>
      <c r="K40" s="3">
        <v>921.12</v>
      </c>
      <c r="L40" s="3">
        <v>3684.48</v>
      </c>
      <c r="M40" s="3">
        <v>3684.48</v>
      </c>
      <c r="N40" s="3">
        <v>0</v>
      </c>
      <c r="O40" s="2" t="s">
        <v>78</v>
      </c>
      <c r="P40" s="2" t="s">
        <v>23</v>
      </c>
      <c r="Q40" s="2" t="s">
        <v>77</v>
      </c>
      <c r="R40" s="2"/>
      <c r="S40" s="2">
        <v>1</v>
      </c>
      <c r="T40" s="3">
        <v>23</v>
      </c>
      <c r="U40" s="11">
        <v>1</v>
      </c>
      <c r="V40" s="3">
        <v>23</v>
      </c>
      <c r="W40" s="2" t="s">
        <v>23</v>
      </c>
      <c r="X40" s="2"/>
    </row>
    <row r="41" spans="1:24" x14ac:dyDescent="0.3">
      <c r="A41" s="2" t="s">
        <v>377</v>
      </c>
      <c r="B41" s="2" t="s">
        <v>376</v>
      </c>
      <c r="C41" s="2" t="s">
        <v>299</v>
      </c>
      <c r="D41" s="2" t="s">
        <v>298</v>
      </c>
      <c r="E41" s="2" t="s">
        <v>80</v>
      </c>
      <c r="F41" s="2" t="s">
        <v>79</v>
      </c>
      <c r="G41" s="18" t="s">
        <v>23</v>
      </c>
      <c r="H41" s="19"/>
      <c r="I41" s="4">
        <v>46082</v>
      </c>
      <c r="J41" s="3">
        <v>271.91000000000003</v>
      </c>
      <c r="K41" s="3">
        <v>271.91000000000003</v>
      </c>
      <c r="L41" s="3">
        <v>2554.5300000000002</v>
      </c>
      <c r="M41" s="3">
        <v>815.73</v>
      </c>
      <c r="N41" s="3">
        <v>1738.8</v>
      </c>
      <c r="O41" s="2" t="s">
        <v>78</v>
      </c>
      <c r="P41" s="2" t="s">
        <v>23</v>
      </c>
      <c r="Q41" s="2" t="s">
        <v>77</v>
      </c>
      <c r="R41" s="2"/>
      <c r="S41" s="2">
        <v>1</v>
      </c>
      <c r="T41" s="3">
        <v>23</v>
      </c>
      <c r="U41" s="11">
        <v>1</v>
      </c>
      <c r="V41" s="3">
        <v>23</v>
      </c>
      <c r="W41" s="2" t="s">
        <v>23</v>
      </c>
      <c r="X41" s="2"/>
    </row>
    <row r="42" spans="1:24" x14ac:dyDescent="0.3">
      <c r="A42" s="2" t="s">
        <v>377</v>
      </c>
      <c r="B42" s="2" t="s">
        <v>376</v>
      </c>
      <c r="C42" s="2" t="s">
        <v>299</v>
      </c>
      <c r="D42" s="2" t="s">
        <v>298</v>
      </c>
      <c r="E42" s="2" t="s">
        <v>80</v>
      </c>
      <c r="F42" s="2" t="s">
        <v>79</v>
      </c>
      <c r="G42" s="18" t="s">
        <v>23</v>
      </c>
      <c r="H42" s="19"/>
      <c r="I42" s="4">
        <v>46113</v>
      </c>
      <c r="J42" s="3">
        <v>271.91000000000003</v>
      </c>
      <c r="K42" s="3">
        <v>271.91000000000003</v>
      </c>
      <c r="L42" s="3">
        <v>3406.04</v>
      </c>
      <c r="M42" s="3">
        <v>1087.6400000000001</v>
      </c>
      <c r="N42" s="3">
        <v>2318.4</v>
      </c>
      <c r="O42" s="2" t="s">
        <v>78</v>
      </c>
      <c r="P42" s="2" t="s">
        <v>23</v>
      </c>
      <c r="Q42" s="2" t="s">
        <v>77</v>
      </c>
      <c r="R42" s="2"/>
      <c r="S42" s="2">
        <v>1</v>
      </c>
      <c r="T42" s="3">
        <v>23</v>
      </c>
      <c r="U42" s="11">
        <v>1</v>
      </c>
      <c r="V42" s="3">
        <v>23</v>
      </c>
      <c r="W42" s="2" t="s">
        <v>23</v>
      </c>
      <c r="X42" s="2"/>
    </row>
    <row r="43" spans="1:24" x14ac:dyDescent="0.3">
      <c r="A43" s="2" t="s">
        <v>377</v>
      </c>
      <c r="B43" s="2" t="s">
        <v>376</v>
      </c>
      <c r="C43" s="2" t="s">
        <v>297</v>
      </c>
      <c r="D43" s="2" t="s">
        <v>296</v>
      </c>
      <c r="E43" s="2" t="s">
        <v>80</v>
      </c>
      <c r="F43" s="2" t="s">
        <v>79</v>
      </c>
      <c r="G43" s="18" t="s">
        <v>23</v>
      </c>
      <c r="H43" s="19"/>
      <c r="I43" s="4">
        <v>46113</v>
      </c>
      <c r="J43" s="3">
        <v>604.69000000000005</v>
      </c>
      <c r="K43" s="3">
        <v>604.69000000000005</v>
      </c>
      <c r="L43" s="3">
        <v>6306.63</v>
      </c>
      <c r="M43" s="3">
        <v>6306.63</v>
      </c>
      <c r="N43" s="3">
        <v>0</v>
      </c>
      <c r="O43" s="2" t="s">
        <v>78</v>
      </c>
      <c r="P43" s="2" t="s">
        <v>23</v>
      </c>
      <c r="Q43" s="2" t="s">
        <v>77</v>
      </c>
      <c r="R43" s="2"/>
      <c r="S43" s="2">
        <v>1</v>
      </c>
      <c r="T43" s="3">
        <v>23</v>
      </c>
      <c r="U43" s="11">
        <v>1</v>
      </c>
      <c r="V43" s="3">
        <v>23</v>
      </c>
      <c r="W43" s="2" t="s">
        <v>23</v>
      </c>
      <c r="X43" s="2"/>
    </row>
    <row r="44" spans="1:24" x14ac:dyDescent="0.3">
      <c r="A44" s="2" t="s">
        <v>377</v>
      </c>
      <c r="B44" s="2" t="s">
        <v>376</v>
      </c>
      <c r="C44" s="2" t="s">
        <v>295</v>
      </c>
      <c r="D44" s="2" t="s">
        <v>294</v>
      </c>
      <c r="E44" s="2" t="s">
        <v>80</v>
      </c>
      <c r="F44" s="2" t="s">
        <v>79</v>
      </c>
      <c r="G44" s="18" t="s">
        <v>23</v>
      </c>
      <c r="H44" s="19"/>
      <c r="I44" s="4">
        <v>46113</v>
      </c>
      <c r="J44" s="3">
        <v>315.77</v>
      </c>
      <c r="K44" s="3">
        <v>315.77</v>
      </c>
      <c r="L44" s="3">
        <v>9312.76</v>
      </c>
      <c r="M44" s="3">
        <v>5635.3</v>
      </c>
      <c r="N44" s="3">
        <v>3677.46</v>
      </c>
      <c r="O44" s="2" t="s">
        <v>78</v>
      </c>
      <c r="P44" s="2" t="s">
        <v>23</v>
      </c>
      <c r="Q44" s="2" t="s">
        <v>77</v>
      </c>
      <c r="R44" s="2"/>
      <c r="S44" s="2">
        <v>1</v>
      </c>
      <c r="T44" s="3">
        <v>23</v>
      </c>
      <c r="U44" s="11">
        <v>1</v>
      </c>
      <c r="V44" s="3">
        <v>23</v>
      </c>
      <c r="W44" s="2" t="s">
        <v>23</v>
      </c>
      <c r="X44" s="2"/>
    </row>
    <row r="45" spans="1:24" x14ac:dyDescent="0.3">
      <c r="A45" s="2" t="s">
        <v>377</v>
      </c>
      <c r="B45" s="2" t="s">
        <v>376</v>
      </c>
      <c r="C45" s="2" t="s">
        <v>293</v>
      </c>
      <c r="D45" s="2" t="s">
        <v>292</v>
      </c>
      <c r="E45" s="2" t="s">
        <v>80</v>
      </c>
      <c r="F45" s="2" t="s">
        <v>79</v>
      </c>
      <c r="G45" s="18" t="s">
        <v>23</v>
      </c>
      <c r="H45" s="19"/>
      <c r="I45" s="4">
        <v>46113</v>
      </c>
      <c r="J45" s="3">
        <v>51.21</v>
      </c>
      <c r="K45" s="3">
        <v>51.21</v>
      </c>
      <c r="L45" s="3">
        <v>1530.28</v>
      </c>
      <c r="M45" s="3">
        <v>204.84</v>
      </c>
      <c r="N45" s="3">
        <v>1325.44</v>
      </c>
      <c r="O45" s="2" t="s">
        <v>78</v>
      </c>
      <c r="P45" s="2" t="s">
        <v>23</v>
      </c>
      <c r="Q45" s="2" t="s">
        <v>77</v>
      </c>
      <c r="R45" s="2"/>
      <c r="S45" s="2">
        <v>1</v>
      </c>
      <c r="T45" s="3">
        <v>23</v>
      </c>
      <c r="U45" s="11">
        <v>1</v>
      </c>
      <c r="V45" s="3">
        <v>23</v>
      </c>
      <c r="W45" s="2" t="s">
        <v>23</v>
      </c>
      <c r="X45" s="2"/>
    </row>
    <row r="46" spans="1:24" x14ac:dyDescent="0.3">
      <c r="A46" s="2" t="s">
        <v>377</v>
      </c>
      <c r="B46" s="2" t="s">
        <v>376</v>
      </c>
      <c r="C46" s="2" t="s">
        <v>291</v>
      </c>
      <c r="D46" s="2" t="s">
        <v>290</v>
      </c>
      <c r="E46" s="2" t="s">
        <v>80</v>
      </c>
      <c r="F46" s="2" t="s">
        <v>79</v>
      </c>
      <c r="G46" s="18" t="s">
        <v>23</v>
      </c>
      <c r="H46" s="19"/>
      <c r="I46" s="4">
        <v>46113</v>
      </c>
      <c r="J46" s="3">
        <v>130.38999999999999</v>
      </c>
      <c r="K46" s="3">
        <v>95.92</v>
      </c>
      <c r="L46" s="3">
        <v>3638.93</v>
      </c>
      <c r="M46" s="3">
        <v>465.88</v>
      </c>
      <c r="N46" s="3">
        <v>3173.05</v>
      </c>
      <c r="O46" s="2" t="s">
        <v>78</v>
      </c>
      <c r="P46" s="2" t="s">
        <v>23</v>
      </c>
      <c r="Q46" s="2" t="s">
        <v>77</v>
      </c>
      <c r="R46" s="2"/>
      <c r="S46" s="2">
        <v>2</v>
      </c>
      <c r="T46" s="3">
        <v>23</v>
      </c>
      <c r="U46" s="11">
        <v>1</v>
      </c>
      <c r="V46" s="3">
        <v>39.450000000000003</v>
      </c>
      <c r="W46" s="2" t="s">
        <v>23</v>
      </c>
      <c r="X46" s="2"/>
    </row>
    <row r="47" spans="1:24" x14ac:dyDescent="0.3">
      <c r="A47" s="2" t="s">
        <v>377</v>
      </c>
      <c r="B47" s="2" t="s">
        <v>376</v>
      </c>
      <c r="C47" s="2" t="s">
        <v>289</v>
      </c>
      <c r="D47" s="2" t="s">
        <v>288</v>
      </c>
      <c r="E47" s="2" t="s">
        <v>80</v>
      </c>
      <c r="F47" s="2" t="s">
        <v>79</v>
      </c>
      <c r="G47" s="18" t="s">
        <v>23</v>
      </c>
      <c r="H47" s="19"/>
      <c r="I47" s="4">
        <v>45992</v>
      </c>
      <c r="J47" s="3">
        <v>159.22</v>
      </c>
      <c r="K47" s="3">
        <v>1735.31</v>
      </c>
      <c r="L47" s="3">
        <v>15617.79</v>
      </c>
      <c r="M47" s="3">
        <v>1432.98</v>
      </c>
      <c r="N47" s="3">
        <v>14184.81</v>
      </c>
      <c r="O47" s="2" t="s">
        <v>78</v>
      </c>
      <c r="P47" s="3">
        <v>1735.31</v>
      </c>
      <c r="Q47" s="2" t="s">
        <v>130</v>
      </c>
      <c r="R47" s="2"/>
      <c r="S47" s="2"/>
      <c r="T47" s="14">
        <v>4.2500000000000003E-2</v>
      </c>
      <c r="U47" s="11">
        <v>1</v>
      </c>
      <c r="V47" s="3">
        <v>73.75</v>
      </c>
      <c r="W47" s="2" t="s">
        <v>23</v>
      </c>
      <c r="X47" s="2"/>
    </row>
    <row r="48" spans="1:24" x14ac:dyDescent="0.3">
      <c r="A48" s="2" t="s">
        <v>377</v>
      </c>
      <c r="B48" s="2" t="s">
        <v>376</v>
      </c>
      <c r="C48" s="2" t="s">
        <v>289</v>
      </c>
      <c r="D48" s="2" t="s">
        <v>288</v>
      </c>
      <c r="E48" s="2" t="s">
        <v>80</v>
      </c>
      <c r="F48" s="2" t="s">
        <v>79</v>
      </c>
      <c r="G48" s="18" t="s">
        <v>23</v>
      </c>
      <c r="H48" s="19"/>
      <c r="I48" s="4">
        <v>46023</v>
      </c>
      <c r="J48" s="3">
        <v>172.17</v>
      </c>
      <c r="K48" s="3">
        <v>172.17</v>
      </c>
      <c r="L48" s="3">
        <v>17436.73</v>
      </c>
      <c r="M48" s="3">
        <v>1605.15</v>
      </c>
      <c r="N48" s="3">
        <v>15831.58</v>
      </c>
      <c r="O48" s="2" t="s">
        <v>78</v>
      </c>
      <c r="P48" s="2" t="s">
        <v>23</v>
      </c>
      <c r="Q48" s="2" t="s">
        <v>77</v>
      </c>
      <c r="R48" s="2"/>
      <c r="S48" s="2">
        <v>5</v>
      </c>
      <c r="T48" s="3">
        <v>23</v>
      </c>
      <c r="U48" s="11">
        <v>1</v>
      </c>
      <c r="V48" s="3">
        <v>115</v>
      </c>
      <c r="W48" s="2" t="s">
        <v>23</v>
      </c>
      <c r="X48" s="2"/>
    </row>
    <row r="49" spans="1:24" x14ac:dyDescent="0.3">
      <c r="A49" s="2" t="s">
        <v>377</v>
      </c>
      <c r="B49" s="2" t="s">
        <v>376</v>
      </c>
      <c r="C49" s="2" t="s">
        <v>289</v>
      </c>
      <c r="D49" s="2" t="s">
        <v>288</v>
      </c>
      <c r="E49" s="2" t="s">
        <v>80</v>
      </c>
      <c r="F49" s="2" t="s">
        <v>79</v>
      </c>
      <c r="G49" s="18" t="s">
        <v>23</v>
      </c>
      <c r="H49" s="19"/>
      <c r="I49" s="4">
        <v>46054</v>
      </c>
      <c r="J49" s="3">
        <v>172.17</v>
      </c>
      <c r="K49" s="3">
        <v>172.17</v>
      </c>
      <c r="L49" s="3">
        <v>19255.669999999998</v>
      </c>
      <c r="M49" s="3">
        <v>1777.32</v>
      </c>
      <c r="N49" s="3">
        <v>17478.349999999999</v>
      </c>
      <c r="O49" s="2" t="s">
        <v>78</v>
      </c>
      <c r="P49" s="2" t="s">
        <v>23</v>
      </c>
      <c r="Q49" s="2" t="s">
        <v>77</v>
      </c>
      <c r="R49" s="2"/>
      <c r="S49" s="2">
        <v>5</v>
      </c>
      <c r="T49" s="3">
        <v>23</v>
      </c>
      <c r="U49" s="11">
        <v>1</v>
      </c>
      <c r="V49" s="3">
        <v>115</v>
      </c>
      <c r="W49" s="2" t="s">
        <v>23</v>
      </c>
      <c r="X49" s="2"/>
    </row>
    <row r="50" spans="1:24" x14ac:dyDescent="0.3">
      <c r="A50" s="2" t="s">
        <v>377</v>
      </c>
      <c r="B50" s="2" t="s">
        <v>376</v>
      </c>
      <c r="C50" s="2" t="s">
        <v>289</v>
      </c>
      <c r="D50" s="2" t="s">
        <v>288</v>
      </c>
      <c r="E50" s="2" t="s">
        <v>80</v>
      </c>
      <c r="F50" s="2" t="s">
        <v>79</v>
      </c>
      <c r="G50" s="18" t="s">
        <v>23</v>
      </c>
      <c r="H50" s="19"/>
      <c r="I50" s="4">
        <v>46082</v>
      </c>
      <c r="J50" s="3">
        <v>172.17</v>
      </c>
      <c r="K50" s="3">
        <v>172.17</v>
      </c>
      <c r="L50" s="3">
        <v>21074.61</v>
      </c>
      <c r="M50" s="3">
        <v>1949.49</v>
      </c>
      <c r="N50" s="3">
        <v>19125.12</v>
      </c>
      <c r="O50" s="2" t="s">
        <v>78</v>
      </c>
      <c r="P50" s="2" t="s">
        <v>23</v>
      </c>
      <c r="Q50" s="2" t="s">
        <v>77</v>
      </c>
      <c r="R50" s="2"/>
      <c r="S50" s="2">
        <v>5</v>
      </c>
      <c r="T50" s="3">
        <v>23</v>
      </c>
      <c r="U50" s="11">
        <v>1</v>
      </c>
      <c r="V50" s="3">
        <v>115</v>
      </c>
      <c r="W50" s="2" t="s">
        <v>23</v>
      </c>
      <c r="X50" s="2"/>
    </row>
    <row r="51" spans="1:24" x14ac:dyDescent="0.3">
      <c r="A51" s="2" t="s">
        <v>377</v>
      </c>
      <c r="B51" s="2" t="s">
        <v>376</v>
      </c>
      <c r="C51" s="2" t="s">
        <v>289</v>
      </c>
      <c r="D51" s="2" t="s">
        <v>288</v>
      </c>
      <c r="E51" s="2" t="s">
        <v>80</v>
      </c>
      <c r="F51" s="2" t="s">
        <v>79</v>
      </c>
      <c r="G51" s="18" t="s">
        <v>23</v>
      </c>
      <c r="H51" s="19"/>
      <c r="I51" s="4">
        <v>46113</v>
      </c>
      <c r="J51" s="3">
        <v>172.17</v>
      </c>
      <c r="K51" s="3">
        <v>172.17</v>
      </c>
      <c r="L51" s="3">
        <v>1818.94</v>
      </c>
      <c r="M51" s="3">
        <v>172.17</v>
      </c>
      <c r="N51" s="3">
        <v>1646.77</v>
      </c>
      <c r="O51" s="2" t="s">
        <v>78</v>
      </c>
      <c r="P51" s="2" t="s">
        <v>23</v>
      </c>
      <c r="Q51" s="2" t="s">
        <v>77</v>
      </c>
      <c r="R51" s="2"/>
      <c r="S51" s="2">
        <v>5</v>
      </c>
      <c r="T51" s="3">
        <v>23</v>
      </c>
      <c r="U51" s="11">
        <v>1</v>
      </c>
      <c r="V51" s="3">
        <v>115</v>
      </c>
      <c r="W51" s="2" t="s">
        <v>23</v>
      </c>
      <c r="X51" s="2"/>
    </row>
    <row r="52" spans="1:24" x14ac:dyDescent="0.3">
      <c r="A52" s="2" t="s">
        <v>377</v>
      </c>
      <c r="B52" s="2" t="s">
        <v>376</v>
      </c>
      <c r="C52" s="2" t="s">
        <v>287</v>
      </c>
      <c r="D52" s="2" t="s">
        <v>286</v>
      </c>
      <c r="E52" s="2" t="s">
        <v>80</v>
      </c>
      <c r="F52" s="2" t="s">
        <v>79</v>
      </c>
      <c r="G52" s="18" t="s">
        <v>23</v>
      </c>
      <c r="H52" s="19"/>
      <c r="I52" s="4">
        <v>46113</v>
      </c>
      <c r="J52" s="3">
        <v>2419.46</v>
      </c>
      <c r="K52" s="3">
        <v>2419.46</v>
      </c>
      <c r="L52" s="3">
        <v>11760.03</v>
      </c>
      <c r="M52" s="3">
        <v>11153.24</v>
      </c>
      <c r="N52" s="3">
        <v>606.79</v>
      </c>
      <c r="O52" s="2" t="s">
        <v>78</v>
      </c>
      <c r="P52" s="2" t="s">
        <v>23</v>
      </c>
      <c r="Q52" s="2" t="s">
        <v>77</v>
      </c>
      <c r="R52" s="2"/>
      <c r="S52" s="2">
        <v>3</v>
      </c>
      <c r="T52" s="3">
        <v>23</v>
      </c>
      <c r="U52" s="11">
        <v>1</v>
      </c>
      <c r="V52" s="3">
        <v>69</v>
      </c>
      <c r="W52" s="2" t="s">
        <v>23</v>
      </c>
      <c r="X52" s="2"/>
    </row>
    <row r="53" spans="1:24" x14ac:dyDescent="0.3">
      <c r="A53" s="2" t="s">
        <v>377</v>
      </c>
      <c r="B53" s="2" t="s">
        <v>376</v>
      </c>
      <c r="C53" s="2" t="s">
        <v>285</v>
      </c>
      <c r="D53" s="2" t="s">
        <v>284</v>
      </c>
      <c r="E53" s="2" t="s">
        <v>80</v>
      </c>
      <c r="F53" s="2" t="s">
        <v>79</v>
      </c>
      <c r="G53" s="18" t="s">
        <v>23</v>
      </c>
      <c r="H53" s="19"/>
      <c r="I53" s="4">
        <v>46113</v>
      </c>
      <c r="J53" s="3">
        <v>1813.34</v>
      </c>
      <c r="K53" s="3">
        <v>1813.34</v>
      </c>
      <c r="L53" s="3">
        <v>7253.36</v>
      </c>
      <c r="M53" s="3">
        <v>7253.36</v>
      </c>
      <c r="N53" s="3">
        <v>0</v>
      </c>
      <c r="O53" s="2" t="s">
        <v>78</v>
      </c>
      <c r="P53" s="2" t="s">
        <v>23</v>
      </c>
      <c r="Q53" s="2" t="s">
        <v>77</v>
      </c>
      <c r="R53" s="2"/>
      <c r="S53" s="2">
        <v>3</v>
      </c>
      <c r="T53" s="3">
        <v>23</v>
      </c>
      <c r="U53" s="11">
        <v>1</v>
      </c>
      <c r="V53" s="3">
        <v>69</v>
      </c>
      <c r="W53" s="2" t="s">
        <v>23</v>
      </c>
      <c r="X53" s="2"/>
    </row>
    <row r="54" spans="1:24" x14ac:dyDescent="0.3">
      <c r="A54" s="2" t="s">
        <v>377</v>
      </c>
      <c r="B54" s="2" t="s">
        <v>376</v>
      </c>
      <c r="C54" s="2" t="s">
        <v>283</v>
      </c>
      <c r="D54" s="2" t="s">
        <v>282</v>
      </c>
      <c r="E54" s="2" t="s">
        <v>80</v>
      </c>
      <c r="F54" s="2" t="s">
        <v>79</v>
      </c>
      <c r="G54" s="18" t="s">
        <v>23</v>
      </c>
      <c r="H54" s="19"/>
      <c r="I54" s="4">
        <v>46113</v>
      </c>
      <c r="J54" s="3">
        <v>692.23</v>
      </c>
      <c r="K54" s="3">
        <v>692.23</v>
      </c>
      <c r="L54" s="3">
        <v>2768.92</v>
      </c>
      <c r="M54" s="3">
        <v>2768.92</v>
      </c>
      <c r="N54" s="3">
        <v>0</v>
      </c>
      <c r="O54" s="2" t="s">
        <v>78</v>
      </c>
      <c r="P54" s="2" t="s">
        <v>23</v>
      </c>
      <c r="Q54" s="2" t="s">
        <v>77</v>
      </c>
      <c r="R54" s="2"/>
      <c r="S54" s="2">
        <v>1</v>
      </c>
      <c r="T54" s="3">
        <v>23</v>
      </c>
      <c r="U54" s="11">
        <v>1</v>
      </c>
      <c r="V54" s="3">
        <v>23</v>
      </c>
      <c r="W54" s="2" t="s">
        <v>23</v>
      </c>
      <c r="X54" s="2"/>
    </row>
    <row r="55" spans="1:24" x14ac:dyDescent="0.3">
      <c r="A55" s="2" t="s">
        <v>377</v>
      </c>
      <c r="B55" s="2" t="s">
        <v>376</v>
      </c>
      <c r="C55" s="2" t="s">
        <v>281</v>
      </c>
      <c r="D55" s="2" t="s">
        <v>280</v>
      </c>
      <c r="E55" s="2" t="s">
        <v>80</v>
      </c>
      <c r="F55" s="2" t="s">
        <v>79</v>
      </c>
      <c r="G55" s="18" t="s">
        <v>23</v>
      </c>
      <c r="H55" s="19"/>
      <c r="I55" s="4">
        <v>46113</v>
      </c>
      <c r="J55" s="3">
        <v>280.45999999999998</v>
      </c>
      <c r="K55" s="3">
        <v>280.45999999999998</v>
      </c>
      <c r="L55" s="3">
        <v>5817.44</v>
      </c>
      <c r="M55" s="3">
        <v>1121.8399999999999</v>
      </c>
      <c r="N55" s="3">
        <v>4695.6000000000004</v>
      </c>
      <c r="O55" s="2" t="s">
        <v>78</v>
      </c>
      <c r="P55" s="2" t="s">
        <v>23</v>
      </c>
      <c r="Q55" s="2" t="s">
        <v>77</v>
      </c>
      <c r="R55" s="2"/>
      <c r="S55" s="2">
        <v>5</v>
      </c>
      <c r="T55" s="3">
        <v>23</v>
      </c>
      <c r="U55" s="11">
        <v>1</v>
      </c>
      <c r="V55" s="3">
        <v>115</v>
      </c>
      <c r="W55" s="2" t="s">
        <v>23</v>
      </c>
      <c r="X55" s="2"/>
    </row>
    <row r="56" spans="1:24" x14ac:dyDescent="0.3">
      <c r="A56" s="2" t="s">
        <v>377</v>
      </c>
      <c r="B56" s="2" t="s">
        <v>376</v>
      </c>
      <c r="C56" s="2" t="s">
        <v>279</v>
      </c>
      <c r="D56" s="2" t="s">
        <v>278</v>
      </c>
      <c r="E56" s="2" t="s">
        <v>80</v>
      </c>
      <c r="F56" s="2" t="s">
        <v>79</v>
      </c>
      <c r="G56" s="18" t="s">
        <v>23</v>
      </c>
      <c r="H56" s="19"/>
      <c r="I56" s="4">
        <v>46113</v>
      </c>
      <c r="J56" s="3">
        <v>44.67</v>
      </c>
      <c r="K56" s="3">
        <v>44.67</v>
      </c>
      <c r="L56" s="3">
        <v>1172.1600000000001</v>
      </c>
      <c r="M56" s="3">
        <v>178.68</v>
      </c>
      <c r="N56" s="3">
        <v>993.48</v>
      </c>
      <c r="O56" s="2" t="s">
        <v>78</v>
      </c>
      <c r="P56" s="2" t="s">
        <v>23</v>
      </c>
      <c r="Q56" s="2" t="s">
        <v>77</v>
      </c>
      <c r="R56" s="2"/>
      <c r="S56" s="2">
        <v>1</v>
      </c>
      <c r="T56" s="3">
        <v>23</v>
      </c>
      <c r="U56" s="11">
        <v>1</v>
      </c>
      <c r="V56" s="3">
        <v>23</v>
      </c>
      <c r="W56" s="2" t="s">
        <v>23</v>
      </c>
      <c r="X56" s="2"/>
    </row>
    <row r="57" spans="1:24" x14ac:dyDescent="0.3">
      <c r="A57" s="2" t="s">
        <v>377</v>
      </c>
      <c r="B57" s="2" t="s">
        <v>376</v>
      </c>
      <c r="C57" s="2" t="s">
        <v>277</v>
      </c>
      <c r="D57" s="2" t="s">
        <v>276</v>
      </c>
      <c r="E57" s="2" t="s">
        <v>80</v>
      </c>
      <c r="F57" s="2" t="s">
        <v>79</v>
      </c>
      <c r="G57" s="18" t="s">
        <v>23</v>
      </c>
      <c r="H57" s="19"/>
      <c r="I57" s="4">
        <v>46113</v>
      </c>
      <c r="J57" s="3">
        <v>493.12</v>
      </c>
      <c r="K57" s="3">
        <v>493.12</v>
      </c>
      <c r="L57" s="3">
        <v>10227.59</v>
      </c>
      <c r="M57" s="3">
        <v>3647.98</v>
      </c>
      <c r="N57" s="3">
        <v>6579.61</v>
      </c>
      <c r="O57" s="2" t="s">
        <v>78</v>
      </c>
      <c r="P57" s="2" t="s">
        <v>23</v>
      </c>
      <c r="Q57" s="2" t="s">
        <v>77</v>
      </c>
      <c r="R57" s="2"/>
      <c r="S57" s="2">
        <v>3</v>
      </c>
      <c r="T57" s="3">
        <v>23</v>
      </c>
      <c r="U57" s="11">
        <v>1</v>
      </c>
      <c r="V57" s="3">
        <v>69</v>
      </c>
      <c r="W57" s="2" t="s">
        <v>23</v>
      </c>
      <c r="X57" s="2"/>
    </row>
    <row r="58" spans="1:24" x14ac:dyDescent="0.3">
      <c r="A58" s="2" t="s">
        <v>377</v>
      </c>
      <c r="B58" s="2" t="s">
        <v>376</v>
      </c>
      <c r="C58" s="2" t="s">
        <v>275</v>
      </c>
      <c r="D58" s="2" t="s">
        <v>274</v>
      </c>
      <c r="E58" s="2" t="s">
        <v>80</v>
      </c>
      <c r="F58" s="2" t="s">
        <v>79</v>
      </c>
      <c r="G58" s="18" t="s">
        <v>23</v>
      </c>
      <c r="H58" s="19"/>
      <c r="I58" s="4">
        <v>46113</v>
      </c>
      <c r="J58" s="3">
        <v>3.37</v>
      </c>
      <c r="K58" s="3">
        <v>3.37</v>
      </c>
      <c r="L58" s="3">
        <v>6754.92</v>
      </c>
      <c r="M58" s="3">
        <v>13.48</v>
      </c>
      <c r="N58" s="3">
        <v>6741.44</v>
      </c>
      <c r="O58" s="2" t="s">
        <v>78</v>
      </c>
      <c r="P58" s="2" t="s">
        <v>23</v>
      </c>
      <c r="Q58" s="2" t="s">
        <v>77</v>
      </c>
      <c r="R58" s="2"/>
      <c r="S58" s="2">
        <v>2</v>
      </c>
      <c r="T58" s="3">
        <v>23</v>
      </c>
      <c r="U58" s="11">
        <v>1</v>
      </c>
      <c r="V58" s="3">
        <v>46</v>
      </c>
      <c r="W58" s="2" t="s">
        <v>23</v>
      </c>
      <c r="X58" s="2"/>
    </row>
    <row r="59" spans="1:24" x14ac:dyDescent="0.3">
      <c r="A59" s="2" t="s">
        <v>377</v>
      </c>
      <c r="B59" s="2" t="s">
        <v>376</v>
      </c>
      <c r="C59" s="2" t="s">
        <v>273</v>
      </c>
      <c r="D59" s="2" t="s">
        <v>272</v>
      </c>
      <c r="E59" s="2" t="s">
        <v>80</v>
      </c>
      <c r="F59" s="2" t="s">
        <v>79</v>
      </c>
      <c r="G59" s="18" t="s">
        <v>23</v>
      </c>
      <c r="H59" s="19"/>
      <c r="I59" s="4">
        <v>46113</v>
      </c>
      <c r="J59" s="3">
        <v>2</v>
      </c>
      <c r="K59" s="3">
        <v>2</v>
      </c>
      <c r="L59" s="3">
        <v>9945.32</v>
      </c>
      <c r="M59" s="3">
        <v>24</v>
      </c>
      <c r="N59" s="3">
        <v>9921.32</v>
      </c>
      <c r="O59" s="2" t="s">
        <v>78</v>
      </c>
      <c r="P59" s="2" t="s">
        <v>23</v>
      </c>
      <c r="Q59" s="2" t="s">
        <v>77</v>
      </c>
      <c r="R59" s="2"/>
      <c r="S59" s="2">
        <v>2</v>
      </c>
      <c r="T59" s="3">
        <v>23</v>
      </c>
      <c r="U59" s="11">
        <v>1</v>
      </c>
      <c r="V59" s="3">
        <v>46</v>
      </c>
      <c r="W59" s="2" t="s">
        <v>23</v>
      </c>
      <c r="X59" s="2"/>
    </row>
    <row r="60" spans="1:24" x14ac:dyDescent="0.3">
      <c r="A60" s="2" t="s">
        <v>377</v>
      </c>
      <c r="B60" s="2" t="s">
        <v>376</v>
      </c>
      <c r="C60" s="2" t="s">
        <v>271</v>
      </c>
      <c r="D60" s="2" t="s">
        <v>270</v>
      </c>
      <c r="E60" s="2" t="s">
        <v>80</v>
      </c>
      <c r="F60" s="2" t="s">
        <v>79</v>
      </c>
      <c r="G60" s="18" t="s">
        <v>23</v>
      </c>
      <c r="H60" s="19"/>
      <c r="I60" s="4">
        <v>46054</v>
      </c>
      <c r="J60" s="3">
        <v>75.84</v>
      </c>
      <c r="K60" s="3">
        <v>75.84</v>
      </c>
      <c r="L60" s="3">
        <v>686.74</v>
      </c>
      <c r="M60" s="3">
        <v>151.68</v>
      </c>
      <c r="N60" s="3">
        <v>535.05999999999995</v>
      </c>
      <c r="O60" s="2" t="s">
        <v>78</v>
      </c>
      <c r="P60" s="2" t="s">
        <v>23</v>
      </c>
      <c r="Q60" s="2" t="s">
        <v>77</v>
      </c>
      <c r="R60" s="2"/>
      <c r="S60" s="2">
        <v>1</v>
      </c>
      <c r="T60" s="3">
        <v>23</v>
      </c>
      <c r="U60" s="11">
        <v>1</v>
      </c>
      <c r="V60" s="3">
        <v>23</v>
      </c>
      <c r="W60" s="2" t="s">
        <v>23</v>
      </c>
      <c r="X60" s="2"/>
    </row>
    <row r="61" spans="1:24" x14ac:dyDescent="0.3">
      <c r="A61" s="2" t="s">
        <v>377</v>
      </c>
      <c r="B61" s="2" t="s">
        <v>376</v>
      </c>
      <c r="C61" s="2" t="s">
        <v>271</v>
      </c>
      <c r="D61" s="2" t="s">
        <v>270</v>
      </c>
      <c r="E61" s="2" t="s">
        <v>80</v>
      </c>
      <c r="F61" s="2" t="s">
        <v>79</v>
      </c>
      <c r="G61" s="18" t="s">
        <v>23</v>
      </c>
      <c r="H61" s="19"/>
      <c r="I61" s="4">
        <v>46082</v>
      </c>
      <c r="J61" s="3">
        <v>75.84</v>
      </c>
      <c r="K61" s="3">
        <v>75.84</v>
      </c>
      <c r="L61" s="3">
        <v>1030.1099999999999</v>
      </c>
      <c r="M61" s="3">
        <v>227.52</v>
      </c>
      <c r="N61" s="3">
        <v>802.59</v>
      </c>
      <c r="O61" s="2" t="s">
        <v>78</v>
      </c>
      <c r="P61" s="2" t="s">
        <v>23</v>
      </c>
      <c r="Q61" s="2" t="s">
        <v>77</v>
      </c>
      <c r="R61" s="2"/>
      <c r="S61" s="2">
        <v>1</v>
      </c>
      <c r="T61" s="3">
        <v>23</v>
      </c>
      <c r="U61" s="11">
        <v>1</v>
      </c>
      <c r="V61" s="3">
        <v>23</v>
      </c>
      <c r="W61" s="2" t="s">
        <v>23</v>
      </c>
      <c r="X61" s="2"/>
    </row>
    <row r="62" spans="1:24" x14ac:dyDescent="0.3">
      <c r="A62" s="2" t="s">
        <v>377</v>
      </c>
      <c r="B62" s="2" t="s">
        <v>376</v>
      </c>
      <c r="C62" s="2" t="s">
        <v>271</v>
      </c>
      <c r="D62" s="2" t="s">
        <v>270</v>
      </c>
      <c r="E62" s="2" t="s">
        <v>80</v>
      </c>
      <c r="F62" s="2" t="s">
        <v>79</v>
      </c>
      <c r="G62" s="18" t="s">
        <v>23</v>
      </c>
      <c r="H62" s="19"/>
      <c r="I62" s="4">
        <v>46113</v>
      </c>
      <c r="J62" s="3">
        <v>75.84</v>
      </c>
      <c r="K62" s="3">
        <v>75.84</v>
      </c>
      <c r="L62" s="3">
        <v>1373.48</v>
      </c>
      <c r="M62" s="3">
        <v>303.36</v>
      </c>
      <c r="N62" s="3">
        <v>1070.1199999999999</v>
      </c>
      <c r="O62" s="2" t="s">
        <v>78</v>
      </c>
      <c r="P62" s="2" t="s">
        <v>23</v>
      </c>
      <c r="Q62" s="2" t="s">
        <v>77</v>
      </c>
      <c r="R62" s="2"/>
      <c r="S62" s="2">
        <v>1</v>
      </c>
      <c r="T62" s="3">
        <v>23</v>
      </c>
      <c r="U62" s="11">
        <v>1</v>
      </c>
      <c r="V62" s="3">
        <v>23</v>
      </c>
      <c r="W62" s="2" t="s">
        <v>23</v>
      </c>
      <c r="X62" s="2"/>
    </row>
    <row r="63" spans="1:24" x14ac:dyDescent="0.3">
      <c r="A63" s="2" t="s">
        <v>377</v>
      </c>
      <c r="B63" s="2" t="s">
        <v>376</v>
      </c>
      <c r="C63" s="2" t="s">
        <v>269</v>
      </c>
      <c r="D63" s="2" t="s">
        <v>268</v>
      </c>
      <c r="E63" s="2" t="s">
        <v>80</v>
      </c>
      <c r="F63" s="2" t="s">
        <v>79</v>
      </c>
      <c r="G63" s="18" t="s">
        <v>23</v>
      </c>
      <c r="H63" s="19"/>
      <c r="I63" s="4">
        <v>46113</v>
      </c>
      <c r="J63" s="3">
        <v>75.86</v>
      </c>
      <c r="K63" s="3">
        <v>75.86</v>
      </c>
      <c r="L63" s="3">
        <v>1414.16</v>
      </c>
      <c r="M63" s="3">
        <v>303.44</v>
      </c>
      <c r="N63" s="3">
        <v>1110.72</v>
      </c>
      <c r="O63" s="2" t="s">
        <v>78</v>
      </c>
      <c r="P63" s="2" t="s">
        <v>23</v>
      </c>
      <c r="Q63" s="2" t="s">
        <v>77</v>
      </c>
      <c r="R63" s="2"/>
      <c r="S63" s="2">
        <v>1</v>
      </c>
      <c r="T63" s="3">
        <v>23</v>
      </c>
      <c r="U63" s="11">
        <v>1</v>
      </c>
      <c r="V63" s="3">
        <v>23</v>
      </c>
      <c r="W63" s="2" t="s">
        <v>23</v>
      </c>
      <c r="X63" s="2"/>
    </row>
    <row r="64" spans="1:24" x14ac:dyDescent="0.3">
      <c r="A64" s="2" t="s">
        <v>377</v>
      </c>
      <c r="B64" s="2" t="s">
        <v>376</v>
      </c>
      <c r="C64" s="2" t="s">
        <v>267</v>
      </c>
      <c r="D64" s="2" t="s">
        <v>266</v>
      </c>
      <c r="E64" s="2" t="s">
        <v>80</v>
      </c>
      <c r="F64" s="2" t="s">
        <v>79</v>
      </c>
      <c r="G64" s="18" t="s">
        <v>23</v>
      </c>
      <c r="H64" s="19"/>
      <c r="I64" s="4">
        <v>46113</v>
      </c>
      <c r="J64" s="3">
        <v>849.9</v>
      </c>
      <c r="K64" s="3">
        <v>849.9</v>
      </c>
      <c r="L64" s="3">
        <v>3399.6</v>
      </c>
      <c r="M64" s="3">
        <v>3399.6</v>
      </c>
      <c r="N64" s="3">
        <v>0</v>
      </c>
      <c r="O64" s="2" t="s">
        <v>78</v>
      </c>
      <c r="P64" s="2" t="s">
        <v>23</v>
      </c>
      <c r="Q64" s="2" t="s">
        <v>77</v>
      </c>
      <c r="R64" s="2"/>
      <c r="S64" s="2">
        <v>3</v>
      </c>
      <c r="T64" s="3">
        <v>23</v>
      </c>
      <c r="U64" s="11">
        <v>1</v>
      </c>
      <c r="V64" s="3">
        <v>69</v>
      </c>
      <c r="W64" s="2" t="s">
        <v>23</v>
      </c>
      <c r="X64" s="2"/>
    </row>
    <row r="65" spans="1:24" x14ac:dyDescent="0.3">
      <c r="A65" s="2" t="s">
        <v>377</v>
      </c>
      <c r="B65" s="2" t="s">
        <v>376</v>
      </c>
      <c r="C65" s="2" t="s">
        <v>265</v>
      </c>
      <c r="D65" s="2" t="s">
        <v>264</v>
      </c>
      <c r="E65" s="2" t="s">
        <v>80</v>
      </c>
      <c r="F65" s="2" t="s">
        <v>79</v>
      </c>
      <c r="G65" s="18" t="s">
        <v>23</v>
      </c>
      <c r="H65" s="19"/>
      <c r="I65" s="4">
        <v>46054</v>
      </c>
      <c r="J65" s="3">
        <v>42.79</v>
      </c>
      <c r="K65" s="3">
        <v>42.79</v>
      </c>
      <c r="L65" s="3">
        <v>2569.44</v>
      </c>
      <c r="M65" s="3">
        <v>264.43</v>
      </c>
      <c r="N65" s="3">
        <v>2305.0100000000002</v>
      </c>
      <c r="O65" s="2" t="s">
        <v>78</v>
      </c>
      <c r="P65" s="2" t="s">
        <v>23</v>
      </c>
      <c r="Q65" s="2" t="s">
        <v>77</v>
      </c>
      <c r="R65" s="2"/>
      <c r="S65" s="2">
        <v>1</v>
      </c>
      <c r="T65" s="3">
        <v>23</v>
      </c>
      <c r="U65" s="11">
        <v>1</v>
      </c>
      <c r="V65" s="3">
        <v>23</v>
      </c>
      <c r="W65" s="2" t="s">
        <v>23</v>
      </c>
      <c r="X65" s="2"/>
    </row>
    <row r="66" spans="1:24" x14ac:dyDescent="0.3">
      <c r="A66" s="2" t="s">
        <v>377</v>
      </c>
      <c r="B66" s="2" t="s">
        <v>376</v>
      </c>
      <c r="C66" s="2" t="s">
        <v>263</v>
      </c>
      <c r="D66" s="2" t="s">
        <v>262</v>
      </c>
      <c r="E66" s="2" t="s">
        <v>80</v>
      </c>
      <c r="F66" s="2" t="s">
        <v>79</v>
      </c>
      <c r="G66" s="18" t="s">
        <v>23</v>
      </c>
      <c r="H66" s="19"/>
      <c r="I66" s="4">
        <v>46113</v>
      </c>
      <c r="J66" s="3">
        <v>391.58</v>
      </c>
      <c r="K66" s="3">
        <v>391.58</v>
      </c>
      <c r="L66" s="3">
        <v>1566.32</v>
      </c>
      <c r="M66" s="3">
        <v>1566.32</v>
      </c>
      <c r="N66" s="3">
        <v>0</v>
      </c>
      <c r="O66" s="2" t="s">
        <v>78</v>
      </c>
      <c r="P66" s="2" t="s">
        <v>23</v>
      </c>
      <c r="Q66" s="2" t="s">
        <v>77</v>
      </c>
      <c r="R66" s="2"/>
      <c r="S66" s="2">
        <v>1</v>
      </c>
      <c r="T66" s="3">
        <v>23</v>
      </c>
      <c r="U66" s="11">
        <v>1</v>
      </c>
      <c r="V66" s="3">
        <v>23</v>
      </c>
      <c r="W66" s="2" t="s">
        <v>23</v>
      </c>
      <c r="X66" s="2"/>
    </row>
    <row r="67" spans="1:24" x14ac:dyDescent="0.3">
      <c r="A67" s="2" t="s">
        <v>377</v>
      </c>
      <c r="B67" s="2" t="s">
        <v>376</v>
      </c>
      <c r="C67" s="2" t="s">
        <v>261</v>
      </c>
      <c r="D67" s="2" t="s">
        <v>260</v>
      </c>
      <c r="E67" s="2" t="s">
        <v>80</v>
      </c>
      <c r="F67" s="2" t="s">
        <v>79</v>
      </c>
      <c r="G67" s="18" t="s">
        <v>23</v>
      </c>
      <c r="H67" s="19"/>
      <c r="I67" s="4">
        <v>46113</v>
      </c>
      <c r="J67" s="3">
        <v>765.88</v>
      </c>
      <c r="K67" s="3">
        <v>765.88</v>
      </c>
      <c r="L67" s="3">
        <v>3063.52</v>
      </c>
      <c r="M67" s="3">
        <v>3063.52</v>
      </c>
      <c r="N67" s="3">
        <v>0</v>
      </c>
      <c r="O67" s="2" t="s">
        <v>78</v>
      </c>
      <c r="P67" s="2" t="s">
        <v>23</v>
      </c>
      <c r="Q67" s="2" t="s">
        <v>77</v>
      </c>
      <c r="R67" s="2"/>
      <c r="S67" s="2">
        <v>1</v>
      </c>
      <c r="T67" s="3">
        <v>23</v>
      </c>
      <c r="U67" s="11">
        <v>1</v>
      </c>
      <c r="V67" s="3">
        <v>23</v>
      </c>
      <c r="W67" s="2" t="s">
        <v>23</v>
      </c>
      <c r="X67" s="2"/>
    </row>
    <row r="68" spans="1:24" x14ac:dyDescent="0.3">
      <c r="A68" s="2" t="s">
        <v>377</v>
      </c>
      <c r="B68" s="2" t="s">
        <v>376</v>
      </c>
      <c r="C68" s="2" t="s">
        <v>259</v>
      </c>
      <c r="D68" s="2" t="s">
        <v>258</v>
      </c>
      <c r="E68" s="2" t="s">
        <v>80</v>
      </c>
      <c r="F68" s="2" t="s">
        <v>79</v>
      </c>
      <c r="G68" s="18" t="s">
        <v>23</v>
      </c>
      <c r="H68" s="19"/>
      <c r="I68" s="4">
        <v>46113</v>
      </c>
      <c r="J68" s="3">
        <v>596.28</v>
      </c>
      <c r="K68" s="3">
        <v>596.28</v>
      </c>
      <c r="L68" s="3">
        <v>2385.12</v>
      </c>
      <c r="M68" s="3">
        <v>2385.12</v>
      </c>
      <c r="N68" s="3">
        <v>0</v>
      </c>
      <c r="O68" s="2" t="s">
        <v>78</v>
      </c>
      <c r="P68" s="2" t="s">
        <v>23</v>
      </c>
      <c r="Q68" s="2" t="s">
        <v>77</v>
      </c>
      <c r="R68" s="2"/>
      <c r="S68" s="2">
        <v>1</v>
      </c>
      <c r="T68" s="3">
        <v>23</v>
      </c>
      <c r="U68" s="11">
        <v>1</v>
      </c>
      <c r="V68" s="3">
        <v>23</v>
      </c>
      <c r="W68" s="2" t="s">
        <v>23</v>
      </c>
      <c r="X68" s="2"/>
    </row>
    <row r="69" spans="1:24" x14ac:dyDescent="0.3">
      <c r="A69" s="2" t="s">
        <v>377</v>
      </c>
      <c r="B69" s="2" t="s">
        <v>376</v>
      </c>
      <c r="C69" s="2" t="s">
        <v>257</v>
      </c>
      <c r="D69" s="2" t="s">
        <v>256</v>
      </c>
      <c r="E69" s="2" t="s">
        <v>80</v>
      </c>
      <c r="F69" s="2" t="s">
        <v>79</v>
      </c>
      <c r="G69" s="18" t="s">
        <v>23</v>
      </c>
      <c r="H69" s="19"/>
      <c r="I69" s="4">
        <v>46082</v>
      </c>
      <c r="J69" s="3">
        <v>47.33</v>
      </c>
      <c r="K69" s="3">
        <v>47.33</v>
      </c>
      <c r="L69" s="3">
        <v>2122.23</v>
      </c>
      <c r="M69" s="3">
        <v>141.99</v>
      </c>
      <c r="N69" s="3">
        <v>1980.24</v>
      </c>
      <c r="O69" s="2" t="s">
        <v>78</v>
      </c>
      <c r="P69" s="2" t="s">
        <v>23</v>
      </c>
      <c r="Q69" s="2" t="s">
        <v>77</v>
      </c>
      <c r="R69" s="2"/>
      <c r="S69" s="2">
        <v>1</v>
      </c>
      <c r="T69" s="3">
        <v>23</v>
      </c>
      <c r="U69" s="11">
        <v>1</v>
      </c>
      <c r="V69" s="3">
        <v>23</v>
      </c>
      <c r="W69" s="2" t="s">
        <v>23</v>
      </c>
      <c r="X69" s="2"/>
    </row>
    <row r="70" spans="1:24" x14ac:dyDescent="0.3">
      <c r="A70" s="2" t="s">
        <v>377</v>
      </c>
      <c r="B70" s="2" t="s">
        <v>376</v>
      </c>
      <c r="C70" s="2" t="s">
        <v>257</v>
      </c>
      <c r="D70" s="2" t="s">
        <v>256</v>
      </c>
      <c r="E70" s="2" t="s">
        <v>80</v>
      </c>
      <c r="F70" s="2" t="s">
        <v>79</v>
      </c>
      <c r="G70" s="18" t="s">
        <v>23</v>
      </c>
      <c r="H70" s="19"/>
      <c r="I70" s="4">
        <v>46113</v>
      </c>
      <c r="J70" s="3">
        <v>47.33</v>
      </c>
      <c r="K70" s="3">
        <v>47.33</v>
      </c>
      <c r="L70" s="3">
        <v>2829.64</v>
      </c>
      <c r="M70" s="3">
        <v>189.32</v>
      </c>
      <c r="N70" s="3">
        <v>2640.32</v>
      </c>
      <c r="O70" s="2" t="s">
        <v>78</v>
      </c>
      <c r="P70" s="2" t="s">
        <v>23</v>
      </c>
      <c r="Q70" s="2" t="s">
        <v>77</v>
      </c>
      <c r="R70" s="2"/>
      <c r="S70" s="2">
        <v>1</v>
      </c>
      <c r="T70" s="3">
        <v>23</v>
      </c>
      <c r="U70" s="11">
        <v>1</v>
      </c>
      <c r="V70" s="3">
        <v>23</v>
      </c>
      <c r="W70" s="2" t="s">
        <v>23</v>
      </c>
      <c r="X70" s="2"/>
    </row>
    <row r="71" spans="1:24" x14ac:dyDescent="0.3">
      <c r="A71" s="2" t="s">
        <v>377</v>
      </c>
      <c r="B71" s="2" t="s">
        <v>376</v>
      </c>
      <c r="C71" s="2" t="s">
        <v>255</v>
      </c>
      <c r="D71" s="2" t="s">
        <v>254</v>
      </c>
      <c r="E71" s="2" t="s">
        <v>80</v>
      </c>
      <c r="F71" s="2" t="s">
        <v>79</v>
      </c>
      <c r="G71" s="18" t="s">
        <v>23</v>
      </c>
      <c r="H71" s="19"/>
      <c r="I71" s="4">
        <v>46113</v>
      </c>
      <c r="J71" s="3">
        <v>117.64</v>
      </c>
      <c r="K71" s="3">
        <v>117.64</v>
      </c>
      <c r="L71" s="3">
        <v>2133.84</v>
      </c>
      <c r="M71" s="3">
        <v>470.56</v>
      </c>
      <c r="N71" s="3">
        <v>1663.28</v>
      </c>
      <c r="O71" s="2" t="s">
        <v>78</v>
      </c>
      <c r="P71" s="2" t="s">
        <v>23</v>
      </c>
      <c r="Q71" s="2" t="s">
        <v>77</v>
      </c>
      <c r="R71" s="2"/>
      <c r="S71" s="2">
        <v>1</v>
      </c>
      <c r="T71" s="3">
        <v>23</v>
      </c>
      <c r="U71" s="11">
        <v>1</v>
      </c>
      <c r="V71" s="3">
        <v>23</v>
      </c>
      <c r="W71" s="2" t="s">
        <v>23</v>
      </c>
      <c r="X71" s="2"/>
    </row>
    <row r="72" spans="1:24" x14ac:dyDescent="0.3">
      <c r="A72" s="2" t="s">
        <v>377</v>
      </c>
      <c r="B72" s="2" t="s">
        <v>376</v>
      </c>
      <c r="C72" s="2" t="s">
        <v>253</v>
      </c>
      <c r="D72" s="2" t="s">
        <v>252</v>
      </c>
      <c r="E72" s="2" t="s">
        <v>80</v>
      </c>
      <c r="F72" s="2" t="s">
        <v>79</v>
      </c>
      <c r="G72" s="18" t="s">
        <v>23</v>
      </c>
      <c r="H72" s="19"/>
      <c r="I72" s="4">
        <v>46113</v>
      </c>
      <c r="J72" s="3">
        <v>1204.19</v>
      </c>
      <c r="K72" s="3">
        <v>1204.19</v>
      </c>
      <c r="L72" s="3">
        <v>4816.76</v>
      </c>
      <c r="M72" s="3">
        <v>4816.76</v>
      </c>
      <c r="N72" s="3">
        <v>0</v>
      </c>
      <c r="O72" s="2" t="s">
        <v>78</v>
      </c>
      <c r="P72" s="2" t="s">
        <v>23</v>
      </c>
      <c r="Q72" s="2" t="s">
        <v>77</v>
      </c>
      <c r="R72" s="2"/>
      <c r="S72" s="2">
        <v>2</v>
      </c>
      <c r="T72" s="3">
        <v>23</v>
      </c>
      <c r="U72" s="11">
        <v>1</v>
      </c>
      <c r="V72" s="3">
        <v>46</v>
      </c>
      <c r="W72" s="2" t="s">
        <v>23</v>
      </c>
      <c r="X72" s="2"/>
    </row>
    <row r="73" spans="1:24" x14ac:dyDescent="0.3">
      <c r="A73" s="2" t="s">
        <v>377</v>
      </c>
      <c r="B73" s="2" t="s">
        <v>376</v>
      </c>
      <c r="C73" s="2" t="s">
        <v>251</v>
      </c>
      <c r="D73" s="2" t="s">
        <v>250</v>
      </c>
      <c r="E73" s="2" t="s">
        <v>80</v>
      </c>
      <c r="F73" s="2" t="s">
        <v>79</v>
      </c>
      <c r="G73" s="18" t="s">
        <v>23</v>
      </c>
      <c r="H73" s="19"/>
      <c r="I73" s="4">
        <v>46113</v>
      </c>
      <c r="J73" s="3">
        <v>754.25</v>
      </c>
      <c r="K73" s="3">
        <v>754.25</v>
      </c>
      <c r="L73" s="3">
        <v>2262.75</v>
      </c>
      <c r="M73" s="3">
        <v>2262.75</v>
      </c>
      <c r="N73" s="3">
        <v>0</v>
      </c>
      <c r="O73" s="2" t="s">
        <v>78</v>
      </c>
      <c r="P73" s="2" t="s">
        <v>23</v>
      </c>
      <c r="Q73" s="2" t="s">
        <v>77</v>
      </c>
      <c r="R73" s="2"/>
      <c r="S73" s="2">
        <v>2</v>
      </c>
      <c r="T73" s="3">
        <v>23</v>
      </c>
      <c r="U73" s="11">
        <v>1</v>
      </c>
      <c r="V73" s="3">
        <v>46</v>
      </c>
      <c r="W73" s="2" t="s">
        <v>23</v>
      </c>
      <c r="X73" s="2"/>
    </row>
    <row r="74" spans="1:24" x14ac:dyDescent="0.3">
      <c r="A74" s="2" t="s">
        <v>377</v>
      </c>
      <c r="B74" s="2" t="s">
        <v>376</v>
      </c>
      <c r="C74" s="2" t="s">
        <v>249</v>
      </c>
      <c r="D74" s="2" t="s">
        <v>248</v>
      </c>
      <c r="E74" s="2" t="s">
        <v>80</v>
      </c>
      <c r="F74" s="2" t="s">
        <v>79</v>
      </c>
      <c r="G74" s="18" t="s">
        <v>23</v>
      </c>
      <c r="H74" s="19"/>
      <c r="I74" s="4">
        <v>46113</v>
      </c>
      <c r="J74" s="3">
        <v>31.69</v>
      </c>
      <c r="K74" s="3">
        <v>31.69</v>
      </c>
      <c r="L74" s="3">
        <v>1305.8399999999999</v>
      </c>
      <c r="M74" s="3">
        <v>95.07</v>
      </c>
      <c r="N74" s="3">
        <v>1210.77</v>
      </c>
      <c r="O74" s="2" t="s">
        <v>78</v>
      </c>
      <c r="P74" s="2" t="s">
        <v>23</v>
      </c>
      <c r="Q74" s="2" t="s">
        <v>77</v>
      </c>
      <c r="R74" s="2"/>
      <c r="S74" s="2">
        <v>1</v>
      </c>
      <c r="T74" s="3">
        <v>23</v>
      </c>
      <c r="U74" s="11">
        <v>1</v>
      </c>
      <c r="V74" s="3">
        <v>23</v>
      </c>
      <c r="W74" s="2" t="s">
        <v>23</v>
      </c>
      <c r="X74" s="2"/>
    </row>
    <row r="75" spans="1:24" x14ac:dyDescent="0.3">
      <c r="A75" s="2" t="s">
        <v>377</v>
      </c>
      <c r="B75" s="2" t="s">
        <v>376</v>
      </c>
      <c r="C75" s="2" t="s">
        <v>247</v>
      </c>
      <c r="D75" s="2" t="s">
        <v>246</v>
      </c>
      <c r="E75" s="2" t="s">
        <v>80</v>
      </c>
      <c r="F75" s="2" t="s">
        <v>79</v>
      </c>
      <c r="G75" s="18" t="s">
        <v>23</v>
      </c>
      <c r="H75" s="19"/>
      <c r="I75" s="4">
        <v>46113</v>
      </c>
      <c r="J75" s="3">
        <v>131.5</v>
      </c>
      <c r="K75" s="3">
        <v>131.5</v>
      </c>
      <c r="L75" s="3">
        <v>1471.4</v>
      </c>
      <c r="M75" s="3">
        <v>526</v>
      </c>
      <c r="N75" s="3">
        <v>945.4</v>
      </c>
      <c r="O75" s="2" t="s">
        <v>78</v>
      </c>
      <c r="P75" s="2" t="s">
        <v>23</v>
      </c>
      <c r="Q75" s="2" t="s">
        <v>77</v>
      </c>
      <c r="R75" s="2"/>
      <c r="S75" s="2">
        <v>1</v>
      </c>
      <c r="T75" s="3">
        <v>23</v>
      </c>
      <c r="U75" s="11">
        <v>1</v>
      </c>
      <c r="V75" s="3">
        <v>23</v>
      </c>
      <c r="W75" s="2" t="s">
        <v>23</v>
      </c>
      <c r="X75" s="2"/>
    </row>
    <row r="76" spans="1:24" x14ac:dyDescent="0.3">
      <c r="A76" s="2" t="s">
        <v>377</v>
      </c>
      <c r="B76" s="2" t="s">
        <v>376</v>
      </c>
      <c r="C76" s="2" t="s">
        <v>245</v>
      </c>
      <c r="D76" s="2" t="s">
        <v>244</v>
      </c>
      <c r="E76" s="2" t="s">
        <v>80</v>
      </c>
      <c r="F76" s="2" t="s">
        <v>79</v>
      </c>
      <c r="G76" s="18" t="s">
        <v>23</v>
      </c>
      <c r="H76" s="19"/>
      <c r="I76" s="4">
        <v>46113</v>
      </c>
      <c r="J76" s="3">
        <v>441.74</v>
      </c>
      <c r="K76" s="3">
        <v>441.74</v>
      </c>
      <c r="L76" s="3">
        <v>1606.96</v>
      </c>
      <c r="M76" s="3">
        <v>1290.78</v>
      </c>
      <c r="N76" s="3">
        <v>316.18</v>
      </c>
      <c r="O76" s="2" t="s">
        <v>78</v>
      </c>
      <c r="P76" s="2" t="s">
        <v>23</v>
      </c>
      <c r="Q76" s="2" t="s">
        <v>77</v>
      </c>
      <c r="R76" s="2"/>
      <c r="S76" s="2">
        <v>1</v>
      </c>
      <c r="T76" s="3">
        <v>23</v>
      </c>
      <c r="U76" s="11">
        <v>1</v>
      </c>
      <c r="V76" s="3">
        <v>23</v>
      </c>
      <c r="W76" s="2" t="s">
        <v>23</v>
      </c>
      <c r="X76" s="2"/>
    </row>
    <row r="77" spans="1:24" x14ac:dyDescent="0.3">
      <c r="A77" s="2" t="s">
        <v>377</v>
      </c>
      <c r="B77" s="2" t="s">
        <v>376</v>
      </c>
      <c r="C77" s="2" t="s">
        <v>243</v>
      </c>
      <c r="D77" s="2" t="s">
        <v>242</v>
      </c>
      <c r="E77" s="2" t="s">
        <v>80</v>
      </c>
      <c r="F77" s="2" t="s">
        <v>79</v>
      </c>
      <c r="G77" s="18" t="s">
        <v>23</v>
      </c>
      <c r="H77" s="19"/>
      <c r="I77" s="4">
        <v>46113</v>
      </c>
      <c r="J77" s="3">
        <v>76.040000000000006</v>
      </c>
      <c r="K77" s="3">
        <v>76.040000000000006</v>
      </c>
      <c r="L77" s="3">
        <v>1332.42</v>
      </c>
      <c r="M77" s="3">
        <v>228.12</v>
      </c>
      <c r="N77" s="3">
        <v>1104.3</v>
      </c>
      <c r="O77" s="2" t="s">
        <v>78</v>
      </c>
      <c r="P77" s="2" t="s">
        <v>23</v>
      </c>
      <c r="Q77" s="2" t="s">
        <v>77</v>
      </c>
      <c r="R77" s="2"/>
      <c r="S77" s="2">
        <v>1</v>
      </c>
      <c r="T77" s="3">
        <v>23</v>
      </c>
      <c r="U77" s="11">
        <v>1</v>
      </c>
      <c r="V77" s="3">
        <v>23</v>
      </c>
      <c r="W77" s="2" t="s">
        <v>23</v>
      </c>
      <c r="X77" s="2"/>
    </row>
    <row r="78" spans="1:24" x14ac:dyDescent="0.3">
      <c r="A78" s="2" t="s">
        <v>377</v>
      </c>
      <c r="B78" s="2" t="s">
        <v>376</v>
      </c>
      <c r="C78" s="2" t="s">
        <v>241</v>
      </c>
      <c r="D78" s="2" t="s">
        <v>240</v>
      </c>
      <c r="E78" s="2" t="s">
        <v>80</v>
      </c>
      <c r="F78" s="2" t="s">
        <v>79</v>
      </c>
      <c r="G78" s="18" t="s">
        <v>23</v>
      </c>
      <c r="H78" s="19"/>
      <c r="I78" s="4">
        <v>46113</v>
      </c>
      <c r="J78" s="3">
        <v>296.35000000000002</v>
      </c>
      <c r="K78" s="3">
        <v>296.35000000000002</v>
      </c>
      <c r="L78" s="3">
        <v>9312.56</v>
      </c>
      <c r="M78" s="3">
        <v>2362.6799999999998</v>
      </c>
      <c r="N78" s="3">
        <v>6949.88</v>
      </c>
      <c r="O78" s="2" t="s">
        <v>78</v>
      </c>
      <c r="P78" s="2" t="s">
        <v>23</v>
      </c>
      <c r="Q78" s="2" t="s">
        <v>77</v>
      </c>
      <c r="R78" s="2"/>
      <c r="S78" s="2">
        <v>1</v>
      </c>
      <c r="T78" s="3">
        <v>23</v>
      </c>
      <c r="U78" s="11">
        <v>1</v>
      </c>
      <c r="V78" s="3">
        <v>23</v>
      </c>
      <c r="W78" s="2" t="s">
        <v>23</v>
      </c>
      <c r="X78" s="2"/>
    </row>
    <row r="79" spans="1:24" x14ac:dyDescent="0.3">
      <c r="A79" s="2" t="s">
        <v>377</v>
      </c>
      <c r="B79" s="2" t="s">
        <v>376</v>
      </c>
      <c r="C79" s="2" t="s">
        <v>239</v>
      </c>
      <c r="D79" s="2" t="s">
        <v>238</v>
      </c>
      <c r="E79" s="2" t="s">
        <v>80</v>
      </c>
      <c r="F79" s="2" t="s">
        <v>79</v>
      </c>
      <c r="G79" s="18" t="s">
        <v>23</v>
      </c>
      <c r="H79" s="19"/>
      <c r="I79" s="4">
        <v>46113</v>
      </c>
      <c r="J79" s="3">
        <v>1216.05</v>
      </c>
      <c r="K79" s="3">
        <v>1216.05</v>
      </c>
      <c r="L79" s="3">
        <v>6571.44</v>
      </c>
      <c r="M79" s="3">
        <v>4864.2</v>
      </c>
      <c r="N79" s="3">
        <v>1707.24</v>
      </c>
      <c r="O79" s="2" t="s">
        <v>78</v>
      </c>
      <c r="P79" s="2" t="s">
        <v>23</v>
      </c>
      <c r="Q79" s="2" t="s">
        <v>77</v>
      </c>
      <c r="R79" s="2"/>
      <c r="S79" s="2">
        <v>4</v>
      </c>
      <c r="T79" s="3">
        <v>23</v>
      </c>
      <c r="U79" s="11">
        <v>1</v>
      </c>
      <c r="V79" s="3">
        <v>92</v>
      </c>
      <c r="W79" s="2" t="s">
        <v>23</v>
      </c>
      <c r="X79" s="2"/>
    </row>
    <row r="80" spans="1:24" x14ac:dyDescent="0.3">
      <c r="A80" s="2" t="s">
        <v>377</v>
      </c>
      <c r="B80" s="2" t="s">
        <v>376</v>
      </c>
      <c r="C80" s="2" t="s">
        <v>237</v>
      </c>
      <c r="D80" s="2" t="s">
        <v>236</v>
      </c>
      <c r="E80" s="2" t="s">
        <v>80</v>
      </c>
      <c r="F80" s="2" t="s">
        <v>79</v>
      </c>
      <c r="G80" s="18" t="s">
        <v>23</v>
      </c>
      <c r="H80" s="19"/>
      <c r="I80" s="4">
        <v>46113</v>
      </c>
      <c r="J80" s="3">
        <v>502.55</v>
      </c>
      <c r="K80" s="3">
        <v>502.55</v>
      </c>
      <c r="L80" s="3">
        <v>15470.33</v>
      </c>
      <c r="M80" s="3">
        <v>4206.8500000000004</v>
      </c>
      <c r="N80" s="3">
        <v>11263.48</v>
      </c>
      <c r="O80" s="2" t="s">
        <v>78</v>
      </c>
      <c r="P80" s="2" t="s">
        <v>23</v>
      </c>
      <c r="Q80" s="2" t="s">
        <v>77</v>
      </c>
      <c r="R80" s="2"/>
      <c r="S80" s="2">
        <v>3</v>
      </c>
      <c r="T80" s="3">
        <v>23</v>
      </c>
      <c r="U80" s="11">
        <v>1</v>
      </c>
      <c r="V80" s="3">
        <v>69</v>
      </c>
      <c r="W80" s="2" t="s">
        <v>23</v>
      </c>
      <c r="X80" s="2"/>
    </row>
    <row r="81" spans="1:24" x14ac:dyDescent="0.3">
      <c r="A81" s="2" t="s">
        <v>377</v>
      </c>
      <c r="B81" s="2" t="s">
        <v>376</v>
      </c>
      <c r="C81" s="2" t="s">
        <v>235</v>
      </c>
      <c r="D81" s="2" t="s">
        <v>234</v>
      </c>
      <c r="E81" s="2" t="s">
        <v>80</v>
      </c>
      <c r="F81" s="2" t="s">
        <v>79</v>
      </c>
      <c r="G81" s="18" t="s">
        <v>23</v>
      </c>
      <c r="H81" s="19"/>
      <c r="I81" s="4">
        <v>46082</v>
      </c>
      <c r="J81" s="3">
        <v>207.55</v>
      </c>
      <c r="K81" s="3">
        <v>207.55</v>
      </c>
      <c r="L81" s="3">
        <v>1122.22</v>
      </c>
      <c r="M81" s="3">
        <v>415.1</v>
      </c>
      <c r="N81" s="3">
        <v>707.12</v>
      </c>
      <c r="O81" s="2" t="s">
        <v>78</v>
      </c>
      <c r="P81" s="2" t="s">
        <v>23</v>
      </c>
      <c r="Q81" s="2" t="s">
        <v>77</v>
      </c>
      <c r="R81" s="2"/>
      <c r="S81" s="2">
        <v>1</v>
      </c>
      <c r="T81" s="3">
        <v>23</v>
      </c>
      <c r="U81" s="11">
        <v>1</v>
      </c>
      <c r="V81" s="3">
        <v>23</v>
      </c>
      <c r="W81" s="2" t="s">
        <v>23</v>
      </c>
      <c r="X81" s="2"/>
    </row>
    <row r="82" spans="1:24" x14ac:dyDescent="0.3">
      <c r="A82" s="2" t="s">
        <v>377</v>
      </c>
      <c r="B82" s="2" t="s">
        <v>376</v>
      </c>
      <c r="C82" s="2" t="s">
        <v>235</v>
      </c>
      <c r="D82" s="2" t="s">
        <v>234</v>
      </c>
      <c r="E82" s="2" t="s">
        <v>80</v>
      </c>
      <c r="F82" s="2" t="s">
        <v>79</v>
      </c>
      <c r="G82" s="18" t="s">
        <v>23</v>
      </c>
      <c r="H82" s="19"/>
      <c r="I82" s="4">
        <v>46113</v>
      </c>
      <c r="J82" s="3">
        <v>207.55</v>
      </c>
      <c r="K82" s="3">
        <v>207.55</v>
      </c>
      <c r="L82" s="3">
        <v>1683.33</v>
      </c>
      <c r="M82" s="3">
        <v>622.65</v>
      </c>
      <c r="N82" s="3">
        <v>1060.68</v>
      </c>
      <c r="O82" s="2" t="s">
        <v>78</v>
      </c>
      <c r="P82" s="2" t="s">
        <v>23</v>
      </c>
      <c r="Q82" s="2" t="s">
        <v>77</v>
      </c>
      <c r="R82" s="2"/>
      <c r="S82" s="2">
        <v>1</v>
      </c>
      <c r="T82" s="3">
        <v>23</v>
      </c>
      <c r="U82" s="11">
        <v>1</v>
      </c>
      <c r="V82" s="3">
        <v>23</v>
      </c>
      <c r="W82" s="2" t="s">
        <v>23</v>
      </c>
      <c r="X82" s="2"/>
    </row>
    <row r="83" spans="1:24" x14ac:dyDescent="0.3">
      <c r="A83" s="2" t="s">
        <v>377</v>
      </c>
      <c r="B83" s="2" t="s">
        <v>376</v>
      </c>
      <c r="C83" s="2" t="s">
        <v>233</v>
      </c>
      <c r="D83" s="2" t="s">
        <v>232</v>
      </c>
      <c r="E83" s="2" t="s">
        <v>80</v>
      </c>
      <c r="F83" s="2" t="s">
        <v>79</v>
      </c>
      <c r="G83" s="18" t="s">
        <v>23</v>
      </c>
      <c r="H83" s="19"/>
      <c r="I83" s="4">
        <v>46113</v>
      </c>
      <c r="J83" s="3">
        <v>516.85</v>
      </c>
      <c r="K83" s="3">
        <v>516.85</v>
      </c>
      <c r="L83" s="3">
        <v>1550.55</v>
      </c>
      <c r="M83" s="3">
        <v>1550.55</v>
      </c>
      <c r="N83" s="3">
        <v>0</v>
      </c>
      <c r="O83" s="2" t="s">
        <v>78</v>
      </c>
      <c r="P83" s="2" t="s">
        <v>23</v>
      </c>
      <c r="Q83" s="2" t="s">
        <v>77</v>
      </c>
      <c r="R83" s="2"/>
      <c r="S83" s="2">
        <v>1</v>
      </c>
      <c r="T83" s="3">
        <v>23</v>
      </c>
      <c r="U83" s="11">
        <v>1</v>
      </c>
      <c r="V83" s="3">
        <v>23</v>
      </c>
      <c r="W83" s="2" t="s">
        <v>23</v>
      </c>
      <c r="X83" s="2"/>
    </row>
    <row r="84" spans="1:24" x14ac:dyDescent="0.3">
      <c r="A84" s="2" t="s">
        <v>377</v>
      </c>
      <c r="B84" s="2" t="s">
        <v>376</v>
      </c>
      <c r="C84" s="2" t="s">
        <v>231</v>
      </c>
      <c r="D84" s="2" t="s">
        <v>230</v>
      </c>
      <c r="E84" s="2" t="s">
        <v>80</v>
      </c>
      <c r="F84" s="2" t="s">
        <v>79</v>
      </c>
      <c r="G84" s="18" t="s">
        <v>23</v>
      </c>
      <c r="H84" s="19"/>
      <c r="I84" s="4">
        <v>46113</v>
      </c>
      <c r="J84" s="3">
        <v>759.38</v>
      </c>
      <c r="K84" s="3">
        <v>759.38</v>
      </c>
      <c r="L84" s="3">
        <v>18369.2</v>
      </c>
      <c r="M84" s="3">
        <v>7591.28</v>
      </c>
      <c r="N84" s="3">
        <v>10777.92</v>
      </c>
      <c r="O84" s="2" t="s">
        <v>78</v>
      </c>
      <c r="P84" s="2" t="s">
        <v>23</v>
      </c>
      <c r="Q84" s="2" t="s">
        <v>77</v>
      </c>
      <c r="R84" s="2"/>
      <c r="S84" s="2">
        <v>2</v>
      </c>
      <c r="T84" s="3">
        <v>23</v>
      </c>
      <c r="U84" s="11">
        <v>1</v>
      </c>
      <c r="V84" s="3">
        <v>46</v>
      </c>
      <c r="W84" s="2" t="s">
        <v>23</v>
      </c>
      <c r="X84" s="2"/>
    </row>
    <row r="85" spans="1:24" x14ac:dyDescent="0.3">
      <c r="A85" s="2" t="s">
        <v>377</v>
      </c>
      <c r="B85" s="2" t="s">
        <v>376</v>
      </c>
      <c r="C85" s="2" t="s">
        <v>229</v>
      </c>
      <c r="D85" s="2" t="s">
        <v>228</v>
      </c>
      <c r="E85" s="2" t="s">
        <v>80</v>
      </c>
      <c r="F85" s="2" t="s">
        <v>79</v>
      </c>
      <c r="G85" s="18" t="s">
        <v>23</v>
      </c>
      <c r="H85" s="19"/>
      <c r="I85" s="4">
        <v>46113</v>
      </c>
      <c r="J85" s="3">
        <v>77.489999999999995</v>
      </c>
      <c r="K85" s="3">
        <v>77.489999999999995</v>
      </c>
      <c r="L85" s="3">
        <v>4679.2</v>
      </c>
      <c r="M85" s="3">
        <v>309.95999999999998</v>
      </c>
      <c r="N85" s="3">
        <v>4369.24</v>
      </c>
      <c r="O85" s="2" t="s">
        <v>78</v>
      </c>
      <c r="P85" s="2" t="s">
        <v>23</v>
      </c>
      <c r="Q85" s="2" t="s">
        <v>77</v>
      </c>
      <c r="R85" s="2"/>
      <c r="S85" s="2">
        <v>1</v>
      </c>
      <c r="T85" s="3">
        <v>23</v>
      </c>
      <c r="U85" s="11">
        <v>1</v>
      </c>
      <c r="V85" s="3">
        <v>23</v>
      </c>
      <c r="W85" s="2" t="s">
        <v>23</v>
      </c>
      <c r="X85" s="2"/>
    </row>
    <row r="86" spans="1:24" x14ac:dyDescent="0.3">
      <c r="A86" s="2" t="s">
        <v>377</v>
      </c>
      <c r="B86" s="2" t="s">
        <v>376</v>
      </c>
      <c r="C86" s="2" t="s">
        <v>227</v>
      </c>
      <c r="D86" s="2" t="s">
        <v>226</v>
      </c>
      <c r="E86" s="2" t="s">
        <v>80</v>
      </c>
      <c r="F86" s="2" t="s">
        <v>79</v>
      </c>
      <c r="G86" s="18" t="s">
        <v>23</v>
      </c>
      <c r="H86" s="19"/>
      <c r="I86" s="4">
        <v>46082</v>
      </c>
      <c r="J86" s="3">
        <v>911.09</v>
      </c>
      <c r="K86" s="3">
        <v>313.69</v>
      </c>
      <c r="L86" s="3">
        <v>5959.35</v>
      </c>
      <c r="M86" s="3">
        <v>5959.35</v>
      </c>
      <c r="N86" s="3">
        <v>0</v>
      </c>
      <c r="O86" s="2" t="s">
        <v>78</v>
      </c>
      <c r="P86" s="2" t="s">
        <v>23</v>
      </c>
      <c r="Q86" s="2" t="s">
        <v>77</v>
      </c>
      <c r="R86" s="2"/>
      <c r="S86" s="2">
        <v>1</v>
      </c>
      <c r="T86" s="3">
        <v>23</v>
      </c>
      <c r="U86" s="11">
        <v>1</v>
      </c>
      <c r="V86" s="3">
        <v>7.92</v>
      </c>
      <c r="W86" s="2" t="s">
        <v>23</v>
      </c>
      <c r="X86" s="2"/>
    </row>
    <row r="87" spans="1:24" x14ac:dyDescent="0.3">
      <c r="A87" s="2" t="s">
        <v>377</v>
      </c>
      <c r="B87" s="2" t="s">
        <v>376</v>
      </c>
      <c r="C87" s="2" t="s">
        <v>227</v>
      </c>
      <c r="D87" s="2" t="s">
        <v>226</v>
      </c>
      <c r="E87" s="2" t="s">
        <v>80</v>
      </c>
      <c r="F87" s="2" t="s">
        <v>79</v>
      </c>
      <c r="G87" s="18" t="s">
        <v>23</v>
      </c>
      <c r="H87" s="19"/>
      <c r="I87" s="4">
        <v>46113</v>
      </c>
      <c r="J87" s="3">
        <v>860.07</v>
      </c>
      <c r="K87" s="3">
        <v>507.44</v>
      </c>
      <c r="L87" s="3">
        <v>6819.42</v>
      </c>
      <c r="M87" s="3">
        <v>6819.42</v>
      </c>
      <c r="N87" s="3">
        <v>0</v>
      </c>
      <c r="O87" s="2" t="s">
        <v>78</v>
      </c>
      <c r="P87" s="2" t="s">
        <v>23</v>
      </c>
      <c r="Q87" s="2" t="s">
        <v>77</v>
      </c>
      <c r="R87" s="2"/>
      <c r="S87" s="2">
        <v>1</v>
      </c>
      <c r="T87" s="3">
        <v>23</v>
      </c>
      <c r="U87" s="11">
        <v>1</v>
      </c>
      <c r="V87" s="3">
        <v>13.18</v>
      </c>
      <c r="W87" s="2" t="s">
        <v>23</v>
      </c>
      <c r="X87" s="2"/>
    </row>
    <row r="88" spans="1:24" x14ac:dyDescent="0.3">
      <c r="A88" s="2" t="s">
        <v>377</v>
      </c>
      <c r="B88" s="2" t="s">
        <v>376</v>
      </c>
      <c r="C88" s="2" t="s">
        <v>225</v>
      </c>
      <c r="D88" s="2" t="s">
        <v>224</v>
      </c>
      <c r="E88" s="2" t="s">
        <v>80</v>
      </c>
      <c r="F88" s="2" t="s">
        <v>79</v>
      </c>
      <c r="G88" s="18" t="s">
        <v>23</v>
      </c>
      <c r="H88" s="19"/>
      <c r="I88" s="4">
        <v>46082</v>
      </c>
      <c r="J88" s="3">
        <v>169.56</v>
      </c>
      <c r="K88" s="3">
        <v>169.56</v>
      </c>
      <c r="L88" s="3">
        <v>672.82</v>
      </c>
      <c r="M88" s="3">
        <v>339.12</v>
      </c>
      <c r="N88" s="3">
        <v>333.7</v>
      </c>
      <c r="O88" s="2" t="s">
        <v>78</v>
      </c>
      <c r="P88" s="2" t="s">
        <v>23</v>
      </c>
      <c r="Q88" s="2" t="s">
        <v>77</v>
      </c>
      <c r="R88" s="2"/>
      <c r="S88" s="2">
        <v>1</v>
      </c>
      <c r="T88" s="3">
        <v>23</v>
      </c>
      <c r="U88" s="11">
        <v>1</v>
      </c>
      <c r="V88" s="3">
        <v>23</v>
      </c>
      <c r="W88" s="2" t="s">
        <v>23</v>
      </c>
      <c r="X88" s="2"/>
    </row>
    <row r="89" spans="1:24" x14ac:dyDescent="0.3">
      <c r="A89" s="2" t="s">
        <v>377</v>
      </c>
      <c r="B89" s="2" t="s">
        <v>376</v>
      </c>
      <c r="C89" s="2" t="s">
        <v>225</v>
      </c>
      <c r="D89" s="2" t="s">
        <v>224</v>
      </c>
      <c r="E89" s="2" t="s">
        <v>80</v>
      </c>
      <c r="F89" s="2" t="s">
        <v>79</v>
      </c>
      <c r="G89" s="18" t="s">
        <v>23</v>
      </c>
      <c r="H89" s="19"/>
      <c r="I89" s="4">
        <v>46113</v>
      </c>
      <c r="J89" s="3">
        <v>169.56</v>
      </c>
      <c r="K89" s="3">
        <v>169.56</v>
      </c>
      <c r="L89" s="3">
        <v>1009.23</v>
      </c>
      <c r="M89" s="3">
        <v>508.68</v>
      </c>
      <c r="N89" s="3">
        <v>500.55</v>
      </c>
      <c r="O89" s="2" t="s">
        <v>78</v>
      </c>
      <c r="P89" s="2" t="s">
        <v>23</v>
      </c>
      <c r="Q89" s="2" t="s">
        <v>77</v>
      </c>
      <c r="R89" s="2"/>
      <c r="S89" s="2">
        <v>1</v>
      </c>
      <c r="T89" s="3">
        <v>23</v>
      </c>
      <c r="U89" s="11">
        <v>1</v>
      </c>
      <c r="V89" s="3">
        <v>23</v>
      </c>
      <c r="W89" s="2" t="s">
        <v>23</v>
      </c>
      <c r="X89" s="2"/>
    </row>
    <row r="90" spans="1:24" x14ac:dyDescent="0.3">
      <c r="A90" s="2" t="s">
        <v>377</v>
      </c>
      <c r="B90" s="2" t="s">
        <v>376</v>
      </c>
      <c r="C90" s="2" t="s">
        <v>223</v>
      </c>
      <c r="D90" s="2" t="s">
        <v>222</v>
      </c>
      <c r="E90" s="2" t="s">
        <v>80</v>
      </c>
      <c r="F90" s="2" t="s">
        <v>79</v>
      </c>
      <c r="G90" s="18" t="s">
        <v>23</v>
      </c>
      <c r="H90" s="19"/>
      <c r="I90" s="4">
        <v>46113</v>
      </c>
      <c r="J90" s="3">
        <v>187.41</v>
      </c>
      <c r="K90" s="3">
        <v>187.41</v>
      </c>
      <c r="L90" s="3">
        <v>785.46</v>
      </c>
      <c r="M90" s="3">
        <v>562.23</v>
      </c>
      <c r="N90" s="3">
        <v>223.23</v>
      </c>
      <c r="O90" s="2" t="s">
        <v>78</v>
      </c>
      <c r="P90" s="2" t="s">
        <v>23</v>
      </c>
      <c r="Q90" s="2" t="s">
        <v>77</v>
      </c>
      <c r="R90" s="2"/>
      <c r="S90" s="2">
        <v>1</v>
      </c>
      <c r="T90" s="3">
        <v>23</v>
      </c>
      <c r="U90" s="11">
        <v>1</v>
      </c>
      <c r="V90" s="3">
        <v>23</v>
      </c>
      <c r="W90" s="2" t="s">
        <v>23</v>
      </c>
      <c r="X90" s="2"/>
    </row>
    <row r="91" spans="1:24" x14ac:dyDescent="0.3">
      <c r="A91" s="2" t="s">
        <v>377</v>
      </c>
      <c r="B91" s="2" t="s">
        <v>376</v>
      </c>
      <c r="C91" s="2" t="s">
        <v>221</v>
      </c>
      <c r="D91" s="2" t="s">
        <v>220</v>
      </c>
      <c r="E91" s="2" t="s">
        <v>80</v>
      </c>
      <c r="F91" s="2" t="s">
        <v>79</v>
      </c>
      <c r="G91" s="18" t="s">
        <v>23</v>
      </c>
      <c r="H91" s="19"/>
      <c r="I91" s="4">
        <v>46113</v>
      </c>
      <c r="J91" s="3">
        <v>946.61</v>
      </c>
      <c r="K91" s="3">
        <v>946.61</v>
      </c>
      <c r="L91" s="3">
        <v>2839.83</v>
      </c>
      <c r="M91" s="3">
        <v>2839.83</v>
      </c>
      <c r="N91" s="3">
        <v>0</v>
      </c>
      <c r="O91" s="2" t="s">
        <v>78</v>
      </c>
      <c r="P91" s="2" t="s">
        <v>23</v>
      </c>
      <c r="Q91" s="2" t="s">
        <v>77</v>
      </c>
      <c r="R91" s="2"/>
      <c r="S91" s="2">
        <v>3</v>
      </c>
      <c r="T91" s="3">
        <v>23</v>
      </c>
      <c r="U91" s="11">
        <v>1</v>
      </c>
      <c r="V91" s="3">
        <v>69</v>
      </c>
      <c r="W91" s="2" t="s">
        <v>23</v>
      </c>
      <c r="X91" s="2"/>
    </row>
    <row r="92" spans="1:24" x14ac:dyDescent="0.3">
      <c r="A92" s="2" t="s">
        <v>377</v>
      </c>
      <c r="B92" s="2" t="s">
        <v>376</v>
      </c>
      <c r="C92" s="2" t="s">
        <v>219</v>
      </c>
      <c r="D92" s="2" t="s">
        <v>218</v>
      </c>
      <c r="E92" s="2" t="s">
        <v>80</v>
      </c>
      <c r="F92" s="2" t="s">
        <v>79</v>
      </c>
      <c r="G92" s="18" t="s">
        <v>23</v>
      </c>
      <c r="H92" s="19"/>
      <c r="I92" s="4">
        <v>46113</v>
      </c>
      <c r="J92" s="3">
        <v>1</v>
      </c>
      <c r="K92" s="3">
        <v>1</v>
      </c>
      <c r="L92" s="3">
        <v>992.67</v>
      </c>
      <c r="M92" s="3">
        <v>3</v>
      </c>
      <c r="N92" s="3">
        <v>989.67</v>
      </c>
      <c r="O92" s="2" t="s">
        <v>78</v>
      </c>
      <c r="P92" s="2" t="s">
        <v>23</v>
      </c>
      <c r="Q92" s="2" t="s">
        <v>77</v>
      </c>
      <c r="R92" s="2"/>
      <c r="S92" s="2">
        <v>1</v>
      </c>
      <c r="T92" s="3">
        <v>23</v>
      </c>
      <c r="U92" s="11">
        <v>1</v>
      </c>
      <c r="V92" s="3">
        <v>23</v>
      </c>
      <c r="W92" s="2" t="s">
        <v>23</v>
      </c>
      <c r="X92" s="2"/>
    </row>
    <row r="93" spans="1:24" x14ac:dyDescent="0.3">
      <c r="A93" s="2" t="s">
        <v>377</v>
      </c>
      <c r="B93" s="2" t="s">
        <v>376</v>
      </c>
      <c r="C93" s="2" t="s">
        <v>217</v>
      </c>
      <c r="D93" s="2" t="s">
        <v>216</v>
      </c>
      <c r="E93" s="2" t="s">
        <v>80</v>
      </c>
      <c r="F93" s="2" t="s">
        <v>79</v>
      </c>
      <c r="G93" s="18" t="s">
        <v>23</v>
      </c>
      <c r="H93" s="19"/>
      <c r="I93" s="4">
        <v>46113</v>
      </c>
      <c r="J93" s="3">
        <v>19.87</v>
      </c>
      <c r="K93" s="3">
        <v>19.87</v>
      </c>
      <c r="L93" s="3">
        <v>3508.52</v>
      </c>
      <c r="M93" s="3">
        <v>79.48</v>
      </c>
      <c r="N93" s="3">
        <v>3429.04</v>
      </c>
      <c r="O93" s="2" t="s">
        <v>78</v>
      </c>
      <c r="P93" s="2" t="s">
        <v>23</v>
      </c>
      <c r="Q93" s="2" t="s">
        <v>77</v>
      </c>
      <c r="R93" s="2"/>
      <c r="S93" s="2">
        <v>1</v>
      </c>
      <c r="T93" s="3">
        <v>23</v>
      </c>
      <c r="U93" s="11">
        <v>1</v>
      </c>
      <c r="V93" s="3">
        <v>23</v>
      </c>
      <c r="W93" s="2" t="s">
        <v>23</v>
      </c>
      <c r="X93" s="2"/>
    </row>
    <row r="94" spans="1:24" x14ac:dyDescent="0.3">
      <c r="A94" s="2" t="s">
        <v>377</v>
      </c>
      <c r="B94" s="2" t="s">
        <v>376</v>
      </c>
      <c r="C94" s="2" t="s">
        <v>215</v>
      </c>
      <c r="D94" s="2" t="s">
        <v>214</v>
      </c>
      <c r="E94" s="2" t="s">
        <v>80</v>
      </c>
      <c r="F94" s="2" t="s">
        <v>79</v>
      </c>
      <c r="G94" s="18" t="s">
        <v>23</v>
      </c>
      <c r="H94" s="19"/>
      <c r="I94" s="4">
        <v>46113</v>
      </c>
      <c r="J94" s="3">
        <v>1.49</v>
      </c>
      <c r="K94" s="3">
        <v>1.49</v>
      </c>
      <c r="L94" s="3">
        <v>2977.72</v>
      </c>
      <c r="M94" s="3">
        <v>5.96</v>
      </c>
      <c r="N94" s="3">
        <v>2971.76</v>
      </c>
      <c r="O94" s="2" t="s">
        <v>78</v>
      </c>
      <c r="P94" s="2" t="s">
        <v>23</v>
      </c>
      <c r="Q94" s="2" t="s">
        <v>77</v>
      </c>
      <c r="R94" s="2"/>
      <c r="S94" s="2">
        <v>1</v>
      </c>
      <c r="T94" s="3">
        <v>23</v>
      </c>
      <c r="U94" s="11">
        <v>1</v>
      </c>
      <c r="V94" s="3">
        <v>23</v>
      </c>
      <c r="W94" s="2" t="s">
        <v>23</v>
      </c>
      <c r="X94" s="2"/>
    </row>
    <row r="95" spans="1:24" x14ac:dyDescent="0.3">
      <c r="A95" s="2" t="s">
        <v>377</v>
      </c>
      <c r="B95" s="2" t="s">
        <v>376</v>
      </c>
      <c r="C95" s="2" t="s">
        <v>213</v>
      </c>
      <c r="D95" s="2" t="s">
        <v>212</v>
      </c>
      <c r="E95" s="2" t="s">
        <v>80</v>
      </c>
      <c r="F95" s="2" t="s">
        <v>79</v>
      </c>
      <c r="G95" s="18" t="s">
        <v>23</v>
      </c>
      <c r="H95" s="19"/>
      <c r="I95" s="4">
        <v>46113</v>
      </c>
      <c r="J95" s="3">
        <v>75.88</v>
      </c>
      <c r="K95" s="3">
        <v>75.88</v>
      </c>
      <c r="L95" s="3">
        <v>1454.8</v>
      </c>
      <c r="M95" s="3">
        <v>303.52</v>
      </c>
      <c r="N95" s="3">
        <v>1151.28</v>
      </c>
      <c r="O95" s="2" t="s">
        <v>78</v>
      </c>
      <c r="P95" s="2" t="s">
        <v>23</v>
      </c>
      <c r="Q95" s="2" t="s">
        <v>77</v>
      </c>
      <c r="R95" s="2"/>
      <c r="S95" s="2">
        <v>1</v>
      </c>
      <c r="T95" s="3">
        <v>23</v>
      </c>
      <c r="U95" s="11">
        <v>1</v>
      </c>
      <c r="V95" s="3">
        <v>23</v>
      </c>
      <c r="W95" s="2" t="s">
        <v>23</v>
      </c>
      <c r="X95" s="2"/>
    </row>
    <row r="96" spans="1:24" ht="20.399999999999999" x14ac:dyDescent="0.3">
      <c r="A96" s="2" t="s">
        <v>377</v>
      </c>
      <c r="B96" s="2" t="s">
        <v>376</v>
      </c>
      <c r="C96" s="2" t="s">
        <v>211</v>
      </c>
      <c r="D96" s="2" t="s">
        <v>210</v>
      </c>
      <c r="E96" s="2" t="s">
        <v>80</v>
      </c>
      <c r="F96" s="2" t="s">
        <v>79</v>
      </c>
      <c r="G96" s="18" t="s">
        <v>23</v>
      </c>
      <c r="H96" s="19"/>
      <c r="I96" s="4">
        <v>46113</v>
      </c>
      <c r="J96" s="3">
        <v>707.29</v>
      </c>
      <c r="K96" s="3">
        <v>707.29</v>
      </c>
      <c r="L96" s="3">
        <v>2821.02</v>
      </c>
      <c r="M96" s="3">
        <v>2121.87</v>
      </c>
      <c r="N96" s="3">
        <v>699.15</v>
      </c>
      <c r="O96" s="2" t="s">
        <v>78</v>
      </c>
      <c r="P96" s="2" t="s">
        <v>23</v>
      </c>
      <c r="Q96" s="2" t="s">
        <v>77</v>
      </c>
      <c r="R96" s="2"/>
      <c r="S96" s="2">
        <v>1</v>
      </c>
      <c r="T96" s="3">
        <v>23</v>
      </c>
      <c r="U96" s="11">
        <v>1</v>
      </c>
      <c r="V96" s="3">
        <v>23</v>
      </c>
      <c r="W96" s="2" t="s">
        <v>23</v>
      </c>
      <c r="X96" s="2"/>
    </row>
    <row r="97" spans="1:24" x14ac:dyDescent="0.3">
      <c r="A97" s="2" t="s">
        <v>377</v>
      </c>
      <c r="B97" s="2" t="s">
        <v>376</v>
      </c>
      <c r="C97" s="2" t="s">
        <v>209</v>
      </c>
      <c r="D97" s="2" t="s">
        <v>208</v>
      </c>
      <c r="E97" s="2" t="s">
        <v>80</v>
      </c>
      <c r="F97" s="2" t="s">
        <v>79</v>
      </c>
      <c r="G97" s="18" t="s">
        <v>23</v>
      </c>
      <c r="H97" s="19"/>
      <c r="I97" s="4">
        <v>46113</v>
      </c>
      <c r="J97" s="3">
        <v>423.02</v>
      </c>
      <c r="K97" s="3">
        <v>423.02</v>
      </c>
      <c r="L97" s="3">
        <v>9756.7199999999993</v>
      </c>
      <c r="M97" s="3">
        <v>7563.54</v>
      </c>
      <c r="N97" s="3">
        <v>2193.1799999999998</v>
      </c>
      <c r="O97" s="2" t="s">
        <v>78</v>
      </c>
      <c r="P97" s="2" t="s">
        <v>23</v>
      </c>
      <c r="Q97" s="2" t="s">
        <v>77</v>
      </c>
      <c r="R97" s="2"/>
      <c r="S97" s="2">
        <v>1</v>
      </c>
      <c r="T97" s="3">
        <v>23</v>
      </c>
      <c r="U97" s="11">
        <v>1</v>
      </c>
      <c r="V97" s="3">
        <v>23</v>
      </c>
      <c r="W97" s="2" t="s">
        <v>23</v>
      </c>
      <c r="X97" s="2"/>
    </row>
    <row r="98" spans="1:24" x14ac:dyDescent="0.3">
      <c r="A98" s="2" t="s">
        <v>377</v>
      </c>
      <c r="B98" s="2" t="s">
        <v>376</v>
      </c>
      <c r="C98" s="2" t="s">
        <v>207</v>
      </c>
      <c r="D98" s="2" t="s">
        <v>206</v>
      </c>
      <c r="E98" s="2" t="s">
        <v>80</v>
      </c>
      <c r="F98" s="2" t="s">
        <v>79</v>
      </c>
      <c r="G98" s="18" t="s">
        <v>23</v>
      </c>
      <c r="H98" s="19"/>
      <c r="I98" s="4">
        <v>46113</v>
      </c>
      <c r="J98" s="3">
        <v>41.61</v>
      </c>
      <c r="K98" s="3">
        <v>41.61</v>
      </c>
      <c r="L98" s="3">
        <v>3366.98</v>
      </c>
      <c r="M98" s="3">
        <v>543.54</v>
      </c>
      <c r="N98" s="3">
        <v>2823.44</v>
      </c>
      <c r="O98" s="2" t="s">
        <v>78</v>
      </c>
      <c r="P98" s="2" t="s">
        <v>23</v>
      </c>
      <c r="Q98" s="2" t="s">
        <v>77</v>
      </c>
      <c r="R98" s="2"/>
      <c r="S98" s="2">
        <v>1</v>
      </c>
      <c r="T98" s="3">
        <v>23</v>
      </c>
      <c r="U98" s="11">
        <v>1</v>
      </c>
      <c r="V98" s="3">
        <v>23</v>
      </c>
      <c r="W98" s="2" t="s">
        <v>23</v>
      </c>
      <c r="X98" s="2"/>
    </row>
    <row r="99" spans="1:24" x14ac:dyDescent="0.3">
      <c r="A99" s="2" t="s">
        <v>377</v>
      </c>
      <c r="B99" s="2" t="s">
        <v>376</v>
      </c>
      <c r="C99" s="2" t="s">
        <v>205</v>
      </c>
      <c r="D99" s="2" t="s">
        <v>204</v>
      </c>
      <c r="E99" s="2" t="s">
        <v>80</v>
      </c>
      <c r="F99" s="2" t="s">
        <v>79</v>
      </c>
      <c r="G99" s="18" t="s">
        <v>23</v>
      </c>
      <c r="H99" s="19"/>
      <c r="I99" s="4">
        <v>46113</v>
      </c>
      <c r="J99" s="3">
        <v>1170.9000000000001</v>
      </c>
      <c r="K99" s="3">
        <v>1170.9000000000001</v>
      </c>
      <c r="L99" s="3">
        <v>4683.6000000000004</v>
      </c>
      <c r="M99" s="3">
        <v>4683.6000000000004</v>
      </c>
      <c r="N99" s="3">
        <v>0</v>
      </c>
      <c r="O99" s="2" t="s">
        <v>78</v>
      </c>
      <c r="P99" s="2" t="s">
        <v>23</v>
      </c>
      <c r="Q99" s="2" t="s">
        <v>77</v>
      </c>
      <c r="R99" s="2"/>
      <c r="S99" s="2">
        <v>1</v>
      </c>
      <c r="T99" s="3">
        <v>23</v>
      </c>
      <c r="U99" s="11">
        <v>1</v>
      </c>
      <c r="V99" s="3">
        <v>23</v>
      </c>
      <c r="W99" s="2" t="s">
        <v>23</v>
      </c>
      <c r="X99" s="2"/>
    </row>
    <row r="100" spans="1:24" x14ac:dyDescent="0.3">
      <c r="A100" s="2" t="s">
        <v>377</v>
      </c>
      <c r="B100" s="2" t="s">
        <v>376</v>
      </c>
      <c r="C100" s="2" t="s">
        <v>203</v>
      </c>
      <c r="D100" s="2" t="s">
        <v>202</v>
      </c>
      <c r="E100" s="2" t="s">
        <v>80</v>
      </c>
      <c r="F100" s="2" t="s">
        <v>79</v>
      </c>
      <c r="G100" s="18" t="s">
        <v>23</v>
      </c>
      <c r="H100" s="19"/>
      <c r="I100" s="4">
        <v>46113</v>
      </c>
      <c r="J100" s="3">
        <v>105.47</v>
      </c>
      <c r="K100" s="3">
        <v>105.47</v>
      </c>
      <c r="L100" s="3">
        <v>2743.52</v>
      </c>
      <c r="M100" s="3">
        <v>421.88</v>
      </c>
      <c r="N100" s="3">
        <v>2321.64</v>
      </c>
      <c r="O100" s="2" t="s">
        <v>78</v>
      </c>
      <c r="P100" s="2" t="s">
        <v>23</v>
      </c>
      <c r="Q100" s="2" t="s">
        <v>77</v>
      </c>
      <c r="R100" s="2"/>
      <c r="S100" s="2">
        <v>1</v>
      </c>
      <c r="T100" s="3">
        <v>23</v>
      </c>
      <c r="U100" s="11">
        <v>1</v>
      </c>
      <c r="V100" s="3">
        <v>23</v>
      </c>
      <c r="W100" s="2" t="s">
        <v>23</v>
      </c>
      <c r="X100" s="2"/>
    </row>
    <row r="101" spans="1:24" x14ac:dyDescent="0.3">
      <c r="A101" s="2" t="s">
        <v>377</v>
      </c>
      <c r="B101" s="2" t="s">
        <v>376</v>
      </c>
      <c r="C101" s="2" t="s">
        <v>201</v>
      </c>
      <c r="D101" s="2" t="s">
        <v>200</v>
      </c>
      <c r="E101" s="2" t="s">
        <v>80</v>
      </c>
      <c r="F101" s="2" t="s">
        <v>79</v>
      </c>
      <c r="G101" s="18" t="s">
        <v>23</v>
      </c>
      <c r="H101" s="19"/>
      <c r="I101" s="4">
        <v>46023</v>
      </c>
      <c r="J101" s="3">
        <v>187.02</v>
      </c>
      <c r="K101" s="3">
        <v>187.02</v>
      </c>
      <c r="L101" s="3">
        <v>3494.19</v>
      </c>
      <c r="M101" s="3">
        <v>716.42</v>
      </c>
      <c r="N101" s="3">
        <v>2777.77</v>
      </c>
      <c r="O101" s="2" t="s">
        <v>78</v>
      </c>
      <c r="P101" s="2" t="s">
        <v>23</v>
      </c>
      <c r="Q101" s="2" t="s">
        <v>77</v>
      </c>
      <c r="R101" s="2"/>
      <c r="S101" s="2">
        <v>2</v>
      </c>
      <c r="T101" s="3">
        <v>23</v>
      </c>
      <c r="U101" s="11">
        <v>1</v>
      </c>
      <c r="V101" s="3">
        <v>46</v>
      </c>
      <c r="W101" s="2" t="s">
        <v>23</v>
      </c>
      <c r="X101" s="2"/>
    </row>
    <row r="102" spans="1:24" x14ac:dyDescent="0.3">
      <c r="A102" s="2" t="s">
        <v>377</v>
      </c>
      <c r="B102" s="2" t="s">
        <v>376</v>
      </c>
      <c r="C102" s="2" t="s">
        <v>201</v>
      </c>
      <c r="D102" s="2" t="s">
        <v>200</v>
      </c>
      <c r="E102" s="2" t="s">
        <v>80</v>
      </c>
      <c r="F102" s="2" t="s">
        <v>79</v>
      </c>
      <c r="G102" s="18" t="s">
        <v>23</v>
      </c>
      <c r="H102" s="19"/>
      <c r="I102" s="4">
        <v>46054</v>
      </c>
      <c r="J102" s="3">
        <v>187.02</v>
      </c>
      <c r="K102" s="3">
        <v>187.02</v>
      </c>
      <c r="L102" s="3">
        <v>4159.38</v>
      </c>
      <c r="M102" s="3">
        <v>903.44</v>
      </c>
      <c r="N102" s="3">
        <v>3255.94</v>
      </c>
      <c r="O102" s="2" t="s">
        <v>78</v>
      </c>
      <c r="P102" s="2" t="s">
        <v>23</v>
      </c>
      <c r="Q102" s="2" t="s">
        <v>77</v>
      </c>
      <c r="R102" s="2"/>
      <c r="S102" s="2">
        <v>2</v>
      </c>
      <c r="T102" s="3">
        <v>23</v>
      </c>
      <c r="U102" s="11">
        <v>1</v>
      </c>
      <c r="V102" s="3">
        <v>46</v>
      </c>
      <c r="W102" s="2" t="s">
        <v>23</v>
      </c>
      <c r="X102" s="2"/>
    </row>
    <row r="103" spans="1:24" x14ac:dyDescent="0.3">
      <c r="A103" s="2" t="s">
        <v>377</v>
      </c>
      <c r="B103" s="2" t="s">
        <v>376</v>
      </c>
      <c r="C103" s="2" t="s">
        <v>201</v>
      </c>
      <c r="D103" s="2" t="s">
        <v>200</v>
      </c>
      <c r="E103" s="2" t="s">
        <v>80</v>
      </c>
      <c r="F103" s="2" t="s">
        <v>79</v>
      </c>
      <c r="G103" s="18" t="s">
        <v>23</v>
      </c>
      <c r="H103" s="19"/>
      <c r="I103" s="4">
        <v>46082</v>
      </c>
      <c r="J103" s="3">
        <v>187.02</v>
      </c>
      <c r="K103" s="3">
        <v>187.02</v>
      </c>
      <c r="L103" s="3">
        <v>4824.57</v>
      </c>
      <c r="M103" s="3">
        <v>1090.46</v>
      </c>
      <c r="N103" s="3">
        <v>3734.11</v>
      </c>
      <c r="O103" s="2" t="s">
        <v>78</v>
      </c>
      <c r="P103" s="2" t="s">
        <v>23</v>
      </c>
      <c r="Q103" s="2" t="s">
        <v>77</v>
      </c>
      <c r="R103" s="2"/>
      <c r="S103" s="2">
        <v>2</v>
      </c>
      <c r="T103" s="3">
        <v>23</v>
      </c>
      <c r="U103" s="11">
        <v>1</v>
      </c>
      <c r="V103" s="3">
        <v>46</v>
      </c>
      <c r="W103" s="2" t="s">
        <v>23</v>
      </c>
      <c r="X103" s="2"/>
    </row>
    <row r="104" spans="1:24" x14ac:dyDescent="0.3">
      <c r="A104" s="2" t="s">
        <v>377</v>
      </c>
      <c r="B104" s="2" t="s">
        <v>376</v>
      </c>
      <c r="C104" s="2" t="s">
        <v>201</v>
      </c>
      <c r="D104" s="2" t="s">
        <v>200</v>
      </c>
      <c r="E104" s="2" t="s">
        <v>80</v>
      </c>
      <c r="F104" s="2" t="s">
        <v>79</v>
      </c>
      <c r="G104" s="18" t="s">
        <v>23</v>
      </c>
      <c r="H104" s="19"/>
      <c r="I104" s="4">
        <v>46113</v>
      </c>
      <c r="J104" s="3">
        <v>187.02</v>
      </c>
      <c r="K104" s="3">
        <v>187.02</v>
      </c>
      <c r="L104" s="3">
        <v>5489.76</v>
      </c>
      <c r="M104" s="3">
        <v>1277.48</v>
      </c>
      <c r="N104" s="3">
        <v>4212.28</v>
      </c>
      <c r="O104" s="2" t="s">
        <v>78</v>
      </c>
      <c r="P104" s="2" t="s">
        <v>23</v>
      </c>
      <c r="Q104" s="2" t="s">
        <v>77</v>
      </c>
      <c r="R104" s="2"/>
      <c r="S104" s="2">
        <v>2</v>
      </c>
      <c r="T104" s="3">
        <v>23</v>
      </c>
      <c r="U104" s="11">
        <v>1</v>
      </c>
      <c r="V104" s="3">
        <v>46</v>
      </c>
      <c r="W104" s="2" t="s">
        <v>23</v>
      </c>
      <c r="X104" s="2"/>
    </row>
    <row r="105" spans="1:24" x14ac:dyDescent="0.3">
      <c r="A105" s="2" t="s">
        <v>377</v>
      </c>
      <c r="B105" s="2" t="s">
        <v>376</v>
      </c>
      <c r="C105" s="2" t="s">
        <v>199</v>
      </c>
      <c r="D105" s="2" t="s">
        <v>198</v>
      </c>
      <c r="E105" s="2" t="s">
        <v>80</v>
      </c>
      <c r="F105" s="2" t="s">
        <v>79</v>
      </c>
      <c r="G105" s="18" t="s">
        <v>23</v>
      </c>
      <c r="H105" s="19"/>
      <c r="I105" s="4">
        <v>46113</v>
      </c>
      <c r="J105" s="3">
        <v>800.76</v>
      </c>
      <c r="K105" s="3">
        <v>800.76</v>
      </c>
      <c r="L105" s="3">
        <v>3203.04</v>
      </c>
      <c r="M105" s="3">
        <v>3203.04</v>
      </c>
      <c r="N105" s="3">
        <v>0</v>
      </c>
      <c r="O105" s="2" t="s">
        <v>78</v>
      </c>
      <c r="P105" s="2" t="s">
        <v>23</v>
      </c>
      <c r="Q105" s="2" t="s">
        <v>77</v>
      </c>
      <c r="R105" s="2"/>
      <c r="S105" s="2">
        <v>1</v>
      </c>
      <c r="T105" s="3">
        <v>23</v>
      </c>
      <c r="U105" s="11">
        <v>1</v>
      </c>
      <c r="V105" s="3">
        <v>23</v>
      </c>
      <c r="W105" s="2" t="s">
        <v>23</v>
      </c>
      <c r="X105" s="2"/>
    </row>
    <row r="106" spans="1:24" x14ac:dyDescent="0.3">
      <c r="A106" s="2" t="s">
        <v>377</v>
      </c>
      <c r="B106" s="2" t="s">
        <v>376</v>
      </c>
      <c r="C106" s="2" t="s">
        <v>197</v>
      </c>
      <c r="D106" s="2" t="s">
        <v>196</v>
      </c>
      <c r="E106" s="2" t="s">
        <v>80</v>
      </c>
      <c r="F106" s="2" t="s">
        <v>79</v>
      </c>
      <c r="G106" s="18" t="s">
        <v>23</v>
      </c>
      <c r="H106" s="19"/>
      <c r="I106" s="4">
        <v>46113</v>
      </c>
      <c r="J106" s="3">
        <v>603.79999999999995</v>
      </c>
      <c r="K106" s="3">
        <v>603.79999999999995</v>
      </c>
      <c r="L106" s="3">
        <v>7486.76</v>
      </c>
      <c r="M106" s="3">
        <v>2415.1999999999998</v>
      </c>
      <c r="N106" s="3">
        <v>5071.5600000000004</v>
      </c>
      <c r="O106" s="2" t="s">
        <v>78</v>
      </c>
      <c r="P106" s="2" t="s">
        <v>23</v>
      </c>
      <c r="Q106" s="2" t="s">
        <v>77</v>
      </c>
      <c r="R106" s="2"/>
      <c r="S106" s="2">
        <v>3</v>
      </c>
      <c r="T106" s="3">
        <v>23</v>
      </c>
      <c r="U106" s="11">
        <v>1</v>
      </c>
      <c r="V106" s="3">
        <v>69</v>
      </c>
      <c r="W106" s="2" t="s">
        <v>23</v>
      </c>
      <c r="X106" s="2"/>
    </row>
    <row r="107" spans="1:24" x14ac:dyDescent="0.3">
      <c r="A107" s="2" t="s">
        <v>377</v>
      </c>
      <c r="B107" s="2" t="s">
        <v>376</v>
      </c>
      <c r="C107" s="2" t="s">
        <v>195</v>
      </c>
      <c r="D107" s="2" t="s">
        <v>194</v>
      </c>
      <c r="E107" s="2" t="s">
        <v>80</v>
      </c>
      <c r="F107" s="2" t="s">
        <v>79</v>
      </c>
      <c r="G107" s="18" t="s">
        <v>23</v>
      </c>
      <c r="H107" s="19"/>
      <c r="I107" s="4">
        <v>46113</v>
      </c>
      <c r="J107" s="3">
        <v>168.59</v>
      </c>
      <c r="K107" s="3">
        <v>168.59</v>
      </c>
      <c r="L107" s="3">
        <v>3905.76</v>
      </c>
      <c r="M107" s="3">
        <v>674.36</v>
      </c>
      <c r="N107" s="3">
        <v>3231.4</v>
      </c>
      <c r="O107" s="2" t="s">
        <v>78</v>
      </c>
      <c r="P107" s="2" t="s">
        <v>23</v>
      </c>
      <c r="Q107" s="2" t="s">
        <v>77</v>
      </c>
      <c r="R107" s="2"/>
      <c r="S107" s="2">
        <v>2</v>
      </c>
      <c r="T107" s="3">
        <v>23</v>
      </c>
      <c r="U107" s="11">
        <v>1</v>
      </c>
      <c r="V107" s="3">
        <v>46</v>
      </c>
      <c r="W107" s="2" t="s">
        <v>23</v>
      </c>
      <c r="X107" s="2"/>
    </row>
    <row r="108" spans="1:24" x14ac:dyDescent="0.3">
      <c r="A108" s="2" t="s">
        <v>375</v>
      </c>
      <c r="B108" s="2" t="s">
        <v>374</v>
      </c>
      <c r="C108" s="2" t="s">
        <v>191</v>
      </c>
      <c r="D108" s="2" t="s">
        <v>190</v>
      </c>
      <c r="E108" s="2" t="s">
        <v>80</v>
      </c>
      <c r="F108" s="2" t="s">
        <v>79</v>
      </c>
      <c r="G108" s="18" t="s">
        <v>23</v>
      </c>
      <c r="H108" s="19"/>
      <c r="I108" s="4">
        <v>46113</v>
      </c>
      <c r="J108" s="3">
        <v>18.14</v>
      </c>
      <c r="K108" s="3">
        <v>18.14</v>
      </c>
      <c r="L108" s="3">
        <v>1817.2</v>
      </c>
      <c r="M108" s="3">
        <v>72.56</v>
      </c>
      <c r="N108" s="3">
        <v>1744.64</v>
      </c>
      <c r="O108" s="2" t="s">
        <v>78</v>
      </c>
      <c r="P108" s="2" t="s">
        <v>23</v>
      </c>
      <c r="Q108" s="2" t="s">
        <v>77</v>
      </c>
      <c r="R108" s="2"/>
      <c r="S108" s="2">
        <v>1</v>
      </c>
      <c r="T108" s="3">
        <v>23</v>
      </c>
      <c r="U108" s="11">
        <v>1</v>
      </c>
      <c r="V108" s="3">
        <v>23</v>
      </c>
      <c r="W108" s="2" t="s">
        <v>23</v>
      </c>
      <c r="X108" s="2"/>
    </row>
    <row r="109" spans="1:24" x14ac:dyDescent="0.3">
      <c r="A109" s="2" t="s">
        <v>375</v>
      </c>
      <c r="B109" s="2" t="s">
        <v>374</v>
      </c>
      <c r="C109" s="2" t="s">
        <v>189</v>
      </c>
      <c r="D109" s="2" t="s">
        <v>188</v>
      </c>
      <c r="E109" s="2" t="s">
        <v>80</v>
      </c>
      <c r="F109" s="2" t="s">
        <v>79</v>
      </c>
      <c r="G109" s="18" t="s">
        <v>23</v>
      </c>
      <c r="H109" s="19"/>
      <c r="I109" s="4">
        <v>46113</v>
      </c>
      <c r="J109" s="3">
        <v>178.56</v>
      </c>
      <c r="K109" s="3">
        <v>178.56</v>
      </c>
      <c r="L109" s="3">
        <v>1868.37</v>
      </c>
      <c r="M109" s="3">
        <v>535.67999999999995</v>
      </c>
      <c r="N109" s="3">
        <v>1332.69</v>
      </c>
      <c r="O109" s="2" t="s">
        <v>78</v>
      </c>
      <c r="P109" s="2" t="s">
        <v>23</v>
      </c>
      <c r="Q109" s="2" t="s">
        <v>77</v>
      </c>
      <c r="R109" s="2"/>
      <c r="S109" s="2">
        <v>1</v>
      </c>
      <c r="T109" s="3">
        <v>23</v>
      </c>
      <c r="U109" s="11">
        <v>1</v>
      </c>
      <c r="V109" s="3">
        <v>23</v>
      </c>
      <c r="W109" s="2" t="s">
        <v>23</v>
      </c>
      <c r="X109" s="2"/>
    </row>
    <row r="110" spans="1:24" x14ac:dyDescent="0.3">
      <c r="A110" s="2" t="s">
        <v>375</v>
      </c>
      <c r="B110" s="2" t="s">
        <v>374</v>
      </c>
      <c r="C110" s="2" t="s">
        <v>187</v>
      </c>
      <c r="D110" s="2" t="s">
        <v>186</v>
      </c>
      <c r="E110" s="2" t="s">
        <v>80</v>
      </c>
      <c r="F110" s="2" t="s">
        <v>79</v>
      </c>
      <c r="G110" s="18" t="s">
        <v>23</v>
      </c>
      <c r="H110" s="19"/>
      <c r="I110" s="4">
        <v>46113</v>
      </c>
      <c r="J110" s="3">
        <v>131.12</v>
      </c>
      <c r="K110" s="3">
        <v>131.12</v>
      </c>
      <c r="L110" s="3">
        <v>6701.36</v>
      </c>
      <c r="M110" s="3">
        <v>524.48</v>
      </c>
      <c r="N110" s="3">
        <v>6176.88</v>
      </c>
      <c r="O110" s="2" t="s">
        <v>78</v>
      </c>
      <c r="P110" s="2" t="s">
        <v>23</v>
      </c>
      <c r="Q110" s="2" t="s">
        <v>77</v>
      </c>
      <c r="R110" s="2"/>
      <c r="S110" s="2">
        <v>3</v>
      </c>
      <c r="T110" s="3">
        <v>23</v>
      </c>
      <c r="U110" s="11">
        <v>1</v>
      </c>
      <c r="V110" s="3">
        <v>69</v>
      </c>
      <c r="W110" s="2" t="s">
        <v>23</v>
      </c>
      <c r="X110" s="2"/>
    </row>
    <row r="111" spans="1:24" x14ac:dyDescent="0.3">
      <c r="A111" s="2" t="s">
        <v>375</v>
      </c>
      <c r="B111" s="2" t="s">
        <v>374</v>
      </c>
      <c r="C111" s="2" t="s">
        <v>185</v>
      </c>
      <c r="D111" s="2" t="s">
        <v>184</v>
      </c>
      <c r="E111" s="2" t="s">
        <v>80</v>
      </c>
      <c r="F111" s="2" t="s">
        <v>79</v>
      </c>
      <c r="G111" s="18" t="s">
        <v>23</v>
      </c>
      <c r="H111" s="19"/>
      <c r="I111" s="4">
        <v>46113</v>
      </c>
      <c r="J111" s="3">
        <v>194.66</v>
      </c>
      <c r="K111" s="3">
        <v>194.66</v>
      </c>
      <c r="L111" s="3">
        <v>2013.93</v>
      </c>
      <c r="M111" s="3">
        <v>1102.48</v>
      </c>
      <c r="N111" s="3">
        <v>911.45</v>
      </c>
      <c r="O111" s="2" t="s">
        <v>78</v>
      </c>
      <c r="P111" s="2" t="s">
        <v>23</v>
      </c>
      <c r="Q111" s="2" t="s">
        <v>77</v>
      </c>
      <c r="R111" s="2"/>
      <c r="S111" s="2">
        <v>1</v>
      </c>
      <c r="T111" s="3">
        <v>23</v>
      </c>
      <c r="U111" s="11">
        <v>1</v>
      </c>
      <c r="V111" s="3">
        <v>23</v>
      </c>
      <c r="W111" s="2" t="s">
        <v>23</v>
      </c>
      <c r="X111" s="2"/>
    </row>
    <row r="112" spans="1:24" x14ac:dyDescent="0.3">
      <c r="A112" s="2" t="s">
        <v>375</v>
      </c>
      <c r="B112" s="2" t="s">
        <v>374</v>
      </c>
      <c r="C112" s="2" t="s">
        <v>183</v>
      </c>
      <c r="D112" s="2" t="s">
        <v>182</v>
      </c>
      <c r="E112" s="2" t="s">
        <v>80</v>
      </c>
      <c r="F112" s="2" t="s">
        <v>79</v>
      </c>
      <c r="G112" s="18" t="s">
        <v>23</v>
      </c>
      <c r="H112" s="19"/>
      <c r="I112" s="4">
        <v>46113</v>
      </c>
      <c r="J112" s="3">
        <v>431.96</v>
      </c>
      <c r="K112" s="3">
        <v>431.96</v>
      </c>
      <c r="L112" s="3">
        <v>3401.42</v>
      </c>
      <c r="M112" s="3">
        <v>733.25</v>
      </c>
      <c r="N112" s="3">
        <v>2668.17</v>
      </c>
      <c r="O112" s="2" t="s">
        <v>78</v>
      </c>
      <c r="P112" s="2" t="s">
        <v>23</v>
      </c>
      <c r="Q112" s="2" t="s">
        <v>77</v>
      </c>
      <c r="R112" s="2"/>
      <c r="S112" s="2">
        <v>2</v>
      </c>
      <c r="T112" s="3">
        <v>23</v>
      </c>
      <c r="U112" s="11">
        <v>1</v>
      </c>
      <c r="V112" s="3">
        <v>46</v>
      </c>
      <c r="W112" s="2" t="s">
        <v>23</v>
      </c>
      <c r="X112" s="2"/>
    </row>
    <row r="113" spans="1:24" x14ac:dyDescent="0.3">
      <c r="A113" s="2" t="s">
        <v>375</v>
      </c>
      <c r="B113" s="2" t="s">
        <v>374</v>
      </c>
      <c r="C113" s="2" t="s">
        <v>181</v>
      </c>
      <c r="D113" s="2" t="s">
        <v>180</v>
      </c>
      <c r="E113" s="2" t="s">
        <v>80</v>
      </c>
      <c r="F113" s="2" t="s">
        <v>79</v>
      </c>
      <c r="G113" s="18" t="s">
        <v>23</v>
      </c>
      <c r="H113" s="19"/>
      <c r="I113" s="4">
        <v>46113</v>
      </c>
      <c r="J113" s="3">
        <v>332.94</v>
      </c>
      <c r="K113" s="3">
        <v>332.94</v>
      </c>
      <c r="L113" s="3">
        <v>1412.64</v>
      </c>
      <c r="M113" s="3">
        <v>1331.76</v>
      </c>
      <c r="N113" s="3">
        <v>80.88</v>
      </c>
      <c r="O113" s="2" t="s">
        <v>78</v>
      </c>
      <c r="P113" s="2" t="s">
        <v>23</v>
      </c>
      <c r="Q113" s="2" t="s">
        <v>77</v>
      </c>
      <c r="R113" s="2"/>
      <c r="S113" s="2">
        <v>1</v>
      </c>
      <c r="T113" s="3">
        <v>23</v>
      </c>
      <c r="U113" s="11">
        <v>1</v>
      </c>
      <c r="V113" s="3">
        <v>23</v>
      </c>
      <c r="W113" s="2" t="s">
        <v>23</v>
      </c>
      <c r="X113" s="2"/>
    </row>
    <row r="114" spans="1:24" x14ac:dyDescent="0.3">
      <c r="A114" s="2" t="s">
        <v>375</v>
      </c>
      <c r="B114" s="2" t="s">
        <v>374</v>
      </c>
      <c r="C114" s="2" t="s">
        <v>179</v>
      </c>
      <c r="D114" s="2" t="s">
        <v>178</v>
      </c>
      <c r="E114" s="2" t="s">
        <v>80</v>
      </c>
      <c r="F114" s="2" t="s">
        <v>79</v>
      </c>
      <c r="G114" s="18" t="s">
        <v>23</v>
      </c>
      <c r="H114" s="19"/>
      <c r="I114" s="4">
        <v>46113</v>
      </c>
      <c r="J114" s="3">
        <v>1</v>
      </c>
      <c r="K114" s="3">
        <v>1</v>
      </c>
      <c r="L114" s="3">
        <v>1688.6</v>
      </c>
      <c r="M114" s="3">
        <v>4</v>
      </c>
      <c r="N114" s="3">
        <v>1684.6</v>
      </c>
      <c r="O114" s="2" t="s">
        <v>78</v>
      </c>
      <c r="P114" s="2" t="s">
        <v>23</v>
      </c>
      <c r="Q114" s="2" t="s">
        <v>77</v>
      </c>
      <c r="R114" s="2"/>
      <c r="S114" s="2">
        <v>1</v>
      </c>
      <c r="T114" s="3">
        <v>23</v>
      </c>
      <c r="U114" s="11">
        <v>1</v>
      </c>
      <c r="V114" s="3">
        <v>23</v>
      </c>
      <c r="W114" s="2" t="s">
        <v>23</v>
      </c>
      <c r="X114" s="2"/>
    </row>
    <row r="115" spans="1:24" x14ac:dyDescent="0.3">
      <c r="A115" s="2" t="s">
        <v>375</v>
      </c>
      <c r="B115" s="2" t="s">
        <v>374</v>
      </c>
      <c r="C115" s="2" t="s">
        <v>177</v>
      </c>
      <c r="D115" s="2" t="s">
        <v>176</v>
      </c>
      <c r="E115" s="2" t="s">
        <v>80</v>
      </c>
      <c r="F115" s="2" t="s">
        <v>79</v>
      </c>
      <c r="G115" s="18" t="s">
        <v>23</v>
      </c>
      <c r="H115" s="19"/>
      <c r="I115" s="4">
        <v>46113</v>
      </c>
      <c r="J115" s="3">
        <v>130.55000000000001</v>
      </c>
      <c r="K115" s="3">
        <v>130.55000000000001</v>
      </c>
      <c r="L115" s="3">
        <v>2269.2399999999998</v>
      </c>
      <c r="M115" s="3">
        <v>522.20000000000005</v>
      </c>
      <c r="N115" s="3">
        <v>1747.04</v>
      </c>
      <c r="O115" s="2" t="s">
        <v>78</v>
      </c>
      <c r="P115" s="2" t="s">
        <v>23</v>
      </c>
      <c r="Q115" s="2" t="s">
        <v>77</v>
      </c>
      <c r="R115" s="2"/>
      <c r="S115" s="2">
        <v>1</v>
      </c>
      <c r="T115" s="3">
        <v>23</v>
      </c>
      <c r="U115" s="11">
        <v>1</v>
      </c>
      <c r="V115" s="3">
        <v>23</v>
      </c>
      <c r="W115" s="2" t="s">
        <v>23</v>
      </c>
      <c r="X115" s="2"/>
    </row>
    <row r="116" spans="1:24" x14ac:dyDescent="0.3">
      <c r="A116" s="2" t="s">
        <v>375</v>
      </c>
      <c r="B116" s="2" t="s">
        <v>374</v>
      </c>
      <c r="C116" s="2" t="s">
        <v>175</v>
      </c>
      <c r="D116" s="2" t="s">
        <v>174</v>
      </c>
      <c r="E116" s="2" t="s">
        <v>80</v>
      </c>
      <c r="F116" s="2" t="s">
        <v>79</v>
      </c>
      <c r="G116" s="18" t="s">
        <v>23</v>
      </c>
      <c r="H116" s="19"/>
      <c r="I116" s="4">
        <v>46113</v>
      </c>
      <c r="J116" s="3">
        <v>2.48</v>
      </c>
      <c r="K116" s="3">
        <v>2.48</v>
      </c>
      <c r="L116" s="3">
        <v>3390.72</v>
      </c>
      <c r="M116" s="3">
        <v>7.44</v>
      </c>
      <c r="N116" s="3">
        <v>3383.28</v>
      </c>
      <c r="O116" s="2" t="s">
        <v>78</v>
      </c>
      <c r="P116" s="2" t="s">
        <v>23</v>
      </c>
      <c r="Q116" s="2" t="s">
        <v>77</v>
      </c>
      <c r="R116" s="2"/>
      <c r="S116" s="2">
        <v>2</v>
      </c>
      <c r="T116" s="3">
        <v>23</v>
      </c>
      <c r="U116" s="11">
        <v>1</v>
      </c>
      <c r="V116" s="3">
        <v>46</v>
      </c>
      <c r="W116" s="2" t="s">
        <v>23</v>
      </c>
      <c r="X116" s="2"/>
    </row>
    <row r="117" spans="1:24" x14ac:dyDescent="0.3">
      <c r="A117" s="2" t="s">
        <v>375</v>
      </c>
      <c r="B117" s="2" t="s">
        <v>374</v>
      </c>
      <c r="C117" s="2" t="s">
        <v>173</v>
      </c>
      <c r="D117" s="2" t="s">
        <v>172</v>
      </c>
      <c r="E117" s="2" t="s">
        <v>80</v>
      </c>
      <c r="F117" s="2" t="s">
        <v>79</v>
      </c>
      <c r="G117" s="18" t="s">
        <v>23</v>
      </c>
      <c r="H117" s="19"/>
      <c r="I117" s="4">
        <v>46082</v>
      </c>
      <c r="J117" s="3">
        <v>164.71</v>
      </c>
      <c r="K117" s="3">
        <v>164.71</v>
      </c>
      <c r="L117" s="3">
        <v>1548.84</v>
      </c>
      <c r="M117" s="3">
        <v>494.13</v>
      </c>
      <c r="N117" s="3">
        <v>1054.71</v>
      </c>
      <c r="O117" s="2" t="s">
        <v>78</v>
      </c>
      <c r="P117" s="2" t="s">
        <v>23</v>
      </c>
      <c r="Q117" s="2" t="s">
        <v>77</v>
      </c>
      <c r="R117" s="2"/>
      <c r="S117" s="2">
        <v>1</v>
      </c>
      <c r="T117" s="3">
        <v>23</v>
      </c>
      <c r="U117" s="11">
        <v>1</v>
      </c>
      <c r="V117" s="3">
        <v>23</v>
      </c>
      <c r="W117" s="2" t="s">
        <v>23</v>
      </c>
      <c r="X117" s="2"/>
    </row>
    <row r="118" spans="1:24" x14ac:dyDescent="0.3">
      <c r="A118" s="2" t="s">
        <v>375</v>
      </c>
      <c r="B118" s="2" t="s">
        <v>374</v>
      </c>
      <c r="C118" s="2" t="s">
        <v>171</v>
      </c>
      <c r="D118" s="2" t="s">
        <v>170</v>
      </c>
      <c r="E118" s="2" t="s">
        <v>80</v>
      </c>
      <c r="F118" s="2" t="s">
        <v>79</v>
      </c>
      <c r="G118" s="18" t="s">
        <v>23</v>
      </c>
      <c r="H118" s="19"/>
      <c r="I118" s="4">
        <v>46113</v>
      </c>
      <c r="J118" s="3">
        <v>1228.1600000000001</v>
      </c>
      <c r="K118" s="3">
        <v>1228.1600000000001</v>
      </c>
      <c r="L118" s="3">
        <v>4912.6400000000003</v>
      </c>
      <c r="M118" s="3">
        <v>4912.6400000000003</v>
      </c>
      <c r="N118" s="3">
        <v>0</v>
      </c>
      <c r="O118" s="2" t="s">
        <v>78</v>
      </c>
      <c r="P118" s="2" t="s">
        <v>23</v>
      </c>
      <c r="Q118" s="2" t="s">
        <v>77</v>
      </c>
      <c r="R118" s="2"/>
      <c r="S118" s="2">
        <v>2</v>
      </c>
      <c r="T118" s="3">
        <v>23</v>
      </c>
      <c r="U118" s="11">
        <v>1</v>
      </c>
      <c r="V118" s="3">
        <v>46</v>
      </c>
      <c r="W118" s="2" t="s">
        <v>23</v>
      </c>
      <c r="X118" s="2"/>
    </row>
    <row r="119" spans="1:24" x14ac:dyDescent="0.3">
      <c r="A119" s="2" t="s">
        <v>375</v>
      </c>
      <c r="B119" s="2" t="s">
        <v>374</v>
      </c>
      <c r="C119" s="2" t="s">
        <v>169</v>
      </c>
      <c r="D119" s="2" t="s">
        <v>168</v>
      </c>
      <c r="E119" s="2" t="s">
        <v>80</v>
      </c>
      <c r="F119" s="2" t="s">
        <v>79</v>
      </c>
      <c r="G119" s="18" t="s">
        <v>23</v>
      </c>
      <c r="H119" s="19"/>
      <c r="I119" s="4">
        <v>46082</v>
      </c>
      <c r="J119" s="3">
        <v>90.1</v>
      </c>
      <c r="K119" s="3">
        <v>90.1</v>
      </c>
      <c r="L119" s="3">
        <v>912.81</v>
      </c>
      <c r="M119" s="3">
        <v>90.1</v>
      </c>
      <c r="N119" s="3">
        <v>822.71</v>
      </c>
      <c r="O119" s="2" t="s">
        <v>78</v>
      </c>
      <c r="P119" s="2" t="s">
        <v>23</v>
      </c>
      <c r="Q119" s="2" t="s">
        <v>77</v>
      </c>
      <c r="R119" s="2"/>
      <c r="S119" s="2">
        <v>1</v>
      </c>
      <c r="T119" s="3">
        <v>23</v>
      </c>
      <c r="U119" s="11">
        <v>1</v>
      </c>
      <c r="V119" s="3">
        <v>23</v>
      </c>
      <c r="W119" s="2" t="s">
        <v>23</v>
      </c>
      <c r="X119" s="2"/>
    </row>
    <row r="120" spans="1:24" x14ac:dyDescent="0.3">
      <c r="A120" s="2" t="s">
        <v>375</v>
      </c>
      <c r="B120" s="2" t="s">
        <v>374</v>
      </c>
      <c r="C120" s="2" t="s">
        <v>167</v>
      </c>
      <c r="D120" s="2" t="s">
        <v>166</v>
      </c>
      <c r="E120" s="2" t="s">
        <v>80</v>
      </c>
      <c r="F120" s="2" t="s">
        <v>79</v>
      </c>
      <c r="G120" s="18" t="s">
        <v>23</v>
      </c>
      <c r="H120" s="19"/>
      <c r="I120" s="4">
        <v>46113</v>
      </c>
      <c r="J120" s="3">
        <v>415.65</v>
      </c>
      <c r="K120" s="3">
        <v>415.65</v>
      </c>
      <c r="L120" s="3">
        <v>9371.2800000000007</v>
      </c>
      <c r="M120" s="3">
        <v>1662.6</v>
      </c>
      <c r="N120" s="3">
        <v>7708.68</v>
      </c>
      <c r="O120" s="2" t="s">
        <v>78</v>
      </c>
      <c r="P120" s="2" t="s">
        <v>23</v>
      </c>
      <c r="Q120" s="2" t="s">
        <v>77</v>
      </c>
      <c r="R120" s="2"/>
      <c r="S120" s="2">
        <v>2</v>
      </c>
      <c r="T120" s="3">
        <v>23</v>
      </c>
      <c r="U120" s="11">
        <v>1</v>
      </c>
      <c r="V120" s="3">
        <v>46</v>
      </c>
      <c r="W120" s="2" t="s">
        <v>23</v>
      </c>
      <c r="X120" s="2"/>
    </row>
    <row r="121" spans="1:24" x14ac:dyDescent="0.3">
      <c r="A121" s="2" t="s">
        <v>375</v>
      </c>
      <c r="B121" s="2" t="s">
        <v>374</v>
      </c>
      <c r="C121" s="2" t="s">
        <v>165</v>
      </c>
      <c r="D121" s="2" t="s">
        <v>164</v>
      </c>
      <c r="E121" s="2" t="s">
        <v>80</v>
      </c>
      <c r="F121" s="2" t="s">
        <v>79</v>
      </c>
      <c r="G121" s="18" t="s">
        <v>23</v>
      </c>
      <c r="H121" s="19"/>
      <c r="I121" s="4">
        <v>46113</v>
      </c>
      <c r="J121" s="3">
        <v>392.5</v>
      </c>
      <c r="K121" s="3">
        <v>392.5</v>
      </c>
      <c r="L121" s="3">
        <v>4046.28</v>
      </c>
      <c r="M121" s="3">
        <v>1570</v>
      </c>
      <c r="N121" s="3">
        <v>2476.2800000000002</v>
      </c>
      <c r="O121" s="2" t="s">
        <v>78</v>
      </c>
      <c r="P121" s="2" t="s">
        <v>23</v>
      </c>
      <c r="Q121" s="2" t="s">
        <v>77</v>
      </c>
      <c r="R121" s="2"/>
      <c r="S121" s="2">
        <v>1</v>
      </c>
      <c r="T121" s="3">
        <v>23</v>
      </c>
      <c r="U121" s="11">
        <v>1</v>
      </c>
      <c r="V121" s="3">
        <v>23</v>
      </c>
      <c r="W121" s="2" t="s">
        <v>23</v>
      </c>
      <c r="X121" s="2"/>
    </row>
    <row r="122" spans="1:24" x14ac:dyDescent="0.3">
      <c r="A122" s="2" t="s">
        <v>375</v>
      </c>
      <c r="B122" s="2" t="s">
        <v>374</v>
      </c>
      <c r="C122" s="2" t="s">
        <v>163</v>
      </c>
      <c r="D122" s="2" t="s">
        <v>162</v>
      </c>
      <c r="E122" s="2" t="s">
        <v>80</v>
      </c>
      <c r="F122" s="2" t="s">
        <v>79</v>
      </c>
      <c r="G122" s="18" t="s">
        <v>23</v>
      </c>
      <c r="H122" s="19"/>
      <c r="I122" s="4">
        <v>46113</v>
      </c>
      <c r="J122" s="3">
        <v>185.58</v>
      </c>
      <c r="K122" s="3">
        <v>185.58</v>
      </c>
      <c r="L122" s="3">
        <v>1090.5999999999999</v>
      </c>
      <c r="M122" s="3">
        <v>742.32</v>
      </c>
      <c r="N122" s="3">
        <v>348.28</v>
      </c>
      <c r="O122" s="2" t="s">
        <v>78</v>
      </c>
      <c r="P122" s="2" t="s">
        <v>23</v>
      </c>
      <c r="Q122" s="2" t="s">
        <v>77</v>
      </c>
      <c r="R122" s="2"/>
      <c r="S122" s="2">
        <v>1</v>
      </c>
      <c r="T122" s="3">
        <v>23</v>
      </c>
      <c r="U122" s="11">
        <v>1</v>
      </c>
      <c r="V122" s="3">
        <v>23</v>
      </c>
      <c r="W122" s="2" t="s">
        <v>23</v>
      </c>
      <c r="X122" s="2"/>
    </row>
    <row r="123" spans="1:24" x14ac:dyDescent="0.3">
      <c r="A123" s="2" t="s">
        <v>375</v>
      </c>
      <c r="B123" s="2" t="s">
        <v>374</v>
      </c>
      <c r="C123" s="2" t="s">
        <v>161</v>
      </c>
      <c r="D123" s="2" t="s">
        <v>160</v>
      </c>
      <c r="E123" s="2" t="s">
        <v>80</v>
      </c>
      <c r="F123" s="2" t="s">
        <v>79</v>
      </c>
      <c r="G123" s="18" t="s">
        <v>23</v>
      </c>
      <c r="H123" s="19"/>
      <c r="I123" s="4">
        <v>46113</v>
      </c>
      <c r="J123" s="3">
        <v>2.77</v>
      </c>
      <c r="K123" s="3">
        <v>2.77</v>
      </c>
      <c r="L123" s="3">
        <v>889.5</v>
      </c>
      <c r="M123" s="3">
        <v>8.31</v>
      </c>
      <c r="N123" s="3">
        <v>881.19</v>
      </c>
      <c r="O123" s="2" t="s">
        <v>78</v>
      </c>
      <c r="P123" s="2" t="s">
        <v>23</v>
      </c>
      <c r="Q123" s="2" t="s">
        <v>77</v>
      </c>
      <c r="R123" s="2"/>
      <c r="S123" s="2">
        <v>1</v>
      </c>
      <c r="T123" s="3">
        <v>23</v>
      </c>
      <c r="U123" s="11">
        <v>1</v>
      </c>
      <c r="V123" s="3">
        <v>23</v>
      </c>
      <c r="W123" s="2" t="s">
        <v>23</v>
      </c>
      <c r="X123" s="2"/>
    </row>
    <row r="124" spans="1:24" x14ac:dyDescent="0.3">
      <c r="A124" s="2" t="s">
        <v>375</v>
      </c>
      <c r="B124" s="2" t="s">
        <v>374</v>
      </c>
      <c r="C124" s="2" t="s">
        <v>159</v>
      </c>
      <c r="D124" s="2" t="s">
        <v>158</v>
      </c>
      <c r="E124" s="2" t="s">
        <v>80</v>
      </c>
      <c r="F124" s="2" t="s">
        <v>79</v>
      </c>
      <c r="G124" s="18" t="s">
        <v>23</v>
      </c>
      <c r="H124" s="19"/>
      <c r="I124" s="4">
        <v>46113</v>
      </c>
      <c r="J124" s="3">
        <v>141.18</v>
      </c>
      <c r="K124" s="3">
        <v>141.18</v>
      </c>
      <c r="L124" s="3">
        <v>901.88</v>
      </c>
      <c r="M124" s="3">
        <v>564.72</v>
      </c>
      <c r="N124" s="3">
        <v>337.16</v>
      </c>
      <c r="O124" s="2" t="s">
        <v>78</v>
      </c>
      <c r="P124" s="2" t="s">
        <v>23</v>
      </c>
      <c r="Q124" s="2" t="s">
        <v>77</v>
      </c>
      <c r="R124" s="2"/>
      <c r="S124" s="2">
        <v>1</v>
      </c>
      <c r="T124" s="3">
        <v>23</v>
      </c>
      <c r="U124" s="11">
        <v>1</v>
      </c>
      <c r="V124" s="3">
        <v>23</v>
      </c>
      <c r="W124" s="2" t="s">
        <v>23</v>
      </c>
      <c r="X124" s="2"/>
    </row>
    <row r="125" spans="1:24" x14ac:dyDescent="0.3">
      <c r="A125" s="2" t="s">
        <v>375</v>
      </c>
      <c r="B125" s="2" t="s">
        <v>374</v>
      </c>
      <c r="C125" s="2" t="s">
        <v>157</v>
      </c>
      <c r="D125" s="2" t="s">
        <v>156</v>
      </c>
      <c r="E125" s="2" t="s">
        <v>80</v>
      </c>
      <c r="F125" s="2" t="s">
        <v>79</v>
      </c>
      <c r="G125" s="18" t="s">
        <v>23</v>
      </c>
      <c r="H125" s="19"/>
      <c r="I125" s="4">
        <v>46113</v>
      </c>
      <c r="J125" s="3">
        <v>65.58</v>
      </c>
      <c r="K125" s="3">
        <v>65.58</v>
      </c>
      <c r="L125" s="3">
        <v>937.64</v>
      </c>
      <c r="M125" s="3">
        <v>262.32</v>
      </c>
      <c r="N125" s="3">
        <v>675.32</v>
      </c>
      <c r="O125" s="2" t="s">
        <v>78</v>
      </c>
      <c r="P125" s="2" t="s">
        <v>23</v>
      </c>
      <c r="Q125" s="2" t="s">
        <v>77</v>
      </c>
      <c r="R125" s="2"/>
      <c r="S125" s="2">
        <v>1</v>
      </c>
      <c r="T125" s="3">
        <v>23</v>
      </c>
      <c r="U125" s="11">
        <v>1</v>
      </c>
      <c r="V125" s="3">
        <v>23</v>
      </c>
      <c r="W125" s="2" t="s">
        <v>23</v>
      </c>
      <c r="X125" s="2"/>
    </row>
    <row r="126" spans="1:24" x14ac:dyDescent="0.3">
      <c r="A126" s="2" t="s">
        <v>375</v>
      </c>
      <c r="B126" s="2" t="s">
        <v>374</v>
      </c>
      <c r="C126" s="2" t="s">
        <v>155</v>
      </c>
      <c r="D126" s="2" t="s">
        <v>154</v>
      </c>
      <c r="E126" s="2" t="s">
        <v>80</v>
      </c>
      <c r="F126" s="2" t="s">
        <v>79</v>
      </c>
      <c r="G126" s="18" t="s">
        <v>23</v>
      </c>
      <c r="H126" s="19"/>
      <c r="I126" s="4">
        <v>46113</v>
      </c>
      <c r="J126" s="3">
        <v>1</v>
      </c>
      <c r="K126" s="3">
        <v>1</v>
      </c>
      <c r="L126" s="3">
        <v>828.75</v>
      </c>
      <c r="M126" s="3">
        <v>3</v>
      </c>
      <c r="N126" s="3">
        <v>825.75</v>
      </c>
      <c r="O126" s="2" t="s">
        <v>78</v>
      </c>
      <c r="P126" s="2" t="s">
        <v>23</v>
      </c>
      <c r="Q126" s="2" t="s">
        <v>77</v>
      </c>
      <c r="R126" s="2"/>
      <c r="S126" s="2">
        <v>1</v>
      </c>
      <c r="T126" s="3">
        <v>23</v>
      </c>
      <c r="U126" s="11">
        <v>1</v>
      </c>
      <c r="V126" s="3">
        <v>23</v>
      </c>
      <c r="W126" s="2" t="s">
        <v>23</v>
      </c>
      <c r="X126" s="2"/>
    </row>
    <row r="127" spans="1:24" x14ac:dyDescent="0.3">
      <c r="A127" s="2" t="s">
        <v>375</v>
      </c>
      <c r="B127" s="2" t="s">
        <v>374</v>
      </c>
      <c r="C127" s="2" t="s">
        <v>153</v>
      </c>
      <c r="D127" s="2" t="s">
        <v>152</v>
      </c>
      <c r="E127" s="2" t="s">
        <v>80</v>
      </c>
      <c r="F127" s="2" t="s">
        <v>79</v>
      </c>
      <c r="G127" s="18" t="s">
        <v>23</v>
      </c>
      <c r="H127" s="19"/>
      <c r="I127" s="4">
        <v>46113</v>
      </c>
      <c r="J127" s="3">
        <v>152.15</v>
      </c>
      <c r="K127" s="3">
        <v>152.15</v>
      </c>
      <c r="L127" s="3">
        <v>3446.4</v>
      </c>
      <c r="M127" s="3">
        <v>608.6</v>
      </c>
      <c r="N127" s="3">
        <v>2837.8</v>
      </c>
      <c r="O127" s="2" t="s">
        <v>78</v>
      </c>
      <c r="P127" s="2" t="s">
        <v>23</v>
      </c>
      <c r="Q127" s="2" t="s">
        <v>77</v>
      </c>
      <c r="R127" s="2"/>
      <c r="S127" s="2">
        <v>3</v>
      </c>
      <c r="T127" s="3">
        <v>23</v>
      </c>
      <c r="U127" s="11">
        <v>1</v>
      </c>
      <c r="V127" s="3">
        <v>69</v>
      </c>
      <c r="W127" s="2" t="s">
        <v>23</v>
      </c>
      <c r="X127" s="2"/>
    </row>
    <row r="128" spans="1:24" ht="30.6" x14ac:dyDescent="0.3">
      <c r="A128" s="2" t="s">
        <v>370</v>
      </c>
      <c r="B128" s="2" t="s">
        <v>373</v>
      </c>
      <c r="C128" s="2"/>
      <c r="D128" s="2" t="s">
        <v>149</v>
      </c>
      <c r="E128" s="2"/>
      <c r="F128" s="2"/>
      <c r="G128" s="18" t="s">
        <v>372</v>
      </c>
      <c r="H128" s="19"/>
      <c r="I128" s="2"/>
      <c r="J128" s="2"/>
      <c r="K128" s="2"/>
      <c r="L128" s="3">
        <v>0</v>
      </c>
      <c r="M128" s="2"/>
      <c r="N128" s="2"/>
      <c r="O128" s="2" t="s">
        <v>148</v>
      </c>
      <c r="P128" s="2" t="s">
        <v>23</v>
      </c>
      <c r="Q128" s="2" t="s">
        <v>371</v>
      </c>
      <c r="R128" s="2"/>
      <c r="S128" s="2"/>
      <c r="T128" s="2"/>
      <c r="U128" s="2"/>
      <c r="V128" s="3">
        <v>14.45</v>
      </c>
      <c r="W128" s="2" t="s">
        <v>23</v>
      </c>
      <c r="X128" s="2" t="s">
        <v>147</v>
      </c>
    </row>
    <row r="129" spans="1:24" x14ac:dyDescent="0.3">
      <c r="A129" s="2" t="s">
        <v>370</v>
      </c>
      <c r="B129" s="2" t="s">
        <v>369</v>
      </c>
      <c r="C129" s="2" t="s">
        <v>146</v>
      </c>
      <c r="D129" s="2" t="s">
        <v>145</v>
      </c>
      <c r="E129" s="2" t="s">
        <v>80</v>
      </c>
      <c r="F129" s="2" t="s">
        <v>79</v>
      </c>
      <c r="G129" s="18" t="s">
        <v>23</v>
      </c>
      <c r="H129" s="19"/>
      <c r="I129" s="4">
        <v>46113</v>
      </c>
      <c r="J129" s="3">
        <v>455.09</v>
      </c>
      <c r="K129" s="3">
        <v>455.09</v>
      </c>
      <c r="L129" s="3">
        <v>7768.08</v>
      </c>
      <c r="M129" s="3">
        <v>1820.36</v>
      </c>
      <c r="N129" s="3">
        <v>5947.72</v>
      </c>
      <c r="O129" s="2" t="s">
        <v>78</v>
      </c>
      <c r="P129" s="2" t="s">
        <v>23</v>
      </c>
      <c r="Q129" s="2" t="s">
        <v>77</v>
      </c>
      <c r="R129" s="2"/>
      <c r="S129" s="2">
        <v>2</v>
      </c>
      <c r="T129" s="3">
        <v>23</v>
      </c>
      <c r="U129" s="11">
        <v>1</v>
      </c>
      <c r="V129" s="3">
        <v>46</v>
      </c>
      <c r="W129" s="2" t="s">
        <v>23</v>
      </c>
      <c r="X129" s="2"/>
    </row>
    <row r="130" spans="1:24" x14ac:dyDescent="0.3">
      <c r="A130" s="2" t="s">
        <v>370</v>
      </c>
      <c r="B130" s="2" t="s">
        <v>369</v>
      </c>
      <c r="C130" s="2" t="s">
        <v>144</v>
      </c>
      <c r="D130" s="2" t="s">
        <v>143</v>
      </c>
      <c r="E130" s="2" t="s">
        <v>80</v>
      </c>
      <c r="F130" s="2" t="s">
        <v>79</v>
      </c>
      <c r="G130" s="18" t="s">
        <v>23</v>
      </c>
      <c r="H130" s="19"/>
      <c r="I130" s="4">
        <v>46113</v>
      </c>
      <c r="J130" s="3">
        <v>1645.15</v>
      </c>
      <c r="K130" s="3">
        <v>1645.15</v>
      </c>
      <c r="L130" s="3">
        <v>6580.6</v>
      </c>
      <c r="M130" s="3">
        <v>6580.6</v>
      </c>
      <c r="N130" s="3">
        <v>0</v>
      </c>
      <c r="O130" s="2" t="s">
        <v>78</v>
      </c>
      <c r="P130" s="2" t="s">
        <v>23</v>
      </c>
      <c r="Q130" s="2" t="s">
        <v>77</v>
      </c>
      <c r="R130" s="2"/>
      <c r="S130" s="2">
        <v>5</v>
      </c>
      <c r="T130" s="3">
        <v>23</v>
      </c>
      <c r="U130" s="11">
        <v>1</v>
      </c>
      <c r="V130" s="3">
        <v>115</v>
      </c>
      <c r="W130" s="2" t="s">
        <v>23</v>
      </c>
      <c r="X130" s="2"/>
    </row>
    <row r="131" spans="1:24" x14ac:dyDescent="0.3">
      <c r="A131" s="2" t="s">
        <v>370</v>
      </c>
      <c r="B131" s="2" t="s">
        <v>369</v>
      </c>
      <c r="C131" s="2" t="s">
        <v>142</v>
      </c>
      <c r="D131" s="2" t="s">
        <v>141</v>
      </c>
      <c r="E131" s="2" t="s">
        <v>80</v>
      </c>
      <c r="F131" s="2" t="s">
        <v>79</v>
      </c>
      <c r="G131" s="18" t="s">
        <v>23</v>
      </c>
      <c r="H131" s="19"/>
      <c r="I131" s="4">
        <v>46113</v>
      </c>
      <c r="J131" s="3">
        <v>902.9</v>
      </c>
      <c r="K131" s="3">
        <v>902.9</v>
      </c>
      <c r="L131" s="3">
        <v>3611.6</v>
      </c>
      <c r="M131" s="3">
        <v>3611.6</v>
      </c>
      <c r="N131" s="3">
        <v>0</v>
      </c>
      <c r="O131" s="2" t="s">
        <v>78</v>
      </c>
      <c r="P131" s="2" t="s">
        <v>23</v>
      </c>
      <c r="Q131" s="2" t="s">
        <v>77</v>
      </c>
      <c r="R131" s="2"/>
      <c r="S131" s="2">
        <v>1</v>
      </c>
      <c r="T131" s="3">
        <v>23</v>
      </c>
      <c r="U131" s="11">
        <v>1</v>
      </c>
      <c r="V131" s="3">
        <v>23</v>
      </c>
      <c r="W131" s="2" t="s">
        <v>23</v>
      </c>
      <c r="X131" s="2"/>
    </row>
    <row r="132" spans="1:24" x14ac:dyDescent="0.3">
      <c r="A132" s="2" t="s">
        <v>370</v>
      </c>
      <c r="B132" s="2" t="s">
        <v>369</v>
      </c>
      <c r="C132" s="2" t="s">
        <v>140</v>
      </c>
      <c r="D132" s="2" t="s">
        <v>139</v>
      </c>
      <c r="E132" s="2" t="s">
        <v>80</v>
      </c>
      <c r="F132" s="2" t="s">
        <v>79</v>
      </c>
      <c r="G132" s="18" t="s">
        <v>23</v>
      </c>
      <c r="H132" s="19"/>
      <c r="I132" s="4">
        <v>46023</v>
      </c>
      <c r="J132" s="3">
        <v>441.78</v>
      </c>
      <c r="K132" s="3">
        <v>441.78</v>
      </c>
      <c r="L132" s="3">
        <v>441.78</v>
      </c>
      <c r="M132" s="3">
        <v>441.78</v>
      </c>
      <c r="N132" s="3">
        <v>0</v>
      </c>
      <c r="O132" s="2" t="s">
        <v>78</v>
      </c>
      <c r="P132" s="2" t="s">
        <v>23</v>
      </c>
      <c r="Q132" s="2" t="s">
        <v>77</v>
      </c>
      <c r="R132" s="2"/>
      <c r="S132" s="2">
        <v>1</v>
      </c>
      <c r="T132" s="3">
        <v>23</v>
      </c>
      <c r="U132" s="11">
        <v>1</v>
      </c>
      <c r="V132" s="3">
        <v>23</v>
      </c>
      <c r="W132" s="2" t="s">
        <v>23</v>
      </c>
      <c r="X132" s="2"/>
    </row>
    <row r="133" spans="1:24" x14ac:dyDescent="0.3">
      <c r="A133" s="2" t="s">
        <v>370</v>
      </c>
      <c r="B133" s="2" t="s">
        <v>369</v>
      </c>
      <c r="C133" s="2" t="s">
        <v>140</v>
      </c>
      <c r="D133" s="2" t="s">
        <v>139</v>
      </c>
      <c r="E133" s="2" t="s">
        <v>80</v>
      </c>
      <c r="F133" s="2" t="s">
        <v>79</v>
      </c>
      <c r="G133" s="18" t="s">
        <v>23</v>
      </c>
      <c r="H133" s="19"/>
      <c r="I133" s="4">
        <v>46054</v>
      </c>
      <c r="J133" s="3">
        <v>441.78</v>
      </c>
      <c r="K133" s="3">
        <v>441.78</v>
      </c>
      <c r="L133" s="3">
        <v>883.56</v>
      </c>
      <c r="M133" s="3">
        <v>883.56</v>
      </c>
      <c r="N133" s="3">
        <v>0</v>
      </c>
      <c r="O133" s="2" t="s">
        <v>78</v>
      </c>
      <c r="P133" s="2" t="s">
        <v>23</v>
      </c>
      <c r="Q133" s="2" t="s">
        <v>77</v>
      </c>
      <c r="R133" s="2"/>
      <c r="S133" s="2">
        <v>1</v>
      </c>
      <c r="T133" s="3">
        <v>23</v>
      </c>
      <c r="U133" s="11">
        <v>1</v>
      </c>
      <c r="V133" s="3">
        <v>23</v>
      </c>
      <c r="W133" s="2" t="s">
        <v>23</v>
      </c>
      <c r="X133" s="2"/>
    </row>
    <row r="134" spans="1:24" x14ac:dyDescent="0.3">
      <c r="A134" s="2" t="s">
        <v>370</v>
      </c>
      <c r="B134" s="2" t="s">
        <v>369</v>
      </c>
      <c r="C134" s="2" t="s">
        <v>140</v>
      </c>
      <c r="D134" s="2" t="s">
        <v>139</v>
      </c>
      <c r="E134" s="2" t="s">
        <v>80</v>
      </c>
      <c r="F134" s="2" t="s">
        <v>79</v>
      </c>
      <c r="G134" s="18" t="s">
        <v>23</v>
      </c>
      <c r="H134" s="19"/>
      <c r="I134" s="4">
        <v>46082</v>
      </c>
      <c r="J134" s="3">
        <v>441.78</v>
      </c>
      <c r="K134" s="3">
        <v>441.78</v>
      </c>
      <c r="L134" s="3">
        <v>1325.34</v>
      </c>
      <c r="M134" s="3">
        <v>1325.34</v>
      </c>
      <c r="N134" s="3">
        <v>0</v>
      </c>
      <c r="O134" s="2" t="s">
        <v>78</v>
      </c>
      <c r="P134" s="2" t="s">
        <v>23</v>
      </c>
      <c r="Q134" s="2" t="s">
        <v>77</v>
      </c>
      <c r="R134" s="2"/>
      <c r="S134" s="2">
        <v>1</v>
      </c>
      <c r="T134" s="3">
        <v>23</v>
      </c>
      <c r="U134" s="11">
        <v>1</v>
      </c>
      <c r="V134" s="3">
        <v>23</v>
      </c>
      <c r="W134" s="2" t="s">
        <v>23</v>
      </c>
      <c r="X134" s="2"/>
    </row>
    <row r="135" spans="1:24" x14ac:dyDescent="0.3">
      <c r="A135" s="2" t="s">
        <v>370</v>
      </c>
      <c r="B135" s="2" t="s">
        <v>369</v>
      </c>
      <c r="C135" s="2" t="s">
        <v>140</v>
      </c>
      <c r="D135" s="2" t="s">
        <v>139</v>
      </c>
      <c r="E135" s="2" t="s">
        <v>80</v>
      </c>
      <c r="F135" s="2" t="s">
        <v>79</v>
      </c>
      <c r="G135" s="18" t="s">
        <v>23</v>
      </c>
      <c r="H135" s="19"/>
      <c r="I135" s="4">
        <v>46113</v>
      </c>
      <c r="J135" s="3">
        <v>441.78</v>
      </c>
      <c r="K135" s="3">
        <v>441.78</v>
      </c>
      <c r="L135" s="3">
        <v>1767.12</v>
      </c>
      <c r="M135" s="3">
        <v>1767.12</v>
      </c>
      <c r="N135" s="3">
        <v>0</v>
      </c>
      <c r="O135" s="2" t="s">
        <v>78</v>
      </c>
      <c r="P135" s="2" t="s">
        <v>23</v>
      </c>
      <c r="Q135" s="2" t="s">
        <v>77</v>
      </c>
      <c r="R135" s="2"/>
      <c r="S135" s="2">
        <v>1</v>
      </c>
      <c r="T135" s="3">
        <v>23</v>
      </c>
      <c r="U135" s="11">
        <v>1</v>
      </c>
      <c r="V135" s="3">
        <v>23</v>
      </c>
      <c r="W135" s="2" t="s">
        <v>23</v>
      </c>
      <c r="X135" s="2"/>
    </row>
    <row r="136" spans="1:24" x14ac:dyDescent="0.3">
      <c r="A136" s="2" t="s">
        <v>370</v>
      </c>
      <c r="B136" s="2" t="s">
        <v>369</v>
      </c>
      <c r="C136" s="2" t="s">
        <v>138</v>
      </c>
      <c r="D136" s="2" t="s">
        <v>137</v>
      </c>
      <c r="E136" s="2" t="s">
        <v>80</v>
      </c>
      <c r="F136" s="2" t="s">
        <v>79</v>
      </c>
      <c r="G136" s="18" t="s">
        <v>23</v>
      </c>
      <c r="H136" s="19"/>
      <c r="I136" s="4">
        <v>46082</v>
      </c>
      <c r="J136" s="3">
        <v>162.38</v>
      </c>
      <c r="K136" s="3">
        <v>162.38</v>
      </c>
      <c r="L136" s="3">
        <v>862.8</v>
      </c>
      <c r="M136" s="3">
        <v>162.38</v>
      </c>
      <c r="N136" s="3">
        <v>700.42</v>
      </c>
      <c r="O136" s="2" t="s">
        <v>78</v>
      </c>
      <c r="P136" s="2" t="s">
        <v>23</v>
      </c>
      <c r="Q136" s="2" t="s">
        <v>77</v>
      </c>
      <c r="R136" s="2"/>
      <c r="S136" s="2">
        <v>1</v>
      </c>
      <c r="T136" s="3">
        <v>23</v>
      </c>
      <c r="U136" s="11">
        <v>1</v>
      </c>
      <c r="V136" s="3">
        <v>23</v>
      </c>
      <c r="W136" s="2" t="s">
        <v>23</v>
      </c>
      <c r="X136" s="2"/>
    </row>
    <row r="137" spans="1:24" x14ac:dyDescent="0.3">
      <c r="A137" s="2" t="s">
        <v>370</v>
      </c>
      <c r="B137" s="2" t="s">
        <v>369</v>
      </c>
      <c r="C137" s="2" t="s">
        <v>138</v>
      </c>
      <c r="D137" s="2" t="s">
        <v>137</v>
      </c>
      <c r="E137" s="2" t="s">
        <v>80</v>
      </c>
      <c r="F137" s="2" t="s">
        <v>79</v>
      </c>
      <c r="G137" s="18" t="s">
        <v>23</v>
      </c>
      <c r="H137" s="19"/>
      <c r="I137" s="4">
        <v>46113</v>
      </c>
      <c r="J137" s="3">
        <v>162.38</v>
      </c>
      <c r="K137" s="3">
        <v>162.38</v>
      </c>
      <c r="L137" s="3">
        <v>1725.6</v>
      </c>
      <c r="M137" s="3">
        <v>324.76</v>
      </c>
      <c r="N137" s="3">
        <v>1400.84</v>
      </c>
      <c r="O137" s="2" t="s">
        <v>78</v>
      </c>
      <c r="P137" s="2" t="s">
        <v>23</v>
      </c>
      <c r="Q137" s="2" t="s">
        <v>77</v>
      </c>
      <c r="R137" s="2"/>
      <c r="S137" s="2">
        <v>1</v>
      </c>
      <c r="T137" s="3">
        <v>23</v>
      </c>
      <c r="U137" s="11">
        <v>1</v>
      </c>
      <c r="V137" s="3">
        <v>23</v>
      </c>
      <c r="W137" s="2" t="s">
        <v>23</v>
      </c>
      <c r="X137" s="2"/>
    </row>
    <row r="138" spans="1:24" x14ac:dyDescent="0.3">
      <c r="A138" s="2" t="s">
        <v>370</v>
      </c>
      <c r="B138" s="2" t="s">
        <v>369</v>
      </c>
      <c r="C138" s="2" t="s">
        <v>136</v>
      </c>
      <c r="D138" s="2" t="s">
        <v>135</v>
      </c>
      <c r="E138" s="2" t="s">
        <v>80</v>
      </c>
      <c r="F138" s="2" t="s">
        <v>79</v>
      </c>
      <c r="G138" s="18" t="s">
        <v>23</v>
      </c>
      <c r="H138" s="19"/>
      <c r="I138" s="4">
        <v>46023</v>
      </c>
      <c r="J138" s="3">
        <v>127.6</v>
      </c>
      <c r="K138" s="3">
        <v>127.6</v>
      </c>
      <c r="L138" s="3">
        <v>1226.7</v>
      </c>
      <c r="M138" s="3">
        <v>127.6</v>
      </c>
      <c r="N138" s="3">
        <v>1099.0999999999999</v>
      </c>
      <c r="O138" s="2" t="s">
        <v>78</v>
      </c>
      <c r="P138" s="2" t="s">
        <v>23</v>
      </c>
      <c r="Q138" s="2" t="s">
        <v>77</v>
      </c>
      <c r="R138" s="2"/>
      <c r="S138" s="2">
        <v>1</v>
      </c>
      <c r="T138" s="3">
        <v>23</v>
      </c>
      <c r="U138" s="11">
        <v>1</v>
      </c>
      <c r="V138" s="3">
        <v>23</v>
      </c>
      <c r="W138" s="2" t="s">
        <v>23</v>
      </c>
      <c r="X138" s="2"/>
    </row>
    <row r="139" spans="1:24" x14ac:dyDescent="0.3">
      <c r="A139" s="2" t="s">
        <v>370</v>
      </c>
      <c r="B139" s="2" t="s">
        <v>369</v>
      </c>
      <c r="C139" s="2" t="s">
        <v>136</v>
      </c>
      <c r="D139" s="2" t="s">
        <v>135</v>
      </c>
      <c r="E139" s="2" t="s">
        <v>80</v>
      </c>
      <c r="F139" s="2" t="s">
        <v>79</v>
      </c>
      <c r="G139" s="18" t="s">
        <v>23</v>
      </c>
      <c r="H139" s="19"/>
      <c r="I139" s="4">
        <v>46054</v>
      </c>
      <c r="J139" s="3">
        <v>127.6</v>
      </c>
      <c r="K139" s="3">
        <v>127.6</v>
      </c>
      <c r="L139" s="3">
        <v>2453.4</v>
      </c>
      <c r="M139" s="3">
        <v>255.2</v>
      </c>
      <c r="N139" s="3">
        <v>2198.1999999999998</v>
      </c>
      <c r="O139" s="2" t="s">
        <v>78</v>
      </c>
      <c r="P139" s="2" t="s">
        <v>23</v>
      </c>
      <c r="Q139" s="2" t="s">
        <v>77</v>
      </c>
      <c r="R139" s="2"/>
      <c r="S139" s="2">
        <v>1</v>
      </c>
      <c r="T139" s="3">
        <v>23</v>
      </c>
      <c r="U139" s="11">
        <v>1</v>
      </c>
      <c r="V139" s="3">
        <v>23</v>
      </c>
      <c r="W139" s="2" t="s">
        <v>23</v>
      </c>
      <c r="X139" s="2"/>
    </row>
    <row r="140" spans="1:24" x14ac:dyDescent="0.3">
      <c r="A140" s="2" t="s">
        <v>370</v>
      </c>
      <c r="B140" s="2" t="s">
        <v>369</v>
      </c>
      <c r="C140" s="2" t="s">
        <v>136</v>
      </c>
      <c r="D140" s="2" t="s">
        <v>135</v>
      </c>
      <c r="E140" s="2" t="s">
        <v>80</v>
      </c>
      <c r="F140" s="2" t="s">
        <v>79</v>
      </c>
      <c r="G140" s="18" t="s">
        <v>23</v>
      </c>
      <c r="H140" s="19"/>
      <c r="I140" s="4">
        <v>46082</v>
      </c>
      <c r="J140" s="3">
        <v>127.6</v>
      </c>
      <c r="K140" s="3">
        <v>127.6</v>
      </c>
      <c r="L140" s="3">
        <v>3680.1</v>
      </c>
      <c r="M140" s="3">
        <v>382.8</v>
      </c>
      <c r="N140" s="3">
        <v>3297.3</v>
      </c>
      <c r="O140" s="2" t="s">
        <v>78</v>
      </c>
      <c r="P140" s="2" t="s">
        <v>23</v>
      </c>
      <c r="Q140" s="2" t="s">
        <v>77</v>
      </c>
      <c r="R140" s="2"/>
      <c r="S140" s="2">
        <v>1</v>
      </c>
      <c r="T140" s="3">
        <v>23</v>
      </c>
      <c r="U140" s="11">
        <v>1</v>
      </c>
      <c r="V140" s="3">
        <v>23</v>
      </c>
      <c r="W140" s="2" t="s">
        <v>23</v>
      </c>
      <c r="X140" s="2"/>
    </row>
    <row r="141" spans="1:24" x14ac:dyDescent="0.3">
      <c r="A141" s="2" t="s">
        <v>370</v>
      </c>
      <c r="B141" s="2" t="s">
        <v>369</v>
      </c>
      <c r="C141" s="2" t="s">
        <v>136</v>
      </c>
      <c r="D141" s="2" t="s">
        <v>135</v>
      </c>
      <c r="E141" s="2" t="s">
        <v>80</v>
      </c>
      <c r="F141" s="2" t="s">
        <v>79</v>
      </c>
      <c r="G141" s="18" t="s">
        <v>23</v>
      </c>
      <c r="H141" s="19"/>
      <c r="I141" s="4">
        <v>46113</v>
      </c>
      <c r="J141" s="3">
        <v>127.6</v>
      </c>
      <c r="K141" s="3">
        <v>127.6</v>
      </c>
      <c r="L141" s="3">
        <v>4906.8</v>
      </c>
      <c r="M141" s="3">
        <v>510.4</v>
      </c>
      <c r="N141" s="3">
        <v>4396.3999999999996</v>
      </c>
      <c r="O141" s="2" t="s">
        <v>78</v>
      </c>
      <c r="P141" s="2" t="s">
        <v>23</v>
      </c>
      <c r="Q141" s="2" t="s">
        <v>77</v>
      </c>
      <c r="R141" s="2"/>
      <c r="S141" s="2">
        <v>1</v>
      </c>
      <c r="T141" s="3">
        <v>23</v>
      </c>
      <c r="U141" s="11">
        <v>1</v>
      </c>
      <c r="V141" s="3">
        <v>23</v>
      </c>
      <c r="W141" s="2" t="s">
        <v>23</v>
      </c>
      <c r="X141" s="2"/>
    </row>
    <row r="142" spans="1:24" x14ac:dyDescent="0.3">
      <c r="A142" s="2" t="s">
        <v>370</v>
      </c>
      <c r="B142" s="2" t="s">
        <v>369</v>
      </c>
      <c r="C142" s="2" t="s">
        <v>134</v>
      </c>
      <c r="D142" s="2" t="s">
        <v>133</v>
      </c>
      <c r="E142" s="2" t="s">
        <v>80</v>
      </c>
      <c r="F142" s="2" t="s">
        <v>79</v>
      </c>
      <c r="G142" s="18" t="s">
        <v>23</v>
      </c>
      <c r="H142" s="19"/>
      <c r="I142" s="4">
        <v>46113</v>
      </c>
      <c r="J142" s="3">
        <v>232.76</v>
      </c>
      <c r="K142" s="3">
        <v>232.76</v>
      </c>
      <c r="L142" s="3">
        <v>1894.08</v>
      </c>
      <c r="M142" s="3">
        <v>931.04</v>
      </c>
      <c r="N142" s="3">
        <v>963.04</v>
      </c>
      <c r="O142" s="2" t="s">
        <v>78</v>
      </c>
      <c r="P142" s="2" t="s">
        <v>23</v>
      </c>
      <c r="Q142" s="2" t="s">
        <v>77</v>
      </c>
      <c r="R142" s="2"/>
      <c r="S142" s="2">
        <v>1</v>
      </c>
      <c r="T142" s="3">
        <v>23</v>
      </c>
      <c r="U142" s="11">
        <v>1</v>
      </c>
      <c r="V142" s="3">
        <v>23</v>
      </c>
      <c r="W142" s="2" t="s">
        <v>23</v>
      </c>
      <c r="X142" s="2"/>
    </row>
    <row r="143" spans="1:24" x14ac:dyDescent="0.3">
      <c r="A143" s="2" t="s">
        <v>370</v>
      </c>
      <c r="B143" s="2" t="s">
        <v>369</v>
      </c>
      <c r="C143" s="2" t="s">
        <v>132</v>
      </c>
      <c r="D143" s="2" t="s">
        <v>131</v>
      </c>
      <c r="E143" s="2" t="s">
        <v>80</v>
      </c>
      <c r="F143" s="2" t="s">
        <v>79</v>
      </c>
      <c r="G143" s="18" t="s">
        <v>23</v>
      </c>
      <c r="H143" s="19"/>
      <c r="I143" s="4">
        <v>46054</v>
      </c>
      <c r="J143" s="3">
        <v>1652.28</v>
      </c>
      <c r="K143" s="3">
        <v>1652.28</v>
      </c>
      <c r="L143" s="3">
        <v>1652.28</v>
      </c>
      <c r="M143" s="3">
        <v>1652.28</v>
      </c>
      <c r="N143" s="3">
        <v>0</v>
      </c>
      <c r="O143" s="2" t="s">
        <v>78</v>
      </c>
      <c r="P143" s="2" t="s">
        <v>23</v>
      </c>
      <c r="Q143" s="2" t="s">
        <v>77</v>
      </c>
      <c r="R143" s="2"/>
      <c r="S143" s="2">
        <v>2</v>
      </c>
      <c r="T143" s="3">
        <v>23</v>
      </c>
      <c r="U143" s="11">
        <v>1</v>
      </c>
      <c r="V143" s="3">
        <v>46</v>
      </c>
      <c r="W143" s="2" t="s">
        <v>23</v>
      </c>
      <c r="X143" s="2"/>
    </row>
    <row r="144" spans="1:24" x14ac:dyDescent="0.3">
      <c r="A144" s="2" t="s">
        <v>370</v>
      </c>
      <c r="B144" s="2" t="s">
        <v>369</v>
      </c>
      <c r="C144" s="2" t="s">
        <v>132</v>
      </c>
      <c r="D144" s="2" t="s">
        <v>131</v>
      </c>
      <c r="E144" s="2" t="s">
        <v>80</v>
      </c>
      <c r="F144" s="2" t="s">
        <v>79</v>
      </c>
      <c r="G144" s="18" t="s">
        <v>23</v>
      </c>
      <c r="H144" s="19"/>
      <c r="I144" s="4">
        <v>46082</v>
      </c>
      <c r="J144" s="3">
        <v>1652.28</v>
      </c>
      <c r="K144" s="3">
        <v>1652.28</v>
      </c>
      <c r="L144" s="3">
        <v>3304.56</v>
      </c>
      <c r="M144" s="3">
        <v>3304.56</v>
      </c>
      <c r="N144" s="3">
        <v>0</v>
      </c>
      <c r="O144" s="2" t="s">
        <v>78</v>
      </c>
      <c r="P144" s="2" t="s">
        <v>23</v>
      </c>
      <c r="Q144" s="2" t="s">
        <v>77</v>
      </c>
      <c r="R144" s="2"/>
      <c r="S144" s="2">
        <v>2</v>
      </c>
      <c r="T144" s="3">
        <v>23</v>
      </c>
      <c r="U144" s="11">
        <v>1</v>
      </c>
      <c r="V144" s="3">
        <v>46</v>
      </c>
      <c r="W144" s="2" t="s">
        <v>23</v>
      </c>
      <c r="X144" s="2"/>
    </row>
    <row r="145" spans="1:24" x14ac:dyDescent="0.3">
      <c r="A145" s="2" t="s">
        <v>370</v>
      </c>
      <c r="B145" s="2" t="s">
        <v>369</v>
      </c>
      <c r="C145" s="2" t="s">
        <v>132</v>
      </c>
      <c r="D145" s="2" t="s">
        <v>131</v>
      </c>
      <c r="E145" s="2" t="s">
        <v>80</v>
      </c>
      <c r="F145" s="2" t="s">
        <v>79</v>
      </c>
      <c r="G145" s="18" t="s">
        <v>23</v>
      </c>
      <c r="H145" s="19"/>
      <c r="I145" s="4">
        <v>46113</v>
      </c>
      <c r="J145" s="3">
        <v>1652.28</v>
      </c>
      <c r="K145" s="3">
        <v>1652.28</v>
      </c>
      <c r="L145" s="3">
        <v>4956.84</v>
      </c>
      <c r="M145" s="3">
        <v>4956.84</v>
      </c>
      <c r="N145" s="3">
        <v>0</v>
      </c>
      <c r="O145" s="2" t="s">
        <v>78</v>
      </c>
      <c r="P145" s="2" t="s">
        <v>23</v>
      </c>
      <c r="Q145" s="2" t="s">
        <v>77</v>
      </c>
      <c r="R145" s="2"/>
      <c r="S145" s="2">
        <v>2</v>
      </c>
      <c r="T145" s="3">
        <v>23</v>
      </c>
      <c r="U145" s="11">
        <v>1</v>
      </c>
      <c r="V145" s="3">
        <v>46</v>
      </c>
      <c r="W145" s="2" t="s">
        <v>23</v>
      </c>
      <c r="X145" s="2"/>
    </row>
    <row r="146" spans="1:24" x14ac:dyDescent="0.3">
      <c r="A146" s="2" t="s">
        <v>370</v>
      </c>
      <c r="B146" s="2" t="s">
        <v>369</v>
      </c>
      <c r="C146" s="2" t="s">
        <v>129</v>
      </c>
      <c r="D146" s="2" t="s">
        <v>128</v>
      </c>
      <c r="E146" s="2" t="s">
        <v>80</v>
      </c>
      <c r="F146" s="2" t="s">
        <v>79</v>
      </c>
      <c r="G146" s="18" t="s">
        <v>23</v>
      </c>
      <c r="H146" s="19"/>
      <c r="I146" s="4">
        <v>45931</v>
      </c>
      <c r="J146" s="3">
        <v>483.42</v>
      </c>
      <c r="K146" s="3">
        <v>483.42</v>
      </c>
      <c r="L146" s="3">
        <v>483.42</v>
      </c>
      <c r="M146" s="3">
        <v>483.42</v>
      </c>
      <c r="N146" s="3">
        <v>0</v>
      </c>
      <c r="O146" s="2" t="s">
        <v>78</v>
      </c>
      <c r="P146" s="3">
        <v>483.42</v>
      </c>
      <c r="Q146" s="2" t="s">
        <v>130</v>
      </c>
      <c r="R146" s="2"/>
      <c r="S146" s="2"/>
      <c r="T146" s="14">
        <v>4.2500000000000003E-2</v>
      </c>
      <c r="U146" s="11">
        <v>1</v>
      </c>
      <c r="V146" s="3">
        <v>20.55</v>
      </c>
      <c r="W146" s="2" t="s">
        <v>23</v>
      </c>
      <c r="X146" s="2"/>
    </row>
    <row r="147" spans="1:24" x14ac:dyDescent="0.3">
      <c r="A147" s="2" t="s">
        <v>370</v>
      </c>
      <c r="B147" s="2" t="s">
        <v>369</v>
      </c>
      <c r="C147" s="2" t="s">
        <v>129</v>
      </c>
      <c r="D147" s="2" t="s">
        <v>128</v>
      </c>
      <c r="E147" s="2" t="s">
        <v>80</v>
      </c>
      <c r="F147" s="2" t="s">
        <v>79</v>
      </c>
      <c r="G147" s="18" t="s">
        <v>23</v>
      </c>
      <c r="H147" s="19"/>
      <c r="I147" s="4">
        <v>45962</v>
      </c>
      <c r="J147" s="3">
        <v>483.42</v>
      </c>
      <c r="K147" s="3">
        <v>483.42</v>
      </c>
      <c r="L147" s="3">
        <v>966.84</v>
      </c>
      <c r="M147" s="3">
        <v>966.84</v>
      </c>
      <c r="N147" s="3">
        <v>0</v>
      </c>
      <c r="O147" s="2" t="s">
        <v>78</v>
      </c>
      <c r="P147" s="3">
        <v>483.42</v>
      </c>
      <c r="Q147" s="2" t="s">
        <v>130</v>
      </c>
      <c r="R147" s="2"/>
      <c r="S147" s="2"/>
      <c r="T147" s="14">
        <v>4.2500000000000003E-2</v>
      </c>
      <c r="U147" s="11">
        <v>1</v>
      </c>
      <c r="V147" s="3">
        <v>20.54</v>
      </c>
      <c r="W147" s="2" t="s">
        <v>23</v>
      </c>
      <c r="X147" s="2"/>
    </row>
    <row r="148" spans="1:24" x14ac:dyDescent="0.3">
      <c r="A148" s="2" t="s">
        <v>370</v>
      </c>
      <c r="B148" s="2" t="s">
        <v>369</v>
      </c>
      <c r="C148" s="2" t="s">
        <v>129</v>
      </c>
      <c r="D148" s="2" t="s">
        <v>128</v>
      </c>
      <c r="E148" s="2" t="s">
        <v>80</v>
      </c>
      <c r="F148" s="2" t="s">
        <v>79</v>
      </c>
      <c r="G148" s="18" t="s">
        <v>23</v>
      </c>
      <c r="H148" s="19"/>
      <c r="I148" s="4">
        <v>45992</v>
      </c>
      <c r="J148" s="3">
        <v>483.42</v>
      </c>
      <c r="K148" s="3">
        <v>483.42</v>
      </c>
      <c r="L148" s="3">
        <v>1450.26</v>
      </c>
      <c r="M148" s="3">
        <v>1450.26</v>
      </c>
      <c r="N148" s="3">
        <v>0</v>
      </c>
      <c r="O148" s="2" t="s">
        <v>78</v>
      </c>
      <c r="P148" s="3">
        <v>483.42</v>
      </c>
      <c r="Q148" s="2" t="s">
        <v>130</v>
      </c>
      <c r="R148" s="2"/>
      <c r="S148" s="2"/>
      <c r="T148" s="14">
        <v>4.2500000000000003E-2</v>
      </c>
      <c r="U148" s="11">
        <v>1</v>
      </c>
      <c r="V148" s="3">
        <v>20.55</v>
      </c>
      <c r="W148" s="2" t="s">
        <v>23</v>
      </c>
      <c r="X148" s="2"/>
    </row>
    <row r="149" spans="1:24" x14ac:dyDescent="0.3">
      <c r="A149" s="2" t="s">
        <v>370</v>
      </c>
      <c r="B149" s="2" t="s">
        <v>369</v>
      </c>
      <c r="C149" s="2" t="s">
        <v>129</v>
      </c>
      <c r="D149" s="2" t="s">
        <v>128</v>
      </c>
      <c r="E149" s="2" t="s">
        <v>80</v>
      </c>
      <c r="F149" s="2" t="s">
        <v>79</v>
      </c>
      <c r="G149" s="18" t="s">
        <v>23</v>
      </c>
      <c r="H149" s="19"/>
      <c r="I149" s="4">
        <v>46023</v>
      </c>
      <c r="J149" s="3">
        <v>571.64</v>
      </c>
      <c r="K149" s="3">
        <v>571.64</v>
      </c>
      <c r="L149" s="3">
        <v>2021.9</v>
      </c>
      <c r="M149" s="3">
        <v>2021.9</v>
      </c>
      <c r="N149" s="3">
        <v>0</v>
      </c>
      <c r="O149" s="2" t="s">
        <v>78</v>
      </c>
      <c r="P149" s="2" t="s">
        <v>23</v>
      </c>
      <c r="Q149" s="2" t="s">
        <v>77</v>
      </c>
      <c r="R149" s="2"/>
      <c r="S149" s="2">
        <v>1</v>
      </c>
      <c r="T149" s="3">
        <v>23</v>
      </c>
      <c r="U149" s="11">
        <v>1</v>
      </c>
      <c r="V149" s="3">
        <v>23</v>
      </c>
      <c r="W149" s="2" t="s">
        <v>23</v>
      </c>
      <c r="X149" s="2"/>
    </row>
    <row r="150" spans="1:24" x14ac:dyDescent="0.3">
      <c r="A150" s="2" t="s">
        <v>370</v>
      </c>
      <c r="B150" s="2" t="s">
        <v>369</v>
      </c>
      <c r="C150" s="2" t="s">
        <v>129</v>
      </c>
      <c r="D150" s="2" t="s">
        <v>128</v>
      </c>
      <c r="E150" s="2" t="s">
        <v>80</v>
      </c>
      <c r="F150" s="2" t="s">
        <v>79</v>
      </c>
      <c r="G150" s="18" t="s">
        <v>23</v>
      </c>
      <c r="H150" s="19"/>
      <c r="I150" s="4">
        <v>46054</v>
      </c>
      <c r="J150" s="3">
        <v>571.64</v>
      </c>
      <c r="K150" s="3">
        <v>571.64</v>
      </c>
      <c r="L150" s="3">
        <v>2593.54</v>
      </c>
      <c r="M150" s="3">
        <v>2593.54</v>
      </c>
      <c r="N150" s="3">
        <v>0</v>
      </c>
      <c r="O150" s="2" t="s">
        <v>78</v>
      </c>
      <c r="P150" s="2" t="s">
        <v>23</v>
      </c>
      <c r="Q150" s="2" t="s">
        <v>77</v>
      </c>
      <c r="R150" s="2"/>
      <c r="S150" s="2">
        <v>1</v>
      </c>
      <c r="T150" s="3">
        <v>23</v>
      </c>
      <c r="U150" s="11">
        <v>1</v>
      </c>
      <c r="V150" s="3">
        <v>23</v>
      </c>
      <c r="W150" s="2" t="s">
        <v>23</v>
      </c>
      <c r="X150" s="2"/>
    </row>
    <row r="151" spans="1:24" x14ac:dyDescent="0.3">
      <c r="A151" s="2" t="s">
        <v>370</v>
      </c>
      <c r="B151" s="2" t="s">
        <v>369</v>
      </c>
      <c r="C151" s="2" t="s">
        <v>129</v>
      </c>
      <c r="D151" s="2" t="s">
        <v>128</v>
      </c>
      <c r="E151" s="2" t="s">
        <v>80</v>
      </c>
      <c r="F151" s="2" t="s">
        <v>79</v>
      </c>
      <c r="G151" s="18" t="s">
        <v>23</v>
      </c>
      <c r="H151" s="19"/>
      <c r="I151" s="4">
        <v>46082</v>
      </c>
      <c r="J151" s="3">
        <v>571.64</v>
      </c>
      <c r="K151" s="3">
        <v>571.64</v>
      </c>
      <c r="L151" s="3">
        <v>3165.18</v>
      </c>
      <c r="M151" s="3">
        <v>3165.18</v>
      </c>
      <c r="N151" s="3">
        <v>0</v>
      </c>
      <c r="O151" s="2" t="s">
        <v>78</v>
      </c>
      <c r="P151" s="2" t="s">
        <v>23</v>
      </c>
      <c r="Q151" s="2" t="s">
        <v>77</v>
      </c>
      <c r="R151" s="2"/>
      <c r="S151" s="2">
        <v>1</v>
      </c>
      <c r="T151" s="3">
        <v>23</v>
      </c>
      <c r="U151" s="11">
        <v>1</v>
      </c>
      <c r="V151" s="3">
        <v>23</v>
      </c>
      <c r="W151" s="2" t="s">
        <v>23</v>
      </c>
      <c r="X151" s="2"/>
    </row>
    <row r="152" spans="1:24" x14ac:dyDescent="0.3">
      <c r="A152" s="2" t="s">
        <v>370</v>
      </c>
      <c r="B152" s="2" t="s">
        <v>369</v>
      </c>
      <c r="C152" s="2" t="s">
        <v>129</v>
      </c>
      <c r="D152" s="2" t="s">
        <v>128</v>
      </c>
      <c r="E152" s="2" t="s">
        <v>80</v>
      </c>
      <c r="F152" s="2" t="s">
        <v>79</v>
      </c>
      <c r="G152" s="18" t="s">
        <v>23</v>
      </c>
      <c r="H152" s="19"/>
      <c r="I152" s="4">
        <v>46113</v>
      </c>
      <c r="J152" s="3">
        <v>571.64</v>
      </c>
      <c r="K152" s="3">
        <v>571.64</v>
      </c>
      <c r="L152" s="3">
        <v>3736.82</v>
      </c>
      <c r="M152" s="3">
        <v>3736.82</v>
      </c>
      <c r="N152" s="3">
        <v>0</v>
      </c>
      <c r="O152" s="2" t="s">
        <v>78</v>
      </c>
      <c r="P152" s="2" t="s">
        <v>23</v>
      </c>
      <c r="Q152" s="2" t="s">
        <v>77</v>
      </c>
      <c r="R152" s="2"/>
      <c r="S152" s="2">
        <v>1</v>
      </c>
      <c r="T152" s="3">
        <v>23</v>
      </c>
      <c r="U152" s="11">
        <v>1</v>
      </c>
      <c r="V152" s="3">
        <v>23</v>
      </c>
      <c r="W152" s="2" t="s">
        <v>23</v>
      </c>
      <c r="X152" s="2"/>
    </row>
    <row r="153" spans="1:24" x14ac:dyDescent="0.3">
      <c r="A153" s="2" t="s">
        <v>370</v>
      </c>
      <c r="B153" s="2" t="s">
        <v>369</v>
      </c>
      <c r="C153" s="2" t="s">
        <v>127</v>
      </c>
      <c r="D153" s="2" t="s">
        <v>126</v>
      </c>
      <c r="E153" s="2" t="s">
        <v>80</v>
      </c>
      <c r="F153" s="2" t="s">
        <v>79</v>
      </c>
      <c r="G153" s="18" t="s">
        <v>23</v>
      </c>
      <c r="H153" s="19"/>
      <c r="I153" s="4">
        <v>46113</v>
      </c>
      <c r="J153" s="3">
        <v>1855.46</v>
      </c>
      <c r="K153" s="3">
        <v>1855.46</v>
      </c>
      <c r="L153" s="3">
        <v>7421.84</v>
      </c>
      <c r="M153" s="3">
        <v>7421.84</v>
      </c>
      <c r="N153" s="3">
        <v>0</v>
      </c>
      <c r="O153" s="2" t="s">
        <v>78</v>
      </c>
      <c r="P153" s="2" t="s">
        <v>23</v>
      </c>
      <c r="Q153" s="2" t="s">
        <v>77</v>
      </c>
      <c r="R153" s="2"/>
      <c r="S153" s="2">
        <v>2</v>
      </c>
      <c r="T153" s="3">
        <v>23</v>
      </c>
      <c r="U153" s="11">
        <v>1</v>
      </c>
      <c r="V153" s="3">
        <v>46</v>
      </c>
      <c r="W153" s="2" t="s">
        <v>23</v>
      </c>
      <c r="X153" s="2"/>
    </row>
    <row r="154" spans="1:24" x14ac:dyDescent="0.3">
      <c r="A154" s="2" t="s">
        <v>370</v>
      </c>
      <c r="B154" s="2" t="s">
        <v>369</v>
      </c>
      <c r="C154" s="2" t="s">
        <v>125</v>
      </c>
      <c r="D154" s="2" t="s">
        <v>124</v>
      </c>
      <c r="E154" s="2" t="s">
        <v>80</v>
      </c>
      <c r="F154" s="2" t="s">
        <v>79</v>
      </c>
      <c r="G154" s="18" t="s">
        <v>23</v>
      </c>
      <c r="H154" s="19"/>
      <c r="I154" s="4">
        <v>46054</v>
      </c>
      <c r="J154" s="3">
        <v>327.96</v>
      </c>
      <c r="K154" s="3">
        <v>327.96</v>
      </c>
      <c r="L154" s="3">
        <v>1364.31</v>
      </c>
      <c r="M154" s="3">
        <v>327.96</v>
      </c>
      <c r="N154" s="3">
        <v>1036.3499999999999</v>
      </c>
      <c r="O154" s="2" t="s">
        <v>78</v>
      </c>
      <c r="P154" s="2" t="s">
        <v>23</v>
      </c>
      <c r="Q154" s="2" t="s">
        <v>77</v>
      </c>
      <c r="R154" s="2"/>
      <c r="S154" s="2">
        <v>1</v>
      </c>
      <c r="T154" s="3">
        <v>23</v>
      </c>
      <c r="U154" s="11">
        <v>1</v>
      </c>
      <c r="V154" s="3">
        <v>23</v>
      </c>
      <c r="W154" s="2" t="s">
        <v>23</v>
      </c>
      <c r="X154" s="2"/>
    </row>
    <row r="155" spans="1:24" x14ac:dyDescent="0.3">
      <c r="A155" s="2" t="s">
        <v>370</v>
      </c>
      <c r="B155" s="2" t="s">
        <v>369</v>
      </c>
      <c r="C155" s="2" t="s">
        <v>125</v>
      </c>
      <c r="D155" s="2" t="s">
        <v>124</v>
      </c>
      <c r="E155" s="2" t="s">
        <v>80</v>
      </c>
      <c r="F155" s="2" t="s">
        <v>79</v>
      </c>
      <c r="G155" s="18" t="s">
        <v>23</v>
      </c>
      <c r="H155" s="19"/>
      <c r="I155" s="4">
        <v>46082</v>
      </c>
      <c r="J155" s="3">
        <v>327.96</v>
      </c>
      <c r="K155" s="3">
        <v>327.96</v>
      </c>
      <c r="L155" s="3">
        <v>2728.62</v>
      </c>
      <c r="M155" s="3">
        <v>655.92</v>
      </c>
      <c r="N155" s="3">
        <v>2072.6999999999998</v>
      </c>
      <c r="O155" s="2" t="s">
        <v>78</v>
      </c>
      <c r="P155" s="2" t="s">
        <v>23</v>
      </c>
      <c r="Q155" s="2" t="s">
        <v>77</v>
      </c>
      <c r="R155" s="2"/>
      <c r="S155" s="2">
        <v>1</v>
      </c>
      <c r="T155" s="3">
        <v>23</v>
      </c>
      <c r="U155" s="11">
        <v>1</v>
      </c>
      <c r="V155" s="3">
        <v>23</v>
      </c>
      <c r="W155" s="2" t="s">
        <v>23</v>
      </c>
      <c r="X155" s="2"/>
    </row>
    <row r="156" spans="1:24" x14ac:dyDescent="0.3">
      <c r="A156" s="2" t="s">
        <v>370</v>
      </c>
      <c r="B156" s="2" t="s">
        <v>369</v>
      </c>
      <c r="C156" s="2" t="s">
        <v>125</v>
      </c>
      <c r="D156" s="2" t="s">
        <v>124</v>
      </c>
      <c r="E156" s="2" t="s">
        <v>80</v>
      </c>
      <c r="F156" s="2" t="s">
        <v>79</v>
      </c>
      <c r="G156" s="18" t="s">
        <v>23</v>
      </c>
      <c r="H156" s="19"/>
      <c r="I156" s="4">
        <v>46113</v>
      </c>
      <c r="J156" s="3">
        <v>327.96</v>
      </c>
      <c r="K156" s="3">
        <v>327.96</v>
      </c>
      <c r="L156" s="3">
        <v>4092.93</v>
      </c>
      <c r="M156" s="3">
        <v>983.88</v>
      </c>
      <c r="N156" s="3">
        <v>3109.05</v>
      </c>
      <c r="O156" s="2" t="s">
        <v>78</v>
      </c>
      <c r="P156" s="2" t="s">
        <v>23</v>
      </c>
      <c r="Q156" s="2" t="s">
        <v>77</v>
      </c>
      <c r="R156" s="2"/>
      <c r="S156" s="2">
        <v>1</v>
      </c>
      <c r="T156" s="3">
        <v>23</v>
      </c>
      <c r="U156" s="11">
        <v>1</v>
      </c>
      <c r="V156" s="3">
        <v>23</v>
      </c>
      <c r="W156" s="2" t="s">
        <v>23</v>
      </c>
      <c r="X156" s="2"/>
    </row>
    <row r="157" spans="1:24" x14ac:dyDescent="0.3">
      <c r="A157" s="2" t="s">
        <v>370</v>
      </c>
      <c r="B157" s="2" t="s">
        <v>369</v>
      </c>
      <c r="C157" s="2" t="s">
        <v>123</v>
      </c>
      <c r="D157" s="2" t="s">
        <v>122</v>
      </c>
      <c r="E157" s="2" t="s">
        <v>80</v>
      </c>
      <c r="F157" s="2" t="s">
        <v>79</v>
      </c>
      <c r="G157" s="18" t="s">
        <v>23</v>
      </c>
      <c r="H157" s="19"/>
      <c r="I157" s="4">
        <v>46113</v>
      </c>
      <c r="J157" s="3">
        <v>314.5</v>
      </c>
      <c r="K157" s="3">
        <v>314.5</v>
      </c>
      <c r="L157" s="3">
        <v>629</v>
      </c>
      <c r="M157" s="3">
        <v>629</v>
      </c>
      <c r="N157" s="3">
        <v>0</v>
      </c>
      <c r="O157" s="2" t="s">
        <v>78</v>
      </c>
      <c r="P157" s="2" t="s">
        <v>23</v>
      </c>
      <c r="Q157" s="2" t="s">
        <v>77</v>
      </c>
      <c r="R157" s="2"/>
      <c r="S157" s="2">
        <v>1</v>
      </c>
      <c r="T157" s="3">
        <v>23</v>
      </c>
      <c r="U157" s="11">
        <v>1</v>
      </c>
      <c r="V157" s="3">
        <v>23</v>
      </c>
      <c r="W157" s="2" t="s">
        <v>23</v>
      </c>
      <c r="X157" s="2"/>
    </row>
    <row r="158" spans="1:24" x14ac:dyDescent="0.3">
      <c r="A158" s="2" t="s">
        <v>370</v>
      </c>
      <c r="B158" s="2" t="s">
        <v>369</v>
      </c>
      <c r="C158" s="2" t="s">
        <v>121</v>
      </c>
      <c r="D158" s="2" t="s">
        <v>120</v>
      </c>
      <c r="E158" s="2" t="s">
        <v>80</v>
      </c>
      <c r="F158" s="2" t="s">
        <v>79</v>
      </c>
      <c r="G158" s="18" t="s">
        <v>23</v>
      </c>
      <c r="H158" s="19"/>
      <c r="I158" s="4">
        <v>46082</v>
      </c>
      <c r="J158" s="3">
        <v>500.03</v>
      </c>
      <c r="K158" s="3">
        <v>500.03</v>
      </c>
      <c r="L158" s="3">
        <v>500.03</v>
      </c>
      <c r="M158" s="3">
        <v>500.03</v>
      </c>
      <c r="N158" s="3">
        <v>0</v>
      </c>
      <c r="O158" s="2" t="s">
        <v>78</v>
      </c>
      <c r="P158" s="2" t="s">
        <v>23</v>
      </c>
      <c r="Q158" s="2" t="s">
        <v>77</v>
      </c>
      <c r="R158" s="2"/>
      <c r="S158" s="2">
        <v>1</v>
      </c>
      <c r="T158" s="3">
        <v>23</v>
      </c>
      <c r="U158" s="11">
        <v>1</v>
      </c>
      <c r="V158" s="3">
        <v>23</v>
      </c>
      <c r="W158" s="2" t="s">
        <v>23</v>
      </c>
      <c r="X158" s="2"/>
    </row>
    <row r="159" spans="1:24" x14ac:dyDescent="0.3">
      <c r="A159" s="2" t="s">
        <v>370</v>
      </c>
      <c r="B159" s="2" t="s">
        <v>369</v>
      </c>
      <c r="C159" s="2" t="s">
        <v>121</v>
      </c>
      <c r="D159" s="2" t="s">
        <v>120</v>
      </c>
      <c r="E159" s="2" t="s">
        <v>80</v>
      </c>
      <c r="F159" s="2" t="s">
        <v>79</v>
      </c>
      <c r="G159" s="18" t="s">
        <v>23</v>
      </c>
      <c r="H159" s="19"/>
      <c r="I159" s="4">
        <v>46113</v>
      </c>
      <c r="J159" s="3">
        <v>472.03</v>
      </c>
      <c r="K159" s="3">
        <v>486.03</v>
      </c>
      <c r="L159" s="3">
        <v>972.06</v>
      </c>
      <c r="M159" s="3">
        <v>972.06</v>
      </c>
      <c r="N159" s="3">
        <v>0</v>
      </c>
      <c r="O159" s="2" t="s">
        <v>78</v>
      </c>
      <c r="P159" s="2" t="s">
        <v>23</v>
      </c>
      <c r="Q159" s="2" t="s">
        <v>77</v>
      </c>
      <c r="R159" s="2"/>
      <c r="S159" s="2">
        <v>1</v>
      </c>
      <c r="T159" s="3">
        <v>23</v>
      </c>
      <c r="U159" s="11">
        <v>1</v>
      </c>
      <c r="V159" s="3">
        <v>23</v>
      </c>
      <c r="W159" s="2" t="s">
        <v>23</v>
      </c>
      <c r="X159" s="2"/>
    </row>
    <row r="160" spans="1:24" x14ac:dyDescent="0.3">
      <c r="A160" s="2" t="s">
        <v>370</v>
      </c>
      <c r="B160" s="2" t="s">
        <v>369</v>
      </c>
      <c r="C160" s="2" t="s">
        <v>119</v>
      </c>
      <c r="D160" s="2" t="s">
        <v>118</v>
      </c>
      <c r="E160" s="2" t="s">
        <v>80</v>
      </c>
      <c r="F160" s="2" t="s">
        <v>79</v>
      </c>
      <c r="G160" s="18" t="s">
        <v>23</v>
      </c>
      <c r="H160" s="19"/>
      <c r="I160" s="4">
        <v>46082</v>
      </c>
      <c r="J160" s="3">
        <v>178.19</v>
      </c>
      <c r="K160" s="3">
        <v>178.19</v>
      </c>
      <c r="L160" s="3">
        <v>376.48</v>
      </c>
      <c r="M160" s="3">
        <v>178.19</v>
      </c>
      <c r="N160" s="3">
        <v>198.29</v>
      </c>
      <c r="O160" s="2" t="s">
        <v>78</v>
      </c>
      <c r="P160" s="2" t="s">
        <v>23</v>
      </c>
      <c r="Q160" s="2" t="s">
        <v>77</v>
      </c>
      <c r="R160" s="2"/>
      <c r="S160" s="2">
        <v>1</v>
      </c>
      <c r="T160" s="3">
        <v>23</v>
      </c>
      <c r="U160" s="11">
        <v>1</v>
      </c>
      <c r="V160" s="3">
        <v>23</v>
      </c>
      <c r="W160" s="2" t="s">
        <v>23</v>
      </c>
      <c r="X160" s="2"/>
    </row>
    <row r="161" spans="1:24" x14ac:dyDescent="0.3">
      <c r="A161" s="2" t="s">
        <v>370</v>
      </c>
      <c r="B161" s="2" t="s">
        <v>369</v>
      </c>
      <c r="C161" s="2" t="s">
        <v>119</v>
      </c>
      <c r="D161" s="2" t="s">
        <v>118</v>
      </c>
      <c r="E161" s="2" t="s">
        <v>80</v>
      </c>
      <c r="F161" s="2" t="s">
        <v>79</v>
      </c>
      <c r="G161" s="18" t="s">
        <v>23</v>
      </c>
      <c r="H161" s="19"/>
      <c r="I161" s="4">
        <v>46113</v>
      </c>
      <c r="J161" s="3">
        <v>178.19</v>
      </c>
      <c r="K161" s="3">
        <v>178.19</v>
      </c>
      <c r="L161" s="3">
        <v>752.96</v>
      </c>
      <c r="M161" s="3">
        <v>356.38</v>
      </c>
      <c r="N161" s="3">
        <v>396.58</v>
      </c>
      <c r="O161" s="2" t="s">
        <v>78</v>
      </c>
      <c r="P161" s="2" t="s">
        <v>23</v>
      </c>
      <c r="Q161" s="2" t="s">
        <v>77</v>
      </c>
      <c r="R161" s="2"/>
      <c r="S161" s="2">
        <v>1</v>
      </c>
      <c r="T161" s="3">
        <v>23</v>
      </c>
      <c r="U161" s="11">
        <v>1</v>
      </c>
      <c r="V161" s="3">
        <v>23</v>
      </c>
      <c r="W161" s="2" t="s">
        <v>23</v>
      </c>
      <c r="X161" s="2"/>
    </row>
    <row r="162" spans="1:24" x14ac:dyDescent="0.3">
      <c r="A162" s="2" t="s">
        <v>370</v>
      </c>
      <c r="B162" s="2" t="s">
        <v>369</v>
      </c>
      <c r="C162" s="2" t="s">
        <v>117</v>
      </c>
      <c r="D162" s="2" t="s">
        <v>116</v>
      </c>
      <c r="E162" s="2" t="s">
        <v>80</v>
      </c>
      <c r="F162" s="2" t="s">
        <v>79</v>
      </c>
      <c r="G162" s="18" t="s">
        <v>23</v>
      </c>
      <c r="H162" s="19"/>
      <c r="I162" s="4">
        <v>46113</v>
      </c>
      <c r="J162" s="3">
        <v>331.76</v>
      </c>
      <c r="K162" s="3">
        <v>331.76</v>
      </c>
      <c r="L162" s="3">
        <v>3124.86</v>
      </c>
      <c r="M162" s="3">
        <v>663.52</v>
      </c>
      <c r="N162" s="3">
        <v>2461.34</v>
      </c>
      <c r="O162" s="2" t="s">
        <v>78</v>
      </c>
      <c r="P162" s="2" t="s">
        <v>23</v>
      </c>
      <c r="Q162" s="2" t="s">
        <v>77</v>
      </c>
      <c r="R162" s="2"/>
      <c r="S162" s="2">
        <v>4</v>
      </c>
      <c r="T162" s="3">
        <v>23</v>
      </c>
      <c r="U162" s="11">
        <v>1</v>
      </c>
      <c r="V162" s="3">
        <v>92</v>
      </c>
      <c r="W162" s="2" t="s">
        <v>23</v>
      </c>
      <c r="X162" s="2"/>
    </row>
    <row r="163" spans="1:24" x14ac:dyDescent="0.3">
      <c r="A163" s="2" t="s">
        <v>370</v>
      </c>
      <c r="B163" s="2" t="s">
        <v>369</v>
      </c>
      <c r="C163" s="2" t="s">
        <v>115</v>
      </c>
      <c r="D163" s="2" t="s">
        <v>114</v>
      </c>
      <c r="E163" s="2" t="s">
        <v>80</v>
      </c>
      <c r="F163" s="2" t="s">
        <v>79</v>
      </c>
      <c r="G163" s="18" t="s">
        <v>23</v>
      </c>
      <c r="H163" s="19"/>
      <c r="I163" s="4">
        <v>46113</v>
      </c>
      <c r="J163" s="3">
        <v>3.73</v>
      </c>
      <c r="K163" s="3">
        <v>3.73</v>
      </c>
      <c r="L163" s="3">
        <v>7274.24</v>
      </c>
      <c r="M163" s="3">
        <v>14.92</v>
      </c>
      <c r="N163" s="3">
        <v>7259.32</v>
      </c>
      <c r="O163" s="2" t="s">
        <v>78</v>
      </c>
      <c r="P163" s="2" t="s">
        <v>23</v>
      </c>
      <c r="Q163" s="2" t="s">
        <v>77</v>
      </c>
      <c r="R163" s="2"/>
      <c r="S163" s="2">
        <v>2</v>
      </c>
      <c r="T163" s="3">
        <v>23</v>
      </c>
      <c r="U163" s="11">
        <v>1</v>
      </c>
      <c r="V163" s="3">
        <v>46</v>
      </c>
      <c r="W163" s="2" t="s">
        <v>23</v>
      </c>
      <c r="X163" s="2"/>
    </row>
    <row r="164" spans="1:24" x14ac:dyDescent="0.3">
      <c r="A164" s="2" t="s">
        <v>370</v>
      </c>
      <c r="B164" s="2" t="s">
        <v>369</v>
      </c>
      <c r="C164" s="2" t="s">
        <v>113</v>
      </c>
      <c r="D164" s="2" t="s">
        <v>112</v>
      </c>
      <c r="E164" s="2" t="s">
        <v>80</v>
      </c>
      <c r="F164" s="2" t="s">
        <v>79</v>
      </c>
      <c r="G164" s="18" t="s">
        <v>23</v>
      </c>
      <c r="H164" s="19"/>
      <c r="I164" s="4">
        <v>46023</v>
      </c>
      <c r="J164" s="3">
        <v>540.82000000000005</v>
      </c>
      <c r="K164" s="3">
        <v>540.82000000000005</v>
      </c>
      <c r="L164" s="3">
        <v>2109.85</v>
      </c>
      <c r="M164" s="3">
        <v>540.82000000000005</v>
      </c>
      <c r="N164" s="3">
        <v>1569.03</v>
      </c>
      <c r="O164" s="2" t="s">
        <v>78</v>
      </c>
      <c r="P164" s="2" t="s">
        <v>23</v>
      </c>
      <c r="Q164" s="2" t="s">
        <v>77</v>
      </c>
      <c r="R164" s="2"/>
      <c r="S164" s="2">
        <v>2</v>
      </c>
      <c r="T164" s="3">
        <v>23</v>
      </c>
      <c r="U164" s="11">
        <v>1</v>
      </c>
      <c r="V164" s="3">
        <v>46</v>
      </c>
      <c r="W164" s="2" t="s">
        <v>23</v>
      </c>
      <c r="X164" s="2"/>
    </row>
    <row r="165" spans="1:24" x14ac:dyDescent="0.3">
      <c r="A165" s="2" t="s">
        <v>370</v>
      </c>
      <c r="B165" s="2" t="s">
        <v>369</v>
      </c>
      <c r="C165" s="2" t="s">
        <v>113</v>
      </c>
      <c r="D165" s="2" t="s">
        <v>112</v>
      </c>
      <c r="E165" s="2" t="s">
        <v>80</v>
      </c>
      <c r="F165" s="2" t="s">
        <v>79</v>
      </c>
      <c r="G165" s="18" t="s">
        <v>23</v>
      </c>
      <c r="H165" s="19"/>
      <c r="I165" s="4">
        <v>46054</v>
      </c>
      <c r="J165" s="3">
        <v>540.82000000000005</v>
      </c>
      <c r="K165" s="3">
        <v>540.82000000000005</v>
      </c>
      <c r="L165" s="3">
        <v>4219.7</v>
      </c>
      <c r="M165" s="3">
        <v>1081.6400000000001</v>
      </c>
      <c r="N165" s="3">
        <v>3138.06</v>
      </c>
      <c r="O165" s="2" t="s">
        <v>78</v>
      </c>
      <c r="P165" s="2" t="s">
        <v>23</v>
      </c>
      <c r="Q165" s="2" t="s">
        <v>77</v>
      </c>
      <c r="R165" s="2"/>
      <c r="S165" s="2">
        <v>2</v>
      </c>
      <c r="T165" s="3">
        <v>23</v>
      </c>
      <c r="U165" s="11">
        <v>1</v>
      </c>
      <c r="V165" s="3">
        <v>46</v>
      </c>
      <c r="W165" s="2" t="s">
        <v>23</v>
      </c>
      <c r="X165" s="2"/>
    </row>
    <row r="166" spans="1:24" x14ac:dyDescent="0.3">
      <c r="A166" s="2" t="s">
        <v>370</v>
      </c>
      <c r="B166" s="2" t="s">
        <v>369</v>
      </c>
      <c r="C166" s="2" t="s">
        <v>113</v>
      </c>
      <c r="D166" s="2" t="s">
        <v>112</v>
      </c>
      <c r="E166" s="2" t="s">
        <v>80</v>
      </c>
      <c r="F166" s="2" t="s">
        <v>79</v>
      </c>
      <c r="G166" s="18" t="s">
        <v>23</v>
      </c>
      <c r="H166" s="19"/>
      <c r="I166" s="4">
        <v>46082</v>
      </c>
      <c r="J166" s="3">
        <v>540.82000000000005</v>
      </c>
      <c r="K166" s="3">
        <v>540.82000000000005</v>
      </c>
      <c r="L166" s="3">
        <v>6329.55</v>
      </c>
      <c r="M166" s="3">
        <v>1622.46</v>
      </c>
      <c r="N166" s="3">
        <v>4707.09</v>
      </c>
      <c r="O166" s="2" t="s">
        <v>78</v>
      </c>
      <c r="P166" s="2" t="s">
        <v>23</v>
      </c>
      <c r="Q166" s="2" t="s">
        <v>77</v>
      </c>
      <c r="R166" s="2"/>
      <c r="S166" s="2">
        <v>2</v>
      </c>
      <c r="T166" s="3">
        <v>23</v>
      </c>
      <c r="U166" s="11">
        <v>1</v>
      </c>
      <c r="V166" s="3">
        <v>46</v>
      </c>
      <c r="W166" s="2" t="s">
        <v>23</v>
      </c>
      <c r="X166" s="2"/>
    </row>
    <row r="167" spans="1:24" x14ac:dyDescent="0.3">
      <c r="A167" s="2" t="s">
        <v>370</v>
      </c>
      <c r="B167" s="2" t="s">
        <v>369</v>
      </c>
      <c r="C167" s="2" t="s">
        <v>113</v>
      </c>
      <c r="D167" s="2" t="s">
        <v>112</v>
      </c>
      <c r="E167" s="2" t="s">
        <v>80</v>
      </c>
      <c r="F167" s="2" t="s">
        <v>79</v>
      </c>
      <c r="G167" s="18" t="s">
        <v>23</v>
      </c>
      <c r="H167" s="19"/>
      <c r="I167" s="4">
        <v>46113</v>
      </c>
      <c r="J167" s="3">
        <v>540.82000000000005</v>
      </c>
      <c r="K167" s="3">
        <v>540.82000000000005</v>
      </c>
      <c r="L167" s="3">
        <v>8439.4</v>
      </c>
      <c r="M167" s="3">
        <v>2163.2800000000002</v>
      </c>
      <c r="N167" s="3">
        <v>6276.12</v>
      </c>
      <c r="O167" s="2" t="s">
        <v>78</v>
      </c>
      <c r="P167" s="2" t="s">
        <v>23</v>
      </c>
      <c r="Q167" s="2" t="s">
        <v>77</v>
      </c>
      <c r="R167" s="2"/>
      <c r="S167" s="2">
        <v>2</v>
      </c>
      <c r="T167" s="3">
        <v>23</v>
      </c>
      <c r="U167" s="11">
        <v>1</v>
      </c>
      <c r="V167" s="3">
        <v>46</v>
      </c>
      <c r="W167" s="2" t="s">
        <v>23</v>
      </c>
      <c r="X167" s="2"/>
    </row>
    <row r="168" spans="1:24" x14ac:dyDescent="0.3">
      <c r="A168" s="2" t="s">
        <v>370</v>
      </c>
      <c r="B168" s="2" t="s">
        <v>369</v>
      </c>
      <c r="C168" s="2" t="s">
        <v>111</v>
      </c>
      <c r="D168" s="2" t="s">
        <v>110</v>
      </c>
      <c r="E168" s="2" t="s">
        <v>80</v>
      </c>
      <c r="F168" s="2" t="s">
        <v>79</v>
      </c>
      <c r="G168" s="18" t="s">
        <v>23</v>
      </c>
      <c r="H168" s="19"/>
      <c r="I168" s="4">
        <v>46023</v>
      </c>
      <c r="J168" s="3">
        <v>517.39</v>
      </c>
      <c r="K168" s="3">
        <v>517.39</v>
      </c>
      <c r="L168" s="3">
        <v>517.39</v>
      </c>
      <c r="M168" s="3">
        <v>517.39</v>
      </c>
      <c r="N168" s="3">
        <v>0</v>
      </c>
      <c r="O168" s="2" t="s">
        <v>78</v>
      </c>
      <c r="P168" s="2" t="s">
        <v>23</v>
      </c>
      <c r="Q168" s="2" t="s">
        <v>77</v>
      </c>
      <c r="R168" s="2"/>
      <c r="S168" s="2">
        <v>1</v>
      </c>
      <c r="T168" s="3">
        <v>23</v>
      </c>
      <c r="U168" s="11">
        <v>1</v>
      </c>
      <c r="V168" s="3">
        <v>23</v>
      </c>
      <c r="W168" s="2" t="s">
        <v>23</v>
      </c>
      <c r="X168" s="2"/>
    </row>
    <row r="169" spans="1:24" x14ac:dyDescent="0.3">
      <c r="A169" s="2" t="s">
        <v>370</v>
      </c>
      <c r="B169" s="2" t="s">
        <v>369</v>
      </c>
      <c r="C169" s="2" t="s">
        <v>109</v>
      </c>
      <c r="D169" s="2" t="s">
        <v>108</v>
      </c>
      <c r="E169" s="2" t="s">
        <v>80</v>
      </c>
      <c r="F169" s="2" t="s">
        <v>79</v>
      </c>
      <c r="G169" s="18" t="s">
        <v>23</v>
      </c>
      <c r="H169" s="19"/>
      <c r="I169" s="4">
        <v>46023</v>
      </c>
      <c r="J169" s="3">
        <v>692.23</v>
      </c>
      <c r="K169" s="3">
        <v>692.23</v>
      </c>
      <c r="L169" s="3">
        <v>692.23</v>
      </c>
      <c r="M169" s="3">
        <v>692.23</v>
      </c>
      <c r="N169" s="3">
        <v>0</v>
      </c>
      <c r="O169" s="2" t="s">
        <v>78</v>
      </c>
      <c r="P169" s="2" t="s">
        <v>23</v>
      </c>
      <c r="Q169" s="2" t="s">
        <v>77</v>
      </c>
      <c r="R169" s="2"/>
      <c r="S169" s="2">
        <v>1</v>
      </c>
      <c r="T169" s="3">
        <v>23</v>
      </c>
      <c r="U169" s="11">
        <v>1</v>
      </c>
      <c r="V169" s="3">
        <v>23</v>
      </c>
      <c r="W169" s="2" t="s">
        <v>23</v>
      </c>
      <c r="X169" s="2"/>
    </row>
    <row r="170" spans="1:24" x14ac:dyDescent="0.3">
      <c r="A170" s="2" t="s">
        <v>370</v>
      </c>
      <c r="B170" s="2" t="s">
        <v>369</v>
      </c>
      <c r="C170" s="2" t="s">
        <v>109</v>
      </c>
      <c r="D170" s="2" t="s">
        <v>108</v>
      </c>
      <c r="E170" s="2" t="s">
        <v>80</v>
      </c>
      <c r="F170" s="2" t="s">
        <v>79</v>
      </c>
      <c r="G170" s="18" t="s">
        <v>23</v>
      </c>
      <c r="H170" s="19"/>
      <c r="I170" s="4">
        <v>46054</v>
      </c>
      <c r="J170" s="3">
        <v>692.23</v>
      </c>
      <c r="K170" s="3">
        <v>692.23</v>
      </c>
      <c r="L170" s="3">
        <v>1384.46</v>
      </c>
      <c r="M170" s="3">
        <v>1384.46</v>
      </c>
      <c r="N170" s="3">
        <v>0</v>
      </c>
      <c r="O170" s="2" t="s">
        <v>78</v>
      </c>
      <c r="P170" s="2" t="s">
        <v>23</v>
      </c>
      <c r="Q170" s="2" t="s">
        <v>77</v>
      </c>
      <c r="R170" s="2"/>
      <c r="S170" s="2">
        <v>1</v>
      </c>
      <c r="T170" s="3">
        <v>23</v>
      </c>
      <c r="U170" s="11">
        <v>1</v>
      </c>
      <c r="V170" s="3">
        <v>23</v>
      </c>
      <c r="W170" s="2" t="s">
        <v>23</v>
      </c>
      <c r="X170" s="2"/>
    </row>
    <row r="171" spans="1:24" x14ac:dyDescent="0.3">
      <c r="A171" s="2" t="s">
        <v>370</v>
      </c>
      <c r="B171" s="2" t="s">
        <v>369</v>
      </c>
      <c r="C171" s="2" t="s">
        <v>109</v>
      </c>
      <c r="D171" s="2" t="s">
        <v>108</v>
      </c>
      <c r="E171" s="2" t="s">
        <v>80</v>
      </c>
      <c r="F171" s="2" t="s">
        <v>79</v>
      </c>
      <c r="G171" s="18" t="s">
        <v>23</v>
      </c>
      <c r="H171" s="19"/>
      <c r="I171" s="4">
        <v>46082</v>
      </c>
      <c r="J171" s="3">
        <v>692.23</v>
      </c>
      <c r="K171" s="3">
        <v>692.23</v>
      </c>
      <c r="L171" s="3">
        <v>2076.69</v>
      </c>
      <c r="M171" s="3">
        <v>2076.69</v>
      </c>
      <c r="N171" s="3">
        <v>0</v>
      </c>
      <c r="O171" s="2" t="s">
        <v>78</v>
      </c>
      <c r="P171" s="2" t="s">
        <v>23</v>
      </c>
      <c r="Q171" s="2" t="s">
        <v>77</v>
      </c>
      <c r="R171" s="2"/>
      <c r="S171" s="2">
        <v>1</v>
      </c>
      <c r="T171" s="3">
        <v>23</v>
      </c>
      <c r="U171" s="11">
        <v>1</v>
      </c>
      <c r="V171" s="3">
        <v>23</v>
      </c>
      <c r="W171" s="2" t="s">
        <v>23</v>
      </c>
      <c r="X171" s="2"/>
    </row>
    <row r="172" spans="1:24" x14ac:dyDescent="0.3">
      <c r="A172" s="2" t="s">
        <v>370</v>
      </c>
      <c r="B172" s="2" t="s">
        <v>369</v>
      </c>
      <c r="C172" s="2" t="s">
        <v>109</v>
      </c>
      <c r="D172" s="2" t="s">
        <v>108</v>
      </c>
      <c r="E172" s="2" t="s">
        <v>80</v>
      </c>
      <c r="F172" s="2" t="s">
        <v>79</v>
      </c>
      <c r="G172" s="18" t="s">
        <v>23</v>
      </c>
      <c r="H172" s="19"/>
      <c r="I172" s="4">
        <v>46113</v>
      </c>
      <c r="J172" s="3">
        <v>692.23</v>
      </c>
      <c r="K172" s="3">
        <v>692.23</v>
      </c>
      <c r="L172" s="3">
        <v>2768.92</v>
      </c>
      <c r="M172" s="3">
        <v>2768.92</v>
      </c>
      <c r="N172" s="3">
        <v>0</v>
      </c>
      <c r="O172" s="2" t="s">
        <v>78</v>
      </c>
      <c r="P172" s="2" t="s">
        <v>23</v>
      </c>
      <c r="Q172" s="2" t="s">
        <v>77</v>
      </c>
      <c r="R172" s="2"/>
      <c r="S172" s="2">
        <v>1</v>
      </c>
      <c r="T172" s="3">
        <v>23</v>
      </c>
      <c r="U172" s="11">
        <v>1</v>
      </c>
      <c r="V172" s="3">
        <v>23</v>
      </c>
      <c r="W172" s="2" t="s">
        <v>23</v>
      </c>
      <c r="X172" s="2"/>
    </row>
    <row r="173" spans="1:24" x14ac:dyDescent="0.3">
      <c r="A173" s="2" t="s">
        <v>370</v>
      </c>
      <c r="B173" s="2" t="s">
        <v>369</v>
      </c>
      <c r="C173" s="2" t="s">
        <v>107</v>
      </c>
      <c r="D173" s="2" t="s">
        <v>106</v>
      </c>
      <c r="E173" s="2" t="s">
        <v>80</v>
      </c>
      <c r="F173" s="2" t="s">
        <v>79</v>
      </c>
      <c r="G173" s="18" t="s">
        <v>23</v>
      </c>
      <c r="H173" s="19"/>
      <c r="I173" s="4">
        <v>46054</v>
      </c>
      <c r="J173" s="3">
        <v>1239.5</v>
      </c>
      <c r="K173" s="3">
        <v>1239.5</v>
      </c>
      <c r="L173" s="3">
        <v>1239.5</v>
      </c>
      <c r="M173" s="3">
        <v>1239.5</v>
      </c>
      <c r="N173" s="3">
        <v>0</v>
      </c>
      <c r="O173" s="2" t="s">
        <v>78</v>
      </c>
      <c r="P173" s="2" t="s">
        <v>23</v>
      </c>
      <c r="Q173" s="2" t="s">
        <v>77</v>
      </c>
      <c r="R173" s="2"/>
      <c r="S173" s="2">
        <v>1</v>
      </c>
      <c r="T173" s="3">
        <v>23</v>
      </c>
      <c r="U173" s="11">
        <v>1</v>
      </c>
      <c r="V173" s="3">
        <v>23</v>
      </c>
      <c r="W173" s="2" t="s">
        <v>23</v>
      </c>
      <c r="X173" s="2"/>
    </row>
    <row r="174" spans="1:24" x14ac:dyDescent="0.3">
      <c r="A174" s="2" t="s">
        <v>370</v>
      </c>
      <c r="B174" s="2" t="s">
        <v>369</v>
      </c>
      <c r="C174" s="2" t="s">
        <v>107</v>
      </c>
      <c r="D174" s="2" t="s">
        <v>106</v>
      </c>
      <c r="E174" s="2" t="s">
        <v>80</v>
      </c>
      <c r="F174" s="2" t="s">
        <v>79</v>
      </c>
      <c r="G174" s="18" t="s">
        <v>23</v>
      </c>
      <c r="H174" s="19"/>
      <c r="I174" s="4">
        <v>46082</v>
      </c>
      <c r="J174" s="3">
        <v>1239.5</v>
      </c>
      <c r="K174" s="3">
        <v>1239.5</v>
      </c>
      <c r="L174" s="3">
        <v>2479</v>
      </c>
      <c r="M174" s="3">
        <v>2479</v>
      </c>
      <c r="N174" s="3">
        <v>0</v>
      </c>
      <c r="O174" s="2" t="s">
        <v>78</v>
      </c>
      <c r="P174" s="2" t="s">
        <v>23</v>
      </c>
      <c r="Q174" s="2" t="s">
        <v>77</v>
      </c>
      <c r="R174" s="2"/>
      <c r="S174" s="2">
        <v>1</v>
      </c>
      <c r="T174" s="3">
        <v>23</v>
      </c>
      <c r="U174" s="11">
        <v>1</v>
      </c>
      <c r="V174" s="3">
        <v>23</v>
      </c>
      <c r="W174" s="2" t="s">
        <v>23</v>
      </c>
      <c r="X174" s="2"/>
    </row>
    <row r="175" spans="1:24" x14ac:dyDescent="0.3">
      <c r="A175" s="2" t="s">
        <v>370</v>
      </c>
      <c r="B175" s="2" t="s">
        <v>369</v>
      </c>
      <c r="C175" s="2" t="s">
        <v>107</v>
      </c>
      <c r="D175" s="2" t="s">
        <v>106</v>
      </c>
      <c r="E175" s="2" t="s">
        <v>80</v>
      </c>
      <c r="F175" s="2" t="s">
        <v>79</v>
      </c>
      <c r="G175" s="18" t="s">
        <v>23</v>
      </c>
      <c r="H175" s="19"/>
      <c r="I175" s="4">
        <v>46113</v>
      </c>
      <c r="J175" s="3">
        <v>1239.5</v>
      </c>
      <c r="K175" s="3">
        <v>1239.5</v>
      </c>
      <c r="L175" s="3">
        <v>3718.5</v>
      </c>
      <c r="M175" s="3">
        <v>3718.5</v>
      </c>
      <c r="N175" s="3">
        <v>0</v>
      </c>
      <c r="O175" s="2" t="s">
        <v>78</v>
      </c>
      <c r="P175" s="2" t="s">
        <v>23</v>
      </c>
      <c r="Q175" s="2" t="s">
        <v>77</v>
      </c>
      <c r="R175" s="2"/>
      <c r="S175" s="2">
        <v>1</v>
      </c>
      <c r="T175" s="3">
        <v>23</v>
      </c>
      <c r="U175" s="11">
        <v>1</v>
      </c>
      <c r="V175" s="3">
        <v>23</v>
      </c>
      <c r="W175" s="2" t="s">
        <v>23</v>
      </c>
      <c r="X175" s="2"/>
    </row>
    <row r="176" spans="1:24" x14ac:dyDescent="0.3">
      <c r="A176" s="2" t="s">
        <v>370</v>
      </c>
      <c r="B176" s="2" t="s">
        <v>369</v>
      </c>
      <c r="C176" s="2" t="s">
        <v>105</v>
      </c>
      <c r="D176" s="2" t="s">
        <v>104</v>
      </c>
      <c r="E176" s="2" t="s">
        <v>80</v>
      </c>
      <c r="F176" s="2" t="s">
        <v>79</v>
      </c>
      <c r="G176" s="18" t="s">
        <v>23</v>
      </c>
      <c r="H176" s="19"/>
      <c r="I176" s="4">
        <v>46023</v>
      </c>
      <c r="J176" s="3">
        <v>795.35</v>
      </c>
      <c r="K176" s="3">
        <v>795.35</v>
      </c>
      <c r="L176" s="3">
        <v>1056.19</v>
      </c>
      <c r="M176" s="3">
        <v>795.35</v>
      </c>
      <c r="N176" s="3">
        <v>260.83999999999997</v>
      </c>
      <c r="O176" s="2" t="s">
        <v>78</v>
      </c>
      <c r="P176" s="2" t="s">
        <v>23</v>
      </c>
      <c r="Q176" s="2" t="s">
        <v>77</v>
      </c>
      <c r="R176" s="2"/>
      <c r="S176" s="2">
        <v>3</v>
      </c>
      <c r="T176" s="3">
        <v>23</v>
      </c>
      <c r="U176" s="11">
        <v>1</v>
      </c>
      <c r="V176" s="3">
        <v>69</v>
      </c>
      <c r="W176" s="2" t="s">
        <v>23</v>
      </c>
      <c r="X176" s="2"/>
    </row>
    <row r="177" spans="1:24" x14ac:dyDescent="0.3">
      <c r="A177" s="2" t="s">
        <v>370</v>
      </c>
      <c r="B177" s="2" t="s">
        <v>369</v>
      </c>
      <c r="C177" s="2" t="s">
        <v>105</v>
      </c>
      <c r="D177" s="2" t="s">
        <v>104</v>
      </c>
      <c r="E177" s="2" t="s">
        <v>80</v>
      </c>
      <c r="F177" s="2" t="s">
        <v>79</v>
      </c>
      <c r="G177" s="18" t="s">
        <v>23</v>
      </c>
      <c r="H177" s="19"/>
      <c r="I177" s="4">
        <v>46054</v>
      </c>
      <c r="J177" s="3">
        <v>795.35</v>
      </c>
      <c r="K177" s="3">
        <v>795.35</v>
      </c>
      <c r="L177" s="3">
        <v>2112.38</v>
      </c>
      <c r="M177" s="3">
        <v>1590.7</v>
      </c>
      <c r="N177" s="3">
        <v>521.67999999999995</v>
      </c>
      <c r="O177" s="2" t="s">
        <v>78</v>
      </c>
      <c r="P177" s="2" t="s">
        <v>23</v>
      </c>
      <c r="Q177" s="2" t="s">
        <v>77</v>
      </c>
      <c r="R177" s="2"/>
      <c r="S177" s="2">
        <v>3</v>
      </c>
      <c r="T177" s="3">
        <v>23</v>
      </c>
      <c r="U177" s="11">
        <v>1</v>
      </c>
      <c r="V177" s="3">
        <v>69</v>
      </c>
      <c r="W177" s="2" t="s">
        <v>23</v>
      </c>
      <c r="X177" s="2"/>
    </row>
    <row r="178" spans="1:24" x14ac:dyDescent="0.3">
      <c r="A178" s="2" t="s">
        <v>370</v>
      </c>
      <c r="B178" s="2" t="s">
        <v>369</v>
      </c>
      <c r="C178" s="2" t="s">
        <v>103</v>
      </c>
      <c r="D178" s="2" t="s">
        <v>102</v>
      </c>
      <c r="E178" s="2" t="s">
        <v>80</v>
      </c>
      <c r="F178" s="2" t="s">
        <v>79</v>
      </c>
      <c r="G178" s="18" t="s">
        <v>23</v>
      </c>
      <c r="H178" s="19"/>
      <c r="I178" s="4">
        <v>46113</v>
      </c>
      <c r="J178" s="3">
        <v>38.200000000000003</v>
      </c>
      <c r="K178" s="3">
        <v>38.200000000000003</v>
      </c>
      <c r="L178" s="3">
        <v>964.2</v>
      </c>
      <c r="M178" s="3">
        <v>114.6</v>
      </c>
      <c r="N178" s="3">
        <v>849.6</v>
      </c>
      <c r="O178" s="2" t="s">
        <v>78</v>
      </c>
      <c r="P178" s="2" t="s">
        <v>23</v>
      </c>
      <c r="Q178" s="2" t="s">
        <v>77</v>
      </c>
      <c r="R178" s="2"/>
      <c r="S178" s="2">
        <v>1</v>
      </c>
      <c r="T178" s="3">
        <v>23</v>
      </c>
      <c r="U178" s="11">
        <v>1</v>
      </c>
      <c r="V178" s="3">
        <v>23</v>
      </c>
      <c r="W178" s="2" t="s">
        <v>23</v>
      </c>
      <c r="X178" s="2"/>
    </row>
    <row r="179" spans="1:24" x14ac:dyDescent="0.3">
      <c r="A179" s="2" t="s">
        <v>370</v>
      </c>
      <c r="B179" s="2" t="s">
        <v>369</v>
      </c>
      <c r="C179" s="2" t="s">
        <v>101</v>
      </c>
      <c r="D179" s="2" t="s">
        <v>100</v>
      </c>
      <c r="E179" s="2" t="s">
        <v>80</v>
      </c>
      <c r="F179" s="2" t="s">
        <v>79</v>
      </c>
      <c r="G179" s="18" t="s">
        <v>23</v>
      </c>
      <c r="H179" s="19"/>
      <c r="I179" s="4">
        <v>46113</v>
      </c>
      <c r="J179" s="3">
        <v>826.14</v>
      </c>
      <c r="K179" s="3">
        <v>826.14</v>
      </c>
      <c r="L179" s="3">
        <v>3304.56</v>
      </c>
      <c r="M179" s="3">
        <v>3304.56</v>
      </c>
      <c r="N179" s="3">
        <v>0</v>
      </c>
      <c r="O179" s="2" t="s">
        <v>78</v>
      </c>
      <c r="P179" s="2" t="s">
        <v>23</v>
      </c>
      <c r="Q179" s="2" t="s">
        <v>77</v>
      </c>
      <c r="R179" s="2"/>
      <c r="S179" s="2">
        <v>1</v>
      </c>
      <c r="T179" s="3">
        <v>23</v>
      </c>
      <c r="U179" s="11">
        <v>1</v>
      </c>
      <c r="V179" s="3">
        <v>23</v>
      </c>
      <c r="W179" s="2" t="s">
        <v>23</v>
      </c>
      <c r="X179" s="2"/>
    </row>
    <row r="180" spans="1:24" x14ac:dyDescent="0.3">
      <c r="A180" s="2" t="s">
        <v>368</v>
      </c>
      <c r="B180" s="2" t="s">
        <v>367</v>
      </c>
      <c r="C180" s="2" t="s">
        <v>82</v>
      </c>
      <c r="D180" s="2" t="s">
        <v>81</v>
      </c>
      <c r="E180" s="2" t="s">
        <v>80</v>
      </c>
      <c r="F180" s="2" t="s">
        <v>79</v>
      </c>
      <c r="G180" s="18" t="s">
        <v>23</v>
      </c>
      <c r="H180" s="19"/>
      <c r="I180" s="4">
        <v>46082</v>
      </c>
      <c r="J180" s="3">
        <v>386.55</v>
      </c>
      <c r="K180" s="3">
        <v>386.55</v>
      </c>
      <c r="L180" s="3">
        <v>773.1</v>
      </c>
      <c r="M180" s="3">
        <v>773.1</v>
      </c>
      <c r="N180" s="3">
        <v>0</v>
      </c>
      <c r="O180" s="2" t="s">
        <v>78</v>
      </c>
      <c r="P180" s="2" t="s">
        <v>23</v>
      </c>
      <c r="Q180" s="2" t="s">
        <v>77</v>
      </c>
      <c r="R180" s="2"/>
      <c r="S180" s="2">
        <v>1</v>
      </c>
      <c r="T180" s="3">
        <v>23</v>
      </c>
      <c r="U180" s="11">
        <v>1</v>
      </c>
      <c r="V180" s="3">
        <v>23</v>
      </c>
      <c r="W180" s="2" t="s">
        <v>23</v>
      </c>
      <c r="X180" s="2"/>
    </row>
    <row r="181" spans="1:24" x14ac:dyDescent="0.3">
      <c r="A181" s="2" t="s">
        <v>368</v>
      </c>
      <c r="B181" s="2" t="s">
        <v>367</v>
      </c>
      <c r="C181" s="2" t="s">
        <v>82</v>
      </c>
      <c r="D181" s="2" t="s">
        <v>81</v>
      </c>
      <c r="E181" s="2" t="s">
        <v>80</v>
      </c>
      <c r="F181" s="2" t="s">
        <v>79</v>
      </c>
      <c r="G181" s="18" t="s">
        <v>23</v>
      </c>
      <c r="H181" s="19"/>
      <c r="I181" s="4">
        <v>46113</v>
      </c>
      <c r="J181" s="3">
        <v>386.55</v>
      </c>
      <c r="K181" s="3">
        <v>386.55</v>
      </c>
      <c r="L181" s="3">
        <v>1159.6500000000001</v>
      </c>
      <c r="M181" s="3">
        <v>1159.6500000000001</v>
      </c>
      <c r="N181" s="3">
        <v>0</v>
      </c>
      <c r="O181" s="2" t="s">
        <v>78</v>
      </c>
      <c r="P181" s="2" t="s">
        <v>23</v>
      </c>
      <c r="Q181" s="2" t="s">
        <v>77</v>
      </c>
      <c r="R181" s="2"/>
      <c r="S181" s="2">
        <v>1</v>
      </c>
      <c r="T181" s="3">
        <v>23</v>
      </c>
      <c r="U181" s="11">
        <v>1</v>
      </c>
      <c r="V181" s="3">
        <v>23</v>
      </c>
      <c r="W181" s="2" t="s">
        <v>23</v>
      </c>
      <c r="X181" s="2"/>
    </row>
    <row r="182" spans="1:24" ht="10.95" customHeigh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</sheetData>
  <mergeCells count="179">
    <mergeCell ref="G178:H178"/>
    <mergeCell ref="G179:H179"/>
    <mergeCell ref="G180:H180"/>
    <mergeCell ref="G181:H181"/>
    <mergeCell ref="G173:H173"/>
    <mergeCell ref="G174:H174"/>
    <mergeCell ref="G175:H175"/>
    <mergeCell ref="G176:H176"/>
    <mergeCell ref="G177:H177"/>
    <mergeCell ref="G168:H168"/>
    <mergeCell ref="G169:H169"/>
    <mergeCell ref="G170:H170"/>
    <mergeCell ref="G171:H171"/>
    <mergeCell ref="G172:H172"/>
    <mergeCell ref="G163:H163"/>
    <mergeCell ref="G164:H164"/>
    <mergeCell ref="G165:H165"/>
    <mergeCell ref="G166:H166"/>
    <mergeCell ref="G167:H167"/>
    <mergeCell ref="G158:H158"/>
    <mergeCell ref="G159:H159"/>
    <mergeCell ref="G160:H160"/>
    <mergeCell ref="G161:H161"/>
    <mergeCell ref="G162:H162"/>
    <mergeCell ref="G153:H153"/>
    <mergeCell ref="G154:H154"/>
    <mergeCell ref="G155:H155"/>
    <mergeCell ref="G156:H156"/>
    <mergeCell ref="G157:H157"/>
    <mergeCell ref="G148:H148"/>
    <mergeCell ref="G149:H149"/>
    <mergeCell ref="G150:H150"/>
    <mergeCell ref="G151:H151"/>
    <mergeCell ref="G152:H152"/>
    <mergeCell ref="G143:H143"/>
    <mergeCell ref="G144:H144"/>
    <mergeCell ref="G145:H145"/>
    <mergeCell ref="G146:H146"/>
    <mergeCell ref="G147:H147"/>
    <mergeCell ref="G138:H138"/>
    <mergeCell ref="G139:H139"/>
    <mergeCell ref="G140:H140"/>
    <mergeCell ref="G141:H141"/>
    <mergeCell ref="G142:H142"/>
    <mergeCell ref="G133:H133"/>
    <mergeCell ref="G134:H134"/>
    <mergeCell ref="G135:H135"/>
    <mergeCell ref="G136:H136"/>
    <mergeCell ref="G137:H137"/>
    <mergeCell ref="G128:H128"/>
    <mergeCell ref="G129:H129"/>
    <mergeCell ref="G130:H130"/>
    <mergeCell ref="G131:H131"/>
    <mergeCell ref="G132:H132"/>
    <mergeCell ref="G123:H123"/>
    <mergeCell ref="G124:H124"/>
    <mergeCell ref="G125:H125"/>
    <mergeCell ref="G126:H126"/>
    <mergeCell ref="G127:H127"/>
    <mergeCell ref="G118:H118"/>
    <mergeCell ref="G119:H119"/>
    <mergeCell ref="G120:H120"/>
    <mergeCell ref="G121:H121"/>
    <mergeCell ref="G122:H122"/>
    <mergeCell ref="G113:H113"/>
    <mergeCell ref="G114:H114"/>
    <mergeCell ref="G115:H115"/>
    <mergeCell ref="G116:H116"/>
    <mergeCell ref="G117:H117"/>
    <mergeCell ref="G108:H108"/>
    <mergeCell ref="G109:H109"/>
    <mergeCell ref="G110:H110"/>
    <mergeCell ref="G111:H111"/>
    <mergeCell ref="G112:H112"/>
    <mergeCell ref="G103:H103"/>
    <mergeCell ref="G104:H104"/>
    <mergeCell ref="G105:H105"/>
    <mergeCell ref="G106:H106"/>
    <mergeCell ref="G107:H107"/>
    <mergeCell ref="G98:H98"/>
    <mergeCell ref="G99:H99"/>
    <mergeCell ref="G100:H100"/>
    <mergeCell ref="G101:H101"/>
    <mergeCell ref="G102:H102"/>
    <mergeCell ref="G93:H93"/>
    <mergeCell ref="G94:H94"/>
    <mergeCell ref="G95:H95"/>
    <mergeCell ref="G96:H96"/>
    <mergeCell ref="G97:H97"/>
    <mergeCell ref="G88:H88"/>
    <mergeCell ref="G89:H89"/>
    <mergeCell ref="G90:H90"/>
    <mergeCell ref="G91:H91"/>
    <mergeCell ref="G92:H92"/>
    <mergeCell ref="G83:H83"/>
    <mergeCell ref="G84:H84"/>
    <mergeCell ref="G85:H85"/>
    <mergeCell ref="G86:H86"/>
    <mergeCell ref="G87:H87"/>
    <mergeCell ref="G78:H78"/>
    <mergeCell ref="G79:H79"/>
    <mergeCell ref="G80:H80"/>
    <mergeCell ref="G81:H81"/>
    <mergeCell ref="G82:H82"/>
    <mergeCell ref="G73:H73"/>
    <mergeCell ref="G74:H74"/>
    <mergeCell ref="G75:H75"/>
    <mergeCell ref="G76:H76"/>
    <mergeCell ref="G77:H77"/>
    <mergeCell ref="G68:H68"/>
    <mergeCell ref="G69:H69"/>
    <mergeCell ref="G70:H70"/>
    <mergeCell ref="G71:H71"/>
    <mergeCell ref="G72:H72"/>
    <mergeCell ref="G63:H63"/>
    <mergeCell ref="G64:H64"/>
    <mergeCell ref="G65:H65"/>
    <mergeCell ref="G66:H66"/>
    <mergeCell ref="G67:H67"/>
    <mergeCell ref="G58:H58"/>
    <mergeCell ref="G59:H59"/>
    <mergeCell ref="G60:H60"/>
    <mergeCell ref="G61:H61"/>
    <mergeCell ref="G62:H62"/>
    <mergeCell ref="G53:H53"/>
    <mergeCell ref="G54:H54"/>
    <mergeCell ref="G55:H55"/>
    <mergeCell ref="G56:H56"/>
    <mergeCell ref="G57:H57"/>
    <mergeCell ref="G48:H48"/>
    <mergeCell ref="G49:H49"/>
    <mergeCell ref="G50:H50"/>
    <mergeCell ref="G51:H51"/>
    <mergeCell ref="G52:H52"/>
    <mergeCell ref="G43:H43"/>
    <mergeCell ref="G44:H44"/>
    <mergeCell ref="G45:H45"/>
    <mergeCell ref="G46:H46"/>
    <mergeCell ref="G47:H47"/>
    <mergeCell ref="G38:H38"/>
    <mergeCell ref="G39:H39"/>
    <mergeCell ref="G40:H40"/>
    <mergeCell ref="G41:H41"/>
    <mergeCell ref="G42:H42"/>
    <mergeCell ref="G33:H33"/>
    <mergeCell ref="G34:H34"/>
    <mergeCell ref="G35:H35"/>
    <mergeCell ref="G36:H36"/>
    <mergeCell ref="G37:H37"/>
    <mergeCell ref="G28:H28"/>
    <mergeCell ref="G29:H29"/>
    <mergeCell ref="G30:H30"/>
    <mergeCell ref="G31:H31"/>
    <mergeCell ref="G32:H32"/>
    <mergeCell ref="G23:H23"/>
    <mergeCell ref="G24:H24"/>
    <mergeCell ref="G25:H25"/>
    <mergeCell ref="G26:H26"/>
    <mergeCell ref="G27:H27"/>
    <mergeCell ref="G18:H18"/>
    <mergeCell ref="G19:H19"/>
    <mergeCell ref="G20:H20"/>
    <mergeCell ref="G21:H21"/>
    <mergeCell ref="G22:H22"/>
    <mergeCell ref="G13:H13"/>
    <mergeCell ref="G14:H14"/>
    <mergeCell ref="G15:H15"/>
    <mergeCell ref="G16:H16"/>
    <mergeCell ref="G17:H17"/>
    <mergeCell ref="A7:J7"/>
    <mergeCell ref="G9:H9"/>
    <mergeCell ref="G10:H10"/>
    <mergeCell ref="G11:H11"/>
    <mergeCell ref="G12:H12"/>
    <mergeCell ref="H1:J2"/>
    <mergeCell ref="A2:B3"/>
    <mergeCell ref="H3:J3"/>
    <mergeCell ref="A4:B4"/>
    <mergeCell ref="H4:J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A7A4-CBC4-414A-9C05-FBFC082B6267}">
  <dimension ref="A1:M13"/>
  <sheetViews>
    <sheetView workbookViewId="0">
      <selection activeCell="J12" sqref="J12"/>
    </sheetView>
  </sheetViews>
  <sheetFormatPr defaultRowHeight="14.4" x14ac:dyDescent="0.3"/>
  <cols>
    <col min="1" max="1" width="10.88671875" customWidth="1"/>
    <col min="2" max="2" width="22.5546875" customWidth="1"/>
    <col min="3" max="3" width="10.44140625" customWidth="1"/>
    <col min="4" max="4" width="11.6640625" customWidth="1"/>
    <col min="5" max="5" width="10" customWidth="1"/>
    <col min="6" max="6" width="3.6640625" customWidth="1"/>
    <col min="7" max="7" width="10" customWidth="1"/>
    <col min="8" max="8" width="6.33203125" customWidth="1"/>
    <col min="9" max="9" width="8.33203125" customWidth="1"/>
    <col min="10" max="10" width="9.88671875" customWidth="1"/>
    <col min="11" max="11" width="4.44140625" customWidth="1"/>
    <col min="12" max="12" width="18" customWidth="1"/>
    <col min="13" max="13" width="13.6640625" customWidth="1"/>
  </cols>
  <sheetData>
    <row r="1" spans="1:13" x14ac:dyDescent="0.3">
      <c r="A1" s="22"/>
      <c r="B1" s="22"/>
      <c r="C1" s="22"/>
      <c r="F1" s="21" t="s">
        <v>0</v>
      </c>
      <c r="G1" s="22"/>
      <c r="H1" s="22"/>
      <c r="I1" s="22"/>
      <c r="J1" s="22"/>
      <c r="K1" s="22"/>
      <c r="L1" s="22"/>
    </row>
    <row r="2" spans="1:13" ht="1.65" customHeight="1" x14ac:dyDescent="0.3">
      <c r="A2" s="22"/>
      <c r="B2" s="22"/>
      <c r="C2" s="22"/>
    </row>
    <row r="3" spans="1:13" x14ac:dyDescent="0.3">
      <c r="A3" s="22"/>
      <c r="B3" s="22"/>
      <c r="C3" s="22"/>
      <c r="F3" s="21" t="s">
        <v>1</v>
      </c>
      <c r="G3" s="22"/>
      <c r="H3" s="22"/>
      <c r="I3" s="22"/>
      <c r="J3" s="22"/>
      <c r="K3" s="22"/>
      <c r="L3" s="22"/>
    </row>
    <row r="4" spans="1:13" x14ac:dyDescent="0.3">
      <c r="F4" s="22"/>
      <c r="G4" s="22"/>
      <c r="H4" s="22"/>
      <c r="I4" s="22"/>
      <c r="J4" s="22"/>
      <c r="K4" s="22"/>
      <c r="L4" s="22"/>
    </row>
    <row r="5" spans="1:13" ht="16.95" customHeight="1" x14ac:dyDescent="0.3"/>
    <row r="6" spans="1:13" x14ac:dyDescent="0.3">
      <c r="A6" s="26" t="s">
        <v>2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3" x14ac:dyDescent="0.3">
      <c r="A7" s="21" t="s">
        <v>395</v>
      </c>
      <c r="B7" s="22"/>
      <c r="C7" s="22"/>
      <c r="D7" s="22"/>
      <c r="E7" s="22"/>
      <c r="F7" s="28" t="s">
        <v>4</v>
      </c>
      <c r="G7" s="22"/>
      <c r="H7" s="22"/>
      <c r="I7" s="22"/>
      <c r="J7" s="22"/>
      <c r="K7" s="22"/>
      <c r="L7" s="22"/>
    </row>
    <row r="8" spans="1:13" x14ac:dyDescent="0.3">
      <c r="A8" s="21" t="s">
        <v>394</v>
      </c>
      <c r="B8" s="22"/>
      <c r="C8" s="22"/>
      <c r="D8" s="22"/>
      <c r="E8" s="22"/>
      <c r="F8" s="23" t="s">
        <v>6</v>
      </c>
      <c r="G8" s="22"/>
      <c r="H8" s="22"/>
      <c r="I8" s="22"/>
      <c r="J8" s="22"/>
      <c r="K8" s="22"/>
      <c r="L8" s="22"/>
    </row>
    <row r="9" spans="1:13" x14ac:dyDescent="0.3">
      <c r="A9" s="21" t="s">
        <v>393</v>
      </c>
      <c r="B9" s="22"/>
      <c r="C9" s="22"/>
      <c r="D9" s="22"/>
      <c r="E9" s="22"/>
    </row>
    <row r="10" spans="1:13" x14ac:dyDescent="0.3">
      <c r="A10" s="21" t="s">
        <v>392</v>
      </c>
      <c r="B10" s="22"/>
      <c r="C10" s="22"/>
      <c r="D10" s="22"/>
      <c r="E10" s="22"/>
    </row>
    <row r="11" spans="1:13" ht="20.399999999999999" x14ac:dyDescent="0.3">
      <c r="A11" s="1" t="s">
        <v>9</v>
      </c>
      <c r="B11" s="1" t="s">
        <v>10</v>
      </c>
      <c r="C11" s="1" t="s">
        <v>11</v>
      </c>
      <c r="D11" s="1" t="s">
        <v>12</v>
      </c>
      <c r="E11" s="24" t="s">
        <v>13</v>
      </c>
      <c r="F11" s="25"/>
      <c r="G11" s="1" t="s">
        <v>14</v>
      </c>
      <c r="H11" s="1" t="s">
        <v>15</v>
      </c>
      <c r="I11" s="1" t="s">
        <v>16</v>
      </c>
      <c r="J11" s="1" t="s">
        <v>17</v>
      </c>
      <c r="K11" s="1" t="s">
        <v>18</v>
      </c>
      <c r="L11" s="24" t="s">
        <v>19</v>
      </c>
      <c r="M11" s="25"/>
    </row>
    <row r="12" spans="1:13" x14ac:dyDescent="0.3">
      <c r="A12" s="2" t="s">
        <v>391</v>
      </c>
      <c r="B12" s="2" t="s">
        <v>390</v>
      </c>
      <c r="C12" s="3">
        <v>14.45</v>
      </c>
      <c r="D12" s="2" t="s">
        <v>42</v>
      </c>
      <c r="E12" s="18" t="s">
        <v>43</v>
      </c>
      <c r="F12" s="19"/>
      <c r="G12" s="4">
        <v>46113</v>
      </c>
      <c r="H12" s="2" t="s">
        <v>25</v>
      </c>
      <c r="I12" s="5" t="s">
        <v>25</v>
      </c>
      <c r="J12" s="6">
        <v>46023</v>
      </c>
      <c r="K12" s="2" t="s">
        <v>26</v>
      </c>
      <c r="L12" s="18"/>
      <c r="M12" s="19"/>
    </row>
    <row r="13" spans="1:13" x14ac:dyDescent="0.3">
      <c r="A13" s="20" t="s">
        <v>74</v>
      </c>
      <c r="B13" s="19"/>
      <c r="C13" s="7">
        <v>14.45</v>
      </c>
      <c r="D13" s="2" t="s">
        <v>23</v>
      </c>
      <c r="E13" s="18" t="s">
        <v>23</v>
      </c>
      <c r="F13" s="19"/>
      <c r="G13" s="2" t="s">
        <v>23</v>
      </c>
      <c r="H13" s="2" t="s">
        <v>23</v>
      </c>
      <c r="I13" s="5" t="s">
        <v>23</v>
      </c>
      <c r="J13" s="5" t="s">
        <v>23</v>
      </c>
      <c r="K13" s="2" t="s">
        <v>23</v>
      </c>
      <c r="L13" s="18" t="s">
        <v>23</v>
      </c>
      <c r="M13" s="19"/>
    </row>
  </sheetData>
  <mergeCells count="17">
    <mergeCell ref="E12:F12"/>
    <mergeCell ref="L12:M12"/>
    <mergeCell ref="A13:B13"/>
    <mergeCell ref="E13:F13"/>
    <mergeCell ref="L13:M13"/>
    <mergeCell ref="L11:M11"/>
    <mergeCell ref="A1:C3"/>
    <mergeCell ref="F1:L1"/>
    <mergeCell ref="F3:L4"/>
    <mergeCell ref="A6:L6"/>
    <mergeCell ref="A7:E7"/>
    <mergeCell ref="F7:L7"/>
    <mergeCell ref="A8:E8"/>
    <mergeCell ref="F8:L8"/>
    <mergeCell ref="A9:E9"/>
    <mergeCell ref="A10:E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MLB</vt:lpstr>
      <vt:lpstr>HEATHER GESKE</vt:lpstr>
      <vt:lpstr>Sheet1</vt:lpstr>
      <vt:lpstr>Heather Geske -2</vt:lpstr>
      <vt:lpstr>LEE JOEL</vt:lpstr>
      <vt:lpstr>MLB!Print_Titles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</cp:lastModifiedBy>
  <dcterms:created xsi:type="dcterms:W3CDTF">2026-04-23T14:35:50Z</dcterms:created>
  <dcterms:modified xsi:type="dcterms:W3CDTF">2026-04-24T15:43:24Z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