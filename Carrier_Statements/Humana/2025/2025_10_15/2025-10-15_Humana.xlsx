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0-15-25\"/>
    </mc:Choice>
  </mc:AlternateContent>
  <xr:revisionPtr revIDLastSave="0" documentId="13_ncr:1_{78592B42-1A55-4FFB-917D-44F65258AD96}" xr6:coauthVersionLast="47" xr6:coauthVersionMax="47" xr10:uidLastSave="{00000000-0000-0000-0000-000000000000}"/>
  <bookViews>
    <workbookView xWindow="5235" yWindow="1155" windowWidth="21585" windowHeight="13230" activeTab="2" xr2:uid="{E71212AB-D06F-4839-B147-6D4FFE569C9C}"/>
  </bookViews>
  <sheets>
    <sheet name="CommissionData_1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W186" i="2" l="1"/>
  <c r="W104" i="2"/>
  <c r="W136" i="2"/>
  <c r="W168" i="2"/>
  <c r="W85" i="2"/>
  <c r="W167" i="2"/>
  <c r="W140" i="2"/>
  <c r="W33" i="2"/>
  <c r="W195" i="2"/>
  <c r="W17" i="2"/>
  <c r="W89" i="2"/>
  <c r="W94" i="2"/>
  <c r="W169" i="2"/>
  <c r="W115" i="2"/>
  <c r="W118" i="2"/>
  <c r="W194" i="2"/>
  <c r="W164" i="2"/>
  <c r="W3" i="2"/>
  <c r="W127" i="2"/>
  <c r="W71" i="2"/>
  <c r="W162" i="2"/>
  <c r="W197" i="2"/>
  <c r="W43" i="2"/>
  <c r="W157" i="2"/>
  <c r="W125" i="2"/>
  <c r="W13" i="2"/>
  <c r="W24" i="2"/>
  <c r="W10" i="2"/>
  <c r="W9" i="2"/>
  <c r="W159" i="2"/>
  <c r="W44" i="2"/>
  <c r="W45" i="2"/>
  <c r="W58" i="2"/>
  <c r="W30" i="2"/>
  <c r="W100" i="2"/>
  <c r="W67" i="2"/>
  <c r="W134" i="2"/>
  <c r="W137" i="2"/>
  <c r="W184" i="2"/>
  <c r="W114" i="2"/>
  <c r="W79" i="2"/>
  <c r="W101" i="2"/>
  <c r="W91" i="2"/>
  <c r="W129" i="2"/>
  <c r="W68" i="2"/>
  <c r="W151" i="2"/>
  <c r="W6" i="2"/>
  <c r="W20" i="2"/>
  <c r="W126" i="2"/>
  <c r="W54" i="2"/>
  <c r="W123" i="2"/>
  <c r="W180" i="2"/>
  <c r="W32" i="2"/>
  <c r="W130" i="2"/>
  <c r="W173" i="2"/>
  <c r="W145" i="2"/>
  <c r="W34" i="2"/>
  <c r="W39" i="2"/>
  <c r="W53" i="2"/>
  <c r="W172" i="2"/>
  <c r="W14" i="2"/>
  <c r="W35" i="2"/>
  <c r="W133" i="2"/>
  <c r="W51" i="2"/>
  <c r="W72" i="2"/>
  <c r="W198" i="2"/>
  <c r="W152" i="2"/>
  <c r="W50" i="2"/>
  <c r="W19" i="2"/>
  <c r="W102" i="2"/>
  <c r="W69" i="2"/>
  <c r="W153" i="2"/>
  <c r="W120" i="2"/>
  <c r="W15" i="2"/>
  <c r="W12" i="2"/>
  <c r="W108" i="2"/>
  <c r="W192" i="2"/>
  <c r="W131" i="2"/>
  <c r="W5" i="2"/>
  <c r="W138" i="2"/>
  <c r="W55" i="2"/>
  <c r="W149" i="2"/>
  <c r="W59" i="2"/>
  <c r="W199" i="2"/>
  <c r="W66" i="2"/>
  <c r="W111" i="2"/>
  <c r="W48" i="2"/>
  <c r="W144" i="2"/>
  <c r="W174" i="2"/>
  <c r="W112" i="2"/>
  <c r="W143" i="2"/>
  <c r="W31" i="2"/>
  <c r="W73" i="2"/>
  <c r="W56" i="2"/>
  <c r="W179" i="2"/>
  <c r="W95" i="2"/>
  <c r="W188" i="2"/>
  <c r="W64" i="2"/>
  <c r="W37" i="2"/>
  <c r="W27" i="2"/>
  <c r="W49" i="2"/>
  <c r="W165" i="2"/>
  <c r="W88" i="2"/>
  <c r="W7" i="2"/>
  <c r="W97" i="2"/>
  <c r="W46" i="2"/>
  <c r="W29" i="2"/>
  <c r="W148" i="2"/>
  <c r="W2" i="2"/>
  <c r="W177" i="2"/>
  <c r="W183" i="2"/>
  <c r="W93" i="2"/>
  <c r="W80" i="2"/>
  <c r="W135" i="2"/>
  <c r="W155" i="2"/>
  <c r="W42" i="2"/>
  <c r="W83" i="2"/>
  <c r="W81" i="2"/>
  <c r="W22" i="2"/>
  <c r="W98" i="2"/>
  <c r="W132" i="2"/>
  <c r="W175" i="2"/>
  <c r="W166" i="2"/>
  <c r="W158" i="2"/>
  <c r="W96" i="2"/>
  <c r="W141" i="2"/>
  <c r="W171" i="2"/>
  <c r="W21" i="2"/>
  <c r="W176" i="2"/>
  <c r="W62" i="2"/>
  <c r="W90" i="2"/>
  <c r="W99" i="2"/>
  <c r="W150" i="2"/>
  <c r="W86" i="2"/>
  <c r="W103" i="2"/>
  <c r="W105" i="2"/>
  <c r="W113" i="2"/>
  <c r="W156" i="2"/>
  <c r="W41" i="2"/>
  <c r="W92" i="2"/>
  <c r="W119" i="2"/>
  <c r="W16" i="2"/>
  <c r="W82" i="2"/>
  <c r="W38" i="2"/>
  <c r="W139" i="2"/>
  <c r="W25" i="2"/>
  <c r="W191" i="2"/>
  <c r="W160" i="2"/>
  <c r="W8" i="2"/>
  <c r="W163" i="2"/>
  <c r="W121" i="2"/>
  <c r="W23" i="2"/>
  <c r="W65" i="2"/>
  <c r="W196" i="2"/>
  <c r="W70" i="2"/>
  <c r="W4" i="2"/>
  <c r="W142" i="2"/>
  <c r="W193" i="2"/>
  <c r="W116" i="2"/>
  <c r="W40" i="2"/>
  <c r="W117" i="2"/>
  <c r="W18" i="2"/>
  <c r="W185" i="2"/>
  <c r="W122" i="2"/>
  <c r="W87" i="2"/>
  <c r="W26" i="2"/>
  <c r="W84" i="2"/>
  <c r="W170" i="2"/>
  <c r="W178" i="2"/>
  <c r="W161" i="2"/>
  <c r="W181" i="2"/>
  <c r="W57" i="2"/>
  <c r="W36" i="2"/>
  <c r="W128" i="2"/>
  <c r="W190" i="2"/>
  <c r="W154" i="2"/>
  <c r="W187" i="2"/>
  <c r="W109" i="2"/>
  <c r="W189" i="2"/>
  <c r="W60" i="2"/>
  <c r="W11" i="2"/>
  <c r="W124" i="2"/>
  <c r="W47" i="2"/>
  <c r="W28" i="2"/>
  <c r="W182" i="2"/>
  <c r="W61" i="2"/>
  <c r="W63" i="2"/>
  <c r="W52" i="2"/>
  <c r="W110" i="2"/>
  <c r="T52" i="2"/>
  <c r="T63" i="2"/>
  <c r="T61" i="2"/>
  <c r="T182" i="2"/>
  <c r="T28" i="2"/>
  <c r="T78" i="2"/>
  <c r="T77" i="2"/>
  <c r="T76" i="2"/>
  <c r="T75" i="2"/>
  <c r="T74" i="2"/>
  <c r="T147" i="2"/>
  <c r="T146" i="2"/>
  <c r="T107" i="2"/>
  <c r="T106" i="2"/>
  <c r="T201" i="2"/>
  <c r="T200" i="2"/>
  <c r="T30" i="2"/>
  <c r="T58" i="2"/>
  <c r="T45" i="2"/>
  <c r="T44" i="2"/>
  <c r="T159" i="2"/>
  <c r="T9" i="2"/>
  <c r="T10" i="2"/>
  <c r="T24" i="2"/>
  <c r="T13" i="2"/>
  <c r="T125" i="2"/>
  <c r="T157" i="2"/>
  <c r="T43" i="2"/>
  <c r="T47" i="2"/>
  <c r="T124" i="2"/>
  <c r="T11" i="2"/>
  <c r="T60" i="2"/>
  <c r="T189" i="2"/>
  <c r="T109" i="2"/>
  <c r="T187" i="2"/>
  <c r="T154" i="2"/>
  <c r="T190" i="2"/>
  <c r="T128" i="2"/>
  <c r="T36" i="2"/>
  <c r="T57" i="2"/>
  <c r="T181" i="2"/>
  <c r="T161" i="2"/>
  <c r="T178" i="2"/>
  <c r="T170" i="2"/>
  <c r="T84" i="2"/>
  <c r="T26" i="2"/>
  <c r="T87" i="2"/>
  <c r="T122" i="2"/>
  <c r="T185" i="2"/>
  <c r="T18" i="2"/>
  <c r="T117" i="2"/>
  <c r="T40" i="2"/>
  <c r="T116" i="2"/>
  <c r="T193" i="2"/>
  <c r="T142" i="2"/>
  <c r="T4" i="2"/>
  <c r="T70" i="2"/>
  <c r="T196" i="2"/>
  <c r="T65" i="2"/>
  <c r="T23" i="2"/>
  <c r="T121" i="2"/>
  <c r="T163" i="2"/>
  <c r="T8" i="2"/>
  <c r="T160" i="2"/>
  <c r="T191" i="2"/>
  <c r="T25" i="2"/>
  <c r="T139" i="2"/>
  <c r="T38" i="2"/>
  <c r="T82" i="2"/>
  <c r="T16" i="2"/>
  <c r="T119" i="2"/>
  <c r="T92" i="2"/>
  <c r="T41" i="2"/>
  <c r="T156" i="2"/>
  <c r="T113" i="2"/>
  <c r="T105" i="2"/>
  <c r="T103" i="2"/>
  <c r="T86" i="2"/>
  <c r="T150" i="2"/>
  <c r="T99" i="2"/>
  <c r="T90" i="2"/>
  <c r="T62" i="2"/>
  <c r="T176" i="2"/>
  <c r="T21" i="2"/>
  <c r="T171" i="2"/>
  <c r="T141" i="2"/>
  <c r="T96" i="2"/>
  <c r="T158" i="2"/>
  <c r="T166" i="2"/>
  <c r="T175" i="2"/>
  <c r="T132" i="2"/>
  <c r="T98" i="2"/>
  <c r="T22" i="2"/>
  <c r="T81" i="2"/>
  <c r="T83" i="2"/>
  <c r="T42" i="2"/>
  <c r="T155" i="2"/>
  <c r="T135" i="2"/>
  <c r="T80" i="2"/>
  <c r="T93" i="2"/>
  <c r="T183" i="2"/>
  <c r="T177" i="2"/>
  <c r="T2" i="2"/>
  <c r="T148" i="2"/>
  <c r="T29" i="2"/>
  <c r="T46" i="2"/>
  <c r="T97" i="2"/>
  <c r="T7" i="2"/>
  <c r="T88" i="2"/>
  <c r="T165" i="2"/>
  <c r="T49" i="2"/>
  <c r="T27" i="2"/>
  <c r="T37" i="2"/>
  <c r="T64" i="2"/>
  <c r="T188" i="2"/>
  <c r="T95" i="2"/>
  <c r="T179" i="2"/>
  <c r="T56" i="2"/>
  <c r="T73" i="2"/>
  <c r="T31" i="2"/>
  <c r="T143" i="2"/>
  <c r="T112" i="2"/>
  <c r="T174" i="2"/>
  <c r="T144" i="2"/>
  <c r="T48" i="2"/>
  <c r="T111" i="2"/>
  <c r="T66" i="2"/>
  <c r="T199" i="2"/>
  <c r="T59" i="2"/>
  <c r="T149" i="2"/>
  <c r="T55" i="2"/>
  <c r="T138" i="2"/>
  <c r="T5" i="2"/>
  <c r="T131" i="2"/>
  <c r="T192" i="2"/>
  <c r="T108" i="2"/>
  <c r="T12" i="2"/>
  <c r="T15" i="2"/>
  <c r="T120" i="2"/>
  <c r="T153" i="2"/>
  <c r="T69" i="2"/>
  <c r="T102" i="2"/>
  <c r="T19" i="2"/>
  <c r="T50" i="2"/>
  <c r="T152" i="2"/>
  <c r="T198" i="2"/>
  <c r="T72" i="2"/>
  <c r="T51" i="2"/>
  <c r="T133" i="2"/>
  <c r="T35" i="2"/>
  <c r="T14" i="2"/>
  <c r="T172" i="2"/>
  <c r="T53" i="2"/>
  <c r="T39" i="2"/>
  <c r="T34" i="2"/>
  <c r="T145" i="2"/>
  <c r="T173" i="2"/>
  <c r="T130" i="2"/>
  <c r="T32" i="2"/>
  <c r="T180" i="2"/>
  <c r="T123" i="2"/>
  <c r="T54" i="2"/>
  <c r="T126" i="2"/>
  <c r="T20" i="2"/>
  <c r="T6" i="2"/>
  <c r="T151" i="2"/>
  <c r="T68" i="2"/>
  <c r="T129" i="2"/>
  <c r="T91" i="2"/>
  <c r="T101" i="2"/>
  <c r="T79" i="2"/>
  <c r="T114" i="2"/>
  <c r="T184" i="2"/>
  <c r="T137" i="2"/>
  <c r="T134" i="2"/>
  <c r="T67" i="2"/>
  <c r="T100" i="2"/>
  <c r="T197" i="2"/>
  <c r="T162" i="2"/>
  <c r="T71" i="2"/>
  <c r="T127" i="2"/>
  <c r="T3" i="2"/>
  <c r="T164" i="2"/>
  <c r="T194" i="2"/>
  <c r="T118" i="2"/>
  <c r="T115" i="2"/>
  <c r="T169" i="2"/>
  <c r="T94" i="2"/>
  <c r="T89" i="2"/>
  <c r="T17" i="2"/>
  <c r="T195" i="2"/>
  <c r="T33" i="2"/>
  <c r="T140" i="2"/>
  <c r="T167" i="2"/>
  <c r="T85" i="2"/>
  <c r="T168" i="2"/>
  <c r="T136" i="2"/>
  <c r="T104" i="2"/>
  <c r="T186" i="2"/>
  <c r="T110" i="2"/>
  <c r="Q136" i="2"/>
  <c r="R110" i="2"/>
</calcChain>
</file>

<file path=xl/sharedStrings.xml><?xml version="1.0" encoding="utf-8"?>
<sst xmlns="http://schemas.openxmlformats.org/spreadsheetml/2006/main" count="8577" uniqueCount="869">
  <si>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</si>
  <si>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</si>
  <si>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</si>
  <si>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</si>
  <si>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</si>
  <si>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</si>
  <si>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</si>
  <si>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</si>
  <si>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</si>
  <si>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</si>
  <si>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</si>
  <si>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</si>
  <si>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</si>
  <si>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</si>
  <si>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</si>
  <si>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</si>
  <si>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</si>
  <si>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</si>
  <si>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</si>
  <si>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</si>
  <si>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</si>
  <si>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</si>
  <si>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</si>
  <si>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</si>
  <si>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</si>
  <si>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</si>
  <si>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</si>
  <si>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</si>
  <si>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</si>
  <si>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</si>
  <si>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</si>
  <si>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</si>
  <si>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</si>
  <si>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</si>
  <si>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</si>
  <si>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</si>
  <si>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</si>
  <si>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</si>
  <si>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</si>
  <si>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</si>
  <si>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</si>
  <si>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</si>
  <si>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</si>
  <si>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JOHN LARRY N</t>
  </si>
  <si>
    <t>00020805683K</t>
  </si>
  <si>
    <t>3FC8P47DQ32</t>
  </si>
  <si>
    <t/>
  </si>
  <si>
    <t>MA</t>
  </si>
  <si>
    <t>LV</t>
  </si>
  <si>
    <t>JUL</t>
  </si>
  <si>
    <t>F</t>
  </si>
  <si>
    <t>MEDICARE</t>
  </si>
  <si>
    <t>MEP</t>
  </si>
  <si>
    <t>MEDICARE 2ND HALF FIRST YEAR COMM</t>
  </si>
  <si>
    <t>MED2</t>
  </si>
  <si>
    <t>H5216</t>
  </si>
  <si>
    <t>FIRST YEAR COMMISSIONS</t>
  </si>
  <si>
    <t>ARCF</t>
  </si>
  <si>
    <t>CARVALHO DONARIA M</t>
  </si>
  <si>
    <t>00022517390K</t>
  </si>
  <si>
    <t>OCT</t>
  </si>
  <si>
    <t>R</t>
  </si>
  <si>
    <t>MER</t>
  </si>
  <si>
    <t>RENEWAL COMMISSIONS</t>
  </si>
  <si>
    <t>ARCM</t>
  </si>
  <si>
    <t>H1036</t>
  </si>
  <si>
    <t>DAVIS MONA J</t>
  </si>
  <si>
    <t>00023791480K</t>
  </si>
  <si>
    <t>8Y49X44JH19</t>
  </si>
  <si>
    <t>NOV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</si>
  <si>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</si>
  <si>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</si>
  <si>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</si>
  <si>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</si>
  <si>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</si>
  <si>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</si>
  <si>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</si>
  <si>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PAVLOVIC DRAGISA</t>
  </si>
  <si>
    <t>00022107554K</t>
  </si>
  <si>
    <t>MANESS PAMELA F</t>
  </si>
  <si>
    <t>00023785729K</t>
  </si>
  <si>
    <t>2QN3YQ1WM88</t>
  </si>
  <si>
    <t>CHOI ANDREW J</t>
  </si>
  <si>
    <t>MCGARY JOHN G</t>
  </si>
  <si>
    <t>00022193283K</t>
  </si>
  <si>
    <t>EATON KENNETH</t>
  </si>
  <si>
    <t>00023788633K</t>
  </si>
  <si>
    <t>4GV7J60PW32</t>
  </si>
  <si>
    <t>DEC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</si>
  <si>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</si>
  <si>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</si>
  <si>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</si>
  <si>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</si>
  <si>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</si>
  <si>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</si>
  <si>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</si>
  <si>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</si>
  <si>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</si>
  <si>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</si>
  <si>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</si>
  <si>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</si>
  <si>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</si>
  <si>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</si>
  <si>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</si>
  <si>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</si>
  <si>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</si>
  <si>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</si>
  <si>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</si>
  <si>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</si>
  <si>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</si>
  <si>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</si>
  <si>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</si>
  <si>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</si>
  <si>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</si>
  <si>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</si>
  <si>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</si>
  <si>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</si>
  <si>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</si>
  <si>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</si>
  <si>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</si>
  <si>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</si>
  <si>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</si>
  <si>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</si>
  <si>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</si>
  <si>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</si>
  <si>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</si>
  <si>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</si>
  <si>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</si>
  <si>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</si>
  <si>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</si>
  <si>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</si>
  <si>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</si>
  <si>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</si>
  <si>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</si>
  <si>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</si>
  <si>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</si>
  <si>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</si>
  <si>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</si>
  <si>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</si>
  <si>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</si>
  <si>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</si>
  <si>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</si>
  <si>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</si>
  <si>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</si>
  <si>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</si>
  <si>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</si>
  <si>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</si>
  <si>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</si>
  <si>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</si>
  <si>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</si>
  <si>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</si>
  <si>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</si>
  <si>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</si>
  <si>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</si>
  <si>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</si>
  <si>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</si>
  <si>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</si>
  <si>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</si>
  <si>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</si>
  <si>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</si>
  <si>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</si>
  <si>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</si>
  <si>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</si>
  <si>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</si>
  <si>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</si>
  <si>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</si>
  <si>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</si>
  <si>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</si>
  <si>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</si>
  <si>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</si>
  <si>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</si>
  <si>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</si>
  <si>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</si>
  <si>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</si>
  <si>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</si>
  <si>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</si>
  <si>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</si>
  <si>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</si>
  <si>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</si>
  <si>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</si>
  <si>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</si>
  <si>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</si>
  <si>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RODGERS LORI L</t>
  </si>
  <si>
    <t>00022078841K</t>
  </si>
  <si>
    <t>RATHGEB THEROLD J</t>
  </si>
  <si>
    <t>00022351069K</t>
  </si>
  <si>
    <t>HOEKS LINDA L</t>
  </si>
  <si>
    <t>00022602838K</t>
  </si>
  <si>
    <t>HUNSBERGER ANTHONY J</t>
  </si>
  <si>
    <t>WALTHERS GERRI F</t>
  </si>
  <si>
    <t>00010066661K</t>
  </si>
  <si>
    <t>COHEN TODD R</t>
  </si>
  <si>
    <t>00021876313K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</si>
  <si>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</si>
  <si>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</si>
  <si>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</si>
  <si>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</si>
  <si>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</si>
  <si>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</si>
  <si>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</si>
  <si>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</si>
  <si>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</si>
  <si>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</si>
  <si>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</si>
  <si>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</si>
  <si>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</si>
  <si>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</si>
  <si>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</si>
  <si>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</si>
  <si>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</si>
  <si>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</si>
  <si>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</si>
  <si>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</si>
  <si>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</si>
  <si>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</si>
  <si>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ESCHENBACHER MARK P</t>
  </si>
  <si>
    <t>00023790680K</t>
  </si>
  <si>
    <t>3PT2Q30DU90</t>
  </si>
  <si>
    <t>GUILLEN ALEXANDER C</t>
  </si>
  <si>
    <t>00023798741K</t>
  </si>
  <si>
    <t>5UV4C32AP86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</si>
  <si>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</si>
  <si>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</si>
  <si>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</si>
  <si>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</si>
  <si>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</si>
  <si>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</si>
  <si>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</si>
  <si>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</si>
  <si>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</si>
  <si>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</si>
  <si>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</si>
  <si>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</si>
  <si>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</si>
  <si>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</si>
  <si>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</si>
  <si>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</si>
  <si>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</si>
  <si>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</si>
  <si>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</si>
  <si>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LARSEN STEVEN</t>
  </si>
  <si>
    <t>00023790920K</t>
  </si>
  <si>
    <t>5F20QY4TD13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</si>
  <si>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</si>
  <si>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</si>
  <si>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</si>
  <si>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</si>
  <si>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</si>
  <si>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</si>
  <si>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</si>
  <si>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</si>
  <si>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</si>
  <si>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</si>
  <si>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</si>
  <si>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</si>
  <si>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</si>
  <si>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</si>
  <si>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</si>
  <si>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</si>
  <si>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</si>
  <si>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3MV1WU2CT38</t>
  </si>
  <si>
    <t>YALE RICHARD A A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</si>
  <si>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</si>
  <si>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</si>
  <si>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</si>
  <si>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</si>
  <si>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</si>
  <si>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</si>
  <si>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</si>
  <si>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</si>
  <si>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</si>
  <si>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</si>
  <si>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</si>
  <si>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</si>
  <si>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WILLIAMS TAMMY A</t>
  </si>
  <si>
    <t>00023449614K</t>
  </si>
  <si>
    <t>6F35VM1XG57</t>
  </si>
  <si>
    <t>RICHTER PETER L</t>
  </si>
  <si>
    <t>PRYCE DIANA V</t>
  </si>
  <si>
    <t>00020589444K</t>
  </si>
  <si>
    <t>GESKE HEATHER M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</si>
  <si>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</si>
  <si>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</si>
  <si>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</si>
  <si>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</si>
  <si>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</si>
  <si>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</si>
  <si>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</si>
  <si>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</si>
  <si>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</si>
  <si>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</si>
  <si>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</si>
  <si>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</si>
  <si>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</si>
  <si>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</si>
  <si>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</si>
  <si>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</si>
  <si>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</si>
  <si>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</si>
  <si>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</si>
  <si>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</si>
  <si>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</si>
  <si>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</si>
  <si>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</si>
  <si>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</si>
  <si>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</si>
  <si>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</si>
  <si>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</si>
  <si>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</si>
  <si>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</si>
  <si>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</si>
  <si>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</si>
  <si>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FOLEY CAROL</t>
  </si>
  <si>
    <t>ICENROAD JR CLIFTON C</t>
  </si>
  <si>
    <t>00021695147K</t>
  </si>
  <si>
    <t>2V22GP8WE24</t>
  </si>
  <si>
    <t>ORLANDO RICKY R</t>
  </si>
  <si>
    <t>00022112017K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</si>
  <si>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</si>
  <si>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</si>
  <si>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</si>
  <si>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</si>
  <si>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</si>
  <si>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</si>
  <si>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</si>
  <si>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</si>
  <si>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</si>
  <si>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</si>
  <si>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</si>
  <si>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</si>
  <si>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</si>
  <si>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</si>
  <si>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</si>
  <si>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</si>
  <si>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</si>
  <si>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</si>
  <si>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</si>
  <si>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</si>
  <si>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</si>
  <si>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</si>
  <si>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</si>
  <si>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</si>
  <si>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</si>
  <si>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</si>
  <si>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</si>
  <si>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</si>
  <si>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</si>
  <si>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</si>
  <si>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</si>
  <si>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</si>
  <si>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</si>
  <si>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</si>
  <si>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</si>
  <si>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</si>
  <si>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</si>
  <si>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</si>
  <si>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</si>
  <si>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WILSON JUAN A</t>
  </si>
  <si>
    <t>00022646876K</t>
  </si>
  <si>
    <t>JOHNSON ERIK T</t>
  </si>
  <si>
    <t>00023795390K</t>
  </si>
  <si>
    <t>3QM7Q73DH54</t>
  </si>
  <si>
    <t>PDP</t>
  </si>
  <si>
    <t>S5884</t>
  </si>
  <si>
    <t>LONG PATRICIA M</t>
  </si>
  <si>
    <t>DAVIDHEISER GEORGINE</t>
  </si>
  <si>
    <t>00000854688H</t>
  </si>
  <si>
    <t>MEF</t>
  </si>
  <si>
    <t>H8145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</si>
  <si>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</si>
  <si>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</si>
  <si>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</si>
  <si>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</si>
  <si>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</si>
  <si>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</si>
  <si>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</si>
  <si>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</si>
  <si>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</si>
  <si>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</si>
  <si>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</si>
  <si>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</si>
  <si>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</si>
  <si>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</si>
  <si>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</si>
  <si>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</si>
  <si>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KATCHMAR ERIC P</t>
  </si>
  <si>
    <t>00023791377K</t>
  </si>
  <si>
    <t>7VM2JU7AM97</t>
  </si>
  <si>
    <t>ABDUL SAADIA S</t>
  </si>
  <si>
    <t>MOHIUDDIN KHAIRUNNISA A</t>
  </si>
  <si>
    <t>00011519472K</t>
  </si>
  <si>
    <t>AKRAM FARZANA</t>
  </si>
  <si>
    <t>00022063091K</t>
  </si>
  <si>
    <t>VAN HORN KATHY S</t>
  </si>
  <si>
    <t>00022386017K</t>
  </si>
  <si>
    <t>LUPOU MARY M</t>
  </si>
  <si>
    <t>00022627896K</t>
  </si>
  <si>
    <t>BOVY MARYJO</t>
  </si>
  <si>
    <t>00023793753K</t>
  </si>
  <si>
    <t>7QA2XJ6UW96</t>
  </si>
  <si>
    <t>STREJC SUSAN M</t>
  </si>
  <si>
    <t>00023797476K</t>
  </si>
  <si>
    <t>8A84TD0QX75</t>
  </si>
  <si>
    <t>STREJC LEONARD P</t>
  </si>
  <si>
    <t>00023797477K</t>
  </si>
  <si>
    <t>5W06HN9ER52</t>
  </si>
  <si>
    <t>HOWE GRETCHEN</t>
  </si>
  <si>
    <t>00023798959K</t>
  </si>
  <si>
    <t>8DF7U08HN33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</si>
  <si>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</si>
  <si>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</si>
  <si>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</si>
  <si>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</si>
  <si>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</si>
  <si>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</si>
  <si>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</si>
  <si>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</si>
  <si>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</si>
  <si>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</si>
  <si>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</si>
  <si>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</si>
  <si>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</si>
  <si>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</si>
  <si>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</si>
  <si>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</si>
  <si>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</si>
  <si>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</si>
  <si>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</si>
  <si>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</si>
  <si>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</si>
  <si>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</si>
  <si>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</si>
  <si>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</si>
  <si>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</si>
  <si>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</si>
  <si>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</si>
  <si>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</si>
  <si>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</si>
  <si>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</si>
  <si>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</si>
  <si>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</si>
  <si>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</si>
  <si>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</si>
  <si>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</si>
  <si>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</si>
  <si>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</si>
  <si>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</si>
  <si>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</si>
  <si>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</si>
  <si>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</si>
  <si>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</si>
  <si>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</si>
  <si>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BRANDT STEVEN K</t>
  </si>
  <si>
    <t>SANDRIDGE CHERYL J</t>
  </si>
  <si>
    <t>00023799798K</t>
  </si>
  <si>
    <t>1DY3J96AY77</t>
  </si>
  <si>
    <t>SANDRIDGE STEVEN E</t>
  </si>
  <si>
    <t>00023800613K</t>
  </si>
  <si>
    <t>6E47NN3CH79</t>
  </si>
  <si>
    <t>PORTUGAL STACEY A</t>
  </si>
  <si>
    <t>DRAGONETTI TERESA E</t>
  </si>
  <si>
    <t>00021948322K</t>
  </si>
  <si>
    <t>JACKSON EUGENE A</t>
  </si>
  <si>
    <t>00022256745K</t>
  </si>
  <si>
    <t>SERIO TOM E</t>
  </si>
  <si>
    <t>SCHABER CAROL</t>
  </si>
  <si>
    <t>00000076874F</t>
  </si>
  <si>
    <t>AGUGLIA SCOTT C</t>
  </si>
  <si>
    <t>MCBRIDE JAMES O</t>
  </si>
  <si>
    <t>00021023598K</t>
  </si>
  <si>
    <t>STROHMAN BRIAN C</t>
  </si>
  <si>
    <t>WILLIAMS DONNA</t>
  </si>
  <si>
    <t>00023792365K</t>
  </si>
  <si>
    <t>3EU8P07VY33</t>
  </si>
  <si>
    <t>NEVAREZ ANTONIA</t>
  </si>
  <si>
    <t>PLICHOWSKI EUGENE J</t>
  </si>
  <si>
    <t>00023798933K</t>
  </si>
  <si>
    <t>3VP5D48VR53</t>
  </si>
  <si>
    <t>DEATON PAMELA S</t>
  </si>
  <si>
    <t>Patton Andrew</t>
  </si>
  <si>
    <t>9028352660</t>
  </si>
  <si>
    <t>IN</t>
  </si>
  <si>
    <t>CB</t>
  </si>
  <si>
    <t>VISION</t>
  </si>
  <si>
    <t>COMPBENEFITS RENEWAL COMMISSION</t>
  </si>
  <si>
    <t>CRCM</t>
  </si>
  <si>
    <t>Durham Cathy</t>
  </si>
  <si>
    <t>9031285640</t>
  </si>
  <si>
    <t>DENTAL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</si>
  <si>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</si>
  <si>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</si>
  <si>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</si>
  <si>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</si>
  <si>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</si>
  <si>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</si>
  <si>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</si>
  <si>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LEE JOEL N</t>
  </si>
  <si>
    <t>WORLDWIDE SOURCING AND SO</t>
  </si>
  <si>
    <t>000000853911</t>
  </si>
  <si>
    <t>Kisner Amy S</t>
  </si>
  <si>
    <t>9007573590</t>
  </si>
  <si>
    <t>Holmes Chole</t>
  </si>
  <si>
    <t>9031030720</t>
  </si>
  <si>
    <t>GREGORY AUTO GROUP ASM</t>
  </si>
  <si>
    <t>000000419885</t>
  </si>
  <si>
    <t>SEP</t>
  </si>
  <si>
    <t>AUG</t>
  </si>
  <si>
    <t>LUNDVALL DESIREE D</t>
  </si>
  <si>
    <t>00001056213A</t>
  </si>
  <si>
    <t>MS</t>
  </si>
  <si>
    <t>MED SUPP ANNUALIZED STANDARD</t>
  </si>
  <si>
    <t>MSAS</t>
  </si>
  <si>
    <t>GREGG ANTOINETTE L</t>
  </si>
  <si>
    <t>00001057203A</t>
  </si>
  <si>
    <t>MED SUPP ANNUALIZED ACHIEVE</t>
  </si>
  <si>
    <t>MSAA</t>
  </si>
  <si>
    <t>Casella Penelope A</t>
  </si>
  <si>
    <t>9030804870</t>
  </si>
  <si>
    <t>MENICK PAULETTE M</t>
  </si>
  <si>
    <t>00001056730A</t>
  </si>
  <si>
    <t>MCCORKLE MICHELLE</t>
  </si>
  <si>
    <t>Sloan Edward</t>
  </si>
  <si>
    <t>9031265700</t>
  </si>
  <si>
    <t>NC CAPITAL PARTERS LLC</t>
  </si>
  <si>
    <t>000000413180</t>
  </si>
  <si>
    <t>BASIC LIFE</t>
  </si>
  <si>
    <t>BASIC AD&amp;D</t>
  </si>
  <si>
    <t>KOZACHECK ANNE MARIE</t>
  </si>
  <si>
    <t>Swasey Devon</t>
  </si>
  <si>
    <t>9031083070</t>
  </si>
  <si>
    <t>9031083620</t>
  </si>
  <si>
    <t>ROCCIA MARK</t>
  </si>
  <si>
    <t>ZITIN MARC A</t>
  </si>
  <si>
    <t>00001027958A</t>
  </si>
  <si>
    <t>Humana Dental &amp; Vision</t>
  </si>
  <si>
    <t>Humana Group 2025</t>
  </si>
  <si>
    <t>Humana PDP 2025!</t>
  </si>
  <si>
    <t>Humana MAPD 2025*</t>
  </si>
  <si>
    <t>Humana 2025</t>
  </si>
  <si>
    <t>[%/$=626][prorate=7/12]</t>
  </si>
  <si>
    <t>[%/$=313][prorate=2/12]</t>
  </si>
  <si>
    <t>[%/$=313][prorate=1/12]</t>
  </si>
  <si>
    <t>Humana 2025 CT, PA, DC *</t>
  </si>
  <si>
    <t>[%/$=353][prorate=1/12]</t>
  </si>
  <si>
    <t>Humana 2025 CA, NJ*</t>
  </si>
  <si>
    <t>[%/$=390][prorate=1/12]</t>
  </si>
  <si>
    <t>Humana 65-80 AL, AZ, AR, GA, etc. All Except N OE &amp; UW</t>
  </si>
  <si>
    <t>Humana AL, AZ, AR, GA, etc. Plan N OE &amp; UW</t>
  </si>
  <si>
    <t>17528908N</t>
  </si>
  <si>
    <t>18710070N</t>
  </si>
  <si>
    <t>JOHN</t>
  </si>
  <si>
    <t>LARRY</t>
  </si>
  <si>
    <t>WILLIAMS</t>
  </si>
  <si>
    <t>TAMMY</t>
  </si>
  <si>
    <t>MOHIUDDIN</t>
  </si>
  <si>
    <t>KHAIRUNNISA</t>
  </si>
  <si>
    <t>BENTLEY</t>
  </si>
  <si>
    <t>MARYCLARE</t>
  </si>
  <si>
    <t>ROBERT</t>
  </si>
  <si>
    <t>MCBRIDE</t>
  </si>
  <si>
    <t>JAMES</t>
  </si>
  <si>
    <t>ORLANDO</t>
  </si>
  <si>
    <t>RICKY</t>
  </si>
  <si>
    <t>MCKENNA</t>
  </si>
  <si>
    <t>MICHAEL</t>
  </si>
  <si>
    <t>HAUGH</t>
  </si>
  <si>
    <t>CLAIRE</t>
  </si>
  <si>
    <t>TAYLOR</t>
  </si>
  <si>
    <t>THOMAS</t>
  </si>
  <si>
    <t>LUNDY</t>
  </si>
  <si>
    <t>BERNIDETTA</t>
  </si>
  <si>
    <t>MONACELLI</t>
  </si>
  <si>
    <t>JOCELYN</t>
  </si>
  <si>
    <t>SABOL</t>
  </si>
  <si>
    <t>JOSEPH</t>
  </si>
  <si>
    <t>CLARK</t>
  </si>
  <si>
    <t>BROOKS</t>
  </si>
  <si>
    <t>LINDA</t>
  </si>
  <si>
    <t>BASHLINE</t>
  </si>
  <si>
    <t>NACHREINER</t>
  </si>
  <si>
    <t>RICHARD</t>
  </si>
  <si>
    <t>BLACK</t>
  </si>
  <si>
    <t>ALAN</t>
  </si>
  <si>
    <t>MARGARET</t>
  </si>
  <si>
    <t>DAVIDHEISER</t>
  </si>
  <si>
    <t>GEORGINE</t>
  </si>
  <si>
    <t>HOCK</t>
  </si>
  <si>
    <t>RAYMOND</t>
  </si>
  <si>
    <t>POOLE</t>
  </si>
  <si>
    <t>TINA</t>
  </si>
  <si>
    <t>LUNDVALL</t>
  </si>
  <si>
    <t>DESIREE</t>
  </si>
  <si>
    <t>MENICK</t>
  </si>
  <si>
    <t>PAULETTE</t>
  </si>
  <si>
    <t>ZITIN</t>
  </si>
  <si>
    <t>MARC</t>
  </si>
  <si>
    <t>GREGG</t>
  </si>
  <si>
    <t>ANTOINETTE</t>
  </si>
  <si>
    <t>Durham</t>
  </si>
  <si>
    <t>Cathy</t>
  </si>
  <si>
    <t>Patton</t>
  </si>
  <si>
    <t>Andrew</t>
  </si>
  <si>
    <t>Kisner</t>
  </si>
  <si>
    <t>Amy</t>
  </si>
  <si>
    <t>Casella</t>
  </si>
  <si>
    <t>Penelope</t>
  </si>
  <si>
    <t>Swasey</t>
  </si>
  <si>
    <t>Devon</t>
  </si>
  <si>
    <t>Sloan</t>
  </si>
  <si>
    <t>Edward</t>
  </si>
  <si>
    <t>Holmes</t>
  </si>
  <si>
    <t>Chole</t>
  </si>
  <si>
    <t>WORLDWIDE</t>
  </si>
  <si>
    <t>SOURCING</t>
  </si>
  <si>
    <t>AND</t>
  </si>
  <si>
    <t>KOGUT</t>
  </si>
  <si>
    <t>WILSON</t>
  </si>
  <si>
    <t>NC</t>
  </si>
  <si>
    <t>CAPITAL</t>
  </si>
  <si>
    <t>GREGORY</t>
  </si>
  <si>
    <t>AUTO</t>
  </si>
  <si>
    <t>KATHY</t>
  </si>
  <si>
    <t>AKRAM</t>
  </si>
  <si>
    <t>FARZANA</t>
  </si>
  <si>
    <t>LUPOU</t>
  </si>
  <si>
    <t>MARY</t>
  </si>
  <si>
    <t>BOVY</t>
  </si>
  <si>
    <t>MARYJO</t>
  </si>
  <si>
    <t>STREJC</t>
  </si>
  <si>
    <t>SUSAN</t>
  </si>
  <si>
    <t>LEONARD</t>
  </si>
  <si>
    <t>HOWE</t>
  </si>
  <si>
    <t>GRETCHEN</t>
  </si>
  <si>
    <t>EATON</t>
  </si>
  <si>
    <t>KENNETH</t>
  </si>
  <si>
    <t>MCGARY</t>
  </si>
  <si>
    <t>MARIANNE</t>
  </si>
  <si>
    <t>SCARDINA</t>
  </si>
  <si>
    <t>FRANK</t>
  </si>
  <si>
    <t>MCGRAIL</t>
  </si>
  <si>
    <t>PATRICIA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</si>
  <si>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</si>
  <si>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</si>
  <si>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</si>
  <si>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</si>
  <si>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</si>
  <si>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</si>
  <si>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</si>
  <si>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</si>
  <si>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</si>
  <si>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</si>
  <si>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CONNOR</t>
  </si>
  <si>
    <t>STEVEN</t>
  </si>
  <si>
    <t>CHUBICK</t>
  </si>
  <si>
    <t>CHRISTY</t>
  </si>
  <si>
    <t>SCHUMM</t>
  </si>
  <si>
    <t>MARILYN</t>
  </si>
  <si>
    <t>SCHEIDENHELM</t>
  </si>
  <si>
    <t>SANDRA</t>
  </si>
  <si>
    <t>LOREY</t>
  </si>
  <si>
    <t>MONICA</t>
  </si>
  <si>
    <t>ICENROAD</t>
  </si>
  <si>
    <t>CLIFTON</t>
  </si>
  <si>
    <t>SHEDD</t>
  </si>
  <si>
    <t>DEBBY</t>
  </si>
  <si>
    <t>HAMILTON</t>
  </si>
  <si>
    <t>DONNIE</t>
  </si>
  <si>
    <t>TORRES</t>
  </si>
  <si>
    <t>RUBEN</t>
  </si>
  <si>
    <t>SANCHEZ</t>
  </si>
  <si>
    <t>ANTONIO</t>
  </si>
  <si>
    <t>COSTA</t>
  </si>
  <si>
    <t>DANIEL</t>
  </si>
  <si>
    <t>GIOVINCO</t>
  </si>
  <si>
    <t>DRUCKER</t>
  </si>
  <si>
    <t>DONNA</t>
  </si>
  <si>
    <t>WALTHERS</t>
  </si>
  <si>
    <t>GERRI</t>
  </si>
  <si>
    <t>COHEN</t>
  </si>
  <si>
    <t>TODD</t>
  </si>
  <si>
    <t>JOCHUM</t>
  </si>
  <si>
    <t>PATRICK</t>
  </si>
  <si>
    <t>CHILDS</t>
  </si>
  <si>
    <t>REIMANN</t>
  </si>
  <si>
    <t>BRENDA</t>
  </si>
  <si>
    <t>WONG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</si>
  <si>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</si>
  <si>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</si>
  <si>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</si>
  <si>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</si>
  <si>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</si>
  <si>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</si>
  <si>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</si>
  <si>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</si>
  <si>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</si>
  <si>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DOLPH</t>
  </si>
  <si>
    <t>KRISTY</t>
  </si>
  <si>
    <t>ROSS</t>
  </si>
  <si>
    <t>TERRY</t>
  </si>
  <si>
    <t>ESCHENBACHER</t>
  </si>
  <si>
    <t>MARK</t>
  </si>
  <si>
    <t>GUILLEN</t>
  </si>
  <si>
    <t>ENWIA</t>
  </si>
  <si>
    <t>MAURICE</t>
  </si>
  <si>
    <t>PAVLOVIC</t>
  </si>
  <si>
    <t>DRAGISA</t>
  </si>
  <si>
    <t>MANESS</t>
  </si>
  <si>
    <t>PAMELA</t>
  </si>
  <si>
    <t>REED</t>
  </si>
  <si>
    <t>EILEEN</t>
  </si>
  <si>
    <t>BROWN</t>
  </si>
  <si>
    <t>TRACEY</t>
  </si>
  <si>
    <t>PLICHOWSKI</t>
  </si>
  <si>
    <t>EUGENE</t>
  </si>
  <si>
    <t>CARVALHO</t>
  </si>
  <si>
    <t>DONARIA</t>
  </si>
  <si>
    <t>DAVIS</t>
  </si>
  <si>
    <t>MONA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</si>
  <si>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</si>
  <si>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</si>
  <si>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</si>
  <si>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</si>
  <si>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</si>
  <si>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</si>
  <si>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</si>
  <si>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</si>
  <si>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</si>
  <si>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</si>
  <si>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</si>
  <si>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</si>
  <si>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</si>
  <si>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JUAN</t>
  </si>
  <si>
    <t>DRAGONETTI</t>
  </si>
  <si>
    <t>TERESA</t>
  </si>
  <si>
    <t>JACKSON</t>
  </si>
  <si>
    <t>ROCCIO</t>
  </si>
  <si>
    <t>DAVID</t>
  </si>
  <si>
    <t>FERRELL</t>
  </si>
  <si>
    <t>CHARLOTTE</t>
  </si>
  <si>
    <t>CHASE</t>
  </si>
  <si>
    <t>WINKLER</t>
  </si>
  <si>
    <t>TERESZCUK</t>
  </si>
  <si>
    <t>JOANNE</t>
  </si>
  <si>
    <t>KLAUZA</t>
  </si>
  <si>
    <t>ALICE</t>
  </si>
  <si>
    <t>WILKE</t>
  </si>
  <si>
    <t>JUDY</t>
  </si>
  <si>
    <t>PRYCE</t>
  </si>
  <si>
    <t>DIANA</t>
  </si>
  <si>
    <t>ANTCZAK</t>
  </si>
  <si>
    <t>CHESTER</t>
  </si>
  <si>
    <t>SILVA</t>
  </si>
  <si>
    <t>NICOMEDES</t>
  </si>
  <si>
    <t>ADELAIDA</t>
  </si>
  <si>
    <t>SHAHRUKH</t>
  </si>
  <si>
    <t>SHAZIA</t>
  </si>
  <si>
    <t>MADETE</t>
  </si>
  <si>
    <t>SMITH</t>
  </si>
  <si>
    <t>ASEGA</t>
  </si>
  <si>
    <t>HENRY</t>
  </si>
  <si>
    <t>PAUL</t>
  </si>
  <si>
    <t>BORASH</t>
  </si>
  <si>
    <t>SIMS</t>
  </si>
  <si>
    <t>DEBRA</t>
  </si>
  <si>
    <t>HARBACEK</t>
  </si>
  <si>
    <t>BECKWITH</t>
  </si>
  <si>
    <t>SCHABER</t>
  </si>
  <si>
    <t>CAROL</t>
  </si>
  <si>
    <t>YOSHIKAWA</t>
  </si>
  <si>
    <t>KAREN</t>
  </si>
  <si>
    <t>WEBSTER</t>
  </si>
  <si>
    <t>MARSHA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</si>
  <si>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</si>
  <si>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</si>
  <si>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</si>
  <si>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</si>
  <si>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</si>
  <si>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</si>
  <si>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</si>
  <si>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</si>
  <si>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</si>
  <si>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TREW</t>
  </si>
  <si>
    <t>ROBIN</t>
  </si>
  <si>
    <t>JOHNSON</t>
  </si>
  <si>
    <t>CALVIN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</si>
  <si>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</si>
  <si>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</si>
  <si>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</si>
  <si>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</si>
  <si>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</si>
  <si>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</si>
  <si>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</si>
  <si>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</si>
  <si>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KALCSICS</t>
  </si>
  <si>
    <t>JANET</t>
  </si>
  <si>
    <t>BAILEY</t>
  </si>
  <si>
    <t>KEVIN</t>
  </si>
  <si>
    <t>HATFIELD</t>
  </si>
  <si>
    <t>KIM</t>
  </si>
  <si>
    <t>LAWRENCE</t>
  </si>
  <si>
    <t>HOWARD</t>
  </si>
  <si>
    <t>COLSON</t>
  </si>
  <si>
    <t>BARBARA</t>
  </si>
  <si>
    <t>TURNER</t>
  </si>
  <si>
    <t>HEIN</t>
  </si>
  <si>
    <t>MCVICKER</t>
  </si>
  <si>
    <t>CATHY</t>
  </si>
  <si>
    <t>WENINEGAR</t>
  </si>
  <si>
    <t>TERRI</t>
  </si>
  <si>
    <t>ORTIZ</t>
  </si>
  <si>
    <t>PRISCILLA</t>
  </si>
  <si>
    <t>NASIFE</t>
  </si>
  <si>
    <t>HUMPHRIES</t>
  </si>
  <si>
    <t>LONNIE</t>
  </si>
  <si>
    <t>LAUDERDALE</t>
  </si>
  <si>
    <t>CATHERINE</t>
  </si>
  <si>
    <t>PAYNE</t>
  </si>
  <si>
    <t>HATMAKER</t>
  </si>
  <si>
    <t>TIMOTHY</t>
  </si>
  <si>
    <t>BAKKER</t>
  </si>
  <si>
    <t>GAY</t>
  </si>
  <si>
    <t>YAKULIS</t>
  </si>
  <si>
    <t>ALEX</t>
  </si>
  <si>
    <t>FOLLANSBEE</t>
  </si>
  <si>
    <t>MIKE</t>
  </si>
  <si>
    <t>RATHGEB</t>
  </si>
  <si>
    <t>THEROLD</t>
  </si>
  <si>
    <t>HOEKS</t>
  </si>
  <si>
    <t>HAUFF</t>
  </si>
  <si>
    <t>MORAN</t>
  </si>
  <si>
    <t>MOONEY</t>
  </si>
  <si>
    <t>BONNIE</t>
  </si>
  <si>
    <t>FRIESE</t>
  </si>
  <si>
    <t>SUZI</t>
  </si>
  <si>
    <t>RODGERS</t>
  </si>
  <si>
    <t>LORI</t>
  </si>
  <si>
    <t>KINKAID</t>
  </si>
  <si>
    <t>JEFFREY</t>
  </si>
  <si>
    <t>HULTS</t>
  </si>
  <si>
    <t>CHARLES</t>
  </si>
  <si>
    <t>HILBURN</t>
  </si>
  <si>
    <t>DIEDERICH</t>
  </si>
  <si>
    <t>SHELTON</t>
  </si>
  <si>
    <t>SHIRLEY</t>
  </si>
  <si>
    <t>RICHMOND</t>
  </si>
  <si>
    <t>RALPH</t>
  </si>
  <si>
    <t>LARSEN</t>
  </si>
  <si>
    <t>RYAN</t>
  </si>
  <si>
    <t>EDWARD</t>
  </si>
  <si>
    <t>LEWAKOWSKI</t>
  </si>
  <si>
    <t>GARRITY</t>
  </si>
  <si>
    <t>ARNOLD</t>
  </si>
  <si>
    <t>BOUBEL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</si>
  <si>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</si>
  <si>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</si>
  <si>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</si>
  <si>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</si>
  <si>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</si>
  <si>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</si>
  <si>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</si>
  <si>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</si>
  <si>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</si>
  <si>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</si>
  <si>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SANDRIDGE</t>
  </si>
  <si>
    <t>CHERYL</t>
  </si>
  <si>
    <t>KATCHMAR</t>
  </si>
  <si>
    <t>ERIK</t>
  </si>
  <si>
    <t>O BRIEN</t>
  </si>
  <si>
    <t>VAN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</si>
</sst>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0" fontId="0" fillId="33" borderId="0" xfId="0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0" fontId="0" fillId="34" borderId="0" xfId="0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19" fillId="0" borderId="0" xfId="0" applyNumberFormat="1" applyFont="1" applyAlignment="1">
      <alignment horizontal="left" vertical="top"/>
    </xf>
    <xf numFmtId="0" fontId="19" fillId="0" borderId="0" xfId="0" applyFont="1"/>
    <xf numFmtId="0" fontId="0" fillId="0" borderId="0" xfId="0" applyAlignment="1">
      <alignment horizontal="left" vertical="top"/>
    </xf>
    <xf numFmtId="1" fontId="19" fillId="36" borderId="0" xfId="0" applyNumberFormat="1" applyFont="1" applyFill="1"/>
    <xf numFmtId="1" fontId="19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22B3-E6A0-40CC-A388-BFDAAC0F153D}">
  <dimension ref="A1:AP205"/>
  <sheetViews>
    <sheetView topLeftCell="J1" workbookViewId="0">
      <selection activeCell="J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45945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3808023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45839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-365.16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45839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45945</v>
      </c>
      <c r="C3" s="4" t="s">
        <v>42</v>
      </c>
      <c r="D3" s="2">
        <v>1251955</v>
      </c>
      <c r="E3" s="4" t="s">
        <v>43</v>
      </c>
      <c r="F3" s="4" t="s">
        <v>44</v>
      </c>
      <c r="G3" s="2">
        <v>3808023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45839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-0.17</v>
      </c>
      <c r="W3" s="5">
        <v>0</v>
      </c>
      <c r="X3" s="5">
        <v>100</v>
      </c>
      <c r="Y3" s="5">
        <v>-52.17</v>
      </c>
      <c r="Z3" s="4" t="s">
        <v>46</v>
      </c>
      <c r="AA3" s="5" t="s">
        <v>46</v>
      </c>
      <c r="AB3" s="4" t="s">
        <v>56</v>
      </c>
      <c r="AC3" s="4" t="s">
        <v>46</v>
      </c>
      <c r="AD3" s="5">
        <v>0</v>
      </c>
      <c r="AE3" s="4" t="s">
        <v>57</v>
      </c>
      <c r="AF3" s="3">
        <v>45839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45945</v>
      </c>
      <c r="C4" s="4" t="s">
        <v>42</v>
      </c>
      <c r="D4" s="2">
        <v>1251955</v>
      </c>
      <c r="E4" s="4" t="s">
        <v>58</v>
      </c>
      <c r="F4" s="4" t="s">
        <v>59</v>
      </c>
      <c r="G4" s="2">
        <v>79345553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45931</v>
      </c>
      <c r="M4" s="4" t="s">
        <v>60</v>
      </c>
      <c r="N4" s="4" t="s">
        <v>46</v>
      </c>
      <c r="O4" s="4" t="s">
        <v>61</v>
      </c>
      <c r="P4" s="4" t="s">
        <v>46</v>
      </c>
      <c r="Q4" s="2">
        <v>1</v>
      </c>
      <c r="R4" s="2">
        <v>17</v>
      </c>
      <c r="S4" s="4" t="s">
        <v>51</v>
      </c>
      <c r="T4" s="4" t="s">
        <v>62</v>
      </c>
      <c r="U4" s="4" t="s">
        <v>46</v>
      </c>
      <c r="V4" s="5">
        <v>1</v>
      </c>
      <c r="W4" s="5">
        <v>0</v>
      </c>
      <c r="X4" s="5">
        <v>100</v>
      </c>
      <c r="Y4" s="5">
        <v>26.08</v>
      </c>
      <c r="Z4" s="4" t="s">
        <v>46</v>
      </c>
      <c r="AA4" s="5" t="s">
        <v>46</v>
      </c>
      <c r="AB4" s="4" t="s">
        <v>63</v>
      </c>
      <c r="AC4" s="4" t="s">
        <v>46</v>
      </c>
      <c r="AD4" s="5">
        <v>0</v>
      </c>
      <c r="AE4" s="4" t="s">
        <v>64</v>
      </c>
      <c r="AF4" s="3">
        <v>45627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45945</v>
      </c>
      <c r="C5" s="4" t="s">
        <v>42</v>
      </c>
      <c r="D5" s="2">
        <v>1251955</v>
      </c>
      <c r="E5" s="4" t="s">
        <v>66</v>
      </c>
      <c r="F5" s="4" t="s">
        <v>67</v>
      </c>
      <c r="G5" s="2">
        <v>824848554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45962</v>
      </c>
      <c r="M5" s="4" t="s">
        <v>69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0.17</v>
      </c>
      <c r="W5" s="5">
        <v>0</v>
      </c>
      <c r="X5" s="5">
        <v>100</v>
      </c>
      <c r="Y5" s="5">
        <v>52.17</v>
      </c>
      <c r="Z5" s="4" t="s">
        <v>46</v>
      </c>
      <c r="AA5" s="5" t="s">
        <v>46</v>
      </c>
      <c r="AB5" s="4" t="s">
        <v>56</v>
      </c>
      <c r="AC5" s="4" t="s">
        <v>46</v>
      </c>
      <c r="AD5" s="5">
        <v>0</v>
      </c>
      <c r="AE5" s="4" t="s">
        <v>57</v>
      </c>
      <c r="AF5" s="3">
        <v>45962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45945</v>
      </c>
      <c r="C6" s="4" t="s">
        <v>70</v>
      </c>
      <c r="D6" s="2">
        <v>1267028</v>
      </c>
      <c r="E6" s="4" t="s">
        <v>71</v>
      </c>
      <c r="F6" s="4" t="s">
        <v>72</v>
      </c>
      <c r="G6" s="2">
        <v>915328352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45931</v>
      </c>
      <c r="M6" s="4" t="s">
        <v>60</v>
      </c>
      <c r="N6" s="4" t="s">
        <v>46</v>
      </c>
      <c r="O6" s="4" t="s">
        <v>61</v>
      </c>
      <c r="P6" s="4" t="s">
        <v>46</v>
      </c>
      <c r="Q6" s="2">
        <v>1</v>
      </c>
      <c r="R6" s="2">
        <v>17</v>
      </c>
      <c r="S6" s="4" t="s">
        <v>51</v>
      </c>
      <c r="T6" s="4" t="s">
        <v>62</v>
      </c>
      <c r="U6" s="4" t="s">
        <v>46</v>
      </c>
      <c r="V6" s="5">
        <v>1</v>
      </c>
      <c r="W6" s="5">
        <v>0</v>
      </c>
      <c r="X6" s="5">
        <v>100</v>
      </c>
      <c r="Y6" s="5">
        <v>26.08</v>
      </c>
      <c r="Z6" s="4" t="s">
        <v>46</v>
      </c>
      <c r="AA6" s="5" t="s">
        <v>46</v>
      </c>
      <c r="AB6" s="4" t="s">
        <v>63</v>
      </c>
      <c r="AC6" s="4" t="s">
        <v>46</v>
      </c>
      <c r="AD6" s="5">
        <v>0</v>
      </c>
      <c r="AE6" s="4" t="s">
        <v>64</v>
      </c>
      <c r="AF6" s="3">
        <v>45627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73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45945</v>
      </c>
      <c r="C7" s="4" t="s">
        <v>74</v>
      </c>
      <c r="D7" s="2">
        <v>1427681</v>
      </c>
      <c r="E7" s="4" t="s">
        <v>75</v>
      </c>
      <c r="F7" s="4" t="s">
        <v>76</v>
      </c>
      <c r="G7" s="2">
        <v>686888423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45931</v>
      </c>
      <c r="M7" s="4" t="s">
        <v>60</v>
      </c>
      <c r="N7" s="4" t="s">
        <v>46</v>
      </c>
      <c r="O7" s="4" t="s">
        <v>61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1</v>
      </c>
      <c r="W7" s="5">
        <v>0</v>
      </c>
      <c r="X7" s="5">
        <v>100</v>
      </c>
      <c r="Y7" s="5">
        <v>26.08</v>
      </c>
      <c r="Z7" s="4" t="s">
        <v>46</v>
      </c>
      <c r="AA7" s="5" t="s">
        <v>46</v>
      </c>
      <c r="AB7" s="4" t="s">
        <v>63</v>
      </c>
      <c r="AC7" s="4" t="s">
        <v>46</v>
      </c>
      <c r="AD7" s="5">
        <v>0</v>
      </c>
      <c r="AE7" s="4" t="s">
        <v>64</v>
      </c>
      <c r="AF7" s="3">
        <v>45566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45945</v>
      </c>
      <c r="C8" s="4" t="s">
        <v>74</v>
      </c>
      <c r="D8" s="2">
        <v>1427681</v>
      </c>
      <c r="E8" s="4" t="s">
        <v>77</v>
      </c>
      <c r="F8" s="4" t="s">
        <v>78</v>
      </c>
      <c r="G8" s="2">
        <v>352146470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45931</v>
      </c>
      <c r="M8" s="4" t="s">
        <v>60</v>
      </c>
      <c r="N8" s="4" t="s">
        <v>46</v>
      </c>
      <c r="O8" s="4" t="s">
        <v>61</v>
      </c>
      <c r="P8" s="4" t="s">
        <v>46</v>
      </c>
      <c r="Q8" s="2">
        <v>1</v>
      </c>
      <c r="R8" s="2">
        <v>17</v>
      </c>
      <c r="S8" s="4" t="s">
        <v>51</v>
      </c>
      <c r="T8" s="4" t="s">
        <v>62</v>
      </c>
      <c r="U8" s="4" t="s">
        <v>46</v>
      </c>
      <c r="V8" s="5">
        <v>1</v>
      </c>
      <c r="W8" s="5">
        <v>0</v>
      </c>
      <c r="X8" s="5">
        <v>100</v>
      </c>
      <c r="Y8" s="5">
        <v>26.08</v>
      </c>
      <c r="Z8" s="4" t="s">
        <v>46</v>
      </c>
      <c r="AA8" s="5" t="s">
        <v>46</v>
      </c>
      <c r="AB8" s="4" t="s">
        <v>63</v>
      </c>
      <c r="AC8" s="4" t="s">
        <v>46</v>
      </c>
      <c r="AD8" s="5">
        <v>0</v>
      </c>
      <c r="AE8" s="4" t="s">
        <v>64</v>
      </c>
      <c r="AF8" s="3">
        <v>45566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45945</v>
      </c>
      <c r="C9" s="4" t="s">
        <v>74</v>
      </c>
      <c r="D9" s="2">
        <v>1427681</v>
      </c>
      <c r="E9" s="4" t="s">
        <v>79</v>
      </c>
      <c r="F9" s="4" t="s">
        <v>80</v>
      </c>
      <c r="G9" s="2">
        <v>194544293</v>
      </c>
      <c r="H9" s="4" t="s">
        <v>81</v>
      </c>
      <c r="I9" s="4" t="s">
        <v>46</v>
      </c>
      <c r="J9" s="4" t="s">
        <v>47</v>
      </c>
      <c r="K9" s="4" t="s">
        <v>48</v>
      </c>
      <c r="L9" s="3">
        <v>45962</v>
      </c>
      <c r="M9" s="4" t="s">
        <v>69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0.17</v>
      </c>
      <c r="W9" s="5">
        <v>0</v>
      </c>
      <c r="X9" s="5">
        <v>100</v>
      </c>
      <c r="Y9" s="5">
        <v>52.17</v>
      </c>
      <c r="Z9" s="4" t="s">
        <v>46</v>
      </c>
      <c r="AA9" s="5" t="s">
        <v>46</v>
      </c>
      <c r="AB9" s="4" t="s">
        <v>56</v>
      </c>
      <c r="AC9" s="4" t="s">
        <v>46</v>
      </c>
      <c r="AD9" s="5">
        <v>0</v>
      </c>
      <c r="AE9" s="4" t="s">
        <v>57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45945</v>
      </c>
      <c r="C10" s="4" t="s">
        <v>82</v>
      </c>
      <c r="D10" s="2">
        <v>1466196</v>
      </c>
      <c r="E10" s="4" t="s">
        <v>83</v>
      </c>
      <c r="F10" s="4" t="s">
        <v>84</v>
      </c>
      <c r="G10" s="2">
        <v>114360130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45931</v>
      </c>
      <c r="M10" s="4" t="s">
        <v>60</v>
      </c>
      <c r="N10" s="4" t="s">
        <v>46</v>
      </c>
      <c r="O10" s="4" t="s">
        <v>61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1</v>
      </c>
      <c r="W10" s="5">
        <v>0</v>
      </c>
      <c r="X10" s="5">
        <v>100</v>
      </c>
      <c r="Y10" s="5">
        <v>26.08</v>
      </c>
      <c r="Z10" s="4" t="s">
        <v>46</v>
      </c>
      <c r="AA10" s="5" t="s">
        <v>46</v>
      </c>
      <c r="AB10" s="4" t="s">
        <v>63</v>
      </c>
      <c r="AC10" s="4" t="s">
        <v>46</v>
      </c>
      <c r="AD10" s="5">
        <v>0</v>
      </c>
      <c r="AE10" s="4" t="s">
        <v>64</v>
      </c>
      <c r="AF10" s="3">
        <v>45627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45945</v>
      </c>
      <c r="C11" s="4" t="s">
        <v>82</v>
      </c>
      <c r="D11" s="2">
        <v>1466196</v>
      </c>
      <c r="E11" s="4" t="s">
        <v>85</v>
      </c>
      <c r="F11" s="4" t="s">
        <v>86</v>
      </c>
      <c r="G11" s="2">
        <v>802420091</v>
      </c>
      <c r="H11" s="4" t="s">
        <v>87</v>
      </c>
      <c r="I11" s="4" t="s">
        <v>46</v>
      </c>
      <c r="J11" s="4" t="s">
        <v>47</v>
      </c>
      <c r="K11" s="4" t="s">
        <v>48</v>
      </c>
      <c r="L11" s="3">
        <v>45992</v>
      </c>
      <c r="M11" s="4" t="s">
        <v>88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0.08</v>
      </c>
      <c r="W11" s="5">
        <v>0</v>
      </c>
      <c r="X11" s="5">
        <v>100</v>
      </c>
      <c r="Y11" s="5">
        <v>26.08</v>
      </c>
      <c r="Z11" s="4" t="s">
        <v>46</v>
      </c>
      <c r="AA11" s="5" t="s">
        <v>46</v>
      </c>
      <c r="AB11" s="4" t="s">
        <v>56</v>
      </c>
      <c r="AC11" s="4" t="s">
        <v>46</v>
      </c>
      <c r="AD11" s="5">
        <v>0</v>
      </c>
      <c r="AE11" s="4" t="s">
        <v>57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45945</v>
      </c>
      <c r="C12" s="4" t="s">
        <v>89</v>
      </c>
      <c r="D12" s="2">
        <v>1509770</v>
      </c>
      <c r="E12" s="4" t="s">
        <v>90</v>
      </c>
      <c r="F12" s="4" t="s">
        <v>91</v>
      </c>
      <c r="G12" s="2">
        <v>576690295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45931</v>
      </c>
      <c r="M12" s="4" t="s">
        <v>60</v>
      </c>
      <c r="N12" s="4" t="s">
        <v>46</v>
      </c>
      <c r="O12" s="4" t="s">
        <v>61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1</v>
      </c>
      <c r="W12" s="5">
        <v>0</v>
      </c>
      <c r="X12" s="5">
        <v>100</v>
      </c>
      <c r="Y12" s="5">
        <v>26.08</v>
      </c>
      <c r="Z12" s="4" t="s">
        <v>46</v>
      </c>
      <c r="AA12" s="5" t="s">
        <v>46</v>
      </c>
      <c r="AB12" s="4" t="s">
        <v>63</v>
      </c>
      <c r="AC12" s="4" t="s">
        <v>46</v>
      </c>
      <c r="AD12" s="5">
        <v>0</v>
      </c>
      <c r="AE12" s="4" t="s">
        <v>64</v>
      </c>
      <c r="AF12" s="3">
        <v>45383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45945</v>
      </c>
      <c r="C13" s="4" t="s">
        <v>89</v>
      </c>
      <c r="D13" s="2">
        <v>1509770</v>
      </c>
      <c r="E13" s="4" t="s">
        <v>92</v>
      </c>
      <c r="F13" s="4" t="s">
        <v>93</v>
      </c>
      <c r="G13" s="2">
        <v>651986404</v>
      </c>
      <c r="H13" s="4" t="s">
        <v>46</v>
      </c>
      <c r="I13" s="4" t="s">
        <v>46</v>
      </c>
      <c r="J13" s="4" t="s">
        <v>47</v>
      </c>
      <c r="K13" s="4" t="s">
        <v>48</v>
      </c>
      <c r="L13" s="3">
        <v>45931</v>
      </c>
      <c r="M13" s="4" t="s">
        <v>60</v>
      </c>
      <c r="N13" s="4" t="s">
        <v>46</v>
      </c>
      <c r="O13" s="4" t="s">
        <v>61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1</v>
      </c>
      <c r="W13" s="5">
        <v>0</v>
      </c>
      <c r="X13" s="5">
        <v>100</v>
      </c>
      <c r="Y13" s="5">
        <v>26.08</v>
      </c>
      <c r="Z13" s="4" t="s">
        <v>46</v>
      </c>
      <c r="AA13" s="5" t="s">
        <v>46</v>
      </c>
      <c r="AB13" s="4" t="s">
        <v>63</v>
      </c>
      <c r="AC13" s="4" t="s">
        <v>46</v>
      </c>
      <c r="AD13" s="5">
        <v>0</v>
      </c>
      <c r="AE13" s="4" t="s">
        <v>64</v>
      </c>
      <c r="AF13" s="3">
        <v>45047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45945</v>
      </c>
      <c r="C14" s="4" t="s">
        <v>89</v>
      </c>
      <c r="D14" s="2">
        <v>1509770</v>
      </c>
      <c r="E14" s="4" t="s">
        <v>94</v>
      </c>
      <c r="F14" s="4" t="s">
        <v>95</v>
      </c>
      <c r="G14" s="2">
        <v>960988174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45931</v>
      </c>
      <c r="M14" s="4" t="s">
        <v>60</v>
      </c>
      <c r="N14" s="4" t="s">
        <v>46</v>
      </c>
      <c r="O14" s="4" t="s">
        <v>61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1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63</v>
      </c>
      <c r="AC14" s="4" t="s">
        <v>46</v>
      </c>
      <c r="AD14" s="5">
        <v>0</v>
      </c>
      <c r="AE14" s="4" t="s">
        <v>64</v>
      </c>
      <c r="AF14" s="3">
        <v>45047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45945</v>
      </c>
      <c r="C15" s="4" t="s">
        <v>89</v>
      </c>
      <c r="D15" s="2">
        <v>1509770</v>
      </c>
      <c r="E15" s="4" t="s">
        <v>96</v>
      </c>
      <c r="F15" s="4" t="s">
        <v>97</v>
      </c>
      <c r="G15" s="2">
        <v>53110473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45931</v>
      </c>
      <c r="M15" s="4" t="s">
        <v>60</v>
      </c>
      <c r="N15" s="4" t="s">
        <v>46</v>
      </c>
      <c r="O15" s="4" t="s">
        <v>61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1</v>
      </c>
      <c r="W15" s="5">
        <v>0</v>
      </c>
      <c r="X15" s="5">
        <v>100</v>
      </c>
      <c r="Y15" s="5">
        <v>26.08</v>
      </c>
      <c r="Z15" s="4" t="s">
        <v>46</v>
      </c>
      <c r="AA15" s="5" t="s">
        <v>46</v>
      </c>
      <c r="AB15" s="4" t="s">
        <v>63</v>
      </c>
      <c r="AC15" s="4" t="s">
        <v>46</v>
      </c>
      <c r="AD15" s="5">
        <v>0</v>
      </c>
      <c r="AE15" s="4" t="s">
        <v>64</v>
      </c>
      <c r="AF15" s="3">
        <v>45078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45945</v>
      </c>
      <c r="C16" s="4" t="s">
        <v>89</v>
      </c>
      <c r="D16" s="2">
        <v>1509770</v>
      </c>
      <c r="E16" s="4" t="s">
        <v>98</v>
      </c>
      <c r="F16" s="4" t="s">
        <v>99</v>
      </c>
      <c r="G16" s="2">
        <v>463442230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45931</v>
      </c>
      <c r="M16" s="4" t="s">
        <v>60</v>
      </c>
      <c r="N16" s="4" t="s">
        <v>46</v>
      </c>
      <c r="O16" s="4" t="s">
        <v>61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1</v>
      </c>
      <c r="W16" s="5">
        <v>0</v>
      </c>
      <c r="X16" s="5">
        <v>100</v>
      </c>
      <c r="Y16" s="5">
        <v>26.08</v>
      </c>
      <c r="Z16" s="4" t="s">
        <v>46</v>
      </c>
      <c r="AA16" s="5" t="s">
        <v>46</v>
      </c>
      <c r="AB16" s="4" t="s">
        <v>63</v>
      </c>
      <c r="AC16" s="4" t="s">
        <v>46</v>
      </c>
      <c r="AD16" s="5">
        <v>0</v>
      </c>
      <c r="AE16" s="4" t="s">
        <v>64</v>
      </c>
      <c r="AF16" s="3">
        <v>45047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100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45945</v>
      </c>
      <c r="C17" s="4" t="s">
        <v>89</v>
      </c>
      <c r="D17" s="2">
        <v>1509770</v>
      </c>
      <c r="E17" s="4" t="s">
        <v>101</v>
      </c>
      <c r="F17" s="4" t="s">
        <v>102</v>
      </c>
      <c r="G17" s="2">
        <v>600555073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60</v>
      </c>
      <c r="N17" s="4" t="s">
        <v>46</v>
      </c>
      <c r="O17" s="4" t="s">
        <v>61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103</v>
      </c>
      <c r="U17" s="4" t="s">
        <v>46</v>
      </c>
      <c r="V17" s="5">
        <v>1</v>
      </c>
      <c r="W17" s="5">
        <v>0</v>
      </c>
      <c r="X17" s="5">
        <v>100</v>
      </c>
      <c r="Y17" s="5">
        <v>26.08</v>
      </c>
      <c r="Z17" s="4" t="s">
        <v>46</v>
      </c>
      <c r="AA17" s="5" t="s">
        <v>46</v>
      </c>
      <c r="AB17" s="4" t="s">
        <v>63</v>
      </c>
      <c r="AC17" s="4" t="s">
        <v>46</v>
      </c>
      <c r="AD17" s="5">
        <v>0</v>
      </c>
      <c r="AE17" s="4" t="s">
        <v>64</v>
      </c>
      <c r="AF17" s="3">
        <v>45108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104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45945</v>
      </c>
      <c r="C18" s="4" t="s">
        <v>89</v>
      </c>
      <c r="D18" s="2">
        <v>1509770</v>
      </c>
      <c r="E18" s="4" t="s">
        <v>105</v>
      </c>
      <c r="F18" s="4" t="s">
        <v>106</v>
      </c>
      <c r="G18" s="2">
        <v>178779284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45931</v>
      </c>
      <c r="M18" s="4" t="s">
        <v>60</v>
      </c>
      <c r="N18" s="4" t="s">
        <v>46</v>
      </c>
      <c r="O18" s="4" t="s">
        <v>61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62</v>
      </c>
      <c r="U18" s="4" t="s">
        <v>46</v>
      </c>
      <c r="V18" s="5">
        <v>1</v>
      </c>
      <c r="W18" s="5">
        <v>0</v>
      </c>
      <c r="X18" s="5">
        <v>100</v>
      </c>
      <c r="Y18" s="5">
        <v>26.08</v>
      </c>
      <c r="Z18" s="4" t="s">
        <v>46</v>
      </c>
      <c r="AA18" s="5" t="s">
        <v>46</v>
      </c>
      <c r="AB18" s="4" t="s">
        <v>63</v>
      </c>
      <c r="AC18" s="4" t="s">
        <v>46</v>
      </c>
      <c r="AD18" s="5">
        <v>0</v>
      </c>
      <c r="AE18" s="4" t="s">
        <v>64</v>
      </c>
      <c r="AF18" s="3">
        <v>45078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107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45945</v>
      </c>
      <c r="C19" s="4" t="s">
        <v>89</v>
      </c>
      <c r="D19" s="2">
        <v>1509770</v>
      </c>
      <c r="E19" s="4" t="s">
        <v>108</v>
      </c>
      <c r="F19" s="4" t="s">
        <v>109</v>
      </c>
      <c r="G19" s="2">
        <v>365808403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45931</v>
      </c>
      <c r="M19" s="4" t="s">
        <v>60</v>
      </c>
      <c r="N19" s="4" t="s">
        <v>46</v>
      </c>
      <c r="O19" s="4" t="s">
        <v>61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1</v>
      </c>
      <c r="W19" s="5">
        <v>0</v>
      </c>
      <c r="X19" s="5">
        <v>100</v>
      </c>
      <c r="Y19" s="5">
        <v>26.08</v>
      </c>
      <c r="Z19" s="4" t="s">
        <v>46</v>
      </c>
      <c r="AA19" s="5" t="s">
        <v>46</v>
      </c>
      <c r="AB19" s="4" t="s">
        <v>63</v>
      </c>
      <c r="AC19" s="4" t="s">
        <v>46</v>
      </c>
      <c r="AD19" s="5">
        <v>0</v>
      </c>
      <c r="AE19" s="4" t="s">
        <v>64</v>
      </c>
      <c r="AF19" s="3">
        <v>45078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45945</v>
      </c>
      <c r="C20" s="4" t="s">
        <v>89</v>
      </c>
      <c r="D20" s="2">
        <v>1509770</v>
      </c>
      <c r="E20" s="4" t="s">
        <v>110</v>
      </c>
      <c r="F20" s="4" t="s">
        <v>111</v>
      </c>
      <c r="G20" s="2">
        <v>666505423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45931</v>
      </c>
      <c r="M20" s="4" t="s">
        <v>60</v>
      </c>
      <c r="N20" s="4" t="s">
        <v>46</v>
      </c>
      <c r="O20" s="4" t="s">
        <v>61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1</v>
      </c>
      <c r="W20" s="5">
        <v>0</v>
      </c>
      <c r="X20" s="5">
        <v>100</v>
      </c>
      <c r="Y20" s="5">
        <v>26.08</v>
      </c>
      <c r="Z20" s="4" t="s">
        <v>46</v>
      </c>
      <c r="AA20" s="5" t="s">
        <v>46</v>
      </c>
      <c r="AB20" s="4" t="s">
        <v>63</v>
      </c>
      <c r="AC20" s="4" t="s">
        <v>46</v>
      </c>
      <c r="AD20" s="5">
        <v>0</v>
      </c>
      <c r="AE20" s="4" t="s">
        <v>64</v>
      </c>
      <c r="AF20" s="3">
        <v>45078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45945</v>
      </c>
      <c r="C21" s="4" t="s">
        <v>89</v>
      </c>
      <c r="D21" s="2">
        <v>1509770</v>
      </c>
      <c r="E21" s="4" t="s">
        <v>112</v>
      </c>
      <c r="F21" s="4" t="s">
        <v>113</v>
      </c>
      <c r="G21" s="2">
        <v>260541025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45931</v>
      </c>
      <c r="M21" s="4" t="s">
        <v>60</v>
      </c>
      <c r="N21" s="4" t="s">
        <v>46</v>
      </c>
      <c r="O21" s="4" t="s">
        <v>61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62</v>
      </c>
      <c r="U21" s="4" t="s">
        <v>46</v>
      </c>
      <c r="V21" s="5">
        <v>1</v>
      </c>
      <c r="W21" s="5">
        <v>0</v>
      </c>
      <c r="X21" s="5">
        <v>100</v>
      </c>
      <c r="Y21" s="5">
        <v>26.08</v>
      </c>
      <c r="Z21" s="4" t="s">
        <v>46</v>
      </c>
      <c r="AA21" s="5" t="s">
        <v>46</v>
      </c>
      <c r="AB21" s="4" t="s">
        <v>63</v>
      </c>
      <c r="AC21" s="4" t="s">
        <v>46</v>
      </c>
      <c r="AD21" s="5">
        <v>0</v>
      </c>
      <c r="AE21" s="4" t="s">
        <v>64</v>
      </c>
      <c r="AF21" s="3">
        <v>45108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114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45945</v>
      </c>
      <c r="C22" s="4" t="s">
        <v>89</v>
      </c>
      <c r="D22" s="2">
        <v>1509770</v>
      </c>
      <c r="E22" s="4" t="s">
        <v>115</v>
      </c>
      <c r="F22" s="4" t="s">
        <v>116</v>
      </c>
      <c r="G22" s="2">
        <v>649416112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45931</v>
      </c>
      <c r="M22" s="4" t="s">
        <v>60</v>
      </c>
      <c r="N22" s="4" t="s">
        <v>46</v>
      </c>
      <c r="O22" s="4" t="s">
        <v>61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1</v>
      </c>
      <c r="W22" s="5">
        <v>0</v>
      </c>
      <c r="X22" s="5">
        <v>100</v>
      </c>
      <c r="Y22" s="5">
        <v>26.08</v>
      </c>
      <c r="Z22" s="4" t="s">
        <v>46</v>
      </c>
      <c r="AA22" s="5" t="s">
        <v>46</v>
      </c>
      <c r="AB22" s="4" t="s">
        <v>63</v>
      </c>
      <c r="AC22" s="4" t="s">
        <v>46</v>
      </c>
      <c r="AD22" s="5">
        <v>0</v>
      </c>
      <c r="AE22" s="4" t="s">
        <v>64</v>
      </c>
      <c r="AF22" s="3">
        <v>45139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45945</v>
      </c>
      <c r="C23" s="4" t="s">
        <v>89</v>
      </c>
      <c r="D23" s="2">
        <v>1509770</v>
      </c>
      <c r="E23" s="4" t="s">
        <v>117</v>
      </c>
      <c r="F23" s="4" t="s">
        <v>118</v>
      </c>
      <c r="G23" s="2">
        <v>401766183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45931</v>
      </c>
      <c r="M23" s="4" t="s">
        <v>60</v>
      </c>
      <c r="N23" s="4" t="s">
        <v>46</v>
      </c>
      <c r="O23" s="4" t="s">
        <v>61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1</v>
      </c>
      <c r="W23" s="5">
        <v>0</v>
      </c>
      <c r="X23" s="5">
        <v>100</v>
      </c>
      <c r="Y23" s="5">
        <v>26.08</v>
      </c>
      <c r="Z23" s="4" t="s">
        <v>46</v>
      </c>
      <c r="AA23" s="5" t="s">
        <v>46</v>
      </c>
      <c r="AB23" s="4" t="s">
        <v>63</v>
      </c>
      <c r="AC23" s="4" t="s">
        <v>46</v>
      </c>
      <c r="AD23" s="5">
        <v>0</v>
      </c>
      <c r="AE23" s="4" t="s">
        <v>64</v>
      </c>
      <c r="AF23" s="3">
        <v>45139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45945</v>
      </c>
      <c r="C24" s="4" t="s">
        <v>89</v>
      </c>
      <c r="D24" s="2">
        <v>1509770</v>
      </c>
      <c r="E24" s="4" t="s">
        <v>119</v>
      </c>
      <c r="F24" s="4" t="s">
        <v>120</v>
      </c>
      <c r="G24" s="2">
        <v>992703344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45931</v>
      </c>
      <c r="M24" s="4" t="s">
        <v>60</v>
      </c>
      <c r="N24" s="4" t="s">
        <v>46</v>
      </c>
      <c r="O24" s="4" t="s">
        <v>61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1</v>
      </c>
      <c r="W24" s="5">
        <v>0</v>
      </c>
      <c r="X24" s="5">
        <v>100</v>
      </c>
      <c r="Y24" s="5">
        <v>26.08</v>
      </c>
      <c r="Z24" s="4" t="s">
        <v>46</v>
      </c>
      <c r="AA24" s="5" t="s">
        <v>46</v>
      </c>
      <c r="AB24" s="4" t="s">
        <v>63</v>
      </c>
      <c r="AC24" s="4" t="s">
        <v>46</v>
      </c>
      <c r="AD24" s="5">
        <v>0</v>
      </c>
      <c r="AE24" s="4" t="s">
        <v>64</v>
      </c>
      <c r="AF24" s="3">
        <v>45292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45945</v>
      </c>
      <c r="C25" s="4" t="s">
        <v>89</v>
      </c>
      <c r="D25" s="2">
        <v>1509770</v>
      </c>
      <c r="E25" s="4" t="s">
        <v>121</v>
      </c>
      <c r="F25" s="4" t="s">
        <v>122</v>
      </c>
      <c r="G25" s="2">
        <v>142479033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45931</v>
      </c>
      <c r="M25" s="4" t="s">
        <v>60</v>
      </c>
      <c r="N25" s="4" t="s">
        <v>46</v>
      </c>
      <c r="O25" s="4" t="s">
        <v>61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1</v>
      </c>
      <c r="W25" s="5">
        <v>0</v>
      </c>
      <c r="X25" s="5">
        <v>100</v>
      </c>
      <c r="Y25" s="5">
        <v>26.08</v>
      </c>
      <c r="Z25" s="4" t="s">
        <v>46</v>
      </c>
      <c r="AA25" s="5" t="s">
        <v>46</v>
      </c>
      <c r="AB25" s="4" t="s">
        <v>63</v>
      </c>
      <c r="AC25" s="4" t="s">
        <v>46</v>
      </c>
      <c r="AD25" s="5">
        <v>0</v>
      </c>
      <c r="AE25" s="4" t="s">
        <v>64</v>
      </c>
      <c r="AF25" s="3">
        <v>45170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45945</v>
      </c>
      <c r="C26" s="4" t="s">
        <v>89</v>
      </c>
      <c r="D26" s="2">
        <v>1509770</v>
      </c>
      <c r="E26" s="4" t="s">
        <v>123</v>
      </c>
      <c r="F26" s="4" t="s">
        <v>124</v>
      </c>
      <c r="G26" s="2">
        <v>695051574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45931</v>
      </c>
      <c r="M26" s="4" t="s">
        <v>60</v>
      </c>
      <c r="N26" s="4" t="s">
        <v>46</v>
      </c>
      <c r="O26" s="4" t="s">
        <v>61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1</v>
      </c>
      <c r="W26" s="5">
        <v>0</v>
      </c>
      <c r="X26" s="5">
        <v>100</v>
      </c>
      <c r="Y26" s="5">
        <v>26.08</v>
      </c>
      <c r="Z26" s="4" t="s">
        <v>46</v>
      </c>
      <c r="AA26" s="5" t="s">
        <v>46</v>
      </c>
      <c r="AB26" s="4" t="s">
        <v>63</v>
      </c>
      <c r="AC26" s="4" t="s">
        <v>46</v>
      </c>
      <c r="AD26" s="5">
        <v>0</v>
      </c>
      <c r="AE26" s="4" t="s">
        <v>64</v>
      </c>
      <c r="AF26" s="3">
        <v>45170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125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45945</v>
      </c>
      <c r="C27" s="4" t="s">
        <v>89</v>
      </c>
      <c r="D27" s="2">
        <v>1509770</v>
      </c>
      <c r="E27" s="4" t="s">
        <v>126</v>
      </c>
      <c r="F27" s="4" t="s">
        <v>127</v>
      </c>
      <c r="G27" s="2">
        <v>932902093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45931</v>
      </c>
      <c r="M27" s="4" t="s">
        <v>60</v>
      </c>
      <c r="N27" s="4" t="s">
        <v>46</v>
      </c>
      <c r="O27" s="4" t="s">
        <v>61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1</v>
      </c>
      <c r="W27" s="5">
        <v>0</v>
      </c>
      <c r="X27" s="5">
        <v>100</v>
      </c>
      <c r="Y27" s="5">
        <v>26.08</v>
      </c>
      <c r="Z27" s="4" t="s">
        <v>46</v>
      </c>
      <c r="AA27" s="5" t="s">
        <v>46</v>
      </c>
      <c r="AB27" s="4" t="s">
        <v>63</v>
      </c>
      <c r="AC27" s="4" t="s">
        <v>46</v>
      </c>
      <c r="AD27" s="5">
        <v>0</v>
      </c>
      <c r="AE27" s="4" t="s">
        <v>64</v>
      </c>
      <c r="AF27" s="3">
        <v>45200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45945</v>
      </c>
      <c r="C28" s="4" t="s">
        <v>89</v>
      </c>
      <c r="D28" s="2">
        <v>1509770</v>
      </c>
      <c r="E28" s="4" t="s">
        <v>128</v>
      </c>
      <c r="F28" s="4" t="s">
        <v>129</v>
      </c>
      <c r="G28" s="2">
        <v>677520433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45931</v>
      </c>
      <c r="M28" s="4" t="s">
        <v>60</v>
      </c>
      <c r="N28" s="4" t="s">
        <v>46</v>
      </c>
      <c r="O28" s="4" t="s">
        <v>61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1</v>
      </c>
      <c r="W28" s="5">
        <v>0</v>
      </c>
      <c r="X28" s="5">
        <v>100</v>
      </c>
      <c r="Y28" s="5">
        <v>26.08</v>
      </c>
      <c r="Z28" s="4" t="s">
        <v>46</v>
      </c>
      <c r="AA28" s="5" t="s">
        <v>46</v>
      </c>
      <c r="AB28" s="4" t="s">
        <v>63</v>
      </c>
      <c r="AC28" s="4" t="s">
        <v>46</v>
      </c>
      <c r="AD28" s="5">
        <v>0</v>
      </c>
      <c r="AE28" s="4" t="s">
        <v>64</v>
      </c>
      <c r="AF28" s="3">
        <v>45200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45945</v>
      </c>
      <c r="C29" s="4" t="s">
        <v>89</v>
      </c>
      <c r="D29" s="2">
        <v>1509770</v>
      </c>
      <c r="E29" s="4" t="s">
        <v>130</v>
      </c>
      <c r="F29" s="4" t="s">
        <v>131</v>
      </c>
      <c r="G29" s="2">
        <v>287686314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45931</v>
      </c>
      <c r="M29" s="4" t="s">
        <v>60</v>
      </c>
      <c r="N29" s="4" t="s">
        <v>46</v>
      </c>
      <c r="O29" s="4" t="s">
        <v>61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1</v>
      </c>
      <c r="W29" s="5">
        <v>0</v>
      </c>
      <c r="X29" s="5">
        <v>100</v>
      </c>
      <c r="Y29" s="5">
        <v>26.08</v>
      </c>
      <c r="Z29" s="4" t="s">
        <v>46</v>
      </c>
      <c r="AA29" s="5" t="s">
        <v>46</v>
      </c>
      <c r="AB29" s="4" t="s">
        <v>63</v>
      </c>
      <c r="AC29" s="4" t="s">
        <v>46</v>
      </c>
      <c r="AD29" s="5">
        <v>0</v>
      </c>
      <c r="AE29" s="4" t="s">
        <v>64</v>
      </c>
      <c r="AF29" s="3">
        <v>45292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45945</v>
      </c>
      <c r="C30" s="4" t="s">
        <v>89</v>
      </c>
      <c r="D30" s="2">
        <v>1509770</v>
      </c>
      <c r="E30" s="4" t="s">
        <v>132</v>
      </c>
      <c r="F30" s="4" t="s">
        <v>133</v>
      </c>
      <c r="G30" s="2">
        <v>258639413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45931</v>
      </c>
      <c r="M30" s="4" t="s">
        <v>60</v>
      </c>
      <c r="N30" s="4" t="s">
        <v>46</v>
      </c>
      <c r="O30" s="4" t="s">
        <v>61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1</v>
      </c>
      <c r="W30" s="5">
        <v>0</v>
      </c>
      <c r="X30" s="5">
        <v>100</v>
      </c>
      <c r="Y30" s="5">
        <v>26.08</v>
      </c>
      <c r="Z30" s="4" t="s">
        <v>46</v>
      </c>
      <c r="AA30" s="5" t="s">
        <v>46</v>
      </c>
      <c r="AB30" s="4" t="s">
        <v>63</v>
      </c>
      <c r="AC30" s="4" t="s">
        <v>46</v>
      </c>
      <c r="AD30" s="5">
        <v>0</v>
      </c>
      <c r="AE30" s="4" t="s">
        <v>64</v>
      </c>
      <c r="AF30" s="3">
        <v>45292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45945</v>
      </c>
      <c r="C31" s="4" t="s">
        <v>89</v>
      </c>
      <c r="D31" s="2">
        <v>1509770</v>
      </c>
      <c r="E31" s="4" t="s">
        <v>134</v>
      </c>
      <c r="F31" s="4" t="s">
        <v>135</v>
      </c>
      <c r="G31" s="2">
        <v>858505524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45931</v>
      </c>
      <c r="M31" s="4" t="s">
        <v>60</v>
      </c>
      <c r="N31" s="4" t="s">
        <v>46</v>
      </c>
      <c r="O31" s="4" t="s">
        <v>61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1</v>
      </c>
      <c r="W31" s="5">
        <v>0</v>
      </c>
      <c r="X31" s="5">
        <v>100</v>
      </c>
      <c r="Y31" s="5">
        <v>26.08</v>
      </c>
      <c r="Z31" s="4" t="s">
        <v>46</v>
      </c>
      <c r="AA31" s="5" t="s">
        <v>46</v>
      </c>
      <c r="AB31" s="4" t="s">
        <v>63</v>
      </c>
      <c r="AC31" s="4" t="s">
        <v>46</v>
      </c>
      <c r="AD31" s="5">
        <v>0</v>
      </c>
      <c r="AE31" s="4" t="s">
        <v>64</v>
      </c>
      <c r="AF31" s="3">
        <v>45292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45945</v>
      </c>
      <c r="C32" s="4" t="s">
        <v>89</v>
      </c>
      <c r="D32" s="2">
        <v>1509770</v>
      </c>
      <c r="E32" s="4" t="s">
        <v>136</v>
      </c>
      <c r="F32" s="4" t="s">
        <v>137</v>
      </c>
      <c r="G32" s="2">
        <v>146982443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45931</v>
      </c>
      <c r="M32" s="4" t="s">
        <v>60</v>
      </c>
      <c r="N32" s="4" t="s">
        <v>46</v>
      </c>
      <c r="O32" s="4" t="s">
        <v>61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1</v>
      </c>
      <c r="W32" s="5">
        <v>0</v>
      </c>
      <c r="X32" s="5">
        <v>100</v>
      </c>
      <c r="Y32" s="5">
        <v>26.08</v>
      </c>
      <c r="Z32" s="4" t="s">
        <v>46</v>
      </c>
      <c r="AA32" s="5" t="s">
        <v>46</v>
      </c>
      <c r="AB32" s="4" t="s">
        <v>63</v>
      </c>
      <c r="AC32" s="4" t="s">
        <v>46</v>
      </c>
      <c r="AD32" s="5">
        <v>0</v>
      </c>
      <c r="AE32" s="4" t="s">
        <v>64</v>
      </c>
      <c r="AF32" s="3">
        <v>45292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45945</v>
      </c>
      <c r="C33" s="4" t="s">
        <v>89</v>
      </c>
      <c r="D33" s="2">
        <v>1509770</v>
      </c>
      <c r="E33" s="4" t="s">
        <v>138</v>
      </c>
      <c r="F33" s="4" t="s">
        <v>139</v>
      </c>
      <c r="G33" s="2">
        <v>479915034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45931</v>
      </c>
      <c r="M33" s="4" t="s">
        <v>60</v>
      </c>
      <c r="N33" s="4" t="s">
        <v>46</v>
      </c>
      <c r="O33" s="4" t="s">
        <v>61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62</v>
      </c>
      <c r="U33" s="4" t="s">
        <v>46</v>
      </c>
      <c r="V33" s="5">
        <v>1</v>
      </c>
      <c r="W33" s="5">
        <v>0</v>
      </c>
      <c r="X33" s="5">
        <v>100</v>
      </c>
      <c r="Y33" s="5">
        <v>26.08</v>
      </c>
      <c r="Z33" s="4" t="s">
        <v>46</v>
      </c>
      <c r="AA33" s="5" t="s">
        <v>46</v>
      </c>
      <c r="AB33" s="4" t="s">
        <v>63</v>
      </c>
      <c r="AC33" s="4" t="s">
        <v>46</v>
      </c>
      <c r="AD33" s="5">
        <v>0</v>
      </c>
      <c r="AE33" s="4" t="s">
        <v>64</v>
      </c>
      <c r="AF33" s="3">
        <v>45231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114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45945</v>
      </c>
      <c r="C34" s="4" t="s">
        <v>89</v>
      </c>
      <c r="D34" s="2">
        <v>1509770</v>
      </c>
      <c r="E34" s="4" t="s">
        <v>140</v>
      </c>
      <c r="F34" s="4" t="s">
        <v>141</v>
      </c>
      <c r="G34" s="2">
        <v>898232243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45931</v>
      </c>
      <c r="M34" s="4" t="s">
        <v>60</v>
      </c>
      <c r="N34" s="4" t="s">
        <v>46</v>
      </c>
      <c r="O34" s="4" t="s">
        <v>61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1</v>
      </c>
      <c r="W34" s="5">
        <v>0</v>
      </c>
      <c r="X34" s="5">
        <v>100</v>
      </c>
      <c r="Y34" s="5">
        <v>26.08</v>
      </c>
      <c r="Z34" s="4" t="s">
        <v>46</v>
      </c>
      <c r="AA34" s="5" t="s">
        <v>46</v>
      </c>
      <c r="AB34" s="4" t="s">
        <v>63</v>
      </c>
      <c r="AC34" s="4" t="s">
        <v>46</v>
      </c>
      <c r="AD34" s="5">
        <v>0</v>
      </c>
      <c r="AE34" s="4" t="s">
        <v>64</v>
      </c>
      <c r="AF34" s="3">
        <v>45292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45945</v>
      </c>
      <c r="C35" s="4" t="s">
        <v>89</v>
      </c>
      <c r="D35" s="2">
        <v>1509770</v>
      </c>
      <c r="E35" s="4" t="s">
        <v>142</v>
      </c>
      <c r="F35" s="4" t="s">
        <v>143</v>
      </c>
      <c r="G35" s="2">
        <v>857752374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45931</v>
      </c>
      <c r="M35" s="4" t="s">
        <v>60</v>
      </c>
      <c r="N35" s="4" t="s">
        <v>46</v>
      </c>
      <c r="O35" s="4" t="s">
        <v>61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1</v>
      </c>
      <c r="W35" s="5">
        <v>0</v>
      </c>
      <c r="X35" s="5">
        <v>100</v>
      </c>
      <c r="Y35" s="5">
        <v>26.08</v>
      </c>
      <c r="Z35" s="4" t="s">
        <v>46</v>
      </c>
      <c r="AA35" s="5" t="s">
        <v>46</v>
      </c>
      <c r="AB35" s="4" t="s">
        <v>63</v>
      </c>
      <c r="AC35" s="4" t="s">
        <v>46</v>
      </c>
      <c r="AD35" s="5">
        <v>0</v>
      </c>
      <c r="AE35" s="4" t="s">
        <v>64</v>
      </c>
      <c r="AF35" s="3">
        <v>45261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45945</v>
      </c>
      <c r="C36" s="4" t="s">
        <v>89</v>
      </c>
      <c r="D36" s="2">
        <v>1509770</v>
      </c>
      <c r="E36" s="4" t="s">
        <v>144</v>
      </c>
      <c r="F36" s="4" t="s">
        <v>145</v>
      </c>
      <c r="G36" s="2">
        <v>123130024</v>
      </c>
      <c r="H36" s="4" t="s">
        <v>46</v>
      </c>
      <c r="I36" s="4" t="s">
        <v>46</v>
      </c>
      <c r="J36" s="4" t="s">
        <v>47</v>
      </c>
      <c r="K36" s="4" t="s">
        <v>48</v>
      </c>
      <c r="L36" s="3">
        <v>45931</v>
      </c>
      <c r="M36" s="4" t="s">
        <v>60</v>
      </c>
      <c r="N36" s="4" t="s">
        <v>46</v>
      </c>
      <c r="O36" s="4" t="s">
        <v>61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1</v>
      </c>
      <c r="W36" s="5">
        <v>0</v>
      </c>
      <c r="X36" s="5">
        <v>100</v>
      </c>
      <c r="Y36" s="5">
        <v>26.08</v>
      </c>
      <c r="Z36" s="4" t="s">
        <v>46</v>
      </c>
      <c r="AA36" s="5" t="s">
        <v>46</v>
      </c>
      <c r="AB36" s="4" t="s">
        <v>63</v>
      </c>
      <c r="AC36" s="4" t="s">
        <v>46</v>
      </c>
      <c r="AD36" s="5">
        <v>0</v>
      </c>
      <c r="AE36" s="4" t="s">
        <v>64</v>
      </c>
      <c r="AF36" s="3">
        <v>45292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45945</v>
      </c>
      <c r="C37" s="4" t="s">
        <v>89</v>
      </c>
      <c r="D37" s="2">
        <v>1509770</v>
      </c>
      <c r="E37" s="4" t="s">
        <v>146</v>
      </c>
      <c r="F37" s="4" t="s">
        <v>147</v>
      </c>
      <c r="G37" s="2">
        <v>634142241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45931</v>
      </c>
      <c r="M37" s="4" t="s">
        <v>60</v>
      </c>
      <c r="N37" s="4" t="s">
        <v>46</v>
      </c>
      <c r="O37" s="4" t="s">
        <v>61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1</v>
      </c>
      <c r="W37" s="5">
        <v>0</v>
      </c>
      <c r="X37" s="5">
        <v>100</v>
      </c>
      <c r="Y37" s="5">
        <v>26.08</v>
      </c>
      <c r="Z37" s="4" t="s">
        <v>46</v>
      </c>
      <c r="AA37" s="5" t="s">
        <v>46</v>
      </c>
      <c r="AB37" s="4" t="s">
        <v>63</v>
      </c>
      <c r="AC37" s="4" t="s">
        <v>46</v>
      </c>
      <c r="AD37" s="5">
        <v>0</v>
      </c>
      <c r="AE37" s="4" t="s">
        <v>64</v>
      </c>
      <c r="AF37" s="3">
        <v>45292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45945</v>
      </c>
      <c r="C38" s="4" t="s">
        <v>89</v>
      </c>
      <c r="D38" s="2">
        <v>1509770</v>
      </c>
      <c r="E38" s="4" t="s">
        <v>148</v>
      </c>
      <c r="F38" s="4" t="s">
        <v>149</v>
      </c>
      <c r="G38" s="2">
        <v>579548434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45931</v>
      </c>
      <c r="M38" s="4" t="s">
        <v>60</v>
      </c>
      <c r="N38" s="4" t="s">
        <v>46</v>
      </c>
      <c r="O38" s="4" t="s">
        <v>61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1</v>
      </c>
      <c r="W38" s="5">
        <v>0</v>
      </c>
      <c r="X38" s="5">
        <v>100</v>
      </c>
      <c r="Y38" s="5">
        <v>26.08</v>
      </c>
      <c r="Z38" s="4" t="s">
        <v>46</v>
      </c>
      <c r="AA38" s="5" t="s">
        <v>46</v>
      </c>
      <c r="AB38" s="4" t="s">
        <v>63</v>
      </c>
      <c r="AC38" s="4" t="s">
        <v>46</v>
      </c>
      <c r="AD38" s="5">
        <v>0</v>
      </c>
      <c r="AE38" s="4" t="s">
        <v>64</v>
      </c>
      <c r="AF38" s="3">
        <v>45292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45945</v>
      </c>
      <c r="C39" s="4" t="s">
        <v>89</v>
      </c>
      <c r="D39" s="2">
        <v>1509770</v>
      </c>
      <c r="E39" s="4" t="s">
        <v>150</v>
      </c>
      <c r="F39" s="4" t="s">
        <v>151</v>
      </c>
      <c r="G39" s="2">
        <v>225067423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45931</v>
      </c>
      <c r="M39" s="4" t="s">
        <v>60</v>
      </c>
      <c r="N39" s="4" t="s">
        <v>46</v>
      </c>
      <c r="O39" s="4" t="s">
        <v>61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1</v>
      </c>
      <c r="W39" s="5">
        <v>0</v>
      </c>
      <c r="X39" s="5">
        <v>100</v>
      </c>
      <c r="Y39" s="5">
        <v>26.08</v>
      </c>
      <c r="Z39" s="4" t="s">
        <v>46</v>
      </c>
      <c r="AA39" s="5" t="s">
        <v>46</v>
      </c>
      <c r="AB39" s="4" t="s">
        <v>63</v>
      </c>
      <c r="AC39" s="4" t="s">
        <v>46</v>
      </c>
      <c r="AD39" s="5">
        <v>0</v>
      </c>
      <c r="AE39" s="4" t="s">
        <v>64</v>
      </c>
      <c r="AF39" s="3">
        <v>45323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55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45945</v>
      </c>
      <c r="C40" s="4" t="s">
        <v>89</v>
      </c>
      <c r="D40" s="2">
        <v>1509770</v>
      </c>
      <c r="E40" s="4" t="s">
        <v>152</v>
      </c>
      <c r="F40" s="4" t="s">
        <v>153</v>
      </c>
      <c r="G40" s="2">
        <v>162489380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45931</v>
      </c>
      <c r="M40" s="4" t="s">
        <v>60</v>
      </c>
      <c r="N40" s="4" t="s">
        <v>46</v>
      </c>
      <c r="O40" s="4" t="s">
        <v>61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1</v>
      </c>
      <c r="W40" s="5">
        <v>0</v>
      </c>
      <c r="X40" s="5">
        <v>100</v>
      </c>
      <c r="Y40" s="5">
        <v>26.08</v>
      </c>
      <c r="Z40" s="4" t="s">
        <v>46</v>
      </c>
      <c r="AA40" s="5" t="s">
        <v>46</v>
      </c>
      <c r="AB40" s="4" t="s">
        <v>63</v>
      </c>
      <c r="AC40" s="4" t="s">
        <v>46</v>
      </c>
      <c r="AD40" s="5">
        <v>0</v>
      </c>
      <c r="AE40" s="4" t="s">
        <v>64</v>
      </c>
      <c r="AF40" s="3">
        <v>45413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45945</v>
      </c>
      <c r="C41" s="4" t="s">
        <v>89</v>
      </c>
      <c r="D41" s="2">
        <v>1509770</v>
      </c>
      <c r="E41" s="4" t="s">
        <v>154</v>
      </c>
      <c r="F41" s="4" t="s">
        <v>155</v>
      </c>
      <c r="G41" s="2">
        <v>664060043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45931</v>
      </c>
      <c r="M41" s="4" t="s">
        <v>60</v>
      </c>
      <c r="N41" s="4" t="s">
        <v>46</v>
      </c>
      <c r="O41" s="4" t="s">
        <v>61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103</v>
      </c>
      <c r="U41" s="4" t="s">
        <v>46</v>
      </c>
      <c r="V41" s="5">
        <v>1</v>
      </c>
      <c r="W41" s="5">
        <v>0</v>
      </c>
      <c r="X41" s="5">
        <v>100</v>
      </c>
      <c r="Y41" s="5">
        <v>26.08</v>
      </c>
      <c r="Z41" s="4" t="s">
        <v>46</v>
      </c>
      <c r="AA41" s="5" t="s">
        <v>46</v>
      </c>
      <c r="AB41" s="4" t="s">
        <v>63</v>
      </c>
      <c r="AC41" s="4" t="s">
        <v>46</v>
      </c>
      <c r="AD41" s="5">
        <v>0</v>
      </c>
      <c r="AE41" s="4" t="s">
        <v>64</v>
      </c>
      <c r="AF41" s="3">
        <v>45413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45945</v>
      </c>
      <c r="C42" s="4" t="s">
        <v>89</v>
      </c>
      <c r="D42" s="2">
        <v>1509770</v>
      </c>
      <c r="E42" s="4" t="s">
        <v>156</v>
      </c>
      <c r="F42" s="4" t="s">
        <v>157</v>
      </c>
      <c r="G42" s="2">
        <v>130386835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45931</v>
      </c>
      <c r="M42" s="4" t="s">
        <v>60</v>
      </c>
      <c r="N42" s="4" t="s">
        <v>46</v>
      </c>
      <c r="O42" s="4" t="s">
        <v>61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1</v>
      </c>
      <c r="W42" s="5">
        <v>0</v>
      </c>
      <c r="X42" s="5">
        <v>100</v>
      </c>
      <c r="Y42" s="5">
        <v>26.08</v>
      </c>
      <c r="Z42" s="4" t="s">
        <v>46</v>
      </c>
      <c r="AA42" s="5" t="s">
        <v>46</v>
      </c>
      <c r="AB42" s="4" t="s">
        <v>63</v>
      </c>
      <c r="AC42" s="4" t="s">
        <v>46</v>
      </c>
      <c r="AD42" s="5">
        <v>0</v>
      </c>
      <c r="AE42" s="4" t="s">
        <v>64</v>
      </c>
      <c r="AF42" s="3">
        <v>45383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45945</v>
      </c>
      <c r="C43" s="4" t="s">
        <v>89</v>
      </c>
      <c r="D43" s="2">
        <v>1509770</v>
      </c>
      <c r="E43" s="4" t="s">
        <v>158</v>
      </c>
      <c r="F43" s="4" t="s">
        <v>159</v>
      </c>
      <c r="G43" s="2">
        <v>104532335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45931</v>
      </c>
      <c r="M43" s="4" t="s">
        <v>60</v>
      </c>
      <c r="N43" s="4" t="s">
        <v>46</v>
      </c>
      <c r="O43" s="4" t="s">
        <v>61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1</v>
      </c>
      <c r="W43" s="5">
        <v>0</v>
      </c>
      <c r="X43" s="5">
        <v>100</v>
      </c>
      <c r="Y43" s="5">
        <v>26.08</v>
      </c>
      <c r="Z43" s="4" t="s">
        <v>46</v>
      </c>
      <c r="AA43" s="5" t="s">
        <v>46</v>
      </c>
      <c r="AB43" s="4" t="s">
        <v>63</v>
      </c>
      <c r="AC43" s="4" t="s">
        <v>46</v>
      </c>
      <c r="AD43" s="5">
        <v>0</v>
      </c>
      <c r="AE43" s="4" t="s">
        <v>64</v>
      </c>
      <c r="AF43" s="3">
        <v>45352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45945</v>
      </c>
      <c r="C44" s="4" t="s">
        <v>89</v>
      </c>
      <c r="D44" s="2">
        <v>1509770</v>
      </c>
      <c r="E44" s="4" t="s">
        <v>160</v>
      </c>
      <c r="F44" s="4" t="s">
        <v>161</v>
      </c>
      <c r="G44" s="2">
        <v>288945103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45931</v>
      </c>
      <c r="M44" s="4" t="s">
        <v>60</v>
      </c>
      <c r="N44" s="4" t="s">
        <v>46</v>
      </c>
      <c r="O44" s="4" t="s">
        <v>61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1</v>
      </c>
      <c r="W44" s="5">
        <v>0</v>
      </c>
      <c r="X44" s="5">
        <v>100</v>
      </c>
      <c r="Y44" s="5">
        <v>26.08</v>
      </c>
      <c r="Z44" s="4" t="s">
        <v>46</v>
      </c>
      <c r="AA44" s="5" t="s">
        <v>46</v>
      </c>
      <c r="AB44" s="4" t="s">
        <v>63</v>
      </c>
      <c r="AC44" s="4" t="s">
        <v>46</v>
      </c>
      <c r="AD44" s="5">
        <v>0</v>
      </c>
      <c r="AE44" s="4" t="s">
        <v>64</v>
      </c>
      <c r="AF44" s="3">
        <v>45413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45945</v>
      </c>
      <c r="C45" s="4" t="s">
        <v>89</v>
      </c>
      <c r="D45" s="2">
        <v>1509770</v>
      </c>
      <c r="E45" s="4" t="s">
        <v>162</v>
      </c>
      <c r="F45" s="4" t="s">
        <v>163</v>
      </c>
      <c r="G45" s="2">
        <v>501940134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45931</v>
      </c>
      <c r="M45" s="4" t="s">
        <v>60</v>
      </c>
      <c r="N45" s="4" t="s">
        <v>46</v>
      </c>
      <c r="O45" s="4" t="s">
        <v>61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52</v>
      </c>
      <c r="U45" s="4" t="s">
        <v>46</v>
      </c>
      <c r="V45" s="5">
        <v>1</v>
      </c>
      <c r="W45" s="5">
        <v>0</v>
      </c>
      <c r="X45" s="5">
        <v>100</v>
      </c>
      <c r="Y45" s="5">
        <v>26.08</v>
      </c>
      <c r="Z45" s="4" t="s">
        <v>46</v>
      </c>
      <c r="AA45" s="5" t="s">
        <v>46</v>
      </c>
      <c r="AB45" s="4" t="s">
        <v>63</v>
      </c>
      <c r="AC45" s="4" t="s">
        <v>46</v>
      </c>
      <c r="AD45" s="5">
        <v>0</v>
      </c>
      <c r="AE45" s="4" t="s">
        <v>64</v>
      </c>
      <c r="AF45" s="3">
        <v>45444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55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45945</v>
      </c>
      <c r="C46" s="4" t="s">
        <v>89</v>
      </c>
      <c r="D46" s="2">
        <v>1509770</v>
      </c>
      <c r="E46" s="4" t="s">
        <v>164</v>
      </c>
      <c r="F46" s="4" t="s">
        <v>165</v>
      </c>
      <c r="G46" s="2">
        <v>752163464</v>
      </c>
      <c r="H46" s="4" t="s">
        <v>46</v>
      </c>
      <c r="I46" s="4" t="s">
        <v>46</v>
      </c>
      <c r="J46" s="4" t="s">
        <v>47</v>
      </c>
      <c r="K46" s="4" t="s">
        <v>48</v>
      </c>
      <c r="L46" s="3">
        <v>45931</v>
      </c>
      <c r="M46" s="4" t="s">
        <v>60</v>
      </c>
      <c r="N46" s="4" t="s">
        <v>46</v>
      </c>
      <c r="O46" s="4" t="s">
        <v>61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52</v>
      </c>
      <c r="U46" s="4" t="s">
        <v>46</v>
      </c>
      <c r="V46" s="5">
        <v>1</v>
      </c>
      <c r="W46" s="5">
        <v>0</v>
      </c>
      <c r="X46" s="5">
        <v>100</v>
      </c>
      <c r="Y46" s="5">
        <v>26.08</v>
      </c>
      <c r="Z46" s="4" t="s">
        <v>46</v>
      </c>
      <c r="AA46" s="5" t="s">
        <v>46</v>
      </c>
      <c r="AB46" s="4" t="s">
        <v>63</v>
      </c>
      <c r="AC46" s="4" t="s">
        <v>46</v>
      </c>
      <c r="AD46" s="5">
        <v>0</v>
      </c>
      <c r="AE46" s="4" t="s">
        <v>64</v>
      </c>
      <c r="AF46" s="3">
        <v>45444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55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45945</v>
      </c>
      <c r="C47" s="4" t="s">
        <v>89</v>
      </c>
      <c r="D47" s="2">
        <v>1509770</v>
      </c>
      <c r="E47" s="4" t="s">
        <v>166</v>
      </c>
      <c r="F47" s="4" t="s">
        <v>167</v>
      </c>
      <c r="G47" s="2">
        <v>96261115</v>
      </c>
      <c r="H47" s="4" t="s">
        <v>46</v>
      </c>
      <c r="I47" s="4" t="s">
        <v>46</v>
      </c>
      <c r="J47" s="4" t="s">
        <v>47</v>
      </c>
      <c r="K47" s="4" t="s">
        <v>48</v>
      </c>
      <c r="L47" s="3">
        <v>45931</v>
      </c>
      <c r="M47" s="4" t="s">
        <v>60</v>
      </c>
      <c r="N47" s="4" t="s">
        <v>46</v>
      </c>
      <c r="O47" s="4" t="s">
        <v>61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1</v>
      </c>
      <c r="W47" s="5">
        <v>0</v>
      </c>
      <c r="X47" s="5">
        <v>100</v>
      </c>
      <c r="Y47" s="5">
        <v>26.08</v>
      </c>
      <c r="Z47" s="4" t="s">
        <v>46</v>
      </c>
      <c r="AA47" s="5" t="s">
        <v>46</v>
      </c>
      <c r="AB47" s="4" t="s">
        <v>63</v>
      </c>
      <c r="AC47" s="4" t="s">
        <v>46</v>
      </c>
      <c r="AD47" s="5">
        <v>0</v>
      </c>
      <c r="AE47" s="4" t="s">
        <v>64</v>
      </c>
      <c r="AF47" s="3">
        <v>45474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55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45945</v>
      </c>
      <c r="C48" s="4" t="s">
        <v>89</v>
      </c>
      <c r="D48" s="2">
        <v>1509770</v>
      </c>
      <c r="E48" s="4" t="s">
        <v>168</v>
      </c>
      <c r="F48" s="4" t="s">
        <v>169</v>
      </c>
      <c r="G48" s="2">
        <v>65002716</v>
      </c>
      <c r="H48" s="4" t="s">
        <v>46</v>
      </c>
      <c r="I48" s="4" t="s">
        <v>46</v>
      </c>
      <c r="J48" s="4" t="s">
        <v>47</v>
      </c>
      <c r="K48" s="4" t="s">
        <v>48</v>
      </c>
      <c r="L48" s="3">
        <v>45931</v>
      </c>
      <c r="M48" s="4" t="s">
        <v>60</v>
      </c>
      <c r="N48" s="4" t="s">
        <v>46</v>
      </c>
      <c r="O48" s="4" t="s">
        <v>61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1</v>
      </c>
      <c r="W48" s="5">
        <v>0</v>
      </c>
      <c r="X48" s="5">
        <v>100</v>
      </c>
      <c r="Y48" s="5">
        <v>26.08</v>
      </c>
      <c r="Z48" s="4" t="s">
        <v>46</v>
      </c>
      <c r="AA48" s="5" t="s">
        <v>46</v>
      </c>
      <c r="AB48" s="4" t="s">
        <v>63</v>
      </c>
      <c r="AC48" s="4" t="s">
        <v>46</v>
      </c>
      <c r="AD48" s="5">
        <v>0</v>
      </c>
      <c r="AE48" s="4" t="s">
        <v>64</v>
      </c>
      <c r="AF48" s="3">
        <v>45444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55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45945</v>
      </c>
      <c r="C49" s="4" t="s">
        <v>89</v>
      </c>
      <c r="D49" s="2">
        <v>1509770</v>
      </c>
      <c r="E49" s="4" t="s">
        <v>170</v>
      </c>
      <c r="F49" s="4" t="s">
        <v>171</v>
      </c>
      <c r="G49" s="2">
        <v>841443335</v>
      </c>
      <c r="H49" s="4" t="s">
        <v>46</v>
      </c>
      <c r="I49" s="4" t="s">
        <v>46</v>
      </c>
      <c r="J49" s="4" t="s">
        <v>47</v>
      </c>
      <c r="K49" s="4" t="s">
        <v>48</v>
      </c>
      <c r="L49" s="3">
        <v>45931</v>
      </c>
      <c r="M49" s="4" t="s">
        <v>60</v>
      </c>
      <c r="N49" s="4" t="s">
        <v>46</v>
      </c>
      <c r="O49" s="4" t="s">
        <v>61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1</v>
      </c>
      <c r="W49" s="5">
        <v>0</v>
      </c>
      <c r="X49" s="5">
        <v>100</v>
      </c>
      <c r="Y49" s="5">
        <v>26.08</v>
      </c>
      <c r="Z49" s="4" t="s">
        <v>46</v>
      </c>
      <c r="AA49" s="5" t="s">
        <v>46</v>
      </c>
      <c r="AB49" s="4" t="s">
        <v>63</v>
      </c>
      <c r="AC49" s="4" t="s">
        <v>46</v>
      </c>
      <c r="AD49" s="5">
        <v>0</v>
      </c>
      <c r="AE49" s="4" t="s">
        <v>64</v>
      </c>
      <c r="AF49" s="3">
        <v>45505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45945</v>
      </c>
      <c r="C50" s="4" t="s">
        <v>89</v>
      </c>
      <c r="D50" s="2">
        <v>1509770</v>
      </c>
      <c r="E50" s="4" t="s">
        <v>172</v>
      </c>
      <c r="F50" s="4" t="s">
        <v>173</v>
      </c>
      <c r="G50" s="2">
        <v>468768234</v>
      </c>
      <c r="H50" s="4" t="s">
        <v>46</v>
      </c>
      <c r="I50" s="4" t="s">
        <v>46</v>
      </c>
      <c r="J50" s="4" t="s">
        <v>47</v>
      </c>
      <c r="K50" s="4" t="s">
        <v>48</v>
      </c>
      <c r="L50" s="3">
        <v>45931</v>
      </c>
      <c r="M50" s="4" t="s">
        <v>60</v>
      </c>
      <c r="N50" s="4" t="s">
        <v>46</v>
      </c>
      <c r="O50" s="4" t="s">
        <v>61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1</v>
      </c>
      <c r="W50" s="5">
        <v>0</v>
      </c>
      <c r="X50" s="5">
        <v>100</v>
      </c>
      <c r="Y50" s="5">
        <v>26.08</v>
      </c>
      <c r="Z50" s="4" t="s">
        <v>46</v>
      </c>
      <c r="AA50" s="5" t="s">
        <v>46</v>
      </c>
      <c r="AB50" s="4" t="s">
        <v>63</v>
      </c>
      <c r="AC50" s="4" t="s">
        <v>46</v>
      </c>
      <c r="AD50" s="5">
        <v>0</v>
      </c>
      <c r="AE50" s="4" t="s">
        <v>64</v>
      </c>
      <c r="AF50" s="3">
        <v>45597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45945</v>
      </c>
      <c r="C51" s="4" t="s">
        <v>89</v>
      </c>
      <c r="D51" s="2">
        <v>1509770</v>
      </c>
      <c r="E51" s="4" t="s">
        <v>174</v>
      </c>
      <c r="F51" s="4" t="s">
        <v>175</v>
      </c>
      <c r="G51" s="2">
        <v>431113124</v>
      </c>
      <c r="H51" s="4" t="s">
        <v>46</v>
      </c>
      <c r="I51" s="4" t="s">
        <v>46</v>
      </c>
      <c r="J51" s="4" t="s">
        <v>47</v>
      </c>
      <c r="K51" s="4" t="s">
        <v>48</v>
      </c>
      <c r="L51" s="3">
        <v>45931</v>
      </c>
      <c r="M51" s="4" t="s">
        <v>60</v>
      </c>
      <c r="N51" s="4" t="s">
        <v>46</v>
      </c>
      <c r="O51" s="4" t="s">
        <v>61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1</v>
      </c>
      <c r="W51" s="5">
        <v>0</v>
      </c>
      <c r="X51" s="5">
        <v>100</v>
      </c>
      <c r="Y51" s="5">
        <v>26.08</v>
      </c>
      <c r="Z51" s="4" t="s">
        <v>46</v>
      </c>
      <c r="AA51" s="5" t="s">
        <v>46</v>
      </c>
      <c r="AB51" s="4" t="s">
        <v>63</v>
      </c>
      <c r="AC51" s="4" t="s">
        <v>46</v>
      </c>
      <c r="AD51" s="5">
        <v>0</v>
      </c>
      <c r="AE51" s="4" t="s">
        <v>64</v>
      </c>
      <c r="AF51" s="3">
        <v>45566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55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45945</v>
      </c>
      <c r="C52" s="4" t="s">
        <v>89</v>
      </c>
      <c r="D52" s="2">
        <v>1509770</v>
      </c>
      <c r="E52" s="4" t="s">
        <v>176</v>
      </c>
      <c r="F52" s="4" t="s">
        <v>177</v>
      </c>
      <c r="G52" s="2">
        <v>582236473</v>
      </c>
      <c r="H52" s="4" t="s">
        <v>46</v>
      </c>
      <c r="I52" s="4" t="s">
        <v>46</v>
      </c>
      <c r="J52" s="4" t="s">
        <v>47</v>
      </c>
      <c r="K52" s="4" t="s">
        <v>48</v>
      </c>
      <c r="L52" s="3">
        <v>45931</v>
      </c>
      <c r="M52" s="4" t="s">
        <v>60</v>
      </c>
      <c r="N52" s="4" t="s">
        <v>46</v>
      </c>
      <c r="O52" s="4" t="s">
        <v>61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103</v>
      </c>
      <c r="U52" s="4" t="s">
        <v>46</v>
      </c>
      <c r="V52" s="5">
        <v>1</v>
      </c>
      <c r="W52" s="5">
        <v>0</v>
      </c>
      <c r="X52" s="5">
        <v>100</v>
      </c>
      <c r="Y52" s="5">
        <v>26.08</v>
      </c>
      <c r="Z52" s="4" t="s">
        <v>46</v>
      </c>
      <c r="AA52" s="5" t="s">
        <v>46</v>
      </c>
      <c r="AB52" s="4" t="s">
        <v>63</v>
      </c>
      <c r="AC52" s="4" t="s">
        <v>46</v>
      </c>
      <c r="AD52" s="5">
        <v>0</v>
      </c>
      <c r="AE52" s="4" t="s">
        <v>64</v>
      </c>
      <c r="AF52" s="3">
        <v>45627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65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45945</v>
      </c>
      <c r="C53" s="4" t="s">
        <v>89</v>
      </c>
      <c r="D53" s="2">
        <v>1509770</v>
      </c>
      <c r="E53" s="4" t="s">
        <v>178</v>
      </c>
      <c r="F53" s="4" t="s">
        <v>179</v>
      </c>
      <c r="G53" s="2">
        <v>434909034</v>
      </c>
      <c r="H53" s="4" t="s">
        <v>46</v>
      </c>
      <c r="I53" s="4" t="s">
        <v>46</v>
      </c>
      <c r="J53" s="4" t="s">
        <v>47</v>
      </c>
      <c r="K53" s="4" t="s">
        <v>48</v>
      </c>
      <c r="L53" s="3">
        <v>45931</v>
      </c>
      <c r="M53" s="4" t="s">
        <v>60</v>
      </c>
      <c r="N53" s="4" t="s">
        <v>46</v>
      </c>
      <c r="O53" s="4" t="s">
        <v>61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62</v>
      </c>
      <c r="U53" s="4" t="s">
        <v>46</v>
      </c>
      <c r="V53" s="5">
        <v>1</v>
      </c>
      <c r="W53" s="5">
        <v>0</v>
      </c>
      <c r="X53" s="5">
        <v>100</v>
      </c>
      <c r="Y53" s="5">
        <v>26.08</v>
      </c>
      <c r="Z53" s="4" t="s">
        <v>46</v>
      </c>
      <c r="AA53" s="5" t="s">
        <v>46</v>
      </c>
      <c r="AB53" s="4" t="s">
        <v>63</v>
      </c>
      <c r="AC53" s="4" t="s">
        <v>46</v>
      </c>
      <c r="AD53" s="5">
        <v>0</v>
      </c>
      <c r="AE53" s="4" t="s">
        <v>64</v>
      </c>
      <c r="AF53" s="3">
        <v>45597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104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45945</v>
      </c>
      <c r="C54" s="4" t="s">
        <v>89</v>
      </c>
      <c r="D54" s="2">
        <v>1509770</v>
      </c>
      <c r="E54" s="4" t="s">
        <v>180</v>
      </c>
      <c r="F54" s="4" t="s">
        <v>181</v>
      </c>
      <c r="G54" s="2">
        <v>89519214</v>
      </c>
      <c r="H54" s="4" t="s">
        <v>46</v>
      </c>
      <c r="I54" s="4" t="s">
        <v>46</v>
      </c>
      <c r="J54" s="4" t="s">
        <v>47</v>
      </c>
      <c r="K54" s="4" t="s">
        <v>48</v>
      </c>
      <c r="L54" s="3">
        <v>45931</v>
      </c>
      <c r="M54" s="4" t="s">
        <v>60</v>
      </c>
      <c r="N54" s="4" t="s">
        <v>46</v>
      </c>
      <c r="O54" s="4" t="s">
        <v>61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1</v>
      </c>
      <c r="W54" s="5">
        <v>0</v>
      </c>
      <c r="X54" s="5">
        <v>100</v>
      </c>
      <c r="Y54" s="5">
        <v>26.08</v>
      </c>
      <c r="Z54" s="4" t="s">
        <v>46</v>
      </c>
      <c r="AA54" s="5" t="s">
        <v>46</v>
      </c>
      <c r="AB54" s="4" t="s">
        <v>63</v>
      </c>
      <c r="AC54" s="4" t="s">
        <v>46</v>
      </c>
      <c r="AD54" s="5">
        <v>0</v>
      </c>
      <c r="AE54" s="4" t="s">
        <v>64</v>
      </c>
      <c r="AF54" s="3">
        <v>45627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55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45945</v>
      </c>
      <c r="C55" s="4" t="s">
        <v>89</v>
      </c>
      <c r="D55" s="2">
        <v>1509770</v>
      </c>
      <c r="E55" s="4" t="s">
        <v>182</v>
      </c>
      <c r="F55" s="4" t="s">
        <v>183</v>
      </c>
      <c r="G55" s="2">
        <v>81022024</v>
      </c>
      <c r="H55" s="4" t="s">
        <v>46</v>
      </c>
      <c r="I55" s="4" t="s">
        <v>46</v>
      </c>
      <c r="J55" s="4" t="s">
        <v>47</v>
      </c>
      <c r="K55" s="4" t="s">
        <v>48</v>
      </c>
      <c r="L55" s="3">
        <v>45931</v>
      </c>
      <c r="M55" s="4" t="s">
        <v>60</v>
      </c>
      <c r="N55" s="4" t="s">
        <v>46</v>
      </c>
      <c r="O55" s="4" t="s">
        <v>61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62</v>
      </c>
      <c r="U55" s="4" t="s">
        <v>46</v>
      </c>
      <c r="V55" s="5">
        <v>1</v>
      </c>
      <c r="W55" s="5">
        <v>0</v>
      </c>
      <c r="X55" s="5">
        <v>100</v>
      </c>
      <c r="Y55" s="5">
        <v>26.08</v>
      </c>
      <c r="Z55" s="4" t="s">
        <v>46</v>
      </c>
      <c r="AA55" s="5" t="s">
        <v>46</v>
      </c>
      <c r="AB55" s="4" t="s">
        <v>63</v>
      </c>
      <c r="AC55" s="4" t="s">
        <v>46</v>
      </c>
      <c r="AD55" s="5">
        <v>0</v>
      </c>
      <c r="AE55" s="4" t="s">
        <v>64</v>
      </c>
      <c r="AF55" s="3">
        <v>45627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104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45945</v>
      </c>
      <c r="C56" s="4" t="s">
        <v>89</v>
      </c>
      <c r="D56" s="2">
        <v>1509770</v>
      </c>
      <c r="E56" s="4" t="s">
        <v>184</v>
      </c>
      <c r="F56" s="4" t="s">
        <v>185</v>
      </c>
      <c r="G56" s="2">
        <v>659822155</v>
      </c>
      <c r="H56" s="4" t="s">
        <v>46</v>
      </c>
      <c r="I56" s="4" t="s">
        <v>46</v>
      </c>
      <c r="J56" s="4" t="s">
        <v>47</v>
      </c>
      <c r="K56" s="4" t="s">
        <v>48</v>
      </c>
      <c r="L56" s="3">
        <v>45931</v>
      </c>
      <c r="M56" s="4" t="s">
        <v>60</v>
      </c>
      <c r="N56" s="4" t="s">
        <v>46</v>
      </c>
      <c r="O56" s="4" t="s">
        <v>61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1</v>
      </c>
      <c r="W56" s="5">
        <v>0</v>
      </c>
      <c r="X56" s="5">
        <v>100</v>
      </c>
      <c r="Y56" s="5">
        <v>26.08</v>
      </c>
      <c r="Z56" s="4" t="s">
        <v>46</v>
      </c>
      <c r="AA56" s="5" t="s">
        <v>46</v>
      </c>
      <c r="AB56" s="4" t="s">
        <v>63</v>
      </c>
      <c r="AC56" s="4" t="s">
        <v>46</v>
      </c>
      <c r="AD56" s="5">
        <v>0</v>
      </c>
      <c r="AE56" s="4" t="s">
        <v>64</v>
      </c>
      <c r="AF56" s="3">
        <v>45597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45945</v>
      </c>
      <c r="C57" s="4" t="s">
        <v>89</v>
      </c>
      <c r="D57" s="2">
        <v>1509770</v>
      </c>
      <c r="E57" s="4" t="s">
        <v>186</v>
      </c>
      <c r="F57" s="4" t="s">
        <v>187</v>
      </c>
      <c r="G57" s="2">
        <v>57844271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45931</v>
      </c>
      <c r="M57" s="4" t="s">
        <v>60</v>
      </c>
      <c r="N57" s="4" t="s">
        <v>46</v>
      </c>
      <c r="O57" s="4" t="s">
        <v>61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52</v>
      </c>
      <c r="U57" s="4" t="s">
        <v>46</v>
      </c>
      <c r="V57" s="5">
        <v>1</v>
      </c>
      <c r="W57" s="5">
        <v>0</v>
      </c>
      <c r="X57" s="5">
        <v>100</v>
      </c>
      <c r="Y57" s="5">
        <v>26.08</v>
      </c>
      <c r="Z57" s="4" t="s">
        <v>46</v>
      </c>
      <c r="AA57" s="5" t="s">
        <v>46</v>
      </c>
      <c r="AB57" s="4" t="s">
        <v>63</v>
      </c>
      <c r="AC57" s="4" t="s">
        <v>46</v>
      </c>
      <c r="AD57" s="5">
        <v>0</v>
      </c>
      <c r="AE57" s="4" t="s">
        <v>64</v>
      </c>
      <c r="AF57" s="3">
        <v>45627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55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45945</v>
      </c>
      <c r="C58" s="4" t="s">
        <v>188</v>
      </c>
      <c r="D58" s="2">
        <v>1510420</v>
      </c>
      <c r="E58" s="4" t="s">
        <v>189</v>
      </c>
      <c r="F58" s="4" t="s">
        <v>190</v>
      </c>
      <c r="G58" s="2">
        <v>336346032</v>
      </c>
      <c r="H58" s="4" t="s">
        <v>46</v>
      </c>
      <c r="I58" s="4" t="s">
        <v>46</v>
      </c>
      <c r="J58" s="4" t="s">
        <v>47</v>
      </c>
      <c r="K58" s="4" t="s">
        <v>48</v>
      </c>
      <c r="L58" s="3">
        <v>45931</v>
      </c>
      <c r="M58" s="4" t="s">
        <v>60</v>
      </c>
      <c r="N58" s="4" t="s">
        <v>46</v>
      </c>
      <c r="O58" s="4" t="s">
        <v>61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1</v>
      </c>
      <c r="W58" s="5">
        <v>0</v>
      </c>
      <c r="X58" s="5">
        <v>100</v>
      </c>
      <c r="Y58" s="5">
        <v>26.08</v>
      </c>
      <c r="Z58" s="4" t="s">
        <v>46</v>
      </c>
      <c r="AA58" s="5" t="s">
        <v>46</v>
      </c>
      <c r="AB58" s="4" t="s">
        <v>63</v>
      </c>
      <c r="AC58" s="4" t="s">
        <v>46</v>
      </c>
      <c r="AD58" s="5">
        <v>0</v>
      </c>
      <c r="AE58" s="4" t="s">
        <v>64</v>
      </c>
      <c r="AF58" s="3">
        <v>45505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55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45945</v>
      </c>
      <c r="C59" s="4" t="s">
        <v>188</v>
      </c>
      <c r="D59" s="2">
        <v>1510420</v>
      </c>
      <c r="E59" s="4" t="s">
        <v>191</v>
      </c>
      <c r="F59" s="4" t="s">
        <v>192</v>
      </c>
      <c r="G59" s="2">
        <v>115226083</v>
      </c>
      <c r="H59" s="4" t="s">
        <v>46</v>
      </c>
      <c r="I59" s="4" t="s">
        <v>46</v>
      </c>
      <c r="J59" s="4" t="s">
        <v>47</v>
      </c>
      <c r="K59" s="4" t="s">
        <v>48</v>
      </c>
      <c r="L59" s="3">
        <v>45931</v>
      </c>
      <c r="M59" s="4" t="s">
        <v>60</v>
      </c>
      <c r="N59" s="4" t="s">
        <v>46</v>
      </c>
      <c r="O59" s="4" t="s">
        <v>61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1</v>
      </c>
      <c r="W59" s="5">
        <v>0</v>
      </c>
      <c r="X59" s="5">
        <v>100</v>
      </c>
      <c r="Y59" s="5">
        <v>26.08</v>
      </c>
      <c r="Z59" s="4" t="s">
        <v>46</v>
      </c>
      <c r="AA59" s="5" t="s">
        <v>46</v>
      </c>
      <c r="AB59" s="4" t="s">
        <v>63</v>
      </c>
      <c r="AC59" s="4" t="s">
        <v>46</v>
      </c>
      <c r="AD59" s="5">
        <v>0</v>
      </c>
      <c r="AE59" s="4" t="s">
        <v>64</v>
      </c>
      <c r="AF59" s="3">
        <v>45474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55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45945</v>
      </c>
      <c r="C60" s="4" t="s">
        <v>188</v>
      </c>
      <c r="D60" s="2">
        <v>1510420</v>
      </c>
      <c r="E60" s="4" t="s">
        <v>193</v>
      </c>
      <c r="F60" s="4" t="s">
        <v>194</v>
      </c>
      <c r="G60" s="2">
        <v>932143415</v>
      </c>
      <c r="H60" s="4" t="s">
        <v>46</v>
      </c>
      <c r="I60" s="4" t="s">
        <v>46</v>
      </c>
      <c r="J60" s="4" t="s">
        <v>47</v>
      </c>
      <c r="K60" s="4" t="s">
        <v>48</v>
      </c>
      <c r="L60" s="3">
        <v>45931</v>
      </c>
      <c r="M60" s="4" t="s">
        <v>60</v>
      </c>
      <c r="N60" s="4" t="s">
        <v>46</v>
      </c>
      <c r="O60" s="4" t="s">
        <v>61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62</v>
      </c>
      <c r="U60" s="4" t="s">
        <v>46</v>
      </c>
      <c r="V60" s="5">
        <v>1</v>
      </c>
      <c r="W60" s="5">
        <v>0</v>
      </c>
      <c r="X60" s="5">
        <v>100</v>
      </c>
      <c r="Y60" s="5">
        <v>26.08</v>
      </c>
      <c r="Z60" s="4" t="s">
        <v>46</v>
      </c>
      <c r="AA60" s="5" t="s">
        <v>46</v>
      </c>
      <c r="AB60" s="4" t="s">
        <v>63</v>
      </c>
      <c r="AC60" s="4" t="s">
        <v>46</v>
      </c>
      <c r="AD60" s="5">
        <v>0</v>
      </c>
      <c r="AE60" s="4" t="s">
        <v>64</v>
      </c>
      <c r="AF60" s="3">
        <v>45505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73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45945</v>
      </c>
      <c r="C61" s="4" t="s">
        <v>188</v>
      </c>
      <c r="D61" s="2">
        <v>1510420</v>
      </c>
      <c r="E61" s="4" t="s">
        <v>195</v>
      </c>
      <c r="F61" s="4" t="s">
        <v>196</v>
      </c>
      <c r="G61" s="2">
        <v>343340553</v>
      </c>
      <c r="H61" s="4" t="s">
        <v>46</v>
      </c>
      <c r="I61" s="4" t="s">
        <v>46</v>
      </c>
      <c r="J61" s="4" t="s">
        <v>47</v>
      </c>
      <c r="K61" s="4" t="s">
        <v>48</v>
      </c>
      <c r="L61" s="3">
        <v>45931</v>
      </c>
      <c r="M61" s="4" t="s">
        <v>60</v>
      </c>
      <c r="N61" s="4" t="s">
        <v>46</v>
      </c>
      <c r="O61" s="4" t="s">
        <v>61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1</v>
      </c>
      <c r="W61" s="5">
        <v>0</v>
      </c>
      <c r="X61" s="5">
        <v>100</v>
      </c>
      <c r="Y61" s="5">
        <v>26.08</v>
      </c>
      <c r="Z61" s="4" t="s">
        <v>46</v>
      </c>
      <c r="AA61" s="5" t="s">
        <v>46</v>
      </c>
      <c r="AB61" s="4" t="s">
        <v>63</v>
      </c>
      <c r="AC61" s="4" t="s">
        <v>46</v>
      </c>
      <c r="AD61" s="5">
        <v>0</v>
      </c>
      <c r="AE61" s="4" t="s">
        <v>64</v>
      </c>
      <c r="AF61" s="3">
        <v>45505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45945</v>
      </c>
      <c r="C62" s="4" t="s">
        <v>188</v>
      </c>
      <c r="D62" s="2">
        <v>1510420</v>
      </c>
      <c r="E62" s="4" t="s">
        <v>197</v>
      </c>
      <c r="F62" s="4" t="s">
        <v>198</v>
      </c>
      <c r="G62" s="2">
        <v>464420083</v>
      </c>
      <c r="H62" s="4" t="s">
        <v>46</v>
      </c>
      <c r="I62" s="4" t="s">
        <v>46</v>
      </c>
      <c r="J62" s="4" t="s">
        <v>47</v>
      </c>
      <c r="K62" s="4" t="s">
        <v>48</v>
      </c>
      <c r="L62" s="3">
        <v>45931</v>
      </c>
      <c r="M62" s="4" t="s">
        <v>60</v>
      </c>
      <c r="N62" s="4" t="s">
        <v>46</v>
      </c>
      <c r="O62" s="4" t="s">
        <v>61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1</v>
      </c>
      <c r="W62" s="5">
        <v>0</v>
      </c>
      <c r="X62" s="5">
        <v>100</v>
      </c>
      <c r="Y62" s="5">
        <v>26.08</v>
      </c>
      <c r="Z62" s="4" t="s">
        <v>46</v>
      </c>
      <c r="AA62" s="5" t="s">
        <v>46</v>
      </c>
      <c r="AB62" s="4" t="s">
        <v>63</v>
      </c>
      <c r="AC62" s="4" t="s">
        <v>46</v>
      </c>
      <c r="AD62" s="5">
        <v>0</v>
      </c>
      <c r="AE62" s="4" t="s">
        <v>64</v>
      </c>
      <c r="AF62" s="3">
        <v>45536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55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45945</v>
      </c>
      <c r="C63" s="4" t="s">
        <v>188</v>
      </c>
      <c r="D63" s="2">
        <v>1510420</v>
      </c>
      <c r="E63" s="4" t="s">
        <v>199</v>
      </c>
      <c r="F63" s="4" t="s">
        <v>200</v>
      </c>
      <c r="G63" s="2">
        <v>134268303</v>
      </c>
      <c r="H63" s="4" t="s">
        <v>46</v>
      </c>
      <c r="I63" s="4" t="s">
        <v>46</v>
      </c>
      <c r="J63" s="4" t="s">
        <v>47</v>
      </c>
      <c r="K63" s="4" t="s">
        <v>48</v>
      </c>
      <c r="L63" s="3">
        <v>45931</v>
      </c>
      <c r="M63" s="4" t="s">
        <v>60</v>
      </c>
      <c r="N63" s="4" t="s">
        <v>46</v>
      </c>
      <c r="O63" s="4" t="s">
        <v>61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1</v>
      </c>
      <c r="W63" s="5">
        <v>0</v>
      </c>
      <c r="X63" s="5">
        <v>100</v>
      </c>
      <c r="Y63" s="5">
        <v>26.08</v>
      </c>
      <c r="Z63" s="4" t="s">
        <v>46</v>
      </c>
      <c r="AA63" s="5" t="s">
        <v>46</v>
      </c>
      <c r="AB63" s="4" t="s">
        <v>63</v>
      </c>
      <c r="AC63" s="4" t="s">
        <v>46</v>
      </c>
      <c r="AD63" s="5">
        <v>0</v>
      </c>
      <c r="AE63" s="4" t="s">
        <v>64</v>
      </c>
      <c r="AF63" s="3">
        <v>45566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45945</v>
      </c>
      <c r="C64" s="4" t="s">
        <v>188</v>
      </c>
      <c r="D64" s="2">
        <v>1510420</v>
      </c>
      <c r="E64" s="4" t="s">
        <v>201</v>
      </c>
      <c r="F64" s="4" t="s">
        <v>202</v>
      </c>
      <c r="G64" s="2">
        <v>974299156</v>
      </c>
      <c r="H64" s="4" t="s">
        <v>46</v>
      </c>
      <c r="I64" s="4" t="s">
        <v>46</v>
      </c>
      <c r="J64" s="4" t="s">
        <v>47</v>
      </c>
      <c r="K64" s="4" t="s">
        <v>48</v>
      </c>
      <c r="L64" s="3">
        <v>45931</v>
      </c>
      <c r="M64" s="4" t="s">
        <v>60</v>
      </c>
      <c r="N64" s="4" t="s">
        <v>46</v>
      </c>
      <c r="O64" s="4" t="s">
        <v>61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52</v>
      </c>
      <c r="U64" s="4" t="s">
        <v>46</v>
      </c>
      <c r="V64" s="5">
        <v>1</v>
      </c>
      <c r="W64" s="5">
        <v>0</v>
      </c>
      <c r="X64" s="5">
        <v>100</v>
      </c>
      <c r="Y64" s="5">
        <v>26.08</v>
      </c>
      <c r="Z64" s="4" t="s">
        <v>46</v>
      </c>
      <c r="AA64" s="5" t="s">
        <v>46</v>
      </c>
      <c r="AB64" s="4" t="s">
        <v>63</v>
      </c>
      <c r="AC64" s="4" t="s">
        <v>46</v>
      </c>
      <c r="AD64" s="5">
        <v>0</v>
      </c>
      <c r="AE64" s="4" t="s">
        <v>64</v>
      </c>
      <c r="AF64" s="3">
        <v>45536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55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45945</v>
      </c>
      <c r="C65" s="4" t="s">
        <v>188</v>
      </c>
      <c r="D65" s="2">
        <v>1510420</v>
      </c>
      <c r="E65" s="4" t="s">
        <v>203</v>
      </c>
      <c r="F65" s="4" t="s">
        <v>204</v>
      </c>
      <c r="G65" s="2">
        <v>392235213</v>
      </c>
      <c r="H65" s="4" t="s">
        <v>46</v>
      </c>
      <c r="I65" s="4" t="s">
        <v>46</v>
      </c>
      <c r="J65" s="4" t="s">
        <v>47</v>
      </c>
      <c r="K65" s="4" t="s">
        <v>48</v>
      </c>
      <c r="L65" s="3">
        <v>45931</v>
      </c>
      <c r="M65" s="4" t="s">
        <v>60</v>
      </c>
      <c r="N65" s="4" t="s">
        <v>46</v>
      </c>
      <c r="O65" s="4" t="s">
        <v>61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52</v>
      </c>
      <c r="U65" s="4" t="s">
        <v>46</v>
      </c>
      <c r="V65" s="5">
        <v>1</v>
      </c>
      <c r="W65" s="5">
        <v>0</v>
      </c>
      <c r="X65" s="5">
        <v>100</v>
      </c>
      <c r="Y65" s="5">
        <v>26.08</v>
      </c>
      <c r="Z65" s="4" t="s">
        <v>46</v>
      </c>
      <c r="AA65" s="5" t="s">
        <v>46</v>
      </c>
      <c r="AB65" s="4" t="s">
        <v>63</v>
      </c>
      <c r="AC65" s="4" t="s">
        <v>46</v>
      </c>
      <c r="AD65" s="5">
        <v>0</v>
      </c>
      <c r="AE65" s="4" t="s">
        <v>64</v>
      </c>
      <c r="AF65" s="3">
        <v>45566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55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45945</v>
      </c>
      <c r="C66" s="4" t="s">
        <v>188</v>
      </c>
      <c r="D66" s="2">
        <v>1510420</v>
      </c>
      <c r="E66" s="4" t="s">
        <v>205</v>
      </c>
      <c r="F66" s="4" t="s">
        <v>206</v>
      </c>
      <c r="G66" s="2">
        <v>800983464</v>
      </c>
      <c r="H66" s="4" t="s">
        <v>46</v>
      </c>
      <c r="I66" s="4" t="s">
        <v>46</v>
      </c>
      <c r="J66" s="4" t="s">
        <v>47</v>
      </c>
      <c r="K66" s="4" t="s">
        <v>48</v>
      </c>
      <c r="L66" s="3">
        <v>45931</v>
      </c>
      <c r="M66" s="4" t="s">
        <v>60</v>
      </c>
      <c r="N66" s="4" t="s">
        <v>46</v>
      </c>
      <c r="O66" s="4" t="s">
        <v>61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62</v>
      </c>
      <c r="U66" s="4" t="s">
        <v>46</v>
      </c>
      <c r="V66" s="5">
        <v>1</v>
      </c>
      <c r="W66" s="5">
        <v>0</v>
      </c>
      <c r="X66" s="5">
        <v>100</v>
      </c>
      <c r="Y66" s="5">
        <v>26.08</v>
      </c>
      <c r="Z66" s="4" t="s">
        <v>46</v>
      </c>
      <c r="AA66" s="5" t="s">
        <v>46</v>
      </c>
      <c r="AB66" s="4" t="s">
        <v>63</v>
      </c>
      <c r="AC66" s="4" t="s">
        <v>46</v>
      </c>
      <c r="AD66" s="5">
        <v>0</v>
      </c>
      <c r="AE66" s="4" t="s">
        <v>64</v>
      </c>
      <c r="AF66" s="3">
        <v>45536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73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45945</v>
      </c>
      <c r="C67" s="4" t="s">
        <v>188</v>
      </c>
      <c r="D67" s="2">
        <v>1510420</v>
      </c>
      <c r="E67" s="4" t="s">
        <v>207</v>
      </c>
      <c r="F67" s="4" t="s">
        <v>208</v>
      </c>
      <c r="G67" s="2">
        <v>290893033</v>
      </c>
      <c r="H67" s="4" t="s">
        <v>46</v>
      </c>
      <c r="I67" s="4" t="s">
        <v>46</v>
      </c>
      <c r="J67" s="4" t="s">
        <v>47</v>
      </c>
      <c r="K67" s="4" t="s">
        <v>48</v>
      </c>
      <c r="L67" s="3">
        <v>45931</v>
      </c>
      <c r="M67" s="4" t="s">
        <v>60</v>
      </c>
      <c r="N67" s="4" t="s">
        <v>46</v>
      </c>
      <c r="O67" s="4" t="s">
        <v>61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1</v>
      </c>
      <c r="W67" s="5">
        <v>0</v>
      </c>
      <c r="X67" s="5">
        <v>100</v>
      </c>
      <c r="Y67" s="5">
        <v>26.08</v>
      </c>
      <c r="Z67" s="4" t="s">
        <v>46</v>
      </c>
      <c r="AA67" s="5" t="s">
        <v>46</v>
      </c>
      <c r="AB67" s="4" t="s">
        <v>63</v>
      </c>
      <c r="AC67" s="4" t="s">
        <v>46</v>
      </c>
      <c r="AD67" s="5">
        <v>0</v>
      </c>
      <c r="AE67" s="4" t="s">
        <v>64</v>
      </c>
      <c r="AF67" s="3">
        <v>45566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55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45945</v>
      </c>
      <c r="C68" s="4" t="s">
        <v>188</v>
      </c>
      <c r="D68" s="2">
        <v>1510420</v>
      </c>
      <c r="E68" s="4" t="s">
        <v>209</v>
      </c>
      <c r="F68" s="4" t="s">
        <v>210</v>
      </c>
      <c r="G68" s="2">
        <v>349115403</v>
      </c>
      <c r="H68" s="4" t="s">
        <v>46</v>
      </c>
      <c r="I68" s="4" t="s">
        <v>46</v>
      </c>
      <c r="J68" s="4" t="s">
        <v>47</v>
      </c>
      <c r="K68" s="4" t="s">
        <v>48</v>
      </c>
      <c r="L68" s="3">
        <v>45931</v>
      </c>
      <c r="M68" s="4" t="s">
        <v>60</v>
      </c>
      <c r="N68" s="4" t="s">
        <v>46</v>
      </c>
      <c r="O68" s="4" t="s">
        <v>61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1</v>
      </c>
      <c r="W68" s="5">
        <v>0</v>
      </c>
      <c r="X68" s="5">
        <v>100</v>
      </c>
      <c r="Y68" s="5">
        <v>26.08</v>
      </c>
      <c r="Z68" s="4" t="s">
        <v>46</v>
      </c>
      <c r="AA68" s="5" t="s">
        <v>46</v>
      </c>
      <c r="AB68" s="4" t="s">
        <v>63</v>
      </c>
      <c r="AC68" s="4" t="s">
        <v>46</v>
      </c>
      <c r="AD68" s="5">
        <v>0</v>
      </c>
      <c r="AE68" s="4" t="s">
        <v>64</v>
      </c>
      <c r="AF68" s="3">
        <v>45566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55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45945</v>
      </c>
      <c r="C69" s="4" t="s">
        <v>188</v>
      </c>
      <c r="D69" s="2">
        <v>1510420</v>
      </c>
      <c r="E69" s="4" t="s">
        <v>211</v>
      </c>
      <c r="F69" s="4" t="s">
        <v>212</v>
      </c>
      <c r="G69" s="2">
        <v>836319241</v>
      </c>
      <c r="H69" s="4" t="s">
        <v>46</v>
      </c>
      <c r="I69" s="4" t="s">
        <v>46</v>
      </c>
      <c r="J69" s="4" t="s">
        <v>47</v>
      </c>
      <c r="K69" s="4" t="s">
        <v>48</v>
      </c>
      <c r="L69" s="3">
        <v>45931</v>
      </c>
      <c r="M69" s="4" t="s">
        <v>60</v>
      </c>
      <c r="N69" s="4" t="s">
        <v>46</v>
      </c>
      <c r="O69" s="4" t="s">
        <v>61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52</v>
      </c>
      <c r="U69" s="4" t="s">
        <v>46</v>
      </c>
      <c r="V69" s="5">
        <v>1</v>
      </c>
      <c r="W69" s="5">
        <v>0</v>
      </c>
      <c r="X69" s="5">
        <v>100</v>
      </c>
      <c r="Y69" s="5">
        <v>26.08</v>
      </c>
      <c r="Z69" s="4" t="s">
        <v>46</v>
      </c>
      <c r="AA69" s="5" t="s">
        <v>46</v>
      </c>
      <c r="AB69" s="4" t="s">
        <v>63</v>
      </c>
      <c r="AC69" s="4" t="s">
        <v>46</v>
      </c>
      <c r="AD69" s="5">
        <v>0</v>
      </c>
      <c r="AE69" s="4" t="s">
        <v>64</v>
      </c>
      <c r="AF69" s="3">
        <v>45627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55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45945</v>
      </c>
      <c r="C70" s="4" t="s">
        <v>188</v>
      </c>
      <c r="D70" s="2">
        <v>1510420</v>
      </c>
      <c r="E70" s="4" t="s">
        <v>213</v>
      </c>
      <c r="F70" s="4" t="s">
        <v>214</v>
      </c>
      <c r="G70" s="2">
        <v>104932521</v>
      </c>
      <c r="H70" s="4" t="s">
        <v>46</v>
      </c>
      <c r="I70" s="4" t="s">
        <v>46</v>
      </c>
      <c r="J70" s="4" t="s">
        <v>47</v>
      </c>
      <c r="K70" s="4" t="s">
        <v>48</v>
      </c>
      <c r="L70" s="3">
        <v>45931</v>
      </c>
      <c r="M70" s="4" t="s">
        <v>60</v>
      </c>
      <c r="N70" s="4" t="s">
        <v>46</v>
      </c>
      <c r="O70" s="4" t="s">
        <v>61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52</v>
      </c>
      <c r="U70" s="4" t="s">
        <v>46</v>
      </c>
      <c r="V70" s="5">
        <v>1</v>
      </c>
      <c r="W70" s="5">
        <v>0</v>
      </c>
      <c r="X70" s="5">
        <v>100</v>
      </c>
      <c r="Y70" s="5">
        <v>26.08</v>
      </c>
      <c r="Z70" s="4" t="s">
        <v>46</v>
      </c>
      <c r="AA70" s="5" t="s">
        <v>46</v>
      </c>
      <c r="AB70" s="4" t="s">
        <v>63</v>
      </c>
      <c r="AC70" s="4" t="s">
        <v>46</v>
      </c>
      <c r="AD70" s="5">
        <v>0</v>
      </c>
      <c r="AE70" s="4" t="s">
        <v>64</v>
      </c>
      <c r="AF70" s="3">
        <v>45627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55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45945</v>
      </c>
      <c r="C71" s="4" t="s">
        <v>188</v>
      </c>
      <c r="D71" s="2">
        <v>1510420</v>
      </c>
      <c r="E71" s="4" t="s">
        <v>215</v>
      </c>
      <c r="F71" s="4" t="s">
        <v>216</v>
      </c>
      <c r="G71" s="2">
        <v>496835505</v>
      </c>
      <c r="H71" s="4" t="s">
        <v>217</v>
      </c>
      <c r="I71" s="4" t="s">
        <v>46</v>
      </c>
      <c r="J71" s="4" t="s">
        <v>47</v>
      </c>
      <c r="K71" s="4" t="s">
        <v>48</v>
      </c>
      <c r="L71" s="3">
        <v>45962</v>
      </c>
      <c r="M71" s="4" t="s">
        <v>69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52</v>
      </c>
      <c r="U71" s="4" t="s">
        <v>46</v>
      </c>
      <c r="V71" s="5">
        <v>0.17</v>
      </c>
      <c r="W71" s="5">
        <v>0</v>
      </c>
      <c r="X71" s="5">
        <v>100</v>
      </c>
      <c r="Y71" s="5">
        <v>52.17</v>
      </c>
      <c r="Z71" s="4" t="s">
        <v>46</v>
      </c>
      <c r="AA71" s="5" t="s">
        <v>46</v>
      </c>
      <c r="AB71" s="4" t="s">
        <v>56</v>
      </c>
      <c r="AC71" s="4" t="s">
        <v>46</v>
      </c>
      <c r="AD71" s="5">
        <v>0</v>
      </c>
      <c r="AE71" s="4" t="s">
        <v>57</v>
      </c>
      <c r="AF71" s="3">
        <v>45962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55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45945</v>
      </c>
      <c r="C72" s="4" t="s">
        <v>188</v>
      </c>
      <c r="D72" s="2">
        <v>1510420</v>
      </c>
      <c r="E72" s="4" t="s">
        <v>218</v>
      </c>
      <c r="F72" s="4" t="s">
        <v>219</v>
      </c>
      <c r="G72" s="2">
        <v>19548131</v>
      </c>
      <c r="H72" s="4" t="s">
        <v>220</v>
      </c>
      <c r="I72" s="4" t="s">
        <v>46</v>
      </c>
      <c r="J72" s="4" t="s">
        <v>47</v>
      </c>
      <c r="K72" s="4" t="s">
        <v>48</v>
      </c>
      <c r="L72" s="3">
        <v>45962</v>
      </c>
      <c r="M72" s="4" t="s">
        <v>69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52</v>
      </c>
      <c r="U72" s="4" t="s">
        <v>46</v>
      </c>
      <c r="V72" s="5">
        <v>0.17</v>
      </c>
      <c r="W72" s="5">
        <v>0</v>
      </c>
      <c r="X72" s="5">
        <v>100</v>
      </c>
      <c r="Y72" s="5">
        <v>52.17</v>
      </c>
      <c r="Z72" s="4" t="s">
        <v>46</v>
      </c>
      <c r="AA72" s="5" t="s">
        <v>46</v>
      </c>
      <c r="AB72" s="4" t="s">
        <v>56</v>
      </c>
      <c r="AC72" s="4" t="s">
        <v>46</v>
      </c>
      <c r="AD72" s="5">
        <v>0</v>
      </c>
      <c r="AE72" s="4" t="s">
        <v>57</v>
      </c>
      <c r="AF72" s="3">
        <v>45962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55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45945</v>
      </c>
      <c r="C73" s="4" t="s">
        <v>221</v>
      </c>
      <c r="D73" s="2">
        <v>1524629</v>
      </c>
      <c r="E73" s="4" t="s">
        <v>222</v>
      </c>
      <c r="F73" s="4" t="s">
        <v>223</v>
      </c>
      <c r="G73" s="2">
        <v>312662013</v>
      </c>
      <c r="H73" s="4" t="s">
        <v>46</v>
      </c>
      <c r="I73" s="4" t="s">
        <v>46</v>
      </c>
      <c r="J73" s="4" t="s">
        <v>47</v>
      </c>
      <c r="K73" s="4" t="s">
        <v>48</v>
      </c>
      <c r="L73" s="3">
        <v>45931</v>
      </c>
      <c r="M73" s="4" t="s">
        <v>60</v>
      </c>
      <c r="N73" s="4" t="s">
        <v>46</v>
      </c>
      <c r="O73" s="4" t="s">
        <v>61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52</v>
      </c>
      <c r="U73" s="4" t="s">
        <v>46</v>
      </c>
      <c r="V73" s="5">
        <v>1</v>
      </c>
      <c r="W73" s="5">
        <v>0</v>
      </c>
      <c r="X73" s="5">
        <v>100</v>
      </c>
      <c r="Y73" s="5">
        <v>26.08</v>
      </c>
      <c r="Z73" s="4" t="s">
        <v>46</v>
      </c>
      <c r="AA73" s="5" t="s">
        <v>46</v>
      </c>
      <c r="AB73" s="4" t="s">
        <v>63</v>
      </c>
      <c r="AC73" s="4" t="s">
        <v>46</v>
      </c>
      <c r="AD73" s="5">
        <v>0</v>
      </c>
      <c r="AE73" s="4" t="s">
        <v>64</v>
      </c>
      <c r="AF73" s="3">
        <v>45078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55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45945</v>
      </c>
      <c r="C74" s="4" t="s">
        <v>221</v>
      </c>
      <c r="D74" s="2">
        <v>1524629</v>
      </c>
      <c r="E74" s="4" t="s">
        <v>224</v>
      </c>
      <c r="F74" s="4" t="s">
        <v>225</v>
      </c>
      <c r="G74" s="2">
        <v>4902134</v>
      </c>
      <c r="H74" s="4" t="s">
        <v>46</v>
      </c>
      <c r="I74" s="4" t="s">
        <v>46</v>
      </c>
      <c r="J74" s="4" t="s">
        <v>47</v>
      </c>
      <c r="K74" s="4" t="s">
        <v>48</v>
      </c>
      <c r="L74" s="3">
        <v>45931</v>
      </c>
      <c r="M74" s="4" t="s">
        <v>60</v>
      </c>
      <c r="N74" s="4" t="s">
        <v>46</v>
      </c>
      <c r="O74" s="4" t="s">
        <v>61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62</v>
      </c>
      <c r="U74" s="4" t="s">
        <v>46</v>
      </c>
      <c r="V74" s="5">
        <v>1</v>
      </c>
      <c r="W74" s="5">
        <v>0</v>
      </c>
      <c r="X74" s="5">
        <v>100</v>
      </c>
      <c r="Y74" s="5">
        <v>29.41</v>
      </c>
      <c r="Z74" s="4" t="s">
        <v>46</v>
      </c>
      <c r="AA74" s="5" t="s">
        <v>46</v>
      </c>
      <c r="AB74" s="4" t="s">
        <v>63</v>
      </c>
      <c r="AC74" s="4" t="s">
        <v>46</v>
      </c>
      <c r="AD74" s="5">
        <v>0</v>
      </c>
      <c r="AE74" s="4" t="s">
        <v>64</v>
      </c>
      <c r="AF74" s="3">
        <v>45139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226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45945</v>
      </c>
      <c r="C75" s="4" t="s">
        <v>221</v>
      </c>
      <c r="D75" s="2">
        <v>1524629</v>
      </c>
      <c r="E75" s="4" t="s">
        <v>227</v>
      </c>
      <c r="F75" s="4" t="s">
        <v>228</v>
      </c>
      <c r="G75" s="2">
        <v>416933105</v>
      </c>
      <c r="H75" s="4" t="s">
        <v>46</v>
      </c>
      <c r="I75" s="4" t="s">
        <v>46</v>
      </c>
      <c r="J75" s="4" t="s">
        <v>47</v>
      </c>
      <c r="K75" s="4" t="s">
        <v>48</v>
      </c>
      <c r="L75" s="3">
        <v>45931</v>
      </c>
      <c r="M75" s="4" t="s">
        <v>60</v>
      </c>
      <c r="N75" s="4" t="s">
        <v>46</v>
      </c>
      <c r="O75" s="4" t="s">
        <v>61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62</v>
      </c>
      <c r="U75" s="4" t="s">
        <v>46</v>
      </c>
      <c r="V75" s="5">
        <v>1</v>
      </c>
      <c r="W75" s="5">
        <v>0</v>
      </c>
      <c r="X75" s="5">
        <v>100</v>
      </c>
      <c r="Y75" s="5">
        <v>29.41</v>
      </c>
      <c r="Z75" s="4" t="s">
        <v>46</v>
      </c>
      <c r="AA75" s="5" t="s">
        <v>46</v>
      </c>
      <c r="AB75" s="4" t="s">
        <v>63</v>
      </c>
      <c r="AC75" s="4" t="s">
        <v>46</v>
      </c>
      <c r="AD75" s="5">
        <v>0</v>
      </c>
      <c r="AE75" s="4" t="s">
        <v>64</v>
      </c>
      <c r="AF75" s="3">
        <v>45292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226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45945</v>
      </c>
      <c r="C76" s="4" t="s">
        <v>221</v>
      </c>
      <c r="D76" s="2">
        <v>1524629</v>
      </c>
      <c r="E76" s="4" t="s">
        <v>229</v>
      </c>
      <c r="F76" s="4" t="s">
        <v>230</v>
      </c>
      <c r="G76" s="2">
        <v>893625575</v>
      </c>
      <c r="H76" s="4" t="s">
        <v>46</v>
      </c>
      <c r="I76" s="4" t="s">
        <v>46</v>
      </c>
      <c r="J76" s="4" t="s">
        <v>47</v>
      </c>
      <c r="K76" s="4" t="s">
        <v>48</v>
      </c>
      <c r="L76" s="3">
        <v>45931</v>
      </c>
      <c r="M76" s="4" t="s">
        <v>60</v>
      </c>
      <c r="N76" s="4" t="s">
        <v>46</v>
      </c>
      <c r="O76" s="4" t="s">
        <v>61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52</v>
      </c>
      <c r="U76" s="4" t="s">
        <v>46</v>
      </c>
      <c r="V76" s="5">
        <v>1</v>
      </c>
      <c r="W76" s="5">
        <v>0</v>
      </c>
      <c r="X76" s="5">
        <v>100</v>
      </c>
      <c r="Y76" s="5">
        <v>29.41</v>
      </c>
      <c r="Z76" s="4" t="s">
        <v>46</v>
      </c>
      <c r="AA76" s="5" t="s">
        <v>46</v>
      </c>
      <c r="AB76" s="4" t="s">
        <v>63</v>
      </c>
      <c r="AC76" s="4" t="s">
        <v>46</v>
      </c>
      <c r="AD76" s="5">
        <v>0</v>
      </c>
      <c r="AE76" s="4" t="s">
        <v>64</v>
      </c>
      <c r="AF76" s="3">
        <v>45383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55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45945</v>
      </c>
      <c r="C77" s="4" t="s">
        <v>221</v>
      </c>
      <c r="D77" s="2">
        <v>1524629</v>
      </c>
      <c r="E77" s="4" t="s">
        <v>231</v>
      </c>
      <c r="F77" s="4" t="s">
        <v>232</v>
      </c>
      <c r="G77" s="2">
        <v>467151033</v>
      </c>
      <c r="H77" s="4" t="s">
        <v>46</v>
      </c>
      <c r="I77" s="4" t="s">
        <v>46</v>
      </c>
      <c r="J77" s="4" t="s">
        <v>47</v>
      </c>
      <c r="K77" s="4" t="s">
        <v>48</v>
      </c>
      <c r="L77" s="3">
        <v>45931</v>
      </c>
      <c r="M77" s="4" t="s">
        <v>60</v>
      </c>
      <c r="N77" s="4" t="s">
        <v>46</v>
      </c>
      <c r="O77" s="4" t="s">
        <v>61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52</v>
      </c>
      <c r="U77" s="4" t="s">
        <v>46</v>
      </c>
      <c r="V77" s="5">
        <v>1</v>
      </c>
      <c r="W77" s="5">
        <v>0</v>
      </c>
      <c r="X77" s="5">
        <v>100</v>
      </c>
      <c r="Y77" s="5">
        <v>26.08</v>
      </c>
      <c r="Z77" s="4" t="s">
        <v>46</v>
      </c>
      <c r="AA77" s="5" t="s">
        <v>46</v>
      </c>
      <c r="AB77" s="4" t="s">
        <v>63</v>
      </c>
      <c r="AC77" s="4" t="s">
        <v>46</v>
      </c>
      <c r="AD77" s="5">
        <v>0</v>
      </c>
      <c r="AE77" s="4" t="s">
        <v>64</v>
      </c>
      <c r="AF77" s="3">
        <v>45444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55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45945</v>
      </c>
      <c r="C78" s="4" t="s">
        <v>233</v>
      </c>
      <c r="D78" s="2">
        <v>1535078</v>
      </c>
      <c r="E78" s="4" t="s">
        <v>234</v>
      </c>
      <c r="F78" s="4" t="s">
        <v>235</v>
      </c>
      <c r="G78" s="2">
        <v>164107004</v>
      </c>
      <c r="H78" s="4" t="s">
        <v>46</v>
      </c>
      <c r="I78" s="4" t="s">
        <v>46</v>
      </c>
      <c r="J78" s="4" t="s">
        <v>47</v>
      </c>
      <c r="K78" s="4" t="s">
        <v>48</v>
      </c>
      <c r="L78" s="3">
        <v>45931</v>
      </c>
      <c r="M78" s="4" t="s">
        <v>60</v>
      </c>
      <c r="N78" s="4" t="s">
        <v>46</v>
      </c>
      <c r="O78" s="4" t="s">
        <v>61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62</v>
      </c>
      <c r="U78" s="4" t="s">
        <v>46</v>
      </c>
      <c r="V78" s="5">
        <v>1</v>
      </c>
      <c r="W78" s="5">
        <v>0</v>
      </c>
      <c r="X78" s="5">
        <v>100</v>
      </c>
      <c r="Y78" s="5">
        <v>26.08</v>
      </c>
      <c r="Z78" s="4" t="s">
        <v>46</v>
      </c>
      <c r="AA78" s="5" t="s">
        <v>46</v>
      </c>
      <c r="AB78" s="4" t="s">
        <v>63</v>
      </c>
      <c r="AC78" s="4" t="s">
        <v>46</v>
      </c>
      <c r="AD78" s="5">
        <v>0</v>
      </c>
      <c r="AE78" s="4" t="s">
        <v>64</v>
      </c>
      <c r="AF78" s="3">
        <v>45566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73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45945</v>
      </c>
      <c r="C79" s="4" t="s">
        <v>233</v>
      </c>
      <c r="D79" s="2">
        <v>1535078</v>
      </c>
      <c r="E79" s="4" t="s">
        <v>236</v>
      </c>
      <c r="F79" s="4" t="s">
        <v>237</v>
      </c>
      <c r="G79" s="2">
        <v>830732313</v>
      </c>
      <c r="H79" s="4" t="s">
        <v>46</v>
      </c>
      <c r="I79" s="4" t="s">
        <v>46</v>
      </c>
      <c r="J79" s="4" t="s">
        <v>47</v>
      </c>
      <c r="K79" s="4" t="s">
        <v>48</v>
      </c>
      <c r="L79" s="3">
        <v>45931</v>
      </c>
      <c r="M79" s="4" t="s">
        <v>60</v>
      </c>
      <c r="N79" s="4" t="s">
        <v>46</v>
      </c>
      <c r="O79" s="4" t="s">
        <v>61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1</v>
      </c>
      <c r="W79" s="5">
        <v>0</v>
      </c>
      <c r="X79" s="5">
        <v>100</v>
      </c>
      <c r="Y79" s="5">
        <v>26.08</v>
      </c>
      <c r="Z79" s="4" t="s">
        <v>46</v>
      </c>
      <c r="AA79" s="5" t="s">
        <v>46</v>
      </c>
      <c r="AB79" s="4" t="s">
        <v>63</v>
      </c>
      <c r="AC79" s="4" t="s">
        <v>46</v>
      </c>
      <c r="AD79" s="5">
        <v>0</v>
      </c>
      <c r="AE79" s="4" t="s">
        <v>64</v>
      </c>
      <c r="AF79" s="3">
        <v>45627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55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45945</v>
      </c>
      <c r="C80" s="4" t="s">
        <v>233</v>
      </c>
      <c r="D80" s="2">
        <v>1535078</v>
      </c>
      <c r="E80" s="4" t="s">
        <v>238</v>
      </c>
      <c r="F80" s="4" t="s">
        <v>239</v>
      </c>
      <c r="G80" s="2">
        <v>869746172</v>
      </c>
      <c r="H80" s="4" t="s">
        <v>46</v>
      </c>
      <c r="I80" s="4" t="s">
        <v>46</v>
      </c>
      <c r="J80" s="4" t="s">
        <v>47</v>
      </c>
      <c r="K80" s="4" t="s">
        <v>48</v>
      </c>
      <c r="L80" s="3">
        <v>45931</v>
      </c>
      <c r="M80" s="4" t="s">
        <v>60</v>
      </c>
      <c r="N80" s="4" t="s">
        <v>46</v>
      </c>
      <c r="O80" s="4" t="s">
        <v>61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62</v>
      </c>
      <c r="U80" s="4" t="s">
        <v>46</v>
      </c>
      <c r="V80" s="5">
        <v>1</v>
      </c>
      <c r="W80" s="5">
        <v>0</v>
      </c>
      <c r="X80" s="5">
        <v>100</v>
      </c>
      <c r="Y80" s="5">
        <v>26.08</v>
      </c>
      <c r="Z80" s="4" t="s">
        <v>46</v>
      </c>
      <c r="AA80" s="5" t="s">
        <v>46</v>
      </c>
      <c r="AB80" s="4" t="s">
        <v>63</v>
      </c>
      <c r="AC80" s="4" t="s">
        <v>46</v>
      </c>
      <c r="AD80" s="5">
        <v>0</v>
      </c>
      <c r="AE80" s="4" t="s">
        <v>64</v>
      </c>
      <c r="AF80" s="3">
        <v>45627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73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45945</v>
      </c>
      <c r="C81" s="4" t="s">
        <v>233</v>
      </c>
      <c r="D81" s="2">
        <v>1535078</v>
      </c>
      <c r="E81" s="4" t="s">
        <v>240</v>
      </c>
      <c r="F81" s="4" t="s">
        <v>241</v>
      </c>
      <c r="G81" s="2">
        <v>586835505</v>
      </c>
      <c r="H81" s="4" t="s">
        <v>242</v>
      </c>
      <c r="I81" s="4" t="s">
        <v>46</v>
      </c>
      <c r="J81" s="4" t="s">
        <v>47</v>
      </c>
      <c r="K81" s="4" t="s">
        <v>48</v>
      </c>
      <c r="L81" s="3">
        <v>45962</v>
      </c>
      <c r="M81" s="4" t="s">
        <v>69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52</v>
      </c>
      <c r="U81" s="4" t="s">
        <v>46</v>
      </c>
      <c r="V81" s="5">
        <v>0.17</v>
      </c>
      <c r="W81" s="5">
        <v>0</v>
      </c>
      <c r="X81" s="5">
        <v>100</v>
      </c>
      <c r="Y81" s="5">
        <v>52.17</v>
      </c>
      <c r="Z81" s="4" t="s">
        <v>46</v>
      </c>
      <c r="AA81" s="5" t="s">
        <v>46</v>
      </c>
      <c r="AB81" s="4" t="s">
        <v>56</v>
      </c>
      <c r="AC81" s="4" t="s">
        <v>46</v>
      </c>
      <c r="AD81" s="5">
        <v>0</v>
      </c>
      <c r="AE81" s="4" t="s">
        <v>57</v>
      </c>
      <c r="AF81" s="3">
        <v>45962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55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45945</v>
      </c>
      <c r="C82" s="4" t="s">
        <v>243</v>
      </c>
      <c r="D82" s="2">
        <v>1545980</v>
      </c>
      <c r="E82" s="4" t="s">
        <v>244</v>
      </c>
      <c r="F82" s="4" t="s">
        <v>245</v>
      </c>
      <c r="G82" s="2">
        <v>972151541</v>
      </c>
      <c r="H82" s="4" t="s">
        <v>46</v>
      </c>
      <c r="I82" s="4" t="s">
        <v>46</v>
      </c>
      <c r="J82" s="4" t="s">
        <v>47</v>
      </c>
      <c r="K82" s="4" t="s">
        <v>48</v>
      </c>
      <c r="L82" s="3">
        <v>45931</v>
      </c>
      <c r="M82" s="4" t="s">
        <v>60</v>
      </c>
      <c r="N82" s="4" t="s">
        <v>46</v>
      </c>
      <c r="O82" s="4" t="s">
        <v>61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52</v>
      </c>
      <c r="U82" s="4" t="s">
        <v>46</v>
      </c>
      <c r="V82" s="5">
        <v>1</v>
      </c>
      <c r="W82" s="5">
        <v>0</v>
      </c>
      <c r="X82" s="5">
        <v>100</v>
      </c>
      <c r="Y82" s="5">
        <v>26.08</v>
      </c>
      <c r="Z82" s="4" t="s">
        <v>46</v>
      </c>
      <c r="AA82" s="5" t="s">
        <v>46</v>
      </c>
      <c r="AB82" s="4" t="s">
        <v>63</v>
      </c>
      <c r="AC82" s="4" t="s">
        <v>46</v>
      </c>
      <c r="AD82" s="5">
        <v>0</v>
      </c>
      <c r="AE82" s="4" t="s">
        <v>64</v>
      </c>
      <c r="AF82" s="3">
        <v>45292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55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45945</v>
      </c>
      <c r="C83" s="4" t="s">
        <v>243</v>
      </c>
      <c r="D83" s="2">
        <v>1545980</v>
      </c>
      <c r="E83" s="4" t="s">
        <v>246</v>
      </c>
      <c r="F83" s="4" t="s">
        <v>247</v>
      </c>
      <c r="G83" s="2">
        <v>97669543</v>
      </c>
      <c r="H83" s="4" t="s">
        <v>46</v>
      </c>
      <c r="I83" s="4" t="s">
        <v>46</v>
      </c>
      <c r="J83" s="4" t="s">
        <v>47</v>
      </c>
      <c r="K83" s="4" t="s">
        <v>48</v>
      </c>
      <c r="L83" s="3">
        <v>45931</v>
      </c>
      <c r="M83" s="4" t="s">
        <v>60</v>
      </c>
      <c r="N83" s="4" t="s">
        <v>46</v>
      </c>
      <c r="O83" s="4" t="s">
        <v>61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62</v>
      </c>
      <c r="U83" s="4" t="s">
        <v>46</v>
      </c>
      <c r="V83" s="5">
        <v>1</v>
      </c>
      <c r="W83" s="5">
        <v>0</v>
      </c>
      <c r="X83" s="5">
        <v>100</v>
      </c>
      <c r="Y83" s="5">
        <v>26.08</v>
      </c>
      <c r="Z83" s="4" t="s">
        <v>46</v>
      </c>
      <c r="AA83" s="5" t="s">
        <v>46</v>
      </c>
      <c r="AB83" s="4" t="s">
        <v>63</v>
      </c>
      <c r="AC83" s="4" t="s">
        <v>46</v>
      </c>
      <c r="AD83" s="5">
        <v>0</v>
      </c>
      <c r="AE83" s="4" t="s">
        <v>64</v>
      </c>
      <c r="AF83" s="3">
        <v>45139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226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45945</v>
      </c>
      <c r="C84" s="4" t="s">
        <v>243</v>
      </c>
      <c r="D84" s="2">
        <v>1545980</v>
      </c>
      <c r="E84" s="4" t="s">
        <v>248</v>
      </c>
      <c r="F84" s="4" t="s">
        <v>249</v>
      </c>
      <c r="G84" s="2">
        <v>347960573</v>
      </c>
      <c r="H84" s="4" t="s">
        <v>46</v>
      </c>
      <c r="I84" s="4" t="s">
        <v>46</v>
      </c>
      <c r="J84" s="4" t="s">
        <v>47</v>
      </c>
      <c r="K84" s="4" t="s">
        <v>48</v>
      </c>
      <c r="L84" s="3">
        <v>45931</v>
      </c>
      <c r="M84" s="4" t="s">
        <v>60</v>
      </c>
      <c r="N84" s="4" t="s">
        <v>46</v>
      </c>
      <c r="O84" s="4" t="s">
        <v>61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52</v>
      </c>
      <c r="U84" s="4" t="s">
        <v>46</v>
      </c>
      <c r="V84" s="5">
        <v>1</v>
      </c>
      <c r="W84" s="5">
        <v>0</v>
      </c>
      <c r="X84" s="5">
        <v>100</v>
      </c>
      <c r="Y84" s="5">
        <v>26.08</v>
      </c>
      <c r="Z84" s="4" t="s">
        <v>46</v>
      </c>
      <c r="AA84" s="5" t="s">
        <v>46</v>
      </c>
      <c r="AB84" s="4" t="s">
        <v>63</v>
      </c>
      <c r="AC84" s="4" t="s">
        <v>46</v>
      </c>
      <c r="AD84" s="5">
        <v>0</v>
      </c>
      <c r="AE84" s="4" t="s">
        <v>64</v>
      </c>
      <c r="AF84" s="3">
        <v>45200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55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45945</v>
      </c>
      <c r="C85" s="4" t="s">
        <v>243</v>
      </c>
      <c r="D85" s="2">
        <v>1545980</v>
      </c>
      <c r="E85" s="4" t="s">
        <v>250</v>
      </c>
      <c r="F85" s="4" t="s">
        <v>251</v>
      </c>
      <c r="G85" s="2">
        <v>329150164</v>
      </c>
      <c r="H85" s="4" t="s">
        <v>46</v>
      </c>
      <c r="I85" s="4" t="s">
        <v>46</v>
      </c>
      <c r="J85" s="4" t="s">
        <v>47</v>
      </c>
      <c r="K85" s="4" t="s">
        <v>48</v>
      </c>
      <c r="L85" s="3">
        <v>45931</v>
      </c>
      <c r="M85" s="4" t="s">
        <v>60</v>
      </c>
      <c r="N85" s="4" t="s">
        <v>46</v>
      </c>
      <c r="O85" s="4" t="s">
        <v>61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52</v>
      </c>
      <c r="U85" s="4" t="s">
        <v>46</v>
      </c>
      <c r="V85" s="5">
        <v>1</v>
      </c>
      <c r="W85" s="5">
        <v>0</v>
      </c>
      <c r="X85" s="5">
        <v>100</v>
      </c>
      <c r="Y85" s="5">
        <v>26.08</v>
      </c>
      <c r="Z85" s="4" t="s">
        <v>46</v>
      </c>
      <c r="AA85" s="5" t="s">
        <v>46</v>
      </c>
      <c r="AB85" s="4" t="s">
        <v>63</v>
      </c>
      <c r="AC85" s="4" t="s">
        <v>46</v>
      </c>
      <c r="AD85" s="5">
        <v>0</v>
      </c>
      <c r="AE85" s="4" t="s">
        <v>64</v>
      </c>
      <c r="AF85" s="3">
        <v>45170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55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45945</v>
      </c>
      <c r="C86" s="4" t="s">
        <v>243</v>
      </c>
      <c r="D86" s="2">
        <v>1545980</v>
      </c>
      <c r="E86" s="4" t="s">
        <v>252</v>
      </c>
      <c r="F86" s="4" t="s">
        <v>253</v>
      </c>
      <c r="G86" s="2">
        <v>945416430</v>
      </c>
      <c r="H86" s="4" t="s">
        <v>46</v>
      </c>
      <c r="I86" s="4" t="s">
        <v>46</v>
      </c>
      <c r="J86" s="4" t="s">
        <v>47</v>
      </c>
      <c r="K86" s="4" t="s">
        <v>48</v>
      </c>
      <c r="L86" s="3">
        <v>45931</v>
      </c>
      <c r="M86" s="4" t="s">
        <v>60</v>
      </c>
      <c r="N86" s="4" t="s">
        <v>46</v>
      </c>
      <c r="O86" s="4" t="s">
        <v>61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62</v>
      </c>
      <c r="U86" s="4" t="s">
        <v>46</v>
      </c>
      <c r="V86" s="5">
        <v>1</v>
      </c>
      <c r="W86" s="5">
        <v>0</v>
      </c>
      <c r="X86" s="5">
        <v>100</v>
      </c>
      <c r="Y86" s="5">
        <v>26.08</v>
      </c>
      <c r="Z86" s="4" t="s">
        <v>46</v>
      </c>
      <c r="AA86" s="5" t="s">
        <v>46</v>
      </c>
      <c r="AB86" s="4" t="s">
        <v>63</v>
      </c>
      <c r="AC86" s="4" t="s">
        <v>46</v>
      </c>
      <c r="AD86" s="5">
        <v>0</v>
      </c>
      <c r="AE86" s="4" t="s">
        <v>64</v>
      </c>
      <c r="AF86" s="3">
        <v>45170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226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45945</v>
      </c>
      <c r="C87" s="4" t="s">
        <v>243</v>
      </c>
      <c r="D87" s="2">
        <v>1545980</v>
      </c>
      <c r="E87" s="4" t="s">
        <v>254</v>
      </c>
      <c r="F87" s="4" t="s">
        <v>255</v>
      </c>
      <c r="G87" s="2">
        <v>547990102</v>
      </c>
      <c r="H87" s="4" t="s">
        <v>46</v>
      </c>
      <c r="I87" s="4" t="s">
        <v>46</v>
      </c>
      <c r="J87" s="4" t="s">
        <v>47</v>
      </c>
      <c r="K87" s="4" t="s">
        <v>48</v>
      </c>
      <c r="L87" s="3">
        <v>45931</v>
      </c>
      <c r="M87" s="4" t="s">
        <v>60</v>
      </c>
      <c r="N87" s="4" t="s">
        <v>46</v>
      </c>
      <c r="O87" s="4" t="s">
        <v>61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52</v>
      </c>
      <c r="U87" s="4" t="s">
        <v>46</v>
      </c>
      <c r="V87" s="5">
        <v>1</v>
      </c>
      <c r="W87" s="5">
        <v>0</v>
      </c>
      <c r="X87" s="5">
        <v>100</v>
      </c>
      <c r="Y87" s="5">
        <v>26.08</v>
      </c>
      <c r="Z87" s="4" t="s">
        <v>46</v>
      </c>
      <c r="AA87" s="5" t="s">
        <v>46</v>
      </c>
      <c r="AB87" s="4" t="s">
        <v>63</v>
      </c>
      <c r="AC87" s="4" t="s">
        <v>46</v>
      </c>
      <c r="AD87" s="5">
        <v>0</v>
      </c>
      <c r="AE87" s="4" t="s">
        <v>64</v>
      </c>
      <c r="AF87" s="3">
        <v>45292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55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45945</v>
      </c>
      <c r="C88" s="4" t="s">
        <v>243</v>
      </c>
      <c r="D88" s="2">
        <v>1545980</v>
      </c>
      <c r="E88" s="4" t="s">
        <v>256</v>
      </c>
      <c r="F88" s="4" t="s">
        <v>257</v>
      </c>
      <c r="G88" s="2">
        <v>671009362</v>
      </c>
      <c r="H88" s="4" t="s">
        <v>46</v>
      </c>
      <c r="I88" s="4" t="s">
        <v>46</v>
      </c>
      <c r="J88" s="4" t="s">
        <v>47</v>
      </c>
      <c r="K88" s="4" t="s">
        <v>48</v>
      </c>
      <c r="L88" s="3">
        <v>45931</v>
      </c>
      <c r="M88" s="4" t="s">
        <v>60</v>
      </c>
      <c r="N88" s="4" t="s">
        <v>46</v>
      </c>
      <c r="O88" s="4" t="s">
        <v>61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52</v>
      </c>
      <c r="U88" s="4" t="s">
        <v>46</v>
      </c>
      <c r="V88" s="5">
        <v>1</v>
      </c>
      <c r="W88" s="5">
        <v>0</v>
      </c>
      <c r="X88" s="5">
        <v>100</v>
      </c>
      <c r="Y88" s="5">
        <v>26.08</v>
      </c>
      <c r="Z88" s="4" t="s">
        <v>46</v>
      </c>
      <c r="AA88" s="5" t="s">
        <v>46</v>
      </c>
      <c r="AB88" s="4" t="s">
        <v>63</v>
      </c>
      <c r="AC88" s="4" t="s">
        <v>46</v>
      </c>
      <c r="AD88" s="5">
        <v>0</v>
      </c>
      <c r="AE88" s="4" t="s">
        <v>64</v>
      </c>
      <c r="AF88" s="3">
        <v>45261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55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45945</v>
      </c>
      <c r="C89" s="4" t="s">
        <v>243</v>
      </c>
      <c r="D89" s="2">
        <v>1545980</v>
      </c>
      <c r="E89" s="4" t="s">
        <v>258</v>
      </c>
      <c r="F89" s="4" t="s">
        <v>259</v>
      </c>
      <c r="G89" s="2">
        <v>695957193</v>
      </c>
      <c r="H89" s="4" t="s">
        <v>260</v>
      </c>
      <c r="I89" s="4" t="s">
        <v>46</v>
      </c>
      <c r="J89" s="4" t="s">
        <v>47</v>
      </c>
      <c r="K89" s="4" t="s">
        <v>48</v>
      </c>
      <c r="L89" s="3">
        <v>45931</v>
      </c>
      <c r="M89" s="4" t="s">
        <v>60</v>
      </c>
      <c r="N89" s="4" t="s">
        <v>46</v>
      </c>
      <c r="O89" s="4" t="s">
        <v>61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52</v>
      </c>
      <c r="U89" s="4" t="s">
        <v>46</v>
      </c>
      <c r="V89" s="5">
        <v>1</v>
      </c>
      <c r="W89" s="5">
        <v>0</v>
      </c>
      <c r="X89" s="5">
        <v>100</v>
      </c>
      <c r="Y89" s="5">
        <v>29.41</v>
      </c>
      <c r="Z89" s="4" t="s">
        <v>46</v>
      </c>
      <c r="AA89" s="5" t="s">
        <v>46</v>
      </c>
      <c r="AB89" s="4" t="s">
        <v>63</v>
      </c>
      <c r="AC89" s="4" t="s">
        <v>46</v>
      </c>
      <c r="AD89" s="5">
        <v>0</v>
      </c>
      <c r="AE89" s="4" t="s">
        <v>64</v>
      </c>
      <c r="AF89" s="3">
        <v>45292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100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45945</v>
      </c>
      <c r="C90" s="4" t="s">
        <v>261</v>
      </c>
      <c r="D90" s="2">
        <v>1573279</v>
      </c>
      <c r="E90" s="4" t="s">
        <v>262</v>
      </c>
      <c r="F90" s="4" t="s">
        <v>263</v>
      </c>
      <c r="G90" s="2">
        <v>541202038</v>
      </c>
      <c r="H90" s="4" t="s">
        <v>46</v>
      </c>
      <c r="I90" s="4" t="s">
        <v>46</v>
      </c>
      <c r="J90" s="4" t="s">
        <v>47</v>
      </c>
      <c r="K90" s="4" t="s">
        <v>48</v>
      </c>
      <c r="L90" s="3">
        <v>45931</v>
      </c>
      <c r="M90" s="4" t="s">
        <v>60</v>
      </c>
      <c r="N90" s="4" t="s">
        <v>46</v>
      </c>
      <c r="O90" s="4" t="s">
        <v>61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52</v>
      </c>
      <c r="U90" s="4" t="s">
        <v>46</v>
      </c>
      <c r="V90" s="5">
        <v>1</v>
      </c>
      <c r="W90" s="5">
        <v>0</v>
      </c>
      <c r="X90" s="5">
        <v>100</v>
      </c>
      <c r="Y90" s="5">
        <v>26.08</v>
      </c>
      <c r="Z90" s="4" t="s">
        <v>46</v>
      </c>
      <c r="AA90" s="5" t="s">
        <v>46</v>
      </c>
      <c r="AB90" s="4" t="s">
        <v>63</v>
      </c>
      <c r="AC90" s="4" t="s">
        <v>46</v>
      </c>
      <c r="AD90" s="5">
        <v>0</v>
      </c>
      <c r="AE90" s="4" t="s">
        <v>64</v>
      </c>
      <c r="AF90" s="3">
        <v>45566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55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45945</v>
      </c>
      <c r="C91" s="4" t="s">
        <v>261</v>
      </c>
      <c r="D91" s="2">
        <v>1573279</v>
      </c>
      <c r="E91" s="4" t="s">
        <v>264</v>
      </c>
      <c r="F91" s="4" t="s">
        <v>265</v>
      </c>
      <c r="G91" s="2">
        <v>457827123</v>
      </c>
      <c r="H91" s="4" t="s">
        <v>46</v>
      </c>
      <c r="I91" s="4" t="s">
        <v>46</v>
      </c>
      <c r="J91" s="4" t="s">
        <v>47</v>
      </c>
      <c r="K91" s="4" t="s">
        <v>48</v>
      </c>
      <c r="L91" s="3">
        <v>45931</v>
      </c>
      <c r="M91" s="4" t="s">
        <v>60</v>
      </c>
      <c r="N91" s="4" t="s">
        <v>46</v>
      </c>
      <c r="O91" s="4" t="s">
        <v>61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52</v>
      </c>
      <c r="U91" s="4" t="s">
        <v>46</v>
      </c>
      <c r="V91" s="5">
        <v>1</v>
      </c>
      <c r="W91" s="5">
        <v>0</v>
      </c>
      <c r="X91" s="5">
        <v>100</v>
      </c>
      <c r="Y91" s="5">
        <v>26.08</v>
      </c>
      <c r="Z91" s="4" t="s">
        <v>46</v>
      </c>
      <c r="AA91" s="5" t="s">
        <v>46</v>
      </c>
      <c r="AB91" s="4" t="s">
        <v>63</v>
      </c>
      <c r="AC91" s="4" t="s">
        <v>46</v>
      </c>
      <c r="AD91" s="5">
        <v>0</v>
      </c>
      <c r="AE91" s="4" t="s">
        <v>64</v>
      </c>
      <c r="AF91" s="3">
        <v>45505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55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45945</v>
      </c>
      <c r="C92" s="4" t="s">
        <v>261</v>
      </c>
      <c r="D92" s="2">
        <v>1573279</v>
      </c>
      <c r="E92" s="4" t="s">
        <v>266</v>
      </c>
      <c r="F92" s="4" t="s">
        <v>267</v>
      </c>
      <c r="G92" s="2">
        <v>745083293</v>
      </c>
      <c r="H92" s="4" t="s">
        <v>46</v>
      </c>
      <c r="I92" s="4" t="s">
        <v>46</v>
      </c>
      <c r="J92" s="4" t="s">
        <v>47</v>
      </c>
      <c r="K92" s="4" t="s">
        <v>48</v>
      </c>
      <c r="L92" s="3">
        <v>45931</v>
      </c>
      <c r="M92" s="4" t="s">
        <v>60</v>
      </c>
      <c r="N92" s="4" t="s">
        <v>46</v>
      </c>
      <c r="O92" s="4" t="s">
        <v>61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52</v>
      </c>
      <c r="U92" s="4" t="s">
        <v>46</v>
      </c>
      <c r="V92" s="5">
        <v>1</v>
      </c>
      <c r="W92" s="5">
        <v>0</v>
      </c>
      <c r="X92" s="5">
        <v>100</v>
      </c>
      <c r="Y92" s="5">
        <v>26.08</v>
      </c>
      <c r="Z92" s="4" t="s">
        <v>46</v>
      </c>
      <c r="AA92" s="5" t="s">
        <v>46</v>
      </c>
      <c r="AB92" s="4" t="s">
        <v>63</v>
      </c>
      <c r="AC92" s="4" t="s">
        <v>46</v>
      </c>
      <c r="AD92" s="5">
        <v>0</v>
      </c>
      <c r="AE92" s="4" t="s">
        <v>64</v>
      </c>
      <c r="AF92" s="3">
        <v>45597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55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45945</v>
      </c>
      <c r="C93" s="4" t="s">
        <v>261</v>
      </c>
      <c r="D93" s="2">
        <v>1573279</v>
      </c>
      <c r="E93" s="4" t="s">
        <v>268</v>
      </c>
      <c r="F93" s="4" t="s">
        <v>269</v>
      </c>
      <c r="G93" s="2">
        <v>406170582</v>
      </c>
      <c r="H93" s="4" t="s">
        <v>46</v>
      </c>
      <c r="I93" s="4" t="s">
        <v>46</v>
      </c>
      <c r="J93" s="4" t="s">
        <v>47</v>
      </c>
      <c r="K93" s="4" t="s">
        <v>48</v>
      </c>
      <c r="L93" s="3">
        <v>45931</v>
      </c>
      <c r="M93" s="4" t="s">
        <v>60</v>
      </c>
      <c r="N93" s="4" t="s">
        <v>46</v>
      </c>
      <c r="O93" s="4" t="s">
        <v>61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52</v>
      </c>
      <c r="U93" s="4" t="s">
        <v>46</v>
      </c>
      <c r="V93" s="5">
        <v>1</v>
      </c>
      <c r="W93" s="5">
        <v>0</v>
      </c>
      <c r="X93" s="5">
        <v>100</v>
      </c>
      <c r="Y93" s="5">
        <v>26.08</v>
      </c>
      <c r="Z93" s="4" t="s">
        <v>46</v>
      </c>
      <c r="AA93" s="5" t="s">
        <v>46</v>
      </c>
      <c r="AB93" s="4" t="s">
        <v>63</v>
      </c>
      <c r="AC93" s="4" t="s">
        <v>46</v>
      </c>
      <c r="AD93" s="5">
        <v>0</v>
      </c>
      <c r="AE93" s="4" t="s">
        <v>64</v>
      </c>
      <c r="AF93" s="3">
        <v>45597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55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45945</v>
      </c>
      <c r="C94" s="4" t="s">
        <v>261</v>
      </c>
      <c r="D94" s="2">
        <v>1573279</v>
      </c>
      <c r="E94" s="4" t="s">
        <v>270</v>
      </c>
      <c r="F94" s="4" t="s">
        <v>271</v>
      </c>
      <c r="G94" s="2">
        <v>126343453</v>
      </c>
      <c r="H94" s="4" t="s">
        <v>46</v>
      </c>
      <c r="I94" s="4" t="s">
        <v>46</v>
      </c>
      <c r="J94" s="4" t="s">
        <v>47</v>
      </c>
      <c r="K94" s="4" t="s">
        <v>48</v>
      </c>
      <c r="L94" s="3">
        <v>45931</v>
      </c>
      <c r="M94" s="4" t="s">
        <v>60</v>
      </c>
      <c r="N94" s="4" t="s">
        <v>46</v>
      </c>
      <c r="O94" s="4" t="s">
        <v>61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52</v>
      </c>
      <c r="U94" s="4" t="s">
        <v>46</v>
      </c>
      <c r="V94" s="5">
        <v>1</v>
      </c>
      <c r="W94" s="5">
        <v>0</v>
      </c>
      <c r="X94" s="5">
        <v>100</v>
      </c>
      <c r="Y94" s="5">
        <v>26.08</v>
      </c>
      <c r="Z94" s="4" t="s">
        <v>46</v>
      </c>
      <c r="AA94" s="5" t="s">
        <v>46</v>
      </c>
      <c r="AB94" s="4" t="s">
        <v>63</v>
      </c>
      <c r="AC94" s="4" t="s">
        <v>46</v>
      </c>
      <c r="AD94" s="5">
        <v>0</v>
      </c>
      <c r="AE94" s="4" t="s">
        <v>64</v>
      </c>
      <c r="AF94" s="3">
        <v>45627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55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45945</v>
      </c>
      <c r="C95" s="4" t="s">
        <v>261</v>
      </c>
      <c r="D95" s="2">
        <v>1573279</v>
      </c>
      <c r="E95" s="4" t="s">
        <v>272</v>
      </c>
      <c r="F95" s="4" t="s">
        <v>273</v>
      </c>
      <c r="G95" s="2">
        <v>588828435</v>
      </c>
      <c r="H95" s="4" t="s">
        <v>46</v>
      </c>
      <c r="I95" s="4" t="s">
        <v>46</v>
      </c>
      <c r="J95" s="4" t="s">
        <v>47</v>
      </c>
      <c r="K95" s="4" t="s">
        <v>48</v>
      </c>
      <c r="L95" s="3">
        <v>45931</v>
      </c>
      <c r="M95" s="4" t="s">
        <v>60</v>
      </c>
      <c r="N95" s="4" t="s">
        <v>46</v>
      </c>
      <c r="O95" s="4" t="s">
        <v>61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52</v>
      </c>
      <c r="U95" s="4" t="s">
        <v>46</v>
      </c>
      <c r="V95" s="5">
        <v>1</v>
      </c>
      <c r="W95" s="5">
        <v>0</v>
      </c>
      <c r="X95" s="5">
        <v>100</v>
      </c>
      <c r="Y95" s="5">
        <v>26.08</v>
      </c>
      <c r="Z95" s="4" t="s">
        <v>46</v>
      </c>
      <c r="AA95" s="5" t="s">
        <v>46</v>
      </c>
      <c r="AB95" s="4" t="s">
        <v>63</v>
      </c>
      <c r="AC95" s="4" t="s">
        <v>46</v>
      </c>
      <c r="AD95" s="5">
        <v>0</v>
      </c>
      <c r="AE95" s="4" t="s">
        <v>64</v>
      </c>
      <c r="AF95" s="3">
        <v>45627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55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45945</v>
      </c>
      <c r="C96" s="4" t="s">
        <v>261</v>
      </c>
      <c r="D96" s="2">
        <v>1573279</v>
      </c>
      <c r="E96" s="4" t="s">
        <v>274</v>
      </c>
      <c r="F96" s="4" t="s">
        <v>275</v>
      </c>
      <c r="G96" s="2">
        <v>251603064</v>
      </c>
      <c r="H96" s="4" t="s">
        <v>276</v>
      </c>
      <c r="I96" s="4" t="s">
        <v>46</v>
      </c>
      <c r="J96" s="4" t="s">
        <v>47</v>
      </c>
      <c r="K96" s="4" t="s">
        <v>48</v>
      </c>
      <c r="L96" s="3">
        <v>45839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62</v>
      </c>
      <c r="U96" s="4" t="s">
        <v>46</v>
      </c>
      <c r="V96" s="5">
        <v>0</v>
      </c>
      <c r="W96" s="5">
        <v>0</v>
      </c>
      <c r="X96" s="5">
        <v>100</v>
      </c>
      <c r="Y96" s="5">
        <v>-365.16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45839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226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45945</v>
      </c>
      <c r="C97" s="4" t="s">
        <v>261</v>
      </c>
      <c r="D97" s="2">
        <v>1573279</v>
      </c>
      <c r="E97" s="4" t="s">
        <v>274</v>
      </c>
      <c r="F97" s="4" t="s">
        <v>275</v>
      </c>
      <c r="G97" s="2">
        <v>251603064</v>
      </c>
      <c r="H97" s="4" t="s">
        <v>276</v>
      </c>
      <c r="I97" s="4" t="s">
        <v>46</v>
      </c>
      <c r="J97" s="4" t="s">
        <v>47</v>
      </c>
      <c r="K97" s="4" t="s">
        <v>48</v>
      </c>
      <c r="L97" s="3">
        <v>45839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62</v>
      </c>
      <c r="U97" s="4" t="s">
        <v>46</v>
      </c>
      <c r="V97" s="5">
        <v>-0.17</v>
      </c>
      <c r="W97" s="5">
        <v>0</v>
      </c>
      <c r="X97" s="5">
        <v>100</v>
      </c>
      <c r="Y97" s="5">
        <v>-52.17</v>
      </c>
      <c r="Z97" s="4" t="s">
        <v>46</v>
      </c>
      <c r="AA97" s="5" t="s">
        <v>46</v>
      </c>
      <c r="AB97" s="4" t="s">
        <v>56</v>
      </c>
      <c r="AC97" s="4" t="s">
        <v>46</v>
      </c>
      <c r="AD97" s="5">
        <v>0</v>
      </c>
      <c r="AE97" s="4" t="s">
        <v>57</v>
      </c>
      <c r="AF97" s="3">
        <v>45839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226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45945</v>
      </c>
      <c r="C98" s="4" t="s">
        <v>277</v>
      </c>
      <c r="D98" s="2">
        <v>1581320</v>
      </c>
      <c r="E98" s="4" t="s">
        <v>278</v>
      </c>
      <c r="F98" s="4" t="s">
        <v>279</v>
      </c>
      <c r="G98" s="2">
        <v>855447513</v>
      </c>
      <c r="H98" s="4" t="s">
        <v>46</v>
      </c>
      <c r="I98" s="4" t="s">
        <v>46</v>
      </c>
      <c r="J98" s="4" t="s">
        <v>47</v>
      </c>
      <c r="K98" s="4" t="s">
        <v>48</v>
      </c>
      <c r="L98" s="3">
        <v>45931</v>
      </c>
      <c r="M98" s="4" t="s">
        <v>60</v>
      </c>
      <c r="N98" s="4" t="s">
        <v>46</v>
      </c>
      <c r="O98" s="4" t="s">
        <v>61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62</v>
      </c>
      <c r="U98" s="4" t="s">
        <v>46</v>
      </c>
      <c r="V98" s="5">
        <v>1</v>
      </c>
      <c r="W98" s="5">
        <v>0</v>
      </c>
      <c r="X98" s="5">
        <v>100</v>
      </c>
      <c r="Y98" s="5">
        <v>26.08</v>
      </c>
      <c r="Z98" s="4" t="s">
        <v>46</v>
      </c>
      <c r="AA98" s="5" t="s">
        <v>46</v>
      </c>
      <c r="AB98" s="4" t="s">
        <v>63</v>
      </c>
      <c r="AC98" s="4" t="s">
        <v>46</v>
      </c>
      <c r="AD98" s="5">
        <v>0</v>
      </c>
      <c r="AE98" s="4" t="s">
        <v>64</v>
      </c>
      <c r="AF98" s="3">
        <v>45139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226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45945</v>
      </c>
      <c r="C99" s="4" t="s">
        <v>280</v>
      </c>
      <c r="D99" s="2">
        <v>1594305</v>
      </c>
      <c r="E99" s="4" t="s">
        <v>281</v>
      </c>
      <c r="F99" s="4" t="s">
        <v>282</v>
      </c>
      <c r="G99" s="2">
        <v>456596185</v>
      </c>
      <c r="H99" s="4" t="s">
        <v>46</v>
      </c>
      <c r="I99" s="4" t="s">
        <v>46</v>
      </c>
      <c r="J99" s="4" t="s">
        <v>47</v>
      </c>
      <c r="K99" s="4" t="s">
        <v>48</v>
      </c>
      <c r="L99" s="3">
        <v>45931</v>
      </c>
      <c r="M99" s="4" t="s">
        <v>60</v>
      </c>
      <c r="N99" s="4" t="s">
        <v>46</v>
      </c>
      <c r="O99" s="4" t="s">
        <v>61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62</v>
      </c>
      <c r="U99" s="4" t="s">
        <v>46</v>
      </c>
      <c r="V99" s="5">
        <v>1</v>
      </c>
      <c r="W99" s="5">
        <v>0</v>
      </c>
      <c r="X99" s="5">
        <v>100</v>
      </c>
      <c r="Y99" s="5">
        <v>26.08</v>
      </c>
      <c r="Z99" s="4" t="s">
        <v>46</v>
      </c>
      <c r="AA99" s="5" t="s">
        <v>46</v>
      </c>
      <c r="AB99" s="4" t="s">
        <v>63</v>
      </c>
      <c r="AC99" s="4" t="s">
        <v>46</v>
      </c>
      <c r="AD99" s="5">
        <v>0</v>
      </c>
      <c r="AE99" s="4" t="s">
        <v>64</v>
      </c>
      <c r="AF99" s="3">
        <v>45566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104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45945</v>
      </c>
      <c r="C100" s="4" t="s">
        <v>283</v>
      </c>
      <c r="D100" s="2">
        <v>1607200</v>
      </c>
      <c r="E100" s="4" t="s">
        <v>284</v>
      </c>
      <c r="F100" s="4" t="s">
        <v>285</v>
      </c>
      <c r="G100" s="2">
        <v>665186622</v>
      </c>
      <c r="H100" s="4" t="s">
        <v>46</v>
      </c>
      <c r="I100" s="4" t="s">
        <v>46</v>
      </c>
      <c r="J100" s="4" t="s">
        <v>47</v>
      </c>
      <c r="K100" s="4" t="s">
        <v>48</v>
      </c>
      <c r="L100" s="3">
        <v>45931</v>
      </c>
      <c r="M100" s="4" t="s">
        <v>60</v>
      </c>
      <c r="N100" s="4" t="s">
        <v>46</v>
      </c>
      <c r="O100" s="4" t="s">
        <v>61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52</v>
      </c>
      <c r="U100" s="4" t="s">
        <v>46</v>
      </c>
      <c r="V100" s="5">
        <v>1</v>
      </c>
      <c r="W100" s="5">
        <v>0</v>
      </c>
      <c r="X100" s="5">
        <v>100</v>
      </c>
      <c r="Y100" s="5">
        <v>32.5</v>
      </c>
      <c r="Z100" s="4" t="s">
        <v>46</v>
      </c>
      <c r="AA100" s="5" t="s">
        <v>46</v>
      </c>
      <c r="AB100" s="4" t="s">
        <v>63</v>
      </c>
      <c r="AC100" s="4" t="s">
        <v>46</v>
      </c>
      <c r="AD100" s="5">
        <v>0</v>
      </c>
      <c r="AE100" s="4" t="s">
        <v>64</v>
      </c>
      <c r="AF100" s="3">
        <v>45474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55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45945</v>
      </c>
      <c r="C101" s="4" t="s">
        <v>283</v>
      </c>
      <c r="D101" s="2">
        <v>1607200</v>
      </c>
      <c r="E101" s="4" t="s">
        <v>286</v>
      </c>
      <c r="F101" s="4" t="s">
        <v>287</v>
      </c>
      <c r="G101" s="2">
        <v>755186622</v>
      </c>
      <c r="H101" s="4" t="s">
        <v>46</v>
      </c>
      <c r="I101" s="4" t="s">
        <v>46</v>
      </c>
      <c r="J101" s="4" t="s">
        <v>47</v>
      </c>
      <c r="K101" s="4" t="s">
        <v>48</v>
      </c>
      <c r="L101" s="3">
        <v>45931</v>
      </c>
      <c r="M101" s="4" t="s">
        <v>60</v>
      </c>
      <c r="N101" s="4" t="s">
        <v>46</v>
      </c>
      <c r="O101" s="4" t="s">
        <v>61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52</v>
      </c>
      <c r="U101" s="4" t="s">
        <v>46</v>
      </c>
      <c r="V101" s="5">
        <v>1</v>
      </c>
      <c r="W101" s="5">
        <v>0</v>
      </c>
      <c r="X101" s="5">
        <v>100</v>
      </c>
      <c r="Y101" s="5">
        <v>32.5</v>
      </c>
      <c r="Z101" s="4" t="s">
        <v>46</v>
      </c>
      <c r="AA101" s="5" t="s">
        <v>46</v>
      </c>
      <c r="AB101" s="4" t="s">
        <v>63</v>
      </c>
      <c r="AC101" s="4" t="s">
        <v>46</v>
      </c>
      <c r="AD101" s="5">
        <v>0</v>
      </c>
      <c r="AE101" s="4" t="s">
        <v>64</v>
      </c>
      <c r="AF101" s="3">
        <v>45444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55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45945</v>
      </c>
      <c r="C102" s="4" t="s">
        <v>288</v>
      </c>
      <c r="D102" s="2">
        <v>1626475</v>
      </c>
      <c r="E102" s="4" t="s">
        <v>289</v>
      </c>
      <c r="F102" s="4" t="s">
        <v>290</v>
      </c>
      <c r="G102" s="2">
        <v>483982525</v>
      </c>
      <c r="H102" s="4" t="s">
        <v>46</v>
      </c>
      <c r="I102" s="4" t="s">
        <v>46</v>
      </c>
      <c r="J102" s="4" t="s">
        <v>47</v>
      </c>
      <c r="K102" s="4" t="s">
        <v>48</v>
      </c>
      <c r="L102" s="3">
        <v>45931</v>
      </c>
      <c r="M102" s="4" t="s">
        <v>60</v>
      </c>
      <c r="N102" s="4" t="s">
        <v>46</v>
      </c>
      <c r="O102" s="4" t="s">
        <v>61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52</v>
      </c>
      <c r="U102" s="4" t="s">
        <v>46</v>
      </c>
      <c r="V102" s="5">
        <v>1</v>
      </c>
      <c r="W102" s="5">
        <v>0</v>
      </c>
      <c r="X102" s="5">
        <v>100</v>
      </c>
      <c r="Y102" s="5">
        <v>26.08</v>
      </c>
      <c r="Z102" s="4" t="s">
        <v>46</v>
      </c>
      <c r="AA102" s="5" t="s">
        <v>46</v>
      </c>
      <c r="AB102" s="4" t="s">
        <v>63</v>
      </c>
      <c r="AC102" s="4" t="s">
        <v>46</v>
      </c>
      <c r="AD102" s="5">
        <v>0</v>
      </c>
      <c r="AE102" s="4" t="s">
        <v>64</v>
      </c>
      <c r="AF102" s="3">
        <v>45536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55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45945</v>
      </c>
      <c r="C103" s="4" t="s">
        <v>288</v>
      </c>
      <c r="D103" s="2">
        <v>1626475</v>
      </c>
      <c r="E103" s="4" t="s">
        <v>291</v>
      </c>
      <c r="F103" s="4" t="s">
        <v>292</v>
      </c>
      <c r="G103" s="2">
        <v>720889533</v>
      </c>
      <c r="H103" s="4" t="s">
        <v>46</v>
      </c>
      <c r="I103" s="4" t="s">
        <v>46</v>
      </c>
      <c r="J103" s="4" t="s">
        <v>47</v>
      </c>
      <c r="K103" s="4" t="s">
        <v>48</v>
      </c>
      <c r="L103" s="3">
        <v>45931</v>
      </c>
      <c r="M103" s="4" t="s">
        <v>60</v>
      </c>
      <c r="N103" s="4" t="s">
        <v>46</v>
      </c>
      <c r="O103" s="4" t="s">
        <v>61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52</v>
      </c>
      <c r="U103" s="4" t="s">
        <v>46</v>
      </c>
      <c r="V103" s="5">
        <v>1</v>
      </c>
      <c r="W103" s="5">
        <v>0</v>
      </c>
      <c r="X103" s="5">
        <v>100</v>
      </c>
      <c r="Y103" s="5">
        <v>26.08</v>
      </c>
      <c r="Z103" s="4" t="s">
        <v>46</v>
      </c>
      <c r="AA103" s="5" t="s">
        <v>46</v>
      </c>
      <c r="AB103" s="4" t="s">
        <v>63</v>
      </c>
      <c r="AC103" s="4" t="s">
        <v>46</v>
      </c>
      <c r="AD103" s="5">
        <v>0</v>
      </c>
      <c r="AE103" s="4" t="s">
        <v>64</v>
      </c>
      <c r="AF103" s="3">
        <v>45474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55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45945</v>
      </c>
      <c r="C104" s="4" t="s">
        <v>288</v>
      </c>
      <c r="D104" s="2">
        <v>1626475</v>
      </c>
      <c r="E104" s="4" t="s">
        <v>293</v>
      </c>
      <c r="F104" s="4" t="s">
        <v>294</v>
      </c>
      <c r="G104" s="2">
        <v>374476720</v>
      </c>
      <c r="H104" s="4" t="s">
        <v>46</v>
      </c>
      <c r="I104" s="4" t="s">
        <v>46</v>
      </c>
      <c r="J104" s="4" t="s">
        <v>47</v>
      </c>
      <c r="K104" s="4" t="s">
        <v>48</v>
      </c>
      <c r="L104" s="3">
        <v>45931</v>
      </c>
      <c r="M104" s="4" t="s">
        <v>60</v>
      </c>
      <c r="N104" s="4" t="s">
        <v>46</v>
      </c>
      <c r="O104" s="4" t="s">
        <v>61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52</v>
      </c>
      <c r="U104" s="4" t="s">
        <v>46</v>
      </c>
      <c r="V104" s="5">
        <v>1</v>
      </c>
      <c r="W104" s="5">
        <v>0</v>
      </c>
      <c r="X104" s="5">
        <v>100</v>
      </c>
      <c r="Y104" s="5">
        <v>26.08</v>
      </c>
      <c r="Z104" s="4" t="s">
        <v>46</v>
      </c>
      <c r="AA104" s="5" t="s">
        <v>46</v>
      </c>
      <c r="AB104" s="4" t="s">
        <v>63</v>
      </c>
      <c r="AC104" s="4" t="s">
        <v>46</v>
      </c>
      <c r="AD104" s="5">
        <v>0</v>
      </c>
      <c r="AE104" s="4" t="s">
        <v>64</v>
      </c>
      <c r="AF104" s="3">
        <v>45505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55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45945</v>
      </c>
      <c r="C105" s="4" t="s">
        <v>288</v>
      </c>
      <c r="D105" s="2">
        <v>1626475</v>
      </c>
      <c r="E105" s="4" t="s">
        <v>295</v>
      </c>
      <c r="F105" s="4" t="s">
        <v>296</v>
      </c>
      <c r="G105" s="2">
        <v>146484403</v>
      </c>
      <c r="H105" s="4" t="s">
        <v>46</v>
      </c>
      <c r="I105" s="4" t="s">
        <v>46</v>
      </c>
      <c r="J105" s="4" t="s">
        <v>47</v>
      </c>
      <c r="K105" s="4" t="s">
        <v>48</v>
      </c>
      <c r="L105" s="3">
        <v>45931</v>
      </c>
      <c r="M105" s="4" t="s">
        <v>60</v>
      </c>
      <c r="N105" s="4" t="s">
        <v>46</v>
      </c>
      <c r="O105" s="4" t="s">
        <v>61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52</v>
      </c>
      <c r="U105" s="4" t="s">
        <v>46</v>
      </c>
      <c r="V105" s="5">
        <v>1</v>
      </c>
      <c r="W105" s="5">
        <v>0</v>
      </c>
      <c r="X105" s="5">
        <v>100</v>
      </c>
      <c r="Y105" s="5">
        <v>26.08</v>
      </c>
      <c r="Z105" s="4" t="s">
        <v>46</v>
      </c>
      <c r="AA105" s="5" t="s">
        <v>46</v>
      </c>
      <c r="AB105" s="4" t="s">
        <v>63</v>
      </c>
      <c r="AC105" s="4" t="s">
        <v>46</v>
      </c>
      <c r="AD105" s="5">
        <v>0</v>
      </c>
      <c r="AE105" s="4" t="s">
        <v>64</v>
      </c>
      <c r="AF105" s="3">
        <v>45505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55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45945</v>
      </c>
      <c r="C106" s="4" t="s">
        <v>288</v>
      </c>
      <c r="D106" s="2">
        <v>1626475</v>
      </c>
      <c r="E106" s="4" t="s">
        <v>297</v>
      </c>
      <c r="F106" s="4" t="s">
        <v>298</v>
      </c>
      <c r="G106" s="2">
        <v>142126513</v>
      </c>
      <c r="H106" s="4" t="s">
        <v>46</v>
      </c>
      <c r="I106" s="4" t="s">
        <v>46</v>
      </c>
      <c r="J106" s="4" t="s">
        <v>47</v>
      </c>
      <c r="K106" s="4" t="s">
        <v>48</v>
      </c>
      <c r="L106" s="3">
        <v>45931</v>
      </c>
      <c r="M106" s="4" t="s">
        <v>60</v>
      </c>
      <c r="N106" s="4" t="s">
        <v>46</v>
      </c>
      <c r="O106" s="4" t="s">
        <v>61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52</v>
      </c>
      <c r="U106" s="4" t="s">
        <v>46</v>
      </c>
      <c r="V106" s="5">
        <v>1</v>
      </c>
      <c r="W106" s="5">
        <v>0</v>
      </c>
      <c r="X106" s="5">
        <v>100</v>
      </c>
      <c r="Y106" s="5">
        <v>26.08</v>
      </c>
      <c r="Z106" s="4" t="s">
        <v>46</v>
      </c>
      <c r="AA106" s="5" t="s">
        <v>46</v>
      </c>
      <c r="AB106" s="4" t="s">
        <v>63</v>
      </c>
      <c r="AC106" s="4" t="s">
        <v>46</v>
      </c>
      <c r="AD106" s="5">
        <v>0</v>
      </c>
      <c r="AE106" s="4" t="s">
        <v>64</v>
      </c>
      <c r="AF106" s="3">
        <v>45566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55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45945</v>
      </c>
      <c r="C107" s="4" t="s">
        <v>288</v>
      </c>
      <c r="D107" s="2">
        <v>1626475</v>
      </c>
      <c r="E107" s="4" t="s">
        <v>299</v>
      </c>
      <c r="F107" s="4" t="s">
        <v>300</v>
      </c>
      <c r="G107" s="2">
        <v>817373263</v>
      </c>
      <c r="H107" s="4" t="s">
        <v>46</v>
      </c>
      <c r="I107" s="4" t="s">
        <v>46</v>
      </c>
      <c r="J107" s="4" t="s">
        <v>47</v>
      </c>
      <c r="K107" s="4" t="s">
        <v>48</v>
      </c>
      <c r="L107" s="3">
        <v>45931</v>
      </c>
      <c r="M107" s="4" t="s">
        <v>60</v>
      </c>
      <c r="N107" s="4" t="s">
        <v>46</v>
      </c>
      <c r="O107" s="4" t="s">
        <v>61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52</v>
      </c>
      <c r="U107" s="4" t="s">
        <v>46</v>
      </c>
      <c r="V107" s="5">
        <v>1</v>
      </c>
      <c r="W107" s="5">
        <v>0</v>
      </c>
      <c r="X107" s="5">
        <v>100</v>
      </c>
      <c r="Y107" s="5">
        <v>26.08</v>
      </c>
      <c r="Z107" s="4" t="s">
        <v>46</v>
      </c>
      <c r="AA107" s="5" t="s">
        <v>46</v>
      </c>
      <c r="AB107" s="4" t="s">
        <v>63</v>
      </c>
      <c r="AC107" s="4" t="s">
        <v>46</v>
      </c>
      <c r="AD107" s="5">
        <v>0</v>
      </c>
      <c r="AE107" s="4" t="s">
        <v>64</v>
      </c>
      <c r="AF107" s="3">
        <v>45566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55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45945</v>
      </c>
      <c r="C108" s="4" t="s">
        <v>288</v>
      </c>
      <c r="D108" s="2">
        <v>1626475</v>
      </c>
      <c r="E108" s="4" t="s">
        <v>301</v>
      </c>
      <c r="F108" s="4" t="s">
        <v>302</v>
      </c>
      <c r="G108" s="2">
        <v>905725053</v>
      </c>
      <c r="H108" s="4" t="s">
        <v>46</v>
      </c>
      <c r="I108" s="4" t="s">
        <v>46</v>
      </c>
      <c r="J108" s="4" t="s">
        <v>47</v>
      </c>
      <c r="K108" s="4" t="s">
        <v>48</v>
      </c>
      <c r="L108" s="3">
        <v>45931</v>
      </c>
      <c r="M108" s="4" t="s">
        <v>60</v>
      </c>
      <c r="N108" s="4" t="s">
        <v>46</v>
      </c>
      <c r="O108" s="4" t="s">
        <v>61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52</v>
      </c>
      <c r="U108" s="4" t="s">
        <v>46</v>
      </c>
      <c r="V108" s="5">
        <v>1</v>
      </c>
      <c r="W108" s="5">
        <v>0</v>
      </c>
      <c r="X108" s="5">
        <v>100</v>
      </c>
      <c r="Y108" s="5">
        <v>26.08</v>
      </c>
      <c r="Z108" s="4" t="s">
        <v>46</v>
      </c>
      <c r="AA108" s="5" t="s">
        <v>46</v>
      </c>
      <c r="AB108" s="4" t="s">
        <v>63</v>
      </c>
      <c r="AC108" s="4" t="s">
        <v>46</v>
      </c>
      <c r="AD108" s="5">
        <v>0</v>
      </c>
      <c r="AE108" s="4" t="s">
        <v>64</v>
      </c>
      <c r="AF108" s="3">
        <v>45627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55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45945</v>
      </c>
      <c r="C109" s="4" t="s">
        <v>288</v>
      </c>
      <c r="D109" s="2">
        <v>1626475</v>
      </c>
      <c r="E109" s="4" t="s">
        <v>303</v>
      </c>
      <c r="F109" s="4" t="s">
        <v>304</v>
      </c>
      <c r="G109" s="2">
        <v>26535054</v>
      </c>
      <c r="H109" s="4" t="s">
        <v>46</v>
      </c>
      <c r="I109" s="4" t="s">
        <v>46</v>
      </c>
      <c r="J109" s="4" t="s">
        <v>47</v>
      </c>
      <c r="K109" s="4" t="s">
        <v>48</v>
      </c>
      <c r="L109" s="3">
        <v>45931</v>
      </c>
      <c r="M109" s="4" t="s">
        <v>60</v>
      </c>
      <c r="N109" s="4" t="s">
        <v>46</v>
      </c>
      <c r="O109" s="4" t="s">
        <v>61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52</v>
      </c>
      <c r="U109" s="4" t="s">
        <v>46</v>
      </c>
      <c r="V109" s="5">
        <v>1</v>
      </c>
      <c r="W109" s="5">
        <v>0</v>
      </c>
      <c r="X109" s="5">
        <v>100</v>
      </c>
      <c r="Y109" s="5">
        <v>26.08</v>
      </c>
      <c r="Z109" s="4" t="s">
        <v>46</v>
      </c>
      <c r="AA109" s="5" t="s">
        <v>46</v>
      </c>
      <c r="AB109" s="4" t="s">
        <v>63</v>
      </c>
      <c r="AC109" s="4" t="s">
        <v>46</v>
      </c>
      <c r="AD109" s="5">
        <v>0</v>
      </c>
      <c r="AE109" s="4" t="s">
        <v>64</v>
      </c>
      <c r="AF109" s="3">
        <v>45627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55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45945</v>
      </c>
      <c r="C110" s="4" t="s">
        <v>305</v>
      </c>
      <c r="D110" s="2">
        <v>1646082</v>
      </c>
      <c r="E110" s="4" t="s">
        <v>306</v>
      </c>
      <c r="F110" s="4" t="s">
        <v>307</v>
      </c>
      <c r="G110" s="2">
        <v>685205553</v>
      </c>
      <c r="H110" s="4" t="s">
        <v>46</v>
      </c>
      <c r="I110" s="4" t="s">
        <v>46</v>
      </c>
      <c r="J110" s="4" t="s">
        <v>47</v>
      </c>
      <c r="K110" s="4" t="s">
        <v>48</v>
      </c>
      <c r="L110" s="3">
        <v>45931</v>
      </c>
      <c r="M110" s="4" t="s">
        <v>60</v>
      </c>
      <c r="N110" s="4" t="s">
        <v>46</v>
      </c>
      <c r="O110" s="4" t="s">
        <v>61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52</v>
      </c>
      <c r="U110" s="4" t="s">
        <v>46</v>
      </c>
      <c r="V110" s="5">
        <v>1</v>
      </c>
      <c r="W110" s="5">
        <v>0</v>
      </c>
      <c r="X110" s="5">
        <v>100</v>
      </c>
      <c r="Y110" s="5">
        <v>26.08</v>
      </c>
      <c r="Z110" s="4" t="s">
        <v>46</v>
      </c>
      <c r="AA110" s="5" t="s">
        <v>46</v>
      </c>
      <c r="AB110" s="4" t="s">
        <v>63</v>
      </c>
      <c r="AC110" s="4" t="s">
        <v>46</v>
      </c>
      <c r="AD110" s="5">
        <v>0</v>
      </c>
      <c r="AE110" s="4" t="s">
        <v>64</v>
      </c>
      <c r="AF110" s="3">
        <v>45536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55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45945</v>
      </c>
      <c r="C111" s="4" t="s">
        <v>305</v>
      </c>
      <c r="D111" s="2">
        <v>1646082</v>
      </c>
      <c r="E111" s="4" t="s">
        <v>308</v>
      </c>
      <c r="F111" s="4" t="s">
        <v>309</v>
      </c>
      <c r="G111" s="2">
        <v>594815113</v>
      </c>
      <c r="H111" s="4" t="s">
        <v>46</v>
      </c>
      <c r="I111" s="4" t="s">
        <v>46</v>
      </c>
      <c r="J111" s="4" t="s">
        <v>47</v>
      </c>
      <c r="K111" s="4" t="s">
        <v>48</v>
      </c>
      <c r="L111" s="3">
        <v>45931</v>
      </c>
      <c r="M111" s="4" t="s">
        <v>60</v>
      </c>
      <c r="N111" s="4" t="s">
        <v>46</v>
      </c>
      <c r="O111" s="4" t="s">
        <v>61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62</v>
      </c>
      <c r="U111" s="4" t="s">
        <v>46</v>
      </c>
      <c r="V111" s="5">
        <v>1</v>
      </c>
      <c r="W111" s="5">
        <v>0</v>
      </c>
      <c r="X111" s="5">
        <v>100</v>
      </c>
      <c r="Y111" s="5">
        <v>26.08</v>
      </c>
      <c r="Z111" s="4" t="s">
        <v>46</v>
      </c>
      <c r="AA111" s="5" t="s">
        <v>46</v>
      </c>
      <c r="AB111" s="4" t="s">
        <v>63</v>
      </c>
      <c r="AC111" s="4" t="s">
        <v>46</v>
      </c>
      <c r="AD111" s="5">
        <v>0</v>
      </c>
      <c r="AE111" s="4" t="s">
        <v>64</v>
      </c>
      <c r="AF111" s="3">
        <v>45505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104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45945</v>
      </c>
      <c r="C112" s="4" t="s">
        <v>305</v>
      </c>
      <c r="D112" s="2">
        <v>1646082</v>
      </c>
      <c r="E112" s="4" t="s">
        <v>310</v>
      </c>
      <c r="F112" s="4" t="s">
        <v>311</v>
      </c>
      <c r="G112" s="2">
        <v>820670584</v>
      </c>
      <c r="H112" s="4" t="s">
        <v>46</v>
      </c>
      <c r="I112" s="4" t="s">
        <v>46</v>
      </c>
      <c r="J112" s="4" t="s">
        <v>47</v>
      </c>
      <c r="K112" s="4" t="s">
        <v>48</v>
      </c>
      <c r="L112" s="3">
        <v>45931</v>
      </c>
      <c r="M112" s="4" t="s">
        <v>60</v>
      </c>
      <c r="N112" s="4" t="s">
        <v>46</v>
      </c>
      <c r="O112" s="4" t="s">
        <v>61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62</v>
      </c>
      <c r="U112" s="4" t="s">
        <v>46</v>
      </c>
      <c r="V112" s="5">
        <v>1</v>
      </c>
      <c r="W112" s="5">
        <v>0</v>
      </c>
      <c r="X112" s="5">
        <v>100</v>
      </c>
      <c r="Y112" s="5">
        <v>26.08</v>
      </c>
      <c r="Z112" s="4" t="s">
        <v>46</v>
      </c>
      <c r="AA112" s="5" t="s">
        <v>46</v>
      </c>
      <c r="AB112" s="4" t="s">
        <v>63</v>
      </c>
      <c r="AC112" s="4" t="s">
        <v>46</v>
      </c>
      <c r="AD112" s="5">
        <v>0</v>
      </c>
      <c r="AE112" s="4" t="s">
        <v>64</v>
      </c>
      <c r="AF112" s="3">
        <v>45627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73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45945</v>
      </c>
      <c r="C113" s="4" t="s">
        <v>312</v>
      </c>
      <c r="D113" s="2">
        <v>1673202</v>
      </c>
      <c r="E113" s="4" t="s">
        <v>313</v>
      </c>
      <c r="F113" s="4" t="s">
        <v>314</v>
      </c>
      <c r="G113" s="2">
        <v>573179114</v>
      </c>
      <c r="H113" s="4" t="s">
        <v>315</v>
      </c>
      <c r="I113" s="4" t="s">
        <v>46</v>
      </c>
      <c r="J113" s="4" t="s">
        <v>47</v>
      </c>
      <c r="K113" s="4" t="s">
        <v>48</v>
      </c>
      <c r="L113" s="3">
        <v>45962</v>
      </c>
      <c r="M113" s="4" t="s">
        <v>69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52</v>
      </c>
      <c r="U113" s="4" t="s">
        <v>46</v>
      </c>
      <c r="V113" s="5">
        <v>0.17</v>
      </c>
      <c r="W113" s="5">
        <v>0</v>
      </c>
      <c r="X113" s="5">
        <v>100</v>
      </c>
      <c r="Y113" s="5">
        <v>52.17</v>
      </c>
      <c r="Z113" s="4" t="s">
        <v>46</v>
      </c>
      <c r="AA113" s="5" t="s">
        <v>46</v>
      </c>
      <c r="AB113" s="4" t="s">
        <v>56</v>
      </c>
      <c r="AC113" s="4" t="s">
        <v>46</v>
      </c>
      <c r="AD113" s="5">
        <v>0</v>
      </c>
      <c r="AE113" s="4" t="s">
        <v>57</v>
      </c>
      <c r="AF113" s="3">
        <v>45962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55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45945</v>
      </c>
      <c r="C114" s="4" t="s">
        <v>312</v>
      </c>
      <c r="D114" s="2">
        <v>1673202</v>
      </c>
      <c r="E114" s="4" t="s">
        <v>316</v>
      </c>
      <c r="F114" s="4" t="s">
        <v>317</v>
      </c>
      <c r="G114" s="2">
        <v>164084034</v>
      </c>
      <c r="H114" s="4" t="s">
        <v>46</v>
      </c>
      <c r="I114" s="4" t="s">
        <v>46</v>
      </c>
      <c r="J114" s="4" t="s">
        <v>47</v>
      </c>
      <c r="K114" s="4" t="s">
        <v>48</v>
      </c>
      <c r="L114" s="3">
        <v>45931</v>
      </c>
      <c r="M114" s="4" t="s">
        <v>60</v>
      </c>
      <c r="N114" s="4" t="s">
        <v>46</v>
      </c>
      <c r="O114" s="4" t="s">
        <v>61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52</v>
      </c>
      <c r="U114" s="4" t="s">
        <v>46</v>
      </c>
      <c r="V114" s="5">
        <v>1</v>
      </c>
      <c r="W114" s="5">
        <v>0</v>
      </c>
      <c r="X114" s="5">
        <v>100</v>
      </c>
      <c r="Y114" s="5">
        <v>29.41</v>
      </c>
      <c r="Z114" s="4" t="s">
        <v>46</v>
      </c>
      <c r="AA114" s="5" t="s">
        <v>46</v>
      </c>
      <c r="AB114" s="4" t="s">
        <v>63</v>
      </c>
      <c r="AC114" s="4" t="s">
        <v>46</v>
      </c>
      <c r="AD114" s="5">
        <v>0</v>
      </c>
      <c r="AE114" s="4" t="s">
        <v>64</v>
      </c>
      <c r="AF114" s="3">
        <v>45597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100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45945</v>
      </c>
      <c r="C115" s="4" t="s">
        <v>318</v>
      </c>
      <c r="D115" s="2">
        <v>1673763</v>
      </c>
      <c r="E115" s="4" t="s">
        <v>319</v>
      </c>
      <c r="F115" s="4" t="s">
        <v>320</v>
      </c>
      <c r="G115" s="2">
        <v>477130294</v>
      </c>
      <c r="H115" s="4" t="s">
        <v>46</v>
      </c>
      <c r="I115" s="4" t="s">
        <v>46</v>
      </c>
      <c r="J115" s="4" t="s">
        <v>47</v>
      </c>
      <c r="K115" s="4" t="s">
        <v>48</v>
      </c>
      <c r="L115" s="3">
        <v>45931</v>
      </c>
      <c r="M115" s="4" t="s">
        <v>60</v>
      </c>
      <c r="N115" s="4" t="s">
        <v>46</v>
      </c>
      <c r="O115" s="4" t="s">
        <v>61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52</v>
      </c>
      <c r="U115" s="4" t="s">
        <v>46</v>
      </c>
      <c r="V115" s="5">
        <v>1</v>
      </c>
      <c r="W115" s="5">
        <v>0</v>
      </c>
      <c r="X115" s="5">
        <v>100</v>
      </c>
      <c r="Y115" s="5">
        <v>29.41</v>
      </c>
      <c r="Z115" s="4" t="s">
        <v>46</v>
      </c>
      <c r="AA115" s="5" t="s">
        <v>46</v>
      </c>
      <c r="AB115" s="4" t="s">
        <v>63</v>
      </c>
      <c r="AC115" s="4" t="s">
        <v>46</v>
      </c>
      <c r="AD115" s="5">
        <v>0</v>
      </c>
      <c r="AE115" s="4" t="s">
        <v>64</v>
      </c>
      <c r="AF115" s="3">
        <v>45292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100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45945</v>
      </c>
      <c r="C116" s="4" t="s">
        <v>318</v>
      </c>
      <c r="D116" s="2">
        <v>1673763</v>
      </c>
      <c r="E116" s="4" t="s">
        <v>321</v>
      </c>
      <c r="F116" s="4" t="s">
        <v>322</v>
      </c>
      <c r="G116" s="2">
        <v>712615213</v>
      </c>
      <c r="H116" s="4" t="s">
        <v>46</v>
      </c>
      <c r="I116" s="4" t="s">
        <v>46</v>
      </c>
      <c r="J116" s="4" t="s">
        <v>47</v>
      </c>
      <c r="K116" s="4" t="s">
        <v>48</v>
      </c>
      <c r="L116" s="3">
        <v>45931</v>
      </c>
      <c r="M116" s="4" t="s">
        <v>60</v>
      </c>
      <c r="N116" s="4" t="s">
        <v>46</v>
      </c>
      <c r="O116" s="4" t="s">
        <v>61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52</v>
      </c>
      <c r="U116" s="4" t="s">
        <v>46</v>
      </c>
      <c r="V116" s="5">
        <v>1</v>
      </c>
      <c r="W116" s="5">
        <v>0</v>
      </c>
      <c r="X116" s="5">
        <v>100</v>
      </c>
      <c r="Y116" s="5">
        <v>29.41</v>
      </c>
      <c r="Z116" s="4" t="s">
        <v>46</v>
      </c>
      <c r="AA116" s="5" t="s">
        <v>46</v>
      </c>
      <c r="AB116" s="4" t="s">
        <v>63</v>
      </c>
      <c r="AC116" s="4" t="s">
        <v>46</v>
      </c>
      <c r="AD116" s="5">
        <v>0</v>
      </c>
      <c r="AE116" s="4" t="s">
        <v>64</v>
      </c>
      <c r="AF116" s="3">
        <v>45292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100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45945</v>
      </c>
      <c r="C117" s="4" t="s">
        <v>318</v>
      </c>
      <c r="D117" s="2">
        <v>1673763</v>
      </c>
      <c r="E117" s="4" t="s">
        <v>323</v>
      </c>
      <c r="F117" s="4" t="s">
        <v>324</v>
      </c>
      <c r="G117" s="2">
        <v>731314054</v>
      </c>
      <c r="H117" s="4" t="s">
        <v>46</v>
      </c>
      <c r="I117" s="4" t="s">
        <v>46</v>
      </c>
      <c r="J117" s="4" t="s">
        <v>47</v>
      </c>
      <c r="K117" s="4" t="s">
        <v>48</v>
      </c>
      <c r="L117" s="3">
        <v>45931</v>
      </c>
      <c r="M117" s="4" t="s">
        <v>60</v>
      </c>
      <c r="N117" s="4" t="s">
        <v>46</v>
      </c>
      <c r="O117" s="4" t="s">
        <v>61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52</v>
      </c>
      <c r="U117" s="4" t="s">
        <v>46</v>
      </c>
      <c r="V117" s="5">
        <v>1</v>
      </c>
      <c r="W117" s="5">
        <v>0</v>
      </c>
      <c r="X117" s="5">
        <v>100</v>
      </c>
      <c r="Y117" s="5">
        <v>29.41</v>
      </c>
      <c r="Z117" s="4" t="s">
        <v>46</v>
      </c>
      <c r="AA117" s="5" t="s">
        <v>46</v>
      </c>
      <c r="AB117" s="4" t="s">
        <v>63</v>
      </c>
      <c r="AC117" s="4" t="s">
        <v>46</v>
      </c>
      <c r="AD117" s="5">
        <v>0</v>
      </c>
      <c r="AE117" s="4" t="s">
        <v>64</v>
      </c>
      <c r="AF117" s="3">
        <v>45170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100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45945</v>
      </c>
      <c r="C118" s="4" t="s">
        <v>318</v>
      </c>
      <c r="D118" s="2">
        <v>1673763</v>
      </c>
      <c r="E118" s="4" t="s">
        <v>325</v>
      </c>
      <c r="F118" s="4" t="s">
        <v>326</v>
      </c>
      <c r="G118" s="2">
        <v>154076215</v>
      </c>
      <c r="H118" s="4" t="s">
        <v>46</v>
      </c>
      <c r="I118" s="4" t="s">
        <v>46</v>
      </c>
      <c r="J118" s="4" t="s">
        <v>47</v>
      </c>
      <c r="K118" s="4" t="s">
        <v>48</v>
      </c>
      <c r="L118" s="3">
        <v>45931</v>
      </c>
      <c r="M118" s="4" t="s">
        <v>60</v>
      </c>
      <c r="N118" s="4" t="s">
        <v>46</v>
      </c>
      <c r="O118" s="4" t="s">
        <v>61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52</v>
      </c>
      <c r="U118" s="4" t="s">
        <v>46</v>
      </c>
      <c r="V118" s="5">
        <v>1</v>
      </c>
      <c r="W118" s="5">
        <v>0</v>
      </c>
      <c r="X118" s="5">
        <v>100</v>
      </c>
      <c r="Y118" s="5">
        <v>29.41</v>
      </c>
      <c r="Z118" s="4" t="s">
        <v>46</v>
      </c>
      <c r="AA118" s="5" t="s">
        <v>46</v>
      </c>
      <c r="AB118" s="4" t="s">
        <v>63</v>
      </c>
      <c r="AC118" s="4" t="s">
        <v>46</v>
      </c>
      <c r="AD118" s="5">
        <v>0</v>
      </c>
      <c r="AE118" s="4" t="s">
        <v>64</v>
      </c>
      <c r="AF118" s="3">
        <v>45292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100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45945</v>
      </c>
      <c r="C119" s="4" t="s">
        <v>318</v>
      </c>
      <c r="D119" s="2">
        <v>1673763</v>
      </c>
      <c r="E119" s="4" t="s">
        <v>327</v>
      </c>
      <c r="F119" s="4" t="s">
        <v>328</v>
      </c>
      <c r="G119" s="2">
        <v>922417041</v>
      </c>
      <c r="H119" s="4" t="s">
        <v>46</v>
      </c>
      <c r="I119" s="4" t="s">
        <v>46</v>
      </c>
      <c r="J119" s="4" t="s">
        <v>47</v>
      </c>
      <c r="K119" s="4" t="s">
        <v>48</v>
      </c>
      <c r="L119" s="3">
        <v>45931</v>
      </c>
      <c r="M119" s="4" t="s">
        <v>60</v>
      </c>
      <c r="N119" s="4" t="s">
        <v>46</v>
      </c>
      <c r="O119" s="4" t="s">
        <v>61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52</v>
      </c>
      <c r="U119" s="4" t="s">
        <v>46</v>
      </c>
      <c r="V119" s="5">
        <v>1</v>
      </c>
      <c r="W119" s="5">
        <v>0</v>
      </c>
      <c r="X119" s="5">
        <v>100</v>
      </c>
      <c r="Y119" s="5">
        <v>29.41</v>
      </c>
      <c r="Z119" s="4" t="s">
        <v>46</v>
      </c>
      <c r="AA119" s="5" t="s">
        <v>46</v>
      </c>
      <c r="AB119" s="4" t="s">
        <v>63</v>
      </c>
      <c r="AC119" s="4" t="s">
        <v>46</v>
      </c>
      <c r="AD119" s="5">
        <v>0</v>
      </c>
      <c r="AE119" s="4" t="s">
        <v>64</v>
      </c>
      <c r="AF119" s="3">
        <v>45292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100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45945</v>
      </c>
      <c r="C120" s="4" t="s">
        <v>318</v>
      </c>
      <c r="D120" s="2">
        <v>1673763</v>
      </c>
      <c r="E120" s="4" t="s">
        <v>329</v>
      </c>
      <c r="F120" s="4" t="s">
        <v>330</v>
      </c>
      <c r="G120" s="2">
        <v>544214490</v>
      </c>
      <c r="H120" s="4" t="s">
        <v>46</v>
      </c>
      <c r="I120" s="4" t="s">
        <v>46</v>
      </c>
      <c r="J120" s="4" t="s">
        <v>47</v>
      </c>
      <c r="K120" s="4" t="s">
        <v>48</v>
      </c>
      <c r="L120" s="3">
        <v>45931</v>
      </c>
      <c r="M120" s="4" t="s">
        <v>60</v>
      </c>
      <c r="N120" s="4" t="s">
        <v>46</v>
      </c>
      <c r="O120" s="4" t="s">
        <v>61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52</v>
      </c>
      <c r="U120" s="4" t="s">
        <v>46</v>
      </c>
      <c r="V120" s="5">
        <v>1</v>
      </c>
      <c r="W120" s="5">
        <v>0</v>
      </c>
      <c r="X120" s="5">
        <v>100</v>
      </c>
      <c r="Y120" s="5">
        <v>29.41</v>
      </c>
      <c r="Z120" s="4" t="s">
        <v>46</v>
      </c>
      <c r="AA120" s="5" t="s">
        <v>46</v>
      </c>
      <c r="AB120" s="4" t="s">
        <v>63</v>
      </c>
      <c r="AC120" s="4" t="s">
        <v>46</v>
      </c>
      <c r="AD120" s="5">
        <v>0</v>
      </c>
      <c r="AE120" s="4" t="s">
        <v>64</v>
      </c>
      <c r="AF120" s="3">
        <v>45292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100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45945</v>
      </c>
      <c r="C121" s="4" t="s">
        <v>318</v>
      </c>
      <c r="D121" s="2">
        <v>1673763</v>
      </c>
      <c r="E121" s="4" t="s">
        <v>331</v>
      </c>
      <c r="F121" s="4" t="s">
        <v>332</v>
      </c>
      <c r="G121" s="2">
        <v>666735010</v>
      </c>
      <c r="H121" s="4" t="s">
        <v>46</v>
      </c>
      <c r="I121" s="4" t="s">
        <v>46</v>
      </c>
      <c r="J121" s="4" t="s">
        <v>47</v>
      </c>
      <c r="K121" s="4" t="s">
        <v>48</v>
      </c>
      <c r="L121" s="3">
        <v>45931</v>
      </c>
      <c r="M121" s="4" t="s">
        <v>60</v>
      </c>
      <c r="N121" s="4" t="s">
        <v>46</v>
      </c>
      <c r="O121" s="4" t="s">
        <v>61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52</v>
      </c>
      <c r="U121" s="4" t="s">
        <v>46</v>
      </c>
      <c r="V121" s="5">
        <v>1</v>
      </c>
      <c r="W121" s="5">
        <v>0</v>
      </c>
      <c r="X121" s="5">
        <v>100</v>
      </c>
      <c r="Y121" s="5">
        <v>29.41</v>
      </c>
      <c r="Z121" s="4" t="s">
        <v>46</v>
      </c>
      <c r="AA121" s="5" t="s">
        <v>46</v>
      </c>
      <c r="AB121" s="4" t="s">
        <v>63</v>
      </c>
      <c r="AC121" s="4" t="s">
        <v>46</v>
      </c>
      <c r="AD121" s="5">
        <v>0</v>
      </c>
      <c r="AE121" s="4" t="s">
        <v>64</v>
      </c>
      <c r="AF121" s="3">
        <v>45292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100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45945</v>
      </c>
      <c r="C122" s="4" t="s">
        <v>318</v>
      </c>
      <c r="D122" s="2">
        <v>1673763</v>
      </c>
      <c r="E122" s="4" t="s">
        <v>333</v>
      </c>
      <c r="F122" s="4" t="s">
        <v>334</v>
      </c>
      <c r="G122" s="2">
        <v>516390555</v>
      </c>
      <c r="H122" s="4" t="s">
        <v>46</v>
      </c>
      <c r="I122" s="4" t="s">
        <v>46</v>
      </c>
      <c r="J122" s="4" t="s">
        <v>47</v>
      </c>
      <c r="K122" s="4" t="s">
        <v>48</v>
      </c>
      <c r="L122" s="3">
        <v>45931</v>
      </c>
      <c r="M122" s="4" t="s">
        <v>60</v>
      </c>
      <c r="N122" s="4" t="s">
        <v>46</v>
      </c>
      <c r="O122" s="4" t="s">
        <v>61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52</v>
      </c>
      <c r="U122" s="4" t="s">
        <v>46</v>
      </c>
      <c r="V122" s="5">
        <v>1</v>
      </c>
      <c r="W122" s="5">
        <v>0</v>
      </c>
      <c r="X122" s="5">
        <v>100</v>
      </c>
      <c r="Y122" s="5">
        <v>29.41</v>
      </c>
      <c r="Z122" s="4" t="s">
        <v>46</v>
      </c>
      <c r="AA122" s="5" t="s">
        <v>46</v>
      </c>
      <c r="AB122" s="4" t="s">
        <v>63</v>
      </c>
      <c r="AC122" s="4" t="s">
        <v>46</v>
      </c>
      <c r="AD122" s="5">
        <v>0</v>
      </c>
      <c r="AE122" s="4" t="s">
        <v>64</v>
      </c>
      <c r="AF122" s="3">
        <v>45292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100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45945</v>
      </c>
      <c r="C123" s="4" t="s">
        <v>318</v>
      </c>
      <c r="D123" s="2">
        <v>1673763</v>
      </c>
      <c r="E123" s="4" t="s">
        <v>335</v>
      </c>
      <c r="F123" s="4" t="s">
        <v>336</v>
      </c>
      <c r="G123" s="2">
        <v>225568385</v>
      </c>
      <c r="H123" s="4" t="s">
        <v>46</v>
      </c>
      <c r="I123" s="4" t="s">
        <v>46</v>
      </c>
      <c r="J123" s="4" t="s">
        <v>47</v>
      </c>
      <c r="K123" s="4" t="s">
        <v>48</v>
      </c>
      <c r="L123" s="3">
        <v>45931</v>
      </c>
      <c r="M123" s="4" t="s">
        <v>60</v>
      </c>
      <c r="N123" s="4" t="s">
        <v>46</v>
      </c>
      <c r="O123" s="4" t="s">
        <v>61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52</v>
      </c>
      <c r="U123" s="4" t="s">
        <v>46</v>
      </c>
      <c r="V123" s="5">
        <v>1</v>
      </c>
      <c r="W123" s="5">
        <v>0</v>
      </c>
      <c r="X123" s="5">
        <v>100</v>
      </c>
      <c r="Y123" s="5">
        <v>29.41</v>
      </c>
      <c r="Z123" s="4" t="s">
        <v>46</v>
      </c>
      <c r="AA123" s="5" t="s">
        <v>46</v>
      </c>
      <c r="AB123" s="4" t="s">
        <v>63</v>
      </c>
      <c r="AC123" s="4" t="s">
        <v>46</v>
      </c>
      <c r="AD123" s="5">
        <v>0</v>
      </c>
      <c r="AE123" s="4" t="s">
        <v>64</v>
      </c>
      <c r="AF123" s="3">
        <v>45383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100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45945</v>
      </c>
      <c r="C124" s="4" t="s">
        <v>318</v>
      </c>
      <c r="D124" s="2">
        <v>1673763</v>
      </c>
      <c r="E124" s="4" t="s">
        <v>337</v>
      </c>
      <c r="F124" s="4" t="s">
        <v>338</v>
      </c>
      <c r="G124" s="2">
        <v>584119114</v>
      </c>
      <c r="H124" s="4" t="s">
        <v>46</v>
      </c>
      <c r="I124" s="4" t="s">
        <v>46</v>
      </c>
      <c r="J124" s="4" t="s">
        <v>47</v>
      </c>
      <c r="K124" s="4" t="s">
        <v>48</v>
      </c>
      <c r="L124" s="3">
        <v>45931</v>
      </c>
      <c r="M124" s="4" t="s">
        <v>60</v>
      </c>
      <c r="N124" s="4" t="s">
        <v>46</v>
      </c>
      <c r="O124" s="4" t="s">
        <v>61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52</v>
      </c>
      <c r="U124" s="4" t="s">
        <v>46</v>
      </c>
      <c r="V124" s="5">
        <v>1</v>
      </c>
      <c r="W124" s="5">
        <v>0</v>
      </c>
      <c r="X124" s="5">
        <v>100</v>
      </c>
      <c r="Y124" s="5">
        <v>29.41</v>
      </c>
      <c r="Z124" s="4" t="s">
        <v>46</v>
      </c>
      <c r="AA124" s="5" t="s">
        <v>46</v>
      </c>
      <c r="AB124" s="4" t="s">
        <v>63</v>
      </c>
      <c r="AC124" s="4" t="s">
        <v>46</v>
      </c>
      <c r="AD124" s="5">
        <v>0</v>
      </c>
      <c r="AE124" s="4" t="s">
        <v>64</v>
      </c>
      <c r="AF124" s="3">
        <v>45566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100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45945</v>
      </c>
      <c r="C125" s="4" t="s">
        <v>339</v>
      </c>
      <c r="D125" s="2">
        <v>1703723</v>
      </c>
      <c r="E125" s="4" t="s">
        <v>340</v>
      </c>
      <c r="F125" s="4" t="s">
        <v>341</v>
      </c>
      <c r="G125" s="2">
        <v>618018022</v>
      </c>
      <c r="H125" s="4" t="s">
        <v>46</v>
      </c>
      <c r="I125" s="4" t="s">
        <v>46</v>
      </c>
      <c r="J125" s="4" t="s">
        <v>47</v>
      </c>
      <c r="K125" s="4" t="s">
        <v>48</v>
      </c>
      <c r="L125" s="3">
        <v>45931</v>
      </c>
      <c r="M125" s="4" t="s">
        <v>60</v>
      </c>
      <c r="N125" s="4" t="s">
        <v>46</v>
      </c>
      <c r="O125" s="4" t="s">
        <v>61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52</v>
      </c>
      <c r="U125" s="4" t="s">
        <v>46</v>
      </c>
      <c r="V125" s="5">
        <v>1</v>
      </c>
      <c r="W125" s="5">
        <v>0</v>
      </c>
      <c r="X125" s="5">
        <v>100</v>
      </c>
      <c r="Y125" s="5">
        <v>26.08</v>
      </c>
      <c r="Z125" s="4" t="s">
        <v>46</v>
      </c>
      <c r="AA125" s="5" t="s">
        <v>46</v>
      </c>
      <c r="AB125" s="4" t="s">
        <v>63</v>
      </c>
      <c r="AC125" s="4" t="s">
        <v>46</v>
      </c>
      <c r="AD125" s="5">
        <v>0</v>
      </c>
      <c r="AE125" s="4" t="s">
        <v>64</v>
      </c>
      <c r="AF125" s="3">
        <v>45597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55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45945</v>
      </c>
      <c r="C126" s="4" t="s">
        <v>342</v>
      </c>
      <c r="D126" s="2">
        <v>1703942</v>
      </c>
      <c r="E126" s="4" t="s">
        <v>343</v>
      </c>
      <c r="F126" s="4" t="s">
        <v>344</v>
      </c>
      <c r="G126" s="2">
        <v>250217584</v>
      </c>
      <c r="H126" s="4" t="s">
        <v>46</v>
      </c>
      <c r="I126" s="4" t="s">
        <v>46</v>
      </c>
      <c r="J126" s="4" t="s">
        <v>47</v>
      </c>
      <c r="K126" s="4" t="s">
        <v>48</v>
      </c>
      <c r="L126" s="3">
        <v>45931</v>
      </c>
      <c r="M126" s="4" t="s">
        <v>60</v>
      </c>
      <c r="N126" s="4" t="s">
        <v>46</v>
      </c>
      <c r="O126" s="4" t="s">
        <v>61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52</v>
      </c>
      <c r="U126" s="4" t="s">
        <v>46</v>
      </c>
      <c r="V126" s="5">
        <v>1</v>
      </c>
      <c r="W126" s="5">
        <v>0</v>
      </c>
      <c r="X126" s="5">
        <v>100</v>
      </c>
      <c r="Y126" s="5">
        <v>26.08</v>
      </c>
      <c r="Z126" s="4" t="s">
        <v>46</v>
      </c>
      <c r="AA126" s="5" t="s">
        <v>46</v>
      </c>
      <c r="AB126" s="4" t="s">
        <v>63</v>
      </c>
      <c r="AC126" s="4" t="s">
        <v>46</v>
      </c>
      <c r="AD126" s="5">
        <v>0</v>
      </c>
      <c r="AE126" s="4" t="s">
        <v>64</v>
      </c>
      <c r="AF126" s="3">
        <v>45505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55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45945</v>
      </c>
      <c r="C127" s="4" t="s">
        <v>342</v>
      </c>
      <c r="D127" s="2">
        <v>1703942</v>
      </c>
      <c r="E127" s="4" t="s">
        <v>345</v>
      </c>
      <c r="F127" s="4" t="s">
        <v>346</v>
      </c>
      <c r="G127" s="2">
        <v>924445034</v>
      </c>
      <c r="H127" s="4" t="s">
        <v>46</v>
      </c>
      <c r="I127" s="4" t="s">
        <v>46</v>
      </c>
      <c r="J127" s="4" t="s">
        <v>47</v>
      </c>
      <c r="K127" s="4" t="s">
        <v>48</v>
      </c>
      <c r="L127" s="3">
        <v>45931</v>
      </c>
      <c r="M127" s="4" t="s">
        <v>60</v>
      </c>
      <c r="N127" s="4" t="s">
        <v>46</v>
      </c>
      <c r="O127" s="4" t="s">
        <v>61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52</v>
      </c>
      <c r="U127" s="4" t="s">
        <v>46</v>
      </c>
      <c r="V127" s="5">
        <v>1</v>
      </c>
      <c r="W127" s="5">
        <v>0</v>
      </c>
      <c r="X127" s="5">
        <v>100</v>
      </c>
      <c r="Y127" s="5">
        <v>26.08</v>
      </c>
      <c r="Z127" s="4" t="s">
        <v>46</v>
      </c>
      <c r="AA127" s="5" t="s">
        <v>46</v>
      </c>
      <c r="AB127" s="4" t="s">
        <v>63</v>
      </c>
      <c r="AC127" s="4" t="s">
        <v>46</v>
      </c>
      <c r="AD127" s="5">
        <v>0</v>
      </c>
      <c r="AE127" s="4" t="s">
        <v>64</v>
      </c>
      <c r="AF127" s="3">
        <v>45474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55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45945</v>
      </c>
      <c r="C128" s="4" t="s">
        <v>342</v>
      </c>
      <c r="D128" s="2">
        <v>1703942</v>
      </c>
      <c r="E128" s="4" t="s">
        <v>347</v>
      </c>
      <c r="F128" s="4" t="s">
        <v>348</v>
      </c>
      <c r="G128" s="2">
        <v>362871133</v>
      </c>
      <c r="H128" s="4" t="s">
        <v>46</v>
      </c>
      <c r="I128" s="4" t="s">
        <v>46</v>
      </c>
      <c r="J128" s="4" t="s">
        <v>47</v>
      </c>
      <c r="K128" s="4" t="s">
        <v>48</v>
      </c>
      <c r="L128" s="3">
        <v>45931</v>
      </c>
      <c r="M128" s="4" t="s">
        <v>60</v>
      </c>
      <c r="N128" s="4" t="s">
        <v>46</v>
      </c>
      <c r="O128" s="4" t="s">
        <v>61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52</v>
      </c>
      <c r="U128" s="4" t="s">
        <v>46</v>
      </c>
      <c r="V128" s="5">
        <v>1</v>
      </c>
      <c r="W128" s="5">
        <v>0</v>
      </c>
      <c r="X128" s="5">
        <v>100</v>
      </c>
      <c r="Y128" s="5">
        <v>26.08</v>
      </c>
      <c r="Z128" s="4" t="s">
        <v>46</v>
      </c>
      <c r="AA128" s="5" t="s">
        <v>46</v>
      </c>
      <c r="AB128" s="4" t="s">
        <v>63</v>
      </c>
      <c r="AC128" s="4" t="s">
        <v>46</v>
      </c>
      <c r="AD128" s="5">
        <v>0</v>
      </c>
      <c r="AE128" s="4" t="s">
        <v>64</v>
      </c>
      <c r="AF128" s="3">
        <v>45474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55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45945</v>
      </c>
      <c r="C129" s="4" t="s">
        <v>342</v>
      </c>
      <c r="D129" s="2">
        <v>1703942</v>
      </c>
      <c r="E129" s="4" t="s">
        <v>349</v>
      </c>
      <c r="F129" s="4" t="s">
        <v>350</v>
      </c>
      <c r="G129" s="2">
        <v>588939243</v>
      </c>
      <c r="H129" s="4" t="s">
        <v>46</v>
      </c>
      <c r="I129" s="4" t="s">
        <v>46</v>
      </c>
      <c r="J129" s="4" t="s">
        <v>47</v>
      </c>
      <c r="K129" s="4" t="s">
        <v>48</v>
      </c>
      <c r="L129" s="3">
        <v>45931</v>
      </c>
      <c r="M129" s="4" t="s">
        <v>60</v>
      </c>
      <c r="N129" s="4" t="s">
        <v>46</v>
      </c>
      <c r="O129" s="4" t="s">
        <v>61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52</v>
      </c>
      <c r="U129" s="4" t="s">
        <v>46</v>
      </c>
      <c r="V129" s="5">
        <v>1</v>
      </c>
      <c r="W129" s="5">
        <v>0</v>
      </c>
      <c r="X129" s="5">
        <v>100</v>
      </c>
      <c r="Y129" s="5">
        <v>26.08</v>
      </c>
      <c r="Z129" s="4" t="s">
        <v>46</v>
      </c>
      <c r="AA129" s="5" t="s">
        <v>46</v>
      </c>
      <c r="AB129" s="4" t="s">
        <v>63</v>
      </c>
      <c r="AC129" s="4" t="s">
        <v>46</v>
      </c>
      <c r="AD129" s="5">
        <v>0</v>
      </c>
      <c r="AE129" s="4" t="s">
        <v>64</v>
      </c>
      <c r="AF129" s="3">
        <v>45536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55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45945</v>
      </c>
      <c r="C130" s="4" t="s">
        <v>342</v>
      </c>
      <c r="D130" s="2">
        <v>1703942</v>
      </c>
      <c r="E130" s="4" t="s">
        <v>351</v>
      </c>
      <c r="F130" s="4" t="s">
        <v>352</v>
      </c>
      <c r="G130" s="2">
        <v>116020444</v>
      </c>
      <c r="H130" s="4" t="s">
        <v>46</v>
      </c>
      <c r="I130" s="4" t="s">
        <v>46</v>
      </c>
      <c r="J130" s="4" t="s">
        <v>47</v>
      </c>
      <c r="K130" s="4" t="s">
        <v>48</v>
      </c>
      <c r="L130" s="3">
        <v>45931</v>
      </c>
      <c r="M130" s="4" t="s">
        <v>60</v>
      </c>
      <c r="N130" s="4" t="s">
        <v>46</v>
      </c>
      <c r="O130" s="4" t="s">
        <v>61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52</v>
      </c>
      <c r="U130" s="4" t="s">
        <v>46</v>
      </c>
      <c r="V130" s="5">
        <v>1</v>
      </c>
      <c r="W130" s="5">
        <v>0</v>
      </c>
      <c r="X130" s="5">
        <v>100</v>
      </c>
      <c r="Y130" s="5">
        <v>26.08</v>
      </c>
      <c r="Z130" s="4" t="s">
        <v>46</v>
      </c>
      <c r="AA130" s="5" t="s">
        <v>46</v>
      </c>
      <c r="AB130" s="4" t="s">
        <v>63</v>
      </c>
      <c r="AC130" s="4" t="s">
        <v>46</v>
      </c>
      <c r="AD130" s="5">
        <v>0</v>
      </c>
      <c r="AE130" s="4" t="s">
        <v>64</v>
      </c>
      <c r="AF130" s="3">
        <v>45505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55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45945</v>
      </c>
      <c r="C131" s="4" t="s">
        <v>342</v>
      </c>
      <c r="D131" s="2">
        <v>1703942</v>
      </c>
      <c r="E131" s="4" t="s">
        <v>353</v>
      </c>
      <c r="F131" s="4" t="s">
        <v>354</v>
      </c>
      <c r="G131" s="2">
        <v>827020444</v>
      </c>
      <c r="H131" s="4" t="s">
        <v>46</v>
      </c>
      <c r="I131" s="4" t="s">
        <v>46</v>
      </c>
      <c r="J131" s="4" t="s">
        <v>47</v>
      </c>
      <c r="K131" s="4" t="s">
        <v>48</v>
      </c>
      <c r="L131" s="3">
        <v>45931</v>
      </c>
      <c r="M131" s="4" t="s">
        <v>60</v>
      </c>
      <c r="N131" s="4" t="s">
        <v>46</v>
      </c>
      <c r="O131" s="4" t="s">
        <v>61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52</v>
      </c>
      <c r="U131" s="4" t="s">
        <v>46</v>
      </c>
      <c r="V131" s="5">
        <v>1</v>
      </c>
      <c r="W131" s="5">
        <v>0</v>
      </c>
      <c r="X131" s="5">
        <v>100</v>
      </c>
      <c r="Y131" s="5">
        <v>26.08</v>
      </c>
      <c r="Z131" s="4" t="s">
        <v>46</v>
      </c>
      <c r="AA131" s="5" t="s">
        <v>46</v>
      </c>
      <c r="AB131" s="4" t="s">
        <v>63</v>
      </c>
      <c r="AC131" s="4" t="s">
        <v>46</v>
      </c>
      <c r="AD131" s="5">
        <v>0</v>
      </c>
      <c r="AE131" s="4" t="s">
        <v>64</v>
      </c>
      <c r="AF131" s="3">
        <v>45505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55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45945</v>
      </c>
      <c r="C132" s="4" t="s">
        <v>342</v>
      </c>
      <c r="D132" s="2">
        <v>1703942</v>
      </c>
      <c r="E132" s="4" t="s">
        <v>355</v>
      </c>
      <c r="F132" s="4" t="s">
        <v>356</v>
      </c>
      <c r="G132" s="2">
        <v>329878423</v>
      </c>
      <c r="H132" s="4" t="s">
        <v>46</v>
      </c>
      <c r="I132" s="4" t="s">
        <v>46</v>
      </c>
      <c r="J132" s="4" t="s">
        <v>47</v>
      </c>
      <c r="K132" s="4" t="s">
        <v>48</v>
      </c>
      <c r="L132" s="3">
        <v>45931</v>
      </c>
      <c r="M132" s="4" t="s">
        <v>60</v>
      </c>
      <c r="N132" s="4" t="s">
        <v>46</v>
      </c>
      <c r="O132" s="4" t="s">
        <v>61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52</v>
      </c>
      <c r="U132" s="4" t="s">
        <v>46</v>
      </c>
      <c r="V132" s="5">
        <v>1</v>
      </c>
      <c r="W132" s="5">
        <v>0</v>
      </c>
      <c r="X132" s="5">
        <v>100</v>
      </c>
      <c r="Y132" s="5">
        <v>26.08</v>
      </c>
      <c r="Z132" s="4" t="s">
        <v>46</v>
      </c>
      <c r="AA132" s="5" t="s">
        <v>46</v>
      </c>
      <c r="AB132" s="4" t="s">
        <v>63</v>
      </c>
      <c r="AC132" s="4" t="s">
        <v>46</v>
      </c>
      <c r="AD132" s="5">
        <v>0</v>
      </c>
      <c r="AE132" s="4" t="s">
        <v>64</v>
      </c>
      <c r="AF132" s="3">
        <v>45536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55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45945</v>
      </c>
      <c r="C133" s="4" t="s">
        <v>342</v>
      </c>
      <c r="D133" s="2">
        <v>1703942</v>
      </c>
      <c r="E133" s="4" t="s">
        <v>357</v>
      </c>
      <c r="F133" s="4" t="s">
        <v>358</v>
      </c>
      <c r="G133" s="2">
        <v>221614009</v>
      </c>
      <c r="H133" s="4" t="s">
        <v>46</v>
      </c>
      <c r="I133" s="4" t="s">
        <v>46</v>
      </c>
      <c r="J133" s="4" t="s">
        <v>47</v>
      </c>
      <c r="K133" s="4" t="s">
        <v>48</v>
      </c>
      <c r="L133" s="3">
        <v>45931</v>
      </c>
      <c r="M133" s="4" t="s">
        <v>60</v>
      </c>
      <c r="N133" s="4" t="s">
        <v>46</v>
      </c>
      <c r="O133" s="4" t="s">
        <v>61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62</v>
      </c>
      <c r="U133" s="4" t="s">
        <v>46</v>
      </c>
      <c r="V133" s="5">
        <v>1</v>
      </c>
      <c r="W133" s="5">
        <v>0</v>
      </c>
      <c r="X133" s="5">
        <v>100</v>
      </c>
      <c r="Y133" s="5">
        <v>26.08</v>
      </c>
      <c r="Z133" s="4" t="s">
        <v>46</v>
      </c>
      <c r="AA133" s="5" t="s">
        <v>46</v>
      </c>
      <c r="AB133" s="4" t="s">
        <v>63</v>
      </c>
      <c r="AC133" s="4" t="s">
        <v>46</v>
      </c>
      <c r="AD133" s="5">
        <v>0</v>
      </c>
      <c r="AE133" s="4" t="s">
        <v>64</v>
      </c>
      <c r="AF133" s="3">
        <v>45627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73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45945</v>
      </c>
      <c r="C134" s="4" t="s">
        <v>342</v>
      </c>
      <c r="D134" s="2">
        <v>1703942</v>
      </c>
      <c r="E134" s="4" t="s">
        <v>359</v>
      </c>
      <c r="F134" s="4" t="s">
        <v>360</v>
      </c>
      <c r="G134" s="2">
        <v>433557004</v>
      </c>
      <c r="H134" s="4" t="s">
        <v>361</v>
      </c>
      <c r="I134" s="4" t="s">
        <v>46</v>
      </c>
      <c r="J134" s="4" t="s">
        <v>47</v>
      </c>
      <c r="K134" s="4" t="s">
        <v>48</v>
      </c>
      <c r="L134" s="3">
        <v>45992</v>
      </c>
      <c r="M134" s="4" t="s">
        <v>88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362</v>
      </c>
      <c r="U134" s="4" t="s">
        <v>46</v>
      </c>
      <c r="V134" s="5">
        <v>0.08</v>
      </c>
      <c r="W134" s="5">
        <v>0</v>
      </c>
      <c r="X134" s="5">
        <v>100</v>
      </c>
      <c r="Y134" s="5">
        <v>4.58</v>
      </c>
      <c r="Z134" s="4" t="s">
        <v>46</v>
      </c>
      <c r="AA134" s="5" t="s">
        <v>46</v>
      </c>
      <c r="AB134" s="4" t="s">
        <v>56</v>
      </c>
      <c r="AC134" s="4" t="s">
        <v>46</v>
      </c>
      <c r="AD134" s="5">
        <v>0</v>
      </c>
      <c r="AE134" s="4" t="s">
        <v>57</v>
      </c>
      <c r="AF134" s="3">
        <v>45992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363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45945</v>
      </c>
      <c r="C135" s="4" t="s">
        <v>364</v>
      </c>
      <c r="D135" s="2">
        <v>1758433</v>
      </c>
      <c r="E135" s="4" t="s">
        <v>365</v>
      </c>
      <c r="F135" s="4" t="s">
        <v>366</v>
      </c>
      <c r="G135" s="2">
        <v>496048952</v>
      </c>
      <c r="H135" s="4" t="s">
        <v>46</v>
      </c>
      <c r="I135" s="4" t="s">
        <v>46</v>
      </c>
      <c r="J135" s="4" t="s">
        <v>47</v>
      </c>
      <c r="K135" s="4" t="s">
        <v>48</v>
      </c>
      <c r="L135" s="3">
        <v>45931</v>
      </c>
      <c r="M135" s="4" t="s">
        <v>60</v>
      </c>
      <c r="N135" s="4" t="s">
        <v>46</v>
      </c>
      <c r="O135" s="4" t="s">
        <v>61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367</v>
      </c>
      <c r="U135" s="4" t="s">
        <v>46</v>
      </c>
      <c r="V135" s="5">
        <v>1</v>
      </c>
      <c r="W135" s="5">
        <v>0</v>
      </c>
      <c r="X135" s="5">
        <v>100</v>
      </c>
      <c r="Y135" s="5">
        <v>29.41</v>
      </c>
      <c r="Z135" s="4" t="s">
        <v>46</v>
      </c>
      <c r="AA135" s="5" t="s">
        <v>46</v>
      </c>
      <c r="AB135" s="4" t="s">
        <v>63</v>
      </c>
      <c r="AC135" s="4" t="s">
        <v>46</v>
      </c>
      <c r="AD135" s="5">
        <v>0</v>
      </c>
      <c r="AE135" s="4" t="s">
        <v>64</v>
      </c>
      <c r="AF135" s="3">
        <v>45292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368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45945</v>
      </c>
      <c r="C136" s="4" t="s">
        <v>364</v>
      </c>
      <c r="D136" s="2">
        <v>1758433</v>
      </c>
      <c r="E136" s="4" t="s">
        <v>369</v>
      </c>
      <c r="F136" s="4" t="s">
        <v>370</v>
      </c>
      <c r="G136" s="2">
        <v>493198005</v>
      </c>
      <c r="H136" s="4" t="s">
        <v>46</v>
      </c>
      <c r="I136" s="4" t="s">
        <v>46</v>
      </c>
      <c r="J136" s="4" t="s">
        <v>47</v>
      </c>
      <c r="K136" s="4" t="s">
        <v>48</v>
      </c>
      <c r="L136" s="3">
        <v>45931</v>
      </c>
      <c r="M136" s="4" t="s">
        <v>60</v>
      </c>
      <c r="N136" s="4" t="s">
        <v>46</v>
      </c>
      <c r="O136" s="4" t="s">
        <v>61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52</v>
      </c>
      <c r="U136" s="4" t="s">
        <v>46</v>
      </c>
      <c r="V136" s="5">
        <v>1</v>
      </c>
      <c r="W136" s="5">
        <v>0</v>
      </c>
      <c r="X136" s="5">
        <v>100</v>
      </c>
      <c r="Y136" s="5">
        <v>26.08</v>
      </c>
      <c r="Z136" s="4" t="s">
        <v>46</v>
      </c>
      <c r="AA136" s="5" t="s">
        <v>46</v>
      </c>
      <c r="AB136" s="4" t="s">
        <v>63</v>
      </c>
      <c r="AC136" s="4" t="s">
        <v>46</v>
      </c>
      <c r="AD136" s="5">
        <v>0</v>
      </c>
      <c r="AE136" s="4" t="s">
        <v>64</v>
      </c>
      <c r="AF136" s="3">
        <v>45292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55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45945</v>
      </c>
      <c r="C137" s="4" t="s">
        <v>364</v>
      </c>
      <c r="D137" s="2">
        <v>1758433</v>
      </c>
      <c r="E137" s="4" t="s">
        <v>371</v>
      </c>
      <c r="F137" s="4" t="s">
        <v>372</v>
      </c>
      <c r="G137" s="2">
        <v>531841334</v>
      </c>
      <c r="H137" s="4" t="s">
        <v>46</v>
      </c>
      <c r="I137" s="4" t="s">
        <v>46</v>
      </c>
      <c r="J137" s="4" t="s">
        <v>47</v>
      </c>
      <c r="K137" s="4" t="s">
        <v>48</v>
      </c>
      <c r="L137" s="3">
        <v>45931</v>
      </c>
      <c r="M137" s="4" t="s">
        <v>60</v>
      </c>
      <c r="N137" s="4" t="s">
        <v>46</v>
      </c>
      <c r="O137" s="4" t="s">
        <v>61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52</v>
      </c>
      <c r="U137" s="4" t="s">
        <v>46</v>
      </c>
      <c r="V137" s="5">
        <v>1</v>
      </c>
      <c r="W137" s="5">
        <v>0</v>
      </c>
      <c r="X137" s="5">
        <v>100</v>
      </c>
      <c r="Y137" s="5">
        <v>29.41</v>
      </c>
      <c r="Z137" s="4" t="s">
        <v>46</v>
      </c>
      <c r="AA137" s="5" t="s">
        <v>46</v>
      </c>
      <c r="AB137" s="4" t="s">
        <v>63</v>
      </c>
      <c r="AC137" s="4" t="s">
        <v>46</v>
      </c>
      <c r="AD137" s="5">
        <v>0</v>
      </c>
      <c r="AE137" s="4" t="s">
        <v>64</v>
      </c>
      <c r="AF137" s="3">
        <v>45536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100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45945</v>
      </c>
      <c r="C138" s="4" t="s">
        <v>373</v>
      </c>
      <c r="D138" s="2">
        <v>1773696</v>
      </c>
      <c r="E138" s="4" t="s">
        <v>374</v>
      </c>
      <c r="F138" s="4" t="s">
        <v>375</v>
      </c>
      <c r="G138" s="2">
        <v>845307263</v>
      </c>
      <c r="H138" s="4" t="s">
        <v>46</v>
      </c>
      <c r="I138" s="4" t="s">
        <v>46</v>
      </c>
      <c r="J138" s="4" t="s">
        <v>47</v>
      </c>
      <c r="K138" s="4" t="s">
        <v>48</v>
      </c>
      <c r="L138" s="3">
        <v>45931</v>
      </c>
      <c r="M138" s="4" t="s">
        <v>60</v>
      </c>
      <c r="N138" s="4" t="s">
        <v>46</v>
      </c>
      <c r="O138" s="4" t="s">
        <v>61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52</v>
      </c>
      <c r="U138" s="4" t="s">
        <v>46</v>
      </c>
      <c r="V138" s="5">
        <v>1</v>
      </c>
      <c r="W138" s="5">
        <v>0</v>
      </c>
      <c r="X138" s="5">
        <v>100</v>
      </c>
      <c r="Y138" s="5">
        <v>26.08</v>
      </c>
      <c r="Z138" s="4" t="s">
        <v>46</v>
      </c>
      <c r="AA138" s="5" t="s">
        <v>46</v>
      </c>
      <c r="AB138" s="4" t="s">
        <v>63</v>
      </c>
      <c r="AC138" s="4" t="s">
        <v>46</v>
      </c>
      <c r="AD138" s="5">
        <v>0</v>
      </c>
      <c r="AE138" s="4" t="s">
        <v>64</v>
      </c>
      <c r="AF138" s="3">
        <v>45505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55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45945</v>
      </c>
      <c r="C139" s="4" t="s">
        <v>373</v>
      </c>
      <c r="D139" s="2">
        <v>1773696</v>
      </c>
      <c r="E139" s="4" t="s">
        <v>376</v>
      </c>
      <c r="F139" s="4" t="s">
        <v>377</v>
      </c>
      <c r="G139" s="2">
        <v>380382221</v>
      </c>
      <c r="H139" s="4" t="s">
        <v>46</v>
      </c>
      <c r="I139" s="4" t="s">
        <v>46</v>
      </c>
      <c r="J139" s="4" t="s">
        <v>47</v>
      </c>
      <c r="K139" s="4" t="s">
        <v>48</v>
      </c>
      <c r="L139" s="3">
        <v>45931</v>
      </c>
      <c r="M139" s="4" t="s">
        <v>60</v>
      </c>
      <c r="N139" s="4" t="s">
        <v>46</v>
      </c>
      <c r="O139" s="4" t="s">
        <v>61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62</v>
      </c>
      <c r="U139" s="4" t="s">
        <v>46</v>
      </c>
      <c r="V139" s="5">
        <v>1</v>
      </c>
      <c r="W139" s="5">
        <v>0</v>
      </c>
      <c r="X139" s="5">
        <v>100</v>
      </c>
      <c r="Y139" s="5">
        <v>26.08</v>
      </c>
      <c r="Z139" s="4" t="s">
        <v>46</v>
      </c>
      <c r="AA139" s="5" t="s">
        <v>46</v>
      </c>
      <c r="AB139" s="4" t="s">
        <v>63</v>
      </c>
      <c r="AC139" s="4" t="s">
        <v>46</v>
      </c>
      <c r="AD139" s="5">
        <v>0</v>
      </c>
      <c r="AE139" s="4" t="s">
        <v>64</v>
      </c>
      <c r="AF139" s="3">
        <v>45505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73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45945</v>
      </c>
      <c r="C140" s="4" t="s">
        <v>373</v>
      </c>
      <c r="D140" s="2">
        <v>1773696</v>
      </c>
      <c r="E140" s="4" t="s">
        <v>378</v>
      </c>
      <c r="F140" s="4" t="s">
        <v>379</v>
      </c>
      <c r="G140" s="2">
        <v>520221114</v>
      </c>
      <c r="H140" s="4" t="s">
        <v>46</v>
      </c>
      <c r="I140" s="4" t="s">
        <v>46</v>
      </c>
      <c r="J140" s="4" t="s">
        <v>47</v>
      </c>
      <c r="K140" s="4" t="s">
        <v>48</v>
      </c>
      <c r="L140" s="3">
        <v>45931</v>
      </c>
      <c r="M140" s="4" t="s">
        <v>60</v>
      </c>
      <c r="N140" s="4" t="s">
        <v>46</v>
      </c>
      <c r="O140" s="4" t="s">
        <v>61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52</v>
      </c>
      <c r="U140" s="4" t="s">
        <v>46</v>
      </c>
      <c r="V140" s="5">
        <v>1</v>
      </c>
      <c r="W140" s="5">
        <v>0</v>
      </c>
      <c r="X140" s="5">
        <v>100</v>
      </c>
      <c r="Y140" s="5">
        <v>26.08</v>
      </c>
      <c r="Z140" s="4" t="s">
        <v>46</v>
      </c>
      <c r="AA140" s="5" t="s">
        <v>46</v>
      </c>
      <c r="AB140" s="4" t="s">
        <v>63</v>
      </c>
      <c r="AC140" s="4" t="s">
        <v>46</v>
      </c>
      <c r="AD140" s="5">
        <v>0</v>
      </c>
      <c r="AE140" s="4" t="s">
        <v>64</v>
      </c>
      <c r="AF140" s="3">
        <v>45566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55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45945</v>
      </c>
      <c r="C141" s="4" t="s">
        <v>373</v>
      </c>
      <c r="D141" s="2">
        <v>1773696</v>
      </c>
      <c r="E141" s="4" t="s">
        <v>380</v>
      </c>
      <c r="F141" s="4" t="s">
        <v>381</v>
      </c>
      <c r="G141" s="2">
        <v>480917370</v>
      </c>
      <c r="H141" s="4" t="s">
        <v>46</v>
      </c>
      <c r="I141" s="4" t="s">
        <v>46</v>
      </c>
      <c r="J141" s="4" t="s">
        <v>47</v>
      </c>
      <c r="K141" s="4" t="s">
        <v>48</v>
      </c>
      <c r="L141" s="3">
        <v>45931</v>
      </c>
      <c r="M141" s="4" t="s">
        <v>60</v>
      </c>
      <c r="N141" s="4" t="s">
        <v>46</v>
      </c>
      <c r="O141" s="4" t="s">
        <v>61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52</v>
      </c>
      <c r="U141" s="4" t="s">
        <v>46</v>
      </c>
      <c r="V141" s="5">
        <v>1</v>
      </c>
      <c r="W141" s="5">
        <v>0</v>
      </c>
      <c r="X141" s="5">
        <v>100</v>
      </c>
      <c r="Y141" s="5">
        <v>26.08</v>
      </c>
      <c r="Z141" s="4" t="s">
        <v>46</v>
      </c>
      <c r="AA141" s="5" t="s">
        <v>46</v>
      </c>
      <c r="AB141" s="4" t="s">
        <v>63</v>
      </c>
      <c r="AC141" s="4" t="s">
        <v>46</v>
      </c>
      <c r="AD141" s="5">
        <v>0</v>
      </c>
      <c r="AE141" s="4" t="s">
        <v>64</v>
      </c>
      <c r="AF141" s="3">
        <v>45597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55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45945</v>
      </c>
      <c r="C142" s="4" t="s">
        <v>382</v>
      </c>
      <c r="D142" s="2">
        <v>1775329</v>
      </c>
      <c r="E142" s="4" t="s">
        <v>383</v>
      </c>
      <c r="F142" s="4" t="s">
        <v>384</v>
      </c>
      <c r="G142" s="2">
        <v>699704004</v>
      </c>
      <c r="H142" s="4" t="s">
        <v>46</v>
      </c>
      <c r="I142" s="4" t="s">
        <v>46</v>
      </c>
      <c r="J142" s="4" t="s">
        <v>47</v>
      </c>
      <c r="K142" s="4" t="s">
        <v>48</v>
      </c>
      <c r="L142" s="3">
        <v>45931</v>
      </c>
      <c r="M142" s="4" t="s">
        <v>60</v>
      </c>
      <c r="N142" s="4" t="s">
        <v>46</v>
      </c>
      <c r="O142" s="4" t="s">
        <v>61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52</v>
      </c>
      <c r="U142" s="4" t="s">
        <v>46</v>
      </c>
      <c r="V142" s="5">
        <v>1</v>
      </c>
      <c r="W142" s="5">
        <v>0</v>
      </c>
      <c r="X142" s="5">
        <v>100</v>
      </c>
      <c r="Y142" s="5">
        <v>26.08</v>
      </c>
      <c r="Z142" s="4" t="s">
        <v>46</v>
      </c>
      <c r="AA142" s="5" t="s">
        <v>46</v>
      </c>
      <c r="AB142" s="4" t="s">
        <v>63</v>
      </c>
      <c r="AC142" s="4" t="s">
        <v>46</v>
      </c>
      <c r="AD142" s="5">
        <v>0</v>
      </c>
      <c r="AE142" s="4" t="s">
        <v>64</v>
      </c>
      <c r="AF142" s="3">
        <v>45536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55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45945</v>
      </c>
      <c r="C143" s="4" t="s">
        <v>382</v>
      </c>
      <c r="D143" s="2">
        <v>1775329</v>
      </c>
      <c r="E143" s="4" t="s">
        <v>385</v>
      </c>
      <c r="F143" s="4" t="s">
        <v>386</v>
      </c>
      <c r="G143" s="2">
        <v>774238505</v>
      </c>
      <c r="H143" s="4" t="s">
        <v>387</v>
      </c>
      <c r="I143" s="4" t="s">
        <v>46</v>
      </c>
      <c r="J143" s="4" t="s">
        <v>47</v>
      </c>
      <c r="K143" s="4" t="s">
        <v>48</v>
      </c>
      <c r="L143" s="3">
        <v>45962</v>
      </c>
      <c r="M143" s="4" t="s">
        <v>69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362</v>
      </c>
      <c r="U143" s="4" t="s">
        <v>46</v>
      </c>
      <c r="V143" s="5">
        <v>0.17</v>
      </c>
      <c r="W143" s="5">
        <v>0</v>
      </c>
      <c r="X143" s="5">
        <v>100</v>
      </c>
      <c r="Y143" s="5">
        <v>9.17</v>
      </c>
      <c r="Z143" s="4" t="s">
        <v>46</v>
      </c>
      <c r="AA143" s="5" t="s">
        <v>46</v>
      </c>
      <c r="AB143" s="4" t="s">
        <v>56</v>
      </c>
      <c r="AC143" s="4" t="s">
        <v>46</v>
      </c>
      <c r="AD143" s="5">
        <v>0</v>
      </c>
      <c r="AE143" s="4" t="s">
        <v>57</v>
      </c>
      <c r="AF143" s="3">
        <v>45962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363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45945</v>
      </c>
      <c r="C144" s="4" t="s">
        <v>388</v>
      </c>
      <c r="D144" s="2">
        <v>1800759</v>
      </c>
      <c r="E144" s="4" t="s">
        <v>389</v>
      </c>
      <c r="F144" s="4" t="s">
        <v>390</v>
      </c>
      <c r="G144" s="2">
        <v>716453952</v>
      </c>
      <c r="H144" s="4" t="s">
        <v>46</v>
      </c>
      <c r="I144" s="4" t="s">
        <v>46</v>
      </c>
      <c r="J144" s="4" t="s">
        <v>47</v>
      </c>
      <c r="K144" s="4" t="s">
        <v>48</v>
      </c>
      <c r="L144" s="3">
        <v>45931</v>
      </c>
      <c r="M144" s="4" t="s">
        <v>60</v>
      </c>
      <c r="N144" s="4" t="s">
        <v>46</v>
      </c>
      <c r="O144" s="4" t="s">
        <v>61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52</v>
      </c>
      <c r="U144" s="4" t="s">
        <v>46</v>
      </c>
      <c r="V144" s="5">
        <v>1</v>
      </c>
      <c r="W144" s="5">
        <v>0</v>
      </c>
      <c r="X144" s="5">
        <v>100</v>
      </c>
      <c r="Y144" s="5">
        <v>32.5</v>
      </c>
      <c r="Z144" s="4" t="s">
        <v>46</v>
      </c>
      <c r="AA144" s="5" t="s">
        <v>46</v>
      </c>
      <c r="AB144" s="4" t="s">
        <v>63</v>
      </c>
      <c r="AC144" s="4" t="s">
        <v>46</v>
      </c>
      <c r="AD144" s="5">
        <v>0</v>
      </c>
      <c r="AE144" s="4" t="s">
        <v>64</v>
      </c>
      <c r="AF144" s="3">
        <v>45597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100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45945</v>
      </c>
      <c r="C145" s="4" t="s">
        <v>388</v>
      </c>
      <c r="D145" s="2">
        <v>1800759</v>
      </c>
      <c r="E145" s="4" t="s">
        <v>391</v>
      </c>
      <c r="F145" s="4" t="s">
        <v>392</v>
      </c>
      <c r="G145" s="2">
        <v>349700374</v>
      </c>
      <c r="H145" s="4" t="s">
        <v>46</v>
      </c>
      <c r="I145" s="4" t="s">
        <v>46</v>
      </c>
      <c r="J145" s="4" t="s">
        <v>47</v>
      </c>
      <c r="K145" s="4" t="s">
        <v>48</v>
      </c>
      <c r="L145" s="3">
        <v>45931</v>
      </c>
      <c r="M145" s="4" t="s">
        <v>60</v>
      </c>
      <c r="N145" s="4" t="s">
        <v>46</v>
      </c>
      <c r="O145" s="4" t="s">
        <v>61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62</v>
      </c>
      <c r="U145" s="4" t="s">
        <v>46</v>
      </c>
      <c r="V145" s="5">
        <v>1</v>
      </c>
      <c r="W145" s="5">
        <v>0</v>
      </c>
      <c r="X145" s="5">
        <v>100</v>
      </c>
      <c r="Y145" s="5">
        <v>26.08</v>
      </c>
      <c r="Z145" s="4" t="s">
        <v>46</v>
      </c>
      <c r="AA145" s="5" t="s">
        <v>46</v>
      </c>
      <c r="AB145" s="4" t="s">
        <v>63</v>
      </c>
      <c r="AC145" s="4" t="s">
        <v>46</v>
      </c>
      <c r="AD145" s="5">
        <v>0</v>
      </c>
      <c r="AE145" s="4" t="s">
        <v>64</v>
      </c>
      <c r="AF145" s="3">
        <v>45566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73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45945</v>
      </c>
      <c r="C146" s="4" t="s">
        <v>388</v>
      </c>
      <c r="D146" s="2">
        <v>1800759</v>
      </c>
      <c r="E146" s="4" t="s">
        <v>393</v>
      </c>
      <c r="F146" s="4" t="s">
        <v>394</v>
      </c>
      <c r="G146" s="2">
        <v>682135344</v>
      </c>
      <c r="H146" s="4" t="s">
        <v>46</v>
      </c>
      <c r="I146" s="4" t="s">
        <v>46</v>
      </c>
      <c r="J146" s="4" t="s">
        <v>47</v>
      </c>
      <c r="K146" s="4" t="s">
        <v>48</v>
      </c>
      <c r="L146" s="3">
        <v>45931</v>
      </c>
      <c r="M146" s="4" t="s">
        <v>60</v>
      </c>
      <c r="N146" s="4" t="s">
        <v>46</v>
      </c>
      <c r="O146" s="4" t="s">
        <v>61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52</v>
      </c>
      <c r="U146" s="4" t="s">
        <v>46</v>
      </c>
      <c r="V146" s="5">
        <v>1</v>
      </c>
      <c r="W146" s="5">
        <v>0</v>
      </c>
      <c r="X146" s="5">
        <v>100</v>
      </c>
      <c r="Y146" s="5">
        <v>26.08</v>
      </c>
      <c r="Z146" s="4" t="s">
        <v>46</v>
      </c>
      <c r="AA146" s="5" t="s">
        <v>46</v>
      </c>
      <c r="AB146" s="4" t="s">
        <v>63</v>
      </c>
      <c r="AC146" s="4" t="s">
        <v>46</v>
      </c>
      <c r="AD146" s="5">
        <v>0</v>
      </c>
      <c r="AE146" s="4" t="s">
        <v>64</v>
      </c>
      <c r="AF146" s="3">
        <v>45597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55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45945</v>
      </c>
      <c r="C147" s="4" t="s">
        <v>388</v>
      </c>
      <c r="D147" s="2">
        <v>1800759</v>
      </c>
      <c r="E147" s="4" t="s">
        <v>395</v>
      </c>
      <c r="F147" s="4" t="s">
        <v>396</v>
      </c>
      <c r="G147" s="2">
        <v>302138034</v>
      </c>
      <c r="H147" s="4" t="s">
        <v>46</v>
      </c>
      <c r="I147" s="4" t="s">
        <v>46</v>
      </c>
      <c r="J147" s="4" t="s">
        <v>47</v>
      </c>
      <c r="K147" s="4" t="s">
        <v>48</v>
      </c>
      <c r="L147" s="3">
        <v>45931</v>
      </c>
      <c r="M147" s="4" t="s">
        <v>60</v>
      </c>
      <c r="N147" s="4" t="s">
        <v>46</v>
      </c>
      <c r="O147" s="4" t="s">
        <v>61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62</v>
      </c>
      <c r="U147" s="4" t="s">
        <v>46</v>
      </c>
      <c r="V147" s="5">
        <v>1</v>
      </c>
      <c r="W147" s="5">
        <v>0</v>
      </c>
      <c r="X147" s="5">
        <v>100</v>
      </c>
      <c r="Y147" s="5">
        <v>26.08</v>
      </c>
      <c r="Z147" s="4" t="s">
        <v>46</v>
      </c>
      <c r="AA147" s="5" t="s">
        <v>46</v>
      </c>
      <c r="AB147" s="4" t="s">
        <v>63</v>
      </c>
      <c r="AC147" s="4" t="s">
        <v>46</v>
      </c>
      <c r="AD147" s="5">
        <v>0</v>
      </c>
      <c r="AE147" s="4" t="s">
        <v>64</v>
      </c>
      <c r="AF147" s="3">
        <v>45627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73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45945</v>
      </c>
      <c r="C148" s="4" t="s">
        <v>388</v>
      </c>
      <c r="D148" s="2">
        <v>1800759</v>
      </c>
      <c r="E148" s="4" t="s">
        <v>397</v>
      </c>
      <c r="F148" s="4" t="s">
        <v>398</v>
      </c>
      <c r="G148" s="2">
        <v>674764505</v>
      </c>
      <c r="H148" s="4" t="s">
        <v>399</v>
      </c>
      <c r="I148" s="4" t="s">
        <v>46</v>
      </c>
      <c r="J148" s="4" t="s">
        <v>47</v>
      </c>
      <c r="K148" s="4" t="s">
        <v>48</v>
      </c>
      <c r="L148" s="3">
        <v>45962</v>
      </c>
      <c r="M148" s="4" t="s">
        <v>69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52</v>
      </c>
      <c r="U148" s="4" t="s">
        <v>46</v>
      </c>
      <c r="V148" s="5">
        <v>0.17</v>
      </c>
      <c r="W148" s="5">
        <v>0</v>
      </c>
      <c r="X148" s="5">
        <v>100</v>
      </c>
      <c r="Y148" s="5">
        <v>52.17</v>
      </c>
      <c r="Z148" s="4" t="s">
        <v>46</v>
      </c>
      <c r="AA148" s="5" t="s">
        <v>46</v>
      </c>
      <c r="AB148" s="4" t="s">
        <v>56</v>
      </c>
      <c r="AC148" s="4" t="s">
        <v>46</v>
      </c>
      <c r="AD148" s="5">
        <v>0</v>
      </c>
      <c r="AE148" s="4" t="s">
        <v>57</v>
      </c>
      <c r="AF148" s="3">
        <v>45962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55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45945</v>
      </c>
      <c r="C149" s="4" t="s">
        <v>388</v>
      </c>
      <c r="D149" s="2">
        <v>1800759</v>
      </c>
      <c r="E149" s="4" t="s">
        <v>400</v>
      </c>
      <c r="F149" s="4" t="s">
        <v>401</v>
      </c>
      <c r="G149" s="2">
        <v>439819453</v>
      </c>
      <c r="H149" s="4" t="s">
        <v>402</v>
      </c>
      <c r="I149" s="4" t="s">
        <v>46</v>
      </c>
      <c r="J149" s="4" t="s">
        <v>47</v>
      </c>
      <c r="K149" s="4" t="s">
        <v>48</v>
      </c>
      <c r="L149" s="3">
        <v>45962</v>
      </c>
      <c r="M149" s="4" t="s">
        <v>69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52</v>
      </c>
      <c r="U149" s="4" t="s">
        <v>46</v>
      </c>
      <c r="V149" s="5">
        <v>0.17</v>
      </c>
      <c r="W149" s="5">
        <v>0</v>
      </c>
      <c r="X149" s="5">
        <v>100</v>
      </c>
      <c r="Y149" s="5">
        <v>52.17</v>
      </c>
      <c r="Z149" s="4" t="s">
        <v>46</v>
      </c>
      <c r="AA149" s="5" t="s">
        <v>46</v>
      </c>
      <c r="AB149" s="4" t="s">
        <v>56</v>
      </c>
      <c r="AC149" s="4" t="s">
        <v>46</v>
      </c>
      <c r="AD149" s="5">
        <v>0</v>
      </c>
      <c r="AE149" s="4" t="s">
        <v>57</v>
      </c>
      <c r="AF149" s="3">
        <v>45962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55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45945</v>
      </c>
      <c r="C150" s="4" t="s">
        <v>388</v>
      </c>
      <c r="D150" s="2">
        <v>1800759</v>
      </c>
      <c r="E150" s="4" t="s">
        <v>403</v>
      </c>
      <c r="F150" s="4" t="s">
        <v>404</v>
      </c>
      <c r="G150" s="2">
        <v>440108453</v>
      </c>
      <c r="H150" s="4" t="s">
        <v>405</v>
      </c>
      <c r="I150" s="4" t="s">
        <v>46</v>
      </c>
      <c r="J150" s="4" t="s">
        <v>47</v>
      </c>
      <c r="K150" s="4" t="s">
        <v>48</v>
      </c>
      <c r="L150" s="3">
        <v>45962</v>
      </c>
      <c r="M150" s="4" t="s">
        <v>69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52</v>
      </c>
      <c r="U150" s="4" t="s">
        <v>46</v>
      </c>
      <c r="V150" s="5">
        <v>0.17</v>
      </c>
      <c r="W150" s="5">
        <v>0</v>
      </c>
      <c r="X150" s="5">
        <v>100</v>
      </c>
      <c r="Y150" s="5">
        <v>52.17</v>
      </c>
      <c r="Z150" s="4" t="s">
        <v>46</v>
      </c>
      <c r="AA150" s="5" t="s">
        <v>46</v>
      </c>
      <c r="AB150" s="4" t="s">
        <v>56</v>
      </c>
      <c r="AC150" s="4" t="s">
        <v>46</v>
      </c>
      <c r="AD150" s="5">
        <v>0</v>
      </c>
      <c r="AE150" s="4" t="s">
        <v>57</v>
      </c>
      <c r="AF150" s="3">
        <v>45962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55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45945</v>
      </c>
      <c r="C151" s="4" t="s">
        <v>388</v>
      </c>
      <c r="D151" s="2">
        <v>1800759</v>
      </c>
      <c r="E151" s="4" t="s">
        <v>406</v>
      </c>
      <c r="F151" s="4" t="s">
        <v>407</v>
      </c>
      <c r="G151" s="2">
        <v>128621013</v>
      </c>
      <c r="H151" s="4" t="s">
        <v>408</v>
      </c>
      <c r="I151" s="4" t="s">
        <v>46</v>
      </c>
      <c r="J151" s="4" t="s">
        <v>47</v>
      </c>
      <c r="K151" s="4" t="s">
        <v>48</v>
      </c>
      <c r="L151" s="3">
        <v>45962</v>
      </c>
      <c r="M151" s="4" t="s">
        <v>69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52</v>
      </c>
      <c r="U151" s="4" t="s">
        <v>46</v>
      </c>
      <c r="V151" s="5">
        <v>0.17</v>
      </c>
      <c r="W151" s="5">
        <v>0</v>
      </c>
      <c r="X151" s="5">
        <v>100</v>
      </c>
      <c r="Y151" s="5">
        <v>52.17</v>
      </c>
      <c r="Z151" s="4" t="s">
        <v>46</v>
      </c>
      <c r="AA151" s="5" t="s">
        <v>46</v>
      </c>
      <c r="AB151" s="4" t="s">
        <v>56</v>
      </c>
      <c r="AC151" s="4" t="s">
        <v>46</v>
      </c>
      <c r="AD151" s="5">
        <v>0</v>
      </c>
      <c r="AE151" s="4" t="s">
        <v>57</v>
      </c>
      <c r="AF151" s="3">
        <v>45962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55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45945</v>
      </c>
      <c r="C152" s="4" t="s">
        <v>409</v>
      </c>
      <c r="D152" s="2">
        <v>1800776</v>
      </c>
      <c r="E152" s="4" t="s">
        <v>410</v>
      </c>
      <c r="F152" s="4" t="s">
        <v>411</v>
      </c>
      <c r="G152" s="2">
        <v>545511463</v>
      </c>
      <c r="H152" s="4" t="s">
        <v>46</v>
      </c>
      <c r="I152" s="4" t="s">
        <v>46</v>
      </c>
      <c r="J152" s="4" t="s">
        <v>47</v>
      </c>
      <c r="K152" s="4" t="s">
        <v>48</v>
      </c>
      <c r="L152" s="3">
        <v>45931</v>
      </c>
      <c r="M152" s="4" t="s">
        <v>60</v>
      </c>
      <c r="N152" s="4" t="s">
        <v>46</v>
      </c>
      <c r="O152" s="4" t="s">
        <v>61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52</v>
      </c>
      <c r="U152" s="4" t="s">
        <v>46</v>
      </c>
      <c r="V152" s="5">
        <v>1</v>
      </c>
      <c r="W152" s="5">
        <v>0</v>
      </c>
      <c r="X152" s="5">
        <v>100</v>
      </c>
      <c r="Y152" s="5">
        <v>26.08</v>
      </c>
      <c r="Z152" s="4" t="s">
        <v>46</v>
      </c>
      <c r="AA152" s="5" t="s">
        <v>46</v>
      </c>
      <c r="AB152" s="4" t="s">
        <v>63</v>
      </c>
      <c r="AC152" s="4" t="s">
        <v>46</v>
      </c>
      <c r="AD152" s="5">
        <v>0</v>
      </c>
      <c r="AE152" s="4" t="s">
        <v>64</v>
      </c>
      <c r="AF152" s="3">
        <v>45474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55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45945</v>
      </c>
      <c r="C153" s="4" t="s">
        <v>409</v>
      </c>
      <c r="D153" s="2">
        <v>1800776</v>
      </c>
      <c r="E153" s="4" t="s">
        <v>412</v>
      </c>
      <c r="F153" s="4" t="s">
        <v>413</v>
      </c>
      <c r="G153" s="2">
        <v>633889061</v>
      </c>
      <c r="H153" s="4" t="s">
        <v>46</v>
      </c>
      <c r="I153" s="4" t="s">
        <v>46</v>
      </c>
      <c r="J153" s="4" t="s">
        <v>47</v>
      </c>
      <c r="K153" s="4" t="s">
        <v>48</v>
      </c>
      <c r="L153" s="3">
        <v>45931</v>
      </c>
      <c r="M153" s="4" t="s">
        <v>60</v>
      </c>
      <c r="N153" s="4" t="s">
        <v>46</v>
      </c>
      <c r="O153" s="4" t="s">
        <v>61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62</v>
      </c>
      <c r="U153" s="4" t="s">
        <v>46</v>
      </c>
      <c r="V153" s="5">
        <v>1</v>
      </c>
      <c r="W153" s="5">
        <v>0</v>
      </c>
      <c r="X153" s="5">
        <v>100</v>
      </c>
      <c r="Y153" s="5">
        <v>26.08</v>
      </c>
      <c r="Z153" s="4" t="s">
        <v>46</v>
      </c>
      <c r="AA153" s="5" t="s">
        <v>46</v>
      </c>
      <c r="AB153" s="4" t="s">
        <v>63</v>
      </c>
      <c r="AC153" s="4" t="s">
        <v>46</v>
      </c>
      <c r="AD153" s="5">
        <v>0</v>
      </c>
      <c r="AE153" s="4" t="s">
        <v>64</v>
      </c>
      <c r="AF153" s="3">
        <v>45566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73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45945</v>
      </c>
      <c r="C154" s="4" t="s">
        <v>409</v>
      </c>
      <c r="D154" s="2">
        <v>1800776</v>
      </c>
      <c r="E154" s="4" t="s">
        <v>414</v>
      </c>
      <c r="F154" s="4" t="s">
        <v>415</v>
      </c>
      <c r="G154" s="2">
        <v>952676074</v>
      </c>
      <c r="H154" s="4" t="s">
        <v>46</v>
      </c>
      <c r="I154" s="4" t="s">
        <v>46</v>
      </c>
      <c r="J154" s="4" t="s">
        <v>47</v>
      </c>
      <c r="K154" s="4" t="s">
        <v>48</v>
      </c>
      <c r="L154" s="3">
        <v>45931</v>
      </c>
      <c r="M154" s="4" t="s">
        <v>60</v>
      </c>
      <c r="N154" s="4" t="s">
        <v>46</v>
      </c>
      <c r="O154" s="4" t="s">
        <v>61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62</v>
      </c>
      <c r="U154" s="4" t="s">
        <v>46</v>
      </c>
      <c r="V154" s="5">
        <v>1</v>
      </c>
      <c r="W154" s="5">
        <v>0</v>
      </c>
      <c r="X154" s="5">
        <v>100</v>
      </c>
      <c r="Y154" s="5">
        <v>26.08</v>
      </c>
      <c r="Z154" s="4" t="s">
        <v>46</v>
      </c>
      <c r="AA154" s="5" t="s">
        <v>46</v>
      </c>
      <c r="AB154" s="4" t="s">
        <v>63</v>
      </c>
      <c r="AC154" s="4" t="s">
        <v>46</v>
      </c>
      <c r="AD154" s="5">
        <v>0</v>
      </c>
      <c r="AE154" s="4" t="s">
        <v>64</v>
      </c>
      <c r="AF154" s="3">
        <v>45566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73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45945</v>
      </c>
      <c r="C155" s="4" t="s">
        <v>409</v>
      </c>
      <c r="D155" s="2">
        <v>1800776</v>
      </c>
      <c r="E155" s="4" t="s">
        <v>416</v>
      </c>
      <c r="F155" s="4" t="s">
        <v>417</v>
      </c>
      <c r="G155" s="2">
        <v>758893014</v>
      </c>
      <c r="H155" s="4" t="s">
        <v>46</v>
      </c>
      <c r="I155" s="4" t="s">
        <v>46</v>
      </c>
      <c r="J155" s="4" t="s">
        <v>47</v>
      </c>
      <c r="K155" s="4" t="s">
        <v>48</v>
      </c>
      <c r="L155" s="3">
        <v>45931</v>
      </c>
      <c r="M155" s="4" t="s">
        <v>60</v>
      </c>
      <c r="N155" s="4" t="s">
        <v>46</v>
      </c>
      <c r="O155" s="4" t="s">
        <v>61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62</v>
      </c>
      <c r="U155" s="4" t="s">
        <v>46</v>
      </c>
      <c r="V155" s="5">
        <v>1</v>
      </c>
      <c r="W155" s="5">
        <v>0</v>
      </c>
      <c r="X155" s="5">
        <v>100</v>
      </c>
      <c r="Y155" s="5">
        <v>26.08</v>
      </c>
      <c r="Z155" s="4" t="s">
        <v>46</v>
      </c>
      <c r="AA155" s="5" t="s">
        <v>46</v>
      </c>
      <c r="AB155" s="4" t="s">
        <v>63</v>
      </c>
      <c r="AC155" s="4" t="s">
        <v>46</v>
      </c>
      <c r="AD155" s="5">
        <v>0</v>
      </c>
      <c r="AE155" s="4" t="s">
        <v>64</v>
      </c>
      <c r="AF155" s="3">
        <v>45566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226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45945</v>
      </c>
      <c r="C156" s="4" t="s">
        <v>409</v>
      </c>
      <c r="D156" s="2">
        <v>1800776</v>
      </c>
      <c r="E156" s="4" t="s">
        <v>418</v>
      </c>
      <c r="F156" s="4" t="s">
        <v>419</v>
      </c>
      <c r="G156" s="2">
        <v>700758033</v>
      </c>
      <c r="H156" s="4" t="s">
        <v>46</v>
      </c>
      <c r="I156" s="4" t="s">
        <v>46</v>
      </c>
      <c r="J156" s="4" t="s">
        <v>47</v>
      </c>
      <c r="K156" s="4" t="s">
        <v>48</v>
      </c>
      <c r="L156" s="3">
        <v>45931</v>
      </c>
      <c r="M156" s="4" t="s">
        <v>60</v>
      </c>
      <c r="N156" s="4" t="s">
        <v>46</v>
      </c>
      <c r="O156" s="4" t="s">
        <v>61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62</v>
      </c>
      <c r="U156" s="4" t="s">
        <v>46</v>
      </c>
      <c r="V156" s="5">
        <v>1</v>
      </c>
      <c r="W156" s="5">
        <v>0</v>
      </c>
      <c r="X156" s="5">
        <v>100</v>
      </c>
      <c r="Y156" s="5">
        <v>26.08</v>
      </c>
      <c r="Z156" s="4" t="s">
        <v>46</v>
      </c>
      <c r="AA156" s="5" t="s">
        <v>46</v>
      </c>
      <c r="AB156" s="4" t="s">
        <v>63</v>
      </c>
      <c r="AC156" s="4" t="s">
        <v>46</v>
      </c>
      <c r="AD156" s="5">
        <v>0</v>
      </c>
      <c r="AE156" s="4" t="s">
        <v>64</v>
      </c>
      <c r="AF156" s="3">
        <v>45566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73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45945</v>
      </c>
      <c r="C157" s="4" t="s">
        <v>409</v>
      </c>
      <c r="D157" s="2">
        <v>1800776</v>
      </c>
      <c r="E157" s="4" t="s">
        <v>420</v>
      </c>
      <c r="F157" s="4" t="s">
        <v>421</v>
      </c>
      <c r="G157" s="2">
        <v>73976142</v>
      </c>
      <c r="H157" s="4" t="s">
        <v>46</v>
      </c>
      <c r="I157" s="4" t="s">
        <v>46</v>
      </c>
      <c r="J157" s="4" t="s">
        <v>47</v>
      </c>
      <c r="K157" s="4" t="s">
        <v>48</v>
      </c>
      <c r="L157" s="3">
        <v>45931</v>
      </c>
      <c r="M157" s="4" t="s">
        <v>60</v>
      </c>
      <c r="N157" s="4" t="s">
        <v>46</v>
      </c>
      <c r="O157" s="4" t="s">
        <v>61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62</v>
      </c>
      <c r="U157" s="4" t="s">
        <v>46</v>
      </c>
      <c r="V157" s="5">
        <v>1</v>
      </c>
      <c r="W157" s="5">
        <v>0</v>
      </c>
      <c r="X157" s="5">
        <v>100</v>
      </c>
      <c r="Y157" s="5">
        <v>26.08</v>
      </c>
      <c r="Z157" s="4" t="s">
        <v>46</v>
      </c>
      <c r="AA157" s="5" t="s">
        <v>46</v>
      </c>
      <c r="AB157" s="4" t="s">
        <v>63</v>
      </c>
      <c r="AC157" s="4" t="s">
        <v>46</v>
      </c>
      <c r="AD157" s="5">
        <v>0</v>
      </c>
      <c r="AE157" s="4" t="s">
        <v>64</v>
      </c>
      <c r="AF157" s="3">
        <v>45597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73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45945</v>
      </c>
      <c r="C158" s="4" t="s">
        <v>409</v>
      </c>
      <c r="D158" s="2">
        <v>1800776</v>
      </c>
      <c r="E158" s="4" t="s">
        <v>422</v>
      </c>
      <c r="F158" s="4" t="s">
        <v>423</v>
      </c>
      <c r="G158" s="2">
        <v>365638520</v>
      </c>
      <c r="H158" s="4" t="s">
        <v>46</v>
      </c>
      <c r="I158" s="4" t="s">
        <v>46</v>
      </c>
      <c r="J158" s="4" t="s">
        <v>47</v>
      </c>
      <c r="K158" s="4" t="s">
        <v>48</v>
      </c>
      <c r="L158" s="3">
        <v>45931</v>
      </c>
      <c r="M158" s="4" t="s">
        <v>60</v>
      </c>
      <c r="N158" s="4" t="s">
        <v>46</v>
      </c>
      <c r="O158" s="4" t="s">
        <v>61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52</v>
      </c>
      <c r="U158" s="4" t="s">
        <v>46</v>
      </c>
      <c r="V158" s="5">
        <v>1</v>
      </c>
      <c r="W158" s="5">
        <v>0</v>
      </c>
      <c r="X158" s="5">
        <v>100</v>
      </c>
      <c r="Y158" s="5">
        <v>26.08</v>
      </c>
      <c r="Z158" s="4" t="s">
        <v>46</v>
      </c>
      <c r="AA158" s="5" t="s">
        <v>46</v>
      </c>
      <c r="AB158" s="4" t="s">
        <v>63</v>
      </c>
      <c r="AC158" s="4" t="s">
        <v>46</v>
      </c>
      <c r="AD158" s="5">
        <v>0</v>
      </c>
      <c r="AE158" s="4" t="s">
        <v>64</v>
      </c>
      <c r="AF158" s="3">
        <v>45627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55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45945</v>
      </c>
      <c r="C159" s="4" t="s">
        <v>409</v>
      </c>
      <c r="D159" s="2">
        <v>1800776</v>
      </c>
      <c r="E159" s="4" t="s">
        <v>424</v>
      </c>
      <c r="F159" s="4" t="s">
        <v>425</v>
      </c>
      <c r="G159" s="2">
        <v>862283453</v>
      </c>
      <c r="H159" s="4" t="s">
        <v>46</v>
      </c>
      <c r="I159" s="4" t="s">
        <v>46</v>
      </c>
      <c r="J159" s="4" t="s">
        <v>47</v>
      </c>
      <c r="K159" s="4" t="s">
        <v>48</v>
      </c>
      <c r="L159" s="3">
        <v>45931</v>
      </c>
      <c r="M159" s="4" t="s">
        <v>60</v>
      </c>
      <c r="N159" s="4" t="s">
        <v>46</v>
      </c>
      <c r="O159" s="4" t="s">
        <v>61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52</v>
      </c>
      <c r="U159" s="4" t="s">
        <v>46</v>
      </c>
      <c r="V159" s="5">
        <v>1</v>
      </c>
      <c r="W159" s="5">
        <v>0</v>
      </c>
      <c r="X159" s="5">
        <v>100</v>
      </c>
      <c r="Y159" s="5">
        <v>26.08</v>
      </c>
      <c r="Z159" s="4" t="s">
        <v>46</v>
      </c>
      <c r="AA159" s="5" t="s">
        <v>46</v>
      </c>
      <c r="AB159" s="4" t="s">
        <v>63</v>
      </c>
      <c r="AC159" s="4" t="s">
        <v>46</v>
      </c>
      <c r="AD159" s="5">
        <v>0</v>
      </c>
      <c r="AE159" s="4" t="s">
        <v>64</v>
      </c>
      <c r="AF159" s="3">
        <v>45627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55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45945</v>
      </c>
      <c r="C160" s="4" t="s">
        <v>409</v>
      </c>
      <c r="D160" s="2">
        <v>1800776</v>
      </c>
      <c r="E160" s="4" t="s">
        <v>426</v>
      </c>
      <c r="F160" s="4" t="s">
        <v>427</v>
      </c>
      <c r="G160" s="2">
        <v>989966453</v>
      </c>
      <c r="H160" s="4" t="s">
        <v>46</v>
      </c>
      <c r="I160" s="4" t="s">
        <v>46</v>
      </c>
      <c r="J160" s="4" t="s">
        <v>47</v>
      </c>
      <c r="K160" s="4" t="s">
        <v>48</v>
      </c>
      <c r="L160" s="3">
        <v>45931</v>
      </c>
      <c r="M160" s="4" t="s">
        <v>60</v>
      </c>
      <c r="N160" s="4" t="s">
        <v>46</v>
      </c>
      <c r="O160" s="4" t="s">
        <v>61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62</v>
      </c>
      <c r="U160" s="4" t="s">
        <v>46</v>
      </c>
      <c r="V160" s="5">
        <v>1</v>
      </c>
      <c r="W160" s="5">
        <v>0</v>
      </c>
      <c r="X160" s="5">
        <v>100</v>
      </c>
      <c r="Y160" s="5">
        <v>26.08</v>
      </c>
      <c r="Z160" s="4" t="s">
        <v>46</v>
      </c>
      <c r="AA160" s="5" t="s">
        <v>46</v>
      </c>
      <c r="AB160" s="4" t="s">
        <v>63</v>
      </c>
      <c r="AC160" s="4" t="s">
        <v>46</v>
      </c>
      <c r="AD160" s="5">
        <v>0</v>
      </c>
      <c r="AE160" s="4" t="s">
        <v>64</v>
      </c>
      <c r="AF160" s="3">
        <v>45627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73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45945</v>
      </c>
      <c r="C161" s="4" t="s">
        <v>428</v>
      </c>
      <c r="D161" s="2">
        <v>1808524</v>
      </c>
      <c r="E161" s="4" t="s">
        <v>429</v>
      </c>
      <c r="F161" s="4" t="s">
        <v>430</v>
      </c>
      <c r="G161" s="2">
        <v>697740421</v>
      </c>
      <c r="H161" s="4" t="s">
        <v>46</v>
      </c>
      <c r="I161" s="4" t="s">
        <v>46</v>
      </c>
      <c r="J161" s="4" t="s">
        <v>47</v>
      </c>
      <c r="K161" s="4" t="s">
        <v>48</v>
      </c>
      <c r="L161" s="3">
        <v>45931</v>
      </c>
      <c r="M161" s="4" t="s">
        <v>60</v>
      </c>
      <c r="N161" s="4" t="s">
        <v>46</v>
      </c>
      <c r="O161" s="4" t="s">
        <v>61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52</v>
      </c>
      <c r="U161" s="4" t="s">
        <v>46</v>
      </c>
      <c r="V161" s="5">
        <v>1</v>
      </c>
      <c r="W161" s="5">
        <v>0</v>
      </c>
      <c r="X161" s="5">
        <v>100</v>
      </c>
      <c r="Y161" s="5">
        <v>26.08</v>
      </c>
      <c r="Z161" s="4" t="s">
        <v>46</v>
      </c>
      <c r="AA161" s="5" t="s">
        <v>46</v>
      </c>
      <c r="AB161" s="4" t="s">
        <v>63</v>
      </c>
      <c r="AC161" s="4" t="s">
        <v>46</v>
      </c>
      <c r="AD161" s="5">
        <v>0</v>
      </c>
      <c r="AE161" s="4" t="s">
        <v>64</v>
      </c>
      <c r="AF161" s="3">
        <v>45505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55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45945</v>
      </c>
      <c r="C162" s="4" t="s">
        <v>431</v>
      </c>
      <c r="D162" s="2">
        <v>1815594</v>
      </c>
      <c r="E162" s="4" t="s">
        <v>432</v>
      </c>
      <c r="F162" s="4" t="s">
        <v>433</v>
      </c>
      <c r="G162" s="2">
        <v>833957134</v>
      </c>
      <c r="H162" s="4" t="s">
        <v>46</v>
      </c>
      <c r="I162" s="4" t="s">
        <v>46</v>
      </c>
      <c r="J162" s="4" t="s">
        <v>47</v>
      </c>
      <c r="K162" s="4" t="s">
        <v>48</v>
      </c>
      <c r="L162" s="3">
        <v>45931</v>
      </c>
      <c r="M162" s="4" t="s">
        <v>60</v>
      </c>
      <c r="N162" s="4" t="s">
        <v>46</v>
      </c>
      <c r="O162" s="4" t="s">
        <v>61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62</v>
      </c>
      <c r="U162" s="4" t="s">
        <v>46</v>
      </c>
      <c r="V162" s="5">
        <v>1</v>
      </c>
      <c r="W162" s="5">
        <v>0</v>
      </c>
      <c r="X162" s="5">
        <v>100</v>
      </c>
      <c r="Y162" s="5">
        <v>26.08</v>
      </c>
      <c r="Z162" s="4" t="s">
        <v>46</v>
      </c>
      <c r="AA162" s="5" t="s">
        <v>46</v>
      </c>
      <c r="AB162" s="4" t="s">
        <v>63</v>
      </c>
      <c r="AC162" s="4" t="s">
        <v>46</v>
      </c>
      <c r="AD162" s="5">
        <v>0</v>
      </c>
      <c r="AE162" s="4" t="s">
        <v>64</v>
      </c>
      <c r="AF162" s="3">
        <v>45474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65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45945</v>
      </c>
      <c r="C163" s="4" t="s">
        <v>431</v>
      </c>
      <c r="D163" s="2">
        <v>1815594</v>
      </c>
      <c r="E163" s="4" t="s">
        <v>434</v>
      </c>
      <c r="F163" s="4" t="s">
        <v>435</v>
      </c>
      <c r="G163" s="2">
        <v>28197140</v>
      </c>
      <c r="H163" s="4" t="s">
        <v>46</v>
      </c>
      <c r="I163" s="4" t="s">
        <v>46</v>
      </c>
      <c r="J163" s="4" t="s">
        <v>47</v>
      </c>
      <c r="K163" s="4" t="s">
        <v>48</v>
      </c>
      <c r="L163" s="3">
        <v>45931</v>
      </c>
      <c r="M163" s="4" t="s">
        <v>60</v>
      </c>
      <c r="N163" s="4" t="s">
        <v>46</v>
      </c>
      <c r="O163" s="4" t="s">
        <v>61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62</v>
      </c>
      <c r="U163" s="4" t="s">
        <v>46</v>
      </c>
      <c r="V163" s="5">
        <v>1</v>
      </c>
      <c r="W163" s="5">
        <v>0</v>
      </c>
      <c r="X163" s="5">
        <v>100</v>
      </c>
      <c r="Y163" s="5">
        <v>26.08</v>
      </c>
      <c r="Z163" s="4" t="s">
        <v>46</v>
      </c>
      <c r="AA163" s="5" t="s">
        <v>46</v>
      </c>
      <c r="AB163" s="4" t="s">
        <v>63</v>
      </c>
      <c r="AC163" s="4" t="s">
        <v>46</v>
      </c>
      <c r="AD163" s="5">
        <v>0</v>
      </c>
      <c r="AE163" s="4" t="s">
        <v>64</v>
      </c>
      <c r="AF163" s="3">
        <v>45627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73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45945</v>
      </c>
      <c r="C164" s="4" t="s">
        <v>431</v>
      </c>
      <c r="D164" s="2">
        <v>1815594</v>
      </c>
      <c r="E164" s="4" t="s">
        <v>436</v>
      </c>
      <c r="F164" s="4" t="s">
        <v>437</v>
      </c>
      <c r="G164" s="2">
        <v>615154090</v>
      </c>
      <c r="H164" s="4" t="s">
        <v>46</v>
      </c>
      <c r="I164" s="4" t="s">
        <v>46</v>
      </c>
      <c r="J164" s="4" t="s">
        <v>47</v>
      </c>
      <c r="K164" s="4" t="s">
        <v>48</v>
      </c>
      <c r="L164" s="3">
        <v>45931</v>
      </c>
      <c r="M164" s="4" t="s">
        <v>60</v>
      </c>
      <c r="N164" s="4" t="s">
        <v>46</v>
      </c>
      <c r="O164" s="4" t="s">
        <v>61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62</v>
      </c>
      <c r="U164" s="4" t="s">
        <v>46</v>
      </c>
      <c r="V164" s="5">
        <v>1</v>
      </c>
      <c r="W164" s="5">
        <v>0</v>
      </c>
      <c r="X164" s="5">
        <v>100</v>
      </c>
      <c r="Y164" s="5">
        <v>26.08</v>
      </c>
      <c r="Z164" s="4" t="s">
        <v>46</v>
      </c>
      <c r="AA164" s="5" t="s">
        <v>46</v>
      </c>
      <c r="AB164" s="4" t="s">
        <v>63</v>
      </c>
      <c r="AC164" s="4" t="s">
        <v>46</v>
      </c>
      <c r="AD164" s="5">
        <v>0</v>
      </c>
      <c r="AE164" s="4" t="s">
        <v>64</v>
      </c>
      <c r="AF164" s="3">
        <v>45627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73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45945</v>
      </c>
      <c r="C165" s="4" t="s">
        <v>438</v>
      </c>
      <c r="D165" s="2">
        <v>1831320</v>
      </c>
      <c r="E165" s="4" t="s">
        <v>439</v>
      </c>
      <c r="F165" s="4" t="s">
        <v>440</v>
      </c>
      <c r="G165" s="2">
        <v>561246174</v>
      </c>
      <c r="H165" s="4" t="s">
        <v>46</v>
      </c>
      <c r="I165" s="4" t="s">
        <v>46</v>
      </c>
      <c r="J165" s="4" t="s">
        <v>47</v>
      </c>
      <c r="K165" s="4" t="s">
        <v>48</v>
      </c>
      <c r="L165" s="3">
        <v>45931</v>
      </c>
      <c r="M165" s="4" t="s">
        <v>60</v>
      </c>
      <c r="N165" s="4" t="s">
        <v>46</v>
      </c>
      <c r="O165" s="4" t="s">
        <v>61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52</v>
      </c>
      <c r="U165" s="4" t="s">
        <v>46</v>
      </c>
      <c r="V165" s="5">
        <v>1</v>
      </c>
      <c r="W165" s="5">
        <v>0</v>
      </c>
      <c r="X165" s="5">
        <v>100</v>
      </c>
      <c r="Y165" s="5">
        <v>26.08</v>
      </c>
      <c r="Z165" s="4" t="s">
        <v>46</v>
      </c>
      <c r="AA165" s="5" t="s">
        <v>46</v>
      </c>
      <c r="AB165" s="4" t="s">
        <v>63</v>
      </c>
      <c r="AC165" s="4" t="s">
        <v>46</v>
      </c>
      <c r="AD165" s="5">
        <v>0</v>
      </c>
      <c r="AE165" s="4" t="s">
        <v>64</v>
      </c>
      <c r="AF165" s="3">
        <v>45597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55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45945</v>
      </c>
      <c r="C166" s="4" t="s">
        <v>438</v>
      </c>
      <c r="D166" s="2">
        <v>1831320</v>
      </c>
      <c r="E166" s="4" t="s">
        <v>441</v>
      </c>
      <c r="F166" s="4" t="s">
        <v>442</v>
      </c>
      <c r="G166" s="2">
        <v>40234063</v>
      </c>
      <c r="H166" s="4" t="s">
        <v>46</v>
      </c>
      <c r="I166" s="4" t="s">
        <v>46</v>
      </c>
      <c r="J166" s="4" t="s">
        <v>47</v>
      </c>
      <c r="K166" s="4" t="s">
        <v>48</v>
      </c>
      <c r="L166" s="3">
        <v>45931</v>
      </c>
      <c r="M166" s="4" t="s">
        <v>60</v>
      </c>
      <c r="N166" s="4" t="s">
        <v>46</v>
      </c>
      <c r="O166" s="4" t="s">
        <v>61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52</v>
      </c>
      <c r="U166" s="4" t="s">
        <v>46</v>
      </c>
      <c r="V166" s="5">
        <v>1</v>
      </c>
      <c r="W166" s="5">
        <v>0</v>
      </c>
      <c r="X166" s="5">
        <v>100</v>
      </c>
      <c r="Y166" s="5">
        <v>26.08</v>
      </c>
      <c r="Z166" s="4" t="s">
        <v>46</v>
      </c>
      <c r="AA166" s="5" t="s">
        <v>46</v>
      </c>
      <c r="AB166" s="4" t="s">
        <v>63</v>
      </c>
      <c r="AC166" s="4" t="s">
        <v>46</v>
      </c>
      <c r="AD166" s="5">
        <v>0</v>
      </c>
      <c r="AE166" s="4" t="s">
        <v>64</v>
      </c>
      <c r="AF166" s="3">
        <v>45505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55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45945</v>
      </c>
      <c r="C167" s="4" t="s">
        <v>443</v>
      </c>
      <c r="D167" s="2">
        <v>1831491</v>
      </c>
      <c r="E167" s="4" t="s">
        <v>444</v>
      </c>
      <c r="F167" s="4" t="s">
        <v>445</v>
      </c>
      <c r="G167" s="2">
        <v>703540533</v>
      </c>
      <c r="H167" s="4" t="s">
        <v>46</v>
      </c>
      <c r="I167" s="4" t="s">
        <v>46</v>
      </c>
      <c r="J167" s="4" t="s">
        <v>47</v>
      </c>
      <c r="K167" s="4" t="s">
        <v>48</v>
      </c>
      <c r="L167" s="3">
        <v>45931</v>
      </c>
      <c r="M167" s="4" t="s">
        <v>60</v>
      </c>
      <c r="N167" s="4" t="s">
        <v>46</v>
      </c>
      <c r="O167" s="4" t="s">
        <v>61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52</v>
      </c>
      <c r="U167" s="4" t="s">
        <v>46</v>
      </c>
      <c r="V167" s="5">
        <v>1</v>
      </c>
      <c r="W167" s="5">
        <v>0</v>
      </c>
      <c r="X167" s="5">
        <v>100</v>
      </c>
      <c r="Y167" s="5">
        <v>26.08</v>
      </c>
      <c r="Z167" s="4" t="s">
        <v>46</v>
      </c>
      <c r="AA167" s="5" t="s">
        <v>46</v>
      </c>
      <c r="AB167" s="4" t="s">
        <v>63</v>
      </c>
      <c r="AC167" s="4" t="s">
        <v>46</v>
      </c>
      <c r="AD167" s="5">
        <v>0</v>
      </c>
      <c r="AE167" s="4" t="s">
        <v>64</v>
      </c>
      <c r="AF167" s="3">
        <v>45536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55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45945</v>
      </c>
      <c r="C168" s="4" t="s">
        <v>443</v>
      </c>
      <c r="D168" s="2">
        <v>1831491</v>
      </c>
      <c r="E168" s="4" t="s">
        <v>446</v>
      </c>
      <c r="F168" s="4" t="s">
        <v>447</v>
      </c>
      <c r="G168" s="2">
        <v>11055240</v>
      </c>
      <c r="H168" s="4" t="s">
        <v>46</v>
      </c>
      <c r="I168" s="4" t="s">
        <v>46</v>
      </c>
      <c r="J168" s="4" t="s">
        <v>47</v>
      </c>
      <c r="K168" s="4" t="s">
        <v>48</v>
      </c>
      <c r="L168" s="3">
        <v>45931</v>
      </c>
      <c r="M168" s="4" t="s">
        <v>60</v>
      </c>
      <c r="N168" s="4" t="s">
        <v>46</v>
      </c>
      <c r="O168" s="4" t="s">
        <v>61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62</v>
      </c>
      <c r="U168" s="4" t="s">
        <v>46</v>
      </c>
      <c r="V168" s="5">
        <v>1</v>
      </c>
      <c r="W168" s="5">
        <v>0</v>
      </c>
      <c r="X168" s="5">
        <v>100</v>
      </c>
      <c r="Y168" s="5">
        <v>26.08</v>
      </c>
      <c r="Z168" s="4" t="s">
        <v>46</v>
      </c>
      <c r="AA168" s="5" t="s">
        <v>46</v>
      </c>
      <c r="AB168" s="4" t="s">
        <v>63</v>
      </c>
      <c r="AC168" s="4" t="s">
        <v>46</v>
      </c>
      <c r="AD168" s="5">
        <v>0</v>
      </c>
      <c r="AE168" s="4" t="s">
        <v>64</v>
      </c>
      <c r="AF168" s="3">
        <v>45536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73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45945</v>
      </c>
      <c r="C169" s="4" t="s">
        <v>443</v>
      </c>
      <c r="D169" s="2">
        <v>1831491</v>
      </c>
      <c r="E169" s="4" t="s">
        <v>448</v>
      </c>
      <c r="F169" s="4" t="s">
        <v>449</v>
      </c>
      <c r="G169" s="2">
        <v>62408191</v>
      </c>
      <c r="H169" s="4" t="s">
        <v>46</v>
      </c>
      <c r="I169" s="4" t="s">
        <v>46</v>
      </c>
      <c r="J169" s="4" t="s">
        <v>47</v>
      </c>
      <c r="K169" s="4" t="s">
        <v>48</v>
      </c>
      <c r="L169" s="3">
        <v>45931</v>
      </c>
      <c r="M169" s="4" t="s">
        <v>60</v>
      </c>
      <c r="N169" s="4" t="s">
        <v>46</v>
      </c>
      <c r="O169" s="4" t="s">
        <v>61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52</v>
      </c>
      <c r="U169" s="4" t="s">
        <v>46</v>
      </c>
      <c r="V169" s="5">
        <v>1</v>
      </c>
      <c r="W169" s="5">
        <v>0</v>
      </c>
      <c r="X169" s="5">
        <v>100</v>
      </c>
      <c r="Y169" s="5">
        <v>26.08</v>
      </c>
      <c r="Z169" s="4" t="s">
        <v>46</v>
      </c>
      <c r="AA169" s="5" t="s">
        <v>46</v>
      </c>
      <c r="AB169" s="4" t="s">
        <v>63</v>
      </c>
      <c r="AC169" s="4" t="s">
        <v>46</v>
      </c>
      <c r="AD169" s="5">
        <v>0</v>
      </c>
      <c r="AE169" s="4" t="s">
        <v>64</v>
      </c>
      <c r="AF169" s="3">
        <v>45566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55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45945</v>
      </c>
      <c r="C170" s="4" t="s">
        <v>443</v>
      </c>
      <c r="D170" s="2">
        <v>1831491</v>
      </c>
      <c r="E170" s="4" t="s">
        <v>450</v>
      </c>
      <c r="F170" s="4" t="s">
        <v>451</v>
      </c>
      <c r="G170" s="2">
        <v>429597071</v>
      </c>
      <c r="H170" s="4" t="s">
        <v>46</v>
      </c>
      <c r="I170" s="4" t="s">
        <v>46</v>
      </c>
      <c r="J170" s="4" t="s">
        <v>47</v>
      </c>
      <c r="K170" s="4" t="s">
        <v>48</v>
      </c>
      <c r="L170" s="3">
        <v>45931</v>
      </c>
      <c r="M170" s="4" t="s">
        <v>60</v>
      </c>
      <c r="N170" s="4" t="s">
        <v>46</v>
      </c>
      <c r="O170" s="4" t="s">
        <v>61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52</v>
      </c>
      <c r="U170" s="4" t="s">
        <v>46</v>
      </c>
      <c r="V170" s="5">
        <v>1</v>
      </c>
      <c r="W170" s="5">
        <v>0</v>
      </c>
      <c r="X170" s="5">
        <v>100</v>
      </c>
      <c r="Y170" s="5">
        <v>26.08</v>
      </c>
      <c r="Z170" s="4" t="s">
        <v>46</v>
      </c>
      <c r="AA170" s="5" t="s">
        <v>46</v>
      </c>
      <c r="AB170" s="4" t="s">
        <v>63</v>
      </c>
      <c r="AC170" s="4" t="s">
        <v>46</v>
      </c>
      <c r="AD170" s="5">
        <v>0</v>
      </c>
      <c r="AE170" s="4" t="s">
        <v>64</v>
      </c>
      <c r="AF170" s="3">
        <v>45627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55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45945</v>
      </c>
      <c r="C171" s="4" t="s">
        <v>452</v>
      </c>
      <c r="D171" s="2">
        <v>1832195</v>
      </c>
      <c r="E171" s="4" t="s">
        <v>453</v>
      </c>
      <c r="F171" s="4" t="s">
        <v>454</v>
      </c>
      <c r="G171" s="2">
        <v>563232505</v>
      </c>
      <c r="H171" s="4" t="s">
        <v>455</v>
      </c>
      <c r="I171" s="4" t="s">
        <v>46</v>
      </c>
      <c r="J171" s="4" t="s">
        <v>47</v>
      </c>
      <c r="K171" s="4" t="s">
        <v>48</v>
      </c>
      <c r="L171" s="3">
        <v>45962</v>
      </c>
      <c r="M171" s="4" t="s">
        <v>69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362</v>
      </c>
      <c r="U171" s="4" t="s">
        <v>46</v>
      </c>
      <c r="V171" s="5">
        <v>0.17</v>
      </c>
      <c r="W171" s="5">
        <v>0</v>
      </c>
      <c r="X171" s="5">
        <v>100</v>
      </c>
      <c r="Y171" s="5">
        <v>9.17</v>
      </c>
      <c r="Z171" s="4" t="s">
        <v>46</v>
      </c>
      <c r="AA171" s="5" t="s">
        <v>46</v>
      </c>
      <c r="AB171" s="4" t="s">
        <v>56</v>
      </c>
      <c r="AC171" s="4" t="s">
        <v>46</v>
      </c>
      <c r="AD171" s="5">
        <v>0</v>
      </c>
      <c r="AE171" s="4" t="s">
        <v>57</v>
      </c>
      <c r="AF171" s="3">
        <v>45962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363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45945</v>
      </c>
      <c r="C172" s="4" t="s">
        <v>452</v>
      </c>
      <c r="D172" s="2">
        <v>1832195</v>
      </c>
      <c r="E172" s="4" t="s">
        <v>456</v>
      </c>
      <c r="F172" s="4" t="s">
        <v>457</v>
      </c>
      <c r="G172" s="2">
        <v>943232505</v>
      </c>
      <c r="H172" s="4" t="s">
        <v>458</v>
      </c>
      <c r="I172" s="4" t="s">
        <v>46</v>
      </c>
      <c r="J172" s="4" t="s">
        <v>47</v>
      </c>
      <c r="K172" s="4" t="s">
        <v>48</v>
      </c>
      <c r="L172" s="3">
        <v>45992</v>
      </c>
      <c r="M172" s="4" t="s">
        <v>88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362</v>
      </c>
      <c r="U172" s="4" t="s">
        <v>46</v>
      </c>
      <c r="V172" s="5">
        <v>0.08</v>
      </c>
      <c r="W172" s="5">
        <v>0</v>
      </c>
      <c r="X172" s="5">
        <v>100</v>
      </c>
      <c r="Y172" s="5">
        <v>4.58</v>
      </c>
      <c r="Z172" s="4" t="s">
        <v>46</v>
      </c>
      <c r="AA172" s="5" t="s">
        <v>46</v>
      </c>
      <c r="AB172" s="4" t="s">
        <v>56</v>
      </c>
      <c r="AC172" s="4" t="s">
        <v>46</v>
      </c>
      <c r="AD172" s="5">
        <v>0</v>
      </c>
      <c r="AE172" s="4" t="s">
        <v>57</v>
      </c>
      <c r="AF172" s="3">
        <v>45992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363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45945</v>
      </c>
      <c r="C173" s="4" t="s">
        <v>459</v>
      </c>
      <c r="D173" s="2">
        <v>1855975</v>
      </c>
      <c r="E173" s="4" t="s">
        <v>460</v>
      </c>
      <c r="F173" s="4" t="s">
        <v>461</v>
      </c>
      <c r="G173" s="2">
        <v>720925411</v>
      </c>
      <c r="H173" s="4" t="s">
        <v>46</v>
      </c>
      <c r="I173" s="4" t="s">
        <v>46</v>
      </c>
      <c r="J173" s="4" t="s">
        <v>47</v>
      </c>
      <c r="K173" s="4" t="s">
        <v>48</v>
      </c>
      <c r="L173" s="3">
        <v>45931</v>
      </c>
      <c r="M173" s="4" t="s">
        <v>60</v>
      </c>
      <c r="N173" s="4" t="s">
        <v>46</v>
      </c>
      <c r="O173" s="4" t="s">
        <v>61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52</v>
      </c>
      <c r="U173" s="4" t="s">
        <v>46</v>
      </c>
      <c r="V173" s="5">
        <v>1</v>
      </c>
      <c r="W173" s="5">
        <v>0</v>
      </c>
      <c r="X173" s="5">
        <v>100</v>
      </c>
      <c r="Y173" s="5">
        <v>26.08</v>
      </c>
      <c r="Z173" s="4" t="s">
        <v>46</v>
      </c>
      <c r="AA173" s="5" t="s">
        <v>46</v>
      </c>
      <c r="AB173" s="4" t="s">
        <v>63</v>
      </c>
      <c r="AC173" s="4" t="s">
        <v>46</v>
      </c>
      <c r="AD173" s="5">
        <v>0</v>
      </c>
      <c r="AE173" s="4" t="s">
        <v>64</v>
      </c>
      <c r="AF173" s="3">
        <v>45566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55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45945</v>
      </c>
      <c r="C174" s="4" t="s">
        <v>459</v>
      </c>
      <c r="D174" s="2">
        <v>1855975</v>
      </c>
      <c r="E174" s="4" t="s">
        <v>462</v>
      </c>
      <c r="F174" s="4" t="s">
        <v>463</v>
      </c>
      <c r="G174" s="2">
        <v>790522210</v>
      </c>
      <c r="H174" s="4" t="s">
        <v>46</v>
      </c>
      <c r="I174" s="4" t="s">
        <v>46</v>
      </c>
      <c r="J174" s="4" t="s">
        <v>47</v>
      </c>
      <c r="K174" s="4" t="s">
        <v>48</v>
      </c>
      <c r="L174" s="3">
        <v>45931</v>
      </c>
      <c r="M174" s="4" t="s">
        <v>60</v>
      </c>
      <c r="N174" s="4" t="s">
        <v>46</v>
      </c>
      <c r="O174" s="4" t="s">
        <v>61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62</v>
      </c>
      <c r="U174" s="4" t="s">
        <v>46</v>
      </c>
      <c r="V174" s="5">
        <v>1</v>
      </c>
      <c r="W174" s="5">
        <v>0</v>
      </c>
      <c r="X174" s="5">
        <v>100</v>
      </c>
      <c r="Y174" s="5">
        <v>26.08</v>
      </c>
      <c r="Z174" s="4" t="s">
        <v>46</v>
      </c>
      <c r="AA174" s="5" t="s">
        <v>46</v>
      </c>
      <c r="AB174" s="4" t="s">
        <v>63</v>
      </c>
      <c r="AC174" s="4" t="s">
        <v>46</v>
      </c>
      <c r="AD174" s="5">
        <v>0</v>
      </c>
      <c r="AE174" s="4" t="s">
        <v>64</v>
      </c>
      <c r="AF174" s="3">
        <v>45597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65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45945</v>
      </c>
      <c r="C175" s="4" t="s">
        <v>464</v>
      </c>
      <c r="D175" s="2">
        <v>1900606</v>
      </c>
      <c r="E175" s="4" t="s">
        <v>465</v>
      </c>
      <c r="F175" s="4" t="s">
        <v>466</v>
      </c>
      <c r="G175" s="2">
        <v>546568527</v>
      </c>
      <c r="H175" s="4" t="s">
        <v>46</v>
      </c>
      <c r="I175" s="4" t="s">
        <v>46</v>
      </c>
      <c r="J175" s="4" t="s">
        <v>47</v>
      </c>
      <c r="K175" s="4" t="s">
        <v>48</v>
      </c>
      <c r="L175" s="3">
        <v>45931</v>
      </c>
      <c r="M175" s="4" t="s">
        <v>60</v>
      </c>
      <c r="N175" s="4" t="s">
        <v>46</v>
      </c>
      <c r="O175" s="4" t="s">
        <v>61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52</v>
      </c>
      <c r="U175" s="4" t="s">
        <v>46</v>
      </c>
      <c r="V175" s="5">
        <v>1</v>
      </c>
      <c r="W175" s="5">
        <v>0</v>
      </c>
      <c r="X175" s="5">
        <v>100</v>
      </c>
      <c r="Y175" s="5">
        <v>26.08</v>
      </c>
      <c r="Z175" s="4" t="s">
        <v>46</v>
      </c>
      <c r="AA175" s="5" t="s">
        <v>46</v>
      </c>
      <c r="AB175" s="4" t="s">
        <v>63</v>
      </c>
      <c r="AC175" s="4" t="s">
        <v>46</v>
      </c>
      <c r="AD175" s="5">
        <v>0</v>
      </c>
      <c r="AE175" s="4" t="s">
        <v>64</v>
      </c>
      <c r="AF175" s="3">
        <v>45597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55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45945</v>
      </c>
      <c r="C176" s="4" t="s">
        <v>467</v>
      </c>
      <c r="D176" s="2">
        <v>1916484</v>
      </c>
      <c r="E176" s="4" t="s">
        <v>468</v>
      </c>
      <c r="F176" s="4" t="s">
        <v>469</v>
      </c>
      <c r="G176" s="2">
        <v>804518180</v>
      </c>
      <c r="H176" s="4" t="s">
        <v>46</v>
      </c>
      <c r="I176" s="4" t="s">
        <v>46</v>
      </c>
      <c r="J176" s="4" t="s">
        <v>47</v>
      </c>
      <c r="K176" s="4" t="s">
        <v>48</v>
      </c>
      <c r="L176" s="3">
        <v>45931</v>
      </c>
      <c r="M176" s="4" t="s">
        <v>60</v>
      </c>
      <c r="N176" s="4" t="s">
        <v>46</v>
      </c>
      <c r="O176" s="4" t="s">
        <v>61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62</v>
      </c>
      <c r="U176" s="4" t="s">
        <v>46</v>
      </c>
      <c r="V176" s="5">
        <v>1</v>
      </c>
      <c r="W176" s="5">
        <v>0</v>
      </c>
      <c r="X176" s="5">
        <v>100</v>
      </c>
      <c r="Y176" s="5">
        <v>29.41</v>
      </c>
      <c r="Z176" s="4" t="s">
        <v>46</v>
      </c>
      <c r="AA176" s="5" t="s">
        <v>46</v>
      </c>
      <c r="AB176" s="4" t="s">
        <v>63</v>
      </c>
      <c r="AC176" s="4" t="s">
        <v>46</v>
      </c>
      <c r="AD176" s="5">
        <v>0</v>
      </c>
      <c r="AE176" s="4" t="s">
        <v>64</v>
      </c>
      <c r="AF176" s="3">
        <v>45292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226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45945</v>
      </c>
      <c r="C177" s="4" t="s">
        <v>470</v>
      </c>
      <c r="D177" s="2">
        <v>1953307</v>
      </c>
      <c r="E177" s="4" t="s">
        <v>471</v>
      </c>
      <c r="F177" s="4" t="s">
        <v>472</v>
      </c>
      <c r="G177" s="2">
        <v>210359081</v>
      </c>
      <c r="H177" s="4" t="s">
        <v>473</v>
      </c>
      <c r="I177" s="4" t="s">
        <v>46</v>
      </c>
      <c r="J177" s="4" t="s">
        <v>47</v>
      </c>
      <c r="K177" s="4" t="s">
        <v>48</v>
      </c>
      <c r="L177" s="3">
        <v>45962</v>
      </c>
      <c r="M177" s="4" t="s">
        <v>69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362</v>
      </c>
      <c r="U177" s="4" t="s">
        <v>46</v>
      </c>
      <c r="V177" s="5">
        <v>0.17</v>
      </c>
      <c r="W177" s="5">
        <v>0</v>
      </c>
      <c r="X177" s="5">
        <v>100</v>
      </c>
      <c r="Y177" s="5">
        <v>9.17</v>
      </c>
      <c r="Z177" s="4" t="s">
        <v>46</v>
      </c>
      <c r="AA177" s="5" t="s">
        <v>46</v>
      </c>
      <c r="AB177" s="4" t="s">
        <v>56</v>
      </c>
      <c r="AC177" s="4" t="s">
        <v>46</v>
      </c>
      <c r="AD177" s="5">
        <v>0</v>
      </c>
      <c r="AE177" s="4" t="s">
        <v>57</v>
      </c>
      <c r="AF177" s="3">
        <v>45962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363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45945</v>
      </c>
      <c r="C178" s="4" t="s">
        <v>474</v>
      </c>
      <c r="D178" s="2">
        <v>1986712</v>
      </c>
      <c r="E178" s="4" t="s">
        <v>475</v>
      </c>
      <c r="F178" s="4" t="s">
        <v>476</v>
      </c>
      <c r="G178" s="2">
        <v>118836013</v>
      </c>
      <c r="H178" s="4" t="s">
        <v>477</v>
      </c>
      <c r="I178" s="4" t="s">
        <v>46</v>
      </c>
      <c r="J178" s="4" t="s">
        <v>47</v>
      </c>
      <c r="K178" s="4" t="s">
        <v>48</v>
      </c>
      <c r="L178" s="3">
        <v>45962</v>
      </c>
      <c r="M178" s="4" t="s">
        <v>69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52</v>
      </c>
      <c r="U178" s="4" t="s">
        <v>46</v>
      </c>
      <c r="V178" s="5">
        <v>0.17</v>
      </c>
      <c r="W178" s="5">
        <v>0</v>
      </c>
      <c r="X178" s="5">
        <v>100</v>
      </c>
      <c r="Y178" s="5">
        <v>52.17</v>
      </c>
      <c r="Z178" s="4" t="s">
        <v>46</v>
      </c>
      <c r="AA178" s="5" t="s">
        <v>46</v>
      </c>
      <c r="AB178" s="4" t="s">
        <v>56</v>
      </c>
      <c r="AC178" s="4" t="s">
        <v>46</v>
      </c>
      <c r="AD178" s="5">
        <v>0</v>
      </c>
      <c r="AE178" s="4" t="s">
        <v>57</v>
      </c>
      <c r="AF178" s="3">
        <v>45962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55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45945</v>
      </c>
      <c r="C179" s="4" t="s">
        <v>478</v>
      </c>
      <c r="D179" s="2">
        <v>1509744</v>
      </c>
      <c r="E179" s="4" t="s">
        <v>479</v>
      </c>
      <c r="F179" s="4" t="s">
        <v>480</v>
      </c>
      <c r="G179" s="4" t="s">
        <v>46</v>
      </c>
      <c r="H179" s="4" t="s">
        <v>46</v>
      </c>
      <c r="I179" s="4" t="s">
        <v>46</v>
      </c>
      <c r="J179" s="4" t="s">
        <v>481</v>
      </c>
      <c r="K179" s="4" t="s">
        <v>482</v>
      </c>
      <c r="L179" s="3">
        <v>45962</v>
      </c>
      <c r="M179" s="4" t="s">
        <v>69</v>
      </c>
      <c r="N179" s="4" t="s">
        <v>46</v>
      </c>
      <c r="O179" s="4" t="s">
        <v>61</v>
      </c>
      <c r="P179" s="4" t="s">
        <v>61</v>
      </c>
      <c r="Q179" s="2">
        <v>2</v>
      </c>
      <c r="R179" s="2">
        <v>60</v>
      </c>
      <c r="S179" s="4" t="s">
        <v>483</v>
      </c>
      <c r="T179" s="4" t="s">
        <v>46</v>
      </c>
      <c r="U179" s="4" t="s">
        <v>46</v>
      </c>
      <c r="V179" s="5">
        <v>10</v>
      </c>
      <c r="W179" s="5">
        <v>26.88</v>
      </c>
      <c r="X179" s="5">
        <v>100</v>
      </c>
      <c r="Y179" s="5">
        <v>2.69</v>
      </c>
      <c r="Z179" s="4" t="s">
        <v>46</v>
      </c>
      <c r="AA179" s="5" t="s">
        <v>46</v>
      </c>
      <c r="AB179" s="4" t="s">
        <v>484</v>
      </c>
      <c r="AC179" s="4" t="s">
        <v>46</v>
      </c>
      <c r="AD179" s="5">
        <v>0</v>
      </c>
      <c r="AE179" s="4" t="s">
        <v>485</v>
      </c>
      <c r="AF179" s="3">
        <v>45307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45945</v>
      </c>
      <c r="C180" s="4" t="s">
        <v>478</v>
      </c>
      <c r="D180" s="2">
        <v>1509744</v>
      </c>
      <c r="E180" s="4" t="s">
        <v>486</v>
      </c>
      <c r="F180" s="4" t="s">
        <v>487</v>
      </c>
      <c r="G180" s="4" t="s">
        <v>46</v>
      </c>
      <c r="H180" s="4" t="s">
        <v>46</v>
      </c>
      <c r="I180" s="4" t="s">
        <v>46</v>
      </c>
      <c r="J180" s="4" t="s">
        <v>481</v>
      </c>
      <c r="K180" s="4" t="s">
        <v>482</v>
      </c>
      <c r="L180" s="3">
        <v>45962</v>
      </c>
      <c r="M180" s="4" t="s">
        <v>69</v>
      </c>
      <c r="N180" s="4" t="s">
        <v>46</v>
      </c>
      <c r="O180" s="4" t="s">
        <v>50</v>
      </c>
      <c r="P180" s="4" t="s">
        <v>61</v>
      </c>
      <c r="Q180" s="2">
        <v>1</v>
      </c>
      <c r="R180" s="2">
        <v>3</v>
      </c>
      <c r="S180" s="4" t="s">
        <v>488</v>
      </c>
      <c r="T180" s="4" t="s">
        <v>46</v>
      </c>
      <c r="U180" s="4" t="s">
        <v>46</v>
      </c>
      <c r="V180" s="5">
        <v>10</v>
      </c>
      <c r="W180" s="5">
        <v>52.78</v>
      </c>
      <c r="X180" s="5">
        <v>100</v>
      </c>
      <c r="Y180" s="5">
        <v>40.28</v>
      </c>
      <c r="Z180" s="4" t="s">
        <v>46</v>
      </c>
      <c r="AA180" s="5" t="s">
        <v>46</v>
      </c>
      <c r="AB180" s="4" t="s">
        <v>489</v>
      </c>
      <c r="AC180" s="4" t="s">
        <v>46</v>
      </c>
      <c r="AD180" s="5">
        <v>0</v>
      </c>
      <c r="AE180" s="4" t="s">
        <v>490</v>
      </c>
      <c r="AF180" s="3">
        <v>45962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45945</v>
      </c>
      <c r="C181" s="4" t="s">
        <v>491</v>
      </c>
      <c r="D181" s="2">
        <v>1509841</v>
      </c>
      <c r="E181" s="4" t="s">
        <v>492</v>
      </c>
      <c r="F181" s="4" t="s">
        <v>493</v>
      </c>
      <c r="G181" s="4" t="s">
        <v>46</v>
      </c>
      <c r="H181" s="4" t="s">
        <v>46</v>
      </c>
      <c r="I181" s="4" t="s">
        <v>46</v>
      </c>
      <c r="J181" s="4" t="s">
        <v>494</v>
      </c>
      <c r="K181" s="4" t="s">
        <v>495</v>
      </c>
      <c r="L181" s="3">
        <v>45931</v>
      </c>
      <c r="M181" s="4" t="s">
        <v>60</v>
      </c>
      <c r="N181" s="4" t="s">
        <v>46</v>
      </c>
      <c r="O181" s="4" t="s">
        <v>50</v>
      </c>
      <c r="P181" s="4" t="s">
        <v>61</v>
      </c>
      <c r="Q181" s="2">
        <v>6</v>
      </c>
      <c r="R181" s="2">
        <v>3</v>
      </c>
      <c r="S181" s="4" t="s">
        <v>488</v>
      </c>
      <c r="T181" s="4" t="s">
        <v>46</v>
      </c>
      <c r="U181" s="4" t="s">
        <v>46</v>
      </c>
      <c r="V181" s="5">
        <v>10</v>
      </c>
      <c r="W181" s="5">
        <v>414.6</v>
      </c>
      <c r="X181" s="5">
        <v>100</v>
      </c>
      <c r="Y181" s="5">
        <v>41.46</v>
      </c>
      <c r="Z181" s="4" t="s">
        <v>46</v>
      </c>
      <c r="AA181" s="5" t="s">
        <v>46</v>
      </c>
      <c r="AB181" s="4" t="s">
        <v>56</v>
      </c>
      <c r="AC181" s="4" t="s">
        <v>46</v>
      </c>
      <c r="AD181" s="5">
        <v>0</v>
      </c>
      <c r="AE181" s="4" t="s">
        <v>57</v>
      </c>
      <c r="AF181" s="3">
        <v>45658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45945</v>
      </c>
      <c r="C182" s="4" t="s">
        <v>491</v>
      </c>
      <c r="D182" s="2">
        <v>1509841</v>
      </c>
      <c r="E182" s="4" t="s">
        <v>492</v>
      </c>
      <c r="F182" s="4" t="s">
        <v>493</v>
      </c>
      <c r="G182" s="4" t="s">
        <v>46</v>
      </c>
      <c r="H182" s="4" t="s">
        <v>46</v>
      </c>
      <c r="I182" s="4" t="s">
        <v>46</v>
      </c>
      <c r="J182" s="4" t="s">
        <v>494</v>
      </c>
      <c r="K182" s="4" t="s">
        <v>495</v>
      </c>
      <c r="L182" s="3">
        <v>45931</v>
      </c>
      <c r="M182" s="4" t="s">
        <v>60</v>
      </c>
      <c r="N182" s="4" t="s">
        <v>46</v>
      </c>
      <c r="O182" s="4" t="s">
        <v>50</v>
      </c>
      <c r="P182" s="4" t="s">
        <v>61</v>
      </c>
      <c r="Q182" s="2">
        <v>5</v>
      </c>
      <c r="R182" s="2">
        <v>60</v>
      </c>
      <c r="S182" s="4" t="s">
        <v>483</v>
      </c>
      <c r="T182" s="4" t="s">
        <v>46</v>
      </c>
      <c r="U182" s="4" t="s">
        <v>46</v>
      </c>
      <c r="V182" s="5">
        <v>10</v>
      </c>
      <c r="W182" s="5">
        <v>49.38</v>
      </c>
      <c r="X182" s="5">
        <v>100</v>
      </c>
      <c r="Y182" s="5">
        <v>4.9400000000000004</v>
      </c>
      <c r="Z182" s="4" t="s">
        <v>46</v>
      </c>
      <c r="AA182" s="5" t="s">
        <v>46</v>
      </c>
      <c r="AB182" s="4" t="s">
        <v>56</v>
      </c>
      <c r="AC182" s="4" t="s">
        <v>46</v>
      </c>
      <c r="AD182" s="5">
        <v>0</v>
      </c>
      <c r="AE182" s="4" t="s">
        <v>57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45945</v>
      </c>
      <c r="C183" s="4" t="s">
        <v>496</v>
      </c>
      <c r="D183" s="2">
        <v>1510085</v>
      </c>
      <c r="E183" s="4" t="s">
        <v>497</v>
      </c>
      <c r="F183" s="4" t="s">
        <v>498</v>
      </c>
      <c r="G183" s="4" t="s">
        <v>46</v>
      </c>
      <c r="H183" s="4" t="s">
        <v>46</v>
      </c>
      <c r="I183" s="4" t="s">
        <v>46</v>
      </c>
      <c r="J183" s="4" t="s">
        <v>494</v>
      </c>
      <c r="K183" s="4" t="s">
        <v>495</v>
      </c>
      <c r="L183" s="3">
        <v>45931</v>
      </c>
      <c r="M183" s="4" t="s">
        <v>60</v>
      </c>
      <c r="N183" s="4" t="s">
        <v>46</v>
      </c>
      <c r="O183" s="4" t="s">
        <v>61</v>
      </c>
      <c r="P183" s="4" t="s">
        <v>61</v>
      </c>
      <c r="Q183" s="2">
        <v>2</v>
      </c>
      <c r="R183" s="2">
        <v>3</v>
      </c>
      <c r="S183" s="4" t="s">
        <v>488</v>
      </c>
      <c r="T183" s="4" t="s">
        <v>46</v>
      </c>
      <c r="U183" s="4" t="s">
        <v>46</v>
      </c>
      <c r="V183" s="5">
        <v>10</v>
      </c>
      <c r="W183" s="5">
        <v>635.22</v>
      </c>
      <c r="X183" s="5">
        <v>100</v>
      </c>
      <c r="Y183" s="5">
        <v>63.52</v>
      </c>
      <c r="Z183" s="4" t="s">
        <v>46</v>
      </c>
      <c r="AA183" s="5" t="s">
        <v>46</v>
      </c>
      <c r="AB183" s="4" t="s">
        <v>63</v>
      </c>
      <c r="AC183" s="4" t="s">
        <v>46</v>
      </c>
      <c r="AD183" s="5">
        <v>0</v>
      </c>
      <c r="AE183" s="4" t="s">
        <v>64</v>
      </c>
      <c r="AF183" s="3">
        <v>44562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45945</v>
      </c>
      <c r="C184" s="4" t="s">
        <v>496</v>
      </c>
      <c r="D184" s="2">
        <v>1510085</v>
      </c>
      <c r="E184" s="4" t="s">
        <v>497</v>
      </c>
      <c r="F184" s="4" t="s">
        <v>498</v>
      </c>
      <c r="G184" s="4" t="s">
        <v>46</v>
      </c>
      <c r="H184" s="4" t="s">
        <v>46</v>
      </c>
      <c r="I184" s="4" t="s">
        <v>46</v>
      </c>
      <c r="J184" s="4" t="s">
        <v>494</v>
      </c>
      <c r="K184" s="4" t="s">
        <v>495</v>
      </c>
      <c r="L184" s="3">
        <v>45931</v>
      </c>
      <c r="M184" s="4" t="s">
        <v>60</v>
      </c>
      <c r="N184" s="4" t="s">
        <v>46</v>
      </c>
      <c r="O184" s="4" t="s">
        <v>61</v>
      </c>
      <c r="P184" s="4" t="s">
        <v>61</v>
      </c>
      <c r="Q184" s="2">
        <v>2</v>
      </c>
      <c r="R184" s="2">
        <v>60</v>
      </c>
      <c r="S184" s="4" t="s">
        <v>483</v>
      </c>
      <c r="T184" s="4" t="s">
        <v>46</v>
      </c>
      <c r="U184" s="4" t="s">
        <v>46</v>
      </c>
      <c r="V184" s="5">
        <v>10</v>
      </c>
      <c r="W184" s="5">
        <v>68.05</v>
      </c>
      <c r="X184" s="5">
        <v>100</v>
      </c>
      <c r="Y184" s="5">
        <v>6.81</v>
      </c>
      <c r="Z184" s="4" t="s">
        <v>46</v>
      </c>
      <c r="AA184" s="5" t="s">
        <v>46</v>
      </c>
      <c r="AB184" s="4" t="s">
        <v>63</v>
      </c>
      <c r="AC184" s="4" t="s">
        <v>46</v>
      </c>
      <c r="AD184" s="5">
        <v>0</v>
      </c>
      <c r="AE184" s="4" t="s">
        <v>64</v>
      </c>
      <c r="AF184" s="3">
        <v>44562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45945</v>
      </c>
      <c r="C185" s="4" t="s">
        <v>188</v>
      </c>
      <c r="D185" s="2">
        <v>1510420</v>
      </c>
      <c r="E185" s="4" t="s">
        <v>499</v>
      </c>
      <c r="F185" s="4" t="s">
        <v>500</v>
      </c>
      <c r="G185" s="4" t="s">
        <v>46</v>
      </c>
      <c r="H185" s="4" t="s">
        <v>46</v>
      </c>
      <c r="I185" s="4" t="s">
        <v>46</v>
      </c>
      <c r="J185" s="4" t="s">
        <v>481</v>
      </c>
      <c r="K185" s="4" t="s">
        <v>482</v>
      </c>
      <c r="L185" s="3">
        <v>45962</v>
      </c>
      <c r="M185" s="4" t="s">
        <v>69</v>
      </c>
      <c r="N185" s="4" t="s">
        <v>46</v>
      </c>
      <c r="O185" s="4" t="s">
        <v>61</v>
      </c>
      <c r="P185" s="4" t="s">
        <v>61</v>
      </c>
      <c r="Q185" s="2">
        <v>1</v>
      </c>
      <c r="R185" s="2">
        <v>3</v>
      </c>
      <c r="S185" s="4" t="s">
        <v>488</v>
      </c>
      <c r="T185" s="4" t="s">
        <v>46</v>
      </c>
      <c r="U185" s="4" t="s">
        <v>46</v>
      </c>
      <c r="V185" s="5">
        <v>10</v>
      </c>
      <c r="W185" s="5">
        <v>21.54</v>
      </c>
      <c r="X185" s="5">
        <v>100</v>
      </c>
      <c r="Y185" s="5">
        <v>2.15</v>
      </c>
      <c r="Z185" s="4" t="s">
        <v>46</v>
      </c>
      <c r="AA185" s="5" t="s">
        <v>46</v>
      </c>
      <c r="AB185" s="4" t="s">
        <v>484</v>
      </c>
      <c r="AC185" s="4" t="s">
        <v>46</v>
      </c>
      <c r="AD185" s="5">
        <v>0</v>
      </c>
      <c r="AE185" s="4" t="s">
        <v>485</v>
      </c>
      <c r="AF185" s="3">
        <v>40969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45945</v>
      </c>
      <c r="C186" s="4" t="s">
        <v>233</v>
      </c>
      <c r="D186" s="2">
        <v>1535078</v>
      </c>
      <c r="E186" s="4" t="s">
        <v>501</v>
      </c>
      <c r="F186" s="4" t="s">
        <v>502</v>
      </c>
      <c r="G186" s="4" t="s">
        <v>46</v>
      </c>
      <c r="H186" s="4" t="s">
        <v>46</v>
      </c>
      <c r="I186" s="4" t="s">
        <v>46</v>
      </c>
      <c r="J186" s="4" t="s">
        <v>481</v>
      </c>
      <c r="K186" s="4" t="s">
        <v>482</v>
      </c>
      <c r="L186" s="3">
        <v>45962</v>
      </c>
      <c r="M186" s="4" t="s">
        <v>69</v>
      </c>
      <c r="N186" s="4" t="s">
        <v>46</v>
      </c>
      <c r="O186" s="4" t="s">
        <v>50</v>
      </c>
      <c r="P186" s="4" t="s">
        <v>61</v>
      </c>
      <c r="Q186" s="2">
        <v>1</v>
      </c>
      <c r="R186" s="2">
        <v>3</v>
      </c>
      <c r="S186" s="4" t="s">
        <v>488</v>
      </c>
      <c r="T186" s="4" t="s">
        <v>46</v>
      </c>
      <c r="U186" s="4" t="s">
        <v>46</v>
      </c>
      <c r="V186" s="5">
        <v>10</v>
      </c>
      <c r="W186" s="5">
        <v>35.93</v>
      </c>
      <c r="X186" s="5">
        <v>100</v>
      </c>
      <c r="Y186" s="5">
        <v>3.59</v>
      </c>
      <c r="Z186" s="4" t="s">
        <v>46</v>
      </c>
      <c r="AA186" s="5" t="s">
        <v>46</v>
      </c>
      <c r="AB186" s="4" t="s">
        <v>489</v>
      </c>
      <c r="AC186" s="4" t="s">
        <v>46</v>
      </c>
      <c r="AD186" s="5">
        <v>0</v>
      </c>
      <c r="AE186" s="4" t="s">
        <v>490</v>
      </c>
      <c r="AF186" s="3">
        <v>45894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45945</v>
      </c>
      <c r="C187" s="4" t="s">
        <v>261</v>
      </c>
      <c r="D187" s="2">
        <v>1573279</v>
      </c>
      <c r="E187" s="4" t="s">
        <v>503</v>
      </c>
      <c r="F187" s="4" t="s">
        <v>504</v>
      </c>
      <c r="G187" s="4" t="s">
        <v>46</v>
      </c>
      <c r="H187" s="4" t="s">
        <v>46</v>
      </c>
      <c r="I187" s="4" t="s">
        <v>46</v>
      </c>
      <c r="J187" s="4" t="s">
        <v>494</v>
      </c>
      <c r="K187" s="4" t="s">
        <v>495</v>
      </c>
      <c r="L187" s="3">
        <v>45901</v>
      </c>
      <c r="M187" s="4" t="s">
        <v>505</v>
      </c>
      <c r="N187" s="4" t="s">
        <v>46</v>
      </c>
      <c r="O187" s="4" t="s">
        <v>50</v>
      </c>
      <c r="P187" s="4" t="s">
        <v>61</v>
      </c>
      <c r="Q187" s="2">
        <v>19</v>
      </c>
      <c r="R187" s="2">
        <v>3</v>
      </c>
      <c r="S187" s="4" t="s">
        <v>488</v>
      </c>
      <c r="T187" s="4" t="s">
        <v>46</v>
      </c>
      <c r="U187" s="4" t="s">
        <v>46</v>
      </c>
      <c r="V187" s="5">
        <v>10</v>
      </c>
      <c r="W187" s="5">
        <v>102.05</v>
      </c>
      <c r="X187" s="5">
        <v>100</v>
      </c>
      <c r="Y187" s="5">
        <v>10.210000000000001</v>
      </c>
      <c r="Z187" s="4" t="s">
        <v>46</v>
      </c>
      <c r="AA187" s="5" t="s">
        <v>46</v>
      </c>
      <c r="AB187" s="4" t="s">
        <v>56</v>
      </c>
      <c r="AC187" s="4" t="s">
        <v>46</v>
      </c>
      <c r="AD187" s="5">
        <v>0</v>
      </c>
      <c r="AE187" s="4" t="s">
        <v>57</v>
      </c>
      <c r="AF187" s="3">
        <v>45839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45945</v>
      </c>
      <c r="C188" s="4" t="s">
        <v>261</v>
      </c>
      <c r="D188" s="2">
        <v>1573279</v>
      </c>
      <c r="E188" s="4" t="s">
        <v>503</v>
      </c>
      <c r="F188" s="4" t="s">
        <v>504</v>
      </c>
      <c r="G188" s="4" t="s">
        <v>46</v>
      </c>
      <c r="H188" s="4" t="s">
        <v>46</v>
      </c>
      <c r="I188" s="4" t="s">
        <v>46</v>
      </c>
      <c r="J188" s="4" t="s">
        <v>494</v>
      </c>
      <c r="K188" s="4" t="s">
        <v>495</v>
      </c>
      <c r="L188" s="3">
        <v>45931</v>
      </c>
      <c r="M188" s="4" t="s">
        <v>60</v>
      </c>
      <c r="N188" s="4" t="s">
        <v>46</v>
      </c>
      <c r="O188" s="4" t="s">
        <v>50</v>
      </c>
      <c r="P188" s="4" t="s">
        <v>61</v>
      </c>
      <c r="Q188" s="2">
        <v>19</v>
      </c>
      <c r="R188" s="2">
        <v>3</v>
      </c>
      <c r="S188" s="4" t="s">
        <v>488</v>
      </c>
      <c r="T188" s="4" t="s">
        <v>46</v>
      </c>
      <c r="U188" s="4" t="s">
        <v>46</v>
      </c>
      <c r="V188" s="5">
        <v>10</v>
      </c>
      <c r="W188" s="5">
        <v>102.05</v>
      </c>
      <c r="X188" s="5">
        <v>100</v>
      </c>
      <c r="Y188" s="5">
        <v>10.210000000000001</v>
      </c>
      <c r="Z188" s="4" t="s">
        <v>46</v>
      </c>
      <c r="AA188" s="5" t="s">
        <v>46</v>
      </c>
      <c r="AB188" s="4" t="s">
        <v>56</v>
      </c>
      <c r="AC188" s="4" t="s">
        <v>46</v>
      </c>
      <c r="AD188" s="5">
        <v>0</v>
      </c>
      <c r="AE188" s="4" t="s">
        <v>57</v>
      </c>
      <c r="AF188" s="3">
        <v>45839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45945</v>
      </c>
      <c r="C189" s="4" t="s">
        <v>261</v>
      </c>
      <c r="D189" s="2">
        <v>1573279</v>
      </c>
      <c r="E189" s="4" t="s">
        <v>503</v>
      </c>
      <c r="F189" s="4" t="s">
        <v>504</v>
      </c>
      <c r="G189" s="4" t="s">
        <v>46</v>
      </c>
      <c r="H189" s="4" t="s">
        <v>46</v>
      </c>
      <c r="I189" s="4" t="s">
        <v>46</v>
      </c>
      <c r="J189" s="4" t="s">
        <v>494</v>
      </c>
      <c r="K189" s="4" t="s">
        <v>495</v>
      </c>
      <c r="L189" s="3">
        <v>45870</v>
      </c>
      <c r="M189" s="4" t="s">
        <v>506</v>
      </c>
      <c r="N189" s="4" t="s">
        <v>46</v>
      </c>
      <c r="O189" s="4" t="s">
        <v>50</v>
      </c>
      <c r="P189" s="4" t="s">
        <v>61</v>
      </c>
      <c r="Q189" s="2">
        <v>16</v>
      </c>
      <c r="R189" s="2">
        <v>60</v>
      </c>
      <c r="S189" s="4" t="s">
        <v>483</v>
      </c>
      <c r="T189" s="4" t="s">
        <v>46</v>
      </c>
      <c r="U189" s="4" t="s">
        <v>46</v>
      </c>
      <c r="V189" s="5">
        <v>10</v>
      </c>
      <c r="W189" s="5">
        <v>-11.94</v>
      </c>
      <c r="X189" s="5">
        <v>100</v>
      </c>
      <c r="Y189" s="5">
        <v>-1.19</v>
      </c>
      <c r="Z189" s="4" t="s">
        <v>46</v>
      </c>
      <c r="AA189" s="5" t="s">
        <v>46</v>
      </c>
      <c r="AB189" s="4" t="s">
        <v>56</v>
      </c>
      <c r="AC189" s="4" t="s">
        <v>46</v>
      </c>
      <c r="AD189" s="5">
        <v>0</v>
      </c>
      <c r="AE189" s="4" t="s">
        <v>57</v>
      </c>
      <c r="AF189" s="3">
        <v>45839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45945</v>
      </c>
      <c r="C190" s="4" t="s">
        <v>261</v>
      </c>
      <c r="D190" s="2">
        <v>1573279</v>
      </c>
      <c r="E190" s="4" t="s">
        <v>503</v>
      </c>
      <c r="F190" s="4" t="s">
        <v>504</v>
      </c>
      <c r="G190" s="4" t="s">
        <v>46</v>
      </c>
      <c r="H190" s="4" t="s">
        <v>46</v>
      </c>
      <c r="I190" s="4" t="s">
        <v>46</v>
      </c>
      <c r="J190" s="4" t="s">
        <v>494</v>
      </c>
      <c r="K190" s="4" t="s">
        <v>495</v>
      </c>
      <c r="L190" s="3">
        <v>45901</v>
      </c>
      <c r="M190" s="4" t="s">
        <v>505</v>
      </c>
      <c r="N190" s="4" t="s">
        <v>46</v>
      </c>
      <c r="O190" s="4" t="s">
        <v>50</v>
      </c>
      <c r="P190" s="4" t="s">
        <v>61</v>
      </c>
      <c r="Q190" s="2">
        <v>16</v>
      </c>
      <c r="R190" s="2">
        <v>60</v>
      </c>
      <c r="S190" s="4" t="s">
        <v>483</v>
      </c>
      <c r="T190" s="4" t="s">
        <v>46</v>
      </c>
      <c r="U190" s="4" t="s">
        <v>46</v>
      </c>
      <c r="V190" s="5">
        <v>10</v>
      </c>
      <c r="W190" s="5">
        <v>22.67</v>
      </c>
      <c r="X190" s="5">
        <v>100</v>
      </c>
      <c r="Y190" s="5">
        <v>2.27</v>
      </c>
      <c r="Z190" s="4" t="s">
        <v>46</v>
      </c>
      <c r="AA190" s="5" t="s">
        <v>46</v>
      </c>
      <c r="AB190" s="4" t="s">
        <v>56</v>
      </c>
      <c r="AC190" s="4" t="s">
        <v>46</v>
      </c>
      <c r="AD190" s="5">
        <v>0</v>
      </c>
      <c r="AE190" s="4" t="s">
        <v>57</v>
      </c>
      <c r="AF190" s="3">
        <v>45839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45945</v>
      </c>
      <c r="C191" s="4" t="s">
        <v>261</v>
      </c>
      <c r="D191" s="2">
        <v>1573279</v>
      </c>
      <c r="E191" s="4" t="s">
        <v>503</v>
      </c>
      <c r="F191" s="4" t="s">
        <v>504</v>
      </c>
      <c r="G191" s="4" t="s">
        <v>46</v>
      </c>
      <c r="H191" s="4" t="s">
        <v>46</v>
      </c>
      <c r="I191" s="4" t="s">
        <v>46</v>
      </c>
      <c r="J191" s="4" t="s">
        <v>494</v>
      </c>
      <c r="K191" s="4" t="s">
        <v>495</v>
      </c>
      <c r="L191" s="3">
        <v>45931</v>
      </c>
      <c r="M191" s="4" t="s">
        <v>60</v>
      </c>
      <c r="N191" s="4" t="s">
        <v>46</v>
      </c>
      <c r="O191" s="4" t="s">
        <v>50</v>
      </c>
      <c r="P191" s="4" t="s">
        <v>61</v>
      </c>
      <c r="Q191" s="2">
        <v>16</v>
      </c>
      <c r="R191" s="2">
        <v>60</v>
      </c>
      <c r="S191" s="4" t="s">
        <v>483</v>
      </c>
      <c r="T191" s="4" t="s">
        <v>46</v>
      </c>
      <c r="U191" s="4" t="s">
        <v>46</v>
      </c>
      <c r="V191" s="5">
        <v>10</v>
      </c>
      <c r="W191" s="5">
        <v>22.67</v>
      </c>
      <c r="X191" s="5">
        <v>100</v>
      </c>
      <c r="Y191" s="5">
        <v>2.27</v>
      </c>
      <c r="Z191" s="4" t="s">
        <v>46</v>
      </c>
      <c r="AA191" s="5" t="s">
        <v>46</v>
      </c>
      <c r="AB191" s="4" t="s">
        <v>56</v>
      </c>
      <c r="AC191" s="4" t="s">
        <v>46</v>
      </c>
      <c r="AD191" s="5">
        <v>0</v>
      </c>
      <c r="AE191" s="4" t="s">
        <v>57</v>
      </c>
      <c r="AF191" s="3">
        <v>45839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45945</v>
      </c>
      <c r="C192" s="4" t="s">
        <v>280</v>
      </c>
      <c r="D192" s="2">
        <v>1594305</v>
      </c>
      <c r="E192" s="4" t="s">
        <v>507</v>
      </c>
      <c r="F192" s="4" t="s">
        <v>508</v>
      </c>
      <c r="G192" s="4" t="s">
        <v>46</v>
      </c>
      <c r="H192" s="4" t="s">
        <v>46</v>
      </c>
      <c r="I192" s="4" t="s">
        <v>46</v>
      </c>
      <c r="J192" s="4" t="s">
        <v>509</v>
      </c>
      <c r="K192" s="4" t="s">
        <v>48</v>
      </c>
      <c r="L192" s="3">
        <v>45931</v>
      </c>
      <c r="M192" s="4" t="s">
        <v>60</v>
      </c>
      <c r="N192" s="4" t="s">
        <v>46</v>
      </c>
      <c r="O192" s="4" t="s">
        <v>50</v>
      </c>
      <c r="P192" s="4" t="s">
        <v>61</v>
      </c>
      <c r="Q192" s="2">
        <v>1</v>
      </c>
      <c r="R192" s="2">
        <v>17</v>
      </c>
      <c r="S192" s="4" t="s">
        <v>51</v>
      </c>
      <c r="T192" s="4" t="s">
        <v>46</v>
      </c>
      <c r="U192" s="4" t="s">
        <v>46</v>
      </c>
      <c r="V192" s="5">
        <v>22</v>
      </c>
      <c r="W192" s="5">
        <v>2741.28</v>
      </c>
      <c r="X192" s="5">
        <v>100</v>
      </c>
      <c r="Y192" s="5">
        <v>603.12</v>
      </c>
      <c r="Z192" s="5">
        <v>0</v>
      </c>
      <c r="AA192" s="5">
        <v>0</v>
      </c>
      <c r="AB192" s="4" t="s">
        <v>510</v>
      </c>
      <c r="AC192" s="4" t="s">
        <v>46</v>
      </c>
      <c r="AD192" s="5">
        <v>0</v>
      </c>
      <c r="AE192" s="4" t="s">
        <v>511</v>
      </c>
      <c r="AF192" s="3">
        <v>45931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45945</v>
      </c>
      <c r="C193" s="4" t="s">
        <v>318</v>
      </c>
      <c r="D193" s="2">
        <v>1673763</v>
      </c>
      <c r="E193" s="4" t="s">
        <v>512</v>
      </c>
      <c r="F193" s="4" t="s">
        <v>513</v>
      </c>
      <c r="G193" s="4" t="s">
        <v>46</v>
      </c>
      <c r="H193" s="4" t="s">
        <v>46</v>
      </c>
      <c r="I193" s="4" t="s">
        <v>46</v>
      </c>
      <c r="J193" s="4" t="s">
        <v>509</v>
      </c>
      <c r="K193" s="4" t="s">
        <v>48</v>
      </c>
      <c r="L193" s="3">
        <v>45931</v>
      </c>
      <c r="M193" s="4" t="s">
        <v>60</v>
      </c>
      <c r="N193" s="4" t="s">
        <v>46</v>
      </c>
      <c r="O193" s="4" t="s">
        <v>50</v>
      </c>
      <c r="P193" s="4" t="s">
        <v>61</v>
      </c>
      <c r="Q193" s="2">
        <v>1</v>
      </c>
      <c r="R193" s="2">
        <v>17</v>
      </c>
      <c r="S193" s="4" t="s">
        <v>51</v>
      </c>
      <c r="T193" s="4" t="s">
        <v>46</v>
      </c>
      <c r="U193" s="4" t="s">
        <v>46</v>
      </c>
      <c r="V193" s="5">
        <v>26</v>
      </c>
      <c r="W193" s="5">
        <v>1084.44</v>
      </c>
      <c r="X193" s="5">
        <v>100</v>
      </c>
      <c r="Y193" s="5">
        <v>282</v>
      </c>
      <c r="Z193" s="5">
        <v>0</v>
      </c>
      <c r="AA193" s="5">
        <v>0</v>
      </c>
      <c r="AB193" s="4" t="s">
        <v>514</v>
      </c>
      <c r="AC193" s="4" t="s">
        <v>46</v>
      </c>
      <c r="AD193" s="5">
        <v>0</v>
      </c>
      <c r="AE193" s="4" t="s">
        <v>515</v>
      </c>
      <c r="AF193" s="3">
        <v>45931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45945</v>
      </c>
      <c r="C194" s="4" t="s">
        <v>318</v>
      </c>
      <c r="D194" s="2">
        <v>1673763</v>
      </c>
      <c r="E194" s="4" t="s">
        <v>516</v>
      </c>
      <c r="F194" s="4" t="s">
        <v>517</v>
      </c>
      <c r="G194" s="4" t="s">
        <v>46</v>
      </c>
      <c r="H194" s="4" t="s">
        <v>46</v>
      </c>
      <c r="I194" s="4" t="s">
        <v>46</v>
      </c>
      <c r="J194" s="4" t="s">
        <v>481</v>
      </c>
      <c r="K194" s="4" t="s">
        <v>482</v>
      </c>
      <c r="L194" s="3">
        <v>45962</v>
      </c>
      <c r="M194" s="4" t="s">
        <v>69</v>
      </c>
      <c r="N194" s="4" t="s">
        <v>46</v>
      </c>
      <c r="O194" s="4" t="s">
        <v>50</v>
      </c>
      <c r="P194" s="4" t="s">
        <v>61</v>
      </c>
      <c r="Q194" s="2">
        <v>2</v>
      </c>
      <c r="R194" s="2">
        <v>60</v>
      </c>
      <c r="S194" s="4" t="s">
        <v>483</v>
      </c>
      <c r="T194" s="4" t="s">
        <v>46</v>
      </c>
      <c r="U194" s="4" t="s">
        <v>46</v>
      </c>
      <c r="V194" s="5">
        <v>10</v>
      </c>
      <c r="W194" s="5">
        <v>23.99</v>
      </c>
      <c r="X194" s="5">
        <v>100</v>
      </c>
      <c r="Y194" s="5">
        <v>2.4</v>
      </c>
      <c r="Z194" s="4" t="s">
        <v>46</v>
      </c>
      <c r="AA194" s="5" t="s">
        <v>46</v>
      </c>
      <c r="AB194" s="4" t="s">
        <v>489</v>
      </c>
      <c r="AC194" s="4" t="s">
        <v>46</v>
      </c>
      <c r="AD194" s="5">
        <v>0</v>
      </c>
      <c r="AE194" s="4" t="s">
        <v>490</v>
      </c>
      <c r="AF194" s="3">
        <v>45870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45945</v>
      </c>
      <c r="C195" s="4" t="s">
        <v>342</v>
      </c>
      <c r="D195" s="2">
        <v>1703942</v>
      </c>
      <c r="E195" s="4" t="s">
        <v>518</v>
      </c>
      <c r="F195" s="4" t="s">
        <v>519</v>
      </c>
      <c r="G195" s="4" t="s">
        <v>46</v>
      </c>
      <c r="H195" s="4" t="s">
        <v>46</v>
      </c>
      <c r="I195" s="4" t="s">
        <v>46</v>
      </c>
      <c r="J195" s="4" t="s">
        <v>509</v>
      </c>
      <c r="K195" s="4" t="s">
        <v>48</v>
      </c>
      <c r="L195" s="3">
        <v>45931</v>
      </c>
      <c r="M195" s="4" t="s">
        <v>60</v>
      </c>
      <c r="N195" s="4" t="s">
        <v>46</v>
      </c>
      <c r="O195" s="4" t="s">
        <v>50</v>
      </c>
      <c r="P195" s="4" t="s">
        <v>61</v>
      </c>
      <c r="Q195" s="2">
        <v>1</v>
      </c>
      <c r="R195" s="2">
        <v>17</v>
      </c>
      <c r="S195" s="4" t="s">
        <v>51</v>
      </c>
      <c r="T195" s="4" t="s">
        <v>46</v>
      </c>
      <c r="U195" s="4" t="s">
        <v>46</v>
      </c>
      <c r="V195" s="5">
        <v>22</v>
      </c>
      <c r="W195" s="5">
        <v>2120.04</v>
      </c>
      <c r="X195" s="5">
        <v>100</v>
      </c>
      <c r="Y195" s="5">
        <v>466.44</v>
      </c>
      <c r="Z195" s="5">
        <v>0</v>
      </c>
      <c r="AA195" s="5">
        <v>0</v>
      </c>
      <c r="AB195" s="4" t="s">
        <v>510</v>
      </c>
      <c r="AC195" s="4" t="s">
        <v>46</v>
      </c>
      <c r="AD195" s="5">
        <v>0</v>
      </c>
      <c r="AE195" s="4" t="s">
        <v>511</v>
      </c>
      <c r="AF195" s="3">
        <v>45931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45945</v>
      </c>
      <c r="C196" s="4" t="s">
        <v>520</v>
      </c>
      <c r="D196" s="2">
        <v>1755893</v>
      </c>
      <c r="E196" s="4" t="s">
        <v>521</v>
      </c>
      <c r="F196" s="4" t="s">
        <v>522</v>
      </c>
      <c r="G196" s="4" t="s">
        <v>46</v>
      </c>
      <c r="H196" s="4" t="s">
        <v>46</v>
      </c>
      <c r="I196" s="4" t="s">
        <v>46</v>
      </c>
      <c r="J196" s="4" t="s">
        <v>481</v>
      </c>
      <c r="K196" s="4" t="s">
        <v>482</v>
      </c>
      <c r="L196" s="3">
        <v>45931</v>
      </c>
      <c r="M196" s="4" t="s">
        <v>60</v>
      </c>
      <c r="N196" s="4" t="s">
        <v>46</v>
      </c>
      <c r="O196" s="4" t="s">
        <v>50</v>
      </c>
      <c r="P196" s="4" t="s">
        <v>61</v>
      </c>
      <c r="Q196" s="2">
        <v>1</v>
      </c>
      <c r="R196" s="2">
        <v>60</v>
      </c>
      <c r="S196" s="4" t="s">
        <v>483</v>
      </c>
      <c r="T196" s="4" t="s">
        <v>46</v>
      </c>
      <c r="U196" s="4" t="s">
        <v>46</v>
      </c>
      <c r="V196" s="5">
        <v>15</v>
      </c>
      <c r="W196" s="5">
        <v>12.99</v>
      </c>
      <c r="X196" s="5">
        <v>100</v>
      </c>
      <c r="Y196" s="5">
        <v>36.950000000000003</v>
      </c>
      <c r="Z196" s="4" t="s">
        <v>46</v>
      </c>
      <c r="AA196" s="5" t="s">
        <v>46</v>
      </c>
      <c r="AB196" s="4" t="s">
        <v>489</v>
      </c>
      <c r="AC196" s="4" t="s">
        <v>46</v>
      </c>
      <c r="AD196" s="5">
        <v>0</v>
      </c>
      <c r="AE196" s="4" t="s">
        <v>490</v>
      </c>
      <c r="AF196" s="3">
        <v>45945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45945</v>
      </c>
      <c r="C197" s="4" t="s">
        <v>373</v>
      </c>
      <c r="D197" s="2">
        <v>1773696</v>
      </c>
      <c r="E197" s="4" t="s">
        <v>523</v>
      </c>
      <c r="F197" s="4" t="s">
        <v>524</v>
      </c>
      <c r="G197" s="4" t="s">
        <v>46</v>
      </c>
      <c r="H197" s="4" t="s">
        <v>46</v>
      </c>
      <c r="I197" s="4" t="s">
        <v>46</v>
      </c>
      <c r="J197" s="4" t="s">
        <v>494</v>
      </c>
      <c r="K197" s="4" t="s">
        <v>495</v>
      </c>
      <c r="L197" s="3">
        <v>45931</v>
      </c>
      <c r="M197" s="4" t="s">
        <v>60</v>
      </c>
      <c r="N197" s="4" t="s">
        <v>46</v>
      </c>
      <c r="O197" s="4" t="s">
        <v>61</v>
      </c>
      <c r="P197" s="4" t="s">
        <v>61</v>
      </c>
      <c r="Q197" s="2">
        <v>26</v>
      </c>
      <c r="R197" s="2">
        <v>3</v>
      </c>
      <c r="S197" s="4" t="s">
        <v>488</v>
      </c>
      <c r="T197" s="4" t="s">
        <v>46</v>
      </c>
      <c r="U197" s="4" t="s">
        <v>46</v>
      </c>
      <c r="V197" s="5">
        <v>10</v>
      </c>
      <c r="W197" s="5">
        <v>910.45</v>
      </c>
      <c r="X197" s="5">
        <v>100</v>
      </c>
      <c r="Y197" s="5">
        <v>91.05</v>
      </c>
      <c r="Z197" s="4" t="s">
        <v>46</v>
      </c>
      <c r="AA197" s="5" t="s">
        <v>46</v>
      </c>
      <c r="AB197" s="4" t="s">
        <v>63</v>
      </c>
      <c r="AC197" s="4" t="s">
        <v>46</v>
      </c>
      <c r="AD197" s="5">
        <v>0</v>
      </c>
      <c r="AE197" s="4" t="s">
        <v>64</v>
      </c>
      <c r="AF197" s="3">
        <v>45474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45945</v>
      </c>
      <c r="C198" s="4" t="s">
        <v>373</v>
      </c>
      <c r="D198" s="2">
        <v>1773696</v>
      </c>
      <c r="E198" s="4" t="s">
        <v>523</v>
      </c>
      <c r="F198" s="4" t="s">
        <v>524</v>
      </c>
      <c r="G198" s="4" t="s">
        <v>46</v>
      </c>
      <c r="H198" s="4" t="s">
        <v>46</v>
      </c>
      <c r="I198" s="4" t="s">
        <v>46</v>
      </c>
      <c r="J198" s="4" t="s">
        <v>494</v>
      </c>
      <c r="K198" s="4" t="s">
        <v>495</v>
      </c>
      <c r="L198" s="3">
        <v>45901</v>
      </c>
      <c r="M198" s="4" t="s">
        <v>505</v>
      </c>
      <c r="N198" s="4" t="s">
        <v>46</v>
      </c>
      <c r="O198" s="4" t="s">
        <v>61</v>
      </c>
      <c r="P198" s="4" t="s">
        <v>61</v>
      </c>
      <c r="Q198" s="2">
        <v>51</v>
      </c>
      <c r="R198" s="2">
        <v>5</v>
      </c>
      <c r="S198" s="4" t="s">
        <v>525</v>
      </c>
      <c r="T198" s="4" t="s">
        <v>46</v>
      </c>
      <c r="U198" s="4" t="s">
        <v>46</v>
      </c>
      <c r="V198" s="5">
        <v>15</v>
      </c>
      <c r="W198" s="5">
        <v>5.04</v>
      </c>
      <c r="X198" s="5">
        <v>100</v>
      </c>
      <c r="Y198" s="5">
        <v>0.76</v>
      </c>
      <c r="Z198" s="4" t="s">
        <v>46</v>
      </c>
      <c r="AA198" s="5" t="s">
        <v>46</v>
      </c>
      <c r="AB198" s="4" t="s">
        <v>63</v>
      </c>
      <c r="AC198" s="4" t="s">
        <v>46</v>
      </c>
      <c r="AD198" s="5">
        <v>0</v>
      </c>
      <c r="AE198" s="4" t="s">
        <v>64</v>
      </c>
      <c r="AF198" s="3">
        <v>45474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45945</v>
      </c>
      <c r="C199" s="4" t="s">
        <v>373</v>
      </c>
      <c r="D199" s="2">
        <v>1773696</v>
      </c>
      <c r="E199" s="4" t="s">
        <v>523</v>
      </c>
      <c r="F199" s="4" t="s">
        <v>524</v>
      </c>
      <c r="G199" s="4" t="s">
        <v>46</v>
      </c>
      <c r="H199" s="4" t="s">
        <v>46</v>
      </c>
      <c r="I199" s="4" t="s">
        <v>46</v>
      </c>
      <c r="J199" s="4" t="s">
        <v>494</v>
      </c>
      <c r="K199" s="4" t="s">
        <v>495</v>
      </c>
      <c r="L199" s="3">
        <v>45931</v>
      </c>
      <c r="M199" s="4" t="s">
        <v>60</v>
      </c>
      <c r="N199" s="4" t="s">
        <v>46</v>
      </c>
      <c r="O199" s="4" t="s">
        <v>61</v>
      </c>
      <c r="P199" s="4" t="s">
        <v>61</v>
      </c>
      <c r="Q199" s="2">
        <v>51</v>
      </c>
      <c r="R199" s="2">
        <v>5</v>
      </c>
      <c r="S199" s="4" t="s">
        <v>525</v>
      </c>
      <c r="T199" s="4" t="s">
        <v>46</v>
      </c>
      <c r="U199" s="4" t="s">
        <v>46</v>
      </c>
      <c r="V199" s="5">
        <v>15</v>
      </c>
      <c r="W199" s="5">
        <v>93.64</v>
      </c>
      <c r="X199" s="5">
        <v>100</v>
      </c>
      <c r="Y199" s="5">
        <v>14.05</v>
      </c>
      <c r="Z199" s="4" t="s">
        <v>46</v>
      </c>
      <c r="AA199" s="5" t="s">
        <v>46</v>
      </c>
      <c r="AB199" s="4" t="s">
        <v>63</v>
      </c>
      <c r="AC199" s="4" t="s">
        <v>46</v>
      </c>
      <c r="AD199" s="5">
        <v>0</v>
      </c>
      <c r="AE199" s="4" t="s">
        <v>64</v>
      </c>
      <c r="AF199" s="3">
        <v>45474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45945</v>
      </c>
      <c r="C200" s="4" t="s">
        <v>373</v>
      </c>
      <c r="D200" s="2">
        <v>1773696</v>
      </c>
      <c r="E200" s="4" t="s">
        <v>523</v>
      </c>
      <c r="F200" s="4" t="s">
        <v>524</v>
      </c>
      <c r="G200" s="4" t="s">
        <v>46</v>
      </c>
      <c r="H200" s="4" t="s">
        <v>46</v>
      </c>
      <c r="I200" s="4" t="s">
        <v>46</v>
      </c>
      <c r="J200" s="4" t="s">
        <v>494</v>
      </c>
      <c r="K200" s="4" t="s">
        <v>495</v>
      </c>
      <c r="L200" s="3">
        <v>45901</v>
      </c>
      <c r="M200" s="4" t="s">
        <v>505</v>
      </c>
      <c r="N200" s="4" t="s">
        <v>46</v>
      </c>
      <c r="O200" s="4" t="s">
        <v>61</v>
      </c>
      <c r="P200" s="4" t="s">
        <v>61</v>
      </c>
      <c r="Q200" s="2">
        <v>51</v>
      </c>
      <c r="R200" s="2">
        <v>10</v>
      </c>
      <c r="S200" s="4" t="s">
        <v>526</v>
      </c>
      <c r="T200" s="4" t="s">
        <v>46</v>
      </c>
      <c r="U200" s="4" t="s">
        <v>46</v>
      </c>
      <c r="V200" s="5">
        <v>15</v>
      </c>
      <c r="W200" s="5">
        <v>1.1599999999999999</v>
      </c>
      <c r="X200" s="5">
        <v>100</v>
      </c>
      <c r="Y200" s="5">
        <v>0.17</v>
      </c>
      <c r="Z200" s="4" t="s">
        <v>46</v>
      </c>
      <c r="AA200" s="5" t="s">
        <v>46</v>
      </c>
      <c r="AB200" s="4" t="s">
        <v>63</v>
      </c>
      <c r="AC200" s="4" t="s">
        <v>46</v>
      </c>
      <c r="AD200" s="5">
        <v>0</v>
      </c>
      <c r="AE200" s="4" t="s">
        <v>64</v>
      </c>
      <c r="AF200" s="3">
        <v>45474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45945</v>
      </c>
      <c r="C201" s="4" t="s">
        <v>373</v>
      </c>
      <c r="D201" s="2">
        <v>1773696</v>
      </c>
      <c r="E201" s="4" t="s">
        <v>523</v>
      </c>
      <c r="F201" s="4" t="s">
        <v>524</v>
      </c>
      <c r="G201" s="4" t="s">
        <v>46</v>
      </c>
      <c r="H201" s="4" t="s">
        <v>46</v>
      </c>
      <c r="I201" s="4" t="s">
        <v>46</v>
      </c>
      <c r="J201" s="4" t="s">
        <v>494</v>
      </c>
      <c r="K201" s="4" t="s">
        <v>495</v>
      </c>
      <c r="L201" s="3">
        <v>45931</v>
      </c>
      <c r="M201" s="4" t="s">
        <v>60</v>
      </c>
      <c r="N201" s="4" t="s">
        <v>46</v>
      </c>
      <c r="O201" s="4" t="s">
        <v>61</v>
      </c>
      <c r="P201" s="4" t="s">
        <v>61</v>
      </c>
      <c r="Q201" s="2">
        <v>51</v>
      </c>
      <c r="R201" s="2">
        <v>10</v>
      </c>
      <c r="S201" s="4" t="s">
        <v>526</v>
      </c>
      <c r="T201" s="4" t="s">
        <v>46</v>
      </c>
      <c r="U201" s="4" t="s">
        <v>46</v>
      </c>
      <c r="V201" s="5">
        <v>15</v>
      </c>
      <c r="W201" s="5">
        <v>21.61</v>
      </c>
      <c r="X201" s="5">
        <v>100</v>
      </c>
      <c r="Y201" s="5">
        <v>3.24</v>
      </c>
      <c r="Z201" s="4" t="s">
        <v>46</v>
      </c>
      <c r="AA201" s="5" t="s">
        <v>46</v>
      </c>
      <c r="AB201" s="4" t="s">
        <v>63</v>
      </c>
      <c r="AC201" s="4" t="s">
        <v>46</v>
      </c>
      <c r="AD201" s="5">
        <v>0</v>
      </c>
      <c r="AE201" s="4" t="s">
        <v>64</v>
      </c>
      <c r="AF201" s="3">
        <v>45474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45945</v>
      </c>
      <c r="C202" s="4" t="s">
        <v>373</v>
      </c>
      <c r="D202" s="2">
        <v>1773696</v>
      </c>
      <c r="E202" s="4" t="s">
        <v>523</v>
      </c>
      <c r="F202" s="4" t="s">
        <v>524</v>
      </c>
      <c r="G202" s="4" t="s">
        <v>46</v>
      </c>
      <c r="H202" s="4" t="s">
        <v>46</v>
      </c>
      <c r="I202" s="4" t="s">
        <v>46</v>
      </c>
      <c r="J202" s="4" t="s">
        <v>494</v>
      </c>
      <c r="K202" s="4" t="s">
        <v>495</v>
      </c>
      <c r="L202" s="3">
        <v>45931</v>
      </c>
      <c r="M202" s="4" t="s">
        <v>60</v>
      </c>
      <c r="N202" s="4" t="s">
        <v>46</v>
      </c>
      <c r="O202" s="4" t="s">
        <v>61</v>
      </c>
      <c r="P202" s="4" t="s">
        <v>61</v>
      </c>
      <c r="Q202" s="2">
        <v>28</v>
      </c>
      <c r="R202" s="2">
        <v>60</v>
      </c>
      <c r="S202" s="4" t="s">
        <v>483</v>
      </c>
      <c r="T202" s="4" t="s">
        <v>46</v>
      </c>
      <c r="U202" s="4" t="s">
        <v>46</v>
      </c>
      <c r="V202" s="5">
        <v>10</v>
      </c>
      <c r="W202" s="5">
        <v>177.17</v>
      </c>
      <c r="X202" s="5">
        <v>100</v>
      </c>
      <c r="Y202" s="5">
        <v>17.72</v>
      </c>
      <c r="Z202" s="4" t="s">
        <v>46</v>
      </c>
      <c r="AA202" s="5" t="s">
        <v>46</v>
      </c>
      <c r="AB202" s="4" t="s">
        <v>63</v>
      </c>
      <c r="AC202" s="4" t="s">
        <v>46</v>
      </c>
      <c r="AD202" s="5">
        <v>0</v>
      </c>
      <c r="AE202" s="4" t="s">
        <v>64</v>
      </c>
      <c r="AF202" s="3">
        <v>45474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45945</v>
      </c>
      <c r="C203" s="4" t="s">
        <v>527</v>
      </c>
      <c r="D203" s="2">
        <v>1875462</v>
      </c>
      <c r="E203" s="4" t="s">
        <v>528</v>
      </c>
      <c r="F203" s="4" t="s">
        <v>529</v>
      </c>
      <c r="G203" s="4" t="s">
        <v>46</v>
      </c>
      <c r="H203" s="4" t="s">
        <v>46</v>
      </c>
      <c r="I203" s="4" t="s">
        <v>46</v>
      </c>
      <c r="J203" s="4" t="s">
        <v>481</v>
      </c>
      <c r="K203" s="4" t="s">
        <v>482</v>
      </c>
      <c r="L203" s="3">
        <v>45962</v>
      </c>
      <c r="M203" s="4" t="s">
        <v>69</v>
      </c>
      <c r="N203" s="4" t="s">
        <v>46</v>
      </c>
      <c r="O203" s="4" t="s">
        <v>50</v>
      </c>
      <c r="P203" s="4" t="s">
        <v>61</v>
      </c>
      <c r="Q203" s="2">
        <v>2</v>
      </c>
      <c r="R203" s="2">
        <v>60</v>
      </c>
      <c r="S203" s="4" t="s">
        <v>483</v>
      </c>
      <c r="T203" s="4" t="s">
        <v>46</v>
      </c>
      <c r="U203" s="4" t="s">
        <v>46</v>
      </c>
      <c r="V203" s="5">
        <v>10</v>
      </c>
      <c r="W203" s="5">
        <v>23.99</v>
      </c>
      <c r="X203" s="5">
        <v>100</v>
      </c>
      <c r="Y203" s="5">
        <v>2.4</v>
      </c>
      <c r="Z203" s="4" t="s">
        <v>46</v>
      </c>
      <c r="AA203" s="5" t="s">
        <v>46</v>
      </c>
      <c r="AB203" s="4" t="s">
        <v>489</v>
      </c>
      <c r="AC203" s="4" t="s">
        <v>46</v>
      </c>
      <c r="AD203" s="5">
        <v>0</v>
      </c>
      <c r="AE203" s="4" t="s">
        <v>490</v>
      </c>
      <c r="AF203" s="3">
        <v>45902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45945</v>
      </c>
      <c r="C204" s="4" t="s">
        <v>527</v>
      </c>
      <c r="D204" s="2">
        <v>1875462</v>
      </c>
      <c r="E204" s="4" t="s">
        <v>528</v>
      </c>
      <c r="F204" s="4" t="s">
        <v>530</v>
      </c>
      <c r="G204" s="4" t="s">
        <v>46</v>
      </c>
      <c r="H204" s="4" t="s">
        <v>46</v>
      </c>
      <c r="I204" s="4" t="s">
        <v>46</v>
      </c>
      <c r="J204" s="4" t="s">
        <v>481</v>
      </c>
      <c r="K204" s="4" t="s">
        <v>482</v>
      </c>
      <c r="L204" s="3">
        <v>45962</v>
      </c>
      <c r="M204" s="4" t="s">
        <v>69</v>
      </c>
      <c r="N204" s="4" t="s">
        <v>46</v>
      </c>
      <c r="O204" s="4" t="s">
        <v>50</v>
      </c>
      <c r="P204" s="4" t="s">
        <v>61</v>
      </c>
      <c r="Q204" s="2">
        <v>3</v>
      </c>
      <c r="R204" s="2">
        <v>3</v>
      </c>
      <c r="S204" s="4" t="s">
        <v>488</v>
      </c>
      <c r="T204" s="4" t="s">
        <v>46</v>
      </c>
      <c r="U204" s="4" t="s">
        <v>46</v>
      </c>
      <c r="V204" s="5">
        <v>10</v>
      </c>
      <c r="W204" s="5">
        <v>108.97</v>
      </c>
      <c r="X204" s="5">
        <v>100</v>
      </c>
      <c r="Y204" s="5">
        <v>10.9</v>
      </c>
      <c r="Z204" s="4" t="s">
        <v>46</v>
      </c>
      <c r="AA204" s="5" t="s">
        <v>46</v>
      </c>
      <c r="AB204" s="4" t="s">
        <v>489</v>
      </c>
      <c r="AC204" s="4" t="s">
        <v>46</v>
      </c>
      <c r="AD204" s="5">
        <v>0</v>
      </c>
      <c r="AE204" s="4" t="s">
        <v>490</v>
      </c>
      <c r="AF204" s="3">
        <v>45902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45945</v>
      </c>
      <c r="C205" s="4" t="s">
        <v>531</v>
      </c>
      <c r="D205" s="2">
        <v>1982315</v>
      </c>
      <c r="E205" s="4" t="s">
        <v>532</v>
      </c>
      <c r="F205" s="4" t="s">
        <v>533</v>
      </c>
      <c r="G205" s="4" t="s">
        <v>46</v>
      </c>
      <c r="H205" s="4" t="s">
        <v>46</v>
      </c>
      <c r="I205" s="4" t="s">
        <v>46</v>
      </c>
      <c r="J205" s="4" t="s">
        <v>509</v>
      </c>
      <c r="K205" s="4" t="s">
        <v>48</v>
      </c>
      <c r="L205" s="3">
        <v>45870</v>
      </c>
      <c r="M205" s="4" t="s">
        <v>506</v>
      </c>
      <c r="N205" s="4" t="s">
        <v>46</v>
      </c>
      <c r="O205" s="4" t="s">
        <v>50</v>
      </c>
      <c r="P205" s="4" t="s">
        <v>61</v>
      </c>
      <c r="Q205" s="2">
        <v>1</v>
      </c>
      <c r="R205" s="2">
        <v>17</v>
      </c>
      <c r="S205" s="4" t="s">
        <v>51</v>
      </c>
      <c r="T205" s="4" t="s">
        <v>46</v>
      </c>
      <c r="U205" s="4" t="s">
        <v>46</v>
      </c>
      <c r="V205" s="5">
        <v>22</v>
      </c>
      <c r="W205" s="5">
        <v>2032.8</v>
      </c>
      <c r="X205" s="5">
        <v>100</v>
      </c>
      <c r="Y205" s="5">
        <v>447.24</v>
      </c>
      <c r="Z205" s="5">
        <v>0</v>
      </c>
      <c r="AA205" s="5">
        <v>0</v>
      </c>
      <c r="AB205" s="4" t="s">
        <v>514</v>
      </c>
      <c r="AC205" s="4" t="s">
        <v>46</v>
      </c>
      <c r="AD205" s="5">
        <v>0</v>
      </c>
      <c r="AE205" s="4" t="s">
        <v>515</v>
      </c>
      <c r="AF205" s="3">
        <v>45870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7CBC-2A61-484B-ADAE-F53643BCB141}">
  <dimension ref="A1:AP201"/>
  <sheetViews>
    <sheetView topLeftCell="I175" zoomScaleNormal="100" workbookViewId="0">
      <selection activeCell="P2" sqref="P2:P199"/>
    </sheetView>
  </sheetViews>
  <sheetFormatPr defaultRowHeight="12.75" x14ac:dyDescent="0.2"/>
  <cols>
    <col min="1" max="1" width="24.7109375" bestFit="1" customWidth="1"/>
    <col min="2" max="2" width="14.28515625" customWidth="1"/>
    <col min="3" max="3" width="24" customWidth="1"/>
    <col min="4" max="4" width="13.28515625" bestFit="1" customWidth="1"/>
    <col min="5" max="5" width="11.42578125" bestFit="1" customWidth="1"/>
    <col min="6" max="6" width="9.28515625" customWidth="1"/>
    <col min="7" max="7" width="15.28515625" bestFit="1" customWidth="1"/>
    <col min="8" max="8" width="8" customWidth="1"/>
    <col min="9" max="10" width="7.28515625" customWidth="1"/>
    <col min="11" max="11" width="9.28515625" customWidth="1"/>
    <col min="12" max="12" width="11.42578125" bestFit="1" customWidth="1"/>
    <col min="13" max="13" width="9.7109375" bestFit="1" customWidth="1"/>
    <col min="14" max="14" width="13.7109375" bestFit="1" customWidth="1"/>
    <col min="15" max="15" width="24.42578125" bestFit="1" customWidth="1"/>
    <col min="16" max="16" width="21.5703125" bestFit="1" customWidth="1"/>
    <col min="19" max="19" width="13.28515625" bestFit="1" customWidth="1"/>
    <col min="20" max="20" width="14.42578125" bestFit="1" customWidth="1"/>
    <col min="21" max="21" width="31.42578125" bestFit="1" customWidth="1"/>
    <col min="22" max="22" width="13.7109375" bestFit="1" customWidth="1"/>
    <col min="23" max="23" width="24.710937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30</v>
      </c>
      <c r="N1" s="1" t="s">
        <v>31</v>
      </c>
      <c r="S1" s="1" t="s">
        <v>5</v>
      </c>
    </row>
    <row r="2" spans="1:42" x14ac:dyDescent="0.2">
      <c r="A2" s="4" t="s">
        <v>409</v>
      </c>
      <c r="B2" s="2">
        <v>19200754</v>
      </c>
      <c r="C2" s="4" t="s">
        <v>424</v>
      </c>
      <c r="D2" s="4" t="s">
        <v>425</v>
      </c>
      <c r="E2" s="3">
        <v>45931</v>
      </c>
      <c r="F2" s="4" t="s">
        <v>60</v>
      </c>
      <c r="G2" s="4" t="s">
        <v>51</v>
      </c>
      <c r="H2" s="4" t="s">
        <v>52</v>
      </c>
      <c r="I2" s="5">
        <v>1</v>
      </c>
      <c r="J2" s="5">
        <v>1</v>
      </c>
      <c r="K2" s="5">
        <v>26.08</v>
      </c>
      <c r="L2" s="4" t="s">
        <v>63</v>
      </c>
      <c r="M2" s="4" t="s">
        <v>64</v>
      </c>
      <c r="N2" s="3">
        <v>45627</v>
      </c>
      <c r="O2" t="s">
        <v>537</v>
      </c>
      <c r="P2" s="29" t="s">
        <v>541</v>
      </c>
      <c r="S2" s="4" t="s">
        <v>425</v>
      </c>
      <c r="T2" t="str">
        <f t="shared" ref="T2:T8" si="0">CONCATENATE(S2,6)</f>
        <v>00022462923K6</v>
      </c>
      <c r="U2" s="4" t="s">
        <v>751</v>
      </c>
      <c r="V2" t="s">
        <v>753</v>
      </c>
      <c r="W2" t="str">
        <f t="shared" ref="W2:W33" si="1">CONCATENATE(V2, " ",U2)</f>
        <v>ADELAIDA SILVA</v>
      </c>
    </row>
    <row r="3" spans="1:42" x14ac:dyDescent="0.2">
      <c r="A3" s="4" t="s">
        <v>318</v>
      </c>
      <c r="B3" s="2">
        <v>17528908</v>
      </c>
      <c r="C3" s="4" t="s">
        <v>335</v>
      </c>
      <c r="D3" s="4" t="s">
        <v>336</v>
      </c>
      <c r="E3" s="3">
        <v>45931</v>
      </c>
      <c r="F3" s="4" t="s">
        <v>60</v>
      </c>
      <c r="G3" s="4" t="s">
        <v>51</v>
      </c>
      <c r="H3" s="4" t="s">
        <v>52</v>
      </c>
      <c r="I3" s="5">
        <v>1</v>
      </c>
      <c r="J3" s="5">
        <v>1</v>
      </c>
      <c r="K3" s="5">
        <v>29.41</v>
      </c>
      <c r="L3" s="4" t="s">
        <v>63</v>
      </c>
      <c r="M3" s="4" t="s">
        <v>64</v>
      </c>
      <c r="N3" s="3">
        <v>45383</v>
      </c>
      <c r="O3" t="s">
        <v>542</v>
      </c>
      <c r="P3" s="29" t="s">
        <v>543</v>
      </c>
      <c r="S3" s="4" t="s">
        <v>336</v>
      </c>
      <c r="T3" t="str">
        <f t="shared" si="0"/>
        <v>00021623050K6</v>
      </c>
      <c r="U3" s="4" t="s">
        <v>581</v>
      </c>
      <c r="V3" t="s">
        <v>582</v>
      </c>
      <c r="W3" t="str">
        <f t="shared" si="1"/>
        <v>ALAN BLACK</v>
      </c>
    </row>
    <row r="4" spans="1:42" x14ac:dyDescent="0.2">
      <c r="A4" s="4" t="s">
        <v>89</v>
      </c>
      <c r="B4" s="2">
        <v>8307933</v>
      </c>
      <c r="C4" s="4" t="s">
        <v>174</v>
      </c>
      <c r="D4" s="4" t="s">
        <v>175</v>
      </c>
      <c r="E4" s="3">
        <v>45931</v>
      </c>
      <c r="F4" s="4" t="s">
        <v>60</v>
      </c>
      <c r="G4" s="4" t="s">
        <v>51</v>
      </c>
      <c r="H4" s="4" t="s">
        <v>52</v>
      </c>
      <c r="I4" s="5">
        <v>1</v>
      </c>
      <c r="J4" s="5">
        <v>1</v>
      </c>
      <c r="K4" s="5">
        <v>26.08</v>
      </c>
      <c r="L4" s="4" t="s">
        <v>63</v>
      </c>
      <c r="M4" s="4" t="s">
        <v>64</v>
      </c>
      <c r="N4" s="3">
        <v>45566</v>
      </c>
      <c r="O4" t="s">
        <v>537</v>
      </c>
      <c r="P4" s="29" t="s">
        <v>541</v>
      </c>
      <c r="S4" s="4" t="s">
        <v>175</v>
      </c>
      <c r="T4" t="str">
        <f t="shared" si="0"/>
        <v>00022033067K6</v>
      </c>
      <c r="U4" s="4" t="s">
        <v>821</v>
      </c>
      <c r="V4" t="s">
        <v>822</v>
      </c>
      <c r="W4" t="str">
        <f t="shared" si="1"/>
        <v>ALEX YAKULIS</v>
      </c>
    </row>
    <row r="5" spans="1:42" x14ac:dyDescent="0.2">
      <c r="A5" s="4" t="s">
        <v>188</v>
      </c>
      <c r="B5" s="2">
        <v>7146581</v>
      </c>
      <c r="C5" s="4" t="s">
        <v>218</v>
      </c>
      <c r="D5" s="4" t="s">
        <v>219</v>
      </c>
      <c r="E5" s="3">
        <v>45962</v>
      </c>
      <c r="F5" s="4" t="s">
        <v>69</v>
      </c>
      <c r="G5" s="4" t="s">
        <v>51</v>
      </c>
      <c r="H5" s="4" t="s">
        <v>52</v>
      </c>
      <c r="I5" s="5">
        <v>0.17</v>
      </c>
      <c r="J5" s="5">
        <v>1</v>
      </c>
      <c r="K5" s="5">
        <v>52.17</v>
      </c>
      <c r="L5" s="4" t="s">
        <v>56</v>
      </c>
      <c r="M5" s="4" t="s">
        <v>57</v>
      </c>
      <c r="N5" s="3">
        <v>45962</v>
      </c>
      <c r="O5" t="s">
        <v>537</v>
      </c>
      <c r="P5" s="29" t="s">
        <v>540</v>
      </c>
      <c r="S5" s="4" t="s">
        <v>219</v>
      </c>
      <c r="T5" t="str">
        <f t="shared" si="0"/>
        <v>00023798741K6</v>
      </c>
      <c r="U5" s="4" t="s">
        <v>701</v>
      </c>
      <c r="V5" t="s">
        <v>642</v>
      </c>
      <c r="W5" t="str">
        <f t="shared" si="1"/>
        <v>ALEXANDER GUILLEN</v>
      </c>
    </row>
    <row r="6" spans="1:42" x14ac:dyDescent="0.2">
      <c r="A6" s="4" t="s">
        <v>288</v>
      </c>
      <c r="B6" s="2">
        <v>17126004</v>
      </c>
      <c r="C6" s="4" t="s">
        <v>295</v>
      </c>
      <c r="D6" s="4" t="s">
        <v>296</v>
      </c>
      <c r="E6" s="3">
        <v>45931</v>
      </c>
      <c r="F6" s="4" t="s">
        <v>60</v>
      </c>
      <c r="G6" s="4" t="s">
        <v>51</v>
      </c>
      <c r="H6" s="4" t="s">
        <v>52</v>
      </c>
      <c r="I6" s="5">
        <v>1</v>
      </c>
      <c r="J6" s="5">
        <v>1</v>
      </c>
      <c r="K6" s="5">
        <v>26.08</v>
      </c>
      <c r="L6" s="4" t="s">
        <v>63</v>
      </c>
      <c r="M6" s="4" t="s">
        <v>64</v>
      </c>
      <c r="N6" s="3">
        <v>45505</v>
      </c>
      <c r="O6" t="s">
        <v>537</v>
      </c>
      <c r="P6" s="29" t="s">
        <v>541</v>
      </c>
      <c r="S6" s="4" t="s">
        <v>296</v>
      </c>
      <c r="T6" t="str">
        <f t="shared" si="0"/>
        <v>00021937596K6</v>
      </c>
      <c r="U6" s="4" t="s">
        <v>641</v>
      </c>
      <c r="V6" t="s">
        <v>642</v>
      </c>
      <c r="W6" t="str">
        <f t="shared" si="1"/>
        <v>ALEXANDER RANCE</v>
      </c>
    </row>
    <row r="7" spans="1:42" x14ac:dyDescent="0.2">
      <c r="A7" s="4" t="s">
        <v>243</v>
      </c>
      <c r="B7" s="2">
        <v>9079571</v>
      </c>
      <c r="C7" s="4" t="s">
        <v>246</v>
      </c>
      <c r="D7" s="4" t="s">
        <v>247</v>
      </c>
      <c r="E7" s="3">
        <v>45931</v>
      </c>
      <c r="F7" s="4" t="s">
        <v>60</v>
      </c>
      <c r="G7" s="4" t="s">
        <v>51</v>
      </c>
      <c r="H7" s="4" t="s">
        <v>62</v>
      </c>
      <c r="I7" s="5">
        <v>1</v>
      </c>
      <c r="J7" s="5">
        <v>1</v>
      </c>
      <c r="K7" s="5">
        <v>26.08</v>
      </c>
      <c r="L7" s="4" t="s">
        <v>63</v>
      </c>
      <c r="M7" s="4" t="s">
        <v>64</v>
      </c>
      <c r="N7" s="3">
        <v>45139</v>
      </c>
      <c r="O7" t="s">
        <v>537</v>
      </c>
      <c r="P7" s="29" t="s">
        <v>541</v>
      </c>
      <c r="S7" s="4" t="s">
        <v>247</v>
      </c>
      <c r="T7" t="str">
        <f t="shared" si="0"/>
        <v>00020568097K6</v>
      </c>
      <c r="U7" s="4" t="s">
        <v>743</v>
      </c>
      <c r="V7" t="s">
        <v>744</v>
      </c>
      <c r="W7" t="str">
        <f t="shared" si="1"/>
        <v>ALICE KLAUZA</v>
      </c>
    </row>
    <row r="8" spans="1:42" x14ac:dyDescent="0.2">
      <c r="A8" s="4" t="s">
        <v>89</v>
      </c>
      <c r="B8" s="2">
        <v>8307933</v>
      </c>
      <c r="C8" s="4" t="s">
        <v>160</v>
      </c>
      <c r="D8" s="4" t="s">
        <v>161</v>
      </c>
      <c r="E8" s="3">
        <v>45931</v>
      </c>
      <c r="F8" s="4" t="s">
        <v>60</v>
      </c>
      <c r="G8" s="4" t="s">
        <v>51</v>
      </c>
      <c r="H8" s="4" t="s">
        <v>52</v>
      </c>
      <c r="I8" s="5">
        <v>1</v>
      </c>
      <c r="J8" s="5">
        <v>1</v>
      </c>
      <c r="K8" s="5">
        <v>26.08</v>
      </c>
      <c r="L8" s="4" t="s">
        <v>63</v>
      </c>
      <c r="M8" s="4" t="s">
        <v>64</v>
      </c>
      <c r="N8" s="3">
        <v>45413</v>
      </c>
      <c r="O8" t="s">
        <v>537</v>
      </c>
      <c r="P8" s="29" t="s">
        <v>541</v>
      </c>
      <c r="S8" s="4" t="s">
        <v>161</v>
      </c>
      <c r="T8" t="str">
        <f t="shared" si="0"/>
        <v>00021594731K6</v>
      </c>
      <c r="U8" s="4" t="s">
        <v>811</v>
      </c>
      <c r="V8" t="s">
        <v>744</v>
      </c>
      <c r="W8" t="str">
        <f t="shared" si="1"/>
        <v>ALICE NASIFE</v>
      </c>
    </row>
    <row r="9" spans="1:42" x14ac:dyDescent="0.2">
      <c r="A9" s="6" t="s">
        <v>188</v>
      </c>
      <c r="B9" s="7">
        <v>7146581</v>
      </c>
      <c r="C9" s="6" t="s">
        <v>499</v>
      </c>
      <c r="D9" s="8">
        <v>9007573590</v>
      </c>
      <c r="E9" s="9">
        <v>45962</v>
      </c>
      <c r="F9" s="6" t="s">
        <v>69</v>
      </c>
      <c r="G9" s="6" t="s">
        <v>488</v>
      </c>
      <c r="H9" s="6" t="s">
        <v>46</v>
      </c>
      <c r="I9" s="10">
        <v>10</v>
      </c>
      <c r="J9" s="10">
        <v>21.54</v>
      </c>
      <c r="K9" s="10">
        <v>2.15</v>
      </c>
      <c r="L9" s="6" t="s">
        <v>484</v>
      </c>
      <c r="M9" s="6" t="s">
        <v>485</v>
      </c>
      <c r="N9" s="9">
        <v>40969</v>
      </c>
      <c r="O9" s="11" t="s">
        <v>534</v>
      </c>
      <c r="P9" s="11"/>
      <c r="Q9" s="11"/>
      <c r="R9" s="11"/>
      <c r="S9" s="8">
        <v>9007573590</v>
      </c>
      <c r="T9" s="11" t="str">
        <f>CONCATENATE(S9,4)</f>
        <v>90075735904</v>
      </c>
      <c r="U9" s="6" t="s">
        <v>602</v>
      </c>
      <c r="V9" s="11" t="s">
        <v>603</v>
      </c>
      <c r="W9" t="str">
        <f t="shared" si="1"/>
        <v>Amy Kisner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1:42" x14ac:dyDescent="0.2">
      <c r="A10" s="6" t="s">
        <v>478</v>
      </c>
      <c r="B10" s="7">
        <v>8244481</v>
      </c>
      <c r="C10" s="6" t="s">
        <v>479</v>
      </c>
      <c r="D10" s="8">
        <v>9028352660</v>
      </c>
      <c r="E10" s="9">
        <v>45962</v>
      </c>
      <c r="F10" s="6" t="s">
        <v>69</v>
      </c>
      <c r="G10" s="6" t="s">
        <v>483</v>
      </c>
      <c r="H10" s="6" t="s">
        <v>46</v>
      </c>
      <c r="I10" s="10">
        <v>10</v>
      </c>
      <c r="J10" s="10">
        <v>26.88</v>
      </c>
      <c r="K10" s="10">
        <v>2.69</v>
      </c>
      <c r="L10" s="6" t="s">
        <v>484</v>
      </c>
      <c r="M10" s="6" t="s">
        <v>485</v>
      </c>
      <c r="N10" s="9">
        <v>45307</v>
      </c>
      <c r="O10" s="11" t="s">
        <v>534</v>
      </c>
      <c r="P10" s="11"/>
      <c r="Q10" s="11"/>
      <c r="R10" s="11"/>
      <c r="S10" s="8">
        <v>9028352660</v>
      </c>
      <c r="T10" s="11" t="str">
        <f>CONCATENATE(S10,4)</f>
        <v>90283526604</v>
      </c>
      <c r="U10" s="6" t="s">
        <v>600</v>
      </c>
      <c r="V10" s="11" t="s">
        <v>601</v>
      </c>
      <c r="W10" t="str">
        <f t="shared" si="1"/>
        <v>Andrew Patton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x14ac:dyDescent="0.2">
      <c r="A11" s="4" t="s">
        <v>261</v>
      </c>
      <c r="B11" s="2">
        <v>16633294</v>
      </c>
      <c r="C11" s="4" t="s">
        <v>268</v>
      </c>
      <c r="D11" s="4" t="s">
        <v>269</v>
      </c>
      <c r="E11" s="3">
        <v>45931</v>
      </c>
      <c r="F11" s="4" t="s">
        <v>60</v>
      </c>
      <c r="G11" s="4" t="s">
        <v>51</v>
      </c>
      <c r="H11" s="4" t="s">
        <v>52</v>
      </c>
      <c r="I11" s="5">
        <v>1</v>
      </c>
      <c r="J11" s="5">
        <v>1</v>
      </c>
      <c r="K11" s="5">
        <v>26.08</v>
      </c>
      <c r="L11" s="4" t="s">
        <v>63</v>
      </c>
      <c r="M11" s="4" t="s">
        <v>64</v>
      </c>
      <c r="N11" s="3">
        <v>45597</v>
      </c>
      <c r="O11" t="s">
        <v>537</v>
      </c>
      <c r="P11" s="29" t="s">
        <v>541</v>
      </c>
      <c r="S11" s="4" t="s">
        <v>269</v>
      </c>
      <c r="T11" t="str">
        <f>CONCATENATE(S11,6)</f>
        <v>00022137026K6</v>
      </c>
      <c r="U11" s="4" t="s">
        <v>857</v>
      </c>
      <c r="V11" t="s">
        <v>858</v>
      </c>
      <c r="W11" t="str">
        <f t="shared" si="1"/>
        <v>ANNETTE KNOX</v>
      </c>
    </row>
    <row r="12" spans="1:42" x14ac:dyDescent="0.2">
      <c r="A12" s="4" t="s">
        <v>188</v>
      </c>
      <c r="B12" s="2">
        <v>7146581</v>
      </c>
      <c r="C12" s="4" t="s">
        <v>213</v>
      </c>
      <c r="D12" s="4" t="s">
        <v>214</v>
      </c>
      <c r="E12" s="3">
        <v>45931</v>
      </c>
      <c r="F12" s="4" t="s">
        <v>60</v>
      </c>
      <c r="G12" s="4" t="s">
        <v>51</v>
      </c>
      <c r="H12" s="4" t="s">
        <v>52</v>
      </c>
      <c r="I12" s="5">
        <v>1</v>
      </c>
      <c r="J12" s="5">
        <v>1</v>
      </c>
      <c r="K12" s="5">
        <v>26.08</v>
      </c>
      <c r="L12" s="4" t="s">
        <v>63</v>
      </c>
      <c r="M12" s="4" t="s">
        <v>64</v>
      </c>
      <c r="N12" s="3">
        <v>45627</v>
      </c>
      <c r="O12" t="s">
        <v>537</v>
      </c>
      <c r="P12" s="29" t="s">
        <v>541</v>
      </c>
      <c r="S12" s="4" t="s">
        <v>214</v>
      </c>
      <c r="T12" t="str">
        <f>CONCATENATE(S12,6)</f>
        <v>00022571242K6</v>
      </c>
      <c r="U12" s="4" t="s">
        <v>693</v>
      </c>
      <c r="V12" t="s">
        <v>694</v>
      </c>
      <c r="W12" t="str">
        <f t="shared" si="1"/>
        <v>ANTHONY LEONE</v>
      </c>
    </row>
    <row r="13" spans="1:42" x14ac:dyDescent="0.2">
      <c r="A13" s="23" t="s">
        <v>318</v>
      </c>
      <c r="B13" s="31" t="s">
        <v>548</v>
      </c>
      <c r="C13" s="23" t="s">
        <v>512</v>
      </c>
      <c r="D13" s="23" t="s">
        <v>513</v>
      </c>
      <c r="E13" s="25">
        <v>45931</v>
      </c>
      <c r="F13" s="23" t="s">
        <v>60</v>
      </c>
      <c r="G13" s="23" t="s">
        <v>51</v>
      </c>
      <c r="H13" s="23" t="s">
        <v>46</v>
      </c>
      <c r="I13" s="26">
        <v>26</v>
      </c>
      <c r="J13" s="26">
        <v>1084.44</v>
      </c>
      <c r="K13" s="26">
        <v>282</v>
      </c>
      <c r="L13" s="23" t="s">
        <v>514</v>
      </c>
      <c r="M13" s="23" t="s">
        <v>515</v>
      </c>
      <c r="N13" s="25">
        <v>45931</v>
      </c>
      <c r="O13" s="27" t="s">
        <v>547</v>
      </c>
      <c r="P13" s="27"/>
      <c r="Q13" s="27"/>
      <c r="R13" s="27"/>
      <c r="S13" s="23" t="s">
        <v>513</v>
      </c>
      <c r="T13" s="27" t="str">
        <f>CONCATENATE(S13,8)</f>
        <v>00001057203A8</v>
      </c>
      <c r="U13" s="23" t="s">
        <v>596</v>
      </c>
      <c r="V13" s="27" t="s">
        <v>597</v>
      </c>
      <c r="W13" t="str">
        <f t="shared" si="1"/>
        <v>ANTOINETTE GREGG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</row>
    <row r="14" spans="1:42" x14ac:dyDescent="0.2">
      <c r="A14" s="4" t="s">
        <v>305</v>
      </c>
      <c r="B14" s="2">
        <v>17301495</v>
      </c>
      <c r="C14" s="4" t="s">
        <v>310</v>
      </c>
      <c r="D14" s="4" t="s">
        <v>311</v>
      </c>
      <c r="E14" s="3">
        <v>45931</v>
      </c>
      <c r="F14" s="4" t="s">
        <v>60</v>
      </c>
      <c r="G14" s="4" t="s">
        <v>51</v>
      </c>
      <c r="H14" s="4" t="s">
        <v>62</v>
      </c>
      <c r="I14" s="5">
        <v>1</v>
      </c>
      <c r="J14" s="5">
        <v>1</v>
      </c>
      <c r="K14" s="5">
        <v>26.08</v>
      </c>
      <c r="L14" s="4" t="s">
        <v>63</v>
      </c>
      <c r="M14" s="4" t="s">
        <v>64</v>
      </c>
      <c r="N14" s="3">
        <v>45627</v>
      </c>
      <c r="O14" t="s">
        <v>537</v>
      </c>
      <c r="P14" s="29" t="s">
        <v>541</v>
      </c>
      <c r="S14" s="4" t="s">
        <v>311</v>
      </c>
      <c r="T14" t="str">
        <f t="shared" ref="T14:T23" si="2">CONCATENATE(S14,6)</f>
        <v>00022671607K6</v>
      </c>
      <c r="U14" s="4" t="s">
        <v>669</v>
      </c>
      <c r="V14" t="s">
        <v>670</v>
      </c>
      <c r="W14" t="str">
        <f t="shared" si="1"/>
        <v>ANTONIO SANCHEZ</v>
      </c>
    </row>
    <row r="15" spans="1:42" x14ac:dyDescent="0.2">
      <c r="A15" s="4" t="s">
        <v>188</v>
      </c>
      <c r="B15" s="2">
        <v>7146581</v>
      </c>
      <c r="C15" s="4" t="s">
        <v>211</v>
      </c>
      <c r="D15" s="4" t="s">
        <v>212</v>
      </c>
      <c r="E15" s="3">
        <v>45931</v>
      </c>
      <c r="F15" s="4" t="s">
        <v>60</v>
      </c>
      <c r="G15" s="4" t="s">
        <v>51</v>
      </c>
      <c r="H15" s="4" t="s">
        <v>52</v>
      </c>
      <c r="I15" s="5">
        <v>1</v>
      </c>
      <c r="J15" s="5">
        <v>1</v>
      </c>
      <c r="K15" s="5">
        <v>26.08</v>
      </c>
      <c r="L15" s="4" t="s">
        <v>63</v>
      </c>
      <c r="M15" s="4" t="s">
        <v>64</v>
      </c>
      <c r="N15" s="3">
        <v>45627</v>
      </c>
      <c r="O15" t="s">
        <v>537</v>
      </c>
      <c r="P15" s="29" t="s">
        <v>541</v>
      </c>
      <c r="S15" s="4" t="s">
        <v>212</v>
      </c>
      <c r="T15" t="str">
        <f t="shared" si="2"/>
        <v>00022498051K6</v>
      </c>
      <c r="U15" s="4" t="s">
        <v>691</v>
      </c>
      <c r="V15" t="s">
        <v>692</v>
      </c>
      <c r="W15" t="str">
        <f t="shared" si="1"/>
        <v>AUDREY RIDLEN</v>
      </c>
    </row>
    <row r="16" spans="1:42" x14ac:dyDescent="0.2">
      <c r="A16" s="4" t="s">
        <v>89</v>
      </c>
      <c r="B16" s="2">
        <v>8307933</v>
      </c>
      <c r="C16" s="4" t="s">
        <v>144</v>
      </c>
      <c r="D16" s="4" t="s">
        <v>145</v>
      </c>
      <c r="E16" s="3">
        <v>45931</v>
      </c>
      <c r="F16" s="4" t="s">
        <v>60</v>
      </c>
      <c r="G16" s="4" t="s">
        <v>51</v>
      </c>
      <c r="H16" s="4" t="s">
        <v>52</v>
      </c>
      <c r="I16" s="5">
        <v>1</v>
      </c>
      <c r="J16" s="5">
        <v>1</v>
      </c>
      <c r="K16" s="5">
        <v>26.08</v>
      </c>
      <c r="L16" s="4" t="s">
        <v>63</v>
      </c>
      <c r="M16" s="4" t="s">
        <v>64</v>
      </c>
      <c r="N16" s="3">
        <v>45292</v>
      </c>
      <c r="O16" t="s">
        <v>537</v>
      </c>
      <c r="P16" s="29" t="s">
        <v>541</v>
      </c>
      <c r="S16" s="4" t="s">
        <v>145</v>
      </c>
      <c r="T16" t="str">
        <f t="shared" si="2"/>
        <v>00021277491K6</v>
      </c>
      <c r="U16" s="4" t="s">
        <v>801</v>
      </c>
      <c r="V16" t="s">
        <v>802</v>
      </c>
      <c r="W16" t="str">
        <f t="shared" si="1"/>
        <v>BARBARA COLSON</v>
      </c>
    </row>
    <row r="17" spans="1:42" x14ac:dyDescent="0.2">
      <c r="A17" s="4" t="s">
        <v>318</v>
      </c>
      <c r="B17" s="2">
        <v>17528908</v>
      </c>
      <c r="C17" s="4" t="s">
        <v>319</v>
      </c>
      <c r="D17" s="4" t="s">
        <v>320</v>
      </c>
      <c r="E17" s="3">
        <v>45931</v>
      </c>
      <c r="F17" s="4" t="s">
        <v>60</v>
      </c>
      <c r="G17" s="4" t="s">
        <v>51</v>
      </c>
      <c r="H17" s="4" t="s">
        <v>52</v>
      </c>
      <c r="I17" s="5">
        <v>1</v>
      </c>
      <c r="J17" s="5">
        <v>1</v>
      </c>
      <c r="K17" s="5">
        <v>29.41</v>
      </c>
      <c r="L17" s="4" t="s">
        <v>63</v>
      </c>
      <c r="M17" s="4" t="s">
        <v>64</v>
      </c>
      <c r="N17" s="3">
        <v>45292</v>
      </c>
      <c r="O17" t="s">
        <v>542</v>
      </c>
      <c r="P17" s="29" t="s">
        <v>543</v>
      </c>
      <c r="S17" s="4" t="s">
        <v>320</v>
      </c>
      <c r="T17" t="str">
        <f t="shared" si="2"/>
        <v>00006588811K6</v>
      </c>
      <c r="U17" s="4" t="s">
        <v>569</v>
      </c>
      <c r="V17" t="s">
        <v>570</v>
      </c>
      <c r="W17" t="str">
        <f t="shared" si="1"/>
        <v>BERNIDETTA LUNDY</v>
      </c>
    </row>
    <row r="18" spans="1:42" x14ac:dyDescent="0.2">
      <c r="A18" s="4" t="s">
        <v>89</v>
      </c>
      <c r="B18" s="2">
        <v>8307933</v>
      </c>
      <c r="C18" s="4" t="s">
        <v>138</v>
      </c>
      <c r="D18" s="4" t="s">
        <v>139</v>
      </c>
      <c r="E18" s="3">
        <v>45931</v>
      </c>
      <c r="F18" s="4" t="s">
        <v>60</v>
      </c>
      <c r="G18" s="4" t="s">
        <v>51</v>
      </c>
      <c r="H18" s="4" t="s">
        <v>62</v>
      </c>
      <c r="I18" s="5">
        <v>1</v>
      </c>
      <c r="J18" s="5">
        <v>1</v>
      </c>
      <c r="K18" s="5">
        <v>26.08</v>
      </c>
      <c r="L18" s="4" t="s">
        <v>63</v>
      </c>
      <c r="M18" s="4" t="s">
        <v>64</v>
      </c>
      <c r="N18" s="3">
        <v>45231</v>
      </c>
      <c r="O18" t="s">
        <v>537</v>
      </c>
      <c r="P18" s="29" t="s">
        <v>541</v>
      </c>
      <c r="S18" s="4" t="s">
        <v>139</v>
      </c>
      <c r="T18" t="str">
        <f t="shared" si="2"/>
        <v>00020966759K6</v>
      </c>
      <c r="U18" s="4" t="s">
        <v>830</v>
      </c>
      <c r="V18" t="s">
        <v>831</v>
      </c>
      <c r="W18" t="str">
        <f t="shared" si="1"/>
        <v>BONNIE MOONEY</v>
      </c>
    </row>
    <row r="19" spans="1:42" x14ac:dyDescent="0.2">
      <c r="A19" s="4" t="s">
        <v>188</v>
      </c>
      <c r="B19" s="2">
        <v>7146581</v>
      </c>
      <c r="C19" s="4" t="s">
        <v>199</v>
      </c>
      <c r="D19" s="4" t="s">
        <v>200</v>
      </c>
      <c r="E19" s="3">
        <v>45931</v>
      </c>
      <c r="F19" s="4" t="s">
        <v>60</v>
      </c>
      <c r="G19" s="4" t="s">
        <v>51</v>
      </c>
      <c r="H19" s="4" t="s">
        <v>52</v>
      </c>
      <c r="I19" s="5">
        <v>1</v>
      </c>
      <c r="J19" s="5">
        <v>1</v>
      </c>
      <c r="K19" s="5">
        <v>26.08</v>
      </c>
      <c r="L19" s="4" t="s">
        <v>63</v>
      </c>
      <c r="M19" s="4" t="s">
        <v>64</v>
      </c>
      <c r="N19" s="3">
        <v>45566</v>
      </c>
      <c r="O19" t="s">
        <v>537</v>
      </c>
      <c r="P19" s="29" t="s">
        <v>541</v>
      </c>
      <c r="S19" s="4" t="s">
        <v>200</v>
      </c>
      <c r="T19" t="str">
        <f t="shared" si="2"/>
        <v>00021973818K6</v>
      </c>
      <c r="U19" s="4" t="s">
        <v>683</v>
      </c>
      <c r="V19" t="s">
        <v>684</v>
      </c>
      <c r="W19" t="str">
        <f t="shared" si="1"/>
        <v>BRENDA REIMANN</v>
      </c>
    </row>
    <row r="20" spans="1:42" x14ac:dyDescent="0.2">
      <c r="A20" s="4" t="s">
        <v>288</v>
      </c>
      <c r="B20" s="2">
        <v>17126004</v>
      </c>
      <c r="C20" s="4" t="s">
        <v>297</v>
      </c>
      <c r="D20" s="4" t="s">
        <v>298</v>
      </c>
      <c r="E20" s="3">
        <v>45931</v>
      </c>
      <c r="F20" s="4" t="s">
        <v>60</v>
      </c>
      <c r="G20" s="4" t="s">
        <v>51</v>
      </c>
      <c r="H20" s="4" t="s">
        <v>52</v>
      </c>
      <c r="I20" s="5">
        <v>1</v>
      </c>
      <c r="J20" s="5">
        <v>1</v>
      </c>
      <c r="K20" s="5">
        <v>26.08</v>
      </c>
      <c r="L20" s="4" t="s">
        <v>63</v>
      </c>
      <c r="M20" s="4" t="s">
        <v>64</v>
      </c>
      <c r="N20" s="3">
        <v>45566</v>
      </c>
      <c r="O20" t="s">
        <v>537</v>
      </c>
      <c r="P20" s="29" t="s">
        <v>541</v>
      </c>
      <c r="S20" s="4" t="s">
        <v>298</v>
      </c>
      <c r="T20" t="str">
        <f t="shared" si="2"/>
        <v>00021970944K6</v>
      </c>
      <c r="U20" s="4" t="s">
        <v>643</v>
      </c>
      <c r="V20" t="s">
        <v>644</v>
      </c>
      <c r="W20" t="str">
        <f t="shared" si="1"/>
        <v>BRIAN CHINDERLE</v>
      </c>
    </row>
    <row r="21" spans="1:42" x14ac:dyDescent="0.2">
      <c r="A21" s="4" t="s">
        <v>89</v>
      </c>
      <c r="B21" s="2">
        <v>8307933</v>
      </c>
      <c r="C21" s="4" t="s">
        <v>110</v>
      </c>
      <c r="D21" s="4" t="s">
        <v>111</v>
      </c>
      <c r="E21" s="3">
        <v>45931</v>
      </c>
      <c r="F21" s="4" t="s">
        <v>60</v>
      </c>
      <c r="G21" s="4" t="s">
        <v>51</v>
      </c>
      <c r="H21" s="4" t="s">
        <v>52</v>
      </c>
      <c r="I21" s="5">
        <v>1</v>
      </c>
      <c r="J21" s="5">
        <v>1</v>
      </c>
      <c r="K21" s="5">
        <v>26.08</v>
      </c>
      <c r="L21" s="4" t="s">
        <v>63</v>
      </c>
      <c r="M21" s="4" t="s">
        <v>64</v>
      </c>
      <c r="N21" s="3">
        <v>45078</v>
      </c>
      <c r="O21" t="s">
        <v>537</v>
      </c>
      <c r="P21" s="29" t="s">
        <v>541</v>
      </c>
      <c r="S21" s="4" t="s">
        <v>111</v>
      </c>
      <c r="T21" t="str">
        <f t="shared" si="2"/>
        <v>00020414954K6</v>
      </c>
      <c r="U21" s="4" t="s">
        <v>783</v>
      </c>
      <c r="V21" t="s">
        <v>784</v>
      </c>
      <c r="W21" t="str">
        <f t="shared" si="1"/>
        <v>CALVIN JOHNSON</v>
      </c>
    </row>
    <row r="22" spans="1:42" x14ac:dyDescent="0.2">
      <c r="A22" s="4" t="s">
        <v>464</v>
      </c>
      <c r="B22" s="2">
        <v>20490188</v>
      </c>
      <c r="C22" s="4" t="s">
        <v>465</v>
      </c>
      <c r="D22" s="4" t="s">
        <v>466</v>
      </c>
      <c r="E22" s="3">
        <v>45931</v>
      </c>
      <c r="F22" s="4" t="s">
        <v>60</v>
      </c>
      <c r="G22" s="4" t="s">
        <v>51</v>
      </c>
      <c r="H22" s="4" t="s">
        <v>52</v>
      </c>
      <c r="I22" s="5">
        <v>1</v>
      </c>
      <c r="J22" s="5">
        <v>1</v>
      </c>
      <c r="K22" s="5">
        <v>26.08</v>
      </c>
      <c r="L22" s="4" t="s">
        <v>63</v>
      </c>
      <c r="M22" s="4" t="s">
        <v>64</v>
      </c>
      <c r="N22" s="3">
        <v>45597</v>
      </c>
      <c r="O22" t="s">
        <v>537</v>
      </c>
      <c r="P22" s="29" t="s">
        <v>541</v>
      </c>
      <c r="S22" s="4" t="s">
        <v>466</v>
      </c>
      <c r="T22" t="str">
        <f t="shared" si="2"/>
        <v>00000076874F6</v>
      </c>
      <c r="U22" s="4" t="s">
        <v>766</v>
      </c>
      <c r="V22" t="s">
        <v>767</v>
      </c>
      <c r="W22" t="str">
        <f t="shared" si="1"/>
        <v>CAROL SCHABER</v>
      </c>
    </row>
    <row r="23" spans="1:42" x14ac:dyDescent="0.2">
      <c r="A23" s="4" t="s">
        <v>89</v>
      </c>
      <c r="B23" s="2">
        <v>8307933</v>
      </c>
      <c r="C23" s="4" t="s">
        <v>166</v>
      </c>
      <c r="D23" s="4" t="s">
        <v>167</v>
      </c>
      <c r="E23" s="3">
        <v>45931</v>
      </c>
      <c r="F23" s="4" t="s">
        <v>60</v>
      </c>
      <c r="G23" s="4" t="s">
        <v>51</v>
      </c>
      <c r="H23" s="4" t="s">
        <v>52</v>
      </c>
      <c r="I23" s="5">
        <v>1</v>
      </c>
      <c r="J23" s="5">
        <v>1</v>
      </c>
      <c r="K23" s="5">
        <v>26.08</v>
      </c>
      <c r="L23" s="4" t="s">
        <v>63</v>
      </c>
      <c r="M23" s="4" t="s">
        <v>64</v>
      </c>
      <c r="N23" s="3">
        <v>45474</v>
      </c>
      <c r="O23" t="s">
        <v>537</v>
      </c>
      <c r="P23" s="29" t="s">
        <v>541</v>
      </c>
      <c r="S23" s="4" t="s">
        <v>167</v>
      </c>
      <c r="T23" t="str">
        <f t="shared" si="2"/>
        <v>00021754102K6</v>
      </c>
      <c r="U23" s="4" t="s">
        <v>814</v>
      </c>
      <c r="V23" t="s">
        <v>815</v>
      </c>
      <c r="W23" t="str">
        <f t="shared" si="1"/>
        <v>CATHERINE LAUDERDALE</v>
      </c>
    </row>
    <row r="24" spans="1:42" x14ac:dyDescent="0.2">
      <c r="A24" s="6" t="s">
        <v>478</v>
      </c>
      <c r="B24" s="7">
        <v>8244481</v>
      </c>
      <c r="C24" s="6" t="s">
        <v>486</v>
      </c>
      <c r="D24" s="8">
        <v>9031285640</v>
      </c>
      <c r="E24" s="9">
        <v>45962</v>
      </c>
      <c r="F24" s="6" t="s">
        <v>69</v>
      </c>
      <c r="G24" s="6" t="s">
        <v>488</v>
      </c>
      <c r="H24" s="6" t="s">
        <v>46</v>
      </c>
      <c r="I24" s="10">
        <v>10</v>
      </c>
      <c r="J24" s="10">
        <v>402.8</v>
      </c>
      <c r="K24" s="10">
        <v>40.28</v>
      </c>
      <c r="L24" s="6" t="s">
        <v>489</v>
      </c>
      <c r="M24" s="6" t="s">
        <v>490</v>
      </c>
      <c r="N24" s="9">
        <v>45962</v>
      </c>
      <c r="O24" s="11" t="s">
        <v>534</v>
      </c>
      <c r="P24" s="11"/>
      <c r="Q24" s="11"/>
      <c r="R24" s="11"/>
      <c r="S24" s="8">
        <v>9031285640</v>
      </c>
      <c r="T24" s="11" t="str">
        <f>CONCATENATE(S24,4)</f>
        <v>90312856404</v>
      </c>
      <c r="U24" s="6" t="s">
        <v>598</v>
      </c>
      <c r="V24" s="11" t="s">
        <v>599</v>
      </c>
      <c r="W24" t="str">
        <f t="shared" si="1"/>
        <v>Cathy Durham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spans="1:42" x14ac:dyDescent="0.2">
      <c r="A25" s="4" t="s">
        <v>89</v>
      </c>
      <c r="B25" s="2">
        <v>8307933</v>
      </c>
      <c r="C25" s="4" t="s">
        <v>152</v>
      </c>
      <c r="D25" s="4" t="s">
        <v>153</v>
      </c>
      <c r="E25" s="3">
        <v>45931</v>
      </c>
      <c r="F25" s="4" t="s">
        <v>60</v>
      </c>
      <c r="G25" s="4" t="s">
        <v>51</v>
      </c>
      <c r="H25" s="4" t="s">
        <v>52</v>
      </c>
      <c r="I25" s="5">
        <v>1</v>
      </c>
      <c r="J25" s="5">
        <v>1</v>
      </c>
      <c r="K25" s="5">
        <v>26.08</v>
      </c>
      <c r="L25" s="4" t="s">
        <v>63</v>
      </c>
      <c r="M25" s="4" t="s">
        <v>64</v>
      </c>
      <c r="N25" s="3">
        <v>45413</v>
      </c>
      <c r="O25" t="s">
        <v>537</v>
      </c>
      <c r="P25" s="29" t="s">
        <v>541</v>
      </c>
      <c r="S25" s="4" t="s">
        <v>153</v>
      </c>
      <c r="T25" t="str">
        <f>CONCATENATE(S25,6)</f>
        <v>00021538841K6</v>
      </c>
      <c r="U25" s="4" t="s">
        <v>805</v>
      </c>
      <c r="V25" t="s">
        <v>806</v>
      </c>
      <c r="W25" t="str">
        <f t="shared" si="1"/>
        <v>CATHY MCVICKER</v>
      </c>
    </row>
    <row r="26" spans="1:42" x14ac:dyDescent="0.2">
      <c r="A26" s="4" t="s">
        <v>89</v>
      </c>
      <c r="B26" s="2">
        <v>8307933</v>
      </c>
      <c r="C26" s="4" t="s">
        <v>154</v>
      </c>
      <c r="D26" s="4" t="s">
        <v>155</v>
      </c>
      <c r="E26" s="3">
        <v>45931</v>
      </c>
      <c r="F26" s="4" t="s">
        <v>60</v>
      </c>
      <c r="G26" s="4" t="s">
        <v>51</v>
      </c>
      <c r="H26" s="4" t="s">
        <v>103</v>
      </c>
      <c r="I26" s="5">
        <v>1</v>
      </c>
      <c r="J26" s="5">
        <v>1</v>
      </c>
      <c r="K26" s="5">
        <v>26.08</v>
      </c>
      <c r="L26" s="4" t="s">
        <v>63</v>
      </c>
      <c r="M26" s="4" t="s">
        <v>64</v>
      </c>
      <c r="N26" s="3">
        <v>45413</v>
      </c>
      <c r="O26" t="s">
        <v>537</v>
      </c>
      <c r="P26" s="29" t="s">
        <v>541</v>
      </c>
      <c r="S26" s="4" t="s">
        <v>155</v>
      </c>
      <c r="T26" t="str">
        <f>CONCATENATE(S26,6)</f>
        <v>00021559362K6</v>
      </c>
      <c r="U26" s="4" t="s">
        <v>838</v>
      </c>
      <c r="V26" t="s">
        <v>839</v>
      </c>
      <c r="W26" t="str">
        <f t="shared" si="1"/>
        <v>CHARLES HULTS</v>
      </c>
    </row>
    <row r="27" spans="1:42" x14ac:dyDescent="0.2">
      <c r="A27" s="4" t="s">
        <v>243</v>
      </c>
      <c r="B27" s="2">
        <v>9079571</v>
      </c>
      <c r="C27" s="4" t="s">
        <v>248</v>
      </c>
      <c r="D27" s="4" t="s">
        <v>249</v>
      </c>
      <c r="E27" s="3">
        <v>45931</v>
      </c>
      <c r="F27" s="4" t="s">
        <v>60</v>
      </c>
      <c r="G27" s="4" t="s">
        <v>51</v>
      </c>
      <c r="H27" s="4" t="s">
        <v>52</v>
      </c>
      <c r="I27" s="5">
        <v>1</v>
      </c>
      <c r="J27" s="5">
        <v>1</v>
      </c>
      <c r="K27" s="5">
        <v>26.08</v>
      </c>
      <c r="L27" s="4" t="s">
        <v>63</v>
      </c>
      <c r="M27" s="4" t="s">
        <v>64</v>
      </c>
      <c r="N27" s="3">
        <v>45200</v>
      </c>
      <c r="O27" t="s">
        <v>537</v>
      </c>
      <c r="P27" s="29" t="s">
        <v>541</v>
      </c>
      <c r="S27" s="4" t="s">
        <v>249</v>
      </c>
      <c r="T27" t="str">
        <f>CONCATENATE(S27,6)</f>
        <v>00020571654K6</v>
      </c>
      <c r="U27" s="4" t="s">
        <v>737</v>
      </c>
      <c r="V27" t="s">
        <v>738</v>
      </c>
      <c r="W27" t="str">
        <f t="shared" si="1"/>
        <v>CHARLOTTE FERRELL</v>
      </c>
    </row>
    <row r="28" spans="1:42" x14ac:dyDescent="0.2">
      <c r="A28" s="18" t="s">
        <v>452</v>
      </c>
      <c r="B28" s="19">
        <v>19491313</v>
      </c>
      <c r="C28" s="18" t="s">
        <v>453</v>
      </c>
      <c r="D28" s="18" t="s">
        <v>454</v>
      </c>
      <c r="E28" s="20">
        <v>45962</v>
      </c>
      <c r="F28" s="18" t="s">
        <v>69</v>
      </c>
      <c r="G28" s="18" t="s">
        <v>51</v>
      </c>
      <c r="H28" s="18" t="s">
        <v>362</v>
      </c>
      <c r="I28" s="21">
        <v>0.17</v>
      </c>
      <c r="J28" s="21">
        <v>9.17</v>
      </c>
      <c r="K28" s="21">
        <v>9.17</v>
      </c>
      <c r="L28" s="18" t="s">
        <v>56</v>
      </c>
      <c r="M28" s="18" t="s">
        <v>57</v>
      </c>
      <c r="N28" s="20">
        <v>45962</v>
      </c>
      <c r="O28" s="22" t="s">
        <v>536</v>
      </c>
      <c r="P28" s="22"/>
      <c r="Q28" s="22"/>
      <c r="R28" s="22"/>
      <c r="S28" s="18" t="s">
        <v>454</v>
      </c>
      <c r="T28" s="22" t="str">
        <f>CONCATENATE(S28,9)</f>
        <v>00023799798K9</v>
      </c>
      <c r="U28" s="18" t="s">
        <v>863</v>
      </c>
      <c r="V28" s="22" t="s">
        <v>864</v>
      </c>
      <c r="W28" t="str">
        <f t="shared" si="1"/>
        <v>CHERYL SANDRIDGE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spans="1:42" x14ac:dyDescent="0.2">
      <c r="A29" s="4" t="s">
        <v>409</v>
      </c>
      <c r="B29" s="2">
        <v>19200754</v>
      </c>
      <c r="C29" s="4" t="s">
        <v>410</v>
      </c>
      <c r="D29" s="4" t="s">
        <v>411</v>
      </c>
      <c r="E29" s="3">
        <v>45931</v>
      </c>
      <c r="F29" s="4" t="s">
        <v>60</v>
      </c>
      <c r="G29" s="4" t="s">
        <v>51</v>
      </c>
      <c r="H29" s="4" t="s">
        <v>52</v>
      </c>
      <c r="I29" s="5">
        <v>1</v>
      </c>
      <c r="J29" s="5">
        <v>1</v>
      </c>
      <c r="K29" s="5">
        <v>26.08</v>
      </c>
      <c r="L29" s="4" t="s">
        <v>63</v>
      </c>
      <c r="M29" s="4" t="s">
        <v>64</v>
      </c>
      <c r="N29" s="3">
        <v>45474</v>
      </c>
      <c r="O29" t="s">
        <v>537</v>
      </c>
      <c r="P29" s="29" t="s">
        <v>541</v>
      </c>
      <c r="S29" s="4" t="s">
        <v>411</v>
      </c>
      <c r="T29" t="str">
        <f>CONCATENATE(S29,6)</f>
        <v>00021883797K6</v>
      </c>
      <c r="U29" s="4" t="s">
        <v>749</v>
      </c>
      <c r="V29" t="s">
        <v>750</v>
      </c>
      <c r="W29" t="str">
        <f t="shared" si="1"/>
        <v>CHESTER ANTCZAK</v>
      </c>
    </row>
    <row r="30" spans="1:42" x14ac:dyDescent="0.2">
      <c r="A30" s="6" t="s">
        <v>233</v>
      </c>
      <c r="B30" s="7">
        <v>8325282</v>
      </c>
      <c r="C30" s="6" t="s">
        <v>501</v>
      </c>
      <c r="D30" s="8">
        <v>9031030720</v>
      </c>
      <c r="E30" s="9">
        <v>45962</v>
      </c>
      <c r="F30" s="6" t="s">
        <v>69</v>
      </c>
      <c r="G30" s="6" t="s">
        <v>488</v>
      </c>
      <c r="H30" s="6" t="s">
        <v>46</v>
      </c>
      <c r="I30" s="10">
        <v>10</v>
      </c>
      <c r="J30" s="10">
        <v>35.93</v>
      </c>
      <c r="K30" s="10">
        <v>3.59</v>
      </c>
      <c r="L30" s="6" t="s">
        <v>489</v>
      </c>
      <c r="M30" s="6" t="s">
        <v>490</v>
      </c>
      <c r="N30" s="9">
        <v>45894</v>
      </c>
      <c r="O30" s="11" t="s">
        <v>534</v>
      </c>
      <c r="P30" s="11"/>
      <c r="Q30" s="11"/>
      <c r="R30" s="11"/>
      <c r="S30" s="8">
        <v>9031030720</v>
      </c>
      <c r="T30" s="11" t="str">
        <f>CONCATENATE(S30,4)</f>
        <v>90310307204</v>
      </c>
      <c r="U30" s="6" t="s">
        <v>610</v>
      </c>
      <c r="V30" s="11" t="s">
        <v>611</v>
      </c>
      <c r="W30" t="str">
        <f t="shared" si="1"/>
        <v>Chole Holmes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spans="1:42" x14ac:dyDescent="0.2">
      <c r="A31" s="4" t="s">
        <v>342</v>
      </c>
      <c r="B31" s="2">
        <v>9213293</v>
      </c>
      <c r="C31" s="4" t="s">
        <v>349</v>
      </c>
      <c r="D31" s="4" t="s">
        <v>350</v>
      </c>
      <c r="E31" s="3">
        <v>45931</v>
      </c>
      <c r="F31" s="4" t="s">
        <v>60</v>
      </c>
      <c r="G31" s="4" t="s">
        <v>51</v>
      </c>
      <c r="H31" s="4" t="s">
        <v>52</v>
      </c>
      <c r="I31" s="5">
        <v>1</v>
      </c>
      <c r="J31" s="5">
        <v>1</v>
      </c>
      <c r="K31" s="5">
        <v>26.08</v>
      </c>
      <c r="L31" s="4" t="s">
        <v>63</v>
      </c>
      <c r="M31" s="4" t="s">
        <v>64</v>
      </c>
      <c r="N31" s="3">
        <v>45536</v>
      </c>
      <c r="O31" t="s">
        <v>537</v>
      </c>
      <c r="P31" s="29" t="s">
        <v>541</v>
      </c>
      <c r="S31" s="4" t="s">
        <v>350</v>
      </c>
      <c r="T31" t="str">
        <f t="shared" ref="T31:T42" si="3">CONCATENATE(S31,6)</f>
        <v>00021906634K6</v>
      </c>
      <c r="U31" s="4" t="s">
        <v>724</v>
      </c>
      <c r="V31" t="s">
        <v>725</v>
      </c>
      <c r="W31" t="str">
        <f t="shared" si="1"/>
        <v>CHRISTINE KALIS</v>
      </c>
    </row>
    <row r="32" spans="1:42" x14ac:dyDescent="0.2">
      <c r="A32" s="4" t="s">
        <v>443</v>
      </c>
      <c r="B32" s="2">
        <v>18828278</v>
      </c>
      <c r="C32" s="4" t="s">
        <v>448</v>
      </c>
      <c r="D32" s="4" t="s">
        <v>449</v>
      </c>
      <c r="E32" s="3">
        <v>45931</v>
      </c>
      <c r="F32" s="4" t="s">
        <v>60</v>
      </c>
      <c r="G32" s="4" t="s">
        <v>51</v>
      </c>
      <c r="H32" s="4" t="s">
        <v>52</v>
      </c>
      <c r="I32" s="5">
        <v>1</v>
      </c>
      <c r="J32" s="5">
        <v>1</v>
      </c>
      <c r="K32" s="5">
        <v>26.08</v>
      </c>
      <c r="L32" s="4" t="s">
        <v>63</v>
      </c>
      <c r="M32" s="4" t="s">
        <v>64</v>
      </c>
      <c r="N32" s="3">
        <v>45566</v>
      </c>
      <c r="O32" t="s">
        <v>537</v>
      </c>
      <c r="P32" s="29" t="s">
        <v>541</v>
      </c>
      <c r="S32" s="4" t="s">
        <v>449</v>
      </c>
      <c r="T32" t="str">
        <f t="shared" si="3"/>
        <v>00022217599K6</v>
      </c>
      <c r="U32" s="4" t="s">
        <v>653</v>
      </c>
      <c r="V32" t="s">
        <v>654</v>
      </c>
      <c r="W32" t="str">
        <f t="shared" si="1"/>
        <v>CHRISTY CHUBICK</v>
      </c>
    </row>
    <row r="33" spans="1:42" x14ac:dyDescent="0.2">
      <c r="A33" s="4" t="s">
        <v>221</v>
      </c>
      <c r="B33" s="2">
        <v>15278437</v>
      </c>
      <c r="C33" s="4" t="s">
        <v>224</v>
      </c>
      <c r="D33" s="4" t="s">
        <v>225</v>
      </c>
      <c r="E33" s="3">
        <v>45931</v>
      </c>
      <c r="F33" s="4" t="s">
        <v>60</v>
      </c>
      <c r="G33" s="4" t="s">
        <v>51</v>
      </c>
      <c r="H33" s="4" t="s">
        <v>62</v>
      </c>
      <c r="I33" s="5">
        <v>1</v>
      </c>
      <c r="J33" s="5">
        <v>1</v>
      </c>
      <c r="K33" s="5">
        <v>29.41</v>
      </c>
      <c r="L33" s="4" t="s">
        <v>63</v>
      </c>
      <c r="M33" s="4" t="s">
        <v>64</v>
      </c>
      <c r="N33" s="3">
        <v>45139</v>
      </c>
      <c r="O33" t="s">
        <v>542</v>
      </c>
      <c r="P33" s="29" t="s">
        <v>543</v>
      </c>
      <c r="S33" s="4" t="s">
        <v>225</v>
      </c>
      <c r="T33" t="str">
        <f t="shared" si="3"/>
        <v>00020570339K6</v>
      </c>
      <c r="U33" s="4" t="s">
        <v>565</v>
      </c>
      <c r="V33" t="s">
        <v>566</v>
      </c>
      <c r="W33" t="str">
        <f t="shared" si="1"/>
        <v>CLAIRE HAUGH</v>
      </c>
    </row>
    <row r="34" spans="1:42" x14ac:dyDescent="0.2">
      <c r="A34" s="4" t="s">
        <v>312</v>
      </c>
      <c r="B34" s="2">
        <v>17425766</v>
      </c>
      <c r="C34" s="4" t="s">
        <v>313</v>
      </c>
      <c r="D34" s="4" t="s">
        <v>314</v>
      </c>
      <c r="E34" s="3">
        <v>45962</v>
      </c>
      <c r="F34" s="4" t="s">
        <v>69</v>
      </c>
      <c r="G34" s="4" t="s">
        <v>51</v>
      </c>
      <c r="H34" s="4" t="s">
        <v>52</v>
      </c>
      <c r="I34" s="5">
        <v>0.17</v>
      </c>
      <c r="J34" s="5">
        <v>1</v>
      </c>
      <c r="K34" s="5">
        <v>52.17</v>
      </c>
      <c r="L34" s="4" t="s">
        <v>56</v>
      </c>
      <c r="M34" s="4" t="s">
        <v>57</v>
      </c>
      <c r="N34" s="3">
        <v>45962</v>
      </c>
      <c r="O34" t="s">
        <v>537</v>
      </c>
      <c r="P34" s="29" t="s">
        <v>540</v>
      </c>
      <c r="S34" s="4" t="s">
        <v>314</v>
      </c>
      <c r="T34" t="str">
        <f t="shared" si="3"/>
        <v>00021695147K6</v>
      </c>
      <c r="U34" s="4" t="s">
        <v>661</v>
      </c>
      <c r="V34" t="s">
        <v>662</v>
      </c>
      <c r="W34" t="str">
        <f t="shared" ref="W34:W65" si="4">CONCATENATE(V34, " ",U34)</f>
        <v>CLIFTON ICENROAD</v>
      </c>
    </row>
    <row r="35" spans="1:42" x14ac:dyDescent="0.2">
      <c r="A35" s="4" t="s">
        <v>221</v>
      </c>
      <c r="B35" s="2">
        <v>15278437</v>
      </c>
      <c r="C35" s="4" t="s">
        <v>222</v>
      </c>
      <c r="D35" s="4" t="s">
        <v>223</v>
      </c>
      <c r="E35" s="3">
        <v>45931</v>
      </c>
      <c r="F35" s="4" t="s">
        <v>60</v>
      </c>
      <c r="G35" s="4" t="s">
        <v>51</v>
      </c>
      <c r="H35" s="4" t="s">
        <v>52</v>
      </c>
      <c r="I35" s="5">
        <v>1</v>
      </c>
      <c r="J35" s="5">
        <v>1</v>
      </c>
      <c r="K35" s="5">
        <v>26.08</v>
      </c>
      <c r="L35" s="4" t="s">
        <v>63</v>
      </c>
      <c r="M35" s="4" t="s">
        <v>64</v>
      </c>
      <c r="N35" s="3">
        <v>45078</v>
      </c>
      <c r="O35" t="s">
        <v>537</v>
      </c>
      <c r="P35" s="29" t="s">
        <v>541</v>
      </c>
      <c r="S35" s="4" t="s">
        <v>223</v>
      </c>
      <c r="T35" t="str">
        <f t="shared" si="3"/>
        <v>00020444605K6</v>
      </c>
      <c r="U35" s="4" t="s">
        <v>671</v>
      </c>
      <c r="V35" t="s">
        <v>672</v>
      </c>
      <c r="W35" t="str">
        <f t="shared" si="4"/>
        <v>DANIEL COSTA</v>
      </c>
    </row>
    <row r="36" spans="1:42" x14ac:dyDescent="0.2">
      <c r="A36" s="4" t="s">
        <v>373</v>
      </c>
      <c r="B36" s="2">
        <v>18754354</v>
      </c>
      <c r="C36" s="4" t="s">
        <v>374</v>
      </c>
      <c r="D36" s="4" t="s">
        <v>375</v>
      </c>
      <c r="E36" s="3">
        <v>45931</v>
      </c>
      <c r="F36" s="4" t="s">
        <v>60</v>
      </c>
      <c r="G36" s="4" t="s">
        <v>51</v>
      </c>
      <c r="H36" s="4" t="s">
        <v>52</v>
      </c>
      <c r="I36" s="5">
        <v>1</v>
      </c>
      <c r="J36" s="5">
        <v>1</v>
      </c>
      <c r="K36" s="5">
        <v>26.08</v>
      </c>
      <c r="L36" s="4" t="s">
        <v>63</v>
      </c>
      <c r="M36" s="4" t="s">
        <v>64</v>
      </c>
      <c r="N36" s="3">
        <v>45505</v>
      </c>
      <c r="O36" t="s">
        <v>537</v>
      </c>
      <c r="P36" s="29" t="s">
        <v>541</v>
      </c>
      <c r="S36" s="4" t="s">
        <v>375</v>
      </c>
      <c r="T36" t="str">
        <f t="shared" si="3"/>
        <v>00021881964K6</v>
      </c>
      <c r="U36" s="4" t="s">
        <v>849</v>
      </c>
      <c r="V36" t="s">
        <v>736</v>
      </c>
      <c r="W36" t="str">
        <f t="shared" si="4"/>
        <v>DAVID LEWAKOWSKI</v>
      </c>
    </row>
    <row r="37" spans="1:42" x14ac:dyDescent="0.2">
      <c r="A37" s="4" t="s">
        <v>243</v>
      </c>
      <c r="B37" s="2">
        <v>9079571</v>
      </c>
      <c r="C37" s="4" t="s">
        <v>244</v>
      </c>
      <c r="D37" s="4" t="s">
        <v>245</v>
      </c>
      <c r="E37" s="3">
        <v>45931</v>
      </c>
      <c r="F37" s="4" t="s">
        <v>60</v>
      </c>
      <c r="G37" s="4" t="s">
        <v>51</v>
      </c>
      <c r="H37" s="4" t="s">
        <v>52</v>
      </c>
      <c r="I37" s="5">
        <v>1</v>
      </c>
      <c r="J37" s="5">
        <v>1</v>
      </c>
      <c r="K37" s="5">
        <v>26.08</v>
      </c>
      <c r="L37" s="4" t="s">
        <v>63</v>
      </c>
      <c r="M37" s="4" t="s">
        <v>64</v>
      </c>
      <c r="N37" s="3">
        <v>45292</v>
      </c>
      <c r="O37" t="s">
        <v>537</v>
      </c>
      <c r="P37" s="29" t="s">
        <v>541</v>
      </c>
      <c r="S37" s="4" t="s">
        <v>245</v>
      </c>
      <c r="T37" t="str">
        <f t="shared" si="3"/>
        <v>00018178652K6</v>
      </c>
      <c r="U37" s="4" t="s">
        <v>735</v>
      </c>
      <c r="V37" t="s">
        <v>736</v>
      </c>
      <c r="W37" t="str">
        <f t="shared" si="4"/>
        <v>DAVID ROCCIO</v>
      </c>
    </row>
    <row r="38" spans="1:42" x14ac:dyDescent="0.2">
      <c r="A38" s="4" t="s">
        <v>89</v>
      </c>
      <c r="B38" s="2">
        <v>8307933</v>
      </c>
      <c r="C38" s="4" t="s">
        <v>148</v>
      </c>
      <c r="D38" s="4" t="s">
        <v>149</v>
      </c>
      <c r="E38" s="3">
        <v>45931</v>
      </c>
      <c r="F38" s="4" t="s">
        <v>60</v>
      </c>
      <c r="G38" s="4" t="s">
        <v>51</v>
      </c>
      <c r="H38" s="4" t="s">
        <v>52</v>
      </c>
      <c r="I38" s="5">
        <v>1</v>
      </c>
      <c r="J38" s="5">
        <v>1</v>
      </c>
      <c r="K38" s="5">
        <v>26.08</v>
      </c>
      <c r="L38" s="4" t="s">
        <v>63</v>
      </c>
      <c r="M38" s="4" t="s">
        <v>64</v>
      </c>
      <c r="N38" s="3">
        <v>45292</v>
      </c>
      <c r="O38" t="s">
        <v>537</v>
      </c>
      <c r="P38" s="29" t="s">
        <v>541</v>
      </c>
      <c r="S38" s="4" t="s">
        <v>149</v>
      </c>
      <c r="T38" t="str">
        <f t="shared" si="3"/>
        <v>00021436640K6</v>
      </c>
      <c r="U38" s="4" t="s">
        <v>803</v>
      </c>
      <c r="V38" t="s">
        <v>736</v>
      </c>
      <c r="W38" t="str">
        <f t="shared" si="4"/>
        <v>DAVID TURNER</v>
      </c>
    </row>
    <row r="39" spans="1:42" x14ac:dyDescent="0.2">
      <c r="A39" s="4" t="s">
        <v>280</v>
      </c>
      <c r="B39" s="2">
        <v>16865615</v>
      </c>
      <c r="C39" s="4" t="s">
        <v>281</v>
      </c>
      <c r="D39" s="4" t="s">
        <v>282</v>
      </c>
      <c r="E39" s="3">
        <v>45931</v>
      </c>
      <c r="F39" s="4" t="s">
        <v>60</v>
      </c>
      <c r="G39" s="4" t="s">
        <v>51</v>
      </c>
      <c r="H39" s="4" t="s">
        <v>62</v>
      </c>
      <c r="I39" s="5">
        <v>1</v>
      </c>
      <c r="J39" s="5">
        <v>1</v>
      </c>
      <c r="K39" s="5">
        <v>26.08</v>
      </c>
      <c r="L39" s="4" t="s">
        <v>63</v>
      </c>
      <c r="M39" s="4" t="s">
        <v>64</v>
      </c>
      <c r="N39" s="3">
        <v>45566</v>
      </c>
      <c r="O39" t="s">
        <v>537</v>
      </c>
      <c r="P39" s="29" t="s">
        <v>541</v>
      </c>
      <c r="S39" s="4" t="s">
        <v>282</v>
      </c>
      <c r="T39" t="str">
        <f t="shared" si="3"/>
        <v>00022033172K6</v>
      </c>
      <c r="U39" s="4" t="s">
        <v>663</v>
      </c>
      <c r="V39" t="s">
        <v>664</v>
      </c>
      <c r="W39" t="str">
        <f t="shared" si="4"/>
        <v>DEBBY SHEDD</v>
      </c>
    </row>
    <row r="40" spans="1:42" x14ac:dyDescent="0.2">
      <c r="A40" s="4" t="s">
        <v>89</v>
      </c>
      <c r="B40" s="2">
        <v>8307933</v>
      </c>
      <c r="C40" s="4" t="s">
        <v>105</v>
      </c>
      <c r="D40" s="4" t="s">
        <v>106</v>
      </c>
      <c r="E40" s="3">
        <v>45931</v>
      </c>
      <c r="F40" s="4" t="s">
        <v>60</v>
      </c>
      <c r="G40" s="4" t="s">
        <v>51</v>
      </c>
      <c r="H40" s="4" t="s">
        <v>62</v>
      </c>
      <c r="I40" s="5">
        <v>1</v>
      </c>
      <c r="J40" s="5">
        <v>1</v>
      </c>
      <c r="K40" s="5">
        <v>26.08</v>
      </c>
      <c r="L40" s="4" t="s">
        <v>63</v>
      </c>
      <c r="M40" s="4" t="s">
        <v>64</v>
      </c>
      <c r="N40" s="3">
        <v>45078</v>
      </c>
      <c r="O40" t="s">
        <v>537</v>
      </c>
      <c r="P40" s="29" t="s">
        <v>541</v>
      </c>
      <c r="S40" s="4" t="s">
        <v>106</v>
      </c>
      <c r="T40" t="str">
        <f t="shared" si="3"/>
        <v>00020373510K6</v>
      </c>
      <c r="U40" s="4" t="s">
        <v>828</v>
      </c>
      <c r="V40" t="s">
        <v>763</v>
      </c>
      <c r="W40" t="str">
        <f t="shared" si="4"/>
        <v>DEBRA HAUFF</v>
      </c>
    </row>
    <row r="41" spans="1:42" x14ac:dyDescent="0.2">
      <c r="A41" s="4" t="s">
        <v>89</v>
      </c>
      <c r="B41" s="2">
        <v>8307933</v>
      </c>
      <c r="C41" s="4" t="s">
        <v>136</v>
      </c>
      <c r="D41" s="4" t="s">
        <v>137</v>
      </c>
      <c r="E41" s="3">
        <v>45931</v>
      </c>
      <c r="F41" s="4" t="s">
        <v>60</v>
      </c>
      <c r="G41" s="4" t="s">
        <v>51</v>
      </c>
      <c r="H41" s="4" t="s">
        <v>52</v>
      </c>
      <c r="I41" s="5">
        <v>1</v>
      </c>
      <c r="J41" s="5">
        <v>1</v>
      </c>
      <c r="K41" s="5">
        <v>26.08</v>
      </c>
      <c r="L41" s="4" t="s">
        <v>63</v>
      </c>
      <c r="M41" s="4" t="s">
        <v>64</v>
      </c>
      <c r="N41" s="3">
        <v>45292</v>
      </c>
      <c r="O41" t="s">
        <v>537</v>
      </c>
      <c r="P41" s="29" t="s">
        <v>541</v>
      </c>
      <c r="S41" s="4" t="s">
        <v>137</v>
      </c>
      <c r="T41" t="str">
        <f t="shared" si="3"/>
        <v>00020923530K6</v>
      </c>
      <c r="U41" s="4" t="s">
        <v>800</v>
      </c>
      <c r="V41" t="s">
        <v>763</v>
      </c>
      <c r="W41" t="str">
        <f t="shared" si="4"/>
        <v>DEBRA HOWARD</v>
      </c>
    </row>
    <row r="42" spans="1:42" x14ac:dyDescent="0.2">
      <c r="A42" s="4" t="s">
        <v>431</v>
      </c>
      <c r="B42" s="2">
        <v>19586992</v>
      </c>
      <c r="C42" s="4" t="s">
        <v>432</v>
      </c>
      <c r="D42" s="4" t="s">
        <v>433</v>
      </c>
      <c r="E42" s="3">
        <v>45931</v>
      </c>
      <c r="F42" s="4" t="s">
        <v>60</v>
      </c>
      <c r="G42" s="4" t="s">
        <v>51</v>
      </c>
      <c r="H42" s="4" t="s">
        <v>62</v>
      </c>
      <c r="I42" s="5">
        <v>1</v>
      </c>
      <c r="J42" s="5">
        <v>1</v>
      </c>
      <c r="K42" s="5">
        <v>26.08</v>
      </c>
      <c r="L42" s="4" t="s">
        <v>63</v>
      </c>
      <c r="M42" s="4" t="s">
        <v>64</v>
      </c>
      <c r="N42" s="3">
        <v>45474</v>
      </c>
      <c r="O42" t="s">
        <v>537</v>
      </c>
      <c r="P42" s="29" t="s">
        <v>541</v>
      </c>
      <c r="S42" s="4" t="s">
        <v>433</v>
      </c>
      <c r="T42" t="str">
        <f t="shared" si="3"/>
        <v>00017505325K6</v>
      </c>
      <c r="U42" s="4" t="s">
        <v>762</v>
      </c>
      <c r="V42" t="s">
        <v>763</v>
      </c>
      <c r="W42" t="str">
        <f t="shared" si="4"/>
        <v>DEBRA SIMS</v>
      </c>
    </row>
    <row r="43" spans="1:42" x14ac:dyDescent="0.2">
      <c r="A43" s="23" t="s">
        <v>280</v>
      </c>
      <c r="B43" s="24">
        <v>16865615</v>
      </c>
      <c r="C43" s="23" t="s">
        <v>507</v>
      </c>
      <c r="D43" s="23" t="s">
        <v>508</v>
      </c>
      <c r="E43" s="25">
        <v>45931</v>
      </c>
      <c r="F43" s="23" t="s">
        <v>60</v>
      </c>
      <c r="G43" s="23" t="s">
        <v>51</v>
      </c>
      <c r="H43" s="23" t="s">
        <v>46</v>
      </c>
      <c r="I43" s="26">
        <v>22</v>
      </c>
      <c r="J43" s="26">
        <v>2741.28</v>
      </c>
      <c r="K43" s="26">
        <v>603.12</v>
      </c>
      <c r="L43" s="23" t="s">
        <v>510</v>
      </c>
      <c r="M43" s="23" t="s">
        <v>511</v>
      </c>
      <c r="N43" s="25">
        <v>45931</v>
      </c>
      <c r="O43" s="27" t="s">
        <v>546</v>
      </c>
      <c r="P43" s="27"/>
      <c r="Q43" s="27"/>
      <c r="R43" s="27"/>
      <c r="S43" s="23" t="s">
        <v>508</v>
      </c>
      <c r="T43" s="27" t="str">
        <f>CONCATENATE(S43,8)</f>
        <v>00001056213A8</v>
      </c>
      <c r="U43" s="23" t="s">
        <v>590</v>
      </c>
      <c r="V43" s="27" t="s">
        <v>591</v>
      </c>
      <c r="W43" t="str">
        <f t="shared" si="4"/>
        <v>DESIREE LUNDVALL</v>
      </c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spans="1:42" x14ac:dyDescent="0.2">
      <c r="A44" s="6" t="s">
        <v>527</v>
      </c>
      <c r="B44" s="7">
        <v>19278370</v>
      </c>
      <c r="C44" s="6" t="s">
        <v>528</v>
      </c>
      <c r="D44" s="8">
        <v>9031083620</v>
      </c>
      <c r="E44" s="9">
        <v>45962</v>
      </c>
      <c r="F44" s="6" t="s">
        <v>69</v>
      </c>
      <c r="G44" s="6" t="s">
        <v>488</v>
      </c>
      <c r="H44" s="6" t="s">
        <v>46</v>
      </c>
      <c r="I44" s="10">
        <v>10</v>
      </c>
      <c r="J44" s="10">
        <v>108.97</v>
      </c>
      <c r="K44" s="10">
        <v>10.9</v>
      </c>
      <c r="L44" s="6" t="s">
        <v>489</v>
      </c>
      <c r="M44" s="6" t="s">
        <v>490</v>
      </c>
      <c r="N44" s="9">
        <v>45902</v>
      </c>
      <c r="O44" s="11" t="s">
        <v>534</v>
      </c>
      <c r="P44" s="11"/>
      <c r="Q44" s="11"/>
      <c r="R44" s="11"/>
      <c r="S44" s="8">
        <v>9031083620</v>
      </c>
      <c r="T44" s="11" t="str">
        <f>CONCATENATE(S44,4)</f>
        <v>90310836204</v>
      </c>
      <c r="U44" s="6" t="s">
        <v>606</v>
      </c>
      <c r="V44" s="11" t="s">
        <v>607</v>
      </c>
      <c r="W44" t="str">
        <f t="shared" si="4"/>
        <v>Devon Swasey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spans="1:42" x14ac:dyDescent="0.2">
      <c r="A45" s="6" t="s">
        <v>527</v>
      </c>
      <c r="B45" s="7">
        <v>19278370</v>
      </c>
      <c r="C45" s="6" t="s">
        <v>528</v>
      </c>
      <c r="D45" s="8">
        <v>9031083070</v>
      </c>
      <c r="E45" s="9">
        <v>45962</v>
      </c>
      <c r="F45" s="6" t="s">
        <v>69</v>
      </c>
      <c r="G45" s="6" t="s">
        <v>483</v>
      </c>
      <c r="H45" s="6" t="s">
        <v>46</v>
      </c>
      <c r="I45" s="10">
        <v>10</v>
      </c>
      <c r="J45" s="10">
        <v>23.99</v>
      </c>
      <c r="K45" s="10">
        <v>2.4</v>
      </c>
      <c r="L45" s="6" t="s">
        <v>489</v>
      </c>
      <c r="M45" s="6" t="s">
        <v>490</v>
      </c>
      <c r="N45" s="9">
        <v>45902</v>
      </c>
      <c r="O45" s="11" t="s">
        <v>534</v>
      </c>
      <c r="P45" s="11"/>
      <c r="Q45" s="11"/>
      <c r="R45" s="11"/>
      <c r="S45" s="8">
        <v>9031083070</v>
      </c>
      <c r="T45" s="11" t="str">
        <f>CONCATENATE(S45,4)</f>
        <v>90310830704</v>
      </c>
      <c r="U45" s="6" t="s">
        <v>606</v>
      </c>
      <c r="V45" s="11" t="s">
        <v>607</v>
      </c>
      <c r="W45" t="str">
        <f t="shared" si="4"/>
        <v>Devon Swasey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</row>
    <row r="46" spans="1:42" x14ac:dyDescent="0.2">
      <c r="A46" s="4" t="s">
        <v>277</v>
      </c>
      <c r="B46" s="2">
        <v>16509456</v>
      </c>
      <c r="C46" s="4" t="s">
        <v>278</v>
      </c>
      <c r="D46" s="4" t="s">
        <v>279</v>
      </c>
      <c r="E46" s="3">
        <v>45931</v>
      </c>
      <c r="F46" s="4" t="s">
        <v>60</v>
      </c>
      <c r="G46" s="4" t="s">
        <v>51</v>
      </c>
      <c r="H46" s="4" t="s">
        <v>62</v>
      </c>
      <c r="I46" s="5">
        <v>1</v>
      </c>
      <c r="J46" s="5">
        <v>1</v>
      </c>
      <c r="K46" s="5">
        <v>26.08</v>
      </c>
      <c r="L46" s="4" t="s">
        <v>63</v>
      </c>
      <c r="M46" s="4" t="s">
        <v>64</v>
      </c>
      <c r="N46" s="3">
        <v>45139</v>
      </c>
      <c r="O46" t="s">
        <v>537</v>
      </c>
      <c r="P46" s="29" t="s">
        <v>541</v>
      </c>
      <c r="S46" s="4" t="s">
        <v>279</v>
      </c>
      <c r="T46" t="str">
        <f t="shared" ref="T46:T51" si="5">CONCATENATE(S46,6)</f>
        <v>00020589444K6</v>
      </c>
      <c r="U46" s="4" t="s">
        <v>747</v>
      </c>
      <c r="V46" t="s">
        <v>748</v>
      </c>
      <c r="W46" t="str">
        <f t="shared" si="4"/>
        <v>DIANA PRYCE</v>
      </c>
    </row>
    <row r="47" spans="1:42" x14ac:dyDescent="0.2">
      <c r="A47" s="4" t="s">
        <v>261</v>
      </c>
      <c r="B47" s="2">
        <v>16633294</v>
      </c>
      <c r="C47" s="4" t="s">
        <v>272</v>
      </c>
      <c r="D47" s="4" t="s">
        <v>273</v>
      </c>
      <c r="E47" s="3">
        <v>45931</v>
      </c>
      <c r="F47" s="4" t="s">
        <v>60</v>
      </c>
      <c r="G47" s="4" t="s">
        <v>51</v>
      </c>
      <c r="H47" s="4" t="s">
        <v>52</v>
      </c>
      <c r="I47" s="5">
        <v>1</v>
      </c>
      <c r="J47" s="5">
        <v>1</v>
      </c>
      <c r="K47" s="5">
        <v>26.08</v>
      </c>
      <c r="L47" s="4" t="s">
        <v>63</v>
      </c>
      <c r="M47" s="4" t="s">
        <v>64</v>
      </c>
      <c r="N47" s="3">
        <v>45627</v>
      </c>
      <c r="O47" t="s">
        <v>537</v>
      </c>
      <c r="P47" s="29" t="s">
        <v>541</v>
      </c>
      <c r="S47" s="4" t="s">
        <v>273</v>
      </c>
      <c r="T47" t="str">
        <f t="shared" si="5"/>
        <v>00022688863K6</v>
      </c>
      <c r="U47" s="4" t="s">
        <v>861</v>
      </c>
      <c r="V47" t="s">
        <v>862</v>
      </c>
      <c r="W47" t="str">
        <f t="shared" si="4"/>
        <v>DOLORES DUNCAN</v>
      </c>
    </row>
    <row r="48" spans="1:42" x14ac:dyDescent="0.2">
      <c r="A48" s="4" t="s">
        <v>42</v>
      </c>
      <c r="B48" s="2">
        <v>371819</v>
      </c>
      <c r="C48" s="4" t="s">
        <v>58</v>
      </c>
      <c r="D48" s="4" t="s">
        <v>59</v>
      </c>
      <c r="E48" s="3">
        <v>45931</v>
      </c>
      <c r="F48" s="4" t="s">
        <v>60</v>
      </c>
      <c r="G48" s="4" t="s">
        <v>51</v>
      </c>
      <c r="H48" s="4" t="s">
        <v>62</v>
      </c>
      <c r="I48" s="5">
        <v>1</v>
      </c>
      <c r="J48" s="5">
        <v>1</v>
      </c>
      <c r="K48" s="5">
        <v>26.08</v>
      </c>
      <c r="L48" s="4" t="s">
        <v>63</v>
      </c>
      <c r="M48" s="4" t="s">
        <v>64</v>
      </c>
      <c r="N48" s="3">
        <v>45627</v>
      </c>
      <c r="O48" t="s">
        <v>537</v>
      </c>
      <c r="P48" s="29" t="s">
        <v>541</v>
      </c>
      <c r="S48" s="4" t="s">
        <v>59</v>
      </c>
      <c r="T48" t="str">
        <f t="shared" si="5"/>
        <v>00022517390K6</v>
      </c>
      <c r="U48" s="4" t="s">
        <v>714</v>
      </c>
      <c r="V48" t="s">
        <v>715</v>
      </c>
      <c r="W48" t="str">
        <f t="shared" si="4"/>
        <v>DONARIA CARVALHO</v>
      </c>
    </row>
    <row r="49" spans="1:42" x14ac:dyDescent="0.2">
      <c r="A49" s="4" t="s">
        <v>243</v>
      </c>
      <c r="B49" s="2">
        <v>9079571</v>
      </c>
      <c r="C49" s="4" t="s">
        <v>250</v>
      </c>
      <c r="D49" s="4" t="s">
        <v>251</v>
      </c>
      <c r="E49" s="3">
        <v>45931</v>
      </c>
      <c r="F49" s="4" t="s">
        <v>60</v>
      </c>
      <c r="G49" s="4" t="s">
        <v>51</v>
      </c>
      <c r="H49" s="4" t="s">
        <v>52</v>
      </c>
      <c r="I49" s="5">
        <v>1</v>
      </c>
      <c r="J49" s="5">
        <v>1</v>
      </c>
      <c r="K49" s="5">
        <v>26.08</v>
      </c>
      <c r="L49" s="4" t="s">
        <v>63</v>
      </c>
      <c r="M49" s="4" t="s">
        <v>64</v>
      </c>
      <c r="N49" s="3">
        <v>45170</v>
      </c>
      <c r="O49" t="s">
        <v>537</v>
      </c>
      <c r="P49" s="29" t="s">
        <v>541</v>
      </c>
      <c r="S49" s="4" t="s">
        <v>251</v>
      </c>
      <c r="T49" t="str">
        <f t="shared" si="5"/>
        <v>00020649688K6</v>
      </c>
      <c r="U49" s="4" t="s">
        <v>739</v>
      </c>
      <c r="V49" t="s">
        <v>675</v>
      </c>
      <c r="W49" t="str">
        <f t="shared" si="4"/>
        <v>DONNA CHASE</v>
      </c>
    </row>
    <row r="50" spans="1:42" x14ac:dyDescent="0.2">
      <c r="A50" s="4" t="s">
        <v>188</v>
      </c>
      <c r="B50" s="2">
        <v>7146581</v>
      </c>
      <c r="C50" s="4" t="s">
        <v>197</v>
      </c>
      <c r="D50" s="4" t="s">
        <v>198</v>
      </c>
      <c r="E50" s="3">
        <v>45931</v>
      </c>
      <c r="F50" s="4" t="s">
        <v>60</v>
      </c>
      <c r="G50" s="4" t="s">
        <v>51</v>
      </c>
      <c r="H50" s="4" t="s">
        <v>52</v>
      </c>
      <c r="I50" s="5">
        <v>1</v>
      </c>
      <c r="J50" s="5">
        <v>1</v>
      </c>
      <c r="K50" s="5">
        <v>26.08</v>
      </c>
      <c r="L50" s="4" t="s">
        <v>63</v>
      </c>
      <c r="M50" s="4" t="s">
        <v>64</v>
      </c>
      <c r="N50" s="3">
        <v>45536</v>
      </c>
      <c r="O50" t="s">
        <v>537</v>
      </c>
      <c r="P50" s="29" t="s">
        <v>541</v>
      </c>
      <c r="S50" s="4" t="s">
        <v>198</v>
      </c>
      <c r="T50" t="str">
        <f t="shared" si="5"/>
        <v>00021938762K6</v>
      </c>
      <c r="U50" s="4" t="s">
        <v>682</v>
      </c>
      <c r="V50" t="s">
        <v>675</v>
      </c>
      <c r="W50" t="str">
        <f t="shared" si="4"/>
        <v>DONNA CHILDS</v>
      </c>
    </row>
    <row r="51" spans="1:42" x14ac:dyDescent="0.2">
      <c r="A51" s="4" t="s">
        <v>70</v>
      </c>
      <c r="B51" s="2">
        <v>2158366</v>
      </c>
      <c r="C51" s="4" t="s">
        <v>71</v>
      </c>
      <c r="D51" s="4" t="s">
        <v>72</v>
      </c>
      <c r="E51" s="3">
        <v>45931</v>
      </c>
      <c r="F51" s="4" t="s">
        <v>60</v>
      </c>
      <c r="G51" s="4" t="s">
        <v>51</v>
      </c>
      <c r="H51" s="4" t="s">
        <v>62</v>
      </c>
      <c r="I51" s="5">
        <v>1</v>
      </c>
      <c r="J51" s="5">
        <v>1</v>
      </c>
      <c r="K51" s="5">
        <v>26.08</v>
      </c>
      <c r="L51" s="4" t="s">
        <v>63</v>
      </c>
      <c r="M51" s="4" t="s">
        <v>64</v>
      </c>
      <c r="N51" s="3">
        <v>45627</v>
      </c>
      <c r="O51" t="s">
        <v>537</v>
      </c>
      <c r="P51" s="29" t="s">
        <v>541</v>
      </c>
      <c r="S51" s="4" t="s">
        <v>72</v>
      </c>
      <c r="T51" t="str">
        <f t="shared" si="5"/>
        <v>00022413863K6</v>
      </c>
      <c r="U51" s="4" t="s">
        <v>674</v>
      </c>
      <c r="V51" t="s">
        <v>675</v>
      </c>
      <c r="W51" t="str">
        <f t="shared" si="4"/>
        <v>DONNA DRUCKER</v>
      </c>
    </row>
    <row r="52" spans="1:42" x14ac:dyDescent="0.2">
      <c r="A52" s="18" t="s">
        <v>470</v>
      </c>
      <c r="B52" s="19">
        <v>21104854</v>
      </c>
      <c r="C52" s="18" t="s">
        <v>471</v>
      </c>
      <c r="D52" s="18" t="s">
        <v>472</v>
      </c>
      <c r="E52" s="20">
        <v>45962</v>
      </c>
      <c r="F52" s="18" t="s">
        <v>69</v>
      </c>
      <c r="G52" s="18" t="s">
        <v>51</v>
      </c>
      <c r="H52" s="18" t="s">
        <v>362</v>
      </c>
      <c r="I52" s="21">
        <v>0.17</v>
      </c>
      <c r="J52" s="21">
        <v>9.17</v>
      </c>
      <c r="K52" s="21">
        <v>9.17</v>
      </c>
      <c r="L52" s="18" t="s">
        <v>56</v>
      </c>
      <c r="M52" s="18" t="s">
        <v>57</v>
      </c>
      <c r="N52" s="20">
        <v>45962</v>
      </c>
      <c r="O52" s="22" t="s">
        <v>536</v>
      </c>
      <c r="P52" s="22"/>
      <c r="Q52" s="22"/>
      <c r="R52" s="22"/>
      <c r="S52" s="18" t="s">
        <v>472</v>
      </c>
      <c r="T52" s="22" t="str">
        <f>CONCATENATE(S52,9)</f>
        <v>00023792365K9</v>
      </c>
      <c r="U52" s="18" t="s">
        <v>552</v>
      </c>
      <c r="V52" s="22" t="s">
        <v>675</v>
      </c>
      <c r="W52" t="str">
        <f t="shared" si="4"/>
        <v>DONNA WILLIAMS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spans="1:42" x14ac:dyDescent="0.2">
      <c r="A53" s="4" t="s">
        <v>305</v>
      </c>
      <c r="B53" s="2">
        <v>17301495</v>
      </c>
      <c r="C53" s="4" t="s">
        <v>306</v>
      </c>
      <c r="D53" s="4" t="s">
        <v>307</v>
      </c>
      <c r="E53" s="3">
        <v>45931</v>
      </c>
      <c r="F53" s="4" t="s">
        <v>60</v>
      </c>
      <c r="G53" s="4" t="s">
        <v>51</v>
      </c>
      <c r="H53" s="4" t="s">
        <v>52</v>
      </c>
      <c r="I53" s="5">
        <v>1</v>
      </c>
      <c r="J53" s="5">
        <v>1</v>
      </c>
      <c r="K53" s="5">
        <v>26.08</v>
      </c>
      <c r="L53" s="4" t="s">
        <v>63</v>
      </c>
      <c r="M53" s="4" t="s">
        <v>64</v>
      </c>
      <c r="N53" s="3">
        <v>45536</v>
      </c>
      <c r="O53" t="s">
        <v>537</v>
      </c>
      <c r="P53" s="29" t="s">
        <v>541</v>
      </c>
      <c r="S53" s="4" t="s">
        <v>307</v>
      </c>
      <c r="T53" t="str">
        <f>CONCATENATE(S53,6)</f>
        <v>00001672119K6</v>
      </c>
      <c r="U53" s="4" t="s">
        <v>665</v>
      </c>
      <c r="V53" t="s">
        <v>666</v>
      </c>
      <c r="W53" t="str">
        <f t="shared" si="4"/>
        <v>DONNIE HAMILTON</v>
      </c>
    </row>
    <row r="54" spans="1:42" x14ac:dyDescent="0.2">
      <c r="A54" s="4" t="s">
        <v>288</v>
      </c>
      <c r="B54" s="2">
        <v>17126004</v>
      </c>
      <c r="C54" s="4" t="s">
        <v>301</v>
      </c>
      <c r="D54" s="4" t="s">
        <v>302</v>
      </c>
      <c r="E54" s="3">
        <v>45931</v>
      </c>
      <c r="F54" s="4" t="s">
        <v>60</v>
      </c>
      <c r="G54" s="4" t="s">
        <v>51</v>
      </c>
      <c r="H54" s="4" t="s">
        <v>52</v>
      </c>
      <c r="I54" s="5">
        <v>1</v>
      </c>
      <c r="J54" s="5">
        <v>1</v>
      </c>
      <c r="K54" s="5">
        <v>26.08</v>
      </c>
      <c r="L54" s="4" t="s">
        <v>63</v>
      </c>
      <c r="M54" s="4" t="s">
        <v>64</v>
      </c>
      <c r="N54" s="3">
        <v>45627</v>
      </c>
      <c r="O54" t="s">
        <v>537</v>
      </c>
      <c r="P54" s="29" t="s">
        <v>541</v>
      </c>
      <c r="S54" s="4" t="s">
        <v>302</v>
      </c>
      <c r="T54" t="str">
        <f>CONCATENATE(S54,6)</f>
        <v>00022106958K6</v>
      </c>
      <c r="U54" s="4" t="s">
        <v>647</v>
      </c>
      <c r="V54" t="s">
        <v>648</v>
      </c>
      <c r="W54" t="str">
        <f t="shared" si="4"/>
        <v>DOREEN PUDLOWSKI</v>
      </c>
    </row>
    <row r="55" spans="1:42" x14ac:dyDescent="0.2">
      <c r="A55" s="4" t="s">
        <v>74</v>
      </c>
      <c r="B55" s="2">
        <v>8814784</v>
      </c>
      <c r="C55" s="4" t="s">
        <v>77</v>
      </c>
      <c r="D55" s="4" t="s">
        <v>78</v>
      </c>
      <c r="E55" s="3">
        <v>45931</v>
      </c>
      <c r="F55" s="4" t="s">
        <v>60</v>
      </c>
      <c r="G55" s="4" t="s">
        <v>51</v>
      </c>
      <c r="H55" s="4" t="s">
        <v>62</v>
      </c>
      <c r="I55" s="5">
        <v>1</v>
      </c>
      <c r="J55" s="5">
        <v>1</v>
      </c>
      <c r="K55" s="5">
        <v>26.08</v>
      </c>
      <c r="L55" s="4" t="s">
        <v>63</v>
      </c>
      <c r="M55" s="4" t="s">
        <v>64</v>
      </c>
      <c r="N55" s="3">
        <v>45566</v>
      </c>
      <c r="O55" t="s">
        <v>537</v>
      </c>
      <c r="P55" s="29" t="s">
        <v>541</v>
      </c>
      <c r="S55" s="4" t="s">
        <v>78</v>
      </c>
      <c r="T55" t="str">
        <f>CONCATENATE(S55,6)</f>
        <v>00022107554K6</v>
      </c>
      <c r="U55" s="4" t="s">
        <v>704</v>
      </c>
      <c r="V55" t="s">
        <v>705</v>
      </c>
      <c r="W55" t="str">
        <f t="shared" si="4"/>
        <v>DRAGISA PAVLOVIC</v>
      </c>
    </row>
    <row r="56" spans="1:42" x14ac:dyDescent="0.2">
      <c r="A56" s="4" t="s">
        <v>342</v>
      </c>
      <c r="B56" s="2">
        <v>9213293</v>
      </c>
      <c r="C56" s="4" t="s">
        <v>353</v>
      </c>
      <c r="D56" s="4" t="s">
        <v>354</v>
      </c>
      <c r="E56" s="3">
        <v>45931</v>
      </c>
      <c r="F56" s="4" t="s">
        <v>60</v>
      </c>
      <c r="G56" s="4" t="s">
        <v>51</v>
      </c>
      <c r="H56" s="4" t="s">
        <v>52</v>
      </c>
      <c r="I56" s="5">
        <v>1</v>
      </c>
      <c r="J56" s="5">
        <v>1</v>
      </c>
      <c r="K56" s="5">
        <v>26.08</v>
      </c>
      <c r="L56" s="4" t="s">
        <v>63</v>
      </c>
      <c r="M56" s="4" t="s">
        <v>64</v>
      </c>
      <c r="N56" s="3">
        <v>45505</v>
      </c>
      <c r="O56" t="s">
        <v>537</v>
      </c>
      <c r="P56" s="29" t="s">
        <v>541</v>
      </c>
      <c r="S56" s="4" t="s">
        <v>354</v>
      </c>
      <c r="T56" t="str">
        <f>CONCATENATE(S56,6)</f>
        <v>00021921861K6</v>
      </c>
      <c r="U56" s="4" t="s">
        <v>726</v>
      </c>
      <c r="V56" t="s">
        <v>728</v>
      </c>
      <c r="W56" t="str">
        <f t="shared" si="4"/>
        <v>EDITA VALENZUELA</v>
      </c>
    </row>
    <row r="57" spans="1:42" x14ac:dyDescent="0.2">
      <c r="A57" s="4" t="s">
        <v>428</v>
      </c>
      <c r="B57" s="2">
        <v>19481808</v>
      </c>
      <c r="C57" s="4" t="s">
        <v>429</v>
      </c>
      <c r="D57" s="4" t="s">
        <v>430</v>
      </c>
      <c r="E57" s="3">
        <v>45931</v>
      </c>
      <c r="F57" s="4" t="s">
        <v>60</v>
      </c>
      <c r="G57" s="4" t="s">
        <v>51</v>
      </c>
      <c r="H57" s="4" t="s">
        <v>52</v>
      </c>
      <c r="I57" s="5">
        <v>1</v>
      </c>
      <c r="J57" s="5">
        <v>1</v>
      </c>
      <c r="K57" s="5">
        <v>26.08</v>
      </c>
      <c r="L57" s="4" t="s">
        <v>63</v>
      </c>
      <c r="M57" s="4" t="s">
        <v>64</v>
      </c>
      <c r="N57" s="3">
        <v>45505</v>
      </c>
      <c r="O57" t="s">
        <v>537</v>
      </c>
      <c r="P57" s="29" t="s">
        <v>541</v>
      </c>
      <c r="S57" s="4" t="s">
        <v>430</v>
      </c>
      <c r="T57" t="str">
        <f>CONCATENATE(S57,6)</f>
        <v>00021942365K6</v>
      </c>
      <c r="U57" s="4" t="s">
        <v>847</v>
      </c>
      <c r="V57" t="s">
        <v>848</v>
      </c>
      <c r="W57" t="str">
        <f t="shared" si="4"/>
        <v>EDWARD RYAN</v>
      </c>
    </row>
    <row r="58" spans="1:42" x14ac:dyDescent="0.2">
      <c r="A58" s="6" t="s">
        <v>520</v>
      </c>
      <c r="B58" s="32" t="s">
        <v>549</v>
      </c>
      <c r="C58" s="6" t="s">
        <v>521</v>
      </c>
      <c r="D58" s="8">
        <v>9031265700</v>
      </c>
      <c r="E58" s="9">
        <v>45931</v>
      </c>
      <c r="F58" s="6" t="s">
        <v>60</v>
      </c>
      <c r="G58" s="6" t="s">
        <v>483</v>
      </c>
      <c r="H58" s="6" t="s">
        <v>46</v>
      </c>
      <c r="I58" s="10">
        <v>15</v>
      </c>
      <c r="J58" s="10">
        <v>369.5</v>
      </c>
      <c r="K58" s="10">
        <v>36.950000000000003</v>
      </c>
      <c r="L58" s="6" t="s">
        <v>489</v>
      </c>
      <c r="M58" s="6" t="s">
        <v>490</v>
      </c>
      <c r="N58" s="9">
        <v>45945</v>
      </c>
      <c r="O58" s="11" t="s">
        <v>534</v>
      </c>
      <c r="P58" s="11"/>
      <c r="Q58" s="11"/>
      <c r="R58" s="11"/>
      <c r="S58" s="8">
        <v>9031265700</v>
      </c>
      <c r="T58" s="11" t="str">
        <f>CONCATENATE(S58,4)</f>
        <v>90312657004</v>
      </c>
      <c r="U58" s="6" t="s">
        <v>608</v>
      </c>
      <c r="V58" s="11" t="s">
        <v>609</v>
      </c>
      <c r="W58" t="str">
        <f t="shared" si="4"/>
        <v>Edward Sloan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spans="1:42" x14ac:dyDescent="0.2">
      <c r="A59" s="4" t="s">
        <v>364</v>
      </c>
      <c r="B59" s="2">
        <v>18794740</v>
      </c>
      <c r="C59" s="4" t="s">
        <v>369</v>
      </c>
      <c r="D59" s="4" t="s">
        <v>370</v>
      </c>
      <c r="E59" s="3">
        <v>45931</v>
      </c>
      <c r="F59" s="4" t="s">
        <v>60</v>
      </c>
      <c r="G59" s="4" t="s">
        <v>51</v>
      </c>
      <c r="H59" s="4" t="s">
        <v>52</v>
      </c>
      <c r="I59" s="5">
        <v>1</v>
      </c>
      <c r="J59" s="5">
        <v>1</v>
      </c>
      <c r="K59" s="5">
        <v>26.08</v>
      </c>
      <c r="L59" s="4" t="s">
        <v>63</v>
      </c>
      <c r="M59" s="4" t="s">
        <v>64</v>
      </c>
      <c r="N59" s="3">
        <v>45292</v>
      </c>
      <c r="O59" t="s">
        <v>537</v>
      </c>
      <c r="P59" s="29" t="s">
        <v>541</v>
      </c>
      <c r="S59" s="4" t="s">
        <v>370</v>
      </c>
      <c r="T59" t="str">
        <f>CONCATENATE(S59,6)</f>
        <v>00021335415K6</v>
      </c>
      <c r="U59" s="4" t="s">
        <v>708</v>
      </c>
      <c r="V59" t="s">
        <v>709</v>
      </c>
      <c r="W59" t="str">
        <f t="shared" si="4"/>
        <v>EILEEN REED</v>
      </c>
    </row>
    <row r="60" spans="1:42" x14ac:dyDescent="0.2">
      <c r="A60" s="4" t="s">
        <v>261</v>
      </c>
      <c r="B60" s="2">
        <v>16633294</v>
      </c>
      <c r="C60" s="4" t="s">
        <v>266</v>
      </c>
      <c r="D60" s="4" t="s">
        <v>267</v>
      </c>
      <c r="E60" s="3">
        <v>45931</v>
      </c>
      <c r="F60" s="4" t="s">
        <v>60</v>
      </c>
      <c r="G60" s="4" t="s">
        <v>51</v>
      </c>
      <c r="H60" s="4" t="s">
        <v>52</v>
      </c>
      <c r="I60" s="5">
        <v>1</v>
      </c>
      <c r="J60" s="5">
        <v>1</v>
      </c>
      <c r="K60" s="5">
        <v>26.08</v>
      </c>
      <c r="L60" s="4" t="s">
        <v>63</v>
      </c>
      <c r="M60" s="4" t="s">
        <v>64</v>
      </c>
      <c r="N60" s="3">
        <v>45597</v>
      </c>
      <c r="O60" t="s">
        <v>537</v>
      </c>
      <c r="P60" s="29" t="s">
        <v>541</v>
      </c>
      <c r="S60" s="4" t="s">
        <v>267</v>
      </c>
      <c r="T60" t="str">
        <f>CONCATENATE(S60,6)</f>
        <v>00022085271K6</v>
      </c>
      <c r="U60" s="4" t="s">
        <v>855</v>
      </c>
      <c r="V60" t="s">
        <v>856</v>
      </c>
      <c r="W60" t="str">
        <f t="shared" si="4"/>
        <v>ELLEN SHAKER</v>
      </c>
    </row>
    <row r="61" spans="1:42" x14ac:dyDescent="0.2">
      <c r="A61" s="18" t="s">
        <v>382</v>
      </c>
      <c r="B61" s="19">
        <v>5442438</v>
      </c>
      <c r="C61" s="18" t="s">
        <v>385</v>
      </c>
      <c r="D61" s="18" t="s">
        <v>386</v>
      </c>
      <c r="E61" s="20">
        <v>45962</v>
      </c>
      <c r="F61" s="18" t="s">
        <v>69</v>
      </c>
      <c r="G61" s="18" t="s">
        <v>51</v>
      </c>
      <c r="H61" s="18" t="s">
        <v>362</v>
      </c>
      <c r="I61" s="21">
        <v>0.17</v>
      </c>
      <c r="J61" s="21">
        <v>9.17</v>
      </c>
      <c r="K61" s="21">
        <v>9.17</v>
      </c>
      <c r="L61" s="18" t="s">
        <v>56</v>
      </c>
      <c r="M61" s="18" t="s">
        <v>57</v>
      </c>
      <c r="N61" s="20">
        <v>45962</v>
      </c>
      <c r="O61" s="22" t="s">
        <v>536</v>
      </c>
      <c r="P61" s="22"/>
      <c r="Q61" s="22"/>
      <c r="R61" s="22"/>
      <c r="S61" s="18" t="s">
        <v>386</v>
      </c>
      <c r="T61" s="22" t="str">
        <f>CONCATENATE(S61,9)</f>
        <v>00023791377K9</v>
      </c>
      <c r="U61" s="18" t="s">
        <v>865</v>
      </c>
      <c r="V61" s="22" t="s">
        <v>787</v>
      </c>
      <c r="W61" t="str">
        <f t="shared" si="4"/>
        <v>ERIC KATCHMAR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spans="1:42" x14ac:dyDescent="0.2">
      <c r="A62" s="4" t="s">
        <v>89</v>
      </c>
      <c r="B62" s="2">
        <v>8307933</v>
      </c>
      <c r="C62" s="4" t="s">
        <v>117</v>
      </c>
      <c r="D62" s="4" t="s">
        <v>118</v>
      </c>
      <c r="E62" s="3">
        <v>45931</v>
      </c>
      <c r="F62" s="4" t="s">
        <v>60</v>
      </c>
      <c r="G62" s="4" t="s">
        <v>51</v>
      </c>
      <c r="H62" s="4" t="s">
        <v>52</v>
      </c>
      <c r="I62" s="5">
        <v>1</v>
      </c>
      <c r="J62" s="5">
        <v>1</v>
      </c>
      <c r="K62" s="5">
        <v>26.08</v>
      </c>
      <c r="L62" s="4" t="s">
        <v>63</v>
      </c>
      <c r="M62" s="4" t="s">
        <v>64</v>
      </c>
      <c r="N62" s="3">
        <v>45139</v>
      </c>
      <c r="O62" t="s">
        <v>537</v>
      </c>
      <c r="P62" s="29" t="s">
        <v>541</v>
      </c>
      <c r="S62" s="4" t="s">
        <v>118</v>
      </c>
      <c r="T62" t="str">
        <f>CONCATENATE(S62,6)</f>
        <v>00020575930K6</v>
      </c>
      <c r="U62" s="4" t="s">
        <v>786</v>
      </c>
      <c r="V62" t="s">
        <v>787</v>
      </c>
      <c r="W62" t="str">
        <f t="shared" si="4"/>
        <v>ERIC SHULTZ</v>
      </c>
    </row>
    <row r="63" spans="1:42" x14ac:dyDescent="0.2">
      <c r="A63" s="18" t="s">
        <v>342</v>
      </c>
      <c r="B63" s="19">
        <v>9213293</v>
      </c>
      <c r="C63" s="18" t="s">
        <v>359</v>
      </c>
      <c r="D63" s="18" t="s">
        <v>360</v>
      </c>
      <c r="E63" s="20">
        <v>45992</v>
      </c>
      <c r="F63" s="18" t="s">
        <v>88</v>
      </c>
      <c r="G63" s="18" t="s">
        <v>51</v>
      </c>
      <c r="H63" s="18" t="s">
        <v>362</v>
      </c>
      <c r="I63" s="21">
        <v>0.08</v>
      </c>
      <c r="J63" s="21">
        <v>4.58</v>
      </c>
      <c r="K63" s="21">
        <v>4.58</v>
      </c>
      <c r="L63" s="18" t="s">
        <v>56</v>
      </c>
      <c r="M63" s="18" t="s">
        <v>57</v>
      </c>
      <c r="N63" s="20">
        <v>45992</v>
      </c>
      <c r="O63" s="22" t="s">
        <v>536</v>
      </c>
      <c r="P63" s="22"/>
      <c r="Q63" s="22"/>
      <c r="R63" s="22"/>
      <c r="S63" s="18" t="s">
        <v>360</v>
      </c>
      <c r="T63" s="22" t="str">
        <f>CONCATENATE(S63,9)</f>
        <v>00023795390K9</v>
      </c>
      <c r="U63" s="18" t="s">
        <v>783</v>
      </c>
      <c r="V63" s="22" t="s">
        <v>866</v>
      </c>
      <c r="W63" t="str">
        <f t="shared" si="4"/>
        <v>ERIK JOHNSON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spans="1:42" x14ac:dyDescent="0.2">
      <c r="A64" s="4" t="s">
        <v>459</v>
      </c>
      <c r="B64" s="2">
        <v>19645587</v>
      </c>
      <c r="C64" s="4" t="s">
        <v>462</v>
      </c>
      <c r="D64" s="4" t="s">
        <v>463</v>
      </c>
      <c r="E64" s="3">
        <v>45931</v>
      </c>
      <c r="F64" s="4" t="s">
        <v>60</v>
      </c>
      <c r="G64" s="4" t="s">
        <v>51</v>
      </c>
      <c r="H64" s="4" t="s">
        <v>62</v>
      </c>
      <c r="I64" s="5">
        <v>1</v>
      </c>
      <c r="J64" s="5">
        <v>1</v>
      </c>
      <c r="K64" s="5">
        <v>26.08</v>
      </c>
      <c r="L64" s="4" t="s">
        <v>63</v>
      </c>
      <c r="M64" s="4" t="s">
        <v>64</v>
      </c>
      <c r="N64" s="3">
        <v>45597</v>
      </c>
      <c r="O64" t="s">
        <v>537</v>
      </c>
      <c r="P64" s="29" t="s">
        <v>541</v>
      </c>
      <c r="S64" s="4" t="s">
        <v>463</v>
      </c>
      <c r="T64" t="str">
        <f t="shared" ref="T64:T73" si="6">CONCATENATE(S64,6)</f>
        <v>00022256745K6</v>
      </c>
      <c r="U64" s="4" t="s">
        <v>734</v>
      </c>
      <c r="V64" t="s">
        <v>713</v>
      </c>
      <c r="W64" t="str">
        <f t="shared" si="4"/>
        <v>EUGENE JACKSON</v>
      </c>
    </row>
    <row r="65" spans="1:42" x14ac:dyDescent="0.2">
      <c r="A65" s="4" t="s">
        <v>89</v>
      </c>
      <c r="B65" s="2">
        <v>8307933</v>
      </c>
      <c r="C65" s="4" t="s">
        <v>168</v>
      </c>
      <c r="D65" s="4" t="s">
        <v>169</v>
      </c>
      <c r="E65" s="3">
        <v>45931</v>
      </c>
      <c r="F65" s="4" t="s">
        <v>60</v>
      </c>
      <c r="G65" s="4" t="s">
        <v>51</v>
      </c>
      <c r="H65" s="4" t="s">
        <v>52</v>
      </c>
      <c r="I65" s="5">
        <v>1</v>
      </c>
      <c r="J65" s="5">
        <v>1</v>
      </c>
      <c r="K65" s="5">
        <v>26.08</v>
      </c>
      <c r="L65" s="4" t="s">
        <v>63</v>
      </c>
      <c r="M65" s="4" t="s">
        <v>64</v>
      </c>
      <c r="N65" s="3">
        <v>45444</v>
      </c>
      <c r="O65" t="s">
        <v>537</v>
      </c>
      <c r="P65" s="29" t="s">
        <v>541</v>
      </c>
      <c r="S65" s="4" t="s">
        <v>169</v>
      </c>
      <c r="T65" t="str">
        <f t="shared" si="6"/>
        <v>00021778915K6</v>
      </c>
      <c r="U65" s="4" t="s">
        <v>816</v>
      </c>
      <c r="V65" t="s">
        <v>713</v>
      </c>
      <c r="W65" t="str">
        <f t="shared" si="4"/>
        <v>EUGENE PAYNE</v>
      </c>
    </row>
    <row r="66" spans="1:42" x14ac:dyDescent="0.2">
      <c r="A66" s="4" t="s">
        <v>474</v>
      </c>
      <c r="B66" s="2">
        <v>21646325</v>
      </c>
      <c r="C66" s="4" t="s">
        <v>475</v>
      </c>
      <c r="D66" s="4" t="s">
        <v>476</v>
      </c>
      <c r="E66" s="3">
        <v>45962</v>
      </c>
      <c r="F66" s="4" t="s">
        <v>69</v>
      </c>
      <c r="G66" s="4" t="s">
        <v>51</v>
      </c>
      <c r="H66" s="4" t="s">
        <v>52</v>
      </c>
      <c r="I66" s="5">
        <v>0.17</v>
      </c>
      <c r="J66" s="5">
        <v>1</v>
      </c>
      <c r="K66" s="5">
        <v>52.17</v>
      </c>
      <c r="L66" s="4" t="s">
        <v>56</v>
      </c>
      <c r="M66" s="4" t="s">
        <v>57</v>
      </c>
      <c r="N66" s="3">
        <v>45962</v>
      </c>
      <c r="O66" t="s">
        <v>537</v>
      </c>
      <c r="P66" s="29" t="s">
        <v>540</v>
      </c>
      <c r="S66" s="4" t="s">
        <v>476</v>
      </c>
      <c r="T66" t="str">
        <f t="shared" si="6"/>
        <v>00023798933K6</v>
      </c>
      <c r="U66" s="4" t="s">
        <v>712</v>
      </c>
      <c r="V66" t="s">
        <v>713</v>
      </c>
      <c r="W66" t="str">
        <f t="shared" ref="W66:W97" si="7">CONCATENATE(V66, " ",U66)</f>
        <v>EUGENE PLICHOWSKI</v>
      </c>
    </row>
    <row r="67" spans="1:42" x14ac:dyDescent="0.2">
      <c r="A67" s="4" t="s">
        <v>388</v>
      </c>
      <c r="B67" s="2">
        <v>19396223</v>
      </c>
      <c r="C67" s="4" t="s">
        <v>391</v>
      </c>
      <c r="D67" s="4" t="s">
        <v>392</v>
      </c>
      <c r="E67" s="3">
        <v>45931</v>
      </c>
      <c r="F67" s="4" t="s">
        <v>60</v>
      </c>
      <c r="G67" s="4" t="s">
        <v>51</v>
      </c>
      <c r="H67" s="4" t="s">
        <v>62</v>
      </c>
      <c r="I67" s="5">
        <v>1</v>
      </c>
      <c r="J67" s="5">
        <v>1</v>
      </c>
      <c r="K67" s="5">
        <v>26.08</v>
      </c>
      <c r="L67" s="4" t="s">
        <v>63</v>
      </c>
      <c r="M67" s="4" t="s">
        <v>64</v>
      </c>
      <c r="N67" s="3">
        <v>45566</v>
      </c>
      <c r="O67" t="s">
        <v>537</v>
      </c>
      <c r="P67" s="29" t="s">
        <v>541</v>
      </c>
      <c r="S67" s="4" t="s">
        <v>392</v>
      </c>
      <c r="T67" t="str">
        <f t="shared" si="6"/>
        <v>00022063091K6</v>
      </c>
      <c r="U67" s="4" t="s">
        <v>622</v>
      </c>
      <c r="V67" t="s">
        <v>623</v>
      </c>
      <c r="W67" t="str">
        <f t="shared" si="7"/>
        <v>FARZANA AKRAM</v>
      </c>
    </row>
    <row r="68" spans="1:42" x14ac:dyDescent="0.2">
      <c r="A68" s="4" t="s">
        <v>288</v>
      </c>
      <c r="B68" s="2">
        <v>17126004</v>
      </c>
      <c r="C68" s="4" t="s">
        <v>291</v>
      </c>
      <c r="D68" s="4" t="s">
        <v>292</v>
      </c>
      <c r="E68" s="3">
        <v>45931</v>
      </c>
      <c r="F68" s="4" t="s">
        <v>60</v>
      </c>
      <c r="G68" s="4" t="s">
        <v>51</v>
      </c>
      <c r="H68" s="4" t="s">
        <v>52</v>
      </c>
      <c r="I68" s="5">
        <v>1</v>
      </c>
      <c r="J68" s="5">
        <v>1</v>
      </c>
      <c r="K68" s="5">
        <v>26.08</v>
      </c>
      <c r="L68" s="4" t="s">
        <v>63</v>
      </c>
      <c r="M68" s="4" t="s">
        <v>64</v>
      </c>
      <c r="N68" s="3">
        <v>45474</v>
      </c>
      <c r="O68" t="s">
        <v>537</v>
      </c>
      <c r="P68" s="29" t="s">
        <v>541</v>
      </c>
      <c r="S68" s="4" t="s">
        <v>292</v>
      </c>
      <c r="T68" t="str">
        <f t="shared" si="6"/>
        <v>00021892187K6</v>
      </c>
      <c r="U68" s="4" t="s">
        <v>637</v>
      </c>
      <c r="V68" t="s">
        <v>638</v>
      </c>
      <c r="W68" t="str">
        <f t="shared" si="7"/>
        <v>FRANK SCARDINA</v>
      </c>
    </row>
    <row r="69" spans="1:42" x14ac:dyDescent="0.2">
      <c r="A69" s="4" t="s">
        <v>188</v>
      </c>
      <c r="B69" s="2">
        <v>7146581</v>
      </c>
      <c r="C69" s="4" t="s">
        <v>203</v>
      </c>
      <c r="D69" s="4" t="s">
        <v>204</v>
      </c>
      <c r="E69" s="3">
        <v>45931</v>
      </c>
      <c r="F69" s="4" t="s">
        <v>60</v>
      </c>
      <c r="G69" s="4" t="s">
        <v>51</v>
      </c>
      <c r="H69" s="4" t="s">
        <v>52</v>
      </c>
      <c r="I69" s="5">
        <v>1</v>
      </c>
      <c r="J69" s="5">
        <v>1</v>
      </c>
      <c r="K69" s="5">
        <v>26.08</v>
      </c>
      <c r="L69" s="4" t="s">
        <v>63</v>
      </c>
      <c r="M69" s="4" t="s">
        <v>64</v>
      </c>
      <c r="N69" s="3">
        <v>45566</v>
      </c>
      <c r="O69" t="s">
        <v>537</v>
      </c>
      <c r="P69" s="29" t="s">
        <v>541</v>
      </c>
      <c r="S69" s="4" t="s">
        <v>204</v>
      </c>
      <c r="T69" t="str">
        <f t="shared" si="6"/>
        <v>00022021737K6</v>
      </c>
      <c r="U69" s="4" t="s">
        <v>686</v>
      </c>
      <c r="V69" t="s">
        <v>687</v>
      </c>
      <c r="W69" t="str">
        <f t="shared" si="7"/>
        <v>GAITSCH CHADDERDON</v>
      </c>
    </row>
    <row r="70" spans="1:42" x14ac:dyDescent="0.2">
      <c r="A70" s="4" t="s">
        <v>89</v>
      </c>
      <c r="B70" s="2">
        <v>8307933</v>
      </c>
      <c r="C70" s="4" t="s">
        <v>172</v>
      </c>
      <c r="D70" s="4" t="s">
        <v>173</v>
      </c>
      <c r="E70" s="3">
        <v>45931</v>
      </c>
      <c r="F70" s="4" t="s">
        <v>60</v>
      </c>
      <c r="G70" s="4" t="s">
        <v>51</v>
      </c>
      <c r="H70" s="4" t="s">
        <v>52</v>
      </c>
      <c r="I70" s="5">
        <v>1</v>
      </c>
      <c r="J70" s="5">
        <v>1</v>
      </c>
      <c r="K70" s="5">
        <v>26.08</v>
      </c>
      <c r="L70" s="4" t="s">
        <v>63</v>
      </c>
      <c r="M70" s="4" t="s">
        <v>64</v>
      </c>
      <c r="N70" s="3">
        <v>45597</v>
      </c>
      <c r="O70" t="s">
        <v>537</v>
      </c>
      <c r="P70" s="29" t="s">
        <v>541</v>
      </c>
      <c r="S70" s="4" t="s">
        <v>173</v>
      </c>
      <c r="T70" t="str">
        <f t="shared" si="6"/>
        <v>00021999707K6</v>
      </c>
      <c r="U70" s="4" t="s">
        <v>819</v>
      </c>
      <c r="V70" t="s">
        <v>820</v>
      </c>
      <c r="W70" t="str">
        <f t="shared" si="7"/>
        <v>GAY BAKKER</v>
      </c>
    </row>
    <row r="71" spans="1:42" x14ac:dyDescent="0.2">
      <c r="A71" s="4" t="s">
        <v>364</v>
      </c>
      <c r="B71" s="2">
        <v>18794740</v>
      </c>
      <c r="C71" s="4" t="s">
        <v>365</v>
      </c>
      <c r="D71" s="4" t="s">
        <v>366</v>
      </c>
      <c r="E71" s="3">
        <v>45931</v>
      </c>
      <c r="F71" s="4" t="s">
        <v>60</v>
      </c>
      <c r="G71" s="4" t="s">
        <v>51</v>
      </c>
      <c r="H71" s="4" t="s">
        <v>367</v>
      </c>
      <c r="I71" s="5">
        <v>1</v>
      </c>
      <c r="J71" s="5">
        <v>1</v>
      </c>
      <c r="K71" s="5">
        <v>29.41</v>
      </c>
      <c r="L71" s="4" t="s">
        <v>63</v>
      </c>
      <c r="M71" s="4" t="s">
        <v>64</v>
      </c>
      <c r="N71" s="3">
        <v>45292</v>
      </c>
      <c r="O71" t="s">
        <v>542</v>
      </c>
      <c r="P71" s="29" t="s">
        <v>543</v>
      </c>
      <c r="S71" s="4" t="s">
        <v>366</v>
      </c>
      <c r="T71" t="str">
        <f t="shared" si="6"/>
        <v>00000854688H6</v>
      </c>
      <c r="U71" s="4" t="s">
        <v>584</v>
      </c>
      <c r="V71" t="s">
        <v>585</v>
      </c>
      <c r="W71" t="str">
        <f t="shared" si="7"/>
        <v>GEORGINE DAVIDHEISER</v>
      </c>
    </row>
    <row r="72" spans="1:42" x14ac:dyDescent="0.2">
      <c r="A72" s="4" t="s">
        <v>188</v>
      </c>
      <c r="B72" s="2">
        <v>7146581</v>
      </c>
      <c r="C72" s="4" t="s">
        <v>189</v>
      </c>
      <c r="D72" s="4" t="s">
        <v>190</v>
      </c>
      <c r="E72" s="3">
        <v>45931</v>
      </c>
      <c r="F72" s="4" t="s">
        <v>60</v>
      </c>
      <c r="G72" s="4" t="s">
        <v>51</v>
      </c>
      <c r="H72" s="4" t="s">
        <v>52</v>
      </c>
      <c r="I72" s="5">
        <v>1</v>
      </c>
      <c r="J72" s="5">
        <v>1</v>
      </c>
      <c r="K72" s="5">
        <v>26.08</v>
      </c>
      <c r="L72" s="4" t="s">
        <v>63</v>
      </c>
      <c r="M72" s="4" t="s">
        <v>64</v>
      </c>
      <c r="N72" s="3">
        <v>45505</v>
      </c>
      <c r="O72" t="s">
        <v>537</v>
      </c>
      <c r="P72" s="29" t="s">
        <v>541</v>
      </c>
      <c r="S72" s="4" t="s">
        <v>190</v>
      </c>
      <c r="T72" t="str">
        <f t="shared" si="6"/>
        <v>00010066661K6</v>
      </c>
      <c r="U72" s="4" t="s">
        <v>676</v>
      </c>
      <c r="V72" t="s">
        <v>677</v>
      </c>
      <c r="W72" t="str">
        <f t="shared" si="7"/>
        <v>GERRI WALTHERS</v>
      </c>
    </row>
    <row r="73" spans="1:42" x14ac:dyDescent="0.2">
      <c r="A73" s="4" t="s">
        <v>342</v>
      </c>
      <c r="B73" s="2">
        <v>9213293</v>
      </c>
      <c r="C73" s="4" t="s">
        <v>351</v>
      </c>
      <c r="D73" s="4" t="s">
        <v>352</v>
      </c>
      <c r="E73" s="3">
        <v>45931</v>
      </c>
      <c r="F73" s="4" t="s">
        <v>60</v>
      </c>
      <c r="G73" s="4" t="s">
        <v>51</v>
      </c>
      <c r="H73" s="4" t="s">
        <v>52</v>
      </c>
      <c r="I73" s="5">
        <v>1</v>
      </c>
      <c r="J73" s="5">
        <v>1</v>
      </c>
      <c r="K73" s="5">
        <v>26.08</v>
      </c>
      <c r="L73" s="4" t="s">
        <v>63</v>
      </c>
      <c r="M73" s="4" t="s">
        <v>64</v>
      </c>
      <c r="N73" s="3">
        <v>45505</v>
      </c>
      <c r="O73" t="s">
        <v>537</v>
      </c>
      <c r="P73" s="29" t="s">
        <v>541</v>
      </c>
      <c r="S73" s="4" t="s">
        <v>352</v>
      </c>
      <c r="T73" t="str">
        <f t="shared" si="6"/>
        <v>00021920643K6</v>
      </c>
      <c r="U73" s="4" t="s">
        <v>726</v>
      </c>
      <c r="V73" t="s">
        <v>727</v>
      </c>
      <c r="W73" t="str">
        <f t="shared" si="7"/>
        <v>GIL VALENZUELA</v>
      </c>
    </row>
    <row r="74" spans="1:42" x14ac:dyDescent="0.2">
      <c r="A74" s="12" t="s">
        <v>261</v>
      </c>
      <c r="B74" s="13">
        <v>16633294</v>
      </c>
      <c r="C74" s="12" t="s">
        <v>503</v>
      </c>
      <c r="D74" s="14">
        <v>419885</v>
      </c>
      <c r="E74" s="15">
        <v>45901</v>
      </c>
      <c r="F74" s="12" t="s">
        <v>505</v>
      </c>
      <c r="G74" s="12" t="s">
        <v>488</v>
      </c>
      <c r="H74" s="12" t="s">
        <v>46</v>
      </c>
      <c r="I74" s="16">
        <v>10</v>
      </c>
      <c r="J74" s="16">
        <v>102.05</v>
      </c>
      <c r="K74" s="16">
        <v>10.210000000000001</v>
      </c>
      <c r="L74" s="12" t="s">
        <v>56</v>
      </c>
      <c r="M74" s="12" t="s">
        <v>57</v>
      </c>
      <c r="N74" s="15">
        <v>45839</v>
      </c>
      <c r="O74" s="17" t="s">
        <v>535</v>
      </c>
      <c r="P74" s="17"/>
      <c r="Q74" s="17"/>
      <c r="R74" s="17"/>
      <c r="S74" s="14">
        <v>419885</v>
      </c>
      <c r="T74" s="17" t="str">
        <f>CONCATENATE(S74,7)</f>
        <v>4198857</v>
      </c>
      <c r="U74" s="12" t="s">
        <v>619</v>
      </c>
      <c r="V74" s="17" t="s">
        <v>620</v>
      </c>
      <c r="W74" s="12" t="s">
        <v>503</v>
      </c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</row>
    <row r="75" spans="1:42" x14ac:dyDescent="0.2">
      <c r="A75" s="12" t="s">
        <v>261</v>
      </c>
      <c r="B75" s="13">
        <v>16633294</v>
      </c>
      <c r="C75" s="12" t="s">
        <v>503</v>
      </c>
      <c r="D75" s="14">
        <v>419885</v>
      </c>
      <c r="E75" s="15">
        <v>45931</v>
      </c>
      <c r="F75" s="12" t="s">
        <v>60</v>
      </c>
      <c r="G75" s="12" t="s">
        <v>488</v>
      </c>
      <c r="H75" s="12" t="s">
        <v>46</v>
      </c>
      <c r="I75" s="16">
        <v>10</v>
      </c>
      <c r="J75" s="16">
        <v>102.05</v>
      </c>
      <c r="K75" s="16">
        <v>10.210000000000001</v>
      </c>
      <c r="L75" s="12" t="s">
        <v>56</v>
      </c>
      <c r="M75" s="12" t="s">
        <v>57</v>
      </c>
      <c r="N75" s="15">
        <v>45839</v>
      </c>
      <c r="O75" s="17" t="s">
        <v>535</v>
      </c>
      <c r="P75" s="17"/>
      <c r="Q75" s="17"/>
      <c r="R75" s="17"/>
      <c r="S75" s="14">
        <v>419885</v>
      </c>
      <c r="T75" s="17" t="str">
        <f>CONCATENATE(S75,7)</f>
        <v>4198857</v>
      </c>
      <c r="U75" s="12" t="s">
        <v>619</v>
      </c>
      <c r="V75" s="17" t="s">
        <v>620</v>
      </c>
      <c r="W75" s="12" t="s">
        <v>503</v>
      </c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</row>
    <row r="76" spans="1:42" x14ac:dyDescent="0.2">
      <c r="A76" s="12" t="s">
        <v>261</v>
      </c>
      <c r="B76" s="13">
        <v>16633294</v>
      </c>
      <c r="C76" s="12" t="s">
        <v>503</v>
      </c>
      <c r="D76" s="14">
        <v>419885</v>
      </c>
      <c r="E76" s="15">
        <v>45870</v>
      </c>
      <c r="F76" s="12" t="s">
        <v>506</v>
      </c>
      <c r="G76" s="12" t="s">
        <v>483</v>
      </c>
      <c r="H76" s="12" t="s">
        <v>46</v>
      </c>
      <c r="I76" s="16">
        <v>10</v>
      </c>
      <c r="J76" s="16">
        <v>-11.94</v>
      </c>
      <c r="K76" s="16">
        <v>-1.19</v>
      </c>
      <c r="L76" s="12" t="s">
        <v>56</v>
      </c>
      <c r="M76" s="12" t="s">
        <v>57</v>
      </c>
      <c r="N76" s="15">
        <v>45839</v>
      </c>
      <c r="O76" s="17" t="s">
        <v>535</v>
      </c>
      <c r="P76" s="17"/>
      <c r="Q76" s="17"/>
      <c r="R76" s="17"/>
      <c r="S76" s="14">
        <v>419885</v>
      </c>
      <c r="T76" s="17" t="str">
        <f>CONCATENATE(S76,7)</f>
        <v>4198857</v>
      </c>
      <c r="U76" s="12" t="s">
        <v>619</v>
      </c>
      <c r="V76" s="17" t="s">
        <v>620</v>
      </c>
      <c r="W76" s="12" t="s">
        <v>503</v>
      </c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</row>
    <row r="77" spans="1:42" x14ac:dyDescent="0.2">
      <c r="A77" s="12" t="s">
        <v>261</v>
      </c>
      <c r="B77" s="13">
        <v>16633294</v>
      </c>
      <c r="C77" s="12" t="s">
        <v>503</v>
      </c>
      <c r="D77" s="14">
        <v>419885</v>
      </c>
      <c r="E77" s="15">
        <v>45901</v>
      </c>
      <c r="F77" s="12" t="s">
        <v>505</v>
      </c>
      <c r="G77" s="12" t="s">
        <v>483</v>
      </c>
      <c r="H77" s="12" t="s">
        <v>46</v>
      </c>
      <c r="I77" s="16">
        <v>10</v>
      </c>
      <c r="J77" s="16">
        <v>22.67</v>
      </c>
      <c r="K77" s="16">
        <v>2.27</v>
      </c>
      <c r="L77" s="12" t="s">
        <v>56</v>
      </c>
      <c r="M77" s="12" t="s">
        <v>57</v>
      </c>
      <c r="N77" s="15">
        <v>45839</v>
      </c>
      <c r="O77" s="17" t="s">
        <v>535</v>
      </c>
      <c r="P77" s="17"/>
      <c r="Q77" s="17"/>
      <c r="R77" s="17"/>
      <c r="S77" s="14">
        <v>419885</v>
      </c>
      <c r="T77" s="17" t="str">
        <f>CONCATENATE(S77,7)</f>
        <v>4198857</v>
      </c>
      <c r="U77" s="12" t="s">
        <v>619</v>
      </c>
      <c r="V77" s="17" t="s">
        <v>620</v>
      </c>
      <c r="W77" s="12" t="s">
        <v>503</v>
      </c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</row>
    <row r="78" spans="1:42" x14ac:dyDescent="0.2">
      <c r="A78" s="12" t="s">
        <v>261</v>
      </c>
      <c r="B78" s="13">
        <v>16633294</v>
      </c>
      <c r="C78" s="12" t="s">
        <v>503</v>
      </c>
      <c r="D78" s="14">
        <v>419885</v>
      </c>
      <c r="E78" s="15">
        <v>45931</v>
      </c>
      <c r="F78" s="12" t="s">
        <v>60</v>
      </c>
      <c r="G78" s="12" t="s">
        <v>483</v>
      </c>
      <c r="H78" s="12" t="s">
        <v>46</v>
      </c>
      <c r="I78" s="16">
        <v>10</v>
      </c>
      <c r="J78" s="16">
        <v>22.67</v>
      </c>
      <c r="K78" s="16">
        <v>2.27</v>
      </c>
      <c r="L78" s="12" t="s">
        <v>56</v>
      </c>
      <c r="M78" s="12" t="s">
        <v>57</v>
      </c>
      <c r="N78" s="15">
        <v>45839</v>
      </c>
      <c r="O78" s="17" t="s">
        <v>535</v>
      </c>
      <c r="P78" s="17"/>
      <c r="Q78" s="17"/>
      <c r="R78" s="17"/>
      <c r="S78" s="14">
        <v>419885</v>
      </c>
      <c r="T78" s="17" t="str">
        <f>CONCATENATE(S78,7)</f>
        <v>4198857</v>
      </c>
      <c r="U78" s="12" t="s">
        <v>619</v>
      </c>
      <c r="V78" s="17" t="s">
        <v>620</v>
      </c>
      <c r="W78" s="12" t="s">
        <v>503</v>
      </c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</row>
    <row r="79" spans="1:42" x14ac:dyDescent="0.2">
      <c r="A79" s="4" t="s">
        <v>388</v>
      </c>
      <c r="B79" s="2">
        <v>19396223</v>
      </c>
      <c r="C79" s="4" t="s">
        <v>406</v>
      </c>
      <c r="D79" s="4" t="s">
        <v>407</v>
      </c>
      <c r="E79" s="3">
        <v>45962</v>
      </c>
      <c r="F79" s="4" t="s">
        <v>69</v>
      </c>
      <c r="G79" s="4" t="s">
        <v>51</v>
      </c>
      <c r="H79" s="4" t="s">
        <v>52</v>
      </c>
      <c r="I79" s="5">
        <v>0.17</v>
      </c>
      <c r="J79" s="5">
        <v>1</v>
      </c>
      <c r="K79" s="5">
        <v>52.17</v>
      </c>
      <c r="L79" s="4" t="s">
        <v>56</v>
      </c>
      <c r="M79" s="4" t="s">
        <v>57</v>
      </c>
      <c r="N79" s="3">
        <v>45962</v>
      </c>
      <c r="O79" t="s">
        <v>537</v>
      </c>
      <c r="P79" s="29" t="s">
        <v>540</v>
      </c>
      <c r="S79" s="4" t="s">
        <v>407</v>
      </c>
      <c r="T79" t="str">
        <f t="shared" ref="T79:T105" si="8">CONCATENATE(S79,6)</f>
        <v>00023798959K6</v>
      </c>
      <c r="U79" s="4" t="s">
        <v>631</v>
      </c>
      <c r="V79" t="s">
        <v>632</v>
      </c>
      <c r="W79" t="str">
        <f t="shared" ref="W79:W105" si="9">CONCATENATE(V79, " ",U79)</f>
        <v>GRETCHEN HOWE</v>
      </c>
    </row>
    <row r="80" spans="1:42" x14ac:dyDescent="0.2">
      <c r="A80" s="4" t="s">
        <v>409</v>
      </c>
      <c r="B80" s="2">
        <v>19200754</v>
      </c>
      <c r="C80" s="4" t="s">
        <v>418</v>
      </c>
      <c r="D80" s="4" t="s">
        <v>419</v>
      </c>
      <c r="E80" s="3">
        <v>45931</v>
      </c>
      <c r="F80" s="4" t="s">
        <v>60</v>
      </c>
      <c r="G80" s="4" t="s">
        <v>51</v>
      </c>
      <c r="H80" s="4" t="s">
        <v>62</v>
      </c>
      <c r="I80" s="5">
        <v>1</v>
      </c>
      <c r="J80" s="5">
        <v>1</v>
      </c>
      <c r="K80" s="5">
        <v>26.08</v>
      </c>
      <c r="L80" s="4" t="s">
        <v>63</v>
      </c>
      <c r="M80" s="4" t="s">
        <v>64</v>
      </c>
      <c r="N80" s="3">
        <v>45566</v>
      </c>
      <c r="O80" t="s">
        <v>537</v>
      </c>
      <c r="P80" s="29" t="s">
        <v>541</v>
      </c>
      <c r="S80" s="4" t="s">
        <v>419</v>
      </c>
      <c r="T80" t="str">
        <f t="shared" si="8"/>
        <v>00022094990K6</v>
      </c>
      <c r="U80" s="4" t="s">
        <v>758</v>
      </c>
      <c r="V80" t="s">
        <v>759</v>
      </c>
      <c r="W80" t="str">
        <f t="shared" si="9"/>
        <v>HENRY ASEGA</v>
      </c>
    </row>
    <row r="81" spans="1:23" x14ac:dyDescent="0.2">
      <c r="A81" s="4" t="s">
        <v>431</v>
      </c>
      <c r="B81" s="2">
        <v>19586992</v>
      </c>
      <c r="C81" s="4" t="s">
        <v>436</v>
      </c>
      <c r="D81" s="4" t="s">
        <v>437</v>
      </c>
      <c r="E81" s="3">
        <v>45931</v>
      </c>
      <c r="F81" s="4" t="s">
        <v>60</v>
      </c>
      <c r="G81" s="4" t="s">
        <v>51</v>
      </c>
      <c r="H81" s="4" t="s">
        <v>62</v>
      </c>
      <c r="I81" s="5">
        <v>1</v>
      </c>
      <c r="J81" s="5">
        <v>1</v>
      </c>
      <c r="K81" s="5">
        <v>26.08</v>
      </c>
      <c r="L81" s="4" t="s">
        <v>63</v>
      </c>
      <c r="M81" s="4" t="s">
        <v>64</v>
      </c>
      <c r="N81" s="3">
        <v>45627</v>
      </c>
      <c r="O81" t="s">
        <v>537</v>
      </c>
      <c r="P81" s="29" t="s">
        <v>541</v>
      </c>
      <c r="S81" s="4" t="s">
        <v>437</v>
      </c>
      <c r="T81" t="str">
        <f t="shared" si="8"/>
        <v>00022698535K6</v>
      </c>
      <c r="U81" s="4" t="s">
        <v>765</v>
      </c>
      <c r="V81" t="s">
        <v>560</v>
      </c>
      <c r="W81" t="str">
        <f t="shared" si="9"/>
        <v>JAMES BECKWITH</v>
      </c>
    </row>
    <row r="82" spans="1:23" x14ac:dyDescent="0.2">
      <c r="A82" s="4" t="s">
        <v>89</v>
      </c>
      <c r="B82" s="2">
        <v>8307933</v>
      </c>
      <c r="C82" s="4" t="s">
        <v>146</v>
      </c>
      <c r="D82" s="4" t="s">
        <v>147</v>
      </c>
      <c r="E82" s="3">
        <v>45931</v>
      </c>
      <c r="F82" s="4" t="s">
        <v>60</v>
      </c>
      <c r="G82" s="4" t="s">
        <v>51</v>
      </c>
      <c r="H82" s="4" t="s">
        <v>52</v>
      </c>
      <c r="I82" s="5">
        <v>1</v>
      </c>
      <c r="J82" s="5">
        <v>1</v>
      </c>
      <c r="K82" s="5">
        <v>26.08</v>
      </c>
      <c r="L82" s="4" t="s">
        <v>63</v>
      </c>
      <c r="M82" s="4" t="s">
        <v>64</v>
      </c>
      <c r="N82" s="3">
        <v>45292</v>
      </c>
      <c r="O82" t="s">
        <v>537</v>
      </c>
      <c r="P82" s="29" t="s">
        <v>541</v>
      </c>
      <c r="S82" s="4" t="s">
        <v>147</v>
      </c>
      <c r="T82" t="str">
        <f t="shared" si="8"/>
        <v>00021357828K6</v>
      </c>
      <c r="U82" s="4" t="s">
        <v>801</v>
      </c>
      <c r="V82" t="s">
        <v>560</v>
      </c>
      <c r="W82" t="str">
        <f t="shared" si="9"/>
        <v>JAMES COLSON</v>
      </c>
    </row>
    <row r="83" spans="1:23" x14ac:dyDescent="0.2">
      <c r="A83" s="4" t="s">
        <v>431</v>
      </c>
      <c r="B83" s="2">
        <v>19586992</v>
      </c>
      <c r="C83" s="4" t="s">
        <v>434</v>
      </c>
      <c r="D83" s="4" t="s">
        <v>435</v>
      </c>
      <c r="E83" s="3">
        <v>45931</v>
      </c>
      <c r="F83" s="4" t="s">
        <v>60</v>
      </c>
      <c r="G83" s="4" t="s">
        <v>51</v>
      </c>
      <c r="H83" s="4" t="s">
        <v>62</v>
      </c>
      <c r="I83" s="5">
        <v>1</v>
      </c>
      <c r="J83" s="5">
        <v>1</v>
      </c>
      <c r="K83" s="5">
        <v>26.08</v>
      </c>
      <c r="L83" s="4" t="s">
        <v>63</v>
      </c>
      <c r="M83" s="4" t="s">
        <v>64</v>
      </c>
      <c r="N83" s="3">
        <v>45627</v>
      </c>
      <c r="O83" t="s">
        <v>537</v>
      </c>
      <c r="P83" s="29" t="s">
        <v>541</v>
      </c>
      <c r="S83" s="4" t="s">
        <v>435</v>
      </c>
      <c r="T83" t="str">
        <f t="shared" si="8"/>
        <v>00022674415K6</v>
      </c>
      <c r="U83" s="4" t="s">
        <v>764</v>
      </c>
      <c r="V83" t="s">
        <v>560</v>
      </c>
      <c r="W83" t="str">
        <f t="shared" si="9"/>
        <v>JAMES HARBACEK</v>
      </c>
    </row>
    <row r="84" spans="1:23" x14ac:dyDescent="0.2">
      <c r="A84" s="4" t="s">
        <v>89</v>
      </c>
      <c r="B84" s="2">
        <v>8307933</v>
      </c>
      <c r="C84" s="4" t="s">
        <v>176</v>
      </c>
      <c r="D84" s="4" t="s">
        <v>177</v>
      </c>
      <c r="E84" s="3">
        <v>45931</v>
      </c>
      <c r="F84" s="4" t="s">
        <v>60</v>
      </c>
      <c r="G84" s="4" t="s">
        <v>51</v>
      </c>
      <c r="H84" s="4" t="s">
        <v>103</v>
      </c>
      <c r="I84" s="5">
        <v>1</v>
      </c>
      <c r="J84" s="5">
        <v>1</v>
      </c>
      <c r="K84" s="5">
        <v>26.08</v>
      </c>
      <c r="L84" s="4" t="s">
        <v>63</v>
      </c>
      <c r="M84" s="4" t="s">
        <v>64</v>
      </c>
      <c r="N84" s="3">
        <v>45627</v>
      </c>
      <c r="O84" t="s">
        <v>537</v>
      </c>
      <c r="P84" s="29" t="s">
        <v>541</v>
      </c>
      <c r="S84" s="4" t="s">
        <v>177</v>
      </c>
      <c r="T84" t="str">
        <f t="shared" si="8"/>
        <v>00022049020K6</v>
      </c>
      <c r="U84" s="4" t="s">
        <v>840</v>
      </c>
      <c r="V84" t="s">
        <v>560</v>
      </c>
      <c r="W84" t="str">
        <f t="shared" si="9"/>
        <v>JAMES HILBURN</v>
      </c>
    </row>
    <row r="85" spans="1:23" x14ac:dyDescent="0.2">
      <c r="A85" s="4" t="s">
        <v>467</v>
      </c>
      <c r="B85" s="2">
        <v>8971826</v>
      </c>
      <c r="C85" s="4" t="s">
        <v>468</v>
      </c>
      <c r="D85" s="4" t="s">
        <v>469</v>
      </c>
      <c r="E85" s="3">
        <v>45931</v>
      </c>
      <c r="F85" s="4" t="s">
        <v>60</v>
      </c>
      <c r="G85" s="4" t="s">
        <v>51</v>
      </c>
      <c r="H85" s="4" t="s">
        <v>62</v>
      </c>
      <c r="I85" s="5">
        <v>1</v>
      </c>
      <c r="J85" s="5">
        <v>1</v>
      </c>
      <c r="K85" s="5">
        <v>29.41</v>
      </c>
      <c r="L85" s="4" t="s">
        <v>63</v>
      </c>
      <c r="M85" s="4" t="s">
        <v>64</v>
      </c>
      <c r="N85" s="3">
        <v>45292</v>
      </c>
      <c r="O85" t="s">
        <v>542</v>
      </c>
      <c r="P85" s="29" t="s">
        <v>543</v>
      </c>
      <c r="S85" s="4" t="s">
        <v>469</v>
      </c>
      <c r="T85" t="str">
        <f t="shared" si="8"/>
        <v>00021023598K6</v>
      </c>
      <c r="U85" s="4" t="s">
        <v>559</v>
      </c>
      <c r="V85" t="s">
        <v>560</v>
      </c>
      <c r="W85" t="str">
        <f t="shared" si="9"/>
        <v>JAMES MCBRIDE</v>
      </c>
    </row>
    <row r="86" spans="1:23" x14ac:dyDescent="0.2">
      <c r="A86" s="4" t="s">
        <v>89</v>
      </c>
      <c r="B86" s="2">
        <v>8307933</v>
      </c>
      <c r="C86" s="4" t="s">
        <v>126</v>
      </c>
      <c r="D86" s="4" t="s">
        <v>127</v>
      </c>
      <c r="E86" s="3">
        <v>45931</v>
      </c>
      <c r="F86" s="4" t="s">
        <v>60</v>
      </c>
      <c r="G86" s="4" t="s">
        <v>51</v>
      </c>
      <c r="H86" s="4" t="s">
        <v>52</v>
      </c>
      <c r="I86" s="5">
        <v>1</v>
      </c>
      <c r="J86" s="5">
        <v>1</v>
      </c>
      <c r="K86" s="5">
        <v>26.08</v>
      </c>
      <c r="L86" s="4" t="s">
        <v>63</v>
      </c>
      <c r="M86" s="4" t="s">
        <v>64</v>
      </c>
      <c r="N86" s="3">
        <v>45200</v>
      </c>
      <c r="O86" t="s">
        <v>537</v>
      </c>
      <c r="P86" s="29" t="s">
        <v>541</v>
      </c>
      <c r="S86" s="4" t="s">
        <v>127</v>
      </c>
      <c r="T86" t="str">
        <f t="shared" si="8"/>
        <v>00020708049K6</v>
      </c>
      <c r="U86" s="4" t="s">
        <v>793</v>
      </c>
      <c r="V86" t="s">
        <v>794</v>
      </c>
      <c r="W86" t="str">
        <f t="shared" si="9"/>
        <v>JANET KALCSICS</v>
      </c>
    </row>
    <row r="87" spans="1:23" x14ac:dyDescent="0.2">
      <c r="A87" s="4" t="s">
        <v>89</v>
      </c>
      <c r="B87" s="2">
        <v>8307933</v>
      </c>
      <c r="C87" s="4" t="s">
        <v>101</v>
      </c>
      <c r="D87" s="4" t="s">
        <v>102</v>
      </c>
      <c r="E87" s="3">
        <v>45931</v>
      </c>
      <c r="F87" s="4" t="s">
        <v>60</v>
      </c>
      <c r="G87" s="4" t="s">
        <v>51</v>
      </c>
      <c r="H87" s="4" t="s">
        <v>103</v>
      </c>
      <c r="I87" s="5">
        <v>1</v>
      </c>
      <c r="J87" s="5">
        <v>1</v>
      </c>
      <c r="K87" s="5">
        <v>26.08</v>
      </c>
      <c r="L87" s="4" t="s">
        <v>63</v>
      </c>
      <c r="M87" s="4" t="s">
        <v>64</v>
      </c>
      <c r="N87" s="3">
        <v>45108</v>
      </c>
      <c r="O87" t="s">
        <v>537</v>
      </c>
      <c r="P87" s="29" t="s">
        <v>541</v>
      </c>
      <c r="S87" s="4" t="s">
        <v>102</v>
      </c>
      <c r="T87" t="str">
        <f t="shared" si="8"/>
        <v>00020366906K6</v>
      </c>
      <c r="U87" s="4" t="s">
        <v>836</v>
      </c>
      <c r="V87" t="s">
        <v>837</v>
      </c>
      <c r="W87" t="str">
        <f t="shared" si="9"/>
        <v>JEFFREY KINKAID</v>
      </c>
    </row>
    <row r="88" spans="1:23" x14ac:dyDescent="0.2">
      <c r="A88" s="4" t="s">
        <v>243</v>
      </c>
      <c r="B88" s="2">
        <v>9079571</v>
      </c>
      <c r="C88" s="4" t="s">
        <v>256</v>
      </c>
      <c r="D88" s="4" t="s">
        <v>257</v>
      </c>
      <c r="E88" s="3">
        <v>45931</v>
      </c>
      <c r="F88" s="4" t="s">
        <v>60</v>
      </c>
      <c r="G88" s="4" t="s">
        <v>51</v>
      </c>
      <c r="H88" s="4" t="s">
        <v>52</v>
      </c>
      <c r="I88" s="5">
        <v>1</v>
      </c>
      <c r="J88" s="5">
        <v>1</v>
      </c>
      <c r="K88" s="5">
        <v>26.08</v>
      </c>
      <c r="L88" s="4" t="s">
        <v>63</v>
      </c>
      <c r="M88" s="4" t="s">
        <v>64</v>
      </c>
      <c r="N88" s="3">
        <v>45261</v>
      </c>
      <c r="O88" t="s">
        <v>537</v>
      </c>
      <c r="P88" s="29" t="s">
        <v>541</v>
      </c>
      <c r="S88" s="4" t="s">
        <v>257</v>
      </c>
      <c r="T88" t="str">
        <f t="shared" si="8"/>
        <v>00020992055K6</v>
      </c>
      <c r="U88" s="4" t="s">
        <v>741</v>
      </c>
      <c r="V88" t="s">
        <v>742</v>
      </c>
      <c r="W88" t="str">
        <f t="shared" si="9"/>
        <v>JOANNE TERESZCUK</v>
      </c>
    </row>
    <row r="89" spans="1:23" x14ac:dyDescent="0.2">
      <c r="A89" s="4" t="s">
        <v>318</v>
      </c>
      <c r="B89" s="2">
        <v>17528908</v>
      </c>
      <c r="C89" s="4" t="s">
        <v>321</v>
      </c>
      <c r="D89" s="4" t="s">
        <v>322</v>
      </c>
      <c r="E89" s="3">
        <v>45931</v>
      </c>
      <c r="F89" s="4" t="s">
        <v>60</v>
      </c>
      <c r="G89" s="4" t="s">
        <v>51</v>
      </c>
      <c r="H89" s="4" t="s">
        <v>52</v>
      </c>
      <c r="I89" s="5">
        <v>1</v>
      </c>
      <c r="J89" s="5">
        <v>1</v>
      </c>
      <c r="K89" s="5">
        <v>29.41</v>
      </c>
      <c r="L89" s="4" t="s">
        <v>63</v>
      </c>
      <c r="M89" s="4" t="s">
        <v>64</v>
      </c>
      <c r="N89" s="3">
        <v>45292</v>
      </c>
      <c r="O89" t="s">
        <v>542</v>
      </c>
      <c r="P89" s="29" t="s">
        <v>543</v>
      </c>
      <c r="S89" s="4" t="s">
        <v>322</v>
      </c>
      <c r="T89" t="str">
        <f t="shared" si="8"/>
        <v>00010536959K6</v>
      </c>
      <c r="U89" s="4" t="s">
        <v>571</v>
      </c>
      <c r="V89" t="s">
        <v>572</v>
      </c>
      <c r="W89" t="str">
        <f t="shared" si="9"/>
        <v>JOCELYN MONACELLI</v>
      </c>
    </row>
    <row r="90" spans="1:23" x14ac:dyDescent="0.2">
      <c r="A90" s="4" t="s">
        <v>89</v>
      </c>
      <c r="B90" s="2">
        <v>8307933</v>
      </c>
      <c r="C90" s="4" t="s">
        <v>119</v>
      </c>
      <c r="D90" s="4" t="s">
        <v>120</v>
      </c>
      <c r="E90" s="3">
        <v>45931</v>
      </c>
      <c r="F90" s="4" t="s">
        <v>60</v>
      </c>
      <c r="G90" s="4" t="s">
        <v>51</v>
      </c>
      <c r="H90" s="4" t="s">
        <v>52</v>
      </c>
      <c r="I90" s="5">
        <v>1</v>
      </c>
      <c r="J90" s="5">
        <v>1</v>
      </c>
      <c r="K90" s="5">
        <v>26.08</v>
      </c>
      <c r="L90" s="4" t="s">
        <v>63</v>
      </c>
      <c r="M90" s="4" t="s">
        <v>64</v>
      </c>
      <c r="N90" s="3">
        <v>45292</v>
      </c>
      <c r="O90" t="s">
        <v>537</v>
      </c>
      <c r="P90" s="29" t="s">
        <v>541</v>
      </c>
      <c r="S90" s="4" t="s">
        <v>120</v>
      </c>
      <c r="T90" t="str">
        <f t="shared" si="8"/>
        <v>00020589807K6</v>
      </c>
      <c r="U90" s="4" t="s">
        <v>788</v>
      </c>
      <c r="V90" t="s">
        <v>789</v>
      </c>
      <c r="W90" t="str">
        <f t="shared" si="9"/>
        <v>JODY BOYD</v>
      </c>
    </row>
    <row r="91" spans="1:23" x14ac:dyDescent="0.2">
      <c r="A91" s="4" t="s">
        <v>82</v>
      </c>
      <c r="B91" s="2">
        <v>7470776</v>
      </c>
      <c r="C91" s="4" t="s">
        <v>83</v>
      </c>
      <c r="D91" s="4" t="s">
        <v>84</v>
      </c>
      <c r="E91" s="3">
        <v>45931</v>
      </c>
      <c r="F91" s="4" t="s">
        <v>60</v>
      </c>
      <c r="G91" s="4" t="s">
        <v>51</v>
      </c>
      <c r="H91" s="4" t="s">
        <v>52</v>
      </c>
      <c r="I91" s="5">
        <v>1</v>
      </c>
      <c r="J91" s="5">
        <v>1</v>
      </c>
      <c r="K91" s="5">
        <v>26.08</v>
      </c>
      <c r="L91" s="4" t="s">
        <v>63</v>
      </c>
      <c r="M91" s="4" t="s">
        <v>64</v>
      </c>
      <c r="N91" s="3">
        <v>45627</v>
      </c>
      <c r="O91" t="s">
        <v>537</v>
      </c>
      <c r="P91" s="29" t="s">
        <v>541</v>
      </c>
      <c r="S91" s="4" t="s">
        <v>84</v>
      </c>
      <c r="T91" t="str">
        <f t="shared" si="8"/>
        <v>00022193283K6</v>
      </c>
      <c r="U91" s="4" t="s">
        <v>635</v>
      </c>
      <c r="V91" t="s">
        <v>550</v>
      </c>
      <c r="W91" t="str">
        <f t="shared" si="9"/>
        <v>JOHN MCGARY</v>
      </c>
    </row>
    <row r="92" spans="1:23" x14ac:dyDescent="0.2">
      <c r="A92" s="4" t="s">
        <v>89</v>
      </c>
      <c r="B92" s="2">
        <v>8307933</v>
      </c>
      <c r="C92" s="4" t="s">
        <v>140</v>
      </c>
      <c r="D92" s="4" t="s">
        <v>141</v>
      </c>
      <c r="E92" s="3">
        <v>45931</v>
      </c>
      <c r="F92" s="4" t="s">
        <v>60</v>
      </c>
      <c r="G92" s="4" t="s">
        <v>51</v>
      </c>
      <c r="H92" s="4" t="s">
        <v>52</v>
      </c>
      <c r="I92" s="5">
        <v>1</v>
      </c>
      <c r="J92" s="5">
        <v>1</v>
      </c>
      <c r="K92" s="5">
        <v>26.08</v>
      </c>
      <c r="L92" s="4" t="s">
        <v>63</v>
      </c>
      <c r="M92" s="4" t="s">
        <v>64</v>
      </c>
      <c r="N92" s="3">
        <v>45292</v>
      </c>
      <c r="O92" t="s">
        <v>537</v>
      </c>
      <c r="P92" s="29" t="s">
        <v>541</v>
      </c>
      <c r="S92" s="4" t="s">
        <v>141</v>
      </c>
      <c r="T92" t="str">
        <f t="shared" si="8"/>
        <v>00020971174K6</v>
      </c>
      <c r="U92" s="4" t="s">
        <v>697</v>
      </c>
      <c r="V92" t="s">
        <v>550</v>
      </c>
      <c r="W92" t="str">
        <f t="shared" si="9"/>
        <v>JOHN ROSS</v>
      </c>
    </row>
    <row r="93" spans="1:23" x14ac:dyDescent="0.2">
      <c r="A93" s="4" t="s">
        <v>409</v>
      </c>
      <c r="B93" s="2">
        <v>19200754</v>
      </c>
      <c r="C93" s="4" t="s">
        <v>416</v>
      </c>
      <c r="D93" s="4" t="s">
        <v>417</v>
      </c>
      <c r="E93" s="3">
        <v>45931</v>
      </c>
      <c r="F93" s="4" t="s">
        <v>60</v>
      </c>
      <c r="G93" s="4" t="s">
        <v>51</v>
      </c>
      <c r="H93" s="4" t="s">
        <v>62</v>
      </c>
      <c r="I93" s="5">
        <v>1</v>
      </c>
      <c r="J93" s="5">
        <v>1</v>
      </c>
      <c r="K93" s="5">
        <v>26.08</v>
      </c>
      <c r="L93" s="4" t="s">
        <v>63</v>
      </c>
      <c r="M93" s="4" t="s">
        <v>64</v>
      </c>
      <c r="N93" s="3">
        <v>45566</v>
      </c>
      <c r="O93" t="s">
        <v>537</v>
      </c>
      <c r="P93" s="29" t="s">
        <v>541</v>
      </c>
      <c r="S93" s="4" t="s">
        <v>417</v>
      </c>
      <c r="T93" t="str">
        <f t="shared" si="8"/>
        <v>00022092926K6</v>
      </c>
      <c r="U93" s="4" t="s">
        <v>757</v>
      </c>
      <c r="V93" t="s">
        <v>550</v>
      </c>
      <c r="W93" t="str">
        <f t="shared" si="9"/>
        <v>JOHN SMITH</v>
      </c>
    </row>
    <row r="94" spans="1:23" x14ac:dyDescent="0.2">
      <c r="A94" s="4" t="s">
        <v>318</v>
      </c>
      <c r="B94" s="2">
        <v>17528908</v>
      </c>
      <c r="C94" s="4" t="s">
        <v>323</v>
      </c>
      <c r="D94" s="4" t="s">
        <v>324</v>
      </c>
      <c r="E94" s="3">
        <v>45931</v>
      </c>
      <c r="F94" s="4" t="s">
        <v>60</v>
      </c>
      <c r="G94" s="4" t="s">
        <v>51</v>
      </c>
      <c r="H94" s="4" t="s">
        <v>52</v>
      </c>
      <c r="I94" s="5">
        <v>1</v>
      </c>
      <c r="J94" s="5">
        <v>1</v>
      </c>
      <c r="K94" s="5">
        <v>29.41</v>
      </c>
      <c r="L94" s="4" t="s">
        <v>63</v>
      </c>
      <c r="M94" s="4" t="s">
        <v>64</v>
      </c>
      <c r="N94" s="3">
        <v>45170</v>
      </c>
      <c r="O94" t="s">
        <v>542</v>
      </c>
      <c r="P94" s="29" t="s">
        <v>543</v>
      </c>
      <c r="S94" s="4" t="s">
        <v>324</v>
      </c>
      <c r="T94" t="str">
        <f t="shared" si="8"/>
        <v>00020676577K6</v>
      </c>
      <c r="U94" s="4" t="s">
        <v>573</v>
      </c>
      <c r="V94" t="s">
        <v>574</v>
      </c>
      <c r="W94" t="str">
        <f t="shared" si="9"/>
        <v>JOSEPH SABOL</v>
      </c>
    </row>
    <row r="95" spans="1:23" x14ac:dyDescent="0.2">
      <c r="A95" s="4" t="s">
        <v>342</v>
      </c>
      <c r="B95" s="2">
        <v>9213293</v>
      </c>
      <c r="C95" s="4" t="s">
        <v>357</v>
      </c>
      <c r="D95" s="4" t="s">
        <v>358</v>
      </c>
      <c r="E95" s="3">
        <v>45931</v>
      </c>
      <c r="F95" s="4" t="s">
        <v>60</v>
      </c>
      <c r="G95" s="4" t="s">
        <v>51</v>
      </c>
      <c r="H95" s="4" t="s">
        <v>62</v>
      </c>
      <c r="I95" s="5">
        <v>1</v>
      </c>
      <c r="J95" s="5">
        <v>1</v>
      </c>
      <c r="K95" s="5">
        <v>26.08</v>
      </c>
      <c r="L95" s="4" t="s">
        <v>63</v>
      </c>
      <c r="M95" s="4" t="s">
        <v>64</v>
      </c>
      <c r="N95" s="3">
        <v>45627</v>
      </c>
      <c r="O95" t="s">
        <v>537</v>
      </c>
      <c r="P95" s="29" t="s">
        <v>541</v>
      </c>
      <c r="S95" s="4" t="s">
        <v>358</v>
      </c>
      <c r="T95" t="str">
        <f t="shared" si="8"/>
        <v>00022646876K6</v>
      </c>
      <c r="U95" s="4" t="s">
        <v>616</v>
      </c>
      <c r="V95" t="s">
        <v>731</v>
      </c>
      <c r="W95" t="str">
        <f t="shared" si="9"/>
        <v>JUAN WILSON</v>
      </c>
    </row>
    <row r="96" spans="1:23" x14ac:dyDescent="0.2">
      <c r="A96" s="4" t="s">
        <v>89</v>
      </c>
      <c r="B96" s="2">
        <v>8307933</v>
      </c>
      <c r="C96" s="4" t="s">
        <v>96</v>
      </c>
      <c r="D96" s="4" t="s">
        <v>97</v>
      </c>
      <c r="E96" s="3">
        <v>45931</v>
      </c>
      <c r="F96" s="4" t="s">
        <v>60</v>
      </c>
      <c r="G96" s="4" t="s">
        <v>51</v>
      </c>
      <c r="H96" s="4" t="s">
        <v>52</v>
      </c>
      <c r="I96" s="5">
        <v>1</v>
      </c>
      <c r="J96" s="5">
        <v>1</v>
      </c>
      <c r="K96" s="5">
        <v>26.08</v>
      </c>
      <c r="L96" s="4" t="s">
        <v>63</v>
      </c>
      <c r="M96" s="4" t="s">
        <v>64</v>
      </c>
      <c r="N96" s="3">
        <v>45078</v>
      </c>
      <c r="O96" t="s">
        <v>537</v>
      </c>
      <c r="P96" s="29" t="s">
        <v>541</v>
      </c>
      <c r="S96" s="4" t="s">
        <v>97</v>
      </c>
      <c r="T96" t="str">
        <f t="shared" si="8"/>
        <v>00020347756K6</v>
      </c>
      <c r="U96" s="4" t="s">
        <v>778</v>
      </c>
      <c r="V96" t="s">
        <v>779</v>
      </c>
      <c r="W96" t="str">
        <f t="shared" si="9"/>
        <v>JUANA MCMULLIN</v>
      </c>
    </row>
    <row r="97" spans="1:42" x14ac:dyDescent="0.2">
      <c r="A97" s="4" t="s">
        <v>243</v>
      </c>
      <c r="B97" s="2">
        <v>9079571</v>
      </c>
      <c r="C97" s="4" t="s">
        <v>252</v>
      </c>
      <c r="D97" s="4" t="s">
        <v>253</v>
      </c>
      <c r="E97" s="3">
        <v>45931</v>
      </c>
      <c r="F97" s="4" t="s">
        <v>60</v>
      </c>
      <c r="G97" s="4" t="s">
        <v>51</v>
      </c>
      <c r="H97" s="4" t="s">
        <v>62</v>
      </c>
      <c r="I97" s="5">
        <v>1</v>
      </c>
      <c r="J97" s="5">
        <v>1</v>
      </c>
      <c r="K97" s="5">
        <v>26.08</v>
      </c>
      <c r="L97" s="4" t="s">
        <v>63</v>
      </c>
      <c r="M97" s="4" t="s">
        <v>64</v>
      </c>
      <c r="N97" s="3">
        <v>45170</v>
      </c>
      <c r="O97" t="s">
        <v>537</v>
      </c>
      <c r="P97" s="29" t="s">
        <v>541</v>
      </c>
      <c r="S97" s="4" t="s">
        <v>253</v>
      </c>
      <c r="T97" t="str">
        <f t="shared" si="8"/>
        <v>00020695105K6</v>
      </c>
      <c r="U97" s="4" t="s">
        <v>745</v>
      </c>
      <c r="V97" t="s">
        <v>746</v>
      </c>
      <c r="W97" t="str">
        <f t="shared" si="9"/>
        <v>JUDY WILKE</v>
      </c>
    </row>
    <row r="98" spans="1:42" x14ac:dyDescent="0.2">
      <c r="A98" s="4" t="s">
        <v>438</v>
      </c>
      <c r="B98" s="2">
        <v>19681796</v>
      </c>
      <c r="C98" s="4" t="s">
        <v>439</v>
      </c>
      <c r="D98" s="4" t="s">
        <v>440</v>
      </c>
      <c r="E98" s="3">
        <v>45931</v>
      </c>
      <c r="F98" s="4" t="s">
        <v>60</v>
      </c>
      <c r="G98" s="4" t="s">
        <v>51</v>
      </c>
      <c r="H98" s="4" t="s">
        <v>52</v>
      </c>
      <c r="I98" s="5">
        <v>1</v>
      </c>
      <c r="J98" s="5">
        <v>1</v>
      </c>
      <c r="K98" s="5">
        <v>26.08</v>
      </c>
      <c r="L98" s="4" t="s">
        <v>63</v>
      </c>
      <c r="M98" s="4" t="s">
        <v>64</v>
      </c>
      <c r="N98" s="3">
        <v>45597</v>
      </c>
      <c r="O98" t="s">
        <v>537</v>
      </c>
      <c r="P98" s="29" t="s">
        <v>541</v>
      </c>
      <c r="S98" s="4" t="s">
        <v>440</v>
      </c>
      <c r="T98" t="str">
        <f t="shared" si="8"/>
        <v>00018671925K6</v>
      </c>
      <c r="U98" s="4" t="s">
        <v>768</v>
      </c>
      <c r="V98" t="s">
        <v>769</v>
      </c>
      <c r="W98" t="str">
        <f t="shared" si="9"/>
        <v>KAREN YOSHIKAWA</v>
      </c>
    </row>
    <row r="99" spans="1:42" x14ac:dyDescent="0.2">
      <c r="A99" s="4" t="s">
        <v>89</v>
      </c>
      <c r="B99" s="2">
        <v>8307933</v>
      </c>
      <c r="C99" s="4" t="s">
        <v>121</v>
      </c>
      <c r="D99" s="4" t="s">
        <v>122</v>
      </c>
      <c r="E99" s="3">
        <v>45931</v>
      </c>
      <c r="F99" s="4" t="s">
        <v>60</v>
      </c>
      <c r="G99" s="4" t="s">
        <v>51</v>
      </c>
      <c r="H99" s="4" t="s">
        <v>52</v>
      </c>
      <c r="I99" s="5">
        <v>1</v>
      </c>
      <c r="J99" s="5">
        <v>1</v>
      </c>
      <c r="K99" s="5">
        <v>26.08</v>
      </c>
      <c r="L99" s="4" t="s">
        <v>63</v>
      </c>
      <c r="M99" s="4" t="s">
        <v>64</v>
      </c>
      <c r="N99" s="3">
        <v>45170</v>
      </c>
      <c r="O99" t="s">
        <v>537</v>
      </c>
      <c r="P99" s="29" t="s">
        <v>541</v>
      </c>
      <c r="S99" s="4" t="s">
        <v>122</v>
      </c>
      <c r="T99" t="str">
        <f t="shared" si="8"/>
        <v>00020683226K6</v>
      </c>
      <c r="U99" s="4" t="s">
        <v>790</v>
      </c>
      <c r="V99" t="s">
        <v>791</v>
      </c>
      <c r="W99" t="str">
        <f t="shared" si="9"/>
        <v>KATHERINE HEIL</v>
      </c>
    </row>
    <row r="100" spans="1:42" x14ac:dyDescent="0.2">
      <c r="A100" s="4" t="s">
        <v>388</v>
      </c>
      <c r="B100" s="2">
        <v>19396223</v>
      </c>
      <c r="C100" s="4" t="s">
        <v>393</v>
      </c>
      <c r="D100" s="4" t="s">
        <v>394</v>
      </c>
      <c r="E100" s="3">
        <v>45931</v>
      </c>
      <c r="F100" s="4" t="s">
        <v>60</v>
      </c>
      <c r="G100" s="4" t="s">
        <v>51</v>
      </c>
      <c r="H100" s="4" t="s">
        <v>52</v>
      </c>
      <c r="I100" s="5">
        <v>1</v>
      </c>
      <c r="J100" s="5">
        <v>1</v>
      </c>
      <c r="K100" s="5">
        <v>26.08</v>
      </c>
      <c r="L100" s="4" t="s">
        <v>63</v>
      </c>
      <c r="M100" s="4" t="s">
        <v>64</v>
      </c>
      <c r="N100" s="3">
        <v>45597</v>
      </c>
      <c r="O100" t="s">
        <v>537</v>
      </c>
      <c r="P100" s="29" t="s">
        <v>541</v>
      </c>
      <c r="S100" s="4" t="s">
        <v>394</v>
      </c>
      <c r="T100" t="str">
        <f t="shared" si="8"/>
        <v>00022386017K6</v>
      </c>
      <c r="U100" s="28" t="s">
        <v>868</v>
      </c>
      <c r="V100" t="s">
        <v>621</v>
      </c>
      <c r="W100" t="str">
        <f t="shared" si="9"/>
        <v>KATHY VAN HORN</v>
      </c>
    </row>
    <row r="101" spans="1:42" x14ac:dyDescent="0.2">
      <c r="A101" s="4" t="s">
        <v>82</v>
      </c>
      <c r="B101" s="2">
        <v>7470776</v>
      </c>
      <c r="C101" s="4" t="s">
        <v>85</v>
      </c>
      <c r="D101" s="4" t="s">
        <v>86</v>
      </c>
      <c r="E101" s="3">
        <v>45992</v>
      </c>
      <c r="F101" s="4" t="s">
        <v>88</v>
      </c>
      <c r="G101" s="4" t="s">
        <v>51</v>
      </c>
      <c r="H101" s="4" t="s">
        <v>52</v>
      </c>
      <c r="I101" s="5">
        <v>0.08</v>
      </c>
      <c r="J101" s="5">
        <v>1</v>
      </c>
      <c r="K101" s="5">
        <v>26.08</v>
      </c>
      <c r="L101" s="4" t="s">
        <v>56</v>
      </c>
      <c r="M101" s="4" t="s">
        <v>57</v>
      </c>
      <c r="N101" s="3">
        <v>45992</v>
      </c>
      <c r="O101" t="s">
        <v>537</v>
      </c>
      <c r="P101" s="29" t="s">
        <v>541</v>
      </c>
      <c r="S101" s="4" t="s">
        <v>86</v>
      </c>
      <c r="T101" t="str">
        <f t="shared" si="8"/>
        <v>00023788633K6</v>
      </c>
      <c r="U101" s="4" t="s">
        <v>633</v>
      </c>
      <c r="V101" t="s">
        <v>634</v>
      </c>
      <c r="W101" t="str">
        <f t="shared" si="9"/>
        <v>KENNETH EATON</v>
      </c>
    </row>
    <row r="102" spans="1:42" x14ac:dyDescent="0.2">
      <c r="A102" s="4" t="s">
        <v>188</v>
      </c>
      <c r="B102" s="2">
        <v>7146581</v>
      </c>
      <c r="C102" s="4" t="s">
        <v>201</v>
      </c>
      <c r="D102" s="4" t="s">
        <v>202</v>
      </c>
      <c r="E102" s="3">
        <v>45931</v>
      </c>
      <c r="F102" s="4" t="s">
        <v>60</v>
      </c>
      <c r="G102" s="4" t="s">
        <v>51</v>
      </c>
      <c r="H102" s="4" t="s">
        <v>52</v>
      </c>
      <c r="I102" s="5">
        <v>1</v>
      </c>
      <c r="J102" s="5">
        <v>1</v>
      </c>
      <c r="K102" s="5">
        <v>26.08</v>
      </c>
      <c r="L102" s="4" t="s">
        <v>63</v>
      </c>
      <c r="M102" s="4" t="s">
        <v>64</v>
      </c>
      <c r="N102" s="3">
        <v>45536</v>
      </c>
      <c r="O102" t="s">
        <v>537</v>
      </c>
      <c r="P102" s="29" t="s">
        <v>541</v>
      </c>
      <c r="S102" s="4" t="s">
        <v>202</v>
      </c>
      <c r="T102" t="str">
        <f t="shared" si="8"/>
        <v>00021996169K6</v>
      </c>
      <c r="U102" s="4" t="s">
        <v>685</v>
      </c>
      <c r="V102" t="s">
        <v>634</v>
      </c>
      <c r="W102" t="str">
        <f t="shared" si="9"/>
        <v>KENNETH WONG</v>
      </c>
    </row>
    <row r="103" spans="1:42" x14ac:dyDescent="0.2">
      <c r="A103" s="4" t="s">
        <v>89</v>
      </c>
      <c r="B103" s="2">
        <v>8307933</v>
      </c>
      <c r="C103" s="4" t="s">
        <v>128</v>
      </c>
      <c r="D103" s="4" t="s">
        <v>129</v>
      </c>
      <c r="E103" s="3">
        <v>45931</v>
      </c>
      <c r="F103" s="4" t="s">
        <v>60</v>
      </c>
      <c r="G103" s="4" t="s">
        <v>51</v>
      </c>
      <c r="H103" s="4" t="s">
        <v>52</v>
      </c>
      <c r="I103" s="5">
        <v>1</v>
      </c>
      <c r="J103" s="5">
        <v>1</v>
      </c>
      <c r="K103" s="5">
        <v>26.08</v>
      </c>
      <c r="L103" s="4" t="s">
        <v>63</v>
      </c>
      <c r="M103" s="4" t="s">
        <v>64</v>
      </c>
      <c r="N103" s="3">
        <v>45200</v>
      </c>
      <c r="O103" t="s">
        <v>537</v>
      </c>
      <c r="P103" s="29" t="s">
        <v>541</v>
      </c>
      <c r="S103" s="4" t="s">
        <v>129</v>
      </c>
      <c r="T103" t="str">
        <f t="shared" si="8"/>
        <v>00020732566K6</v>
      </c>
      <c r="U103" s="4" t="s">
        <v>795</v>
      </c>
      <c r="V103" t="s">
        <v>796</v>
      </c>
      <c r="W103" t="str">
        <f t="shared" si="9"/>
        <v>KEVIN BAILEY</v>
      </c>
    </row>
    <row r="104" spans="1:42" x14ac:dyDescent="0.2">
      <c r="A104" s="4" t="s">
        <v>388</v>
      </c>
      <c r="B104" s="2">
        <v>19396223</v>
      </c>
      <c r="C104" s="4" t="s">
        <v>389</v>
      </c>
      <c r="D104" s="4" t="s">
        <v>390</v>
      </c>
      <c r="E104" s="3">
        <v>45931</v>
      </c>
      <c r="F104" s="4" t="s">
        <v>60</v>
      </c>
      <c r="G104" s="4" t="s">
        <v>51</v>
      </c>
      <c r="H104" s="4" t="s">
        <v>52</v>
      </c>
      <c r="I104" s="5">
        <v>1</v>
      </c>
      <c r="J104" s="5">
        <v>1</v>
      </c>
      <c r="K104" s="5">
        <v>32.5</v>
      </c>
      <c r="L104" s="4" t="s">
        <v>63</v>
      </c>
      <c r="M104" s="4" t="s">
        <v>64</v>
      </c>
      <c r="N104" s="3">
        <v>45597</v>
      </c>
      <c r="O104" t="s">
        <v>544</v>
      </c>
      <c r="P104" s="29" t="s">
        <v>545</v>
      </c>
      <c r="S104" s="4" t="s">
        <v>390</v>
      </c>
      <c r="T104" t="str">
        <f t="shared" si="8"/>
        <v>00011519472K6</v>
      </c>
      <c r="U104" s="4" t="s">
        <v>554</v>
      </c>
      <c r="V104" t="s">
        <v>555</v>
      </c>
      <c r="W104" t="str">
        <f t="shared" si="9"/>
        <v>KHAIRUNNISA MOHIUDDIN</v>
      </c>
    </row>
    <row r="105" spans="1:42" x14ac:dyDescent="0.2">
      <c r="A105" s="4" t="s">
        <v>89</v>
      </c>
      <c r="B105" s="2">
        <v>8307933</v>
      </c>
      <c r="C105" s="4" t="s">
        <v>130</v>
      </c>
      <c r="D105" s="4" t="s">
        <v>131</v>
      </c>
      <c r="E105" s="3">
        <v>45931</v>
      </c>
      <c r="F105" s="4" t="s">
        <v>60</v>
      </c>
      <c r="G105" s="4" t="s">
        <v>51</v>
      </c>
      <c r="H105" s="4" t="s">
        <v>52</v>
      </c>
      <c r="I105" s="5">
        <v>1</v>
      </c>
      <c r="J105" s="5">
        <v>1</v>
      </c>
      <c r="K105" s="5">
        <v>26.08</v>
      </c>
      <c r="L105" s="4" t="s">
        <v>63</v>
      </c>
      <c r="M105" s="4" t="s">
        <v>64</v>
      </c>
      <c r="N105" s="3">
        <v>45292</v>
      </c>
      <c r="O105" t="s">
        <v>537</v>
      </c>
      <c r="P105" s="29" t="s">
        <v>541</v>
      </c>
      <c r="S105" s="4" t="s">
        <v>131</v>
      </c>
      <c r="T105" t="str">
        <f t="shared" si="8"/>
        <v>00020808788K6</v>
      </c>
      <c r="U105" s="4" t="s">
        <v>797</v>
      </c>
      <c r="V105" t="s">
        <v>798</v>
      </c>
      <c r="W105" t="str">
        <f t="shared" si="9"/>
        <v>KIM HATFIELD</v>
      </c>
    </row>
    <row r="106" spans="1:42" x14ac:dyDescent="0.2">
      <c r="A106" s="12" t="s">
        <v>491</v>
      </c>
      <c r="B106" s="13">
        <v>14177521</v>
      </c>
      <c r="C106" s="12" t="s">
        <v>492</v>
      </c>
      <c r="D106" s="14">
        <v>416672</v>
      </c>
      <c r="E106" s="15">
        <v>45931</v>
      </c>
      <c r="F106" s="12" t="s">
        <v>60</v>
      </c>
      <c r="G106" s="12" t="s">
        <v>488</v>
      </c>
      <c r="H106" s="12" t="s">
        <v>46</v>
      </c>
      <c r="I106" s="16">
        <v>10</v>
      </c>
      <c r="J106" s="16">
        <v>414.6</v>
      </c>
      <c r="K106" s="16">
        <v>41.46</v>
      </c>
      <c r="L106" s="12" t="s">
        <v>56</v>
      </c>
      <c r="M106" s="12" t="s">
        <v>57</v>
      </c>
      <c r="N106" s="15">
        <v>45658</v>
      </c>
      <c r="O106" s="17" t="s">
        <v>535</v>
      </c>
      <c r="P106" s="17"/>
      <c r="Q106" s="17"/>
      <c r="R106" s="17"/>
      <c r="S106" s="14">
        <v>416672</v>
      </c>
      <c r="T106" s="17" t="str">
        <f>CONCATENATE(S106,7)</f>
        <v>4166727</v>
      </c>
      <c r="U106" s="12" t="s">
        <v>615</v>
      </c>
      <c r="V106" s="17" t="s">
        <v>614</v>
      </c>
      <c r="W106" s="12" t="s">
        <v>492</v>
      </c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</row>
    <row r="107" spans="1:42" x14ac:dyDescent="0.2">
      <c r="A107" s="12" t="s">
        <v>491</v>
      </c>
      <c r="B107" s="13">
        <v>14177521</v>
      </c>
      <c r="C107" s="12" t="s">
        <v>492</v>
      </c>
      <c r="D107" s="14">
        <v>416672</v>
      </c>
      <c r="E107" s="15">
        <v>45931</v>
      </c>
      <c r="F107" s="12" t="s">
        <v>60</v>
      </c>
      <c r="G107" s="12" t="s">
        <v>483</v>
      </c>
      <c r="H107" s="12" t="s">
        <v>46</v>
      </c>
      <c r="I107" s="16">
        <v>10</v>
      </c>
      <c r="J107" s="16">
        <v>49.38</v>
      </c>
      <c r="K107" s="16">
        <v>4.9400000000000004</v>
      </c>
      <c r="L107" s="12" t="s">
        <v>56</v>
      </c>
      <c r="M107" s="12" t="s">
        <v>57</v>
      </c>
      <c r="N107" s="15">
        <v>45658</v>
      </c>
      <c r="O107" s="17" t="s">
        <v>535</v>
      </c>
      <c r="P107" s="17"/>
      <c r="Q107" s="17"/>
      <c r="R107" s="17"/>
      <c r="S107" s="14">
        <v>416672</v>
      </c>
      <c r="T107" s="17" t="str">
        <f>CONCATENATE(S107,7)</f>
        <v>4166727</v>
      </c>
      <c r="U107" s="12" t="s">
        <v>615</v>
      </c>
      <c r="V107" s="17" t="s">
        <v>614</v>
      </c>
      <c r="W107" s="12" t="s">
        <v>492</v>
      </c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</row>
    <row r="108" spans="1:42" x14ac:dyDescent="0.2">
      <c r="A108" s="4" t="s">
        <v>188</v>
      </c>
      <c r="B108" s="2">
        <v>7146581</v>
      </c>
      <c r="C108" s="4" t="s">
        <v>193</v>
      </c>
      <c r="D108" s="4" t="s">
        <v>194</v>
      </c>
      <c r="E108" s="3">
        <v>45931</v>
      </c>
      <c r="F108" s="4" t="s">
        <v>60</v>
      </c>
      <c r="G108" s="4" t="s">
        <v>51</v>
      </c>
      <c r="H108" s="4" t="s">
        <v>62</v>
      </c>
      <c r="I108" s="5">
        <v>1</v>
      </c>
      <c r="J108" s="5">
        <v>1</v>
      </c>
      <c r="K108" s="5">
        <v>26.08</v>
      </c>
      <c r="L108" s="4" t="s">
        <v>63</v>
      </c>
      <c r="M108" s="4" t="s">
        <v>64</v>
      </c>
      <c r="N108" s="3">
        <v>45505</v>
      </c>
      <c r="O108" t="s">
        <v>537</v>
      </c>
      <c r="P108" s="29" t="s">
        <v>541</v>
      </c>
      <c r="S108" s="4" t="s">
        <v>194</v>
      </c>
      <c r="T108" t="str">
        <f>CONCATENATE(S108,6)</f>
        <v>00021918216K6</v>
      </c>
      <c r="U108" s="4" t="s">
        <v>695</v>
      </c>
      <c r="V108" t="s">
        <v>696</v>
      </c>
      <c r="W108" t="str">
        <f t="shared" ref="W108:W145" si="10">CONCATENATE(V108, " ",U108)</f>
        <v>KRISTY DOLPH</v>
      </c>
    </row>
    <row r="109" spans="1:42" x14ac:dyDescent="0.2">
      <c r="A109" s="4" t="s">
        <v>261</v>
      </c>
      <c r="B109" s="2">
        <v>16633294</v>
      </c>
      <c r="C109" s="4" t="s">
        <v>262</v>
      </c>
      <c r="D109" s="4" t="s">
        <v>263</v>
      </c>
      <c r="E109" s="3">
        <v>45931</v>
      </c>
      <c r="F109" s="4" t="s">
        <v>60</v>
      </c>
      <c r="G109" s="4" t="s">
        <v>51</v>
      </c>
      <c r="H109" s="4" t="s">
        <v>52</v>
      </c>
      <c r="I109" s="5">
        <v>1</v>
      </c>
      <c r="J109" s="5">
        <v>1</v>
      </c>
      <c r="K109" s="5">
        <v>26.08</v>
      </c>
      <c r="L109" s="4" t="s">
        <v>63</v>
      </c>
      <c r="M109" s="4" t="s">
        <v>64</v>
      </c>
      <c r="N109" s="3">
        <v>45566</v>
      </c>
      <c r="O109" t="s">
        <v>537</v>
      </c>
      <c r="P109" s="29" t="s">
        <v>541</v>
      </c>
      <c r="S109" s="4" t="s">
        <v>263</v>
      </c>
      <c r="T109" t="str">
        <f>CONCATENATE(S109,6)</f>
        <v>00020195670K6</v>
      </c>
      <c r="U109" s="4" t="s">
        <v>852</v>
      </c>
      <c r="V109" t="s">
        <v>551</v>
      </c>
      <c r="W109" t="str">
        <f t="shared" si="10"/>
        <v>LARRY BOUBEL</v>
      </c>
    </row>
    <row r="110" spans="1:42" x14ac:dyDescent="0.2">
      <c r="A110" s="4" t="s">
        <v>42</v>
      </c>
      <c r="B110" s="2">
        <v>371819</v>
      </c>
      <c r="C110" s="4" t="s">
        <v>43</v>
      </c>
      <c r="D110" s="28" t="s">
        <v>44</v>
      </c>
      <c r="E110" s="3">
        <v>45839</v>
      </c>
      <c r="F110" s="4" t="s">
        <v>49</v>
      </c>
      <c r="G110" s="4" t="s">
        <v>51</v>
      </c>
      <c r="H110" s="4" t="s">
        <v>52</v>
      </c>
      <c r="I110" s="5">
        <v>0</v>
      </c>
      <c r="J110" s="5">
        <v>-1</v>
      </c>
      <c r="K110" s="5">
        <v>-365.16</v>
      </c>
      <c r="L110" s="4" t="s">
        <v>53</v>
      </c>
      <c r="M110" s="4" t="s">
        <v>54</v>
      </c>
      <c r="N110" s="3">
        <v>45839</v>
      </c>
      <c r="O110" t="s">
        <v>538</v>
      </c>
      <c r="P110" s="29" t="s">
        <v>539</v>
      </c>
      <c r="R110">
        <f>626/12*7</f>
        <v>365.16666666666663</v>
      </c>
      <c r="S110" s="28" t="s">
        <v>44</v>
      </c>
      <c r="T110" t="str">
        <f>CONCATENATE(S110,7)</f>
        <v>00020805683K7</v>
      </c>
      <c r="U110" s="4" t="s">
        <v>550</v>
      </c>
      <c r="V110" t="s">
        <v>551</v>
      </c>
      <c r="W110" t="str">
        <f t="shared" si="10"/>
        <v>LARRY JOHN</v>
      </c>
    </row>
    <row r="111" spans="1:42" x14ac:dyDescent="0.2">
      <c r="A111" s="4" t="s">
        <v>42</v>
      </c>
      <c r="B111" s="2">
        <v>371819</v>
      </c>
      <c r="C111" s="4" t="s">
        <v>43</v>
      </c>
      <c r="D111" s="4" t="s">
        <v>44</v>
      </c>
      <c r="E111" s="3">
        <v>45839</v>
      </c>
      <c r="F111" s="4" t="s">
        <v>49</v>
      </c>
      <c r="G111" s="4" t="s">
        <v>51</v>
      </c>
      <c r="H111" s="4" t="s">
        <v>52</v>
      </c>
      <c r="I111" s="5">
        <v>-0.17</v>
      </c>
      <c r="J111" s="5">
        <v>-1</v>
      </c>
      <c r="K111" s="5">
        <v>-52.17</v>
      </c>
      <c r="L111" s="4" t="s">
        <v>56</v>
      </c>
      <c r="M111" s="4" t="s">
        <v>57</v>
      </c>
      <c r="N111" s="3">
        <v>45839</v>
      </c>
      <c r="O111" t="s">
        <v>537</v>
      </c>
      <c r="P111" s="29" t="s">
        <v>540</v>
      </c>
      <c r="S111" s="4" t="s">
        <v>44</v>
      </c>
      <c r="T111" t="str">
        <f t="shared" ref="T111:T124" si="11">CONCATENATE(S111,6)</f>
        <v>00020805683K6</v>
      </c>
      <c r="U111" s="4" t="s">
        <v>550</v>
      </c>
      <c r="V111" t="s">
        <v>551</v>
      </c>
      <c r="W111" t="str">
        <f t="shared" si="10"/>
        <v>LARRY JOHN</v>
      </c>
    </row>
    <row r="112" spans="1:42" x14ac:dyDescent="0.2">
      <c r="A112" s="4" t="s">
        <v>342</v>
      </c>
      <c r="B112" s="2">
        <v>9213293</v>
      </c>
      <c r="C112" s="4" t="s">
        <v>345</v>
      </c>
      <c r="D112" s="4" t="s">
        <v>346</v>
      </c>
      <c r="E112" s="3">
        <v>45931</v>
      </c>
      <c r="F112" s="4" t="s">
        <v>60</v>
      </c>
      <c r="G112" s="4" t="s">
        <v>51</v>
      </c>
      <c r="H112" s="4" t="s">
        <v>52</v>
      </c>
      <c r="I112" s="5">
        <v>1</v>
      </c>
      <c r="J112" s="5">
        <v>1</v>
      </c>
      <c r="K112" s="5">
        <v>26.08</v>
      </c>
      <c r="L112" s="4" t="s">
        <v>63</v>
      </c>
      <c r="M112" s="4" t="s">
        <v>64</v>
      </c>
      <c r="N112" s="3">
        <v>45474</v>
      </c>
      <c r="O112" t="s">
        <v>537</v>
      </c>
      <c r="P112" s="29" t="s">
        <v>541</v>
      </c>
      <c r="S112" s="4" t="s">
        <v>346</v>
      </c>
      <c r="T112" t="str">
        <f t="shared" si="11"/>
        <v>00021878864K6</v>
      </c>
      <c r="U112" s="4" t="s">
        <v>720</v>
      </c>
      <c r="V112" t="s">
        <v>721</v>
      </c>
      <c r="W112" t="str">
        <f t="shared" si="10"/>
        <v>LAURA MELVIN</v>
      </c>
    </row>
    <row r="113" spans="1:42" x14ac:dyDescent="0.2">
      <c r="A113" s="4" t="s">
        <v>89</v>
      </c>
      <c r="B113" s="2">
        <v>8307933</v>
      </c>
      <c r="C113" s="4" t="s">
        <v>132</v>
      </c>
      <c r="D113" s="4" t="s">
        <v>133</v>
      </c>
      <c r="E113" s="3">
        <v>45931</v>
      </c>
      <c r="F113" s="4" t="s">
        <v>60</v>
      </c>
      <c r="G113" s="4" t="s">
        <v>51</v>
      </c>
      <c r="H113" s="4" t="s">
        <v>52</v>
      </c>
      <c r="I113" s="5">
        <v>1</v>
      </c>
      <c r="J113" s="5">
        <v>1</v>
      </c>
      <c r="K113" s="5">
        <v>26.08</v>
      </c>
      <c r="L113" s="4" t="s">
        <v>63</v>
      </c>
      <c r="M113" s="4" t="s">
        <v>64</v>
      </c>
      <c r="N113" s="3">
        <v>45292</v>
      </c>
      <c r="O113" t="s">
        <v>537</v>
      </c>
      <c r="P113" s="29" t="s">
        <v>541</v>
      </c>
      <c r="S113" s="4" t="s">
        <v>133</v>
      </c>
      <c r="T113" t="str">
        <f t="shared" si="11"/>
        <v>00020842891K6</v>
      </c>
      <c r="U113" s="4" t="s">
        <v>797</v>
      </c>
      <c r="V113" t="s">
        <v>799</v>
      </c>
      <c r="W113" t="str">
        <f t="shared" si="10"/>
        <v>LAWRENCE HATFIELD</v>
      </c>
    </row>
    <row r="114" spans="1:42" x14ac:dyDescent="0.2">
      <c r="A114" s="4" t="s">
        <v>388</v>
      </c>
      <c r="B114" s="2">
        <v>19396223</v>
      </c>
      <c r="C114" s="4" t="s">
        <v>403</v>
      </c>
      <c r="D114" s="4" t="s">
        <v>404</v>
      </c>
      <c r="E114" s="3">
        <v>45962</v>
      </c>
      <c r="F114" s="4" t="s">
        <v>69</v>
      </c>
      <c r="G114" s="4" t="s">
        <v>51</v>
      </c>
      <c r="H114" s="4" t="s">
        <v>52</v>
      </c>
      <c r="I114" s="5">
        <v>0.17</v>
      </c>
      <c r="J114" s="5">
        <v>1</v>
      </c>
      <c r="K114" s="5">
        <v>52.17</v>
      </c>
      <c r="L114" s="4" t="s">
        <v>56</v>
      </c>
      <c r="M114" s="4" t="s">
        <v>57</v>
      </c>
      <c r="N114" s="3">
        <v>45962</v>
      </c>
      <c r="O114" t="s">
        <v>537</v>
      </c>
      <c r="P114" s="29" t="s">
        <v>540</v>
      </c>
      <c r="S114" s="4" t="s">
        <v>404</v>
      </c>
      <c r="T114" t="str">
        <f t="shared" si="11"/>
        <v>00023797477K6</v>
      </c>
      <c r="U114" s="4" t="s">
        <v>628</v>
      </c>
      <c r="V114" t="s">
        <v>630</v>
      </c>
      <c r="W114" t="str">
        <f t="shared" si="10"/>
        <v>LEONARD STREJC</v>
      </c>
    </row>
    <row r="115" spans="1:42" x14ac:dyDescent="0.2">
      <c r="A115" s="4" t="s">
        <v>318</v>
      </c>
      <c r="B115" s="2">
        <v>17528908</v>
      </c>
      <c r="C115" s="4" t="s">
        <v>327</v>
      </c>
      <c r="D115" s="4" t="s">
        <v>328</v>
      </c>
      <c r="E115" s="3">
        <v>45931</v>
      </c>
      <c r="F115" s="4" t="s">
        <v>60</v>
      </c>
      <c r="G115" s="4" t="s">
        <v>51</v>
      </c>
      <c r="H115" s="4" t="s">
        <v>52</v>
      </c>
      <c r="I115" s="5">
        <v>1</v>
      </c>
      <c r="J115" s="5">
        <v>1</v>
      </c>
      <c r="K115" s="5">
        <v>29.41</v>
      </c>
      <c r="L115" s="4" t="s">
        <v>63</v>
      </c>
      <c r="M115" s="4" t="s">
        <v>64</v>
      </c>
      <c r="N115" s="3">
        <v>45292</v>
      </c>
      <c r="O115" t="s">
        <v>542</v>
      </c>
      <c r="P115" s="29" t="s">
        <v>543</v>
      </c>
      <c r="S115" s="4" t="s">
        <v>328</v>
      </c>
      <c r="T115" t="str">
        <f t="shared" si="11"/>
        <v>00020932178K6</v>
      </c>
      <c r="U115" s="4" t="s">
        <v>576</v>
      </c>
      <c r="V115" t="s">
        <v>577</v>
      </c>
      <c r="W115" t="str">
        <f t="shared" si="10"/>
        <v>LINDA BROOKS</v>
      </c>
    </row>
    <row r="116" spans="1:42" x14ac:dyDescent="0.2">
      <c r="A116" s="4" t="s">
        <v>89</v>
      </c>
      <c r="B116" s="2">
        <v>8307933</v>
      </c>
      <c r="C116" s="4" t="s">
        <v>186</v>
      </c>
      <c r="D116" s="4" t="s">
        <v>187</v>
      </c>
      <c r="E116" s="3">
        <v>45931</v>
      </c>
      <c r="F116" s="4" t="s">
        <v>60</v>
      </c>
      <c r="G116" s="4" t="s">
        <v>51</v>
      </c>
      <c r="H116" s="4" t="s">
        <v>52</v>
      </c>
      <c r="I116" s="5">
        <v>1</v>
      </c>
      <c r="J116" s="5">
        <v>1</v>
      </c>
      <c r="K116" s="5">
        <v>26.08</v>
      </c>
      <c r="L116" s="4" t="s">
        <v>63</v>
      </c>
      <c r="M116" s="4" t="s">
        <v>64</v>
      </c>
      <c r="N116" s="3">
        <v>45627</v>
      </c>
      <c r="O116" t="s">
        <v>537</v>
      </c>
      <c r="P116" s="29" t="s">
        <v>541</v>
      </c>
      <c r="S116" s="4" t="s">
        <v>187</v>
      </c>
      <c r="T116" t="str">
        <f t="shared" si="11"/>
        <v>00022602838K6</v>
      </c>
      <c r="U116" s="4" t="s">
        <v>827</v>
      </c>
      <c r="V116" t="s">
        <v>577</v>
      </c>
      <c r="W116" t="str">
        <f t="shared" si="10"/>
        <v>LINDA HOEKS</v>
      </c>
    </row>
    <row r="117" spans="1:42" x14ac:dyDescent="0.2">
      <c r="A117" s="4" t="s">
        <v>89</v>
      </c>
      <c r="B117" s="2">
        <v>8307933</v>
      </c>
      <c r="C117" s="4" t="s">
        <v>112</v>
      </c>
      <c r="D117" s="4" t="s">
        <v>113</v>
      </c>
      <c r="E117" s="3">
        <v>45931</v>
      </c>
      <c r="F117" s="4" t="s">
        <v>60</v>
      </c>
      <c r="G117" s="4" t="s">
        <v>51</v>
      </c>
      <c r="H117" s="4" t="s">
        <v>62</v>
      </c>
      <c r="I117" s="5">
        <v>1</v>
      </c>
      <c r="J117" s="5">
        <v>1</v>
      </c>
      <c r="K117" s="5">
        <v>26.08</v>
      </c>
      <c r="L117" s="4" t="s">
        <v>63</v>
      </c>
      <c r="M117" s="4" t="s">
        <v>64</v>
      </c>
      <c r="N117" s="3">
        <v>45108</v>
      </c>
      <c r="O117" t="s">
        <v>537</v>
      </c>
      <c r="P117" s="29" t="s">
        <v>541</v>
      </c>
      <c r="S117" s="4" t="s">
        <v>113</v>
      </c>
      <c r="T117" t="str">
        <f t="shared" si="11"/>
        <v>00020444350K6</v>
      </c>
      <c r="U117" s="4" t="s">
        <v>829</v>
      </c>
      <c r="V117" t="s">
        <v>577</v>
      </c>
      <c r="W117" t="str">
        <f t="shared" si="10"/>
        <v>LINDA MORAN</v>
      </c>
    </row>
    <row r="118" spans="1:42" x14ac:dyDescent="0.2">
      <c r="A118" s="4" t="s">
        <v>318</v>
      </c>
      <c r="B118" s="2">
        <v>17528908</v>
      </c>
      <c r="C118" s="4" t="s">
        <v>329</v>
      </c>
      <c r="D118" s="4" t="s">
        <v>330</v>
      </c>
      <c r="E118" s="3">
        <v>45931</v>
      </c>
      <c r="F118" s="4" t="s">
        <v>60</v>
      </c>
      <c r="G118" s="4" t="s">
        <v>51</v>
      </c>
      <c r="H118" s="4" t="s">
        <v>52</v>
      </c>
      <c r="I118" s="5">
        <v>1</v>
      </c>
      <c r="J118" s="5">
        <v>1</v>
      </c>
      <c r="K118" s="5">
        <v>29.41</v>
      </c>
      <c r="L118" s="4" t="s">
        <v>63</v>
      </c>
      <c r="M118" s="4" t="s">
        <v>64</v>
      </c>
      <c r="N118" s="3">
        <v>45292</v>
      </c>
      <c r="O118" t="s">
        <v>542</v>
      </c>
      <c r="P118" s="29" t="s">
        <v>543</v>
      </c>
      <c r="S118" s="4" t="s">
        <v>330</v>
      </c>
      <c r="T118" t="str">
        <f t="shared" si="11"/>
        <v>00021243283K6</v>
      </c>
      <c r="U118" s="28" t="s">
        <v>867</v>
      </c>
      <c r="V118" s="29" t="s">
        <v>577</v>
      </c>
      <c r="W118" t="str">
        <f t="shared" si="10"/>
        <v>LINDA O BRIEN</v>
      </c>
    </row>
    <row r="119" spans="1:42" x14ac:dyDescent="0.2">
      <c r="A119" s="4" t="s">
        <v>89</v>
      </c>
      <c r="B119" s="2">
        <v>8307933</v>
      </c>
      <c r="C119" s="4" t="s">
        <v>142</v>
      </c>
      <c r="D119" s="4" t="s">
        <v>143</v>
      </c>
      <c r="E119" s="3">
        <v>45931</v>
      </c>
      <c r="F119" s="4" t="s">
        <v>60</v>
      </c>
      <c r="G119" s="4" t="s">
        <v>51</v>
      </c>
      <c r="H119" s="4" t="s">
        <v>52</v>
      </c>
      <c r="I119" s="5">
        <v>1</v>
      </c>
      <c r="J119" s="5">
        <v>1</v>
      </c>
      <c r="K119" s="5">
        <v>26.08</v>
      </c>
      <c r="L119" s="4" t="s">
        <v>63</v>
      </c>
      <c r="M119" s="4" t="s">
        <v>64</v>
      </c>
      <c r="N119" s="3">
        <v>45261</v>
      </c>
      <c r="O119" t="s">
        <v>537</v>
      </c>
      <c r="P119" s="29" t="s">
        <v>541</v>
      </c>
      <c r="S119" s="4" t="s">
        <v>143</v>
      </c>
      <c r="T119" t="str">
        <f t="shared" si="11"/>
        <v>00021141899K6</v>
      </c>
      <c r="U119" s="4" t="s">
        <v>786</v>
      </c>
      <c r="V119" t="s">
        <v>577</v>
      </c>
      <c r="W119" t="str">
        <f t="shared" si="10"/>
        <v>LINDA SHULTZ</v>
      </c>
    </row>
    <row r="120" spans="1:42" x14ac:dyDescent="0.2">
      <c r="A120" s="4" t="s">
        <v>188</v>
      </c>
      <c r="B120" s="2">
        <v>7146581</v>
      </c>
      <c r="C120" s="4" t="s">
        <v>209</v>
      </c>
      <c r="D120" s="4" t="s">
        <v>210</v>
      </c>
      <c r="E120" s="3">
        <v>45931</v>
      </c>
      <c r="F120" s="4" t="s">
        <v>60</v>
      </c>
      <c r="G120" s="4" t="s">
        <v>51</v>
      </c>
      <c r="H120" s="4" t="s">
        <v>52</v>
      </c>
      <c r="I120" s="5">
        <v>1</v>
      </c>
      <c r="J120" s="5">
        <v>1</v>
      </c>
      <c r="K120" s="5">
        <v>26.08</v>
      </c>
      <c r="L120" s="4" t="s">
        <v>63</v>
      </c>
      <c r="M120" s="4" t="s">
        <v>64</v>
      </c>
      <c r="N120" s="3">
        <v>45566</v>
      </c>
      <c r="O120" t="s">
        <v>537</v>
      </c>
      <c r="P120" s="29" t="s">
        <v>541</v>
      </c>
      <c r="S120" s="4" t="s">
        <v>210</v>
      </c>
      <c r="T120" t="str">
        <f t="shared" si="11"/>
        <v>00022088151K6</v>
      </c>
      <c r="U120" s="4" t="s">
        <v>689</v>
      </c>
      <c r="V120" t="s">
        <v>690</v>
      </c>
      <c r="W120" t="str">
        <f t="shared" si="10"/>
        <v>LISA CAVITT</v>
      </c>
    </row>
    <row r="121" spans="1:42" x14ac:dyDescent="0.2">
      <c r="A121" s="4" t="s">
        <v>89</v>
      </c>
      <c r="B121" s="2">
        <v>8307933</v>
      </c>
      <c r="C121" s="4" t="s">
        <v>164</v>
      </c>
      <c r="D121" s="4" t="s">
        <v>165</v>
      </c>
      <c r="E121" s="3">
        <v>45931</v>
      </c>
      <c r="F121" s="4" t="s">
        <v>60</v>
      </c>
      <c r="G121" s="4" t="s">
        <v>51</v>
      </c>
      <c r="H121" s="4" t="s">
        <v>52</v>
      </c>
      <c r="I121" s="5">
        <v>1</v>
      </c>
      <c r="J121" s="5">
        <v>1</v>
      </c>
      <c r="K121" s="5">
        <v>26.08</v>
      </c>
      <c r="L121" s="4" t="s">
        <v>63</v>
      </c>
      <c r="M121" s="4" t="s">
        <v>64</v>
      </c>
      <c r="N121" s="3">
        <v>45444</v>
      </c>
      <c r="O121" t="s">
        <v>537</v>
      </c>
      <c r="P121" s="29" t="s">
        <v>541</v>
      </c>
      <c r="S121" s="4" t="s">
        <v>165</v>
      </c>
      <c r="T121" t="str">
        <f t="shared" si="11"/>
        <v>00021686716K6</v>
      </c>
      <c r="U121" s="4" t="s">
        <v>772</v>
      </c>
      <c r="V121" t="s">
        <v>813</v>
      </c>
      <c r="W121" t="str">
        <f t="shared" si="10"/>
        <v>LONNIE ALTOM</v>
      </c>
    </row>
    <row r="122" spans="1:42" x14ac:dyDescent="0.2">
      <c r="A122" s="4" t="s">
        <v>89</v>
      </c>
      <c r="B122" s="2">
        <v>8307933</v>
      </c>
      <c r="C122" s="4" t="s">
        <v>182</v>
      </c>
      <c r="D122" s="4" t="s">
        <v>183</v>
      </c>
      <c r="E122" s="3">
        <v>45931</v>
      </c>
      <c r="F122" s="4" t="s">
        <v>60</v>
      </c>
      <c r="G122" s="4" t="s">
        <v>51</v>
      </c>
      <c r="H122" s="4" t="s">
        <v>62</v>
      </c>
      <c r="I122" s="5">
        <v>1</v>
      </c>
      <c r="J122" s="5">
        <v>1</v>
      </c>
      <c r="K122" s="5">
        <v>26.08</v>
      </c>
      <c r="L122" s="4" t="s">
        <v>63</v>
      </c>
      <c r="M122" s="4" t="s">
        <v>64</v>
      </c>
      <c r="N122" s="3">
        <v>45627</v>
      </c>
      <c r="O122" t="s">
        <v>537</v>
      </c>
      <c r="P122" s="29" t="s">
        <v>541</v>
      </c>
      <c r="S122" s="4" t="s">
        <v>183</v>
      </c>
      <c r="T122" t="str">
        <f t="shared" si="11"/>
        <v>00022078841K6</v>
      </c>
      <c r="U122" s="4" t="s">
        <v>834</v>
      </c>
      <c r="V122" t="s">
        <v>835</v>
      </c>
      <c r="W122" t="str">
        <f t="shared" si="10"/>
        <v>LORI RODGERS</v>
      </c>
    </row>
    <row r="123" spans="1:42" x14ac:dyDescent="0.2">
      <c r="A123" s="4" t="s">
        <v>288</v>
      </c>
      <c r="B123" s="2">
        <v>17126004</v>
      </c>
      <c r="C123" s="4" t="s">
        <v>303</v>
      </c>
      <c r="D123" s="4" t="s">
        <v>304</v>
      </c>
      <c r="E123" s="3">
        <v>45931</v>
      </c>
      <c r="F123" s="4" t="s">
        <v>60</v>
      </c>
      <c r="G123" s="4" t="s">
        <v>51</v>
      </c>
      <c r="H123" s="4" t="s">
        <v>52</v>
      </c>
      <c r="I123" s="5">
        <v>1</v>
      </c>
      <c r="J123" s="5">
        <v>1</v>
      </c>
      <c r="K123" s="5">
        <v>26.08</v>
      </c>
      <c r="L123" s="4" t="s">
        <v>63</v>
      </c>
      <c r="M123" s="4" t="s">
        <v>64</v>
      </c>
      <c r="N123" s="3">
        <v>45627</v>
      </c>
      <c r="O123" t="s">
        <v>537</v>
      </c>
      <c r="P123" s="29" t="s">
        <v>541</v>
      </c>
      <c r="S123" s="4" t="s">
        <v>304</v>
      </c>
      <c r="T123" t="str">
        <f t="shared" si="11"/>
        <v>00022643625K6</v>
      </c>
      <c r="U123" s="4" t="s">
        <v>649</v>
      </c>
      <c r="V123" t="s">
        <v>650</v>
      </c>
      <c r="W123" t="str">
        <f t="shared" si="10"/>
        <v>LORRAINE HACKMAN</v>
      </c>
    </row>
    <row r="124" spans="1:42" x14ac:dyDescent="0.2">
      <c r="A124" s="4" t="s">
        <v>261</v>
      </c>
      <c r="B124" s="2">
        <v>16633294</v>
      </c>
      <c r="C124" s="4" t="s">
        <v>270</v>
      </c>
      <c r="D124" s="4" t="s">
        <v>271</v>
      </c>
      <c r="E124" s="3">
        <v>45931</v>
      </c>
      <c r="F124" s="4" t="s">
        <v>60</v>
      </c>
      <c r="G124" s="4" t="s">
        <v>51</v>
      </c>
      <c r="H124" s="4" t="s">
        <v>52</v>
      </c>
      <c r="I124" s="5">
        <v>1</v>
      </c>
      <c r="J124" s="5">
        <v>1</v>
      </c>
      <c r="K124" s="5">
        <v>26.08</v>
      </c>
      <c r="L124" s="4" t="s">
        <v>63</v>
      </c>
      <c r="M124" s="4" t="s">
        <v>64</v>
      </c>
      <c r="N124" s="3">
        <v>45627</v>
      </c>
      <c r="O124" t="s">
        <v>537</v>
      </c>
      <c r="P124" s="29" t="s">
        <v>541</v>
      </c>
      <c r="S124" s="4" t="s">
        <v>271</v>
      </c>
      <c r="T124" t="str">
        <f t="shared" si="11"/>
        <v>00022466880K6</v>
      </c>
      <c r="U124" s="4" t="s">
        <v>859</v>
      </c>
      <c r="V124" t="s">
        <v>860</v>
      </c>
      <c r="W124" t="str">
        <f t="shared" si="10"/>
        <v>MALGORZATA GONET</v>
      </c>
    </row>
    <row r="125" spans="1:42" x14ac:dyDescent="0.2">
      <c r="A125" s="23" t="s">
        <v>531</v>
      </c>
      <c r="B125" s="24">
        <v>21618313</v>
      </c>
      <c r="C125" s="23" t="s">
        <v>532</v>
      </c>
      <c r="D125" s="23" t="s">
        <v>533</v>
      </c>
      <c r="E125" s="25">
        <v>45870</v>
      </c>
      <c r="F125" s="23" t="s">
        <v>506</v>
      </c>
      <c r="G125" s="23" t="s">
        <v>51</v>
      </c>
      <c r="H125" s="23" t="s">
        <v>46</v>
      </c>
      <c r="I125" s="26">
        <v>22</v>
      </c>
      <c r="J125" s="26">
        <v>2032.8</v>
      </c>
      <c r="K125" s="26">
        <v>447.24</v>
      </c>
      <c r="L125" s="23" t="s">
        <v>514</v>
      </c>
      <c r="M125" s="23" t="s">
        <v>515</v>
      </c>
      <c r="N125" s="25">
        <v>45870</v>
      </c>
      <c r="O125" s="27" t="s">
        <v>546</v>
      </c>
      <c r="P125" s="27"/>
      <c r="Q125" s="27"/>
      <c r="R125" s="27"/>
      <c r="S125" s="23" t="s">
        <v>533</v>
      </c>
      <c r="T125" s="27" t="str">
        <f>CONCATENATE(S125,8)</f>
        <v>00001027958A8</v>
      </c>
      <c r="U125" s="23" t="s">
        <v>594</v>
      </c>
      <c r="V125" s="27" t="s">
        <v>595</v>
      </c>
      <c r="W125" t="str">
        <f t="shared" si="10"/>
        <v>MARC ZITIN</v>
      </c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</row>
    <row r="126" spans="1:42" x14ac:dyDescent="0.2">
      <c r="A126" s="4" t="s">
        <v>288</v>
      </c>
      <c r="B126" s="2">
        <v>17126004</v>
      </c>
      <c r="C126" s="4" t="s">
        <v>299</v>
      </c>
      <c r="D126" s="4" t="s">
        <v>300</v>
      </c>
      <c r="E126" s="3">
        <v>45931</v>
      </c>
      <c r="F126" s="4" t="s">
        <v>60</v>
      </c>
      <c r="G126" s="4" t="s">
        <v>51</v>
      </c>
      <c r="H126" s="4" t="s">
        <v>52</v>
      </c>
      <c r="I126" s="5">
        <v>1</v>
      </c>
      <c r="J126" s="5">
        <v>1</v>
      </c>
      <c r="K126" s="5">
        <v>26.08</v>
      </c>
      <c r="L126" s="4" t="s">
        <v>63</v>
      </c>
      <c r="M126" s="4" t="s">
        <v>64</v>
      </c>
      <c r="N126" s="3">
        <v>45566</v>
      </c>
      <c r="O126" t="s">
        <v>537</v>
      </c>
      <c r="P126" s="29" t="s">
        <v>541</v>
      </c>
      <c r="S126" s="4" t="s">
        <v>300</v>
      </c>
      <c r="T126" t="str">
        <f t="shared" ref="T126:T145" si="12">CONCATENATE(S126,6)</f>
        <v>00022082807K6</v>
      </c>
      <c r="U126" s="4" t="s">
        <v>645</v>
      </c>
      <c r="V126" t="s">
        <v>646</v>
      </c>
      <c r="W126" t="str">
        <f t="shared" si="10"/>
        <v>MARCELINO CENTENO</v>
      </c>
    </row>
    <row r="127" spans="1:42" x14ac:dyDescent="0.2">
      <c r="A127" s="4" t="s">
        <v>318</v>
      </c>
      <c r="B127" s="2">
        <v>17528908</v>
      </c>
      <c r="C127" s="4" t="s">
        <v>337</v>
      </c>
      <c r="D127" s="4" t="s">
        <v>338</v>
      </c>
      <c r="E127" s="3">
        <v>45931</v>
      </c>
      <c r="F127" s="4" t="s">
        <v>60</v>
      </c>
      <c r="G127" s="4" t="s">
        <v>51</v>
      </c>
      <c r="H127" s="4" t="s">
        <v>52</v>
      </c>
      <c r="I127" s="5">
        <v>1</v>
      </c>
      <c r="J127" s="5">
        <v>1</v>
      </c>
      <c r="K127" s="5">
        <v>29.41</v>
      </c>
      <c r="L127" s="4" t="s">
        <v>63</v>
      </c>
      <c r="M127" s="4" t="s">
        <v>64</v>
      </c>
      <c r="N127" s="3">
        <v>45566</v>
      </c>
      <c r="O127" t="s">
        <v>542</v>
      </c>
      <c r="P127" s="29" t="s">
        <v>543</v>
      </c>
      <c r="S127" s="4" t="s">
        <v>338</v>
      </c>
      <c r="T127" t="str">
        <f t="shared" si="12"/>
        <v>00021969632K6</v>
      </c>
      <c r="U127" s="4" t="s">
        <v>578</v>
      </c>
      <c r="V127" t="s">
        <v>583</v>
      </c>
      <c r="W127" t="str">
        <f t="shared" si="10"/>
        <v>MARGARET BASHLINE</v>
      </c>
    </row>
    <row r="128" spans="1:42" x14ac:dyDescent="0.2">
      <c r="A128" s="4" t="s">
        <v>373</v>
      </c>
      <c r="B128" s="2">
        <v>18754354</v>
      </c>
      <c r="C128" s="4" t="s">
        <v>378</v>
      </c>
      <c r="D128" s="4" t="s">
        <v>379</v>
      </c>
      <c r="E128" s="3">
        <v>45931</v>
      </c>
      <c r="F128" s="4" t="s">
        <v>60</v>
      </c>
      <c r="G128" s="4" t="s">
        <v>51</v>
      </c>
      <c r="H128" s="4" t="s">
        <v>52</v>
      </c>
      <c r="I128" s="5">
        <v>1</v>
      </c>
      <c r="J128" s="5">
        <v>1</v>
      </c>
      <c r="K128" s="5">
        <v>26.08</v>
      </c>
      <c r="L128" s="4" t="s">
        <v>63</v>
      </c>
      <c r="M128" s="4" t="s">
        <v>64</v>
      </c>
      <c r="N128" s="3">
        <v>45566</v>
      </c>
      <c r="O128" t="s">
        <v>537</v>
      </c>
      <c r="P128" s="29" t="s">
        <v>541</v>
      </c>
      <c r="S128" s="4" t="s">
        <v>379</v>
      </c>
      <c r="T128" t="str">
        <f t="shared" si="12"/>
        <v>00022084599K6</v>
      </c>
      <c r="U128" s="4" t="s">
        <v>850</v>
      </c>
      <c r="V128" t="s">
        <v>583</v>
      </c>
      <c r="W128" t="str">
        <f t="shared" si="10"/>
        <v>MARGARET GARRITY</v>
      </c>
    </row>
    <row r="129" spans="1:23" x14ac:dyDescent="0.2">
      <c r="A129" s="4" t="s">
        <v>288</v>
      </c>
      <c r="B129" s="2">
        <v>17126004</v>
      </c>
      <c r="C129" s="4" t="s">
        <v>289</v>
      </c>
      <c r="D129" s="4" t="s">
        <v>290</v>
      </c>
      <c r="E129" s="3">
        <v>45931</v>
      </c>
      <c r="F129" s="4" t="s">
        <v>60</v>
      </c>
      <c r="G129" s="4" t="s">
        <v>51</v>
      </c>
      <c r="H129" s="4" t="s">
        <v>52</v>
      </c>
      <c r="I129" s="5">
        <v>1</v>
      </c>
      <c r="J129" s="5">
        <v>1</v>
      </c>
      <c r="K129" s="5">
        <v>26.08</v>
      </c>
      <c r="L129" s="4" t="s">
        <v>63</v>
      </c>
      <c r="M129" s="4" t="s">
        <v>64</v>
      </c>
      <c r="N129" s="3">
        <v>45536</v>
      </c>
      <c r="O129" t="s">
        <v>537</v>
      </c>
      <c r="P129" s="29" t="s">
        <v>541</v>
      </c>
      <c r="S129" s="4" t="s">
        <v>290</v>
      </c>
      <c r="T129" t="str">
        <f t="shared" si="12"/>
        <v>00016845150K6</v>
      </c>
      <c r="U129" s="28" t="s">
        <v>867</v>
      </c>
      <c r="V129" t="s">
        <v>636</v>
      </c>
      <c r="W129" t="str">
        <f t="shared" si="10"/>
        <v>MARIANNE O BRIEN</v>
      </c>
    </row>
    <row r="130" spans="1:23" x14ac:dyDescent="0.2">
      <c r="A130" s="4" t="s">
        <v>443</v>
      </c>
      <c r="B130" s="2">
        <v>18828278</v>
      </c>
      <c r="C130" s="4" t="s">
        <v>450</v>
      </c>
      <c r="D130" s="4" t="s">
        <v>451</v>
      </c>
      <c r="E130" s="3">
        <v>45931</v>
      </c>
      <c r="F130" s="4" t="s">
        <v>60</v>
      </c>
      <c r="G130" s="4" t="s">
        <v>51</v>
      </c>
      <c r="H130" s="4" t="s">
        <v>52</v>
      </c>
      <c r="I130" s="5">
        <v>1</v>
      </c>
      <c r="J130" s="5">
        <v>1</v>
      </c>
      <c r="K130" s="5">
        <v>26.08</v>
      </c>
      <c r="L130" s="4" t="s">
        <v>63</v>
      </c>
      <c r="M130" s="4" t="s">
        <v>64</v>
      </c>
      <c r="N130" s="3">
        <v>45627</v>
      </c>
      <c r="O130" t="s">
        <v>537</v>
      </c>
      <c r="P130" s="29" t="s">
        <v>541</v>
      </c>
      <c r="S130" s="4" t="s">
        <v>451</v>
      </c>
      <c r="T130" t="str">
        <f t="shared" si="12"/>
        <v>00022524693K6</v>
      </c>
      <c r="U130" s="4" t="s">
        <v>655</v>
      </c>
      <c r="V130" t="s">
        <v>656</v>
      </c>
      <c r="W130" t="str">
        <f t="shared" si="10"/>
        <v>MARILYN SCHUMM</v>
      </c>
    </row>
    <row r="131" spans="1:23" x14ac:dyDescent="0.2">
      <c r="A131" s="4" t="s">
        <v>188</v>
      </c>
      <c r="B131" s="2">
        <v>7146581</v>
      </c>
      <c r="C131" s="4" t="s">
        <v>215</v>
      </c>
      <c r="D131" s="4" t="s">
        <v>216</v>
      </c>
      <c r="E131" s="3">
        <v>45962</v>
      </c>
      <c r="F131" s="4" t="s">
        <v>69</v>
      </c>
      <c r="G131" s="4" t="s">
        <v>51</v>
      </c>
      <c r="H131" s="4" t="s">
        <v>52</v>
      </c>
      <c r="I131" s="5">
        <v>0.17</v>
      </c>
      <c r="J131" s="5">
        <v>1</v>
      </c>
      <c r="K131" s="5">
        <v>52.17</v>
      </c>
      <c r="L131" s="4" t="s">
        <v>56</v>
      </c>
      <c r="M131" s="4" t="s">
        <v>57</v>
      </c>
      <c r="N131" s="3">
        <v>45962</v>
      </c>
      <c r="O131" t="s">
        <v>537</v>
      </c>
      <c r="P131" s="29" t="s">
        <v>540</v>
      </c>
      <c r="S131" s="4" t="s">
        <v>216</v>
      </c>
      <c r="T131" t="str">
        <f t="shared" si="12"/>
        <v>00023790680K6</v>
      </c>
      <c r="U131" s="4" t="s">
        <v>699</v>
      </c>
      <c r="V131" t="s">
        <v>700</v>
      </c>
      <c r="W131" t="str">
        <f t="shared" si="10"/>
        <v>MARK ESCHENBACHER</v>
      </c>
    </row>
    <row r="132" spans="1:23" x14ac:dyDescent="0.2">
      <c r="A132" s="4" t="s">
        <v>438</v>
      </c>
      <c r="B132" s="2">
        <v>19681796</v>
      </c>
      <c r="C132" s="4" t="s">
        <v>441</v>
      </c>
      <c r="D132" s="4" t="s">
        <v>442</v>
      </c>
      <c r="E132" s="3">
        <v>45931</v>
      </c>
      <c r="F132" s="4" t="s">
        <v>60</v>
      </c>
      <c r="G132" s="4" t="s">
        <v>51</v>
      </c>
      <c r="H132" s="4" t="s">
        <v>52</v>
      </c>
      <c r="I132" s="5">
        <v>1</v>
      </c>
      <c r="J132" s="5">
        <v>1</v>
      </c>
      <c r="K132" s="5">
        <v>26.08</v>
      </c>
      <c r="L132" s="4" t="s">
        <v>63</v>
      </c>
      <c r="M132" s="4" t="s">
        <v>64</v>
      </c>
      <c r="N132" s="3">
        <v>45505</v>
      </c>
      <c r="O132" t="s">
        <v>537</v>
      </c>
      <c r="P132" s="29" t="s">
        <v>541</v>
      </c>
      <c r="S132" s="4" t="s">
        <v>442</v>
      </c>
      <c r="T132" t="str">
        <f t="shared" si="12"/>
        <v>00021920479K6</v>
      </c>
      <c r="U132" s="4" t="s">
        <v>770</v>
      </c>
      <c r="V132" t="s">
        <v>771</v>
      </c>
      <c r="W132" t="str">
        <f t="shared" si="10"/>
        <v>MARSHA WEBSTER</v>
      </c>
    </row>
    <row r="133" spans="1:23" x14ac:dyDescent="0.2">
      <c r="A133" s="4" t="s">
        <v>221</v>
      </c>
      <c r="B133" s="2">
        <v>15278437</v>
      </c>
      <c r="C133" s="4" t="s">
        <v>231</v>
      </c>
      <c r="D133" s="4" t="s">
        <v>232</v>
      </c>
      <c r="E133" s="3">
        <v>45931</v>
      </c>
      <c r="F133" s="4" t="s">
        <v>60</v>
      </c>
      <c r="G133" s="4" t="s">
        <v>51</v>
      </c>
      <c r="H133" s="4" t="s">
        <v>52</v>
      </c>
      <c r="I133" s="5">
        <v>1</v>
      </c>
      <c r="J133" s="5">
        <v>1</v>
      </c>
      <c r="K133" s="5">
        <v>26.08</v>
      </c>
      <c r="L133" s="4" t="s">
        <v>63</v>
      </c>
      <c r="M133" s="4" t="s">
        <v>64</v>
      </c>
      <c r="N133" s="3">
        <v>45444</v>
      </c>
      <c r="O133" t="s">
        <v>537</v>
      </c>
      <c r="P133" s="29" t="s">
        <v>541</v>
      </c>
      <c r="S133" s="4" t="s">
        <v>232</v>
      </c>
      <c r="T133" t="str">
        <f t="shared" si="12"/>
        <v>00021801538K6</v>
      </c>
      <c r="U133" s="4" t="s">
        <v>673</v>
      </c>
      <c r="V133" t="s">
        <v>625</v>
      </c>
      <c r="W133" t="str">
        <f t="shared" si="10"/>
        <v>MARY GIOVINCO</v>
      </c>
    </row>
    <row r="134" spans="1:23" x14ac:dyDescent="0.2">
      <c r="A134" s="4" t="s">
        <v>388</v>
      </c>
      <c r="B134" s="2">
        <v>19396223</v>
      </c>
      <c r="C134" s="4" t="s">
        <v>395</v>
      </c>
      <c r="D134" s="4" t="s">
        <v>396</v>
      </c>
      <c r="E134" s="3">
        <v>45931</v>
      </c>
      <c r="F134" s="4" t="s">
        <v>60</v>
      </c>
      <c r="G134" s="4" t="s">
        <v>51</v>
      </c>
      <c r="H134" s="4" t="s">
        <v>62</v>
      </c>
      <c r="I134" s="5">
        <v>1</v>
      </c>
      <c r="J134" s="5">
        <v>1</v>
      </c>
      <c r="K134" s="5">
        <v>26.08</v>
      </c>
      <c r="L134" s="4" t="s">
        <v>63</v>
      </c>
      <c r="M134" s="4" t="s">
        <v>64</v>
      </c>
      <c r="N134" s="3">
        <v>45627</v>
      </c>
      <c r="O134" t="s">
        <v>537</v>
      </c>
      <c r="P134" s="29" t="s">
        <v>541</v>
      </c>
      <c r="S134" s="4" t="s">
        <v>396</v>
      </c>
      <c r="T134" t="str">
        <f t="shared" si="12"/>
        <v>00022627896K6</v>
      </c>
      <c r="U134" s="4" t="s">
        <v>624</v>
      </c>
      <c r="V134" t="s">
        <v>625</v>
      </c>
      <c r="W134" t="str">
        <f t="shared" si="10"/>
        <v>MARY LUPOU</v>
      </c>
    </row>
    <row r="135" spans="1:23" x14ac:dyDescent="0.2">
      <c r="A135" s="4" t="s">
        <v>409</v>
      </c>
      <c r="B135" s="2">
        <v>19200754</v>
      </c>
      <c r="C135" s="4" t="s">
        <v>420</v>
      </c>
      <c r="D135" s="4" t="s">
        <v>421</v>
      </c>
      <c r="E135" s="3">
        <v>45931</v>
      </c>
      <c r="F135" s="4" t="s">
        <v>60</v>
      </c>
      <c r="G135" s="4" t="s">
        <v>51</v>
      </c>
      <c r="H135" s="4" t="s">
        <v>62</v>
      </c>
      <c r="I135" s="5">
        <v>1</v>
      </c>
      <c r="J135" s="5">
        <v>1</v>
      </c>
      <c r="K135" s="5">
        <v>26.08</v>
      </c>
      <c r="L135" s="4" t="s">
        <v>63</v>
      </c>
      <c r="M135" s="4" t="s">
        <v>64</v>
      </c>
      <c r="N135" s="3">
        <v>45597</v>
      </c>
      <c r="O135" t="s">
        <v>537</v>
      </c>
      <c r="P135" s="29" t="s">
        <v>541</v>
      </c>
      <c r="S135" s="4" t="s">
        <v>421</v>
      </c>
      <c r="T135" t="str">
        <f t="shared" si="12"/>
        <v>00022148995K6</v>
      </c>
      <c r="U135" s="4" t="s">
        <v>760</v>
      </c>
      <c r="V135" t="s">
        <v>625</v>
      </c>
      <c r="W135" t="str">
        <f t="shared" si="10"/>
        <v>MARY PAUL</v>
      </c>
    </row>
    <row r="136" spans="1:23" x14ac:dyDescent="0.2">
      <c r="A136" s="4" t="s">
        <v>283</v>
      </c>
      <c r="B136" s="2">
        <v>16212649</v>
      </c>
      <c r="C136" s="4" t="s">
        <v>284</v>
      </c>
      <c r="D136" s="4" t="s">
        <v>285</v>
      </c>
      <c r="E136" s="3">
        <v>45931</v>
      </c>
      <c r="F136" s="4" t="s">
        <v>60</v>
      </c>
      <c r="G136" s="4" t="s">
        <v>51</v>
      </c>
      <c r="H136" s="4" t="s">
        <v>52</v>
      </c>
      <c r="I136" s="5">
        <v>1</v>
      </c>
      <c r="J136" s="5">
        <v>1</v>
      </c>
      <c r="K136" s="5">
        <v>32.5</v>
      </c>
      <c r="L136" s="4" t="s">
        <v>63</v>
      </c>
      <c r="M136" s="4" t="s">
        <v>64</v>
      </c>
      <c r="N136" s="3">
        <v>45474</v>
      </c>
      <c r="O136" t="s">
        <v>544</v>
      </c>
      <c r="P136" s="29" t="s">
        <v>545</v>
      </c>
      <c r="Q136">
        <f>390/12</f>
        <v>32.5</v>
      </c>
      <c r="S136" s="4" t="s">
        <v>285</v>
      </c>
      <c r="T136" t="str">
        <f t="shared" si="12"/>
        <v>00021783471K6</v>
      </c>
      <c r="U136" s="4" t="s">
        <v>556</v>
      </c>
      <c r="V136" t="s">
        <v>557</v>
      </c>
      <c r="W136" t="str">
        <f t="shared" si="10"/>
        <v>MARYCLARE BENTLEY</v>
      </c>
    </row>
    <row r="137" spans="1:23" x14ac:dyDescent="0.2">
      <c r="A137" s="4" t="s">
        <v>388</v>
      </c>
      <c r="B137" s="2">
        <v>19396223</v>
      </c>
      <c r="C137" s="4" t="s">
        <v>397</v>
      </c>
      <c r="D137" s="4" t="s">
        <v>398</v>
      </c>
      <c r="E137" s="3">
        <v>45962</v>
      </c>
      <c r="F137" s="4" t="s">
        <v>69</v>
      </c>
      <c r="G137" s="4" t="s">
        <v>51</v>
      </c>
      <c r="H137" s="4" t="s">
        <v>52</v>
      </c>
      <c r="I137" s="5">
        <v>0.17</v>
      </c>
      <c r="J137" s="5">
        <v>1</v>
      </c>
      <c r="K137" s="5">
        <v>52.17</v>
      </c>
      <c r="L137" s="4" t="s">
        <v>56</v>
      </c>
      <c r="M137" s="4" t="s">
        <v>57</v>
      </c>
      <c r="N137" s="3">
        <v>45962</v>
      </c>
      <c r="O137" t="s">
        <v>537</v>
      </c>
      <c r="P137" s="29" t="s">
        <v>540</v>
      </c>
      <c r="S137" s="4" t="s">
        <v>398</v>
      </c>
      <c r="T137" t="str">
        <f t="shared" si="12"/>
        <v>00023793753K6</v>
      </c>
      <c r="U137" s="4" t="s">
        <v>626</v>
      </c>
      <c r="V137" t="s">
        <v>627</v>
      </c>
      <c r="W137" t="str">
        <f t="shared" si="10"/>
        <v>MARYJO BOVY</v>
      </c>
    </row>
    <row r="138" spans="1:23" x14ac:dyDescent="0.2">
      <c r="A138" s="4" t="s">
        <v>74</v>
      </c>
      <c r="B138" s="2">
        <v>8814784</v>
      </c>
      <c r="C138" s="4" t="s">
        <v>75</v>
      </c>
      <c r="D138" s="4" t="s">
        <v>76</v>
      </c>
      <c r="E138" s="3">
        <v>45931</v>
      </c>
      <c r="F138" s="4" t="s">
        <v>60</v>
      </c>
      <c r="G138" s="4" t="s">
        <v>51</v>
      </c>
      <c r="H138" s="4" t="s">
        <v>52</v>
      </c>
      <c r="I138" s="5">
        <v>1</v>
      </c>
      <c r="J138" s="5">
        <v>1</v>
      </c>
      <c r="K138" s="5">
        <v>26.08</v>
      </c>
      <c r="L138" s="4" t="s">
        <v>63</v>
      </c>
      <c r="M138" s="4" t="s">
        <v>64</v>
      </c>
      <c r="N138" s="3">
        <v>45566</v>
      </c>
      <c r="O138" t="s">
        <v>537</v>
      </c>
      <c r="P138" s="29" t="s">
        <v>541</v>
      </c>
      <c r="S138" s="4" t="s">
        <v>76</v>
      </c>
      <c r="T138" t="str">
        <f t="shared" si="12"/>
        <v>00022077277K6</v>
      </c>
      <c r="U138" s="4" t="s">
        <v>702</v>
      </c>
      <c r="V138" t="s">
        <v>703</v>
      </c>
      <c r="W138" t="str">
        <f t="shared" si="10"/>
        <v>MAURICE ENWIA</v>
      </c>
    </row>
    <row r="139" spans="1:23" x14ac:dyDescent="0.2">
      <c r="A139" s="4" t="s">
        <v>89</v>
      </c>
      <c r="B139" s="2">
        <v>8307933</v>
      </c>
      <c r="C139" s="4" t="s">
        <v>150</v>
      </c>
      <c r="D139" s="4" t="s">
        <v>151</v>
      </c>
      <c r="E139" s="3">
        <v>45931</v>
      </c>
      <c r="F139" s="4" t="s">
        <v>60</v>
      </c>
      <c r="G139" s="4" t="s">
        <v>51</v>
      </c>
      <c r="H139" s="4" t="s">
        <v>52</v>
      </c>
      <c r="I139" s="5">
        <v>1</v>
      </c>
      <c r="J139" s="5">
        <v>1</v>
      </c>
      <c r="K139" s="5">
        <v>26.08</v>
      </c>
      <c r="L139" s="4" t="s">
        <v>63</v>
      </c>
      <c r="M139" s="4" t="s">
        <v>64</v>
      </c>
      <c r="N139" s="3">
        <v>45323</v>
      </c>
      <c r="O139" t="s">
        <v>537</v>
      </c>
      <c r="P139" s="29" t="s">
        <v>541</v>
      </c>
      <c r="S139" s="4" t="s">
        <v>151</v>
      </c>
      <c r="T139" t="str">
        <f t="shared" si="12"/>
        <v>00021503102K6</v>
      </c>
      <c r="U139" s="4" t="s">
        <v>804</v>
      </c>
      <c r="V139" t="s">
        <v>564</v>
      </c>
      <c r="W139" t="str">
        <f t="shared" si="10"/>
        <v>MICHAEL HEIN</v>
      </c>
    </row>
    <row r="140" spans="1:23" x14ac:dyDescent="0.2">
      <c r="A140" s="4" t="s">
        <v>221</v>
      </c>
      <c r="B140" s="2">
        <v>15278437</v>
      </c>
      <c r="C140" s="4" t="s">
        <v>229</v>
      </c>
      <c r="D140" s="4" t="s">
        <v>230</v>
      </c>
      <c r="E140" s="3">
        <v>45931</v>
      </c>
      <c r="F140" s="4" t="s">
        <v>60</v>
      </c>
      <c r="G140" s="4" t="s">
        <v>51</v>
      </c>
      <c r="H140" s="4" t="s">
        <v>52</v>
      </c>
      <c r="I140" s="5">
        <v>1</v>
      </c>
      <c r="J140" s="5">
        <v>1</v>
      </c>
      <c r="K140" s="5">
        <v>29.41</v>
      </c>
      <c r="L140" s="4" t="s">
        <v>63</v>
      </c>
      <c r="M140" s="4" t="s">
        <v>64</v>
      </c>
      <c r="N140" s="3">
        <v>45383</v>
      </c>
      <c r="O140" t="s">
        <v>542</v>
      </c>
      <c r="P140" s="29" t="s">
        <v>543</v>
      </c>
      <c r="S140" s="4" t="s">
        <v>230</v>
      </c>
      <c r="T140" t="str">
        <f t="shared" si="12"/>
        <v>00021622015K6</v>
      </c>
      <c r="U140" s="4" t="s">
        <v>563</v>
      </c>
      <c r="V140" t="s">
        <v>564</v>
      </c>
      <c r="W140" t="str">
        <f t="shared" si="10"/>
        <v>MICHAEL MCKENNA</v>
      </c>
    </row>
    <row r="141" spans="1:23" x14ac:dyDescent="0.2">
      <c r="A141" s="4" t="s">
        <v>89</v>
      </c>
      <c r="B141" s="2">
        <v>8307933</v>
      </c>
      <c r="C141" s="4" t="s">
        <v>98</v>
      </c>
      <c r="D141" s="4" t="s">
        <v>99</v>
      </c>
      <c r="E141" s="3">
        <v>45931</v>
      </c>
      <c r="F141" s="4" t="s">
        <v>60</v>
      </c>
      <c r="G141" s="4" t="s">
        <v>51</v>
      </c>
      <c r="H141" s="4" t="s">
        <v>52</v>
      </c>
      <c r="I141" s="5">
        <v>1</v>
      </c>
      <c r="J141" s="5">
        <v>1</v>
      </c>
      <c r="K141" s="5">
        <v>26.08</v>
      </c>
      <c r="L141" s="4" t="s">
        <v>63</v>
      </c>
      <c r="M141" s="4" t="s">
        <v>64</v>
      </c>
      <c r="N141" s="3">
        <v>45047</v>
      </c>
      <c r="O141" t="s">
        <v>537</v>
      </c>
      <c r="P141" s="29" t="s">
        <v>541</v>
      </c>
      <c r="S141" s="4" t="s">
        <v>99</v>
      </c>
      <c r="T141" t="str">
        <f t="shared" si="12"/>
        <v>00020366504K6</v>
      </c>
      <c r="U141" s="4" t="s">
        <v>780</v>
      </c>
      <c r="V141" t="s">
        <v>564</v>
      </c>
      <c r="W141" t="str">
        <f t="shared" si="10"/>
        <v>MICHAEL TODARO</v>
      </c>
    </row>
    <row r="142" spans="1:23" x14ac:dyDescent="0.2">
      <c r="A142" s="4" t="s">
        <v>89</v>
      </c>
      <c r="B142" s="2">
        <v>8307933</v>
      </c>
      <c r="C142" s="4" t="s">
        <v>180</v>
      </c>
      <c r="D142" s="4" t="s">
        <v>181</v>
      </c>
      <c r="E142" s="3">
        <v>45931</v>
      </c>
      <c r="F142" s="4" t="s">
        <v>60</v>
      </c>
      <c r="G142" s="4" t="s">
        <v>51</v>
      </c>
      <c r="H142" s="4" t="s">
        <v>52</v>
      </c>
      <c r="I142" s="5">
        <v>1</v>
      </c>
      <c r="J142" s="5">
        <v>1</v>
      </c>
      <c r="K142" s="5">
        <v>26.08</v>
      </c>
      <c r="L142" s="4" t="s">
        <v>63</v>
      </c>
      <c r="M142" s="4" t="s">
        <v>64</v>
      </c>
      <c r="N142" s="3">
        <v>45627</v>
      </c>
      <c r="O142" t="s">
        <v>537</v>
      </c>
      <c r="P142" s="29" t="s">
        <v>541</v>
      </c>
      <c r="S142" s="4" t="s">
        <v>181</v>
      </c>
      <c r="T142" t="str">
        <f t="shared" si="12"/>
        <v>00022074715K6</v>
      </c>
      <c r="U142" s="4" t="s">
        <v>823</v>
      </c>
      <c r="V142" t="s">
        <v>824</v>
      </c>
      <c r="W142" t="str">
        <f t="shared" si="10"/>
        <v>MIKE FOLLANSBEE</v>
      </c>
    </row>
    <row r="143" spans="1:23" x14ac:dyDescent="0.2">
      <c r="A143" s="4" t="s">
        <v>342</v>
      </c>
      <c r="B143" s="2">
        <v>9213293</v>
      </c>
      <c r="C143" s="4" t="s">
        <v>347</v>
      </c>
      <c r="D143" s="4" t="s">
        <v>348</v>
      </c>
      <c r="E143" s="3">
        <v>45931</v>
      </c>
      <c r="F143" s="4" t="s">
        <v>60</v>
      </c>
      <c r="G143" s="4" t="s">
        <v>51</v>
      </c>
      <c r="H143" s="4" t="s">
        <v>52</v>
      </c>
      <c r="I143" s="5">
        <v>1</v>
      </c>
      <c r="J143" s="5">
        <v>1</v>
      </c>
      <c r="K143" s="5">
        <v>26.08</v>
      </c>
      <c r="L143" s="4" t="s">
        <v>63</v>
      </c>
      <c r="M143" s="4" t="s">
        <v>64</v>
      </c>
      <c r="N143" s="3">
        <v>45474</v>
      </c>
      <c r="O143" t="s">
        <v>537</v>
      </c>
      <c r="P143" s="29" t="s">
        <v>541</v>
      </c>
      <c r="S143" s="4" t="s">
        <v>348</v>
      </c>
      <c r="T143" t="str">
        <f t="shared" si="12"/>
        <v>00021895596K6</v>
      </c>
      <c r="U143" s="4" t="s">
        <v>722</v>
      </c>
      <c r="V143" t="s">
        <v>723</v>
      </c>
      <c r="W143" t="str">
        <f t="shared" si="10"/>
        <v>MITCH WISE</v>
      </c>
    </row>
    <row r="144" spans="1:23" x14ac:dyDescent="0.2">
      <c r="A144" s="4" t="s">
        <v>42</v>
      </c>
      <c r="B144" s="2">
        <v>371819</v>
      </c>
      <c r="C144" s="4" t="s">
        <v>66</v>
      </c>
      <c r="D144" s="4" t="s">
        <v>67</v>
      </c>
      <c r="E144" s="3">
        <v>45962</v>
      </c>
      <c r="F144" s="4" t="s">
        <v>69</v>
      </c>
      <c r="G144" s="4" t="s">
        <v>51</v>
      </c>
      <c r="H144" s="4" t="s">
        <v>52</v>
      </c>
      <c r="I144" s="5">
        <v>0.17</v>
      </c>
      <c r="J144" s="5">
        <v>1</v>
      </c>
      <c r="K144" s="5">
        <v>52.17</v>
      </c>
      <c r="L144" s="4" t="s">
        <v>56</v>
      </c>
      <c r="M144" s="4" t="s">
        <v>57</v>
      </c>
      <c r="N144" s="3">
        <v>45962</v>
      </c>
      <c r="O144" t="s">
        <v>537</v>
      </c>
      <c r="P144" s="29" t="s">
        <v>540</v>
      </c>
      <c r="S144" s="4" t="s">
        <v>67</v>
      </c>
      <c r="T144" t="str">
        <f t="shared" si="12"/>
        <v>00023791480K6</v>
      </c>
      <c r="U144" s="4" t="s">
        <v>716</v>
      </c>
      <c r="V144" t="s">
        <v>717</v>
      </c>
      <c r="W144" t="str">
        <f t="shared" si="10"/>
        <v>MONA DAVIS</v>
      </c>
    </row>
    <row r="145" spans="1:42" x14ac:dyDescent="0.2">
      <c r="A145" s="4" t="s">
        <v>339</v>
      </c>
      <c r="B145" s="2">
        <v>17774994</v>
      </c>
      <c r="C145" s="4" t="s">
        <v>340</v>
      </c>
      <c r="D145" s="4" t="s">
        <v>341</v>
      </c>
      <c r="E145" s="3">
        <v>45931</v>
      </c>
      <c r="F145" s="4" t="s">
        <v>60</v>
      </c>
      <c r="G145" s="4" t="s">
        <v>51</v>
      </c>
      <c r="H145" s="4" t="s">
        <v>52</v>
      </c>
      <c r="I145" s="5">
        <v>1</v>
      </c>
      <c r="J145" s="5">
        <v>1</v>
      </c>
      <c r="K145" s="5">
        <v>26.08</v>
      </c>
      <c r="L145" s="4" t="s">
        <v>63</v>
      </c>
      <c r="M145" s="4" t="s">
        <v>64</v>
      </c>
      <c r="N145" s="3">
        <v>45597</v>
      </c>
      <c r="O145" t="s">
        <v>537</v>
      </c>
      <c r="P145" s="29" t="s">
        <v>541</v>
      </c>
      <c r="S145" s="4" t="s">
        <v>341</v>
      </c>
      <c r="T145" t="str">
        <f t="shared" si="12"/>
        <v>00022242482K6</v>
      </c>
      <c r="U145" s="4" t="s">
        <v>659</v>
      </c>
      <c r="V145" t="s">
        <v>660</v>
      </c>
      <c r="W145" t="str">
        <f t="shared" si="10"/>
        <v>MONICA LOREY</v>
      </c>
    </row>
    <row r="146" spans="1:42" x14ac:dyDescent="0.2">
      <c r="A146" s="12" t="s">
        <v>373</v>
      </c>
      <c r="B146" s="13">
        <v>18754354</v>
      </c>
      <c r="C146" s="12" t="s">
        <v>523</v>
      </c>
      <c r="D146" s="14">
        <v>413180</v>
      </c>
      <c r="E146" s="15">
        <v>45931</v>
      </c>
      <c r="F146" s="12" t="s">
        <v>60</v>
      </c>
      <c r="G146" s="12" t="s">
        <v>488</v>
      </c>
      <c r="H146" s="12" t="s">
        <v>46</v>
      </c>
      <c r="I146" s="16">
        <v>10</v>
      </c>
      <c r="J146" s="16">
        <v>910.45</v>
      </c>
      <c r="K146" s="16">
        <v>91.05</v>
      </c>
      <c r="L146" s="12" t="s">
        <v>63</v>
      </c>
      <c r="M146" s="12" t="s">
        <v>64</v>
      </c>
      <c r="N146" s="15">
        <v>45474</v>
      </c>
      <c r="O146" s="17" t="s">
        <v>535</v>
      </c>
      <c r="P146" s="17"/>
      <c r="Q146" s="17"/>
      <c r="R146" s="17"/>
      <c r="S146" s="14">
        <v>413180</v>
      </c>
      <c r="T146" s="17" t="str">
        <f>CONCATENATE(S146,7)</f>
        <v>4131807</v>
      </c>
      <c r="U146" s="12" t="s">
        <v>617</v>
      </c>
      <c r="V146" s="17" t="s">
        <v>618</v>
      </c>
      <c r="W146" s="12" t="s">
        <v>523</v>
      </c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</row>
    <row r="147" spans="1:42" x14ac:dyDescent="0.2">
      <c r="A147" s="12" t="s">
        <v>373</v>
      </c>
      <c r="B147" s="13">
        <v>18754354</v>
      </c>
      <c r="C147" s="12" t="s">
        <v>523</v>
      </c>
      <c r="D147" s="14">
        <v>413180</v>
      </c>
      <c r="E147" s="15">
        <v>45931</v>
      </c>
      <c r="F147" s="12" t="s">
        <v>60</v>
      </c>
      <c r="G147" s="12" t="s">
        <v>483</v>
      </c>
      <c r="H147" s="12" t="s">
        <v>46</v>
      </c>
      <c r="I147" s="16">
        <v>10</v>
      </c>
      <c r="J147" s="16">
        <v>177.17</v>
      </c>
      <c r="K147" s="16">
        <v>17.72</v>
      </c>
      <c r="L147" s="12" t="s">
        <v>63</v>
      </c>
      <c r="M147" s="12" t="s">
        <v>64</v>
      </c>
      <c r="N147" s="15">
        <v>45474</v>
      </c>
      <c r="O147" s="17" t="s">
        <v>535</v>
      </c>
      <c r="P147" s="17"/>
      <c r="Q147" s="17"/>
      <c r="R147" s="17"/>
      <c r="S147" s="14">
        <v>413180</v>
      </c>
      <c r="T147" s="17" t="str">
        <f>CONCATENATE(S147,7)</f>
        <v>4131807</v>
      </c>
      <c r="U147" s="12" t="s">
        <v>617</v>
      </c>
      <c r="V147" s="17" t="s">
        <v>618</v>
      </c>
      <c r="W147" s="12" t="s">
        <v>523</v>
      </c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</row>
    <row r="148" spans="1:42" x14ac:dyDescent="0.2">
      <c r="A148" s="4" t="s">
        <v>409</v>
      </c>
      <c r="B148" s="2">
        <v>19200754</v>
      </c>
      <c r="C148" s="4" t="s">
        <v>422</v>
      </c>
      <c r="D148" s="4" t="s">
        <v>423</v>
      </c>
      <c r="E148" s="3">
        <v>45931</v>
      </c>
      <c r="F148" s="4" t="s">
        <v>60</v>
      </c>
      <c r="G148" s="4" t="s">
        <v>51</v>
      </c>
      <c r="H148" s="4" t="s">
        <v>52</v>
      </c>
      <c r="I148" s="5">
        <v>1</v>
      </c>
      <c r="J148" s="5">
        <v>1</v>
      </c>
      <c r="K148" s="5">
        <v>26.08</v>
      </c>
      <c r="L148" s="4" t="s">
        <v>63</v>
      </c>
      <c r="M148" s="4" t="s">
        <v>64</v>
      </c>
      <c r="N148" s="3">
        <v>45627</v>
      </c>
      <c r="O148" t="s">
        <v>537</v>
      </c>
      <c r="P148" s="29" t="s">
        <v>541</v>
      </c>
      <c r="S148" s="4" t="s">
        <v>423</v>
      </c>
      <c r="T148" t="str">
        <f t="shared" ref="T148:T156" si="13">CONCATENATE(S148,6)</f>
        <v>00022406995K6</v>
      </c>
      <c r="U148" s="4" t="s">
        <v>751</v>
      </c>
      <c r="V148" t="s">
        <v>752</v>
      </c>
      <c r="W148" t="str">
        <f t="shared" ref="W148:W179" si="14">CONCATENATE(V148, " ",U148)</f>
        <v>NICOMEDES SILVA</v>
      </c>
    </row>
    <row r="149" spans="1:42" x14ac:dyDescent="0.2">
      <c r="A149" s="4" t="s">
        <v>74</v>
      </c>
      <c r="B149" s="2">
        <v>8814784</v>
      </c>
      <c r="C149" s="4" t="s">
        <v>79</v>
      </c>
      <c r="D149" s="4" t="s">
        <v>80</v>
      </c>
      <c r="E149" s="3">
        <v>45962</v>
      </c>
      <c r="F149" s="4" t="s">
        <v>69</v>
      </c>
      <c r="G149" s="4" t="s">
        <v>51</v>
      </c>
      <c r="H149" s="4" t="s">
        <v>52</v>
      </c>
      <c r="I149" s="5">
        <v>0.17</v>
      </c>
      <c r="J149" s="5">
        <v>1</v>
      </c>
      <c r="K149" s="5">
        <v>52.17</v>
      </c>
      <c r="L149" s="4" t="s">
        <v>56</v>
      </c>
      <c r="M149" s="4" t="s">
        <v>57</v>
      </c>
      <c r="N149" s="3">
        <v>45962</v>
      </c>
      <c r="O149" t="s">
        <v>537</v>
      </c>
      <c r="P149" s="29" t="s">
        <v>540</v>
      </c>
      <c r="S149" s="4" t="s">
        <v>80</v>
      </c>
      <c r="T149" t="str">
        <f t="shared" si="13"/>
        <v>00023785729K6</v>
      </c>
      <c r="U149" s="4" t="s">
        <v>706</v>
      </c>
      <c r="V149" t="s">
        <v>707</v>
      </c>
      <c r="W149" t="str">
        <f t="shared" si="14"/>
        <v>PAMELA MANESS</v>
      </c>
    </row>
    <row r="150" spans="1:42" x14ac:dyDescent="0.2">
      <c r="A150" s="4" t="s">
        <v>89</v>
      </c>
      <c r="B150" s="2">
        <v>8307933</v>
      </c>
      <c r="C150" s="4" t="s">
        <v>123</v>
      </c>
      <c r="D150" s="4" t="s">
        <v>124</v>
      </c>
      <c r="E150" s="3">
        <v>45931</v>
      </c>
      <c r="F150" s="4" t="s">
        <v>60</v>
      </c>
      <c r="G150" s="4" t="s">
        <v>51</v>
      </c>
      <c r="H150" s="4" t="s">
        <v>52</v>
      </c>
      <c r="I150" s="5">
        <v>1</v>
      </c>
      <c r="J150" s="5">
        <v>1</v>
      </c>
      <c r="K150" s="5">
        <v>26.08</v>
      </c>
      <c r="L150" s="4" t="s">
        <v>63</v>
      </c>
      <c r="M150" s="4" t="s">
        <v>64</v>
      </c>
      <c r="N150" s="3">
        <v>45170</v>
      </c>
      <c r="O150" t="s">
        <v>537</v>
      </c>
      <c r="P150" s="29" t="s">
        <v>541</v>
      </c>
      <c r="S150" s="4" t="s">
        <v>124</v>
      </c>
      <c r="T150" t="str">
        <f t="shared" si="13"/>
        <v>00020693708K6</v>
      </c>
      <c r="U150" s="4" t="s">
        <v>792</v>
      </c>
      <c r="V150" t="s">
        <v>640</v>
      </c>
      <c r="W150" t="str">
        <f t="shared" si="14"/>
        <v>PATRICIA HARKER</v>
      </c>
    </row>
    <row r="151" spans="1:42" x14ac:dyDescent="0.2">
      <c r="A151" s="4" t="s">
        <v>288</v>
      </c>
      <c r="B151" s="2">
        <v>17126004</v>
      </c>
      <c r="C151" s="4" t="s">
        <v>293</v>
      </c>
      <c r="D151" s="4" t="s">
        <v>294</v>
      </c>
      <c r="E151" s="3">
        <v>45931</v>
      </c>
      <c r="F151" s="4" t="s">
        <v>60</v>
      </c>
      <c r="G151" s="4" t="s">
        <v>51</v>
      </c>
      <c r="H151" s="4" t="s">
        <v>52</v>
      </c>
      <c r="I151" s="5">
        <v>1</v>
      </c>
      <c r="J151" s="5">
        <v>1</v>
      </c>
      <c r="K151" s="5">
        <v>26.08</v>
      </c>
      <c r="L151" s="4" t="s">
        <v>63</v>
      </c>
      <c r="M151" s="4" t="s">
        <v>64</v>
      </c>
      <c r="N151" s="3">
        <v>45505</v>
      </c>
      <c r="O151" t="s">
        <v>537</v>
      </c>
      <c r="P151" s="29" t="s">
        <v>541</v>
      </c>
      <c r="S151" s="4" t="s">
        <v>294</v>
      </c>
      <c r="T151" t="str">
        <f t="shared" si="13"/>
        <v>00021908647K6</v>
      </c>
      <c r="U151" s="4" t="s">
        <v>639</v>
      </c>
      <c r="V151" t="s">
        <v>640</v>
      </c>
      <c r="W151" t="str">
        <f t="shared" si="14"/>
        <v>PATRICIA MCGRAIL</v>
      </c>
    </row>
    <row r="152" spans="1:42" x14ac:dyDescent="0.2">
      <c r="A152" s="4" t="s">
        <v>188</v>
      </c>
      <c r="B152" s="2">
        <v>7146581</v>
      </c>
      <c r="C152" s="4" t="s">
        <v>195</v>
      </c>
      <c r="D152" s="4" t="s">
        <v>196</v>
      </c>
      <c r="E152" s="3">
        <v>45931</v>
      </c>
      <c r="F152" s="4" t="s">
        <v>60</v>
      </c>
      <c r="G152" s="4" t="s">
        <v>51</v>
      </c>
      <c r="H152" s="4" t="s">
        <v>52</v>
      </c>
      <c r="I152" s="5">
        <v>1</v>
      </c>
      <c r="J152" s="5">
        <v>1</v>
      </c>
      <c r="K152" s="5">
        <v>26.08</v>
      </c>
      <c r="L152" s="4" t="s">
        <v>63</v>
      </c>
      <c r="M152" s="4" t="s">
        <v>64</v>
      </c>
      <c r="N152" s="3">
        <v>45505</v>
      </c>
      <c r="O152" t="s">
        <v>537</v>
      </c>
      <c r="P152" s="29" t="s">
        <v>541</v>
      </c>
      <c r="S152" s="4" t="s">
        <v>196</v>
      </c>
      <c r="T152" t="str">
        <f t="shared" si="13"/>
        <v>00021926659K6</v>
      </c>
      <c r="U152" s="4" t="s">
        <v>680</v>
      </c>
      <c r="V152" t="s">
        <v>681</v>
      </c>
      <c r="W152" t="str">
        <f t="shared" si="14"/>
        <v>PATRICK JOCHUM</v>
      </c>
    </row>
    <row r="153" spans="1:42" x14ac:dyDescent="0.2">
      <c r="A153" s="4" t="s">
        <v>188</v>
      </c>
      <c r="B153" s="2">
        <v>7146581</v>
      </c>
      <c r="C153" s="4" t="s">
        <v>207</v>
      </c>
      <c r="D153" s="4" t="s">
        <v>208</v>
      </c>
      <c r="E153" s="3">
        <v>45931</v>
      </c>
      <c r="F153" s="4" t="s">
        <v>60</v>
      </c>
      <c r="G153" s="4" t="s">
        <v>51</v>
      </c>
      <c r="H153" s="4" t="s">
        <v>52</v>
      </c>
      <c r="I153" s="5">
        <v>1</v>
      </c>
      <c r="J153" s="5">
        <v>1</v>
      </c>
      <c r="K153" s="5">
        <v>26.08</v>
      </c>
      <c r="L153" s="4" t="s">
        <v>63</v>
      </c>
      <c r="M153" s="4" t="s">
        <v>64</v>
      </c>
      <c r="N153" s="3">
        <v>45566</v>
      </c>
      <c r="O153" t="s">
        <v>537</v>
      </c>
      <c r="P153" s="29" t="s">
        <v>541</v>
      </c>
      <c r="S153" s="4" t="s">
        <v>208</v>
      </c>
      <c r="T153" t="str">
        <f t="shared" si="13"/>
        <v>00022087983K6</v>
      </c>
      <c r="U153" s="4" t="s">
        <v>688</v>
      </c>
      <c r="V153" t="s">
        <v>681</v>
      </c>
      <c r="W153" t="str">
        <f t="shared" si="14"/>
        <v>PATRICK OTTO</v>
      </c>
    </row>
    <row r="154" spans="1:42" x14ac:dyDescent="0.2">
      <c r="A154" s="4" t="s">
        <v>373</v>
      </c>
      <c r="B154" s="2">
        <v>18754354</v>
      </c>
      <c r="C154" s="4" t="s">
        <v>376</v>
      </c>
      <c r="D154" s="4" t="s">
        <v>377</v>
      </c>
      <c r="E154" s="3">
        <v>45931</v>
      </c>
      <c r="F154" s="4" t="s">
        <v>60</v>
      </c>
      <c r="G154" s="4" t="s">
        <v>51</v>
      </c>
      <c r="H154" s="4" t="s">
        <v>62</v>
      </c>
      <c r="I154" s="5">
        <v>1</v>
      </c>
      <c r="J154" s="5">
        <v>1</v>
      </c>
      <c r="K154" s="5">
        <v>26.08</v>
      </c>
      <c r="L154" s="4" t="s">
        <v>63</v>
      </c>
      <c r="M154" s="4" t="s">
        <v>64</v>
      </c>
      <c r="N154" s="3">
        <v>45505</v>
      </c>
      <c r="O154" t="s">
        <v>537</v>
      </c>
      <c r="P154" s="29" t="s">
        <v>541</v>
      </c>
      <c r="S154" s="4" t="s">
        <v>377</v>
      </c>
      <c r="T154" t="str">
        <f t="shared" si="13"/>
        <v>00021961080K6</v>
      </c>
      <c r="U154" s="4" t="s">
        <v>851</v>
      </c>
      <c r="V154" t="s">
        <v>760</v>
      </c>
      <c r="W154" t="str">
        <f t="shared" si="14"/>
        <v>PAUL ARNOLD</v>
      </c>
    </row>
    <row r="155" spans="1:42" x14ac:dyDescent="0.2">
      <c r="A155" s="4" t="s">
        <v>409</v>
      </c>
      <c r="B155" s="2">
        <v>19200754</v>
      </c>
      <c r="C155" s="4" t="s">
        <v>426</v>
      </c>
      <c r="D155" s="4" t="s">
        <v>427</v>
      </c>
      <c r="E155" s="3">
        <v>45931</v>
      </c>
      <c r="F155" s="4" t="s">
        <v>60</v>
      </c>
      <c r="G155" s="4" t="s">
        <v>51</v>
      </c>
      <c r="H155" s="4" t="s">
        <v>62</v>
      </c>
      <c r="I155" s="5">
        <v>1</v>
      </c>
      <c r="J155" s="5">
        <v>1</v>
      </c>
      <c r="K155" s="5">
        <v>26.08</v>
      </c>
      <c r="L155" s="4" t="s">
        <v>63</v>
      </c>
      <c r="M155" s="4" t="s">
        <v>64</v>
      </c>
      <c r="N155" s="3">
        <v>45627</v>
      </c>
      <c r="O155" t="s">
        <v>537</v>
      </c>
      <c r="P155" s="29" t="s">
        <v>541</v>
      </c>
      <c r="S155" s="4" t="s">
        <v>427</v>
      </c>
      <c r="T155" t="str">
        <f t="shared" si="13"/>
        <v>00022659909K6</v>
      </c>
      <c r="U155" s="4" t="s">
        <v>761</v>
      </c>
      <c r="V155" t="s">
        <v>760</v>
      </c>
      <c r="W155" t="str">
        <f t="shared" si="14"/>
        <v>PAUL BORASH</v>
      </c>
    </row>
    <row r="156" spans="1:42" x14ac:dyDescent="0.2">
      <c r="A156" s="4" t="s">
        <v>89</v>
      </c>
      <c r="B156" s="2">
        <v>8307933</v>
      </c>
      <c r="C156" s="4" t="s">
        <v>134</v>
      </c>
      <c r="D156" s="4" t="s">
        <v>135</v>
      </c>
      <c r="E156" s="3">
        <v>45931</v>
      </c>
      <c r="F156" s="4" t="s">
        <v>60</v>
      </c>
      <c r="G156" s="4" t="s">
        <v>51</v>
      </c>
      <c r="H156" s="4" t="s">
        <v>52</v>
      </c>
      <c r="I156" s="5">
        <v>1</v>
      </c>
      <c r="J156" s="5">
        <v>1</v>
      </c>
      <c r="K156" s="5">
        <v>26.08</v>
      </c>
      <c r="L156" s="4" t="s">
        <v>63</v>
      </c>
      <c r="M156" s="4" t="s">
        <v>64</v>
      </c>
      <c r="N156" s="3">
        <v>45292</v>
      </c>
      <c r="O156" t="s">
        <v>537</v>
      </c>
      <c r="P156" s="29" t="s">
        <v>541</v>
      </c>
      <c r="S156" s="4" t="s">
        <v>135</v>
      </c>
      <c r="T156" t="str">
        <f t="shared" si="13"/>
        <v>00020895862K6</v>
      </c>
      <c r="U156" s="4" t="s">
        <v>778</v>
      </c>
      <c r="V156" t="s">
        <v>760</v>
      </c>
      <c r="W156" t="str">
        <f t="shared" si="14"/>
        <v>PAUL MCMULLIN</v>
      </c>
    </row>
    <row r="157" spans="1:42" x14ac:dyDescent="0.2">
      <c r="A157" s="23" t="s">
        <v>342</v>
      </c>
      <c r="B157" s="24">
        <v>9213293</v>
      </c>
      <c r="C157" s="23" t="s">
        <v>518</v>
      </c>
      <c r="D157" s="23" t="s">
        <v>519</v>
      </c>
      <c r="E157" s="25">
        <v>45931</v>
      </c>
      <c r="F157" s="23" t="s">
        <v>60</v>
      </c>
      <c r="G157" s="23" t="s">
        <v>51</v>
      </c>
      <c r="H157" s="23" t="s">
        <v>46</v>
      </c>
      <c r="I157" s="26">
        <v>22</v>
      </c>
      <c r="J157" s="26">
        <v>2120.04</v>
      </c>
      <c r="K157" s="26">
        <v>466.44</v>
      </c>
      <c r="L157" s="23" t="s">
        <v>510</v>
      </c>
      <c r="M157" s="23" t="s">
        <v>511</v>
      </c>
      <c r="N157" s="25">
        <v>45931</v>
      </c>
      <c r="O157" s="27" t="s">
        <v>546</v>
      </c>
      <c r="P157" s="27"/>
      <c r="Q157" s="27"/>
      <c r="R157" s="27"/>
      <c r="S157" s="23" t="s">
        <v>519</v>
      </c>
      <c r="T157" s="27" t="str">
        <f>CONCATENATE(S157,8)</f>
        <v>00001056730A8</v>
      </c>
      <c r="U157" s="23" t="s">
        <v>592</v>
      </c>
      <c r="V157" s="27" t="s">
        <v>593</v>
      </c>
      <c r="W157" t="str">
        <f t="shared" si="14"/>
        <v>PAULETTE MENICK</v>
      </c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</row>
    <row r="158" spans="1:42" x14ac:dyDescent="0.2">
      <c r="A158" s="4" t="s">
        <v>89</v>
      </c>
      <c r="B158" s="2">
        <v>8307933</v>
      </c>
      <c r="C158" s="4" t="s">
        <v>94</v>
      </c>
      <c r="D158" s="4" t="s">
        <v>95</v>
      </c>
      <c r="E158" s="3">
        <v>45931</v>
      </c>
      <c r="F158" s="4" t="s">
        <v>60</v>
      </c>
      <c r="G158" s="4" t="s">
        <v>51</v>
      </c>
      <c r="H158" s="4" t="s">
        <v>52</v>
      </c>
      <c r="I158" s="5">
        <v>1</v>
      </c>
      <c r="J158" s="5">
        <v>1</v>
      </c>
      <c r="K158" s="5">
        <v>26.08</v>
      </c>
      <c r="L158" s="4" t="s">
        <v>63</v>
      </c>
      <c r="M158" s="4" t="s">
        <v>64</v>
      </c>
      <c r="N158" s="3">
        <v>45047</v>
      </c>
      <c r="O158" t="s">
        <v>537</v>
      </c>
      <c r="P158" s="29" t="s">
        <v>541</v>
      </c>
      <c r="S158" s="4" t="s">
        <v>95</v>
      </c>
      <c r="T158" t="str">
        <f>CONCATENATE(S158,6)</f>
        <v>00020321865K6</v>
      </c>
      <c r="U158" s="4" t="s">
        <v>776</v>
      </c>
      <c r="V158" t="s">
        <v>777</v>
      </c>
      <c r="W158" t="str">
        <f t="shared" si="14"/>
        <v>PEDRO CADENA</v>
      </c>
    </row>
    <row r="159" spans="1:42" x14ac:dyDescent="0.2">
      <c r="A159" s="6" t="s">
        <v>318</v>
      </c>
      <c r="B159" s="32" t="s">
        <v>548</v>
      </c>
      <c r="C159" s="6" t="s">
        <v>516</v>
      </c>
      <c r="D159" s="8">
        <v>9030804870</v>
      </c>
      <c r="E159" s="9">
        <v>45962</v>
      </c>
      <c r="F159" s="6" t="s">
        <v>69</v>
      </c>
      <c r="G159" s="6" t="s">
        <v>483</v>
      </c>
      <c r="H159" s="6" t="s">
        <v>46</v>
      </c>
      <c r="I159" s="10">
        <v>10</v>
      </c>
      <c r="J159" s="10">
        <v>23.99</v>
      </c>
      <c r="K159" s="10">
        <v>2.4</v>
      </c>
      <c r="L159" s="6" t="s">
        <v>489</v>
      </c>
      <c r="M159" s="6" t="s">
        <v>490</v>
      </c>
      <c r="N159" s="9">
        <v>45870</v>
      </c>
      <c r="O159" s="11" t="s">
        <v>534</v>
      </c>
      <c r="P159" s="11"/>
      <c r="Q159" s="11"/>
      <c r="R159" s="11"/>
      <c r="S159" s="8">
        <v>9030804870</v>
      </c>
      <c r="T159" s="11" t="str">
        <f>CONCATENATE(S159,4)</f>
        <v>90308048704</v>
      </c>
      <c r="U159" s="6" t="s">
        <v>604</v>
      </c>
      <c r="V159" s="11" t="s">
        <v>605</v>
      </c>
      <c r="W159" t="str">
        <f t="shared" si="14"/>
        <v>Penelope Casella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</row>
    <row r="160" spans="1:42" x14ac:dyDescent="0.2">
      <c r="A160" s="4" t="s">
        <v>89</v>
      </c>
      <c r="B160" s="2">
        <v>8307933</v>
      </c>
      <c r="C160" s="4" t="s">
        <v>158</v>
      </c>
      <c r="D160" s="4" t="s">
        <v>159</v>
      </c>
      <c r="E160" s="3">
        <v>45931</v>
      </c>
      <c r="F160" s="4" t="s">
        <v>60</v>
      </c>
      <c r="G160" s="4" t="s">
        <v>51</v>
      </c>
      <c r="H160" s="4" t="s">
        <v>52</v>
      </c>
      <c r="I160" s="5">
        <v>1</v>
      </c>
      <c r="J160" s="5">
        <v>1</v>
      </c>
      <c r="K160" s="5">
        <v>26.08</v>
      </c>
      <c r="L160" s="4" t="s">
        <v>63</v>
      </c>
      <c r="M160" s="4" t="s">
        <v>64</v>
      </c>
      <c r="N160" s="3">
        <v>45352</v>
      </c>
      <c r="O160" t="s">
        <v>537</v>
      </c>
      <c r="P160" s="29" t="s">
        <v>541</v>
      </c>
      <c r="S160" s="4" t="s">
        <v>159</v>
      </c>
      <c r="T160" t="str">
        <f t="shared" ref="T160:T181" si="15">CONCATENATE(S160,6)</f>
        <v>00021584191K6</v>
      </c>
      <c r="U160" s="4" t="s">
        <v>809</v>
      </c>
      <c r="V160" t="s">
        <v>810</v>
      </c>
      <c r="W160" t="str">
        <f t="shared" si="14"/>
        <v>PRISCILLA ORTIZ</v>
      </c>
    </row>
    <row r="161" spans="1:42" x14ac:dyDescent="0.2">
      <c r="A161" s="4" t="s">
        <v>233</v>
      </c>
      <c r="B161" s="7">
        <v>8325282</v>
      </c>
      <c r="C161" s="4" t="s">
        <v>238</v>
      </c>
      <c r="D161" s="4" t="s">
        <v>239</v>
      </c>
      <c r="E161" s="3">
        <v>45931</v>
      </c>
      <c r="F161" s="4" t="s">
        <v>60</v>
      </c>
      <c r="G161" s="4" t="s">
        <v>51</v>
      </c>
      <c r="H161" s="4" t="s">
        <v>62</v>
      </c>
      <c r="I161" s="5">
        <v>1</v>
      </c>
      <c r="J161" s="5">
        <v>1</v>
      </c>
      <c r="K161" s="5">
        <v>26.08</v>
      </c>
      <c r="L161" s="4" t="s">
        <v>63</v>
      </c>
      <c r="M161" s="4" t="s">
        <v>64</v>
      </c>
      <c r="N161" s="3">
        <v>45627</v>
      </c>
      <c r="O161" t="s">
        <v>537</v>
      </c>
      <c r="P161" s="29" t="s">
        <v>541</v>
      </c>
      <c r="S161" s="4" t="s">
        <v>239</v>
      </c>
      <c r="T161" t="str">
        <f t="shared" si="15"/>
        <v>00022763707K6</v>
      </c>
      <c r="U161" s="4" t="s">
        <v>844</v>
      </c>
      <c r="V161" t="s">
        <v>845</v>
      </c>
      <c r="W161" t="str">
        <f t="shared" si="14"/>
        <v>RALPH RICHMOND</v>
      </c>
    </row>
    <row r="162" spans="1:42" x14ac:dyDescent="0.2">
      <c r="A162" s="4" t="s">
        <v>364</v>
      </c>
      <c r="B162" s="2">
        <v>18794740</v>
      </c>
      <c r="C162" s="4" t="s">
        <v>371</v>
      </c>
      <c r="D162" s="4" t="s">
        <v>372</v>
      </c>
      <c r="E162" s="3">
        <v>45931</v>
      </c>
      <c r="F162" s="4" t="s">
        <v>60</v>
      </c>
      <c r="G162" s="4" t="s">
        <v>51</v>
      </c>
      <c r="H162" s="4" t="s">
        <v>52</v>
      </c>
      <c r="I162" s="5">
        <v>1</v>
      </c>
      <c r="J162" s="5">
        <v>1</v>
      </c>
      <c r="K162" s="5">
        <v>29.41</v>
      </c>
      <c r="L162" s="4" t="s">
        <v>63</v>
      </c>
      <c r="M162" s="4" t="s">
        <v>64</v>
      </c>
      <c r="N162" s="3">
        <v>45536</v>
      </c>
      <c r="O162" t="s">
        <v>542</v>
      </c>
      <c r="P162" s="29" t="s">
        <v>543</v>
      </c>
      <c r="S162" s="4" t="s">
        <v>372</v>
      </c>
      <c r="T162" t="str">
        <f t="shared" si="15"/>
        <v>00021951591K6</v>
      </c>
      <c r="U162" s="4" t="s">
        <v>586</v>
      </c>
      <c r="V162" t="s">
        <v>587</v>
      </c>
      <c r="W162" t="str">
        <f t="shared" si="14"/>
        <v>RAYMOND HOCK</v>
      </c>
    </row>
    <row r="163" spans="1:42" x14ac:dyDescent="0.2">
      <c r="A163" s="4" t="s">
        <v>89</v>
      </c>
      <c r="B163" s="2">
        <v>8307933</v>
      </c>
      <c r="C163" s="4" t="s">
        <v>162</v>
      </c>
      <c r="D163" s="4" t="s">
        <v>163</v>
      </c>
      <c r="E163" s="3">
        <v>45931</v>
      </c>
      <c r="F163" s="4" t="s">
        <v>60</v>
      </c>
      <c r="G163" s="4" t="s">
        <v>51</v>
      </c>
      <c r="H163" s="4" t="s">
        <v>52</v>
      </c>
      <c r="I163" s="5">
        <v>1</v>
      </c>
      <c r="J163" s="5">
        <v>1</v>
      </c>
      <c r="K163" s="5">
        <v>26.08</v>
      </c>
      <c r="L163" s="4" t="s">
        <v>63</v>
      </c>
      <c r="M163" s="4" t="s">
        <v>64</v>
      </c>
      <c r="N163" s="3">
        <v>45444</v>
      </c>
      <c r="O163" t="s">
        <v>537</v>
      </c>
      <c r="P163" s="29" t="s">
        <v>541</v>
      </c>
      <c r="S163" s="4" t="s">
        <v>163</v>
      </c>
      <c r="T163" t="str">
        <f t="shared" si="15"/>
        <v>00021641743K6</v>
      </c>
      <c r="U163" s="4" t="s">
        <v>812</v>
      </c>
      <c r="V163" t="s">
        <v>587</v>
      </c>
      <c r="W163" t="str">
        <f t="shared" si="14"/>
        <v>RAYMOND HUMPHRIES</v>
      </c>
    </row>
    <row r="164" spans="1:42" x14ac:dyDescent="0.2">
      <c r="A164" s="4" t="s">
        <v>318</v>
      </c>
      <c r="B164" s="2">
        <v>17528908</v>
      </c>
      <c r="C164" s="4" t="s">
        <v>333</v>
      </c>
      <c r="D164" s="4" t="s">
        <v>334</v>
      </c>
      <c r="E164" s="3">
        <v>45931</v>
      </c>
      <c r="F164" s="4" t="s">
        <v>60</v>
      </c>
      <c r="G164" s="4" t="s">
        <v>51</v>
      </c>
      <c r="H164" s="4" t="s">
        <v>52</v>
      </c>
      <c r="I164" s="5">
        <v>1</v>
      </c>
      <c r="J164" s="5">
        <v>1</v>
      </c>
      <c r="K164" s="5">
        <v>29.41</v>
      </c>
      <c r="L164" s="4" t="s">
        <v>63</v>
      </c>
      <c r="M164" s="4" t="s">
        <v>64</v>
      </c>
      <c r="N164" s="3">
        <v>45292</v>
      </c>
      <c r="O164" t="s">
        <v>542</v>
      </c>
      <c r="P164" s="29" t="s">
        <v>543</v>
      </c>
      <c r="S164" s="4" t="s">
        <v>334</v>
      </c>
      <c r="T164" t="str">
        <f t="shared" si="15"/>
        <v>00021339188K6</v>
      </c>
      <c r="U164" s="4" t="s">
        <v>579</v>
      </c>
      <c r="V164" t="s">
        <v>580</v>
      </c>
      <c r="W164" t="str">
        <f t="shared" si="14"/>
        <v>RICHARD NACHREINER</v>
      </c>
    </row>
    <row r="165" spans="1:42" x14ac:dyDescent="0.2">
      <c r="A165" s="4" t="s">
        <v>243</v>
      </c>
      <c r="B165" s="2">
        <v>9079571</v>
      </c>
      <c r="C165" s="4" t="s">
        <v>254</v>
      </c>
      <c r="D165" s="4" t="s">
        <v>255</v>
      </c>
      <c r="E165" s="3">
        <v>45931</v>
      </c>
      <c r="F165" s="4" t="s">
        <v>60</v>
      </c>
      <c r="G165" s="4" t="s">
        <v>51</v>
      </c>
      <c r="H165" s="4" t="s">
        <v>52</v>
      </c>
      <c r="I165" s="5">
        <v>1</v>
      </c>
      <c r="J165" s="5">
        <v>1</v>
      </c>
      <c r="K165" s="5">
        <v>26.08</v>
      </c>
      <c r="L165" s="4" t="s">
        <v>63</v>
      </c>
      <c r="M165" s="4" t="s">
        <v>64</v>
      </c>
      <c r="N165" s="3">
        <v>45292</v>
      </c>
      <c r="O165" t="s">
        <v>537</v>
      </c>
      <c r="P165" s="29" t="s">
        <v>541</v>
      </c>
      <c r="S165" s="4" t="s">
        <v>255</v>
      </c>
      <c r="T165" t="str">
        <f t="shared" si="15"/>
        <v>00020902900K6</v>
      </c>
      <c r="U165" s="4" t="s">
        <v>740</v>
      </c>
      <c r="V165" t="s">
        <v>580</v>
      </c>
      <c r="W165" t="str">
        <f t="shared" si="14"/>
        <v>RICHARD WINKLER</v>
      </c>
    </row>
    <row r="166" spans="1:42" x14ac:dyDescent="0.2">
      <c r="A166" s="4" t="s">
        <v>89</v>
      </c>
      <c r="B166" s="2">
        <v>8307933</v>
      </c>
      <c r="C166" s="4" t="s">
        <v>92</v>
      </c>
      <c r="D166" s="4" t="s">
        <v>93</v>
      </c>
      <c r="E166" s="3">
        <v>45931</v>
      </c>
      <c r="F166" s="4" t="s">
        <v>60</v>
      </c>
      <c r="G166" s="4" t="s">
        <v>51</v>
      </c>
      <c r="H166" s="4" t="s">
        <v>52</v>
      </c>
      <c r="I166" s="5">
        <v>1</v>
      </c>
      <c r="J166" s="5">
        <v>1</v>
      </c>
      <c r="K166" s="5">
        <v>26.08</v>
      </c>
      <c r="L166" s="4" t="s">
        <v>63</v>
      </c>
      <c r="M166" s="4" t="s">
        <v>64</v>
      </c>
      <c r="N166" s="3">
        <v>45047</v>
      </c>
      <c r="O166" t="s">
        <v>537</v>
      </c>
      <c r="P166" s="29" t="s">
        <v>541</v>
      </c>
      <c r="S166" s="4" t="s">
        <v>93</v>
      </c>
      <c r="T166" t="str">
        <f t="shared" si="15"/>
        <v>00020297143K6</v>
      </c>
      <c r="U166" s="4" t="s">
        <v>774</v>
      </c>
      <c r="V166" t="s">
        <v>775</v>
      </c>
      <c r="W166" t="str">
        <f t="shared" si="14"/>
        <v>RICKEY MCDANIEL</v>
      </c>
    </row>
    <row r="167" spans="1:42" x14ac:dyDescent="0.2">
      <c r="A167" s="4" t="s">
        <v>312</v>
      </c>
      <c r="B167" s="2">
        <v>17425766</v>
      </c>
      <c r="C167" s="4" t="s">
        <v>316</v>
      </c>
      <c r="D167" s="4" t="s">
        <v>317</v>
      </c>
      <c r="E167" s="3">
        <v>45931</v>
      </c>
      <c r="F167" s="4" t="s">
        <v>60</v>
      </c>
      <c r="G167" s="4" t="s">
        <v>51</v>
      </c>
      <c r="H167" s="4" t="s">
        <v>52</v>
      </c>
      <c r="I167" s="5">
        <v>1</v>
      </c>
      <c r="J167" s="5">
        <v>1</v>
      </c>
      <c r="K167" s="5">
        <v>29.41</v>
      </c>
      <c r="L167" s="4" t="s">
        <v>63</v>
      </c>
      <c r="M167" s="4" t="s">
        <v>64</v>
      </c>
      <c r="N167" s="3">
        <v>45597</v>
      </c>
      <c r="O167" t="s">
        <v>542</v>
      </c>
      <c r="P167" s="29" t="s">
        <v>543</v>
      </c>
      <c r="S167" s="4" t="s">
        <v>317</v>
      </c>
      <c r="T167" t="str">
        <f t="shared" si="15"/>
        <v>00022112017K6</v>
      </c>
      <c r="U167" s="4" t="s">
        <v>561</v>
      </c>
      <c r="V167" t="s">
        <v>562</v>
      </c>
      <c r="W167" t="str">
        <f t="shared" si="14"/>
        <v>RICKY ORLANDO</v>
      </c>
    </row>
    <row r="168" spans="1:42" x14ac:dyDescent="0.2">
      <c r="A168" s="4" t="s">
        <v>283</v>
      </c>
      <c r="B168" s="2">
        <v>16212649</v>
      </c>
      <c r="C168" s="4" t="s">
        <v>286</v>
      </c>
      <c r="D168" s="4" t="s">
        <v>287</v>
      </c>
      <c r="E168" s="3">
        <v>45931</v>
      </c>
      <c r="F168" s="4" t="s">
        <v>60</v>
      </c>
      <c r="G168" s="4" t="s">
        <v>51</v>
      </c>
      <c r="H168" s="4" t="s">
        <v>52</v>
      </c>
      <c r="I168" s="5">
        <v>1</v>
      </c>
      <c r="J168" s="5">
        <v>1</v>
      </c>
      <c r="K168" s="5">
        <v>32.5</v>
      </c>
      <c r="L168" s="4" t="s">
        <v>63</v>
      </c>
      <c r="M168" s="4" t="s">
        <v>64</v>
      </c>
      <c r="N168" s="3">
        <v>45444</v>
      </c>
      <c r="O168" t="s">
        <v>544</v>
      </c>
      <c r="P168" s="29" t="s">
        <v>545</v>
      </c>
      <c r="S168" s="4" t="s">
        <v>287</v>
      </c>
      <c r="T168" t="str">
        <f t="shared" si="15"/>
        <v>00021784141K6</v>
      </c>
      <c r="U168" s="4" t="s">
        <v>556</v>
      </c>
      <c r="V168" t="s">
        <v>558</v>
      </c>
      <c r="W168" t="str">
        <f t="shared" si="14"/>
        <v>ROBERT BENTLEY</v>
      </c>
    </row>
    <row r="169" spans="1:42" x14ac:dyDescent="0.2">
      <c r="A169" s="4" t="s">
        <v>318</v>
      </c>
      <c r="B169" s="2">
        <v>17528908</v>
      </c>
      <c r="C169" s="4" t="s">
        <v>325</v>
      </c>
      <c r="D169" s="4" t="s">
        <v>326</v>
      </c>
      <c r="E169" s="3">
        <v>45931</v>
      </c>
      <c r="F169" s="4" t="s">
        <v>60</v>
      </c>
      <c r="G169" s="4" t="s">
        <v>51</v>
      </c>
      <c r="H169" s="4" t="s">
        <v>52</v>
      </c>
      <c r="I169" s="5">
        <v>1</v>
      </c>
      <c r="J169" s="5">
        <v>1</v>
      </c>
      <c r="K169" s="5">
        <v>29.41</v>
      </c>
      <c r="L169" s="4" t="s">
        <v>63</v>
      </c>
      <c r="M169" s="4" t="s">
        <v>64</v>
      </c>
      <c r="N169" s="3">
        <v>45292</v>
      </c>
      <c r="O169" t="s">
        <v>542</v>
      </c>
      <c r="P169" s="29" t="s">
        <v>543</v>
      </c>
      <c r="S169" s="4" t="s">
        <v>326</v>
      </c>
      <c r="T169" t="str">
        <f t="shared" si="15"/>
        <v>00020818326K6</v>
      </c>
      <c r="U169" s="4" t="s">
        <v>575</v>
      </c>
      <c r="V169" t="s">
        <v>558</v>
      </c>
      <c r="W169" t="str">
        <f t="shared" si="14"/>
        <v>ROBERT CLARK</v>
      </c>
    </row>
    <row r="170" spans="1:42" x14ac:dyDescent="0.2">
      <c r="A170" s="4" t="s">
        <v>233</v>
      </c>
      <c r="B170" s="7">
        <v>8325282</v>
      </c>
      <c r="C170" s="4" t="s">
        <v>236</v>
      </c>
      <c r="D170" s="4" t="s">
        <v>237</v>
      </c>
      <c r="E170" s="3">
        <v>45931</v>
      </c>
      <c r="F170" s="4" t="s">
        <v>60</v>
      </c>
      <c r="G170" s="4" t="s">
        <v>51</v>
      </c>
      <c r="H170" s="4" t="s">
        <v>52</v>
      </c>
      <c r="I170" s="5">
        <v>1</v>
      </c>
      <c r="J170" s="5">
        <v>1</v>
      </c>
      <c r="K170" s="5">
        <v>26.08</v>
      </c>
      <c r="L170" s="4" t="s">
        <v>63</v>
      </c>
      <c r="M170" s="4" t="s">
        <v>64</v>
      </c>
      <c r="N170" s="3">
        <v>45627</v>
      </c>
      <c r="O170" t="s">
        <v>537</v>
      </c>
      <c r="P170" s="29" t="s">
        <v>541</v>
      </c>
      <c r="S170" s="4" t="s">
        <v>237</v>
      </c>
      <c r="T170" t="str">
        <f t="shared" si="15"/>
        <v>00022235665K6</v>
      </c>
      <c r="U170" s="4" t="s">
        <v>841</v>
      </c>
      <c r="V170" t="s">
        <v>782</v>
      </c>
      <c r="W170" t="str">
        <f t="shared" si="14"/>
        <v>ROBIN DIEDERICH</v>
      </c>
    </row>
    <row r="171" spans="1:42" x14ac:dyDescent="0.2">
      <c r="A171" s="4" t="s">
        <v>89</v>
      </c>
      <c r="B171" s="2">
        <v>8307933</v>
      </c>
      <c r="C171" s="4" t="s">
        <v>108</v>
      </c>
      <c r="D171" s="4" t="s">
        <v>109</v>
      </c>
      <c r="E171" s="3">
        <v>45931</v>
      </c>
      <c r="F171" s="4" t="s">
        <v>60</v>
      </c>
      <c r="G171" s="4" t="s">
        <v>51</v>
      </c>
      <c r="H171" s="4" t="s">
        <v>52</v>
      </c>
      <c r="I171" s="5">
        <v>1</v>
      </c>
      <c r="J171" s="5">
        <v>1</v>
      </c>
      <c r="K171" s="5">
        <v>26.08</v>
      </c>
      <c r="L171" s="4" t="s">
        <v>63</v>
      </c>
      <c r="M171" s="4" t="s">
        <v>64</v>
      </c>
      <c r="N171" s="3">
        <v>45078</v>
      </c>
      <c r="O171" t="s">
        <v>537</v>
      </c>
      <c r="P171" s="29" t="s">
        <v>541</v>
      </c>
      <c r="S171" s="4" t="s">
        <v>109</v>
      </c>
      <c r="T171" t="str">
        <f t="shared" si="15"/>
        <v>00020397039K6</v>
      </c>
      <c r="U171" s="4" t="s">
        <v>781</v>
      </c>
      <c r="V171" t="s">
        <v>782</v>
      </c>
      <c r="W171" t="str">
        <f t="shared" si="14"/>
        <v>ROBIN TREW</v>
      </c>
    </row>
    <row r="172" spans="1:42" x14ac:dyDescent="0.2">
      <c r="A172" s="4" t="s">
        <v>305</v>
      </c>
      <c r="B172" s="2">
        <v>17301495</v>
      </c>
      <c r="C172" s="4" t="s">
        <v>308</v>
      </c>
      <c r="D172" s="4" t="s">
        <v>309</v>
      </c>
      <c r="E172" s="3">
        <v>45931</v>
      </c>
      <c r="F172" s="4" t="s">
        <v>60</v>
      </c>
      <c r="G172" s="4" t="s">
        <v>51</v>
      </c>
      <c r="H172" s="4" t="s">
        <v>62</v>
      </c>
      <c r="I172" s="5">
        <v>1</v>
      </c>
      <c r="J172" s="5">
        <v>1</v>
      </c>
      <c r="K172" s="5">
        <v>26.08</v>
      </c>
      <c r="L172" s="4" t="s">
        <v>63</v>
      </c>
      <c r="M172" s="4" t="s">
        <v>64</v>
      </c>
      <c r="N172" s="3">
        <v>45505</v>
      </c>
      <c r="O172" t="s">
        <v>537</v>
      </c>
      <c r="P172" s="29" t="s">
        <v>541</v>
      </c>
      <c r="S172" s="4" t="s">
        <v>309</v>
      </c>
      <c r="T172" t="str">
        <f t="shared" si="15"/>
        <v>00013131759K6</v>
      </c>
      <c r="U172" s="4" t="s">
        <v>667</v>
      </c>
      <c r="V172" t="s">
        <v>668</v>
      </c>
      <c r="W172" t="str">
        <f t="shared" si="14"/>
        <v>RUBEN TORRES</v>
      </c>
    </row>
    <row r="173" spans="1:42" x14ac:dyDescent="0.2">
      <c r="A173" s="4" t="s">
        <v>443</v>
      </c>
      <c r="B173" s="2">
        <v>18828278</v>
      </c>
      <c r="C173" s="4" t="s">
        <v>446</v>
      </c>
      <c r="D173" s="4" t="s">
        <v>447</v>
      </c>
      <c r="E173" s="3">
        <v>45931</v>
      </c>
      <c r="F173" s="4" t="s">
        <v>60</v>
      </c>
      <c r="G173" s="4" t="s">
        <v>51</v>
      </c>
      <c r="H173" s="4" t="s">
        <v>62</v>
      </c>
      <c r="I173" s="5">
        <v>1</v>
      </c>
      <c r="J173" s="5">
        <v>1</v>
      </c>
      <c r="K173" s="5">
        <v>26.08</v>
      </c>
      <c r="L173" s="4" t="s">
        <v>63</v>
      </c>
      <c r="M173" s="4" t="s">
        <v>64</v>
      </c>
      <c r="N173" s="3">
        <v>45536</v>
      </c>
      <c r="O173" t="s">
        <v>537</v>
      </c>
      <c r="P173" s="29" t="s">
        <v>541</v>
      </c>
      <c r="S173" s="4" t="s">
        <v>447</v>
      </c>
      <c r="T173" t="str">
        <f t="shared" si="15"/>
        <v>00021976197K6</v>
      </c>
      <c r="U173" s="4" t="s">
        <v>657</v>
      </c>
      <c r="V173" t="s">
        <v>658</v>
      </c>
      <c r="W173" t="str">
        <f t="shared" si="14"/>
        <v>SANDRA SCHEIDENHELM</v>
      </c>
    </row>
    <row r="174" spans="1:42" x14ac:dyDescent="0.2">
      <c r="A174" s="4" t="s">
        <v>342</v>
      </c>
      <c r="B174" s="2">
        <v>9213293</v>
      </c>
      <c r="C174" s="4" t="s">
        <v>343</v>
      </c>
      <c r="D174" s="4" t="s">
        <v>344</v>
      </c>
      <c r="E174" s="3">
        <v>45931</v>
      </c>
      <c r="F174" s="4" t="s">
        <v>60</v>
      </c>
      <c r="G174" s="4" t="s">
        <v>51</v>
      </c>
      <c r="H174" s="4" t="s">
        <v>52</v>
      </c>
      <c r="I174" s="5">
        <v>1</v>
      </c>
      <c r="J174" s="5">
        <v>1</v>
      </c>
      <c r="K174" s="5">
        <v>26.08</v>
      </c>
      <c r="L174" s="4" t="s">
        <v>63</v>
      </c>
      <c r="M174" s="4" t="s">
        <v>64</v>
      </c>
      <c r="N174" s="3">
        <v>45505</v>
      </c>
      <c r="O174" t="s">
        <v>537</v>
      </c>
      <c r="P174" s="29" t="s">
        <v>541</v>
      </c>
      <c r="S174" s="4" t="s">
        <v>344</v>
      </c>
      <c r="T174" t="str">
        <f t="shared" si="15"/>
        <v>00021876763K6</v>
      </c>
      <c r="U174" s="4" t="s">
        <v>718</v>
      </c>
      <c r="V174" t="s">
        <v>719</v>
      </c>
      <c r="W174" t="str">
        <f t="shared" si="14"/>
        <v>SCOTT WAXMAN</v>
      </c>
    </row>
    <row r="175" spans="1:42" s="11" customFormat="1" x14ac:dyDescent="0.2">
      <c r="A175" s="4" t="s">
        <v>89</v>
      </c>
      <c r="B175" s="2">
        <v>8307933</v>
      </c>
      <c r="C175" s="4" t="s">
        <v>90</v>
      </c>
      <c r="D175" s="4" t="s">
        <v>91</v>
      </c>
      <c r="E175" s="3">
        <v>45931</v>
      </c>
      <c r="F175" s="4" t="s">
        <v>60</v>
      </c>
      <c r="G175" s="4" t="s">
        <v>51</v>
      </c>
      <c r="H175" s="4" t="s">
        <v>52</v>
      </c>
      <c r="I175" s="5">
        <v>1</v>
      </c>
      <c r="J175" s="5">
        <v>1</v>
      </c>
      <c r="K175" s="5">
        <v>26.08</v>
      </c>
      <c r="L175" s="4" t="s">
        <v>63</v>
      </c>
      <c r="M175" s="4" t="s">
        <v>64</v>
      </c>
      <c r="N175" s="3">
        <v>45383</v>
      </c>
      <c r="O175" t="s">
        <v>537</v>
      </c>
      <c r="P175" s="29" t="s">
        <v>541</v>
      </c>
      <c r="Q175"/>
      <c r="R175"/>
      <c r="S175" s="4" t="s">
        <v>91</v>
      </c>
      <c r="T175" t="str">
        <f t="shared" si="15"/>
        <v>00017785577K6</v>
      </c>
      <c r="U175" s="4" t="s">
        <v>772</v>
      </c>
      <c r="V175" t="s">
        <v>773</v>
      </c>
      <c r="W175" t="str">
        <f t="shared" si="14"/>
        <v>SHARON ALTOM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1:42" s="11" customFormat="1" x14ac:dyDescent="0.2">
      <c r="A176" s="4" t="s">
        <v>89</v>
      </c>
      <c r="B176" s="2">
        <v>8307933</v>
      </c>
      <c r="C176" s="4" t="s">
        <v>115</v>
      </c>
      <c r="D176" s="4" t="s">
        <v>116</v>
      </c>
      <c r="E176" s="3">
        <v>45931</v>
      </c>
      <c r="F176" s="4" t="s">
        <v>60</v>
      </c>
      <c r="G176" s="4" t="s">
        <v>51</v>
      </c>
      <c r="H176" s="4" t="s">
        <v>52</v>
      </c>
      <c r="I176" s="5">
        <v>1</v>
      </c>
      <c r="J176" s="5">
        <v>1</v>
      </c>
      <c r="K176" s="5">
        <v>26.08</v>
      </c>
      <c r="L176" s="4" t="s">
        <v>63</v>
      </c>
      <c r="M176" s="4" t="s">
        <v>64</v>
      </c>
      <c r="N176" s="3">
        <v>45139</v>
      </c>
      <c r="O176" t="s">
        <v>537</v>
      </c>
      <c r="P176" s="29" t="s">
        <v>541</v>
      </c>
      <c r="Q176"/>
      <c r="R176"/>
      <c r="S176" s="4" t="s">
        <v>116</v>
      </c>
      <c r="T176" t="str">
        <f t="shared" si="15"/>
        <v>00020478015K6</v>
      </c>
      <c r="U176" s="4" t="s">
        <v>785</v>
      </c>
      <c r="V176" t="s">
        <v>773</v>
      </c>
      <c r="W176" t="str">
        <f t="shared" si="14"/>
        <v>SHARON OLSEN</v>
      </c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1:42" s="11" customFormat="1" x14ac:dyDescent="0.2">
      <c r="A177" s="4" t="s">
        <v>409</v>
      </c>
      <c r="B177" s="2">
        <v>19200754</v>
      </c>
      <c r="C177" s="4" t="s">
        <v>412</v>
      </c>
      <c r="D177" s="4" t="s">
        <v>413</v>
      </c>
      <c r="E177" s="3">
        <v>45931</v>
      </c>
      <c r="F177" s="4" t="s">
        <v>60</v>
      </c>
      <c r="G177" s="4" t="s">
        <v>51</v>
      </c>
      <c r="H177" s="4" t="s">
        <v>62</v>
      </c>
      <c r="I177" s="5">
        <v>1</v>
      </c>
      <c r="J177" s="5">
        <v>1</v>
      </c>
      <c r="K177" s="5">
        <v>26.08</v>
      </c>
      <c r="L177" s="4" t="s">
        <v>63</v>
      </c>
      <c r="M177" s="4" t="s">
        <v>64</v>
      </c>
      <c r="N177" s="3">
        <v>45566</v>
      </c>
      <c r="O177" t="s">
        <v>537</v>
      </c>
      <c r="P177" s="29" t="s">
        <v>541</v>
      </c>
      <c r="Q177"/>
      <c r="R177"/>
      <c r="S177" s="4" t="s">
        <v>413</v>
      </c>
      <c r="T177" t="str">
        <f t="shared" si="15"/>
        <v>00022077041K6</v>
      </c>
      <c r="U177" s="4" t="s">
        <v>754</v>
      </c>
      <c r="V177" t="s">
        <v>755</v>
      </c>
      <c r="W177" t="str">
        <f t="shared" si="14"/>
        <v>SHAZIA SHAHRUKH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1:42" s="17" customFormat="1" x14ac:dyDescent="0.2">
      <c r="A178" s="4" t="s">
        <v>233</v>
      </c>
      <c r="B178" s="7">
        <v>8325282</v>
      </c>
      <c r="C178" s="4" t="s">
        <v>234</v>
      </c>
      <c r="D178" s="4" t="s">
        <v>235</v>
      </c>
      <c r="E178" s="3">
        <v>45931</v>
      </c>
      <c r="F178" s="4" t="s">
        <v>60</v>
      </c>
      <c r="G178" s="4" t="s">
        <v>51</v>
      </c>
      <c r="H178" s="4" t="s">
        <v>62</v>
      </c>
      <c r="I178" s="5">
        <v>1</v>
      </c>
      <c r="J178" s="5">
        <v>1</v>
      </c>
      <c r="K178" s="5">
        <v>26.08</v>
      </c>
      <c r="L178" s="4" t="s">
        <v>63</v>
      </c>
      <c r="M178" s="4" t="s">
        <v>64</v>
      </c>
      <c r="N178" s="3">
        <v>45566</v>
      </c>
      <c r="O178" t="s">
        <v>537</v>
      </c>
      <c r="P178" s="29" t="s">
        <v>541</v>
      </c>
      <c r="Q178"/>
      <c r="R178"/>
      <c r="S178" s="4" t="s">
        <v>235</v>
      </c>
      <c r="T178" t="str">
        <f t="shared" si="15"/>
        <v>00022083688K6</v>
      </c>
      <c r="U178" s="4" t="s">
        <v>842</v>
      </c>
      <c r="V178" t="s">
        <v>843</v>
      </c>
      <c r="W178" t="str">
        <f t="shared" si="14"/>
        <v>SHIRLEY SHELTON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1:42" s="17" customFormat="1" x14ac:dyDescent="0.2">
      <c r="A179" s="4" t="s">
        <v>342</v>
      </c>
      <c r="B179" s="2">
        <v>9213293</v>
      </c>
      <c r="C179" s="4" t="s">
        <v>355</v>
      </c>
      <c r="D179" s="4" t="s">
        <v>356</v>
      </c>
      <c r="E179" s="3">
        <v>45931</v>
      </c>
      <c r="F179" s="4" t="s">
        <v>60</v>
      </c>
      <c r="G179" s="4" t="s">
        <v>51</v>
      </c>
      <c r="H179" s="4" t="s">
        <v>52</v>
      </c>
      <c r="I179" s="5">
        <v>1</v>
      </c>
      <c r="J179" s="5">
        <v>1</v>
      </c>
      <c r="K179" s="5">
        <v>26.08</v>
      </c>
      <c r="L179" s="4" t="s">
        <v>63</v>
      </c>
      <c r="M179" s="4" t="s">
        <v>64</v>
      </c>
      <c r="N179" s="3">
        <v>45536</v>
      </c>
      <c r="O179" t="s">
        <v>537</v>
      </c>
      <c r="P179" s="29" t="s">
        <v>541</v>
      </c>
      <c r="Q179"/>
      <c r="R179"/>
      <c r="S179" s="4" t="s">
        <v>356</v>
      </c>
      <c r="T179" t="str">
        <f t="shared" si="15"/>
        <v>00022014220K6</v>
      </c>
      <c r="U179" s="4" t="s">
        <v>729</v>
      </c>
      <c r="V179" t="s">
        <v>730</v>
      </c>
      <c r="W179" t="str">
        <f t="shared" si="14"/>
        <v>STEVE ZAFIRIADIS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1:42" s="17" customFormat="1" x14ac:dyDescent="0.2">
      <c r="A180" s="4" t="s">
        <v>443</v>
      </c>
      <c r="B180" s="2">
        <v>18828278</v>
      </c>
      <c r="C180" s="4" t="s">
        <v>444</v>
      </c>
      <c r="D180" s="4" t="s">
        <v>445</v>
      </c>
      <c r="E180" s="3">
        <v>45931</v>
      </c>
      <c r="F180" s="4" t="s">
        <v>60</v>
      </c>
      <c r="G180" s="4" t="s">
        <v>51</v>
      </c>
      <c r="H180" s="4" t="s">
        <v>52</v>
      </c>
      <c r="I180" s="5">
        <v>1</v>
      </c>
      <c r="J180" s="5">
        <v>1</v>
      </c>
      <c r="K180" s="5">
        <v>26.08</v>
      </c>
      <c r="L180" s="4" t="s">
        <v>63</v>
      </c>
      <c r="M180" s="4" t="s">
        <v>64</v>
      </c>
      <c r="N180" s="3">
        <v>45536</v>
      </c>
      <c r="O180" t="s">
        <v>537</v>
      </c>
      <c r="P180" s="29" t="s">
        <v>541</v>
      </c>
      <c r="Q180"/>
      <c r="R180"/>
      <c r="S180" s="4" t="s">
        <v>445</v>
      </c>
      <c r="T180" t="str">
        <f t="shared" si="15"/>
        <v>00020751148K6</v>
      </c>
      <c r="U180" s="4" t="s">
        <v>651</v>
      </c>
      <c r="V180" t="s">
        <v>652</v>
      </c>
      <c r="W180" t="str">
        <f t="shared" ref="W180:W211" si="16">CONCATENATE(V180, " ",U180)</f>
        <v>STEVEN CONNOR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1:42" s="17" customFormat="1" x14ac:dyDescent="0.2">
      <c r="A181" s="4" t="s">
        <v>233</v>
      </c>
      <c r="B181" s="7">
        <v>8325282</v>
      </c>
      <c r="C181" s="4" t="s">
        <v>240</v>
      </c>
      <c r="D181" s="4" t="s">
        <v>241</v>
      </c>
      <c r="E181" s="3">
        <v>45962</v>
      </c>
      <c r="F181" s="4" t="s">
        <v>69</v>
      </c>
      <c r="G181" s="4" t="s">
        <v>51</v>
      </c>
      <c r="H181" s="4" t="s">
        <v>52</v>
      </c>
      <c r="I181" s="5">
        <v>0.17</v>
      </c>
      <c r="J181" s="5">
        <v>1</v>
      </c>
      <c r="K181" s="5">
        <v>52.17</v>
      </c>
      <c r="L181" s="4" t="s">
        <v>56</v>
      </c>
      <c r="M181" s="4" t="s">
        <v>57</v>
      </c>
      <c r="N181" s="3">
        <v>45962</v>
      </c>
      <c r="O181" t="s">
        <v>537</v>
      </c>
      <c r="P181" s="29" t="s">
        <v>540</v>
      </c>
      <c r="Q181"/>
      <c r="R181"/>
      <c r="S181" s="4" t="s">
        <v>241</v>
      </c>
      <c r="T181" t="str">
        <f t="shared" si="15"/>
        <v>00023790920K6</v>
      </c>
      <c r="U181" s="4" t="s">
        <v>846</v>
      </c>
      <c r="V181" t="s">
        <v>652</v>
      </c>
      <c r="W181" t="str">
        <f t="shared" si="16"/>
        <v>STEVEN LARSEN</v>
      </c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1:42" s="17" customFormat="1" x14ac:dyDescent="0.2">
      <c r="A182" s="18" t="s">
        <v>452</v>
      </c>
      <c r="B182" s="19">
        <v>19491313</v>
      </c>
      <c r="C182" s="18" t="s">
        <v>456</v>
      </c>
      <c r="D182" s="18" t="s">
        <v>457</v>
      </c>
      <c r="E182" s="20">
        <v>45992</v>
      </c>
      <c r="F182" s="18" t="s">
        <v>88</v>
      </c>
      <c r="G182" s="18" t="s">
        <v>51</v>
      </c>
      <c r="H182" s="18" t="s">
        <v>362</v>
      </c>
      <c r="I182" s="21">
        <v>0.08</v>
      </c>
      <c r="J182" s="21">
        <v>4.58</v>
      </c>
      <c r="K182" s="21">
        <v>4.58</v>
      </c>
      <c r="L182" s="18" t="s">
        <v>56</v>
      </c>
      <c r="M182" s="18" t="s">
        <v>57</v>
      </c>
      <c r="N182" s="20">
        <v>45992</v>
      </c>
      <c r="O182" s="22" t="s">
        <v>536</v>
      </c>
      <c r="P182" s="22"/>
      <c r="Q182" s="22"/>
      <c r="R182" s="22"/>
      <c r="S182" s="18" t="s">
        <v>457</v>
      </c>
      <c r="T182" s="22" t="str">
        <f>CONCATENATE(S182,9)</f>
        <v>00023800613K9</v>
      </c>
      <c r="U182" s="18" t="s">
        <v>863</v>
      </c>
      <c r="V182" s="22" t="s">
        <v>652</v>
      </c>
      <c r="W182" t="str">
        <f t="shared" si="16"/>
        <v>STEVEN SANDRIDGE</v>
      </c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</row>
    <row r="183" spans="1:42" s="27" customFormat="1" x14ac:dyDescent="0.2">
      <c r="A183" s="4" t="s">
        <v>409</v>
      </c>
      <c r="B183" s="2">
        <v>19200754</v>
      </c>
      <c r="C183" s="4" t="s">
        <v>414</v>
      </c>
      <c r="D183" s="4" t="s">
        <v>415</v>
      </c>
      <c r="E183" s="3">
        <v>45931</v>
      </c>
      <c r="F183" s="4" t="s">
        <v>60</v>
      </c>
      <c r="G183" s="4" t="s">
        <v>51</v>
      </c>
      <c r="H183" s="4" t="s">
        <v>62</v>
      </c>
      <c r="I183" s="5">
        <v>1</v>
      </c>
      <c r="J183" s="5">
        <v>1</v>
      </c>
      <c r="K183" s="5">
        <v>26.08</v>
      </c>
      <c r="L183" s="4" t="s">
        <v>63</v>
      </c>
      <c r="M183" s="4" t="s">
        <v>64</v>
      </c>
      <c r="N183" s="3">
        <v>45566</v>
      </c>
      <c r="O183" t="s">
        <v>537</v>
      </c>
      <c r="P183" s="29" t="s">
        <v>541</v>
      </c>
      <c r="Q183"/>
      <c r="R183"/>
      <c r="S183" s="4" t="s">
        <v>415</v>
      </c>
      <c r="T183" t="str">
        <f>CONCATENATE(S183,6)</f>
        <v>00022085971K6</v>
      </c>
      <c r="U183" s="4" t="s">
        <v>756</v>
      </c>
      <c r="V183" t="s">
        <v>629</v>
      </c>
      <c r="W183" t="str">
        <f t="shared" si="16"/>
        <v>SUSAN MADETE</v>
      </c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1:42" s="27" customFormat="1" x14ac:dyDescent="0.2">
      <c r="A184" s="4" t="s">
        <v>388</v>
      </c>
      <c r="B184" s="2">
        <v>19396223</v>
      </c>
      <c r="C184" s="4" t="s">
        <v>400</v>
      </c>
      <c r="D184" s="4" t="s">
        <v>401</v>
      </c>
      <c r="E184" s="3">
        <v>45962</v>
      </c>
      <c r="F184" s="4" t="s">
        <v>69</v>
      </c>
      <c r="G184" s="4" t="s">
        <v>51</v>
      </c>
      <c r="H184" s="4" t="s">
        <v>52</v>
      </c>
      <c r="I184" s="5">
        <v>0.17</v>
      </c>
      <c r="J184" s="5">
        <v>1</v>
      </c>
      <c r="K184" s="5">
        <v>52.17</v>
      </c>
      <c r="L184" s="4" t="s">
        <v>56</v>
      </c>
      <c r="M184" s="4" t="s">
        <v>57</v>
      </c>
      <c r="N184" s="3">
        <v>45962</v>
      </c>
      <c r="O184" t="s">
        <v>537</v>
      </c>
      <c r="P184" s="29" t="s">
        <v>540</v>
      </c>
      <c r="Q184"/>
      <c r="R184"/>
      <c r="S184" s="4" t="s">
        <v>401</v>
      </c>
      <c r="T184" t="str">
        <f>CONCATENATE(S184,6)</f>
        <v>00023797476K6</v>
      </c>
      <c r="U184" s="4" t="s">
        <v>628</v>
      </c>
      <c r="V184" t="s">
        <v>629</v>
      </c>
      <c r="W184" t="str">
        <f t="shared" si="16"/>
        <v>SUSAN STREJC</v>
      </c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1:42" s="27" customFormat="1" x14ac:dyDescent="0.2">
      <c r="A185" s="4" t="s">
        <v>89</v>
      </c>
      <c r="B185" s="2">
        <v>8307933</v>
      </c>
      <c r="C185" s="4" t="s">
        <v>178</v>
      </c>
      <c r="D185" s="4" t="s">
        <v>179</v>
      </c>
      <c r="E185" s="3">
        <v>45931</v>
      </c>
      <c r="F185" s="4" t="s">
        <v>60</v>
      </c>
      <c r="G185" s="4" t="s">
        <v>51</v>
      </c>
      <c r="H185" s="4" t="s">
        <v>62</v>
      </c>
      <c r="I185" s="5">
        <v>1</v>
      </c>
      <c r="J185" s="5">
        <v>1</v>
      </c>
      <c r="K185" s="5">
        <v>26.08</v>
      </c>
      <c r="L185" s="4" t="s">
        <v>63</v>
      </c>
      <c r="M185" s="4" t="s">
        <v>64</v>
      </c>
      <c r="N185" s="3">
        <v>45597</v>
      </c>
      <c r="O185" t="s">
        <v>537</v>
      </c>
      <c r="P185" s="29" t="s">
        <v>541</v>
      </c>
      <c r="Q185"/>
      <c r="R185"/>
      <c r="S185" s="4" t="s">
        <v>179</v>
      </c>
      <c r="T185" t="str">
        <f>CONCATENATE(S185,6)</f>
        <v>00022070044K6</v>
      </c>
      <c r="U185" s="4" t="s">
        <v>832</v>
      </c>
      <c r="V185" t="s">
        <v>833</v>
      </c>
      <c r="W185" t="str">
        <f t="shared" si="16"/>
        <v>SUZI FRIESE</v>
      </c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1:42" s="27" customFormat="1" x14ac:dyDescent="0.2">
      <c r="A186" s="4" t="s">
        <v>261</v>
      </c>
      <c r="B186" s="2">
        <v>16633294</v>
      </c>
      <c r="C186" s="4" t="s">
        <v>274</v>
      </c>
      <c r="D186" s="4" t="s">
        <v>275</v>
      </c>
      <c r="E186" s="3">
        <v>45839</v>
      </c>
      <c r="F186" s="4" t="s">
        <v>49</v>
      </c>
      <c r="G186" s="4" t="s">
        <v>51</v>
      </c>
      <c r="H186" s="4" t="s">
        <v>62</v>
      </c>
      <c r="I186" s="5">
        <v>0</v>
      </c>
      <c r="J186" s="5">
        <v>-1</v>
      </c>
      <c r="K186" s="5">
        <v>-365.16</v>
      </c>
      <c r="L186" s="4" t="s">
        <v>53</v>
      </c>
      <c r="M186" s="4" t="s">
        <v>54</v>
      </c>
      <c r="N186" s="3">
        <v>45839</v>
      </c>
      <c r="O186" t="s">
        <v>538</v>
      </c>
      <c r="P186" s="29" t="s">
        <v>539</v>
      </c>
      <c r="Q186"/>
      <c r="R186"/>
      <c r="S186" s="4" t="s">
        <v>275</v>
      </c>
      <c r="T186" t="str">
        <f>CONCATENATE(S186,7)</f>
        <v>00023449614K7</v>
      </c>
      <c r="U186" s="4" t="s">
        <v>552</v>
      </c>
      <c r="V186" t="s">
        <v>553</v>
      </c>
      <c r="W186" t="str">
        <f t="shared" si="16"/>
        <v>TAMMY WILLIAMS</v>
      </c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1:42" s="22" customFormat="1" x14ac:dyDescent="0.2">
      <c r="A187" s="4" t="s">
        <v>261</v>
      </c>
      <c r="B187" s="2">
        <v>16633294</v>
      </c>
      <c r="C187" s="4" t="s">
        <v>274</v>
      </c>
      <c r="D187" s="4" t="s">
        <v>275</v>
      </c>
      <c r="E187" s="3">
        <v>45839</v>
      </c>
      <c r="F187" s="4" t="s">
        <v>49</v>
      </c>
      <c r="G187" s="4" t="s">
        <v>51</v>
      </c>
      <c r="H187" s="4" t="s">
        <v>62</v>
      </c>
      <c r="I187" s="5">
        <v>-0.17</v>
      </c>
      <c r="J187" s="5">
        <v>-1</v>
      </c>
      <c r="K187" s="5">
        <v>-52.17</v>
      </c>
      <c r="L187" s="4" t="s">
        <v>56</v>
      </c>
      <c r="M187" s="4" t="s">
        <v>57</v>
      </c>
      <c r="N187" s="3">
        <v>45839</v>
      </c>
      <c r="O187" t="s">
        <v>537</v>
      </c>
      <c r="P187" s="29" t="s">
        <v>540</v>
      </c>
      <c r="Q187"/>
      <c r="R187"/>
      <c r="S187" s="4" t="s">
        <v>275</v>
      </c>
      <c r="T187" t="str">
        <f t="shared" ref="T187:T199" si="17">CONCATENATE(S187,6)</f>
        <v>00023449614K6</v>
      </c>
      <c r="U187" s="4" t="s">
        <v>552</v>
      </c>
      <c r="V187" t="s">
        <v>553</v>
      </c>
      <c r="W187" t="str">
        <f t="shared" si="16"/>
        <v>TAMMY WILLIAMS</v>
      </c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1:42" s="22" customFormat="1" x14ac:dyDescent="0.2">
      <c r="A188" s="4" t="s">
        <v>459</v>
      </c>
      <c r="B188" s="2">
        <v>19645587</v>
      </c>
      <c r="C188" s="4" t="s">
        <v>460</v>
      </c>
      <c r="D188" s="4" t="s">
        <v>461</v>
      </c>
      <c r="E188" s="3">
        <v>45931</v>
      </c>
      <c r="F188" s="4" t="s">
        <v>60</v>
      </c>
      <c r="G188" s="4" t="s">
        <v>51</v>
      </c>
      <c r="H188" s="4" t="s">
        <v>52</v>
      </c>
      <c r="I188" s="5">
        <v>1</v>
      </c>
      <c r="J188" s="5">
        <v>1</v>
      </c>
      <c r="K188" s="5">
        <v>26.08</v>
      </c>
      <c r="L188" s="4" t="s">
        <v>63</v>
      </c>
      <c r="M188" s="4" t="s">
        <v>64</v>
      </c>
      <c r="N188" s="3">
        <v>45566</v>
      </c>
      <c r="O188" t="s">
        <v>537</v>
      </c>
      <c r="P188" s="29" t="s">
        <v>541</v>
      </c>
      <c r="Q188"/>
      <c r="R188"/>
      <c r="S188" s="4" t="s">
        <v>461</v>
      </c>
      <c r="T188" t="str">
        <f t="shared" si="17"/>
        <v>00021948322K6</v>
      </c>
      <c r="U188" s="4" t="s">
        <v>732</v>
      </c>
      <c r="V188" t="s">
        <v>733</v>
      </c>
      <c r="W188" t="str">
        <f t="shared" si="16"/>
        <v>TERESA DRAGONETTI</v>
      </c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1:42" s="22" customFormat="1" x14ac:dyDescent="0.2">
      <c r="A189" s="4" t="s">
        <v>261</v>
      </c>
      <c r="B189" s="2">
        <v>16633294</v>
      </c>
      <c r="C189" s="4" t="s">
        <v>264</v>
      </c>
      <c r="D189" s="4" t="s">
        <v>265</v>
      </c>
      <c r="E189" s="3">
        <v>45931</v>
      </c>
      <c r="F189" s="4" t="s">
        <v>60</v>
      </c>
      <c r="G189" s="4" t="s">
        <v>51</v>
      </c>
      <c r="H189" s="4" t="s">
        <v>52</v>
      </c>
      <c r="I189" s="5">
        <v>1</v>
      </c>
      <c r="J189" s="5">
        <v>1</v>
      </c>
      <c r="K189" s="5">
        <v>26.08</v>
      </c>
      <c r="L189" s="4" t="s">
        <v>63</v>
      </c>
      <c r="M189" s="4" t="s">
        <v>64</v>
      </c>
      <c r="N189" s="3">
        <v>45505</v>
      </c>
      <c r="O189" t="s">
        <v>537</v>
      </c>
      <c r="P189" s="29" t="s">
        <v>541</v>
      </c>
      <c r="Q189"/>
      <c r="R189"/>
      <c r="S189" s="4" t="s">
        <v>265</v>
      </c>
      <c r="T189" t="str">
        <f t="shared" si="17"/>
        <v>00021938736K6</v>
      </c>
      <c r="U189" s="4" t="s">
        <v>853</v>
      </c>
      <c r="V189" t="s">
        <v>854</v>
      </c>
      <c r="W189" t="str">
        <f t="shared" si="16"/>
        <v>TERRANCE HALLMAN</v>
      </c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1:42" s="22" customFormat="1" x14ac:dyDescent="0.2">
      <c r="A190" s="4" t="s">
        <v>373</v>
      </c>
      <c r="B190" s="2">
        <v>18754354</v>
      </c>
      <c r="C190" s="4" t="s">
        <v>380</v>
      </c>
      <c r="D190" s="4" t="s">
        <v>381</v>
      </c>
      <c r="E190" s="3">
        <v>45931</v>
      </c>
      <c r="F190" s="4" t="s">
        <v>60</v>
      </c>
      <c r="G190" s="4" t="s">
        <v>51</v>
      </c>
      <c r="H190" s="4" t="s">
        <v>52</v>
      </c>
      <c r="I190" s="5">
        <v>1</v>
      </c>
      <c r="J190" s="5">
        <v>1</v>
      </c>
      <c r="K190" s="5">
        <v>26.08</v>
      </c>
      <c r="L190" s="4" t="s">
        <v>63</v>
      </c>
      <c r="M190" s="4" t="s">
        <v>64</v>
      </c>
      <c r="N190" s="3">
        <v>45597</v>
      </c>
      <c r="O190" t="s">
        <v>537</v>
      </c>
      <c r="P190" s="29" t="s">
        <v>541</v>
      </c>
      <c r="Q190"/>
      <c r="R190"/>
      <c r="S190" s="4" t="s">
        <v>381</v>
      </c>
      <c r="T190" t="str">
        <f t="shared" si="17"/>
        <v>00022241122K6</v>
      </c>
      <c r="U190" s="4" t="s">
        <v>633</v>
      </c>
      <c r="V190" t="s">
        <v>808</v>
      </c>
      <c r="W190" t="str">
        <f t="shared" si="16"/>
        <v>TERRI EATON</v>
      </c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1:42" s="22" customFormat="1" x14ac:dyDescent="0.2">
      <c r="A191" s="4" t="s">
        <v>89</v>
      </c>
      <c r="B191" s="2">
        <v>8307933</v>
      </c>
      <c r="C191" s="4" t="s">
        <v>156</v>
      </c>
      <c r="D191" s="4" t="s">
        <v>157</v>
      </c>
      <c r="E191" s="3">
        <v>45931</v>
      </c>
      <c r="F191" s="4" t="s">
        <v>60</v>
      </c>
      <c r="G191" s="4" t="s">
        <v>51</v>
      </c>
      <c r="H191" s="4" t="s">
        <v>52</v>
      </c>
      <c r="I191" s="5">
        <v>1</v>
      </c>
      <c r="J191" s="5">
        <v>1</v>
      </c>
      <c r="K191" s="5">
        <v>26.08</v>
      </c>
      <c r="L191" s="4" t="s">
        <v>63</v>
      </c>
      <c r="M191" s="4" t="s">
        <v>64</v>
      </c>
      <c r="N191" s="3">
        <v>45383</v>
      </c>
      <c r="O191" t="s">
        <v>537</v>
      </c>
      <c r="P191" s="29" t="s">
        <v>541</v>
      </c>
      <c r="Q191"/>
      <c r="R191"/>
      <c r="S191" s="4" t="s">
        <v>157</v>
      </c>
      <c r="T191" t="str">
        <f t="shared" si="17"/>
        <v>00021570979K6</v>
      </c>
      <c r="U191" s="4" t="s">
        <v>807</v>
      </c>
      <c r="V191" t="s">
        <v>808</v>
      </c>
      <c r="W191" t="str">
        <f t="shared" si="16"/>
        <v>TERRI WENINEGAR</v>
      </c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1:42" s="17" customFormat="1" x14ac:dyDescent="0.2">
      <c r="A192" s="4" t="s">
        <v>188</v>
      </c>
      <c r="B192" s="2">
        <v>7146581</v>
      </c>
      <c r="C192" s="4" t="s">
        <v>205</v>
      </c>
      <c r="D192" s="4" t="s">
        <v>206</v>
      </c>
      <c r="E192" s="3">
        <v>45931</v>
      </c>
      <c r="F192" s="4" t="s">
        <v>60</v>
      </c>
      <c r="G192" s="4" t="s">
        <v>51</v>
      </c>
      <c r="H192" s="4" t="s">
        <v>62</v>
      </c>
      <c r="I192" s="5">
        <v>1</v>
      </c>
      <c r="J192" s="5">
        <v>1</v>
      </c>
      <c r="K192" s="5">
        <v>26.08</v>
      </c>
      <c r="L192" s="4" t="s">
        <v>63</v>
      </c>
      <c r="M192" s="4" t="s">
        <v>64</v>
      </c>
      <c r="N192" s="3">
        <v>45536</v>
      </c>
      <c r="O192" t="s">
        <v>537</v>
      </c>
      <c r="P192" s="29" t="s">
        <v>541</v>
      </c>
      <c r="Q192"/>
      <c r="R192"/>
      <c r="S192" s="4" t="s">
        <v>206</v>
      </c>
      <c r="T192" t="str">
        <f t="shared" si="17"/>
        <v>00022023339K6</v>
      </c>
      <c r="U192" s="4" t="s">
        <v>697</v>
      </c>
      <c r="V192" t="s">
        <v>698</v>
      </c>
      <c r="W192" t="str">
        <f t="shared" si="16"/>
        <v>TERRY ROSS</v>
      </c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1:42" s="17" customFormat="1" x14ac:dyDescent="0.2">
      <c r="A193" s="4" t="s">
        <v>89</v>
      </c>
      <c r="B193" s="2">
        <v>8307933</v>
      </c>
      <c r="C193" s="4" t="s">
        <v>184</v>
      </c>
      <c r="D193" s="4" t="s">
        <v>185</v>
      </c>
      <c r="E193" s="3">
        <v>45931</v>
      </c>
      <c r="F193" s="4" t="s">
        <v>60</v>
      </c>
      <c r="G193" s="4" t="s">
        <v>51</v>
      </c>
      <c r="H193" s="4" t="s">
        <v>52</v>
      </c>
      <c r="I193" s="5">
        <v>1</v>
      </c>
      <c r="J193" s="5">
        <v>1</v>
      </c>
      <c r="K193" s="5">
        <v>26.08</v>
      </c>
      <c r="L193" s="4" t="s">
        <v>63</v>
      </c>
      <c r="M193" s="4" t="s">
        <v>64</v>
      </c>
      <c r="N193" s="3">
        <v>45597</v>
      </c>
      <c r="O193" t="s">
        <v>537</v>
      </c>
      <c r="P193" s="29" t="s">
        <v>541</v>
      </c>
      <c r="Q193"/>
      <c r="R193"/>
      <c r="S193" s="4" t="s">
        <v>185</v>
      </c>
      <c r="T193" t="str">
        <f t="shared" si="17"/>
        <v>00022351069K6</v>
      </c>
      <c r="U193" s="4" t="s">
        <v>825</v>
      </c>
      <c r="V193" t="s">
        <v>826</v>
      </c>
      <c r="W193" t="str">
        <f t="shared" si="16"/>
        <v>THEROLD RATHGEB</v>
      </c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1:42" s="17" customFormat="1" x14ac:dyDescent="0.2">
      <c r="A194" s="4" t="s">
        <v>318</v>
      </c>
      <c r="B194" s="2">
        <v>17528908</v>
      </c>
      <c r="C194" s="4" t="s">
        <v>331</v>
      </c>
      <c r="D194" s="4" t="s">
        <v>332</v>
      </c>
      <c r="E194" s="3">
        <v>45931</v>
      </c>
      <c r="F194" s="4" t="s">
        <v>60</v>
      </c>
      <c r="G194" s="4" t="s">
        <v>51</v>
      </c>
      <c r="H194" s="4" t="s">
        <v>52</v>
      </c>
      <c r="I194" s="5">
        <v>1</v>
      </c>
      <c r="J194" s="5">
        <v>1</v>
      </c>
      <c r="K194" s="5">
        <v>29.41</v>
      </c>
      <c r="L194" s="4" t="s">
        <v>63</v>
      </c>
      <c r="M194" s="4" t="s">
        <v>64</v>
      </c>
      <c r="N194" s="3">
        <v>45292</v>
      </c>
      <c r="O194" t="s">
        <v>542</v>
      </c>
      <c r="P194" s="29" t="s">
        <v>543</v>
      </c>
      <c r="Q194"/>
      <c r="R194"/>
      <c r="S194" s="4" t="s">
        <v>332</v>
      </c>
      <c r="T194" t="str">
        <f t="shared" si="17"/>
        <v>00021246316K6</v>
      </c>
      <c r="U194" s="4" t="s">
        <v>578</v>
      </c>
      <c r="V194" t="s">
        <v>568</v>
      </c>
      <c r="W194" t="str">
        <f t="shared" si="16"/>
        <v>THOMAS BASHLINE</v>
      </c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1:42" s="11" customFormat="1" x14ac:dyDescent="0.2">
      <c r="A195" s="4" t="s">
        <v>221</v>
      </c>
      <c r="B195" s="2">
        <v>15278437</v>
      </c>
      <c r="C195" s="4" t="s">
        <v>227</v>
      </c>
      <c r="D195" s="4" t="s">
        <v>228</v>
      </c>
      <c r="E195" s="3">
        <v>45931</v>
      </c>
      <c r="F195" s="4" t="s">
        <v>60</v>
      </c>
      <c r="G195" s="4" t="s">
        <v>51</v>
      </c>
      <c r="H195" s="4" t="s">
        <v>62</v>
      </c>
      <c r="I195" s="5">
        <v>1</v>
      </c>
      <c r="J195" s="5">
        <v>1</v>
      </c>
      <c r="K195" s="5">
        <v>29.41</v>
      </c>
      <c r="L195" s="4" t="s">
        <v>63</v>
      </c>
      <c r="M195" s="4" t="s">
        <v>64</v>
      </c>
      <c r="N195" s="3">
        <v>45292</v>
      </c>
      <c r="O195" t="s">
        <v>542</v>
      </c>
      <c r="P195" s="29" t="s">
        <v>543</v>
      </c>
      <c r="Q195"/>
      <c r="R195"/>
      <c r="S195" s="4" t="s">
        <v>228</v>
      </c>
      <c r="T195" t="str">
        <f t="shared" si="17"/>
        <v>00021167294K6</v>
      </c>
      <c r="U195" s="4" t="s">
        <v>567</v>
      </c>
      <c r="V195" t="s">
        <v>568</v>
      </c>
      <c r="W195" t="str">
        <f t="shared" si="16"/>
        <v>THOMAS TAYLOR</v>
      </c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1:42" s="11" customFormat="1" x14ac:dyDescent="0.2">
      <c r="A196" s="4" t="s">
        <v>89</v>
      </c>
      <c r="B196" s="2">
        <v>8307933</v>
      </c>
      <c r="C196" s="4" t="s">
        <v>170</v>
      </c>
      <c r="D196" s="4" t="s">
        <v>171</v>
      </c>
      <c r="E196" s="3">
        <v>45931</v>
      </c>
      <c r="F196" s="4" t="s">
        <v>60</v>
      </c>
      <c r="G196" s="4" t="s">
        <v>51</v>
      </c>
      <c r="H196" s="4" t="s">
        <v>52</v>
      </c>
      <c r="I196" s="5">
        <v>1</v>
      </c>
      <c r="J196" s="5">
        <v>1</v>
      </c>
      <c r="K196" s="5">
        <v>26.08</v>
      </c>
      <c r="L196" s="4" t="s">
        <v>63</v>
      </c>
      <c r="M196" s="4" t="s">
        <v>64</v>
      </c>
      <c r="N196" s="3">
        <v>45505</v>
      </c>
      <c r="O196" t="s">
        <v>537</v>
      </c>
      <c r="P196" s="29" t="s">
        <v>541</v>
      </c>
      <c r="Q196"/>
      <c r="R196"/>
      <c r="S196" s="4" t="s">
        <v>171</v>
      </c>
      <c r="T196" t="str">
        <f t="shared" si="17"/>
        <v>00021792778K6</v>
      </c>
      <c r="U196" s="4" t="s">
        <v>817</v>
      </c>
      <c r="V196" t="s">
        <v>818</v>
      </c>
      <c r="W196" t="str">
        <f t="shared" si="16"/>
        <v>TIMOTHY HATMAKER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1:42" s="11" customFormat="1" x14ac:dyDescent="0.2">
      <c r="A197" s="4" t="s">
        <v>243</v>
      </c>
      <c r="B197" s="2">
        <v>9079571</v>
      </c>
      <c r="C197" s="4" t="s">
        <v>258</v>
      </c>
      <c r="D197" s="4" t="s">
        <v>259</v>
      </c>
      <c r="E197" s="3">
        <v>45931</v>
      </c>
      <c r="F197" s="4" t="s">
        <v>60</v>
      </c>
      <c r="G197" s="4" t="s">
        <v>51</v>
      </c>
      <c r="H197" s="4" t="s">
        <v>52</v>
      </c>
      <c r="I197" s="5">
        <v>1</v>
      </c>
      <c r="J197" s="5">
        <v>1</v>
      </c>
      <c r="K197" s="5">
        <v>29.41</v>
      </c>
      <c r="L197" s="4" t="s">
        <v>63</v>
      </c>
      <c r="M197" s="4" t="s">
        <v>64</v>
      </c>
      <c r="N197" s="3">
        <v>45292</v>
      </c>
      <c r="O197" t="s">
        <v>542</v>
      </c>
      <c r="P197" s="29" t="s">
        <v>543</v>
      </c>
      <c r="Q197"/>
      <c r="R197"/>
      <c r="S197" s="4" t="s">
        <v>259</v>
      </c>
      <c r="T197" t="str">
        <f t="shared" si="17"/>
        <v>00021044590K6</v>
      </c>
      <c r="U197" s="4" t="s">
        <v>588</v>
      </c>
      <c r="V197" t="s">
        <v>589</v>
      </c>
      <c r="W197" t="str">
        <f t="shared" si="16"/>
        <v>TINA POOLE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1:42" s="11" customFormat="1" x14ac:dyDescent="0.2">
      <c r="A198" s="4" t="s">
        <v>188</v>
      </c>
      <c r="B198" s="2">
        <v>7146581</v>
      </c>
      <c r="C198" s="4" t="s">
        <v>191</v>
      </c>
      <c r="D198" s="4" t="s">
        <v>192</v>
      </c>
      <c r="E198" s="3">
        <v>45931</v>
      </c>
      <c r="F198" s="4" t="s">
        <v>60</v>
      </c>
      <c r="G198" s="4" t="s">
        <v>51</v>
      </c>
      <c r="H198" s="4" t="s">
        <v>52</v>
      </c>
      <c r="I198" s="5">
        <v>1</v>
      </c>
      <c r="J198" s="5">
        <v>1</v>
      </c>
      <c r="K198" s="5">
        <v>26.08</v>
      </c>
      <c r="L198" s="4" t="s">
        <v>63</v>
      </c>
      <c r="M198" s="4" t="s">
        <v>64</v>
      </c>
      <c r="N198" s="3">
        <v>45474</v>
      </c>
      <c r="O198" t="s">
        <v>537</v>
      </c>
      <c r="P198" s="29" t="s">
        <v>541</v>
      </c>
      <c r="Q198"/>
      <c r="R198"/>
      <c r="S198" s="4" t="s">
        <v>192</v>
      </c>
      <c r="T198" t="str">
        <f t="shared" si="17"/>
        <v>00021876313K6</v>
      </c>
      <c r="U198" s="4" t="s">
        <v>678</v>
      </c>
      <c r="V198" t="s">
        <v>679</v>
      </c>
      <c r="W198" t="str">
        <f t="shared" si="16"/>
        <v>TODD COHEN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1:42" s="17" customFormat="1" x14ac:dyDescent="0.2">
      <c r="A199" s="4" t="s">
        <v>382</v>
      </c>
      <c r="B199" s="2">
        <v>5442438</v>
      </c>
      <c r="C199" s="4" t="s">
        <v>383</v>
      </c>
      <c r="D199" s="4" t="s">
        <v>384</v>
      </c>
      <c r="E199" s="3">
        <v>45931</v>
      </c>
      <c r="F199" s="4" t="s">
        <v>60</v>
      </c>
      <c r="G199" s="4" t="s">
        <v>51</v>
      </c>
      <c r="H199" s="4" t="s">
        <v>52</v>
      </c>
      <c r="I199" s="5">
        <v>1</v>
      </c>
      <c r="J199" s="5">
        <v>1</v>
      </c>
      <c r="K199" s="5">
        <v>26.08</v>
      </c>
      <c r="L199" s="4" t="s">
        <v>63</v>
      </c>
      <c r="M199" s="4" t="s">
        <v>64</v>
      </c>
      <c r="N199" s="3">
        <v>45536</v>
      </c>
      <c r="O199" t="s">
        <v>537</v>
      </c>
      <c r="P199" s="29" t="s">
        <v>541</v>
      </c>
      <c r="Q199"/>
      <c r="R199"/>
      <c r="S199" s="4" t="s">
        <v>384</v>
      </c>
      <c r="T199" t="str">
        <f t="shared" si="17"/>
        <v>00022011876K6</v>
      </c>
      <c r="U199" s="4" t="s">
        <v>710</v>
      </c>
      <c r="V199" t="s">
        <v>711</v>
      </c>
      <c r="W199" t="str">
        <f t="shared" si="16"/>
        <v>TRACEY BROWN</v>
      </c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1:42" s="17" customFormat="1" x14ac:dyDescent="0.2">
      <c r="A200" s="12" t="s">
        <v>496</v>
      </c>
      <c r="B200" s="13">
        <v>6634327</v>
      </c>
      <c r="C200" s="12" t="s">
        <v>497</v>
      </c>
      <c r="D200" s="14">
        <v>853911</v>
      </c>
      <c r="E200" s="15">
        <v>45931</v>
      </c>
      <c r="F200" s="12" t="s">
        <v>60</v>
      </c>
      <c r="G200" s="12" t="s">
        <v>488</v>
      </c>
      <c r="H200" s="12" t="s">
        <v>46</v>
      </c>
      <c r="I200" s="16">
        <v>10</v>
      </c>
      <c r="J200" s="16">
        <v>635.22</v>
      </c>
      <c r="K200" s="16">
        <v>63.52</v>
      </c>
      <c r="L200" s="12" t="s">
        <v>63</v>
      </c>
      <c r="M200" s="12" t="s">
        <v>64</v>
      </c>
      <c r="N200" s="15">
        <v>44562</v>
      </c>
      <c r="O200" s="17" t="s">
        <v>535</v>
      </c>
      <c r="S200" s="14">
        <v>853911</v>
      </c>
      <c r="T200" s="17" t="str">
        <f>CONCATENATE(S200,7)</f>
        <v>8539117</v>
      </c>
      <c r="U200" s="12" t="s">
        <v>612</v>
      </c>
      <c r="V200" s="17" t="s">
        <v>613</v>
      </c>
      <c r="W200" s="12" t="s">
        <v>497</v>
      </c>
    </row>
    <row r="201" spans="1:42" x14ac:dyDescent="0.2">
      <c r="A201" s="12" t="s">
        <v>496</v>
      </c>
      <c r="B201" s="13">
        <v>6634327</v>
      </c>
      <c r="C201" s="12" t="s">
        <v>497</v>
      </c>
      <c r="D201" s="14">
        <v>853911</v>
      </c>
      <c r="E201" s="15">
        <v>45931</v>
      </c>
      <c r="F201" s="12" t="s">
        <v>60</v>
      </c>
      <c r="G201" s="12" t="s">
        <v>483</v>
      </c>
      <c r="H201" s="12" t="s">
        <v>46</v>
      </c>
      <c r="I201" s="16">
        <v>10</v>
      </c>
      <c r="J201" s="16">
        <v>68.05</v>
      </c>
      <c r="K201" s="16">
        <v>6.81</v>
      </c>
      <c r="L201" s="12" t="s">
        <v>63</v>
      </c>
      <c r="M201" s="12" t="s">
        <v>64</v>
      </c>
      <c r="N201" s="15">
        <v>44562</v>
      </c>
      <c r="O201" s="17" t="s">
        <v>535</v>
      </c>
      <c r="P201" s="17"/>
      <c r="Q201" s="17"/>
      <c r="R201" s="17"/>
      <c r="S201" s="14">
        <v>853911</v>
      </c>
      <c r="T201" s="17" t="str">
        <f>CONCATENATE(S201,7)</f>
        <v>8539117</v>
      </c>
      <c r="U201" s="12" t="s">
        <v>612</v>
      </c>
      <c r="V201" s="17" t="s">
        <v>613</v>
      </c>
      <c r="W201" s="12" t="s">
        <v>497</v>
      </c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</row>
  </sheetData>
  <sortState xmlns:xlrd2="http://schemas.microsoft.com/office/spreadsheetml/2017/richdata2" ref="A2:AP201">
    <sortCondition ref="W2:W2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54E1-F948-4D7F-AB69-87B626A485C2}">
  <dimension ref="A1:M5"/>
  <sheetViews>
    <sheetView tabSelected="1" workbookViewId="0">
      <selection activeCell="A2" sqref="A2:XFD5"/>
    </sheetView>
  </sheetViews>
  <sheetFormatPr defaultRowHeight="12.75" x14ac:dyDescent="0.2"/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13" x14ac:dyDescent="0.2">
      <c r="A2" s="4" t="s">
        <v>373</v>
      </c>
      <c r="B2" s="2">
        <v>1773696</v>
      </c>
      <c r="C2" s="4" t="s">
        <v>523</v>
      </c>
      <c r="D2" s="30">
        <v>413180</v>
      </c>
      <c r="E2" s="3">
        <v>45901</v>
      </c>
      <c r="F2" s="4" t="s">
        <v>505</v>
      </c>
      <c r="G2" s="4" t="s">
        <v>526</v>
      </c>
      <c r="H2" s="4" t="s">
        <v>46</v>
      </c>
      <c r="I2" s="5">
        <v>15</v>
      </c>
      <c r="J2" s="5">
        <v>1.1599999999999999</v>
      </c>
      <c r="K2" s="5">
        <v>0.17</v>
      </c>
      <c r="L2" s="4" t="s">
        <v>63</v>
      </c>
      <c r="M2" s="3">
        <v>45474</v>
      </c>
    </row>
    <row r="3" spans="1:13" x14ac:dyDescent="0.2">
      <c r="A3" s="4" t="s">
        <v>373</v>
      </c>
      <c r="B3" s="2">
        <v>1773696</v>
      </c>
      <c r="C3" s="4" t="s">
        <v>523</v>
      </c>
      <c r="D3" s="30">
        <v>413180</v>
      </c>
      <c r="E3" s="3">
        <v>45931</v>
      </c>
      <c r="F3" s="4" t="s">
        <v>60</v>
      </c>
      <c r="G3" s="4" t="s">
        <v>526</v>
      </c>
      <c r="H3" s="4" t="s">
        <v>46</v>
      </c>
      <c r="I3" s="5">
        <v>15</v>
      </c>
      <c r="J3" s="5">
        <v>21.61</v>
      </c>
      <c r="K3" s="5">
        <v>3.24</v>
      </c>
      <c r="L3" s="4" t="s">
        <v>63</v>
      </c>
      <c r="M3" s="3">
        <v>45474</v>
      </c>
    </row>
    <row r="4" spans="1:13" x14ac:dyDescent="0.2">
      <c r="A4" s="4" t="s">
        <v>373</v>
      </c>
      <c r="B4" s="2">
        <v>1773696</v>
      </c>
      <c r="C4" s="4" t="s">
        <v>523</v>
      </c>
      <c r="D4" s="30">
        <v>413180</v>
      </c>
      <c r="E4" s="3">
        <v>45901</v>
      </c>
      <c r="F4" s="4" t="s">
        <v>505</v>
      </c>
      <c r="G4" s="4" t="s">
        <v>525</v>
      </c>
      <c r="H4" s="4" t="s">
        <v>46</v>
      </c>
      <c r="I4" s="5">
        <v>15</v>
      </c>
      <c r="J4" s="5">
        <v>5.04</v>
      </c>
      <c r="K4" s="5">
        <v>0.76</v>
      </c>
      <c r="L4" s="4" t="s">
        <v>63</v>
      </c>
      <c r="M4" s="3">
        <v>45474</v>
      </c>
    </row>
    <row r="5" spans="1:13" x14ac:dyDescent="0.2">
      <c r="A5" s="4" t="s">
        <v>373</v>
      </c>
      <c r="B5" s="2">
        <v>1773696</v>
      </c>
      <c r="C5" s="4" t="s">
        <v>523</v>
      </c>
      <c r="D5" s="30">
        <v>413180</v>
      </c>
      <c r="E5" s="3">
        <v>45931</v>
      </c>
      <c r="F5" s="4" t="s">
        <v>60</v>
      </c>
      <c r="G5" s="4" t="s">
        <v>525</v>
      </c>
      <c r="H5" s="4" t="s">
        <v>46</v>
      </c>
      <c r="I5" s="5">
        <v>15</v>
      </c>
      <c r="J5" s="5">
        <v>93.64</v>
      </c>
      <c r="K5" s="5">
        <v>14.05</v>
      </c>
      <c r="L5" s="4" t="s">
        <v>63</v>
      </c>
      <c r="M5" s="3">
        <v>45474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2025-10-16T17:03:55Z</dcterms:created>
  <dcterms:modified xsi:type="dcterms:W3CDTF">2025-11-18T23:35:03Z</dcterms:modified>
</cp:coreProperties>
</file>