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0-29-25\"/>
    </mc:Choice>
  </mc:AlternateContent>
  <xr:revisionPtr revIDLastSave="0" documentId="13_ncr:1_{E2A0E7C5-6A5F-4208-B2CD-448BBBAF4A9C}" xr6:coauthVersionLast="47" xr6:coauthVersionMax="47" xr10:uidLastSave="{00000000-0000-0000-0000-000000000000}"/>
  <bookViews>
    <workbookView xWindow="28680" yWindow="-120" windowWidth="29040" windowHeight="16440" activeTab="1" xr2:uid="{DEDABEEF-6D3D-4A11-B5C7-3EC550063FE2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<sst xmlns="http://schemas.openxmlformats.org/spreadsheetml/2006/main" count="2547" uniqueCount="360">
  <si>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</si>
  <si>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</si>
  <si>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</si>
  <si>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</si>
  <si>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</si>
  <si>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</si>
  <si>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</si>
  <si>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</si>
  <si>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</si>
  <si>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</si>
  <si>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</si>
  <si>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</si>
  <si>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</si>
  <si>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</si>
  <si>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</si>
  <si>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</si>
  <si>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</si>
  <si>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</si>
  <si>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</si>
  <si>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</si>
  <si>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</si>
  <si>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</si>
  <si>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</si>
  <si>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</si>
  <si>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</si>
  <si>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</si>
  <si>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</si>
  <si>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</si>
  <si>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</si>
  <si>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</si>
  <si>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</si>
  <si>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</si>
  <si>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</si>
  <si>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</si>
  <si>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</si>
  <si>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</si>
  <si>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</si>
  <si>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</si>
  <si>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</si>
  <si>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</si>
  <si>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</si>
  <si>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</si>
  <si>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</si>
  <si>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CASTLEBERRY JAMES L</t>
  </si>
  <si>
    <t>00024021738K</t>
  </si>
  <si>
    <t>3Y53Q02NG00</t>
  </si>
  <si>
    <t/>
  </si>
  <si>
    <t>MA</t>
  </si>
  <si>
    <t>LV</t>
  </si>
  <si>
    <t>NOV</t>
  </si>
  <si>
    <t>F</t>
  </si>
  <si>
    <t>MEDICARE</t>
  </si>
  <si>
    <t>MEP</t>
  </si>
  <si>
    <t>FIRST YEAR COMMISSIONS</t>
  </si>
  <si>
    <t>ARCF</t>
  </si>
  <si>
    <t>H0473</t>
  </si>
  <si>
    <t>SODIPE ALEXANDER O</t>
  </si>
  <si>
    <t>00024095400K</t>
  </si>
  <si>
    <t>3FK4KR4XN97</t>
  </si>
  <si>
    <t>MER</t>
  </si>
  <si>
    <t>H1468</t>
  </si>
  <si>
    <t>IRVING MONICA L</t>
  </si>
  <si>
    <t>00024116967K</t>
  </si>
  <si>
    <t>1T90FN7TA08</t>
  </si>
  <si>
    <t>H5216</t>
  </si>
  <si>
    <t>LISKOVEC FRANK E</t>
  </si>
  <si>
    <t>JOYCE ANNE M</t>
  </si>
  <si>
    <t>00024091477K</t>
  </si>
  <si>
    <t>1J70C60KE20</t>
  </si>
  <si>
    <t>DEC</t>
  </si>
  <si>
    <t>CHOI ANDREW J</t>
  </si>
  <si>
    <t>NOVAK AMALIJA</t>
  </si>
  <si>
    <t>00023998284K</t>
  </si>
  <si>
    <t>5RG6DX9TE87</t>
  </si>
  <si>
    <t>SMITH TODD R</t>
  </si>
  <si>
    <t>00024125722K</t>
  </si>
  <si>
    <t>7NQ3YT5RP01</t>
  </si>
  <si>
    <t>DEATON PAMELA S</t>
  </si>
  <si>
    <t>MONNINGER MELODY H</t>
  </si>
  <si>
    <t>00024017596K</t>
  </si>
  <si>
    <t>1NY2FC3RF01</t>
  </si>
  <si>
    <t>TEIPEL GREGORY K</t>
  </si>
  <si>
    <t>GLASS CHARLES J</t>
  </si>
  <si>
    <t>00016279775K</t>
  </si>
  <si>
    <t>8X42V17AY11</t>
  </si>
  <si>
    <t>QUILLEN LINDA K</t>
  </si>
  <si>
    <t>00024047465K</t>
  </si>
  <si>
    <t>6JN5HC7CW85</t>
  </si>
  <si>
    <t>HUNSBERGER ANTHONY J</t>
  </si>
  <si>
    <t>ROSSMAN CHRISTOPHER M</t>
  </si>
  <si>
    <t>00024083763K</t>
  </si>
  <si>
    <t>3EQ0UE8KU06</t>
  </si>
  <si>
    <t>GEHRINGER CYNTHIA A</t>
  </si>
  <si>
    <t>00024139881K</t>
  </si>
  <si>
    <t>2JY4HA1DW75</t>
  </si>
  <si>
    <t>WALENGA DALE J</t>
  </si>
  <si>
    <t>FYE JOSEPH M</t>
  </si>
  <si>
    <t>00023972941K</t>
  </si>
  <si>
    <t>5DG9XW3AQ46</t>
  </si>
  <si>
    <t>MESSINA DONNA M</t>
  </si>
  <si>
    <t>00024039501K</t>
  </si>
  <si>
    <t>9NQ5PU0UR93</t>
  </si>
  <si>
    <t>RICHTER ADAM J</t>
  </si>
  <si>
    <t>HURTT IONE J</t>
  </si>
  <si>
    <t>00024124444K</t>
  </si>
  <si>
    <t>5RR5R29DD64</t>
  </si>
  <si>
    <t>PDP</t>
  </si>
  <si>
    <t>S5884</t>
  </si>
  <si>
    <t>HURTT WESLEY P</t>
  </si>
  <si>
    <t>00024125099K</t>
  </si>
  <si>
    <t>4PN1R28WX17</t>
  </si>
  <si>
    <t>YALE RICHARD A A</t>
  </si>
  <si>
    <t>PARMACEK JACQUELINE M</t>
  </si>
  <si>
    <t>00023995172K</t>
  </si>
  <si>
    <t>7WQ0D73JU26</t>
  </si>
  <si>
    <t>RICHTER PETER L</t>
  </si>
  <si>
    <t>TUMELTY JOSEPH J</t>
  </si>
  <si>
    <t>00024098776K</t>
  </si>
  <si>
    <t>9VA6H13FR42</t>
  </si>
  <si>
    <t>GREEN DANNA</t>
  </si>
  <si>
    <t>MCGHEE PATRICK T</t>
  </si>
  <si>
    <t>00023975846K</t>
  </si>
  <si>
    <t>3DK0DY0CP47</t>
  </si>
  <si>
    <t>MAYES RICKY D</t>
  </si>
  <si>
    <t>00023978760K</t>
  </si>
  <si>
    <t>3F63EE3PV71</t>
  </si>
  <si>
    <t>DENT KATHERINE V</t>
  </si>
  <si>
    <t>00024009777K</t>
  </si>
  <si>
    <t>4TK9XD6TP28</t>
  </si>
  <si>
    <t>HUTCHISON II WILLIAM P</t>
  </si>
  <si>
    <t>00024103068K</t>
  </si>
  <si>
    <t>2WT2JJ9XT87</t>
  </si>
  <si>
    <t>PORTUGAL GARY</t>
  </si>
  <si>
    <t>KINLOCH JOANNE M</t>
  </si>
  <si>
    <t>00011260092K</t>
  </si>
  <si>
    <t>2DY9T36AY17</t>
  </si>
  <si>
    <t>DANIEL ANTHONY</t>
  </si>
  <si>
    <t>00020552959K</t>
  </si>
  <si>
    <t>7MN2F03WU04</t>
  </si>
  <si>
    <t>YALE JACOB D</t>
  </si>
  <si>
    <t>SMITH DAVID S</t>
  </si>
  <si>
    <t>00022389298K</t>
  </si>
  <si>
    <t>3A20R00XX10</t>
  </si>
  <si>
    <t>CP</t>
  </si>
  <si>
    <t>JAN</t>
  </si>
  <si>
    <t>H1019</t>
  </si>
  <si>
    <t>TAUGNER CHRISTIAN</t>
  </si>
  <si>
    <t>CARR KATHY A</t>
  </si>
  <si>
    <t>00024107090K</t>
  </si>
  <si>
    <t>9RV0CH5RA25</t>
  </si>
  <si>
    <t>STROHMAN BRIAN C</t>
  </si>
  <si>
    <t>VANMOFFAERT PAUL R</t>
  </si>
  <si>
    <t>00023994614K</t>
  </si>
  <si>
    <t>1AU5TG6EE87</t>
  </si>
  <si>
    <t>SIEVEWRIGHT ROBERT G</t>
  </si>
  <si>
    <t>GUZZIO ROY C</t>
  </si>
  <si>
    <t>00024049662K</t>
  </si>
  <si>
    <t>9WV4E47XQ07</t>
  </si>
  <si>
    <t>SHEPARD JILL M</t>
  </si>
  <si>
    <t>BOGDAN MICHAEL E</t>
  </si>
  <si>
    <t>00024109945K</t>
  </si>
  <si>
    <t>4YW6HG0FP86</t>
  </si>
  <si>
    <t>MRO</t>
  </si>
  <si>
    <t>H6622</t>
  </si>
  <si>
    <t>Hanahan Barbara</t>
  </si>
  <si>
    <t>9025228750</t>
  </si>
  <si>
    <t>IN</t>
  </si>
  <si>
    <t>CB</t>
  </si>
  <si>
    <t>R</t>
  </si>
  <si>
    <t>DENTAL</t>
  </si>
  <si>
    <t>COMPBENEFITS RENEWAL COMMISSION</t>
  </si>
  <si>
    <t>CRCM</t>
  </si>
  <si>
    <t>MCCORKLE MICHELLE</t>
  </si>
  <si>
    <t>Danley Ryan</t>
  </si>
  <si>
    <t>9030925080</t>
  </si>
  <si>
    <t>VISION</t>
  </si>
  <si>
    <t>COMPBENEFITS FIRST YEAR COMMISSION</t>
  </si>
  <si>
    <t>CRCF</t>
  </si>
  <si>
    <t>Estakhri Hengameh</t>
  </si>
  <si>
    <t>9030969880</t>
  </si>
  <si>
    <t>DUNAVANT MICHAEL</t>
  </si>
  <si>
    <t>Urish Gerald</t>
  </si>
  <si>
    <t>9030509330</t>
  </si>
  <si>
    <t>Gambetti Brianna</t>
  </si>
  <si>
    <t>9030544330</t>
  </si>
  <si>
    <t>9030544350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</si>
  <si>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</si>
  <si>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</si>
  <si>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</si>
  <si>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</si>
  <si>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</si>
  <si>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</si>
  <si>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</si>
  <si>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</si>
  <si>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Ferris Ron</t>
  </si>
  <si>
    <t>9030645140</t>
  </si>
  <si>
    <t>Johnson Eric</t>
  </si>
  <si>
    <t>9030645550</t>
  </si>
  <si>
    <t>Shirkey Victoria</t>
  </si>
  <si>
    <t>9030645560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</si>
  <si>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</si>
  <si>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</si>
  <si>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</si>
  <si>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</si>
  <si>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</si>
  <si>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</si>
  <si>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</si>
  <si>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</si>
  <si>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</si>
  <si>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</si>
  <si>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</si>
  <si>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</si>
  <si>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</si>
  <si>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</si>
  <si>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</si>
  <si>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</si>
  <si>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Galloway Jacqueline</t>
  </si>
  <si>
    <t>9030840840</t>
  </si>
  <si>
    <t>Stokes Thomas</t>
  </si>
  <si>
    <t>9030895100</t>
  </si>
  <si>
    <t>Fewell Robin</t>
  </si>
  <si>
    <t>9030924610</t>
  </si>
  <si>
    <t>Rolfs Patrick</t>
  </si>
  <si>
    <t>9030982390</t>
  </si>
  <si>
    <t>Alfrey Jackie</t>
  </si>
  <si>
    <t>9031044060</t>
  </si>
  <si>
    <t>Sleeper Nichole</t>
  </si>
  <si>
    <t>9031050480</t>
  </si>
  <si>
    <t>Trost James</t>
  </si>
  <si>
    <t>9031076870</t>
  </si>
  <si>
    <t>Hill Patsy</t>
  </si>
  <si>
    <t>9031198320</t>
  </si>
  <si>
    <t>Shumaker Sydney</t>
  </si>
  <si>
    <t>9031221000</t>
  </si>
  <si>
    <t>Proeber David</t>
  </si>
  <si>
    <t>9031323610</t>
  </si>
  <si>
    <t>KOZACHECK ANNE MARIE</t>
  </si>
  <si>
    <t>Rudden Jon</t>
  </si>
  <si>
    <t>9030115330</t>
  </si>
  <si>
    <t>OCT</t>
  </si>
  <si>
    <t>MED SUPP BONUS</t>
  </si>
  <si>
    <t>MSBN</t>
  </si>
  <si>
    <t>Humana MAPD 2025*</t>
  </si>
  <si>
    <t>Humana Dental &amp; Vision</t>
  </si>
  <si>
    <t>Humana Dental &amp; Vision 15%</t>
  </si>
  <si>
    <t>Humana PDP 2025!</t>
  </si>
  <si>
    <t>[%/$=313][prorate=1/12]</t>
  </si>
  <si>
    <t>[%/$=313][prorate=2/12]</t>
  </si>
  <si>
    <t>Urish</t>
  </si>
  <si>
    <t>Gerald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</si>
  <si>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</si>
  <si>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</si>
  <si>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</si>
  <si>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</si>
  <si>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</si>
  <si>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</si>
  <si>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</si>
  <si>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</si>
  <si>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Round</t>
  </si>
  <si>
    <t>Laurie</t>
  </si>
  <si>
    <t>Ferris</t>
  </si>
  <si>
    <t>Ron</t>
  </si>
  <si>
    <t>Johnson</t>
  </si>
  <si>
    <t>Shirkey</t>
  </si>
  <si>
    <t>Victoria</t>
  </si>
  <si>
    <t>Thompson</t>
  </si>
  <si>
    <t>Thomas</t>
  </si>
  <si>
    <t>Dauer</t>
  </si>
  <si>
    <t>Nancy</t>
  </si>
  <si>
    <t>Sciutto</t>
  </si>
  <si>
    <t>John</t>
  </si>
  <si>
    <t>Simmons-Hutson</t>
  </si>
  <si>
    <t>Cheryl</t>
  </si>
  <si>
    <t>Bond</t>
  </si>
  <si>
    <t>Edward</t>
  </si>
  <si>
    <t>Sharad</t>
  </si>
  <si>
    <t>Shaji</t>
  </si>
  <si>
    <t>Boma</t>
  </si>
  <si>
    <t>Mary</t>
  </si>
  <si>
    <t>Kasprzak</t>
  </si>
  <si>
    <t>Kenneth</t>
  </si>
  <si>
    <t>Galloway</t>
  </si>
  <si>
    <t>Jacqueline</t>
  </si>
  <si>
    <t>Stokes</t>
  </si>
  <si>
    <t>Fewell</t>
  </si>
  <si>
    <t>Robin</t>
  </si>
  <si>
    <t>Rolfs</t>
  </si>
  <si>
    <t>Patrick</t>
  </si>
  <si>
    <t>Alfrey</t>
  </si>
  <si>
    <t>Jackie</t>
  </si>
  <si>
    <t>Sleeper</t>
  </si>
  <si>
    <t>Nichole</t>
  </si>
  <si>
    <t>Trost</t>
  </si>
  <si>
    <t>James</t>
  </si>
  <si>
    <t>Hill</t>
  </si>
  <si>
    <t>Patsy</t>
  </si>
  <si>
    <t>Proeber</t>
  </si>
  <si>
    <t>Hanahan</t>
  </si>
  <si>
    <t>Barbara</t>
  </si>
  <si>
    <t>Rudden</t>
  </si>
  <si>
    <t>Jon</t>
  </si>
  <si>
    <t>Danley</t>
  </si>
  <si>
    <t>Ryan</t>
  </si>
  <si>
    <t>Estakhri</t>
  </si>
  <si>
    <t>Hengameh</t>
  </si>
  <si>
    <t>Shumaker</t>
  </si>
  <si>
    <t>Sydney</t>
  </si>
  <si>
    <t>NOVAK</t>
  </si>
  <si>
    <t>AMALIJA</t>
  </si>
  <si>
    <t>SMITH</t>
  </si>
  <si>
    <t>TODD</t>
  </si>
  <si>
    <t>MONNINGER</t>
  </si>
  <si>
    <t>MELODY</t>
  </si>
  <si>
    <t>MCGHEE</t>
  </si>
  <si>
    <t>PATRICK</t>
  </si>
  <si>
    <t>MAYES</t>
  </si>
  <si>
    <t>RICKY</t>
  </si>
  <si>
    <t>DENT</t>
  </si>
  <si>
    <t>KATHERINE</t>
  </si>
  <si>
    <t>GEHRINGER</t>
  </si>
  <si>
    <t>CYNTHIA</t>
  </si>
  <si>
    <t>ROSSMAN</t>
  </si>
  <si>
    <t>CHRISTOPHER</t>
  </si>
  <si>
    <t>JOYCE</t>
  </si>
  <si>
    <t>ANNE</t>
  </si>
  <si>
    <t>CASTLEBERRY</t>
  </si>
  <si>
    <t>JAMES</t>
  </si>
  <si>
    <t>IRVING</t>
  </si>
  <si>
    <t>MONICA</t>
  </si>
  <si>
    <t>SODIPE</t>
  </si>
  <si>
    <t>ALEXANDER</t>
  </si>
  <si>
    <t>KINLOCH</t>
  </si>
  <si>
    <t>JOANNE</t>
  </si>
  <si>
    <t>DANIEL</t>
  </si>
  <si>
    <t>ANTHONY</t>
  </si>
  <si>
    <t>BOGDAN</t>
  </si>
  <si>
    <t>MICHAEL</t>
  </si>
  <si>
    <t>GUZZIO</t>
  </si>
  <si>
    <t>ROY</t>
  </si>
  <si>
    <t>VANMOFFAERT</t>
  </si>
  <si>
    <t>PAUL</t>
  </si>
  <si>
    <t>CARR</t>
  </si>
  <si>
    <t>KATHY</t>
  </si>
  <si>
    <t>GLASS</t>
  </si>
  <si>
    <t>CHARLES</t>
  </si>
  <si>
    <t>QUILLEN</t>
  </si>
  <si>
    <t>LINDA</t>
  </si>
  <si>
    <t>FYE</t>
  </si>
  <si>
    <t>JOSEPH</t>
  </si>
  <si>
    <t>MESSINA</t>
  </si>
  <si>
    <t>DONNA</t>
  </si>
  <si>
    <t>DAVID</t>
  </si>
  <si>
    <t>PARMACEK</t>
  </si>
  <si>
    <t>JACQUELINE</t>
  </si>
  <si>
    <t>HUTCHISON</t>
  </si>
  <si>
    <t>WILLIAM</t>
  </si>
  <si>
    <t>HURTT</t>
  </si>
  <si>
    <t>IONE</t>
  </si>
  <si>
    <t>WESLEY</t>
  </si>
  <si>
    <t>TUMELTY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</si>
</sst>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0" fillId="34" borderId="0" xfId="0" applyNumberForma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CD80-DA6C-4EA9-A526-04F1EC2B8C97}">
  <dimension ref="A1:AP62"/>
  <sheetViews>
    <sheetView topLeftCell="J19" workbookViewId="0">
      <selection activeCell="Y54" sqref="Y54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45959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133171363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45962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0.17</v>
      </c>
      <c r="W2" s="5">
        <v>0</v>
      </c>
      <c r="X2" s="5">
        <v>100</v>
      </c>
      <c r="Y2" s="5">
        <v>52.17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45962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45959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8913147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45962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59</v>
      </c>
      <c r="U3" s="4" t="s">
        <v>46</v>
      </c>
      <c r="V3" s="5">
        <v>0.17</v>
      </c>
      <c r="W3" s="5">
        <v>0</v>
      </c>
      <c r="X3" s="5">
        <v>100</v>
      </c>
      <c r="Y3" s="5">
        <v>52.17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45962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45959</v>
      </c>
      <c r="C4" s="4" t="s">
        <v>42</v>
      </c>
      <c r="D4" s="2">
        <v>1251955</v>
      </c>
      <c r="E4" s="4" t="s">
        <v>61</v>
      </c>
      <c r="F4" s="4" t="s">
        <v>62</v>
      </c>
      <c r="G4" s="2">
        <v>652252520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45962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0.17</v>
      </c>
      <c r="W4" s="5">
        <v>0</v>
      </c>
      <c r="X4" s="5">
        <v>100</v>
      </c>
      <c r="Y4" s="5">
        <v>52.17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45962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64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45959</v>
      </c>
      <c r="C5" s="4" t="s">
        <v>65</v>
      </c>
      <c r="D5" s="2">
        <v>1427681</v>
      </c>
      <c r="E5" s="4" t="s">
        <v>66</v>
      </c>
      <c r="F5" s="4" t="s">
        <v>67</v>
      </c>
      <c r="G5" s="2">
        <v>916028402</v>
      </c>
      <c r="H5" s="4" t="s">
        <v>68</v>
      </c>
      <c r="I5" s="4" t="s">
        <v>46</v>
      </c>
      <c r="J5" s="4" t="s">
        <v>47</v>
      </c>
      <c r="K5" s="4" t="s">
        <v>48</v>
      </c>
      <c r="L5" s="3">
        <v>45992</v>
      </c>
      <c r="M5" s="4" t="s">
        <v>69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0.08</v>
      </c>
      <c r="W5" s="5">
        <v>0</v>
      </c>
      <c r="X5" s="5">
        <v>100</v>
      </c>
      <c r="Y5" s="5">
        <v>26.08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45992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64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45959</v>
      </c>
      <c r="C6" s="4" t="s">
        <v>70</v>
      </c>
      <c r="D6" s="2">
        <v>1466196</v>
      </c>
      <c r="E6" s="4" t="s">
        <v>71</v>
      </c>
      <c r="F6" s="4" t="s">
        <v>72</v>
      </c>
      <c r="G6" s="2">
        <v>480325535</v>
      </c>
      <c r="H6" s="4" t="s">
        <v>73</v>
      </c>
      <c r="I6" s="4" t="s">
        <v>46</v>
      </c>
      <c r="J6" s="4" t="s">
        <v>47</v>
      </c>
      <c r="K6" s="4" t="s">
        <v>48</v>
      </c>
      <c r="L6" s="3">
        <v>45992</v>
      </c>
      <c r="M6" s="4" t="s">
        <v>69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0.08</v>
      </c>
      <c r="W6" s="5">
        <v>0</v>
      </c>
      <c r="X6" s="5">
        <v>100</v>
      </c>
      <c r="Y6" s="5">
        <v>26.08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45992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64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45959</v>
      </c>
      <c r="C7" s="4" t="s">
        <v>70</v>
      </c>
      <c r="D7" s="2">
        <v>1466196</v>
      </c>
      <c r="E7" s="4" t="s">
        <v>74</v>
      </c>
      <c r="F7" s="4" t="s">
        <v>75</v>
      </c>
      <c r="G7" s="2">
        <v>915648275</v>
      </c>
      <c r="H7" s="4" t="s">
        <v>76</v>
      </c>
      <c r="I7" s="4" t="s">
        <v>46</v>
      </c>
      <c r="J7" s="4" t="s">
        <v>47</v>
      </c>
      <c r="K7" s="4" t="s">
        <v>48</v>
      </c>
      <c r="L7" s="3">
        <v>45992</v>
      </c>
      <c r="M7" s="4" t="s">
        <v>69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0.08</v>
      </c>
      <c r="W7" s="5">
        <v>0</v>
      </c>
      <c r="X7" s="5">
        <v>100</v>
      </c>
      <c r="Y7" s="5">
        <v>26.08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45992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64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45959</v>
      </c>
      <c r="C8" s="4" t="s">
        <v>77</v>
      </c>
      <c r="D8" s="2">
        <v>1509744</v>
      </c>
      <c r="E8" s="4" t="s">
        <v>78</v>
      </c>
      <c r="F8" s="4" t="s">
        <v>79</v>
      </c>
      <c r="G8" s="2">
        <v>17187340</v>
      </c>
      <c r="H8" s="4" t="s">
        <v>80</v>
      </c>
      <c r="I8" s="4" t="s">
        <v>46</v>
      </c>
      <c r="J8" s="4" t="s">
        <v>47</v>
      </c>
      <c r="K8" s="4" t="s">
        <v>48</v>
      </c>
      <c r="L8" s="3">
        <v>45992</v>
      </c>
      <c r="M8" s="4" t="s">
        <v>69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0.08</v>
      </c>
      <c r="W8" s="5">
        <v>0</v>
      </c>
      <c r="X8" s="5">
        <v>100</v>
      </c>
      <c r="Y8" s="5">
        <v>26.08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45992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64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45959</v>
      </c>
      <c r="C9" s="4" t="s">
        <v>81</v>
      </c>
      <c r="D9" s="2">
        <v>1509770</v>
      </c>
      <c r="E9" s="4" t="s">
        <v>82</v>
      </c>
      <c r="F9" s="4" t="s">
        <v>83</v>
      </c>
      <c r="G9" s="2">
        <v>35064525</v>
      </c>
      <c r="H9" s="4" t="s">
        <v>84</v>
      </c>
      <c r="I9" s="4" t="s">
        <v>46</v>
      </c>
      <c r="J9" s="4" t="s">
        <v>47</v>
      </c>
      <c r="K9" s="4" t="s">
        <v>48</v>
      </c>
      <c r="L9" s="3">
        <v>45962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0.17</v>
      </c>
      <c r="W9" s="5">
        <v>0</v>
      </c>
      <c r="X9" s="5">
        <v>100</v>
      </c>
      <c r="Y9" s="5">
        <v>52.17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45962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64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45959</v>
      </c>
      <c r="C10" s="4" t="s">
        <v>81</v>
      </c>
      <c r="D10" s="2">
        <v>1509770</v>
      </c>
      <c r="E10" s="4" t="s">
        <v>85</v>
      </c>
      <c r="F10" s="4" t="s">
        <v>86</v>
      </c>
      <c r="G10" s="2">
        <v>838247360</v>
      </c>
      <c r="H10" s="4" t="s">
        <v>87</v>
      </c>
      <c r="I10" s="4" t="s">
        <v>46</v>
      </c>
      <c r="J10" s="4" t="s">
        <v>47</v>
      </c>
      <c r="K10" s="4" t="s">
        <v>48</v>
      </c>
      <c r="L10" s="3">
        <v>45962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0.17</v>
      </c>
      <c r="W10" s="5">
        <v>0</v>
      </c>
      <c r="X10" s="5">
        <v>100</v>
      </c>
      <c r="Y10" s="5">
        <v>52.17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45962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64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45959</v>
      </c>
      <c r="C11" s="4" t="s">
        <v>88</v>
      </c>
      <c r="D11" s="2">
        <v>1510420</v>
      </c>
      <c r="E11" s="4" t="s">
        <v>89</v>
      </c>
      <c r="F11" s="4" t="s">
        <v>90</v>
      </c>
      <c r="G11" s="2">
        <v>734612482</v>
      </c>
      <c r="H11" s="4" t="s">
        <v>91</v>
      </c>
      <c r="I11" s="4" t="s">
        <v>46</v>
      </c>
      <c r="J11" s="4" t="s">
        <v>47</v>
      </c>
      <c r="K11" s="4" t="s">
        <v>48</v>
      </c>
      <c r="L11" s="3">
        <v>45962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0.17</v>
      </c>
      <c r="W11" s="5">
        <v>0</v>
      </c>
      <c r="X11" s="5">
        <v>100</v>
      </c>
      <c r="Y11" s="5">
        <v>52.17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45962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64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45959</v>
      </c>
      <c r="C12" s="4" t="s">
        <v>88</v>
      </c>
      <c r="D12" s="2">
        <v>1510420</v>
      </c>
      <c r="E12" s="4" t="s">
        <v>92</v>
      </c>
      <c r="F12" s="4" t="s">
        <v>93</v>
      </c>
      <c r="G12" s="2">
        <v>598275505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45992</v>
      </c>
      <c r="M12" s="4" t="s">
        <v>69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0.08</v>
      </c>
      <c r="W12" s="5">
        <v>0</v>
      </c>
      <c r="X12" s="5">
        <v>100</v>
      </c>
      <c r="Y12" s="5">
        <v>26.08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45992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64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45959</v>
      </c>
      <c r="C13" s="4" t="s">
        <v>95</v>
      </c>
      <c r="D13" s="2">
        <v>1535078</v>
      </c>
      <c r="E13" s="4" t="s">
        <v>96</v>
      </c>
      <c r="F13" s="4" t="s">
        <v>97</v>
      </c>
      <c r="G13" s="2">
        <v>802864900</v>
      </c>
      <c r="H13" s="4" t="s">
        <v>98</v>
      </c>
      <c r="I13" s="4" t="s">
        <v>46</v>
      </c>
      <c r="J13" s="4" t="s">
        <v>47</v>
      </c>
      <c r="K13" s="4" t="s">
        <v>48</v>
      </c>
      <c r="L13" s="3">
        <v>45992</v>
      </c>
      <c r="M13" s="4" t="s">
        <v>69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0.08</v>
      </c>
      <c r="W13" s="5">
        <v>0</v>
      </c>
      <c r="X13" s="5">
        <v>100</v>
      </c>
      <c r="Y13" s="5">
        <v>26.08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45992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64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45959</v>
      </c>
      <c r="C14" s="4" t="s">
        <v>95</v>
      </c>
      <c r="D14" s="2">
        <v>1535078</v>
      </c>
      <c r="E14" s="4" t="s">
        <v>99</v>
      </c>
      <c r="F14" s="4" t="s">
        <v>100</v>
      </c>
      <c r="G14" s="2">
        <v>616185284</v>
      </c>
      <c r="H14" s="4" t="s">
        <v>101</v>
      </c>
      <c r="I14" s="4" t="s">
        <v>46</v>
      </c>
      <c r="J14" s="4" t="s">
        <v>47</v>
      </c>
      <c r="K14" s="4" t="s">
        <v>48</v>
      </c>
      <c r="L14" s="3">
        <v>45992</v>
      </c>
      <c r="M14" s="4" t="s">
        <v>69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0.08</v>
      </c>
      <c r="W14" s="5">
        <v>0</v>
      </c>
      <c r="X14" s="5">
        <v>100</v>
      </c>
      <c r="Y14" s="5">
        <v>26.08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45992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64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45959</v>
      </c>
      <c r="C15" s="4" t="s">
        <v>102</v>
      </c>
      <c r="D15" s="2">
        <v>1545980</v>
      </c>
      <c r="E15" s="4" t="s">
        <v>103</v>
      </c>
      <c r="F15" s="4" t="s">
        <v>104</v>
      </c>
      <c r="G15" s="2">
        <v>878238361</v>
      </c>
      <c r="H15" s="4" t="s">
        <v>105</v>
      </c>
      <c r="I15" s="4" t="s">
        <v>46</v>
      </c>
      <c r="J15" s="4" t="s">
        <v>47</v>
      </c>
      <c r="K15" s="4" t="s">
        <v>48</v>
      </c>
      <c r="L15" s="3">
        <v>45962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106</v>
      </c>
      <c r="U15" s="4" t="s">
        <v>46</v>
      </c>
      <c r="V15" s="5">
        <v>0.17</v>
      </c>
      <c r="W15" s="5">
        <v>0</v>
      </c>
      <c r="X15" s="5">
        <v>100</v>
      </c>
      <c r="Y15" s="5">
        <v>9.17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45962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107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45959</v>
      </c>
      <c r="C16" s="4" t="s">
        <v>102</v>
      </c>
      <c r="D16" s="2">
        <v>1545980</v>
      </c>
      <c r="E16" s="4" t="s">
        <v>108</v>
      </c>
      <c r="F16" s="4" t="s">
        <v>109</v>
      </c>
      <c r="G16" s="2">
        <v>897606234</v>
      </c>
      <c r="H16" s="4" t="s">
        <v>110</v>
      </c>
      <c r="I16" s="4" t="s">
        <v>46</v>
      </c>
      <c r="J16" s="4" t="s">
        <v>47</v>
      </c>
      <c r="K16" s="4" t="s">
        <v>48</v>
      </c>
      <c r="L16" s="3">
        <v>45962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106</v>
      </c>
      <c r="U16" s="4" t="s">
        <v>46</v>
      </c>
      <c r="V16" s="5">
        <v>0.17</v>
      </c>
      <c r="W16" s="5">
        <v>0</v>
      </c>
      <c r="X16" s="5">
        <v>100</v>
      </c>
      <c r="Y16" s="5">
        <v>9.17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45962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107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45959</v>
      </c>
      <c r="C17" s="4" t="s">
        <v>111</v>
      </c>
      <c r="D17" s="2">
        <v>1573279</v>
      </c>
      <c r="E17" s="4" t="s">
        <v>112</v>
      </c>
      <c r="F17" s="4" t="s">
        <v>113</v>
      </c>
      <c r="G17" s="2">
        <v>387034505</v>
      </c>
      <c r="H17" s="4" t="s">
        <v>114</v>
      </c>
      <c r="I17" s="4" t="s">
        <v>46</v>
      </c>
      <c r="J17" s="4" t="s">
        <v>47</v>
      </c>
      <c r="K17" s="4" t="s">
        <v>48</v>
      </c>
      <c r="L17" s="3">
        <v>45992</v>
      </c>
      <c r="M17" s="4" t="s">
        <v>69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0.08</v>
      </c>
      <c r="W17" s="5">
        <v>0</v>
      </c>
      <c r="X17" s="5">
        <v>100</v>
      </c>
      <c r="Y17" s="5">
        <v>26.08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45992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64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45959</v>
      </c>
      <c r="C18" s="4" t="s">
        <v>115</v>
      </c>
      <c r="D18" s="2">
        <v>1581320</v>
      </c>
      <c r="E18" s="4" t="s">
        <v>116</v>
      </c>
      <c r="F18" s="4" t="s">
        <v>117</v>
      </c>
      <c r="G18" s="2">
        <v>112990181</v>
      </c>
      <c r="H18" s="4" t="s">
        <v>118</v>
      </c>
      <c r="I18" s="4" t="s">
        <v>46</v>
      </c>
      <c r="J18" s="4" t="s">
        <v>47</v>
      </c>
      <c r="K18" s="4" t="s">
        <v>48</v>
      </c>
      <c r="L18" s="3">
        <v>45962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106</v>
      </c>
      <c r="U18" s="4" t="s">
        <v>46</v>
      </c>
      <c r="V18" s="5">
        <v>0.17</v>
      </c>
      <c r="W18" s="5">
        <v>0</v>
      </c>
      <c r="X18" s="5">
        <v>100</v>
      </c>
      <c r="Y18" s="5">
        <v>9.17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45962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107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45959</v>
      </c>
      <c r="C19" s="4" t="s">
        <v>119</v>
      </c>
      <c r="D19" s="2">
        <v>1593325</v>
      </c>
      <c r="E19" s="4" t="s">
        <v>120</v>
      </c>
      <c r="F19" s="4" t="s">
        <v>121</v>
      </c>
      <c r="G19" s="2">
        <v>870352023</v>
      </c>
      <c r="H19" s="4" t="s">
        <v>122</v>
      </c>
      <c r="I19" s="4" t="s">
        <v>46</v>
      </c>
      <c r="J19" s="4" t="s">
        <v>47</v>
      </c>
      <c r="K19" s="4" t="s">
        <v>48</v>
      </c>
      <c r="L19" s="3">
        <v>45962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0.17</v>
      </c>
      <c r="W19" s="5">
        <v>0</v>
      </c>
      <c r="X19" s="5">
        <v>100</v>
      </c>
      <c r="Y19" s="5">
        <v>52.17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45962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64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45959</v>
      </c>
      <c r="C20" s="4" t="s">
        <v>119</v>
      </c>
      <c r="D20" s="2">
        <v>1593325</v>
      </c>
      <c r="E20" s="4" t="s">
        <v>123</v>
      </c>
      <c r="F20" s="4" t="s">
        <v>124</v>
      </c>
      <c r="G20" s="2">
        <v>936493594</v>
      </c>
      <c r="H20" s="4" t="s">
        <v>125</v>
      </c>
      <c r="I20" s="4" t="s">
        <v>46</v>
      </c>
      <c r="J20" s="4" t="s">
        <v>47</v>
      </c>
      <c r="K20" s="4" t="s">
        <v>48</v>
      </c>
      <c r="L20" s="3">
        <v>45962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0.17</v>
      </c>
      <c r="W20" s="5">
        <v>0</v>
      </c>
      <c r="X20" s="5">
        <v>100</v>
      </c>
      <c r="Y20" s="5">
        <v>52.17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45962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64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45959</v>
      </c>
      <c r="C21" s="4" t="s">
        <v>119</v>
      </c>
      <c r="D21" s="2">
        <v>1593325</v>
      </c>
      <c r="E21" s="4" t="s">
        <v>126</v>
      </c>
      <c r="F21" s="4" t="s">
        <v>127</v>
      </c>
      <c r="G21" s="2">
        <v>806046472</v>
      </c>
      <c r="H21" s="4" t="s">
        <v>128</v>
      </c>
      <c r="I21" s="4" t="s">
        <v>46</v>
      </c>
      <c r="J21" s="4" t="s">
        <v>47</v>
      </c>
      <c r="K21" s="4" t="s">
        <v>48</v>
      </c>
      <c r="L21" s="3">
        <v>45962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0.17</v>
      </c>
      <c r="W21" s="5">
        <v>0</v>
      </c>
      <c r="X21" s="5">
        <v>100</v>
      </c>
      <c r="Y21" s="5">
        <v>52.17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45962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64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45959</v>
      </c>
      <c r="C22" s="4" t="s">
        <v>119</v>
      </c>
      <c r="D22" s="2">
        <v>1593325</v>
      </c>
      <c r="E22" s="4" t="s">
        <v>129</v>
      </c>
      <c r="F22" s="4" t="s">
        <v>130</v>
      </c>
      <c r="G22" s="2">
        <v>242729504</v>
      </c>
      <c r="H22" s="4" t="s">
        <v>131</v>
      </c>
      <c r="I22" s="4" t="s">
        <v>46</v>
      </c>
      <c r="J22" s="4" t="s">
        <v>47</v>
      </c>
      <c r="K22" s="4" t="s">
        <v>48</v>
      </c>
      <c r="L22" s="3">
        <v>45992</v>
      </c>
      <c r="M22" s="4" t="s">
        <v>69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106</v>
      </c>
      <c r="U22" s="4" t="s">
        <v>46</v>
      </c>
      <c r="V22" s="5">
        <v>0.08</v>
      </c>
      <c r="W22" s="5">
        <v>0</v>
      </c>
      <c r="X22" s="5">
        <v>100</v>
      </c>
      <c r="Y22" s="5">
        <v>4.58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45992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107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45959</v>
      </c>
      <c r="C23" s="4" t="s">
        <v>132</v>
      </c>
      <c r="D23" s="2">
        <v>1703942</v>
      </c>
      <c r="E23" s="4" t="s">
        <v>133</v>
      </c>
      <c r="F23" s="4" t="s">
        <v>134</v>
      </c>
      <c r="G23" s="2">
        <v>594397162</v>
      </c>
      <c r="H23" s="4" t="s">
        <v>135</v>
      </c>
      <c r="I23" s="4" t="s">
        <v>46</v>
      </c>
      <c r="J23" s="4" t="s">
        <v>47</v>
      </c>
      <c r="K23" s="4" t="s">
        <v>48</v>
      </c>
      <c r="L23" s="3">
        <v>45962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59</v>
      </c>
      <c r="U23" s="4" t="s">
        <v>46</v>
      </c>
      <c r="V23" s="5">
        <v>0.17</v>
      </c>
      <c r="W23" s="5">
        <v>0</v>
      </c>
      <c r="X23" s="5">
        <v>100</v>
      </c>
      <c r="Y23" s="5">
        <v>52.17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45962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60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45959</v>
      </c>
      <c r="C24" s="4" t="s">
        <v>132</v>
      </c>
      <c r="D24" s="2">
        <v>1703942</v>
      </c>
      <c r="E24" s="4" t="s">
        <v>136</v>
      </c>
      <c r="F24" s="4" t="s">
        <v>137</v>
      </c>
      <c r="G24" s="2">
        <v>65071053</v>
      </c>
      <c r="H24" s="4" t="s">
        <v>138</v>
      </c>
      <c r="I24" s="4" t="s">
        <v>46</v>
      </c>
      <c r="J24" s="4" t="s">
        <v>47</v>
      </c>
      <c r="K24" s="4" t="s">
        <v>48</v>
      </c>
      <c r="L24" s="3">
        <v>45962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59</v>
      </c>
      <c r="U24" s="4" t="s">
        <v>46</v>
      </c>
      <c r="V24" s="5">
        <v>0.17</v>
      </c>
      <c r="W24" s="5">
        <v>0</v>
      </c>
      <c r="X24" s="5">
        <v>100</v>
      </c>
      <c r="Y24" s="5">
        <v>52.17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45962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60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45959</v>
      </c>
      <c r="C25" s="4" t="s">
        <v>139</v>
      </c>
      <c r="D25" s="2">
        <v>1773696</v>
      </c>
      <c r="E25" s="4" t="s">
        <v>140</v>
      </c>
      <c r="F25" s="4" t="s">
        <v>141</v>
      </c>
      <c r="G25" s="2">
        <v>0</v>
      </c>
      <c r="H25" s="4" t="s">
        <v>142</v>
      </c>
      <c r="I25" s="4" t="s">
        <v>46</v>
      </c>
      <c r="J25" s="4" t="s">
        <v>47</v>
      </c>
      <c r="K25" s="4" t="s">
        <v>143</v>
      </c>
      <c r="L25" s="3">
        <v>45658</v>
      </c>
      <c r="M25" s="4" t="s">
        <v>144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59</v>
      </c>
      <c r="U25" s="4" t="s">
        <v>46</v>
      </c>
      <c r="V25" s="5">
        <v>-0.17</v>
      </c>
      <c r="W25" s="5">
        <v>0</v>
      </c>
      <c r="X25" s="5">
        <v>100</v>
      </c>
      <c r="Y25" s="5">
        <v>-52.17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145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45959</v>
      </c>
      <c r="C26" s="4" t="s">
        <v>146</v>
      </c>
      <c r="D26" s="2">
        <v>1831320</v>
      </c>
      <c r="E26" s="4" t="s">
        <v>147</v>
      </c>
      <c r="F26" s="4" t="s">
        <v>148</v>
      </c>
      <c r="G26" s="2">
        <v>366592015</v>
      </c>
      <c r="H26" s="4" t="s">
        <v>149</v>
      </c>
      <c r="I26" s="4" t="s">
        <v>46</v>
      </c>
      <c r="J26" s="4" t="s">
        <v>47</v>
      </c>
      <c r="K26" s="4" t="s">
        <v>48</v>
      </c>
      <c r="L26" s="3">
        <v>45962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0.17</v>
      </c>
      <c r="W26" s="5">
        <v>0</v>
      </c>
      <c r="X26" s="5">
        <v>100</v>
      </c>
      <c r="Y26" s="5">
        <v>52.17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45962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64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45959</v>
      </c>
      <c r="C27" s="4" t="s">
        <v>150</v>
      </c>
      <c r="D27" s="2">
        <v>1953307</v>
      </c>
      <c r="E27" s="4" t="s">
        <v>151</v>
      </c>
      <c r="F27" s="4" t="s">
        <v>152</v>
      </c>
      <c r="G27" s="2">
        <v>371995120</v>
      </c>
      <c r="H27" s="4" t="s">
        <v>153</v>
      </c>
      <c r="I27" s="4" t="s">
        <v>46</v>
      </c>
      <c r="J27" s="4" t="s">
        <v>47</v>
      </c>
      <c r="K27" s="4" t="s">
        <v>48</v>
      </c>
      <c r="L27" s="3">
        <v>45962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0.17</v>
      </c>
      <c r="W27" s="5">
        <v>0</v>
      </c>
      <c r="X27" s="5">
        <v>100</v>
      </c>
      <c r="Y27" s="5">
        <v>52.17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45962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64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45959</v>
      </c>
      <c r="C28" s="4" t="s">
        <v>154</v>
      </c>
      <c r="D28" s="2">
        <v>1985182</v>
      </c>
      <c r="E28" s="4" t="s">
        <v>155</v>
      </c>
      <c r="F28" s="4" t="s">
        <v>156</v>
      </c>
      <c r="G28" s="2">
        <v>900405070</v>
      </c>
      <c r="H28" s="4" t="s">
        <v>157</v>
      </c>
      <c r="I28" s="4" t="s">
        <v>46</v>
      </c>
      <c r="J28" s="4" t="s">
        <v>47</v>
      </c>
      <c r="K28" s="4" t="s">
        <v>48</v>
      </c>
      <c r="L28" s="3">
        <v>45962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0.17</v>
      </c>
      <c r="W28" s="5">
        <v>0</v>
      </c>
      <c r="X28" s="5">
        <v>100</v>
      </c>
      <c r="Y28" s="5">
        <v>52.17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45962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64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45959</v>
      </c>
      <c r="C29" s="4" t="s">
        <v>158</v>
      </c>
      <c r="D29" s="2">
        <v>1989690</v>
      </c>
      <c r="E29" s="4" t="s">
        <v>159</v>
      </c>
      <c r="F29" s="4" t="s">
        <v>160</v>
      </c>
      <c r="G29" s="2">
        <v>448268041</v>
      </c>
      <c r="H29" s="4" t="s">
        <v>161</v>
      </c>
      <c r="I29" s="4" t="s">
        <v>46</v>
      </c>
      <c r="J29" s="4" t="s">
        <v>47</v>
      </c>
      <c r="K29" s="4" t="s">
        <v>48</v>
      </c>
      <c r="L29" s="3">
        <v>45962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162</v>
      </c>
      <c r="U29" s="4" t="s">
        <v>46</v>
      </c>
      <c r="V29" s="5">
        <v>0.17</v>
      </c>
      <c r="W29" s="5">
        <v>0</v>
      </c>
      <c r="X29" s="5">
        <v>100</v>
      </c>
      <c r="Y29" s="5">
        <v>52.17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45962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163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45959</v>
      </c>
      <c r="C30" s="4" t="s">
        <v>88</v>
      </c>
      <c r="D30" s="2">
        <v>1510420</v>
      </c>
      <c r="E30" s="4" t="s">
        <v>164</v>
      </c>
      <c r="F30" s="4" t="s">
        <v>165</v>
      </c>
      <c r="G30" s="4" t="s">
        <v>46</v>
      </c>
      <c r="H30" s="4" t="s">
        <v>46</v>
      </c>
      <c r="I30" s="4" t="s">
        <v>46</v>
      </c>
      <c r="J30" s="4" t="s">
        <v>166</v>
      </c>
      <c r="K30" s="4" t="s">
        <v>167</v>
      </c>
      <c r="L30" s="3">
        <v>45962</v>
      </c>
      <c r="M30" s="4" t="s">
        <v>49</v>
      </c>
      <c r="N30" s="4" t="s">
        <v>46</v>
      </c>
      <c r="O30" s="4" t="s">
        <v>168</v>
      </c>
      <c r="P30" s="4" t="s">
        <v>168</v>
      </c>
      <c r="Q30" s="2">
        <v>1</v>
      </c>
      <c r="R30" s="2">
        <v>3</v>
      </c>
      <c r="S30" s="4" t="s">
        <v>169</v>
      </c>
      <c r="T30" s="4" t="s">
        <v>46</v>
      </c>
      <c r="U30" s="4" t="s">
        <v>46</v>
      </c>
      <c r="V30" s="5">
        <v>10</v>
      </c>
      <c r="W30" s="5">
        <v>52.78</v>
      </c>
      <c r="X30" s="5">
        <v>100</v>
      </c>
      <c r="Y30" s="5">
        <v>5.28</v>
      </c>
      <c r="Z30" s="4" t="s">
        <v>46</v>
      </c>
      <c r="AA30" s="5" t="s">
        <v>46</v>
      </c>
      <c r="AB30" s="4" t="s">
        <v>170</v>
      </c>
      <c r="AC30" s="4" t="s">
        <v>46</v>
      </c>
      <c r="AD30" s="5">
        <v>0</v>
      </c>
      <c r="AE30" s="4" t="s">
        <v>171</v>
      </c>
      <c r="AF30" s="3">
        <v>44586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45959</v>
      </c>
      <c r="C31" s="4" t="s">
        <v>172</v>
      </c>
      <c r="D31" s="2">
        <v>1755893</v>
      </c>
      <c r="E31" s="4" t="s">
        <v>173</v>
      </c>
      <c r="F31" s="4" t="s">
        <v>174</v>
      </c>
      <c r="G31" s="4" t="s">
        <v>46</v>
      </c>
      <c r="H31" s="4" t="s">
        <v>46</v>
      </c>
      <c r="I31" s="4" t="s">
        <v>46</v>
      </c>
      <c r="J31" s="4" t="s">
        <v>166</v>
      </c>
      <c r="K31" s="4" t="s">
        <v>167</v>
      </c>
      <c r="L31" s="3">
        <v>45962</v>
      </c>
      <c r="M31" s="4" t="s">
        <v>49</v>
      </c>
      <c r="N31" s="4" t="s">
        <v>46</v>
      </c>
      <c r="O31" s="4" t="s">
        <v>50</v>
      </c>
      <c r="P31" s="4" t="s">
        <v>168</v>
      </c>
      <c r="Q31" s="2">
        <v>2</v>
      </c>
      <c r="R31" s="2">
        <v>60</v>
      </c>
      <c r="S31" s="4" t="s">
        <v>175</v>
      </c>
      <c r="T31" s="4" t="s">
        <v>46</v>
      </c>
      <c r="U31" s="4" t="s">
        <v>46</v>
      </c>
      <c r="V31" s="5">
        <v>10</v>
      </c>
      <c r="W31" s="5">
        <v>23.99</v>
      </c>
      <c r="X31" s="5">
        <v>100</v>
      </c>
      <c r="Y31" s="5">
        <v>2.4</v>
      </c>
      <c r="Z31" s="4" t="s">
        <v>46</v>
      </c>
      <c r="AA31" s="5" t="s">
        <v>46</v>
      </c>
      <c r="AB31" s="4" t="s">
        <v>176</v>
      </c>
      <c r="AC31" s="4" t="s">
        <v>46</v>
      </c>
      <c r="AD31" s="5">
        <v>0</v>
      </c>
      <c r="AE31" s="4" t="s">
        <v>177</v>
      </c>
      <c r="AF31" s="3">
        <v>45871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45959</v>
      </c>
      <c r="C32" s="4" t="s">
        <v>172</v>
      </c>
      <c r="D32" s="2">
        <v>1755893</v>
      </c>
      <c r="E32" s="4" t="s">
        <v>178</v>
      </c>
      <c r="F32" s="4" t="s">
        <v>179</v>
      </c>
      <c r="G32" s="4" t="s">
        <v>46</v>
      </c>
      <c r="H32" s="4" t="s">
        <v>46</v>
      </c>
      <c r="I32" s="4" t="s">
        <v>46</v>
      </c>
      <c r="J32" s="4" t="s">
        <v>166</v>
      </c>
      <c r="K32" s="4" t="s">
        <v>167</v>
      </c>
      <c r="L32" s="3">
        <v>45962</v>
      </c>
      <c r="M32" s="4" t="s">
        <v>49</v>
      </c>
      <c r="N32" s="4" t="s">
        <v>46</v>
      </c>
      <c r="O32" s="4" t="s">
        <v>50</v>
      </c>
      <c r="P32" s="4" t="s">
        <v>168</v>
      </c>
      <c r="Q32" s="2">
        <v>1</v>
      </c>
      <c r="R32" s="2">
        <v>60</v>
      </c>
      <c r="S32" s="4" t="s">
        <v>175</v>
      </c>
      <c r="T32" s="4" t="s">
        <v>46</v>
      </c>
      <c r="U32" s="4" t="s">
        <v>46</v>
      </c>
      <c r="V32" s="5">
        <v>10</v>
      </c>
      <c r="W32" s="5">
        <v>12.99</v>
      </c>
      <c r="X32" s="5">
        <v>100</v>
      </c>
      <c r="Y32" s="5">
        <v>1.3</v>
      </c>
      <c r="Z32" s="4" t="s">
        <v>46</v>
      </c>
      <c r="AA32" s="5" t="s">
        <v>46</v>
      </c>
      <c r="AB32" s="4" t="s">
        <v>176</v>
      </c>
      <c r="AC32" s="4" t="s">
        <v>46</v>
      </c>
      <c r="AD32" s="5">
        <v>0</v>
      </c>
      <c r="AE32" s="4" t="s">
        <v>177</v>
      </c>
      <c r="AF32" s="3">
        <v>45879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45959</v>
      </c>
      <c r="C33" s="4" t="s">
        <v>180</v>
      </c>
      <c r="D33" s="2">
        <v>1831491</v>
      </c>
      <c r="E33" s="4" t="s">
        <v>181</v>
      </c>
      <c r="F33" s="4" t="s">
        <v>182</v>
      </c>
      <c r="G33" s="4" t="s">
        <v>46</v>
      </c>
      <c r="H33" s="4" t="s">
        <v>46</v>
      </c>
      <c r="I33" s="4" t="s">
        <v>46</v>
      </c>
      <c r="J33" s="4" t="s">
        <v>166</v>
      </c>
      <c r="K33" s="4" t="s">
        <v>167</v>
      </c>
      <c r="L33" s="3">
        <v>45962</v>
      </c>
      <c r="M33" s="4" t="s">
        <v>49</v>
      </c>
      <c r="N33" s="4" t="s">
        <v>46</v>
      </c>
      <c r="O33" s="4" t="s">
        <v>50</v>
      </c>
      <c r="P33" s="4" t="s">
        <v>168</v>
      </c>
      <c r="Q33" s="2">
        <v>2</v>
      </c>
      <c r="R33" s="2">
        <v>60</v>
      </c>
      <c r="S33" s="4" t="s">
        <v>175</v>
      </c>
      <c r="T33" s="4" t="s">
        <v>46</v>
      </c>
      <c r="U33" s="4" t="s">
        <v>46</v>
      </c>
      <c r="V33" s="5">
        <v>10</v>
      </c>
      <c r="W33" s="5">
        <v>26.88</v>
      </c>
      <c r="X33" s="5">
        <v>100</v>
      </c>
      <c r="Y33" s="5">
        <v>2.69</v>
      </c>
      <c r="Z33" s="4" t="s">
        <v>46</v>
      </c>
      <c r="AA33" s="5" t="s">
        <v>46</v>
      </c>
      <c r="AB33" s="4" t="s">
        <v>176</v>
      </c>
      <c r="AC33" s="4" t="s">
        <v>46</v>
      </c>
      <c r="AD33" s="5">
        <v>0</v>
      </c>
      <c r="AE33" s="4" t="s">
        <v>177</v>
      </c>
      <c r="AF33" s="3">
        <v>45808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45959</v>
      </c>
      <c r="C34" s="4" t="s">
        <v>180</v>
      </c>
      <c r="D34" s="2">
        <v>1831491</v>
      </c>
      <c r="E34" s="4" t="s">
        <v>183</v>
      </c>
      <c r="F34" s="4" t="s">
        <v>184</v>
      </c>
      <c r="G34" s="4" t="s">
        <v>46</v>
      </c>
      <c r="H34" s="4" t="s">
        <v>46</v>
      </c>
      <c r="I34" s="4" t="s">
        <v>46</v>
      </c>
      <c r="J34" s="4" t="s">
        <v>166</v>
      </c>
      <c r="K34" s="4" t="s">
        <v>167</v>
      </c>
      <c r="L34" s="3">
        <v>45962</v>
      </c>
      <c r="M34" s="4" t="s">
        <v>49</v>
      </c>
      <c r="N34" s="4" t="s">
        <v>46</v>
      </c>
      <c r="O34" s="4" t="s">
        <v>50</v>
      </c>
      <c r="P34" s="4" t="s">
        <v>168</v>
      </c>
      <c r="Q34" s="2">
        <v>2</v>
      </c>
      <c r="R34" s="2">
        <v>60</v>
      </c>
      <c r="S34" s="4" t="s">
        <v>175</v>
      </c>
      <c r="T34" s="4" t="s">
        <v>46</v>
      </c>
      <c r="U34" s="4" t="s">
        <v>46</v>
      </c>
      <c r="V34" s="5">
        <v>10</v>
      </c>
      <c r="W34" s="5">
        <v>26.88</v>
      </c>
      <c r="X34" s="5">
        <v>100</v>
      </c>
      <c r="Y34" s="5">
        <v>2.69</v>
      </c>
      <c r="Z34" s="4" t="s">
        <v>46</v>
      </c>
      <c r="AA34" s="5" t="s">
        <v>46</v>
      </c>
      <c r="AB34" s="4" t="s">
        <v>176</v>
      </c>
      <c r="AC34" s="4" t="s">
        <v>46</v>
      </c>
      <c r="AD34" s="5">
        <v>0</v>
      </c>
      <c r="AE34" s="4" t="s">
        <v>177</v>
      </c>
      <c r="AF34" s="3">
        <v>45808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45959</v>
      </c>
      <c r="C35" s="4" t="s">
        <v>180</v>
      </c>
      <c r="D35" s="2">
        <v>1831491</v>
      </c>
      <c r="E35" s="4" t="s">
        <v>183</v>
      </c>
      <c r="F35" s="4" t="s">
        <v>185</v>
      </c>
      <c r="G35" s="4" t="s">
        <v>46</v>
      </c>
      <c r="H35" s="4" t="s">
        <v>46</v>
      </c>
      <c r="I35" s="4" t="s">
        <v>46</v>
      </c>
      <c r="J35" s="4" t="s">
        <v>166</v>
      </c>
      <c r="K35" s="4" t="s">
        <v>167</v>
      </c>
      <c r="L35" s="3">
        <v>45962</v>
      </c>
      <c r="M35" s="4" t="s">
        <v>49</v>
      </c>
      <c r="N35" s="4" t="s">
        <v>46</v>
      </c>
      <c r="O35" s="4" t="s">
        <v>50</v>
      </c>
      <c r="P35" s="4" t="s">
        <v>168</v>
      </c>
      <c r="Q35" s="2">
        <v>2</v>
      </c>
      <c r="R35" s="2">
        <v>60</v>
      </c>
      <c r="S35" s="4" t="s">
        <v>175</v>
      </c>
      <c r="T35" s="4" t="s">
        <v>46</v>
      </c>
      <c r="U35" s="4" t="s">
        <v>46</v>
      </c>
      <c r="V35" s="5">
        <v>10</v>
      </c>
      <c r="W35" s="5">
        <v>26.88</v>
      </c>
      <c r="X35" s="5">
        <v>100</v>
      </c>
      <c r="Y35" s="5">
        <v>2.69</v>
      </c>
      <c r="Z35" s="4" t="s">
        <v>46</v>
      </c>
      <c r="AA35" s="5" t="s">
        <v>46</v>
      </c>
      <c r="AB35" s="4" t="s">
        <v>176</v>
      </c>
      <c r="AC35" s="4" t="s">
        <v>46</v>
      </c>
      <c r="AD35" s="5">
        <v>0</v>
      </c>
      <c r="AE35" s="4" t="s">
        <v>177</v>
      </c>
      <c r="AF35" s="3">
        <v>45808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45959</v>
      </c>
      <c r="C36" s="4" t="s">
        <v>180</v>
      </c>
      <c r="D36" s="2">
        <v>1831491</v>
      </c>
      <c r="E36" s="4" t="s">
        <v>186</v>
      </c>
      <c r="F36" s="4" t="s">
        <v>187</v>
      </c>
      <c r="G36" s="4" t="s">
        <v>46</v>
      </c>
      <c r="H36" s="4" t="s">
        <v>46</v>
      </c>
      <c r="I36" s="4" t="s">
        <v>46</v>
      </c>
      <c r="J36" s="4" t="s">
        <v>166</v>
      </c>
      <c r="K36" s="4" t="s">
        <v>167</v>
      </c>
      <c r="L36" s="3">
        <v>45962</v>
      </c>
      <c r="M36" s="4" t="s">
        <v>49</v>
      </c>
      <c r="N36" s="4" t="s">
        <v>46</v>
      </c>
      <c r="O36" s="4" t="s">
        <v>50</v>
      </c>
      <c r="P36" s="4" t="s">
        <v>168</v>
      </c>
      <c r="Q36" s="2">
        <v>2</v>
      </c>
      <c r="R36" s="2">
        <v>60</v>
      </c>
      <c r="S36" s="4" t="s">
        <v>175</v>
      </c>
      <c r="T36" s="4" t="s">
        <v>46</v>
      </c>
      <c r="U36" s="4" t="s">
        <v>46</v>
      </c>
      <c r="V36" s="5">
        <v>10</v>
      </c>
      <c r="W36" s="5">
        <v>26.88</v>
      </c>
      <c r="X36" s="5">
        <v>100</v>
      </c>
      <c r="Y36" s="5">
        <v>2.69</v>
      </c>
      <c r="Z36" s="4" t="s">
        <v>46</v>
      </c>
      <c r="AA36" s="5" t="s">
        <v>46</v>
      </c>
      <c r="AB36" s="4" t="s">
        <v>176</v>
      </c>
      <c r="AC36" s="4" t="s">
        <v>46</v>
      </c>
      <c r="AD36" s="5">
        <v>0</v>
      </c>
      <c r="AE36" s="4" t="s">
        <v>177</v>
      </c>
      <c r="AF36" s="3">
        <v>45808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45959</v>
      </c>
      <c r="C37" s="4" t="s">
        <v>180</v>
      </c>
      <c r="D37" s="2">
        <v>1831491</v>
      </c>
      <c r="E37" s="4" t="s">
        <v>188</v>
      </c>
      <c r="F37" s="4" t="s">
        <v>189</v>
      </c>
      <c r="G37" s="4" t="s">
        <v>46</v>
      </c>
      <c r="H37" s="4" t="s">
        <v>46</v>
      </c>
      <c r="I37" s="4" t="s">
        <v>46</v>
      </c>
      <c r="J37" s="4" t="s">
        <v>166</v>
      </c>
      <c r="K37" s="4" t="s">
        <v>167</v>
      </c>
      <c r="L37" s="3">
        <v>45962</v>
      </c>
      <c r="M37" s="4" t="s">
        <v>49</v>
      </c>
      <c r="N37" s="4" t="s">
        <v>46</v>
      </c>
      <c r="O37" s="4" t="s">
        <v>50</v>
      </c>
      <c r="P37" s="4" t="s">
        <v>168</v>
      </c>
      <c r="Q37" s="2">
        <v>1</v>
      </c>
      <c r="R37" s="2">
        <v>60</v>
      </c>
      <c r="S37" s="4" t="s">
        <v>175</v>
      </c>
      <c r="T37" s="4" t="s">
        <v>46</v>
      </c>
      <c r="U37" s="4" t="s">
        <v>46</v>
      </c>
      <c r="V37" s="5">
        <v>10</v>
      </c>
      <c r="W37" s="5">
        <v>13.93</v>
      </c>
      <c r="X37" s="5">
        <v>100</v>
      </c>
      <c r="Y37" s="5">
        <v>1.39</v>
      </c>
      <c r="Z37" s="4" t="s">
        <v>46</v>
      </c>
      <c r="AA37" s="5" t="s">
        <v>46</v>
      </c>
      <c r="AB37" s="4" t="s">
        <v>176</v>
      </c>
      <c r="AC37" s="4" t="s">
        <v>46</v>
      </c>
      <c r="AD37" s="5">
        <v>0</v>
      </c>
      <c r="AE37" s="4" t="s">
        <v>177</v>
      </c>
      <c r="AF37" s="3">
        <v>45809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45959</v>
      </c>
      <c r="C38" s="4" t="s">
        <v>180</v>
      </c>
      <c r="D38" s="2">
        <v>1831491</v>
      </c>
      <c r="E38" s="4" t="s">
        <v>190</v>
      </c>
      <c r="F38" s="4" t="s">
        <v>191</v>
      </c>
      <c r="G38" s="4" t="s">
        <v>46</v>
      </c>
      <c r="H38" s="4" t="s">
        <v>46</v>
      </c>
      <c r="I38" s="4" t="s">
        <v>46</v>
      </c>
      <c r="J38" s="4" t="s">
        <v>166</v>
      </c>
      <c r="K38" s="4" t="s">
        <v>167</v>
      </c>
      <c r="L38" s="3">
        <v>45962</v>
      </c>
      <c r="M38" s="4" t="s">
        <v>49</v>
      </c>
      <c r="N38" s="4" t="s">
        <v>46</v>
      </c>
      <c r="O38" s="4" t="s">
        <v>50</v>
      </c>
      <c r="P38" s="4" t="s">
        <v>168</v>
      </c>
      <c r="Q38" s="2">
        <v>6</v>
      </c>
      <c r="R38" s="2">
        <v>60</v>
      </c>
      <c r="S38" s="4" t="s">
        <v>175</v>
      </c>
      <c r="T38" s="4" t="s">
        <v>46</v>
      </c>
      <c r="U38" s="4" t="s">
        <v>46</v>
      </c>
      <c r="V38" s="5">
        <v>10</v>
      </c>
      <c r="W38" s="5">
        <v>46.8</v>
      </c>
      <c r="X38" s="5">
        <v>100</v>
      </c>
      <c r="Y38" s="5">
        <v>4.68</v>
      </c>
      <c r="Z38" s="4" t="s">
        <v>46</v>
      </c>
      <c r="AA38" s="5" t="s">
        <v>46</v>
      </c>
      <c r="AB38" s="4" t="s">
        <v>176</v>
      </c>
      <c r="AC38" s="4" t="s">
        <v>46</v>
      </c>
      <c r="AD38" s="5">
        <v>0</v>
      </c>
      <c r="AE38" s="4" t="s">
        <v>177</v>
      </c>
      <c r="AF38" s="3">
        <v>45809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45959</v>
      </c>
      <c r="C39" s="4" t="s">
        <v>180</v>
      </c>
      <c r="D39" s="2">
        <v>1831491</v>
      </c>
      <c r="E39" s="4" t="s">
        <v>192</v>
      </c>
      <c r="F39" s="4" t="s">
        <v>193</v>
      </c>
      <c r="G39" s="4" t="s">
        <v>46</v>
      </c>
      <c r="H39" s="4" t="s">
        <v>46</v>
      </c>
      <c r="I39" s="4" t="s">
        <v>46</v>
      </c>
      <c r="J39" s="4" t="s">
        <v>166</v>
      </c>
      <c r="K39" s="4" t="s">
        <v>167</v>
      </c>
      <c r="L39" s="3">
        <v>45962</v>
      </c>
      <c r="M39" s="4" t="s">
        <v>49</v>
      </c>
      <c r="N39" s="4" t="s">
        <v>46</v>
      </c>
      <c r="O39" s="4" t="s">
        <v>50</v>
      </c>
      <c r="P39" s="4" t="s">
        <v>168</v>
      </c>
      <c r="Q39" s="2">
        <v>2</v>
      </c>
      <c r="R39" s="2">
        <v>60</v>
      </c>
      <c r="S39" s="4" t="s">
        <v>175</v>
      </c>
      <c r="T39" s="4" t="s">
        <v>46</v>
      </c>
      <c r="U39" s="4" t="s">
        <v>46</v>
      </c>
      <c r="V39" s="5">
        <v>10</v>
      </c>
      <c r="W39" s="5">
        <v>26.88</v>
      </c>
      <c r="X39" s="5">
        <v>100</v>
      </c>
      <c r="Y39" s="5">
        <v>2.69</v>
      </c>
      <c r="Z39" s="4" t="s">
        <v>46</v>
      </c>
      <c r="AA39" s="5" t="s">
        <v>46</v>
      </c>
      <c r="AB39" s="4" t="s">
        <v>176</v>
      </c>
      <c r="AC39" s="4" t="s">
        <v>46</v>
      </c>
      <c r="AD39" s="5">
        <v>0</v>
      </c>
      <c r="AE39" s="4" t="s">
        <v>177</v>
      </c>
      <c r="AF39" s="3">
        <v>45809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45959</v>
      </c>
      <c r="C40" s="4" t="s">
        <v>180</v>
      </c>
      <c r="D40" s="2">
        <v>1831491</v>
      </c>
      <c r="E40" s="4" t="s">
        <v>194</v>
      </c>
      <c r="F40" s="4" t="s">
        <v>195</v>
      </c>
      <c r="G40" s="4" t="s">
        <v>46</v>
      </c>
      <c r="H40" s="4" t="s">
        <v>46</v>
      </c>
      <c r="I40" s="4" t="s">
        <v>46</v>
      </c>
      <c r="J40" s="4" t="s">
        <v>166</v>
      </c>
      <c r="K40" s="4" t="s">
        <v>167</v>
      </c>
      <c r="L40" s="3">
        <v>45962</v>
      </c>
      <c r="M40" s="4" t="s">
        <v>49</v>
      </c>
      <c r="N40" s="4" t="s">
        <v>46</v>
      </c>
      <c r="O40" s="4" t="s">
        <v>50</v>
      </c>
      <c r="P40" s="4" t="s">
        <v>168</v>
      </c>
      <c r="Q40" s="2">
        <v>2</v>
      </c>
      <c r="R40" s="2">
        <v>60</v>
      </c>
      <c r="S40" s="4" t="s">
        <v>175</v>
      </c>
      <c r="T40" s="4" t="s">
        <v>46</v>
      </c>
      <c r="U40" s="4" t="s">
        <v>46</v>
      </c>
      <c r="V40" s="5">
        <v>10</v>
      </c>
      <c r="W40" s="5">
        <v>26.88</v>
      </c>
      <c r="X40" s="5">
        <v>100</v>
      </c>
      <c r="Y40" s="5">
        <v>2.69</v>
      </c>
      <c r="Z40" s="4" t="s">
        <v>46</v>
      </c>
      <c r="AA40" s="5" t="s">
        <v>46</v>
      </c>
      <c r="AB40" s="4" t="s">
        <v>176</v>
      </c>
      <c r="AC40" s="4" t="s">
        <v>46</v>
      </c>
      <c r="AD40" s="5">
        <v>0</v>
      </c>
      <c r="AE40" s="4" t="s">
        <v>177</v>
      </c>
      <c r="AF40" s="3">
        <v>45816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45959</v>
      </c>
      <c r="C41" s="4" t="s">
        <v>180</v>
      </c>
      <c r="D41" s="2">
        <v>1831491</v>
      </c>
      <c r="E41" s="4" t="s">
        <v>196</v>
      </c>
      <c r="F41" s="4" t="s">
        <v>197</v>
      </c>
      <c r="G41" s="4" t="s">
        <v>46</v>
      </c>
      <c r="H41" s="4" t="s">
        <v>46</v>
      </c>
      <c r="I41" s="4" t="s">
        <v>46</v>
      </c>
      <c r="J41" s="4" t="s">
        <v>166</v>
      </c>
      <c r="K41" s="4" t="s">
        <v>167</v>
      </c>
      <c r="L41" s="3">
        <v>45962</v>
      </c>
      <c r="M41" s="4" t="s">
        <v>49</v>
      </c>
      <c r="N41" s="4" t="s">
        <v>46</v>
      </c>
      <c r="O41" s="4" t="s">
        <v>50</v>
      </c>
      <c r="P41" s="4" t="s">
        <v>168</v>
      </c>
      <c r="Q41" s="2">
        <v>2</v>
      </c>
      <c r="R41" s="2">
        <v>60</v>
      </c>
      <c r="S41" s="4" t="s">
        <v>175</v>
      </c>
      <c r="T41" s="4" t="s">
        <v>46</v>
      </c>
      <c r="U41" s="4" t="s">
        <v>46</v>
      </c>
      <c r="V41" s="5">
        <v>10</v>
      </c>
      <c r="W41" s="5">
        <v>26.88</v>
      </c>
      <c r="X41" s="5">
        <v>100</v>
      </c>
      <c r="Y41" s="5">
        <v>2.69</v>
      </c>
      <c r="Z41" s="4" t="s">
        <v>46</v>
      </c>
      <c r="AA41" s="5" t="s">
        <v>46</v>
      </c>
      <c r="AB41" s="4" t="s">
        <v>176</v>
      </c>
      <c r="AC41" s="4" t="s">
        <v>46</v>
      </c>
      <c r="AD41" s="5">
        <v>0</v>
      </c>
      <c r="AE41" s="4" t="s">
        <v>177</v>
      </c>
      <c r="AF41" s="3">
        <v>45839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45959</v>
      </c>
      <c r="C42" s="4" t="s">
        <v>180</v>
      </c>
      <c r="D42" s="2">
        <v>1831491</v>
      </c>
      <c r="E42" s="4" t="s">
        <v>198</v>
      </c>
      <c r="F42" s="4" t="s">
        <v>199</v>
      </c>
      <c r="G42" s="4" t="s">
        <v>46</v>
      </c>
      <c r="H42" s="4" t="s">
        <v>46</v>
      </c>
      <c r="I42" s="4" t="s">
        <v>46</v>
      </c>
      <c r="J42" s="4" t="s">
        <v>166</v>
      </c>
      <c r="K42" s="4" t="s">
        <v>167</v>
      </c>
      <c r="L42" s="3">
        <v>45962</v>
      </c>
      <c r="M42" s="4" t="s">
        <v>49</v>
      </c>
      <c r="N42" s="4" t="s">
        <v>46</v>
      </c>
      <c r="O42" s="4" t="s">
        <v>50</v>
      </c>
      <c r="P42" s="4" t="s">
        <v>168</v>
      </c>
      <c r="Q42" s="2">
        <v>1</v>
      </c>
      <c r="R42" s="2">
        <v>60</v>
      </c>
      <c r="S42" s="4" t="s">
        <v>175</v>
      </c>
      <c r="T42" s="4" t="s">
        <v>46</v>
      </c>
      <c r="U42" s="4" t="s">
        <v>46</v>
      </c>
      <c r="V42" s="5">
        <v>10</v>
      </c>
      <c r="W42" s="5">
        <v>13.93</v>
      </c>
      <c r="X42" s="5">
        <v>100</v>
      </c>
      <c r="Y42" s="5">
        <v>1.39</v>
      </c>
      <c r="Z42" s="4" t="s">
        <v>46</v>
      </c>
      <c r="AA42" s="5" t="s">
        <v>46</v>
      </c>
      <c r="AB42" s="4" t="s">
        <v>176</v>
      </c>
      <c r="AC42" s="4" t="s">
        <v>46</v>
      </c>
      <c r="AD42" s="5">
        <v>0</v>
      </c>
      <c r="AE42" s="4" t="s">
        <v>177</v>
      </c>
      <c r="AF42" s="3">
        <v>45816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45959</v>
      </c>
      <c r="C43" s="4" t="s">
        <v>180</v>
      </c>
      <c r="D43" s="2">
        <v>1831491</v>
      </c>
      <c r="E43" s="4" t="s">
        <v>200</v>
      </c>
      <c r="F43" s="4" t="s">
        <v>201</v>
      </c>
      <c r="G43" s="4" t="s">
        <v>46</v>
      </c>
      <c r="H43" s="4" t="s">
        <v>46</v>
      </c>
      <c r="I43" s="4" t="s">
        <v>46</v>
      </c>
      <c r="J43" s="4" t="s">
        <v>166</v>
      </c>
      <c r="K43" s="4" t="s">
        <v>167</v>
      </c>
      <c r="L43" s="3">
        <v>45962</v>
      </c>
      <c r="M43" s="4" t="s">
        <v>49</v>
      </c>
      <c r="N43" s="4" t="s">
        <v>46</v>
      </c>
      <c r="O43" s="4" t="s">
        <v>50</v>
      </c>
      <c r="P43" s="4" t="s">
        <v>168</v>
      </c>
      <c r="Q43" s="2">
        <v>1</v>
      </c>
      <c r="R43" s="2">
        <v>60</v>
      </c>
      <c r="S43" s="4" t="s">
        <v>175</v>
      </c>
      <c r="T43" s="4" t="s">
        <v>46</v>
      </c>
      <c r="U43" s="4" t="s">
        <v>46</v>
      </c>
      <c r="V43" s="5">
        <v>10</v>
      </c>
      <c r="W43" s="5">
        <v>13.93</v>
      </c>
      <c r="X43" s="5">
        <v>100</v>
      </c>
      <c r="Y43" s="5">
        <v>1.39</v>
      </c>
      <c r="Z43" s="4" t="s">
        <v>46</v>
      </c>
      <c r="AA43" s="5" t="s">
        <v>46</v>
      </c>
      <c r="AB43" s="4" t="s">
        <v>176</v>
      </c>
      <c r="AC43" s="4" t="s">
        <v>46</v>
      </c>
      <c r="AD43" s="5">
        <v>0</v>
      </c>
      <c r="AE43" s="4" t="s">
        <v>177</v>
      </c>
      <c r="AF43" s="3">
        <v>45817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45959</v>
      </c>
      <c r="C44" s="4" t="s">
        <v>180</v>
      </c>
      <c r="D44" s="2">
        <v>1831491</v>
      </c>
      <c r="E44" s="4" t="s">
        <v>202</v>
      </c>
      <c r="F44" s="4" t="s">
        <v>203</v>
      </c>
      <c r="G44" s="4" t="s">
        <v>46</v>
      </c>
      <c r="H44" s="4" t="s">
        <v>46</v>
      </c>
      <c r="I44" s="4" t="s">
        <v>46</v>
      </c>
      <c r="J44" s="4" t="s">
        <v>166</v>
      </c>
      <c r="K44" s="4" t="s">
        <v>167</v>
      </c>
      <c r="L44" s="3">
        <v>45962</v>
      </c>
      <c r="M44" s="4" t="s">
        <v>49</v>
      </c>
      <c r="N44" s="4" t="s">
        <v>46</v>
      </c>
      <c r="O44" s="4" t="s">
        <v>50</v>
      </c>
      <c r="P44" s="4" t="s">
        <v>168</v>
      </c>
      <c r="Q44" s="2">
        <v>2</v>
      </c>
      <c r="R44" s="2">
        <v>60</v>
      </c>
      <c r="S44" s="4" t="s">
        <v>175</v>
      </c>
      <c r="T44" s="4" t="s">
        <v>46</v>
      </c>
      <c r="U44" s="4" t="s">
        <v>46</v>
      </c>
      <c r="V44" s="5">
        <v>10</v>
      </c>
      <c r="W44" s="5">
        <v>26.88</v>
      </c>
      <c r="X44" s="5">
        <v>100</v>
      </c>
      <c r="Y44" s="5">
        <v>2.69</v>
      </c>
      <c r="Z44" s="4" t="s">
        <v>46</v>
      </c>
      <c r="AA44" s="5" t="s">
        <v>46</v>
      </c>
      <c r="AB44" s="4" t="s">
        <v>176</v>
      </c>
      <c r="AC44" s="4" t="s">
        <v>46</v>
      </c>
      <c r="AD44" s="5">
        <v>0</v>
      </c>
      <c r="AE44" s="4" t="s">
        <v>177</v>
      </c>
      <c r="AF44" s="3">
        <v>45817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45959</v>
      </c>
      <c r="C45" s="4" t="s">
        <v>180</v>
      </c>
      <c r="D45" s="2">
        <v>1831491</v>
      </c>
      <c r="E45" s="4" t="s">
        <v>204</v>
      </c>
      <c r="F45" s="4" t="s">
        <v>205</v>
      </c>
      <c r="G45" s="4" t="s">
        <v>46</v>
      </c>
      <c r="H45" s="4" t="s">
        <v>46</v>
      </c>
      <c r="I45" s="4" t="s">
        <v>46</v>
      </c>
      <c r="J45" s="4" t="s">
        <v>166</v>
      </c>
      <c r="K45" s="4" t="s">
        <v>167</v>
      </c>
      <c r="L45" s="3">
        <v>45962</v>
      </c>
      <c r="M45" s="4" t="s">
        <v>49</v>
      </c>
      <c r="N45" s="4" t="s">
        <v>46</v>
      </c>
      <c r="O45" s="4" t="s">
        <v>50</v>
      </c>
      <c r="P45" s="4" t="s">
        <v>168</v>
      </c>
      <c r="Q45" s="2">
        <v>1</v>
      </c>
      <c r="R45" s="2">
        <v>60</v>
      </c>
      <c r="S45" s="4" t="s">
        <v>175</v>
      </c>
      <c r="T45" s="4" t="s">
        <v>46</v>
      </c>
      <c r="U45" s="4" t="s">
        <v>46</v>
      </c>
      <c r="V45" s="5">
        <v>10</v>
      </c>
      <c r="W45" s="5">
        <v>13.93</v>
      </c>
      <c r="X45" s="5">
        <v>100</v>
      </c>
      <c r="Y45" s="5">
        <v>1.39</v>
      </c>
      <c r="Z45" s="4" t="s">
        <v>46</v>
      </c>
      <c r="AA45" s="5" t="s">
        <v>46</v>
      </c>
      <c r="AB45" s="4" t="s">
        <v>176</v>
      </c>
      <c r="AC45" s="4" t="s">
        <v>46</v>
      </c>
      <c r="AD45" s="5">
        <v>0</v>
      </c>
      <c r="AE45" s="4" t="s">
        <v>177</v>
      </c>
      <c r="AF45" s="3">
        <v>45870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45959</v>
      </c>
      <c r="C46" s="4" t="s">
        <v>180</v>
      </c>
      <c r="D46" s="2">
        <v>1831491</v>
      </c>
      <c r="E46" s="4" t="s">
        <v>206</v>
      </c>
      <c r="F46" s="4" t="s">
        <v>207</v>
      </c>
      <c r="G46" s="4" t="s">
        <v>46</v>
      </c>
      <c r="H46" s="4" t="s">
        <v>46</v>
      </c>
      <c r="I46" s="4" t="s">
        <v>46</v>
      </c>
      <c r="J46" s="4" t="s">
        <v>166</v>
      </c>
      <c r="K46" s="4" t="s">
        <v>167</v>
      </c>
      <c r="L46" s="3">
        <v>45962</v>
      </c>
      <c r="M46" s="4" t="s">
        <v>49</v>
      </c>
      <c r="N46" s="4" t="s">
        <v>46</v>
      </c>
      <c r="O46" s="4" t="s">
        <v>50</v>
      </c>
      <c r="P46" s="4" t="s">
        <v>168</v>
      </c>
      <c r="Q46" s="2">
        <v>1</v>
      </c>
      <c r="R46" s="2">
        <v>60</v>
      </c>
      <c r="S46" s="4" t="s">
        <v>175</v>
      </c>
      <c r="T46" s="4" t="s">
        <v>46</v>
      </c>
      <c r="U46" s="4" t="s">
        <v>46</v>
      </c>
      <c r="V46" s="5">
        <v>10</v>
      </c>
      <c r="W46" s="5">
        <v>13.93</v>
      </c>
      <c r="X46" s="5">
        <v>100</v>
      </c>
      <c r="Y46" s="5">
        <v>1.39</v>
      </c>
      <c r="Z46" s="4" t="s">
        <v>46</v>
      </c>
      <c r="AA46" s="5" t="s">
        <v>46</v>
      </c>
      <c r="AB46" s="4" t="s">
        <v>176</v>
      </c>
      <c r="AC46" s="4" t="s">
        <v>46</v>
      </c>
      <c r="AD46" s="5">
        <v>0</v>
      </c>
      <c r="AE46" s="4" t="s">
        <v>177</v>
      </c>
      <c r="AF46" s="3">
        <v>45839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45959</v>
      </c>
      <c r="C47" s="4" t="s">
        <v>180</v>
      </c>
      <c r="D47" s="2">
        <v>1831491</v>
      </c>
      <c r="E47" s="4" t="s">
        <v>208</v>
      </c>
      <c r="F47" s="4" t="s">
        <v>209</v>
      </c>
      <c r="G47" s="4" t="s">
        <v>46</v>
      </c>
      <c r="H47" s="4" t="s">
        <v>46</v>
      </c>
      <c r="I47" s="4" t="s">
        <v>46</v>
      </c>
      <c r="J47" s="4" t="s">
        <v>166</v>
      </c>
      <c r="K47" s="4" t="s">
        <v>167</v>
      </c>
      <c r="L47" s="3">
        <v>45962</v>
      </c>
      <c r="M47" s="4" t="s">
        <v>49</v>
      </c>
      <c r="N47" s="4" t="s">
        <v>46</v>
      </c>
      <c r="O47" s="4" t="s">
        <v>50</v>
      </c>
      <c r="P47" s="4" t="s">
        <v>168</v>
      </c>
      <c r="Q47" s="2">
        <v>2</v>
      </c>
      <c r="R47" s="2">
        <v>60</v>
      </c>
      <c r="S47" s="4" t="s">
        <v>175</v>
      </c>
      <c r="T47" s="4" t="s">
        <v>46</v>
      </c>
      <c r="U47" s="4" t="s">
        <v>46</v>
      </c>
      <c r="V47" s="5">
        <v>10</v>
      </c>
      <c r="W47" s="5">
        <v>26.88</v>
      </c>
      <c r="X47" s="5">
        <v>100</v>
      </c>
      <c r="Y47" s="5">
        <v>2.69</v>
      </c>
      <c r="Z47" s="4" t="s">
        <v>46</v>
      </c>
      <c r="AA47" s="5" t="s">
        <v>46</v>
      </c>
      <c r="AB47" s="4" t="s">
        <v>176</v>
      </c>
      <c r="AC47" s="4" t="s">
        <v>46</v>
      </c>
      <c r="AD47" s="5">
        <v>0</v>
      </c>
      <c r="AE47" s="4" t="s">
        <v>177</v>
      </c>
      <c r="AF47" s="3">
        <v>45839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45959</v>
      </c>
      <c r="C48" s="4" t="s">
        <v>180</v>
      </c>
      <c r="D48" s="2">
        <v>1831491</v>
      </c>
      <c r="E48" s="4" t="s">
        <v>210</v>
      </c>
      <c r="F48" s="4" t="s">
        <v>211</v>
      </c>
      <c r="G48" s="4" t="s">
        <v>46</v>
      </c>
      <c r="H48" s="4" t="s">
        <v>46</v>
      </c>
      <c r="I48" s="4" t="s">
        <v>46</v>
      </c>
      <c r="J48" s="4" t="s">
        <v>166</v>
      </c>
      <c r="K48" s="4" t="s">
        <v>167</v>
      </c>
      <c r="L48" s="3">
        <v>45962</v>
      </c>
      <c r="M48" s="4" t="s">
        <v>49</v>
      </c>
      <c r="N48" s="4" t="s">
        <v>46</v>
      </c>
      <c r="O48" s="4" t="s">
        <v>50</v>
      </c>
      <c r="P48" s="4" t="s">
        <v>168</v>
      </c>
      <c r="Q48" s="2">
        <v>3</v>
      </c>
      <c r="R48" s="2">
        <v>60</v>
      </c>
      <c r="S48" s="4" t="s">
        <v>175</v>
      </c>
      <c r="T48" s="4" t="s">
        <v>46</v>
      </c>
      <c r="U48" s="4" t="s">
        <v>46</v>
      </c>
      <c r="V48" s="5">
        <v>10</v>
      </c>
      <c r="W48" s="5">
        <v>46.8</v>
      </c>
      <c r="X48" s="5">
        <v>100</v>
      </c>
      <c r="Y48" s="5">
        <v>4.68</v>
      </c>
      <c r="Z48" s="4" t="s">
        <v>46</v>
      </c>
      <c r="AA48" s="5" t="s">
        <v>46</v>
      </c>
      <c r="AB48" s="4" t="s">
        <v>176</v>
      </c>
      <c r="AC48" s="4" t="s">
        <v>46</v>
      </c>
      <c r="AD48" s="5">
        <v>0</v>
      </c>
      <c r="AE48" s="4" t="s">
        <v>177</v>
      </c>
      <c r="AF48" s="3">
        <v>45839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45959</v>
      </c>
      <c r="C49" s="4" t="s">
        <v>180</v>
      </c>
      <c r="D49" s="2">
        <v>1831491</v>
      </c>
      <c r="E49" s="4" t="s">
        <v>212</v>
      </c>
      <c r="F49" s="4" t="s">
        <v>213</v>
      </c>
      <c r="G49" s="4" t="s">
        <v>46</v>
      </c>
      <c r="H49" s="4" t="s">
        <v>46</v>
      </c>
      <c r="I49" s="4" t="s">
        <v>46</v>
      </c>
      <c r="J49" s="4" t="s">
        <v>166</v>
      </c>
      <c r="K49" s="4" t="s">
        <v>167</v>
      </c>
      <c r="L49" s="3">
        <v>45962</v>
      </c>
      <c r="M49" s="4" t="s">
        <v>49</v>
      </c>
      <c r="N49" s="4" t="s">
        <v>46</v>
      </c>
      <c r="O49" s="4" t="s">
        <v>50</v>
      </c>
      <c r="P49" s="4" t="s">
        <v>168</v>
      </c>
      <c r="Q49" s="2">
        <v>1</v>
      </c>
      <c r="R49" s="2">
        <v>60</v>
      </c>
      <c r="S49" s="4" t="s">
        <v>175</v>
      </c>
      <c r="T49" s="4" t="s">
        <v>46</v>
      </c>
      <c r="U49" s="4" t="s">
        <v>46</v>
      </c>
      <c r="V49" s="5">
        <v>10</v>
      </c>
      <c r="W49" s="5">
        <v>13.93</v>
      </c>
      <c r="X49" s="5">
        <v>100</v>
      </c>
      <c r="Y49" s="5">
        <v>1.39</v>
      </c>
      <c r="Z49" s="4" t="s">
        <v>46</v>
      </c>
      <c r="AA49" s="5" t="s">
        <v>46</v>
      </c>
      <c r="AB49" s="4" t="s">
        <v>176</v>
      </c>
      <c r="AC49" s="4" t="s">
        <v>46</v>
      </c>
      <c r="AD49" s="5">
        <v>0</v>
      </c>
      <c r="AE49" s="4" t="s">
        <v>177</v>
      </c>
      <c r="AF49" s="3">
        <v>45839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45959</v>
      </c>
      <c r="C50" s="4" t="s">
        <v>180</v>
      </c>
      <c r="D50" s="2">
        <v>1831491</v>
      </c>
      <c r="E50" s="4" t="s">
        <v>214</v>
      </c>
      <c r="F50" s="4" t="s">
        <v>215</v>
      </c>
      <c r="G50" s="4" t="s">
        <v>46</v>
      </c>
      <c r="H50" s="4" t="s">
        <v>46</v>
      </c>
      <c r="I50" s="4" t="s">
        <v>46</v>
      </c>
      <c r="J50" s="4" t="s">
        <v>166</v>
      </c>
      <c r="K50" s="4" t="s">
        <v>167</v>
      </c>
      <c r="L50" s="3">
        <v>45962</v>
      </c>
      <c r="M50" s="4" t="s">
        <v>49</v>
      </c>
      <c r="N50" s="4" t="s">
        <v>46</v>
      </c>
      <c r="O50" s="4" t="s">
        <v>50</v>
      </c>
      <c r="P50" s="4" t="s">
        <v>168</v>
      </c>
      <c r="Q50" s="2">
        <v>1</v>
      </c>
      <c r="R50" s="2">
        <v>60</v>
      </c>
      <c r="S50" s="4" t="s">
        <v>175</v>
      </c>
      <c r="T50" s="4" t="s">
        <v>46</v>
      </c>
      <c r="U50" s="4" t="s">
        <v>46</v>
      </c>
      <c r="V50" s="5">
        <v>10</v>
      </c>
      <c r="W50" s="5">
        <v>14.93</v>
      </c>
      <c r="X50" s="5">
        <v>100</v>
      </c>
      <c r="Y50" s="5">
        <v>1.49</v>
      </c>
      <c r="Z50" s="4" t="s">
        <v>46</v>
      </c>
      <c r="AA50" s="5" t="s">
        <v>46</v>
      </c>
      <c r="AB50" s="4" t="s">
        <v>176</v>
      </c>
      <c r="AC50" s="4" t="s">
        <v>46</v>
      </c>
      <c r="AD50" s="5">
        <v>0</v>
      </c>
      <c r="AE50" s="4" t="s">
        <v>177</v>
      </c>
      <c r="AF50" s="3">
        <v>45870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45959</v>
      </c>
      <c r="C51" s="4" t="s">
        <v>180</v>
      </c>
      <c r="D51" s="2">
        <v>1831491</v>
      </c>
      <c r="E51" s="4" t="s">
        <v>216</v>
      </c>
      <c r="F51" s="4" t="s">
        <v>217</v>
      </c>
      <c r="G51" s="4" t="s">
        <v>46</v>
      </c>
      <c r="H51" s="4" t="s">
        <v>46</v>
      </c>
      <c r="I51" s="4" t="s">
        <v>46</v>
      </c>
      <c r="J51" s="4" t="s">
        <v>166</v>
      </c>
      <c r="K51" s="4" t="s">
        <v>167</v>
      </c>
      <c r="L51" s="3">
        <v>45962</v>
      </c>
      <c r="M51" s="4" t="s">
        <v>49</v>
      </c>
      <c r="N51" s="4" t="s">
        <v>46</v>
      </c>
      <c r="O51" s="4" t="s">
        <v>50</v>
      </c>
      <c r="P51" s="4" t="s">
        <v>168</v>
      </c>
      <c r="Q51" s="2">
        <v>1</v>
      </c>
      <c r="R51" s="2">
        <v>60</v>
      </c>
      <c r="S51" s="4" t="s">
        <v>175</v>
      </c>
      <c r="T51" s="4" t="s">
        <v>46</v>
      </c>
      <c r="U51" s="4" t="s">
        <v>46</v>
      </c>
      <c r="V51" s="5">
        <v>10</v>
      </c>
      <c r="W51" s="5">
        <v>14.93</v>
      </c>
      <c r="X51" s="5">
        <v>100</v>
      </c>
      <c r="Y51" s="5">
        <v>1.49</v>
      </c>
      <c r="Z51" s="4" t="s">
        <v>46</v>
      </c>
      <c r="AA51" s="5" t="s">
        <v>46</v>
      </c>
      <c r="AB51" s="4" t="s">
        <v>176</v>
      </c>
      <c r="AC51" s="4" t="s">
        <v>46</v>
      </c>
      <c r="AD51" s="5">
        <v>0</v>
      </c>
      <c r="AE51" s="4" t="s">
        <v>177</v>
      </c>
      <c r="AF51" s="3">
        <v>45870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45959</v>
      </c>
      <c r="C52" s="4" t="s">
        <v>180</v>
      </c>
      <c r="D52" s="2">
        <v>1831491</v>
      </c>
      <c r="E52" s="4" t="s">
        <v>218</v>
      </c>
      <c r="F52" s="4" t="s">
        <v>219</v>
      </c>
      <c r="G52" s="4" t="s">
        <v>46</v>
      </c>
      <c r="H52" s="4" t="s">
        <v>46</v>
      </c>
      <c r="I52" s="4" t="s">
        <v>46</v>
      </c>
      <c r="J52" s="4" t="s">
        <v>166</v>
      </c>
      <c r="K52" s="4" t="s">
        <v>167</v>
      </c>
      <c r="L52" s="3">
        <v>45962</v>
      </c>
      <c r="M52" s="4" t="s">
        <v>49</v>
      </c>
      <c r="N52" s="4" t="s">
        <v>46</v>
      </c>
      <c r="O52" s="4" t="s">
        <v>50</v>
      </c>
      <c r="P52" s="4" t="s">
        <v>168</v>
      </c>
      <c r="Q52" s="2">
        <v>1</v>
      </c>
      <c r="R52" s="2">
        <v>60</v>
      </c>
      <c r="S52" s="4" t="s">
        <v>175</v>
      </c>
      <c r="T52" s="4" t="s">
        <v>46</v>
      </c>
      <c r="U52" s="4" t="s">
        <v>46</v>
      </c>
      <c r="V52" s="5">
        <v>10</v>
      </c>
      <c r="W52" s="5">
        <v>14.93</v>
      </c>
      <c r="X52" s="5">
        <v>100</v>
      </c>
      <c r="Y52" s="5">
        <v>1.49</v>
      </c>
      <c r="Z52" s="4" t="s">
        <v>46</v>
      </c>
      <c r="AA52" s="5" t="s">
        <v>46</v>
      </c>
      <c r="AB52" s="4" t="s">
        <v>176</v>
      </c>
      <c r="AC52" s="4" t="s">
        <v>46</v>
      </c>
      <c r="AD52" s="5">
        <v>0</v>
      </c>
      <c r="AE52" s="4" t="s">
        <v>177</v>
      </c>
      <c r="AF52" s="3">
        <v>45870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45959</v>
      </c>
      <c r="C53" s="4" t="s">
        <v>180</v>
      </c>
      <c r="D53" s="2">
        <v>1831491</v>
      </c>
      <c r="E53" s="4" t="s">
        <v>220</v>
      </c>
      <c r="F53" s="4" t="s">
        <v>221</v>
      </c>
      <c r="G53" s="4" t="s">
        <v>46</v>
      </c>
      <c r="H53" s="4" t="s">
        <v>46</v>
      </c>
      <c r="I53" s="4" t="s">
        <v>46</v>
      </c>
      <c r="J53" s="4" t="s">
        <v>166</v>
      </c>
      <c r="K53" s="4" t="s">
        <v>167</v>
      </c>
      <c r="L53" s="3">
        <v>45962</v>
      </c>
      <c r="M53" s="4" t="s">
        <v>49</v>
      </c>
      <c r="N53" s="4" t="s">
        <v>46</v>
      </c>
      <c r="O53" s="4" t="s">
        <v>50</v>
      </c>
      <c r="P53" s="4" t="s">
        <v>168</v>
      </c>
      <c r="Q53" s="2">
        <v>1</v>
      </c>
      <c r="R53" s="2">
        <v>60</v>
      </c>
      <c r="S53" s="4" t="s">
        <v>175</v>
      </c>
      <c r="T53" s="4" t="s">
        <v>46</v>
      </c>
      <c r="U53" s="4" t="s">
        <v>46</v>
      </c>
      <c r="V53" s="5">
        <v>10</v>
      </c>
      <c r="W53" s="5">
        <v>14.93</v>
      </c>
      <c r="X53" s="5">
        <v>100</v>
      </c>
      <c r="Y53" s="5">
        <v>1.49</v>
      </c>
      <c r="Z53" s="4" t="s">
        <v>46</v>
      </c>
      <c r="AA53" s="5" t="s">
        <v>46</v>
      </c>
      <c r="AB53" s="4" t="s">
        <v>176</v>
      </c>
      <c r="AC53" s="4" t="s">
        <v>46</v>
      </c>
      <c r="AD53" s="5">
        <v>0</v>
      </c>
      <c r="AE53" s="4" t="s">
        <v>177</v>
      </c>
      <c r="AF53" s="3">
        <v>45871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45959</v>
      </c>
      <c r="C54" s="4" t="s">
        <v>180</v>
      </c>
      <c r="D54" s="2">
        <v>1831491</v>
      </c>
      <c r="E54" s="4" t="s">
        <v>222</v>
      </c>
      <c r="F54" s="4" t="s">
        <v>223</v>
      </c>
      <c r="G54" s="4" t="s">
        <v>46</v>
      </c>
      <c r="H54" s="4" t="s">
        <v>46</v>
      </c>
      <c r="I54" s="4" t="s">
        <v>46</v>
      </c>
      <c r="J54" s="4" t="s">
        <v>166</v>
      </c>
      <c r="K54" s="4" t="s">
        <v>167</v>
      </c>
      <c r="L54" s="3">
        <v>45962</v>
      </c>
      <c r="M54" s="4" t="s">
        <v>49</v>
      </c>
      <c r="N54" s="4" t="s">
        <v>46</v>
      </c>
      <c r="O54" s="4" t="s">
        <v>50</v>
      </c>
      <c r="P54" s="4" t="s">
        <v>168</v>
      </c>
      <c r="Q54" s="2">
        <v>1</v>
      </c>
      <c r="R54" s="2">
        <v>60</v>
      </c>
      <c r="S54" s="4" t="s">
        <v>175</v>
      </c>
      <c r="T54" s="4" t="s">
        <v>46</v>
      </c>
      <c r="U54" s="4" t="s">
        <v>46</v>
      </c>
      <c r="V54" s="5">
        <v>10</v>
      </c>
      <c r="W54" s="5">
        <v>14.93</v>
      </c>
      <c r="X54" s="5">
        <v>100</v>
      </c>
      <c r="Y54" s="5">
        <v>36.49</v>
      </c>
      <c r="Z54" s="4" t="s">
        <v>46</v>
      </c>
      <c r="AA54" s="5" t="s">
        <v>46</v>
      </c>
      <c r="AB54" s="4" t="s">
        <v>176</v>
      </c>
      <c r="AC54" s="4" t="s">
        <v>46</v>
      </c>
      <c r="AD54" s="5">
        <v>0</v>
      </c>
      <c r="AE54" s="4" t="s">
        <v>177</v>
      </c>
      <c r="AF54" s="3">
        <v>45962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45959</v>
      </c>
      <c r="C55" s="4" t="s">
        <v>180</v>
      </c>
      <c r="D55" s="2">
        <v>1831491</v>
      </c>
      <c r="E55" s="4" t="s">
        <v>224</v>
      </c>
      <c r="F55" s="4" t="s">
        <v>225</v>
      </c>
      <c r="G55" s="4" t="s">
        <v>46</v>
      </c>
      <c r="H55" s="4" t="s">
        <v>46</v>
      </c>
      <c r="I55" s="4" t="s">
        <v>46</v>
      </c>
      <c r="J55" s="4" t="s">
        <v>166</v>
      </c>
      <c r="K55" s="4" t="s">
        <v>167</v>
      </c>
      <c r="L55" s="3">
        <v>45962</v>
      </c>
      <c r="M55" s="4" t="s">
        <v>49</v>
      </c>
      <c r="N55" s="4" t="s">
        <v>46</v>
      </c>
      <c r="O55" s="4" t="s">
        <v>50</v>
      </c>
      <c r="P55" s="4" t="s">
        <v>168</v>
      </c>
      <c r="Q55" s="2">
        <v>1</v>
      </c>
      <c r="R55" s="2">
        <v>60</v>
      </c>
      <c r="S55" s="4" t="s">
        <v>175</v>
      </c>
      <c r="T55" s="4" t="s">
        <v>46</v>
      </c>
      <c r="U55" s="4" t="s">
        <v>46</v>
      </c>
      <c r="V55" s="5">
        <v>10</v>
      </c>
      <c r="W55" s="5">
        <v>14.93</v>
      </c>
      <c r="X55" s="5">
        <v>100</v>
      </c>
      <c r="Y55" s="5">
        <v>1.49</v>
      </c>
      <c r="Z55" s="4" t="s">
        <v>46</v>
      </c>
      <c r="AA55" s="5" t="s">
        <v>46</v>
      </c>
      <c r="AB55" s="4" t="s">
        <v>176</v>
      </c>
      <c r="AC55" s="4" t="s">
        <v>46</v>
      </c>
      <c r="AD55" s="5">
        <v>0</v>
      </c>
      <c r="AE55" s="4" t="s">
        <v>177</v>
      </c>
      <c r="AF55" s="3">
        <v>45901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45959</v>
      </c>
      <c r="C56" s="4" t="s">
        <v>180</v>
      </c>
      <c r="D56" s="2">
        <v>1831491</v>
      </c>
      <c r="E56" s="4" t="s">
        <v>226</v>
      </c>
      <c r="F56" s="4" t="s">
        <v>227</v>
      </c>
      <c r="G56" s="4" t="s">
        <v>46</v>
      </c>
      <c r="H56" s="4" t="s">
        <v>46</v>
      </c>
      <c r="I56" s="4" t="s">
        <v>46</v>
      </c>
      <c r="J56" s="4" t="s">
        <v>166</v>
      </c>
      <c r="K56" s="4" t="s">
        <v>167</v>
      </c>
      <c r="L56" s="3">
        <v>45962</v>
      </c>
      <c r="M56" s="4" t="s">
        <v>49</v>
      </c>
      <c r="N56" s="4" t="s">
        <v>46</v>
      </c>
      <c r="O56" s="4" t="s">
        <v>50</v>
      </c>
      <c r="P56" s="4" t="s">
        <v>168</v>
      </c>
      <c r="Q56" s="2">
        <v>1</v>
      </c>
      <c r="R56" s="2">
        <v>60</v>
      </c>
      <c r="S56" s="4" t="s">
        <v>175</v>
      </c>
      <c r="T56" s="4" t="s">
        <v>46</v>
      </c>
      <c r="U56" s="4" t="s">
        <v>46</v>
      </c>
      <c r="V56" s="5">
        <v>10</v>
      </c>
      <c r="W56" s="5">
        <v>14.93</v>
      </c>
      <c r="X56" s="5">
        <v>100</v>
      </c>
      <c r="Y56" s="5">
        <v>1.49</v>
      </c>
      <c r="Z56" s="4" t="s">
        <v>46</v>
      </c>
      <c r="AA56" s="5" t="s">
        <v>46</v>
      </c>
      <c r="AB56" s="4" t="s">
        <v>176</v>
      </c>
      <c r="AC56" s="4" t="s">
        <v>46</v>
      </c>
      <c r="AD56" s="5">
        <v>0</v>
      </c>
      <c r="AE56" s="4" t="s">
        <v>177</v>
      </c>
      <c r="AF56" s="3">
        <v>45908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45959</v>
      </c>
      <c r="C57" s="4" t="s">
        <v>180</v>
      </c>
      <c r="D57" s="2">
        <v>1831491</v>
      </c>
      <c r="E57" s="4" t="s">
        <v>228</v>
      </c>
      <c r="F57" s="4" t="s">
        <v>229</v>
      </c>
      <c r="G57" s="4" t="s">
        <v>46</v>
      </c>
      <c r="H57" s="4" t="s">
        <v>46</v>
      </c>
      <c r="I57" s="4" t="s">
        <v>46</v>
      </c>
      <c r="J57" s="4" t="s">
        <v>166</v>
      </c>
      <c r="K57" s="4" t="s">
        <v>167</v>
      </c>
      <c r="L57" s="3">
        <v>45962</v>
      </c>
      <c r="M57" s="4" t="s">
        <v>49</v>
      </c>
      <c r="N57" s="4" t="s">
        <v>46</v>
      </c>
      <c r="O57" s="4" t="s">
        <v>50</v>
      </c>
      <c r="P57" s="4" t="s">
        <v>168</v>
      </c>
      <c r="Q57" s="2">
        <v>2</v>
      </c>
      <c r="R57" s="2">
        <v>60</v>
      </c>
      <c r="S57" s="4" t="s">
        <v>175</v>
      </c>
      <c r="T57" s="4" t="s">
        <v>46</v>
      </c>
      <c r="U57" s="4" t="s">
        <v>46</v>
      </c>
      <c r="V57" s="5">
        <v>10</v>
      </c>
      <c r="W57" s="5">
        <v>26.88</v>
      </c>
      <c r="X57" s="5">
        <v>100</v>
      </c>
      <c r="Y57" s="5">
        <v>2.69</v>
      </c>
      <c r="Z57" s="4" t="s">
        <v>46</v>
      </c>
      <c r="AA57" s="5" t="s">
        <v>46</v>
      </c>
      <c r="AB57" s="4" t="s">
        <v>176</v>
      </c>
      <c r="AC57" s="4" t="s">
        <v>46</v>
      </c>
      <c r="AD57" s="5">
        <v>0</v>
      </c>
      <c r="AE57" s="4" t="s">
        <v>177</v>
      </c>
      <c r="AF57" s="3">
        <v>45901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45959</v>
      </c>
      <c r="C58" s="4" t="s">
        <v>180</v>
      </c>
      <c r="D58" s="2">
        <v>1831491</v>
      </c>
      <c r="E58" s="4" t="s">
        <v>230</v>
      </c>
      <c r="F58" s="4" t="s">
        <v>231</v>
      </c>
      <c r="G58" s="4" t="s">
        <v>46</v>
      </c>
      <c r="H58" s="4" t="s">
        <v>46</v>
      </c>
      <c r="I58" s="4" t="s">
        <v>46</v>
      </c>
      <c r="J58" s="4" t="s">
        <v>166</v>
      </c>
      <c r="K58" s="4" t="s">
        <v>167</v>
      </c>
      <c r="L58" s="3">
        <v>45962</v>
      </c>
      <c r="M58" s="4" t="s">
        <v>49</v>
      </c>
      <c r="N58" s="4" t="s">
        <v>46</v>
      </c>
      <c r="O58" s="4" t="s">
        <v>50</v>
      </c>
      <c r="P58" s="4" t="s">
        <v>168</v>
      </c>
      <c r="Q58" s="2">
        <v>1</v>
      </c>
      <c r="R58" s="2">
        <v>60</v>
      </c>
      <c r="S58" s="4" t="s">
        <v>175</v>
      </c>
      <c r="T58" s="4" t="s">
        <v>46</v>
      </c>
      <c r="U58" s="4" t="s">
        <v>46</v>
      </c>
      <c r="V58" s="5">
        <v>10</v>
      </c>
      <c r="W58" s="5">
        <v>14.93</v>
      </c>
      <c r="X58" s="5">
        <v>100</v>
      </c>
      <c r="Y58" s="5">
        <v>1.49</v>
      </c>
      <c r="Z58" s="4" t="s">
        <v>46</v>
      </c>
      <c r="AA58" s="5" t="s">
        <v>46</v>
      </c>
      <c r="AB58" s="4" t="s">
        <v>176</v>
      </c>
      <c r="AC58" s="4" t="s">
        <v>46</v>
      </c>
      <c r="AD58" s="5">
        <v>0</v>
      </c>
      <c r="AE58" s="4" t="s">
        <v>177</v>
      </c>
      <c r="AF58" s="3">
        <v>45931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45959</v>
      </c>
      <c r="C59" s="4" t="s">
        <v>180</v>
      </c>
      <c r="D59" s="2">
        <v>1831491</v>
      </c>
      <c r="E59" s="4" t="s">
        <v>232</v>
      </c>
      <c r="F59" s="4" t="s">
        <v>233</v>
      </c>
      <c r="G59" s="4" t="s">
        <v>46</v>
      </c>
      <c r="H59" s="4" t="s">
        <v>46</v>
      </c>
      <c r="I59" s="4" t="s">
        <v>46</v>
      </c>
      <c r="J59" s="4" t="s">
        <v>166</v>
      </c>
      <c r="K59" s="4" t="s">
        <v>167</v>
      </c>
      <c r="L59" s="3">
        <v>45962</v>
      </c>
      <c r="M59" s="4" t="s">
        <v>49</v>
      </c>
      <c r="N59" s="4" t="s">
        <v>46</v>
      </c>
      <c r="O59" s="4" t="s">
        <v>50</v>
      </c>
      <c r="P59" s="4" t="s">
        <v>168</v>
      </c>
      <c r="Q59" s="2">
        <v>1</v>
      </c>
      <c r="R59" s="2">
        <v>60</v>
      </c>
      <c r="S59" s="4" t="s">
        <v>175</v>
      </c>
      <c r="T59" s="4" t="s">
        <v>46</v>
      </c>
      <c r="U59" s="4" t="s">
        <v>46</v>
      </c>
      <c r="V59" s="5">
        <v>15</v>
      </c>
      <c r="W59" s="5">
        <v>14.93</v>
      </c>
      <c r="X59" s="5">
        <v>100</v>
      </c>
      <c r="Y59" s="5">
        <v>37.24</v>
      </c>
      <c r="Z59" s="4" t="s">
        <v>46</v>
      </c>
      <c r="AA59" s="5" t="s">
        <v>46</v>
      </c>
      <c r="AB59" s="4" t="s">
        <v>176</v>
      </c>
      <c r="AC59" s="4" t="s">
        <v>46</v>
      </c>
      <c r="AD59" s="5">
        <v>0</v>
      </c>
      <c r="AE59" s="4" t="s">
        <v>177</v>
      </c>
      <c r="AF59" s="3">
        <v>45962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45959</v>
      </c>
      <c r="C60" s="4" t="s">
        <v>180</v>
      </c>
      <c r="D60" s="2">
        <v>1831491</v>
      </c>
      <c r="E60" s="4" t="s">
        <v>234</v>
      </c>
      <c r="F60" s="4" t="s">
        <v>235</v>
      </c>
      <c r="G60" s="4" t="s">
        <v>46</v>
      </c>
      <c r="H60" s="4" t="s">
        <v>46</v>
      </c>
      <c r="I60" s="4" t="s">
        <v>46</v>
      </c>
      <c r="J60" s="4" t="s">
        <v>166</v>
      </c>
      <c r="K60" s="4" t="s">
        <v>167</v>
      </c>
      <c r="L60" s="3">
        <v>45992</v>
      </c>
      <c r="M60" s="4" t="s">
        <v>69</v>
      </c>
      <c r="N60" s="4" t="s">
        <v>46</v>
      </c>
      <c r="O60" s="4" t="s">
        <v>50</v>
      </c>
      <c r="P60" s="4" t="s">
        <v>168</v>
      </c>
      <c r="Q60" s="2">
        <v>2</v>
      </c>
      <c r="R60" s="2">
        <v>60</v>
      </c>
      <c r="S60" s="4" t="s">
        <v>175</v>
      </c>
      <c r="T60" s="4" t="s">
        <v>46</v>
      </c>
      <c r="U60" s="4" t="s">
        <v>46</v>
      </c>
      <c r="V60" s="5">
        <v>10</v>
      </c>
      <c r="W60" s="5">
        <v>26.88</v>
      </c>
      <c r="X60" s="5">
        <v>100</v>
      </c>
      <c r="Y60" s="5">
        <v>37.69</v>
      </c>
      <c r="Z60" s="4" t="s">
        <v>46</v>
      </c>
      <c r="AA60" s="5" t="s">
        <v>46</v>
      </c>
      <c r="AB60" s="4" t="s">
        <v>176</v>
      </c>
      <c r="AC60" s="4" t="s">
        <v>46</v>
      </c>
      <c r="AD60" s="5">
        <v>0</v>
      </c>
      <c r="AE60" s="4" t="s">
        <v>177</v>
      </c>
      <c r="AF60" s="3">
        <v>45992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45959</v>
      </c>
      <c r="C61" s="4" t="s">
        <v>236</v>
      </c>
      <c r="D61" s="2">
        <v>1875462</v>
      </c>
      <c r="E61" s="4" t="s">
        <v>237</v>
      </c>
      <c r="F61" s="4" t="s">
        <v>238</v>
      </c>
      <c r="G61" s="4" t="s">
        <v>46</v>
      </c>
      <c r="H61" s="4" t="s">
        <v>46</v>
      </c>
      <c r="I61" s="4" t="s">
        <v>46</v>
      </c>
      <c r="J61" s="4" t="s">
        <v>166</v>
      </c>
      <c r="K61" s="4" t="s">
        <v>167</v>
      </c>
      <c r="L61" s="3">
        <v>45962</v>
      </c>
      <c r="M61" s="4" t="s">
        <v>49</v>
      </c>
      <c r="N61" s="4" t="s">
        <v>46</v>
      </c>
      <c r="O61" s="4" t="s">
        <v>50</v>
      </c>
      <c r="P61" s="4" t="s">
        <v>168</v>
      </c>
      <c r="Q61" s="2">
        <v>2</v>
      </c>
      <c r="R61" s="2">
        <v>60</v>
      </c>
      <c r="S61" s="4" t="s">
        <v>175</v>
      </c>
      <c r="T61" s="4" t="s">
        <v>46</v>
      </c>
      <c r="U61" s="4" t="s">
        <v>46</v>
      </c>
      <c r="V61" s="5">
        <v>10</v>
      </c>
      <c r="W61" s="5">
        <v>23.99</v>
      </c>
      <c r="X61" s="5">
        <v>100</v>
      </c>
      <c r="Y61" s="5">
        <v>2.4</v>
      </c>
      <c r="Z61" s="4" t="s">
        <v>46</v>
      </c>
      <c r="AA61" s="5" t="s">
        <v>46</v>
      </c>
      <c r="AB61" s="4" t="s">
        <v>176</v>
      </c>
      <c r="AC61" s="4" t="s">
        <v>46</v>
      </c>
      <c r="AD61" s="5">
        <v>0</v>
      </c>
      <c r="AE61" s="4" t="s">
        <v>177</v>
      </c>
      <c r="AF61" s="3">
        <v>45713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45959</v>
      </c>
      <c r="C62" s="4" t="s">
        <v>46</v>
      </c>
      <c r="D62" s="2" t="s">
        <v>46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  <c r="J62" s="4" t="s">
        <v>46</v>
      </c>
      <c r="K62" s="4" t="s">
        <v>46</v>
      </c>
      <c r="L62" s="4" t="s">
        <v>46</v>
      </c>
      <c r="M62" s="4" t="s">
        <v>239</v>
      </c>
      <c r="N62" s="4" t="s">
        <v>46</v>
      </c>
      <c r="O62" s="4" t="s">
        <v>46</v>
      </c>
      <c r="P62" s="4" t="s">
        <v>46</v>
      </c>
      <c r="Q62" s="4" t="s">
        <v>46</v>
      </c>
      <c r="R62" s="4" t="s">
        <v>46</v>
      </c>
      <c r="S62" s="4" t="s">
        <v>46</v>
      </c>
      <c r="T62" s="4" t="s">
        <v>46</v>
      </c>
      <c r="U62" s="4" t="s">
        <v>46</v>
      </c>
      <c r="V62" s="5" t="s">
        <v>46</v>
      </c>
      <c r="W62" s="4" t="s">
        <v>46</v>
      </c>
      <c r="X62" s="5" t="s">
        <v>46</v>
      </c>
      <c r="Y62" s="4" t="s">
        <v>46</v>
      </c>
      <c r="Z62" s="4" t="s">
        <v>46</v>
      </c>
      <c r="AA62" s="5" t="s">
        <v>46</v>
      </c>
      <c r="AB62" s="4" t="s">
        <v>46</v>
      </c>
      <c r="AC62" s="4" t="s">
        <v>240</v>
      </c>
      <c r="AD62" s="5">
        <v>0</v>
      </c>
      <c r="AE62" s="4" t="s">
        <v>241</v>
      </c>
      <c r="AF62" s="4" t="s">
        <v>46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6DD4-F9A7-4F21-A8A3-81A6D1D92D2D}">
  <dimension ref="A1:AP61"/>
  <sheetViews>
    <sheetView tabSelected="1" topLeftCell="D1" workbookViewId="0">
      <selection activeCell="P2" sqref="P2:P57"/>
    </sheetView>
  </sheetViews>
  <sheetFormatPr defaultRowHeight="12.75" x14ac:dyDescent="0.2"/>
  <cols>
    <col min="1" max="1" width="24.7109375" bestFit="1" customWidth="1"/>
    <col min="2" max="2" width="13.42578125" customWidth="1"/>
    <col min="3" max="3" width="28.5703125" bestFit="1" customWidth="1"/>
    <col min="4" max="4" width="13.42578125" bestFit="1" customWidth="1"/>
    <col min="5" max="6" width="11.42578125" bestFit="1" customWidth="1"/>
    <col min="7" max="7" width="10.42578125" bestFit="1" customWidth="1"/>
    <col min="8" max="9" width="15.28515625" bestFit="1" customWidth="1"/>
    <col min="10" max="10" width="13.7109375" bestFit="1" customWidth="1"/>
    <col min="11" max="11" width="9.5703125" bestFit="1" customWidth="1"/>
    <col min="12" max="12" width="15.28515625" bestFit="1" customWidth="1"/>
    <col min="13" max="13" width="11.42578125" bestFit="1" customWidth="1"/>
    <col min="14" max="14" width="13.7109375" bestFit="1" customWidth="1"/>
    <col min="15" max="15" width="26.140625" bestFit="1" customWidth="1"/>
    <col min="19" max="19" width="13.42578125" bestFit="1" customWidth="1"/>
    <col min="20" max="20" width="15.5703125" customWidth="1"/>
    <col min="21" max="21" width="26.85546875" bestFit="1" customWidth="1"/>
    <col min="23" max="23" width="11.28515625" bestFit="1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2" x14ac:dyDescent="0.2">
      <c r="A2" s="11" t="s">
        <v>180</v>
      </c>
      <c r="B2" s="12">
        <v>18828278</v>
      </c>
      <c r="C2" s="11" t="s">
        <v>181</v>
      </c>
      <c r="D2" s="16">
        <v>9030509330</v>
      </c>
      <c r="E2" s="13">
        <v>45962</v>
      </c>
      <c r="F2" s="11" t="s">
        <v>49</v>
      </c>
      <c r="G2" s="11" t="s">
        <v>50</v>
      </c>
      <c r="H2" s="11" t="s">
        <v>175</v>
      </c>
      <c r="I2" s="11" t="s">
        <v>46</v>
      </c>
      <c r="J2" s="14">
        <v>10</v>
      </c>
      <c r="K2" s="14">
        <v>26.88</v>
      </c>
      <c r="L2" s="14">
        <v>2.69</v>
      </c>
      <c r="M2" s="11" t="s">
        <v>176</v>
      </c>
      <c r="N2" s="13">
        <v>45808</v>
      </c>
      <c r="O2" s="14" t="s">
        <v>243</v>
      </c>
      <c r="P2" s="15"/>
      <c r="Q2" s="15"/>
      <c r="R2" s="15"/>
      <c r="S2" s="16">
        <v>9030509330</v>
      </c>
      <c r="T2" s="15" t="str">
        <f>CONCATENATE(S2,4)</f>
        <v>90305093304</v>
      </c>
      <c r="U2" s="11" t="s">
        <v>248</v>
      </c>
      <c r="V2" s="15" t="s">
        <v>249</v>
      </c>
      <c r="W2" s="15" t="str">
        <f>CONCATENATE(V2, " ",U2)</f>
        <v>Gerald Urish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x14ac:dyDescent="0.2">
      <c r="A3" s="11" t="s">
        <v>180</v>
      </c>
      <c r="B3" s="12">
        <v>18828278</v>
      </c>
      <c r="C3" s="11" t="s">
        <v>183</v>
      </c>
      <c r="D3" s="16">
        <v>9030544330</v>
      </c>
      <c r="E3" s="13">
        <v>45962</v>
      </c>
      <c r="F3" s="11" t="s">
        <v>49</v>
      </c>
      <c r="G3" s="11" t="s">
        <v>50</v>
      </c>
      <c r="H3" s="11" t="s">
        <v>175</v>
      </c>
      <c r="I3" s="11" t="s">
        <v>46</v>
      </c>
      <c r="J3" s="14">
        <v>10</v>
      </c>
      <c r="K3" s="14">
        <v>26.88</v>
      </c>
      <c r="L3" s="14">
        <v>2.69</v>
      </c>
      <c r="M3" s="11" t="s">
        <v>176</v>
      </c>
      <c r="N3" s="13">
        <v>45808</v>
      </c>
      <c r="O3" s="14" t="s">
        <v>243</v>
      </c>
      <c r="P3" s="15"/>
      <c r="Q3" s="15"/>
      <c r="R3" s="15"/>
      <c r="S3" s="16">
        <v>9030544330</v>
      </c>
      <c r="T3" s="15" t="str">
        <f t="shared" ref="T3:T32" si="0">CONCATENATE(S3,4)</f>
        <v>90305443304</v>
      </c>
      <c r="U3" s="11" t="s">
        <v>250</v>
      </c>
      <c r="V3" s="15" t="s">
        <v>251</v>
      </c>
      <c r="W3" s="15" t="str">
        <f t="shared" ref="W3:W61" si="1">CONCATENATE(V3, " ",U3)</f>
        <v>Brianna Gambetti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</row>
    <row r="4" spans="1:42" x14ac:dyDescent="0.2">
      <c r="A4" s="11" t="s">
        <v>180</v>
      </c>
      <c r="B4" s="12">
        <v>18828278</v>
      </c>
      <c r="C4" s="11" t="s">
        <v>183</v>
      </c>
      <c r="D4" s="16">
        <v>9030544350</v>
      </c>
      <c r="E4" s="13">
        <v>45962</v>
      </c>
      <c r="F4" s="11" t="s">
        <v>49</v>
      </c>
      <c r="G4" s="11" t="s">
        <v>50</v>
      </c>
      <c r="H4" s="11" t="s">
        <v>175</v>
      </c>
      <c r="I4" s="11" t="s">
        <v>46</v>
      </c>
      <c r="J4" s="14">
        <v>10</v>
      </c>
      <c r="K4" s="14">
        <v>26.88</v>
      </c>
      <c r="L4" s="14">
        <v>2.69</v>
      </c>
      <c r="M4" s="11" t="s">
        <v>176</v>
      </c>
      <c r="N4" s="13">
        <v>45808</v>
      </c>
      <c r="O4" s="14" t="s">
        <v>243</v>
      </c>
      <c r="P4" s="15"/>
      <c r="Q4" s="15"/>
      <c r="R4" s="15"/>
      <c r="S4" s="16">
        <v>9030544350</v>
      </c>
      <c r="T4" s="15" t="str">
        <f t="shared" si="0"/>
        <v>90305443504</v>
      </c>
      <c r="U4" s="11" t="s">
        <v>250</v>
      </c>
      <c r="V4" s="15" t="s">
        <v>251</v>
      </c>
      <c r="W4" s="15" t="str">
        <f t="shared" si="1"/>
        <v>Brianna Gambetti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x14ac:dyDescent="0.2">
      <c r="A5" s="11" t="s">
        <v>180</v>
      </c>
      <c r="B5" s="12">
        <v>18828278</v>
      </c>
      <c r="C5" s="11" t="s">
        <v>186</v>
      </c>
      <c r="D5" s="16">
        <v>9030558330</v>
      </c>
      <c r="E5" s="13">
        <v>45962</v>
      </c>
      <c r="F5" s="11" t="s">
        <v>49</v>
      </c>
      <c r="G5" s="11" t="s">
        <v>50</v>
      </c>
      <c r="H5" s="11" t="s">
        <v>175</v>
      </c>
      <c r="I5" s="11" t="s">
        <v>46</v>
      </c>
      <c r="J5" s="14">
        <v>10</v>
      </c>
      <c r="K5" s="14">
        <v>26.88</v>
      </c>
      <c r="L5" s="14">
        <v>2.69</v>
      </c>
      <c r="M5" s="11" t="s">
        <v>176</v>
      </c>
      <c r="N5" s="13">
        <v>45808</v>
      </c>
      <c r="O5" s="14" t="s">
        <v>243</v>
      </c>
      <c r="P5" s="15"/>
      <c r="Q5" s="15"/>
      <c r="R5" s="15"/>
      <c r="S5" s="16">
        <v>9030558330</v>
      </c>
      <c r="T5" s="15" t="str">
        <f t="shared" si="0"/>
        <v>90305583304</v>
      </c>
      <c r="U5" s="11" t="s">
        <v>252</v>
      </c>
      <c r="V5" s="15" t="s">
        <v>253</v>
      </c>
      <c r="W5" s="15" t="str">
        <f t="shared" si="1"/>
        <v>David Taylor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1:42" x14ac:dyDescent="0.2">
      <c r="A6" s="11" t="s">
        <v>180</v>
      </c>
      <c r="B6" s="12">
        <v>18828278</v>
      </c>
      <c r="C6" s="11" t="s">
        <v>188</v>
      </c>
      <c r="D6" s="16">
        <v>9030572460</v>
      </c>
      <c r="E6" s="13">
        <v>45962</v>
      </c>
      <c r="F6" s="11" t="s">
        <v>49</v>
      </c>
      <c r="G6" s="11" t="s">
        <v>50</v>
      </c>
      <c r="H6" s="11" t="s">
        <v>175</v>
      </c>
      <c r="I6" s="11" t="s">
        <v>46</v>
      </c>
      <c r="J6" s="14">
        <v>10</v>
      </c>
      <c r="K6" s="14">
        <v>13.93</v>
      </c>
      <c r="L6" s="14">
        <v>1.39</v>
      </c>
      <c r="M6" s="11" t="s">
        <v>176</v>
      </c>
      <c r="N6" s="13">
        <v>45809</v>
      </c>
      <c r="O6" s="14" t="s">
        <v>243</v>
      </c>
      <c r="P6" s="15"/>
      <c r="Q6" s="15"/>
      <c r="R6" s="15"/>
      <c r="S6" s="16">
        <v>9030572460</v>
      </c>
      <c r="T6" s="15" t="str">
        <f t="shared" si="0"/>
        <v>90305724604</v>
      </c>
      <c r="U6" s="11" t="s">
        <v>254</v>
      </c>
      <c r="V6" s="15" t="s">
        <v>255</v>
      </c>
      <c r="W6" s="15" t="str">
        <f t="shared" si="1"/>
        <v>Robert Shaw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x14ac:dyDescent="0.2">
      <c r="A7" s="11" t="s">
        <v>180</v>
      </c>
      <c r="B7" s="12">
        <v>18828278</v>
      </c>
      <c r="C7" s="11" t="s">
        <v>190</v>
      </c>
      <c r="D7" s="16">
        <v>9030577770</v>
      </c>
      <c r="E7" s="13">
        <v>45962</v>
      </c>
      <c r="F7" s="11" t="s">
        <v>49</v>
      </c>
      <c r="G7" s="11" t="s">
        <v>50</v>
      </c>
      <c r="H7" s="11" t="s">
        <v>175</v>
      </c>
      <c r="I7" s="11" t="s">
        <v>46</v>
      </c>
      <c r="J7" s="14">
        <v>10</v>
      </c>
      <c r="K7" s="14">
        <v>46.8</v>
      </c>
      <c r="L7" s="14">
        <v>4.68</v>
      </c>
      <c r="M7" s="11" t="s">
        <v>176</v>
      </c>
      <c r="N7" s="13">
        <v>45809</v>
      </c>
      <c r="O7" s="14" t="s">
        <v>243</v>
      </c>
      <c r="P7" s="15"/>
      <c r="Q7" s="15"/>
      <c r="R7" s="15"/>
      <c r="S7" s="16">
        <v>9030577770</v>
      </c>
      <c r="T7" s="15" t="str">
        <f t="shared" si="0"/>
        <v>90305777704</v>
      </c>
      <c r="U7" s="11" t="s">
        <v>256</v>
      </c>
      <c r="V7" s="15" t="s">
        <v>257</v>
      </c>
      <c r="W7" s="15" t="str">
        <f t="shared" si="1"/>
        <v>Eric Sisco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2" x14ac:dyDescent="0.2">
      <c r="A8" s="11" t="s">
        <v>180</v>
      </c>
      <c r="B8" s="12">
        <v>18828278</v>
      </c>
      <c r="C8" s="11" t="s">
        <v>192</v>
      </c>
      <c r="D8" s="16">
        <v>9030582430</v>
      </c>
      <c r="E8" s="13">
        <v>45962</v>
      </c>
      <c r="F8" s="11" t="s">
        <v>49</v>
      </c>
      <c r="G8" s="11" t="s">
        <v>50</v>
      </c>
      <c r="H8" s="11" t="s">
        <v>175</v>
      </c>
      <c r="I8" s="11" t="s">
        <v>46</v>
      </c>
      <c r="J8" s="14">
        <v>10</v>
      </c>
      <c r="K8" s="14">
        <v>26.88</v>
      </c>
      <c r="L8" s="14">
        <v>2.69</v>
      </c>
      <c r="M8" s="11" t="s">
        <v>176</v>
      </c>
      <c r="N8" s="13">
        <v>45809</v>
      </c>
      <c r="O8" s="14" t="s">
        <v>243</v>
      </c>
      <c r="P8" s="15"/>
      <c r="Q8" s="15"/>
      <c r="R8" s="15"/>
      <c r="S8" s="16">
        <v>9030582430</v>
      </c>
      <c r="T8" s="15" t="str">
        <f t="shared" si="0"/>
        <v>90305824304</v>
      </c>
      <c r="U8" s="11" t="s">
        <v>258</v>
      </c>
      <c r="V8" s="15" t="s">
        <v>259</v>
      </c>
      <c r="W8" s="15" t="str">
        <f t="shared" si="1"/>
        <v>Laurie Round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x14ac:dyDescent="0.2">
      <c r="A9" s="11" t="s">
        <v>180</v>
      </c>
      <c r="B9" s="12">
        <v>18828278</v>
      </c>
      <c r="C9" s="11" t="s">
        <v>194</v>
      </c>
      <c r="D9" s="16">
        <v>9030645140</v>
      </c>
      <c r="E9" s="13">
        <v>45962</v>
      </c>
      <c r="F9" s="11" t="s">
        <v>49</v>
      </c>
      <c r="G9" s="11" t="s">
        <v>50</v>
      </c>
      <c r="H9" s="11" t="s">
        <v>175</v>
      </c>
      <c r="I9" s="11" t="s">
        <v>46</v>
      </c>
      <c r="J9" s="14">
        <v>10</v>
      </c>
      <c r="K9" s="14">
        <v>26.88</v>
      </c>
      <c r="L9" s="14">
        <v>2.69</v>
      </c>
      <c r="M9" s="11" t="s">
        <v>176</v>
      </c>
      <c r="N9" s="13">
        <v>45816</v>
      </c>
      <c r="O9" s="14" t="s">
        <v>243</v>
      </c>
      <c r="P9" s="15"/>
      <c r="Q9" s="15"/>
      <c r="R9" s="15"/>
      <c r="S9" s="16">
        <v>9030645140</v>
      </c>
      <c r="T9" s="15" t="str">
        <f t="shared" si="0"/>
        <v>90306451404</v>
      </c>
      <c r="U9" s="11" t="s">
        <v>260</v>
      </c>
      <c r="V9" s="15" t="s">
        <v>261</v>
      </c>
      <c r="W9" s="15" t="str">
        <f t="shared" si="1"/>
        <v>Ron Ferris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x14ac:dyDescent="0.2">
      <c r="A10" s="11" t="s">
        <v>180</v>
      </c>
      <c r="B10" s="12">
        <v>18828278</v>
      </c>
      <c r="C10" s="11" t="s">
        <v>196</v>
      </c>
      <c r="D10" s="16">
        <v>9030645550</v>
      </c>
      <c r="E10" s="13">
        <v>45962</v>
      </c>
      <c r="F10" s="11" t="s">
        <v>49</v>
      </c>
      <c r="G10" s="11" t="s">
        <v>50</v>
      </c>
      <c r="H10" s="11" t="s">
        <v>175</v>
      </c>
      <c r="I10" s="11" t="s">
        <v>46</v>
      </c>
      <c r="J10" s="14">
        <v>10</v>
      </c>
      <c r="K10" s="14">
        <v>26.88</v>
      </c>
      <c r="L10" s="14">
        <v>2.69</v>
      </c>
      <c r="M10" s="11" t="s">
        <v>176</v>
      </c>
      <c r="N10" s="13">
        <v>45839</v>
      </c>
      <c r="O10" s="14" t="s">
        <v>243</v>
      </c>
      <c r="P10" s="15"/>
      <c r="Q10" s="15"/>
      <c r="R10" s="15"/>
      <c r="S10" s="16">
        <v>9030645550</v>
      </c>
      <c r="T10" s="15" t="str">
        <f t="shared" si="0"/>
        <v>90306455504</v>
      </c>
      <c r="U10" s="11" t="s">
        <v>262</v>
      </c>
      <c r="V10" s="15" t="s">
        <v>257</v>
      </c>
      <c r="W10" s="15" t="str">
        <f t="shared" si="1"/>
        <v>Eric Johnson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x14ac:dyDescent="0.2">
      <c r="A11" s="11" t="s">
        <v>180</v>
      </c>
      <c r="B11" s="12">
        <v>18828278</v>
      </c>
      <c r="C11" s="11" t="s">
        <v>198</v>
      </c>
      <c r="D11" s="16">
        <v>9030645560</v>
      </c>
      <c r="E11" s="13">
        <v>45962</v>
      </c>
      <c r="F11" s="11" t="s">
        <v>49</v>
      </c>
      <c r="G11" s="11" t="s">
        <v>50</v>
      </c>
      <c r="H11" s="11" t="s">
        <v>175</v>
      </c>
      <c r="I11" s="11" t="s">
        <v>46</v>
      </c>
      <c r="J11" s="14">
        <v>10</v>
      </c>
      <c r="K11" s="14">
        <v>13.93</v>
      </c>
      <c r="L11" s="14">
        <v>1.39</v>
      </c>
      <c r="M11" s="11" t="s">
        <v>176</v>
      </c>
      <c r="N11" s="13">
        <v>45816</v>
      </c>
      <c r="O11" s="14" t="s">
        <v>243</v>
      </c>
      <c r="P11" s="15"/>
      <c r="Q11" s="15"/>
      <c r="R11" s="15"/>
      <c r="S11" s="16">
        <v>9030645560</v>
      </c>
      <c r="T11" s="15" t="str">
        <f t="shared" si="0"/>
        <v>90306455604</v>
      </c>
      <c r="U11" s="11" t="s">
        <v>263</v>
      </c>
      <c r="V11" s="15" t="s">
        <v>264</v>
      </c>
      <c r="W11" s="15" t="str">
        <f t="shared" si="1"/>
        <v>Victoria Shirkey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">
      <c r="A12" s="11" t="s">
        <v>180</v>
      </c>
      <c r="B12" s="12">
        <v>18828278</v>
      </c>
      <c r="C12" s="11" t="s">
        <v>200</v>
      </c>
      <c r="D12" s="16">
        <v>9030651770</v>
      </c>
      <c r="E12" s="13">
        <v>45962</v>
      </c>
      <c r="F12" s="11" t="s">
        <v>49</v>
      </c>
      <c r="G12" s="11" t="s">
        <v>50</v>
      </c>
      <c r="H12" s="11" t="s">
        <v>175</v>
      </c>
      <c r="I12" s="11" t="s">
        <v>46</v>
      </c>
      <c r="J12" s="14">
        <v>10</v>
      </c>
      <c r="K12" s="14">
        <v>13.93</v>
      </c>
      <c r="L12" s="14">
        <v>1.39</v>
      </c>
      <c r="M12" s="11" t="s">
        <v>176</v>
      </c>
      <c r="N12" s="13">
        <v>45817</v>
      </c>
      <c r="O12" s="14" t="s">
        <v>243</v>
      </c>
      <c r="P12" s="15"/>
      <c r="Q12" s="15"/>
      <c r="R12" s="15"/>
      <c r="S12" s="16">
        <v>9030651770</v>
      </c>
      <c r="T12" s="15" t="str">
        <f t="shared" si="0"/>
        <v>90306517704</v>
      </c>
      <c r="U12" s="11" t="s">
        <v>265</v>
      </c>
      <c r="V12" s="15" t="s">
        <v>266</v>
      </c>
      <c r="W12" s="15" t="str">
        <f t="shared" si="1"/>
        <v>Thomas Thompson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2">
      <c r="A13" s="11" t="s">
        <v>180</v>
      </c>
      <c r="B13" s="12">
        <v>18828278</v>
      </c>
      <c r="C13" s="11" t="s">
        <v>202</v>
      </c>
      <c r="D13" s="16">
        <v>9030652040</v>
      </c>
      <c r="E13" s="13">
        <v>45962</v>
      </c>
      <c r="F13" s="11" t="s">
        <v>49</v>
      </c>
      <c r="G13" s="11" t="s">
        <v>50</v>
      </c>
      <c r="H13" s="11" t="s">
        <v>175</v>
      </c>
      <c r="I13" s="11" t="s">
        <v>46</v>
      </c>
      <c r="J13" s="14">
        <v>10</v>
      </c>
      <c r="K13" s="14">
        <v>26.88</v>
      </c>
      <c r="L13" s="14">
        <v>2.69</v>
      </c>
      <c r="M13" s="11" t="s">
        <v>176</v>
      </c>
      <c r="N13" s="13">
        <v>45817</v>
      </c>
      <c r="O13" s="14" t="s">
        <v>243</v>
      </c>
      <c r="P13" s="15"/>
      <c r="Q13" s="15"/>
      <c r="R13" s="15"/>
      <c r="S13" s="16">
        <v>9030652040</v>
      </c>
      <c r="T13" s="15" t="str">
        <f t="shared" si="0"/>
        <v>90306520404</v>
      </c>
      <c r="U13" s="11" t="s">
        <v>267</v>
      </c>
      <c r="V13" s="15" t="s">
        <v>268</v>
      </c>
      <c r="W13" s="15" t="str">
        <f t="shared" si="1"/>
        <v>Nancy Dauer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x14ac:dyDescent="0.2">
      <c r="A14" s="11" t="s">
        <v>180</v>
      </c>
      <c r="B14" s="12">
        <v>18828278</v>
      </c>
      <c r="C14" s="11" t="s">
        <v>204</v>
      </c>
      <c r="D14" s="16">
        <v>9030652540</v>
      </c>
      <c r="E14" s="13">
        <v>45962</v>
      </c>
      <c r="F14" s="11" t="s">
        <v>49</v>
      </c>
      <c r="G14" s="11" t="s">
        <v>50</v>
      </c>
      <c r="H14" s="11" t="s">
        <v>175</v>
      </c>
      <c r="I14" s="11" t="s">
        <v>46</v>
      </c>
      <c r="J14" s="14">
        <v>10</v>
      </c>
      <c r="K14" s="14">
        <v>13.93</v>
      </c>
      <c r="L14" s="14">
        <v>1.39</v>
      </c>
      <c r="M14" s="11" t="s">
        <v>176</v>
      </c>
      <c r="N14" s="13">
        <v>45870</v>
      </c>
      <c r="O14" s="14" t="s">
        <v>243</v>
      </c>
      <c r="P14" s="15"/>
      <c r="Q14" s="15"/>
      <c r="R14" s="15"/>
      <c r="S14" s="16">
        <v>9030652540</v>
      </c>
      <c r="T14" s="15" t="str">
        <f t="shared" si="0"/>
        <v>90306525404</v>
      </c>
      <c r="U14" s="11" t="s">
        <v>269</v>
      </c>
      <c r="V14" s="15" t="s">
        <v>270</v>
      </c>
      <c r="W14" s="15" t="str">
        <f t="shared" si="1"/>
        <v>John Sciutto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x14ac:dyDescent="0.2">
      <c r="A15" s="11" t="s">
        <v>180</v>
      </c>
      <c r="B15" s="12">
        <v>18828278</v>
      </c>
      <c r="C15" s="11" t="s">
        <v>206</v>
      </c>
      <c r="D15" s="16">
        <v>9030675550</v>
      </c>
      <c r="E15" s="13">
        <v>45962</v>
      </c>
      <c r="F15" s="11" t="s">
        <v>49</v>
      </c>
      <c r="G15" s="11" t="s">
        <v>50</v>
      </c>
      <c r="H15" s="11" t="s">
        <v>175</v>
      </c>
      <c r="I15" s="11" t="s">
        <v>46</v>
      </c>
      <c r="J15" s="14">
        <v>10</v>
      </c>
      <c r="K15" s="14">
        <v>13.93</v>
      </c>
      <c r="L15" s="14">
        <v>1.39</v>
      </c>
      <c r="M15" s="11" t="s">
        <v>176</v>
      </c>
      <c r="N15" s="13">
        <v>45839</v>
      </c>
      <c r="O15" s="14" t="s">
        <v>243</v>
      </c>
      <c r="P15" s="15"/>
      <c r="Q15" s="15"/>
      <c r="R15" s="15"/>
      <c r="S15" s="16">
        <v>9030675550</v>
      </c>
      <c r="T15" s="15" t="str">
        <f t="shared" si="0"/>
        <v>90306755504</v>
      </c>
      <c r="U15" s="11" t="s">
        <v>271</v>
      </c>
      <c r="V15" s="15" t="s">
        <v>272</v>
      </c>
      <c r="W15" s="15" t="str">
        <f t="shared" si="1"/>
        <v>Cheryl Simmons-Hutson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x14ac:dyDescent="0.2">
      <c r="A16" s="11" t="s">
        <v>180</v>
      </c>
      <c r="B16" s="12">
        <v>18828278</v>
      </c>
      <c r="C16" s="11" t="s">
        <v>208</v>
      </c>
      <c r="D16" s="16">
        <v>9030683010</v>
      </c>
      <c r="E16" s="13">
        <v>45962</v>
      </c>
      <c r="F16" s="11" t="s">
        <v>49</v>
      </c>
      <c r="G16" s="11" t="s">
        <v>50</v>
      </c>
      <c r="H16" s="11" t="s">
        <v>175</v>
      </c>
      <c r="I16" s="11" t="s">
        <v>46</v>
      </c>
      <c r="J16" s="14">
        <v>10</v>
      </c>
      <c r="K16" s="14">
        <v>26.88</v>
      </c>
      <c r="L16" s="14">
        <v>2.69</v>
      </c>
      <c r="M16" s="11" t="s">
        <v>176</v>
      </c>
      <c r="N16" s="13">
        <v>45839</v>
      </c>
      <c r="O16" s="14" t="s">
        <v>243</v>
      </c>
      <c r="P16" s="15"/>
      <c r="Q16" s="15"/>
      <c r="R16" s="15"/>
      <c r="S16" s="16">
        <v>9030683010</v>
      </c>
      <c r="T16" s="15" t="str">
        <f t="shared" si="0"/>
        <v>90306830104</v>
      </c>
      <c r="U16" s="11" t="s">
        <v>273</v>
      </c>
      <c r="V16" s="15" t="s">
        <v>274</v>
      </c>
      <c r="W16" s="15" t="str">
        <f t="shared" si="1"/>
        <v>Edward Bond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x14ac:dyDescent="0.2">
      <c r="A17" s="11" t="s">
        <v>180</v>
      </c>
      <c r="B17" s="12">
        <v>18828278</v>
      </c>
      <c r="C17" s="11" t="s">
        <v>210</v>
      </c>
      <c r="D17" s="16">
        <v>9030703310</v>
      </c>
      <c r="E17" s="13">
        <v>45962</v>
      </c>
      <c r="F17" s="11" t="s">
        <v>49</v>
      </c>
      <c r="G17" s="11" t="s">
        <v>50</v>
      </c>
      <c r="H17" s="11" t="s">
        <v>175</v>
      </c>
      <c r="I17" s="11" t="s">
        <v>46</v>
      </c>
      <c r="J17" s="14">
        <v>10</v>
      </c>
      <c r="K17" s="14">
        <v>46.8</v>
      </c>
      <c r="L17" s="14">
        <v>4.68</v>
      </c>
      <c r="M17" s="11" t="s">
        <v>176</v>
      </c>
      <c r="N17" s="13">
        <v>45839</v>
      </c>
      <c r="O17" s="14" t="s">
        <v>243</v>
      </c>
      <c r="P17" s="15"/>
      <c r="Q17" s="15"/>
      <c r="R17" s="15"/>
      <c r="S17" s="16">
        <v>9030703310</v>
      </c>
      <c r="T17" s="15" t="str">
        <f t="shared" si="0"/>
        <v>90307033104</v>
      </c>
      <c r="U17" s="11" t="s">
        <v>275</v>
      </c>
      <c r="V17" s="15" t="s">
        <v>276</v>
      </c>
      <c r="W17" s="15" t="str">
        <f t="shared" si="1"/>
        <v>Shaji Sharad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2">
      <c r="A18" s="11" t="s">
        <v>180</v>
      </c>
      <c r="B18" s="12">
        <v>18828278</v>
      </c>
      <c r="C18" s="11" t="s">
        <v>212</v>
      </c>
      <c r="D18" s="16">
        <v>9030719950</v>
      </c>
      <c r="E18" s="13">
        <v>45962</v>
      </c>
      <c r="F18" s="11" t="s">
        <v>49</v>
      </c>
      <c r="G18" s="11" t="s">
        <v>50</v>
      </c>
      <c r="H18" s="11" t="s">
        <v>175</v>
      </c>
      <c r="I18" s="11" t="s">
        <v>46</v>
      </c>
      <c r="J18" s="14">
        <v>10</v>
      </c>
      <c r="K18" s="14">
        <v>13.93</v>
      </c>
      <c r="L18" s="14">
        <v>1.39</v>
      </c>
      <c r="M18" s="11" t="s">
        <v>176</v>
      </c>
      <c r="N18" s="13">
        <v>45839</v>
      </c>
      <c r="O18" s="14" t="s">
        <v>243</v>
      </c>
      <c r="P18" s="15"/>
      <c r="Q18" s="15"/>
      <c r="R18" s="15"/>
      <c r="S18" s="16">
        <v>9030719950</v>
      </c>
      <c r="T18" s="15" t="str">
        <f t="shared" si="0"/>
        <v>90307199504</v>
      </c>
      <c r="U18" s="11" t="s">
        <v>277</v>
      </c>
      <c r="V18" s="15" t="s">
        <v>278</v>
      </c>
      <c r="W18" s="15" t="str">
        <f t="shared" si="1"/>
        <v>Mary Boma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:42" x14ac:dyDescent="0.2">
      <c r="A19" s="11" t="s">
        <v>180</v>
      </c>
      <c r="B19" s="12">
        <v>18828278</v>
      </c>
      <c r="C19" s="11" t="s">
        <v>214</v>
      </c>
      <c r="D19" s="16">
        <v>9030782820</v>
      </c>
      <c r="E19" s="13">
        <v>45962</v>
      </c>
      <c r="F19" s="11" t="s">
        <v>49</v>
      </c>
      <c r="G19" s="11" t="s">
        <v>50</v>
      </c>
      <c r="H19" s="11" t="s">
        <v>175</v>
      </c>
      <c r="I19" s="11" t="s">
        <v>46</v>
      </c>
      <c r="J19" s="14">
        <v>10</v>
      </c>
      <c r="K19" s="14">
        <v>14.93</v>
      </c>
      <c r="L19" s="14">
        <v>1.49</v>
      </c>
      <c r="M19" s="11" t="s">
        <v>176</v>
      </c>
      <c r="N19" s="13">
        <v>45870</v>
      </c>
      <c r="O19" s="14" t="s">
        <v>243</v>
      </c>
      <c r="P19" s="15"/>
      <c r="Q19" s="15"/>
      <c r="R19" s="15"/>
      <c r="S19" s="16">
        <v>9030782820</v>
      </c>
      <c r="T19" s="15" t="str">
        <f t="shared" si="0"/>
        <v>90307828204</v>
      </c>
      <c r="U19" s="11" t="s">
        <v>279</v>
      </c>
      <c r="V19" s="15" t="s">
        <v>280</v>
      </c>
      <c r="W19" s="15" t="str">
        <f t="shared" si="1"/>
        <v>Kenneth Kasprzak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x14ac:dyDescent="0.2">
      <c r="A20" s="11" t="s">
        <v>180</v>
      </c>
      <c r="B20" s="12">
        <v>18828278</v>
      </c>
      <c r="C20" s="11" t="s">
        <v>216</v>
      </c>
      <c r="D20" s="16">
        <v>9030840840</v>
      </c>
      <c r="E20" s="13">
        <v>45962</v>
      </c>
      <c r="F20" s="11" t="s">
        <v>49</v>
      </c>
      <c r="G20" s="11" t="s">
        <v>50</v>
      </c>
      <c r="H20" s="11" t="s">
        <v>175</v>
      </c>
      <c r="I20" s="11" t="s">
        <v>46</v>
      </c>
      <c r="J20" s="14">
        <v>10</v>
      </c>
      <c r="K20" s="14">
        <v>14.93</v>
      </c>
      <c r="L20" s="14">
        <v>1.49</v>
      </c>
      <c r="M20" s="11" t="s">
        <v>176</v>
      </c>
      <c r="N20" s="13">
        <v>45870</v>
      </c>
      <c r="O20" s="14" t="s">
        <v>243</v>
      </c>
      <c r="P20" s="15"/>
      <c r="Q20" s="15"/>
      <c r="R20" s="15"/>
      <c r="S20" s="16">
        <v>9030840840</v>
      </c>
      <c r="T20" s="15" t="str">
        <f t="shared" si="0"/>
        <v>90308408404</v>
      </c>
      <c r="U20" s="11" t="s">
        <v>281</v>
      </c>
      <c r="V20" s="15" t="s">
        <v>282</v>
      </c>
      <c r="W20" s="15" t="str">
        <f t="shared" si="1"/>
        <v>Jacqueline Galloway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1:42" x14ac:dyDescent="0.2">
      <c r="A21" s="11" t="s">
        <v>180</v>
      </c>
      <c r="B21" s="12">
        <v>18828278</v>
      </c>
      <c r="C21" s="11" t="s">
        <v>218</v>
      </c>
      <c r="D21" s="16">
        <v>9030895100</v>
      </c>
      <c r="E21" s="13">
        <v>45962</v>
      </c>
      <c r="F21" s="11" t="s">
        <v>49</v>
      </c>
      <c r="G21" s="11" t="s">
        <v>50</v>
      </c>
      <c r="H21" s="11" t="s">
        <v>175</v>
      </c>
      <c r="I21" s="11" t="s">
        <v>46</v>
      </c>
      <c r="J21" s="14">
        <v>10</v>
      </c>
      <c r="K21" s="14">
        <v>14.93</v>
      </c>
      <c r="L21" s="14">
        <v>1.49</v>
      </c>
      <c r="M21" s="11" t="s">
        <v>176</v>
      </c>
      <c r="N21" s="13">
        <v>45870</v>
      </c>
      <c r="O21" s="14" t="s">
        <v>243</v>
      </c>
      <c r="P21" s="15"/>
      <c r="Q21" s="15"/>
      <c r="R21" s="15"/>
      <c r="S21" s="16">
        <v>9030895100</v>
      </c>
      <c r="T21" s="15" t="str">
        <f t="shared" si="0"/>
        <v>90308951004</v>
      </c>
      <c r="U21" s="11" t="s">
        <v>283</v>
      </c>
      <c r="V21" s="15" t="s">
        <v>266</v>
      </c>
      <c r="W21" s="15" t="str">
        <f t="shared" si="1"/>
        <v>Thomas Stokes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:42" x14ac:dyDescent="0.2">
      <c r="A22" s="11" t="s">
        <v>180</v>
      </c>
      <c r="B22" s="12">
        <v>18828278</v>
      </c>
      <c r="C22" s="11" t="s">
        <v>220</v>
      </c>
      <c r="D22" s="16">
        <v>9030924610</v>
      </c>
      <c r="E22" s="13">
        <v>45962</v>
      </c>
      <c r="F22" s="11" t="s">
        <v>49</v>
      </c>
      <c r="G22" s="11" t="s">
        <v>50</v>
      </c>
      <c r="H22" s="11" t="s">
        <v>175</v>
      </c>
      <c r="I22" s="11" t="s">
        <v>46</v>
      </c>
      <c r="J22" s="14">
        <v>10</v>
      </c>
      <c r="K22" s="14">
        <v>14.93</v>
      </c>
      <c r="L22" s="14">
        <v>1.49</v>
      </c>
      <c r="M22" s="11" t="s">
        <v>176</v>
      </c>
      <c r="N22" s="13">
        <v>45871</v>
      </c>
      <c r="O22" s="14" t="s">
        <v>243</v>
      </c>
      <c r="P22" s="15"/>
      <c r="Q22" s="15"/>
      <c r="R22" s="15"/>
      <c r="S22" s="16">
        <v>9030924610</v>
      </c>
      <c r="T22" s="15" t="str">
        <f t="shared" si="0"/>
        <v>90309246104</v>
      </c>
      <c r="U22" s="11" t="s">
        <v>284</v>
      </c>
      <c r="V22" s="15" t="s">
        <v>285</v>
      </c>
      <c r="W22" s="15" t="str">
        <f t="shared" si="1"/>
        <v>Robin Fewell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:42" x14ac:dyDescent="0.2">
      <c r="A23" s="11" t="s">
        <v>180</v>
      </c>
      <c r="B23" s="12">
        <v>18828278</v>
      </c>
      <c r="C23" s="11" t="s">
        <v>222</v>
      </c>
      <c r="D23" s="16">
        <v>9030982390</v>
      </c>
      <c r="E23" s="13">
        <v>45962</v>
      </c>
      <c r="F23" s="11" t="s">
        <v>49</v>
      </c>
      <c r="G23" s="11" t="s">
        <v>50</v>
      </c>
      <c r="H23" s="11" t="s">
        <v>175</v>
      </c>
      <c r="I23" s="11" t="s">
        <v>46</v>
      </c>
      <c r="J23" s="14">
        <v>10</v>
      </c>
      <c r="K23" s="14">
        <v>364.9</v>
      </c>
      <c r="L23" s="14">
        <v>36.49</v>
      </c>
      <c r="M23" s="11" t="s">
        <v>176</v>
      </c>
      <c r="N23" s="13">
        <v>45962</v>
      </c>
      <c r="O23" s="14" t="s">
        <v>243</v>
      </c>
      <c r="P23" s="15"/>
      <c r="Q23" s="15"/>
      <c r="R23" s="15"/>
      <c r="S23" s="16">
        <v>9030982390</v>
      </c>
      <c r="T23" s="15" t="str">
        <f t="shared" si="0"/>
        <v>90309823904</v>
      </c>
      <c r="U23" s="11" t="s">
        <v>286</v>
      </c>
      <c r="V23" s="15" t="s">
        <v>287</v>
      </c>
      <c r="W23" s="15" t="str">
        <f t="shared" si="1"/>
        <v>Patrick Rolfs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1:42" x14ac:dyDescent="0.2">
      <c r="A24" s="11" t="s">
        <v>180</v>
      </c>
      <c r="B24" s="12">
        <v>18828278</v>
      </c>
      <c r="C24" s="11" t="s">
        <v>224</v>
      </c>
      <c r="D24" s="16">
        <v>9031044060</v>
      </c>
      <c r="E24" s="13">
        <v>45962</v>
      </c>
      <c r="F24" s="11" t="s">
        <v>49</v>
      </c>
      <c r="G24" s="11" t="s">
        <v>50</v>
      </c>
      <c r="H24" s="11" t="s">
        <v>175</v>
      </c>
      <c r="I24" s="11" t="s">
        <v>46</v>
      </c>
      <c r="J24" s="14">
        <v>10</v>
      </c>
      <c r="K24" s="14">
        <v>14.93</v>
      </c>
      <c r="L24" s="14">
        <v>1.49</v>
      </c>
      <c r="M24" s="11" t="s">
        <v>176</v>
      </c>
      <c r="N24" s="13">
        <v>45901</v>
      </c>
      <c r="O24" s="14" t="s">
        <v>243</v>
      </c>
      <c r="P24" s="15"/>
      <c r="Q24" s="15"/>
      <c r="R24" s="15"/>
      <c r="S24" s="16">
        <v>9031044060</v>
      </c>
      <c r="T24" s="15" t="str">
        <f t="shared" si="0"/>
        <v>90310440604</v>
      </c>
      <c r="U24" s="11" t="s">
        <v>288</v>
      </c>
      <c r="V24" s="15" t="s">
        <v>289</v>
      </c>
      <c r="W24" s="15" t="str">
        <f t="shared" si="1"/>
        <v>Jackie Alfrey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1:42" x14ac:dyDescent="0.2">
      <c r="A25" s="11" t="s">
        <v>180</v>
      </c>
      <c r="B25" s="12">
        <v>18828278</v>
      </c>
      <c r="C25" s="11" t="s">
        <v>226</v>
      </c>
      <c r="D25" s="16">
        <v>9031050480</v>
      </c>
      <c r="E25" s="13">
        <v>45962</v>
      </c>
      <c r="F25" s="11" t="s">
        <v>49</v>
      </c>
      <c r="G25" s="11" t="s">
        <v>50</v>
      </c>
      <c r="H25" s="11" t="s">
        <v>175</v>
      </c>
      <c r="I25" s="11" t="s">
        <v>46</v>
      </c>
      <c r="J25" s="14">
        <v>10</v>
      </c>
      <c r="K25" s="14">
        <v>14.93</v>
      </c>
      <c r="L25" s="14">
        <v>1.49</v>
      </c>
      <c r="M25" s="11" t="s">
        <v>176</v>
      </c>
      <c r="N25" s="13">
        <v>45908</v>
      </c>
      <c r="O25" s="14" t="s">
        <v>243</v>
      </c>
      <c r="P25" s="15"/>
      <c r="Q25" s="15"/>
      <c r="R25" s="15"/>
      <c r="S25" s="16">
        <v>9031050480</v>
      </c>
      <c r="T25" s="15" t="str">
        <f t="shared" si="0"/>
        <v>90310504804</v>
      </c>
      <c r="U25" s="11" t="s">
        <v>290</v>
      </c>
      <c r="V25" s="15" t="s">
        <v>291</v>
      </c>
      <c r="W25" s="15" t="str">
        <f t="shared" si="1"/>
        <v>Nichole Sleeper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42" s="10" customFormat="1" x14ac:dyDescent="0.2">
      <c r="A26" s="11" t="s">
        <v>180</v>
      </c>
      <c r="B26" s="12">
        <v>18828278</v>
      </c>
      <c r="C26" s="11" t="s">
        <v>228</v>
      </c>
      <c r="D26" s="16">
        <v>9031076870</v>
      </c>
      <c r="E26" s="13">
        <v>45962</v>
      </c>
      <c r="F26" s="11" t="s">
        <v>49</v>
      </c>
      <c r="G26" s="11" t="s">
        <v>50</v>
      </c>
      <c r="H26" s="11" t="s">
        <v>175</v>
      </c>
      <c r="I26" s="11" t="s">
        <v>46</v>
      </c>
      <c r="J26" s="14">
        <v>10</v>
      </c>
      <c r="K26" s="14">
        <v>26.88</v>
      </c>
      <c r="L26" s="14">
        <v>2.69</v>
      </c>
      <c r="M26" s="11" t="s">
        <v>176</v>
      </c>
      <c r="N26" s="13">
        <v>45901</v>
      </c>
      <c r="O26" s="14" t="s">
        <v>243</v>
      </c>
      <c r="P26" s="15"/>
      <c r="Q26" s="15"/>
      <c r="R26" s="15"/>
      <c r="S26" s="16">
        <v>9031076870</v>
      </c>
      <c r="T26" s="15" t="str">
        <f t="shared" si="0"/>
        <v>90310768704</v>
      </c>
      <c r="U26" s="11" t="s">
        <v>292</v>
      </c>
      <c r="V26" s="15" t="s">
        <v>293</v>
      </c>
      <c r="W26" s="15" t="str">
        <f t="shared" si="1"/>
        <v>James Trost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1:42" s="10" customFormat="1" x14ac:dyDescent="0.2">
      <c r="A27" s="11" t="s">
        <v>180</v>
      </c>
      <c r="B27" s="12">
        <v>18828278</v>
      </c>
      <c r="C27" s="11" t="s">
        <v>230</v>
      </c>
      <c r="D27" s="16">
        <v>9031198320</v>
      </c>
      <c r="E27" s="13">
        <v>45962</v>
      </c>
      <c r="F27" s="11" t="s">
        <v>49</v>
      </c>
      <c r="G27" s="11" t="s">
        <v>50</v>
      </c>
      <c r="H27" s="11" t="s">
        <v>175</v>
      </c>
      <c r="I27" s="11" t="s">
        <v>46</v>
      </c>
      <c r="J27" s="14">
        <v>10</v>
      </c>
      <c r="K27" s="14">
        <v>14.93</v>
      </c>
      <c r="L27" s="14">
        <v>1.49</v>
      </c>
      <c r="M27" s="11" t="s">
        <v>176</v>
      </c>
      <c r="N27" s="13">
        <v>45931</v>
      </c>
      <c r="O27" s="14" t="s">
        <v>243</v>
      </c>
      <c r="P27" s="15"/>
      <c r="Q27" s="15"/>
      <c r="R27" s="15"/>
      <c r="S27" s="16">
        <v>9031198320</v>
      </c>
      <c r="T27" s="15" t="str">
        <f t="shared" si="0"/>
        <v>90311983204</v>
      </c>
      <c r="U27" s="11" t="s">
        <v>294</v>
      </c>
      <c r="V27" s="15" t="s">
        <v>295</v>
      </c>
      <c r="W27" s="15" t="str">
        <f t="shared" si="1"/>
        <v>Patsy Hill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s="10" customFormat="1" x14ac:dyDescent="0.2">
      <c r="A28" s="11" t="s">
        <v>180</v>
      </c>
      <c r="B28" s="12">
        <v>18828278</v>
      </c>
      <c r="C28" s="11" t="s">
        <v>234</v>
      </c>
      <c r="D28" s="16">
        <v>9031323610</v>
      </c>
      <c r="E28" s="13">
        <v>45992</v>
      </c>
      <c r="F28" s="11" t="s">
        <v>69</v>
      </c>
      <c r="G28" s="11" t="s">
        <v>50</v>
      </c>
      <c r="H28" s="11" t="s">
        <v>175</v>
      </c>
      <c r="I28" s="11" t="s">
        <v>46</v>
      </c>
      <c r="J28" s="14">
        <v>10</v>
      </c>
      <c r="K28" s="14">
        <v>376.9</v>
      </c>
      <c r="L28" s="14">
        <v>37.69</v>
      </c>
      <c r="M28" s="11" t="s">
        <v>176</v>
      </c>
      <c r="N28" s="13">
        <v>45992</v>
      </c>
      <c r="O28" s="14" t="s">
        <v>243</v>
      </c>
      <c r="P28" s="15"/>
      <c r="Q28" s="15"/>
      <c r="R28" s="15"/>
      <c r="S28" s="16">
        <v>9031323610</v>
      </c>
      <c r="T28" s="15" t="str">
        <f t="shared" si="0"/>
        <v>90313236104</v>
      </c>
      <c r="U28" s="11" t="s">
        <v>296</v>
      </c>
      <c r="V28" s="15" t="s">
        <v>253</v>
      </c>
      <c r="W28" s="15" t="str">
        <f t="shared" si="1"/>
        <v>David Proeber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1:42" s="10" customFormat="1" x14ac:dyDescent="0.2">
      <c r="A29" s="11" t="s">
        <v>88</v>
      </c>
      <c r="B29" s="12">
        <v>7146581</v>
      </c>
      <c r="C29" s="11" t="s">
        <v>164</v>
      </c>
      <c r="D29" s="16">
        <v>9025228750</v>
      </c>
      <c r="E29" s="13">
        <v>45962</v>
      </c>
      <c r="F29" s="11" t="s">
        <v>49</v>
      </c>
      <c r="G29" s="11" t="s">
        <v>168</v>
      </c>
      <c r="H29" s="11" t="s">
        <v>169</v>
      </c>
      <c r="I29" s="11" t="s">
        <v>46</v>
      </c>
      <c r="J29" s="14">
        <v>10</v>
      </c>
      <c r="K29" s="14">
        <v>52.78</v>
      </c>
      <c r="L29" s="14">
        <v>5.28</v>
      </c>
      <c r="M29" s="11" t="s">
        <v>170</v>
      </c>
      <c r="N29" s="13">
        <v>44586</v>
      </c>
      <c r="O29" s="14" t="s">
        <v>243</v>
      </c>
      <c r="P29" s="15"/>
      <c r="Q29" s="15"/>
      <c r="R29" s="15"/>
      <c r="S29" s="16">
        <v>9025228750</v>
      </c>
      <c r="T29" s="15" t="str">
        <f t="shared" si="0"/>
        <v>90252287504</v>
      </c>
      <c r="U29" s="11" t="s">
        <v>297</v>
      </c>
      <c r="V29" s="15" t="s">
        <v>298</v>
      </c>
      <c r="W29" s="15" t="str">
        <f t="shared" si="1"/>
        <v>Barbara Hanahan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1:42" s="15" customFormat="1" x14ac:dyDescent="0.2">
      <c r="A30" s="11" t="s">
        <v>236</v>
      </c>
      <c r="B30" s="12">
        <v>19278370</v>
      </c>
      <c r="C30" s="11" t="s">
        <v>237</v>
      </c>
      <c r="D30" s="16">
        <v>9030115330</v>
      </c>
      <c r="E30" s="13">
        <v>45962</v>
      </c>
      <c r="F30" s="11" t="s">
        <v>49</v>
      </c>
      <c r="G30" s="11" t="s">
        <v>50</v>
      </c>
      <c r="H30" s="11" t="s">
        <v>175</v>
      </c>
      <c r="I30" s="11" t="s">
        <v>46</v>
      </c>
      <c r="J30" s="14">
        <v>10</v>
      </c>
      <c r="K30" s="14">
        <v>23.99</v>
      </c>
      <c r="L30" s="14">
        <v>2.4</v>
      </c>
      <c r="M30" s="11" t="s">
        <v>176</v>
      </c>
      <c r="N30" s="13">
        <v>45713</v>
      </c>
      <c r="O30" s="14" t="s">
        <v>243</v>
      </c>
      <c r="S30" s="16">
        <v>9030115330</v>
      </c>
      <c r="T30" s="15" t="str">
        <f t="shared" si="0"/>
        <v>90301153304</v>
      </c>
      <c r="U30" s="11" t="s">
        <v>299</v>
      </c>
      <c r="V30" s="15" t="s">
        <v>300</v>
      </c>
      <c r="W30" s="15" t="str">
        <f t="shared" si="1"/>
        <v>Jon Rudden</v>
      </c>
    </row>
    <row r="31" spans="1:42" s="15" customFormat="1" x14ac:dyDescent="0.2">
      <c r="A31" s="11" t="s">
        <v>172</v>
      </c>
      <c r="B31" s="12">
        <v>18710070</v>
      </c>
      <c r="C31" s="11" t="s">
        <v>173</v>
      </c>
      <c r="D31" s="16">
        <v>9030925080</v>
      </c>
      <c r="E31" s="13">
        <v>45962</v>
      </c>
      <c r="F31" s="11" t="s">
        <v>49</v>
      </c>
      <c r="G31" s="11" t="s">
        <v>50</v>
      </c>
      <c r="H31" s="11" t="s">
        <v>175</v>
      </c>
      <c r="I31" s="11" t="s">
        <v>46</v>
      </c>
      <c r="J31" s="14">
        <v>10</v>
      </c>
      <c r="K31" s="14">
        <v>23.99</v>
      </c>
      <c r="L31" s="14">
        <v>2.4</v>
      </c>
      <c r="M31" s="11" t="s">
        <v>176</v>
      </c>
      <c r="N31" s="13">
        <v>45871</v>
      </c>
      <c r="O31" s="14" t="s">
        <v>243</v>
      </c>
      <c r="S31" s="16">
        <v>9030925080</v>
      </c>
      <c r="T31" s="15" t="str">
        <f t="shared" si="0"/>
        <v>90309250804</v>
      </c>
      <c r="U31" s="11" t="s">
        <v>301</v>
      </c>
      <c r="V31" s="15" t="s">
        <v>302</v>
      </c>
      <c r="W31" s="15" t="str">
        <f t="shared" si="1"/>
        <v>Ryan Danley</v>
      </c>
    </row>
    <row r="32" spans="1:42" s="15" customFormat="1" x14ac:dyDescent="0.2">
      <c r="A32" s="11" t="s">
        <v>172</v>
      </c>
      <c r="B32" s="12">
        <v>18710070</v>
      </c>
      <c r="C32" s="11" t="s">
        <v>178</v>
      </c>
      <c r="D32" s="16">
        <v>9030969880</v>
      </c>
      <c r="E32" s="13">
        <v>45962</v>
      </c>
      <c r="F32" s="11" t="s">
        <v>49</v>
      </c>
      <c r="G32" s="11" t="s">
        <v>50</v>
      </c>
      <c r="H32" s="11" t="s">
        <v>175</v>
      </c>
      <c r="I32" s="11" t="s">
        <v>46</v>
      </c>
      <c r="J32" s="14">
        <v>10</v>
      </c>
      <c r="K32" s="14">
        <v>12.99</v>
      </c>
      <c r="L32" s="14">
        <v>1.3</v>
      </c>
      <c r="M32" s="11" t="s">
        <v>176</v>
      </c>
      <c r="N32" s="13">
        <v>45879</v>
      </c>
      <c r="O32" s="14" t="s">
        <v>243</v>
      </c>
      <c r="S32" s="16">
        <v>9030969880</v>
      </c>
      <c r="T32" s="15" t="str">
        <f t="shared" si="0"/>
        <v>90309698804</v>
      </c>
      <c r="U32" s="11" t="s">
        <v>303</v>
      </c>
      <c r="V32" s="15" t="s">
        <v>304</v>
      </c>
      <c r="W32" s="15" t="str">
        <f t="shared" si="1"/>
        <v>Hengameh Estakhri</v>
      </c>
    </row>
    <row r="33" spans="1:42" s="15" customFormat="1" x14ac:dyDescent="0.2">
      <c r="A33" s="11" t="s">
        <v>180</v>
      </c>
      <c r="B33" s="12">
        <v>18828278</v>
      </c>
      <c r="C33" s="11" t="s">
        <v>232</v>
      </c>
      <c r="D33" s="16">
        <v>9031221000</v>
      </c>
      <c r="E33" s="13">
        <v>45962</v>
      </c>
      <c r="F33" s="11" t="s">
        <v>49</v>
      </c>
      <c r="G33" s="11" t="s">
        <v>50</v>
      </c>
      <c r="H33" s="11" t="s">
        <v>175</v>
      </c>
      <c r="I33" s="11" t="s">
        <v>46</v>
      </c>
      <c r="J33" s="14">
        <v>15</v>
      </c>
      <c r="K33" s="14">
        <v>248.26</v>
      </c>
      <c r="L33" s="14">
        <v>37.24</v>
      </c>
      <c r="M33" s="11" t="s">
        <v>176</v>
      </c>
      <c r="N33" s="13">
        <v>45962</v>
      </c>
      <c r="O33" s="14" t="s">
        <v>244</v>
      </c>
      <c r="S33" s="16">
        <v>9031221000</v>
      </c>
      <c r="T33" s="15" t="str">
        <f>CONCATENATE(S33,2)</f>
        <v>90312210002</v>
      </c>
      <c r="U33" s="11" t="s">
        <v>305</v>
      </c>
      <c r="V33" s="15" t="s">
        <v>306</v>
      </c>
      <c r="W33" s="15" t="str">
        <f t="shared" si="1"/>
        <v>Sydney Shumaker</v>
      </c>
    </row>
    <row r="34" spans="1:42" s="21" customFormat="1" x14ac:dyDescent="0.2">
      <c r="A34" s="17" t="s">
        <v>70</v>
      </c>
      <c r="B34" s="18">
        <v>7470776</v>
      </c>
      <c r="C34" s="17" t="s">
        <v>71</v>
      </c>
      <c r="D34" s="17" t="s">
        <v>72</v>
      </c>
      <c r="E34" s="19">
        <v>45992</v>
      </c>
      <c r="F34" s="17" t="s">
        <v>69</v>
      </c>
      <c r="G34" s="17" t="s">
        <v>50</v>
      </c>
      <c r="H34" s="17" t="s">
        <v>51</v>
      </c>
      <c r="I34" s="17" t="s">
        <v>52</v>
      </c>
      <c r="J34" s="20">
        <v>0.08</v>
      </c>
      <c r="K34" s="20">
        <v>0</v>
      </c>
      <c r="L34" s="20">
        <v>26.08</v>
      </c>
      <c r="M34" s="17" t="s">
        <v>53</v>
      </c>
      <c r="N34" s="19">
        <v>45992</v>
      </c>
      <c r="O34" s="21" t="s">
        <v>242</v>
      </c>
      <c r="P34" s="21" t="s">
        <v>246</v>
      </c>
      <c r="S34" s="17" t="s">
        <v>72</v>
      </c>
      <c r="T34" s="21" t="str">
        <f>CONCATENATE(S34,6)</f>
        <v>00023998284K6</v>
      </c>
      <c r="U34" s="17" t="s">
        <v>307</v>
      </c>
      <c r="V34" s="21" t="s">
        <v>308</v>
      </c>
      <c r="W34" s="15" t="str">
        <f t="shared" si="1"/>
        <v>AMALIJA NOVAK</v>
      </c>
    </row>
    <row r="35" spans="1:42" s="15" customFormat="1" x14ac:dyDescent="0.2">
      <c r="A35" s="4" t="s">
        <v>70</v>
      </c>
      <c r="B35" s="2">
        <v>7470776</v>
      </c>
      <c r="C35" s="4" t="s">
        <v>74</v>
      </c>
      <c r="D35" s="4" t="s">
        <v>75</v>
      </c>
      <c r="E35" s="3">
        <v>45992</v>
      </c>
      <c r="F35" s="4" t="s">
        <v>69</v>
      </c>
      <c r="G35" s="4" t="s">
        <v>50</v>
      </c>
      <c r="H35" s="4" t="s">
        <v>51</v>
      </c>
      <c r="I35" s="4" t="s">
        <v>52</v>
      </c>
      <c r="J35" s="5">
        <v>0.08</v>
      </c>
      <c r="K35" s="5">
        <v>0</v>
      </c>
      <c r="L35" s="5">
        <v>26.08</v>
      </c>
      <c r="M35" s="4" t="s">
        <v>53</v>
      </c>
      <c r="N35" s="3">
        <v>45992</v>
      </c>
      <c r="O35" t="s">
        <v>242</v>
      </c>
      <c r="P35" t="s">
        <v>246</v>
      </c>
      <c r="Q35"/>
      <c r="R35"/>
      <c r="S35" s="4" t="s">
        <v>75</v>
      </c>
      <c r="T35" s="21" t="str">
        <f t="shared" ref="T35:T57" si="2">CONCATENATE(S35,6)</f>
        <v>00024125722K6</v>
      </c>
      <c r="U35" s="4" t="s">
        <v>309</v>
      </c>
      <c r="V35" t="s">
        <v>310</v>
      </c>
      <c r="W35" s="15" t="str">
        <f t="shared" si="1"/>
        <v>TODD SMITH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</row>
    <row r="36" spans="1:42" s="15" customFormat="1" x14ac:dyDescent="0.2">
      <c r="A36" s="4" t="s">
        <v>77</v>
      </c>
      <c r="B36" s="2">
        <v>8244481</v>
      </c>
      <c r="C36" s="4" t="s">
        <v>78</v>
      </c>
      <c r="D36" s="4" t="s">
        <v>79</v>
      </c>
      <c r="E36" s="3">
        <v>45992</v>
      </c>
      <c r="F36" s="4" t="s">
        <v>69</v>
      </c>
      <c r="G36" s="4" t="s">
        <v>50</v>
      </c>
      <c r="H36" s="4" t="s">
        <v>51</v>
      </c>
      <c r="I36" s="4" t="s">
        <v>52</v>
      </c>
      <c r="J36" s="5">
        <v>0.08</v>
      </c>
      <c r="K36" s="5">
        <v>0</v>
      </c>
      <c r="L36" s="5">
        <v>26.08</v>
      </c>
      <c r="M36" s="4" t="s">
        <v>53</v>
      </c>
      <c r="N36" s="3">
        <v>45992</v>
      </c>
      <c r="O36" t="s">
        <v>242</v>
      </c>
      <c r="P36" t="s">
        <v>246</v>
      </c>
      <c r="Q36"/>
      <c r="R36"/>
      <c r="S36" s="4" t="s">
        <v>79</v>
      </c>
      <c r="T36" s="21" t="str">
        <f t="shared" si="2"/>
        <v>00024017596K6</v>
      </c>
      <c r="U36" s="4" t="s">
        <v>311</v>
      </c>
      <c r="V36" t="s">
        <v>312</v>
      </c>
      <c r="W36" s="15" t="str">
        <f t="shared" si="1"/>
        <v>MELODY MONNINGER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</row>
    <row r="37" spans="1:42" s="15" customFormat="1" x14ac:dyDescent="0.2">
      <c r="A37" s="4" t="s">
        <v>119</v>
      </c>
      <c r="B37" s="2">
        <v>16849453</v>
      </c>
      <c r="C37" s="4" t="s">
        <v>120</v>
      </c>
      <c r="D37" s="4" t="s">
        <v>121</v>
      </c>
      <c r="E37" s="3">
        <v>45962</v>
      </c>
      <c r="F37" s="4" t="s">
        <v>49</v>
      </c>
      <c r="G37" s="4" t="s">
        <v>50</v>
      </c>
      <c r="H37" s="4" t="s">
        <v>51</v>
      </c>
      <c r="I37" s="4" t="s">
        <v>52</v>
      </c>
      <c r="J37" s="5">
        <v>0.17</v>
      </c>
      <c r="K37" s="5">
        <v>0</v>
      </c>
      <c r="L37" s="5">
        <v>52.17</v>
      </c>
      <c r="M37" s="4" t="s">
        <v>53</v>
      </c>
      <c r="N37" s="3">
        <v>45962</v>
      </c>
      <c r="O37" t="s">
        <v>242</v>
      </c>
      <c r="P37" t="s">
        <v>247</v>
      </c>
      <c r="Q37"/>
      <c r="R37"/>
      <c r="S37" s="4" t="s">
        <v>121</v>
      </c>
      <c r="T37" s="21" t="str">
        <f t="shared" si="2"/>
        <v>00023975846K6</v>
      </c>
      <c r="U37" s="4" t="s">
        <v>313</v>
      </c>
      <c r="V37" t="s">
        <v>314</v>
      </c>
      <c r="W37" s="15" t="str">
        <f t="shared" si="1"/>
        <v>PATRICK MCGHEE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1:42" s="15" customFormat="1" x14ac:dyDescent="0.2">
      <c r="A38" s="4" t="s">
        <v>119</v>
      </c>
      <c r="B38" s="2">
        <v>16849453</v>
      </c>
      <c r="C38" s="4" t="s">
        <v>123</v>
      </c>
      <c r="D38" s="4" t="s">
        <v>124</v>
      </c>
      <c r="E38" s="3">
        <v>45962</v>
      </c>
      <c r="F38" s="4" t="s">
        <v>49</v>
      </c>
      <c r="G38" s="4" t="s">
        <v>50</v>
      </c>
      <c r="H38" s="4" t="s">
        <v>51</v>
      </c>
      <c r="I38" s="4" t="s">
        <v>52</v>
      </c>
      <c r="J38" s="5">
        <v>0.17</v>
      </c>
      <c r="K38" s="5">
        <v>0</v>
      </c>
      <c r="L38" s="5">
        <v>52.17</v>
      </c>
      <c r="M38" s="4" t="s">
        <v>53</v>
      </c>
      <c r="N38" s="3">
        <v>45962</v>
      </c>
      <c r="O38" t="s">
        <v>242</v>
      </c>
      <c r="P38" t="s">
        <v>247</v>
      </c>
      <c r="Q38"/>
      <c r="R38"/>
      <c r="S38" s="4" t="s">
        <v>124</v>
      </c>
      <c r="T38" s="21" t="str">
        <f t="shared" si="2"/>
        <v>00023978760K6</v>
      </c>
      <c r="U38" s="4" t="s">
        <v>315</v>
      </c>
      <c r="V38" t="s">
        <v>316</v>
      </c>
      <c r="W38" s="15" t="str">
        <f t="shared" si="1"/>
        <v>RICKY MAYES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1:42" s="15" customFormat="1" x14ac:dyDescent="0.2">
      <c r="A39" s="4" t="s">
        <v>119</v>
      </c>
      <c r="B39" s="2">
        <v>16849453</v>
      </c>
      <c r="C39" s="4" t="s">
        <v>126</v>
      </c>
      <c r="D39" s="4" t="s">
        <v>127</v>
      </c>
      <c r="E39" s="3">
        <v>45962</v>
      </c>
      <c r="F39" s="4" t="s">
        <v>49</v>
      </c>
      <c r="G39" s="4" t="s">
        <v>50</v>
      </c>
      <c r="H39" s="4" t="s">
        <v>51</v>
      </c>
      <c r="I39" s="4" t="s">
        <v>52</v>
      </c>
      <c r="J39" s="5">
        <v>0.17</v>
      </c>
      <c r="K39" s="5">
        <v>0</v>
      </c>
      <c r="L39" s="5">
        <v>52.17</v>
      </c>
      <c r="M39" s="4" t="s">
        <v>53</v>
      </c>
      <c r="N39" s="3">
        <v>45962</v>
      </c>
      <c r="O39" t="s">
        <v>242</v>
      </c>
      <c r="P39" t="s">
        <v>247</v>
      </c>
      <c r="Q39"/>
      <c r="R39"/>
      <c r="S39" s="4" t="s">
        <v>127</v>
      </c>
      <c r="T39" s="21" t="str">
        <f t="shared" si="2"/>
        <v>00024009777K6</v>
      </c>
      <c r="U39" s="4" t="s">
        <v>317</v>
      </c>
      <c r="V39" t="s">
        <v>318</v>
      </c>
      <c r="W39" s="15" t="str">
        <f t="shared" si="1"/>
        <v>KATHERINE DENT</v>
      </c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1:42" s="15" customFormat="1" x14ac:dyDescent="0.2">
      <c r="A40" s="4" t="s">
        <v>88</v>
      </c>
      <c r="B40" s="2">
        <v>7146581</v>
      </c>
      <c r="C40" s="4" t="s">
        <v>92</v>
      </c>
      <c r="D40" s="4" t="s">
        <v>93</v>
      </c>
      <c r="E40" s="3">
        <v>45992</v>
      </c>
      <c r="F40" s="4" t="s">
        <v>69</v>
      </c>
      <c r="G40" s="4" t="s">
        <v>50</v>
      </c>
      <c r="H40" s="4" t="s">
        <v>51</v>
      </c>
      <c r="I40" s="4" t="s">
        <v>52</v>
      </c>
      <c r="J40" s="5">
        <v>0.08</v>
      </c>
      <c r="K40" s="5">
        <v>0</v>
      </c>
      <c r="L40" s="5">
        <v>26.08</v>
      </c>
      <c r="M40" s="4" t="s">
        <v>53</v>
      </c>
      <c r="N40" s="3">
        <v>45992</v>
      </c>
      <c r="O40" t="s">
        <v>242</v>
      </c>
      <c r="P40" t="s">
        <v>246</v>
      </c>
      <c r="Q40"/>
      <c r="R40"/>
      <c r="S40" s="4" t="s">
        <v>93</v>
      </c>
      <c r="T40" s="21" t="str">
        <f t="shared" si="2"/>
        <v>00024139881K6</v>
      </c>
      <c r="U40" s="4" t="s">
        <v>319</v>
      </c>
      <c r="V40" t="s">
        <v>320</v>
      </c>
      <c r="W40" s="15" t="str">
        <f t="shared" si="1"/>
        <v>CYNTHIA GEHRINGER</v>
      </c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1:42" s="15" customFormat="1" x14ac:dyDescent="0.2">
      <c r="A41" s="4" t="s">
        <v>88</v>
      </c>
      <c r="B41" s="2">
        <v>7146581</v>
      </c>
      <c r="C41" s="4" t="s">
        <v>89</v>
      </c>
      <c r="D41" s="4" t="s">
        <v>90</v>
      </c>
      <c r="E41" s="3">
        <v>45962</v>
      </c>
      <c r="F41" s="4" t="s">
        <v>49</v>
      </c>
      <c r="G41" s="4" t="s">
        <v>50</v>
      </c>
      <c r="H41" s="4" t="s">
        <v>51</v>
      </c>
      <c r="I41" s="4" t="s">
        <v>52</v>
      </c>
      <c r="J41" s="5">
        <v>0.17</v>
      </c>
      <c r="K41" s="5">
        <v>0</v>
      </c>
      <c r="L41" s="5">
        <v>52.17</v>
      </c>
      <c r="M41" s="4" t="s">
        <v>53</v>
      </c>
      <c r="N41" s="3">
        <v>45962</v>
      </c>
      <c r="O41" t="s">
        <v>242</v>
      </c>
      <c r="P41" t="s">
        <v>247</v>
      </c>
      <c r="Q41"/>
      <c r="R41"/>
      <c r="S41" s="4" t="s">
        <v>90</v>
      </c>
      <c r="T41" s="21" t="str">
        <f t="shared" si="2"/>
        <v>00024083763K6</v>
      </c>
      <c r="U41" s="4" t="s">
        <v>321</v>
      </c>
      <c r="V41" t="s">
        <v>322</v>
      </c>
      <c r="W41" s="15" t="str">
        <f t="shared" si="1"/>
        <v>CHRISTOPHER ROSSMAN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s="15" customFormat="1" x14ac:dyDescent="0.2">
      <c r="A42" s="4" t="s">
        <v>65</v>
      </c>
      <c r="B42" s="2">
        <v>8814784</v>
      </c>
      <c r="C42" s="4" t="s">
        <v>66</v>
      </c>
      <c r="D42" s="4" t="s">
        <v>67</v>
      </c>
      <c r="E42" s="3">
        <v>45992</v>
      </c>
      <c r="F42" s="4" t="s">
        <v>69</v>
      </c>
      <c r="G42" s="4" t="s">
        <v>50</v>
      </c>
      <c r="H42" s="4" t="s">
        <v>51</v>
      </c>
      <c r="I42" s="4" t="s">
        <v>52</v>
      </c>
      <c r="J42" s="5">
        <v>0.08</v>
      </c>
      <c r="K42" s="5">
        <v>0</v>
      </c>
      <c r="L42" s="5">
        <v>26.08</v>
      </c>
      <c r="M42" s="4" t="s">
        <v>53</v>
      </c>
      <c r="N42" s="3">
        <v>45992</v>
      </c>
      <c r="O42" t="s">
        <v>242</v>
      </c>
      <c r="P42" t="s">
        <v>246</v>
      </c>
      <c r="Q42"/>
      <c r="R42"/>
      <c r="S42" s="4" t="s">
        <v>67</v>
      </c>
      <c r="T42" s="21" t="str">
        <f t="shared" si="2"/>
        <v>00024091477K6</v>
      </c>
      <c r="U42" s="4" t="s">
        <v>323</v>
      </c>
      <c r="V42" t="s">
        <v>324</v>
      </c>
      <c r="W42" s="15" t="str">
        <f t="shared" si="1"/>
        <v>ANNE JOYCE</v>
      </c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1:42" s="15" customFormat="1" x14ac:dyDescent="0.2">
      <c r="A43" s="4" t="s">
        <v>42</v>
      </c>
      <c r="B43" s="2">
        <v>371819</v>
      </c>
      <c r="C43" s="4" t="s">
        <v>43</v>
      </c>
      <c r="D43" s="4" t="s">
        <v>44</v>
      </c>
      <c r="E43" s="3">
        <v>45962</v>
      </c>
      <c r="F43" s="4" t="s">
        <v>49</v>
      </c>
      <c r="G43" s="4" t="s">
        <v>50</v>
      </c>
      <c r="H43" s="4" t="s">
        <v>51</v>
      </c>
      <c r="I43" s="4" t="s">
        <v>52</v>
      </c>
      <c r="J43" s="5">
        <v>0.17</v>
      </c>
      <c r="K43" s="5">
        <v>0</v>
      </c>
      <c r="L43" s="5">
        <v>52.17</v>
      </c>
      <c r="M43" s="4" t="s">
        <v>53</v>
      </c>
      <c r="N43" s="3">
        <v>45962</v>
      </c>
      <c r="O43" t="s">
        <v>242</v>
      </c>
      <c r="P43" t="s">
        <v>247</v>
      </c>
      <c r="Q43"/>
      <c r="R43"/>
      <c r="S43" s="4" t="s">
        <v>44</v>
      </c>
      <c r="T43" s="21" t="str">
        <f t="shared" si="2"/>
        <v>00024021738K6</v>
      </c>
      <c r="U43" s="4" t="s">
        <v>325</v>
      </c>
      <c r="V43" t="s">
        <v>326</v>
      </c>
      <c r="W43" s="15" t="str">
        <f t="shared" si="1"/>
        <v>JAMES CASTLEBERRY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1:42" s="15" customFormat="1" x14ac:dyDescent="0.2">
      <c r="A44" s="4" t="s">
        <v>42</v>
      </c>
      <c r="B44" s="2">
        <v>371819</v>
      </c>
      <c r="C44" s="4" t="s">
        <v>61</v>
      </c>
      <c r="D44" s="4" t="s">
        <v>62</v>
      </c>
      <c r="E44" s="3">
        <v>45962</v>
      </c>
      <c r="F44" s="4" t="s">
        <v>49</v>
      </c>
      <c r="G44" s="4" t="s">
        <v>50</v>
      </c>
      <c r="H44" s="4" t="s">
        <v>51</v>
      </c>
      <c r="I44" s="4" t="s">
        <v>52</v>
      </c>
      <c r="J44" s="5">
        <v>0.17</v>
      </c>
      <c r="K44" s="5">
        <v>0</v>
      </c>
      <c r="L44" s="5">
        <v>52.17</v>
      </c>
      <c r="M44" s="4" t="s">
        <v>53</v>
      </c>
      <c r="N44" s="3">
        <v>45962</v>
      </c>
      <c r="O44" t="s">
        <v>242</v>
      </c>
      <c r="P44" t="s">
        <v>247</v>
      </c>
      <c r="Q44"/>
      <c r="R44"/>
      <c r="S44" s="4" t="s">
        <v>62</v>
      </c>
      <c r="T44" s="21" t="str">
        <f t="shared" si="2"/>
        <v>00024116967K6</v>
      </c>
      <c r="U44" s="4" t="s">
        <v>327</v>
      </c>
      <c r="V44" t="s">
        <v>328</v>
      </c>
      <c r="W44" s="15" t="str">
        <f t="shared" si="1"/>
        <v>MONICA IRVING</v>
      </c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1:42" s="15" customFormat="1" x14ac:dyDescent="0.2">
      <c r="A45" s="4" t="s">
        <v>42</v>
      </c>
      <c r="B45" s="2">
        <v>371819</v>
      </c>
      <c r="C45" s="4" t="s">
        <v>56</v>
      </c>
      <c r="D45" s="4" t="s">
        <v>57</v>
      </c>
      <c r="E45" s="3">
        <v>45962</v>
      </c>
      <c r="F45" s="4" t="s">
        <v>49</v>
      </c>
      <c r="G45" s="4" t="s">
        <v>50</v>
      </c>
      <c r="H45" s="4" t="s">
        <v>51</v>
      </c>
      <c r="I45" s="4" t="s">
        <v>59</v>
      </c>
      <c r="J45" s="5">
        <v>0.17</v>
      </c>
      <c r="K45" s="5">
        <v>0</v>
      </c>
      <c r="L45" s="5">
        <v>52.17</v>
      </c>
      <c r="M45" s="4" t="s">
        <v>53</v>
      </c>
      <c r="N45" s="3">
        <v>45962</v>
      </c>
      <c r="O45" t="s">
        <v>242</v>
      </c>
      <c r="P45" t="s">
        <v>247</v>
      </c>
      <c r="Q45"/>
      <c r="R45"/>
      <c r="S45" s="4" t="s">
        <v>57</v>
      </c>
      <c r="T45" s="21" t="str">
        <f t="shared" si="2"/>
        <v>00024095400K6</v>
      </c>
      <c r="U45" s="4" t="s">
        <v>329</v>
      </c>
      <c r="V45" t="s">
        <v>330</v>
      </c>
      <c r="W45" s="15" t="str">
        <f t="shared" si="1"/>
        <v>ALEXANDER SODIPE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1:42" s="15" customFormat="1" x14ac:dyDescent="0.2">
      <c r="A46" s="4" t="s">
        <v>132</v>
      </c>
      <c r="B46" s="2">
        <v>9213293</v>
      </c>
      <c r="C46" s="4" t="s">
        <v>133</v>
      </c>
      <c r="D46" s="4" t="s">
        <v>134</v>
      </c>
      <c r="E46" s="3">
        <v>45962</v>
      </c>
      <c r="F46" s="4" t="s">
        <v>49</v>
      </c>
      <c r="G46" s="4" t="s">
        <v>50</v>
      </c>
      <c r="H46" s="4" t="s">
        <v>51</v>
      </c>
      <c r="I46" s="4" t="s">
        <v>59</v>
      </c>
      <c r="J46" s="5">
        <v>0.17</v>
      </c>
      <c r="K46" s="5">
        <v>0</v>
      </c>
      <c r="L46" s="5">
        <v>52.17</v>
      </c>
      <c r="M46" s="4" t="s">
        <v>53</v>
      </c>
      <c r="N46" s="3">
        <v>45962</v>
      </c>
      <c r="O46" t="s">
        <v>242</v>
      </c>
      <c r="P46" t="s">
        <v>247</v>
      </c>
      <c r="Q46"/>
      <c r="R46"/>
      <c r="S46" s="4" t="s">
        <v>134</v>
      </c>
      <c r="T46" s="21" t="str">
        <f t="shared" si="2"/>
        <v>00011260092K6</v>
      </c>
      <c r="U46" s="4" t="s">
        <v>331</v>
      </c>
      <c r="V46" t="s">
        <v>332</v>
      </c>
      <c r="W46" s="15" t="str">
        <f t="shared" si="1"/>
        <v>JOANNE KINLOCH</v>
      </c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1:42" s="15" customFormat="1" x14ac:dyDescent="0.2">
      <c r="A47" s="4" t="s">
        <v>132</v>
      </c>
      <c r="B47" s="2">
        <v>9213293</v>
      </c>
      <c r="C47" s="4" t="s">
        <v>136</v>
      </c>
      <c r="D47" s="4" t="s">
        <v>137</v>
      </c>
      <c r="E47" s="3">
        <v>45962</v>
      </c>
      <c r="F47" s="4" t="s">
        <v>49</v>
      </c>
      <c r="G47" s="4" t="s">
        <v>50</v>
      </c>
      <c r="H47" s="4" t="s">
        <v>51</v>
      </c>
      <c r="I47" s="4" t="s">
        <v>59</v>
      </c>
      <c r="J47" s="5">
        <v>0.17</v>
      </c>
      <c r="K47" s="5">
        <v>0</v>
      </c>
      <c r="L47" s="5">
        <v>52.17</v>
      </c>
      <c r="M47" s="4" t="s">
        <v>53</v>
      </c>
      <c r="N47" s="3">
        <v>45962</v>
      </c>
      <c r="O47" t="s">
        <v>242</v>
      </c>
      <c r="P47" t="s">
        <v>247</v>
      </c>
      <c r="Q47"/>
      <c r="R47"/>
      <c r="S47" s="4" t="s">
        <v>137</v>
      </c>
      <c r="T47" s="21" t="str">
        <f t="shared" si="2"/>
        <v>00020552959K6</v>
      </c>
      <c r="U47" s="4" t="s">
        <v>333</v>
      </c>
      <c r="V47" t="s">
        <v>334</v>
      </c>
      <c r="W47" s="15" t="str">
        <f t="shared" si="1"/>
        <v>ANTHONY DANIEL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1:42" s="15" customFormat="1" x14ac:dyDescent="0.2">
      <c r="A48" s="4" t="s">
        <v>158</v>
      </c>
      <c r="B48" s="2">
        <v>18142208</v>
      </c>
      <c r="C48" s="4" t="s">
        <v>159</v>
      </c>
      <c r="D48" s="4" t="s">
        <v>160</v>
      </c>
      <c r="E48" s="3">
        <v>45962</v>
      </c>
      <c r="F48" s="4" t="s">
        <v>49</v>
      </c>
      <c r="G48" s="4" t="s">
        <v>50</v>
      </c>
      <c r="H48" s="4" t="s">
        <v>51</v>
      </c>
      <c r="I48" s="4" t="s">
        <v>162</v>
      </c>
      <c r="J48" s="5">
        <v>0.17</v>
      </c>
      <c r="K48" s="5">
        <v>0</v>
      </c>
      <c r="L48" s="5">
        <v>52.17</v>
      </c>
      <c r="M48" s="4" t="s">
        <v>53</v>
      </c>
      <c r="N48" s="3">
        <v>45962</v>
      </c>
      <c r="O48" t="s">
        <v>242</v>
      </c>
      <c r="P48" t="s">
        <v>247</v>
      </c>
      <c r="Q48"/>
      <c r="R48"/>
      <c r="S48" s="4" t="s">
        <v>160</v>
      </c>
      <c r="T48" s="21" t="str">
        <f t="shared" si="2"/>
        <v>00024109945K6</v>
      </c>
      <c r="U48" s="4" t="s">
        <v>335</v>
      </c>
      <c r="V48" t="s">
        <v>336</v>
      </c>
      <c r="W48" s="15" t="str">
        <f t="shared" si="1"/>
        <v>MICHAEL BOGDAN</v>
      </c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1:42" s="15" customFormat="1" x14ac:dyDescent="0.2">
      <c r="A49" s="4" t="s">
        <v>154</v>
      </c>
      <c r="B49" s="2">
        <v>7307857</v>
      </c>
      <c r="C49" s="4" t="s">
        <v>155</v>
      </c>
      <c r="D49" s="4" t="s">
        <v>156</v>
      </c>
      <c r="E49" s="3">
        <v>45962</v>
      </c>
      <c r="F49" s="4" t="s">
        <v>49</v>
      </c>
      <c r="G49" s="4" t="s">
        <v>50</v>
      </c>
      <c r="H49" s="4" t="s">
        <v>51</v>
      </c>
      <c r="I49" s="4" t="s">
        <v>52</v>
      </c>
      <c r="J49" s="5">
        <v>0.17</v>
      </c>
      <c r="K49" s="5">
        <v>0</v>
      </c>
      <c r="L49" s="5">
        <v>52.17</v>
      </c>
      <c r="M49" s="4" t="s">
        <v>53</v>
      </c>
      <c r="N49" s="3">
        <v>45962</v>
      </c>
      <c r="O49" t="s">
        <v>242</v>
      </c>
      <c r="P49" t="s">
        <v>247</v>
      </c>
      <c r="Q49"/>
      <c r="R49"/>
      <c r="S49" s="4" t="s">
        <v>156</v>
      </c>
      <c r="T49" s="21" t="str">
        <f t="shared" si="2"/>
        <v>00024049662K6</v>
      </c>
      <c r="U49" s="4" t="s">
        <v>337</v>
      </c>
      <c r="V49" t="s">
        <v>338</v>
      </c>
      <c r="W49" s="15" t="str">
        <f t="shared" si="1"/>
        <v>ROY GUZZIO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1:42" s="15" customFormat="1" x14ac:dyDescent="0.2">
      <c r="A50" s="4" t="s">
        <v>150</v>
      </c>
      <c r="B50" s="2">
        <v>21104854</v>
      </c>
      <c r="C50" s="4" t="s">
        <v>151</v>
      </c>
      <c r="D50" s="4" t="s">
        <v>152</v>
      </c>
      <c r="E50" s="3">
        <v>45962</v>
      </c>
      <c r="F50" s="4" t="s">
        <v>49</v>
      </c>
      <c r="G50" s="4" t="s">
        <v>50</v>
      </c>
      <c r="H50" s="4" t="s">
        <v>51</v>
      </c>
      <c r="I50" s="4" t="s">
        <v>52</v>
      </c>
      <c r="J50" s="5">
        <v>0.17</v>
      </c>
      <c r="K50" s="5">
        <v>0</v>
      </c>
      <c r="L50" s="5">
        <v>52.17</v>
      </c>
      <c r="M50" s="4" t="s">
        <v>53</v>
      </c>
      <c r="N50" s="3">
        <v>45962</v>
      </c>
      <c r="O50" t="s">
        <v>242</v>
      </c>
      <c r="P50" t="s">
        <v>247</v>
      </c>
      <c r="Q50"/>
      <c r="R50"/>
      <c r="S50" s="4" t="s">
        <v>152</v>
      </c>
      <c r="T50" s="21" t="str">
        <f t="shared" si="2"/>
        <v>00023994614K6</v>
      </c>
      <c r="U50" s="4" t="s">
        <v>339</v>
      </c>
      <c r="V50" t="s">
        <v>340</v>
      </c>
      <c r="W50" s="15" t="str">
        <f t="shared" si="1"/>
        <v>PAUL VANMOFFAERT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1:42" s="15" customFormat="1" x14ac:dyDescent="0.2">
      <c r="A51" s="4" t="s">
        <v>146</v>
      </c>
      <c r="B51" s="2">
        <v>19681796</v>
      </c>
      <c r="C51" s="4" t="s">
        <v>147</v>
      </c>
      <c r="D51" s="4" t="s">
        <v>148</v>
      </c>
      <c r="E51" s="3">
        <v>45962</v>
      </c>
      <c r="F51" s="4" t="s">
        <v>49</v>
      </c>
      <c r="G51" s="4" t="s">
        <v>50</v>
      </c>
      <c r="H51" s="4" t="s">
        <v>51</v>
      </c>
      <c r="I51" s="4" t="s">
        <v>52</v>
      </c>
      <c r="J51" s="5">
        <v>0.17</v>
      </c>
      <c r="K51" s="5">
        <v>0</v>
      </c>
      <c r="L51" s="5">
        <v>52.17</v>
      </c>
      <c r="M51" s="4" t="s">
        <v>53</v>
      </c>
      <c r="N51" s="3">
        <v>45962</v>
      </c>
      <c r="O51" t="s">
        <v>242</v>
      </c>
      <c r="P51" t="s">
        <v>247</v>
      </c>
      <c r="Q51"/>
      <c r="R51"/>
      <c r="S51" s="4" t="s">
        <v>148</v>
      </c>
      <c r="T51" s="21" t="str">
        <f t="shared" si="2"/>
        <v>00024107090K6</v>
      </c>
      <c r="U51" s="4" t="s">
        <v>341</v>
      </c>
      <c r="V51" t="s">
        <v>342</v>
      </c>
      <c r="W51" s="15" t="str">
        <f t="shared" si="1"/>
        <v>KATHY CARR</v>
      </c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1:42" s="15" customFormat="1" x14ac:dyDescent="0.2">
      <c r="A52" s="4" t="s">
        <v>81</v>
      </c>
      <c r="B52" s="2">
        <v>8307933</v>
      </c>
      <c r="C52" s="4" t="s">
        <v>82</v>
      </c>
      <c r="D52" s="4" t="s">
        <v>83</v>
      </c>
      <c r="E52" s="3">
        <v>45962</v>
      </c>
      <c r="F52" s="4" t="s">
        <v>49</v>
      </c>
      <c r="G52" s="4" t="s">
        <v>50</v>
      </c>
      <c r="H52" s="4" t="s">
        <v>51</v>
      </c>
      <c r="I52" s="4" t="s">
        <v>52</v>
      </c>
      <c r="J52" s="5">
        <v>0.17</v>
      </c>
      <c r="K52" s="5">
        <v>0</v>
      </c>
      <c r="L52" s="5">
        <v>52.17</v>
      </c>
      <c r="M52" s="4" t="s">
        <v>53</v>
      </c>
      <c r="N52" s="3">
        <v>45962</v>
      </c>
      <c r="O52" t="s">
        <v>242</v>
      </c>
      <c r="P52" t="s">
        <v>247</v>
      </c>
      <c r="Q52"/>
      <c r="R52"/>
      <c r="S52" s="4" t="s">
        <v>83</v>
      </c>
      <c r="T52" s="21" t="str">
        <f t="shared" si="2"/>
        <v>00016279775K6</v>
      </c>
      <c r="U52" s="4" t="s">
        <v>343</v>
      </c>
      <c r="V52" t="s">
        <v>344</v>
      </c>
      <c r="W52" s="15" t="str">
        <f t="shared" si="1"/>
        <v>CHARLES GLASS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1:42" s="15" customFormat="1" x14ac:dyDescent="0.2">
      <c r="A53" s="4" t="s">
        <v>81</v>
      </c>
      <c r="B53" s="2">
        <v>8307933</v>
      </c>
      <c r="C53" s="4" t="s">
        <v>85</v>
      </c>
      <c r="D53" s="4" t="s">
        <v>86</v>
      </c>
      <c r="E53" s="3">
        <v>45962</v>
      </c>
      <c r="F53" s="4" t="s">
        <v>49</v>
      </c>
      <c r="G53" s="4" t="s">
        <v>50</v>
      </c>
      <c r="H53" s="4" t="s">
        <v>51</v>
      </c>
      <c r="I53" s="4" t="s">
        <v>52</v>
      </c>
      <c r="J53" s="5">
        <v>0.17</v>
      </c>
      <c r="K53" s="5">
        <v>0</v>
      </c>
      <c r="L53" s="5">
        <v>52.17</v>
      </c>
      <c r="M53" s="4" t="s">
        <v>53</v>
      </c>
      <c r="N53" s="3">
        <v>45962</v>
      </c>
      <c r="O53" t="s">
        <v>242</v>
      </c>
      <c r="P53" t="s">
        <v>247</v>
      </c>
      <c r="Q53"/>
      <c r="R53"/>
      <c r="S53" s="4" t="s">
        <v>86</v>
      </c>
      <c r="T53" s="21" t="str">
        <f t="shared" si="2"/>
        <v>00024047465K6</v>
      </c>
      <c r="U53" s="4" t="s">
        <v>345</v>
      </c>
      <c r="V53" t="s">
        <v>346</v>
      </c>
      <c r="W53" s="15" t="str">
        <f t="shared" si="1"/>
        <v>LINDA QUILLEN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s="15" customFormat="1" x14ac:dyDescent="0.2">
      <c r="A54" s="4" t="s">
        <v>95</v>
      </c>
      <c r="B54" s="2">
        <v>8325282</v>
      </c>
      <c r="C54" s="4" t="s">
        <v>96</v>
      </c>
      <c r="D54" s="4" t="s">
        <v>97</v>
      </c>
      <c r="E54" s="3">
        <v>45992</v>
      </c>
      <c r="F54" s="4" t="s">
        <v>69</v>
      </c>
      <c r="G54" s="4" t="s">
        <v>50</v>
      </c>
      <c r="H54" s="4" t="s">
        <v>51</v>
      </c>
      <c r="I54" s="4" t="s">
        <v>52</v>
      </c>
      <c r="J54" s="5">
        <v>0.08</v>
      </c>
      <c r="K54" s="5">
        <v>0</v>
      </c>
      <c r="L54" s="5">
        <v>26.08</v>
      </c>
      <c r="M54" s="4" t="s">
        <v>53</v>
      </c>
      <c r="N54" s="3">
        <v>45992</v>
      </c>
      <c r="O54" t="s">
        <v>242</v>
      </c>
      <c r="P54" t="s">
        <v>246</v>
      </c>
      <c r="Q54"/>
      <c r="R54"/>
      <c r="S54" s="4" t="s">
        <v>97</v>
      </c>
      <c r="T54" s="21" t="str">
        <f t="shared" si="2"/>
        <v>00023972941K6</v>
      </c>
      <c r="U54" s="4" t="s">
        <v>347</v>
      </c>
      <c r="V54" t="s">
        <v>348</v>
      </c>
      <c r="W54" s="15" t="str">
        <f t="shared" si="1"/>
        <v>JOSEPH FYE</v>
      </c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s="15" customFormat="1" x14ac:dyDescent="0.2">
      <c r="A55" s="4" t="s">
        <v>95</v>
      </c>
      <c r="B55" s="2">
        <v>8325282</v>
      </c>
      <c r="C55" s="4" t="s">
        <v>99</v>
      </c>
      <c r="D55" s="4" t="s">
        <v>100</v>
      </c>
      <c r="E55" s="3">
        <v>45992</v>
      </c>
      <c r="F55" s="4" t="s">
        <v>69</v>
      </c>
      <c r="G55" s="4" t="s">
        <v>50</v>
      </c>
      <c r="H55" s="4" t="s">
        <v>51</v>
      </c>
      <c r="I55" s="4" t="s">
        <v>52</v>
      </c>
      <c r="J55" s="5">
        <v>0.08</v>
      </c>
      <c r="K55" s="5">
        <v>0</v>
      </c>
      <c r="L55" s="5">
        <v>26.08</v>
      </c>
      <c r="M55" s="4" t="s">
        <v>53</v>
      </c>
      <c r="N55" s="3">
        <v>45992</v>
      </c>
      <c r="O55" t="s">
        <v>242</v>
      </c>
      <c r="P55" t="s">
        <v>246</v>
      </c>
      <c r="Q55"/>
      <c r="R55"/>
      <c r="S55" s="4" t="s">
        <v>100</v>
      </c>
      <c r="T55" s="21" t="str">
        <f t="shared" si="2"/>
        <v>00024039501K6</v>
      </c>
      <c r="U55" s="4" t="s">
        <v>349</v>
      </c>
      <c r="V55" t="s">
        <v>350</v>
      </c>
      <c r="W55" s="15" t="str">
        <f t="shared" si="1"/>
        <v>DONNA MESSINA</v>
      </c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s="15" customFormat="1" x14ac:dyDescent="0.2">
      <c r="A56" s="4" t="s">
        <v>139</v>
      </c>
      <c r="B56" s="2">
        <v>18754354</v>
      </c>
      <c r="C56" s="4" t="s">
        <v>140</v>
      </c>
      <c r="D56" s="4" t="s">
        <v>141</v>
      </c>
      <c r="E56" s="3">
        <v>45658</v>
      </c>
      <c r="F56" s="4" t="s">
        <v>144</v>
      </c>
      <c r="G56" s="4" t="s">
        <v>50</v>
      </c>
      <c r="H56" s="4" t="s">
        <v>51</v>
      </c>
      <c r="I56" s="4" t="s">
        <v>59</v>
      </c>
      <c r="J56" s="5">
        <v>-0.17</v>
      </c>
      <c r="K56" s="5">
        <v>0</v>
      </c>
      <c r="L56" s="5">
        <v>-52.17</v>
      </c>
      <c r="M56" s="4" t="s">
        <v>53</v>
      </c>
      <c r="N56" s="3">
        <v>45658</v>
      </c>
      <c r="O56" t="s">
        <v>242</v>
      </c>
      <c r="P56" t="s">
        <v>247</v>
      </c>
      <c r="Q56"/>
      <c r="R56"/>
      <c r="S56" s="4" t="s">
        <v>141</v>
      </c>
      <c r="T56" s="21" t="str">
        <f t="shared" si="2"/>
        <v>00022389298K6</v>
      </c>
      <c r="U56" s="4" t="s">
        <v>309</v>
      </c>
      <c r="V56" t="s">
        <v>351</v>
      </c>
      <c r="W56" s="15" t="str">
        <f t="shared" si="1"/>
        <v>DAVID SMITH</v>
      </c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s="15" customFormat="1" x14ac:dyDescent="0.2">
      <c r="A57" s="4" t="s">
        <v>111</v>
      </c>
      <c r="B57" s="2">
        <v>16633294</v>
      </c>
      <c r="C57" s="4" t="s">
        <v>112</v>
      </c>
      <c r="D57" s="4" t="s">
        <v>113</v>
      </c>
      <c r="E57" s="3">
        <v>45992</v>
      </c>
      <c r="F57" s="4" t="s">
        <v>69</v>
      </c>
      <c r="G57" s="4" t="s">
        <v>50</v>
      </c>
      <c r="H57" s="4" t="s">
        <v>51</v>
      </c>
      <c r="I57" s="4" t="s">
        <v>52</v>
      </c>
      <c r="J57" s="5">
        <v>0.08</v>
      </c>
      <c r="K57" s="5">
        <v>0</v>
      </c>
      <c r="L57" s="5">
        <v>26.08</v>
      </c>
      <c r="M57" s="4" t="s">
        <v>53</v>
      </c>
      <c r="N57" s="3">
        <v>45992</v>
      </c>
      <c r="O57" t="s">
        <v>242</v>
      </c>
      <c r="P57" t="s">
        <v>246</v>
      </c>
      <c r="Q57"/>
      <c r="R57"/>
      <c r="S57" s="4" t="s">
        <v>113</v>
      </c>
      <c r="T57" s="21" t="str">
        <f t="shared" si="2"/>
        <v>00023995172K6</v>
      </c>
      <c r="U57" s="4" t="s">
        <v>352</v>
      </c>
      <c r="V57" t="s">
        <v>353</v>
      </c>
      <c r="W57" s="15" t="str">
        <f t="shared" si="1"/>
        <v>JACQUELINE PARMACEK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s="15" customFormat="1" x14ac:dyDescent="0.2">
      <c r="A58" s="6" t="s">
        <v>119</v>
      </c>
      <c r="B58" s="7">
        <v>16849453</v>
      </c>
      <c r="C58" s="6" t="s">
        <v>129</v>
      </c>
      <c r="D58" s="6" t="s">
        <v>130</v>
      </c>
      <c r="E58" s="8">
        <v>45992</v>
      </c>
      <c r="F58" s="6" t="s">
        <v>69</v>
      </c>
      <c r="G58" s="6" t="s">
        <v>50</v>
      </c>
      <c r="H58" s="6" t="s">
        <v>51</v>
      </c>
      <c r="I58" s="6" t="s">
        <v>106</v>
      </c>
      <c r="J58" s="9">
        <v>0.08</v>
      </c>
      <c r="K58" s="9">
        <v>4.58</v>
      </c>
      <c r="L58" s="9">
        <v>4.58</v>
      </c>
      <c r="M58" s="6" t="s">
        <v>53</v>
      </c>
      <c r="N58" s="8">
        <v>45992</v>
      </c>
      <c r="O58" s="10" t="s">
        <v>245</v>
      </c>
      <c r="P58" s="10"/>
      <c r="Q58" s="10"/>
      <c r="R58" s="10"/>
      <c r="S58" s="6" t="s">
        <v>130</v>
      </c>
      <c r="T58" s="10" t="str">
        <f>CONCATENATE(S58,9)</f>
        <v>00024103068K9</v>
      </c>
      <c r="U58" s="6" t="s">
        <v>354</v>
      </c>
      <c r="V58" s="10" t="s">
        <v>355</v>
      </c>
      <c r="W58" s="15" t="str">
        <f t="shared" si="1"/>
        <v>WILLIAM HUTCHISON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s="15" customFormat="1" x14ac:dyDescent="0.2">
      <c r="A59" s="6" t="s">
        <v>102</v>
      </c>
      <c r="B59" s="7">
        <v>9079571</v>
      </c>
      <c r="C59" s="6" t="s">
        <v>103</v>
      </c>
      <c r="D59" s="6" t="s">
        <v>104</v>
      </c>
      <c r="E59" s="8">
        <v>45962</v>
      </c>
      <c r="F59" s="6" t="s">
        <v>49</v>
      </c>
      <c r="G59" s="6" t="s">
        <v>50</v>
      </c>
      <c r="H59" s="6" t="s">
        <v>51</v>
      </c>
      <c r="I59" s="6" t="s">
        <v>106</v>
      </c>
      <c r="J59" s="9">
        <v>0.17</v>
      </c>
      <c r="K59" s="9">
        <v>9.17</v>
      </c>
      <c r="L59" s="9">
        <v>9.17</v>
      </c>
      <c r="M59" s="6" t="s">
        <v>53</v>
      </c>
      <c r="N59" s="8">
        <v>45962</v>
      </c>
      <c r="O59" s="10" t="s">
        <v>245</v>
      </c>
      <c r="P59" s="10"/>
      <c r="Q59" s="10"/>
      <c r="R59" s="10"/>
      <c r="S59" s="6" t="s">
        <v>104</v>
      </c>
      <c r="T59" s="10" t="str">
        <f t="shared" ref="T59:T61" si="3">CONCATENATE(S59,9)</f>
        <v>00024124444K9</v>
      </c>
      <c r="U59" s="6" t="s">
        <v>356</v>
      </c>
      <c r="V59" s="10" t="s">
        <v>357</v>
      </c>
      <c r="W59" s="15" t="str">
        <f t="shared" si="1"/>
        <v>IONE HURTT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s="15" customFormat="1" x14ac:dyDescent="0.2">
      <c r="A60" s="6" t="s">
        <v>102</v>
      </c>
      <c r="B60" s="7">
        <v>9079571</v>
      </c>
      <c r="C60" s="6" t="s">
        <v>108</v>
      </c>
      <c r="D60" s="6" t="s">
        <v>109</v>
      </c>
      <c r="E60" s="8">
        <v>45962</v>
      </c>
      <c r="F60" s="6" t="s">
        <v>49</v>
      </c>
      <c r="G60" s="6" t="s">
        <v>50</v>
      </c>
      <c r="H60" s="6" t="s">
        <v>51</v>
      </c>
      <c r="I60" s="6" t="s">
        <v>106</v>
      </c>
      <c r="J60" s="9">
        <v>0.17</v>
      </c>
      <c r="K60" s="9">
        <v>9.17</v>
      </c>
      <c r="L60" s="9">
        <v>9.17</v>
      </c>
      <c r="M60" s="6" t="s">
        <v>53</v>
      </c>
      <c r="N60" s="8">
        <v>45962</v>
      </c>
      <c r="O60" s="10" t="s">
        <v>245</v>
      </c>
      <c r="P60" s="10"/>
      <c r="Q60" s="10"/>
      <c r="R60" s="10"/>
      <c r="S60" s="6" t="s">
        <v>109</v>
      </c>
      <c r="T60" s="10" t="str">
        <f t="shared" si="3"/>
        <v>00024125099K9</v>
      </c>
      <c r="U60" s="6" t="s">
        <v>356</v>
      </c>
      <c r="V60" s="10" t="s">
        <v>358</v>
      </c>
      <c r="W60" s="15" t="str">
        <f t="shared" si="1"/>
        <v>WESLEY HURTT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s="15" customFormat="1" x14ac:dyDescent="0.2">
      <c r="A61" s="6" t="s">
        <v>115</v>
      </c>
      <c r="B61" s="7">
        <v>16509456</v>
      </c>
      <c r="C61" s="6" t="s">
        <v>116</v>
      </c>
      <c r="D61" s="6" t="s">
        <v>117</v>
      </c>
      <c r="E61" s="8">
        <v>45962</v>
      </c>
      <c r="F61" s="6" t="s">
        <v>49</v>
      </c>
      <c r="G61" s="6" t="s">
        <v>50</v>
      </c>
      <c r="H61" s="6" t="s">
        <v>51</v>
      </c>
      <c r="I61" s="6" t="s">
        <v>106</v>
      </c>
      <c r="J61" s="9">
        <v>0.17</v>
      </c>
      <c r="K61" s="9">
        <v>9.17</v>
      </c>
      <c r="L61" s="9">
        <v>9.17</v>
      </c>
      <c r="M61" s="6" t="s">
        <v>53</v>
      </c>
      <c r="N61" s="8">
        <v>45962</v>
      </c>
      <c r="O61" s="10" t="s">
        <v>245</v>
      </c>
      <c r="P61" s="10"/>
      <c r="Q61" s="10"/>
      <c r="R61" s="10"/>
      <c r="S61" s="6" t="s">
        <v>117</v>
      </c>
      <c r="T61" s="10" t="str">
        <f t="shared" si="3"/>
        <v>00024098776K9</v>
      </c>
      <c r="U61" s="6" t="s">
        <v>359</v>
      </c>
      <c r="V61" s="10" t="s">
        <v>348</v>
      </c>
      <c r="W61" s="15" t="str">
        <f t="shared" si="1"/>
        <v>JOSEPH TUMELTY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</sheetData>
  <sortState xmlns:xlrd2="http://schemas.microsoft.com/office/spreadsheetml/2017/richdata2" ref="A2:AP61">
    <sortCondition ref="O2:O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2025-10-30T14:06:15Z</dcterms:created>
  <dcterms:modified xsi:type="dcterms:W3CDTF">2025-11-03T18:44:40Z</dcterms:modified>
</cp:coreProperties>
</file>