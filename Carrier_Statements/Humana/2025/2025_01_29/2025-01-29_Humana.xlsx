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umana MAPD/2025/1-29-25/"/>
    </mc:Choice>
  </mc:AlternateContent>
  <xr:revisionPtr revIDLastSave="0" documentId="13_ncr:1_{B8843962-12A6-E847-AC77-11474DA6BE99}" xr6:coauthVersionLast="47" xr6:coauthVersionMax="47" xr10:uidLastSave="{00000000-0000-0000-0000-000000000000}"/>
  <bookViews>
    <workbookView xWindow="0" yWindow="500" windowWidth="19200" windowHeight="19360" activeTab="1" xr2:uid="{26156921-D3BE-A749-8F7D-9BA5DF67E00A}"/>
  </bookViews>
  <sheets>
    <sheet name="CommissionData_1" sheetId="1" r:id="rId1"/>
    <sheet name="clean data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33" i="3"/>
  <c r="G34" i="3"/>
  <c r="G1" i="3"/>
  <c r="E29" i="2"/>
  <c r="E30" i="2"/>
  <c r="E31" i="2"/>
  <c r="E32" i="2"/>
  <c r="E33" i="2"/>
  <c r="E28" i="2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1" i="3"/>
</calcChain>
</file>

<file path=xl/sharedStrings.xml><?xml version="1.0" encoding="utf-8"?>
<sst xmlns="http://schemas.openxmlformats.org/spreadsheetml/2006/main" count="1545" uniqueCount="318">
  <si>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</si>
  <si>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</si>
  <si>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</si>
  <si>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</si>
  <si>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</si>
  <si>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</si>
  <si>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</si>
  <si>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</si>
  <si>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</si>
  <si>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</si>
  <si>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</si>
  <si>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</si>
  <si>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</si>
  <si>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</si>
  <si>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</si>
  <si>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</si>
  <si>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</si>
  <si>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</si>
  <si>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</si>
  <si>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</si>
  <si>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</si>
  <si>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</si>
  <si>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</si>
  <si>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</si>
  <si>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</si>
  <si>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</si>
  <si>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</si>
  <si>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</si>
  <si>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</si>
  <si>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</si>
  <si>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</si>
  <si>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</si>
  <si>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</si>
  <si>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</si>
  <si>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</si>
  <si>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</si>
  <si>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</si>
  <si>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</si>
  <si>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</si>
  <si>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</si>
  <si>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</si>
  <si>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</si>
  <si>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HORN JEFFREY E</t>
  </si>
  <si>
    <t>DECKER SHARON K</t>
  </si>
  <si>
    <t>00023023741K</t>
  </si>
  <si>
    <t>3CW9GP6DP27</t>
  </si>
  <si>
    <t/>
  </si>
  <si>
    <t>MA</t>
  </si>
  <si>
    <t>LV</t>
  </si>
  <si>
    <t>FEB</t>
  </si>
  <si>
    <t>F</t>
  </si>
  <si>
    <t>MEDICARE</t>
  </si>
  <si>
    <t>MEP</t>
  </si>
  <si>
    <t>FIRST YEAR COMMISSIONS</t>
  </si>
  <si>
    <t>ARCF</t>
  </si>
  <si>
    <t>H5216</t>
  </si>
  <si>
    <t>DECKER PAUL A</t>
  </si>
  <si>
    <t>00023040671K</t>
  </si>
  <si>
    <t>4WP7UV5AY49</t>
  </si>
  <si>
    <t>LISKOVEC FRANK E</t>
  </si>
  <si>
    <t>KLOK IRENE</t>
  </si>
  <si>
    <t>00022598731K</t>
  </si>
  <si>
    <t>1UP1HK0WD32</t>
  </si>
  <si>
    <t>JAN</t>
  </si>
  <si>
    <t>MER</t>
  </si>
  <si>
    <t>H1468</t>
  </si>
  <si>
    <t>FRANCIERE JR ROBERT</t>
  </si>
  <si>
    <t>00023038833K</t>
  </si>
  <si>
    <t>4WP6DD9MX48</t>
  </si>
  <si>
    <t>DEATON PAMELA S</t>
  </si>
  <si>
    <t>GLEESON ELINORE R</t>
  </si>
  <si>
    <t>00014861244K</t>
  </si>
  <si>
    <t>7YA6KN1CG83</t>
  </si>
  <si>
    <t>BUNTING ALICE J</t>
  </si>
  <si>
    <t>00023028896K</t>
  </si>
  <si>
    <t>4MD8FW2NH27</t>
  </si>
  <si>
    <t>MAR</t>
  </si>
  <si>
    <t>TEIPEL GREGORY K</t>
  </si>
  <si>
    <t>LAUGHREY WILLIAM W</t>
  </si>
  <si>
    <t>00019034430K</t>
  </si>
  <si>
    <t>3X62RW7UA05</t>
  </si>
  <si>
    <t>WHITTAKER JENNIFER L</t>
  </si>
  <si>
    <t>00023028485K</t>
  </si>
  <si>
    <t>8C01D80JR02</t>
  </si>
  <si>
    <t>APR</t>
  </si>
  <si>
    <t>HUNSBERGER ANTHONY J</t>
  </si>
  <si>
    <t>AMARO MIGUEL</t>
  </si>
  <si>
    <t>00022996620K</t>
  </si>
  <si>
    <t>3K12KV9CH96</t>
  </si>
  <si>
    <t>WHITE DONALD J</t>
  </si>
  <si>
    <t>00023021728K</t>
  </si>
  <si>
    <t>8G04WW0FV74</t>
  </si>
  <si>
    <t>BARRAGREE SANDRA L</t>
  </si>
  <si>
    <t>00023041157K</t>
  </si>
  <si>
    <t>9VE0R29FN02</t>
  </si>
  <si>
    <t>DAUGHERTY MATTHEW</t>
  </si>
  <si>
    <t>LAWRENCE DEBRA D</t>
  </si>
  <si>
    <t>00022947574K</t>
  </si>
  <si>
    <t>2PG6DJ2RY73</t>
  </si>
  <si>
    <t>YALE RICHARD A A</t>
  </si>
  <si>
    <t>THOMPSON DURHAM DENISE</t>
  </si>
  <si>
    <t>00012719660K</t>
  </si>
  <si>
    <t>4NN3H76TM70</t>
  </si>
  <si>
    <t>KUCAN THOMAS</t>
  </si>
  <si>
    <t>OKEEFFE CALLUM P</t>
  </si>
  <si>
    <t>00022686109K</t>
  </si>
  <si>
    <t>4KT5W84PF57</t>
  </si>
  <si>
    <t>DRAPAC STEPHANIE E</t>
  </si>
  <si>
    <t>AL AZMAH AMJAD</t>
  </si>
  <si>
    <t>00018501512K</t>
  </si>
  <si>
    <t>1P41R18EN13</t>
  </si>
  <si>
    <t>PORTUGAL GARY</t>
  </si>
  <si>
    <t>TYK ROGER E</t>
  </si>
  <si>
    <t>00011895530K</t>
  </si>
  <si>
    <t>1J47JK5ER46</t>
  </si>
  <si>
    <t>DOWNS VICKY S</t>
  </si>
  <si>
    <t>00012290150K</t>
  </si>
  <si>
    <t>2FP3FK3DQ11</t>
  </si>
  <si>
    <t>CASTILLO ROSARIO G</t>
  </si>
  <si>
    <t>00018962712K</t>
  </si>
  <si>
    <t>7HQ5XC0PR83</t>
  </si>
  <si>
    <t>CASTILLO ROSCO D</t>
  </si>
  <si>
    <t>00018963088K</t>
  </si>
  <si>
    <t>7DV8R52UH41</t>
  </si>
  <si>
    <t>AMARO VERA D</t>
  </si>
  <si>
    <t>00019306567K</t>
  </si>
  <si>
    <t>5RE4EE9DE05</t>
  </si>
  <si>
    <t>ZAFIRIADIS PIEDAD</t>
  </si>
  <si>
    <t>00022005272K</t>
  </si>
  <si>
    <t>8G47WT0AK41</t>
  </si>
  <si>
    <t>TOWLER MARY M</t>
  </si>
  <si>
    <t>00023027544K</t>
  </si>
  <si>
    <t>4UX0KW2MW24</t>
  </si>
  <si>
    <t>MAX RONALD J</t>
  </si>
  <si>
    <t>MISKIMON KAREN L</t>
  </si>
  <si>
    <t>00023040778K</t>
  </si>
  <si>
    <t>3W49E94UP24</t>
  </si>
  <si>
    <t>PDP</t>
  </si>
  <si>
    <t>S5884</t>
  </si>
  <si>
    <t>ABDUL SAADIA S</t>
  </si>
  <si>
    <t>FULLER HEIDI L</t>
  </si>
  <si>
    <t>00015917794K</t>
  </si>
  <si>
    <t>7EH0HP5GJ32</t>
  </si>
  <si>
    <t>H1036</t>
  </si>
  <si>
    <t>SANTOS RICARDO D</t>
  </si>
  <si>
    <t>APULI JESUS D</t>
  </si>
  <si>
    <t>00022120908K</t>
  </si>
  <si>
    <t>6P20W04CN11</t>
  </si>
  <si>
    <t>DUNAVANT MICHAEL</t>
  </si>
  <si>
    <t>HUPPERT ROGER D</t>
  </si>
  <si>
    <t>00000371464G</t>
  </si>
  <si>
    <t>7A40T47DD45</t>
  </si>
  <si>
    <t>HUPPERT EDNA M</t>
  </si>
  <si>
    <t>00000374418G</t>
  </si>
  <si>
    <t>1G27P10UU65</t>
  </si>
  <si>
    <t>Moss Allan</t>
  </si>
  <si>
    <t>3245007030</t>
  </si>
  <si>
    <t>IN</t>
  </si>
  <si>
    <t>CB</t>
  </si>
  <si>
    <t>R</t>
  </si>
  <si>
    <t>DENTAL</t>
  </si>
  <si>
    <t>COMPBENEFITS RENEWAL COMMISSION</t>
  </si>
  <si>
    <t>CRCM</t>
  </si>
  <si>
    <t>Hanahan Barbara</t>
  </si>
  <si>
    <t>9025228750</t>
  </si>
  <si>
    <t>INSKIPT DEBORAH L</t>
  </si>
  <si>
    <t>Madigan Kathleen</t>
  </si>
  <si>
    <t>9029971470</t>
  </si>
  <si>
    <t>VISION</t>
  </si>
  <si>
    <t>COMPBENEFITS FIRST YEAR COMMISSION</t>
  </si>
  <si>
    <t>CRCF</t>
  </si>
  <si>
    <t>SCHUMANN BARRY L</t>
  </si>
  <si>
    <t>OAK PARK HANDYHUMAN</t>
  </si>
  <si>
    <t>000000412777</t>
  </si>
  <si>
    <t>GR</t>
  </si>
  <si>
    <t>EM</t>
  </si>
  <si>
    <t>JUL</t>
  </si>
  <si>
    <t>AUG</t>
  </si>
  <si>
    <t>SEP</t>
  </si>
  <si>
    <t>KOZACHECK ANNE MARIE</t>
  </si>
  <si>
    <t>VESSELY LYNDA</t>
  </si>
  <si>
    <t>00000950703A</t>
  </si>
  <si>
    <t>MS</t>
  </si>
  <si>
    <t>MED SUPP ANNUALIZED ACHIEVE</t>
  </si>
  <si>
    <t>MSAA</t>
  </si>
  <si>
    <t>HEALTH RISK ASSESSMENT PAYMENT</t>
  </si>
  <si>
    <t>MCAP</t>
  </si>
  <si>
    <t>MED SUPP BONUS</t>
  </si>
  <si>
    <t>MSBN</t>
  </si>
  <si>
    <t>DECKER</t>
  </si>
  <si>
    <t>SHARON</t>
  </si>
  <si>
    <t>PAUL</t>
  </si>
  <si>
    <t>KLOK</t>
  </si>
  <si>
    <t>IRENE</t>
  </si>
  <si>
    <t>FRANCIERE</t>
  </si>
  <si>
    <t>ROBERT</t>
  </si>
  <si>
    <t>GLEESON</t>
  </si>
  <si>
    <t>ELINORE</t>
  </si>
  <si>
    <t>BUNTING</t>
  </si>
  <si>
    <t>ALICE</t>
  </si>
  <si>
    <t>LAUGHREY</t>
  </si>
  <si>
    <t>WILLIAM</t>
  </si>
  <si>
    <t>WHITTAKER</t>
  </si>
  <si>
    <t>JENNIFER</t>
  </si>
  <si>
    <t>AMARO</t>
  </si>
  <si>
    <t>MIGUEL</t>
  </si>
  <si>
    <t>WHITE</t>
  </si>
  <si>
    <t>DONALD</t>
  </si>
  <si>
    <t>BARRAGREE</t>
  </si>
  <si>
    <t>SANDRA</t>
  </si>
  <si>
    <t>LAWRENCE</t>
  </si>
  <si>
    <t>DEBRA</t>
  </si>
  <si>
    <t>THOMPSON</t>
  </si>
  <si>
    <t>DENISE</t>
  </si>
  <si>
    <t>OKEEFFE</t>
  </si>
  <si>
    <t>CALLUM</t>
  </si>
  <si>
    <t>AZMAH</t>
  </si>
  <si>
    <t>AMJAD</t>
  </si>
  <si>
    <t>TYK</t>
  </si>
  <si>
    <t>ROGER</t>
  </si>
  <si>
    <t>DOWNS</t>
  </si>
  <si>
    <t>VICKY</t>
  </si>
  <si>
    <t>CASTILLO</t>
  </si>
  <si>
    <t>ROSARIO</t>
  </si>
  <si>
    <t>ROSCO</t>
  </si>
  <si>
    <t>VERA</t>
  </si>
  <si>
    <t>ZAFIRIADIS</t>
  </si>
  <si>
    <t>PIEDAD</t>
  </si>
  <si>
    <t>TOWLER</t>
  </si>
  <si>
    <t>MARY</t>
  </si>
  <si>
    <t>MISKIMON</t>
  </si>
  <si>
    <t>KAREN</t>
  </si>
  <si>
    <t>FULLER</t>
  </si>
  <si>
    <t>HEIDI</t>
  </si>
  <si>
    <t>APULI</t>
  </si>
  <si>
    <t>JESUS</t>
  </si>
  <si>
    <t>HUPPERT</t>
  </si>
  <si>
    <t>EDNA</t>
  </si>
  <si>
    <t>Moss</t>
  </si>
  <si>
    <t>Allan</t>
  </si>
  <si>
    <t>Hanahan</t>
  </si>
  <si>
    <t>Barbara</t>
  </si>
  <si>
    <t>Madigan</t>
  </si>
  <si>
    <t>Kathleen</t>
  </si>
  <si>
    <t>OAK</t>
  </si>
  <si>
    <t>HANDYHUMAN</t>
  </si>
  <si>
    <t>VESSELY</t>
  </si>
  <si>
    <t>LYNDA</t>
  </si>
  <si>
    <t>SHARON DECKER</t>
  </si>
  <si>
    <t>PAUL DECKER</t>
  </si>
  <si>
    <t>IRENE KLOK</t>
  </si>
  <si>
    <t>ROBERT FRANCIERE</t>
  </si>
  <si>
    <t>ELINORE GLEESON</t>
  </si>
  <si>
    <t>ALICE BUNTING</t>
  </si>
  <si>
    <t>WILLIAM LAUGHREY</t>
  </si>
  <si>
    <t>JENNIFER WHITTAKER</t>
  </si>
  <si>
    <t>MIGUEL AMARO</t>
  </si>
  <si>
    <t>DONALD WHITE</t>
  </si>
  <si>
    <t>SANDRA BARRAGREE</t>
  </si>
  <si>
    <t>DEBRA LAWRENCE</t>
  </si>
  <si>
    <t>DENISE THOMPSON</t>
  </si>
  <si>
    <t>CALLUM OKEEFFE</t>
  </si>
  <si>
    <t>AMJAD AZMAH</t>
  </si>
  <si>
    <t>ROGER TYK</t>
  </si>
  <si>
    <t>VICKY DOWNS</t>
  </si>
  <si>
    <t>ROSARIO CASTILLO</t>
  </si>
  <si>
    <t>ROSCO CASTILLO</t>
  </si>
  <si>
    <t>VERA AMARO</t>
  </si>
  <si>
    <t>PIEDAD ZAFIRIADIS</t>
  </si>
  <si>
    <t>MARY TOWLER</t>
  </si>
  <si>
    <t>KAREN MISKIMON</t>
  </si>
  <si>
    <t>HEIDI FULLER</t>
  </si>
  <si>
    <t>JESUS APULI</t>
  </si>
  <si>
    <t>ROGER HUPPERT</t>
  </si>
  <si>
    <t>EDNA HUPPERT</t>
  </si>
  <si>
    <t>Allan Moss</t>
  </si>
  <si>
    <t>Barbara Hanahan</t>
  </si>
  <si>
    <t>Kathleen Madigan</t>
  </si>
  <si>
    <t>HANDYHUMAN OAK</t>
  </si>
  <si>
    <t>LYNDA VESSELY</t>
  </si>
  <si>
    <t>18828278SUB2</t>
  </si>
  <si>
    <t>17528908N</t>
  </si>
  <si>
    <t>[%/$=313][prorate=11/12]</t>
  </si>
  <si>
    <t>[%/$=313][prorate=10/12]</t>
  </si>
  <si>
    <t>[%/$=313][prorate=12/12]</t>
  </si>
  <si>
    <t>[%/$=313][prorate=9/12]</t>
  </si>
  <si>
    <t>Humana 2025*</t>
  </si>
  <si>
    <t>Humana Dental &amp; Vision</t>
  </si>
  <si>
    <t>Humana PDP 2025!</t>
  </si>
  <si>
    <t>Humana 65-80 AL, AZ, AR, GA, etc. All Except N OE &amp; UW</t>
  </si>
  <si>
    <t>00015917794K6</t>
  </si>
  <si>
    <t>00022947574K6</t>
  </si>
  <si>
    <t>00014861244K6</t>
  </si>
  <si>
    <t>00023028896K6</t>
  </si>
  <si>
    <t>00018501512K6</t>
  </si>
  <si>
    <t>00000371464G6</t>
  </si>
  <si>
    <t>00000374418G6</t>
  </si>
  <si>
    <t>00023023741K6</t>
  </si>
  <si>
    <t>00023040671K6</t>
  </si>
  <si>
    <t>00022996620K6</t>
  </si>
  <si>
    <t>00023021728K6</t>
  </si>
  <si>
    <t>00023041157K6</t>
  </si>
  <si>
    <t>00019034430K6</t>
  </si>
  <si>
    <t>00023028485K6</t>
  </si>
  <si>
    <t>00012719660K6</t>
  </si>
  <si>
    <t>00022686109K6</t>
  </si>
  <si>
    <t>00022598731K6</t>
  </si>
  <si>
    <t>00023038833K6</t>
  </si>
  <si>
    <t>00011895530K6</t>
  </si>
  <si>
    <t>00012290150K6</t>
  </si>
  <si>
    <t>00018962712K6</t>
  </si>
  <si>
    <t>00018963088K6</t>
  </si>
  <si>
    <t>00019306567K6</t>
  </si>
  <si>
    <t>00022005272K6</t>
  </si>
  <si>
    <t>00023027544K6</t>
  </si>
  <si>
    <t>00022120908K6</t>
  </si>
  <si>
    <t>00023040778K6</t>
  </si>
  <si>
    <t>00000950703A6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</si>
</sst>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0" fillId="0" borderId="0" xfId="0" applyAlignment="1">
      <alignment horizontal="left" vertical="top"/>
    </xf>
    <xf numFmtId="0" fontId="18" fillId="0" borderId="0" xfId="0" applyFont="1" applyAlignment="1">
      <alignment horizontal="right" vertical="top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B5AC-69E4-3A44-850D-63A98D4FE300}">
  <dimension ref="A1:AP37"/>
  <sheetViews>
    <sheetView topLeftCell="N1" workbookViewId="0">
      <selection activeCell="Y2" sqref="A1:AP37"/>
    </sheetView>
  </sheetViews>
  <sheetFormatPr baseColWidth="10" defaultColWidth="11.5" defaultRowHeight="13" x14ac:dyDescent="0.15"/>
  <cols>
    <col min="1" max="1" width="8.1640625" bestFit="1" customWidth="1"/>
    <col min="2" max="2" width="11" bestFit="1" customWidth="1"/>
    <col min="3" max="3" width="21.6640625" bestFit="1" customWidth="1"/>
    <col min="4" max="4" width="8.1640625" bestFit="1" customWidth="1"/>
    <col min="5" max="5" width="25" bestFit="1" customWidth="1"/>
    <col min="6" max="6" width="11.6640625" bestFit="1" customWidth="1"/>
    <col min="7" max="7" width="11" bestFit="1" customWidth="1"/>
    <col min="8" max="8" width="9.1640625" bestFit="1" customWidth="1"/>
    <col min="9" max="10" width="8.33203125" bestFit="1" customWidth="1"/>
    <col min="11" max="11" width="9.1640625" bestFit="1" customWidth="1"/>
    <col min="12" max="12" width="10.1640625" bestFit="1" customWidth="1"/>
    <col min="13" max="14" width="10" bestFit="1" customWidth="1"/>
    <col min="15" max="16" width="9.1640625" bestFit="1" customWidth="1"/>
    <col min="17" max="17" width="5.1640625" bestFit="1" customWidth="1"/>
    <col min="18" max="18" width="13.5" bestFit="1" customWidth="1"/>
    <col min="19" max="20" width="13.33203125" bestFit="1" customWidth="1"/>
    <col min="21" max="21" width="10" bestFit="1" customWidth="1"/>
    <col min="22" max="22" width="12.1640625" bestFit="1" customWidth="1"/>
    <col min="23" max="23" width="8.5" bestFit="1" customWidth="1"/>
    <col min="24" max="24" width="11" bestFit="1" customWidth="1"/>
    <col min="25" max="25" width="13.5" bestFit="1" customWidth="1"/>
    <col min="26" max="26" width="12.1640625" bestFit="1" customWidth="1"/>
    <col min="27" max="27" width="26.83203125" bestFit="1" customWidth="1"/>
    <col min="28" max="28" width="10" bestFit="1" customWidth="1"/>
    <col min="29" max="29" width="11" bestFit="1" customWidth="1"/>
    <col min="30" max="30" width="9.5" bestFit="1" customWidth="1"/>
    <col min="31" max="31" width="8.5" bestFit="1" customWidth="1"/>
    <col min="32" max="32" width="12.1640625" bestFit="1" customWidth="1"/>
    <col min="33" max="33" width="11.6640625" bestFit="1" customWidth="1"/>
    <col min="34" max="34" width="25" bestFit="1" customWidth="1"/>
    <col min="35" max="35" width="11.6640625" bestFit="1" customWidth="1"/>
    <col min="36" max="36" width="14.1640625" bestFit="1" customWidth="1"/>
    <col min="37" max="37" width="14" bestFit="1" customWidth="1"/>
    <col min="38" max="38" width="13.83203125" bestFit="1" customWidth="1"/>
    <col min="39" max="39" width="10" bestFit="1" customWidth="1"/>
  </cols>
  <sheetData>
    <row r="1" spans="1:4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15">
      <c r="A2" s="2">
        <v>1891456</v>
      </c>
      <c r="B2" s="3">
        <v>45686</v>
      </c>
      <c r="C2" s="4" t="s">
        <v>42</v>
      </c>
      <c r="D2" s="2">
        <v>1267028</v>
      </c>
      <c r="E2" s="4" t="s">
        <v>43</v>
      </c>
      <c r="F2" s="4" t="s">
        <v>44</v>
      </c>
      <c r="G2" s="2">
        <v>969041434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45689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0.92</v>
      </c>
      <c r="W2" s="5">
        <v>0</v>
      </c>
      <c r="X2" s="5">
        <v>100</v>
      </c>
      <c r="Y2" s="5">
        <v>286.92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45689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15">
      <c r="A3" s="2">
        <v>1891456</v>
      </c>
      <c r="B3" s="3">
        <v>45686</v>
      </c>
      <c r="C3" s="4" t="s">
        <v>42</v>
      </c>
      <c r="D3" s="2">
        <v>1267028</v>
      </c>
      <c r="E3" s="4" t="s">
        <v>56</v>
      </c>
      <c r="F3" s="4" t="s">
        <v>57</v>
      </c>
      <c r="G3" s="2">
        <v>301294585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45689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0.92</v>
      </c>
      <c r="W3" s="5">
        <v>0</v>
      </c>
      <c r="X3" s="5">
        <v>100</v>
      </c>
      <c r="Y3" s="5">
        <v>286.92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45689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15">
      <c r="A4" s="2">
        <v>1891456</v>
      </c>
      <c r="B4" s="3">
        <v>45686</v>
      </c>
      <c r="C4" s="4" t="s">
        <v>59</v>
      </c>
      <c r="D4" s="2">
        <v>1427681</v>
      </c>
      <c r="E4" s="4" t="s">
        <v>60</v>
      </c>
      <c r="F4" s="4" t="s">
        <v>61</v>
      </c>
      <c r="G4" s="2">
        <v>846285433</v>
      </c>
      <c r="H4" s="4" t="s">
        <v>62</v>
      </c>
      <c r="I4" s="4" t="s">
        <v>46</v>
      </c>
      <c r="J4" s="4" t="s">
        <v>47</v>
      </c>
      <c r="K4" s="4" t="s">
        <v>48</v>
      </c>
      <c r="L4" s="3">
        <v>45658</v>
      </c>
      <c r="M4" s="4" t="s">
        <v>63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64</v>
      </c>
      <c r="U4" s="4" t="s">
        <v>46</v>
      </c>
      <c r="V4" s="5">
        <v>-0.92</v>
      </c>
      <c r="W4" s="5">
        <v>0</v>
      </c>
      <c r="X4" s="5">
        <v>100</v>
      </c>
      <c r="Y4" s="5">
        <v>-286.92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45658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65</v>
      </c>
      <c r="AO4" s="4" t="s">
        <v>46</v>
      </c>
      <c r="AP4" s="4" t="s">
        <v>46</v>
      </c>
    </row>
    <row r="5" spans="1:42" x14ac:dyDescent="0.15">
      <c r="A5" s="2">
        <v>1891456</v>
      </c>
      <c r="B5" s="3">
        <v>45686</v>
      </c>
      <c r="C5" s="4" t="s">
        <v>59</v>
      </c>
      <c r="D5" s="2">
        <v>1427681</v>
      </c>
      <c r="E5" s="4" t="s">
        <v>66</v>
      </c>
      <c r="F5" s="4" t="s">
        <v>67</v>
      </c>
      <c r="G5" s="2">
        <v>714820518</v>
      </c>
      <c r="H5" s="4" t="s">
        <v>68</v>
      </c>
      <c r="I5" s="4" t="s">
        <v>46</v>
      </c>
      <c r="J5" s="4" t="s">
        <v>47</v>
      </c>
      <c r="K5" s="4" t="s">
        <v>48</v>
      </c>
      <c r="L5" s="3">
        <v>45689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0.92</v>
      </c>
      <c r="W5" s="5">
        <v>0</v>
      </c>
      <c r="X5" s="5">
        <v>100</v>
      </c>
      <c r="Y5" s="5">
        <v>286.92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45689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15">
      <c r="A6" s="2">
        <v>1891456</v>
      </c>
      <c r="B6" s="3">
        <v>45686</v>
      </c>
      <c r="C6" s="4" t="s">
        <v>69</v>
      </c>
      <c r="D6" s="2">
        <v>1509744</v>
      </c>
      <c r="E6" s="4" t="s">
        <v>70</v>
      </c>
      <c r="F6" s="4" t="s">
        <v>71</v>
      </c>
      <c r="G6" s="2">
        <v>413745723</v>
      </c>
      <c r="H6" s="4" t="s">
        <v>72</v>
      </c>
      <c r="I6" s="4" t="s">
        <v>46</v>
      </c>
      <c r="J6" s="4" t="s">
        <v>47</v>
      </c>
      <c r="K6" s="4" t="s">
        <v>48</v>
      </c>
      <c r="L6" s="3">
        <v>45689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0.92</v>
      </c>
      <c r="W6" s="5">
        <v>0</v>
      </c>
      <c r="X6" s="5">
        <v>100</v>
      </c>
      <c r="Y6" s="5">
        <v>286.92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45689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15">
      <c r="A7" s="2">
        <v>1891456</v>
      </c>
      <c r="B7" s="3">
        <v>45686</v>
      </c>
      <c r="C7" s="4" t="s">
        <v>69</v>
      </c>
      <c r="D7" s="2">
        <v>1509744</v>
      </c>
      <c r="E7" s="4" t="s">
        <v>73</v>
      </c>
      <c r="F7" s="4" t="s">
        <v>74</v>
      </c>
      <c r="G7" s="2">
        <v>646144434</v>
      </c>
      <c r="H7" s="4" t="s">
        <v>75</v>
      </c>
      <c r="I7" s="4" t="s">
        <v>46</v>
      </c>
      <c r="J7" s="4" t="s">
        <v>47</v>
      </c>
      <c r="K7" s="4" t="s">
        <v>48</v>
      </c>
      <c r="L7" s="3">
        <v>45717</v>
      </c>
      <c r="M7" s="4" t="s">
        <v>76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0.83</v>
      </c>
      <c r="W7" s="5">
        <v>0</v>
      </c>
      <c r="X7" s="5">
        <v>100</v>
      </c>
      <c r="Y7" s="5">
        <v>260.83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45717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15">
      <c r="A8" s="2">
        <v>1891456</v>
      </c>
      <c r="B8" s="3">
        <v>45686</v>
      </c>
      <c r="C8" s="4" t="s">
        <v>77</v>
      </c>
      <c r="D8" s="2">
        <v>1509770</v>
      </c>
      <c r="E8" s="4" t="s">
        <v>78</v>
      </c>
      <c r="F8" s="4" t="s">
        <v>79</v>
      </c>
      <c r="G8" s="2">
        <v>206057183</v>
      </c>
      <c r="H8" s="4" t="s">
        <v>80</v>
      </c>
      <c r="I8" s="4" t="s">
        <v>46</v>
      </c>
      <c r="J8" s="4" t="s">
        <v>47</v>
      </c>
      <c r="K8" s="4" t="s">
        <v>48</v>
      </c>
      <c r="L8" s="3">
        <v>45658</v>
      </c>
      <c r="M8" s="4" t="s">
        <v>63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-0.92</v>
      </c>
      <c r="W8" s="5">
        <v>0</v>
      </c>
      <c r="X8" s="5">
        <v>100</v>
      </c>
      <c r="Y8" s="5">
        <v>-286.92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45658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15">
      <c r="A9" s="2">
        <v>1891456</v>
      </c>
      <c r="B9" s="3">
        <v>45686</v>
      </c>
      <c r="C9" s="4" t="s">
        <v>77</v>
      </c>
      <c r="D9" s="2">
        <v>1509770</v>
      </c>
      <c r="E9" s="4" t="s">
        <v>81</v>
      </c>
      <c r="F9" s="4" t="s">
        <v>82</v>
      </c>
      <c r="G9" s="2">
        <v>595554554</v>
      </c>
      <c r="H9" s="4" t="s">
        <v>83</v>
      </c>
      <c r="I9" s="4" t="s">
        <v>46</v>
      </c>
      <c r="J9" s="4" t="s">
        <v>47</v>
      </c>
      <c r="K9" s="4" t="s">
        <v>48</v>
      </c>
      <c r="L9" s="3">
        <v>45748</v>
      </c>
      <c r="M9" s="4" t="s">
        <v>84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0.75</v>
      </c>
      <c r="W9" s="5">
        <v>0</v>
      </c>
      <c r="X9" s="5">
        <v>100</v>
      </c>
      <c r="Y9" s="5">
        <v>234.75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45748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15">
      <c r="A10" s="2">
        <v>1891456</v>
      </c>
      <c r="B10" s="3">
        <v>45686</v>
      </c>
      <c r="C10" s="4" t="s">
        <v>85</v>
      </c>
      <c r="D10" s="2">
        <v>1510420</v>
      </c>
      <c r="E10" s="4" t="s">
        <v>86</v>
      </c>
      <c r="F10" s="4" t="s">
        <v>87</v>
      </c>
      <c r="G10" s="2">
        <v>685167134</v>
      </c>
      <c r="H10" s="4" t="s">
        <v>88</v>
      </c>
      <c r="I10" s="4" t="s">
        <v>46</v>
      </c>
      <c r="J10" s="4" t="s">
        <v>47</v>
      </c>
      <c r="K10" s="4" t="s">
        <v>48</v>
      </c>
      <c r="L10" s="3">
        <v>45689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64</v>
      </c>
      <c r="U10" s="4" t="s">
        <v>46</v>
      </c>
      <c r="V10" s="5">
        <v>0.92</v>
      </c>
      <c r="W10" s="5">
        <v>0</v>
      </c>
      <c r="X10" s="5">
        <v>100</v>
      </c>
      <c r="Y10" s="5">
        <v>286.92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45689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65</v>
      </c>
      <c r="AO10" s="4" t="s">
        <v>46</v>
      </c>
      <c r="AP10" s="4" t="s">
        <v>46</v>
      </c>
    </row>
    <row r="11" spans="1:42" x14ac:dyDescent="0.15">
      <c r="A11" s="2">
        <v>1891456</v>
      </c>
      <c r="B11" s="3">
        <v>45686</v>
      </c>
      <c r="C11" s="4" t="s">
        <v>85</v>
      </c>
      <c r="D11" s="2">
        <v>1510420</v>
      </c>
      <c r="E11" s="4" t="s">
        <v>89</v>
      </c>
      <c r="F11" s="4" t="s">
        <v>90</v>
      </c>
      <c r="G11" s="2">
        <v>46878253</v>
      </c>
      <c r="H11" s="4" t="s">
        <v>91</v>
      </c>
      <c r="I11" s="4" t="s">
        <v>46</v>
      </c>
      <c r="J11" s="4" t="s">
        <v>47</v>
      </c>
      <c r="K11" s="4" t="s">
        <v>48</v>
      </c>
      <c r="L11" s="3">
        <v>45717</v>
      </c>
      <c r="M11" s="4" t="s">
        <v>76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0.83</v>
      </c>
      <c r="W11" s="5">
        <v>0</v>
      </c>
      <c r="X11" s="5">
        <v>100</v>
      </c>
      <c r="Y11" s="5">
        <v>260.83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45717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15">
      <c r="A12" s="2">
        <v>1891456</v>
      </c>
      <c r="B12" s="3">
        <v>45686</v>
      </c>
      <c r="C12" s="4" t="s">
        <v>85</v>
      </c>
      <c r="D12" s="2">
        <v>1510420</v>
      </c>
      <c r="E12" s="4" t="s">
        <v>92</v>
      </c>
      <c r="F12" s="4" t="s">
        <v>93</v>
      </c>
      <c r="G12" s="2">
        <v>672550213</v>
      </c>
      <c r="H12" s="4" t="s">
        <v>94</v>
      </c>
      <c r="I12" s="4" t="s">
        <v>46</v>
      </c>
      <c r="J12" s="4" t="s">
        <v>47</v>
      </c>
      <c r="K12" s="4" t="s">
        <v>48</v>
      </c>
      <c r="L12" s="3">
        <v>45658</v>
      </c>
      <c r="M12" s="4" t="s">
        <v>63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1</v>
      </c>
      <c r="W12" s="5">
        <v>0</v>
      </c>
      <c r="X12" s="5">
        <v>100</v>
      </c>
      <c r="Y12" s="5">
        <v>313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45658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15">
      <c r="A13" s="2">
        <v>1891456</v>
      </c>
      <c r="B13" s="3">
        <v>45686</v>
      </c>
      <c r="C13" s="4" t="s">
        <v>95</v>
      </c>
      <c r="D13" s="2">
        <v>1555496</v>
      </c>
      <c r="E13" s="4" t="s">
        <v>96</v>
      </c>
      <c r="F13" s="4" t="s">
        <v>97</v>
      </c>
      <c r="G13" s="2">
        <v>271182185</v>
      </c>
      <c r="H13" s="4" t="s">
        <v>98</v>
      </c>
      <c r="I13" s="4" t="s">
        <v>46</v>
      </c>
      <c r="J13" s="4" t="s">
        <v>47</v>
      </c>
      <c r="K13" s="4" t="s">
        <v>48</v>
      </c>
      <c r="L13" s="3">
        <v>45689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0.92</v>
      </c>
      <c r="W13" s="5">
        <v>0</v>
      </c>
      <c r="X13" s="5">
        <v>100</v>
      </c>
      <c r="Y13" s="5">
        <v>286.92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45689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15">
      <c r="A14" s="2">
        <v>1891456</v>
      </c>
      <c r="B14" s="3">
        <v>45686</v>
      </c>
      <c r="C14" s="4" t="s">
        <v>99</v>
      </c>
      <c r="D14" s="2">
        <v>1573279</v>
      </c>
      <c r="E14" s="4" t="s">
        <v>100</v>
      </c>
      <c r="F14" s="4" t="s">
        <v>101</v>
      </c>
      <c r="G14" s="2">
        <v>617415160</v>
      </c>
      <c r="H14" s="4" t="s">
        <v>102</v>
      </c>
      <c r="I14" s="4" t="s">
        <v>46</v>
      </c>
      <c r="J14" s="4" t="s">
        <v>47</v>
      </c>
      <c r="K14" s="4" t="s">
        <v>48</v>
      </c>
      <c r="L14" s="3">
        <v>45689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0.92</v>
      </c>
      <c r="W14" s="5">
        <v>0</v>
      </c>
      <c r="X14" s="5">
        <v>100</v>
      </c>
      <c r="Y14" s="5">
        <v>286.92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45689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15">
      <c r="A15" s="2">
        <v>1891456</v>
      </c>
      <c r="B15" s="3">
        <v>45686</v>
      </c>
      <c r="C15" s="4" t="s">
        <v>103</v>
      </c>
      <c r="D15" s="2">
        <v>1581327</v>
      </c>
      <c r="E15" s="4" t="s">
        <v>104</v>
      </c>
      <c r="F15" s="4" t="s">
        <v>105</v>
      </c>
      <c r="G15" s="2">
        <v>361800203</v>
      </c>
      <c r="H15" s="4" t="s">
        <v>106</v>
      </c>
      <c r="I15" s="4" t="s">
        <v>46</v>
      </c>
      <c r="J15" s="4" t="s">
        <v>47</v>
      </c>
      <c r="K15" s="4" t="s">
        <v>48</v>
      </c>
      <c r="L15" s="3">
        <v>45658</v>
      </c>
      <c r="M15" s="4" t="s">
        <v>63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-0.92</v>
      </c>
      <c r="W15" s="5">
        <v>0</v>
      </c>
      <c r="X15" s="5">
        <v>100</v>
      </c>
      <c r="Y15" s="5">
        <v>-286.92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45658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15">
      <c r="A16" s="2">
        <v>1891456</v>
      </c>
      <c r="B16" s="3">
        <v>45686</v>
      </c>
      <c r="C16" s="4" t="s">
        <v>107</v>
      </c>
      <c r="D16" s="2">
        <v>1626475</v>
      </c>
      <c r="E16" s="4" t="s">
        <v>108</v>
      </c>
      <c r="F16" s="4" t="s">
        <v>109</v>
      </c>
      <c r="G16" s="2">
        <v>318733013</v>
      </c>
      <c r="H16" s="4" t="s">
        <v>110</v>
      </c>
      <c r="I16" s="4" t="s">
        <v>46</v>
      </c>
      <c r="J16" s="4" t="s">
        <v>47</v>
      </c>
      <c r="K16" s="4" t="s">
        <v>48</v>
      </c>
      <c r="L16" s="3">
        <v>45689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64</v>
      </c>
      <c r="U16" s="4" t="s">
        <v>46</v>
      </c>
      <c r="V16" s="5">
        <v>0.92</v>
      </c>
      <c r="W16" s="5">
        <v>0</v>
      </c>
      <c r="X16" s="5">
        <v>100</v>
      </c>
      <c r="Y16" s="5">
        <v>286.92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45689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65</v>
      </c>
      <c r="AO16" s="4" t="s">
        <v>46</v>
      </c>
      <c r="AP16" s="4" t="s">
        <v>46</v>
      </c>
    </row>
    <row r="17" spans="1:42" x14ac:dyDescent="0.15">
      <c r="A17" s="2">
        <v>1891456</v>
      </c>
      <c r="B17" s="3">
        <v>45686</v>
      </c>
      <c r="C17" s="4" t="s">
        <v>111</v>
      </c>
      <c r="D17" s="2">
        <v>1703942</v>
      </c>
      <c r="E17" s="4" t="s">
        <v>112</v>
      </c>
      <c r="F17" s="4" t="s">
        <v>113</v>
      </c>
      <c r="G17" s="2">
        <v>896590395</v>
      </c>
      <c r="H17" s="4" t="s">
        <v>114</v>
      </c>
      <c r="I17" s="4" t="s">
        <v>46</v>
      </c>
      <c r="J17" s="4" t="s">
        <v>47</v>
      </c>
      <c r="K17" s="4" t="s">
        <v>48</v>
      </c>
      <c r="L17" s="3">
        <v>45689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64</v>
      </c>
      <c r="U17" s="4" t="s">
        <v>46</v>
      </c>
      <c r="V17" s="5">
        <v>0.92</v>
      </c>
      <c r="W17" s="5">
        <v>0</v>
      </c>
      <c r="X17" s="5">
        <v>100</v>
      </c>
      <c r="Y17" s="5">
        <v>286.92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45689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65</v>
      </c>
      <c r="AO17" s="4" t="s">
        <v>46</v>
      </c>
      <c r="AP17" s="4" t="s">
        <v>46</v>
      </c>
    </row>
    <row r="18" spans="1:42" x14ac:dyDescent="0.15">
      <c r="A18" s="2">
        <v>1891456</v>
      </c>
      <c r="B18" s="3">
        <v>45686</v>
      </c>
      <c r="C18" s="4" t="s">
        <v>111</v>
      </c>
      <c r="D18" s="2">
        <v>1703942</v>
      </c>
      <c r="E18" s="4" t="s">
        <v>115</v>
      </c>
      <c r="F18" s="4" t="s">
        <v>116</v>
      </c>
      <c r="G18" s="2">
        <v>287917444</v>
      </c>
      <c r="H18" s="4" t="s">
        <v>117</v>
      </c>
      <c r="I18" s="4" t="s">
        <v>46</v>
      </c>
      <c r="J18" s="4" t="s">
        <v>47</v>
      </c>
      <c r="K18" s="4" t="s">
        <v>48</v>
      </c>
      <c r="L18" s="3">
        <v>45658</v>
      </c>
      <c r="M18" s="4" t="s">
        <v>63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0.92</v>
      </c>
      <c r="W18" s="5">
        <v>0</v>
      </c>
      <c r="X18" s="5">
        <v>100</v>
      </c>
      <c r="Y18" s="5">
        <v>286.92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45658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15">
      <c r="A19" s="2">
        <v>1891456</v>
      </c>
      <c r="B19" s="3">
        <v>45686</v>
      </c>
      <c r="C19" s="4" t="s">
        <v>111</v>
      </c>
      <c r="D19" s="2">
        <v>1703942</v>
      </c>
      <c r="E19" s="4" t="s">
        <v>118</v>
      </c>
      <c r="F19" s="4" t="s">
        <v>119</v>
      </c>
      <c r="G19" s="2">
        <v>654545003</v>
      </c>
      <c r="H19" s="4" t="s">
        <v>120</v>
      </c>
      <c r="I19" s="4" t="s">
        <v>46</v>
      </c>
      <c r="J19" s="4" t="s">
        <v>47</v>
      </c>
      <c r="K19" s="4" t="s">
        <v>48</v>
      </c>
      <c r="L19" s="3">
        <v>45689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64</v>
      </c>
      <c r="U19" s="4" t="s">
        <v>46</v>
      </c>
      <c r="V19" s="5">
        <v>0.92</v>
      </c>
      <c r="W19" s="5">
        <v>0</v>
      </c>
      <c r="X19" s="5">
        <v>100</v>
      </c>
      <c r="Y19" s="5">
        <v>286.92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45689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65</v>
      </c>
      <c r="AO19" s="4" t="s">
        <v>46</v>
      </c>
      <c r="AP19" s="4" t="s">
        <v>46</v>
      </c>
    </row>
    <row r="20" spans="1:42" x14ac:dyDescent="0.15">
      <c r="A20" s="2">
        <v>1891456</v>
      </c>
      <c r="B20" s="3">
        <v>45686</v>
      </c>
      <c r="C20" s="4" t="s">
        <v>111</v>
      </c>
      <c r="D20" s="2">
        <v>1703942</v>
      </c>
      <c r="E20" s="4" t="s">
        <v>121</v>
      </c>
      <c r="F20" s="4" t="s">
        <v>122</v>
      </c>
      <c r="G20" s="2">
        <v>832200003</v>
      </c>
      <c r="H20" s="4" t="s">
        <v>123</v>
      </c>
      <c r="I20" s="4" t="s">
        <v>46</v>
      </c>
      <c r="J20" s="4" t="s">
        <v>47</v>
      </c>
      <c r="K20" s="4" t="s">
        <v>48</v>
      </c>
      <c r="L20" s="3">
        <v>45689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64</v>
      </c>
      <c r="U20" s="4" t="s">
        <v>46</v>
      </c>
      <c r="V20" s="5">
        <v>0.92</v>
      </c>
      <c r="W20" s="5">
        <v>0</v>
      </c>
      <c r="X20" s="5">
        <v>100</v>
      </c>
      <c r="Y20" s="5">
        <v>286.92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45689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65</v>
      </c>
      <c r="AO20" s="4" t="s">
        <v>46</v>
      </c>
      <c r="AP20" s="4" t="s">
        <v>46</v>
      </c>
    </row>
    <row r="21" spans="1:42" x14ac:dyDescent="0.15">
      <c r="A21" s="2">
        <v>1891456</v>
      </c>
      <c r="B21" s="3">
        <v>45686</v>
      </c>
      <c r="C21" s="4" t="s">
        <v>111</v>
      </c>
      <c r="D21" s="2">
        <v>1703942</v>
      </c>
      <c r="E21" s="4" t="s">
        <v>124</v>
      </c>
      <c r="F21" s="4" t="s">
        <v>125</v>
      </c>
      <c r="G21" s="2">
        <v>189983584</v>
      </c>
      <c r="H21" s="4" t="s">
        <v>126</v>
      </c>
      <c r="I21" s="4" t="s">
        <v>46</v>
      </c>
      <c r="J21" s="4" t="s">
        <v>47</v>
      </c>
      <c r="K21" s="4" t="s">
        <v>48</v>
      </c>
      <c r="L21" s="3">
        <v>45689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0.92</v>
      </c>
      <c r="W21" s="5">
        <v>0</v>
      </c>
      <c r="X21" s="5">
        <v>100</v>
      </c>
      <c r="Y21" s="5">
        <v>286.92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45689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15">
      <c r="A22" s="2">
        <v>1891456</v>
      </c>
      <c r="B22" s="3">
        <v>45686</v>
      </c>
      <c r="C22" s="4" t="s">
        <v>111</v>
      </c>
      <c r="D22" s="2">
        <v>1703942</v>
      </c>
      <c r="E22" s="4" t="s">
        <v>127</v>
      </c>
      <c r="F22" s="4" t="s">
        <v>128</v>
      </c>
      <c r="G22" s="2">
        <v>621981353</v>
      </c>
      <c r="H22" s="4" t="s">
        <v>129</v>
      </c>
      <c r="I22" s="4" t="s">
        <v>46</v>
      </c>
      <c r="J22" s="4" t="s">
        <v>47</v>
      </c>
      <c r="K22" s="4" t="s">
        <v>48</v>
      </c>
      <c r="L22" s="3">
        <v>45658</v>
      </c>
      <c r="M22" s="4" t="s">
        <v>63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-0.92</v>
      </c>
      <c r="W22" s="5">
        <v>0</v>
      </c>
      <c r="X22" s="5">
        <v>100</v>
      </c>
      <c r="Y22" s="5">
        <v>-286.92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15">
      <c r="A23" s="2">
        <v>1891456</v>
      </c>
      <c r="B23" s="3">
        <v>45686</v>
      </c>
      <c r="C23" s="4" t="s">
        <v>111</v>
      </c>
      <c r="D23" s="2">
        <v>1703942</v>
      </c>
      <c r="E23" s="4" t="s">
        <v>130</v>
      </c>
      <c r="F23" s="4" t="s">
        <v>131</v>
      </c>
      <c r="G23" s="2">
        <v>469006513</v>
      </c>
      <c r="H23" s="4" t="s">
        <v>132</v>
      </c>
      <c r="I23" s="4" t="s">
        <v>46</v>
      </c>
      <c r="J23" s="4" t="s">
        <v>47</v>
      </c>
      <c r="K23" s="4" t="s">
        <v>48</v>
      </c>
      <c r="L23" s="3">
        <v>45689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0.92</v>
      </c>
      <c r="W23" s="5">
        <v>0</v>
      </c>
      <c r="X23" s="5">
        <v>100</v>
      </c>
      <c r="Y23" s="5">
        <v>286.92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45689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15">
      <c r="A24" s="2">
        <v>1891456</v>
      </c>
      <c r="B24" s="3">
        <v>45686</v>
      </c>
      <c r="C24" s="4" t="s">
        <v>133</v>
      </c>
      <c r="D24" s="2">
        <v>1775329</v>
      </c>
      <c r="E24" s="4" t="s">
        <v>134</v>
      </c>
      <c r="F24" s="4" t="s">
        <v>135</v>
      </c>
      <c r="G24" s="2">
        <v>378717333</v>
      </c>
      <c r="H24" s="4" t="s">
        <v>136</v>
      </c>
      <c r="I24" s="4" t="s">
        <v>46</v>
      </c>
      <c r="J24" s="4" t="s">
        <v>47</v>
      </c>
      <c r="K24" s="4" t="s">
        <v>48</v>
      </c>
      <c r="L24" s="3">
        <v>45689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137</v>
      </c>
      <c r="U24" s="4" t="s">
        <v>46</v>
      </c>
      <c r="V24" s="5">
        <v>0.92</v>
      </c>
      <c r="W24" s="5">
        <v>0</v>
      </c>
      <c r="X24" s="5">
        <v>100</v>
      </c>
      <c r="Y24" s="5">
        <v>50.42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45689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138</v>
      </c>
      <c r="AO24" s="4" t="s">
        <v>46</v>
      </c>
      <c r="AP24" s="4" t="s">
        <v>46</v>
      </c>
    </row>
    <row r="25" spans="1:42" x14ac:dyDescent="0.15">
      <c r="A25" s="2">
        <v>1891456</v>
      </c>
      <c r="B25" s="3">
        <v>45686</v>
      </c>
      <c r="C25" s="4" t="s">
        <v>139</v>
      </c>
      <c r="D25" s="2">
        <v>1800759</v>
      </c>
      <c r="E25" s="4" t="s">
        <v>140</v>
      </c>
      <c r="F25" s="4" t="s">
        <v>141</v>
      </c>
      <c r="G25" s="2">
        <v>904213412</v>
      </c>
      <c r="H25" s="4" t="s">
        <v>142</v>
      </c>
      <c r="I25" s="4" t="s">
        <v>46</v>
      </c>
      <c r="J25" s="4" t="s">
        <v>47</v>
      </c>
      <c r="K25" s="4" t="s">
        <v>48</v>
      </c>
      <c r="L25" s="3">
        <v>45689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64</v>
      </c>
      <c r="U25" s="4" t="s">
        <v>46</v>
      </c>
      <c r="V25" s="5">
        <v>0.92</v>
      </c>
      <c r="W25" s="5">
        <v>0</v>
      </c>
      <c r="X25" s="5">
        <v>100</v>
      </c>
      <c r="Y25" s="5">
        <v>286.92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45689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143</v>
      </c>
      <c r="AO25" s="4" t="s">
        <v>46</v>
      </c>
      <c r="AP25" s="4" t="s">
        <v>46</v>
      </c>
    </row>
    <row r="26" spans="1:42" x14ac:dyDescent="0.15">
      <c r="A26" s="2">
        <v>1891456</v>
      </c>
      <c r="B26" s="3">
        <v>45686</v>
      </c>
      <c r="C26" s="4" t="s">
        <v>144</v>
      </c>
      <c r="D26" s="2">
        <v>1800776</v>
      </c>
      <c r="E26" s="4" t="s">
        <v>145</v>
      </c>
      <c r="F26" s="4" t="s">
        <v>146</v>
      </c>
      <c r="G26" s="2">
        <v>163015173</v>
      </c>
      <c r="H26" s="4" t="s">
        <v>147</v>
      </c>
      <c r="I26" s="4" t="s">
        <v>46</v>
      </c>
      <c r="J26" s="4" t="s">
        <v>47</v>
      </c>
      <c r="K26" s="4" t="s">
        <v>48</v>
      </c>
      <c r="L26" s="3">
        <v>45658</v>
      </c>
      <c r="M26" s="4" t="s">
        <v>63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64</v>
      </c>
      <c r="U26" s="4" t="s">
        <v>46</v>
      </c>
      <c r="V26" s="5">
        <v>-0.92</v>
      </c>
      <c r="W26" s="5">
        <v>0</v>
      </c>
      <c r="X26" s="5">
        <v>100</v>
      </c>
      <c r="Y26" s="5">
        <v>-286.92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45658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65</v>
      </c>
      <c r="AO26" s="4" t="s">
        <v>46</v>
      </c>
      <c r="AP26" s="4" t="s">
        <v>46</v>
      </c>
    </row>
    <row r="27" spans="1:42" x14ac:dyDescent="0.15">
      <c r="A27" s="2">
        <v>1891456</v>
      </c>
      <c r="B27" s="3">
        <v>45686</v>
      </c>
      <c r="C27" s="4" t="s">
        <v>148</v>
      </c>
      <c r="D27" s="2">
        <v>1831491</v>
      </c>
      <c r="E27" s="4" t="s">
        <v>149</v>
      </c>
      <c r="F27" s="4" t="s">
        <v>150</v>
      </c>
      <c r="G27" s="2">
        <v>509424556</v>
      </c>
      <c r="H27" s="4" t="s">
        <v>151</v>
      </c>
      <c r="I27" s="4" t="s">
        <v>46</v>
      </c>
      <c r="J27" s="4" t="s">
        <v>47</v>
      </c>
      <c r="K27" s="4" t="s">
        <v>48</v>
      </c>
      <c r="L27" s="3">
        <v>45689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0.92</v>
      </c>
      <c r="W27" s="5">
        <v>0</v>
      </c>
      <c r="X27" s="5">
        <v>100</v>
      </c>
      <c r="Y27" s="5">
        <v>286.92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45689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15">
      <c r="A28" s="2">
        <v>1891456</v>
      </c>
      <c r="B28" s="3">
        <v>45686</v>
      </c>
      <c r="C28" s="4" t="s">
        <v>148</v>
      </c>
      <c r="D28" s="2">
        <v>1831491</v>
      </c>
      <c r="E28" s="4" t="s">
        <v>152</v>
      </c>
      <c r="F28" s="4" t="s">
        <v>153</v>
      </c>
      <c r="G28" s="2">
        <v>719329315</v>
      </c>
      <c r="H28" s="4" t="s">
        <v>154</v>
      </c>
      <c r="I28" s="4" t="s">
        <v>46</v>
      </c>
      <c r="J28" s="4" t="s">
        <v>47</v>
      </c>
      <c r="K28" s="4" t="s">
        <v>48</v>
      </c>
      <c r="L28" s="3">
        <v>45689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0.92</v>
      </c>
      <c r="W28" s="5">
        <v>0</v>
      </c>
      <c r="X28" s="5">
        <v>100</v>
      </c>
      <c r="Y28" s="5">
        <v>286.92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45689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15">
      <c r="A29" s="2">
        <v>1891456</v>
      </c>
      <c r="B29" s="3">
        <v>45686</v>
      </c>
      <c r="C29" s="4" t="s">
        <v>85</v>
      </c>
      <c r="D29" s="2">
        <v>1510420</v>
      </c>
      <c r="E29" s="4" t="s">
        <v>155</v>
      </c>
      <c r="F29" s="4" t="s">
        <v>156</v>
      </c>
      <c r="G29" s="4" t="s">
        <v>46</v>
      </c>
      <c r="H29" s="4" t="s">
        <v>46</v>
      </c>
      <c r="I29" s="4" t="s">
        <v>46</v>
      </c>
      <c r="J29" s="4" t="s">
        <v>157</v>
      </c>
      <c r="K29" s="4" t="s">
        <v>158</v>
      </c>
      <c r="L29" s="3">
        <v>45689</v>
      </c>
      <c r="M29" s="4" t="s">
        <v>49</v>
      </c>
      <c r="N29" s="4" t="s">
        <v>46</v>
      </c>
      <c r="O29" s="4" t="s">
        <v>159</v>
      </c>
      <c r="P29" s="4" t="s">
        <v>159</v>
      </c>
      <c r="Q29" s="2">
        <v>1</v>
      </c>
      <c r="R29" s="2">
        <v>3</v>
      </c>
      <c r="S29" s="4" t="s">
        <v>160</v>
      </c>
      <c r="T29" s="4" t="s">
        <v>46</v>
      </c>
      <c r="U29" s="4" t="s">
        <v>46</v>
      </c>
      <c r="V29" s="5">
        <v>10</v>
      </c>
      <c r="W29" s="5">
        <v>13.93</v>
      </c>
      <c r="X29" s="5">
        <v>100</v>
      </c>
      <c r="Y29" s="5">
        <v>1.39</v>
      </c>
      <c r="Z29" s="4" t="s">
        <v>46</v>
      </c>
      <c r="AA29" s="5" t="s">
        <v>46</v>
      </c>
      <c r="AB29" s="4" t="s">
        <v>161</v>
      </c>
      <c r="AC29" s="4" t="s">
        <v>46</v>
      </c>
      <c r="AD29" s="5">
        <v>0</v>
      </c>
      <c r="AE29" s="4" t="s">
        <v>162</v>
      </c>
      <c r="AF29" s="3">
        <v>43709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15">
      <c r="A30" s="2">
        <v>1891456</v>
      </c>
      <c r="B30" s="3">
        <v>45686</v>
      </c>
      <c r="C30" s="4" t="s">
        <v>85</v>
      </c>
      <c r="D30" s="2">
        <v>1510420</v>
      </c>
      <c r="E30" s="4" t="s">
        <v>163</v>
      </c>
      <c r="F30" s="4" t="s">
        <v>164</v>
      </c>
      <c r="G30" s="4" t="s">
        <v>46</v>
      </c>
      <c r="H30" s="4" t="s">
        <v>46</v>
      </c>
      <c r="I30" s="4" t="s">
        <v>46</v>
      </c>
      <c r="J30" s="4" t="s">
        <v>157</v>
      </c>
      <c r="K30" s="4" t="s">
        <v>158</v>
      </c>
      <c r="L30" s="3">
        <v>45689</v>
      </c>
      <c r="M30" s="4" t="s">
        <v>49</v>
      </c>
      <c r="N30" s="4" t="s">
        <v>46</v>
      </c>
      <c r="O30" s="4" t="s">
        <v>159</v>
      </c>
      <c r="P30" s="4" t="s">
        <v>159</v>
      </c>
      <c r="Q30" s="2">
        <v>1</v>
      </c>
      <c r="R30" s="2">
        <v>3</v>
      </c>
      <c r="S30" s="4" t="s">
        <v>160</v>
      </c>
      <c r="T30" s="4" t="s">
        <v>46</v>
      </c>
      <c r="U30" s="4" t="s">
        <v>46</v>
      </c>
      <c r="V30" s="5">
        <v>10</v>
      </c>
      <c r="W30" s="5">
        <v>52.78</v>
      </c>
      <c r="X30" s="5">
        <v>100</v>
      </c>
      <c r="Y30" s="5">
        <v>5.28</v>
      </c>
      <c r="Z30" s="4" t="s">
        <v>46</v>
      </c>
      <c r="AA30" s="5" t="s">
        <v>46</v>
      </c>
      <c r="AB30" s="4" t="s">
        <v>161</v>
      </c>
      <c r="AC30" s="4" t="s">
        <v>46</v>
      </c>
      <c r="AD30" s="5">
        <v>0</v>
      </c>
      <c r="AE30" s="4" t="s">
        <v>162</v>
      </c>
      <c r="AF30" s="3">
        <v>44586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15">
      <c r="A31" s="2">
        <v>1891456</v>
      </c>
      <c r="B31" s="3">
        <v>45686</v>
      </c>
      <c r="C31" s="4" t="s">
        <v>165</v>
      </c>
      <c r="D31" s="2">
        <v>1673763</v>
      </c>
      <c r="E31" s="4" t="s">
        <v>166</v>
      </c>
      <c r="F31" s="4" t="s">
        <v>167</v>
      </c>
      <c r="G31" s="4" t="s">
        <v>46</v>
      </c>
      <c r="H31" s="4" t="s">
        <v>46</v>
      </c>
      <c r="I31" s="4" t="s">
        <v>46</v>
      </c>
      <c r="J31" s="4" t="s">
        <v>157</v>
      </c>
      <c r="K31" s="4" t="s">
        <v>158</v>
      </c>
      <c r="L31" s="3">
        <v>45689</v>
      </c>
      <c r="M31" s="4" t="s">
        <v>49</v>
      </c>
      <c r="N31" s="4" t="s">
        <v>46</v>
      </c>
      <c r="O31" s="4" t="s">
        <v>50</v>
      </c>
      <c r="P31" s="4" t="s">
        <v>159</v>
      </c>
      <c r="Q31" s="2">
        <v>1</v>
      </c>
      <c r="R31" s="2">
        <v>60</v>
      </c>
      <c r="S31" s="4" t="s">
        <v>168</v>
      </c>
      <c r="T31" s="4" t="s">
        <v>46</v>
      </c>
      <c r="U31" s="4" t="s">
        <v>46</v>
      </c>
      <c r="V31" s="5">
        <v>10</v>
      </c>
      <c r="W31" s="5">
        <v>12.99</v>
      </c>
      <c r="X31" s="5">
        <v>100</v>
      </c>
      <c r="Y31" s="5">
        <v>36.299999999999997</v>
      </c>
      <c r="Z31" s="4" t="s">
        <v>46</v>
      </c>
      <c r="AA31" s="5" t="s">
        <v>46</v>
      </c>
      <c r="AB31" s="4" t="s">
        <v>169</v>
      </c>
      <c r="AC31" s="4" t="s">
        <v>46</v>
      </c>
      <c r="AD31" s="5">
        <v>0</v>
      </c>
      <c r="AE31" s="4" t="s">
        <v>170</v>
      </c>
      <c r="AF31" s="3">
        <v>45689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15">
      <c r="A32" s="2">
        <v>1891456</v>
      </c>
      <c r="B32" s="3">
        <v>45686</v>
      </c>
      <c r="C32" s="4" t="s">
        <v>171</v>
      </c>
      <c r="D32" s="2">
        <v>1815594</v>
      </c>
      <c r="E32" s="4" t="s">
        <v>172</v>
      </c>
      <c r="F32" s="4" t="s">
        <v>173</v>
      </c>
      <c r="G32" s="4" t="s">
        <v>46</v>
      </c>
      <c r="H32" s="4" t="s">
        <v>46</v>
      </c>
      <c r="I32" s="4" t="s">
        <v>46</v>
      </c>
      <c r="J32" s="4" t="s">
        <v>174</v>
      </c>
      <c r="K32" s="4" t="s">
        <v>175</v>
      </c>
      <c r="L32" s="3">
        <v>45474</v>
      </c>
      <c r="M32" s="4" t="s">
        <v>176</v>
      </c>
      <c r="N32" s="4" t="s">
        <v>46</v>
      </c>
      <c r="O32" s="4" t="s">
        <v>50</v>
      </c>
      <c r="P32" s="4" t="s">
        <v>159</v>
      </c>
      <c r="Q32" s="2">
        <v>3</v>
      </c>
      <c r="R32" s="2">
        <v>3</v>
      </c>
      <c r="S32" s="4" t="s">
        <v>160</v>
      </c>
      <c r="T32" s="4" t="s">
        <v>46</v>
      </c>
      <c r="U32" s="4" t="s">
        <v>46</v>
      </c>
      <c r="V32" s="5">
        <v>10</v>
      </c>
      <c r="W32" s="5">
        <v>58.89</v>
      </c>
      <c r="X32" s="5">
        <v>100</v>
      </c>
      <c r="Y32" s="5">
        <v>5.89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45444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15">
      <c r="A33" s="2">
        <v>1891456</v>
      </c>
      <c r="B33" s="3">
        <v>45686</v>
      </c>
      <c r="C33" s="4" t="s">
        <v>171</v>
      </c>
      <c r="D33" s="2">
        <v>1815594</v>
      </c>
      <c r="E33" s="4" t="s">
        <v>172</v>
      </c>
      <c r="F33" s="4" t="s">
        <v>173</v>
      </c>
      <c r="G33" s="4" t="s">
        <v>46</v>
      </c>
      <c r="H33" s="4" t="s">
        <v>46</v>
      </c>
      <c r="I33" s="4" t="s">
        <v>46</v>
      </c>
      <c r="J33" s="4" t="s">
        <v>174</v>
      </c>
      <c r="K33" s="4" t="s">
        <v>175</v>
      </c>
      <c r="L33" s="3">
        <v>45505</v>
      </c>
      <c r="M33" s="4" t="s">
        <v>177</v>
      </c>
      <c r="N33" s="4" t="s">
        <v>46</v>
      </c>
      <c r="O33" s="4" t="s">
        <v>50</v>
      </c>
      <c r="P33" s="4" t="s">
        <v>159</v>
      </c>
      <c r="Q33" s="2">
        <v>3</v>
      </c>
      <c r="R33" s="2">
        <v>3</v>
      </c>
      <c r="S33" s="4" t="s">
        <v>160</v>
      </c>
      <c r="T33" s="4" t="s">
        <v>46</v>
      </c>
      <c r="U33" s="4" t="s">
        <v>46</v>
      </c>
      <c r="V33" s="5">
        <v>10</v>
      </c>
      <c r="W33" s="5">
        <v>58.89</v>
      </c>
      <c r="X33" s="5">
        <v>100</v>
      </c>
      <c r="Y33" s="5">
        <v>5.89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45444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15">
      <c r="A34" s="2">
        <v>1891456</v>
      </c>
      <c r="B34" s="3">
        <v>45686</v>
      </c>
      <c r="C34" s="4" t="s">
        <v>171</v>
      </c>
      <c r="D34" s="2">
        <v>1815594</v>
      </c>
      <c r="E34" s="4" t="s">
        <v>172</v>
      </c>
      <c r="F34" s="4" t="s">
        <v>173</v>
      </c>
      <c r="G34" s="4" t="s">
        <v>46</v>
      </c>
      <c r="H34" s="4" t="s">
        <v>46</v>
      </c>
      <c r="I34" s="4" t="s">
        <v>46</v>
      </c>
      <c r="J34" s="4" t="s">
        <v>174</v>
      </c>
      <c r="K34" s="4" t="s">
        <v>175</v>
      </c>
      <c r="L34" s="3">
        <v>45536</v>
      </c>
      <c r="M34" s="4" t="s">
        <v>178</v>
      </c>
      <c r="N34" s="4" t="s">
        <v>46</v>
      </c>
      <c r="O34" s="4" t="s">
        <v>50</v>
      </c>
      <c r="P34" s="4" t="s">
        <v>159</v>
      </c>
      <c r="Q34" s="2">
        <v>3</v>
      </c>
      <c r="R34" s="2">
        <v>3</v>
      </c>
      <c r="S34" s="4" t="s">
        <v>160</v>
      </c>
      <c r="T34" s="4" t="s">
        <v>46</v>
      </c>
      <c r="U34" s="4" t="s">
        <v>46</v>
      </c>
      <c r="V34" s="5">
        <v>10</v>
      </c>
      <c r="W34" s="5">
        <v>58.89</v>
      </c>
      <c r="X34" s="5">
        <v>100</v>
      </c>
      <c r="Y34" s="5">
        <v>5.89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45444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15">
      <c r="A35" s="2">
        <v>1891456</v>
      </c>
      <c r="B35" s="3">
        <v>45686</v>
      </c>
      <c r="C35" s="4" t="s">
        <v>179</v>
      </c>
      <c r="D35" s="2">
        <v>1875462</v>
      </c>
      <c r="E35" s="4" t="s">
        <v>180</v>
      </c>
      <c r="F35" s="4" t="s">
        <v>181</v>
      </c>
      <c r="G35" s="4" t="s">
        <v>46</v>
      </c>
      <c r="H35" s="4" t="s">
        <v>46</v>
      </c>
      <c r="I35" s="4" t="s">
        <v>46</v>
      </c>
      <c r="J35" s="4" t="s">
        <v>182</v>
      </c>
      <c r="K35" s="4" t="s">
        <v>48</v>
      </c>
      <c r="L35" s="3">
        <v>45689</v>
      </c>
      <c r="M35" s="4" t="s">
        <v>49</v>
      </c>
      <c r="N35" s="4" t="s">
        <v>46</v>
      </c>
      <c r="O35" s="4" t="s">
        <v>50</v>
      </c>
      <c r="P35" s="4" t="s">
        <v>159</v>
      </c>
      <c r="Q35" s="2">
        <v>1</v>
      </c>
      <c r="R35" s="2">
        <v>17</v>
      </c>
      <c r="S35" s="4" t="s">
        <v>51</v>
      </c>
      <c r="T35" s="4" t="s">
        <v>46</v>
      </c>
      <c r="U35" s="4" t="s">
        <v>46</v>
      </c>
      <c r="V35" s="5">
        <v>22</v>
      </c>
      <c r="W35" s="5">
        <v>1801.56</v>
      </c>
      <c r="X35" s="5">
        <v>100</v>
      </c>
      <c r="Y35" s="5">
        <v>396.36</v>
      </c>
      <c r="Z35" s="5">
        <v>0</v>
      </c>
      <c r="AA35" s="5">
        <v>0</v>
      </c>
      <c r="AB35" s="4" t="s">
        <v>183</v>
      </c>
      <c r="AC35" s="4" t="s">
        <v>46</v>
      </c>
      <c r="AD35" s="5">
        <v>0</v>
      </c>
      <c r="AE35" s="4" t="s">
        <v>184</v>
      </c>
      <c r="AF35" s="3">
        <v>45689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15">
      <c r="A36" s="2">
        <v>1891456</v>
      </c>
      <c r="B36" s="3">
        <v>45686</v>
      </c>
      <c r="C36" s="4" t="s">
        <v>46</v>
      </c>
      <c r="D36" s="2" t="s">
        <v>46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46</v>
      </c>
      <c r="L36" s="4" t="s">
        <v>46</v>
      </c>
      <c r="M36" s="4" t="s">
        <v>63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46</v>
      </c>
      <c r="S36" s="4" t="s">
        <v>46</v>
      </c>
      <c r="T36" s="4" t="s">
        <v>46</v>
      </c>
      <c r="U36" s="4" t="s">
        <v>46</v>
      </c>
      <c r="V36" s="5" t="s">
        <v>46</v>
      </c>
      <c r="W36" s="4" t="s">
        <v>46</v>
      </c>
      <c r="X36" s="5" t="s">
        <v>46</v>
      </c>
      <c r="Y36" s="4" t="s">
        <v>46</v>
      </c>
      <c r="Z36" s="4" t="s">
        <v>46</v>
      </c>
      <c r="AA36" s="5" t="s">
        <v>46</v>
      </c>
      <c r="AB36" s="4" t="s">
        <v>46</v>
      </c>
      <c r="AC36" s="4" t="s">
        <v>185</v>
      </c>
      <c r="AD36" s="5">
        <v>0</v>
      </c>
      <c r="AE36" s="4" t="s">
        <v>186</v>
      </c>
      <c r="AF36" s="4" t="s">
        <v>46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15">
      <c r="A37" s="2">
        <v>1891456</v>
      </c>
      <c r="B37" s="3">
        <v>45686</v>
      </c>
      <c r="C37" s="4" t="s">
        <v>46</v>
      </c>
      <c r="D37" s="2" t="s">
        <v>46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  <c r="J37" s="4" t="s">
        <v>46</v>
      </c>
      <c r="K37" s="4" t="s">
        <v>46</v>
      </c>
      <c r="L37" s="4" t="s">
        <v>46</v>
      </c>
      <c r="M37" s="4" t="s">
        <v>63</v>
      </c>
      <c r="N37" s="4" t="s">
        <v>46</v>
      </c>
      <c r="O37" s="4" t="s">
        <v>46</v>
      </c>
      <c r="P37" s="4" t="s">
        <v>46</v>
      </c>
      <c r="Q37" s="4" t="s">
        <v>46</v>
      </c>
      <c r="R37" s="4" t="s">
        <v>46</v>
      </c>
      <c r="S37" s="4" t="s">
        <v>46</v>
      </c>
      <c r="T37" s="4" t="s">
        <v>46</v>
      </c>
      <c r="U37" s="4" t="s">
        <v>46</v>
      </c>
      <c r="V37" s="5" t="s">
        <v>46</v>
      </c>
      <c r="W37" s="4" t="s">
        <v>46</v>
      </c>
      <c r="X37" s="5" t="s">
        <v>46</v>
      </c>
      <c r="Y37" s="4" t="s">
        <v>46</v>
      </c>
      <c r="Z37" s="4" t="s">
        <v>46</v>
      </c>
      <c r="AA37" s="5" t="s">
        <v>46</v>
      </c>
      <c r="AB37" s="4" t="s">
        <v>46</v>
      </c>
      <c r="AC37" s="4" t="s">
        <v>187</v>
      </c>
      <c r="AD37" s="5">
        <v>0</v>
      </c>
      <c r="AE37" s="4" t="s">
        <v>188</v>
      </c>
      <c r="AF37" s="4" t="s">
        <v>46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9FBD-BDFF-4201-A46B-9C9B64EEB591}">
  <dimension ref="A1:S35"/>
  <sheetViews>
    <sheetView tabSelected="1" topLeftCell="H1" workbookViewId="0">
      <selection activeCell="Q2" sqref="Q2:Q27"/>
    </sheetView>
  </sheetViews>
  <sheetFormatPr baseColWidth="10" defaultColWidth="8.83203125" defaultRowHeight="13" x14ac:dyDescent="0.15"/>
  <cols>
    <col min="1" max="1" width="25.33203125" bestFit="1" customWidth="1"/>
    <col min="2" max="2" width="16.33203125" style="9" customWidth="1"/>
    <col min="3" max="3" width="28.1640625" bestFit="1" customWidth="1"/>
    <col min="4" max="4" width="13.5" bestFit="1" customWidth="1"/>
    <col min="5" max="5" width="19.6640625" bestFit="1" customWidth="1"/>
    <col min="7" max="7" width="9.83203125" bestFit="1" customWidth="1"/>
    <col min="8" max="8" width="10.6640625" bestFit="1" customWidth="1"/>
    <col min="9" max="9" width="10.1640625" bestFit="1" customWidth="1"/>
    <col min="10" max="10" width="5" bestFit="1" customWidth="1"/>
    <col min="11" max="11" width="10.6640625" bestFit="1" customWidth="1"/>
    <col min="12" max="12" width="10" bestFit="1" customWidth="1"/>
    <col min="13" max="13" width="11" bestFit="1" customWidth="1"/>
    <col min="14" max="14" width="14" bestFit="1" customWidth="1"/>
    <col min="15" max="15" width="12.1640625" bestFit="1" customWidth="1"/>
    <col min="16" max="16" width="40.5" bestFit="1" customWidth="1"/>
  </cols>
  <sheetData>
    <row r="1" spans="1:19" x14ac:dyDescent="0.15">
      <c r="A1" s="1" t="s">
        <v>2</v>
      </c>
      <c r="B1" s="7" t="s">
        <v>3</v>
      </c>
      <c r="C1" s="1" t="s">
        <v>4</v>
      </c>
      <c r="D1" s="1" t="s">
        <v>5</v>
      </c>
      <c r="E1" s="1"/>
      <c r="F1" s="1" t="s">
        <v>31</v>
      </c>
      <c r="G1" s="1" t="s">
        <v>11</v>
      </c>
      <c r="H1" s="1" t="s">
        <v>12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27</v>
      </c>
    </row>
    <row r="2" spans="1:19" x14ac:dyDescent="0.15">
      <c r="A2" s="4" t="s">
        <v>139</v>
      </c>
      <c r="B2" s="8">
        <v>19396223</v>
      </c>
      <c r="C2" s="4" t="s">
        <v>271</v>
      </c>
      <c r="D2" s="4" t="s">
        <v>141</v>
      </c>
      <c r="E2" s="6" t="s">
        <v>290</v>
      </c>
      <c r="F2" s="3">
        <v>45689</v>
      </c>
      <c r="G2" s="3">
        <v>45689</v>
      </c>
      <c r="H2" s="4" t="s">
        <v>49</v>
      </c>
      <c r="I2" s="2">
        <v>1</v>
      </c>
      <c r="J2" s="2">
        <v>17</v>
      </c>
      <c r="K2" s="4" t="s">
        <v>51</v>
      </c>
      <c r="L2" s="4" t="s">
        <v>64</v>
      </c>
      <c r="M2" s="5">
        <v>0.92</v>
      </c>
      <c r="N2" s="5">
        <v>0</v>
      </c>
      <c r="O2" s="5">
        <v>286.92</v>
      </c>
      <c r="P2" s="4" t="s">
        <v>53</v>
      </c>
      <c r="Q2" t="s">
        <v>282</v>
      </c>
      <c r="S2" t="s">
        <v>286</v>
      </c>
    </row>
    <row r="3" spans="1:19" x14ac:dyDescent="0.15">
      <c r="A3" s="4" t="s">
        <v>95</v>
      </c>
      <c r="B3" s="8">
        <v>1706194</v>
      </c>
      <c r="C3" s="4" t="s">
        <v>259</v>
      </c>
      <c r="D3" s="4" t="s">
        <v>97</v>
      </c>
      <c r="E3" s="6" t="s">
        <v>291</v>
      </c>
      <c r="F3" s="3">
        <v>45689</v>
      </c>
      <c r="G3" s="3">
        <v>45689</v>
      </c>
      <c r="H3" s="4" t="s">
        <v>49</v>
      </c>
      <c r="I3" s="2">
        <v>1</v>
      </c>
      <c r="J3" s="2">
        <v>17</v>
      </c>
      <c r="K3" s="4" t="s">
        <v>51</v>
      </c>
      <c r="L3" s="4" t="s">
        <v>52</v>
      </c>
      <c r="M3" s="5">
        <v>0.92</v>
      </c>
      <c r="N3" s="5">
        <v>0</v>
      </c>
      <c r="O3" s="5">
        <v>286.92</v>
      </c>
      <c r="P3" s="4" t="s">
        <v>53</v>
      </c>
      <c r="Q3" t="s">
        <v>282</v>
      </c>
      <c r="S3" t="s">
        <v>286</v>
      </c>
    </row>
    <row r="4" spans="1:19" x14ac:dyDescent="0.15">
      <c r="A4" s="4" t="s">
        <v>69</v>
      </c>
      <c r="B4" s="8">
        <v>8244481</v>
      </c>
      <c r="C4" s="4" t="s">
        <v>252</v>
      </c>
      <c r="D4" s="4" t="s">
        <v>71</v>
      </c>
      <c r="E4" s="6" t="s">
        <v>292</v>
      </c>
      <c r="F4" s="3">
        <v>45689</v>
      </c>
      <c r="G4" s="3">
        <v>45689</v>
      </c>
      <c r="H4" s="4" t="s">
        <v>49</v>
      </c>
      <c r="I4" s="2">
        <v>1</v>
      </c>
      <c r="J4" s="2">
        <v>17</v>
      </c>
      <c r="K4" s="4" t="s">
        <v>51</v>
      </c>
      <c r="L4" s="4" t="s">
        <v>52</v>
      </c>
      <c r="M4" s="5">
        <v>0.92</v>
      </c>
      <c r="N4" s="5">
        <v>0</v>
      </c>
      <c r="O4" s="5">
        <v>286.92</v>
      </c>
      <c r="P4" s="4" t="s">
        <v>53</v>
      </c>
      <c r="Q4" t="s">
        <v>282</v>
      </c>
      <c r="S4" t="s">
        <v>286</v>
      </c>
    </row>
    <row r="5" spans="1:19" x14ac:dyDescent="0.15">
      <c r="A5" s="4" t="s">
        <v>69</v>
      </c>
      <c r="B5" s="8">
        <v>8244481</v>
      </c>
      <c r="C5" s="4" t="s">
        <v>253</v>
      </c>
      <c r="D5" s="4" t="s">
        <v>74</v>
      </c>
      <c r="E5" s="6" t="s">
        <v>293</v>
      </c>
      <c r="F5" s="3">
        <v>45717</v>
      </c>
      <c r="G5" s="3">
        <v>45717</v>
      </c>
      <c r="H5" s="4" t="s">
        <v>76</v>
      </c>
      <c r="I5" s="2">
        <v>1</v>
      </c>
      <c r="J5" s="2">
        <v>17</v>
      </c>
      <c r="K5" s="4" t="s">
        <v>51</v>
      </c>
      <c r="L5" s="4" t="s">
        <v>52</v>
      </c>
      <c r="M5" s="5">
        <v>0.83</v>
      </c>
      <c r="N5" s="5">
        <v>0</v>
      </c>
      <c r="O5" s="5">
        <v>260.83</v>
      </c>
      <c r="P5" s="4" t="s">
        <v>53</v>
      </c>
      <c r="Q5" t="s">
        <v>283</v>
      </c>
      <c r="S5" t="s">
        <v>286</v>
      </c>
    </row>
    <row r="6" spans="1:19" x14ac:dyDescent="0.15">
      <c r="A6" s="4" t="s">
        <v>107</v>
      </c>
      <c r="B6" s="8">
        <v>17126004</v>
      </c>
      <c r="C6" s="4" t="s">
        <v>262</v>
      </c>
      <c r="D6" s="4" t="s">
        <v>109</v>
      </c>
      <c r="E6" s="6" t="s">
        <v>294</v>
      </c>
      <c r="F6" s="3">
        <v>45689</v>
      </c>
      <c r="G6" s="3">
        <v>45689</v>
      </c>
      <c r="H6" s="4" t="s">
        <v>49</v>
      </c>
      <c r="I6" s="2">
        <v>1</v>
      </c>
      <c r="J6" s="2">
        <v>17</v>
      </c>
      <c r="K6" s="4" t="s">
        <v>51</v>
      </c>
      <c r="L6" s="4" t="s">
        <v>64</v>
      </c>
      <c r="M6" s="5">
        <v>0.92</v>
      </c>
      <c r="N6" s="5">
        <v>0</v>
      </c>
      <c r="O6" s="5">
        <v>286.92</v>
      </c>
      <c r="P6" s="4" t="s">
        <v>53</v>
      </c>
      <c r="Q6" t="s">
        <v>282</v>
      </c>
      <c r="S6" t="s">
        <v>286</v>
      </c>
    </row>
    <row r="7" spans="1:19" x14ac:dyDescent="0.15">
      <c r="A7" s="4" t="s">
        <v>148</v>
      </c>
      <c r="B7" s="8" t="s">
        <v>280</v>
      </c>
      <c r="C7" s="4" t="s">
        <v>273</v>
      </c>
      <c r="D7" s="4" t="s">
        <v>150</v>
      </c>
      <c r="E7" s="6" t="s">
        <v>295</v>
      </c>
      <c r="F7" s="3">
        <v>45689</v>
      </c>
      <c r="G7" s="3">
        <v>45689</v>
      </c>
      <c r="H7" s="4" t="s">
        <v>49</v>
      </c>
      <c r="I7" s="2">
        <v>1</v>
      </c>
      <c r="J7" s="2">
        <v>17</v>
      </c>
      <c r="K7" s="4" t="s">
        <v>51</v>
      </c>
      <c r="L7" s="4" t="s">
        <v>52</v>
      </c>
      <c r="M7" s="5">
        <v>0.92</v>
      </c>
      <c r="N7" s="5">
        <v>0</v>
      </c>
      <c r="O7" s="5">
        <v>286.92</v>
      </c>
      <c r="P7" s="4" t="s">
        <v>53</v>
      </c>
      <c r="Q7" t="s">
        <v>282</v>
      </c>
      <c r="S7" t="s">
        <v>286</v>
      </c>
    </row>
    <row r="8" spans="1:19" x14ac:dyDescent="0.15">
      <c r="A8" s="4" t="s">
        <v>148</v>
      </c>
      <c r="B8" s="8" t="s">
        <v>280</v>
      </c>
      <c r="C8" s="4" t="s">
        <v>274</v>
      </c>
      <c r="D8" s="4" t="s">
        <v>153</v>
      </c>
      <c r="E8" s="6" t="s">
        <v>296</v>
      </c>
      <c r="F8" s="3">
        <v>45689</v>
      </c>
      <c r="G8" s="3">
        <v>45689</v>
      </c>
      <c r="H8" s="4" t="s">
        <v>49</v>
      </c>
      <c r="I8" s="2">
        <v>1</v>
      </c>
      <c r="J8" s="2">
        <v>17</v>
      </c>
      <c r="K8" s="4" t="s">
        <v>51</v>
      </c>
      <c r="L8" s="4" t="s">
        <v>52</v>
      </c>
      <c r="M8" s="5">
        <v>0.92</v>
      </c>
      <c r="N8" s="5">
        <v>0</v>
      </c>
      <c r="O8" s="5">
        <v>286.92</v>
      </c>
      <c r="P8" s="4" t="s">
        <v>53</v>
      </c>
      <c r="Q8" t="s">
        <v>282</v>
      </c>
      <c r="S8" t="s">
        <v>286</v>
      </c>
    </row>
    <row r="9" spans="1:19" x14ac:dyDescent="0.15">
      <c r="A9" s="4" t="s">
        <v>42</v>
      </c>
      <c r="B9" s="8">
        <v>2158366</v>
      </c>
      <c r="C9" s="4" t="s">
        <v>248</v>
      </c>
      <c r="D9" s="4" t="s">
        <v>44</v>
      </c>
      <c r="E9" s="6" t="s">
        <v>297</v>
      </c>
      <c r="F9" s="3">
        <v>45689</v>
      </c>
      <c r="G9" s="3">
        <v>45689</v>
      </c>
      <c r="H9" s="4" t="s">
        <v>49</v>
      </c>
      <c r="I9" s="2">
        <v>1</v>
      </c>
      <c r="J9" s="2">
        <v>17</v>
      </c>
      <c r="K9" s="4" t="s">
        <v>51</v>
      </c>
      <c r="L9" s="4" t="s">
        <v>52</v>
      </c>
      <c r="M9" s="5">
        <v>0.92</v>
      </c>
      <c r="N9" s="5">
        <v>0</v>
      </c>
      <c r="O9" s="5">
        <v>286.92</v>
      </c>
      <c r="P9" s="4" t="s">
        <v>53</v>
      </c>
      <c r="Q9" t="s">
        <v>282</v>
      </c>
      <c r="S9" t="s">
        <v>286</v>
      </c>
    </row>
    <row r="10" spans="1:19" x14ac:dyDescent="0.15">
      <c r="A10" s="4" t="s">
        <v>42</v>
      </c>
      <c r="B10" s="8">
        <v>2158366</v>
      </c>
      <c r="C10" s="4" t="s">
        <v>249</v>
      </c>
      <c r="D10" s="4" t="s">
        <v>57</v>
      </c>
      <c r="E10" s="6" t="s">
        <v>298</v>
      </c>
      <c r="F10" s="3">
        <v>45689</v>
      </c>
      <c r="G10" s="3">
        <v>45689</v>
      </c>
      <c r="H10" s="4" t="s">
        <v>49</v>
      </c>
      <c r="I10" s="2">
        <v>1</v>
      </c>
      <c r="J10" s="2">
        <v>17</v>
      </c>
      <c r="K10" s="4" t="s">
        <v>51</v>
      </c>
      <c r="L10" s="4" t="s">
        <v>52</v>
      </c>
      <c r="M10" s="5">
        <v>0.92</v>
      </c>
      <c r="N10" s="5">
        <v>0</v>
      </c>
      <c r="O10" s="5">
        <v>286.92</v>
      </c>
      <c r="P10" s="4" t="s">
        <v>53</v>
      </c>
      <c r="Q10" t="s">
        <v>282</v>
      </c>
      <c r="S10" t="s">
        <v>286</v>
      </c>
    </row>
    <row r="11" spans="1:19" x14ac:dyDescent="0.15">
      <c r="A11" s="4" t="s">
        <v>85</v>
      </c>
      <c r="B11" s="8">
        <v>7146581</v>
      </c>
      <c r="C11" s="4" t="s">
        <v>256</v>
      </c>
      <c r="D11" s="4" t="s">
        <v>87</v>
      </c>
      <c r="E11" s="6" t="s">
        <v>299</v>
      </c>
      <c r="F11" s="3">
        <v>45689</v>
      </c>
      <c r="G11" s="3">
        <v>45689</v>
      </c>
      <c r="H11" s="4" t="s">
        <v>49</v>
      </c>
      <c r="I11" s="2">
        <v>1</v>
      </c>
      <c r="J11" s="2">
        <v>17</v>
      </c>
      <c r="K11" s="4" t="s">
        <v>51</v>
      </c>
      <c r="L11" s="4" t="s">
        <v>64</v>
      </c>
      <c r="M11" s="5">
        <v>0.92</v>
      </c>
      <c r="N11" s="5">
        <v>0</v>
      </c>
      <c r="O11" s="5">
        <v>286.92</v>
      </c>
      <c r="P11" s="4" t="s">
        <v>53</v>
      </c>
      <c r="Q11" t="s">
        <v>282</v>
      </c>
      <c r="S11" t="s">
        <v>286</v>
      </c>
    </row>
    <row r="12" spans="1:19" x14ac:dyDescent="0.15">
      <c r="A12" s="4" t="s">
        <v>85</v>
      </c>
      <c r="B12" s="8">
        <v>7146581</v>
      </c>
      <c r="C12" s="4" t="s">
        <v>257</v>
      </c>
      <c r="D12" s="4" t="s">
        <v>90</v>
      </c>
      <c r="E12" s="6" t="s">
        <v>300</v>
      </c>
      <c r="F12" s="3">
        <v>45717</v>
      </c>
      <c r="G12" s="3">
        <v>45717</v>
      </c>
      <c r="H12" s="4" t="s">
        <v>76</v>
      </c>
      <c r="I12" s="2">
        <v>1</v>
      </c>
      <c r="J12" s="2">
        <v>17</v>
      </c>
      <c r="K12" s="4" t="s">
        <v>51</v>
      </c>
      <c r="L12" s="4" t="s">
        <v>52</v>
      </c>
      <c r="M12" s="5">
        <v>0.83</v>
      </c>
      <c r="N12" s="5">
        <v>0</v>
      </c>
      <c r="O12" s="5">
        <v>260.83</v>
      </c>
      <c r="P12" s="4" t="s">
        <v>53</v>
      </c>
      <c r="Q12" t="s">
        <v>283</v>
      </c>
      <c r="S12" t="s">
        <v>286</v>
      </c>
    </row>
    <row r="13" spans="1:19" x14ac:dyDescent="0.15">
      <c r="A13" s="4" t="s">
        <v>85</v>
      </c>
      <c r="B13" s="8">
        <v>7146581</v>
      </c>
      <c r="C13" s="4" t="s">
        <v>258</v>
      </c>
      <c r="D13" s="4" t="s">
        <v>93</v>
      </c>
      <c r="E13" s="6" t="s">
        <v>301</v>
      </c>
      <c r="F13" s="3">
        <v>45658</v>
      </c>
      <c r="G13" s="3">
        <v>45658</v>
      </c>
      <c r="H13" s="4" t="s">
        <v>63</v>
      </c>
      <c r="I13" s="2">
        <v>1</v>
      </c>
      <c r="J13" s="2">
        <v>17</v>
      </c>
      <c r="K13" s="4" t="s">
        <v>51</v>
      </c>
      <c r="L13" s="4" t="s">
        <v>52</v>
      </c>
      <c r="M13" s="5">
        <v>1</v>
      </c>
      <c r="N13" s="5">
        <v>0</v>
      </c>
      <c r="O13" s="5">
        <v>313</v>
      </c>
      <c r="P13" s="4" t="s">
        <v>53</v>
      </c>
      <c r="Q13" t="s">
        <v>284</v>
      </c>
      <c r="S13" t="s">
        <v>286</v>
      </c>
    </row>
    <row r="14" spans="1:19" x14ac:dyDescent="0.15">
      <c r="A14" s="4" t="s">
        <v>77</v>
      </c>
      <c r="B14" s="8">
        <v>8307933</v>
      </c>
      <c r="C14" s="4" t="s">
        <v>254</v>
      </c>
      <c r="D14" s="4" t="s">
        <v>79</v>
      </c>
      <c r="E14" s="6" t="s">
        <v>302</v>
      </c>
      <c r="F14" s="3">
        <v>45658</v>
      </c>
      <c r="G14" s="3">
        <v>45658</v>
      </c>
      <c r="H14" s="4" t="s">
        <v>63</v>
      </c>
      <c r="I14" s="2">
        <v>1</v>
      </c>
      <c r="J14" s="2">
        <v>17</v>
      </c>
      <c r="K14" s="4" t="s">
        <v>51</v>
      </c>
      <c r="L14" s="4" t="s">
        <v>52</v>
      </c>
      <c r="M14" s="5">
        <v>-0.92</v>
      </c>
      <c r="N14" s="5">
        <v>0</v>
      </c>
      <c r="O14" s="5">
        <v>-286.92</v>
      </c>
      <c r="P14" s="4" t="s">
        <v>53</v>
      </c>
      <c r="Q14" t="s">
        <v>282</v>
      </c>
      <c r="S14" t="s">
        <v>286</v>
      </c>
    </row>
    <row r="15" spans="1:19" x14ac:dyDescent="0.15">
      <c r="A15" s="4" t="s">
        <v>77</v>
      </c>
      <c r="B15" s="8">
        <v>8307933</v>
      </c>
      <c r="C15" s="4" t="s">
        <v>255</v>
      </c>
      <c r="D15" s="4" t="s">
        <v>82</v>
      </c>
      <c r="E15" s="6" t="s">
        <v>303</v>
      </c>
      <c r="F15" s="3">
        <v>45748</v>
      </c>
      <c r="G15" s="3">
        <v>45748</v>
      </c>
      <c r="H15" s="4" t="s">
        <v>84</v>
      </c>
      <c r="I15" s="2">
        <v>1</v>
      </c>
      <c r="J15" s="2">
        <v>17</v>
      </c>
      <c r="K15" s="4" t="s">
        <v>51</v>
      </c>
      <c r="L15" s="4" t="s">
        <v>52</v>
      </c>
      <c r="M15" s="5">
        <v>0.75</v>
      </c>
      <c r="N15" s="5">
        <v>0</v>
      </c>
      <c r="O15" s="5">
        <v>234.75</v>
      </c>
      <c r="P15" s="4" t="s">
        <v>53</v>
      </c>
      <c r="Q15" t="s">
        <v>285</v>
      </c>
      <c r="S15" t="s">
        <v>286</v>
      </c>
    </row>
    <row r="16" spans="1:19" x14ac:dyDescent="0.15">
      <c r="A16" s="4" t="s">
        <v>99</v>
      </c>
      <c r="B16" s="8">
        <v>16633294</v>
      </c>
      <c r="C16" s="4" t="s">
        <v>260</v>
      </c>
      <c r="D16" s="4" t="s">
        <v>101</v>
      </c>
      <c r="E16" s="6" t="s">
        <v>304</v>
      </c>
      <c r="F16" s="3">
        <v>45689</v>
      </c>
      <c r="G16" s="3">
        <v>45689</v>
      </c>
      <c r="H16" s="4" t="s">
        <v>49</v>
      </c>
      <c r="I16" s="2">
        <v>1</v>
      </c>
      <c r="J16" s="2">
        <v>17</v>
      </c>
      <c r="K16" s="4" t="s">
        <v>51</v>
      </c>
      <c r="L16" s="4" t="s">
        <v>52</v>
      </c>
      <c r="M16" s="5">
        <v>0.92</v>
      </c>
      <c r="N16" s="5">
        <v>0</v>
      </c>
      <c r="O16" s="5">
        <v>286.92</v>
      </c>
      <c r="P16" s="4" t="s">
        <v>53</v>
      </c>
      <c r="Q16" t="s">
        <v>282</v>
      </c>
      <c r="S16" t="s">
        <v>286</v>
      </c>
    </row>
    <row r="17" spans="1:19" x14ac:dyDescent="0.15">
      <c r="A17" s="4" t="s">
        <v>103</v>
      </c>
      <c r="B17" s="8">
        <v>16202925</v>
      </c>
      <c r="C17" s="4" t="s">
        <v>261</v>
      </c>
      <c r="D17" s="4" t="s">
        <v>105</v>
      </c>
      <c r="E17" s="6" t="s">
        <v>305</v>
      </c>
      <c r="F17" s="3">
        <v>45658</v>
      </c>
      <c r="G17" s="3">
        <v>45658</v>
      </c>
      <c r="H17" s="4" t="s">
        <v>63</v>
      </c>
      <c r="I17" s="2">
        <v>1</v>
      </c>
      <c r="J17" s="2">
        <v>17</v>
      </c>
      <c r="K17" s="4" t="s">
        <v>51</v>
      </c>
      <c r="L17" s="4" t="s">
        <v>52</v>
      </c>
      <c r="M17" s="5">
        <v>-0.92</v>
      </c>
      <c r="N17" s="5">
        <v>0</v>
      </c>
      <c r="O17" s="5">
        <v>-286.92</v>
      </c>
      <c r="P17" s="4" t="s">
        <v>53</v>
      </c>
      <c r="Q17" t="s">
        <v>282</v>
      </c>
      <c r="S17" t="s">
        <v>286</v>
      </c>
    </row>
    <row r="18" spans="1:19" x14ac:dyDescent="0.15">
      <c r="A18" s="4" t="s">
        <v>59</v>
      </c>
      <c r="B18" s="8">
        <v>8814784</v>
      </c>
      <c r="C18" s="4" t="s">
        <v>250</v>
      </c>
      <c r="D18" s="4" t="s">
        <v>61</v>
      </c>
      <c r="E18" s="6" t="s">
        <v>306</v>
      </c>
      <c r="F18" s="3">
        <v>45658</v>
      </c>
      <c r="G18" s="3">
        <v>45658</v>
      </c>
      <c r="H18" s="4" t="s">
        <v>63</v>
      </c>
      <c r="I18" s="2">
        <v>1</v>
      </c>
      <c r="J18" s="2">
        <v>17</v>
      </c>
      <c r="K18" s="4" t="s">
        <v>51</v>
      </c>
      <c r="L18" s="4" t="s">
        <v>64</v>
      </c>
      <c r="M18" s="5">
        <v>-0.92</v>
      </c>
      <c r="N18" s="5">
        <v>0</v>
      </c>
      <c r="O18" s="5">
        <v>-286.92</v>
      </c>
      <c r="P18" s="4" t="s">
        <v>53</v>
      </c>
      <c r="Q18" t="s">
        <v>282</v>
      </c>
      <c r="S18" t="s">
        <v>286</v>
      </c>
    </row>
    <row r="19" spans="1:19" x14ac:dyDescent="0.15">
      <c r="A19" s="4" t="s">
        <v>59</v>
      </c>
      <c r="B19" s="8">
        <v>8814784</v>
      </c>
      <c r="C19" s="4" t="s">
        <v>251</v>
      </c>
      <c r="D19" s="4" t="s">
        <v>67</v>
      </c>
      <c r="E19" s="6" t="s">
        <v>307</v>
      </c>
      <c r="F19" s="3">
        <v>45689</v>
      </c>
      <c r="G19" s="3">
        <v>45689</v>
      </c>
      <c r="H19" s="4" t="s">
        <v>49</v>
      </c>
      <c r="I19" s="2">
        <v>1</v>
      </c>
      <c r="J19" s="2">
        <v>17</v>
      </c>
      <c r="K19" s="4" t="s">
        <v>51</v>
      </c>
      <c r="L19" s="4" t="s">
        <v>52</v>
      </c>
      <c r="M19" s="5">
        <v>0.92</v>
      </c>
      <c r="N19" s="5">
        <v>0</v>
      </c>
      <c r="O19" s="5">
        <v>286.92</v>
      </c>
      <c r="P19" s="4" t="s">
        <v>53</v>
      </c>
      <c r="Q19" t="s">
        <v>282</v>
      </c>
      <c r="S19" t="s">
        <v>286</v>
      </c>
    </row>
    <row r="20" spans="1:19" x14ac:dyDescent="0.15">
      <c r="A20" s="4" t="s">
        <v>111</v>
      </c>
      <c r="B20" s="8">
        <v>9213293</v>
      </c>
      <c r="C20" s="4" t="s">
        <v>263</v>
      </c>
      <c r="D20" s="4" t="s">
        <v>113</v>
      </c>
      <c r="E20" s="6" t="s">
        <v>308</v>
      </c>
      <c r="F20" s="3">
        <v>45689</v>
      </c>
      <c r="G20" s="3">
        <v>45689</v>
      </c>
      <c r="H20" s="4" t="s">
        <v>49</v>
      </c>
      <c r="I20" s="2">
        <v>1</v>
      </c>
      <c r="J20" s="2">
        <v>17</v>
      </c>
      <c r="K20" s="4" t="s">
        <v>51</v>
      </c>
      <c r="L20" s="4" t="s">
        <v>64</v>
      </c>
      <c r="M20" s="5">
        <v>0.92</v>
      </c>
      <c r="N20" s="5">
        <v>0</v>
      </c>
      <c r="O20" s="5">
        <v>286.92</v>
      </c>
      <c r="P20" s="4" t="s">
        <v>53</v>
      </c>
      <c r="Q20" t="s">
        <v>282</v>
      </c>
      <c r="S20" t="s">
        <v>286</v>
      </c>
    </row>
    <row r="21" spans="1:19" x14ac:dyDescent="0.15">
      <c r="A21" s="4" t="s">
        <v>111</v>
      </c>
      <c r="B21" s="8">
        <v>9213293</v>
      </c>
      <c r="C21" s="4" t="s">
        <v>264</v>
      </c>
      <c r="D21" s="4" t="s">
        <v>116</v>
      </c>
      <c r="E21" s="6" t="s">
        <v>309</v>
      </c>
      <c r="F21" s="3">
        <v>45658</v>
      </c>
      <c r="G21" s="3">
        <v>45658</v>
      </c>
      <c r="H21" s="4" t="s">
        <v>63</v>
      </c>
      <c r="I21" s="2">
        <v>1</v>
      </c>
      <c r="J21" s="2">
        <v>17</v>
      </c>
      <c r="K21" s="4" t="s">
        <v>51</v>
      </c>
      <c r="L21" s="4" t="s">
        <v>52</v>
      </c>
      <c r="M21" s="5">
        <v>0.92</v>
      </c>
      <c r="N21" s="5">
        <v>0</v>
      </c>
      <c r="O21" s="5">
        <v>286.92</v>
      </c>
      <c r="P21" s="4" t="s">
        <v>53</v>
      </c>
      <c r="Q21" t="s">
        <v>282</v>
      </c>
      <c r="S21" t="s">
        <v>286</v>
      </c>
    </row>
    <row r="22" spans="1:19" x14ac:dyDescent="0.15">
      <c r="A22" s="4" t="s">
        <v>111</v>
      </c>
      <c r="B22" s="8">
        <v>9213293</v>
      </c>
      <c r="C22" s="4" t="s">
        <v>265</v>
      </c>
      <c r="D22" s="4" t="s">
        <v>119</v>
      </c>
      <c r="E22" s="6" t="s">
        <v>310</v>
      </c>
      <c r="F22" s="3">
        <v>45689</v>
      </c>
      <c r="G22" s="3">
        <v>45689</v>
      </c>
      <c r="H22" s="4" t="s">
        <v>49</v>
      </c>
      <c r="I22" s="2">
        <v>1</v>
      </c>
      <c r="J22" s="2">
        <v>17</v>
      </c>
      <c r="K22" s="4" t="s">
        <v>51</v>
      </c>
      <c r="L22" s="4" t="s">
        <v>64</v>
      </c>
      <c r="M22" s="5">
        <v>0.92</v>
      </c>
      <c r="N22" s="5">
        <v>0</v>
      </c>
      <c r="O22" s="5">
        <v>286.92</v>
      </c>
      <c r="P22" s="4" t="s">
        <v>53</v>
      </c>
      <c r="Q22" t="s">
        <v>282</v>
      </c>
      <c r="S22" t="s">
        <v>286</v>
      </c>
    </row>
    <row r="23" spans="1:19" x14ac:dyDescent="0.15">
      <c r="A23" s="4" t="s">
        <v>111</v>
      </c>
      <c r="B23" s="8">
        <v>9213293</v>
      </c>
      <c r="C23" s="4" t="s">
        <v>266</v>
      </c>
      <c r="D23" s="4" t="s">
        <v>122</v>
      </c>
      <c r="E23" s="6" t="s">
        <v>311</v>
      </c>
      <c r="F23" s="3">
        <v>45689</v>
      </c>
      <c r="G23" s="3">
        <v>45689</v>
      </c>
      <c r="H23" s="4" t="s">
        <v>49</v>
      </c>
      <c r="I23" s="2">
        <v>1</v>
      </c>
      <c r="J23" s="2">
        <v>17</v>
      </c>
      <c r="K23" s="4" t="s">
        <v>51</v>
      </c>
      <c r="L23" s="4" t="s">
        <v>64</v>
      </c>
      <c r="M23" s="5">
        <v>0.92</v>
      </c>
      <c r="N23" s="5">
        <v>0</v>
      </c>
      <c r="O23" s="5">
        <v>286.92</v>
      </c>
      <c r="P23" s="4" t="s">
        <v>53</v>
      </c>
      <c r="Q23" t="s">
        <v>282</v>
      </c>
      <c r="S23" t="s">
        <v>286</v>
      </c>
    </row>
    <row r="24" spans="1:19" x14ac:dyDescent="0.15">
      <c r="A24" s="4" t="s">
        <v>111</v>
      </c>
      <c r="B24" s="8">
        <v>9213293</v>
      </c>
      <c r="C24" s="4" t="s">
        <v>267</v>
      </c>
      <c r="D24" s="4" t="s">
        <v>125</v>
      </c>
      <c r="E24" s="6" t="s">
        <v>312</v>
      </c>
      <c r="F24" s="3">
        <v>45689</v>
      </c>
      <c r="G24" s="3">
        <v>45689</v>
      </c>
      <c r="H24" s="4" t="s">
        <v>49</v>
      </c>
      <c r="I24" s="2">
        <v>1</v>
      </c>
      <c r="J24" s="2">
        <v>17</v>
      </c>
      <c r="K24" s="4" t="s">
        <v>51</v>
      </c>
      <c r="L24" s="4" t="s">
        <v>52</v>
      </c>
      <c r="M24" s="5">
        <v>0.92</v>
      </c>
      <c r="N24" s="5">
        <v>0</v>
      </c>
      <c r="O24" s="5">
        <v>286.92</v>
      </c>
      <c r="P24" s="4" t="s">
        <v>53</v>
      </c>
      <c r="Q24" t="s">
        <v>282</v>
      </c>
      <c r="S24" t="s">
        <v>286</v>
      </c>
    </row>
    <row r="25" spans="1:19" x14ac:dyDescent="0.15">
      <c r="A25" s="4" t="s">
        <v>111</v>
      </c>
      <c r="B25" s="8">
        <v>9213293</v>
      </c>
      <c r="C25" s="4" t="s">
        <v>268</v>
      </c>
      <c r="D25" s="4" t="s">
        <v>128</v>
      </c>
      <c r="E25" s="6" t="s">
        <v>313</v>
      </c>
      <c r="F25" s="3">
        <v>45658</v>
      </c>
      <c r="G25" s="3">
        <v>45658</v>
      </c>
      <c r="H25" s="4" t="s">
        <v>63</v>
      </c>
      <c r="I25" s="2">
        <v>1</v>
      </c>
      <c r="J25" s="2">
        <v>17</v>
      </c>
      <c r="K25" s="4" t="s">
        <v>51</v>
      </c>
      <c r="L25" s="4" t="s">
        <v>52</v>
      </c>
      <c r="M25" s="5">
        <v>-0.92</v>
      </c>
      <c r="N25" s="5">
        <v>0</v>
      </c>
      <c r="O25" s="5">
        <v>-286.92</v>
      </c>
      <c r="P25" s="4" t="s">
        <v>53</v>
      </c>
      <c r="Q25" t="s">
        <v>282</v>
      </c>
      <c r="S25" t="s">
        <v>286</v>
      </c>
    </row>
    <row r="26" spans="1:19" x14ac:dyDescent="0.15">
      <c r="A26" s="4" t="s">
        <v>111</v>
      </c>
      <c r="B26" s="8">
        <v>9213293</v>
      </c>
      <c r="C26" s="4" t="s">
        <v>269</v>
      </c>
      <c r="D26" s="4" t="s">
        <v>131</v>
      </c>
      <c r="E26" s="6" t="s">
        <v>314</v>
      </c>
      <c r="F26" s="3">
        <v>45689</v>
      </c>
      <c r="G26" s="3">
        <v>45689</v>
      </c>
      <c r="H26" s="4" t="s">
        <v>49</v>
      </c>
      <c r="I26" s="2">
        <v>1</v>
      </c>
      <c r="J26" s="2">
        <v>17</v>
      </c>
      <c r="K26" s="4" t="s">
        <v>51</v>
      </c>
      <c r="L26" s="4" t="s">
        <v>52</v>
      </c>
      <c r="M26" s="5">
        <v>0.92</v>
      </c>
      <c r="N26" s="5">
        <v>0</v>
      </c>
      <c r="O26" s="5">
        <v>286.92</v>
      </c>
      <c r="P26" s="4" t="s">
        <v>53</v>
      </c>
      <c r="Q26" t="s">
        <v>282</v>
      </c>
      <c r="S26" t="s">
        <v>286</v>
      </c>
    </row>
    <row r="27" spans="1:19" x14ac:dyDescent="0.15">
      <c r="A27" s="4" t="s">
        <v>144</v>
      </c>
      <c r="B27" s="8">
        <v>19200754</v>
      </c>
      <c r="C27" s="4" t="s">
        <v>272</v>
      </c>
      <c r="D27" s="4" t="s">
        <v>146</v>
      </c>
      <c r="E27" s="6" t="s">
        <v>315</v>
      </c>
      <c r="F27" s="3">
        <v>45658</v>
      </c>
      <c r="G27" s="3">
        <v>45658</v>
      </c>
      <c r="H27" s="4" t="s">
        <v>63</v>
      </c>
      <c r="I27" s="2">
        <v>1</v>
      </c>
      <c r="J27" s="2">
        <v>17</v>
      </c>
      <c r="K27" s="4" t="s">
        <v>51</v>
      </c>
      <c r="L27" s="4" t="s">
        <v>64</v>
      </c>
      <c r="M27" s="5">
        <v>-0.92</v>
      </c>
      <c r="N27" s="5">
        <v>0</v>
      </c>
      <c r="O27" s="5">
        <v>-286.92</v>
      </c>
      <c r="P27" s="4" t="s">
        <v>53</v>
      </c>
      <c r="Q27" t="s">
        <v>282</v>
      </c>
      <c r="S27" t="s">
        <v>286</v>
      </c>
    </row>
    <row r="28" spans="1:19" x14ac:dyDescent="0.15">
      <c r="A28" s="4" t="s">
        <v>171</v>
      </c>
      <c r="B28" s="8">
        <v>19586992</v>
      </c>
      <c r="C28" s="4" t="s">
        <v>278</v>
      </c>
      <c r="D28" s="6">
        <v>412777</v>
      </c>
      <c r="E28" s="6" t="str">
        <f>CONCATENATE(D28,3)</f>
        <v>4127773</v>
      </c>
      <c r="F28" s="3">
        <v>45444</v>
      </c>
      <c r="G28" s="3">
        <v>45474</v>
      </c>
      <c r="H28" s="4" t="s">
        <v>176</v>
      </c>
      <c r="I28" s="2">
        <v>3</v>
      </c>
      <c r="J28" s="2">
        <v>3</v>
      </c>
      <c r="K28" s="4" t="s">
        <v>160</v>
      </c>
      <c r="L28" s="4" t="s">
        <v>46</v>
      </c>
      <c r="M28" s="5">
        <v>10</v>
      </c>
      <c r="N28" s="5">
        <v>58.89</v>
      </c>
      <c r="O28" s="5">
        <v>5.89</v>
      </c>
      <c r="P28" s="4" t="s">
        <v>53</v>
      </c>
      <c r="S28" t="s">
        <v>287</v>
      </c>
    </row>
    <row r="29" spans="1:19" x14ac:dyDescent="0.15">
      <c r="A29" s="4" t="s">
        <v>171</v>
      </c>
      <c r="B29" s="8">
        <v>19586992</v>
      </c>
      <c r="C29" s="4" t="s">
        <v>278</v>
      </c>
      <c r="D29" s="6">
        <v>412777</v>
      </c>
      <c r="E29" s="6" t="str">
        <f t="shared" ref="E29:E33" si="0">CONCATENATE(D29,3)</f>
        <v>4127773</v>
      </c>
      <c r="F29" s="3">
        <v>45444</v>
      </c>
      <c r="G29" s="3">
        <v>45505</v>
      </c>
      <c r="H29" s="4" t="s">
        <v>177</v>
      </c>
      <c r="I29" s="2">
        <v>3</v>
      </c>
      <c r="J29" s="2">
        <v>3</v>
      </c>
      <c r="K29" s="4" t="s">
        <v>160</v>
      </c>
      <c r="L29" s="4" t="s">
        <v>46</v>
      </c>
      <c r="M29" s="5">
        <v>10</v>
      </c>
      <c r="N29" s="5">
        <v>58.89</v>
      </c>
      <c r="O29" s="5">
        <v>5.89</v>
      </c>
      <c r="P29" s="4" t="s">
        <v>53</v>
      </c>
      <c r="S29" t="s">
        <v>287</v>
      </c>
    </row>
    <row r="30" spans="1:19" x14ac:dyDescent="0.15">
      <c r="A30" s="4" t="s">
        <v>171</v>
      </c>
      <c r="B30" s="8">
        <v>19586992</v>
      </c>
      <c r="C30" s="4" t="s">
        <v>278</v>
      </c>
      <c r="D30" s="6">
        <v>412777</v>
      </c>
      <c r="E30" s="6" t="str">
        <f t="shared" si="0"/>
        <v>4127773</v>
      </c>
      <c r="F30" s="3">
        <v>45444</v>
      </c>
      <c r="G30" s="3">
        <v>45536</v>
      </c>
      <c r="H30" s="4" t="s">
        <v>178</v>
      </c>
      <c r="I30" s="2">
        <v>3</v>
      </c>
      <c r="J30" s="2">
        <v>3</v>
      </c>
      <c r="K30" s="4" t="s">
        <v>160</v>
      </c>
      <c r="L30" s="4" t="s">
        <v>46</v>
      </c>
      <c r="M30" s="5">
        <v>10</v>
      </c>
      <c r="N30" s="5">
        <v>58.89</v>
      </c>
      <c r="O30" s="5">
        <v>5.89</v>
      </c>
      <c r="P30" s="4" t="s">
        <v>53</v>
      </c>
      <c r="S30" t="s">
        <v>287</v>
      </c>
    </row>
    <row r="31" spans="1:19" x14ac:dyDescent="0.15">
      <c r="A31" s="4" t="s">
        <v>85</v>
      </c>
      <c r="B31" s="8">
        <v>7146581</v>
      </c>
      <c r="C31" s="4" t="s">
        <v>275</v>
      </c>
      <c r="D31" s="6">
        <v>3245007030</v>
      </c>
      <c r="E31" s="6" t="str">
        <f t="shared" si="0"/>
        <v>32450070303</v>
      </c>
      <c r="F31" s="3">
        <v>43709</v>
      </c>
      <c r="G31" s="3">
        <v>45689</v>
      </c>
      <c r="H31" s="4" t="s">
        <v>49</v>
      </c>
      <c r="I31" s="2">
        <v>1</v>
      </c>
      <c r="J31" s="2">
        <v>3</v>
      </c>
      <c r="K31" s="4" t="s">
        <v>160</v>
      </c>
      <c r="L31" s="4" t="s">
        <v>46</v>
      </c>
      <c r="M31" s="5">
        <v>10</v>
      </c>
      <c r="N31" s="5">
        <v>13.93</v>
      </c>
      <c r="O31" s="5">
        <v>1.39</v>
      </c>
      <c r="P31" s="4" t="s">
        <v>161</v>
      </c>
      <c r="S31" t="s">
        <v>287</v>
      </c>
    </row>
    <row r="32" spans="1:19" x14ac:dyDescent="0.15">
      <c r="A32" s="4" t="s">
        <v>85</v>
      </c>
      <c r="B32" s="8">
        <v>7146581</v>
      </c>
      <c r="C32" s="4" t="s">
        <v>276</v>
      </c>
      <c r="D32" s="6">
        <v>9025228750</v>
      </c>
      <c r="E32" s="6" t="str">
        <f t="shared" si="0"/>
        <v>90252287503</v>
      </c>
      <c r="F32" s="3">
        <v>44586</v>
      </c>
      <c r="G32" s="3">
        <v>45689</v>
      </c>
      <c r="H32" s="4" t="s">
        <v>49</v>
      </c>
      <c r="I32" s="2">
        <v>1</v>
      </c>
      <c r="J32" s="2">
        <v>3</v>
      </c>
      <c r="K32" s="4" t="s">
        <v>160</v>
      </c>
      <c r="L32" s="4" t="s">
        <v>46</v>
      </c>
      <c r="M32" s="5">
        <v>10</v>
      </c>
      <c r="N32" s="5">
        <v>52.78</v>
      </c>
      <c r="O32" s="5">
        <v>5.28</v>
      </c>
      <c r="P32" s="4" t="s">
        <v>161</v>
      </c>
      <c r="S32" t="s">
        <v>287</v>
      </c>
    </row>
    <row r="33" spans="1:19" x14ac:dyDescent="0.15">
      <c r="A33" s="4" t="s">
        <v>165</v>
      </c>
      <c r="B33" s="8" t="s">
        <v>281</v>
      </c>
      <c r="C33" s="4" t="s">
        <v>277</v>
      </c>
      <c r="D33" s="6">
        <v>9029971470</v>
      </c>
      <c r="E33" s="6" t="str">
        <f t="shared" si="0"/>
        <v>90299714703</v>
      </c>
      <c r="F33" s="3">
        <v>45689</v>
      </c>
      <c r="G33" s="3">
        <v>45689</v>
      </c>
      <c r="H33" s="4" t="s">
        <v>49</v>
      </c>
      <c r="I33" s="2">
        <v>1</v>
      </c>
      <c r="J33" s="2">
        <v>60</v>
      </c>
      <c r="K33" s="4" t="s">
        <v>168</v>
      </c>
      <c r="L33" s="4" t="s">
        <v>46</v>
      </c>
      <c r="M33" s="5">
        <v>10</v>
      </c>
      <c r="N33" s="5">
        <v>12.99</v>
      </c>
      <c r="O33" s="5">
        <v>36.299999999999997</v>
      </c>
      <c r="P33" s="4" t="s">
        <v>169</v>
      </c>
      <c r="S33" t="s">
        <v>287</v>
      </c>
    </row>
    <row r="34" spans="1:19" x14ac:dyDescent="0.15">
      <c r="A34" s="4" t="s">
        <v>133</v>
      </c>
      <c r="B34" s="8">
        <v>5442438</v>
      </c>
      <c r="C34" s="4" t="s">
        <v>270</v>
      </c>
      <c r="D34" s="4" t="s">
        <v>135</v>
      </c>
      <c r="E34" s="6" t="s">
        <v>316</v>
      </c>
      <c r="F34" s="3">
        <v>45689</v>
      </c>
      <c r="G34" s="3">
        <v>45689</v>
      </c>
      <c r="H34" s="4" t="s">
        <v>49</v>
      </c>
      <c r="I34" s="2">
        <v>1</v>
      </c>
      <c r="J34" s="2">
        <v>17</v>
      </c>
      <c r="K34" s="4" t="s">
        <v>51</v>
      </c>
      <c r="L34" s="4" t="s">
        <v>137</v>
      </c>
      <c r="M34" s="5">
        <v>0.92</v>
      </c>
      <c r="N34" s="5">
        <v>0</v>
      </c>
      <c r="O34" s="5">
        <v>50.42</v>
      </c>
      <c r="P34" s="4" t="s">
        <v>53</v>
      </c>
      <c r="S34" t="s">
        <v>288</v>
      </c>
    </row>
    <row r="35" spans="1:19" x14ac:dyDescent="0.15">
      <c r="A35" s="4" t="s">
        <v>179</v>
      </c>
      <c r="B35" s="8">
        <v>19278370</v>
      </c>
      <c r="C35" s="4" t="s">
        <v>279</v>
      </c>
      <c r="D35" s="4" t="s">
        <v>181</v>
      </c>
      <c r="E35" s="6" t="s">
        <v>317</v>
      </c>
      <c r="F35" s="3">
        <v>45689</v>
      </c>
      <c r="G35" s="3">
        <v>45689</v>
      </c>
      <c r="H35" s="4" t="s">
        <v>49</v>
      </c>
      <c r="I35" s="2">
        <v>1</v>
      </c>
      <c r="J35" s="2">
        <v>17</v>
      </c>
      <c r="K35" s="4" t="s">
        <v>51</v>
      </c>
      <c r="L35" s="4" t="s">
        <v>46</v>
      </c>
      <c r="M35" s="5">
        <v>22</v>
      </c>
      <c r="N35" s="5">
        <v>1801.56</v>
      </c>
      <c r="O35" s="5">
        <v>396.36</v>
      </c>
      <c r="P35" s="4" t="s">
        <v>183</v>
      </c>
      <c r="S35" t="s">
        <v>289</v>
      </c>
    </row>
  </sheetData>
  <sortState xmlns:xlrd2="http://schemas.microsoft.com/office/spreadsheetml/2017/richdata2" ref="A2:U30">
    <sortCondition ref="A2:A30"/>
  </sortState>
  <phoneticPr fontId="19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AB50-7C32-4547-A0F9-FA55F1087384}">
  <dimension ref="A1:G34"/>
  <sheetViews>
    <sheetView workbookViewId="0">
      <selection activeCell="G33" sqref="G33:G34"/>
    </sheetView>
  </sheetViews>
  <sheetFormatPr baseColWidth="10" defaultColWidth="8.83203125" defaultRowHeight="13" x14ac:dyDescent="0.15"/>
  <cols>
    <col min="1" max="1" width="12.6640625" bestFit="1" customWidth="1"/>
    <col min="2" max="2" width="9.83203125" bestFit="1" customWidth="1"/>
  </cols>
  <sheetData>
    <row r="1" spans="1:7" x14ac:dyDescent="0.15">
      <c r="A1" s="4" t="s">
        <v>189</v>
      </c>
      <c r="B1" t="s">
        <v>190</v>
      </c>
      <c r="C1" t="str">
        <f>CONCATENATE(B1, " ",A1)</f>
        <v>SHARON DECKER</v>
      </c>
      <c r="F1" s="4" t="s">
        <v>141</v>
      </c>
      <c r="G1" t="str">
        <f>CONCATENATE(F1,6)</f>
        <v>00015917794K6</v>
      </c>
    </row>
    <row r="2" spans="1:7" x14ac:dyDescent="0.15">
      <c r="A2" s="4" t="s">
        <v>189</v>
      </c>
      <c r="B2" t="s">
        <v>191</v>
      </c>
      <c r="C2" t="str">
        <f t="shared" ref="C2:C34" si="0">CONCATENATE(B2, " ",A2)</f>
        <v>PAUL DECKER</v>
      </c>
      <c r="F2" s="4" t="s">
        <v>97</v>
      </c>
      <c r="G2" t="str">
        <f t="shared" ref="G2:G34" si="1">CONCATENATE(F2,6)</f>
        <v>00022947574K6</v>
      </c>
    </row>
    <row r="3" spans="1:7" x14ac:dyDescent="0.15">
      <c r="A3" s="4" t="s">
        <v>192</v>
      </c>
      <c r="B3" t="s">
        <v>193</v>
      </c>
      <c r="C3" t="str">
        <f t="shared" si="0"/>
        <v>IRENE KLOK</v>
      </c>
      <c r="F3" s="4" t="s">
        <v>71</v>
      </c>
      <c r="G3" t="str">
        <f t="shared" si="1"/>
        <v>00014861244K6</v>
      </c>
    </row>
    <row r="4" spans="1:7" x14ac:dyDescent="0.15">
      <c r="A4" s="4" t="s">
        <v>194</v>
      </c>
      <c r="B4" t="s">
        <v>195</v>
      </c>
      <c r="C4" t="str">
        <f t="shared" si="0"/>
        <v>ROBERT FRANCIERE</v>
      </c>
      <c r="F4" s="4" t="s">
        <v>74</v>
      </c>
      <c r="G4" t="str">
        <f t="shared" si="1"/>
        <v>00023028896K6</v>
      </c>
    </row>
    <row r="5" spans="1:7" x14ac:dyDescent="0.15">
      <c r="A5" s="4" t="s">
        <v>196</v>
      </c>
      <c r="B5" t="s">
        <v>197</v>
      </c>
      <c r="C5" t="str">
        <f t="shared" si="0"/>
        <v>ELINORE GLEESON</v>
      </c>
      <c r="F5" s="4" t="s">
        <v>109</v>
      </c>
      <c r="G5" t="str">
        <f t="shared" si="1"/>
        <v>00018501512K6</v>
      </c>
    </row>
    <row r="6" spans="1:7" x14ac:dyDescent="0.15">
      <c r="A6" s="4" t="s">
        <v>198</v>
      </c>
      <c r="B6" t="s">
        <v>199</v>
      </c>
      <c r="C6" t="str">
        <f t="shared" si="0"/>
        <v>ALICE BUNTING</v>
      </c>
      <c r="F6" s="4" t="s">
        <v>150</v>
      </c>
      <c r="G6" t="str">
        <f t="shared" si="1"/>
        <v>00000371464G6</v>
      </c>
    </row>
    <row r="7" spans="1:7" x14ac:dyDescent="0.15">
      <c r="A7" s="4" t="s">
        <v>200</v>
      </c>
      <c r="B7" t="s">
        <v>201</v>
      </c>
      <c r="C7" t="str">
        <f t="shared" si="0"/>
        <v>WILLIAM LAUGHREY</v>
      </c>
      <c r="F7" s="4" t="s">
        <v>153</v>
      </c>
      <c r="G7" t="str">
        <f t="shared" si="1"/>
        <v>00000374418G6</v>
      </c>
    </row>
    <row r="8" spans="1:7" x14ac:dyDescent="0.15">
      <c r="A8" s="4" t="s">
        <v>202</v>
      </c>
      <c r="B8" t="s">
        <v>203</v>
      </c>
      <c r="C8" t="str">
        <f t="shared" si="0"/>
        <v>JENNIFER WHITTAKER</v>
      </c>
      <c r="F8" s="4" t="s">
        <v>44</v>
      </c>
      <c r="G8" t="str">
        <f t="shared" si="1"/>
        <v>00023023741K6</v>
      </c>
    </row>
    <row r="9" spans="1:7" x14ac:dyDescent="0.15">
      <c r="A9" s="4" t="s">
        <v>204</v>
      </c>
      <c r="B9" t="s">
        <v>205</v>
      </c>
      <c r="C9" t="str">
        <f t="shared" si="0"/>
        <v>MIGUEL AMARO</v>
      </c>
      <c r="F9" s="4" t="s">
        <v>57</v>
      </c>
      <c r="G9" t="str">
        <f t="shared" si="1"/>
        <v>00023040671K6</v>
      </c>
    </row>
    <row r="10" spans="1:7" x14ac:dyDescent="0.15">
      <c r="A10" s="4" t="s">
        <v>206</v>
      </c>
      <c r="B10" t="s">
        <v>207</v>
      </c>
      <c r="C10" t="str">
        <f t="shared" si="0"/>
        <v>DONALD WHITE</v>
      </c>
      <c r="F10" s="4" t="s">
        <v>87</v>
      </c>
      <c r="G10" t="str">
        <f t="shared" si="1"/>
        <v>00022996620K6</v>
      </c>
    </row>
    <row r="11" spans="1:7" x14ac:dyDescent="0.15">
      <c r="A11" s="4" t="s">
        <v>208</v>
      </c>
      <c r="B11" t="s">
        <v>209</v>
      </c>
      <c r="C11" t="str">
        <f t="shared" si="0"/>
        <v>SANDRA BARRAGREE</v>
      </c>
      <c r="F11" s="4" t="s">
        <v>90</v>
      </c>
      <c r="G11" t="str">
        <f t="shared" si="1"/>
        <v>00023021728K6</v>
      </c>
    </row>
    <row r="12" spans="1:7" x14ac:dyDescent="0.15">
      <c r="A12" s="4" t="s">
        <v>210</v>
      </c>
      <c r="B12" t="s">
        <v>211</v>
      </c>
      <c r="C12" t="str">
        <f t="shared" si="0"/>
        <v>DEBRA LAWRENCE</v>
      </c>
      <c r="F12" s="4" t="s">
        <v>93</v>
      </c>
      <c r="G12" t="str">
        <f t="shared" si="1"/>
        <v>00023041157K6</v>
      </c>
    </row>
    <row r="13" spans="1:7" x14ac:dyDescent="0.15">
      <c r="A13" s="4" t="s">
        <v>212</v>
      </c>
      <c r="B13" t="s">
        <v>213</v>
      </c>
      <c r="C13" t="str">
        <f t="shared" si="0"/>
        <v>DENISE THOMPSON</v>
      </c>
      <c r="F13" s="4" t="s">
        <v>79</v>
      </c>
      <c r="G13" t="str">
        <f t="shared" si="1"/>
        <v>00019034430K6</v>
      </c>
    </row>
    <row r="14" spans="1:7" x14ac:dyDescent="0.15">
      <c r="A14" s="4" t="s">
        <v>214</v>
      </c>
      <c r="B14" t="s">
        <v>215</v>
      </c>
      <c r="C14" t="str">
        <f t="shared" si="0"/>
        <v>CALLUM OKEEFFE</v>
      </c>
      <c r="F14" s="4" t="s">
        <v>82</v>
      </c>
      <c r="G14" t="str">
        <f t="shared" si="1"/>
        <v>00023028485K6</v>
      </c>
    </row>
    <row r="15" spans="1:7" x14ac:dyDescent="0.15">
      <c r="A15" t="s">
        <v>216</v>
      </c>
      <c r="B15" t="s">
        <v>217</v>
      </c>
      <c r="C15" t="str">
        <f t="shared" si="0"/>
        <v>AMJAD AZMAH</v>
      </c>
      <c r="F15" s="4" t="s">
        <v>101</v>
      </c>
      <c r="G15" t="str">
        <f t="shared" si="1"/>
        <v>00012719660K6</v>
      </c>
    </row>
    <row r="16" spans="1:7" x14ac:dyDescent="0.15">
      <c r="A16" s="4" t="s">
        <v>218</v>
      </c>
      <c r="B16" t="s">
        <v>219</v>
      </c>
      <c r="C16" t="str">
        <f t="shared" si="0"/>
        <v>ROGER TYK</v>
      </c>
      <c r="F16" s="4" t="s">
        <v>105</v>
      </c>
      <c r="G16" t="str">
        <f t="shared" si="1"/>
        <v>00022686109K6</v>
      </c>
    </row>
    <row r="17" spans="1:7" x14ac:dyDescent="0.15">
      <c r="A17" s="4" t="s">
        <v>220</v>
      </c>
      <c r="B17" t="s">
        <v>221</v>
      </c>
      <c r="C17" t="str">
        <f t="shared" si="0"/>
        <v>VICKY DOWNS</v>
      </c>
      <c r="F17" s="4" t="s">
        <v>61</v>
      </c>
      <c r="G17" t="str">
        <f t="shared" si="1"/>
        <v>00022598731K6</v>
      </c>
    </row>
    <row r="18" spans="1:7" x14ac:dyDescent="0.15">
      <c r="A18" s="4" t="s">
        <v>222</v>
      </c>
      <c r="B18" t="s">
        <v>223</v>
      </c>
      <c r="C18" t="str">
        <f t="shared" si="0"/>
        <v>ROSARIO CASTILLO</v>
      </c>
      <c r="F18" s="4" t="s">
        <v>67</v>
      </c>
      <c r="G18" t="str">
        <f t="shared" si="1"/>
        <v>00023038833K6</v>
      </c>
    </row>
    <row r="19" spans="1:7" x14ac:dyDescent="0.15">
      <c r="A19" s="4" t="s">
        <v>222</v>
      </c>
      <c r="B19" t="s">
        <v>224</v>
      </c>
      <c r="C19" t="str">
        <f t="shared" si="0"/>
        <v>ROSCO CASTILLO</v>
      </c>
      <c r="F19" s="4" t="s">
        <v>113</v>
      </c>
      <c r="G19" t="str">
        <f t="shared" si="1"/>
        <v>00011895530K6</v>
      </c>
    </row>
    <row r="20" spans="1:7" x14ac:dyDescent="0.15">
      <c r="A20" s="4" t="s">
        <v>204</v>
      </c>
      <c r="B20" t="s">
        <v>225</v>
      </c>
      <c r="C20" t="str">
        <f t="shared" si="0"/>
        <v>VERA AMARO</v>
      </c>
      <c r="F20" s="4" t="s">
        <v>116</v>
      </c>
      <c r="G20" t="str">
        <f t="shared" si="1"/>
        <v>00012290150K6</v>
      </c>
    </row>
    <row r="21" spans="1:7" x14ac:dyDescent="0.15">
      <c r="A21" s="4" t="s">
        <v>226</v>
      </c>
      <c r="B21" t="s">
        <v>227</v>
      </c>
      <c r="C21" t="str">
        <f t="shared" si="0"/>
        <v>PIEDAD ZAFIRIADIS</v>
      </c>
      <c r="F21" s="4" t="s">
        <v>119</v>
      </c>
      <c r="G21" t="str">
        <f t="shared" si="1"/>
        <v>00018962712K6</v>
      </c>
    </row>
    <row r="22" spans="1:7" x14ac:dyDescent="0.15">
      <c r="A22" s="4" t="s">
        <v>228</v>
      </c>
      <c r="B22" t="s">
        <v>229</v>
      </c>
      <c r="C22" t="str">
        <f t="shared" si="0"/>
        <v>MARY TOWLER</v>
      </c>
      <c r="F22" s="4" t="s">
        <v>122</v>
      </c>
      <c r="G22" t="str">
        <f t="shared" si="1"/>
        <v>00018963088K6</v>
      </c>
    </row>
    <row r="23" spans="1:7" x14ac:dyDescent="0.15">
      <c r="A23" s="4" t="s">
        <v>230</v>
      </c>
      <c r="B23" t="s">
        <v>231</v>
      </c>
      <c r="C23" t="str">
        <f t="shared" si="0"/>
        <v>KAREN MISKIMON</v>
      </c>
      <c r="F23" s="4" t="s">
        <v>125</v>
      </c>
      <c r="G23" t="str">
        <f t="shared" si="1"/>
        <v>00019306567K6</v>
      </c>
    </row>
    <row r="24" spans="1:7" x14ac:dyDescent="0.15">
      <c r="A24" s="4" t="s">
        <v>232</v>
      </c>
      <c r="B24" t="s">
        <v>233</v>
      </c>
      <c r="C24" t="str">
        <f t="shared" si="0"/>
        <v>HEIDI FULLER</v>
      </c>
      <c r="F24" s="4" t="s">
        <v>128</v>
      </c>
      <c r="G24" t="str">
        <f t="shared" si="1"/>
        <v>00022005272K6</v>
      </c>
    </row>
    <row r="25" spans="1:7" x14ac:dyDescent="0.15">
      <c r="A25" s="4" t="s">
        <v>234</v>
      </c>
      <c r="B25" t="s">
        <v>235</v>
      </c>
      <c r="C25" t="str">
        <f t="shared" si="0"/>
        <v>JESUS APULI</v>
      </c>
      <c r="F25" s="4" t="s">
        <v>131</v>
      </c>
      <c r="G25" t="str">
        <f t="shared" si="1"/>
        <v>00023027544K6</v>
      </c>
    </row>
    <row r="26" spans="1:7" x14ac:dyDescent="0.15">
      <c r="A26" s="4" t="s">
        <v>236</v>
      </c>
      <c r="B26" t="s">
        <v>219</v>
      </c>
      <c r="C26" t="str">
        <f t="shared" si="0"/>
        <v>ROGER HUPPERT</v>
      </c>
      <c r="F26" s="4" t="s">
        <v>146</v>
      </c>
      <c r="G26" t="str">
        <f t="shared" si="1"/>
        <v>00022120908K6</v>
      </c>
    </row>
    <row r="27" spans="1:7" x14ac:dyDescent="0.15">
      <c r="A27" s="4" t="s">
        <v>236</v>
      </c>
      <c r="B27" t="s">
        <v>237</v>
      </c>
      <c r="C27" t="str">
        <f t="shared" si="0"/>
        <v>EDNA HUPPERT</v>
      </c>
      <c r="F27" s="6">
        <v>412777</v>
      </c>
    </row>
    <row r="28" spans="1:7" x14ac:dyDescent="0.15">
      <c r="A28" s="4" t="s">
        <v>238</v>
      </c>
      <c r="B28" t="s">
        <v>239</v>
      </c>
      <c r="C28" t="str">
        <f t="shared" si="0"/>
        <v>Allan Moss</v>
      </c>
      <c r="F28" s="6">
        <v>412777</v>
      </c>
    </row>
    <row r="29" spans="1:7" x14ac:dyDescent="0.15">
      <c r="A29" s="4" t="s">
        <v>240</v>
      </c>
      <c r="B29" t="s">
        <v>241</v>
      </c>
      <c r="C29" t="str">
        <f t="shared" si="0"/>
        <v>Barbara Hanahan</v>
      </c>
      <c r="F29" s="6">
        <v>412777</v>
      </c>
    </row>
    <row r="30" spans="1:7" x14ac:dyDescent="0.15">
      <c r="A30" s="4" t="s">
        <v>242</v>
      </c>
      <c r="B30" t="s">
        <v>243</v>
      </c>
      <c r="C30" t="str">
        <f t="shared" si="0"/>
        <v>Kathleen Madigan</v>
      </c>
      <c r="F30" s="6">
        <v>3245007030</v>
      </c>
    </row>
    <row r="31" spans="1:7" x14ac:dyDescent="0.15">
      <c r="A31" s="4" t="s">
        <v>244</v>
      </c>
      <c r="B31" t="s">
        <v>245</v>
      </c>
      <c r="C31" t="str">
        <f t="shared" si="0"/>
        <v>HANDYHUMAN OAK</v>
      </c>
      <c r="F31" s="6">
        <v>9025228750</v>
      </c>
    </row>
    <row r="32" spans="1:7" x14ac:dyDescent="0.15">
      <c r="A32" s="4" t="s">
        <v>244</v>
      </c>
      <c r="B32" t="s">
        <v>245</v>
      </c>
      <c r="C32" t="str">
        <f t="shared" si="0"/>
        <v>HANDYHUMAN OAK</v>
      </c>
      <c r="F32" s="6">
        <v>9029971470</v>
      </c>
    </row>
    <row r="33" spans="1:7" x14ac:dyDescent="0.15">
      <c r="A33" s="4" t="s">
        <v>244</v>
      </c>
      <c r="B33" t="s">
        <v>245</v>
      </c>
      <c r="C33" t="str">
        <f t="shared" si="0"/>
        <v>HANDYHUMAN OAK</v>
      </c>
      <c r="F33" s="4" t="s">
        <v>135</v>
      </c>
      <c r="G33" t="str">
        <f t="shared" si="1"/>
        <v>00023040778K6</v>
      </c>
    </row>
    <row r="34" spans="1:7" x14ac:dyDescent="0.15">
      <c r="A34" s="4" t="s">
        <v>246</v>
      </c>
      <c r="B34" t="s">
        <v>247</v>
      </c>
      <c r="C34" t="str">
        <f t="shared" si="0"/>
        <v>LYNDA VESSELY</v>
      </c>
      <c r="F34" s="4" t="s">
        <v>181</v>
      </c>
      <c r="G34" t="str">
        <f t="shared" si="1"/>
        <v>00000950703A6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clean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2025-01-30T14:11:50Z</dcterms:created>
  <dcterms:modified xsi:type="dcterms:W3CDTF">2025-02-01T18:39:38Z</dcterms:modified>
</cp:coreProperties>
</file>