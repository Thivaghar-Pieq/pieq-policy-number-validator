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6-11-25\"/>
    </mc:Choice>
  </mc:AlternateContent>
  <xr:revisionPtr revIDLastSave="0" documentId="13_ncr:1_{860F0BFA-D959-4853-A341-087BD20C4C62}" xr6:coauthVersionLast="47" xr6:coauthVersionMax="47" xr10:uidLastSave="{00000000-0000-0000-0000-000000000000}"/>
  <bookViews>
    <workbookView xWindow="28680" yWindow="-120" windowWidth="29040" windowHeight="16440" activeTab="1" xr2:uid="{C243C731-CEC1-479E-B7A5-4892E8808B06}"/>
  </bookViews>
  <sheets>
    <sheet name="CommissionData_1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K29" i="3" l="1"/>
  <c r="K28" i="3"/>
  <c r="K27" i="3"/>
  <c r="K26" i="3"/>
  <c r="K25" i="3"/>
  <c r="K24" i="3"/>
  <c r="K23" i="3"/>
  <c r="K22" i="3"/>
  <c r="K21" i="3"/>
  <c r="K20" i="3"/>
  <c r="K36" i="3"/>
  <c r="K35" i="3"/>
  <c r="K34" i="3"/>
  <c r="K33" i="3"/>
  <c r="K32" i="3"/>
  <c r="K31" i="3"/>
  <c r="K30" i="3"/>
  <c r="K19" i="3"/>
  <c r="K54" i="3"/>
  <c r="K53" i="3"/>
  <c r="K52" i="3"/>
  <c r="K51" i="3"/>
  <c r="K50" i="3"/>
  <c r="K49" i="3"/>
  <c r="K48" i="3"/>
  <c r="K47" i="3"/>
  <c r="K46" i="3"/>
  <c r="K45" i="3"/>
  <c r="K42" i="3"/>
  <c r="K41" i="3"/>
  <c r="K40" i="3"/>
  <c r="K39" i="3"/>
  <c r="K38" i="3"/>
  <c r="K37" i="3"/>
  <c r="K18" i="3"/>
  <c r="K15" i="3"/>
  <c r="K44" i="3"/>
  <c r="K43" i="3"/>
  <c r="K17" i="3"/>
  <c r="K16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1" i="3"/>
  <c r="V45" i="2"/>
  <c r="V52" i="2"/>
  <c r="V51" i="2"/>
  <c r="V50" i="2"/>
  <c r="V44" i="2"/>
</calcChain>
</file>

<file path=xl/sharedStrings.xml><?xml version="1.0" encoding="utf-8"?>
<sst xmlns="http://schemas.openxmlformats.org/spreadsheetml/2006/main" count="2349" uniqueCount="326">
  <si>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</si>
  <si>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</si>
  <si>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</si>
  <si>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</si>
  <si>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</si>
  <si>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</si>
  <si>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</si>
  <si>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</si>
  <si>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</si>
  <si>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</si>
  <si>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</si>
  <si>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</si>
  <si>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</si>
  <si>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</si>
  <si>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</si>
  <si>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</si>
  <si>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</si>
  <si>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</si>
  <si>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</si>
  <si>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</si>
  <si>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</si>
  <si>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</si>
  <si>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</si>
  <si>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</si>
  <si>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</si>
  <si>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</si>
  <si>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</si>
  <si>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</si>
  <si>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</si>
  <si>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</si>
  <si>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</si>
  <si>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</si>
  <si>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</si>
  <si>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</si>
  <si>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</si>
  <si>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</si>
  <si>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</si>
  <si>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</si>
  <si>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</si>
  <si>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</si>
  <si>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</si>
  <si>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</si>
  <si>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</si>
  <si>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SMITH SANDFORD L</t>
  </si>
  <si>
    <t>00023392671K</t>
  </si>
  <si>
    <t>9CA0QX2UN19</t>
  </si>
  <si>
    <t/>
  </si>
  <si>
    <t>MA</t>
  </si>
  <si>
    <t>LV</t>
  </si>
  <si>
    <t>JUL</t>
  </si>
  <si>
    <t>F</t>
  </si>
  <si>
    <t>MEDICARE</t>
  </si>
  <si>
    <t>PDP</t>
  </si>
  <si>
    <t>FIRST YEAR COMMISSIONS</t>
  </si>
  <si>
    <t>ARCF</t>
  </si>
  <si>
    <t>S5884</t>
  </si>
  <si>
    <t>CHOI ANDREW J</t>
  </si>
  <si>
    <t>ROSS KATHY J</t>
  </si>
  <si>
    <t>00023408740K</t>
  </si>
  <si>
    <t>4C59HF0FT28</t>
  </si>
  <si>
    <t>MEP</t>
  </si>
  <si>
    <t>H5216</t>
  </si>
  <si>
    <t>TEIPEL GREGORY K</t>
  </si>
  <si>
    <t>STANGL MARLA Y</t>
  </si>
  <si>
    <t>00023070047K</t>
  </si>
  <si>
    <t>8VC7VW6RP31</t>
  </si>
  <si>
    <t>MAY</t>
  </si>
  <si>
    <t>MEDICARE 2ND HALF FIRST YEAR COMM</t>
  </si>
  <si>
    <t>MED2</t>
  </si>
  <si>
    <t>GREENLEAF GEORGE H</t>
  </si>
  <si>
    <t>00023407552K</t>
  </si>
  <si>
    <t>9AC0N72YY10</t>
  </si>
  <si>
    <t>AUG</t>
  </si>
  <si>
    <t>MRO</t>
  </si>
  <si>
    <t>H6622</t>
  </si>
  <si>
    <t>HUNSBERGER ANTHONY J</t>
  </si>
  <si>
    <t>WEAVER NANCY M</t>
  </si>
  <si>
    <t>00021314916K</t>
  </si>
  <si>
    <t>5TT4PT8KM82</t>
  </si>
  <si>
    <t>JAN</t>
  </si>
  <si>
    <t>WILEY DEALAS E</t>
  </si>
  <si>
    <t>00022876089K</t>
  </si>
  <si>
    <t>4QD0K83GU36</t>
  </si>
  <si>
    <t>BANKER PAMELA J</t>
  </si>
  <si>
    <t>00023408500K</t>
  </si>
  <si>
    <t>6Y19VG3HK18</t>
  </si>
  <si>
    <t>SANTOS RICARDO D</t>
  </si>
  <si>
    <t>DIPIETRO MICHAEL R</t>
  </si>
  <si>
    <t>00023394237K</t>
  </si>
  <si>
    <t>2UQ6PM3JC52</t>
  </si>
  <si>
    <t>RINI MARIATRINIDAD W</t>
  </si>
  <si>
    <t>00023398875K</t>
  </si>
  <si>
    <t>7AY8UF9GC29</t>
  </si>
  <si>
    <t>MER</t>
  </si>
  <si>
    <t>WERNER STEVEN D</t>
  </si>
  <si>
    <t>BONGIORNO JOHN L</t>
  </si>
  <si>
    <t>00023403315K</t>
  </si>
  <si>
    <t>8NM4DC5YM77</t>
  </si>
  <si>
    <t>H1468</t>
  </si>
  <si>
    <t>KOZACHECK ANNE MARIE</t>
  </si>
  <si>
    <t>ZOHRABIAN VAHIK</t>
  </si>
  <si>
    <t>00023406295K</t>
  </si>
  <si>
    <t>2NM8WV0CP29</t>
  </si>
  <si>
    <t>DEATON PAMELA S</t>
  </si>
  <si>
    <t>Young Joanna</t>
  </si>
  <si>
    <t>9028406240</t>
  </si>
  <si>
    <t>IN</t>
  </si>
  <si>
    <t>CB</t>
  </si>
  <si>
    <t>R</t>
  </si>
  <si>
    <t>VISION</t>
  </si>
  <si>
    <t>COMPBENEFITS RENEWAL COMMISSION</t>
  </si>
  <si>
    <t>CRCM</t>
  </si>
  <si>
    <t>Dornbierer Christie</t>
  </si>
  <si>
    <t>9029611520</t>
  </si>
  <si>
    <t>COMPBENEFITS FIRST YEAR COMMISSION</t>
  </si>
  <si>
    <t>CRCF</t>
  </si>
  <si>
    <t>Ward Christopher</t>
  </si>
  <si>
    <t>9029691910</t>
  </si>
  <si>
    <t>DENTAL</t>
  </si>
  <si>
    <t>9029691920</t>
  </si>
  <si>
    <t>HOFFMANN JASON R</t>
  </si>
  <si>
    <t>TRAINOR JACQUELINE M</t>
  </si>
  <si>
    <t>00000106089A</t>
  </si>
  <si>
    <t>MS</t>
  </si>
  <si>
    <t>JUN</t>
  </si>
  <si>
    <t>MED SUPP RENEWAL ACHIEVE</t>
  </si>
  <si>
    <t>MSRA</t>
  </si>
  <si>
    <t>RICHTER ADAM J</t>
  </si>
  <si>
    <t>MOOMAU GLENN W</t>
  </si>
  <si>
    <t>00001004315A</t>
  </si>
  <si>
    <t>MED SUPP ANNUALIZED ACHIEVE</t>
  </si>
  <si>
    <t>MSAA</t>
  </si>
  <si>
    <t>INSKIPT DEBORAH L</t>
  </si>
  <si>
    <t>HOMER MAX</t>
  </si>
  <si>
    <t>00001003900A</t>
  </si>
  <si>
    <t>OLIVER BRITTANY</t>
  </si>
  <si>
    <t>Johnson Crystal</t>
  </si>
  <si>
    <t>9030503940</t>
  </si>
  <si>
    <t>Benassi Joseph</t>
  </si>
  <si>
    <t>9030504200</t>
  </si>
  <si>
    <t>MCCORKLE MICHELLE</t>
  </si>
  <si>
    <t>Hudock Beth</t>
  </si>
  <si>
    <t>9030645400</t>
  </si>
  <si>
    <t>YALE JACOB D</t>
  </si>
  <si>
    <t>NC CAPITAL PARTERS LLC</t>
  </si>
  <si>
    <t>000000413180</t>
  </si>
  <si>
    <t>GR</t>
  </si>
  <si>
    <t>EM</t>
  </si>
  <si>
    <t>DEC</t>
  </si>
  <si>
    <t>BASIC LIFE</t>
  </si>
  <si>
    <t>FEB</t>
  </si>
  <si>
    <t>MAR</t>
  </si>
  <si>
    <t>APR</t>
  </si>
  <si>
    <t>BASIC AD&amp;D</t>
  </si>
  <si>
    <t>MAX RONALD J</t>
  </si>
  <si>
    <t>BARNES KENNETH D</t>
  </si>
  <si>
    <t>00001004411A</t>
  </si>
  <si>
    <t>MYERS DOLORES A</t>
  </si>
  <si>
    <t>00001004451A</t>
  </si>
  <si>
    <t>MED SUPP ANNUALIZED STANDARD</t>
  </si>
  <si>
    <t>MSAS</t>
  </si>
  <si>
    <t>DUNAVANT MICHAEL</t>
  </si>
  <si>
    <t>STREID CINDY L</t>
  </si>
  <si>
    <t>00001004224A</t>
  </si>
  <si>
    <t>Green Patti</t>
  </si>
  <si>
    <t>9029455080</t>
  </si>
  <si>
    <t>Ferris Ron</t>
  </si>
  <si>
    <t>9030645140</t>
  </si>
  <si>
    <t>Johnson Eric</t>
  </si>
  <si>
    <t>9030645550</t>
  </si>
  <si>
    <t>Shirkey Victoria</t>
  </si>
  <si>
    <t>9030645560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</si>
  <si>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</si>
  <si>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</si>
  <si>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</si>
  <si>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</si>
  <si>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</si>
  <si>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</si>
  <si>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</si>
  <si>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</si>
  <si>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Ferrari Massimo</t>
  </si>
  <si>
    <t>9030047190</t>
  </si>
  <si>
    <t>Breedy Patrick</t>
  </si>
  <si>
    <t>9030450680</t>
  </si>
  <si>
    <t>Sajed Amer</t>
  </si>
  <si>
    <t>9030658860</t>
  </si>
  <si>
    <t>Humana PDP 2025!</t>
  </si>
  <si>
    <t>Humana Dental &amp; Vision</t>
  </si>
  <si>
    <t>Humana Group 2025</t>
  </si>
  <si>
    <t>Humana AL, AZ, AR, GA, etc. Plan N OE &amp; UW</t>
  </si>
  <si>
    <t>Humana 65-80 AL, AZ, AR, GA, etc. All Except N OE &amp; UW</t>
  </si>
  <si>
    <t>Humana 68-80 AL, AZ, AR, GA, etc. All Except N OE &amp; UW*</t>
  </si>
  <si>
    <t>Humana MAPD 2025*</t>
  </si>
  <si>
    <t>[%/$=313][prorate=11/12]</t>
  </si>
  <si>
    <t>[%/$=313][prorate=6/12]</t>
  </si>
  <si>
    <t>[%/$=313][prorate=3/12]</t>
  </si>
  <si>
    <t>[%/$=313][prorate=5/12]</t>
  </si>
  <si>
    <t>[%/$=313][prorate=7/12]</t>
  </si>
  <si>
    <t>SMITH SANDFORD</t>
  </si>
  <si>
    <t>ROSS KATHY</t>
  </si>
  <si>
    <t>STANGL MARLA</t>
  </si>
  <si>
    <t>GREENLEAF GEORGE</t>
  </si>
  <si>
    <t>NC</t>
  </si>
  <si>
    <t>CAPITAL</t>
  </si>
  <si>
    <t>PARTERS</t>
  </si>
  <si>
    <t>LLC</t>
  </si>
  <si>
    <t>Ward</t>
  </si>
  <si>
    <t>Christopher</t>
  </si>
  <si>
    <t>Green</t>
  </si>
  <si>
    <t>Patti</t>
  </si>
  <si>
    <t>SMITH</t>
  </si>
  <si>
    <t>SANDFORD</t>
  </si>
  <si>
    <t>ROSS</t>
  </si>
  <si>
    <t>KATHY</t>
  </si>
  <si>
    <t>STANGL</t>
  </si>
  <si>
    <t>MARLA</t>
  </si>
  <si>
    <t>GREENLEAF</t>
  </si>
  <si>
    <t>GEORGE</t>
  </si>
  <si>
    <t>WEAVER</t>
  </si>
  <si>
    <t>NANCY</t>
  </si>
  <si>
    <t>WILEY</t>
  </si>
  <si>
    <t>DEALAS</t>
  </si>
  <si>
    <t>BANKER</t>
  </si>
  <si>
    <t>PAMELA</t>
  </si>
  <si>
    <t>DIPIETRO</t>
  </si>
  <si>
    <t>MICHAEL</t>
  </si>
  <si>
    <t>RINI</t>
  </si>
  <si>
    <t>MARIATRINIDAD</t>
  </si>
  <si>
    <t>BONGIORNO</t>
  </si>
  <si>
    <t>JOHN</t>
  </si>
  <si>
    <t>ZOHRABIAN</t>
  </si>
  <si>
    <t>VAHIK</t>
  </si>
  <si>
    <t>TRAINOR</t>
  </si>
  <si>
    <t>JACQUELINE</t>
  </si>
  <si>
    <t>MOOMAU</t>
  </si>
  <si>
    <t>GLENN</t>
  </si>
  <si>
    <t>HOMER</t>
  </si>
  <si>
    <t>MAX</t>
  </si>
  <si>
    <t>BARNES</t>
  </si>
  <si>
    <t>KENNETH</t>
  </si>
  <si>
    <t>MYERS</t>
  </si>
  <si>
    <t>DOLORES</t>
  </si>
  <si>
    <t>STREID</t>
  </si>
  <si>
    <t>CINDY</t>
  </si>
  <si>
    <t>Young</t>
  </si>
  <si>
    <t>Joanna</t>
  </si>
  <si>
    <t>Dornbierer</t>
  </si>
  <si>
    <t>Christie</t>
  </si>
  <si>
    <t>Johnson</t>
  </si>
  <si>
    <t>Crystal</t>
  </si>
  <si>
    <t>Benassi</t>
  </si>
  <si>
    <t>Joseph</t>
  </si>
  <si>
    <t>Hudock</t>
  </si>
  <si>
    <t>Beth</t>
  </si>
  <si>
    <t>Ferris</t>
  </si>
  <si>
    <t>Ron</t>
  </si>
  <si>
    <t>Eric</t>
  </si>
  <si>
    <t>Shirkey</t>
  </si>
  <si>
    <t>Victoria</t>
  </si>
  <si>
    <t>Thompson</t>
  </si>
  <si>
    <t>Thomas</t>
  </si>
  <si>
    <t>Dauer</t>
  </si>
  <si>
    <t>Nancy</t>
  </si>
  <si>
    <t>Sciutto</t>
  </si>
  <si>
    <t>John</t>
  </si>
  <si>
    <t>Simmons-Hutson</t>
  </si>
  <si>
    <t>Cheryl</t>
  </si>
  <si>
    <t>Ferrari</t>
  </si>
  <si>
    <t>Massimo</t>
  </si>
  <si>
    <t>Breedy</t>
  </si>
  <si>
    <t>Patrick</t>
  </si>
  <si>
    <t>Sajed</t>
  </si>
  <si>
    <t>Amer</t>
  </si>
  <si>
    <t>Christopher Ward</t>
  </si>
  <si>
    <t>Patti Green</t>
  </si>
  <si>
    <t>SANDFORD SMITH</t>
  </si>
  <si>
    <t>KATHY ROSS</t>
  </si>
  <si>
    <t>MARLA STANGL</t>
  </si>
  <si>
    <t>GEORGE GREENLEAF</t>
  </si>
  <si>
    <t>NANCY WEAVER</t>
  </si>
  <si>
    <t>DEALAS WILEY</t>
  </si>
  <si>
    <t>PAMELA BANKER</t>
  </si>
  <si>
    <t>MICHAEL DIPIETRO</t>
  </si>
  <si>
    <t>MARIATRINIDAD RINI</t>
  </si>
  <si>
    <t>JOHN BONGIORNO</t>
  </si>
  <si>
    <t>VAHIK ZOHRABIAN</t>
  </si>
  <si>
    <t>JACQUELINE TRAINOR</t>
  </si>
  <si>
    <t>GLENN MOOMAU</t>
  </si>
  <si>
    <t>MAX HOMER</t>
  </si>
  <si>
    <t>KENNETH BARNES</t>
  </si>
  <si>
    <t>DOLORES MYERS</t>
  </si>
  <si>
    <t>CINDY STREID</t>
  </si>
  <si>
    <t>Joanna Young</t>
  </si>
  <si>
    <t>Christie Dornbierer</t>
  </si>
  <si>
    <t>Crystal Johnson</t>
  </si>
  <si>
    <t>Joseph Benassi</t>
  </si>
  <si>
    <t>Beth Hudock</t>
  </si>
  <si>
    <t>Ron Ferris</t>
  </si>
  <si>
    <t>Eric Johnson</t>
  </si>
  <si>
    <t>Victoria Shirkey</t>
  </si>
  <si>
    <t>Thomas Thompson</t>
  </si>
  <si>
    <t>Nancy Dauer</t>
  </si>
  <si>
    <t>John Sciutto</t>
  </si>
  <si>
    <t>Cheryl Simmons-Hutson</t>
  </si>
  <si>
    <t>Massimo Ferrari</t>
  </si>
  <si>
    <t>Patrick Breedy</t>
  </si>
  <si>
    <t>Amer Sajed</t>
  </si>
  <si>
    <t>00023392671K9</t>
  </si>
  <si>
    <t>00023408740K6</t>
  </si>
  <si>
    <t>00023070047K6</t>
  </si>
  <si>
    <t>00023407552K6</t>
  </si>
  <si>
    <t>00021314916K6</t>
  </si>
  <si>
    <t>00022876089K6</t>
  </si>
  <si>
    <t>00023408500K6</t>
  </si>
  <si>
    <t>00023394237K6</t>
  </si>
  <si>
    <t>00023398875K6</t>
  </si>
  <si>
    <t>00023403315K6</t>
  </si>
  <si>
    <t>00023406295K9</t>
  </si>
  <si>
    <t>00000106089A8</t>
  </si>
  <si>
    <t>00001004315A8</t>
  </si>
  <si>
    <t>00001003900A8</t>
  </si>
  <si>
    <t>00001004411A8</t>
  </si>
  <si>
    <t>00001004451A8</t>
  </si>
  <si>
    <t>00001004224A8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</si>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</sst>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49" fontId="0" fillId="35" borderId="0" xfId="0" applyNumberFormat="1" applyFill="1" applyAlignment="1">
      <alignment horizontal="left" vertical="top"/>
    </xf>
    <xf numFmtId="49" fontId="0" fillId="36" borderId="0" xfId="0" applyNumberFormat="1" applyFill="1" applyAlignment="1">
      <alignment horizontal="left" vertical="top"/>
    </xf>
    <xf numFmtId="49" fontId="0" fillId="37" borderId="0" xfId="0" applyNumberFormat="1" applyFill="1" applyAlignment="1">
      <alignment horizontal="left" vertical="top"/>
    </xf>
    <xf numFmtId="49" fontId="19" fillId="33" borderId="0" xfId="0" applyNumberFormat="1" applyFont="1" applyFill="1" applyAlignment="1">
      <alignment horizontal="left" vertical="top"/>
    </xf>
    <xf numFmtId="49" fontId="19" fillId="37" borderId="0" xfId="0" applyNumberFormat="1" applyFont="1" applyFill="1" applyAlignment="1">
      <alignment horizontal="left" vertical="top"/>
    </xf>
    <xf numFmtId="49" fontId="0" fillId="0" borderId="0" xfId="0" applyNumberFormat="1"/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49" fontId="19" fillId="0" borderId="0" xfId="0" applyNumberFormat="1" applyFont="1" applyFill="1" applyAlignment="1">
      <alignment horizontal="left" vertical="top"/>
    </xf>
    <xf numFmtId="0" fontId="19" fillId="0" borderId="0" xfId="0" applyFon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0" fontId="0" fillId="0" borderId="0" xfId="0" applyNumberFormat="1" applyFill="1" applyAlignment="1">
      <alignment horizontal="left" vertical="top"/>
    </xf>
    <xf numFmtId="1" fontId="19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0EAF-2D72-4CA5-ACC2-11A6A7FCB216}">
  <dimension ref="A1:AP55"/>
  <sheetViews>
    <sheetView topLeftCell="M1" workbookViewId="0">
      <selection activeCell="M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45819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193952352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45839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0.5</v>
      </c>
      <c r="W2" s="5">
        <v>0</v>
      </c>
      <c r="X2" s="5">
        <v>100</v>
      </c>
      <c r="Y2" s="5">
        <v>27.5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45839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45819</v>
      </c>
      <c r="C3" s="4" t="s">
        <v>56</v>
      </c>
      <c r="D3" s="2">
        <v>1466196</v>
      </c>
      <c r="E3" s="4" t="s">
        <v>57</v>
      </c>
      <c r="F3" s="4" t="s">
        <v>58</v>
      </c>
      <c r="G3" s="2">
        <v>473036560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45839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60</v>
      </c>
      <c r="U3" s="4" t="s">
        <v>46</v>
      </c>
      <c r="V3" s="5">
        <v>0.5</v>
      </c>
      <c r="W3" s="5">
        <v>0</v>
      </c>
      <c r="X3" s="5">
        <v>100</v>
      </c>
      <c r="Y3" s="5">
        <v>156.5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45839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61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45819</v>
      </c>
      <c r="C4" s="4" t="s">
        <v>62</v>
      </c>
      <c r="D4" s="2">
        <v>1509770</v>
      </c>
      <c r="E4" s="4" t="s">
        <v>63</v>
      </c>
      <c r="F4" s="4" t="s">
        <v>64</v>
      </c>
      <c r="G4" s="2">
        <v>339825314</v>
      </c>
      <c r="H4" s="4" t="s">
        <v>65</v>
      </c>
      <c r="I4" s="4" t="s">
        <v>46</v>
      </c>
      <c r="J4" s="4" t="s">
        <v>47</v>
      </c>
      <c r="K4" s="4" t="s">
        <v>48</v>
      </c>
      <c r="L4" s="3">
        <v>45778</v>
      </c>
      <c r="M4" s="4" t="s">
        <v>66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60</v>
      </c>
      <c r="U4" s="4" t="s">
        <v>46</v>
      </c>
      <c r="V4" s="5">
        <v>0</v>
      </c>
      <c r="W4" s="5">
        <v>0</v>
      </c>
      <c r="X4" s="5">
        <v>100</v>
      </c>
      <c r="Y4" s="5">
        <v>286.92</v>
      </c>
      <c r="Z4" s="4" t="s">
        <v>46</v>
      </c>
      <c r="AA4" s="5" t="s">
        <v>46</v>
      </c>
      <c r="AB4" s="4" t="s">
        <v>67</v>
      </c>
      <c r="AC4" s="4" t="s">
        <v>46</v>
      </c>
      <c r="AD4" s="5">
        <v>0</v>
      </c>
      <c r="AE4" s="4" t="s">
        <v>68</v>
      </c>
      <c r="AF4" s="3">
        <v>45778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61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45819</v>
      </c>
      <c r="C5" s="4" t="s">
        <v>62</v>
      </c>
      <c r="D5" s="2">
        <v>1509770</v>
      </c>
      <c r="E5" s="4" t="s">
        <v>63</v>
      </c>
      <c r="F5" s="4" t="s">
        <v>64</v>
      </c>
      <c r="G5" s="2">
        <v>339825314</v>
      </c>
      <c r="H5" s="4" t="s">
        <v>65</v>
      </c>
      <c r="I5" s="4" t="s">
        <v>46</v>
      </c>
      <c r="J5" s="4" t="s">
        <v>47</v>
      </c>
      <c r="K5" s="4" t="s">
        <v>48</v>
      </c>
      <c r="L5" s="3">
        <v>45778</v>
      </c>
      <c r="M5" s="4" t="s">
        <v>66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60</v>
      </c>
      <c r="U5" s="4" t="s">
        <v>46</v>
      </c>
      <c r="V5" s="5">
        <v>0.25</v>
      </c>
      <c r="W5" s="5">
        <v>0</v>
      </c>
      <c r="X5" s="5">
        <v>100</v>
      </c>
      <c r="Y5" s="5">
        <v>78.25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45778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61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45819</v>
      </c>
      <c r="C6" s="4" t="s">
        <v>62</v>
      </c>
      <c r="D6" s="2">
        <v>1509770</v>
      </c>
      <c r="E6" s="4" t="s">
        <v>69</v>
      </c>
      <c r="F6" s="4" t="s">
        <v>70</v>
      </c>
      <c r="G6" s="2">
        <v>843171423</v>
      </c>
      <c r="H6" s="4" t="s">
        <v>71</v>
      </c>
      <c r="I6" s="4" t="s">
        <v>46</v>
      </c>
      <c r="J6" s="4" t="s">
        <v>47</v>
      </c>
      <c r="K6" s="4" t="s">
        <v>48</v>
      </c>
      <c r="L6" s="3">
        <v>45870</v>
      </c>
      <c r="M6" s="4" t="s">
        <v>72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73</v>
      </c>
      <c r="U6" s="4" t="s">
        <v>46</v>
      </c>
      <c r="V6" s="5">
        <v>0.42</v>
      </c>
      <c r="W6" s="5">
        <v>0</v>
      </c>
      <c r="X6" s="5">
        <v>100</v>
      </c>
      <c r="Y6" s="5">
        <v>130.41999999999999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45870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74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45819</v>
      </c>
      <c r="C7" s="4" t="s">
        <v>75</v>
      </c>
      <c r="D7" s="2">
        <v>1510420</v>
      </c>
      <c r="E7" s="4" t="s">
        <v>76</v>
      </c>
      <c r="F7" s="4" t="s">
        <v>77</v>
      </c>
      <c r="G7" s="2">
        <v>362661373</v>
      </c>
      <c r="H7" s="4" t="s">
        <v>78</v>
      </c>
      <c r="I7" s="4" t="s">
        <v>46</v>
      </c>
      <c r="J7" s="4" t="s">
        <v>47</v>
      </c>
      <c r="K7" s="4" t="s">
        <v>48</v>
      </c>
      <c r="L7" s="3">
        <v>45658</v>
      </c>
      <c r="M7" s="4" t="s">
        <v>79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60</v>
      </c>
      <c r="U7" s="4" t="s">
        <v>46</v>
      </c>
      <c r="V7" s="5">
        <v>-0.57999999999999996</v>
      </c>
      <c r="W7" s="5">
        <v>0</v>
      </c>
      <c r="X7" s="5">
        <v>100</v>
      </c>
      <c r="Y7" s="5">
        <v>-182.58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61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45819</v>
      </c>
      <c r="C8" s="4" t="s">
        <v>75</v>
      </c>
      <c r="D8" s="2">
        <v>1510420</v>
      </c>
      <c r="E8" s="4" t="s">
        <v>80</v>
      </c>
      <c r="F8" s="4" t="s">
        <v>81</v>
      </c>
      <c r="G8" s="2">
        <v>751657331</v>
      </c>
      <c r="H8" s="4" t="s">
        <v>82</v>
      </c>
      <c r="I8" s="4" t="s">
        <v>46</v>
      </c>
      <c r="J8" s="4" t="s">
        <v>47</v>
      </c>
      <c r="K8" s="4" t="s">
        <v>48</v>
      </c>
      <c r="L8" s="3">
        <v>45658</v>
      </c>
      <c r="M8" s="4" t="s">
        <v>79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60</v>
      </c>
      <c r="U8" s="4" t="s">
        <v>46</v>
      </c>
      <c r="V8" s="5">
        <v>-0.5</v>
      </c>
      <c r="W8" s="5">
        <v>0</v>
      </c>
      <c r="X8" s="5">
        <v>100</v>
      </c>
      <c r="Y8" s="5">
        <v>-156.5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45658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61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45819</v>
      </c>
      <c r="C9" s="4" t="s">
        <v>75</v>
      </c>
      <c r="D9" s="2">
        <v>1510420</v>
      </c>
      <c r="E9" s="4" t="s">
        <v>83</v>
      </c>
      <c r="F9" s="4" t="s">
        <v>84</v>
      </c>
      <c r="G9" s="2">
        <v>319486324</v>
      </c>
      <c r="H9" s="4" t="s">
        <v>85</v>
      </c>
      <c r="I9" s="4" t="s">
        <v>46</v>
      </c>
      <c r="J9" s="4" t="s">
        <v>47</v>
      </c>
      <c r="K9" s="4" t="s">
        <v>48</v>
      </c>
      <c r="L9" s="3">
        <v>45870</v>
      </c>
      <c r="M9" s="4" t="s">
        <v>72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60</v>
      </c>
      <c r="U9" s="4" t="s">
        <v>46</v>
      </c>
      <c r="V9" s="5">
        <v>0.42</v>
      </c>
      <c r="W9" s="5">
        <v>0</v>
      </c>
      <c r="X9" s="5">
        <v>100</v>
      </c>
      <c r="Y9" s="5">
        <v>130.41999999999999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45870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61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45819</v>
      </c>
      <c r="C10" s="4" t="s">
        <v>86</v>
      </c>
      <c r="D10" s="2">
        <v>1800776</v>
      </c>
      <c r="E10" s="4" t="s">
        <v>87</v>
      </c>
      <c r="F10" s="4" t="s">
        <v>88</v>
      </c>
      <c r="G10" s="2">
        <v>509445147</v>
      </c>
      <c r="H10" s="4" t="s">
        <v>89</v>
      </c>
      <c r="I10" s="4" t="s">
        <v>46</v>
      </c>
      <c r="J10" s="4" t="s">
        <v>47</v>
      </c>
      <c r="K10" s="4" t="s">
        <v>48</v>
      </c>
      <c r="L10" s="3">
        <v>45839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60</v>
      </c>
      <c r="U10" s="4" t="s">
        <v>46</v>
      </c>
      <c r="V10" s="5">
        <v>0.5</v>
      </c>
      <c r="W10" s="5">
        <v>0</v>
      </c>
      <c r="X10" s="5">
        <v>100</v>
      </c>
      <c r="Y10" s="5">
        <v>156.5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45839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61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45819</v>
      </c>
      <c r="C11" s="4" t="s">
        <v>86</v>
      </c>
      <c r="D11" s="2">
        <v>1800776</v>
      </c>
      <c r="E11" s="4" t="s">
        <v>90</v>
      </c>
      <c r="F11" s="4" t="s">
        <v>91</v>
      </c>
      <c r="G11" s="2">
        <v>644094354</v>
      </c>
      <c r="H11" s="4" t="s">
        <v>92</v>
      </c>
      <c r="I11" s="4" t="s">
        <v>46</v>
      </c>
      <c r="J11" s="4" t="s">
        <v>47</v>
      </c>
      <c r="K11" s="4" t="s">
        <v>48</v>
      </c>
      <c r="L11" s="3">
        <v>45839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93</v>
      </c>
      <c r="U11" s="4" t="s">
        <v>46</v>
      </c>
      <c r="V11" s="5">
        <v>0.5</v>
      </c>
      <c r="W11" s="5">
        <v>0</v>
      </c>
      <c r="X11" s="5">
        <v>100</v>
      </c>
      <c r="Y11" s="5">
        <v>156.5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45839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74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45819</v>
      </c>
      <c r="C12" s="4" t="s">
        <v>94</v>
      </c>
      <c r="D12" s="2">
        <v>1808524</v>
      </c>
      <c r="E12" s="4" t="s">
        <v>95</v>
      </c>
      <c r="F12" s="4" t="s">
        <v>96</v>
      </c>
      <c r="G12" s="2">
        <v>60142184</v>
      </c>
      <c r="H12" s="4" t="s">
        <v>97</v>
      </c>
      <c r="I12" s="4" t="s">
        <v>46</v>
      </c>
      <c r="J12" s="4" t="s">
        <v>47</v>
      </c>
      <c r="K12" s="4" t="s">
        <v>48</v>
      </c>
      <c r="L12" s="3">
        <v>45839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93</v>
      </c>
      <c r="U12" s="4" t="s">
        <v>46</v>
      </c>
      <c r="V12" s="5">
        <v>0.5</v>
      </c>
      <c r="W12" s="5">
        <v>0</v>
      </c>
      <c r="X12" s="5">
        <v>100</v>
      </c>
      <c r="Y12" s="5">
        <v>156.5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45839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98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45819</v>
      </c>
      <c r="C13" s="4" t="s">
        <v>99</v>
      </c>
      <c r="D13" s="2">
        <v>1875462</v>
      </c>
      <c r="E13" s="4" t="s">
        <v>100</v>
      </c>
      <c r="F13" s="4" t="s">
        <v>101</v>
      </c>
      <c r="G13" s="2">
        <v>135988393</v>
      </c>
      <c r="H13" s="4" t="s">
        <v>102</v>
      </c>
      <c r="I13" s="4" t="s">
        <v>46</v>
      </c>
      <c r="J13" s="4" t="s">
        <v>47</v>
      </c>
      <c r="K13" s="4" t="s">
        <v>48</v>
      </c>
      <c r="L13" s="3">
        <v>45870</v>
      </c>
      <c r="M13" s="4" t="s">
        <v>72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0.42</v>
      </c>
      <c r="W13" s="5">
        <v>0</v>
      </c>
      <c r="X13" s="5">
        <v>100</v>
      </c>
      <c r="Y13" s="5">
        <v>22.92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45870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45819</v>
      </c>
      <c r="C14" s="4" t="s">
        <v>103</v>
      </c>
      <c r="D14" s="2">
        <v>1509744</v>
      </c>
      <c r="E14" s="4" t="s">
        <v>104</v>
      </c>
      <c r="F14" s="4" t="s">
        <v>105</v>
      </c>
      <c r="G14" s="4" t="s">
        <v>46</v>
      </c>
      <c r="H14" s="4" t="s">
        <v>46</v>
      </c>
      <c r="I14" s="4" t="s">
        <v>46</v>
      </c>
      <c r="J14" s="4" t="s">
        <v>106</v>
      </c>
      <c r="K14" s="4" t="s">
        <v>107</v>
      </c>
      <c r="L14" s="3">
        <v>45839</v>
      </c>
      <c r="M14" s="4" t="s">
        <v>49</v>
      </c>
      <c r="N14" s="4" t="s">
        <v>46</v>
      </c>
      <c r="O14" s="4" t="s">
        <v>108</v>
      </c>
      <c r="P14" s="4" t="s">
        <v>108</v>
      </c>
      <c r="Q14" s="2">
        <v>2</v>
      </c>
      <c r="R14" s="2">
        <v>60</v>
      </c>
      <c r="S14" s="4" t="s">
        <v>109</v>
      </c>
      <c r="T14" s="4" t="s">
        <v>46</v>
      </c>
      <c r="U14" s="4" t="s">
        <v>46</v>
      </c>
      <c r="V14" s="5">
        <v>10</v>
      </c>
      <c r="W14" s="5">
        <v>26.88</v>
      </c>
      <c r="X14" s="5">
        <v>100</v>
      </c>
      <c r="Y14" s="5">
        <v>2.69</v>
      </c>
      <c r="Z14" s="4" t="s">
        <v>46</v>
      </c>
      <c r="AA14" s="5" t="s">
        <v>46</v>
      </c>
      <c r="AB14" s="4" t="s">
        <v>110</v>
      </c>
      <c r="AC14" s="4" t="s">
        <v>46</v>
      </c>
      <c r="AD14" s="5">
        <v>0</v>
      </c>
      <c r="AE14" s="4" t="s">
        <v>111</v>
      </c>
      <c r="AF14" s="3">
        <v>45323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45819</v>
      </c>
      <c r="C15" s="4" t="s">
        <v>103</v>
      </c>
      <c r="D15" s="2">
        <v>1509744</v>
      </c>
      <c r="E15" s="4" t="s">
        <v>112</v>
      </c>
      <c r="F15" s="4" t="s">
        <v>113</v>
      </c>
      <c r="G15" s="4" t="s">
        <v>46</v>
      </c>
      <c r="H15" s="4" t="s">
        <v>46</v>
      </c>
      <c r="I15" s="4" t="s">
        <v>46</v>
      </c>
      <c r="J15" s="4" t="s">
        <v>106</v>
      </c>
      <c r="K15" s="4" t="s">
        <v>107</v>
      </c>
      <c r="L15" s="3">
        <v>45839</v>
      </c>
      <c r="M15" s="4" t="s">
        <v>49</v>
      </c>
      <c r="N15" s="4" t="s">
        <v>46</v>
      </c>
      <c r="O15" s="4" t="s">
        <v>50</v>
      </c>
      <c r="P15" s="4" t="s">
        <v>108</v>
      </c>
      <c r="Q15" s="2">
        <v>1</v>
      </c>
      <c r="R15" s="2">
        <v>60</v>
      </c>
      <c r="S15" s="4" t="s">
        <v>109</v>
      </c>
      <c r="T15" s="4" t="s">
        <v>46</v>
      </c>
      <c r="U15" s="4" t="s">
        <v>46</v>
      </c>
      <c r="V15" s="5">
        <v>10</v>
      </c>
      <c r="W15" s="5">
        <v>13.93</v>
      </c>
      <c r="X15" s="5">
        <v>100</v>
      </c>
      <c r="Y15" s="5">
        <v>1.39</v>
      </c>
      <c r="Z15" s="4" t="s">
        <v>46</v>
      </c>
      <c r="AA15" s="5" t="s">
        <v>46</v>
      </c>
      <c r="AB15" s="4" t="s">
        <v>114</v>
      </c>
      <c r="AC15" s="4" t="s">
        <v>46</v>
      </c>
      <c r="AD15" s="5">
        <v>0</v>
      </c>
      <c r="AE15" s="4" t="s">
        <v>115</v>
      </c>
      <c r="AF15" s="3">
        <v>45622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45819</v>
      </c>
      <c r="C16" s="4" t="s">
        <v>103</v>
      </c>
      <c r="D16" s="2">
        <v>1509744</v>
      </c>
      <c r="E16" s="4" t="s">
        <v>116</v>
      </c>
      <c r="F16" s="4" t="s">
        <v>117</v>
      </c>
      <c r="G16" s="4" t="s">
        <v>46</v>
      </c>
      <c r="H16" s="4" t="s">
        <v>46</v>
      </c>
      <c r="I16" s="4" t="s">
        <v>46</v>
      </c>
      <c r="J16" s="4" t="s">
        <v>106</v>
      </c>
      <c r="K16" s="4" t="s">
        <v>107</v>
      </c>
      <c r="L16" s="3">
        <v>45839</v>
      </c>
      <c r="M16" s="4" t="s">
        <v>49</v>
      </c>
      <c r="N16" s="4" t="s">
        <v>46</v>
      </c>
      <c r="O16" s="4" t="s">
        <v>50</v>
      </c>
      <c r="P16" s="4" t="s">
        <v>108</v>
      </c>
      <c r="Q16" s="2">
        <v>2</v>
      </c>
      <c r="R16" s="2">
        <v>3</v>
      </c>
      <c r="S16" s="4" t="s">
        <v>118</v>
      </c>
      <c r="T16" s="4" t="s">
        <v>46</v>
      </c>
      <c r="U16" s="4" t="s">
        <v>46</v>
      </c>
      <c r="V16" s="5">
        <v>10</v>
      </c>
      <c r="W16" s="5">
        <v>97.6</v>
      </c>
      <c r="X16" s="5">
        <v>100</v>
      </c>
      <c r="Y16" s="5">
        <v>9.76</v>
      </c>
      <c r="Z16" s="4" t="s">
        <v>46</v>
      </c>
      <c r="AA16" s="5" t="s">
        <v>46</v>
      </c>
      <c r="AB16" s="4" t="s">
        <v>114</v>
      </c>
      <c r="AC16" s="4" t="s">
        <v>46</v>
      </c>
      <c r="AD16" s="5">
        <v>0</v>
      </c>
      <c r="AE16" s="4" t="s">
        <v>115</v>
      </c>
      <c r="AF16" s="3">
        <v>45644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45819</v>
      </c>
      <c r="C17" s="4" t="s">
        <v>103</v>
      </c>
      <c r="D17" s="2">
        <v>1509744</v>
      </c>
      <c r="E17" s="4" t="s">
        <v>116</v>
      </c>
      <c r="F17" s="4" t="s">
        <v>119</v>
      </c>
      <c r="G17" s="4" t="s">
        <v>46</v>
      </c>
      <c r="H17" s="4" t="s">
        <v>46</v>
      </c>
      <c r="I17" s="4" t="s">
        <v>46</v>
      </c>
      <c r="J17" s="4" t="s">
        <v>106</v>
      </c>
      <c r="K17" s="4" t="s">
        <v>107</v>
      </c>
      <c r="L17" s="3">
        <v>45839</v>
      </c>
      <c r="M17" s="4" t="s">
        <v>49</v>
      </c>
      <c r="N17" s="4" t="s">
        <v>46</v>
      </c>
      <c r="O17" s="4" t="s">
        <v>50</v>
      </c>
      <c r="P17" s="4" t="s">
        <v>108</v>
      </c>
      <c r="Q17" s="2">
        <v>2</v>
      </c>
      <c r="R17" s="2">
        <v>60</v>
      </c>
      <c r="S17" s="4" t="s">
        <v>109</v>
      </c>
      <c r="T17" s="4" t="s">
        <v>46</v>
      </c>
      <c r="U17" s="4" t="s">
        <v>46</v>
      </c>
      <c r="V17" s="5">
        <v>10</v>
      </c>
      <c r="W17" s="5">
        <v>26.88</v>
      </c>
      <c r="X17" s="5">
        <v>100</v>
      </c>
      <c r="Y17" s="5">
        <v>2.69</v>
      </c>
      <c r="Z17" s="4" t="s">
        <v>46</v>
      </c>
      <c r="AA17" s="5" t="s">
        <v>46</v>
      </c>
      <c r="AB17" s="4" t="s">
        <v>114</v>
      </c>
      <c r="AC17" s="4" t="s">
        <v>46</v>
      </c>
      <c r="AD17" s="5">
        <v>0</v>
      </c>
      <c r="AE17" s="4" t="s">
        <v>115</v>
      </c>
      <c r="AF17" s="3">
        <v>45644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45819</v>
      </c>
      <c r="C18" s="4" t="s">
        <v>120</v>
      </c>
      <c r="D18" s="2">
        <v>1524629</v>
      </c>
      <c r="E18" s="4" t="s">
        <v>121</v>
      </c>
      <c r="F18" s="4" t="s">
        <v>122</v>
      </c>
      <c r="G18" s="4" t="s">
        <v>46</v>
      </c>
      <c r="H18" s="4" t="s">
        <v>46</v>
      </c>
      <c r="I18" s="4" t="s">
        <v>46</v>
      </c>
      <c r="J18" s="4" t="s">
        <v>123</v>
      </c>
      <c r="K18" s="4" t="s">
        <v>48</v>
      </c>
      <c r="L18" s="3">
        <v>45809</v>
      </c>
      <c r="M18" s="4" t="s">
        <v>124</v>
      </c>
      <c r="N18" s="4" t="s">
        <v>46</v>
      </c>
      <c r="O18" s="4" t="s">
        <v>108</v>
      </c>
      <c r="P18" s="4" t="s">
        <v>108</v>
      </c>
      <c r="Q18" s="2">
        <v>1</v>
      </c>
      <c r="R18" s="2">
        <v>17</v>
      </c>
      <c r="S18" s="4" t="s">
        <v>51</v>
      </c>
      <c r="T18" s="4" t="s">
        <v>46</v>
      </c>
      <c r="U18" s="4" t="s">
        <v>46</v>
      </c>
      <c r="V18" s="5">
        <v>26</v>
      </c>
      <c r="W18" s="5">
        <v>147.1</v>
      </c>
      <c r="X18" s="5">
        <v>100</v>
      </c>
      <c r="Y18" s="5">
        <v>38.25</v>
      </c>
      <c r="Z18" s="5">
        <v>0</v>
      </c>
      <c r="AA18" s="5">
        <v>0</v>
      </c>
      <c r="AB18" s="4" t="s">
        <v>125</v>
      </c>
      <c r="AC18" s="4" t="s">
        <v>46</v>
      </c>
      <c r="AD18" s="5">
        <v>0</v>
      </c>
      <c r="AE18" s="4" t="s">
        <v>126</v>
      </c>
      <c r="AF18" s="3">
        <v>45292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45819</v>
      </c>
      <c r="C19" s="4" t="s">
        <v>127</v>
      </c>
      <c r="D19" s="2">
        <v>1545980</v>
      </c>
      <c r="E19" s="4" t="s">
        <v>128</v>
      </c>
      <c r="F19" s="4" t="s">
        <v>129</v>
      </c>
      <c r="G19" s="4" t="s">
        <v>46</v>
      </c>
      <c r="H19" s="4" t="s">
        <v>46</v>
      </c>
      <c r="I19" s="4" t="s">
        <v>46</v>
      </c>
      <c r="J19" s="4" t="s">
        <v>123</v>
      </c>
      <c r="K19" s="4" t="s">
        <v>48</v>
      </c>
      <c r="L19" s="3">
        <v>45809</v>
      </c>
      <c r="M19" s="4" t="s">
        <v>124</v>
      </c>
      <c r="N19" s="4" t="s">
        <v>46</v>
      </c>
      <c r="O19" s="4" t="s">
        <v>50</v>
      </c>
      <c r="P19" s="4" t="s">
        <v>108</v>
      </c>
      <c r="Q19" s="2">
        <v>1</v>
      </c>
      <c r="R19" s="2">
        <v>17</v>
      </c>
      <c r="S19" s="4" t="s">
        <v>51</v>
      </c>
      <c r="T19" s="4" t="s">
        <v>46</v>
      </c>
      <c r="U19" s="4" t="s">
        <v>46</v>
      </c>
      <c r="V19" s="5">
        <v>22</v>
      </c>
      <c r="W19" s="5">
        <v>1674</v>
      </c>
      <c r="X19" s="5">
        <v>100</v>
      </c>
      <c r="Y19" s="5">
        <v>368.28</v>
      </c>
      <c r="Z19" s="5">
        <v>0</v>
      </c>
      <c r="AA19" s="5">
        <v>0</v>
      </c>
      <c r="AB19" s="4" t="s">
        <v>130</v>
      </c>
      <c r="AC19" s="4" t="s">
        <v>46</v>
      </c>
      <c r="AD19" s="5">
        <v>0</v>
      </c>
      <c r="AE19" s="4" t="s">
        <v>131</v>
      </c>
      <c r="AF19" s="3">
        <v>45809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45819</v>
      </c>
      <c r="C20" s="4" t="s">
        <v>132</v>
      </c>
      <c r="D20" s="2">
        <v>1673763</v>
      </c>
      <c r="E20" s="4" t="s">
        <v>133</v>
      </c>
      <c r="F20" s="4" t="s">
        <v>134</v>
      </c>
      <c r="G20" s="4" t="s">
        <v>46</v>
      </c>
      <c r="H20" s="4" t="s">
        <v>46</v>
      </c>
      <c r="I20" s="4" t="s">
        <v>46</v>
      </c>
      <c r="J20" s="4" t="s">
        <v>123</v>
      </c>
      <c r="K20" s="4" t="s">
        <v>48</v>
      </c>
      <c r="L20" s="3">
        <v>45809</v>
      </c>
      <c r="M20" s="4" t="s">
        <v>124</v>
      </c>
      <c r="N20" s="4" t="s">
        <v>46</v>
      </c>
      <c r="O20" s="4" t="s">
        <v>50</v>
      </c>
      <c r="P20" s="4" t="s">
        <v>108</v>
      </c>
      <c r="Q20" s="2">
        <v>1</v>
      </c>
      <c r="R20" s="2">
        <v>17</v>
      </c>
      <c r="S20" s="4" t="s">
        <v>51</v>
      </c>
      <c r="T20" s="4" t="s">
        <v>46</v>
      </c>
      <c r="U20" s="4" t="s">
        <v>46</v>
      </c>
      <c r="V20" s="5">
        <v>26</v>
      </c>
      <c r="W20" s="5">
        <v>1389.48</v>
      </c>
      <c r="X20" s="5">
        <v>100</v>
      </c>
      <c r="Y20" s="5">
        <v>361.32</v>
      </c>
      <c r="Z20" s="5">
        <v>0</v>
      </c>
      <c r="AA20" s="5">
        <v>0</v>
      </c>
      <c r="AB20" s="4" t="s">
        <v>130</v>
      </c>
      <c r="AC20" s="4" t="s">
        <v>46</v>
      </c>
      <c r="AD20" s="5">
        <v>0</v>
      </c>
      <c r="AE20" s="4" t="s">
        <v>131</v>
      </c>
      <c r="AF20" s="3">
        <v>45809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45819</v>
      </c>
      <c r="C21" s="4" t="s">
        <v>135</v>
      </c>
      <c r="D21" s="2">
        <v>1737425</v>
      </c>
      <c r="E21" s="4" t="s">
        <v>136</v>
      </c>
      <c r="F21" s="4" t="s">
        <v>137</v>
      </c>
      <c r="G21" s="4" t="s">
        <v>46</v>
      </c>
      <c r="H21" s="4" t="s">
        <v>46</v>
      </c>
      <c r="I21" s="4" t="s">
        <v>46</v>
      </c>
      <c r="J21" s="4" t="s">
        <v>106</v>
      </c>
      <c r="K21" s="4" t="s">
        <v>107</v>
      </c>
      <c r="L21" s="3">
        <v>45839</v>
      </c>
      <c r="M21" s="4" t="s">
        <v>49</v>
      </c>
      <c r="N21" s="4" t="s">
        <v>46</v>
      </c>
      <c r="O21" s="4" t="s">
        <v>50</v>
      </c>
      <c r="P21" s="4" t="s">
        <v>108</v>
      </c>
      <c r="Q21" s="2">
        <v>3</v>
      </c>
      <c r="R21" s="2">
        <v>60</v>
      </c>
      <c r="S21" s="4" t="s">
        <v>109</v>
      </c>
      <c r="T21" s="4" t="s">
        <v>46</v>
      </c>
      <c r="U21" s="4" t="s">
        <v>46</v>
      </c>
      <c r="V21" s="5">
        <v>10</v>
      </c>
      <c r="W21" s="5">
        <v>66.56</v>
      </c>
      <c r="X21" s="5">
        <v>100</v>
      </c>
      <c r="Y21" s="5">
        <v>6.66</v>
      </c>
      <c r="Z21" s="4" t="s">
        <v>46</v>
      </c>
      <c r="AA21" s="5" t="s">
        <v>46</v>
      </c>
      <c r="AB21" s="4" t="s">
        <v>114</v>
      </c>
      <c r="AC21" s="4" t="s">
        <v>46</v>
      </c>
      <c r="AD21" s="5">
        <v>0</v>
      </c>
      <c r="AE21" s="4" t="s">
        <v>115</v>
      </c>
      <c r="AF21" s="3">
        <v>45786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45819</v>
      </c>
      <c r="C22" s="4" t="s">
        <v>135</v>
      </c>
      <c r="D22" s="2">
        <v>1737425</v>
      </c>
      <c r="E22" s="4" t="s">
        <v>138</v>
      </c>
      <c r="F22" s="4" t="s">
        <v>139</v>
      </c>
      <c r="G22" s="4" t="s">
        <v>46</v>
      </c>
      <c r="H22" s="4" t="s">
        <v>46</v>
      </c>
      <c r="I22" s="4" t="s">
        <v>46</v>
      </c>
      <c r="J22" s="4" t="s">
        <v>106</v>
      </c>
      <c r="K22" s="4" t="s">
        <v>107</v>
      </c>
      <c r="L22" s="3">
        <v>45839</v>
      </c>
      <c r="M22" s="4" t="s">
        <v>49</v>
      </c>
      <c r="N22" s="4" t="s">
        <v>46</v>
      </c>
      <c r="O22" s="4" t="s">
        <v>50</v>
      </c>
      <c r="P22" s="4" t="s">
        <v>108</v>
      </c>
      <c r="Q22" s="2">
        <v>1</v>
      </c>
      <c r="R22" s="2">
        <v>60</v>
      </c>
      <c r="S22" s="4" t="s">
        <v>109</v>
      </c>
      <c r="T22" s="4" t="s">
        <v>46</v>
      </c>
      <c r="U22" s="4" t="s">
        <v>46</v>
      </c>
      <c r="V22" s="5">
        <v>10</v>
      </c>
      <c r="W22" s="5">
        <v>21.32</v>
      </c>
      <c r="X22" s="5">
        <v>100</v>
      </c>
      <c r="Y22" s="5">
        <v>2.13</v>
      </c>
      <c r="Z22" s="4" t="s">
        <v>46</v>
      </c>
      <c r="AA22" s="5" t="s">
        <v>46</v>
      </c>
      <c r="AB22" s="4" t="s">
        <v>114</v>
      </c>
      <c r="AC22" s="4" t="s">
        <v>46</v>
      </c>
      <c r="AD22" s="5">
        <v>0</v>
      </c>
      <c r="AE22" s="4" t="s">
        <v>115</v>
      </c>
      <c r="AF22" s="3">
        <v>45786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45819</v>
      </c>
      <c r="C23" s="4" t="s">
        <v>140</v>
      </c>
      <c r="D23" s="2">
        <v>1755893</v>
      </c>
      <c r="E23" s="4" t="s">
        <v>141</v>
      </c>
      <c r="F23" s="4" t="s">
        <v>142</v>
      </c>
      <c r="G23" s="4" t="s">
        <v>46</v>
      </c>
      <c r="H23" s="4" t="s">
        <v>46</v>
      </c>
      <c r="I23" s="4" t="s">
        <v>46</v>
      </c>
      <c r="J23" s="4" t="s">
        <v>106</v>
      </c>
      <c r="K23" s="4" t="s">
        <v>107</v>
      </c>
      <c r="L23" s="3">
        <v>45839</v>
      </c>
      <c r="M23" s="4" t="s">
        <v>49</v>
      </c>
      <c r="N23" s="4" t="s">
        <v>46</v>
      </c>
      <c r="O23" s="4" t="s">
        <v>50</v>
      </c>
      <c r="P23" s="4" t="s">
        <v>108</v>
      </c>
      <c r="Q23" s="2">
        <v>1</v>
      </c>
      <c r="R23" s="2">
        <v>60</v>
      </c>
      <c r="S23" s="4" t="s">
        <v>109</v>
      </c>
      <c r="T23" s="4" t="s">
        <v>46</v>
      </c>
      <c r="U23" s="4" t="s">
        <v>46</v>
      </c>
      <c r="V23" s="5">
        <v>10</v>
      </c>
      <c r="W23" s="5">
        <v>12.99</v>
      </c>
      <c r="X23" s="5">
        <v>100</v>
      </c>
      <c r="Y23" s="5">
        <v>36.299999999999997</v>
      </c>
      <c r="Z23" s="4" t="s">
        <v>46</v>
      </c>
      <c r="AA23" s="5" t="s">
        <v>46</v>
      </c>
      <c r="AB23" s="4" t="s">
        <v>114</v>
      </c>
      <c r="AC23" s="4" t="s">
        <v>46</v>
      </c>
      <c r="AD23" s="5">
        <v>0</v>
      </c>
      <c r="AE23" s="4" t="s">
        <v>115</v>
      </c>
      <c r="AF23" s="3">
        <v>45839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45819</v>
      </c>
      <c r="C24" s="4" t="s">
        <v>143</v>
      </c>
      <c r="D24" s="2">
        <v>1773696</v>
      </c>
      <c r="E24" s="4" t="s">
        <v>144</v>
      </c>
      <c r="F24" s="4" t="s">
        <v>145</v>
      </c>
      <c r="G24" s="4" t="s">
        <v>46</v>
      </c>
      <c r="H24" s="4" t="s">
        <v>46</v>
      </c>
      <c r="I24" s="4" t="s">
        <v>46</v>
      </c>
      <c r="J24" s="4" t="s">
        <v>146</v>
      </c>
      <c r="K24" s="4" t="s">
        <v>147</v>
      </c>
      <c r="L24" s="3">
        <v>45778</v>
      </c>
      <c r="M24" s="4" t="s">
        <v>66</v>
      </c>
      <c r="N24" s="4" t="s">
        <v>46</v>
      </c>
      <c r="O24" s="4" t="s">
        <v>50</v>
      </c>
      <c r="P24" s="4" t="s">
        <v>108</v>
      </c>
      <c r="Q24" s="2">
        <v>24</v>
      </c>
      <c r="R24" s="2">
        <v>3</v>
      </c>
      <c r="S24" s="4" t="s">
        <v>118</v>
      </c>
      <c r="T24" s="4" t="s">
        <v>46</v>
      </c>
      <c r="U24" s="4" t="s">
        <v>46</v>
      </c>
      <c r="V24" s="5">
        <v>10</v>
      </c>
      <c r="W24" s="5">
        <v>18.579999999999998</v>
      </c>
      <c r="X24" s="5">
        <v>100</v>
      </c>
      <c r="Y24" s="5">
        <v>1.86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45474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45819</v>
      </c>
      <c r="C25" s="4" t="s">
        <v>143</v>
      </c>
      <c r="D25" s="2">
        <v>1773696</v>
      </c>
      <c r="E25" s="4" t="s">
        <v>144</v>
      </c>
      <c r="F25" s="4" t="s">
        <v>145</v>
      </c>
      <c r="G25" s="4" t="s">
        <v>46</v>
      </c>
      <c r="H25" s="4" t="s">
        <v>46</v>
      </c>
      <c r="I25" s="4" t="s">
        <v>46</v>
      </c>
      <c r="J25" s="4" t="s">
        <v>146</v>
      </c>
      <c r="K25" s="4" t="s">
        <v>147</v>
      </c>
      <c r="L25" s="3">
        <v>45809</v>
      </c>
      <c r="M25" s="4" t="s">
        <v>124</v>
      </c>
      <c r="N25" s="4" t="s">
        <v>46</v>
      </c>
      <c r="O25" s="4" t="s">
        <v>50</v>
      </c>
      <c r="P25" s="4" t="s">
        <v>108</v>
      </c>
      <c r="Q25" s="2">
        <v>24</v>
      </c>
      <c r="R25" s="2">
        <v>3</v>
      </c>
      <c r="S25" s="4" t="s">
        <v>118</v>
      </c>
      <c r="T25" s="4" t="s">
        <v>46</v>
      </c>
      <c r="U25" s="4" t="s">
        <v>46</v>
      </c>
      <c r="V25" s="5">
        <v>10</v>
      </c>
      <c r="W25" s="5">
        <v>550.85</v>
      </c>
      <c r="X25" s="5">
        <v>100</v>
      </c>
      <c r="Y25" s="5">
        <v>55.09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45474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45819</v>
      </c>
      <c r="C26" s="4" t="s">
        <v>143</v>
      </c>
      <c r="D26" s="2">
        <v>1773696</v>
      </c>
      <c r="E26" s="4" t="s">
        <v>144</v>
      </c>
      <c r="F26" s="4" t="s">
        <v>145</v>
      </c>
      <c r="G26" s="4" t="s">
        <v>46</v>
      </c>
      <c r="H26" s="4" t="s">
        <v>46</v>
      </c>
      <c r="I26" s="4" t="s">
        <v>46</v>
      </c>
      <c r="J26" s="4" t="s">
        <v>146</v>
      </c>
      <c r="K26" s="4" t="s">
        <v>147</v>
      </c>
      <c r="L26" s="3">
        <v>45627</v>
      </c>
      <c r="M26" s="4" t="s">
        <v>148</v>
      </c>
      <c r="N26" s="4" t="s">
        <v>46</v>
      </c>
      <c r="O26" s="4" t="s">
        <v>50</v>
      </c>
      <c r="P26" s="4" t="s">
        <v>108</v>
      </c>
      <c r="Q26" s="2">
        <v>39</v>
      </c>
      <c r="R26" s="2">
        <v>5</v>
      </c>
      <c r="S26" s="4" t="s">
        <v>149</v>
      </c>
      <c r="T26" s="4" t="s">
        <v>46</v>
      </c>
      <c r="U26" s="4" t="s">
        <v>46</v>
      </c>
      <c r="V26" s="5">
        <v>10</v>
      </c>
      <c r="W26" s="5">
        <v>3.9</v>
      </c>
      <c r="X26" s="5">
        <v>100</v>
      </c>
      <c r="Y26" s="5">
        <v>0.39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45474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45819</v>
      </c>
      <c r="C27" s="4" t="s">
        <v>143</v>
      </c>
      <c r="D27" s="2">
        <v>1773696</v>
      </c>
      <c r="E27" s="4" t="s">
        <v>144</v>
      </c>
      <c r="F27" s="4" t="s">
        <v>145</v>
      </c>
      <c r="G27" s="4" t="s">
        <v>46</v>
      </c>
      <c r="H27" s="4" t="s">
        <v>46</v>
      </c>
      <c r="I27" s="4" t="s">
        <v>46</v>
      </c>
      <c r="J27" s="4" t="s">
        <v>146</v>
      </c>
      <c r="K27" s="4" t="s">
        <v>147</v>
      </c>
      <c r="L27" s="3">
        <v>45658</v>
      </c>
      <c r="M27" s="4" t="s">
        <v>79</v>
      </c>
      <c r="N27" s="4" t="s">
        <v>46</v>
      </c>
      <c r="O27" s="4" t="s">
        <v>50</v>
      </c>
      <c r="P27" s="4" t="s">
        <v>108</v>
      </c>
      <c r="Q27" s="2">
        <v>39</v>
      </c>
      <c r="R27" s="2">
        <v>5</v>
      </c>
      <c r="S27" s="4" t="s">
        <v>149</v>
      </c>
      <c r="T27" s="4" t="s">
        <v>46</v>
      </c>
      <c r="U27" s="4" t="s">
        <v>46</v>
      </c>
      <c r="V27" s="5">
        <v>10</v>
      </c>
      <c r="W27" s="5">
        <v>9.75</v>
      </c>
      <c r="X27" s="5">
        <v>100</v>
      </c>
      <c r="Y27" s="5">
        <v>0.98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45474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45819</v>
      </c>
      <c r="C28" s="4" t="s">
        <v>143</v>
      </c>
      <c r="D28" s="2">
        <v>1773696</v>
      </c>
      <c r="E28" s="4" t="s">
        <v>144</v>
      </c>
      <c r="F28" s="4" t="s">
        <v>145</v>
      </c>
      <c r="G28" s="4" t="s">
        <v>46</v>
      </c>
      <c r="H28" s="4" t="s">
        <v>46</v>
      </c>
      <c r="I28" s="4" t="s">
        <v>46</v>
      </c>
      <c r="J28" s="4" t="s">
        <v>146</v>
      </c>
      <c r="K28" s="4" t="s">
        <v>147</v>
      </c>
      <c r="L28" s="3">
        <v>45689</v>
      </c>
      <c r="M28" s="4" t="s">
        <v>150</v>
      </c>
      <c r="N28" s="4" t="s">
        <v>46</v>
      </c>
      <c r="O28" s="4" t="s">
        <v>50</v>
      </c>
      <c r="P28" s="4" t="s">
        <v>108</v>
      </c>
      <c r="Q28" s="2">
        <v>39</v>
      </c>
      <c r="R28" s="2">
        <v>5</v>
      </c>
      <c r="S28" s="4" t="s">
        <v>149</v>
      </c>
      <c r="T28" s="4" t="s">
        <v>46</v>
      </c>
      <c r="U28" s="4" t="s">
        <v>46</v>
      </c>
      <c r="V28" s="5">
        <v>10</v>
      </c>
      <c r="W28" s="5">
        <v>9.75</v>
      </c>
      <c r="X28" s="5">
        <v>100</v>
      </c>
      <c r="Y28" s="5">
        <v>0.98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45474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45819</v>
      </c>
      <c r="C29" s="4" t="s">
        <v>143</v>
      </c>
      <c r="D29" s="2">
        <v>1773696</v>
      </c>
      <c r="E29" s="4" t="s">
        <v>144</v>
      </c>
      <c r="F29" s="4" t="s">
        <v>145</v>
      </c>
      <c r="G29" s="4" t="s">
        <v>46</v>
      </c>
      <c r="H29" s="4" t="s">
        <v>46</v>
      </c>
      <c r="I29" s="4" t="s">
        <v>46</v>
      </c>
      <c r="J29" s="4" t="s">
        <v>146</v>
      </c>
      <c r="K29" s="4" t="s">
        <v>147</v>
      </c>
      <c r="L29" s="3">
        <v>45717</v>
      </c>
      <c r="M29" s="4" t="s">
        <v>151</v>
      </c>
      <c r="N29" s="4" t="s">
        <v>46</v>
      </c>
      <c r="O29" s="4" t="s">
        <v>50</v>
      </c>
      <c r="P29" s="4" t="s">
        <v>108</v>
      </c>
      <c r="Q29" s="2">
        <v>39</v>
      </c>
      <c r="R29" s="2">
        <v>5</v>
      </c>
      <c r="S29" s="4" t="s">
        <v>149</v>
      </c>
      <c r="T29" s="4" t="s">
        <v>46</v>
      </c>
      <c r="U29" s="4" t="s">
        <v>46</v>
      </c>
      <c r="V29" s="5">
        <v>10</v>
      </c>
      <c r="W29" s="5">
        <v>9.75</v>
      </c>
      <c r="X29" s="5">
        <v>100</v>
      </c>
      <c r="Y29" s="5">
        <v>0.98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45474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45819</v>
      </c>
      <c r="C30" s="4" t="s">
        <v>143</v>
      </c>
      <c r="D30" s="2">
        <v>1773696</v>
      </c>
      <c r="E30" s="4" t="s">
        <v>144</v>
      </c>
      <c r="F30" s="4" t="s">
        <v>145</v>
      </c>
      <c r="G30" s="4" t="s">
        <v>46</v>
      </c>
      <c r="H30" s="4" t="s">
        <v>46</v>
      </c>
      <c r="I30" s="4" t="s">
        <v>46</v>
      </c>
      <c r="J30" s="4" t="s">
        <v>146</v>
      </c>
      <c r="K30" s="4" t="s">
        <v>147</v>
      </c>
      <c r="L30" s="3">
        <v>45748</v>
      </c>
      <c r="M30" s="4" t="s">
        <v>152</v>
      </c>
      <c r="N30" s="4" t="s">
        <v>46</v>
      </c>
      <c r="O30" s="4" t="s">
        <v>50</v>
      </c>
      <c r="P30" s="4" t="s">
        <v>108</v>
      </c>
      <c r="Q30" s="2">
        <v>39</v>
      </c>
      <c r="R30" s="2">
        <v>5</v>
      </c>
      <c r="S30" s="4" t="s">
        <v>149</v>
      </c>
      <c r="T30" s="4" t="s">
        <v>46</v>
      </c>
      <c r="U30" s="4" t="s">
        <v>46</v>
      </c>
      <c r="V30" s="5">
        <v>10</v>
      </c>
      <c r="W30" s="5">
        <v>9.75</v>
      </c>
      <c r="X30" s="5">
        <v>100</v>
      </c>
      <c r="Y30" s="5">
        <v>0.98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45474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45819</v>
      </c>
      <c r="C31" s="4" t="s">
        <v>143</v>
      </c>
      <c r="D31" s="2">
        <v>1773696</v>
      </c>
      <c r="E31" s="4" t="s">
        <v>144</v>
      </c>
      <c r="F31" s="4" t="s">
        <v>145</v>
      </c>
      <c r="G31" s="4" t="s">
        <v>46</v>
      </c>
      <c r="H31" s="4" t="s">
        <v>46</v>
      </c>
      <c r="I31" s="4" t="s">
        <v>46</v>
      </c>
      <c r="J31" s="4" t="s">
        <v>146</v>
      </c>
      <c r="K31" s="4" t="s">
        <v>147</v>
      </c>
      <c r="L31" s="3">
        <v>45778</v>
      </c>
      <c r="M31" s="4" t="s">
        <v>66</v>
      </c>
      <c r="N31" s="4" t="s">
        <v>46</v>
      </c>
      <c r="O31" s="4" t="s">
        <v>50</v>
      </c>
      <c r="P31" s="4" t="s">
        <v>108</v>
      </c>
      <c r="Q31" s="2">
        <v>39</v>
      </c>
      <c r="R31" s="2">
        <v>5</v>
      </c>
      <c r="S31" s="4" t="s">
        <v>149</v>
      </c>
      <c r="T31" s="4" t="s">
        <v>46</v>
      </c>
      <c r="U31" s="4" t="s">
        <v>46</v>
      </c>
      <c r="V31" s="5">
        <v>10</v>
      </c>
      <c r="W31" s="5">
        <v>14.92</v>
      </c>
      <c r="X31" s="5">
        <v>100</v>
      </c>
      <c r="Y31" s="5">
        <v>1.49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45474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45819</v>
      </c>
      <c r="C32" s="4" t="s">
        <v>143</v>
      </c>
      <c r="D32" s="2">
        <v>1773696</v>
      </c>
      <c r="E32" s="4" t="s">
        <v>144</v>
      </c>
      <c r="F32" s="4" t="s">
        <v>145</v>
      </c>
      <c r="G32" s="4" t="s">
        <v>46</v>
      </c>
      <c r="H32" s="4" t="s">
        <v>46</v>
      </c>
      <c r="I32" s="4" t="s">
        <v>46</v>
      </c>
      <c r="J32" s="4" t="s">
        <v>146</v>
      </c>
      <c r="K32" s="4" t="s">
        <v>147</v>
      </c>
      <c r="L32" s="3">
        <v>45809</v>
      </c>
      <c r="M32" s="4" t="s">
        <v>124</v>
      </c>
      <c r="N32" s="4" t="s">
        <v>46</v>
      </c>
      <c r="O32" s="4" t="s">
        <v>50</v>
      </c>
      <c r="P32" s="4" t="s">
        <v>108</v>
      </c>
      <c r="Q32" s="2">
        <v>39</v>
      </c>
      <c r="R32" s="2">
        <v>5</v>
      </c>
      <c r="S32" s="4" t="s">
        <v>149</v>
      </c>
      <c r="T32" s="4" t="s">
        <v>46</v>
      </c>
      <c r="U32" s="4" t="s">
        <v>46</v>
      </c>
      <c r="V32" s="5">
        <v>10</v>
      </c>
      <c r="W32" s="5">
        <v>73.42</v>
      </c>
      <c r="X32" s="5">
        <v>100</v>
      </c>
      <c r="Y32" s="5">
        <v>7.34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45474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45819</v>
      </c>
      <c r="C33" s="4" t="s">
        <v>143</v>
      </c>
      <c r="D33" s="2">
        <v>1773696</v>
      </c>
      <c r="E33" s="4" t="s">
        <v>144</v>
      </c>
      <c r="F33" s="4" t="s">
        <v>145</v>
      </c>
      <c r="G33" s="4" t="s">
        <v>46</v>
      </c>
      <c r="H33" s="4" t="s">
        <v>46</v>
      </c>
      <c r="I33" s="4" t="s">
        <v>46</v>
      </c>
      <c r="J33" s="4" t="s">
        <v>146</v>
      </c>
      <c r="K33" s="4" t="s">
        <v>147</v>
      </c>
      <c r="L33" s="3">
        <v>45627</v>
      </c>
      <c r="M33" s="4" t="s">
        <v>148</v>
      </c>
      <c r="N33" s="4" t="s">
        <v>46</v>
      </c>
      <c r="O33" s="4" t="s">
        <v>50</v>
      </c>
      <c r="P33" s="4" t="s">
        <v>108</v>
      </c>
      <c r="Q33" s="2">
        <v>39</v>
      </c>
      <c r="R33" s="2">
        <v>10</v>
      </c>
      <c r="S33" s="4" t="s">
        <v>153</v>
      </c>
      <c r="T33" s="4" t="s">
        <v>46</v>
      </c>
      <c r="U33" s="4" t="s">
        <v>46</v>
      </c>
      <c r="V33" s="5">
        <v>10</v>
      </c>
      <c r="W33" s="5">
        <v>0.9</v>
      </c>
      <c r="X33" s="5">
        <v>100</v>
      </c>
      <c r="Y33" s="5">
        <v>0.09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45474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45819</v>
      </c>
      <c r="C34" s="4" t="s">
        <v>143</v>
      </c>
      <c r="D34" s="2">
        <v>1773696</v>
      </c>
      <c r="E34" s="4" t="s">
        <v>144</v>
      </c>
      <c r="F34" s="4" t="s">
        <v>145</v>
      </c>
      <c r="G34" s="4" t="s">
        <v>46</v>
      </c>
      <c r="H34" s="4" t="s">
        <v>46</v>
      </c>
      <c r="I34" s="4" t="s">
        <v>46</v>
      </c>
      <c r="J34" s="4" t="s">
        <v>146</v>
      </c>
      <c r="K34" s="4" t="s">
        <v>147</v>
      </c>
      <c r="L34" s="3">
        <v>45658</v>
      </c>
      <c r="M34" s="4" t="s">
        <v>79</v>
      </c>
      <c r="N34" s="4" t="s">
        <v>46</v>
      </c>
      <c r="O34" s="4" t="s">
        <v>50</v>
      </c>
      <c r="P34" s="4" t="s">
        <v>108</v>
      </c>
      <c r="Q34" s="2">
        <v>39</v>
      </c>
      <c r="R34" s="2">
        <v>10</v>
      </c>
      <c r="S34" s="4" t="s">
        <v>153</v>
      </c>
      <c r="T34" s="4" t="s">
        <v>46</v>
      </c>
      <c r="U34" s="4" t="s">
        <v>46</v>
      </c>
      <c r="V34" s="5">
        <v>10</v>
      </c>
      <c r="W34" s="5">
        <v>2.25</v>
      </c>
      <c r="X34" s="5">
        <v>100</v>
      </c>
      <c r="Y34" s="5">
        <v>0.23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45474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45819</v>
      </c>
      <c r="C35" s="4" t="s">
        <v>143</v>
      </c>
      <c r="D35" s="2">
        <v>1773696</v>
      </c>
      <c r="E35" s="4" t="s">
        <v>144</v>
      </c>
      <c r="F35" s="4" t="s">
        <v>145</v>
      </c>
      <c r="G35" s="4" t="s">
        <v>46</v>
      </c>
      <c r="H35" s="4" t="s">
        <v>46</v>
      </c>
      <c r="I35" s="4" t="s">
        <v>46</v>
      </c>
      <c r="J35" s="4" t="s">
        <v>146</v>
      </c>
      <c r="K35" s="4" t="s">
        <v>147</v>
      </c>
      <c r="L35" s="3">
        <v>45689</v>
      </c>
      <c r="M35" s="4" t="s">
        <v>150</v>
      </c>
      <c r="N35" s="4" t="s">
        <v>46</v>
      </c>
      <c r="O35" s="4" t="s">
        <v>50</v>
      </c>
      <c r="P35" s="4" t="s">
        <v>108</v>
      </c>
      <c r="Q35" s="2">
        <v>39</v>
      </c>
      <c r="R35" s="2">
        <v>10</v>
      </c>
      <c r="S35" s="4" t="s">
        <v>153</v>
      </c>
      <c r="T35" s="4" t="s">
        <v>46</v>
      </c>
      <c r="U35" s="4" t="s">
        <v>46</v>
      </c>
      <c r="V35" s="5">
        <v>10</v>
      </c>
      <c r="W35" s="5">
        <v>2.25</v>
      </c>
      <c r="X35" s="5">
        <v>100</v>
      </c>
      <c r="Y35" s="5">
        <v>0.23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45474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45819</v>
      </c>
      <c r="C36" s="4" t="s">
        <v>143</v>
      </c>
      <c r="D36" s="2">
        <v>1773696</v>
      </c>
      <c r="E36" s="4" t="s">
        <v>144</v>
      </c>
      <c r="F36" s="4" t="s">
        <v>145</v>
      </c>
      <c r="G36" s="4" t="s">
        <v>46</v>
      </c>
      <c r="H36" s="4" t="s">
        <v>46</v>
      </c>
      <c r="I36" s="4" t="s">
        <v>46</v>
      </c>
      <c r="J36" s="4" t="s">
        <v>146</v>
      </c>
      <c r="K36" s="4" t="s">
        <v>147</v>
      </c>
      <c r="L36" s="3">
        <v>45717</v>
      </c>
      <c r="M36" s="4" t="s">
        <v>151</v>
      </c>
      <c r="N36" s="4" t="s">
        <v>46</v>
      </c>
      <c r="O36" s="4" t="s">
        <v>50</v>
      </c>
      <c r="P36" s="4" t="s">
        <v>108</v>
      </c>
      <c r="Q36" s="2">
        <v>39</v>
      </c>
      <c r="R36" s="2">
        <v>10</v>
      </c>
      <c r="S36" s="4" t="s">
        <v>153</v>
      </c>
      <c r="T36" s="4" t="s">
        <v>46</v>
      </c>
      <c r="U36" s="4" t="s">
        <v>46</v>
      </c>
      <c r="V36" s="5">
        <v>10</v>
      </c>
      <c r="W36" s="5">
        <v>2.25</v>
      </c>
      <c r="X36" s="5">
        <v>100</v>
      </c>
      <c r="Y36" s="5">
        <v>0.23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45474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45819</v>
      </c>
      <c r="C37" s="4" t="s">
        <v>143</v>
      </c>
      <c r="D37" s="2">
        <v>1773696</v>
      </c>
      <c r="E37" s="4" t="s">
        <v>144</v>
      </c>
      <c r="F37" s="4" t="s">
        <v>145</v>
      </c>
      <c r="G37" s="4" t="s">
        <v>46</v>
      </c>
      <c r="H37" s="4" t="s">
        <v>46</v>
      </c>
      <c r="I37" s="4" t="s">
        <v>46</v>
      </c>
      <c r="J37" s="4" t="s">
        <v>146</v>
      </c>
      <c r="K37" s="4" t="s">
        <v>147</v>
      </c>
      <c r="L37" s="3">
        <v>45748</v>
      </c>
      <c r="M37" s="4" t="s">
        <v>152</v>
      </c>
      <c r="N37" s="4" t="s">
        <v>46</v>
      </c>
      <c r="O37" s="4" t="s">
        <v>50</v>
      </c>
      <c r="P37" s="4" t="s">
        <v>108</v>
      </c>
      <c r="Q37" s="2">
        <v>39</v>
      </c>
      <c r="R37" s="2">
        <v>10</v>
      </c>
      <c r="S37" s="4" t="s">
        <v>153</v>
      </c>
      <c r="T37" s="4" t="s">
        <v>46</v>
      </c>
      <c r="U37" s="4" t="s">
        <v>46</v>
      </c>
      <c r="V37" s="5">
        <v>10</v>
      </c>
      <c r="W37" s="5">
        <v>2.25</v>
      </c>
      <c r="X37" s="5">
        <v>100</v>
      </c>
      <c r="Y37" s="5">
        <v>0.23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45474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45819</v>
      </c>
      <c r="C38" s="4" t="s">
        <v>143</v>
      </c>
      <c r="D38" s="2">
        <v>1773696</v>
      </c>
      <c r="E38" s="4" t="s">
        <v>144</v>
      </c>
      <c r="F38" s="4" t="s">
        <v>145</v>
      </c>
      <c r="G38" s="4" t="s">
        <v>46</v>
      </c>
      <c r="H38" s="4" t="s">
        <v>46</v>
      </c>
      <c r="I38" s="4" t="s">
        <v>46</v>
      </c>
      <c r="J38" s="4" t="s">
        <v>146</v>
      </c>
      <c r="K38" s="4" t="s">
        <v>147</v>
      </c>
      <c r="L38" s="3">
        <v>45778</v>
      </c>
      <c r="M38" s="4" t="s">
        <v>66</v>
      </c>
      <c r="N38" s="4" t="s">
        <v>46</v>
      </c>
      <c r="O38" s="4" t="s">
        <v>50</v>
      </c>
      <c r="P38" s="4" t="s">
        <v>108</v>
      </c>
      <c r="Q38" s="2">
        <v>39</v>
      </c>
      <c r="R38" s="2">
        <v>10</v>
      </c>
      <c r="S38" s="4" t="s">
        <v>153</v>
      </c>
      <c r="T38" s="4" t="s">
        <v>46</v>
      </c>
      <c r="U38" s="4" t="s">
        <v>46</v>
      </c>
      <c r="V38" s="5">
        <v>10</v>
      </c>
      <c r="W38" s="5">
        <v>3.44</v>
      </c>
      <c r="X38" s="5">
        <v>100</v>
      </c>
      <c r="Y38" s="5">
        <v>0.34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45474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45819</v>
      </c>
      <c r="C39" s="4" t="s">
        <v>143</v>
      </c>
      <c r="D39" s="2">
        <v>1773696</v>
      </c>
      <c r="E39" s="4" t="s">
        <v>144</v>
      </c>
      <c r="F39" s="4" t="s">
        <v>145</v>
      </c>
      <c r="G39" s="4" t="s">
        <v>46</v>
      </c>
      <c r="H39" s="4" t="s">
        <v>46</v>
      </c>
      <c r="I39" s="4" t="s">
        <v>46</v>
      </c>
      <c r="J39" s="4" t="s">
        <v>146</v>
      </c>
      <c r="K39" s="4" t="s">
        <v>147</v>
      </c>
      <c r="L39" s="3">
        <v>45809</v>
      </c>
      <c r="M39" s="4" t="s">
        <v>124</v>
      </c>
      <c r="N39" s="4" t="s">
        <v>46</v>
      </c>
      <c r="O39" s="4" t="s">
        <v>50</v>
      </c>
      <c r="P39" s="4" t="s">
        <v>108</v>
      </c>
      <c r="Q39" s="2">
        <v>39</v>
      </c>
      <c r="R39" s="2">
        <v>10</v>
      </c>
      <c r="S39" s="4" t="s">
        <v>153</v>
      </c>
      <c r="T39" s="4" t="s">
        <v>46</v>
      </c>
      <c r="U39" s="4" t="s">
        <v>46</v>
      </c>
      <c r="V39" s="5">
        <v>10</v>
      </c>
      <c r="W39" s="5">
        <v>16.940000000000001</v>
      </c>
      <c r="X39" s="5">
        <v>100</v>
      </c>
      <c r="Y39" s="5">
        <v>1.69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45474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45819</v>
      </c>
      <c r="C40" s="4" t="s">
        <v>143</v>
      </c>
      <c r="D40" s="2">
        <v>1773696</v>
      </c>
      <c r="E40" s="4" t="s">
        <v>144</v>
      </c>
      <c r="F40" s="4" t="s">
        <v>145</v>
      </c>
      <c r="G40" s="4" t="s">
        <v>46</v>
      </c>
      <c r="H40" s="4" t="s">
        <v>46</v>
      </c>
      <c r="I40" s="4" t="s">
        <v>46</v>
      </c>
      <c r="J40" s="4" t="s">
        <v>146</v>
      </c>
      <c r="K40" s="4" t="s">
        <v>147</v>
      </c>
      <c r="L40" s="3">
        <v>45778</v>
      </c>
      <c r="M40" s="4" t="s">
        <v>66</v>
      </c>
      <c r="N40" s="4" t="s">
        <v>46</v>
      </c>
      <c r="O40" s="4" t="s">
        <v>50</v>
      </c>
      <c r="P40" s="4" t="s">
        <v>108</v>
      </c>
      <c r="Q40" s="2">
        <v>20</v>
      </c>
      <c r="R40" s="2">
        <v>60</v>
      </c>
      <c r="S40" s="4" t="s">
        <v>109</v>
      </c>
      <c r="T40" s="4" t="s">
        <v>46</v>
      </c>
      <c r="U40" s="4" t="s">
        <v>46</v>
      </c>
      <c r="V40" s="5">
        <v>10</v>
      </c>
      <c r="W40" s="5">
        <v>4.9400000000000004</v>
      </c>
      <c r="X40" s="5">
        <v>100</v>
      </c>
      <c r="Y40" s="5">
        <v>0.49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45474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45819</v>
      </c>
      <c r="C41" s="4" t="s">
        <v>143</v>
      </c>
      <c r="D41" s="2">
        <v>1773696</v>
      </c>
      <c r="E41" s="4" t="s">
        <v>144</v>
      </c>
      <c r="F41" s="4" t="s">
        <v>145</v>
      </c>
      <c r="G41" s="4" t="s">
        <v>46</v>
      </c>
      <c r="H41" s="4" t="s">
        <v>46</v>
      </c>
      <c r="I41" s="4" t="s">
        <v>46</v>
      </c>
      <c r="J41" s="4" t="s">
        <v>146</v>
      </c>
      <c r="K41" s="4" t="s">
        <v>147</v>
      </c>
      <c r="L41" s="3">
        <v>45809</v>
      </c>
      <c r="M41" s="4" t="s">
        <v>124</v>
      </c>
      <c r="N41" s="4" t="s">
        <v>46</v>
      </c>
      <c r="O41" s="4" t="s">
        <v>50</v>
      </c>
      <c r="P41" s="4" t="s">
        <v>108</v>
      </c>
      <c r="Q41" s="2">
        <v>20</v>
      </c>
      <c r="R41" s="2">
        <v>60</v>
      </c>
      <c r="S41" s="4" t="s">
        <v>109</v>
      </c>
      <c r="T41" s="4" t="s">
        <v>46</v>
      </c>
      <c r="U41" s="4" t="s">
        <v>46</v>
      </c>
      <c r="V41" s="5">
        <v>10</v>
      </c>
      <c r="W41" s="5">
        <v>117.95</v>
      </c>
      <c r="X41" s="5">
        <v>100</v>
      </c>
      <c r="Y41" s="5">
        <v>11.8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45474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45819</v>
      </c>
      <c r="C42" s="4" t="s">
        <v>154</v>
      </c>
      <c r="D42" s="2">
        <v>1775329</v>
      </c>
      <c r="E42" s="4" t="s">
        <v>155</v>
      </c>
      <c r="F42" s="4" t="s">
        <v>156</v>
      </c>
      <c r="G42" s="4" t="s">
        <v>46</v>
      </c>
      <c r="H42" s="4" t="s">
        <v>46</v>
      </c>
      <c r="I42" s="4" t="s">
        <v>46</v>
      </c>
      <c r="J42" s="4" t="s">
        <v>123</v>
      </c>
      <c r="K42" s="4" t="s">
        <v>48</v>
      </c>
      <c r="L42" s="3">
        <v>45809</v>
      </c>
      <c r="M42" s="4" t="s">
        <v>124</v>
      </c>
      <c r="N42" s="4" t="s">
        <v>46</v>
      </c>
      <c r="O42" s="4" t="s">
        <v>50</v>
      </c>
      <c r="P42" s="4" t="s">
        <v>108</v>
      </c>
      <c r="Q42" s="2">
        <v>1</v>
      </c>
      <c r="R42" s="2">
        <v>17</v>
      </c>
      <c r="S42" s="4" t="s">
        <v>51</v>
      </c>
      <c r="T42" s="4" t="s">
        <v>46</v>
      </c>
      <c r="U42" s="4" t="s">
        <v>46</v>
      </c>
      <c r="V42" s="5">
        <v>22</v>
      </c>
      <c r="W42" s="5">
        <v>2778.6</v>
      </c>
      <c r="X42" s="5">
        <v>100</v>
      </c>
      <c r="Y42" s="5">
        <v>611.28</v>
      </c>
      <c r="Z42" s="5">
        <v>0</v>
      </c>
      <c r="AA42" s="5">
        <v>0</v>
      </c>
      <c r="AB42" s="4" t="s">
        <v>130</v>
      </c>
      <c r="AC42" s="4" t="s">
        <v>46</v>
      </c>
      <c r="AD42" s="5">
        <v>0</v>
      </c>
      <c r="AE42" s="4" t="s">
        <v>131</v>
      </c>
      <c r="AF42" s="3">
        <v>45809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45819</v>
      </c>
      <c r="C43" s="4" t="s">
        <v>154</v>
      </c>
      <c r="D43" s="2">
        <v>1775329</v>
      </c>
      <c r="E43" s="4" t="s">
        <v>157</v>
      </c>
      <c r="F43" s="4" t="s">
        <v>158</v>
      </c>
      <c r="G43" s="4" t="s">
        <v>46</v>
      </c>
      <c r="H43" s="4" t="s">
        <v>46</v>
      </c>
      <c r="I43" s="4" t="s">
        <v>46</v>
      </c>
      <c r="J43" s="4" t="s">
        <v>123</v>
      </c>
      <c r="K43" s="4" t="s">
        <v>48</v>
      </c>
      <c r="L43" s="3">
        <v>45809</v>
      </c>
      <c r="M43" s="4" t="s">
        <v>124</v>
      </c>
      <c r="N43" s="4" t="s">
        <v>46</v>
      </c>
      <c r="O43" s="4" t="s">
        <v>50</v>
      </c>
      <c r="P43" s="4" t="s">
        <v>108</v>
      </c>
      <c r="Q43" s="2">
        <v>1</v>
      </c>
      <c r="R43" s="2">
        <v>17</v>
      </c>
      <c r="S43" s="4" t="s">
        <v>51</v>
      </c>
      <c r="T43" s="4" t="s">
        <v>46</v>
      </c>
      <c r="U43" s="4" t="s">
        <v>46</v>
      </c>
      <c r="V43" s="5">
        <v>3</v>
      </c>
      <c r="W43" s="5">
        <v>2621.04</v>
      </c>
      <c r="X43" s="5">
        <v>100</v>
      </c>
      <c r="Y43" s="5">
        <v>78.599999999999994</v>
      </c>
      <c r="Z43" s="5">
        <v>0</v>
      </c>
      <c r="AA43" s="5">
        <v>0</v>
      </c>
      <c r="AB43" s="4" t="s">
        <v>159</v>
      </c>
      <c r="AC43" s="4" t="s">
        <v>46</v>
      </c>
      <c r="AD43" s="5">
        <v>0</v>
      </c>
      <c r="AE43" s="4" t="s">
        <v>160</v>
      </c>
      <c r="AF43" s="3">
        <v>45809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45819</v>
      </c>
      <c r="C44" s="4" t="s">
        <v>161</v>
      </c>
      <c r="D44" s="2">
        <v>1831491</v>
      </c>
      <c r="E44" s="4" t="s">
        <v>162</v>
      </c>
      <c r="F44" s="4" t="s">
        <v>163</v>
      </c>
      <c r="G44" s="4" t="s">
        <v>46</v>
      </c>
      <c r="H44" s="4" t="s">
        <v>46</v>
      </c>
      <c r="I44" s="4" t="s">
        <v>46</v>
      </c>
      <c r="J44" s="4" t="s">
        <v>123</v>
      </c>
      <c r="K44" s="4" t="s">
        <v>48</v>
      </c>
      <c r="L44" s="3">
        <v>45809</v>
      </c>
      <c r="M44" s="4" t="s">
        <v>124</v>
      </c>
      <c r="N44" s="4" t="s">
        <v>46</v>
      </c>
      <c r="O44" s="4" t="s">
        <v>50</v>
      </c>
      <c r="P44" s="4" t="s">
        <v>108</v>
      </c>
      <c r="Q44" s="2">
        <v>1</v>
      </c>
      <c r="R44" s="2">
        <v>17</v>
      </c>
      <c r="S44" s="4" t="s">
        <v>51</v>
      </c>
      <c r="T44" s="4" t="s">
        <v>46</v>
      </c>
      <c r="U44" s="4" t="s">
        <v>46</v>
      </c>
      <c r="V44" s="5">
        <v>22</v>
      </c>
      <c r="W44" s="5">
        <v>1673.04</v>
      </c>
      <c r="X44" s="5">
        <v>100</v>
      </c>
      <c r="Y44" s="5">
        <v>368.04</v>
      </c>
      <c r="Z44" s="5">
        <v>0</v>
      </c>
      <c r="AA44" s="5">
        <v>0</v>
      </c>
      <c r="AB44" s="4" t="s">
        <v>159</v>
      </c>
      <c r="AC44" s="4" t="s">
        <v>46</v>
      </c>
      <c r="AD44" s="5">
        <v>0</v>
      </c>
      <c r="AE44" s="4" t="s">
        <v>160</v>
      </c>
      <c r="AF44" s="3">
        <v>45809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45819</v>
      </c>
      <c r="C45" s="4" t="s">
        <v>161</v>
      </c>
      <c r="D45" s="2">
        <v>1831491</v>
      </c>
      <c r="E45" s="4" t="s">
        <v>164</v>
      </c>
      <c r="F45" s="4" t="s">
        <v>165</v>
      </c>
      <c r="G45" s="4" t="s">
        <v>46</v>
      </c>
      <c r="H45" s="4" t="s">
        <v>46</v>
      </c>
      <c r="I45" s="4" t="s">
        <v>46</v>
      </c>
      <c r="J45" s="4" t="s">
        <v>106</v>
      </c>
      <c r="K45" s="4" t="s">
        <v>107</v>
      </c>
      <c r="L45" s="3">
        <v>45839</v>
      </c>
      <c r="M45" s="4" t="s">
        <v>49</v>
      </c>
      <c r="N45" s="4" t="s">
        <v>46</v>
      </c>
      <c r="O45" s="4" t="s">
        <v>50</v>
      </c>
      <c r="P45" s="4" t="s">
        <v>108</v>
      </c>
      <c r="Q45" s="2">
        <v>1</v>
      </c>
      <c r="R45" s="2">
        <v>3</v>
      </c>
      <c r="S45" s="4" t="s">
        <v>118</v>
      </c>
      <c r="T45" s="4" t="s">
        <v>46</v>
      </c>
      <c r="U45" s="4" t="s">
        <v>46</v>
      </c>
      <c r="V45" s="5">
        <v>10</v>
      </c>
      <c r="W45" s="5">
        <v>41.82</v>
      </c>
      <c r="X45" s="5">
        <v>100</v>
      </c>
      <c r="Y45" s="5">
        <v>4.18</v>
      </c>
      <c r="Z45" s="4" t="s">
        <v>46</v>
      </c>
      <c r="AA45" s="5" t="s">
        <v>46</v>
      </c>
      <c r="AB45" s="4" t="s">
        <v>114</v>
      </c>
      <c r="AC45" s="4" t="s">
        <v>46</v>
      </c>
      <c r="AD45" s="5">
        <v>0</v>
      </c>
      <c r="AE45" s="4" t="s">
        <v>115</v>
      </c>
      <c r="AF45" s="3">
        <v>45658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45819</v>
      </c>
      <c r="C46" s="4" t="s">
        <v>161</v>
      </c>
      <c r="D46" s="2">
        <v>1831491</v>
      </c>
      <c r="E46" s="4" t="s">
        <v>166</v>
      </c>
      <c r="F46" s="4" t="s">
        <v>167</v>
      </c>
      <c r="G46" s="4" t="s">
        <v>46</v>
      </c>
      <c r="H46" s="4" t="s">
        <v>46</v>
      </c>
      <c r="I46" s="4" t="s">
        <v>46</v>
      </c>
      <c r="J46" s="4" t="s">
        <v>106</v>
      </c>
      <c r="K46" s="4" t="s">
        <v>107</v>
      </c>
      <c r="L46" s="3">
        <v>45809</v>
      </c>
      <c r="M46" s="4" t="s">
        <v>124</v>
      </c>
      <c r="N46" s="4" t="s">
        <v>46</v>
      </c>
      <c r="O46" s="4" t="s">
        <v>50</v>
      </c>
      <c r="P46" s="4" t="s">
        <v>108</v>
      </c>
      <c r="Q46" s="2">
        <v>2</v>
      </c>
      <c r="R46" s="2">
        <v>60</v>
      </c>
      <c r="S46" s="4" t="s">
        <v>109</v>
      </c>
      <c r="T46" s="4" t="s">
        <v>46</v>
      </c>
      <c r="U46" s="4" t="s">
        <v>46</v>
      </c>
      <c r="V46" s="5">
        <v>10</v>
      </c>
      <c r="W46" s="5">
        <v>26.88</v>
      </c>
      <c r="X46" s="5">
        <v>100</v>
      </c>
      <c r="Y46" s="5">
        <v>37.69</v>
      </c>
      <c r="Z46" s="4" t="s">
        <v>46</v>
      </c>
      <c r="AA46" s="5" t="s">
        <v>46</v>
      </c>
      <c r="AB46" s="4" t="s">
        <v>114</v>
      </c>
      <c r="AC46" s="4" t="s">
        <v>46</v>
      </c>
      <c r="AD46" s="5">
        <v>0</v>
      </c>
      <c r="AE46" s="4" t="s">
        <v>115</v>
      </c>
      <c r="AF46" s="3">
        <v>45816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45819</v>
      </c>
      <c r="C47" s="4" t="s">
        <v>161</v>
      </c>
      <c r="D47" s="2">
        <v>1831491</v>
      </c>
      <c r="E47" s="4" t="s">
        <v>168</v>
      </c>
      <c r="F47" s="4" t="s">
        <v>169</v>
      </c>
      <c r="G47" s="4" t="s">
        <v>46</v>
      </c>
      <c r="H47" s="4" t="s">
        <v>46</v>
      </c>
      <c r="I47" s="4" t="s">
        <v>46</v>
      </c>
      <c r="J47" s="4" t="s">
        <v>106</v>
      </c>
      <c r="K47" s="4" t="s">
        <v>107</v>
      </c>
      <c r="L47" s="3">
        <v>45839</v>
      </c>
      <c r="M47" s="4" t="s">
        <v>49</v>
      </c>
      <c r="N47" s="4" t="s">
        <v>46</v>
      </c>
      <c r="O47" s="4" t="s">
        <v>50</v>
      </c>
      <c r="P47" s="4" t="s">
        <v>108</v>
      </c>
      <c r="Q47" s="2">
        <v>2</v>
      </c>
      <c r="R47" s="2">
        <v>60</v>
      </c>
      <c r="S47" s="4" t="s">
        <v>109</v>
      </c>
      <c r="T47" s="4" t="s">
        <v>46</v>
      </c>
      <c r="U47" s="4" t="s">
        <v>46</v>
      </c>
      <c r="V47" s="5">
        <v>10</v>
      </c>
      <c r="W47" s="5">
        <v>26.88</v>
      </c>
      <c r="X47" s="5">
        <v>100</v>
      </c>
      <c r="Y47" s="5">
        <v>37.69</v>
      </c>
      <c r="Z47" s="4" t="s">
        <v>46</v>
      </c>
      <c r="AA47" s="5" t="s">
        <v>46</v>
      </c>
      <c r="AB47" s="4" t="s">
        <v>114</v>
      </c>
      <c r="AC47" s="4" t="s">
        <v>46</v>
      </c>
      <c r="AD47" s="5">
        <v>0</v>
      </c>
      <c r="AE47" s="4" t="s">
        <v>115</v>
      </c>
      <c r="AF47" s="3">
        <v>45839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45819</v>
      </c>
      <c r="C48" s="4" t="s">
        <v>161</v>
      </c>
      <c r="D48" s="2">
        <v>1831491</v>
      </c>
      <c r="E48" s="4" t="s">
        <v>170</v>
      </c>
      <c r="F48" s="4" t="s">
        <v>171</v>
      </c>
      <c r="G48" s="4" t="s">
        <v>46</v>
      </c>
      <c r="H48" s="4" t="s">
        <v>46</v>
      </c>
      <c r="I48" s="4" t="s">
        <v>46</v>
      </c>
      <c r="J48" s="4" t="s">
        <v>106</v>
      </c>
      <c r="K48" s="4" t="s">
        <v>107</v>
      </c>
      <c r="L48" s="3">
        <v>45809</v>
      </c>
      <c r="M48" s="4" t="s">
        <v>124</v>
      </c>
      <c r="N48" s="4" t="s">
        <v>46</v>
      </c>
      <c r="O48" s="4" t="s">
        <v>50</v>
      </c>
      <c r="P48" s="4" t="s">
        <v>108</v>
      </c>
      <c r="Q48" s="2">
        <v>1</v>
      </c>
      <c r="R48" s="2">
        <v>60</v>
      </c>
      <c r="S48" s="4" t="s">
        <v>109</v>
      </c>
      <c r="T48" s="4" t="s">
        <v>46</v>
      </c>
      <c r="U48" s="4" t="s">
        <v>46</v>
      </c>
      <c r="V48" s="5">
        <v>10</v>
      </c>
      <c r="W48" s="5">
        <v>13.93</v>
      </c>
      <c r="X48" s="5">
        <v>100</v>
      </c>
      <c r="Y48" s="5">
        <v>36.39</v>
      </c>
      <c r="Z48" s="4" t="s">
        <v>46</v>
      </c>
      <c r="AA48" s="5" t="s">
        <v>46</v>
      </c>
      <c r="AB48" s="4" t="s">
        <v>114</v>
      </c>
      <c r="AC48" s="4" t="s">
        <v>46</v>
      </c>
      <c r="AD48" s="5">
        <v>0</v>
      </c>
      <c r="AE48" s="4" t="s">
        <v>115</v>
      </c>
      <c r="AF48" s="3">
        <v>45816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45819</v>
      </c>
      <c r="C49" s="4" t="s">
        <v>161</v>
      </c>
      <c r="D49" s="2">
        <v>1831491</v>
      </c>
      <c r="E49" s="4" t="s">
        <v>172</v>
      </c>
      <c r="F49" s="4" t="s">
        <v>173</v>
      </c>
      <c r="G49" s="4" t="s">
        <v>46</v>
      </c>
      <c r="H49" s="4" t="s">
        <v>46</v>
      </c>
      <c r="I49" s="4" t="s">
        <v>46</v>
      </c>
      <c r="J49" s="4" t="s">
        <v>106</v>
      </c>
      <c r="K49" s="4" t="s">
        <v>107</v>
      </c>
      <c r="L49" s="3">
        <v>45809</v>
      </c>
      <c r="M49" s="4" t="s">
        <v>124</v>
      </c>
      <c r="N49" s="4" t="s">
        <v>46</v>
      </c>
      <c r="O49" s="4" t="s">
        <v>50</v>
      </c>
      <c r="P49" s="4" t="s">
        <v>108</v>
      </c>
      <c r="Q49" s="2">
        <v>1</v>
      </c>
      <c r="R49" s="2">
        <v>60</v>
      </c>
      <c r="S49" s="4" t="s">
        <v>109</v>
      </c>
      <c r="T49" s="4" t="s">
        <v>46</v>
      </c>
      <c r="U49" s="4" t="s">
        <v>46</v>
      </c>
      <c r="V49" s="5">
        <v>10</v>
      </c>
      <c r="W49" s="5">
        <v>13.93</v>
      </c>
      <c r="X49" s="5">
        <v>100</v>
      </c>
      <c r="Y49" s="5">
        <v>36.39</v>
      </c>
      <c r="Z49" s="4" t="s">
        <v>46</v>
      </c>
      <c r="AA49" s="5" t="s">
        <v>46</v>
      </c>
      <c r="AB49" s="4" t="s">
        <v>114</v>
      </c>
      <c r="AC49" s="4" t="s">
        <v>46</v>
      </c>
      <c r="AD49" s="5">
        <v>0</v>
      </c>
      <c r="AE49" s="4" t="s">
        <v>115</v>
      </c>
      <c r="AF49" s="3">
        <v>45817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45819</v>
      </c>
      <c r="C50" s="4" t="s">
        <v>161</v>
      </c>
      <c r="D50" s="2">
        <v>1831491</v>
      </c>
      <c r="E50" s="4" t="s">
        <v>174</v>
      </c>
      <c r="F50" s="4" t="s">
        <v>175</v>
      </c>
      <c r="G50" s="4" t="s">
        <v>46</v>
      </c>
      <c r="H50" s="4" t="s">
        <v>46</v>
      </c>
      <c r="I50" s="4" t="s">
        <v>46</v>
      </c>
      <c r="J50" s="4" t="s">
        <v>106</v>
      </c>
      <c r="K50" s="4" t="s">
        <v>107</v>
      </c>
      <c r="L50" s="3">
        <v>45809</v>
      </c>
      <c r="M50" s="4" t="s">
        <v>124</v>
      </c>
      <c r="N50" s="4" t="s">
        <v>46</v>
      </c>
      <c r="O50" s="4" t="s">
        <v>50</v>
      </c>
      <c r="P50" s="4" t="s">
        <v>108</v>
      </c>
      <c r="Q50" s="2">
        <v>2</v>
      </c>
      <c r="R50" s="2">
        <v>60</v>
      </c>
      <c r="S50" s="4" t="s">
        <v>109</v>
      </c>
      <c r="T50" s="4" t="s">
        <v>46</v>
      </c>
      <c r="U50" s="4" t="s">
        <v>46</v>
      </c>
      <c r="V50" s="5">
        <v>10</v>
      </c>
      <c r="W50" s="5">
        <v>26.88</v>
      </c>
      <c r="X50" s="5">
        <v>100</v>
      </c>
      <c r="Y50" s="5">
        <v>37.69</v>
      </c>
      <c r="Z50" s="4" t="s">
        <v>46</v>
      </c>
      <c r="AA50" s="5" t="s">
        <v>46</v>
      </c>
      <c r="AB50" s="4" t="s">
        <v>114</v>
      </c>
      <c r="AC50" s="4" t="s">
        <v>46</v>
      </c>
      <c r="AD50" s="5">
        <v>0</v>
      </c>
      <c r="AE50" s="4" t="s">
        <v>115</v>
      </c>
      <c r="AF50" s="3">
        <v>45817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45819</v>
      </c>
      <c r="C51" s="4" t="s">
        <v>161</v>
      </c>
      <c r="D51" s="2">
        <v>1831491</v>
      </c>
      <c r="E51" s="4" t="s">
        <v>176</v>
      </c>
      <c r="F51" s="4" t="s">
        <v>177</v>
      </c>
      <c r="G51" s="4" t="s">
        <v>46</v>
      </c>
      <c r="H51" s="4" t="s">
        <v>46</v>
      </c>
      <c r="I51" s="4" t="s">
        <v>46</v>
      </c>
      <c r="J51" s="4" t="s">
        <v>106</v>
      </c>
      <c r="K51" s="4" t="s">
        <v>107</v>
      </c>
      <c r="L51" s="3">
        <v>45870</v>
      </c>
      <c r="M51" s="4" t="s">
        <v>72</v>
      </c>
      <c r="N51" s="4" t="s">
        <v>46</v>
      </c>
      <c r="O51" s="4" t="s">
        <v>50</v>
      </c>
      <c r="P51" s="4" t="s">
        <v>108</v>
      </c>
      <c r="Q51" s="2">
        <v>1</v>
      </c>
      <c r="R51" s="2">
        <v>60</v>
      </c>
      <c r="S51" s="4" t="s">
        <v>109</v>
      </c>
      <c r="T51" s="4" t="s">
        <v>46</v>
      </c>
      <c r="U51" s="4" t="s">
        <v>46</v>
      </c>
      <c r="V51" s="5">
        <v>10</v>
      </c>
      <c r="W51" s="5">
        <v>13.93</v>
      </c>
      <c r="X51" s="5">
        <v>100</v>
      </c>
      <c r="Y51" s="5">
        <v>36.39</v>
      </c>
      <c r="Z51" s="4" t="s">
        <v>46</v>
      </c>
      <c r="AA51" s="5" t="s">
        <v>46</v>
      </c>
      <c r="AB51" s="4" t="s">
        <v>114</v>
      </c>
      <c r="AC51" s="4" t="s">
        <v>46</v>
      </c>
      <c r="AD51" s="5">
        <v>0</v>
      </c>
      <c r="AE51" s="4" t="s">
        <v>115</v>
      </c>
      <c r="AF51" s="3">
        <v>45870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45819</v>
      </c>
      <c r="C52" s="4" t="s">
        <v>161</v>
      </c>
      <c r="D52" s="2">
        <v>1831491</v>
      </c>
      <c r="E52" s="4" t="s">
        <v>178</v>
      </c>
      <c r="F52" s="4" t="s">
        <v>179</v>
      </c>
      <c r="G52" s="4" t="s">
        <v>46</v>
      </c>
      <c r="H52" s="4" t="s">
        <v>46</v>
      </c>
      <c r="I52" s="4" t="s">
        <v>46</v>
      </c>
      <c r="J52" s="4" t="s">
        <v>106</v>
      </c>
      <c r="K52" s="4" t="s">
        <v>107</v>
      </c>
      <c r="L52" s="3">
        <v>45839</v>
      </c>
      <c r="M52" s="4" t="s">
        <v>49</v>
      </c>
      <c r="N52" s="4" t="s">
        <v>46</v>
      </c>
      <c r="O52" s="4" t="s">
        <v>50</v>
      </c>
      <c r="P52" s="4" t="s">
        <v>108</v>
      </c>
      <c r="Q52" s="2">
        <v>1</v>
      </c>
      <c r="R52" s="2">
        <v>60</v>
      </c>
      <c r="S52" s="4" t="s">
        <v>109</v>
      </c>
      <c r="T52" s="4" t="s">
        <v>46</v>
      </c>
      <c r="U52" s="4" t="s">
        <v>46</v>
      </c>
      <c r="V52" s="5">
        <v>10</v>
      </c>
      <c r="W52" s="5">
        <v>13.93</v>
      </c>
      <c r="X52" s="5">
        <v>100</v>
      </c>
      <c r="Y52" s="5">
        <v>36.39</v>
      </c>
      <c r="Z52" s="4" t="s">
        <v>46</v>
      </c>
      <c r="AA52" s="5" t="s">
        <v>46</v>
      </c>
      <c r="AB52" s="4" t="s">
        <v>114</v>
      </c>
      <c r="AC52" s="4" t="s">
        <v>46</v>
      </c>
      <c r="AD52" s="5">
        <v>0</v>
      </c>
      <c r="AE52" s="4" t="s">
        <v>115</v>
      </c>
      <c r="AF52" s="3">
        <v>45839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45819</v>
      </c>
      <c r="C53" s="4" t="s">
        <v>99</v>
      </c>
      <c r="D53" s="2">
        <v>1875462</v>
      </c>
      <c r="E53" s="4" t="s">
        <v>180</v>
      </c>
      <c r="F53" s="4" t="s">
        <v>181</v>
      </c>
      <c r="G53" s="4" t="s">
        <v>46</v>
      </c>
      <c r="H53" s="4" t="s">
        <v>46</v>
      </c>
      <c r="I53" s="4" t="s">
        <v>46</v>
      </c>
      <c r="J53" s="4" t="s">
        <v>106</v>
      </c>
      <c r="K53" s="4" t="s">
        <v>107</v>
      </c>
      <c r="L53" s="3">
        <v>45839</v>
      </c>
      <c r="M53" s="4" t="s">
        <v>49</v>
      </c>
      <c r="N53" s="4" t="s">
        <v>46</v>
      </c>
      <c r="O53" s="4" t="s">
        <v>50</v>
      </c>
      <c r="P53" s="4" t="s">
        <v>108</v>
      </c>
      <c r="Q53" s="2">
        <v>4</v>
      </c>
      <c r="R53" s="2">
        <v>60</v>
      </c>
      <c r="S53" s="4" t="s">
        <v>109</v>
      </c>
      <c r="T53" s="4" t="s">
        <v>46</v>
      </c>
      <c r="U53" s="4" t="s">
        <v>46</v>
      </c>
      <c r="V53" s="5">
        <v>10</v>
      </c>
      <c r="W53" s="5">
        <v>36.99</v>
      </c>
      <c r="X53" s="5">
        <v>100</v>
      </c>
      <c r="Y53" s="5">
        <v>3.7</v>
      </c>
      <c r="Z53" s="4" t="s">
        <v>46</v>
      </c>
      <c r="AA53" s="5" t="s">
        <v>46</v>
      </c>
      <c r="AB53" s="4" t="s">
        <v>114</v>
      </c>
      <c r="AC53" s="4" t="s">
        <v>46</v>
      </c>
      <c r="AD53" s="5">
        <v>0</v>
      </c>
      <c r="AE53" s="4" t="s">
        <v>115</v>
      </c>
      <c r="AF53" s="3">
        <v>45700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45819</v>
      </c>
      <c r="C54" s="4" t="s">
        <v>99</v>
      </c>
      <c r="D54" s="2">
        <v>1875462</v>
      </c>
      <c r="E54" s="4" t="s">
        <v>182</v>
      </c>
      <c r="F54" s="4" t="s">
        <v>183</v>
      </c>
      <c r="G54" s="4" t="s">
        <v>46</v>
      </c>
      <c r="H54" s="4" t="s">
        <v>46</v>
      </c>
      <c r="I54" s="4" t="s">
        <v>46</v>
      </c>
      <c r="J54" s="4" t="s">
        <v>106</v>
      </c>
      <c r="K54" s="4" t="s">
        <v>107</v>
      </c>
      <c r="L54" s="3">
        <v>45839</v>
      </c>
      <c r="M54" s="4" t="s">
        <v>49</v>
      </c>
      <c r="N54" s="4" t="s">
        <v>46</v>
      </c>
      <c r="O54" s="4" t="s">
        <v>50</v>
      </c>
      <c r="P54" s="4" t="s">
        <v>108</v>
      </c>
      <c r="Q54" s="2">
        <v>2</v>
      </c>
      <c r="R54" s="2">
        <v>60</v>
      </c>
      <c r="S54" s="4" t="s">
        <v>109</v>
      </c>
      <c r="T54" s="4" t="s">
        <v>46</v>
      </c>
      <c r="U54" s="4" t="s">
        <v>46</v>
      </c>
      <c r="V54" s="5">
        <v>10</v>
      </c>
      <c r="W54" s="5">
        <v>23.99</v>
      </c>
      <c r="X54" s="5">
        <v>100</v>
      </c>
      <c r="Y54" s="5">
        <v>2.4</v>
      </c>
      <c r="Z54" s="4" t="s">
        <v>46</v>
      </c>
      <c r="AA54" s="5" t="s">
        <v>46</v>
      </c>
      <c r="AB54" s="4" t="s">
        <v>114</v>
      </c>
      <c r="AC54" s="4" t="s">
        <v>46</v>
      </c>
      <c r="AD54" s="5">
        <v>0</v>
      </c>
      <c r="AE54" s="4" t="s">
        <v>115</v>
      </c>
      <c r="AF54" s="3">
        <v>45776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45819</v>
      </c>
      <c r="C55" s="4" t="s">
        <v>99</v>
      </c>
      <c r="D55" s="2">
        <v>1875462</v>
      </c>
      <c r="E55" s="4" t="s">
        <v>184</v>
      </c>
      <c r="F55" s="4" t="s">
        <v>185</v>
      </c>
      <c r="G55" s="4" t="s">
        <v>46</v>
      </c>
      <c r="H55" s="4" t="s">
        <v>46</v>
      </c>
      <c r="I55" s="4" t="s">
        <v>46</v>
      </c>
      <c r="J55" s="4" t="s">
        <v>106</v>
      </c>
      <c r="K55" s="4" t="s">
        <v>107</v>
      </c>
      <c r="L55" s="3">
        <v>45809</v>
      </c>
      <c r="M55" s="4" t="s">
        <v>124</v>
      </c>
      <c r="N55" s="4" t="s">
        <v>46</v>
      </c>
      <c r="O55" s="4" t="s">
        <v>50</v>
      </c>
      <c r="P55" s="4" t="s">
        <v>108</v>
      </c>
      <c r="Q55" s="2">
        <v>2</v>
      </c>
      <c r="R55" s="2">
        <v>60</v>
      </c>
      <c r="S55" s="4" t="s">
        <v>109</v>
      </c>
      <c r="T55" s="4" t="s">
        <v>46</v>
      </c>
      <c r="U55" s="4" t="s">
        <v>46</v>
      </c>
      <c r="V55" s="5">
        <v>10</v>
      </c>
      <c r="W55" s="5">
        <v>23.99</v>
      </c>
      <c r="X55" s="5">
        <v>100</v>
      </c>
      <c r="Y55" s="5">
        <v>37.4</v>
      </c>
      <c r="Z55" s="4" t="s">
        <v>46</v>
      </c>
      <c r="AA55" s="5" t="s">
        <v>46</v>
      </c>
      <c r="AB55" s="4" t="s">
        <v>114</v>
      </c>
      <c r="AC55" s="4" t="s">
        <v>46</v>
      </c>
      <c r="AD55" s="5">
        <v>0</v>
      </c>
      <c r="AE55" s="4" t="s">
        <v>115</v>
      </c>
      <c r="AF55" s="3">
        <v>45818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3F61-1077-4B3A-9E9B-B4BBF9D15132}">
  <dimension ref="A1:V55"/>
  <sheetViews>
    <sheetView tabSelected="1" topLeftCell="D1" workbookViewId="0">
      <selection activeCell="M2" sqref="M2:M7"/>
    </sheetView>
  </sheetViews>
  <sheetFormatPr defaultRowHeight="12.75" x14ac:dyDescent="0.2"/>
  <cols>
    <col min="1" max="1" width="24.7109375" style="15" bestFit="1" customWidth="1"/>
    <col min="2" max="2" width="9" style="15" bestFit="1" customWidth="1"/>
    <col min="3" max="3" width="28.5703125" style="15" bestFit="1" customWidth="1"/>
    <col min="4" max="4" width="28.5703125" style="15" customWidth="1"/>
    <col min="5" max="5" width="13.28515625" style="15" bestFit="1" customWidth="1"/>
    <col min="6" max="6" width="13.28515625" style="15" customWidth="1"/>
    <col min="7" max="8" width="11.42578125" style="15" bestFit="1" customWidth="1"/>
    <col min="9" max="9" width="5.7109375" style="15" bestFit="1" customWidth="1"/>
    <col min="10" max="11" width="15.28515625" style="15" bestFit="1" customWidth="1"/>
    <col min="12" max="12" width="13.7109375" style="15" bestFit="1" customWidth="1"/>
    <col min="13" max="13" width="9.5703125" style="15" bestFit="1" customWidth="1"/>
    <col min="14" max="14" width="12.42578125" style="15" bestFit="1" customWidth="1"/>
    <col min="15" max="15" width="15.28515625" style="15" bestFit="1" customWidth="1"/>
    <col min="16" max="16" width="26.85546875" style="15" customWidth="1"/>
    <col min="17" max="17" width="13.7109375" style="15" bestFit="1" customWidth="1"/>
    <col min="18" max="18" width="21.5703125" style="15" customWidth="1"/>
    <col min="19" max="16384" width="9.140625" style="15"/>
  </cols>
  <sheetData>
    <row r="1" spans="1:18" x14ac:dyDescent="0.2">
      <c r="A1" s="14" t="s">
        <v>2</v>
      </c>
      <c r="B1" s="14" t="s">
        <v>3</v>
      </c>
      <c r="C1" s="14" t="s">
        <v>4</v>
      </c>
      <c r="D1" s="14"/>
      <c r="E1" s="14" t="s">
        <v>5</v>
      </c>
      <c r="F1" s="14"/>
      <c r="G1" s="14" t="s">
        <v>11</v>
      </c>
      <c r="H1" s="14" t="s">
        <v>12</v>
      </c>
      <c r="I1" s="14" t="s">
        <v>16</v>
      </c>
      <c r="J1" s="14" t="s">
        <v>18</v>
      </c>
      <c r="K1" s="14" t="s">
        <v>19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27</v>
      </c>
      <c r="Q1" s="14" t="s">
        <v>31</v>
      </c>
    </row>
    <row r="2" spans="1:18" x14ac:dyDescent="0.2">
      <c r="A2" s="16" t="s">
        <v>161</v>
      </c>
      <c r="B2" s="17">
        <v>18828278</v>
      </c>
      <c r="C2" s="16" t="s">
        <v>162</v>
      </c>
      <c r="D2" s="20" t="s">
        <v>291</v>
      </c>
      <c r="E2" s="16" t="s">
        <v>163</v>
      </c>
      <c r="F2" s="20" t="s">
        <v>323</v>
      </c>
      <c r="G2" s="21">
        <v>45809</v>
      </c>
      <c r="H2" s="16" t="s">
        <v>124</v>
      </c>
      <c r="I2" s="17">
        <v>1</v>
      </c>
      <c r="J2" s="16" t="s">
        <v>51</v>
      </c>
      <c r="K2" s="16" t="s">
        <v>46</v>
      </c>
      <c r="L2" s="22">
        <v>22</v>
      </c>
      <c r="M2" s="22">
        <v>1673.04</v>
      </c>
      <c r="N2" s="22">
        <v>100</v>
      </c>
      <c r="O2" s="22">
        <v>368.04</v>
      </c>
      <c r="P2" s="16" t="s">
        <v>159</v>
      </c>
      <c r="Q2" s="21">
        <v>45809</v>
      </c>
      <c r="R2" s="15" t="s">
        <v>190</v>
      </c>
    </row>
    <row r="3" spans="1:18" x14ac:dyDescent="0.2">
      <c r="A3" s="16" t="s">
        <v>154</v>
      </c>
      <c r="B3" s="17">
        <v>5442438</v>
      </c>
      <c r="C3" s="16" t="s">
        <v>155</v>
      </c>
      <c r="D3" s="20" t="s">
        <v>289</v>
      </c>
      <c r="E3" s="16" t="s">
        <v>156</v>
      </c>
      <c r="F3" s="20" t="s">
        <v>321</v>
      </c>
      <c r="G3" s="21">
        <v>45809</v>
      </c>
      <c r="H3" s="16" t="s">
        <v>124</v>
      </c>
      <c r="I3" s="17">
        <v>1</v>
      </c>
      <c r="J3" s="16" t="s">
        <v>51</v>
      </c>
      <c r="K3" s="16" t="s">
        <v>46</v>
      </c>
      <c r="L3" s="22">
        <v>22</v>
      </c>
      <c r="M3" s="22">
        <v>2778.6</v>
      </c>
      <c r="N3" s="22">
        <v>100</v>
      </c>
      <c r="O3" s="22">
        <v>611.28</v>
      </c>
      <c r="P3" s="16" t="s">
        <v>130</v>
      </c>
      <c r="Q3" s="21">
        <v>45809</v>
      </c>
      <c r="R3" s="15" t="s">
        <v>190</v>
      </c>
    </row>
    <row r="4" spans="1:18" x14ac:dyDescent="0.2">
      <c r="A4" s="16" t="s">
        <v>127</v>
      </c>
      <c r="B4" s="17">
        <v>9079571</v>
      </c>
      <c r="C4" s="16" t="s">
        <v>128</v>
      </c>
      <c r="D4" s="20" t="s">
        <v>287</v>
      </c>
      <c r="E4" s="16" t="s">
        <v>129</v>
      </c>
      <c r="F4" s="20" t="s">
        <v>319</v>
      </c>
      <c r="G4" s="21">
        <v>45809</v>
      </c>
      <c r="H4" s="16" t="s">
        <v>124</v>
      </c>
      <c r="I4" s="17">
        <v>1</v>
      </c>
      <c r="J4" s="16" t="s">
        <v>51</v>
      </c>
      <c r="K4" s="16" t="s">
        <v>46</v>
      </c>
      <c r="L4" s="22">
        <v>22</v>
      </c>
      <c r="M4" s="22">
        <v>1674</v>
      </c>
      <c r="N4" s="22">
        <v>100</v>
      </c>
      <c r="O4" s="22">
        <v>368.28</v>
      </c>
      <c r="P4" s="16" t="s">
        <v>130</v>
      </c>
      <c r="Q4" s="21">
        <v>45809</v>
      </c>
      <c r="R4" s="15" t="s">
        <v>190</v>
      </c>
    </row>
    <row r="5" spans="1:18" x14ac:dyDescent="0.2">
      <c r="A5" s="16" t="s">
        <v>154</v>
      </c>
      <c r="B5" s="17">
        <v>5442438</v>
      </c>
      <c r="C5" s="16" t="s">
        <v>157</v>
      </c>
      <c r="D5" s="20" t="s">
        <v>290</v>
      </c>
      <c r="E5" s="16" t="s">
        <v>158</v>
      </c>
      <c r="F5" s="20" t="s">
        <v>322</v>
      </c>
      <c r="G5" s="21">
        <v>45809</v>
      </c>
      <c r="H5" s="16" t="s">
        <v>124</v>
      </c>
      <c r="I5" s="17">
        <v>1</v>
      </c>
      <c r="J5" s="16" t="s">
        <v>51</v>
      </c>
      <c r="K5" s="16" t="s">
        <v>46</v>
      </c>
      <c r="L5" s="22">
        <v>3</v>
      </c>
      <c r="M5" s="22">
        <v>2621.04</v>
      </c>
      <c r="N5" s="22">
        <v>100</v>
      </c>
      <c r="O5" s="22">
        <v>78.599999999999994</v>
      </c>
      <c r="P5" s="16" t="s">
        <v>159</v>
      </c>
      <c r="Q5" s="21">
        <v>45809</v>
      </c>
      <c r="R5" s="15" t="s">
        <v>191</v>
      </c>
    </row>
    <row r="6" spans="1:18" x14ac:dyDescent="0.2">
      <c r="A6" s="16" t="s">
        <v>120</v>
      </c>
      <c r="B6" s="17">
        <v>15278437</v>
      </c>
      <c r="C6" s="16" t="s">
        <v>121</v>
      </c>
      <c r="D6" s="20" t="s">
        <v>286</v>
      </c>
      <c r="E6" s="16" t="s">
        <v>122</v>
      </c>
      <c r="F6" s="20" t="s">
        <v>318</v>
      </c>
      <c r="G6" s="21">
        <v>45809</v>
      </c>
      <c r="H6" s="16" t="s">
        <v>124</v>
      </c>
      <c r="I6" s="17">
        <v>1</v>
      </c>
      <c r="J6" s="16" t="s">
        <v>51</v>
      </c>
      <c r="K6" s="16" t="s">
        <v>46</v>
      </c>
      <c r="L6" s="22">
        <v>26</v>
      </c>
      <c r="M6" s="22">
        <v>147.1</v>
      </c>
      <c r="N6" s="22">
        <v>100</v>
      </c>
      <c r="O6" s="22">
        <v>38.25</v>
      </c>
      <c r="P6" s="16" t="s">
        <v>125</v>
      </c>
      <c r="Q6" s="21">
        <v>45292</v>
      </c>
      <c r="R6" s="15" t="s">
        <v>189</v>
      </c>
    </row>
    <row r="7" spans="1:18" x14ac:dyDescent="0.2">
      <c r="A7" s="16" t="s">
        <v>132</v>
      </c>
      <c r="B7" s="25" t="s">
        <v>324</v>
      </c>
      <c r="C7" s="16" t="s">
        <v>133</v>
      </c>
      <c r="D7" s="20" t="s">
        <v>288</v>
      </c>
      <c r="E7" s="16" t="s">
        <v>134</v>
      </c>
      <c r="F7" s="20" t="s">
        <v>320</v>
      </c>
      <c r="G7" s="21">
        <v>45809</v>
      </c>
      <c r="H7" s="16" t="s">
        <v>124</v>
      </c>
      <c r="I7" s="17">
        <v>1</v>
      </c>
      <c r="J7" s="16" t="s">
        <v>51</v>
      </c>
      <c r="K7" s="16" t="s">
        <v>46</v>
      </c>
      <c r="L7" s="22">
        <v>26</v>
      </c>
      <c r="M7" s="22">
        <v>1389.48</v>
      </c>
      <c r="N7" s="22">
        <v>100</v>
      </c>
      <c r="O7" s="22">
        <v>361.32</v>
      </c>
      <c r="P7" s="16" t="s">
        <v>130</v>
      </c>
      <c r="Q7" s="21">
        <v>45809</v>
      </c>
      <c r="R7" s="15" t="s">
        <v>189</v>
      </c>
    </row>
    <row r="8" spans="1:18" x14ac:dyDescent="0.2">
      <c r="A8" s="16" t="s">
        <v>103</v>
      </c>
      <c r="B8" s="17">
        <v>8244481</v>
      </c>
      <c r="C8" s="16" t="s">
        <v>116</v>
      </c>
      <c r="D8" s="20" t="s">
        <v>273</v>
      </c>
      <c r="E8" s="24">
        <v>9029691910</v>
      </c>
      <c r="F8" s="24">
        <v>90296919104</v>
      </c>
      <c r="G8" s="21">
        <v>45839</v>
      </c>
      <c r="H8" s="16" t="s">
        <v>49</v>
      </c>
      <c r="I8" s="17">
        <v>2</v>
      </c>
      <c r="J8" s="16" t="s">
        <v>118</v>
      </c>
      <c r="K8" s="16" t="s">
        <v>46</v>
      </c>
      <c r="L8" s="22">
        <v>10</v>
      </c>
      <c r="M8" s="22">
        <v>97.6</v>
      </c>
      <c r="N8" s="22">
        <v>100</v>
      </c>
      <c r="O8" s="22">
        <v>9.76</v>
      </c>
      <c r="P8" s="16" t="s">
        <v>114</v>
      </c>
      <c r="Q8" s="21">
        <v>45644</v>
      </c>
      <c r="R8" s="15" t="s">
        <v>187</v>
      </c>
    </row>
    <row r="9" spans="1:18" x14ac:dyDescent="0.2">
      <c r="A9" s="16" t="s">
        <v>103</v>
      </c>
      <c r="B9" s="17">
        <v>8244481</v>
      </c>
      <c r="C9" s="16" t="s">
        <v>104</v>
      </c>
      <c r="D9" s="20" t="s">
        <v>292</v>
      </c>
      <c r="E9" s="24">
        <v>9028406240</v>
      </c>
      <c r="F9" s="24">
        <v>90284062404</v>
      </c>
      <c r="G9" s="21">
        <v>45839</v>
      </c>
      <c r="H9" s="16" t="s">
        <v>49</v>
      </c>
      <c r="I9" s="17">
        <v>2</v>
      </c>
      <c r="J9" s="16" t="s">
        <v>109</v>
      </c>
      <c r="K9" s="16" t="s">
        <v>46</v>
      </c>
      <c r="L9" s="22">
        <v>10</v>
      </c>
      <c r="M9" s="22">
        <v>26.88</v>
      </c>
      <c r="N9" s="22">
        <v>100</v>
      </c>
      <c r="O9" s="22">
        <v>2.69</v>
      </c>
      <c r="P9" s="16" t="s">
        <v>110</v>
      </c>
      <c r="Q9" s="21">
        <v>45323</v>
      </c>
      <c r="R9" s="15" t="s">
        <v>187</v>
      </c>
    </row>
    <row r="10" spans="1:18" x14ac:dyDescent="0.2">
      <c r="A10" s="16" t="s">
        <v>103</v>
      </c>
      <c r="B10" s="17">
        <v>8244481</v>
      </c>
      <c r="C10" s="16" t="s">
        <v>112</v>
      </c>
      <c r="D10" s="20" t="s">
        <v>293</v>
      </c>
      <c r="E10" s="24">
        <v>9029611520</v>
      </c>
      <c r="F10" s="24">
        <v>90296115204</v>
      </c>
      <c r="G10" s="21">
        <v>45839</v>
      </c>
      <c r="H10" s="16" t="s">
        <v>49</v>
      </c>
      <c r="I10" s="17">
        <v>1</v>
      </c>
      <c r="J10" s="16" t="s">
        <v>109</v>
      </c>
      <c r="K10" s="16" t="s">
        <v>46</v>
      </c>
      <c r="L10" s="22">
        <v>10</v>
      </c>
      <c r="M10" s="22">
        <v>13.93</v>
      </c>
      <c r="N10" s="22">
        <v>100</v>
      </c>
      <c r="O10" s="22">
        <v>1.39</v>
      </c>
      <c r="P10" s="16" t="s">
        <v>114</v>
      </c>
      <c r="Q10" s="21">
        <v>45622</v>
      </c>
      <c r="R10" s="15" t="s">
        <v>187</v>
      </c>
    </row>
    <row r="11" spans="1:18" x14ac:dyDescent="0.2">
      <c r="A11" s="16" t="s">
        <v>103</v>
      </c>
      <c r="B11" s="17">
        <v>8244481</v>
      </c>
      <c r="C11" s="16" t="s">
        <v>116</v>
      </c>
      <c r="D11" s="20" t="s">
        <v>273</v>
      </c>
      <c r="E11" s="24">
        <v>9029691920</v>
      </c>
      <c r="F11" s="24">
        <v>90296919204</v>
      </c>
      <c r="G11" s="21">
        <v>45839</v>
      </c>
      <c r="H11" s="16" t="s">
        <v>49</v>
      </c>
      <c r="I11" s="17">
        <v>2</v>
      </c>
      <c r="J11" s="16" t="s">
        <v>109</v>
      </c>
      <c r="K11" s="16" t="s">
        <v>46</v>
      </c>
      <c r="L11" s="22">
        <v>10</v>
      </c>
      <c r="M11" s="22">
        <v>26.88</v>
      </c>
      <c r="N11" s="22">
        <v>100</v>
      </c>
      <c r="O11" s="22">
        <v>2.69</v>
      </c>
      <c r="P11" s="16" t="s">
        <v>114</v>
      </c>
      <c r="Q11" s="21">
        <v>45644</v>
      </c>
      <c r="R11" s="15" t="s">
        <v>187</v>
      </c>
    </row>
    <row r="12" spans="1:18" x14ac:dyDescent="0.2">
      <c r="A12" s="16" t="s">
        <v>161</v>
      </c>
      <c r="B12" s="17">
        <v>8244481</v>
      </c>
      <c r="C12" s="16" t="s">
        <v>164</v>
      </c>
      <c r="D12" s="20" t="s">
        <v>274</v>
      </c>
      <c r="E12" s="24">
        <v>9029455080</v>
      </c>
      <c r="F12" s="24">
        <v>90294550804</v>
      </c>
      <c r="G12" s="21">
        <v>45839</v>
      </c>
      <c r="H12" s="16" t="s">
        <v>49</v>
      </c>
      <c r="I12" s="17">
        <v>1</v>
      </c>
      <c r="J12" s="16" t="s">
        <v>118</v>
      </c>
      <c r="K12" s="16" t="s">
        <v>46</v>
      </c>
      <c r="L12" s="22">
        <v>10</v>
      </c>
      <c r="M12" s="22">
        <v>41.82</v>
      </c>
      <c r="N12" s="22">
        <v>100</v>
      </c>
      <c r="O12" s="22">
        <v>4.18</v>
      </c>
      <c r="P12" s="16" t="s">
        <v>114</v>
      </c>
      <c r="Q12" s="21">
        <v>45658</v>
      </c>
      <c r="R12" s="15" t="s">
        <v>187</v>
      </c>
    </row>
    <row r="13" spans="1:18" x14ac:dyDescent="0.2">
      <c r="A13" s="16" t="s">
        <v>161</v>
      </c>
      <c r="B13" s="17">
        <v>18828278</v>
      </c>
      <c r="C13" s="16" t="s">
        <v>166</v>
      </c>
      <c r="D13" s="20" t="s">
        <v>297</v>
      </c>
      <c r="E13" s="24">
        <v>9030645140</v>
      </c>
      <c r="F13" s="24">
        <v>90306451404</v>
      </c>
      <c r="G13" s="21">
        <v>45809</v>
      </c>
      <c r="H13" s="16" t="s">
        <v>124</v>
      </c>
      <c r="I13" s="17">
        <v>2</v>
      </c>
      <c r="J13" s="16" t="s">
        <v>109</v>
      </c>
      <c r="K13" s="16" t="s">
        <v>46</v>
      </c>
      <c r="L13" s="22">
        <v>10</v>
      </c>
      <c r="M13" s="22">
        <v>26.88</v>
      </c>
      <c r="N13" s="22">
        <v>100</v>
      </c>
      <c r="O13" s="22">
        <v>37.69</v>
      </c>
      <c r="P13" s="16" t="s">
        <v>114</v>
      </c>
      <c r="Q13" s="21">
        <v>45816</v>
      </c>
      <c r="R13" s="15" t="s">
        <v>187</v>
      </c>
    </row>
    <row r="14" spans="1:18" x14ac:dyDescent="0.2">
      <c r="A14" s="16" t="s">
        <v>161</v>
      </c>
      <c r="B14" s="17">
        <v>18828278</v>
      </c>
      <c r="C14" s="16" t="s">
        <v>168</v>
      </c>
      <c r="D14" s="20" t="s">
        <v>298</v>
      </c>
      <c r="E14" s="24">
        <v>9030645550</v>
      </c>
      <c r="F14" s="24">
        <v>90306455504</v>
      </c>
      <c r="G14" s="21">
        <v>45839</v>
      </c>
      <c r="H14" s="16" t="s">
        <v>49</v>
      </c>
      <c r="I14" s="17">
        <v>2</v>
      </c>
      <c r="J14" s="16" t="s">
        <v>109</v>
      </c>
      <c r="K14" s="16" t="s">
        <v>46</v>
      </c>
      <c r="L14" s="22">
        <v>10</v>
      </c>
      <c r="M14" s="22">
        <v>26.88</v>
      </c>
      <c r="N14" s="22">
        <v>100</v>
      </c>
      <c r="O14" s="22">
        <v>37.69</v>
      </c>
      <c r="P14" s="16" t="s">
        <v>114</v>
      </c>
      <c r="Q14" s="21">
        <v>45839</v>
      </c>
      <c r="R14" s="15" t="s">
        <v>187</v>
      </c>
    </row>
    <row r="15" spans="1:18" x14ac:dyDescent="0.2">
      <c r="A15" s="16" t="s">
        <v>161</v>
      </c>
      <c r="B15" s="17">
        <v>18828278</v>
      </c>
      <c r="C15" s="16" t="s">
        <v>170</v>
      </c>
      <c r="D15" s="20" t="s">
        <v>299</v>
      </c>
      <c r="E15" s="24">
        <v>9030645560</v>
      </c>
      <c r="F15" s="24">
        <v>90306455604</v>
      </c>
      <c r="G15" s="21">
        <v>45809</v>
      </c>
      <c r="H15" s="16" t="s">
        <v>124</v>
      </c>
      <c r="I15" s="17">
        <v>1</v>
      </c>
      <c r="J15" s="16" t="s">
        <v>109</v>
      </c>
      <c r="K15" s="16" t="s">
        <v>46</v>
      </c>
      <c r="L15" s="22">
        <v>10</v>
      </c>
      <c r="M15" s="22">
        <v>13.93</v>
      </c>
      <c r="N15" s="22">
        <v>100</v>
      </c>
      <c r="O15" s="22">
        <v>36.39</v>
      </c>
      <c r="P15" s="16" t="s">
        <v>114</v>
      </c>
      <c r="Q15" s="21">
        <v>45816</v>
      </c>
      <c r="R15" s="15" t="s">
        <v>187</v>
      </c>
    </row>
    <row r="16" spans="1:18" x14ac:dyDescent="0.2">
      <c r="A16" s="16" t="s">
        <v>161</v>
      </c>
      <c r="B16" s="17">
        <v>18828278</v>
      </c>
      <c r="C16" s="16" t="s">
        <v>172</v>
      </c>
      <c r="D16" s="20" t="s">
        <v>300</v>
      </c>
      <c r="E16" s="24">
        <v>9030651770</v>
      </c>
      <c r="F16" s="24">
        <v>90306517704</v>
      </c>
      <c r="G16" s="21">
        <v>45809</v>
      </c>
      <c r="H16" s="16" t="s">
        <v>124</v>
      </c>
      <c r="I16" s="17">
        <v>1</v>
      </c>
      <c r="J16" s="16" t="s">
        <v>109</v>
      </c>
      <c r="K16" s="16" t="s">
        <v>46</v>
      </c>
      <c r="L16" s="22">
        <v>10</v>
      </c>
      <c r="M16" s="22">
        <v>13.93</v>
      </c>
      <c r="N16" s="22">
        <v>100</v>
      </c>
      <c r="O16" s="22">
        <v>36.39</v>
      </c>
      <c r="P16" s="16" t="s">
        <v>114</v>
      </c>
      <c r="Q16" s="21">
        <v>45817</v>
      </c>
      <c r="R16" s="15" t="s">
        <v>187</v>
      </c>
    </row>
    <row r="17" spans="1:18" x14ac:dyDescent="0.2">
      <c r="A17" s="16" t="s">
        <v>161</v>
      </c>
      <c r="B17" s="17">
        <v>18828278</v>
      </c>
      <c r="C17" s="16" t="s">
        <v>174</v>
      </c>
      <c r="D17" s="20" t="s">
        <v>301</v>
      </c>
      <c r="E17" s="24">
        <v>9030652040</v>
      </c>
      <c r="F17" s="24">
        <v>90306520404</v>
      </c>
      <c r="G17" s="21">
        <v>45809</v>
      </c>
      <c r="H17" s="16" t="s">
        <v>124</v>
      </c>
      <c r="I17" s="17">
        <v>2</v>
      </c>
      <c r="J17" s="16" t="s">
        <v>109</v>
      </c>
      <c r="K17" s="16" t="s">
        <v>46</v>
      </c>
      <c r="L17" s="22">
        <v>10</v>
      </c>
      <c r="M17" s="22">
        <v>26.88</v>
      </c>
      <c r="N17" s="22">
        <v>100</v>
      </c>
      <c r="O17" s="22">
        <v>37.69</v>
      </c>
      <c r="P17" s="16" t="s">
        <v>114</v>
      </c>
      <c r="Q17" s="21">
        <v>45817</v>
      </c>
      <c r="R17" s="15" t="s">
        <v>187</v>
      </c>
    </row>
    <row r="18" spans="1:18" x14ac:dyDescent="0.2">
      <c r="A18" s="16" t="s">
        <v>161</v>
      </c>
      <c r="B18" s="17">
        <v>18828278</v>
      </c>
      <c r="C18" s="16" t="s">
        <v>176</v>
      </c>
      <c r="D18" s="20" t="s">
        <v>302</v>
      </c>
      <c r="E18" s="24">
        <v>9030652540</v>
      </c>
      <c r="F18" s="24">
        <v>90306525404</v>
      </c>
      <c r="G18" s="21">
        <v>45870</v>
      </c>
      <c r="H18" s="16" t="s">
        <v>72</v>
      </c>
      <c r="I18" s="17">
        <v>1</v>
      </c>
      <c r="J18" s="16" t="s">
        <v>109</v>
      </c>
      <c r="K18" s="16" t="s">
        <v>46</v>
      </c>
      <c r="L18" s="22">
        <v>10</v>
      </c>
      <c r="M18" s="22">
        <v>13.93</v>
      </c>
      <c r="N18" s="22">
        <v>100</v>
      </c>
      <c r="O18" s="22">
        <v>36.39</v>
      </c>
      <c r="P18" s="16" t="s">
        <v>114</v>
      </c>
      <c r="Q18" s="21">
        <v>45870</v>
      </c>
      <c r="R18" s="15" t="s">
        <v>187</v>
      </c>
    </row>
    <row r="19" spans="1:18" x14ac:dyDescent="0.2">
      <c r="A19" s="16" t="s">
        <v>161</v>
      </c>
      <c r="B19" s="17">
        <v>18828278</v>
      </c>
      <c r="C19" s="16" t="s">
        <v>178</v>
      </c>
      <c r="D19" s="20" t="s">
        <v>303</v>
      </c>
      <c r="E19" s="24">
        <v>9030675550</v>
      </c>
      <c r="F19" s="24">
        <v>90306755504</v>
      </c>
      <c r="G19" s="21">
        <v>45839</v>
      </c>
      <c r="H19" s="16" t="s">
        <v>49</v>
      </c>
      <c r="I19" s="17">
        <v>1</v>
      </c>
      <c r="J19" s="16" t="s">
        <v>109</v>
      </c>
      <c r="K19" s="16" t="s">
        <v>46</v>
      </c>
      <c r="L19" s="22">
        <v>10</v>
      </c>
      <c r="M19" s="22">
        <v>13.93</v>
      </c>
      <c r="N19" s="22">
        <v>100</v>
      </c>
      <c r="O19" s="22">
        <v>36.39</v>
      </c>
      <c r="P19" s="16" t="s">
        <v>114</v>
      </c>
      <c r="Q19" s="21">
        <v>45839</v>
      </c>
      <c r="R19" s="15" t="s">
        <v>187</v>
      </c>
    </row>
    <row r="20" spans="1:18" x14ac:dyDescent="0.2">
      <c r="A20" s="16" t="s">
        <v>99</v>
      </c>
      <c r="B20" s="17">
        <v>19278370</v>
      </c>
      <c r="C20" s="16" t="s">
        <v>180</v>
      </c>
      <c r="D20" s="20" t="s">
        <v>304</v>
      </c>
      <c r="E20" s="24">
        <v>9030047190</v>
      </c>
      <c r="F20" s="24">
        <v>90300471904</v>
      </c>
      <c r="G20" s="21">
        <v>45839</v>
      </c>
      <c r="H20" s="16" t="s">
        <v>49</v>
      </c>
      <c r="I20" s="17">
        <v>4</v>
      </c>
      <c r="J20" s="16" t="s">
        <v>109</v>
      </c>
      <c r="K20" s="16" t="s">
        <v>46</v>
      </c>
      <c r="L20" s="22">
        <v>10</v>
      </c>
      <c r="M20" s="22">
        <v>36.99</v>
      </c>
      <c r="N20" s="22">
        <v>100</v>
      </c>
      <c r="O20" s="22">
        <v>3.7</v>
      </c>
      <c r="P20" s="16" t="s">
        <v>114</v>
      </c>
      <c r="Q20" s="21">
        <v>45700</v>
      </c>
      <c r="R20" s="15" t="s">
        <v>187</v>
      </c>
    </row>
    <row r="21" spans="1:18" x14ac:dyDescent="0.2">
      <c r="A21" s="16" t="s">
        <v>99</v>
      </c>
      <c r="B21" s="17">
        <v>19278370</v>
      </c>
      <c r="C21" s="16" t="s">
        <v>182</v>
      </c>
      <c r="D21" s="20" t="s">
        <v>305</v>
      </c>
      <c r="E21" s="24">
        <v>9030450680</v>
      </c>
      <c r="F21" s="24">
        <v>90304506804</v>
      </c>
      <c r="G21" s="21">
        <v>45839</v>
      </c>
      <c r="H21" s="16" t="s">
        <v>49</v>
      </c>
      <c r="I21" s="17">
        <v>2</v>
      </c>
      <c r="J21" s="16" t="s">
        <v>109</v>
      </c>
      <c r="K21" s="16" t="s">
        <v>46</v>
      </c>
      <c r="L21" s="22">
        <v>10</v>
      </c>
      <c r="M21" s="22">
        <v>23.99</v>
      </c>
      <c r="N21" s="22">
        <v>100</v>
      </c>
      <c r="O21" s="22">
        <v>2.4</v>
      </c>
      <c r="P21" s="16" t="s">
        <v>114</v>
      </c>
      <c r="Q21" s="21">
        <v>45776</v>
      </c>
      <c r="R21" s="15" t="s">
        <v>187</v>
      </c>
    </row>
    <row r="22" spans="1:18" x14ac:dyDescent="0.2">
      <c r="A22" s="16" t="s">
        <v>99</v>
      </c>
      <c r="B22" s="17">
        <v>19278370</v>
      </c>
      <c r="C22" s="16" t="s">
        <v>184</v>
      </c>
      <c r="D22" s="20" t="s">
        <v>306</v>
      </c>
      <c r="E22" s="24">
        <v>9030658860</v>
      </c>
      <c r="F22" s="24">
        <v>90306588604</v>
      </c>
      <c r="G22" s="21">
        <v>45809</v>
      </c>
      <c r="H22" s="16" t="s">
        <v>124</v>
      </c>
      <c r="I22" s="17">
        <v>2</v>
      </c>
      <c r="J22" s="16" t="s">
        <v>109</v>
      </c>
      <c r="K22" s="16" t="s">
        <v>46</v>
      </c>
      <c r="L22" s="22">
        <v>10</v>
      </c>
      <c r="M22" s="22">
        <v>23.99</v>
      </c>
      <c r="N22" s="22">
        <v>100</v>
      </c>
      <c r="O22" s="22">
        <v>37.4</v>
      </c>
      <c r="P22" s="16" t="s">
        <v>114</v>
      </c>
      <c r="Q22" s="21">
        <v>45818</v>
      </c>
      <c r="R22" s="15" t="s">
        <v>187</v>
      </c>
    </row>
    <row r="23" spans="1:18" x14ac:dyDescent="0.2">
      <c r="A23" s="16" t="s">
        <v>140</v>
      </c>
      <c r="B23" s="25" t="s">
        <v>325</v>
      </c>
      <c r="C23" s="16" t="s">
        <v>141</v>
      </c>
      <c r="D23" s="20" t="s">
        <v>296</v>
      </c>
      <c r="E23" s="24">
        <v>9030645400</v>
      </c>
      <c r="F23" s="24">
        <v>90306454004</v>
      </c>
      <c r="G23" s="21">
        <v>45839</v>
      </c>
      <c r="H23" s="16" t="s">
        <v>49</v>
      </c>
      <c r="I23" s="17">
        <v>1</v>
      </c>
      <c r="J23" s="16" t="s">
        <v>109</v>
      </c>
      <c r="K23" s="16" t="s">
        <v>46</v>
      </c>
      <c r="L23" s="22">
        <v>10</v>
      </c>
      <c r="M23" s="22">
        <v>12.99</v>
      </c>
      <c r="N23" s="22">
        <v>100</v>
      </c>
      <c r="O23" s="22">
        <v>36.299999999999997</v>
      </c>
      <c r="P23" s="16" t="s">
        <v>114</v>
      </c>
      <c r="Q23" s="21">
        <v>45839</v>
      </c>
      <c r="R23" s="15" t="s">
        <v>187</v>
      </c>
    </row>
    <row r="24" spans="1:18" x14ac:dyDescent="0.2">
      <c r="A24" s="16" t="s">
        <v>135</v>
      </c>
      <c r="B24" s="17">
        <v>17554531</v>
      </c>
      <c r="C24" s="16" t="s">
        <v>136</v>
      </c>
      <c r="D24" s="20" t="s">
        <v>294</v>
      </c>
      <c r="E24" s="24">
        <v>9030503940</v>
      </c>
      <c r="F24" s="24">
        <v>90305039404</v>
      </c>
      <c r="G24" s="21">
        <v>45839</v>
      </c>
      <c r="H24" s="16" t="s">
        <v>49</v>
      </c>
      <c r="I24" s="17">
        <v>3</v>
      </c>
      <c r="J24" s="16" t="s">
        <v>109</v>
      </c>
      <c r="K24" s="16" t="s">
        <v>46</v>
      </c>
      <c r="L24" s="22">
        <v>10</v>
      </c>
      <c r="M24" s="22">
        <v>66.56</v>
      </c>
      <c r="N24" s="22">
        <v>100</v>
      </c>
      <c r="O24" s="22">
        <v>6.66</v>
      </c>
      <c r="P24" s="16" t="s">
        <v>114</v>
      </c>
      <c r="Q24" s="21">
        <v>45786</v>
      </c>
      <c r="R24" s="15" t="s">
        <v>187</v>
      </c>
    </row>
    <row r="25" spans="1:18" x14ac:dyDescent="0.2">
      <c r="A25" s="16" t="s">
        <v>135</v>
      </c>
      <c r="B25" s="17">
        <v>17554531</v>
      </c>
      <c r="C25" s="16" t="s">
        <v>138</v>
      </c>
      <c r="D25" s="20" t="s">
        <v>295</v>
      </c>
      <c r="E25" s="24">
        <v>9030504200</v>
      </c>
      <c r="F25" s="24">
        <v>90305042004</v>
      </c>
      <c r="G25" s="21">
        <v>45839</v>
      </c>
      <c r="H25" s="16" t="s">
        <v>49</v>
      </c>
      <c r="I25" s="17">
        <v>1</v>
      </c>
      <c r="J25" s="16" t="s">
        <v>109</v>
      </c>
      <c r="K25" s="16" t="s">
        <v>46</v>
      </c>
      <c r="L25" s="22">
        <v>10</v>
      </c>
      <c r="M25" s="22">
        <v>21.32</v>
      </c>
      <c r="N25" s="22">
        <v>100</v>
      </c>
      <c r="O25" s="22">
        <v>2.13</v>
      </c>
      <c r="P25" s="16" t="s">
        <v>114</v>
      </c>
      <c r="Q25" s="21">
        <v>45786</v>
      </c>
      <c r="R25" s="15" t="s">
        <v>187</v>
      </c>
    </row>
    <row r="26" spans="1:18" x14ac:dyDescent="0.2">
      <c r="A26" s="16" t="s">
        <v>143</v>
      </c>
      <c r="B26" s="17">
        <v>18754354</v>
      </c>
      <c r="C26" s="16" t="s">
        <v>144</v>
      </c>
      <c r="D26" s="16" t="s">
        <v>144</v>
      </c>
      <c r="E26" s="24">
        <v>413180</v>
      </c>
      <c r="F26" s="24">
        <v>4131807</v>
      </c>
      <c r="G26" s="21">
        <v>45627</v>
      </c>
      <c r="H26" s="16" t="s">
        <v>148</v>
      </c>
      <c r="I26" s="17">
        <v>39</v>
      </c>
      <c r="J26" s="16" t="s">
        <v>153</v>
      </c>
      <c r="K26" s="16" t="s">
        <v>46</v>
      </c>
      <c r="L26" s="22">
        <v>10</v>
      </c>
      <c r="M26" s="22">
        <v>0.9</v>
      </c>
      <c r="N26" s="22">
        <v>100</v>
      </c>
      <c r="O26" s="22">
        <v>0.09</v>
      </c>
      <c r="P26" s="16" t="s">
        <v>53</v>
      </c>
      <c r="Q26" s="21">
        <v>45474</v>
      </c>
      <c r="R26" s="15" t="s">
        <v>188</v>
      </c>
    </row>
    <row r="27" spans="1:18" x14ac:dyDescent="0.2">
      <c r="A27" s="16" t="s">
        <v>143</v>
      </c>
      <c r="B27" s="17">
        <v>18754354</v>
      </c>
      <c r="C27" s="16" t="s">
        <v>144</v>
      </c>
      <c r="D27" s="16" t="s">
        <v>144</v>
      </c>
      <c r="E27" s="24">
        <v>413180</v>
      </c>
      <c r="F27" s="24">
        <v>4131807</v>
      </c>
      <c r="G27" s="21">
        <v>45658</v>
      </c>
      <c r="H27" s="16" t="s">
        <v>79</v>
      </c>
      <c r="I27" s="17">
        <v>39</v>
      </c>
      <c r="J27" s="16" t="s">
        <v>153</v>
      </c>
      <c r="K27" s="16" t="s">
        <v>46</v>
      </c>
      <c r="L27" s="22">
        <v>10</v>
      </c>
      <c r="M27" s="22">
        <v>2.25</v>
      </c>
      <c r="N27" s="22">
        <v>100</v>
      </c>
      <c r="O27" s="22">
        <v>0.23</v>
      </c>
      <c r="P27" s="16" t="s">
        <v>53</v>
      </c>
      <c r="Q27" s="21">
        <v>45474</v>
      </c>
      <c r="R27" s="15" t="s">
        <v>188</v>
      </c>
    </row>
    <row r="28" spans="1:18" x14ac:dyDescent="0.2">
      <c r="A28" s="16" t="s">
        <v>143</v>
      </c>
      <c r="B28" s="17">
        <v>18754354</v>
      </c>
      <c r="C28" s="16" t="s">
        <v>144</v>
      </c>
      <c r="D28" s="16" t="s">
        <v>144</v>
      </c>
      <c r="E28" s="24">
        <v>413180</v>
      </c>
      <c r="F28" s="24">
        <v>4131807</v>
      </c>
      <c r="G28" s="21">
        <v>45689</v>
      </c>
      <c r="H28" s="16" t="s">
        <v>150</v>
      </c>
      <c r="I28" s="17">
        <v>39</v>
      </c>
      <c r="J28" s="16" t="s">
        <v>153</v>
      </c>
      <c r="K28" s="16" t="s">
        <v>46</v>
      </c>
      <c r="L28" s="22">
        <v>10</v>
      </c>
      <c r="M28" s="22">
        <v>2.25</v>
      </c>
      <c r="N28" s="22">
        <v>100</v>
      </c>
      <c r="O28" s="22">
        <v>0.23</v>
      </c>
      <c r="P28" s="16" t="s">
        <v>53</v>
      </c>
      <c r="Q28" s="21">
        <v>45474</v>
      </c>
      <c r="R28" s="15" t="s">
        <v>188</v>
      </c>
    </row>
    <row r="29" spans="1:18" x14ac:dyDescent="0.2">
      <c r="A29" s="16" t="s">
        <v>143</v>
      </c>
      <c r="B29" s="17">
        <v>18754354</v>
      </c>
      <c r="C29" s="16" t="s">
        <v>144</v>
      </c>
      <c r="D29" s="16" t="s">
        <v>144</v>
      </c>
      <c r="E29" s="24">
        <v>413180</v>
      </c>
      <c r="F29" s="24">
        <v>4131807</v>
      </c>
      <c r="G29" s="21">
        <v>45717</v>
      </c>
      <c r="H29" s="16" t="s">
        <v>151</v>
      </c>
      <c r="I29" s="17">
        <v>39</v>
      </c>
      <c r="J29" s="16" t="s">
        <v>153</v>
      </c>
      <c r="K29" s="16" t="s">
        <v>46</v>
      </c>
      <c r="L29" s="22">
        <v>10</v>
      </c>
      <c r="M29" s="22">
        <v>2.25</v>
      </c>
      <c r="N29" s="22">
        <v>100</v>
      </c>
      <c r="O29" s="22">
        <v>0.23</v>
      </c>
      <c r="P29" s="16" t="s">
        <v>53</v>
      </c>
      <c r="Q29" s="21">
        <v>45474</v>
      </c>
      <c r="R29" s="15" t="s">
        <v>188</v>
      </c>
    </row>
    <row r="30" spans="1:18" x14ac:dyDescent="0.2">
      <c r="A30" s="16" t="s">
        <v>143</v>
      </c>
      <c r="B30" s="17">
        <v>18754354</v>
      </c>
      <c r="C30" s="16" t="s">
        <v>144</v>
      </c>
      <c r="D30" s="16" t="s">
        <v>144</v>
      </c>
      <c r="E30" s="24">
        <v>413180</v>
      </c>
      <c r="F30" s="24">
        <v>4131807</v>
      </c>
      <c r="G30" s="21">
        <v>45748</v>
      </c>
      <c r="H30" s="16" t="s">
        <v>152</v>
      </c>
      <c r="I30" s="17">
        <v>39</v>
      </c>
      <c r="J30" s="16" t="s">
        <v>153</v>
      </c>
      <c r="K30" s="16" t="s">
        <v>46</v>
      </c>
      <c r="L30" s="22">
        <v>10</v>
      </c>
      <c r="M30" s="22">
        <v>2.25</v>
      </c>
      <c r="N30" s="22">
        <v>100</v>
      </c>
      <c r="O30" s="22">
        <v>0.23</v>
      </c>
      <c r="P30" s="16" t="s">
        <v>53</v>
      </c>
      <c r="Q30" s="21">
        <v>45474</v>
      </c>
      <c r="R30" s="15" t="s">
        <v>188</v>
      </c>
    </row>
    <row r="31" spans="1:18" x14ac:dyDescent="0.2">
      <c r="A31" s="16" t="s">
        <v>143</v>
      </c>
      <c r="B31" s="17">
        <v>18754354</v>
      </c>
      <c r="C31" s="16" t="s">
        <v>144</v>
      </c>
      <c r="D31" s="16" t="s">
        <v>144</v>
      </c>
      <c r="E31" s="24">
        <v>413180</v>
      </c>
      <c r="F31" s="24">
        <v>4131807</v>
      </c>
      <c r="G31" s="21">
        <v>45778</v>
      </c>
      <c r="H31" s="16" t="s">
        <v>66</v>
      </c>
      <c r="I31" s="17">
        <v>39</v>
      </c>
      <c r="J31" s="16" t="s">
        <v>153</v>
      </c>
      <c r="K31" s="16" t="s">
        <v>46</v>
      </c>
      <c r="L31" s="22">
        <v>10</v>
      </c>
      <c r="M31" s="22">
        <v>3.44</v>
      </c>
      <c r="N31" s="22">
        <v>100</v>
      </c>
      <c r="O31" s="22">
        <v>0.34</v>
      </c>
      <c r="P31" s="16" t="s">
        <v>53</v>
      </c>
      <c r="Q31" s="21">
        <v>45474</v>
      </c>
      <c r="R31" s="15" t="s">
        <v>188</v>
      </c>
    </row>
    <row r="32" spans="1:18" x14ac:dyDescent="0.2">
      <c r="A32" s="16" t="s">
        <v>143</v>
      </c>
      <c r="B32" s="17">
        <v>18754354</v>
      </c>
      <c r="C32" s="16" t="s">
        <v>144</v>
      </c>
      <c r="D32" s="16" t="s">
        <v>144</v>
      </c>
      <c r="E32" s="24">
        <v>413180</v>
      </c>
      <c r="F32" s="24">
        <v>4131807</v>
      </c>
      <c r="G32" s="21">
        <v>45809</v>
      </c>
      <c r="H32" s="16" t="s">
        <v>124</v>
      </c>
      <c r="I32" s="17">
        <v>39</v>
      </c>
      <c r="J32" s="16" t="s">
        <v>153</v>
      </c>
      <c r="K32" s="16" t="s">
        <v>46</v>
      </c>
      <c r="L32" s="22">
        <v>10</v>
      </c>
      <c r="M32" s="22">
        <v>16.940000000000001</v>
      </c>
      <c r="N32" s="22">
        <v>100</v>
      </c>
      <c r="O32" s="22">
        <v>1.69</v>
      </c>
      <c r="P32" s="16" t="s">
        <v>53</v>
      </c>
      <c r="Q32" s="21">
        <v>45474</v>
      </c>
      <c r="R32" s="15" t="s">
        <v>188</v>
      </c>
    </row>
    <row r="33" spans="1:22" x14ac:dyDescent="0.2">
      <c r="A33" s="16" t="s">
        <v>143</v>
      </c>
      <c r="B33" s="17">
        <v>18754354</v>
      </c>
      <c r="C33" s="16" t="s">
        <v>144</v>
      </c>
      <c r="D33" s="16" t="s">
        <v>144</v>
      </c>
      <c r="E33" s="24">
        <v>413180</v>
      </c>
      <c r="F33" s="24">
        <v>4131807</v>
      </c>
      <c r="G33" s="21">
        <v>45627</v>
      </c>
      <c r="H33" s="16" t="s">
        <v>148</v>
      </c>
      <c r="I33" s="17">
        <v>39</v>
      </c>
      <c r="J33" s="16" t="s">
        <v>149</v>
      </c>
      <c r="K33" s="16" t="s">
        <v>46</v>
      </c>
      <c r="L33" s="22">
        <v>10</v>
      </c>
      <c r="M33" s="22">
        <v>3.9</v>
      </c>
      <c r="N33" s="22">
        <v>100</v>
      </c>
      <c r="O33" s="22">
        <v>0.39</v>
      </c>
      <c r="P33" s="16" t="s">
        <v>53</v>
      </c>
      <c r="Q33" s="21">
        <v>45474</v>
      </c>
      <c r="R33" s="15" t="s">
        <v>188</v>
      </c>
    </row>
    <row r="34" spans="1:22" x14ac:dyDescent="0.2">
      <c r="A34" s="16" t="s">
        <v>143</v>
      </c>
      <c r="B34" s="17">
        <v>18754354</v>
      </c>
      <c r="C34" s="16" t="s">
        <v>144</v>
      </c>
      <c r="D34" s="16" t="s">
        <v>144</v>
      </c>
      <c r="E34" s="24">
        <v>413180</v>
      </c>
      <c r="F34" s="24">
        <v>4131807</v>
      </c>
      <c r="G34" s="21">
        <v>45658</v>
      </c>
      <c r="H34" s="16" t="s">
        <v>79</v>
      </c>
      <c r="I34" s="17">
        <v>39</v>
      </c>
      <c r="J34" s="16" t="s">
        <v>149</v>
      </c>
      <c r="K34" s="16" t="s">
        <v>46</v>
      </c>
      <c r="L34" s="22">
        <v>10</v>
      </c>
      <c r="M34" s="22">
        <v>9.75</v>
      </c>
      <c r="N34" s="22">
        <v>100</v>
      </c>
      <c r="O34" s="22">
        <v>0.98</v>
      </c>
      <c r="P34" s="16" t="s">
        <v>53</v>
      </c>
      <c r="Q34" s="21">
        <v>45474</v>
      </c>
      <c r="R34" s="15" t="s">
        <v>188</v>
      </c>
    </row>
    <row r="35" spans="1:22" x14ac:dyDescent="0.2">
      <c r="A35" s="16" t="s">
        <v>143</v>
      </c>
      <c r="B35" s="17">
        <v>18754354</v>
      </c>
      <c r="C35" s="16" t="s">
        <v>144</v>
      </c>
      <c r="D35" s="16" t="s">
        <v>144</v>
      </c>
      <c r="E35" s="24">
        <v>413180</v>
      </c>
      <c r="F35" s="24">
        <v>4131807</v>
      </c>
      <c r="G35" s="21">
        <v>45689</v>
      </c>
      <c r="H35" s="16" t="s">
        <v>150</v>
      </c>
      <c r="I35" s="17">
        <v>39</v>
      </c>
      <c r="J35" s="16" t="s">
        <v>149</v>
      </c>
      <c r="K35" s="16" t="s">
        <v>46</v>
      </c>
      <c r="L35" s="22">
        <v>10</v>
      </c>
      <c r="M35" s="22">
        <v>9.75</v>
      </c>
      <c r="N35" s="22">
        <v>100</v>
      </c>
      <c r="O35" s="22">
        <v>0.98</v>
      </c>
      <c r="P35" s="16" t="s">
        <v>53</v>
      </c>
      <c r="Q35" s="21">
        <v>45474</v>
      </c>
      <c r="R35" s="15" t="s">
        <v>188</v>
      </c>
    </row>
    <row r="36" spans="1:22" x14ac:dyDescent="0.2">
      <c r="A36" s="16" t="s">
        <v>143</v>
      </c>
      <c r="B36" s="17">
        <v>18754354</v>
      </c>
      <c r="C36" s="16" t="s">
        <v>144</v>
      </c>
      <c r="D36" s="16" t="s">
        <v>144</v>
      </c>
      <c r="E36" s="24">
        <v>413180</v>
      </c>
      <c r="F36" s="24">
        <v>4131807</v>
      </c>
      <c r="G36" s="21">
        <v>45717</v>
      </c>
      <c r="H36" s="16" t="s">
        <v>151</v>
      </c>
      <c r="I36" s="17">
        <v>39</v>
      </c>
      <c r="J36" s="16" t="s">
        <v>149</v>
      </c>
      <c r="K36" s="16" t="s">
        <v>46</v>
      </c>
      <c r="L36" s="22">
        <v>10</v>
      </c>
      <c r="M36" s="22">
        <v>9.75</v>
      </c>
      <c r="N36" s="22">
        <v>100</v>
      </c>
      <c r="O36" s="22">
        <v>0.98</v>
      </c>
      <c r="P36" s="16" t="s">
        <v>53</v>
      </c>
      <c r="Q36" s="21">
        <v>45474</v>
      </c>
      <c r="R36" s="15" t="s">
        <v>188</v>
      </c>
    </row>
    <row r="37" spans="1:22" x14ac:dyDescent="0.2">
      <c r="A37" s="16" t="s">
        <v>143</v>
      </c>
      <c r="B37" s="17">
        <v>18754354</v>
      </c>
      <c r="C37" s="16" t="s">
        <v>144</v>
      </c>
      <c r="D37" s="16" t="s">
        <v>144</v>
      </c>
      <c r="E37" s="24">
        <v>413180</v>
      </c>
      <c r="F37" s="24">
        <v>4131807</v>
      </c>
      <c r="G37" s="21">
        <v>45748</v>
      </c>
      <c r="H37" s="16" t="s">
        <v>152</v>
      </c>
      <c r="I37" s="17">
        <v>39</v>
      </c>
      <c r="J37" s="16" t="s">
        <v>149</v>
      </c>
      <c r="K37" s="16" t="s">
        <v>46</v>
      </c>
      <c r="L37" s="22">
        <v>10</v>
      </c>
      <c r="M37" s="22">
        <v>9.75</v>
      </c>
      <c r="N37" s="22">
        <v>100</v>
      </c>
      <c r="O37" s="22">
        <v>0.98</v>
      </c>
      <c r="P37" s="16" t="s">
        <v>53</v>
      </c>
      <c r="Q37" s="21">
        <v>45474</v>
      </c>
      <c r="R37" s="15" t="s">
        <v>188</v>
      </c>
    </row>
    <row r="38" spans="1:22" x14ac:dyDescent="0.2">
      <c r="A38" s="16" t="s">
        <v>143</v>
      </c>
      <c r="B38" s="17">
        <v>18754354</v>
      </c>
      <c r="C38" s="16" t="s">
        <v>144</v>
      </c>
      <c r="D38" s="16" t="s">
        <v>144</v>
      </c>
      <c r="E38" s="24">
        <v>413180</v>
      </c>
      <c r="F38" s="24">
        <v>4131807</v>
      </c>
      <c r="G38" s="21">
        <v>45778</v>
      </c>
      <c r="H38" s="16" t="s">
        <v>66</v>
      </c>
      <c r="I38" s="17">
        <v>39</v>
      </c>
      <c r="J38" s="16" t="s">
        <v>149</v>
      </c>
      <c r="K38" s="16" t="s">
        <v>46</v>
      </c>
      <c r="L38" s="22">
        <v>10</v>
      </c>
      <c r="M38" s="22">
        <v>14.92</v>
      </c>
      <c r="N38" s="22">
        <v>100</v>
      </c>
      <c r="O38" s="22">
        <v>1.49</v>
      </c>
      <c r="P38" s="16" t="s">
        <v>53</v>
      </c>
      <c r="Q38" s="21">
        <v>45474</v>
      </c>
      <c r="R38" s="15" t="s">
        <v>188</v>
      </c>
    </row>
    <row r="39" spans="1:22" x14ac:dyDescent="0.2">
      <c r="A39" s="16" t="s">
        <v>143</v>
      </c>
      <c r="B39" s="17">
        <v>18754354</v>
      </c>
      <c r="C39" s="16" t="s">
        <v>144</v>
      </c>
      <c r="D39" s="16" t="s">
        <v>144</v>
      </c>
      <c r="E39" s="24">
        <v>413180</v>
      </c>
      <c r="F39" s="24">
        <v>4131807</v>
      </c>
      <c r="G39" s="21">
        <v>45809</v>
      </c>
      <c r="H39" s="16" t="s">
        <v>124</v>
      </c>
      <c r="I39" s="17">
        <v>39</v>
      </c>
      <c r="J39" s="16" t="s">
        <v>149</v>
      </c>
      <c r="K39" s="16" t="s">
        <v>46</v>
      </c>
      <c r="L39" s="22">
        <v>10</v>
      </c>
      <c r="M39" s="22">
        <v>73.42</v>
      </c>
      <c r="N39" s="22">
        <v>100</v>
      </c>
      <c r="O39" s="22">
        <v>7.34</v>
      </c>
      <c r="P39" s="16" t="s">
        <v>53</v>
      </c>
      <c r="Q39" s="21">
        <v>45474</v>
      </c>
      <c r="R39" s="15" t="s">
        <v>188</v>
      </c>
    </row>
    <row r="40" spans="1:22" x14ac:dyDescent="0.2">
      <c r="A40" s="16" t="s">
        <v>143</v>
      </c>
      <c r="B40" s="17">
        <v>18754354</v>
      </c>
      <c r="C40" s="16" t="s">
        <v>144</v>
      </c>
      <c r="D40" s="16" t="s">
        <v>144</v>
      </c>
      <c r="E40" s="24">
        <v>413180</v>
      </c>
      <c r="F40" s="24">
        <v>4131807</v>
      </c>
      <c r="G40" s="21">
        <v>45778</v>
      </c>
      <c r="H40" s="16" t="s">
        <v>66</v>
      </c>
      <c r="I40" s="17">
        <v>24</v>
      </c>
      <c r="J40" s="16" t="s">
        <v>118</v>
      </c>
      <c r="K40" s="16" t="s">
        <v>46</v>
      </c>
      <c r="L40" s="22">
        <v>10</v>
      </c>
      <c r="M40" s="22">
        <v>18.579999999999998</v>
      </c>
      <c r="N40" s="22">
        <v>100</v>
      </c>
      <c r="O40" s="22">
        <v>1.86</v>
      </c>
      <c r="P40" s="16" t="s">
        <v>53</v>
      </c>
      <c r="Q40" s="21">
        <v>45474</v>
      </c>
      <c r="R40" s="15" t="s">
        <v>188</v>
      </c>
    </row>
    <row r="41" spans="1:22" x14ac:dyDescent="0.2">
      <c r="A41" s="16" t="s">
        <v>143</v>
      </c>
      <c r="B41" s="17">
        <v>18754354</v>
      </c>
      <c r="C41" s="16" t="s">
        <v>144</v>
      </c>
      <c r="D41" s="16" t="s">
        <v>144</v>
      </c>
      <c r="E41" s="24">
        <v>413180</v>
      </c>
      <c r="F41" s="24">
        <v>4131807</v>
      </c>
      <c r="G41" s="21">
        <v>45809</v>
      </c>
      <c r="H41" s="16" t="s">
        <v>124</v>
      </c>
      <c r="I41" s="17">
        <v>24</v>
      </c>
      <c r="J41" s="16" t="s">
        <v>118</v>
      </c>
      <c r="K41" s="16" t="s">
        <v>46</v>
      </c>
      <c r="L41" s="22">
        <v>10</v>
      </c>
      <c r="M41" s="22">
        <v>550.85</v>
      </c>
      <c r="N41" s="22">
        <v>100</v>
      </c>
      <c r="O41" s="22">
        <v>55.09</v>
      </c>
      <c r="P41" s="16" t="s">
        <v>53</v>
      </c>
      <c r="Q41" s="21">
        <v>45474</v>
      </c>
      <c r="R41" s="15" t="s">
        <v>188</v>
      </c>
    </row>
    <row r="42" spans="1:22" x14ac:dyDescent="0.2">
      <c r="A42" s="16" t="s">
        <v>143</v>
      </c>
      <c r="B42" s="17">
        <v>18754354</v>
      </c>
      <c r="C42" s="16" t="s">
        <v>144</v>
      </c>
      <c r="D42" s="16" t="s">
        <v>144</v>
      </c>
      <c r="E42" s="24">
        <v>413180</v>
      </c>
      <c r="F42" s="24">
        <v>4131807</v>
      </c>
      <c r="G42" s="21">
        <v>45778</v>
      </c>
      <c r="H42" s="16" t="s">
        <v>66</v>
      </c>
      <c r="I42" s="17">
        <v>20</v>
      </c>
      <c r="J42" s="16" t="s">
        <v>109</v>
      </c>
      <c r="K42" s="16" t="s">
        <v>46</v>
      </c>
      <c r="L42" s="22">
        <v>10</v>
      </c>
      <c r="M42" s="22">
        <v>4.9400000000000004</v>
      </c>
      <c r="N42" s="22">
        <v>100</v>
      </c>
      <c r="O42" s="22">
        <v>0.49</v>
      </c>
      <c r="P42" s="16" t="s">
        <v>53</v>
      </c>
      <c r="Q42" s="21">
        <v>45474</v>
      </c>
      <c r="R42" s="15" t="s">
        <v>188</v>
      </c>
    </row>
    <row r="43" spans="1:22" x14ac:dyDescent="0.2">
      <c r="A43" s="16" t="s">
        <v>143</v>
      </c>
      <c r="B43" s="17">
        <v>18754354</v>
      </c>
      <c r="C43" s="16" t="s">
        <v>144</v>
      </c>
      <c r="D43" s="16" t="s">
        <v>144</v>
      </c>
      <c r="E43" s="24">
        <v>413180</v>
      </c>
      <c r="F43" s="24">
        <v>4131807</v>
      </c>
      <c r="G43" s="21">
        <v>45809</v>
      </c>
      <c r="H43" s="16" t="s">
        <v>124</v>
      </c>
      <c r="I43" s="17">
        <v>20</v>
      </c>
      <c r="J43" s="16" t="s">
        <v>109</v>
      </c>
      <c r="K43" s="16" t="s">
        <v>46</v>
      </c>
      <c r="L43" s="22">
        <v>10</v>
      </c>
      <c r="M43" s="22">
        <v>117.95</v>
      </c>
      <c r="N43" s="22">
        <v>100</v>
      </c>
      <c r="O43" s="22">
        <v>11.8</v>
      </c>
      <c r="P43" s="16" t="s">
        <v>53</v>
      </c>
      <c r="Q43" s="21">
        <v>45474</v>
      </c>
      <c r="R43" s="15" t="s">
        <v>188</v>
      </c>
    </row>
    <row r="44" spans="1:22" x14ac:dyDescent="0.2">
      <c r="A44" s="16" t="s">
        <v>56</v>
      </c>
      <c r="B44" s="17">
        <v>7470776</v>
      </c>
      <c r="C44" s="18" t="s">
        <v>199</v>
      </c>
      <c r="D44" s="19" t="s">
        <v>276</v>
      </c>
      <c r="E44" s="16" t="s">
        <v>58</v>
      </c>
      <c r="F44" s="20" t="s">
        <v>308</v>
      </c>
      <c r="G44" s="21">
        <v>45839</v>
      </c>
      <c r="H44" s="16" t="s">
        <v>49</v>
      </c>
      <c r="I44" s="17">
        <v>1</v>
      </c>
      <c r="J44" s="16" t="s">
        <v>51</v>
      </c>
      <c r="K44" s="16" t="s">
        <v>60</v>
      </c>
      <c r="L44" s="22">
        <v>0.5</v>
      </c>
      <c r="M44" s="22">
        <v>0</v>
      </c>
      <c r="N44" s="22">
        <v>100</v>
      </c>
      <c r="O44" s="22">
        <v>156.5</v>
      </c>
      <c r="P44" s="16" t="s">
        <v>53</v>
      </c>
      <c r="Q44" s="21">
        <v>45839</v>
      </c>
      <c r="R44" s="15" t="s">
        <v>192</v>
      </c>
      <c r="S44" s="23" t="s">
        <v>194</v>
      </c>
      <c r="V44" s="15">
        <f>313/12*6</f>
        <v>156.5</v>
      </c>
    </row>
    <row r="45" spans="1:22" x14ac:dyDescent="0.2">
      <c r="A45" s="16" t="s">
        <v>75</v>
      </c>
      <c r="B45" s="17">
        <v>7146581</v>
      </c>
      <c r="C45" s="18" t="s">
        <v>76</v>
      </c>
      <c r="D45" s="19" t="s">
        <v>279</v>
      </c>
      <c r="E45" s="16" t="s">
        <v>77</v>
      </c>
      <c r="F45" s="20" t="s">
        <v>311</v>
      </c>
      <c r="G45" s="21">
        <v>45658</v>
      </c>
      <c r="H45" s="16" t="s">
        <v>79</v>
      </c>
      <c r="I45" s="17">
        <v>1</v>
      </c>
      <c r="J45" s="16" t="s">
        <v>51</v>
      </c>
      <c r="K45" s="16" t="s">
        <v>60</v>
      </c>
      <c r="L45" s="22">
        <v>-0.57999999999999996</v>
      </c>
      <c r="M45" s="22">
        <v>0</v>
      </c>
      <c r="N45" s="22">
        <v>100</v>
      </c>
      <c r="O45" s="22">
        <v>-182.58</v>
      </c>
      <c r="P45" s="16" t="s">
        <v>53</v>
      </c>
      <c r="Q45" s="21">
        <v>45658</v>
      </c>
      <c r="R45" s="15" t="s">
        <v>192</v>
      </c>
      <c r="S45" s="23" t="s">
        <v>197</v>
      </c>
      <c r="V45" s="23">
        <f>313/12*7</f>
        <v>182.58333333333331</v>
      </c>
    </row>
    <row r="46" spans="1:22" x14ac:dyDescent="0.2">
      <c r="A46" s="16" t="s">
        <v>75</v>
      </c>
      <c r="B46" s="17">
        <v>7146581</v>
      </c>
      <c r="C46" s="16" t="s">
        <v>80</v>
      </c>
      <c r="D46" s="20" t="s">
        <v>280</v>
      </c>
      <c r="E46" s="16" t="s">
        <v>81</v>
      </c>
      <c r="F46" s="20" t="s">
        <v>312</v>
      </c>
      <c r="G46" s="21">
        <v>45658</v>
      </c>
      <c r="H46" s="16" t="s">
        <v>79</v>
      </c>
      <c r="I46" s="17">
        <v>1</v>
      </c>
      <c r="J46" s="16" t="s">
        <v>51</v>
      </c>
      <c r="K46" s="16" t="s">
        <v>60</v>
      </c>
      <c r="L46" s="22">
        <v>-0.5</v>
      </c>
      <c r="M46" s="22">
        <v>0</v>
      </c>
      <c r="N46" s="22">
        <v>100</v>
      </c>
      <c r="O46" s="22">
        <v>-156.5</v>
      </c>
      <c r="P46" s="16" t="s">
        <v>53</v>
      </c>
      <c r="Q46" s="21">
        <v>45658</v>
      </c>
      <c r="R46" s="15" t="s">
        <v>192</v>
      </c>
      <c r="S46" s="23" t="s">
        <v>194</v>
      </c>
    </row>
    <row r="47" spans="1:22" x14ac:dyDescent="0.2">
      <c r="A47" s="16" t="s">
        <v>75</v>
      </c>
      <c r="B47" s="17">
        <v>7146581</v>
      </c>
      <c r="C47" s="16" t="s">
        <v>83</v>
      </c>
      <c r="D47" s="20" t="s">
        <v>281</v>
      </c>
      <c r="E47" s="16" t="s">
        <v>84</v>
      </c>
      <c r="F47" s="20" t="s">
        <v>313</v>
      </c>
      <c r="G47" s="21">
        <v>45870</v>
      </c>
      <c r="H47" s="16" t="s">
        <v>72</v>
      </c>
      <c r="I47" s="17">
        <v>1</v>
      </c>
      <c r="J47" s="16" t="s">
        <v>51</v>
      </c>
      <c r="K47" s="16" t="s">
        <v>60</v>
      </c>
      <c r="L47" s="22">
        <v>0.42</v>
      </c>
      <c r="M47" s="22">
        <v>0</v>
      </c>
      <c r="N47" s="22">
        <v>100</v>
      </c>
      <c r="O47" s="22">
        <v>130.41999999999999</v>
      </c>
      <c r="P47" s="16" t="s">
        <v>53</v>
      </c>
      <c r="Q47" s="21">
        <v>45870</v>
      </c>
      <c r="R47" s="15" t="s">
        <v>192</v>
      </c>
      <c r="S47" s="23" t="s">
        <v>196</v>
      </c>
    </row>
    <row r="48" spans="1:22" x14ac:dyDescent="0.2">
      <c r="A48" s="16" t="s">
        <v>86</v>
      </c>
      <c r="B48" s="17">
        <v>19200754</v>
      </c>
      <c r="C48" s="16" t="s">
        <v>87</v>
      </c>
      <c r="D48" s="20" t="s">
        <v>282</v>
      </c>
      <c r="E48" s="16" t="s">
        <v>88</v>
      </c>
      <c r="F48" s="20" t="s">
        <v>314</v>
      </c>
      <c r="G48" s="21">
        <v>45839</v>
      </c>
      <c r="H48" s="16" t="s">
        <v>49</v>
      </c>
      <c r="I48" s="17">
        <v>1</v>
      </c>
      <c r="J48" s="16" t="s">
        <v>51</v>
      </c>
      <c r="K48" s="16" t="s">
        <v>60</v>
      </c>
      <c r="L48" s="22">
        <v>0.5</v>
      </c>
      <c r="M48" s="22">
        <v>0</v>
      </c>
      <c r="N48" s="22">
        <v>100</v>
      </c>
      <c r="O48" s="22">
        <v>156.5</v>
      </c>
      <c r="P48" s="16" t="s">
        <v>53</v>
      </c>
      <c r="Q48" s="21">
        <v>45839</v>
      </c>
      <c r="R48" s="15" t="s">
        <v>192</v>
      </c>
      <c r="S48" s="23" t="s">
        <v>194</v>
      </c>
    </row>
    <row r="49" spans="1:22" x14ac:dyDescent="0.2">
      <c r="A49" s="16" t="s">
        <v>86</v>
      </c>
      <c r="B49" s="17">
        <v>19200754</v>
      </c>
      <c r="C49" s="16" t="s">
        <v>90</v>
      </c>
      <c r="D49" s="20" t="s">
        <v>283</v>
      </c>
      <c r="E49" s="16" t="s">
        <v>91</v>
      </c>
      <c r="F49" s="20" t="s">
        <v>315</v>
      </c>
      <c r="G49" s="21">
        <v>45839</v>
      </c>
      <c r="H49" s="16" t="s">
        <v>49</v>
      </c>
      <c r="I49" s="17">
        <v>1</v>
      </c>
      <c r="J49" s="16" t="s">
        <v>51</v>
      </c>
      <c r="K49" s="16" t="s">
        <v>93</v>
      </c>
      <c r="L49" s="22">
        <v>0.5</v>
      </c>
      <c r="M49" s="22">
        <v>0</v>
      </c>
      <c r="N49" s="22">
        <v>100</v>
      </c>
      <c r="O49" s="22">
        <v>156.5</v>
      </c>
      <c r="P49" s="16" t="s">
        <v>53</v>
      </c>
      <c r="Q49" s="21">
        <v>45839</v>
      </c>
      <c r="R49" s="15" t="s">
        <v>192</v>
      </c>
      <c r="S49" s="23" t="s">
        <v>194</v>
      </c>
    </row>
    <row r="50" spans="1:22" x14ac:dyDescent="0.2">
      <c r="A50" s="16" t="s">
        <v>62</v>
      </c>
      <c r="B50" s="17">
        <v>8307933</v>
      </c>
      <c r="C50" s="18" t="s">
        <v>200</v>
      </c>
      <c r="D50" s="19" t="s">
        <v>277</v>
      </c>
      <c r="E50" s="16" t="s">
        <v>64</v>
      </c>
      <c r="F50" s="20" t="s">
        <v>309</v>
      </c>
      <c r="G50" s="21">
        <v>45778</v>
      </c>
      <c r="H50" s="16" t="s">
        <v>66</v>
      </c>
      <c r="I50" s="17">
        <v>1</v>
      </c>
      <c r="J50" s="16" t="s">
        <v>51</v>
      </c>
      <c r="K50" s="16" t="s">
        <v>60</v>
      </c>
      <c r="L50" s="22">
        <v>0</v>
      </c>
      <c r="M50" s="22">
        <v>0</v>
      </c>
      <c r="N50" s="22">
        <v>100</v>
      </c>
      <c r="O50" s="22">
        <v>286.92</v>
      </c>
      <c r="P50" s="16" t="s">
        <v>67</v>
      </c>
      <c r="Q50" s="21">
        <v>45778</v>
      </c>
      <c r="R50" s="15" t="s">
        <v>192</v>
      </c>
      <c r="S50" s="23" t="s">
        <v>193</v>
      </c>
      <c r="V50" s="15">
        <f>313/12*11</f>
        <v>286.91666666666663</v>
      </c>
    </row>
    <row r="51" spans="1:22" x14ac:dyDescent="0.2">
      <c r="A51" s="16" t="s">
        <v>62</v>
      </c>
      <c r="B51" s="17">
        <v>8307933</v>
      </c>
      <c r="C51" s="18" t="s">
        <v>200</v>
      </c>
      <c r="D51" s="19" t="s">
        <v>277</v>
      </c>
      <c r="E51" s="16" t="s">
        <v>64</v>
      </c>
      <c r="F51" s="20" t="s">
        <v>309</v>
      </c>
      <c r="G51" s="21">
        <v>45778</v>
      </c>
      <c r="H51" s="16" t="s">
        <v>66</v>
      </c>
      <c r="I51" s="17">
        <v>1</v>
      </c>
      <c r="J51" s="16" t="s">
        <v>51</v>
      </c>
      <c r="K51" s="16" t="s">
        <v>60</v>
      </c>
      <c r="L51" s="22">
        <v>0.25</v>
      </c>
      <c r="M51" s="22">
        <v>0</v>
      </c>
      <c r="N51" s="22">
        <v>100</v>
      </c>
      <c r="O51" s="22">
        <v>78.25</v>
      </c>
      <c r="P51" s="16" t="s">
        <v>53</v>
      </c>
      <c r="Q51" s="21">
        <v>45778</v>
      </c>
      <c r="R51" s="15" t="s">
        <v>192</v>
      </c>
      <c r="S51" s="23" t="s">
        <v>195</v>
      </c>
      <c r="V51" s="15">
        <f>313/12*3</f>
        <v>78.25</v>
      </c>
    </row>
    <row r="52" spans="1:22" x14ac:dyDescent="0.2">
      <c r="A52" s="16" t="s">
        <v>62</v>
      </c>
      <c r="B52" s="17">
        <v>8307933</v>
      </c>
      <c r="C52" s="18" t="s">
        <v>201</v>
      </c>
      <c r="D52" s="19" t="s">
        <v>278</v>
      </c>
      <c r="E52" s="16" t="s">
        <v>70</v>
      </c>
      <c r="F52" s="20" t="s">
        <v>310</v>
      </c>
      <c r="G52" s="21">
        <v>45870</v>
      </c>
      <c r="H52" s="16" t="s">
        <v>72</v>
      </c>
      <c r="I52" s="17">
        <v>1</v>
      </c>
      <c r="J52" s="16" t="s">
        <v>51</v>
      </c>
      <c r="K52" s="16" t="s">
        <v>73</v>
      </c>
      <c r="L52" s="22">
        <v>0.42</v>
      </c>
      <c r="M52" s="22">
        <v>0</v>
      </c>
      <c r="N52" s="22">
        <v>100</v>
      </c>
      <c r="O52" s="22">
        <v>130.41999999999999</v>
      </c>
      <c r="P52" s="16" t="s">
        <v>53</v>
      </c>
      <c r="Q52" s="21">
        <v>45870</v>
      </c>
      <c r="R52" s="15" t="s">
        <v>192</v>
      </c>
      <c r="S52" s="23" t="s">
        <v>196</v>
      </c>
      <c r="V52" s="15">
        <f>313/12*5</f>
        <v>130.41666666666666</v>
      </c>
    </row>
    <row r="53" spans="1:22" x14ac:dyDescent="0.2">
      <c r="A53" s="16" t="s">
        <v>94</v>
      </c>
      <c r="B53" s="17">
        <v>19481808</v>
      </c>
      <c r="C53" s="16" t="s">
        <v>95</v>
      </c>
      <c r="D53" s="20" t="s">
        <v>284</v>
      </c>
      <c r="E53" s="16" t="s">
        <v>96</v>
      </c>
      <c r="F53" s="20" t="s">
        <v>316</v>
      </c>
      <c r="G53" s="21">
        <v>45839</v>
      </c>
      <c r="H53" s="16" t="s">
        <v>49</v>
      </c>
      <c r="I53" s="17">
        <v>1</v>
      </c>
      <c r="J53" s="16" t="s">
        <v>51</v>
      </c>
      <c r="K53" s="16" t="s">
        <v>93</v>
      </c>
      <c r="L53" s="22">
        <v>0.5</v>
      </c>
      <c r="M53" s="22">
        <v>0</v>
      </c>
      <c r="N53" s="22">
        <v>100</v>
      </c>
      <c r="O53" s="22">
        <v>156.5</v>
      </c>
      <c r="P53" s="16" t="s">
        <v>53</v>
      </c>
      <c r="Q53" s="21">
        <v>45839</v>
      </c>
      <c r="R53" s="15" t="s">
        <v>192</v>
      </c>
      <c r="S53" s="23" t="s">
        <v>194</v>
      </c>
    </row>
    <row r="54" spans="1:22" x14ac:dyDescent="0.2">
      <c r="A54" s="16" t="s">
        <v>99</v>
      </c>
      <c r="B54" s="17">
        <v>19278370</v>
      </c>
      <c r="C54" s="16" t="s">
        <v>100</v>
      </c>
      <c r="D54" s="20" t="s">
        <v>285</v>
      </c>
      <c r="E54" s="16" t="s">
        <v>101</v>
      </c>
      <c r="F54" s="20" t="s">
        <v>317</v>
      </c>
      <c r="G54" s="21">
        <v>45870</v>
      </c>
      <c r="H54" s="16" t="s">
        <v>72</v>
      </c>
      <c r="I54" s="17">
        <v>1</v>
      </c>
      <c r="J54" s="16" t="s">
        <v>51</v>
      </c>
      <c r="K54" s="16" t="s">
        <v>52</v>
      </c>
      <c r="L54" s="22">
        <v>0.42</v>
      </c>
      <c r="M54" s="22">
        <v>0</v>
      </c>
      <c r="N54" s="22">
        <v>100</v>
      </c>
      <c r="O54" s="22">
        <v>22.92</v>
      </c>
      <c r="P54" s="16" t="s">
        <v>53</v>
      </c>
      <c r="Q54" s="21">
        <v>45870</v>
      </c>
      <c r="R54" s="15" t="s">
        <v>186</v>
      </c>
    </row>
    <row r="55" spans="1:22" x14ac:dyDescent="0.2">
      <c r="A55" s="16" t="s">
        <v>42</v>
      </c>
      <c r="B55" s="17">
        <v>371819</v>
      </c>
      <c r="C55" s="18" t="s">
        <v>198</v>
      </c>
      <c r="D55" s="19" t="s">
        <v>275</v>
      </c>
      <c r="E55" s="16" t="s">
        <v>44</v>
      </c>
      <c r="F55" s="20" t="s">
        <v>307</v>
      </c>
      <c r="G55" s="21">
        <v>45839</v>
      </c>
      <c r="H55" s="16" t="s">
        <v>49</v>
      </c>
      <c r="I55" s="17">
        <v>1</v>
      </c>
      <c r="J55" s="16" t="s">
        <v>51</v>
      </c>
      <c r="K55" s="16" t="s">
        <v>52</v>
      </c>
      <c r="L55" s="22">
        <v>0.5</v>
      </c>
      <c r="M55" s="22">
        <v>0</v>
      </c>
      <c r="N55" s="22">
        <v>100</v>
      </c>
      <c r="O55" s="22">
        <v>27.5</v>
      </c>
      <c r="P55" s="16" t="s">
        <v>53</v>
      </c>
      <c r="Q55" s="21">
        <v>45839</v>
      </c>
      <c r="R55" s="15" t="s">
        <v>186</v>
      </c>
    </row>
  </sheetData>
  <sortState xmlns:xlrd2="http://schemas.microsoft.com/office/spreadsheetml/2017/richdata2" ref="A2:AR55">
    <sortCondition ref="R2:R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9174-6CDF-41F1-AC8A-E7B9389CBC75}">
  <dimension ref="A1:K54"/>
  <sheetViews>
    <sheetView topLeftCell="A8" workbookViewId="0">
      <selection activeCell="K1" sqref="K1:K54"/>
    </sheetView>
  </sheetViews>
  <sheetFormatPr defaultRowHeight="12.75" x14ac:dyDescent="0.2"/>
  <cols>
    <col min="1" max="1" width="15.42578125" bestFit="1" customWidth="1"/>
    <col min="2" max="2" width="15.28515625" bestFit="1" customWidth="1"/>
    <col min="3" max="3" width="9.7109375" bestFit="1" customWidth="1"/>
    <col min="4" max="4" width="4.28515625" bestFit="1" customWidth="1"/>
    <col min="9" max="9" width="17.140625" customWidth="1"/>
    <col min="10" max="10" width="13.42578125" bestFit="1" customWidth="1"/>
  </cols>
  <sheetData>
    <row r="1" spans="1:11" x14ac:dyDescent="0.2">
      <c r="A1" s="8" t="s">
        <v>202</v>
      </c>
      <c r="B1" t="s">
        <v>203</v>
      </c>
      <c r="C1" t="s">
        <v>204</v>
      </c>
      <c r="D1" t="s">
        <v>205</v>
      </c>
      <c r="E1" t="str">
        <f>CONCATENATE(B1, " ",A1)</f>
        <v>CAPITAL NC</v>
      </c>
      <c r="H1" t="s">
        <v>188</v>
      </c>
      <c r="J1">
        <v>413180</v>
      </c>
      <c r="K1" t="str">
        <f>CONCATENATE(J1,7)</f>
        <v>4131807</v>
      </c>
    </row>
    <row r="2" spans="1:11" x14ac:dyDescent="0.2">
      <c r="A2" s="8" t="s">
        <v>202</v>
      </c>
      <c r="B2" t="s">
        <v>203</v>
      </c>
      <c r="C2" t="s">
        <v>204</v>
      </c>
      <c r="D2" t="s">
        <v>205</v>
      </c>
      <c r="E2" t="str">
        <f t="shared" ref="E2:E54" si="0">CONCATENATE(B2, " ",A2)</f>
        <v>CAPITAL NC</v>
      </c>
      <c r="H2" t="s">
        <v>188</v>
      </c>
      <c r="J2">
        <v>413180</v>
      </c>
      <c r="K2" t="str">
        <f t="shared" ref="K2:K14" si="1">CONCATENATE(J2,7)</f>
        <v>4131807</v>
      </c>
    </row>
    <row r="3" spans="1:11" x14ac:dyDescent="0.2">
      <c r="A3" s="8" t="s">
        <v>202</v>
      </c>
      <c r="B3" t="s">
        <v>203</v>
      </c>
      <c r="C3" t="s">
        <v>204</v>
      </c>
      <c r="D3" t="s">
        <v>205</v>
      </c>
      <c r="E3" t="str">
        <f t="shared" si="0"/>
        <v>CAPITAL NC</v>
      </c>
      <c r="H3" t="s">
        <v>188</v>
      </c>
      <c r="J3">
        <v>413180</v>
      </c>
      <c r="K3" t="str">
        <f t="shared" si="1"/>
        <v>4131807</v>
      </c>
    </row>
    <row r="4" spans="1:11" x14ac:dyDescent="0.2">
      <c r="A4" s="8" t="s">
        <v>202</v>
      </c>
      <c r="B4" t="s">
        <v>203</v>
      </c>
      <c r="C4" t="s">
        <v>204</v>
      </c>
      <c r="D4" t="s">
        <v>205</v>
      </c>
      <c r="E4" t="str">
        <f t="shared" si="0"/>
        <v>CAPITAL NC</v>
      </c>
      <c r="H4" t="s">
        <v>188</v>
      </c>
      <c r="J4">
        <v>413180</v>
      </c>
      <c r="K4" t="str">
        <f t="shared" si="1"/>
        <v>4131807</v>
      </c>
    </row>
    <row r="5" spans="1:11" x14ac:dyDescent="0.2">
      <c r="A5" s="8" t="s">
        <v>202</v>
      </c>
      <c r="B5" t="s">
        <v>203</v>
      </c>
      <c r="C5" t="s">
        <v>204</v>
      </c>
      <c r="D5" t="s">
        <v>205</v>
      </c>
      <c r="E5" t="str">
        <f t="shared" si="0"/>
        <v>CAPITAL NC</v>
      </c>
      <c r="H5" t="s">
        <v>188</v>
      </c>
      <c r="J5">
        <v>413180</v>
      </c>
      <c r="K5" t="str">
        <f t="shared" si="1"/>
        <v>4131807</v>
      </c>
    </row>
    <row r="6" spans="1:11" x14ac:dyDescent="0.2">
      <c r="A6" s="8" t="s">
        <v>202</v>
      </c>
      <c r="B6" t="s">
        <v>203</v>
      </c>
      <c r="C6" t="s">
        <v>204</v>
      </c>
      <c r="D6" t="s">
        <v>205</v>
      </c>
      <c r="E6" t="str">
        <f t="shared" si="0"/>
        <v>CAPITAL NC</v>
      </c>
      <c r="H6" t="s">
        <v>188</v>
      </c>
      <c r="J6">
        <v>413180</v>
      </c>
      <c r="K6" t="str">
        <f t="shared" si="1"/>
        <v>4131807</v>
      </c>
    </row>
    <row r="7" spans="1:11" x14ac:dyDescent="0.2">
      <c r="A7" s="8" t="s">
        <v>202</v>
      </c>
      <c r="B7" t="s">
        <v>203</v>
      </c>
      <c r="C7" t="s">
        <v>204</v>
      </c>
      <c r="D7" t="s">
        <v>205</v>
      </c>
      <c r="E7" t="str">
        <f t="shared" si="0"/>
        <v>CAPITAL NC</v>
      </c>
      <c r="H7" t="s">
        <v>188</v>
      </c>
      <c r="J7">
        <v>413180</v>
      </c>
      <c r="K7" t="str">
        <f t="shared" si="1"/>
        <v>4131807</v>
      </c>
    </row>
    <row r="8" spans="1:11" x14ac:dyDescent="0.2">
      <c r="A8" s="8" t="s">
        <v>202</v>
      </c>
      <c r="B8" t="s">
        <v>203</v>
      </c>
      <c r="C8" t="s">
        <v>204</v>
      </c>
      <c r="D8" t="s">
        <v>205</v>
      </c>
      <c r="E8" t="str">
        <f t="shared" si="0"/>
        <v>CAPITAL NC</v>
      </c>
      <c r="H8" t="s">
        <v>188</v>
      </c>
      <c r="J8">
        <v>413180</v>
      </c>
      <c r="K8" t="str">
        <f t="shared" si="1"/>
        <v>4131807</v>
      </c>
    </row>
    <row r="9" spans="1:11" x14ac:dyDescent="0.2">
      <c r="A9" s="8" t="s">
        <v>202</v>
      </c>
      <c r="B9" t="s">
        <v>203</v>
      </c>
      <c r="C9" t="s">
        <v>204</v>
      </c>
      <c r="D9" t="s">
        <v>205</v>
      </c>
      <c r="E9" t="str">
        <f t="shared" si="0"/>
        <v>CAPITAL NC</v>
      </c>
      <c r="H9" t="s">
        <v>188</v>
      </c>
      <c r="J9">
        <v>413180</v>
      </c>
      <c r="K9" t="str">
        <f t="shared" si="1"/>
        <v>4131807</v>
      </c>
    </row>
    <row r="10" spans="1:11" x14ac:dyDescent="0.2">
      <c r="A10" s="8" t="s">
        <v>202</v>
      </c>
      <c r="B10" t="s">
        <v>203</v>
      </c>
      <c r="C10" t="s">
        <v>204</v>
      </c>
      <c r="D10" t="s">
        <v>205</v>
      </c>
      <c r="E10" t="str">
        <f t="shared" si="0"/>
        <v>CAPITAL NC</v>
      </c>
      <c r="H10" t="s">
        <v>188</v>
      </c>
      <c r="J10">
        <v>413180</v>
      </c>
      <c r="K10" t="str">
        <f t="shared" si="1"/>
        <v>4131807</v>
      </c>
    </row>
    <row r="11" spans="1:11" x14ac:dyDescent="0.2">
      <c r="A11" s="8" t="s">
        <v>202</v>
      </c>
      <c r="B11" t="s">
        <v>203</v>
      </c>
      <c r="C11" t="s">
        <v>204</v>
      </c>
      <c r="D11" t="s">
        <v>205</v>
      </c>
      <c r="E11" t="str">
        <f t="shared" si="0"/>
        <v>CAPITAL NC</v>
      </c>
      <c r="H11" t="s">
        <v>188</v>
      </c>
      <c r="J11">
        <v>413180</v>
      </c>
      <c r="K11" t="str">
        <f t="shared" si="1"/>
        <v>4131807</v>
      </c>
    </row>
    <row r="12" spans="1:11" x14ac:dyDescent="0.2">
      <c r="A12" s="8" t="s">
        <v>202</v>
      </c>
      <c r="B12" t="s">
        <v>203</v>
      </c>
      <c r="C12" t="s">
        <v>204</v>
      </c>
      <c r="D12" t="s">
        <v>205</v>
      </c>
      <c r="E12" t="str">
        <f t="shared" si="0"/>
        <v>CAPITAL NC</v>
      </c>
      <c r="H12" t="s">
        <v>188</v>
      </c>
      <c r="J12">
        <v>413180</v>
      </c>
      <c r="K12" t="str">
        <f t="shared" si="1"/>
        <v>4131807</v>
      </c>
    </row>
    <row r="13" spans="1:11" x14ac:dyDescent="0.2">
      <c r="A13" s="8" t="s">
        <v>202</v>
      </c>
      <c r="B13" t="s">
        <v>203</v>
      </c>
      <c r="C13" t="s">
        <v>204</v>
      </c>
      <c r="D13" t="s">
        <v>205</v>
      </c>
      <c r="E13" t="str">
        <f t="shared" si="0"/>
        <v>CAPITAL NC</v>
      </c>
      <c r="H13" t="s">
        <v>188</v>
      </c>
      <c r="J13">
        <v>413180</v>
      </c>
      <c r="K13" t="str">
        <f t="shared" si="1"/>
        <v>4131807</v>
      </c>
    </row>
    <row r="14" spans="1:11" x14ac:dyDescent="0.2">
      <c r="A14" s="8" t="s">
        <v>202</v>
      </c>
      <c r="B14" t="s">
        <v>203</v>
      </c>
      <c r="C14" t="s">
        <v>204</v>
      </c>
      <c r="D14" t="s">
        <v>205</v>
      </c>
      <c r="E14" t="str">
        <f t="shared" si="0"/>
        <v>CAPITAL NC</v>
      </c>
      <c r="H14" t="s">
        <v>188</v>
      </c>
      <c r="J14">
        <v>413180</v>
      </c>
      <c r="K14" t="str">
        <f t="shared" si="1"/>
        <v>4131807</v>
      </c>
    </row>
    <row r="15" spans="1:11" x14ac:dyDescent="0.2">
      <c r="A15" s="7" t="s">
        <v>206</v>
      </c>
      <c r="B15" t="s">
        <v>207</v>
      </c>
      <c r="E15" t="str">
        <f t="shared" si="0"/>
        <v>Christopher Ward</v>
      </c>
      <c r="H15" t="s">
        <v>187</v>
      </c>
      <c r="J15">
        <v>9029691910</v>
      </c>
      <c r="K15" t="str">
        <f>CONCATENATE(J15,4)</f>
        <v>90296919104</v>
      </c>
    </row>
    <row r="16" spans="1:11" x14ac:dyDescent="0.2">
      <c r="A16" s="8" t="s">
        <v>202</v>
      </c>
      <c r="B16" t="s">
        <v>203</v>
      </c>
      <c r="C16" t="s">
        <v>204</v>
      </c>
      <c r="D16" t="s">
        <v>205</v>
      </c>
      <c r="E16" t="str">
        <f t="shared" si="0"/>
        <v>CAPITAL NC</v>
      </c>
      <c r="H16" t="s">
        <v>188</v>
      </c>
      <c r="J16">
        <v>413180</v>
      </c>
      <c r="K16" t="str">
        <f t="shared" ref="K16:K17" si="2">CONCATENATE(J16,7)</f>
        <v>4131807</v>
      </c>
    </row>
    <row r="17" spans="1:11" x14ac:dyDescent="0.2">
      <c r="A17" s="8" t="s">
        <v>202</v>
      </c>
      <c r="B17" t="s">
        <v>203</v>
      </c>
      <c r="C17" t="s">
        <v>204</v>
      </c>
      <c r="D17" t="s">
        <v>205</v>
      </c>
      <c r="E17" t="str">
        <f t="shared" si="0"/>
        <v>CAPITAL NC</v>
      </c>
      <c r="H17" t="s">
        <v>188</v>
      </c>
      <c r="J17">
        <v>413180</v>
      </c>
      <c r="K17" t="str">
        <f t="shared" si="2"/>
        <v>4131807</v>
      </c>
    </row>
    <row r="18" spans="1:11" x14ac:dyDescent="0.2">
      <c r="A18" s="7" t="s">
        <v>208</v>
      </c>
      <c r="B18" t="s">
        <v>209</v>
      </c>
      <c r="E18" t="str">
        <f t="shared" si="0"/>
        <v>Patti Green</v>
      </c>
      <c r="H18" t="s">
        <v>187</v>
      </c>
      <c r="J18">
        <v>9029455080</v>
      </c>
      <c r="K18" t="str">
        <f>CONCATENATE(J18,4)</f>
        <v>90294550804</v>
      </c>
    </row>
    <row r="19" spans="1:11" x14ac:dyDescent="0.2">
      <c r="A19" s="11" t="s">
        <v>210</v>
      </c>
      <c r="B19" t="s">
        <v>211</v>
      </c>
      <c r="E19" t="str">
        <f t="shared" si="0"/>
        <v>SANDFORD SMITH</v>
      </c>
      <c r="H19" t="s">
        <v>186</v>
      </c>
      <c r="J19" s="13" t="s">
        <v>44</v>
      </c>
      <c r="K19" t="str">
        <f>CONCATENATE(J19,9)</f>
        <v>00023392671K9</v>
      </c>
    </row>
    <row r="20" spans="1:11" x14ac:dyDescent="0.2">
      <c r="A20" s="12" t="s">
        <v>212</v>
      </c>
      <c r="B20" t="s">
        <v>213</v>
      </c>
      <c r="E20" t="str">
        <f t="shared" si="0"/>
        <v>KATHY ROSS</v>
      </c>
      <c r="H20" t="s">
        <v>192</v>
      </c>
      <c r="J20" s="13" t="s">
        <v>58</v>
      </c>
      <c r="K20" t="str">
        <f>CONCATENATE(J20,6)</f>
        <v>00023408740K6</v>
      </c>
    </row>
    <row r="21" spans="1:11" x14ac:dyDescent="0.2">
      <c r="A21" s="12" t="s">
        <v>214</v>
      </c>
      <c r="B21" t="s">
        <v>215</v>
      </c>
      <c r="E21" t="str">
        <f t="shared" si="0"/>
        <v>MARLA STANGL</v>
      </c>
      <c r="H21" t="s">
        <v>192</v>
      </c>
      <c r="J21" s="13" t="s">
        <v>64</v>
      </c>
      <c r="K21" t="str">
        <f t="shared" ref="K21:K29" si="3">CONCATENATE(J21,6)</f>
        <v>00023070047K6</v>
      </c>
    </row>
    <row r="22" spans="1:11" x14ac:dyDescent="0.2">
      <c r="A22" s="12" t="s">
        <v>214</v>
      </c>
      <c r="B22" t="s">
        <v>215</v>
      </c>
      <c r="E22" t="str">
        <f t="shared" si="0"/>
        <v>MARLA STANGL</v>
      </c>
      <c r="H22" t="s">
        <v>192</v>
      </c>
      <c r="J22" s="13" t="s">
        <v>64</v>
      </c>
      <c r="K22" t="str">
        <f t="shared" si="3"/>
        <v>00023070047K6</v>
      </c>
    </row>
    <row r="23" spans="1:11" x14ac:dyDescent="0.2">
      <c r="A23" s="12" t="s">
        <v>216</v>
      </c>
      <c r="B23" t="s">
        <v>217</v>
      </c>
      <c r="E23" t="str">
        <f t="shared" si="0"/>
        <v>GEORGE GREENLEAF</v>
      </c>
      <c r="H23" t="s">
        <v>192</v>
      </c>
      <c r="J23" s="13" t="s">
        <v>70</v>
      </c>
      <c r="K23" t="str">
        <f t="shared" si="3"/>
        <v>00023407552K6</v>
      </c>
    </row>
    <row r="24" spans="1:11" x14ac:dyDescent="0.2">
      <c r="A24" s="12" t="s">
        <v>218</v>
      </c>
      <c r="B24" t="s">
        <v>219</v>
      </c>
      <c r="E24" t="str">
        <f t="shared" si="0"/>
        <v>NANCY WEAVER</v>
      </c>
      <c r="H24" t="s">
        <v>192</v>
      </c>
      <c r="J24" s="13" t="s">
        <v>77</v>
      </c>
      <c r="K24" t="str">
        <f t="shared" si="3"/>
        <v>00021314916K6</v>
      </c>
    </row>
    <row r="25" spans="1:11" x14ac:dyDescent="0.2">
      <c r="A25" s="10" t="s">
        <v>220</v>
      </c>
      <c r="B25" t="s">
        <v>221</v>
      </c>
      <c r="E25" t="str">
        <f t="shared" si="0"/>
        <v>DEALAS WILEY</v>
      </c>
      <c r="H25" t="s">
        <v>192</v>
      </c>
      <c r="J25" s="13" t="s">
        <v>81</v>
      </c>
      <c r="K25" t="str">
        <f t="shared" si="3"/>
        <v>00022876089K6</v>
      </c>
    </row>
    <row r="26" spans="1:11" x14ac:dyDescent="0.2">
      <c r="A26" s="10" t="s">
        <v>222</v>
      </c>
      <c r="B26" t="s">
        <v>223</v>
      </c>
      <c r="E26" t="str">
        <f t="shared" si="0"/>
        <v>PAMELA BANKER</v>
      </c>
      <c r="H26" t="s">
        <v>192</v>
      </c>
      <c r="J26" s="13" t="s">
        <v>84</v>
      </c>
      <c r="K26" t="str">
        <f t="shared" si="3"/>
        <v>00023408500K6</v>
      </c>
    </row>
    <row r="27" spans="1:11" x14ac:dyDescent="0.2">
      <c r="A27" s="10" t="s">
        <v>224</v>
      </c>
      <c r="B27" t="s">
        <v>225</v>
      </c>
      <c r="E27" t="str">
        <f t="shared" si="0"/>
        <v>MICHAEL DIPIETRO</v>
      </c>
      <c r="H27" t="s">
        <v>192</v>
      </c>
      <c r="J27" s="13" t="s">
        <v>88</v>
      </c>
      <c r="K27" t="str">
        <f t="shared" si="3"/>
        <v>00023394237K6</v>
      </c>
    </row>
    <row r="28" spans="1:11" x14ac:dyDescent="0.2">
      <c r="A28" s="10" t="s">
        <v>226</v>
      </c>
      <c r="B28" t="s">
        <v>227</v>
      </c>
      <c r="E28" t="str">
        <f t="shared" si="0"/>
        <v>MARIATRINIDAD RINI</v>
      </c>
      <c r="H28" t="s">
        <v>192</v>
      </c>
      <c r="J28" s="13" t="s">
        <v>91</v>
      </c>
      <c r="K28" t="str">
        <f t="shared" si="3"/>
        <v>00023398875K6</v>
      </c>
    </row>
    <row r="29" spans="1:11" x14ac:dyDescent="0.2">
      <c r="A29" s="10" t="s">
        <v>228</v>
      </c>
      <c r="B29" t="s">
        <v>229</v>
      </c>
      <c r="E29" t="str">
        <f t="shared" si="0"/>
        <v>JOHN BONGIORNO</v>
      </c>
      <c r="H29" t="s">
        <v>192</v>
      </c>
      <c r="J29" s="13" t="s">
        <v>96</v>
      </c>
      <c r="K29" t="str">
        <f t="shared" si="3"/>
        <v>00023403315K6</v>
      </c>
    </row>
    <row r="30" spans="1:11" x14ac:dyDescent="0.2">
      <c r="A30" s="6" t="s">
        <v>230</v>
      </c>
      <c r="B30" t="s">
        <v>231</v>
      </c>
      <c r="E30" t="str">
        <f t="shared" si="0"/>
        <v>VAHIK ZOHRABIAN</v>
      </c>
      <c r="H30" t="s">
        <v>186</v>
      </c>
      <c r="J30" s="13" t="s">
        <v>101</v>
      </c>
      <c r="K30" t="str">
        <f>CONCATENATE(J30,9)</f>
        <v>00023406295K9</v>
      </c>
    </row>
    <row r="31" spans="1:11" x14ac:dyDescent="0.2">
      <c r="A31" s="9" t="s">
        <v>232</v>
      </c>
      <c r="B31" t="s">
        <v>233</v>
      </c>
      <c r="E31" t="str">
        <f t="shared" si="0"/>
        <v>JACQUELINE TRAINOR</v>
      </c>
      <c r="H31" t="s">
        <v>189</v>
      </c>
      <c r="J31" s="13" t="s">
        <v>122</v>
      </c>
      <c r="K31" t="str">
        <f>CONCATENATE(J31,8)</f>
        <v>00000106089A8</v>
      </c>
    </row>
    <row r="32" spans="1:11" x14ac:dyDescent="0.2">
      <c r="A32" s="9" t="s">
        <v>234</v>
      </c>
      <c r="B32" t="s">
        <v>235</v>
      </c>
      <c r="E32" t="str">
        <f t="shared" si="0"/>
        <v>GLENN MOOMAU</v>
      </c>
      <c r="H32" t="s">
        <v>190</v>
      </c>
      <c r="J32" s="13" t="s">
        <v>129</v>
      </c>
      <c r="K32" t="str">
        <f t="shared" ref="K32:K36" si="4">CONCATENATE(J32,8)</f>
        <v>00001004315A8</v>
      </c>
    </row>
    <row r="33" spans="1:11" x14ac:dyDescent="0.2">
      <c r="A33" s="9" t="s">
        <v>236</v>
      </c>
      <c r="B33" t="s">
        <v>237</v>
      </c>
      <c r="E33" t="str">
        <f t="shared" si="0"/>
        <v>MAX HOMER</v>
      </c>
      <c r="H33" t="s">
        <v>189</v>
      </c>
      <c r="J33" s="13" t="s">
        <v>134</v>
      </c>
      <c r="K33" t="str">
        <f t="shared" si="4"/>
        <v>00001003900A8</v>
      </c>
    </row>
    <row r="34" spans="1:11" x14ac:dyDescent="0.2">
      <c r="A34" s="9" t="s">
        <v>238</v>
      </c>
      <c r="B34" t="s">
        <v>239</v>
      </c>
      <c r="E34" t="str">
        <f t="shared" si="0"/>
        <v>KENNETH BARNES</v>
      </c>
      <c r="H34" t="s">
        <v>190</v>
      </c>
      <c r="J34" s="13" t="s">
        <v>156</v>
      </c>
      <c r="K34" t="str">
        <f t="shared" si="4"/>
        <v>00001004411A8</v>
      </c>
    </row>
    <row r="35" spans="1:11" x14ac:dyDescent="0.2">
      <c r="A35" s="9" t="s">
        <v>240</v>
      </c>
      <c r="B35" t="s">
        <v>241</v>
      </c>
      <c r="E35" t="str">
        <f t="shared" si="0"/>
        <v>DOLORES MYERS</v>
      </c>
      <c r="H35" t="s">
        <v>191</v>
      </c>
      <c r="J35" s="13" t="s">
        <v>158</v>
      </c>
      <c r="K35" t="str">
        <f t="shared" si="4"/>
        <v>00001004451A8</v>
      </c>
    </row>
    <row r="36" spans="1:11" x14ac:dyDescent="0.2">
      <c r="A36" s="9" t="s">
        <v>242</v>
      </c>
      <c r="B36" t="s">
        <v>243</v>
      </c>
      <c r="E36" t="str">
        <f t="shared" si="0"/>
        <v>CINDY STREID</v>
      </c>
      <c r="H36" t="s">
        <v>190</v>
      </c>
      <c r="J36" s="13" t="s">
        <v>163</v>
      </c>
      <c r="K36" t="str">
        <f t="shared" si="4"/>
        <v>00001004224A8</v>
      </c>
    </row>
    <row r="37" spans="1:11" x14ac:dyDescent="0.2">
      <c r="A37" s="7" t="s">
        <v>244</v>
      </c>
      <c r="B37" t="s">
        <v>245</v>
      </c>
      <c r="E37" t="str">
        <f t="shared" si="0"/>
        <v>Joanna Young</v>
      </c>
      <c r="H37" t="s">
        <v>187</v>
      </c>
      <c r="J37">
        <v>9028406240</v>
      </c>
      <c r="K37" t="str">
        <f t="shared" ref="K37:K42" si="5">CONCATENATE(J37,4)</f>
        <v>90284062404</v>
      </c>
    </row>
    <row r="38" spans="1:11" x14ac:dyDescent="0.2">
      <c r="A38" s="7" t="s">
        <v>246</v>
      </c>
      <c r="B38" t="s">
        <v>247</v>
      </c>
      <c r="E38" t="str">
        <f t="shared" si="0"/>
        <v>Christie Dornbierer</v>
      </c>
      <c r="H38" t="s">
        <v>187</v>
      </c>
      <c r="J38">
        <v>9029611520</v>
      </c>
      <c r="K38" t="str">
        <f t="shared" si="5"/>
        <v>90296115204</v>
      </c>
    </row>
    <row r="39" spans="1:11" x14ac:dyDescent="0.2">
      <c r="A39" s="7" t="s">
        <v>206</v>
      </c>
      <c r="B39" t="s">
        <v>207</v>
      </c>
      <c r="E39" t="str">
        <f t="shared" si="0"/>
        <v>Christopher Ward</v>
      </c>
      <c r="H39" t="s">
        <v>187</v>
      </c>
      <c r="J39">
        <v>9029691920</v>
      </c>
      <c r="K39" t="str">
        <f t="shared" si="5"/>
        <v>90296919204</v>
      </c>
    </row>
    <row r="40" spans="1:11" x14ac:dyDescent="0.2">
      <c r="A40" s="7" t="s">
        <v>248</v>
      </c>
      <c r="B40" t="s">
        <v>249</v>
      </c>
      <c r="E40" t="str">
        <f t="shared" si="0"/>
        <v>Crystal Johnson</v>
      </c>
      <c r="H40" t="s">
        <v>187</v>
      </c>
      <c r="J40">
        <v>9030503940</v>
      </c>
      <c r="K40" t="str">
        <f t="shared" si="5"/>
        <v>90305039404</v>
      </c>
    </row>
    <row r="41" spans="1:11" x14ac:dyDescent="0.2">
      <c r="A41" s="7" t="s">
        <v>250</v>
      </c>
      <c r="B41" t="s">
        <v>251</v>
      </c>
      <c r="E41" t="str">
        <f t="shared" si="0"/>
        <v>Joseph Benassi</v>
      </c>
      <c r="H41" t="s">
        <v>187</v>
      </c>
      <c r="J41">
        <v>9030504200</v>
      </c>
      <c r="K41" t="str">
        <f t="shared" si="5"/>
        <v>90305042004</v>
      </c>
    </row>
    <row r="42" spans="1:11" x14ac:dyDescent="0.2">
      <c r="A42" s="7" t="s">
        <v>252</v>
      </c>
      <c r="B42" t="s">
        <v>253</v>
      </c>
      <c r="E42" t="str">
        <f t="shared" si="0"/>
        <v>Beth Hudock</v>
      </c>
      <c r="H42" t="s">
        <v>187</v>
      </c>
      <c r="J42">
        <v>9030645400</v>
      </c>
      <c r="K42" t="str">
        <f t="shared" si="5"/>
        <v>90306454004</v>
      </c>
    </row>
    <row r="43" spans="1:11" x14ac:dyDescent="0.2">
      <c r="A43" s="8" t="s">
        <v>202</v>
      </c>
      <c r="B43" t="s">
        <v>203</v>
      </c>
      <c r="C43" t="s">
        <v>204</v>
      </c>
      <c r="D43" t="s">
        <v>205</v>
      </c>
      <c r="E43" t="str">
        <f t="shared" si="0"/>
        <v>CAPITAL NC</v>
      </c>
      <c r="H43" t="s">
        <v>188</v>
      </c>
      <c r="J43">
        <v>413180</v>
      </c>
      <c r="K43" t="str">
        <f t="shared" ref="K43:K44" si="6">CONCATENATE(J43,7)</f>
        <v>4131807</v>
      </c>
    </row>
    <row r="44" spans="1:11" x14ac:dyDescent="0.2">
      <c r="A44" s="8" t="s">
        <v>202</v>
      </c>
      <c r="B44" t="s">
        <v>203</v>
      </c>
      <c r="C44" t="s">
        <v>204</v>
      </c>
      <c r="D44" t="s">
        <v>205</v>
      </c>
      <c r="E44" t="str">
        <f t="shared" si="0"/>
        <v>CAPITAL NC</v>
      </c>
      <c r="H44" t="s">
        <v>188</v>
      </c>
      <c r="J44">
        <v>413180</v>
      </c>
      <c r="K44" t="str">
        <f t="shared" si="6"/>
        <v>4131807</v>
      </c>
    </row>
    <row r="45" spans="1:11" x14ac:dyDescent="0.2">
      <c r="A45" s="7" t="s">
        <v>254</v>
      </c>
      <c r="B45" t="s">
        <v>255</v>
      </c>
      <c r="E45" t="str">
        <f t="shared" si="0"/>
        <v>Ron Ferris</v>
      </c>
      <c r="H45" t="s">
        <v>187</v>
      </c>
      <c r="J45">
        <v>9030645140</v>
      </c>
      <c r="K45" t="str">
        <f t="shared" ref="K45:K54" si="7">CONCATENATE(J45,4)</f>
        <v>90306451404</v>
      </c>
    </row>
    <row r="46" spans="1:11" x14ac:dyDescent="0.2">
      <c r="A46" s="7" t="s">
        <v>248</v>
      </c>
      <c r="B46" t="s">
        <v>256</v>
      </c>
      <c r="E46" t="str">
        <f t="shared" si="0"/>
        <v>Eric Johnson</v>
      </c>
      <c r="H46" t="s">
        <v>187</v>
      </c>
      <c r="J46">
        <v>9030645550</v>
      </c>
      <c r="K46" t="str">
        <f t="shared" si="7"/>
        <v>90306455504</v>
      </c>
    </row>
    <row r="47" spans="1:11" x14ac:dyDescent="0.2">
      <c r="A47" s="7" t="s">
        <v>257</v>
      </c>
      <c r="B47" t="s">
        <v>258</v>
      </c>
      <c r="E47" t="str">
        <f t="shared" si="0"/>
        <v>Victoria Shirkey</v>
      </c>
      <c r="H47" t="s">
        <v>187</v>
      </c>
      <c r="J47">
        <v>9030645560</v>
      </c>
      <c r="K47" t="str">
        <f t="shared" si="7"/>
        <v>90306455604</v>
      </c>
    </row>
    <row r="48" spans="1:11" x14ac:dyDescent="0.2">
      <c r="A48" s="7" t="s">
        <v>259</v>
      </c>
      <c r="B48" t="s">
        <v>260</v>
      </c>
      <c r="E48" t="str">
        <f t="shared" si="0"/>
        <v>Thomas Thompson</v>
      </c>
      <c r="H48" t="s">
        <v>187</v>
      </c>
      <c r="J48">
        <v>9030651770</v>
      </c>
      <c r="K48" t="str">
        <f t="shared" si="7"/>
        <v>90306517704</v>
      </c>
    </row>
    <row r="49" spans="1:11" x14ac:dyDescent="0.2">
      <c r="A49" s="7" t="s">
        <v>261</v>
      </c>
      <c r="B49" t="s">
        <v>262</v>
      </c>
      <c r="E49" t="str">
        <f t="shared" si="0"/>
        <v>Nancy Dauer</v>
      </c>
      <c r="H49" t="s">
        <v>187</v>
      </c>
      <c r="J49">
        <v>9030652040</v>
      </c>
      <c r="K49" t="str">
        <f t="shared" si="7"/>
        <v>90306520404</v>
      </c>
    </row>
    <row r="50" spans="1:11" x14ac:dyDescent="0.2">
      <c r="A50" s="7" t="s">
        <v>263</v>
      </c>
      <c r="B50" t="s">
        <v>264</v>
      </c>
      <c r="E50" t="str">
        <f t="shared" si="0"/>
        <v>John Sciutto</v>
      </c>
      <c r="H50" t="s">
        <v>187</v>
      </c>
      <c r="J50">
        <v>9030652540</v>
      </c>
      <c r="K50" t="str">
        <f t="shared" si="7"/>
        <v>90306525404</v>
      </c>
    </row>
    <row r="51" spans="1:11" x14ac:dyDescent="0.2">
      <c r="A51" s="7" t="s">
        <v>265</v>
      </c>
      <c r="B51" t="s">
        <v>266</v>
      </c>
      <c r="E51" t="str">
        <f t="shared" si="0"/>
        <v>Cheryl Simmons-Hutson</v>
      </c>
      <c r="H51" t="s">
        <v>187</v>
      </c>
      <c r="J51">
        <v>9030675550</v>
      </c>
      <c r="K51" t="str">
        <f t="shared" si="7"/>
        <v>90306755504</v>
      </c>
    </row>
    <row r="52" spans="1:11" x14ac:dyDescent="0.2">
      <c r="A52" s="7" t="s">
        <v>267</v>
      </c>
      <c r="B52" t="s">
        <v>268</v>
      </c>
      <c r="E52" t="str">
        <f t="shared" si="0"/>
        <v>Massimo Ferrari</v>
      </c>
      <c r="H52" t="s">
        <v>187</v>
      </c>
      <c r="J52">
        <v>9030047190</v>
      </c>
      <c r="K52" t="str">
        <f t="shared" si="7"/>
        <v>90300471904</v>
      </c>
    </row>
    <row r="53" spans="1:11" x14ac:dyDescent="0.2">
      <c r="A53" s="7" t="s">
        <v>269</v>
      </c>
      <c r="B53" t="s">
        <v>270</v>
      </c>
      <c r="E53" t="str">
        <f t="shared" si="0"/>
        <v>Patrick Breedy</v>
      </c>
      <c r="H53" t="s">
        <v>187</v>
      </c>
      <c r="J53">
        <v>9030450680</v>
      </c>
      <c r="K53" t="str">
        <f t="shared" si="7"/>
        <v>90304506804</v>
      </c>
    </row>
    <row r="54" spans="1:11" x14ac:dyDescent="0.2">
      <c r="A54" s="7" t="s">
        <v>271</v>
      </c>
      <c r="B54" t="s">
        <v>272</v>
      </c>
      <c r="E54" t="str">
        <f t="shared" si="0"/>
        <v>Amer Sajed</v>
      </c>
      <c r="H54" t="s">
        <v>187</v>
      </c>
      <c r="J54">
        <v>9030658860</v>
      </c>
      <c r="K54" t="str">
        <f t="shared" si="7"/>
        <v>90306588604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2025-06-12T17:38:11Z</dcterms:created>
  <dcterms:modified xsi:type="dcterms:W3CDTF">2025-06-16T19:40:13Z</dcterms:modified>
</cp:coreProperties>
</file>