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umana MAPD/2025/1-22-25/"/>
    </mc:Choice>
  </mc:AlternateContent>
  <xr:revisionPtr revIDLastSave="0" documentId="13_ncr:1_{EF4ABE14-DF2C-4B49-9CF8-541A04C8F26B}" xr6:coauthVersionLast="47" xr6:coauthVersionMax="47" xr10:uidLastSave="{00000000-0000-0000-0000-000000000000}"/>
  <bookViews>
    <workbookView xWindow="0" yWindow="500" windowWidth="19200" windowHeight="19360" activeTab="1" xr2:uid="{E3568496-3ECC-BB4B-ACD5-223364ED7D62}"/>
  </bookViews>
  <sheets>
    <sheet name="CommissionData_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" i="2"/>
  <c r="E32" i="2"/>
  <c r="E31" i="2"/>
  <c r="E2" i="2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1" i="3"/>
</calcChain>
</file>

<file path=xl/sharedStrings.xml><?xml version="1.0" encoding="utf-8"?>
<sst xmlns="http://schemas.openxmlformats.org/spreadsheetml/2006/main" count="1294" uniqueCount="260">
  <si>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</si>
  <si>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</si>
  <si>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</si>
  <si>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</si>
  <si>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</si>
  <si>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</si>
  <si>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</si>
  <si>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</si>
  <si>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</si>
  <si>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</si>
  <si>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</si>
  <si>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</si>
  <si>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</si>
  <si>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</si>
  <si>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</si>
  <si>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</si>
  <si>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</si>
  <si>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</si>
  <si>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</si>
  <si>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</si>
  <si>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</si>
  <si>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</si>
  <si>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</si>
  <si>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</si>
  <si>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</si>
  <si>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</si>
  <si>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</si>
  <si>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</si>
  <si>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</si>
  <si>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</si>
  <si>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</si>
  <si>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</si>
  <si>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</si>
  <si>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</si>
  <si>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</si>
  <si>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</si>
  <si>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</si>
  <si>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</si>
  <si>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</si>
  <si>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</si>
  <si>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</si>
  <si>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</si>
  <si>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CHOI ANDREW J</t>
  </si>
  <si>
    <t>LOVE MAXINE L</t>
  </si>
  <si>
    <t>00022417706K</t>
  </si>
  <si>
    <t>7HV0NV9EC36</t>
  </si>
  <si>
    <t/>
  </si>
  <si>
    <t>MA</t>
  </si>
  <si>
    <t>LV</t>
  </si>
  <si>
    <t>FEB</t>
  </si>
  <si>
    <t>F</t>
  </si>
  <si>
    <t>MEDICARE</t>
  </si>
  <si>
    <t>MEP</t>
  </si>
  <si>
    <t>FIRST YEAR COMMISSIONS</t>
  </si>
  <si>
    <t>ARCF</t>
  </si>
  <si>
    <t>H5216</t>
  </si>
  <si>
    <t>LOVE MICHAEL D</t>
  </si>
  <si>
    <t>00022478097K</t>
  </si>
  <si>
    <t>5FK8QV6EP50</t>
  </si>
  <si>
    <t>CONNERY DENNIS J</t>
  </si>
  <si>
    <t>00023018904K</t>
  </si>
  <si>
    <t>6ET2N74JQ15</t>
  </si>
  <si>
    <t>TEIPEL GREGORY K</t>
  </si>
  <si>
    <t>WEAVER WAYNE E</t>
  </si>
  <si>
    <t>00023005723K</t>
  </si>
  <si>
    <t>3DE6MW2HV50</t>
  </si>
  <si>
    <t>HUNSBERGER ANTHONY J</t>
  </si>
  <si>
    <t>JABLONSKIS LINAS L</t>
  </si>
  <si>
    <t>00018587911K</t>
  </si>
  <si>
    <t>6AA9JQ1CU34</t>
  </si>
  <si>
    <t>JABLONSKIS FELICIJA</t>
  </si>
  <si>
    <t>00020653240K</t>
  </si>
  <si>
    <t>3XG7KH0RN44</t>
  </si>
  <si>
    <t>LAWRENCE GAY E</t>
  </si>
  <si>
    <t>00022600289K</t>
  </si>
  <si>
    <t>6F59UT8VC25</t>
  </si>
  <si>
    <t>JAN</t>
  </si>
  <si>
    <t>MEDICARE 2ND HALF FIRST YEAR COMM</t>
  </si>
  <si>
    <t>MED2</t>
  </si>
  <si>
    <t>BRAY SYLVIA S</t>
  </si>
  <si>
    <t>00023007910K</t>
  </si>
  <si>
    <t>7RM0VK3PG23</t>
  </si>
  <si>
    <t>YALE RICHARD A A</t>
  </si>
  <si>
    <t>RUELOS HEIDI D</t>
  </si>
  <si>
    <t>00008587923K</t>
  </si>
  <si>
    <t>8WY1YT8RP20</t>
  </si>
  <si>
    <t>MER</t>
  </si>
  <si>
    <t>H1468</t>
  </si>
  <si>
    <t>MAISLINGER VIDOSAVA V</t>
  </si>
  <si>
    <t>00010438260K</t>
  </si>
  <si>
    <t>8VY5EE0YY67</t>
  </si>
  <si>
    <t>TRAUSCH PHILIP W</t>
  </si>
  <si>
    <t>00015921491K</t>
  </si>
  <si>
    <t>6QR5P10XJ59</t>
  </si>
  <si>
    <t>TRAUSCH CYNTHIA A</t>
  </si>
  <si>
    <t>00019388448K</t>
  </si>
  <si>
    <t>4RR5JF6GV58</t>
  </si>
  <si>
    <t>KUCAN THOMAS</t>
  </si>
  <si>
    <t>RICE DEBBIE H</t>
  </si>
  <si>
    <t>00023018094K</t>
  </si>
  <si>
    <t>3AX6F32XF61</t>
  </si>
  <si>
    <t>MAR</t>
  </si>
  <si>
    <t>PDP</t>
  </si>
  <si>
    <t>S5884</t>
  </si>
  <si>
    <t>DRAPAC STEPHANIE E</t>
  </si>
  <si>
    <t>LEIGH LINDA G</t>
  </si>
  <si>
    <t>00021097913K</t>
  </si>
  <si>
    <t>7VD9P19TP22</t>
  </si>
  <si>
    <t>HERRERA-LARSEN ESTHER M</t>
  </si>
  <si>
    <t>HERRON YOLANDA</t>
  </si>
  <si>
    <t>00018776777K</t>
  </si>
  <si>
    <t>1J70EY7CM25</t>
  </si>
  <si>
    <t>FOLEY CAROL</t>
  </si>
  <si>
    <t>RODRIGUEZ SANDRA</t>
  </si>
  <si>
    <t>00021249134K</t>
  </si>
  <si>
    <t>3UT8RU5AR46</t>
  </si>
  <si>
    <t>KNOWLES KAREN A</t>
  </si>
  <si>
    <t>00023014557K</t>
  </si>
  <si>
    <t>7V96DK4WV44</t>
  </si>
  <si>
    <t>SEGERMEISTER MINDY A</t>
  </si>
  <si>
    <t>00023014721K</t>
  </si>
  <si>
    <t>1DJ9G48VQ10</t>
  </si>
  <si>
    <t>PORTUGAL GARY</t>
  </si>
  <si>
    <t>CASTELLANO RICARDO</t>
  </si>
  <si>
    <t>00002268815K</t>
  </si>
  <si>
    <t>5GJ2TP4UA86</t>
  </si>
  <si>
    <t>DOWNS VICKY S</t>
  </si>
  <si>
    <t>00012290150K</t>
  </si>
  <si>
    <t>2FP3FK3DQ11</t>
  </si>
  <si>
    <t>REYES MARGUERITE E</t>
  </si>
  <si>
    <t>00019550503K</t>
  </si>
  <si>
    <t>1RU0TU3TR17</t>
  </si>
  <si>
    <t>YALE JACOB D</t>
  </si>
  <si>
    <t>TROTOCHAUD MICHAEL D</t>
  </si>
  <si>
    <t>00019892298K</t>
  </si>
  <si>
    <t>3ME3UC8GC92</t>
  </si>
  <si>
    <t>SCHUMANN BARRY L</t>
  </si>
  <si>
    <t>SCHAEFFER ANDREW L</t>
  </si>
  <si>
    <t>00022799835K</t>
  </si>
  <si>
    <t>6CU0FG3TU19</t>
  </si>
  <si>
    <t>TAUGNER CHRISTIAN</t>
  </si>
  <si>
    <t>GILBERT CHERYL L</t>
  </si>
  <si>
    <t>00023000108K</t>
  </si>
  <si>
    <t>3GR1ME2UT96</t>
  </si>
  <si>
    <t>H1036</t>
  </si>
  <si>
    <t>DUNAVANT MICHAEL</t>
  </si>
  <si>
    <t>ANDREWS DARRELL A</t>
  </si>
  <si>
    <t>00019371558K</t>
  </si>
  <si>
    <t>7C23YD6WJ60</t>
  </si>
  <si>
    <t>PORTUGAL STACEY A</t>
  </si>
  <si>
    <t>COMOLLI DAVID M</t>
  </si>
  <si>
    <t>00023011457K</t>
  </si>
  <si>
    <t>6PH4P88EK92</t>
  </si>
  <si>
    <t>DEATON PAMELA S</t>
  </si>
  <si>
    <t>Elliott Joseph</t>
  </si>
  <si>
    <t>9028205190</t>
  </si>
  <si>
    <t>IN</t>
  </si>
  <si>
    <t>CB</t>
  </si>
  <si>
    <t>R</t>
  </si>
  <si>
    <t>VISION</t>
  </si>
  <si>
    <t>COMPBENEFITS RENEWAL COMMISSION</t>
  </si>
  <si>
    <t>CRCM</t>
  </si>
  <si>
    <t>Grychowski Jerry</t>
  </si>
  <si>
    <t>9007596540</t>
  </si>
  <si>
    <t>DENTAL</t>
  </si>
  <si>
    <t>HOFFMANN JASON R</t>
  </si>
  <si>
    <t>Gerber Elliot</t>
  </si>
  <si>
    <t>0654656220</t>
  </si>
  <si>
    <t>COMPBENEFITS FIRST YEAR COMMISSION</t>
  </si>
  <si>
    <t>CRCF</t>
  </si>
  <si>
    <t>18828278SUB2</t>
  </si>
  <si>
    <t>LOVE</t>
  </si>
  <si>
    <t>MAXINE</t>
  </si>
  <si>
    <t>MICHAEL</t>
  </si>
  <si>
    <t>CONNERY</t>
  </si>
  <si>
    <t>DENNIS</t>
  </si>
  <si>
    <t>Elliott</t>
  </si>
  <si>
    <t>Joseph</t>
  </si>
  <si>
    <t>LEIGH</t>
  </si>
  <si>
    <t>LINDA</t>
  </si>
  <si>
    <t>ANDREWS</t>
  </si>
  <si>
    <t>DARRELL</t>
  </si>
  <si>
    <t>RODRIGUEZ</t>
  </si>
  <si>
    <t>SANDRA</t>
  </si>
  <si>
    <t>KNOWLES</t>
  </si>
  <si>
    <t>KAREN</t>
  </si>
  <si>
    <t>SEGERMEISTER</t>
  </si>
  <si>
    <t>MINDY</t>
  </si>
  <si>
    <t>HERRON</t>
  </si>
  <si>
    <t>YOLANDA</t>
  </si>
  <si>
    <t>Gerber</t>
  </si>
  <si>
    <t>Elliot</t>
  </si>
  <si>
    <t>JABLONSKIS</t>
  </si>
  <si>
    <t>LINAS</t>
  </si>
  <si>
    <t>FELICIJA</t>
  </si>
  <si>
    <t>LAWRENCE</t>
  </si>
  <si>
    <t>GAY</t>
  </si>
  <si>
    <t>BRAY</t>
  </si>
  <si>
    <t>SYLVIA</t>
  </si>
  <si>
    <t>Grychowski</t>
  </si>
  <si>
    <t>Jerry</t>
  </si>
  <si>
    <t>RICE</t>
  </si>
  <si>
    <t>DEBBIE</t>
  </si>
  <si>
    <t>CASTELLANO</t>
  </si>
  <si>
    <t>RICARDO</t>
  </si>
  <si>
    <t>DOWNS</t>
  </si>
  <si>
    <t>VICKY</t>
  </si>
  <si>
    <t>REYES</t>
  </si>
  <si>
    <t>MARGUERITE</t>
  </si>
  <si>
    <t>COMOLLI</t>
  </si>
  <si>
    <t>DAVID</t>
  </si>
  <si>
    <t>SCHAEFFER</t>
  </si>
  <si>
    <t>ANDREW</t>
  </si>
  <si>
    <t>GILBERT</t>
  </si>
  <si>
    <t>CHERYL</t>
  </si>
  <si>
    <t>WEAVER</t>
  </si>
  <si>
    <t>WAYNE</t>
  </si>
  <si>
    <t>TROTOCHAUD</t>
  </si>
  <si>
    <t>RUELOS</t>
  </si>
  <si>
    <t>HEIDI</t>
  </si>
  <si>
    <t>MAISLINGER</t>
  </si>
  <si>
    <t>VIDOSAVA</t>
  </si>
  <si>
    <t>TRAUSCH</t>
  </si>
  <si>
    <t>PHILIP</t>
  </si>
  <si>
    <t>CYNTHIA</t>
  </si>
  <si>
    <t>MAXINE LOVE</t>
  </si>
  <si>
    <t>MICHAEL LOVE</t>
  </si>
  <si>
    <t>DENNIS CONNERY</t>
  </si>
  <si>
    <t>Joseph Elliott</t>
  </si>
  <si>
    <t>LINDA LEIGH</t>
  </si>
  <si>
    <t>DARRELL ANDREWS</t>
  </si>
  <si>
    <t>SANDRA RODRIGUEZ</t>
  </si>
  <si>
    <t>KAREN KNOWLES</t>
  </si>
  <si>
    <t>MINDY SEGERMEISTER</t>
  </si>
  <si>
    <t>YOLANDA HERRON</t>
  </si>
  <si>
    <t>Elliot Gerber</t>
  </si>
  <si>
    <t>LINAS JABLONSKIS</t>
  </si>
  <si>
    <t>FELICIJA JABLONSKIS</t>
  </si>
  <si>
    <t>GAY LAWRENCE</t>
  </si>
  <si>
    <t>SYLVIA BRAY</t>
  </si>
  <si>
    <t>Jerry Grychowski</t>
  </si>
  <si>
    <t>DEBBIE RICE</t>
  </si>
  <si>
    <t>RICARDO CASTELLANO</t>
  </si>
  <si>
    <t>VICKY DOWNS</t>
  </si>
  <si>
    <t>MARGUERITE REYES</t>
  </si>
  <si>
    <t>DAVID COMOLLI</t>
  </si>
  <si>
    <t>ANDREW SCHAEFFER</t>
  </si>
  <si>
    <t>CHERYL GILBERT</t>
  </si>
  <si>
    <t>WAYNE WEAVER</t>
  </si>
  <si>
    <t>MICHAEL TROTOCHAUD</t>
  </si>
  <si>
    <t>HEIDI RUELOS</t>
  </si>
  <si>
    <t>VIDOSAVA MAISLINGER</t>
  </si>
  <si>
    <t>PHILIP TRAUSCH</t>
  </si>
  <si>
    <t>CYNTHIA TRAUSCH</t>
  </si>
  <si>
    <t>Humana Dental &amp; Vision</t>
  </si>
  <si>
    <t>Humana 2025*</t>
  </si>
  <si>
    <t>[%/$=313][prorate=12/12]</t>
  </si>
  <si>
    <t>[%/$=313][prorate=11/12]</t>
  </si>
  <si>
    <t>Humana PDP 2025!</t>
  </si>
  <si>
    <t>[%/$=313][prorate=10/12]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</si>
</sst>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2" fontId="18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left" vertical="top"/>
    </xf>
    <xf numFmtId="0" fontId="20" fillId="0" borderId="0" xfId="0" applyFont="1"/>
    <xf numFmtId="49" fontId="0" fillId="33" borderId="0" xfId="0" applyNumberForma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0" fontId="0" fillId="33" borderId="0" xfId="0" applyFill="1" applyAlignment="1">
      <alignment horizontal="left" vertical="top"/>
    </xf>
    <xf numFmtId="2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1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46CC-2C14-B747-9731-5B130066379B}">
  <dimension ref="A1:AP32"/>
  <sheetViews>
    <sheetView topLeftCell="P1" workbookViewId="0">
      <selection activeCell="P1" sqref="A1:XFD1048576"/>
    </sheetView>
  </sheetViews>
  <sheetFormatPr baseColWidth="10" defaultRowHeight="13" x14ac:dyDescent="0.15"/>
  <cols>
    <col min="1" max="1" width="8.1640625" bestFit="1" customWidth="1"/>
    <col min="2" max="2" width="11" bestFit="1" customWidth="1"/>
    <col min="3" max="3" width="21.6640625" bestFit="1" customWidth="1"/>
    <col min="4" max="4" width="8.1640625" bestFit="1" customWidth="1"/>
    <col min="5" max="5" width="25" bestFit="1" customWidth="1"/>
    <col min="6" max="6" width="11.6640625" bestFit="1" customWidth="1"/>
    <col min="7" max="7" width="11" bestFit="1" customWidth="1"/>
    <col min="8" max="8" width="9.1640625" bestFit="1" customWidth="1"/>
    <col min="9" max="10" width="8.33203125" bestFit="1" customWidth="1"/>
    <col min="11" max="11" width="9.1640625" bestFit="1" customWidth="1"/>
    <col min="12" max="12" width="10.1640625" bestFit="1" customWidth="1"/>
    <col min="13" max="14" width="10" bestFit="1" customWidth="1"/>
    <col min="15" max="16" width="9.1640625" bestFit="1" customWidth="1"/>
    <col min="17" max="17" width="5.1640625" bestFit="1" customWidth="1"/>
    <col min="18" max="18" width="13.5" bestFit="1" customWidth="1"/>
    <col min="19" max="20" width="13.33203125" bestFit="1" customWidth="1"/>
    <col min="21" max="21" width="10" bestFit="1" customWidth="1"/>
    <col min="22" max="22" width="12.1640625" bestFit="1" customWidth="1"/>
    <col min="23" max="23" width="8.5" bestFit="1" customWidth="1"/>
    <col min="24" max="24" width="11" bestFit="1" customWidth="1"/>
    <col min="25" max="25" width="13.5" bestFit="1" customWidth="1"/>
    <col min="26" max="26" width="12" bestFit="1" customWidth="1"/>
    <col min="27" max="27" width="26.6640625" bestFit="1" customWidth="1"/>
    <col min="28" max="28" width="10" bestFit="1" customWidth="1"/>
    <col min="29" max="29" width="11" bestFit="1" customWidth="1"/>
    <col min="30" max="30" width="9.5" bestFit="1" customWidth="1"/>
    <col min="31" max="31" width="8.5" bestFit="1" customWidth="1"/>
    <col min="32" max="32" width="12.1640625" bestFit="1" customWidth="1"/>
    <col min="33" max="33" width="11.6640625" bestFit="1" customWidth="1"/>
    <col min="34" max="34" width="25" bestFit="1" customWidth="1"/>
    <col min="35" max="35" width="11.6640625" bestFit="1" customWidth="1"/>
    <col min="36" max="36" width="14.1640625" bestFit="1" customWidth="1"/>
    <col min="37" max="37" width="14" bestFit="1" customWidth="1"/>
    <col min="38" max="38" width="13.83203125" bestFit="1" customWidth="1"/>
    <col min="39" max="39" width="10" bestFit="1" customWidth="1"/>
  </cols>
  <sheetData>
    <row r="1" spans="1:4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15">
      <c r="A2" s="2">
        <v>1891456</v>
      </c>
      <c r="B2" s="3">
        <v>45679</v>
      </c>
      <c r="C2" s="4" t="s">
        <v>42</v>
      </c>
      <c r="D2" s="2">
        <v>1466196</v>
      </c>
      <c r="E2" s="4" t="s">
        <v>43</v>
      </c>
      <c r="F2" s="4" t="s">
        <v>44</v>
      </c>
      <c r="G2" s="2">
        <v>200498124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45689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0.92</v>
      </c>
      <c r="W2" s="5">
        <v>0</v>
      </c>
      <c r="X2" s="5">
        <v>100</v>
      </c>
      <c r="Y2" s="5">
        <v>286.92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45689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15">
      <c r="A3" s="2">
        <v>1891456</v>
      </c>
      <c r="B3" s="3">
        <v>45679</v>
      </c>
      <c r="C3" s="4" t="s">
        <v>42</v>
      </c>
      <c r="D3" s="2">
        <v>1466196</v>
      </c>
      <c r="E3" s="4" t="s">
        <v>56</v>
      </c>
      <c r="F3" s="4" t="s">
        <v>57</v>
      </c>
      <c r="G3" s="2">
        <v>709115104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45689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0.92</v>
      </c>
      <c r="W3" s="5">
        <v>0</v>
      </c>
      <c r="X3" s="5">
        <v>100</v>
      </c>
      <c r="Y3" s="5">
        <v>286.92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45689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15">
      <c r="A4" s="2">
        <v>1891456</v>
      </c>
      <c r="B4" s="3">
        <v>45679</v>
      </c>
      <c r="C4" s="4" t="s">
        <v>42</v>
      </c>
      <c r="D4" s="2">
        <v>1466196</v>
      </c>
      <c r="E4" s="4" t="s">
        <v>59</v>
      </c>
      <c r="F4" s="4" t="s">
        <v>60</v>
      </c>
      <c r="G4" s="2">
        <v>550621481</v>
      </c>
      <c r="H4" s="4" t="s">
        <v>61</v>
      </c>
      <c r="I4" s="4" t="s">
        <v>46</v>
      </c>
      <c r="J4" s="4" t="s">
        <v>47</v>
      </c>
      <c r="K4" s="4" t="s">
        <v>48</v>
      </c>
      <c r="L4" s="3">
        <v>45689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0.92</v>
      </c>
      <c r="W4" s="5">
        <v>0</v>
      </c>
      <c r="X4" s="5">
        <v>100</v>
      </c>
      <c r="Y4" s="5">
        <v>286.92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45689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15">
      <c r="A5" s="2">
        <v>1891456</v>
      </c>
      <c r="B5" s="3">
        <v>45679</v>
      </c>
      <c r="C5" s="4" t="s">
        <v>62</v>
      </c>
      <c r="D5" s="2">
        <v>1509770</v>
      </c>
      <c r="E5" s="4" t="s">
        <v>63</v>
      </c>
      <c r="F5" s="4" t="s">
        <v>64</v>
      </c>
      <c r="G5" s="2">
        <v>601365394</v>
      </c>
      <c r="H5" s="4" t="s">
        <v>65</v>
      </c>
      <c r="I5" s="4" t="s">
        <v>46</v>
      </c>
      <c r="J5" s="4" t="s">
        <v>47</v>
      </c>
      <c r="K5" s="4" t="s">
        <v>48</v>
      </c>
      <c r="L5" s="3">
        <v>45689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0.92</v>
      </c>
      <c r="W5" s="5">
        <v>0</v>
      </c>
      <c r="X5" s="5">
        <v>100</v>
      </c>
      <c r="Y5" s="5">
        <v>286.92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45689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15">
      <c r="A6" s="2">
        <v>1891456</v>
      </c>
      <c r="B6" s="3">
        <v>45679</v>
      </c>
      <c r="C6" s="4" t="s">
        <v>66</v>
      </c>
      <c r="D6" s="2">
        <v>1510420</v>
      </c>
      <c r="E6" s="4" t="s">
        <v>67</v>
      </c>
      <c r="F6" s="4" t="s">
        <v>68</v>
      </c>
      <c r="G6" s="2">
        <v>264989034</v>
      </c>
      <c r="H6" s="4" t="s">
        <v>69</v>
      </c>
      <c r="I6" s="4" t="s">
        <v>46</v>
      </c>
      <c r="J6" s="4" t="s">
        <v>47</v>
      </c>
      <c r="K6" s="4" t="s">
        <v>48</v>
      </c>
      <c r="L6" s="3">
        <v>45689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0.92</v>
      </c>
      <c r="W6" s="5">
        <v>0</v>
      </c>
      <c r="X6" s="5">
        <v>100</v>
      </c>
      <c r="Y6" s="5">
        <v>286.92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45689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15">
      <c r="A7" s="2">
        <v>1891456</v>
      </c>
      <c r="B7" s="3">
        <v>45679</v>
      </c>
      <c r="C7" s="4" t="s">
        <v>66</v>
      </c>
      <c r="D7" s="2">
        <v>1510420</v>
      </c>
      <c r="E7" s="4" t="s">
        <v>70</v>
      </c>
      <c r="F7" s="4" t="s">
        <v>71</v>
      </c>
      <c r="G7" s="2">
        <v>311290513</v>
      </c>
      <c r="H7" s="4" t="s">
        <v>72</v>
      </c>
      <c r="I7" s="4" t="s">
        <v>46</v>
      </c>
      <c r="J7" s="4" t="s">
        <v>47</v>
      </c>
      <c r="K7" s="4" t="s">
        <v>48</v>
      </c>
      <c r="L7" s="3">
        <v>45689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0.92</v>
      </c>
      <c r="W7" s="5">
        <v>0</v>
      </c>
      <c r="X7" s="5">
        <v>100</v>
      </c>
      <c r="Y7" s="5">
        <v>286.92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45689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15">
      <c r="A8" s="2">
        <v>1891456</v>
      </c>
      <c r="B8" s="3">
        <v>45679</v>
      </c>
      <c r="C8" s="4" t="s">
        <v>66</v>
      </c>
      <c r="D8" s="2">
        <v>1510420</v>
      </c>
      <c r="E8" s="4" t="s">
        <v>73</v>
      </c>
      <c r="F8" s="4" t="s">
        <v>74</v>
      </c>
      <c r="G8" s="2">
        <v>945787461</v>
      </c>
      <c r="H8" s="4" t="s">
        <v>75</v>
      </c>
      <c r="I8" s="4" t="s">
        <v>46</v>
      </c>
      <c r="J8" s="4" t="s">
        <v>47</v>
      </c>
      <c r="K8" s="4" t="s">
        <v>48</v>
      </c>
      <c r="L8" s="3">
        <v>45658</v>
      </c>
      <c r="M8" s="4" t="s">
        <v>76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</v>
      </c>
      <c r="W8" s="5">
        <v>0</v>
      </c>
      <c r="X8" s="5">
        <v>100</v>
      </c>
      <c r="Y8" s="5">
        <v>-286.91000000000003</v>
      </c>
      <c r="Z8" s="4" t="s">
        <v>46</v>
      </c>
      <c r="AA8" s="5" t="s">
        <v>46</v>
      </c>
      <c r="AB8" s="4" t="s">
        <v>77</v>
      </c>
      <c r="AC8" s="4" t="s">
        <v>46</v>
      </c>
      <c r="AD8" s="5">
        <v>0</v>
      </c>
      <c r="AE8" s="4" t="s">
        <v>78</v>
      </c>
      <c r="AF8" s="3">
        <v>45658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15">
      <c r="A9" s="2">
        <v>1891456</v>
      </c>
      <c r="B9" s="3">
        <v>45679</v>
      </c>
      <c r="C9" s="4" t="s">
        <v>66</v>
      </c>
      <c r="D9" s="2">
        <v>1510420</v>
      </c>
      <c r="E9" s="4" t="s">
        <v>73</v>
      </c>
      <c r="F9" s="4" t="s">
        <v>74</v>
      </c>
      <c r="G9" s="2">
        <v>945787461</v>
      </c>
      <c r="H9" s="4" t="s">
        <v>75</v>
      </c>
      <c r="I9" s="4" t="s">
        <v>46</v>
      </c>
      <c r="J9" s="4" t="s">
        <v>47</v>
      </c>
      <c r="K9" s="4" t="s">
        <v>48</v>
      </c>
      <c r="L9" s="3">
        <v>45658</v>
      </c>
      <c r="M9" s="4" t="s">
        <v>76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-0.92</v>
      </c>
      <c r="W9" s="5">
        <v>0</v>
      </c>
      <c r="X9" s="5">
        <v>100</v>
      </c>
      <c r="Y9" s="5">
        <v>-286.92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45658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15">
      <c r="A10" s="2">
        <v>1891456</v>
      </c>
      <c r="B10" s="3">
        <v>45679</v>
      </c>
      <c r="C10" s="4" t="s">
        <v>66</v>
      </c>
      <c r="D10" s="2">
        <v>1510420</v>
      </c>
      <c r="E10" s="4" t="s">
        <v>79</v>
      </c>
      <c r="F10" s="4" t="s">
        <v>80</v>
      </c>
      <c r="G10" s="2">
        <v>64206294</v>
      </c>
      <c r="H10" s="4" t="s">
        <v>81</v>
      </c>
      <c r="I10" s="4" t="s">
        <v>46</v>
      </c>
      <c r="J10" s="4" t="s">
        <v>47</v>
      </c>
      <c r="K10" s="4" t="s">
        <v>48</v>
      </c>
      <c r="L10" s="3">
        <v>45689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0.92</v>
      </c>
      <c r="W10" s="5">
        <v>0</v>
      </c>
      <c r="X10" s="5">
        <v>100</v>
      </c>
      <c r="Y10" s="5">
        <v>286.92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45689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15">
      <c r="A11" s="2">
        <v>1891456</v>
      </c>
      <c r="B11" s="3">
        <v>45679</v>
      </c>
      <c r="C11" s="4" t="s">
        <v>82</v>
      </c>
      <c r="D11" s="2">
        <v>1573279</v>
      </c>
      <c r="E11" s="4" t="s">
        <v>83</v>
      </c>
      <c r="F11" s="4" t="s">
        <v>84</v>
      </c>
      <c r="G11" s="2">
        <v>784823465</v>
      </c>
      <c r="H11" s="4" t="s">
        <v>85</v>
      </c>
      <c r="I11" s="4" t="s">
        <v>46</v>
      </c>
      <c r="J11" s="4" t="s">
        <v>47</v>
      </c>
      <c r="K11" s="4" t="s">
        <v>48</v>
      </c>
      <c r="L11" s="3">
        <v>45658</v>
      </c>
      <c r="M11" s="4" t="s">
        <v>76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86</v>
      </c>
      <c r="U11" s="4" t="s">
        <v>46</v>
      </c>
      <c r="V11" s="5">
        <v>-0.92</v>
      </c>
      <c r="W11" s="5">
        <v>0</v>
      </c>
      <c r="X11" s="5">
        <v>100</v>
      </c>
      <c r="Y11" s="5">
        <v>-286.92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45658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87</v>
      </c>
      <c r="AO11" s="4" t="s">
        <v>46</v>
      </c>
      <c r="AP11" s="4" t="s">
        <v>46</v>
      </c>
    </row>
    <row r="12" spans="1:42" x14ac:dyDescent="0.15">
      <c r="A12" s="2">
        <v>1891456</v>
      </c>
      <c r="B12" s="3">
        <v>45679</v>
      </c>
      <c r="C12" s="4" t="s">
        <v>82</v>
      </c>
      <c r="D12" s="2">
        <v>1573279</v>
      </c>
      <c r="E12" s="4" t="s">
        <v>88</v>
      </c>
      <c r="F12" s="4" t="s">
        <v>89</v>
      </c>
      <c r="G12" s="2">
        <v>853500848</v>
      </c>
      <c r="H12" s="4" t="s">
        <v>90</v>
      </c>
      <c r="I12" s="4" t="s">
        <v>46</v>
      </c>
      <c r="J12" s="4" t="s">
        <v>47</v>
      </c>
      <c r="K12" s="4" t="s">
        <v>48</v>
      </c>
      <c r="L12" s="3">
        <v>45658</v>
      </c>
      <c r="M12" s="4" t="s">
        <v>76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86</v>
      </c>
      <c r="U12" s="4" t="s">
        <v>46</v>
      </c>
      <c r="V12" s="5">
        <v>1</v>
      </c>
      <c r="W12" s="5">
        <v>0</v>
      </c>
      <c r="X12" s="5">
        <v>100</v>
      </c>
      <c r="Y12" s="5">
        <v>313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45658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87</v>
      </c>
      <c r="AO12" s="4" t="s">
        <v>46</v>
      </c>
      <c r="AP12" s="4" t="s">
        <v>46</v>
      </c>
    </row>
    <row r="13" spans="1:42" x14ac:dyDescent="0.15">
      <c r="A13" s="2">
        <v>1891456</v>
      </c>
      <c r="B13" s="3">
        <v>45679</v>
      </c>
      <c r="C13" s="4" t="s">
        <v>82</v>
      </c>
      <c r="D13" s="2">
        <v>1573279</v>
      </c>
      <c r="E13" s="4" t="s">
        <v>91</v>
      </c>
      <c r="F13" s="4" t="s">
        <v>92</v>
      </c>
      <c r="G13" s="2">
        <v>67147214</v>
      </c>
      <c r="H13" s="4" t="s">
        <v>93</v>
      </c>
      <c r="I13" s="4" t="s">
        <v>46</v>
      </c>
      <c r="J13" s="4" t="s">
        <v>47</v>
      </c>
      <c r="K13" s="4" t="s">
        <v>48</v>
      </c>
      <c r="L13" s="3">
        <v>45658</v>
      </c>
      <c r="M13" s="4" t="s">
        <v>76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-0.92</v>
      </c>
      <c r="W13" s="5">
        <v>0</v>
      </c>
      <c r="X13" s="5">
        <v>100</v>
      </c>
      <c r="Y13" s="5">
        <v>-286.92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45658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15">
      <c r="A14" s="2">
        <v>1891456</v>
      </c>
      <c r="B14" s="3">
        <v>45679</v>
      </c>
      <c r="C14" s="4" t="s">
        <v>82</v>
      </c>
      <c r="D14" s="2">
        <v>1573279</v>
      </c>
      <c r="E14" s="4" t="s">
        <v>91</v>
      </c>
      <c r="F14" s="4" t="s">
        <v>92</v>
      </c>
      <c r="G14" s="2">
        <v>67147214</v>
      </c>
      <c r="H14" s="4" t="s">
        <v>93</v>
      </c>
      <c r="I14" s="4" t="s">
        <v>46</v>
      </c>
      <c r="J14" s="4" t="s">
        <v>47</v>
      </c>
      <c r="K14" s="4" t="s">
        <v>48</v>
      </c>
      <c r="L14" s="3">
        <v>45689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86</v>
      </c>
      <c r="U14" s="4" t="s">
        <v>46</v>
      </c>
      <c r="V14" s="5">
        <v>0.92</v>
      </c>
      <c r="W14" s="5">
        <v>0</v>
      </c>
      <c r="X14" s="5">
        <v>100</v>
      </c>
      <c r="Y14" s="5">
        <v>286.92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45689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87</v>
      </c>
      <c r="AO14" s="4" t="s">
        <v>46</v>
      </c>
      <c r="AP14" s="4" t="s">
        <v>46</v>
      </c>
    </row>
    <row r="15" spans="1:42" x14ac:dyDescent="0.15">
      <c r="A15" s="2">
        <v>1891456</v>
      </c>
      <c r="B15" s="3">
        <v>45679</v>
      </c>
      <c r="C15" s="4" t="s">
        <v>82</v>
      </c>
      <c r="D15" s="2">
        <v>1573279</v>
      </c>
      <c r="E15" s="4" t="s">
        <v>94</v>
      </c>
      <c r="F15" s="4" t="s">
        <v>95</v>
      </c>
      <c r="G15" s="2">
        <v>672719374</v>
      </c>
      <c r="H15" s="4" t="s">
        <v>96</v>
      </c>
      <c r="I15" s="4" t="s">
        <v>46</v>
      </c>
      <c r="J15" s="4" t="s">
        <v>47</v>
      </c>
      <c r="K15" s="4" t="s">
        <v>48</v>
      </c>
      <c r="L15" s="3">
        <v>45658</v>
      </c>
      <c r="M15" s="4" t="s">
        <v>76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-0.92</v>
      </c>
      <c r="W15" s="5">
        <v>0</v>
      </c>
      <c r="X15" s="5">
        <v>100</v>
      </c>
      <c r="Y15" s="5">
        <v>-286.92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45658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15">
      <c r="A16" s="2">
        <v>1891456</v>
      </c>
      <c r="B16" s="3">
        <v>45679</v>
      </c>
      <c r="C16" s="4" t="s">
        <v>97</v>
      </c>
      <c r="D16" s="2">
        <v>1581327</v>
      </c>
      <c r="E16" s="4" t="s">
        <v>98</v>
      </c>
      <c r="F16" s="4" t="s">
        <v>99</v>
      </c>
      <c r="G16" s="2">
        <v>369403143</v>
      </c>
      <c r="H16" s="4" t="s">
        <v>100</v>
      </c>
      <c r="I16" s="4" t="s">
        <v>46</v>
      </c>
      <c r="J16" s="4" t="s">
        <v>47</v>
      </c>
      <c r="K16" s="4" t="s">
        <v>48</v>
      </c>
      <c r="L16" s="3">
        <v>45717</v>
      </c>
      <c r="M16" s="4" t="s">
        <v>101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102</v>
      </c>
      <c r="U16" s="4" t="s">
        <v>46</v>
      </c>
      <c r="V16" s="5">
        <v>0.83</v>
      </c>
      <c r="W16" s="5">
        <v>0</v>
      </c>
      <c r="X16" s="5">
        <v>100</v>
      </c>
      <c r="Y16" s="5">
        <v>45.83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45717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103</v>
      </c>
      <c r="AO16" s="4" t="s">
        <v>46</v>
      </c>
      <c r="AP16" s="4" t="s">
        <v>46</v>
      </c>
    </row>
    <row r="17" spans="1:42" x14ac:dyDescent="0.15">
      <c r="A17" s="2">
        <v>1891456</v>
      </c>
      <c r="B17" s="3">
        <v>45679</v>
      </c>
      <c r="C17" s="4" t="s">
        <v>104</v>
      </c>
      <c r="D17" s="2">
        <v>1626475</v>
      </c>
      <c r="E17" s="4" t="s">
        <v>105</v>
      </c>
      <c r="F17" s="4" t="s">
        <v>106</v>
      </c>
      <c r="G17" s="2">
        <v>753500411</v>
      </c>
      <c r="H17" s="4" t="s">
        <v>107</v>
      </c>
      <c r="I17" s="4" t="s">
        <v>46</v>
      </c>
      <c r="J17" s="4" t="s">
        <v>47</v>
      </c>
      <c r="K17" s="4" t="s">
        <v>48</v>
      </c>
      <c r="L17" s="3">
        <v>45689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0.92</v>
      </c>
      <c r="W17" s="5">
        <v>0</v>
      </c>
      <c r="X17" s="5">
        <v>100</v>
      </c>
      <c r="Y17" s="5">
        <v>286.92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45689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15">
      <c r="A18" s="2">
        <v>1891456</v>
      </c>
      <c r="B18" s="3">
        <v>45679</v>
      </c>
      <c r="C18" s="4" t="s">
        <v>108</v>
      </c>
      <c r="D18" s="2">
        <v>1646082</v>
      </c>
      <c r="E18" s="4" t="s">
        <v>109</v>
      </c>
      <c r="F18" s="4" t="s">
        <v>110</v>
      </c>
      <c r="G18" s="2">
        <v>388005492</v>
      </c>
      <c r="H18" s="4" t="s">
        <v>111</v>
      </c>
      <c r="I18" s="4" t="s">
        <v>46</v>
      </c>
      <c r="J18" s="4" t="s">
        <v>47</v>
      </c>
      <c r="K18" s="4" t="s">
        <v>48</v>
      </c>
      <c r="L18" s="3">
        <v>45689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86</v>
      </c>
      <c r="U18" s="4" t="s">
        <v>46</v>
      </c>
      <c r="V18" s="5">
        <v>0.92</v>
      </c>
      <c r="W18" s="5">
        <v>0</v>
      </c>
      <c r="X18" s="5">
        <v>100</v>
      </c>
      <c r="Y18" s="5">
        <v>286.92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45689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87</v>
      </c>
      <c r="AO18" s="4" t="s">
        <v>46</v>
      </c>
      <c r="AP18" s="4" t="s">
        <v>46</v>
      </c>
    </row>
    <row r="19" spans="1:42" x14ac:dyDescent="0.15">
      <c r="A19" s="2">
        <v>1891456</v>
      </c>
      <c r="B19" s="3">
        <v>45679</v>
      </c>
      <c r="C19" s="4" t="s">
        <v>112</v>
      </c>
      <c r="D19" s="2">
        <v>1673202</v>
      </c>
      <c r="E19" s="4" t="s">
        <v>113</v>
      </c>
      <c r="F19" s="4" t="s">
        <v>114</v>
      </c>
      <c r="G19" s="2">
        <v>778586440</v>
      </c>
      <c r="H19" s="4" t="s">
        <v>115</v>
      </c>
      <c r="I19" s="4" t="s">
        <v>46</v>
      </c>
      <c r="J19" s="4" t="s">
        <v>47</v>
      </c>
      <c r="K19" s="4" t="s">
        <v>48</v>
      </c>
      <c r="L19" s="3">
        <v>45689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0.92</v>
      </c>
      <c r="W19" s="5">
        <v>0</v>
      </c>
      <c r="X19" s="5">
        <v>100</v>
      </c>
      <c r="Y19" s="5">
        <v>286.92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45689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15">
      <c r="A20" s="2">
        <v>1891456</v>
      </c>
      <c r="B20" s="3">
        <v>45679</v>
      </c>
      <c r="C20" s="4" t="s">
        <v>112</v>
      </c>
      <c r="D20" s="2">
        <v>1673202</v>
      </c>
      <c r="E20" s="4" t="s">
        <v>116</v>
      </c>
      <c r="F20" s="4" t="s">
        <v>117</v>
      </c>
      <c r="G20" s="2">
        <v>644588071</v>
      </c>
      <c r="H20" s="4" t="s">
        <v>118</v>
      </c>
      <c r="I20" s="4" t="s">
        <v>46</v>
      </c>
      <c r="J20" s="4" t="s">
        <v>47</v>
      </c>
      <c r="K20" s="4" t="s">
        <v>48</v>
      </c>
      <c r="L20" s="3">
        <v>45717</v>
      </c>
      <c r="M20" s="4" t="s">
        <v>101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0.83</v>
      </c>
      <c r="W20" s="5">
        <v>0</v>
      </c>
      <c r="X20" s="5">
        <v>100</v>
      </c>
      <c r="Y20" s="5">
        <v>260.83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45717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15">
      <c r="A21" s="2">
        <v>1891456</v>
      </c>
      <c r="B21" s="3">
        <v>45679</v>
      </c>
      <c r="C21" s="4" t="s">
        <v>112</v>
      </c>
      <c r="D21" s="2">
        <v>1673202</v>
      </c>
      <c r="E21" s="4" t="s">
        <v>119</v>
      </c>
      <c r="F21" s="4" t="s">
        <v>120</v>
      </c>
      <c r="G21" s="2">
        <v>674017590</v>
      </c>
      <c r="H21" s="4" t="s">
        <v>121</v>
      </c>
      <c r="I21" s="4" t="s">
        <v>46</v>
      </c>
      <c r="J21" s="4" t="s">
        <v>47</v>
      </c>
      <c r="K21" s="4" t="s">
        <v>48</v>
      </c>
      <c r="L21" s="3">
        <v>45689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0.92</v>
      </c>
      <c r="W21" s="5">
        <v>0</v>
      </c>
      <c r="X21" s="5">
        <v>100</v>
      </c>
      <c r="Y21" s="5">
        <v>286.92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45689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15">
      <c r="A22" s="2">
        <v>1891456</v>
      </c>
      <c r="B22" s="3">
        <v>45679</v>
      </c>
      <c r="C22" s="4" t="s">
        <v>122</v>
      </c>
      <c r="D22" s="2">
        <v>1703942</v>
      </c>
      <c r="E22" s="4" t="s">
        <v>123</v>
      </c>
      <c r="F22" s="4" t="s">
        <v>124</v>
      </c>
      <c r="G22" s="2">
        <v>322400423</v>
      </c>
      <c r="H22" s="4" t="s">
        <v>125</v>
      </c>
      <c r="I22" s="4" t="s">
        <v>46</v>
      </c>
      <c r="J22" s="4" t="s">
        <v>47</v>
      </c>
      <c r="K22" s="4" t="s">
        <v>48</v>
      </c>
      <c r="L22" s="3">
        <v>45658</v>
      </c>
      <c r="M22" s="4" t="s">
        <v>76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-0.92</v>
      </c>
      <c r="W22" s="5">
        <v>0</v>
      </c>
      <c r="X22" s="5">
        <v>100</v>
      </c>
      <c r="Y22" s="5">
        <v>-286.92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15">
      <c r="A23" s="2">
        <v>1891456</v>
      </c>
      <c r="B23" s="3">
        <v>45679</v>
      </c>
      <c r="C23" s="4" t="s">
        <v>122</v>
      </c>
      <c r="D23" s="2">
        <v>1703942</v>
      </c>
      <c r="E23" s="4" t="s">
        <v>126</v>
      </c>
      <c r="F23" s="4" t="s">
        <v>127</v>
      </c>
      <c r="G23" s="2">
        <v>287917444</v>
      </c>
      <c r="H23" s="4" t="s">
        <v>128</v>
      </c>
      <c r="I23" s="4" t="s">
        <v>46</v>
      </c>
      <c r="J23" s="4" t="s">
        <v>47</v>
      </c>
      <c r="K23" s="4" t="s">
        <v>48</v>
      </c>
      <c r="L23" s="3">
        <v>45658</v>
      </c>
      <c r="M23" s="4" t="s">
        <v>76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-0.92</v>
      </c>
      <c r="W23" s="5">
        <v>0</v>
      </c>
      <c r="X23" s="5">
        <v>100</v>
      </c>
      <c r="Y23" s="5">
        <v>-286.92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45658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15">
      <c r="A24" s="2">
        <v>1891456</v>
      </c>
      <c r="B24" s="3">
        <v>45679</v>
      </c>
      <c r="C24" s="4" t="s">
        <v>122</v>
      </c>
      <c r="D24" s="2">
        <v>1703942</v>
      </c>
      <c r="E24" s="4" t="s">
        <v>129</v>
      </c>
      <c r="F24" s="4" t="s">
        <v>130</v>
      </c>
      <c r="G24" s="2">
        <v>421134283</v>
      </c>
      <c r="H24" s="4" t="s">
        <v>131</v>
      </c>
      <c r="I24" s="4" t="s">
        <v>46</v>
      </c>
      <c r="J24" s="4" t="s">
        <v>47</v>
      </c>
      <c r="K24" s="4" t="s">
        <v>48</v>
      </c>
      <c r="L24" s="3">
        <v>45689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0.92</v>
      </c>
      <c r="W24" s="5">
        <v>0</v>
      </c>
      <c r="X24" s="5">
        <v>100</v>
      </c>
      <c r="Y24" s="5">
        <v>286.92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45689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15">
      <c r="A25" s="2">
        <v>1891456</v>
      </c>
      <c r="B25" s="3">
        <v>45679</v>
      </c>
      <c r="C25" s="4" t="s">
        <v>132</v>
      </c>
      <c r="D25" s="2">
        <v>1773696</v>
      </c>
      <c r="E25" s="4" t="s">
        <v>133</v>
      </c>
      <c r="F25" s="4" t="s">
        <v>134</v>
      </c>
      <c r="G25" s="2">
        <v>364662342</v>
      </c>
      <c r="H25" s="4" t="s">
        <v>135</v>
      </c>
      <c r="I25" s="4" t="s">
        <v>46</v>
      </c>
      <c r="J25" s="4" t="s">
        <v>47</v>
      </c>
      <c r="K25" s="4" t="s">
        <v>48</v>
      </c>
      <c r="L25" s="3">
        <v>45689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52</v>
      </c>
      <c r="U25" s="4" t="s">
        <v>46</v>
      </c>
      <c r="V25" s="5">
        <v>0.92</v>
      </c>
      <c r="W25" s="5">
        <v>0</v>
      </c>
      <c r="X25" s="5">
        <v>100</v>
      </c>
      <c r="Y25" s="5">
        <v>286.92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45689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55</v>
      </c>
      <c r="AO25" s="4" t="s">
        <v>46</v>
      </c>
      <c r="AP25" s="4" t="s">
        <v>46</v>
      </c>
    </row>
    <row r="26" spans="1:42" x14ac:dyDescent="0.15">
      <c r="A26" s="2">
        <v>1891456</v>
      </c>
      <c r="B26" s="3">
        <v>45679</v>
      </c>
      <c r="C26" s="4" t="s">
        <v>136</v>
      </c>
      <c r="D26" s="2">
        <v>1815594</v>
      </c>
      <c r="E26" s="4" t="s">
        <v>137</v>
      </c>
      <c r="F26" s="4" t="s">
        <v>138</v>
      </c>
      <c r="G26" s="2">
        <v>132705155</v>
      </c>
      <c r="H26" s="4" t="s">
        <v>139</v>
      </c>
      <c r="I26" s="4" t="s">
        <v>46</v>
      </c>
      <c r="J26" s="4" t="s">
        <v>47</v>
      </c>
      <c r="K26" s="4" t="s">
        <v>48</v>
      </c>
      <c r="L26" s="3">
        <v>45658</v>
      </c>
      <c r="M26" s="4" t="s">
        <v>76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-0.92</v>
      </c>
      <c r="W26" s="5">
        <v>0</v>
      </c>
      <c r="X26" s="5">
        <v>100</v>
      </c>
      <c r="Y26" s="5">
        <v>-286.92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45658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15">
      <c r="A27" s="2">
        <v>1891456</v>
      </c>
      <c r="B27" s="3">
        <v>45679</v>
      </c>
      <c r="C27" s="4" t="s">
        <v>140</v>
      </c>
      <c r="D27" s="2">
        <v>1831320</v>
      </c>
      <c r="E27" s="4" t="s">
        <v>141</v>
      </c>
      <c r="F27" s="4" t="s">
        <v>142</v>
      </c>
      <c r="G27" s="2">
        <v>82677324</v>
      </c>
      <c r="H27" s="4" t="s">
        <v>143</v>
      </c>
      <c r="I27" s="4" t="s">
        <v>46</v>
      </c>
      <c r="J27" s="4" t="s">
        <v>47</v>
      </c>
      <c r="K27" s="4" t="s">
        <v>48</v>
      </c>
      <c r="L27" s="3">
        <v>45717</v>
      </c>
      <c r="M27" s="4" t="s">
        <v>101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86</v>
      </c>
      <c r="U27" s="4" t="s">
        <v>46</v>
      </c>
      <c r="V27" s="5">
        <v>0.83</v>
      </c>
      <c r="W27" s="5">
        <v>0</v>
      </c>
      <c r="X27" s="5">
        <v>100</v>
      </c>
      <c r="Y27" s="5">
        <v>260.83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45717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144</v>
      </c>
      <c r="AO27" s="4" t="s">
        <v>46</v>
      </c>
      <c r="AP27" s="4" t="s">
        <v>46</v>
      </c>
    </row>
    <row r="28" spans="1:42" x14ac:dyDescent="0.15">
      <c r="A28" s="2">
        <v>1891456</v>
      </c>
      <c r="B28" s="3">
        <v>45679</v>
      </c>
      <c r="C28" s="4" t="s">
        <v>145</v>
      </c>
      <c r="D28" s="2">
        <v>1831491</v>
      </c>
      <c r="E28" s="4" t="s">
        <v>146</v>
      </c>
      <c r="F28" s="4" t="s">
        <v>147</v>
      </c>
      <c r="G28" s="2">
        <v>875950550</v>
      </c>
      <c r="H28" s="4" t="s">
        <v>148</v>
      </c>
      <c r="I28" s="4" t="s">
        <v>46</v>
      </c>
      <c r="J28" s="4" t="s">
        <v>47</v>
      </c>
      <c r="K28" s="4" t="s">
        <v>48</v>
      </c>
      <c r="L28" s="3">
        <v>45658</v>
      </c>
      <c r="M28" s="4" t="s">
        <v>76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-0.92</v>
      </c>
      <c r="W28" s="5">
        <v>0</v>
      </c>
      <c r="X28" s="5">
        <v>100</v>
      </c>
      <c r="Y28" s="5">
        <v>-286.92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45658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15">
      <c r="A29" s="2">
        <v>1891456</v>
      </c>
      <c r="B29" s="3">
        <v>45679</v>
      </c>
      <c r="C29" s="4" t="s">
        <v>149</v>
      </c>
      <c r="D29" s="2">
        <v>1855975</v>
      </c>
      <c r="E29" s="4" t="s">
        <v>150</v>
      </c>
      <c r="F29" s="4" t="s">
        <v>151</v>
      </c>
      <c r="G29" s="2">
        <v>57218445</v>
      </c>
      <c r="H29" s="4" t="s">
        <v>152</v>
      </c>
      <c r="I29" s="4" t="s">
        <v>46</v>
      </c>
      <c r="J29" s="4" t="s">
        <v>47</v>
      </c>
      <c r="K29" s="4" t="s">
        <v>48</v>
      </c>
      <c r="L29" s="3">
        <v>45689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86</v>
      </c>
      <c r="U29" s="4" t="s">
        <v>46</v>
      </c>
      <c r="V29" s="5">
        <v>0.92</v>
      </c>
      <c r="W29" s="5">
        <v>0</v>
      </c>
      <c r="X29" s="5">
        <v>100</v>
      </c>
      <c r="Y29" s="5">
        <v>286.92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45689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144</v>
      </c>
      <c r="AO29" s="4" t="s">
        <v>46</v>
      </c>
      <c r="AP29" s="4" t="s">
        <v>46</v>
      </c>
    </row>
    <row r="30" spans="1:42" x14ac:dyDescent="0.15">
      <c r="A30" s="2">
        <v>1891456</v>
      </c>
      <c r="B30" s="3">
        <v>45679</v>
      </c>
      <c r="C30" s="4" t="s">
        <v>153</v>
      </c>
      <c r="D30" s="2">
        <v>1509744</v>
      </c>
      <c r="E30" s="4" t="s">
        <v>154</v>
      </c>
      <c r="F30" s="4" t="s">
        <v>155</v>
      </c>
      <c r="G30" s="4" t="s">
        <v>46</v>
      </c>
      <c r="H30" s="4" t="s">
        <v>46</v>
      </c>
      <c r="I30" s="4" t="s">
        <v>46</v>
      </c>
      <c r="J30" s="4" t="s">
        <v>156</v>
      </c>
      <c r="K30" s="4" t="s">
        <v>157</v>
      </c>
      <c r="L30" s="3">
        <v>45689</v>
      </c>
      <c r="M30" s="4" t="s">
        <v>49</v>
      </c>
      <c r="N30" s="4" t="s">
        <v>46</v>
      </c>
      <c r="O30" s="4" t="s">
        <v>158</v>
      </c>
      <c r="P30" s="4" t="s">
        <v>158</v>
      </c>
      <c r="Q30" s="2">
        <v>2</v>
      </c>
      <c r="R30" s="2">
        <v>60</v>
      </c>
      <c r="S30" s="4" t="s">
        <v>159</v>
      </c>
      <c r="T30" s="4" t="s">
        <v>46</v>
      </c>
      <c r="U30" s="4" t="s">
        <v>46</v>
      </c>
      <c r="V30" s="5">
        <v>10</v>
      </c>
      <c r="W30" s="5">
        <v>26.88</v>
      </c>
      <c r="X30" s="5">
        <v>100</v>
      </c>
      <c r="Y30" s="5">
        <v>2.69</v>
      </c>
      <c r="Z30" s="4" t="s">
        <v>46</v>
      </c>
      <c r="AA30" s="5" t="s">
        <v>46</v>
      </c>
      <c r="AB30" s="4" t="s">
        <v>160</v>
      </c>
      <c r="AC30" s="4" t="s">
        <v>46</v>
      </c>
      <c r="AD30" s="5">
        <v>0</v>
      </c>
      <c r="AE30" s="4" t="s">
        <v>161</v>
      </c>
      <c r="AF30" s="3">
        <v>45276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15">
      <c r="A31" s="2">
        <v>1891456</v>
      </c>
      <c r="B31" s="3">
        <v>45679</v>
      </c>
      <c r="C31" s="4" t="s">
        <v>66</v>
      </c>
      <c r="D31" s="2">
        <v>1510420</v>
      </c>
      <c r="E31" s="4" t="s">
        <v>162</v>
      </c>
      <c r="F31" s="4" t="s">
        <v>163</v>
      </c>
      <c r="G31" s="4" t="s">
        <v>46</v>
      </c>
      <c r="H31" s="4" t="s">
        <v>46</v>
      </c>
      <c r="I31" s="4" t="s">
        <v>46</v>
      </c>
      <c r="J31" s="4" t="s">
        <v>156</v>
      </c>
      <c r="K31" s="4" t="s">
        <v>157</v>
      </c>
      <c r="L31" s="3">
        <v>45689</v>
      </c>
      <c r="M31" s="4" t="s">
        <v>49</v>
      </c>
      <c r="N31" s="4" t="s">
        <v>46</v>
      </c>
      <c r="O31" s="4" t="s">
        <v>158</v>
      </c>
      <c r="P31" s="4" t="s">
        <v>158</v>
      </c>
      <c r="Q31" s="2">
        <v>2</v>
      </c>
      <c r="R31" s="2">
        <v>3</v>
      </c>
      <c r="S31" s="4" t="s">
        <v>164</v>
      </c>
      <c r="T31" s="4" t="s">
        <v>46</v>
      </c>
      <c r="U31" s="4" t="s">
        <v>46</v>
      </c>
      <c r="V31" s="5">
        <v>10</v>
      </c>
      <c r="W31" s="5">
        <v>43.09</v>
      </c>
      <c r="X31" s="5">
        <v>100</v>
      </c>
      <c r="Y31" s="5">
        <v>4.3099999999999996</v>
      </c>
      <c r="Z31" s="4" t="s">
        <v>46</v>
      </c>
      <c r="AA31" s="5" t="s">
        <v>46</v>
      </c>
      <c r="AB31" s="4" t="s">
        <v>160</v>
      </c>
      <c r="AC31" s="4" t="s">
        <v>46</v>
      </c>
      <c r="AD31" s="5">
        <v>0</v>
      </c>
      <c r="AE31" s="4" t="s">
        <v>161</v>
      </c>
      <c r="AF31" s="3">
        <v>40969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15">
      <c r="A32" s="2">
        <v>1891456</v>
      </c>
      <c r="B32" s="3">
        <v>45679</v>
      </c>
      <c r="C32" s="4" t="s">
        <v>165</v>
      </c>
      <c r="D32" s="2">
        <v>1524629</v>
      </c>
      <c r="E32" s="4" t="s">
        <v>166</v>
      </c>
      <c r="F32" s="4" t="s">
        <v>167</v>
      </c>
      <c r="G32" s="4" t="s">
        <v>46</v>
      </c>
      <c r="H32" s="4" t="s">
        <v>46</v>
      </c>
      <c r="I32" s="4" t="s">
        <v>46</v>
      </c>
      <c r="J32" s="4" t="s">
        <v>156</v>
      </c>
      <c r="K32" s="4" t="s">
        <v>157</v>
      </c>
      <c r="L32" s="3">
        <v>45689</v>
      </c>
      <c r="M32" s="4" t="s">
        <v>49</v>
      </c>
      <c r="N32" s="4" t="s">
        <v>46</v>
      </c>
      <c r="O32" s="4" t="s">
        <v>50</v>
      </c>
      <c r="P32" s="4" t="s">
        <v>158</v>
      </c>
      <c r="Q32" s="2">
        <v>1</v>
      </c>
      <c r="R32" s="2">
        <v>60</v>
      </c>
      <c r="S32" s="4" t="s">
        <v>159</v>
      </c>
      <c r="T32" s="4" t="s">
        <v>46</v>
      </c>
      <c r="U32" s="4" t="s">
        <v>46</v>
      </c>
      <c r="V32" s="5">
        <v>10</v>
      </c>
      <c r="W32" s="5">
        <v>12.99</v>
      </c>
      <c r="X32" s="5">
        <v>100</v>
      </c>
      <c r="Y32" s="5">
        <v>1.3</v>
      </c>
      <c r="Z32" s="4" t="s">
        <v>46</v>
      </c>
      <c r="AA32" s="5" t="s">
        <v>46</v>
      </c>
      <c r="AB32" s="4" t="s">
        <v>168</v>
      </c>
      <c r="AC32" s="4" t="s">
        <v>46</v>
      </c>
      <c r="AD32" s="5">
        <v>0</v>
      </c>
      <c r="AE32" s="4" t="s">
        <v>169</v>
      </c>
      <c r="AF32" s="3">
        <v>45371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1926-66A5-A149-801A-FCE231669442}">
  <dimension ref="A1:S32"/>
  <sheetViews>
    <sheetView tabSelected="1" topLeftCell="J1" workbookViewId="0">
      <selection activeCell="S2" sqref="S2:S30"/>
    </sheetView>
  </sheetViews>
  <sheetFormatPr baseColWidth="10" defaultRowHeight="13" x14ac:dyDescent="0.15"/>
  <cols>
    <col min="1" max="1" width="21.6640625" bestFit="1" customWidth="1"/>
    <col min="2" max="2" width="21.6640625" customWidth="1"/>
    <col min="3" max="3" width="25" bestFit="1" customWidth="1"/>
    <col min="4" max="4" width="13.33203125" style="5" bestFit="1" customWidth="1"/>
    <col min="5" max="5" width="14.33203125" style="5" bestFit="1" customWidth="1"/>
    <col min="6" max="6" width="8.33203125" bestFit="1" customWidth="1"/>
    <col min="7" max="7" width="10.1640625" bestFit="1" customWidth="1"/>
    <col min="8" max="8" width="10" bestFit="1" customWidth="1"/>
    <col min="9" max="9" width="5.1640625" bestFit="1" customWidth="1"/>
    <col min="10" max="10" width="13.5" bestFit="1" customWidth="1"/>
    <col min="11" max="11" width="13.33203125" bestFit="1" customWidth="1"/>
    <col min="12" max="12" width="12.1640625" bestFit="1" customWidth="1"/>
    <col min="13" max="13" width="8.5" bestFit="1" customWidth="1"/>
    <col min="14" max="14" width="11" bestFit="1" customWidth="1"/>
    <col min="15" max="15" width="13.5" bestFit="1" customWidth="1"/>
    <col min="16" max="16" width="37.33203125" bestFit="1" customWidth="1"/>
    <col min="17" max="17" width="12.1640625" bestFit="1" customWidth="1"/>
    <col min="18" max="18" width="20.1640625" bestFit="1" customWidth="1"/>
  </cols>
  <sheetData>
    <row r="1" spans="1:19" x14ac:dyDescent="0.15">
      <c r="A1" s="1" t="s">
        <v>2</v>
      </c>
      <c r="B1" s="1"/>
      <c r="C1" s="1" t="s">
        <v>4</v>
      </c>
      <c r="D1" s="8" t="s">
        <v>5</v>
      </c>
      <c r="E1" s="8"/>
      <c r="F1" s="1" t="s">
        <v>9</v>
      </c>
      <c r="G1" s="1" t="s">
        <v>11</v>
      </c>
      <c r="H1" s="1" t="s">
        <v>12</v>
      </c>
      <c r="I1" s="1" t="s">
        <v>16</v>
      </c>
      <c r="J1" s="1" t="s">
        <v>17</v>
      </c>
      <c r="K1" s="1" t="s">
        <v>18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27</v>
      </c>
      <c r="Q1" s="1" t="s">
        <v>31</v>
      </c>
    </row>
    <row r="2" spans="1:19" x14ac:dyDescent="0.15">
      <c r="A2" s="4" t="s">
        <v>66</v>
      </c>
      <c r="B2" s="6">
        <v>7146581</v>
      </c>
      <c r="C2" s="7" t="s">
        <v>240</v>
      </c>
      <c r="D2" s="6">
        <v>9007596540</v>
      </c>
      <c r="E2" s="6" t="str">
        <f>CONCATENATE(D2,4)</f>
        <v>90075965404</v>
      </c>
      <c r="F2" s="4" t="s">
        <v>156</v>
      </c>
      <c r="G2" s="3">
        <v>45689</v>
      </c>
      <c r="H2" s="4" t="s">
        <v>49</v>
      </c>
      <c r="I2" s="2">
        <v>2</v>
      </c>
      <c r="J2" s="2">
        <v>3</v>
      </c>
      <c r="K2" s="4" t="s">
        <v>164</v>
      </c>
      <c r="L2" s="5">
        <v>10</v>
      </c>
      <c r="M2" s="5">
        <v>43.09</v>
      </c>
      <c r="N2" s="5">
        <v>100</v>
      </c>
      <c r="O2" s="5">
        <v>4.3099999999999996</v>
      </c>
      <c r="P2" s="4" t="s">
        <v>160</v>
      </c>
      <c r="Q2" s="3">
        <v>40969</v>
      </c>
      <c r="R2" t="s">
        <v>254</v>
      </c>
    </row>
    <row r="3" spans="1:19" ht="15" x14ac:dyDescent="0.2">
      <c r="A3" s="4" t="s">
        <v>42</v>
      </c>
      <c r="B3" s="6">
        <v>7470776</v>
      </c>
      <c r="C3" s="7" t="s">
        <v>225</v>
      </c>
      <c r="D3" s="9" t="s">
        <v>44</v>
      </c>
      <c r="E3" s="6" t="str">
        <f>CONCATENATE(D3,6)</f>
        <v>00022417706K6</v>
      </c>
      <c r="F3" s="4" t="s">
        <v>47</v>
      </c>
      <c r="G3" s="3">
        <v>45689</v>
      </c>
      <c r="H3" s="4" t="s">
        <v>49</v>
      </c>
      <c r="I3" s="2">
        <v>1</v>
      </c>
      <c r="J3" s="2">
        <v>17</v>
      </c>
      <c r="K3" s="4" t="s">
        <v>51</v>
      </c>
      <c r="L3" s="5">
        <v>0.92</v>
      </c>
      <c r="M3" s="5">
        <v>0</v>
      </c>
      <c r="N3" s="5">
        <v>100</v>
      </c>
      <c r="O3" s="5">
        <v>286.92</v>
      </c>
      <c r="P3" s="4" t="s">
        <v>53</v>
      </c>
      <c r="Q3" s="3">
        <v>45689</v>
      </c>
      <c r="R3" t="s">
        <v>255</v>
      </c>
      <c r="S3" s="10" t="s">
        <v>257</v>
      </c>
    </row>
    <row r="4" spans="1:19" ht="15" x14ac:dyDescent="0.2">
      <c r="A4" s="4" t="s">
        <v>42</v>
      </c>
      <c r="B4" s="6">
        <v>7470776</v>
      </c>
      <c r="C4" s="7" t="s">
        <v>226</v>
      </c>
      <c r="D4" s="9" t="s">
        <v>57</v>
      </c>
      <c r="E4" s="6" t="str">
        <f t="shared" ref="E4:E30" si="0">CONCATENATE(D4,6)</f>
        <v>00022478097K6</v>
      </c>
      <c r="F4" s="4" t="s">
        <v>47</v>
      </c>
      <c r="G4" s="3">
        <v>45689</v>
      </c>
      <c r="H4" s="4" t="s">
        <v>49</v>
      </c>
      <c r="I4" s="2">
        <v>1</v>
      </c>
      <c r="J4" s="2">
        <v>17</v>
      </c>
      <c r="K4" s="4" t="s">
        <v>51</v>
      </c>
      <c r="L4" s="5">
        <v>0.92</v>
      </c>
      <c r="M4" s="5">
        <v>0</v>
      </c>
      <c r="N4" s="5">
        <v>100</v>
      </c>
      <c r="O4" s="5">
        <v>286.92</v>
      </c>
      <c r="P4" s="4" t="s">
        <v>53</v>
      </c>
      <c r="Q4" s="3">
        <v>45689</v>
      </c>
      <c r="R4" t="s">
        <v>255</v>
      </c>
      <c r="S4" s="10" t="s">
        <v>257</v>
      </c>
    </row>
    <row r="5" spans="1:19" ht="15" x14ac:dyDescent="0.2">
      <c r="A5" s="4" t="s">
        <v>42</v>
      </c>
      <c r="B5" s="6">
        <v>7470776</v>
      </c>
      <c r="C5" s="7" t="s">
        <v>227</v>
      </c>
      <c r="D5" s="9" t="s">
        <v>60</v>
      </c>
      <c r="E5" s="6" t="str">
        <f t="shared" si="0"/>
        <v>00023018904K6</v>
      </c>
      <c r="F5" s="4" t="s">
        <v>47</v>
      </c>
      <c r="G5" s="3">
        <v>45689</v>
      </c>
      <c r="H5" s="4" t="s">
        <v>49</v>
      </c>
      <c r="I5" s="2">
        <v>1</v>
      </c>
      <c r="J5" s="2">
        <v>17</v>
      </c>
      <c r="K5" s="4" t="s">
        <v>51</v>
      </c>
      <c r="L5" s="5">
        <v>0.92</v>
      </c>
      <c r="M5" s="5">
        <v>0</v>
      </c>
      <c r="N5" s="5">
        <v>100</v>
      </c>
      <c r="O5" s="5">
        <v>286.92</v>
      </c>
      <c r="P5" s="4" t="s">
        <v>53</v>
      </c>
      <c r="Q5" s="3">
        <v>45689</v>
      </c>
      <c r="R5" t="s">
        <v>255</v>
      </c>
      <c r="S5" s="10" t="s">
        <v>257</v>
      </c>
    </row>
    <row r="6" spans="1:19" ht="15" x14ac:dyDescent="0.2">
      <c r="A6" s="4" t="s">
        <v>104</v>
      </c>
      <c r="B6" s="6">
        <v>17126004</v>
      </c>
      <c r="C6" s="7" t="s">
        <v>229</v>
      </c>
      <c r="D6" s="9" t="s">
        <v>106</v>
      </c>
      <c r="E6" s="6" t="str">
        <f t="shared" si="0"/>
        <v>00021097913K6</v>
      </c>
      <c r="F6" s="4" t="s">
        <v>47</v>
      </c>
      <c r="G6" s="3">
        <v>45689</v>
      </c>
      <c r="H6" s="4" t="s">
        <v>49</v>
      </c>
      <c r="I6" s="2">
        <v>1</v>
      </c>
      <c r="J6" s="2">
        <v>17</v>
      </c>
      <c r="K6" s="4" t="s">
        <v>51</v>
      </c>
      <c r="L6" s="5">
        <v>0.92</v>
      </c>
      <c r="M6" s="5">
        <v>0</v>
      </c>
      <c r="N6" s="5">
        <v>100</v>
      </c>
      <c r="O6" s="5">
        <v>286.92</v>
      </c>
      <c r="P6" s="4" t="s">
        <v>53</v>
      </c>
      <c r="Q6" s="3">
        <v>45689</v>
      </c>
      <c r="R6" t="s">
        <v>255</v>
      </c>
      <c r="S6" s="10" t="s">
        <v>257</v>
      </c>
    </row>
    <row r="7" spans="1:19" ht="15" x14ac:dyDescent="0.2">
      <c r="A7" s="4" t="s">
        <v>145</v>
      </c>
      <c r="B7" s="4" t="s">
        <v>170</v>
      </c>
      <c r="C7" s="7" t="s">
        <v>230</v>
      </c>
      <c r="D7" s="9" t="s">
        <v>147</v>
      </c>
      <c r="E7" s="6" t="str">
        <f t="shared" si="0"/>
        <v>00019371558K6</v>
      </c>
      <c r="F7" s="4" t="s">
        <v>47</v>
      </c>
      <c r="G7" s="3">
        <v>45658</v>
      </c>
      <c r="H7" s="4" t="s">
        <v>76</v>
      </c>
      <c r="I7" s="2">
        <v>1</v>
      </c>
      <c r="J7" s="2">
        <v>17</v>
      </c>
      <c r="K7" s="4" t="s">
        <v>51</v>
      </c>
      <c r="L7" s="5">
        <v>-0.92</v>
      </c>
      <c r="M7" s="5">
        <v>0</v>
      </c>
      <c r="N7" s="5">
        <v>100</v>
      </c>
      <c r="O7" s="5">
        <v>-286.92</v>
      </c>
      <c r="P7" s="4" t="s">
        <v>53</v>
      </c>
      <c r="Q7" s="3">
        <v>45658</v>
      </c>
      <c r="R7" t="s">
        <v>255</v>
      </c>
      <c r="S7" s="10" t="s">
        <v>257</v>
      </c>
    </row>
    <row r="8" spans="1:19" ht="15" x14ac:dyDescent="0.2">
      <c r="A8" s="4" t="s">
        <v>112</v>
      </c>
      <c r="B8" s="6">
        <v>17425766</v>
      </c>
      <c r="C8" s="7" t="s">
        <v>231</v>
      </c>
      <c r="D8" s="9" t="s">
        <v>114</v>
      </c>
      <c r="E8" s="6" t="str">
        <f t="shared" si="0"/>
        <v>00021249134K6</v>
      </c>
      <c r="F8" s="4" t="s">
        <v>47</v>
      </c>
      <c r="G8" s="3">
        <v>45689</v>
      </c>
      <c r="H8" s="4" t="s">
        <v>49</v>
      </c>
      <c r="I8" s="2">
        <v>1</v>
      </c>
      <c r="J8" s="2">
        <v>17</v>
      </c>
      <c r="K8" s="4" t="s">
        <v>51</v>
      </c>
      <c r="L8" s="5">
        <v>0.92</v>
      </c>
      <c r="M8" s="5">
        <v>0</v>
      </c>
      <c r="N8" s="5">
        <v>100</v>
      </c>
      <c r="O8" s="5">
        <v>286.92</v>
      </c>
      <c r="P8" s="4" t="s">
        <v>53</v>
      </c>
      <c r="Q8" s="3">
        <v>45689</v>
      </c>
      <c r="R8" t="s">
        <v>255</v>
      </c>
      <c r="S8" s="10" t="s">
        <v>257</v>
      </c>
    </row>
    <row r="9" spans="1:19" ht="15" x14ac:dyDescent="0.2">
      <c r="A9" s="4" t="s">
        <v>112</v>
      </c>
      <c r="B9" s="6">
        <v>17425766</v>
      </c>
      <c r="C9" s="7" t="s">
        <v>232</v>
      </c>
      <c r="D9" s="9" t="s">
        <v>117</v>
      </c>
      <c r="E9" s="6" t="str">
        <f t="shared" si="0"/>
        <v>00023014557K6</v>
      </c>
      <c r="F9" s="4" t="s">
        <v>47</v>
      </c>
      <c r="G9" s="3">
        <v>45717</v>
      </c>
      <c r="H9" s="4" t="s">
        <v>101</v>
      </c>
      <c r="I9" s="2">
        <v>1</v>
      </c>
      <c r="J9" s="2">
        <v>17</v>
      </c>
      <c r="K9" s="4" t="s">
        <v>51</v>
      </c>
      <c r="L9" s="5">
        <v>0.83</v>
      </c>
      <c r="M9" s="5">
        <v>0</v>
      </c>
      <c r="N9" s="5">
        <v>100</v>
      </c>
      <c r="O9" s="5">
        <v>260.83</v>
      </c>
      <c r="P9" s="4" t="s">
        <v>53</v>
      </c>
      <c r="Q9" s="3">
        <v>45717</v>
      </c>
      <c r="R9" t="s">
        <v>255</v>
      </c>
      <c r="S9" s="10" t="s">
        <v>257</v>
      </c>
    </row>
    <row r="10" spans="1:19" ht="15" x14ac:dyDescent="0.2">
      <c r="A10" s="4" t="s">
        <v>112</v>
      </c>
      <c r="B10" s="6">
        <v>17425766</v>
      </c>
      <c r="C10" s="7" t="s">
        <v>233</v>
      </c>
      <c r="D10" s="9" t="s">
        <v>120</v>
      </c>
      <c r="E10" s="6" t="str">
        <f t="shared" si="0"/>
        <v>00023014721K6</v>
      </c>
      <c r="F10" s="4" t="s">
        <v>47</v>
      </c>
      <c r="G10" s="3">
        <v>45689</v>
      </c>
      <c r="H10" s="4" t="s">
        <v>49</v>
      </c>
      <c r="I10" s="2">
        <v>1</v>
      </c>
      <c r="J10" s="2">
        <v>17</v>
      </c>
      <c r="K10" s="4" t="s">
        <v>51</v>
      </c>
      <c r="L10" s="5">
        <v>0.92</v>
      </c>
      <c r="M10" s="5">
        <v>0</v>
      </c>
      <c r="N10" s="5">
        <v>100</v>
      </c>
      <c r="O10" s="5">
        <v>286.92</v>
      </c>
      <c r="P10" s="4" t="s">
        <v>53</v>
      </c>
      <c r="Q10" s="3">
        <v>45689</v>
      </c>
      <c r="R10" t="s">
        <v>255</v>
      </c>
      <c r="S10" s="10" t="s">
        <v>257</v>
      </c>
    </row>
    <row r="11" spans="1:19" ht="15" x14ac:dyDescent="0.2">
      <c r="A11" s="4" t="s">
        <v>108</v>
      </c>
      <c r="B11" s="6">
        <v>17301495</v>
      </c>
      <c r="C11" s="7" t="s">
        <v>234</v>
      </c>
      <c r="D11" s="9" t="s">
        <v>110</v>
      </c>
      <c r="E11" s="6" t="str">
        <f t="shared" si="0"/>
        <v>00018776777K6</v>
      </c>
      <c r="F11" s="4" t="s">
        <v>47</v>
      </c>
      <c r="G11" s="3">
        <v>45689</v>
      </c>
      <c r="H11" s="4" t="s">
        <v>49</v>
      </c>
      <c r="I11" s="2">
        <v>1</v>
      </c>
      <c r="J11" s="2">
        <v>17</v>
      </c>
      <c r="K11" s="4" t="s">
        <v>51</v>
      </c>
      <c r="L11" s="5">
        <v>0.92</v>
      </c>
      <c r="M11" s="5">
        <v>0</v>
      </c>
      <c r="N11" s="5">
        <v>100</v>
      </c>
      <c r="O11" s="5">
        <v>286.92</v>
      </c>
      <c r="P11" s="4" t="s">
        <v>53</v>
      </c>
      <c r="Q11" s="3">
        <v>45689</v>
      </c>
      <c r="R11" t="s">
        <v>255</v>
      </c>
      <c r="S11" s="10" t="s">
        <v>257</v>
      </c>
    </row>
    <row r="12" spans="1:19" ht="15" x14ac:dyDescent="0.2">
      <c r="A12" s="4" t="s">
        <v>66</v>
      </c>
      <c r="B12" s="6">
        <v>7146581</v>
      </c>
      <c r="C12" s="7" t="s">
        <v>236</v>
      </c>
      <c r="D12" s="9" t="s">
        <v>68</v>
      </c>
      <c r="E12" s="6" t="str">
        <f t="shared" si="0"/>
        <v>00018587911K6</v>
      </c>
      <c r="F12" s="4" t="s">
        <v>47</v>
      </c>
      <c r="G12" s="3">
        <v>45689</v>
      </c>
      <c r="H12" s="4" t="s">
        <v>49</v>
      </c>
      <c r="I12" s="2">
        <v>1</v>
      </c>
      <c r="J12" s="2">
        <v>17</v>
      </c>
      <c r="K12" s="4" t="s">
        <v>51</v>
      </c>
      <c r="L12" s="5">
        <v>0.92</v>
      </c>
      <c r="M12" s="5">
        <v>0</v>
      </c>
      <c r="N12" s="5">
        <v>100</v>
      </c>
      <c r="O12" s="5">
        <v>286.92</v>
      </c>
      <c r="P12" s="4" t="s">
        <v>53</v>
      </c>
      <c r="Q12" s="3">
        <v>45689</v>
      </c>
      <c r="R12" t="s">
        <v>255</v>
      </c>
      <c r="S12" s="10" t="s">
        <v>257</v>
      </c>
    </row>
    <row r="13" spans="1:19" ht="15" x14ac:dyDescent="0.2">
      <c r="A13" s="4" t="s">
        <v>66</v>
      </c>
      <c r="B13" s="6">
        <v>7146581</v>
      </c>
      <c r="C13" s="7" t="s">
        <v>237</v>
      </c>
      <c r="D13" s="9" t="s">
        <v>71</v>
      </c>
      <c r="E13" s="6" t="str">
        <f t="shared" si="0"/>
        <v>00020653240K6</v>
      </c>
      <c r="F13" s="4" t="s">
        <v>47</v>
      </c>
      <c r="G13" s="3">
        <v>45689</v>
      </c>
      <c r="H13" s="4" t="s">
        <v>49</v>
      </c>
      <c r="I13" s="2">
        <v>1</v>
      </c>
      <c r="J13" s="2">
        <v>17</v>
      </c>
      <c r="K13" s="4" t="s">
        <v>51</v>
      </c>
      <c r="L13" s="5">
        <v>0.92</v>
      </c>
      <c r="M13" s="5">
        <v>0</v>
      </c>
      <c r="N13" s="5">
        <v>100</v>
      </c>
      <c r="O13" s="5">
        <v>286.92</v>
      </c>
      <c r="P13" s="4" t="s">
        <v>53</v>
      </c>
      <c r="Q13" s="3">
        <v>45689</v>
      </c>
      <c r="R13" t="s">
        <v>255</v>
      </c>
      <c r="S13" s="10" t="s">
        <v>257</v>
      </c>
    </row>
    <row r="14" spans="1:19" ht="15" x14ac:dyDescent="0.2">
      <c r="A14" s="4" t="s">
        <v>66</v>
      </c>
      <c r="B14" s="6">
        <v>7146581</v>
      </c>
      <c r="C14" s="7" t="s">
        <v>238</v>
      </c>
      <c r="D14" s="9" t="s">
        <v>74</v>
      </c>
      <c r="E14" s="6" t="str">
        <f t="shared" si="0"/>
        <v>00022600289K6</v>
      </c>
      <c r="F14" s="4" t="s">
        <v>47</v>
      </c>
      <c r="G14" s="3">
        <v>45658</v>
      </c>
      <c r="H14" s="4" t="s">
        <v>76</v>
      </c>
      <c r="I14" s="2">
        <v>1</v>
      </c>
      <c r="J14" s="2">
        <v>17</v>
      </c>
      <c r="K14" s="4" t="s">
        <v>51</v>
      </c>
      <c r="L14" s="5">
        <v>0</v>
      </c>
      <c r="M14" s="5">
        <v>0</v>
      </c>
      <c r="N14" s="5">
        <v>100</v>
      </c>
      <c r="O14" s="5">
        <v>-286.91000000000003</v>
      </c>
      <c r="P14" s="4" t="s">
        <v>77</v>
      </c>
      <c r="Q14" s="3">
        <v>45658</v>
      </c>
      <c r="R14" t="s">
        <v>255</v>
      </c>
      <c r="S14" s="10" t="s">
        <v>257</v>
      </c>
    </row>
    <row r="15" spans="1:19" ht="15" x14ac:dyDescent="0.2">
      <c r="A15" s="4" t="s">
        <v>66</v>
      </c>
      <c r="B15" s="6">
        <v>7146581</v>
      </c>
      <c r="C15" s="7" t="s">
        <v>238</v>
      </c>
      <c r="D15" s="9" t="s">
        <v>74</v>
      </c>
      <c r="E15" s="6" t="str">
        <f t="shared" si="0"/>
        <v>00022600289K6</v>
      </c>
      <c r="F15" s="4" t="s">
        <v>47</v>
      </c>
      <c r="G15" s="3">
        <v>45658</v>
      </c>
      <c r="H15" s="4" t="s">
        <v>76</v>
      </c>
      <c r="I15" s="2">
        <v>1</v>
      </c>
      <c r="J15" s="2">
        <v>17</v>
      </c>
      <c r="K15" s="4" t="s">
        <v>51</v>
      </c>
      <c r="L15" s="5">
        <v>-0.92</v>
      </c>
      <c r="M15" s="5">
        <v>0</v>
      </c>
      <c r="N15" s="5">
        <v>100</v>
      </c>
      <c r="O15" s="5">
        <v>-286.92</v>
      </c>
      <c r="P15" s="4" t="s">
        <v>53</v>
      </c>
      <c r="Q15" s="3">
        <v>45658</v>
      </c>
      <c r="R15" t="s">
        <v>255</v>
      </c>
      <c r="S15" s="10" t="s">
        <v>257</v>
      </c>
    </row>
    <row r="16" spans="1:19" ht="15" x14ac:dyDescent="0.2">
      <c r="A16" s="4" t="s">
        <v>66</v>
      </c>
      <c r="B16" s="6">
        <v>7146581</v>
      </c>
      <c r="C16" s="7" t="s">
        <v>239</v>
      </c>
      <c r="D16" s="9" t="s">
        <v>80</v>
      </c>
      <c r="E16" s="6" t="str">
        <f t="shared" si="0"/>
        <v>00023007910K6</v>
      </c>
      <c r="F16" s="4" t="s">
        <v>47</v>
      </c>
      <c r="G16" s="3">
        <v>45689</v>
      </c>
      <c r="H16" s="4" t="s">
        <v>49</v>
      </c>
      <c r="I16" s="2">
        <v>1</v>
      </c>
      <c r="J16" s="2">
        <v>17</v>
      </c>
      <c r="K16" s="4" t="s">
        <v>51</v>
      </c>
      <c r="L16" s="5">
        <v>0.92</v>
      </c>
      <c r="M16" s="5">
        <v>0</v>
      </c>
      <c r="N16" s="5">
        <v>100</v>
      </c>
      <c r="O16" s="5">
        <v>286.92</v>
      </c>
      <c r="P16" s="4" t="s">
        <v>53</v>
      </c>
      <c r="Q16" s="3">
        <v>45689</v>
      </c>
      <c r="R16" t="s">
        <v>255</v>
      </c>
      <c r="S16" s="10" t="s">
        <v>257</v>
      </c>
    </row>
    <row r="17" spans="1:19" s="18" customFormat="1" ht="15" x14ac:dyDescent="0.2">
      <c r="A17" s="11" t="s">
        <v>97</v>
      </c>
      <c r="B17" s="12">
        <v>16202925</v>
      </c>
      <c r="C17" s="13" t="s">
        <v>241</v>
      </c>
      <c r="D17" s="14" t="s">
        <v>99</v>
      </c>
      <c r="E17" s="12" t="str">
        <f t="shared" si="0"/>
        <v>00023018094K6</v>
      </c>
      <c r="F17" s="11" t="s">
        <v>47</v>
      </c>
      <c r="G17" s="15">
        <v>45717</v>
      </c>
      <c r="H17" s="11" t="s">
        <v>101</v>
      </c>
      <c r="I17" s="16">
        <v>1</v>
      </c>
      <c r="J17" s="16">
        <v>17</v>
      </c>
      <c r="K17" s="11" t="s">
        <v>51</v>
      </c>
      <c r="L17" s="17">
        <v>0.83</v>
      </c>
      <c r="M17" s="17">
        <v>0</v>
      </c>
      <c r="N17" s="17">
        <v>100</v>
      </c>
      <c r="O17" s="17">
        <v>45.83</v>
      </c>
      <c r="P17" s="11" t="s">
        <v>53</v>
      </c>
      <c r="Q17" s="15">
        <v>45717</v>
      </c>
      <c r="R17" s="18" t="s">
        <v>258</v>
      </c>
      <c r="S17" s="19"/>
    </row>
    <row r="18" spans="1:19" ht="15" x14ac:dyDescent="0.2">
      <c r="A18" s="4" t="s">
        <v>122</v>
      </c>
      <c r="B18" s="6">
        <v>9213293</v>
      </c>
      <c r="C18" s="7" t="s">
        <v>242</v>
      </c>
      <c r="D18" s="9" t="s">
        <v>124</v>
      </c>
      <c r="E18" s="6" t="str">
        <f t="shared" si="0"/>
        <v>00002268815K6</v>
      </c>
      <c r="F18" s="4" t="s">
        <v>47</v>
      </c>
      <c r="G18" s="3">
        <v>45658</v>
      </c>
      <c r="H18" s="4" t="s">
        <v>76</v>
      </c>
      <c r="I18" s="2">
        <v>1</v>
      </c>
      <c r="J18" s="2">
        <v>17</v>
      </c>
      <c r="K18" s="4" t="s">
        <v>51</v>
      </c>
      <c r="L18" s="5">
        <v>-0.92</v>
      </c>
      <c r="M18" s="5">
        <v>0</v>
      </c>
      <c r="N18" s="5">
        <v>100</v>
      </c>
      <c r="O18" s="5">
        <v>-286.92</v>
      </c>
      <c r="P18" s="4" t="s">
        <v>53</v>
      </c>
      <c r="Q18" s="3">
        <v>45658</v>
      </c>
      <c r="R18" t="s">
        <v>255</v>
      </c>
      <c r="S18" s="10" t="s">
        <v>257</v>
      </c>
    </row>
    <row r="19" spans="1:19" ht="15" x14ac:dyDescent="0.2">
      <c r="A19" s="4" t="s">
        <v>122</v>
      </c>
      <c r="B19" s="6">
        <v>9213293</v>
      </c>
      <c r="C19" s="7" t="s">
        <v>243</v>
      </c>
      <c r="D19" s="9" t="s">
        <v>127</v>
      </c>
      <c r="E19" s="6" t="str">
        <f t="shared" si="0"/>
        <v>00012290150K6</v>
      </c>
      <c r="F19" s="4" t="s">
        <v>47</v>
      </c>
      <c r="G19" s="3">
        <v>45658</v>
      </c>
      <c r="H19" s="4" t="s">
        <v>76</v>
      </c>
      <c r="I19" s="2">
        <v>1</v>
      </c>
      <c r="J19" s="2">
        <v>17</v>
      </c>
      <c r="K19" s="4" t="s">
        <v>51</v>
      </c>
      <c r="L19" s="5">
        <v>-0.92</v>
      </c>
      <c r="M19" s="5">
        <v>0</v>
      </c>
      <c r="N19" s="5">
        <v>100</v>
      </c>
      <c r="O19" s="5">
        <v>-286.92</v>
      </c>
      <c r="P19" s="4" t="s">
        <v>53</v>
      </c>
      <c r="Q19" s="3">
        <v>45658</v>
      </c>
      <c r="R19" t="s">
        <v>255</v>
      </c>
      <c r="S19" s="10" t="s">
        <v>257</v>
      </c>
    </row>
    <row r="20" spans="1:19" ht="15" x14ac:dyDescent="0.2">
      <c r="A20" s="4" t="s">
        <v>122</v>
      </c>
      <c r="B20" s="6">
        <v>9213293</v>
      </c>
      <c r="C20" s="7" t="s">
        <v>244</v>
      </c>
      <c r="D20" s="9" t="s">
        <v>130</v>
      </c>
      <c r="E20" s="6" t="str">
        <f t="shared" si="0"/>
        <v>00019550503K6</v>
      </c>
      <c r="F20" s="4" t="s">
        <v>47</v>
      </c>
      <c r="G20" s="3">
        <v>45689</v>
      </c>
      <c r="H20" s="4" t="s">
        <v>49</v>
      </c>
      <c r="I20" s="2">
        <v>1</v>
      </c>
      <c r="J20" s="2">
        <v>17</v>
      </c>
      <c r="K20" s="4" t="s">
        <v>51</v>
      </c>
      <c r="L20" s="5">
        <v>0.92</v>
      </c>
      <c r="M20" s="5">
        <v>0</v>
      </c>
      <c r="N20" s="5">
        <v>100</v>
      </c>
      <c r="O20" s="5">
        <v>286.92</v>
      </c>
      <c r="P20" s="4" t="s">
        <v>53</v>
      </c>
      <c r="Q20" s="3">
        <v>45689</v>
      </c>
      <c r="R20" t="s">
        <v>255</v>
      </c>
      <c r="S20" s="10" t="s">
        <v>257</v>
      </c>
    </row>
    <row r="21" spans="1:19" ht="15" x14ac:dyDescent="0.2">
      <c r="A21" s="4" t="s">
        <v>149</v>
      </c>
      <c r="B21" s="6">
        <v>19645587</v>
      </c>
      <c r="C21" s="7" t="s">
        <v>245</v>
      </c>
      <c r="D21" s="9" t="s">
        <v>151</v>
      </c>
      <c r="E21" s="6" t="str">
        <f t="shared" si="0"/>
        <v>00023011457K6</v>
      </c>
      <c r="F21" s="4" t="s">
        <v>47</v>
      </c>
      <c r="G21" s="3">
        <v>45689</v>
      </c>
      <c r="H21" s="4" t="s">
        <v>49</v>
      </c>
      <c r="I21" s="2">
        <v>1</v>
      </c>
      <c r="J21" s="2">
        <v>17</v>
      </c>
      <c r="K21" s="4" t="s">
        <v>51</v>
      </c>
      <c r="L21" s="5">
        <v>0.92</v>
      </c>
      <c r="M21" s="5">
        <v>0</v>
      </c>
      <c r="N21" s="5">
        <v>100</v>
      </c>
      <c r="O21" s="5">
        <v>286.92</v>
      </c>
      <c r="P21" s="4" t="s">
        <v>53</v>
      </c>
      <c r="Q21" s="3">
        <v>45689</v>
      </c>
      <c r="R21" t="s">
        <v>255</v>
      </c>
      <c r="S21" s="10" t="s">
        <v>257</v>
      </c>
    </row>
    <row r="22" spans="1:19" ht="15" x14ac:dyDescent="0.2">
      <c r="A22" s="4" t="s">
        <v>136</v>
      </c>
      <c r="B22" s="6">
        <v>19586992</v>
      </c>
      <c r="C22" s="7" t="s">
        <v>246</v>
      </c>
      <c r="D22" s="9" t="s">
        <v>138</v>
      </c>
      <c r="E22" s="6" t="str">
        <f t="shared" si="0"/>
        <v>00022799835K6</v>
      </c>
      <c r="F22" s="4" t="s">
        <v>47</v>
      </c>
      <c r="G22" s="3">
        <v>45658</v>
      </c>
      <c r="H22" s="4" t="s">
        <v>76</v>
      </c>
      <c r="I22" s="2">
        <v>1</v>
      </c>
      <c r="J22" s="2">
        <v>17</v>
      </c>
      <c r="K22" s="4" t="s">
        <v>51</v>
      </c>
      <c r="L22" s="5">
        <v>-0.92</v>
      </c>
      <c r="M22" s="5">
        <v>0</v>
      </c>
      <c r="N22" s="5">
        <v>100</v>
      </c>
      <c r="O22" s="5">
        <v>-286.92</v>
      </c>
      <c r="P22" s="4" t="s">
        <v>53</v>
      </c>
      <c r="Q22" s="3">
        <v>45658</v>
      </c>
      <c r="R22" t="s">
        <v>255</v>
      </c>
      <c r="S22" s="10" t="s">
        <v>257</v>
      </c>
    </row>
    <row r="23" spans="1:19" s="18" customFormat="1" ht="15" x14ac:dyDescent="0.2">
      <c r="A23" s="11" t="s">
        <v>140</v>
      </c>
      <c r="B23" s="12">
        <v>19681796</v>
      </c>
      <c r="C23" s="13" t="s">
        <v>247</v>
      </c>
      <c r="D23" s="14" t="s">
        <v>142</v>
      </c>
      <c r="E23" s="12" t="str">
        <f t="shared" si="0"/>
        <v>00023000108K6</v>
      </c>
      <c r="F23" s="11" t="s">
        <v>47</v>
      </c>
      <c r="G23" s="15">
        <v>45717</v>
      </c>
      <c r="H23" s="11" t="s">
        <v>101</v>
      </c>
      <c r="I23" s="16">
        <v>1</v>
      </c>
      <c r="J23" s="16">
        <v>17</v>
      </c>
      <c r="K23" s="11" t="s">
        <v>51</v>
      </c>
      <c r="L23" s="17">
        <v>0.83</v>
      </c>
      <c r="M23" s="17">
        <v>0</v>
      </c>
      <c r="N23" s="17">
        <v>100</v>
      </c>
      <c r="O23" s="17">
        <v>260.83</v>
      </c>
      <c r="P23" s="11" t="s">
        <v>53</v>
      </c>
      <c r="Q23" s="15">
        <v>45717</v>
      </c>
      <c r="R23" t="s">
        <v>255</v>
      </c>
      <c r="S23" s="10" t="s">
        <v>259</v>
      </c>
    </row>
    <row r="24" spans="1:19" ht="15" x14ac:dyDescent="0.2">
      <c r="A24" s="4" t="s">
        <v>62</v>
      </c>
      <c r="B24" s="6">
        <v>8307933</v>
      </c>
      <c r="C24" s="7" t="s">
        <v>248</v>
      </c>
      <c r="D24" s="9" t="s">
        <v>64</v>
      </c>
      <c r="E24" s="6" t="str">
        <f t="shared" si="0"/>
        <v>00023005723K6</v>
      </c>
      <c r="F24" s="4" t="s">
        <v>47</v>
      </c>
      <c r="G24" s="3">
        <v>45689</v>
      </c>
      <c r="H24" s="4" t="s">
        <v>49</v>
      </c>
      <c r="I24" s="2">
        <v>1</v>
      </c>
      <c r="J24" s="2">
        <v>17</v>
      </c>
      <c r="K24" s="4" t="s">
        <v>51</v>
      </c>
      <c r="L24" s="5">
        <v>0.92</v>
      </c>
      <c r="M24" s="5">
        <v>0</v>
      </c>
      <c r="N24" s="5">
        <v>100</v>
      </c>
      <c r="O24" s="5">
        <v>286.92</v>
      </c>
      <c r="P24" s="4" t="s">
        <v>53</v>
      </c>
      <c r="Q24" s="3">
        <v>45689</v>
      </c>
      <c r="R24" t="s">
        <v>255</v>
      </c>
      <c r="S24" s="10" t="s">
        <v>257</v>
      </c>
    </row>
    <row r="25" spans="1:19" ht="15" x14ac:dyDescent="0.2">
      <c r="A25" s="4" t="s">
        <v>132</v>
      </c>
      <c r="B25" s="6">
        <v>18754354</v>
      </c>
      <c r="C25" s="7" t="s">
        <v>249</v>
      </c>
      <c r="D25" s="9" t="s">
        <v>134</v>
      </c>
      <c r="E25" s="6" t="str">
        <f t="shared" si="0"/>
        <v>00019892298K6</v>
      </c>
      <c r="F25" s="4" t="s">
        <v>47</v>
      </c>
      <c r="G25" s="3">
        <v>45689</v>
      </c>
      <c r="H25" s="4" t="s">
        <v>49</v>
      </c>
      <c r="I25" s="2">
        <v>1</v>
      </c>
      <c r="J25" s="2">
        <v>17</v>
      </c>
      <c r="K25" s="4" t="s">
        <v>51</v>
      </c>
      <c r="L25" s="5">
        <v>0.92</v>
      </c>
      <c r="M25" s="5">
        <v>0</v>
      </c>
      <c r="N25" s="5">
        <v>100</v>
      </c>
      <c r="O25" s="5">
        <v>286.92</v>
      </c>
      <c r="P25" s="4" t="s">
        <v>53</v>
      </c>
      <c r="Q25" s="3">
        <v>45689</v>
      </c>
      <c r="R25" t="s">
        <v>255</v>
      </c>
      <c r="S25" s="10" t="s">
        <v>257</v>
      </c>
    </row>
    <row r="26" spans="1:19" ht="15" x14ac:dyDescent="0.2">
      <c r="A26" s="4" t="s">
        <v>82</v>
      </c>
      <c r="B26" s="6">
        <v>16633294</v>
      </c>
      <c r="C26" s="7" t="s">
        <v>250</v>
      </c>
      <c r="D26" s="9" t="s">
        <v>84</v>
      </c>
      <c r="E26" s="6" t="str">
        <f t="shared" si="0"/>
        <v>00008587923K6</v>
      </c>
      <c r="F26" s="4" t="s">
        <v>47</v>
      </c>
      <c r="G26" s="3">
        <v>45658</v>
      </c>
      <c r="H26" s="4" t="s">
        <v>76</v>
      </c>
      <c r="I26" s="2">
        <v>1</v>
      </c>
      <c r="J26" s="2">
        <v>17</v>
      </c>
      <c r="K26" s="4" t="s">
        <v>51</v>
      </c>
      <c r="L26" s="5">
        <v>-0.92</v>
      </c>
      <c r="M26" s="5">
        <v>0</v>
      </c>
      <c r="N26" s="5">
        <v>100</v>
      </c>
      <c r="O26" s="5">
        <v>-286.92</v>
      </c>
      <c r="P26" s="4" t="s">
        <v>53</v>
      </c>
      <c r="Q26" s="3">
        <v>45658</v>
      </c>
      <c r="R26" t="s">
        <v>255</v>
      </c>
      <c r="S26" s="10" t="s">
        <v>257</v>
      </c>
    </row>
    <row r="27" spans="1:19" ht="15" x14ac:dyDescent="0.2">
      <c r="A27" s="4" t="s">
        <v>82</v>
      </c>
      <c r="B27" s="6">
        <v>16633294</v>
      </c>
      <c r="C27" s="7" t="s">
        <v>251</v>
      </c>
      <c r="D27" s="9" t="s">
        <v>89</v>
      </c>
      <c r="E27" s="6" t="str">
        <f t="shared" si="0"/>
        <v>00010438260K6</v>
      </c>
      <c r="F27" s="4" t="s">
        <v>47</v>
      </c>
      <c r="G27" s="3">
        <v>45658</v>
      </c>
      <c r="H27" s="4" t="s">
        <v>76</v>
      </c>
      <c r="I27" s="2">
        <v>1</v>
      </c>
      <c r="J27" s="2">
        <v>17</v>
      </c>
      <c r="K27" s="4" t="s">
        <v>51</v>
      </c>
      <c r="L27" s="5">
        <v>1</v>
      </c>
      <c r="M27" s="5">
        <v>0</v>
      </c>
      <c r="N27" s="5">
        <v>100</v>
      </c>
      <c r="O27" s="5">
        <v>313</v>
      </c>
      <c r="P27" s="4" t="s">
        <v>53</v>
      </c>
      <c r="Q27" s="3">
        <v>45658</v>
      </c>
      <c r="R27" t="s">
        <v>255</v>
      </c>
      <c r="S27" s="10" t="s">
        <v>256</v>
      </c>
    </row>
    <row r="28" spans="1:19" ht="15" x14ac:dyDescent="0.2">
      <c r="A28" s="4" t="s">
        <v>82</v>
      </c>
      <c r="B28" s="6">
        <v>16633294</v>
      </c>
      <c r="C28" s="7" t="s">
        <v>252</v>
      </c>
      <c r="D28" s="9" t="s">
        <v>92</v>
      </c>
      <c r="E28" s="6" t="str">
        <f t="shared" si="0"/>
        <v>00015921491K6</v>
      </c>
      <c r="F28" s="4" t="s">
        <v>47</v>
      </c>
      <c r="G28" s="3">
        <v>45658</v>
      </c>
      <c r="H28" s="4" t="s">
        <v>76</v>
      </c>
      <c r="I28" s="2">
        <v>1</v>
      </c>
      <c r="J28" s="2">
        <v>17</v>
      </c>
      <c r="K28" s="4" t="s">
        <v>51</v>
      </c>
      <c r="L28" s="5">
        <v>-0.92</v>
      </c>
      <c r="M28" s="5">
        <v>0</v>
      </c>
      <c r="N28" s="5">
        <v>100</v>
      </c>
      <c r="O28" s="5">
        <v>-286.92</v>
      </c>
      <c r="P28" s="4" t="s">
        <v>53</v>
      </c>
      <c r="Q28" s="3">
        <v>45658</v>
      </c>
      <c r="R28" t="s">
        <v>255</v>
      </c>
      <c r="S28" s="10" t="s">
        <v>257</v>
      </c>
    </row>
    <row r="29" spans="1:19" ht="15" x14ac:dyDescent="0.2">
      <c r="A29" s="4" t="s">
        <v>82</v>
      </c>
      <c r="B29" s="6">
        <v>16633294</v>
      </c>
      <c r="C29" s="7" t="s">
        <v>252</v>
      </c>
      <c r="D29" s="9" t="s">
        <v>92</v>
      </c>
      <c r="E29" s="6" t="str">
        <f t="shared" si="0"/>
        <v>00015921491K6</v>
      </c>
      <c r="F29" s="4" t="s">
        <v>47</v>
      </c>
      <c r="G29" s="3">
        <v>45689</v>
      </c>
      <c r="H29" s="4" t="s">
        <v>49</v>
      </c>
      <c r="I29" s="2">
        <v>1</v>
      </c>
      <c r="J29" s="2">
        <v>17</v>
      </c>
      <c r="K29" s="4" t="s">
        <v>51</v>
      </c>
      <c r="L29" s="5">
        <v>0.92</v>
      </c>
      <c r="M29" s="5">
        <v>0</v>
      </c>
      <c r="N29" s="5">
        <v>100</v>
      </c>
      <c r="O29" s="5">
        <v>286.92</v>
      </c>
      <c r="P29" s="4" t="s">
        <v>53</v>
      </c>
      <c r="Q29" s="3">
        <v>45689</v>
      </c>
      <c r="R29" t="s">
        <v>255</v>
      </c>
      <c r="S29" s="10" t="s">
        <v>257</v>
      </c>
    </row>
    <row r="30" spans="1:19" ht="15" x14ac:dyDescent="0.2">
      <c r="A30" s="4" t="s">
        <v>82</v>
      </c>
      <c r="B30" s="6">
        <v>16633294</v>
      </c>
      <c r="C30" s="7" t="s">
        <v>253</v>
      </c>
      <c r="D30" s="9" t="s">
        <v>95</v>
      </c>
      <c r="E30" s="6" t="str">
        <f t="shared" si="0"/>
        <v>00019388448K6</v>
      </c>
      <c r="F30" s="4" t="s">
        <v>47</v>
      </c>
      <c r="G30" s="3">
        <v>45658</v>
      </c>
      <c r="H30" s="4" t="s">
        <v>76</v>
      </c>
      <c r="I30" s="2">
        <v>1</v>
      </c>
      <c r="J30" s="2">
        <v>17</v>
      </c>
      <c r="K30" s="4" t="s">
        <v>51</v>
      </c>
      <c r="L30" s="5">
        <v>-0.92</v>
      </c>
      <c r="M30" s="5">
        <v>0</v>
      </c>
      <c r="N30" s="5">
        <v>100</v>
      </c>
      <c r="O30" s="5">
        <v>-286.92</v>
      </c>
      <c r="P30" s="4" t="s">
        <v>53</v>
      </c>
      <c r="Q30" s="3">
        <v>45658</v>
      </c>
      <c r="R30" t="s">
        <v>255</v>
      </c>
      <c r="S30" s="10" t="s">
        <v>257</v>
      </c>
    </row>
    <row r="31" spans="1:19" x14ac:dyDescent="0.15">
      <c r="A31" s="4" t="s">
        <v>153</v>
      </c>
      <c r="B31" s="6">
        <v>8244481</v>
      </c>
      <c r="C31" s="7" t="s">
        <v>228</v>
      </c>
      <c r="D31" s="6">
        <v>9028205190</v>
      </c>
      <c r="E31" s="6" t="str">
        <f>CONCATENATE(D31,4)</f>
        <v>90282051904</v>
      </c>
      <c r="F31" s="4" t="s">
        <v>156</v>
      </c>
      <c r="G31" s="3">
        <v>45689</v>
      </c>
      <c r="H31" s="4" t="s">
        <v>49</v>
      </c>
      <c r="I31" s="2">
        <v>2</v>
      </c>
      <c r="J31" s="2">
        <v>60</v>
      </c>
      <c r="K31" s="4" t="s">
        <v>159</v>
      </c>
      <c r="L31" s="5">
        <v>10</v>
      </c>
      <c r="M31" s="5">
        <v>26.88</v>
      </c>
      <c r="N31" s="5">
        <v>100</v>
      </c>
      <c r="O31" s="5">
        <v>2.69</v>
      </c>
      <c r="P31" s="4" t="s">
        <v>160</v>
      </c>
      <c r="Q31" s="3">
        <v>45276</v>
      </c>
      <c r="R31" t="s">
        <v>254</v>
      </c>
    </row>
    <row r="32" spans="1:19" x14ac:dyDescent="0.15">
      <c r="A32" s="4" t="s">
        <v>165</v>
      </c>
      <c r="B32" s="6">
        <v>15278437</v>
      </c>
      <c r="C32" s="7" t="s">
        <v>235</v>
      </c>
      <c r="D32" s="6">
        <v>654656220</v>
      </c>
      <c r="E32" s="6" t="str">
        <f>CONCATENATE(D32,4)</f>
        <v>6546562204</v>
      </c>
      <c r="F32" s="4" t="s">
        <v>156</v>
      </c>
      <c r="G32" s="3">
        <v>45689</v>
      </c>
      <c r="H32" s="4" t="s">
        <v>49</v>
      </c>
      <c r="I32" s="2">
        <v>1</v>
      </c>
      <c r="J32" s="2">
        <v>60</v>
      </c>
      <c r="K32" s="4" t="s">
        <v>159</v>
      </c>
      <c r="L32" s="5">
        <v>10</v>
      </c>
      <c r="M32" s="5">
        <v>12.99</v>
      </c>
      <c r="N32" s="5">
        <v>100</v>
      </c>
      <c r="O32" s="5">
        <v>1.3</v>
      </c>
      <c r="P32" s="4" t="s">
        <v>168</v>
      </c>
      <c r="Q32" s="3">
        <v>45371</v>
      </c>
      <c r="R32" t="s">
        <v>254</v>
      </c>
    </row>
  </sheetData>
  <sortState xmlns:xlrd2="http://schemas.microsoft.com/office/spreadsheetml/2017/richdata2" ref="A2:Q32">
    <sortCondition ref="K2:K32"/>
  </sortState>
  <phoneticPr fontId="19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7115-5DF9-8D49-A2D4-643A31F9AD91}">
  <dimension ref="A1:C31"/>
  <sheetViews>
    <sheetView workbookViewId="0">
      <selection activeCell="C1" sqref="C1:C31"/>
    </sheetView>
  </sheetViews>
  <sheetFormatPr baseColWidth="10" defaultRowHeight="13" x14ac:dyDescent="0.15"/>
  <cols>
    <col min="3" max="3" width="12.83203125" bestFit="1" customWidth="1"/>
  </cols>
  <sheetData>
    <row r="1" spans="1:3" x14ac:dyDescent="0.15">
      <c r="A1" s="4" t="s">
        <v>171</v>
      </c>
      <c r="B1" t="s">
        <v>172</v>
      </c>
      <c r="C1" t="str">
        <f>CONCATENATE(B1, " ",A1)</f>
        <v>MAXINE LOVE</v>
      </c>
    </row>
    <row r="2" spans="1:3" x14ac:dyDescent="0.15">
      <c r="A2" s="4" t="s">
        <v>171</v>
      </c>
      <c r="B2" t="s">
        <v>173</v>
      </c>
      <c r="C2" t="str">
        <f t="shared" ref="C2:C31" si="0">CONCATENATE(B2, " ",A2)</f>
        <v>MICHAEL LOVE</v>
      </c>
    </row>
    <row r="3" spans="1:3" x14ac:dyDescent="0.15">
      <c r="A3" s="4" t="s">
        <v>174</v>
      </c>
      <c r="B3" t="s">
        <v>175</v>
      </c>
      <c r="C3" t="str">
        <f t="shared" si="0"/>
        <v>DENNIS CONNERY</v>
      </c>
    </row>
    <row r="4" spans="1:3" x14ac:dyDescent="0.15">
      <c r="A4" s="4" t="s">
        <v>176</v>
      </c>
      <c r="B4" t="s">
        <v>177</v>
      </c>
      <c r="C4" t="str">
        <f t="shared" si="0"/>
        <v>Joseph Elliott</v>
      </c>
    </row>
    <row r="5" spans="1:3" x14ac:dyDescent="0.15">
      <c r="A5" s="4" t="s">
        <v>178</v>
      </c>
      <c r="B5" t="s">
        <v>179</v>
      </c>
      <c r="C5" t="str">
        <f t="shared" si="0"/>
        <v>LINDA LEIGH</v>
      </c>
    </row>
    <row r="6" spans="1:3" x14ac:dyDescent="0.15">
      <c r="A6" s="4" t="s">
        <v>180</v>
      </c>
      <c r="B6" t="s">
        <v>181</v>
      </c>
      <c r="C6" t="str">
        <f t="shared" si="0"/>
        <v>DARRELL ANDREWS</v>
      </c>
    </row>
    <row r="7" spans="1:3" x14ac:dyDescent="0.15">
      <c r="A7" s="4" t="s">
        <v>182</v>
      </c>
      <c r="B7" t="s">
        <v>183</v>
      </c>
      <c r="C7" t="str">
        <f t="shared" si="0"/>
        <v>SANDRA RODRIGUEZ</v>
      </c>
    </row>
    <row r="8" spans="1:3" x14ac:dyDescent="0.15">
      <c r="A8" s="4" t="s">
        <v>184</v>
      </c>
      <c r="B8" t="s">
        <v>185</v>
      </c>
      <c r="C8" t="str">
        <f t="shared" si="0"/>
        <v>KAREN KNOWLES</v>
      </c>
    </row>
    <row r="9" spans="1:3" x14ac:dyDescent="0.15">
      <c r="A9" s="4" t="s">
        <v>186</v>
      </c>
      <c r="B9" t="s">
        <v>187</v>
      </c>
      <c r="C9" t="str">
        <f t="shared" si="0"/>
        <v>MINDY SEGERMEISTER</v>
      </c>
    </row>
    <row r="10" spans="1:3" x14ac:dyDescent="0.15">
      <c r="A10" s="4" t="s">
        <v>188</v>
      </c>
      <c r="B10" t="s">
        <v>189</v>
      </c>
      <c r="C10" t="str">
        <f t="shared" si="0"/>
        <v>YOLANDA HERRON</v>
      </c>
    </row>
    <row r="11" spans="1:3" x14ac:dyDescent="0.15">
      <c r="A11" s="4" t="s">
        <v>190</v>
      </c>
      <c r="B11" t="s">
        <v>191</v>
      </c>
      <c r="C11" t="str">
        <f t="shared" si="0"/>
        <v>Elliot Gerber</v>
      </c>
    </row>
    <row r="12" spans="1:3" x14ac:dyDescent="0.15">
      <c r="A12" s="4" t="s">
        <v>192</v>
      </c>
      <c r="B12" t="s">
        <v>193</v>
      </c>
      <c r="C12" t="str">
        <f t="shared" si="0"/>
        <v>LINAS JABLONSKIS</v>
      </c>
    </row>
    <row r="13" spans="1:3" x14ac:dyDescent="0.15">
      <c r="A13" s="4" t="s">
        <v>192</v>
      </c>
      <c r="B13" t="s">
        <v>194</v>
      </c>
      <c r="C13" t="str">
        <f t="shared" si="0"/>
        <v>FELICIJA JABLONSKIS</v>
      </c>
    </row>
    <row r="14" spans="1:3" x14ac:dyDescent="0.15">
      <c r="A14" s="4" t="s">
        <v>195</v>
      </c>
      <c r="B14" t="s">
        <v>196</v>
      </c>
      <c r="C14" t="str">
        <f t="shared" si="0"/>
        <v>GAY LAWRENCE</v>
      </c>
    </row>
    <row r="15" spans="1:3" x14ac:dyDescent="0.15">
      <c r="A15" s="4" t="s">
        <v>195</v>
      </c>
      <c r="B15" t="s">
        <v>196</v>
      </c>
      <c r="C15" t="str">
        <f t="shared" si="0"/>
        <v>GAY LAWRENCE</v>
      </c>
    </row>
    <row r="16" spans="1:3" x14ac:dyDescent="0.15">
      <c r="A16" s="4" t="s">
        <v>197</v>
      </c>
      <c r="B16" t="s">
        <v>198</v>
      </c>
      <c r="C16" t="str">
        <f t="shared" si="0"/>
        <v>SYLVIA BRAY</v>
      </c>
    </row>
    <row r="17" spans="1:3" x14ac:dyDescent="0.15">
      <c r="A17" s="4" t="s">
        <v>199</v>
      </c>
      <c r="B17" t="s">
        <v>200</v>
      </c>
      <c r="C17" t="str">
        <f t="shared" si="0"/>
        <v>Jerry Grychowski</v>
      </c>
    </row>
    <row r="18" spans="1:3" x14ac:dyDescent="0.15">
      <c r="A18" s="4" t="s">
        <v>201</v>
      </c>
      <c r="B18" t="s">
        <v>202</v>
      </c>
      <c r="C18" t="str">
        <f t="shared" si="0"/>
        <v>DEBBIE RICE</v>
      </c>
    </row>
    <row r="19" spans="1:3" x14ac:dyDescent="0.15">
      <c r="A19" s="4" t="s">
        <v>203</v>
      </c>
      <c r="B19" t="s">
        <v>204</v>
      </c>
      <c r="C19" t="str">
        <f t="shared" si="0"/>
        <v>RICARDO CASTELLANO</v>
      </c>
    </row>
    <row r="20" spans="1:3" x14ac:dyDescent="0.15">
      <c r="A20" s="4" t="s">
        <v>205</v>
      </c>
      <c r="B20" t="s">
        <v>206</v>
      </c>
      <c r="C20" t="str">
        <f t="shared" si="0"/>
        <v>VICKY DOWNS</v>
      </c>
    </row>
    <row r="21" spans="1:3" x14ac:dyDescent="0.15">
      <c r="A21" s="4" t="s">
        <v>207</v>
      </c>
      <c r="B21" t="s">
        <v>208</v>
      </c>
      <c r="C21" t="str">
        <f t="shared" si="0"/>
        <v>MARGUERITE REYES</v>
      </c>
    </row>
    <row r="22" spans="1:3" x14ac:dyDescent="0.15">
      <c r="A22" s="4" t="s">
        <v>209</v>
      </c>
      <c r="B22" t="s">
        <v>210</v>
      </c>
      <c r="C22" t="str">
        <f t="shared" si="0"/>
        <v>DAVID COMOLLI</v>
      </c>
    </row>
    <row r="23" spans="1:3" x14ac:dyDescent="0.15">
      <c r="A23" s="4" t="s">
        <v>211</v>
      </c>
      <c r="B23" t="s">
        <v>212</v>
      </c>
      <c r="C23" t="str">
        <f t="shared" si="0"/>
        <v>ANDREW SCHAEFFER</v>
      </c>
    </row>
    <row r="24" spans="1:3" x14ac:dyDescent="0.15">
      <c r="A24" s="4" t="s">
        <v>213</v>
      </c>
      <c r="B24" t="s">
        <v>214</v>
      </c>
      <c r="C24" t="str">
        <f t="shared" si="0"/>
        <v>CHERYL GILBERT</v>
      </c>
    </row>
    <row r="25" spans="1:3" x14ac:dyDescent="0.15">
      <c r="A25" s="4" t="s">
        <v>215</v>
      </c>
      <c r="B25" t="s">
        <v>216</v>
      </c>
      <c r="C25" t="str">
        <f t="shared" si="0"/>
        <v>WAYNE WEAVER</v>
      </c>
    </row>
    <row r="26" spans="1:3" x14ac:dyDescent="0.15">
      <c r="A26" s="4" t="s">
        <v>217</v>
      </c>
      <c r="B26" t="s">
        <v>173</v>
      </c>
      <c r="C26" t="str">
        <f t="shared" si="0"/>
        <v>MICHAEL TROTOCHAUD</v>
      </c>
    </row>
    <row r="27" spans="1:3" x14ac:dyDescent="0.15">
      <c r="A27" s="4" t="s">
        <v>218</v>
      </c>
      <c r="B27" t="s">
        <v>219</v>
      </c>
      <c r="C27" t="str">
        <f t="shared" si="0"/>
        <v>HEIDI RUELOS</v>
      </c>
    </row>
    <row r="28" spans="1:3" x14ac:dyDescent="0.15">
      <c r="A28" s="4" t="s">
        <v>220</v>
      </c>
      <c r="B28" t="s">
        <v>221</v>
      </c>
      <c r="C28" t="str">
        <f t="shared" si="0"/>
        <v>VIDOSAVA MAISLINGER</v>
      </c>
    </row>
    <row r="29" spans="1:3" x14ac:dyDescent="0.15">
      <c r="A29" s="4" t="s">
        <v>222</v>
      </c>
      <c r="B29" t="s">
        <v>223</v>
      </c>
      <c r="C29" t="str">
        <f t="shared" si="0"/>
        <v>PHILIP TRAUSCH</v>
      </c>
    </row>
    <row r="30" spans="1:3" x14ac:dyDescent="0.15">
      <c r="A30" s="4" t="s">
        <v>222</v>
      </c>
      <c r="B30" t="s">
        <v>223</v>
      </c>
      <c r="C30" t="str">
        <f t="shared" si="0"/>
        <v>PHILIP TRAUSCH</v>
      </c>
    </row>
    <row r="31" spans="1:3" x14ac:dyDescent="0.15">
      <c r="A31" s="4" t="s">
        <v>222</v>
      </c>
      <c r="B31" t="s">
        <v>224</v>
      </c>
      <c r="C31" t="str">
        <f t="shared" si="0"/>
        <v>CYNTHIA TRAUSCH</v>
      </c>
    </row>
  </sheetData>
  <dataConsolidate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2025-01-23T15:01:23Z</dcterms:created>
  <dcterms:modified xsi:type="dcterms:W3CDTF">2025-01-28T13:47:54Z</dcterms:modified>
</cp:coreProperties>
</file>