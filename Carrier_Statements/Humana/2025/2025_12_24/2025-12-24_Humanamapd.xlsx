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2-24-25\"/>
    </mc:Choice>
  </mc:AlternateContent>
  <xr:revisionPtr revIDLastSave="0" documentId="13_ncr:1_{1559C014-718D-4267-A5CE-8780CB3D5FC2}" xr6:coauthVersionLast="47" xr6:coauthVersionMax="47" xr10:uidLastSave="{00000000-0000-0000-0000-000000000000}"/>
  <bookViews>
    <workbookView xWindow="28680" yWindow="-120" windowWidth="29040" windowHeight="16440" activeTab="1" xr2:uid="{42BAC324-5CAB-4376-A242-F2C7BDE1E7C4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V7" i="2" l="1"/>
  <c r="V8" i="2"/>
  <c r="V9" i="2"/>
  <c r="V6" i="2"/>
  <c r="V3" i="2"/>
  <c r="V4" i="2"/>
  <c r="V5" i="2"/>
  <c r="V2" i="2"/>
  <c r="S9" i="2"/>
  <c r="S7" i="2"/>
  <c r="S8" i="2"/>
  <c r="S6" i="2"/>
  <c r="S5" i="2"/>
  <c r="S4" i="2"/>
  <c r="S3" i="2"/>
  <c r="S2" i="2"/>
</calcChain>
</file>

<file path=xl/sharedStrings.xml><?xml version="1.0" encoding="utf-8"?>
<sst xmlns="http://schemas.openxmlformats.org/spreadsheetml/2006/main" count="382" uniqueCount="107">
  <si>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</si>
  <si>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</si>
  <si>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</si>
  <si>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</si>
  <si>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</si>
  <si>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</si>
  <si>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</si>
  <si>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</si>
  <si>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</si>
  <si>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</si>
  <si>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</si>
  <si>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</si>
  <si>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</si>
  <si>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</si>
  <si>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</si>
  <si>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</si>
  <si>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</si>
  <si>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</si>
  <si>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</si>
  <si>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</si>
  <si>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</si>
  <si>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</si>
  <si>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</si>
  <si>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</si>
  <si>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</si>
  <si>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</si>
  <si>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</si>
  <si>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</si>
  <si>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</si>
  <si>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</si>
  <si>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</si>
  <si>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</si>
  <si>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</si>
  <si>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</si>
  <si>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</si>
  <si>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</si>
  <si>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</si>
  <si>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</si>
  <si>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</si>
  <si>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</si>
  <si>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</si>
  <si>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</si>
  <si>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HUNSBERGER ANTHONY J</t>
  </si>
  <si>
    <t>DUSZCZYK PAWEL</t>
  </si>
  <si>
    <t>00023268932K</t>
  </si>
  <si>
    <t>1WD0TF8AK38</t>
  </si>
  <si>
    <t/>
  </si>
  <si>
    <t>MA</t>
  </si>
  <si>
    <t>LV</t>
  </si>
  <si>
    <t>MAY</t>
  </si>
  <si>
    <t>F</t>
  </si>
  <si>
    <t>MEDICARE</t>
  </si>
  <si>
    <t>MEP</t>
  </si>
  <si>
    <t>MEDICARE 2ND HALF FIRST YEAR COMM</t>
  </si>
  <si>
    <t>MED2</t>
  </si>
  <si>
    <t>H5216</t>
  </si>
  <si>
    <t>FIRST YEAR COMMISSIONS</t>
  </si>
  <si>
    <t>ARCF</t>
  </si>
  <si>
    <t>YALE RICHARD A A</t>
  </si>
  <si>
    <t>TORRES VALENTIN</t>
  </si>
  <si>
    <t>00025839731K</t>
  </si>
  <si>
    <t>3CQ6GQ2CV86</t>
  </si>
  <si>
    <t>DEC</t>
  </si>
  <si>
    <t>MER</t>
  </si>
  <si>
    <t>H1468</t>
  </si>
  <si>
    <t>INSKIPT DEBORAH L</t>
  </si>
  <si>
    <t>SCHUBERT DAVID</t>
  </si>
  <si>
    <t>00000789641A</t>
  </si>
  <si>
    <t>MS</t>
  </si>
  <si>
    <t>JAN</t>
  </si>
  <si>
    <t>R</t>
  </si>
  <si>
    <t>MED SUPP RENEWAL ACHIEVE</t>
  </si>
  <si>
    <t>MSRA</t>
  </si>
  <si>
    <t>CARDOSI KAREN E</t>
  </si>
  <si>
    <t>00000828881A</t>
  </si>
  <si>
    <t>DUNAVANT MICHAEL</t>
  </si>
  <si>
    <t>Richards Cheryl</t>
  </si>
  <si>
    <t>9031652410</t>
  </si>
  <si>
    <t>IN</t>
  </si>
  <si>
    <t>CB</t>
  </si>
  <si>
    <t>VISION</t>
  </si>
  <si>
    <t>COMPBENEFITS FIRST YEAR COMMISSION</t>
  </si>
  <si>
    <t>CRCF</t>
  </si>
  <si>
    <t>Strupek Christina</t>
  </si>
  <si>
    <t>9031659600</t>
  </si>
  <si>
    <t>KOZACHECK ANNE MARIE</t>
  </si>
  <si>
    <t>Albert Jerome</t>
  </si>
  <si>
    <t>9031476450</t>
  </si>
  <si>
    <t>Humana Dental &amp; Vision 15%</t>
  </si>
  <si>
    <t>Humana AL, AZ, AR, GA, etc. Plan N OE &amp; UW</t>
  </si>
  <si>
    <t>Humana MAPD 2025*</t>
  </si>
  <si>
    <t>[%/$=313][prorate=1/12]</t>
  </si>
  <si>
    <t>[%/$=313][prorate=9/12]</t>
  </si>
  <si>
    <t>DUSZCZYK</t>
  </si>
  <si>
    <t>PAWEL</t>
  </si>
  <si>
    <t>TORRES</t>
  </si>
  <si>
    <t>VALENTIN</t>
  </si>
  <si>
    <t>SCHUBERT</t>
  </si>
  <si>
    <t>DAVID</t>
  </si>
  <si>
    <t>CARDOSI</t>
  </si>
  <si>
    <t>KAREN</t>
  </si>
  <si>
    <t>Richards</t>
  </si>
  <si>
    <t>Cheryl</t>
  </si>
  <si>
    <t>Strupek</t>
  </si>
  <si>
    <t>Christina</t>
  </si>
  <si>
    <t>Albert</t>
  </si>
  <si>
    <t>Jerome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</si>
</sst>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0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E0D9-F51D-4CC4-94B4-4E09F933BDC1}">
  <dimension ref="A1:AP9"/>
  <sheetViews>
    <sheetView topLeftCell="P1" workbookViewId="0">
      <selection activeCell="P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46015</v>
      </c>
      <c r="C2" s="4" t="s">
        <v>42</v>
      </c>
      <c r="D2" s="2">
        <v>1510420</v>
      </c>
      <c r="E2" s="4" t="s">
        <v>43</v>
      </c>
      <c r="F2" s="4" t="s">
        <v>44</v>
      </c>
      <c r="G2" s="2">
        <v>721687014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45778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-234.74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45778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46015</v>
      </c>
      <c r="C3" s="4" t="s">
        <v>42</v>
      </c>
      <c r="D3" s="2">
        <v>1510420</v>
      </c>
      <c r="E3" s="4" t="s">
        <v>43</v>
      </c>
      <c r="F3" s="4" t="s">
        <v>44</v>
      </c>
      <c r="G3" s="2">
        <v>721687014</v>
      </c>
      <c r="H3" s="4" t="s">
        <v>45</v>
      </c>
      <c r="I3" s="4" t="s">
        <v>46</v>
      </c>
      <c r="J3" s="4" t="s">
        <v>47</v>
      </c>
      <c r="K3" s="4" t="s">
        <v>48</v>
      </c>
      <c r="L3" s="3">
        <v>45778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-0.08</v>
      </c>
      <c r="W3" s="5">
        <v>0</v>
      </c>
      <c r="X3" s="5">
        <v>100</v>
      </c>
      <c r="Y3" s="5">
        <v>-26.09</v>
      </c>
      <c r="Z3" s="4" t="s">
        <v>46</v>
      </c>
      <c r="AA3" s="5" t="s">
        <v>46</v>
      </c>
      <c r="AB3" s="4" t="s">
        <v>56</v>
      </c>
      <c r="AC3" s="4" t="s">
        <v>46</v>
      </c>
      <c r="AD3" s="5">
        <v>0</v>
      </c>
      <c r="AE3" s="4" t="s">
        <v>57</v>
      </c>
      <c r="AF3" s="3">
        <v>45778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46015</v>
      </c>
      <c r="C4" s="4" t="s">
        <v>58</v>
      </c>
      <c r="D4" s="2">
        <v>1573279</v>
      </c>
      <c r="E4" s="4" t="s">
        <v>59</v>
      </c>
      <c r="F4" s="4" t="s">
        <v>60</v>
      </c>
      <c r="G4" s="2">
        <v>638360370</v>
      </c>
      <c r="H4" s="4" t="s">
        <v>61</v>
      </c>
      <c r="I4" s="4" t="s">
        <v>46</v>
      </c>
      <c r="J4" s="4" t="s">
        <v>47</v>
      </c>
      <c r="K4" s="4" t="s">
        <v>48</v>
      </c>
      <c r="L4" s="3">
        <v>45992</v>
      </c>
      <c r="M4" s="4" t="s">
        <v>62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63</v>
      </c>
      <c r="U4" s="4" t="s">
        <v>46</v>
      </c>
      <c r="V4" s="5">
        <v>0.08</v>
      </c>
      <c r="W4" s="5">
        <v>0</v>
      </c>
      <c r="X4" s="5">
        <v>100</v>
      </c>
      <c r="Y4" s="5">
        <v>26.08</v>
      </c>
      <c r="Z4" s="4" t="s">
        <v>46</v>
      </c>
      <c r="AA4" s="5" t="s">
        <v>46</v>
      </c>
      <c r="AB4" s="4" t="s">
        <v>56</v>
      </c>
      <c r="AC4" s="4" t="s">
        <v>46</v>
      </c>
      <c r="AD4" s="5">
        <v>0</v>
      </c>
      <c r="AE4" s="4" t="s">
        <v>57</v>
      </c>
      <c r="AF4" s="3">
        <v>45992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64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46015</v>
      </c>
      <c r="C5" s="4" t="s">
        <v>65</v>
      </c>
      <c r="D5" s="2">
        <v>1673763</v>
      </c>
      <c r="E5" s="4" t="s">
        <v>66</v>
      </c>
      <c r="F5" s="4" t="s">
        <v>67</v>
      </c>
      <c r="G5" s="4" t="s">
        <v>46</v>
      </c>
      <c r="H5" s="4" t="s">
        <v>46</v>
      </c>
      <c r="I5" s="4" t="s">
        <v>46</v>
      </c>
      <c r="J5" s="4" t="s">
        <v>68</v>
      </c>
      <c r="K5" s="4" t="s">
        <v>48</v>
      </c>
      <c r="L5" s="3">
        <v>46023</v>
      </c>
      <c r="M5" s="4" t="s">
        <v>69</v>
      </c>
      <c r="N5" s="4" t="s">
        <v>46</v>
      </c>
      <c r="O5" s="4" t="s">
        <v>70</v>
      </c>
      <c r="P5" s="4" t="s">
        <v>70</v>
      </c>
      <c r="Q5" s="2">
        <v>1</v>
      </c>
      <c r="R5" s="2">
        <v>17</v>
      </c>
      <c r="S5" s="4" t="s">
        <v>51</v>
      </c>
      <c r="T5" s="4" t="s">
        <v>46</v>
      </c>
      <c r="U5" s="4" t="s">
        <v>46</v>
      </c>
      <c r="V5" s="5">
        <v>26</v>
      </c>
      <c r="W5" s="5">
        <v>307</v>
      </c>
      <c r="X5" s="5">
        <v>100</v>
      </c>
      <c r="Y5" s="5">
        <v>79.819999999999993</v>
      </c>
      <c r="Z5" s="5">
        <v>0</v>
      </c>
      <c r="AA5" s="5">
        <v>0</v>
      </c>
      <c r="AB5" s="4" t="s">
        <v>71</v>
      </c>
      <c r="AC5" s="4" t="s">
        <v>46</v>
      </c>
      <c r="AD5" s="5">
        <v>0</v>
      </c>
      <c r="AE5" s="4" t="s">
        <v>72</v>
      </c>
      <c r="AF5" s="3">
        <v>45292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46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46015</v>
      </c>
      <c r="C6" s="4" t="s">
        <v>65</v>
      </c>
      <c r="D6" s="2">
        <v>1673763</v>
      </c>
      <c r="E6" s="4" t="s">
        <v>73</v>
      </c>
      <c r="F6" s="4" t="s">
        <v>74</v>
      </c>
      <c r="G6" s="4" t="s">
        <v>46</v>
      </c>
      <c r="H6" s="4" t="s">
        <v>46</v>
      </c>
      <c r="I6" s="4" t="s">
        <v>46</v>
      </c>
      <c r="J6" s="4" t="s">
        <v>68</v>
      </c>
      <c r="K6" s="4" t="s">
        <v>48</v>
      </c>
      <c r="L6" s="3">
        <v>46023</v>
      </c>
      <c r="M6" s="4" t="s">
        <v>69</v>
      </c>
      <c r="N6" s="4" t="s">
        <v>46</v>
      </c>
      <c r="O6" s="4" t="s">
        <v>70</v>
      </c>
      <c r="P6" s="4" t="s">
        <v>70</v>
      </c>
      <c r="Q6" s="2">
        <v>1</v>
      </c>
      <c r="R6" s="2">
        <v>17</v>
      </c>
      <c r="S6" s="4" t="s">
        <v>51</v>
      </c>
      <c r="T6" s="4" t="s">
        <v>46</v>
      </c>
      <c r="U6" s="4" t="s">
        <v>46</v>
      </c>
      <c r="V6" s="5">
        <v>22</v>
      </c>
      <c r="W6" s="5">
        <v>110.73</v>
      </c>
      <c r="X6" s="5">
        <v>100</v>
      </c>
      <c r="Y6" s="5">
        <v>24.36</v>
      </c>
      <c r="Z6" s="5">
        <v>0</v>
      </c>
      <c r="AA6" s="5">
        <v>0</v>
      </c>
      <c r="AB6" s="4" t="s">
        <v>71</v>
      </c>
      <c r="AC6" s="4" t="s">
        <v>46</v>
      </c>
      <c r="AD6" s="5">
        <v>0</v>
      </c>
      <c r="AE6" s="4" t="s">
        <v>72</v>
      </c>
      <c r="AF6" s="3">
        <v>45444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46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46015</v>
      </c>
      <c r="C7" s="4" t="s">
        <v>75</v>
      </c>
      <c r="D7" s="2">
        <v>1831491</v>
      </c>
      <c r="E7" s="4" t="s">
        <v>76</v>
      </c>
      <c r="F7" s="4" t="s">
        <v>77</v>
      </c>
      <c r="G7" s="4" t="s">
        <v>46</v>
      </c>
      <c r="H7" s="4" t="s">
        <v>46</v>
      </c>
      <c r="I7" s="4" t="s">
        <v>46</v>
      </c>
      <c r="J7" s="4" t="s">
        <v>78</v>
      </c>
      <c r="K7" s="4" t="s">
        <v>79</v>
      </c>
      <c r="L7" s="3">
        <v>46023</v>
      </c>
      <c r="M7" s="4" t="s">
        <v>69</v>
      </c>
      <c r="N7" s="4" t="s">
        <v>46</v>
      </c>
      <c r="O7" s="4" t="s">
        <v>50</v>
      </c>
      <c r="P7" s="4" t="s">
        <v>70</v>
      </c>
      <c r="Q7" s="2">
        <v>1</v>
      </c>
      <c r="R7" s="2">
        <v>60</v>
      </c>
      <c r="S7" s="4" t="s">
        <v>80</v>
      </c>
      <c r="T7" s="4" t="s">
        <v>46</v>
      </c>
      <c r="U7" s="4" t="s">
        <v>46</v>
      </c>
      <c r="V7" s="5">
        <v>15</v>
      </c>
      <c r="W7" s="5">
        <v>14.93</v>
      </c>
      <c r="X7" s="5">
        <v>100</v>
      </c>
      <c r="Y7" s="5">
        <v>37.24</v>
      </c>
      <c r="Z7" s="4" t="s">
        <v>46</v>
      </c>
      <c r="AA7" s="5" t="s">
        <v>46</v>
      </c>
      <c r="AB7" s="4" t="s">
        <v>81</v>
      </c>
      <c r="AC7" s="4" t="s">
        <v>46</v>
      </c>
      <c r="AD7" s="5">
        <v>0</v>
      </c>
      <c r="AE7" s="4" t="s">
        <v>82</v>
      </c>
      <c r="AF7" s="3">
        <v>46023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46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46015</v>
      </c>
      <c r="C8" s="4" t="s">
        <v>75</v>
      </c>
      <c r="D8" s="2">
        <v>1831491</v>
      </c>
      <c r="E8" s="4" t="s">
        <v>83</v>
      </c>
      <c r="F8" s="4" t="s">
        <v>84</v>
      </c>
      <c r="G8" s="4" t="s">
        <v>46</v>
      </c>
      <c r="H8" s="4" t="s">
        <v>46</v>
      </c>
      <c r="I8" s="4" t="s">
        <v>46</v>
      </c>
      <c r="J8" s="4" t="s">
        <v>78</v>
      </c>
      <c r="K8" s="4" t="s">
        <v>79</v>
      </c>
      <c r="L8" s="3">
        <v>46023</v>
      </c>
      <c r="M8" s="4" t="s">
        <v>69</v>
      </c>
      <c r="N8" s="4" t="s">
        <v>46</v>
      </c>
      <c r="O8" s="4" t="s">
        <v>50</v>
      </c>
      <c r="P8" s="4" t="s">
        <v>70</v>
      </c>
      <c r="Q8" s="2">
        <v>2</v>
      </c>
      <c r="R8" s="2">
        <v>60</v>
      </c>
      <c r="S8" s="4" t="s">
        <v>80</v>
      </c>
      <c r="T8" s="4" t="s">
        <v>46</v>
      </c>
      <c r="U8" s="4" t="s">
        <v>46</v>
      </c>
      <c r="V8" s="5">
        <v>15</v>
      </c>
      <c r="W8" s="5">
        <v>26.88</v>
      </c>
      <c r="X8" s="5">
        <v>100</v>
      </c>
      <c r="Y8" s="5">
        <v>39.03</v>
      </c>
      <c r="Z8" s="4" t="s">
        <v>46</v>
      </c>
      <c r="AA8" s="5" t="s">
        <v>46</v>
      </c>
      <c r="AB8" s="4" t="s">
        <v>81</v>
      </c>
      <c r="AC8" s="4" t="s">
        <v>46</v>
      </c>
      <c r="AD8" s="5">
        <v>0</v>
      </c>
      <c r="AE8" s="4" t="s">
        <v>82</v>
      </c>
      <c r="AF8" s="3">
        <v>46023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46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46015</v>
      </c>
      <c r="C9" s="4" t="s">
        <v>85</v>
      </c>
      <c r="D9" s="2">
        <v>1875462</v>
      </c>
      <c r="E9" s="4" t="s">
        <v>86</v>
      </c>
      <c r="F9" s="4" t="s">
        <v>87</v>
      </c>
      <c r="G9" s="4" t="s">
        <v>46</v>
      </c>
      <c r="H9" s="4" t="s">
        <v>46</v>
      </c>
      <c r="I9" s="4" t="s">
        <v>46</v>
      </c>
      <c r="J9" s="4" t="s">
        <v>78</v>
      </c>
      <c r="K9" s="4" t="s">
        <v>79</v>
      </c>
      <c r="L9" s="3">
        <v>46023</v>
      </c>
      <c r="M9" s="4" t="s">
        <v>69</v>
      </c>
      <c r="N9" s="4" t="s">
        <v>46</v>
      </c>
      <c r="O9" s="4" t="s">
        <v>50</v>
      </c>
      <c r="P9" s="4" t="s">
        <v>70</v>
      </c>
      <c r="Q9" s="2">
        <v>2</v>
      </c>
      <c r="R9" s="2">
        <v>60</v>
      </c>
      <c r="S9" s="4" t="s">
        <v>80</v>
      </c>
      <c r="T9" s="4" t="s">
        <v>46</v>
      </c>
      <c r="U9" s="4" t="s">
        <v>46</v>
      </c>
      <c r="V9" s="5">
        <v>15</v>
      </c>
      <c r="W9" s="5">
        <v>23.99</v>
      </c>
      <c r="X9" s="5">
        <v>100</v>
      </c>
      <c r="Y9" s="5">
        <v>38.6</v>
      </c>
      <c r="Z9" s="4" t="s">
        <v>46</v>
      </c>
      <c r="AA9" s="5" t="s">
        <v>46</v>
      </c>
      <c r="AB9" s="4" t="s">
        <v>81</v>
      </c>
      <c r="AC9" s="4" t="s">
        <v>46</v>
      </c>
      <c r="AD9" s="5">
        <v>0</v>
      </c>
      <c r="AE9" s="4" t="s">
        <v>82</v>
      </c>
      <c r="AF9" s="3">
        <v>46023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FD41-FD19-4718-A695-8AE400F69D6E}">
  <dimension ref="A1:V9"/>
  <sheetViews>
    <sheetView tabSelected="1" workbookViewId="0">
      <selection activeCell="P2" sqref="P2:P9"/>
    </sheetView>
  </sheetViews>
  <sheetFormatPr defaultRowHeight="12.75" x14ac:dyDescent="0.2"/>
  <cols>
    <col min="1" max="1" width="24.7109375" bestFit="1" customWidth="1"/>
    <col min="2" max="2" width="12.7109375" customWidth="1"/>
    <col min="3" max="3" width="28.5703125" bestFit="1" customWidth="1"/>
    <col min="4" max="4" width="13.28515625" bestFit="1" customWidth="1"/>
    <col min="5" max="6" width="11.42578125" bestFit="1" customWidth="1"/>
    <col min="7" max="7" width="6.42578125" customWidth="1"/>
    <col min="8" max="8" width="10.7109375" customWidth="1"/>
    <col min="9" max="9" width="7.5703125" customWidth="1"/>
    <col min="10" max="10" width="13.7109375" bestFit="1" customWidth="1"/>
    <col min="11" max="11" width="9.5703125" bestFit="1" customWidth="1"/>
    <col min="12" max="12" width="15.28515625" bestFit="1" customWidth="1"/>
    <col min="13" max="13" width="11.42578125" bestFit="1" customWidth="1"/>
    <col min="14" max="14" width="13.7109375" bestFit="1" customWidth="1"/>
    <col min="15" max="15" width="42.140625" bestFit="1" customWidth="1"/>
    <col min="16" max="16" width="21.5703125" bestFit="1" customWidth="1"/>
    <col min="18" max="18" width="13.42578125" bestFit="1" customWidth="1"/>
    <col min="19" max="19" width="14.42578125" bestFit="1" customWidth="1"/>
    <col min="20" max="20" width="18.42578125" bestFit="1" customWidth="1"/>
    <col min="21" max="21" width="9.85546875" bestFit="1" customWidth="1"/>
    <col min="22" max="22" width="18.28515625" bestFit="1" customWidth="1"/>
  </cols>
  <sheetData>
    <row r="1" spans="1:2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22" x14ac:dyDescent="0.2">
      <c r="A2" s="4" t="s">
        <v>42</v>
      </c>
      <c r="B2" s="2">
        <v>7146581</v>
      </c>
      <c r="C2" s="4" t="s">
        <v>43</v>
      </c>
      <c r="D2" s="4" t="s">
        <v>44</v>
      </c>
      <c r="E2" s="3">
        <v>45778</v>
      </c>
      <c r="F2" s="4" t="s">
        <v>49</v>
      </c>
      <c r="G2" s="4" t="s">
        <v>50</v>
      </c>
      <c r="H2" s="4" t="s">
        <v>51</v>
      </c>
      <c r="I2" s="4" t="s">
        <v>52</v>
      </c>
      <c r="J2" s="5">
        <v>0</v>
      </c>
      <c r="K2" s="5">
        <v>-1</v>
      </c>
      <c r="L2" s="5">
        <v>-234.74</v>
      </c>
      <c r="M2" s="4" t="s">
        <v>53</v>
      </c>
      <c r="N2" s="3">
        <v>45778</v>
      </c>
      <c r="O2" t="s">
        <v>90</v>
      </c>
      <c r="P2" s="17" t="s">
        <v>92</v>
      </c>
      <c r="R2" s="4" t="s">
        <v>44</v>
      </c>
      <c r="S2" t="str">
        <f>CONCATENATE(R2,6)</f>
        <v>00023268932K6</v>
      </c>
      <c r="T2" s="4" t="s">
        <v>93</v>
      </c>
      <c r="U2" t="s">
        <v>94</v>
      </c>
      <c r="V2" t="str">
        <f>CONCATENATE(U2, " ",T2)</f>
        <v>PAWEL DUSZCZYK</v>
      </c>
    </row>
    <row r="3" spans="1:22" x14ac:dyDescent="0.2">
      <c r="A3" s="4" t="s">
        <v>42</v>
      </c>
      <c r="B3" s="2">
        <v>7146581</v>
      </c>
      <c r="C3" s="4" t="s">
        <v>43</v>
      </c>
      <c r="D3" s="4" t="s">
        <v>44</v>
      </c>
      <c r="E3" s="3">
        <v>45778</v>
      </c>
      <c r="F3" s="4" t="s">
        <v>49</v>
      </c>
      <c r="G3" s="4" t="s">
        <v>50</v>
      </c>
      <c r="H3" s="4" t="s">
        <v>51</v>
      </c>
      <c r="I3" s="4" t="s">
        <v>52</v>
      </c>
      <c r="J3" s="5">
        <v>-0.08</v>
      </c>
      <c r="K3" s="5">
        <v>-1</v>
      </c>
      <c r="L3" s="5">
        <v>-26.09</v>
      </c>
      <c r="M3" s="4" t="s">
        <v>56</v>
      </c>
      <c r="N3" s="3">
        <v>45778</v>
      </c>
      <c r="O3" t="s">
        <v>90</v>
      </c>
      <c r="P3" s="17" t="s">
        <v>91</v>
      </c>
      <c r="R3" s="4" t="s">
        <v>44</v>
      </c>
      <c r="S3" t="str">
        <f t="shared" ref="S3:S4" si="0">CONCATENATE(R3,6)</f>
        <v>00023268932K6</v>
      </c>
      <c r="T3" s="4" t="s">
        <v>93</v>
      </c>
      <c r="U3" t="s">
        <v>94</v>
      </c>
      <c r="V3" t="str">
        <f t="shared" ref="V3:V5" si="1">CONCATENATE(U3, " ",T3)</f>
        <v>PAWEL DUSZCZYK</v>
      </c>
    </row>
    <row r="4" spans="1:22" x14ac:dyDescent="0.2">
      <c r="A4" s="4" t="s">
        <v>58</v>
      </c>
      <c r="B4" s="2">
        <v>16633294</v>
      </c>
      <c r="C4" s="4" t="s">
        <v>59</v>
      </c>
      <c r="D4" s="4" t="s">
        <v>60</v>
      </c>
      <c r="E4" s="3">
        <v>45992</v>
      </c>
      <c r="F4" s="4" t="s">
        <v>62</v>
      </c>
      <c r="G4" s="4" t="s">
        <v>50</v>
      </c>
      <c r="H4" s="4" t="s">
        <v>51</v>
      </c>
      <c r="I4" s="4" t="s">
        <v>63</v>
      </c>
      <c r="J4" s="5">
        <v>0.08</v>
      </c>
      <c r="K4" s="5">
        <v>1</v>
      </c>
      <c r="L4" s="5">
        <v>26.08</v>
      </c>
      <c r="M4" s="4" t="s">
        <v>56</v>
      </c>
      <c r="N4" s="3">
        <v>45992</v>
      </c>
      <c r="O4" t="s">
        <v>90</v>
      </c>
      <c r="P4" s="17" t="s">
        <v>91</v>
      </c>
      <c r="R4" s="4" t="s">
        <v>60</v>
      </c>
      <c r="S4" t="str">
        <f t="shared" si="0"/>
        <v>00025839731K6</v>
      </c>
      <c r="T4" s="4" t="s">
        <v>95</v>
      </c>
      <c r="U4" t="s">
        <v>96</v>
      </c>
      <c r="V4" t="str">
        <f t="shared" si="1"/>
        <v>VALENTIN TORRES</v>
      </c>
    </row>
    <row r="5" spans="1:22" s="16" customFormat="1" x14ac:dyDescent="0.2">
      <c r="A5" s="12" t="s">
        <v>65</v>
      </c>
      <c r="B5" s="13">
        <v>17528908</v>
      </c>
      <c r="C5" s="12" t="s">
        <v>66</v>
      </c>
      <c r="D5" s="12" t="s">
        <v>67</v>
      </c>
      <c r="E5" s="14">
        <v>46023</v>
      </c>
      <c r="F5" s="12" t="s">
        <v>69</v>
      </c>
      <c r="G5" s="12" t="s">
        <v>70</v>
      </c>
      <c r="H5" s="12" t="s">
        <v>51</v>
      </c>
      <c r="I5" s="12" t="s">
        <v>46</v>
      </c>
      <c r="J5" s="15">
        <v>26</v>
      </c>
      <c r="K5" s="15">
        <v>307</v>
      </c>
      <c r="L5" s="15">
        <v>79.819999999999993</v>
      </c>
      <c r="M5" s="12" t="s">
        <v>71</v>
      </c>
      <c r="N5" s="14">
        <v>45292</v>
      </c>
      <c r="O5" s="16" t="s">
        <v>89</v>
      </c>
      <c r="R5" s="12" t="s">
        <v>67</v>
      </c>
      <c r="S5" s="16" t="str">
        <f>CONCATENATE(R5,8)</f>
        <v>00000789641A8</v>
      </c>
      <c r="T5" s="12" t="s">
        <v>97</v>
      </c>
      <c r="U5" s="16" t="s">
        <v>98</v>
      </c>
      <c r="V5" t="str">
        <f t="shared" si="1"/>
        <v>DAVID SCHUBERT</v>
      </c>
    </row>
    <row r="6" spans="1:22" s="16" customFormat="1" x14ac:dyDescent="0.2">
      <c r="A6" s="12" t="s">
        <v>65</v>
      </c>
      <c r="B6" s="13">
        <v>17528908</v>
      </c>
      <c r="C6" s="12" t="s">
        <v>73</v>
      </c>
      <c r="D6" s="12" t="s">
        <v>74</v>
      </c>
      <c r="E6" s="14">
        <v>46023</v>
      </c>
      <c r="F6" s="12" t="s">
        <v>69</v>
      </c>
      <c r="G6" s="12" t="s">
        <v>70</v>
      </c>
      <c r="H6" s="12" t="s">
        <v>51</v>
      </c>
      <c r="I6" s="12" t="s">
        <v>46</v>
      </c>
      <c r="J6" s="15">
        <v>22</v>
      </c>
      <c r="K6" s="15">
        <v>110.73</v>
      </c>
      <c r="L6" s="15">
        <v>24.36</v>
      </c>
      <c r="M6" s="12" t="s">
        <v>71</v>
      </c>
      <c r="N6" s="14">
        <v>45444</v>
      </c>
      <c r="O6" s="16" t="s">
        <v>89</v>
      </c>
      <c r="R6" s="12" t="s">
        <v>74</v>
      </c>
      <c r="S6" s="16" t="str">
        <f>CONCATENATE(R6,8)</f>
        <v>00000828881A8</v>
      </c>
      <c r="T6" s="12" t="s">
        <v>99</v>
      </c>
      <c r="U6" s="16" t="s">
        <v>100</v>
      </c>
      <c r="V6" t="str">
        <f>CONCATENATE(U6, " ",T6)</f>
        <v>KAREN CARDOSI</v>
      </c>
    </row>
    <row r="7" spans="1:22" s="11" customFormat="1" x14ac:dyDescent="0.2">
      <c r="A7" s="6" t="s">
        <v>75</v>
      </c>
      <c r="B7" s="7">
        <v>18828278</v>
      </c>
      <c r="C7" s="6" t="s">
        <v>76</v>
      </c>
      <c r="D7" s="8">
        <v>9031652410</v>
      </c>
      <c r="E7" s="9">
        <v>46023</v>
      </c>
      <c r="F7" s="6" t="s">
        <v>69</v>
      </c>
      <c r="G7" s="6" t="s">
        <v>50</v>
      </c>
      <c r="H7" s="6" t="s">
        <v>80</v>
      </c>
      <c r="I7" s="6" t="s">
        <v>46</v>
      </c>
      <c r="J7" s="10">
        <v>15</v>
      </c>
      <c r="K7" s="10">
        <v>248.26666666666668</v>
      </c>
      <c r="L7" s="10">
        <v>37.24</v>
      </c>
      <c r="M7" s="6" t="s">
        <v>81</v>
      </c>
      <c r="N7" s="9">
        <v>46023</v>
      </c>
      <c r="O7" s="11" t="s">
        <v>88</v>
      </c>
      <c r="R7" s="8">
        <v>9031652410</v>
      </c>
      <c r="S7" s="11" t="str">
        <f>CONCATENATE(R7,2)</f>
        <v>90316524102</v>
      </c>
      <c r="T7" s="6" t="s">
        <v>101</v>
      </c>
      <c r="U7" s="11" t="s">
        <v>102</v>
      </c>
      <c r="V7" t="str">
        <f>CONCATENATE(U7, " ",T7)</f>
        <v>Cheryl Richards</v>
      </c>
    </row>
    <row r="8" spans="1:22" s="11" customFormat="1" x14ac:dyDescent="0.2">
      <c r="A8" s="6" t="s">
        <v>75</v>
      </c>
      <c r="B8" s="7">
        <v>18828278</v>
      </c>
      <c r="C8" s="6" t="s">
        <v>83</v>
      </c>
      <c r="D8" s="8">
        <v>9031659600</v>
      </c>
      <c r="E8" s="9">
        <v>46023</v>
      </c>
      <c r="F8" s="6" t="s">
        <v>69</v>
      </c>
      <c r="G8" s="6" t="s">
        <v>50</v>
      </c>
      <c r="H8" s="6" t="s">
        <v>80</v>
      </c>
      <c r="I8" s="6" t="s">
        <v>46</v>
      </c>
      <c r="J8" s="10">
        <v>15</v>
      </c>
      <c r="K8" s="10">
        <v>260.20000000000005</v>
      </c>
      <c r="L8" s="10">
        <v>39.03</v>
      </c>
      <c r="M8" s="6" t="s">
        <v>81</v>
      </c>
      <c r="N8" s="9">
        <v>46023</v>
      </c>
      <c r="O8" s="11" t="s">
        <v>88</v>
      </c>
      <c r="R8" s="8">
        <v>9031659600</v>
      </c>
      <c r="S8" s="11" t="str">
        <f>CONCATENATE(R8,2)</f>
        <v>90316596002</v>
      </c>
      <c r="T8" s="6" t="s">
        <v>103</v>
      </c>
      <c r="U8" s="11" t="s">
        <v>104</v>
      </c>
      <c r="V8" t="str">
        <f t="shared" ref="V8:V9" si="2">CONCATENATE(U8, " ",T8)</f>
        <v>Christina Strupek</v>
      </c>
    </row>
    <row r="9" spans="1:22" s="11" customFormat="1" x14ac:dyDescent="0.2">
      <c r="A9" s="6" t="s">
        <v>85</v>
      </c>
      <c r="B9" s="7">
        <v>19278370</v>
      </c>
      <c r="C9" s="6" t="s">
        <v>86</v>
      </c>
      <c r="D9" s="8">
        <v>9031476450</v>
      </c>
      <c r="E9" s="9">
        <v>46023</v>
      </c>
      <c r="F9" s="6" t="s">
        <v>69</v>
      </c>
      <c r="G9" s="6" t="s">
        <v>50</v>
      </c>
      <c r="H9" s="6" t="s">
        <v>80</v>
      </c>
      <c r="I9" s="6" t="s">
        <v>46</v>
      </c>
      <c r="J9" s="10">
        <v>15</v>
      </c>
      <c r="K9" s="10">
        <v>257.33333333333337</v>
      </c>
      <c r="L9" s="10">
        <v>38.6</v>
      </c>
      <c r="M9" s="6" t="s">
        <v>81</v>
      </c>
      <c r="N9" s="9">
        <v>46023</v>
      </c>
      <c r="O9" s="11" t="s">
        <v>88</v>
      </c>
      <c r="R9" s="8">
        <v>9031476450</v>
      </c>
      <c r="S9" s="11" t="str">
        <f>CONCATENATE(R9,2)</f>
        <v>90314764502</v>
      </c>
      <c r="T9" s="6" t="s">
        <v>105</v>
      </c>
      <c r="U9" s="11" t="s">
        <v>106</v>
      </c>
      <c r="V9" t="str">
        <f t="shared" si="2"/>
        <v>Jerome Albert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2025-12-26T06:41:29Z</dcterms:created>
  <dcterms:modified xsi:type="dcterms:W3CDTF">2025-12-26T15:18:22Z</dcterms:modified>
</cp:coreProperties>
</file>