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11-19-25\"/>
    </mc:Choice>
  </mc:AlternateContent>
  <xr:revisionPtr revIDLastSave="0" documentId="13_ncr:1_{39F44982-7192-421F-9D73-BDF06AD731F8}" xr6:coauthVersionLast="47" xr6:coauthVersionMax="47" xr10:uidLastSave="{00000000-0000-0000-0000-000000000000}"/>
  <bookViews>
    <workbookView xWindow="28680" yWindow="-120" windowWidth="29040" windowHeight="16440" xr2:uid="{F603E6EE-8F3C-401E-BBFC-E4D7BF28D4E8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2" i="2"/>
  <c r="R186" i="2"/>
  <c r="R185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14" i="2"/>
  <c r="R13" i="2"/>
  <c r="R12" i="2"/>
  <c r="R11" i="2"/>
  <c r="R10" i="2"/>
  <c r="R9" i="2"/>
  <c r="R8" i="2"/>
  <c r="R7" i="2"/>
  <c r="R6" i="2"/>
  <c r="R5" i="2"/>
  <c r="R4" i="2"/>
  <c r="R3" i="2"/>
  <c r="R2" i="2"/>
</calcChain>
</file>

<file path=xl/sharedStrings.xml><?xml version="1.0" encoding="utf-8"?>
<sst xmlns="http://schemas.openxmlformats.org/spreadsheetml/2006/main" count="7536" uniqueCount="834">
  <si>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</si>
  <si>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</si>
  <si>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</si>
  <si>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</si>
  <si>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</si>
  <si>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</si>
  <si>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</si>
  <si>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</si>
  <si>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</si>
  <si>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</si>
  <si>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</si>
  <si>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</si>
  <si>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</si>
  <si>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</si>
  <si>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</si>
  <si>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</si>
  <si>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</si>
  <si>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</si>
  <si>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</si>
  <si>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</si>
  <si>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</si>
  <si>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</si>
  <si>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</si>
  <si>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</si>
  <si>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</si>
  <si>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</si>
  <si>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</si>
  <si>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</si>
  <si>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</si>
  <si>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</si>
  <si>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</si>
  <si>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</si>
  <si>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</si>
  <si>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</si>
  <si>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</si>
  <si>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</si>
  <si>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</si>
  <si>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</si>
  <si>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</si>
  <si>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</si>
  <si>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</si>
  <si>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</si>
  <si>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</si>
  <si>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</si>
  <si>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</si>
  <si>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</si>
  <si>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</si>
  <si>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</si>
  <si>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NOV</t>
  </si>
  <si>
    <t>R</t>
  </si>
  <si>
    <t>MEDICARE</t>
  </si>
  <si>
    <t>MER</t>
  </si>
  <si>
    <t>RENEWAL COMMISSIONS</t>
  </si>
  <si>
    <t>ARCM</t>
  </si>
  <si>
    <t>H1036</t>
  </si>
  <si>
    <t>TUCKER JACKIE</t>
  </si>
  <si>
    <t>00024798574K</t>
  </si>
  <si>
    <t>4H93E18MN90</t>
  </si>
  <si>
    <t>DEC</t>
  </si>
  <si>
    <t>F</t>
  </si>
  <si>
    <t>MEP</t>
  </si>
  <si>
    <t>FIRST YEAR COMMISSIONS</t>
  </si>
  <si>
    <t>ARCF</t>
  </si>
  <si>
    <t>H5216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</si>
  <si>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</si>
  <si>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</si>
  <si>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</si>
  <si>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</si>
  <si>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</si>
  <si>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</si>
  <si>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</si>
  <si>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LEGG STEVEN A</t>
  </si>
  <si>
    <t>00024729595K</t>
  </si>
  <si>
    <t>3TX4VX7TD89</t>
  </si>
  <si>
    <t>LANNERS RICHARD P</t>
  </si>
  <si>
    <t>00024787947K</t>
  </si>
  <si>
    <t>3PQ7JW9QA71</t>
  </si>
  <si>
    <t>HAMILTON GAVIN F</t>
  </si>
  <si>
    <t>00024854538K</t>
  </si>
  <si>
    <t>2MR3ND9NU07</t>
  </si>
  <si>
    <t>CHOI ANDREW J</t>
  </si>
  <si>
    <t>MCGARY JOHN G</t>
  </si>
  <si>
    <t>00022193283K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</si>
  <si>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</si>
  <si>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</si>
  <si>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</si>
  <si>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</si>
  <si>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</si>
  <si>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</si>
  <si>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</si>
  <si>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</si>
  <si>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</si>
  <si>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</si>
  <si>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</si>
  <si>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</si>
  <si>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</si>
  <si>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</si>
  <si>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</si>
  <si>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</si>
  <si>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</si>
  <si>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</si>
  <si>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</si>
  <si>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</si>
  <si>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</si>
  <si>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</si>
  <si>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</si>
  <si>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</si>
  <si>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</si>
  <si>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</si>
  <si>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</si>
  <si>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</si>
  <si>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</si>
  <si>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</si>
  <si>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</si>
  <si>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</si>
  <si>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</si>
  <si>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</si>
  <si>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</si>
  <si>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</si>
  <si>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</si>
  <si>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</si>
  <si>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</si>
  <si>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</si>
  <si>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</si>
  <si>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</si>
  <si>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</si>
  <si>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</si>
  <si>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</si>
  <si>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</si>
  <si>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</si>
  <si>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</si>
  <si>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</si>
  <si>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</si>
  <si>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</si>
  <si>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</si>
  <si>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</si>
  <si>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</si>
  <si>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</si>
  <si>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</si>
  <si>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</si>
  <si>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</si>
  <si>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</si>
  <si>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</si>
  <si>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</si>
  <si>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</si>
  <si>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</si>
  <si>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</si>
  <si>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</si>
  <si>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</si>
  <si>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</si>
  <si>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</si>
  <si>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</si>
  <si>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</si>
  <si>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</si>
  <si>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</si>
  <si>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</si>
  <si>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</si>
  <si>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</si>
  <si>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</si>
  <si>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BAKKER GAY A</t>
  </si>
  <si>
    <t>00021999707K</t>
  </si>
  <si>
    <t>YAKULIS ALEX G</t>
  </si>
  <si>
    <t>00022033067K</t>
  </si>
  <si>
    <t>FRIESE SUZI B</t>
  </si>
  <si>
    <t>00022070044K</t>
  </si>
  <si>
    <t>FOLLANSBEE MIKE R</t>
  </si>
  <si>
    <t>00022074715K</t>
  </si>
  <si>
    <t>RODGERS LORI L</t>
  </si>
  <si>
    <t>00022078841K</t>
  </si>
  <si>
    <t>RATHGEB THEROLD J</t>
  </si>
  <si>
    <t>00022351069K</t>
  </si>
  <si>
    <t>HOEKS LINDA L</t>
  </si>
  <si>
    <t>00022602838K</t>
  </si>
  <si>
    <t>SHERMAN MATTHEW J</t>
  </si>
  <si>
    <t>KOVACH MICHAEL J</t>
  </si>
  <si>
    <t>00024705354K</t>
  </si>
  <si>
    <t>6WW9PU3AT49</t>
  </si>
  <si>
    <t>HUNSBERGER ANTHONY J</t>
  </si>
  <si>
    <t>WALTHERS GERRI F</t>
  </si>
  <si>
    <t>00010066661K</t>
  </si>
  <si>
    <t>COHEN TODD R</t>
  </si>
  <si>
    <t>00021876313K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</si>
  <si>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</si>
  <si>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</si>
  <si>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</si>
  <si>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</si>
  <si>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</si>
  <si>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</si>
  <si>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</si>
  <si>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</si>
  <si>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</si>
  <si>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</si>
  <si>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</si>
  <si>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</si>
  <si>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</si>
  <si>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</si>
  <si>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</si>
  <si>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</si>
  <si>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</si>
  <si>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</si>
  <si>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</si>
  <si>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</si>
  <si>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</si>
  <si>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</si>
  <si>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PRIEGEL RAND D</t>
  </si>
  <si>
    <t>00024803848K</t>
  </si>
  <si>
    <t>9H22UY1DE84</t>
  </si>
  <si>
    <t>HOFFMANN JASON R</t>
  </si>
  <si>
    <t>COSTA DANIEL A</t>
  </si>
  <si>
    <t>00020444605K</t>
  </si>
  <si>
    <t>4JA5FE2AH74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</si>
  <si>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</si>
  <si>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</si>
  <si>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</si>
  <si>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</si>
  <si>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</si>
  <si>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</si>
  <si>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</si>
  <si>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</si>
  <si>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</si>
  <si>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</si>
  <si>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</si>
  <si>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</si>
  <si>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RICHMOND RALPH H</t>
  </si>
  <si>
    <t>00022763707K</t>
  </si>
  <si>
    <t>ROLLER JASON</t>
  </si>
  <si>
    <t>RICCIO MARYANNE C</t>
  </si>
  <si>
    <t>00024895169K</t>
  </si>
  <si>
    <t>5FM6V78ET42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</si>
  <si>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</si>
  <si>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</si>
  <si>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</si>
  <si>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</si>
  <si>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</si>
  <si>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</si>
  <si>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</si>
  <si>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</si>
  <si>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</si>
  <si>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</si>
  <si>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</si>
  <si>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</si>
  <si>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</si>
  <si>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</si>
  <si>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</si>
  <si>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</si>
  <si>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</si>
  <si>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H5525</t>
  </si>
  <si>
    <t>YALE RICHARD A A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</si>
  <si>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</si>
  <si>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</si>
  <si>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</si>
  <si>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</si>
  <si>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</si>
  <si>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</si>
  <si>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</si>
  <si>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</si>
  <si>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</si>
  <si>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</si>
  <si>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</si>
  <si>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</si>
  <si>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RICHTER PETER L</t>
  </si>
  <si>
    <t>PRYCE DIANA V</t>
  </si>
  <si>
    <t>00020589444K</t>
  </si>
  <si>
    <t>GESKE HEATHER M</t>
  </si>
  <si>
    <t>SHEDD DEBBY L</t>
  </si>
  <si>
    <t>00022033172K</t>
  </si>
  <si>
    <t>COMBS NANCY J</t>
  </si>
  <si>
    <t>00024565859K</t>
  </si>
  <si>
    <t>5XQ2RE9HH87</t>
  </si>
  <si>
    <t>PDP</t>
  </si>
  <si>
    <t>S5884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</si>
  <si>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</si>
  <si>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</si>
  <si>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</si>
  <si>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</si>
  <si>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</si>
  <si>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</si>
  <si>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</si>
  <si>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</si>
  <si>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</si>
  <si>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</si>
  <si>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</si>
  <si>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</si>
  <si>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</si>
  <si>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</si>
  <si>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</si>
  <si>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</si>
  <si>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</si>
  <si>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</si>
  <si>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</si>
  <si>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</si>
  <si>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</si>
  <si>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</si>
  <si>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HERRERA-LARSEN ESTHER M</t>
  </si>
  <si>
    <t>HAMILTON DONNIE L</t>
  </si>
  <si>
    <t>00001672119K</t>
  </si>
  <si>
    <t>SANCHEZ ANTONIO</t>
  </si>
  <si>
    <t>00022671607K</t>
  </si>
  <si>
    <t>FOLEY CAROL</t>
  </si>
  <si>
    <t>ORLANDO RICKY R</t>
  </si>
  <si>
    <t>00022112017K</t>
  </si>
  <si>
    <t>INSKIPT DEBORAH L</t>
  </si>
  <si>
    <t>MONACELLI JOCELYN K</t>
  </si>
  <si>
    <t>00010536959K</t>
  </si>
  <si>
    <t>CLARK ROBERT T</t>
  </si>
  <si>
    <t>00020818326K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</si>
  <si>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</si>
  <si>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</si>
  <si>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</si>
  <si>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</si>
  <si>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</si>
  <si>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</si>
  <si>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</si>
  <si>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</si>
  <si>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</si>
  <si>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</si>
  <si>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</si>
  <si>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</si>
  <si>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</si>
  <si>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</si>
  <si>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</si>
  <si>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</si>
  <si>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</si>
  <si>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</si>
  <si>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</si>
  <si>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</si>
  <si>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</si>
  <si>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</si>
  <si>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LONG PATRICIA M</t>
  </si>
  <si>
    <t>DAVIDHEISER GEORGINE</t>
  </si>
  <si>
    <t>00000854688H</t>
  </si>
  <si>
    <t>MEF</t>
  </si>
  <si>
    <t>H8145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</si>
  <si>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</si>
  <si>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</si>
  <si>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</si>
  <si>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</si>
  <si>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</si>
  <si>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</si>
  <si>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</si>
  <si>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</si>
  <si>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</si>
  <si>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</si>
  <si>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</si>
  <si>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</si>
  <si>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</si>
  <si>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</si>
  <si>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ABDUL SAADIA S</t>
  </si>
  <si>
    <t>MOHIUDDIN KHAIRUNNISA A</t>
  </si>
  <si>
    <t>00011519472K</t>
  </si>
  <si>
    <t>AKRAM FARZANA</t>
  </si>
  <si>
    <t>00022063091K</t>
  </si>
  <si>
    <t>VAN HORN KATHY S</t>
  </si>
  <si>
    <t>00022386017K</t>
  </si>
  <si>
    <t>LUPOU MARY M</t>
  </si>
  <si>
    <t>00022627896K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</si>
  <si>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</si>
  <si>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</si>
  <si>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</si>
  <si>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</si>
  <si>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</si>
  <si>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</si>
  <si>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</si>
  <si>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</si>
  <si>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</si>
  <si>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</si>
  <si>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</si>
  <si>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</si>
  <si>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</si>
  <si>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</si>
  <si>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</si>
  <si>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</si>
  <si>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</si>
  <si>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</si>
  <si>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</si>
  <si>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DE GUIA CONCEPCION P</t>
  </si>
  <si>
    <t>00024846786K</t>
  </si>
  <si>
    <t>6H38ER7HW29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</si>
  <si>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</si>
  <si>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</si>
  <si>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</si>
  <si>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</si>
  <si>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</si>
  <si>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</si>
  <si>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</si>
  <si>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</si>
  <si>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</si>
  <si>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</si>
  <si>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MALZAHN MARI M</t>
  </si>
  <si>
    <t>00024862089K</t>
  </si>
  <si>
    <t>3XX7W53RH33</t>
  </si>
  <si>
    <t>GONZALEZ LENSIE</t>
  </si>
  <si>
    <t>HARRIS DONALD E</t>
  </si>
  <si>
    <t>00024737161K</t>
  </si>
  <si>
    <t>7Q05PP7UX57</t>
  </si>
  <si>
    <t>TAUGNER CHRISTIAN</t>
  </si>
  <si>
    <t>YOSHIKAWA KAREN</t>
  </si>
  <si>
    <t>00018671925K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</si>
  <si>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</si>
  <si>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</si>
  <si>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</si>
  <si>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</si>
  <si>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</si>
  <si>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</si>
  <si>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</si>
  <si>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</si>
  <si>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</si>
  <si>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PORTUGAL STACEY A</t>
  </si>
  <si>
    <t>DRAGONETTI TERESA E</t>
  </si>
  <si>
    <t>00021948322K</t>
  </si>
  <si>
    <t>JACKSON EUGENE A</t>
  </si>
  <si>
    <t>00022256745K</t>
  </si>
  <si>
    <t>SERIO TOM E</t>
  </si>
  <si>
    <t>SCHABER CAROL</t>
  </si>
  <si>
    <t>00000076874F</t>
  </si>
  <si>
    <t>AGUGLIA SCOTT C</t>
  </si>
  <si>
    <t>MCBRIDE JAMES O</t>
  </si>
  <si>
    <t>00021023598K</t>
  </si>
  <si>
    <t>NEVAREZ ANTONIA</t>
  </si>
  <si>
    <t>NEVAREZ SAUCEDO DAVID</t>
  </si>
  <si>
    <t>00024872183K</t>
  </si>
  <si>
    <t>4WD6G00VF45</t>
  </si>
  <si>
    <t>DEATON PAMELA S</t>
  </si>
  <si>
    <t>Golliday Lance</t>
  </si>
  <si>
    <t>9028188240</t>
  </si>
  <si>
    <t>IN</t>
  </si>
  <si>
    <t>CB</t>
  </si>
  <si>
    <t>VISION</t>
  </si>
  <si>
    <t>COMPBENEFITS RENEWAL COMMISSION</t>
  </si>
  <si>
    <t>CRCM</t>
  </si>
  <si>
    <t>Elliott Joseph</t>
  </si>
  <si>
    <t>9028205190</t>
  </si>
  <si>
    <t>Patton Andrew</t>
  </si>
  <si>
    <t>9028352660</t>
  </si>
  <si>
    <t>Kisner Amy S</t>
  </si>
  <si>
    <t>9007573590</t>
  </si>
  <si>
    <t>DENTAL</t>
  </si>
  <si>
    <t>Grychowski Jerry</t>
  </si>
  <si>
    <t>9007596540</t>
  </si>
  <si>
    <t>Gerber Elliot</t>
  </si>
  <si>
    <t>0654656220</t>
  </si>
  <si>
    <t>Holmes Chole</t>
  </si>
  <si>
    <t>9031030720</t>
  </si>
  <si>
    <t>COMPBENEFITS FIRST YEAR COMMISSION</t>
  </si>
  <si>
    <t>CRCF</t>
  </si>
  <si>
    <t>SHIRLEY QUIRK TERESA P</t>
  </si>
  <si>
    <t>00001066526A</t>
  </si>
  <si>
    <t>MS</t>
  </si>
  <si>
    <t>MED SUPP ANNUALIZED STANDARD</t>
  </si>
  <si>
    <t>MSAS</t>
  </si>
  <si>
    <t>GREGORY AUTO GROUP ASM</t>
  </si>
  <si>
    <t>000000419885</t>
  </si>
  <si>
    <t>GR</t>
  </si>
  <si>
    <t>EM</t>
  </si>
  <si>
    <t>OCT</t>
  </si>
  <si>
    <t>SCHUBERT DAVID</t>
  </si>
  <si>
    <t>00000789641A</t>
  </si>
  <si>
    <t>MED SUPP RENEWAL ACHIEVE</t>
  </si>
  <si>
    <t>MSRA</t>
  </si>
  <si>
    <t>CARDOSI KAREN E</t>
  </si>
  <si>
    <t>00000828881A</t>
  </si>
  <si>
    <t>BRACE TIMMY L</t>
  </si>
  <si>
    <t>00000871454A</t>
  </si>
  <si>
    <t>Casella Penelope A</t>
  </si>
  <si>
    <t>9030804870</t>
  </si>
  <si>
    <t>MCCORKLE MICHELLE</t>
  </si>
  <si>
    <t>Miller Kayla M</t>
  </si>
  <si>
    <t>9030250530</t>
  </si>
  <si>
    <t>Sloan Edward</t>
  </si>
  <si>
    <t>9031265700</t>
  </si>
  <si>
    <t>Schreck Gavin</t>
  </si>
  <si>
    <t>9031321440</t>
  </si>
  <si>
    <t>Volpe Vinchenzo</t>
  </si>
  <si>
    <t>9031321470</t>
  </si>
  <si>
    <t>Snead Terry</t>
  </si>
  <si>
    <t>9031321500</t>
  </si>
  <si>
    <t>Schroeder Robert</t>
  </si>
  <si>
    <t>9031321550</t>
  </si>
  <si>
    <t>Hanley Brenna</t>
  </si>
  <si>
    <t>9031367280</t>
  </si>
  <si>
    <t>Kershner David</t>
  </si>
  <si>
    <t>9031291620</t>
  </si>
  <si>
    <t>Shumaker Sydney</t>
  </si>
  <si>
    <t>9031221000</t>
  </si>
  <si>
    <t>Freed Cynthia</t>
  </si>
  <si>
    <t>9031431760</t>
  </si>
  <si>
    <t>Moody Paulette</t>
  </si>
  <si>
    <t>9031456350</t>
  </si>
  <si>
    <t>JAN</t>
  </si>
  <si>
    <t>KOZACHECK ANNE MARIE</t>
  </si>
  <si>
    <t>Swasey Devon</t>
  </si>
  <si>
    <t>9031083070</t>
  </si>
  <si>
    <t>9031083620</t>
  </si>
  <si>
    <t>IFG EXTERNAL COMMISSIONS</t>
  </si>
  <si>
    <t>IFGC</t>
  </si>
  <si>
    <t>BARNES DOROTHY A</t>
  </si>
  <si>
    <t>00001064452A</t>
  </si>
  <si>
    <t>STORCH DANIEL D</t>
  </si>
  <si>
    <t>00001074875A</t>
  </si>
  <si>
    <t>STORCH NINA G</t>
  </si>
  <si>
    <t>00001075050A</t>
  </si>
  <si>
    <t>SHAHAN JR DONALD B</t>
  </si>
  <si>
    <t>00001073186A</t>
  </si>
  <si>
    <t>17528908N</t>
  </si>
  <si>
    <t>18710070N</t>
  </si>
  <si>
    <t>Humana Dental &amp; Vision</t>
  </si>
  <si>
    <t>Humana Dental &amp; Vision 15%</t>
  </si>
  <si>
    <t>Humana Group 2025</t>
  </si>
  <si>
    <t>Humana AL, AZ, AR, GA, etc. Plan N OE &amp; UW</t>
  </si>
  <si>
    <t>Humana 65-80 AL, AZ, AR, GA, etc. All Except N OE &amp; UW</t>
  </si>
  <si>
    <t>Humana Annualized MS OE,UW,GI</t>
  </si>
  <si>
    <t>Humana PDP 2025!</t>
  </si>
  <si>
    <t>Humana MAPD 2025*</t>
  </si>
  <si>
    <t>Humana 2025 CT, PA, DC *</t>
  </si>
  <si>
    <t>Humana 2025 CA, NJ*</t>
  </si>
  <si>
    <t>[%/$=313][prorate=1/12]</t>
  </si>
  <si>
    <t>[%/$=353][prorate=1/12]</t>
  </si>
  <si>
    <t>[%/$=390][prorate=1/12]</t>
  </si>
  <si>
    <t>MOHIUDDIN</t>
  </si>
  <si>
    <t>KHAIRUNNISA</t>
  </si>
  <si>
    <t>BENTLEY</t>
  </si>
  <si>
    <t>MARYCLARE</t>
  </si>
  <si>
    <t>ROBERT</t>
  </si>
  <si>
    <t>DAVIDHEISER</t>
  </si>
  <si>
    <t>GEORGINE</t>
  </si>
  <si>
    <t>ORLANDO</t>
  </si>
  <si>
    <t>RICKY</t>
  </si>
  <si>
    <t>MCKENNA</t>
  </si>
  <si>
    <t>MICHAEL</t>
  </si>
  <si>
    <t>MONACELLI</t>
  </si>
  <si>
    <t>JOCELYN</t>
  </si>
  <si>
    <t>CLARK</t>
  </si>
  <si>
    <t>HOCK</t>
  </si>
  <si>
    <t>RAYMOND</t>
  </si>
  <si>
    <t>POOLE</t>
  </si>
  <si>
    <t>TINA</t>
  </si>
  <si>
    <t>MCBRIDE</t>
  </si>
  <si>
    <t>JAMES</t>
  </si>
  <si>
    <t>HAUGH</t>
  </si>
  <si>
    <t>CLAIRE</t>
  </si>
  <si>
    <t>TAYLOR</t>
  </si>
  <si>
    <t>THOMAS</t>
  </si>
  <si>
    <t>CARDOSI</t>
  </si>
  <si>
    <t>KAREN</t>
  </si>
  <si>
    <t>BRACE</t>
  </si>
  <si>
    <t>TIMMY</t>
  </si>
  <si>
    <t>SCHUBERT</t>
  </si>
  <si>
    <t>DAVID</t>
  </si>
  <si>
    <t>SHAHAN</t>
  </si>
  <si>
    <t>DONALD</t>
  </si>
  <si>
    <t>SHIRLEY</t>
  </si>
  <si>
    <t>TERESA</t>
  </si>
  <si>
    <t>BARNES</t>
  </si>
  <si>
    <t>DOROTHY</t>
  </si>
  <si>
    <t>STORCH</t>
  </si>
  <si>
    <t>DANIEL</t>
  </si>
  <si>
    <t>NINA</t>
  </si>
  <si>
    <t>Kisner</t>
  </si>
  <si>
    <t>Amy</t>
  </si>
  <si>
    <t>Grychowski</t>
  </si>
  <si>
    <t>Jerry</t>
  </si>
  <si>
    <t>Swasey</t>
  </si>
  <si>
    <t>Devon</t>
  </si>
  <si>
    <t>Holmes</t>
  </si>
  <si>
    <t>Chole</t>
  </si>
  <si>
    <t>Golliday</t>
  </si>
  <si>
    <t>Lance</t>
  </si>
  <si>
    <t>Elliott</t>
  </si>
  <si>
    <t>Joseph</t>
  </si>
  <si>
    <t>Patton</t>
  </si>
  <si>
    <t>Andrew</t>
  </si>
  <si>
    <t>Freed</t>
  </si>
  <si>
    <t>Cynthia</t>
  </si>
  <si>
    <t>Moody</t>
  </si>
  <si>
    <t>Paulette</t>
  </si>
  <si>
    <t>Gerber</t>
  </si>
  <si>
    <t>Elliot</t>
  </si>
  <si>
    <t>Casella</t>
  </si>
  <si>
    <t>Penelope</t>
  </si>
  <si>
    <t>Miller</t>
  </si>
  <si>
    <t>Kayla</t>
  </si>
  <si>
    <t>Kershner</t>
  </si>
  <si>
    <t>David</t>
  </si>
  <si>
    <t>Shumaker</t>
  </si>
  <si>
    <t>Sydney</t>
  </si>
  <si>
    <t>Sloan</t>
  </si>
  <si>
    <t>Edward</t>
  </si>
  <si>
    <t>Schreck</t>
  </si>
  <si>
    <t>Gavin</t>
  </si>
  <si>
    <t>Volpe</t>
  </si>
  <si>
    <t>Vinchenzo</t>
  </si>
  <si>
    <t>Snead</t>
  </si>
  <si>
    <t>Terry</t>
  </si>
  <si>
    <t>Schroeder</t>
  </si>
  <si>
    <t>Robert</t>
  </si>
  <si>
    <t>Hanley</t>
  </si>
  <si>
    <t>Brenna</t>
  </si>
  <si>
    <t>GREGORY</t>
  </si>
  <si>
    <t>AUTO</t>
  </si>
  <si>
    <t>KATHY</t>
  </si>
  <si>
    <t>MCGARY</t>
  </si>
  <si>
    <t>JOHN</t>
  </si>
  <si>
    <t>MARIANNE</t>
  </si>
  <si>
    <t>SCARDINA</t>
  </si>
  <si>
    <t>FRANK</t>
  </si>
  <si>
    <t>MCGRAIL</t>
  </si>
  <si>
    <t>PATRICIA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</si>
  <si>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</si>
  <si>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</si>
  <si>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</si>
  <si>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</si>
  <si>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</si>
  <si>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</si>
  <si>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</si>
  <si>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</si>
  <si>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</si>
  <si>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</si>
  <si>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CONNOR</t>
  </si>
  <si>
    <t>STEVEN</t>
  </si>
  <si>
    <t>CHUBICK</t>
  </si>
  <si>
    <t>CHRISTY</t>
  </si>
  <si>
    <t>SCHUMM</t>
  </si>
  <si>
    <t>MARILYN</t>
  </si>
  <si>
    <t>LOREY</t>
  </si>
  <si>
    <t>MONICA</t>
  </si>
  <si>
    <t>HAMILTON</t>
  </si>
  <si>
    <t>DONNIE</t>
  </si>
  <si>
    <t>COSTA</t>
  </si>
  <si>
    <t>GIOVINCO</t>
  </si>
  <si>
    <t>MARY</t>
  </si>
  <si>
    <t>WALTHERS</t>
  </si>
  <si>
    <t>GERRI</t>
  </si>
  <si>
    <t>COHEN</t>
  </si>
  <si>
    <t>TODD</t>
  </si>
  <si>
    <t>JOCHUM</t>
  </si>
  <si>
    <t>PATRICK</t>
  </si>
  <si>
    <t>CHILDS</t>
  </si>
  <si>
    <t>DONNA</t>
  </si>
  <si>
    <t>REIMANN</t>
  </si>
  <si>
    <t>BRENDA</t>
  </si>
  <si>
    <t>WONG</t>
  </si>
  <si>
    <t>KENNETH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</si>
  <si>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</si>
  <si>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</si>
  <si>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</si>
  <si>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</si>
  <si>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</si>
  <si>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</si>
  <si>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</si>
  <si>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</si>
  <si>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</si>
  <si>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PRIEGEL</t>
  </si>
  <si>
    <t>RAND</t>
  </si>
  <si>
    <t>ENWIA</t>
  </si>
  <si>
    <t>MAURICE</t>
  </si>
  <si>
    <t>LEGG</t>
  </si>
  <si>
    <t>LANNERS</t>
  </si>
  <si>
    <t>RICHARD</t>
  </si>
  <si>
    <t>GAVIN</t>
  </si>
  <si>
    <t>BROWN</t>
  </si>
  <si>
    <t>TRACEY</t>
  </si>
  <si>
    <t>NEVAREZ</t>
  </si>
  <si>
    <t>TUCKER</t>
  </si>
  <si>
    <t>JACKIE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</si>
  <si>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</si>
  <si>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</si>
  <si>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</si>
  <si>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</si>
  <si>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</si>
  <si>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</si>
  <si>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</si>
  <si>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</si>
  <si>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</si>
  <si>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</si>
  <si>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</si>
  <si>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</si>
  <si>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</si>
  <si>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</si>
  <si>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</si>
  <si>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DRAGONETTI</t>
  </si>
  <si>
    <t>ROCCIO</t>
  </si>
  <si>
    <t>FERRELL</t>
  </si>
  <si>
    <t>CHARLOTTE</t>
  </si>
  <si>
    <t>CHASE</t>
  </si>
  <si>
    <t>WINKLER</t>
  </si>
  <si>
    <t>TERESZCUK</t>
  </si>
  <si>
    <t>JOANNE</t>
  </si>
  <si>
    <t>RICCIO</t>
  </si>
  <si>
    <t>MARYANNE</t>
  </si>
  <si>
    <t>ANTCZAK</t>
  </si>
  <si>
    <t>CHESTER</t>
  </si>
  <si>
    <t>SILVA</t>
  </si>
  <si>
    <t>NICOMEDES</t>
  </si>
  <si>
    <t>ADELAIDA</t>
  </si>
  <si>
    <t>CONCEPCION</t>
  </si>
  <si>
    <t>SCHABER</t>
  </si>
  <si>
    <t>CAROL</t>
  </si>
  <si>
    <t>YOSHIKAWA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</si>
  <si>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</si>
  <si>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</si>
  <si>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</si>
  <si>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</si>
  <si>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</si>
  <si>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</si>
  <si>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</si>
  <si>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</si>
  <si>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TREW</t>
  </si>
  <si>
    <t>ROBIN</t>
  </si>
  <si>
    <t>JOHNSON</t>
  </si>
  <si>
    <t>CALVIN</t>
  </si>
  <si>
    <t>OLSEN</t>
  </si>
  <si>
    <t>SHULTZ</t>
  </si>
  <si>
    <t>ERIC</t>
  </si>
  <si>
    <t>BOYD</t>
  </si>
  <si>
    <t>JODY</t>
  </si>
  <si>
    <t>HEIL</t>
  </si>
  <si>
    <t>KATHERINE</t>
  </si>
  <si>
    <t>HARKER</t>
  </si>
  <si>
    <t>KALCSICS</t>
  </si>
  <si>
    <t>JANET</t>
  </si>
  <si>
    <t>BAILEY</t>
  </si>
  <si>
    <t>KEVIN</t>
  </si>
  <si>
    <t>HATFIELD</t>
  </si>
  <si>
    <t>KIM</t>
  </si>
  <si>
    <t>LAWRENCE</t>
  </si>
  <si>
    <t>PAUL</t>
  </si>
  <si>
    <t>HOWARD</t>
  </si>
  <si>
    <t>DEBRA</t>
  </si>
  <si>
    <t>LINDA</t>
  </si>
  <si>
    <t>COLSON</t>
  </si>
  <si>
    <t>BARBARA</t>
  </si>
  <si>
    <t>TURNER</t>
  </si>
  <si>
    <t>HEIN</t>
  </si>
  <si>
    <t>MCVICKER</t>
  </si>
  <si>
    <t>CATHY</t>
  </si>
  <si>
    <t>WENINEGAR</t>
  </si>
  <si>
    <t>TERRI</t>
  </si>
  <si>
    <t>ORTIZ</t>
  </si>
  <si>
    <t>PRISCILLA</t>
  </si>
  <si>
    <t>NASIFE</t>
  </si>
  <si>
    <t>ALICE</t>
  </si>
  <si>
    <t>HUMPHRIES</t>
  </si>
  <si>
    <t>LONNIE</t>
  </si>
  <si>
    <t>LAUDERDALE</t>
  </si>
  <si>
    <t>CATHERINE</t>
  </si>
  <si>
    <t>PAYNE</t>
  </si>
  <si>
    <t>EUGENE</t>
  </si>
  <si>
    <t>HATMAKER</t>
  </si>
  <si>
    <t>TIMOTHY</t>
  </si>
  <si>
    <t>BAKKER</t>
  </si>
  <si>
    <t>GAY</t>
  </si>
  <si>
    <t>YAKULIS</t>
  </si>
  <si>
    <t>ALEX</t>
  </si>
  <si>
    <t>FOLLANSBEE</t>
  </si>
  <si>
    <t>MIKE</t>
  </si>
  <si>
    <t>RATHGEB</t>
  </si>
  <si>
    <t>THEROLD</t>
  </si>
  <si>
    <t>HOEKS</t>
  </si>
  <si>
    <t>RYAN</t>
  </si>
  <si>
    <t>EDWARD</t>
  </si>
  <si>
    <t>LEWAKOWSKI</t>
  </si>
  <si>
    <t>GARRITY</t>
  </si>
  <si>
    <t>MARGARET</t>
  </si>
  <si>
    <t>EATON</t>
  </si>
  <si>
    <t>BOUBEL</t>
  </si>
  <si>
    <t>LARRY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</si>
  <si>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</si>
  <si>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</si>
  <si>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</si>
  <si>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</si>
  <si>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</si>
  <si>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</si>
  <si>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</si>
  <si>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</si>
  <si>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</si>
  <si>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</si>
  <si>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AKRAM</t>
  </si>
  <si>
    <t>FARZANA</t>
  </si>
  <si>
    <t>LUPOU</t>
  </si>
  <si>
    <t>SCHEIDENHELM</t>
  </si>
  <si>
    <t>SANDRA</t>
  </si>
  <si>
    <t>SHEDD</t>
  </si>
  <si>
    <t>DEBBY</t>
  </si>
  <si>
    <t>SANCHEZ</t>
  </si>
  <si>
    <t>ANTONIO</t>
  </si>
  <si>
    <t>DRUCKER</t>
  </si>
  <si>
    <t>DOLPH</t>
  </si>
  <si>
    <t>KRISTY</t>
  </si>
  <si>
    <t>ROSS</t>
  </si>
  <si>
    <t>TERRY</t>
  </si>
  <si>
    <t>CARVALHO</t>
  </si>
  <si>
    <t>DONARIA</t>
  </si>
  <si>
    <t>WILSON</t>
  </si>
  <si>
    <t>JUAN</t>
  </si>
  <si>
    <t>JACKSON</t>
  </si>
  <si>
    <t>KLAUZA</t>
  </si>
  <si>
    <t>WILKE</t>
  </si>
  <si>
    <t>JUDY</t>
  </si>
  <si>
    <t>PRYCE</t>
  </si>
  <si>
    <t>DIANA</t>
  </si>
  <si>
    <t>SHAHRUKH</t>
  </si>
  <si>
    <t>SHAZIA</t>
  </si>
  <si>
    <t>MADETE</t>
  </si>
  <si>
    <t>SUSAN</t>
  </si>
  <si>
    <t>SMITH</t>
  </si>
  <si>
    <t>ASEGA</t>
  </si>
  <si>
    <t>HENRY</t>
  </si>
  <si>
    <t>BORASH</t>
  </si>
  <si>
    <t>SIMS</t>
  </si>
  <si>
    <t>HARBACEK</t>
  </si>
  <si>
    <t>BECKWITH</t>
  </si>
  <si>
    <t>MALZAHN</t>
  </si>
  <si>
    <t>MARI</t>
  </si>
  <si>
    <t>KOVACH</t>
  </si>
  <si>
    <t>HAUFF</t>
  </si>
  <si>
    <t>MORAN</t>
  </si>
  <si>
    <t>MOONEY</t>
  </si>
  <si>
    <t>BONNIE</t>
  </si>
  <si>
    <t>FRIESE</t>
  </si>
  <si>
    <t>SUZI</t>
  </si>
  <si>
    <t>RODGERS</t>
  </si>
  <si>
    <t>LORI</t>
  </si>
  <si>
    <t>SHELTON</t>
  </si>
  <si>
    <t>RICHMOND</t>
  </si>
  <si>
    <t>RALPH</t>
  </si>
  <si>
    <t>ARNOLD</t>
  </si>
  <si>
    <t>KINKAID</t>
  </si>
  <si>
    <t>JEFFREY</t>
  </si>
  <si>
    <t>COMBS</t>
  </si>
  <si>
    <t>NANCY</t>
  </si>
  <si>
    <t>HARRIS</t>
  </si>
  <si>
    <t>VAN HORN</t>
  </si>
  <si>
    <t>O BRIEN</t>
  </si>
  <si>
    <t>DE GUIA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</si>
</sst>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0" fontId="19" fillId="0" borderId="0" xfId="0" applyFont="1"/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1" fontId="19" fillId="33" borderId="0" xfId="0" applyNumberFormat="1" applyFont="1" applyFill="1"/>
    <xf numFmtId="49" fontId="0" fillId="36" borderId="0" xfId="0" applyNumberFormat="1" applyFill="1" applyAlignment="1">
      <alignment horizontal="left" vertical="top"/>
    </xf>
    <xf numFmtId="1" fontId="0" fillId="36" borderId="0" xfId="0" applyNumberFormat="1" applyFill="1"/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0" fillId="37" borderId="0" xfId="0" applyNumberFormat="1" applyFill="1" applyAlignment="1">
      <alignment horizontal="left" vertical="top"/>
    </xf>
    <xf numFmtId="1" fontId="0" fillId="37" borderId="0" xfId="0" applyNumberFormat="1" applyFill="1"/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0" fillId="33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49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227-7558-4334-A0F2-95469BB20246}">
  <dimension ref="A1:AP183"/>
  <sheetViews>
    <sheetView tabSelected="1" topLeftCell="N1" workbookViewId="0">
      <selection activeCell="Y1" sqref="Y1:Y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45980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45962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45980</v>
      </c>
      <c r="C3" s="4" t="s">
        <v>42</v>
      </c>
      <c r="D3" s="2">
        <v>1251955</v>
      </c>
      <c r="E3" s="4" t="s">
        <v>55</v>
      </c>
      <c r="F3" s="4" t="s">
        <v>56</v>
      </c>
      <c r="G3" s="2">
        <v>954840045</v>
      </c>
      <c r="H3" s="4" t="s">
        <v>57</v>
      </c>
      <c r="I3" s="4" t="s">
        <v>45</v>
      </c>
      <c r="J3" s="4" t="s">
        <v>46</v>
      </c>
      <c r="K3" s="4" t="s">
        <v>47</v>
      </c>
      <c r="L3" s="3">
        <v>45992</v>
      </c>
      <c r="M3" s="4" t="s">
        <v>58</v>
      </c>
      <c r="N3" s="4" t="s">
        <v>45</v>
      </c>
      <c r="O3" s="4" t="s">
        <v>59</v>
      </c>
      <c r="P3" s="4" t="s">
        <v>45</v>
      </c>
      <c r="Q3" s="2">
        <v>1</v>
      </c>
      <c r="R3" s="2">
        <v>17</v>
      </c>
      <c r="S3" s="4" t="s">
        <v>50</v>
      </c>
      <c r="T3" s="4" t="s">
        <v>60</v>
      </c>
      <c r="U3" s="4" t="s">
        <v>45</v>
      </c>
      <c r="V3" s="5">
        <v>0.08</v>
      </c>
      <c r="W3" s="5">
        <v>0</v>
      </c>
      <c r="X3" s="5">
        <v>100</v>
      </c>
      <c r="Y3" s="5">
        <v>26.08</v>
      </c>
      <c r="Z3" s="4" t="s">
        <v>45</v>
      </c>
      <c r="AA3" s="5" t="s">
        <v>45</v>
      </c>
      <c r="AB3" s="4" t="s">
        <v>61</v>
      </c>
      <c r="AC3" s="4" t="s">
        <v>45</v>
      </c>
      <c r="AD3" s="5">
        <v>0</v>
      </c>
      <c r="AE3" s="4" t="s">
        <v>62</v>
      </c>
      <c r="AF3" s="3">
        <v>45992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63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45980</v>
      </c>
      <c r="C4" s="4" t="s">
        <v>64</v>
      </c>
      <c r="D4" s="2">
        <v>1267028</v>
      </c>
      <c r="E4" s="4" t="s">
        <v>65</v>
      </c>
      <c r="F4" s="4" t="s">
        <v>66</v>
      </c>
      <c r="G4" s="2">
        <v>915328352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45962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51</v>
      </c>
      <c r="U4" s="4" t="s">
        <v>45</v>
      </c>
      <c r="V4" s="5">
        <v>1</v>
      </c>
      <c r="W4" s="5">
        <v>0</v>
      </c>
      <c r="X4" s="5">
        <v>100</v>
      </c>
      <c r="Y4" s="5">
        <v>26.08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45627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67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45980</v>
      </c>
      <c r="C5" s="4" t="s">
        <v>68</v>
      </c>
      <c r="D5" s="2">
        <v>1427681</v>
      </c>
      <c r="E5" s="4" t="s">
        <v>69</v>
      </c>
      <c r="F5" s="4" t="s">
        <v>70</v>
      </c>
      <c r="G5" s="2">
        <v>686888423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45962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60</v>
      </c>
      <c r="U5" s="4" t="s">
        <v>45</v>
      </c>
      <c r="V5" s="5">
        <v>1</v>
      </c>
      <c r="W5" s="5">
        <v>0</v>
      </c>
      <c r="X5" s="5">
        <v>100</v>
      </c>
      <c r="Y5" s="5">
        <v>26.08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45566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63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45980</v>
      </c>
      <c r="C6" s="4" t="s">
        <v>68</v>
      </c>
      <c r="D6" s="2">
        <v>1427681</v>
      </c>
      <c r="E6" s="4" t="s">
        <v>71</v>
      </c>
      <c r="F6" s="4" t="s">
        <v>72</v>
      </c>
      <c r="G6" s="2">
        <v>294711481</v>
      </c>
      <c r="H6" s="4" t="s">
        <v>73</v>
      </c>
      <c r="I6" s="4" t="s">
        <v>45</v>
      </c>
      <c r="J6" s="4" t="s">
        <v>46</v>
      </c>
      <c r="K6" s="4" t="s">
        <v>47</v>
      </c>
      <c r="L6" s="3">
        <v>45992</v>
      </c>
      <c r="M6" s="4" t="s">
        <v>58</v>
      </c>
      <c r="N6" s="4" t="s">
        <v>45</v>
      </c>
      <c r="O6" s="4" t="s">
        <v>59</v>
      </c>
      <c r="P6" s="4" t="s">
        <v>45</v>
      </c>
      <c r="Q6" s="2">
        <v>1</v>
      </c>
      <c r="R6" s="2">
        <v>17</v>
      </c>
      <c r="S6" s="4" t="s">
        <v>50</v>
      </c>
      <c r="T6" s="4" t="s">
        <v>60</v>
      </c>
      <c r="U6" s="4" t="s">
        <v>45</v>
      </c>
      <c r="V6" s="5">
        <v>0.08</v>
      </c>
      <c r="W6" s="5">
        <v>0</v>
      </c>
      <c r="X6" s="5">
        <v>100</v>
      </c>
      <c r="Y6" s="5">
        <v>26.08</v>
      </c>
      <c r="Z6" s="4" t="s">
        <v>45</v>
      </c>
      <c r="AA6" s="5" t="s">
        <v>45</v>
      </c>
      <c r="AB6" s="4" t="s">
        <v>61</v>
      </c>
      <c r="AC6" s="4" t="s">
        <v>45</v>
      </c>
      <c r="AD6" s="5">
        <v>0</v>
      </c>
      <c r="AE6" s="4" t="s">
        <v>62</v>
      </c>
      <c r="AF6" s="3">
        <v>45992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63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45980</v>
      </c>
      <c r="C7" s="4" t="s">
        <v>68</v>
      </c>
      <c r="D7" s="2">
        <v>1427681</v>
      </c>
      <c r="E7" s="4" t="s">
        <v>74</v>
      </c>
      <c r="F7" s="4" t="s">
        <v>75</v>
      </c>
      <c r="G7" s="2">
        <v>681372543</v>
      </c>
      <c r="H7" s="4" t="s">
        <v>76</v>
      </c>
      <c r="I7" s="4" t="s">
        <v>45</v>
      </c>
      <c r="J7" s="4" t="s">
        <v>46</v>
      </c>
      <c r="K7" s="4" t="s">
        <v>47</v>
      </c>
      <c r="L7" s="3">
        <v>45992</v>
      </c>
      <c r="M7" s="4" t="s">
        <v>58</v>
      </c>
      <c r="N7" s="4" t="s">
        <v>45</v>
      </c>
      <c r="O7" s="4" t="s">
        <v>59</v>
      </c>
      <c r="P7" s="4" t="s">
        <v>45</v>
      </c>
      <c r="Q7" s="2">
        <v>1</v>
      </c>
      <c r="R7" s="2">
        <v>17</v>
      </c>
      <c r="S7" s="4" t="s">
        <v>50</v>
      </c>
      <c r="T7" s="4" t="s">
        <v>60</v>
      </c>
      <c r="U7" s="4" t="s">
        <v>45</v>
      </c>
      <c r="V7" s="5">
        <v>0.08</v>
      </c>
      <c r="W7" s="5">
        <v>0</v>
      </c>
      <c r="X7" s="5">
        <v>100</v>
      </c>
      <c r="Y7" s="5">
        <v>26.08</v>
      </c>
      <c r="Z7" s="4" t="s">
        <v>45</v>
      </c>
      <c r="AA7" s="5" t="s">
        <v>45</v>
      </c>
      <c r="AB7" s="4" t="s">
        <v>61</v>
      </c>
      <c r="AC7" s="4" t="s">
        <v>45</v>
      </c>
      <c r="AD7" s="5">
        <v>0</v>
      </c>
      <c r="AE7" s="4" t="s">
        <v>62</v>
      </c>
      <c r="AF7" s="3">
        <v>45992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63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45980</v>
      </c>
      <c r="C8" s="4" t="s">
        <v>68</v>
      </c>
      <c r="D8" s="2">
        <v>1427681</v>
      </c>
      <c r="E8" s="4" t="s">
        <v>77</v>
      </c>
      <c r="F8" s="4" t="s">
        <v>78</v>
      </c>
      <c r="G8" s="2">
        <v>425240114</v>
      </c>
      <c r="H8" s="4" t="s">
        <v>79</v>
      </c>
      <c r="I8" s="4" t="s">
        <v>45</v>
      </c>
      <c r="J8" s="4" t="s">
        <v>46</v>
      </c>
      <c r="K8" s="4" t="s">
        <v>47</v>
      </c>
      <c r="L8" s="3">
        <v>45992</v>
      </c>
      <c r="M8" s="4" t="s">
        <v>58</v>
      </c>
      <c r="N8" s="4" t="s">
        <v>45</v>
      </c>
      <c r="O8" s="4" t="s">
        <v>59</v>
      </c>
      <c r="P8" s="4" t="s">
        <v>45</v>
      </c>
      <c r="Q8" s="2">
        <v>1</v>
      </c>
      <c r="R8" s="2">
        <v>17</v>
      </c>
      <c r="S8" s="4" t="s">
        <v>50</v>
      </c>
      <c r="T8" s="4" t="s">
        <v>60</v>
      </c>
      <c r="U8" s="4" t="s">
        <v>45</v>
      </c>
      <c r="V8" s="5">
        <v>0.08</v>
      </c>
      <c r="W8" s="5">
        <v>0</v>
      </c>
      <c r="X8" s="5">
        <v>100</v>
      </c>
      <c r="Y8" s="5">
        <v>26.08</v>
      </c>
      <c r="Z8" s="4" t="s">
        <v>45</v>
      </c>
      <c r="AA8" s="5" t="s">
        <v>45</v>
      </c>
      <c r="AB8" s="4" t="s">
        <v>61</v>
      </c>
      <c r="AC8" s="4" t="s">
        <v>45</v>
      </c>
      <c r="AD8" s="5">
        <v>0</v>
      </c>
      <c r="AE8" s="4" t="s">
        <v>62</v>
      </c>
      <c r="AF8" s="3">
        <v>45992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63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45980</v>
      </c>
      <c r="C9" s="4" t="s">
        <v>80</v>
      </c>
      <c r="D9" s="2">
        <v>1466196</v>
      </c>
      <c r="E9" s="4" t="s">
        <v>81</v>
      </c>
      <c r="F9" s="4" t="s">
        <v>82</v>
      </c>
      <c r="G9" s="2">
        <v>114360130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45962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60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45627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63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45980</v>
      </c>
      <c r="C10" s="4" t="s">
        <v>83</v>
      </c>
      <c r="D10" s="2">
        <v>1509770</v>
      </c>
      <c r="E10" s="4" t="s">
        <v>84</v>
      </c>
      <c r="F10" s="4" t="s">
        <v>85</v>
      </c>
      <c r="G10" s="2">
        <v>576690295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45962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60</v>
      </c>
      <c r="U10" s="4" t="s">
        <v>45</v>
      </c>
      <c r="V10" s="5">
        <v>1</v>
      </c>
      <c r="W10" s="5">
        <v>0</v>
      </c>
      <c r="X10" s="5">
        <v>100</v>
      </c>
      <c r="Y10" s="5">
        <v>26.08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45383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63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45980</v>
      </c>
      <c r="C11" s="4" t="s">
        <v>83</v>
      </c>
      <c r="D11" s="2">
        <v>1509770</v>
      </c>
      <c r="E11" s="4" t="s">
        <v>86</v>
      </c>
      <c r="F11" s="4" t="s">
        <v>87</v>
      </c>
      <c r="G11" s="2">
        <v>651986404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45962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60</v>
      </c>
      <c r="U11" s="4" t="s">
        <v>45</v>
      </c>
      <c r="V11" s="5">
        <v>1</v>
      </c>
      <c r="W11" s="5">
        <v>0</v>
      </c>
      <c r="X11" s="5">
        <v>100</v>
      </c>
      <c r="Y11" s="5">
        <v>26.08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45047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63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45980</v>
      </c>
      <c r="C12" s="4" t="s">
        <v>83</v>
      </c>
      <c r="D12" s="2">
        <v>1509770</v>
      </c>
      <c r="E12" s="4" t="s">
        <v>88</v>
      </c>
      <c r="F12" s="4" t="s">
        <v>89</v>
      </c>
      <c r="G12" s="2">
        <v>960988174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45962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60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45047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63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45980</v>
      </c>
      <c r="C13" s="4" t="s">
        <v>83</v>
      </c>
      <c r="D13" s="2">
        <v>1509770</v>
      </c>
      <c r="E13" s="4" t="s">
        <v>90</v>
      </c>
      <c r="F13" s="4" t="s">
        <v>91</v>
      </c>
      <c r="G13" s="2">
        <v>53110473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45962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60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45078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63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45980</v>
      </c>
      <c r="C14" s="4" t="s">
        <v>83</v>
      </c>
      <c r="D14" s="2">
        <v>1509770</v>
      </c>
      <c r="E14" s="4" t="s">
        <v>92</v>
      </c>
      <c r="F14" s="4" t="s">
        <v>93</v>
      </c>
      <c r="G14" s="2">
        <v>600555073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45962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94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45108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95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45980</v>
      </c>
      <c r="C15" s="4" t="s">
        <v>83</v>
      </c>
      <c r="D15" s="2">
        <v>1509770</v>
      </c>
      <c r="E15" s="4" t="s">
        <v>96</v>
      </c>
      <c r="F15" s="4" t="s">
        <v>97</v>
      </c>
      <c r="G15" s="2">
        <v>178779284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45962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51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45078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98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45980</v>
      </c>
      <c r="C16" s="4" t="s">
        <v>83</v>
      </c>
      <c r="D16" s="2">
        <v>1509770</v>
      </c>
      <c r="E16" s="4" t="s">
        <v>99</v>
      </c>
      <c r="F16" s="4" t="s">
        <v>100</v>
      </c>
      <c r="G16" s="2">
        <v>365808403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45962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60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45078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63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45980</v>
      </c>
      <c r="C17" s="4" t="s">
        <v>83</v>
      </c>
      <c r="D17" s="2">
        <v>1509770</v>
      </c>
      <c r="E17" s="4" t="s">
        <v>101</v>
      </c>
      <c r="F17" s="4" t="s">
        <v>102</v>
      </c>
      <c r="G17" s="2">
        <v>666505423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45962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60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45078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63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45980</v>
      </c>
      <c r="C18" s="4" t="s">
        <v>83</v>
      </c>
      <c r="D18" s="2">
        <v>1509770</v>
      </c>
      <c r="E18" s="4" t="s">
        <v>103</v>
      </c>
      <c r="F18" s="4" t="s">
        <v>104</v>
      </c>
      <c r="G18" s="2">
        <v>260541025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45962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51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45108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105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45980</v>
      </c>
      <c r="C19" s="4" t="s">
        <v>83</v>
      </c>
      <c r="D19" s="2">
        <v>1509770</v>
      </c>
      <c r="E19" s="4" t="s">
        <v>106</v>
      </c>
      <c r="F19" s="4" t="s">
        <v>107</v>
      </c>
      <c r="G19" s="2">
        <v>649416112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45962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60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45139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63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45980</v>
      </c>
      <c r="C20" s="4" t="s">
        <v>83</v>
      </c>
      <c r="D20" s="2">
        <v>1509770</v>
      </c>
      <c r="E20" s="4" t="s">
        <v>108</v>
      </c>
      <c r="F20" s="4" t="s">
        <v>109</v>
      </c>
      <c r="G20" s="2">
        <v>401766183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45962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60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45139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63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45980</v>
      </c>
      <c r="C21" s="4" t="s">
        <v>83</v>
      </c>
      <c r="D21" s="2">
        <v>1509770</v>
      </c>
      <c r="E21" s="4" t="s">
        <v>110</v>
      </c>
      <c r="F21" s="4" t="s">
        <v>111</v>
      </c>
      <c r="G21" s="2">
        <v>992703344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45962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60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45292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63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45980</v>
      </c>
      <c r="C22" s="4" t="s">
        <v>83</v>
      </c>
      <c r="D22" s="2">
        <v>1509770</v>
      </c>
      <c r="E22" s="4" t="s">
        <v>112</v>
      </c>
      <c r="F22" s="4" t="s">
        <v>113</v>
      </c>
      <c r="G22" s="2">
        <v>142479033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45962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60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45170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63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45980</v>
      </c>
      <c r="C23" s="4" t="s">
        <v>83</v>
      </c>
      <c r="D23" s="2">
        <v>1509770</v>
      </c>
      <c r="E23" s="4" t="s">
        <v>114</v>
      </c>
      <c r="F23" s="4" t="s">
        <v>115</v>
      </c>
      <c r="G23" s="2">
        <v>695051574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45962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60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45170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116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45980</v>
      </c>
      <c r="C24" s="4" t="s">
        <v>83</v>
      </c>
      <c r="D24" s="2">
        <v>1509770</v>
      </c>
      <c r="E24" s="4" t="s">
        <v>117</v>
      </c>
      <c r="F24" s="4" t="s">
        <v>118</v>
      </c>
      <c r="G24" s="2">
        <v>932902093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45962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60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45200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63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45980</v>
      </c>
      <c r="C25" s="4" t="s">
        <v>83</v>
      </c>
      <c r="D25" s="2">
        <v>1509770</v>
      </c>
      <c r="E25" s="4" t="s">
        <v>119</v>
      </c>
      <c r="F25" s="4" t="s">
        <v>120</v>
      </c>
      <c r="G25" s="2">
        <v>677520433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45962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60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45200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63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45980</v>
      </c>
      <c r="C26" s="4" t="s">
        <v>83</v>
      </c>
      <c r="D26" s="2">
        <v>1509770</v>
      </c>
      <c r="E26" s="4" t="s">
        <v>121</v>
      </c>
      <c r="F26" s="4" t="s">
        <v>122</v>
      </c>
      <c r="G26" s="2">
        <v>287686314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45962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60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45292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63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45980</v>
      </c>
      <c r="C27" s="4" t="s">
        <v>83</v>
      </c>
      <c r="D27" s="2">
        <v>1509770</v>
      </c>
      <c r="E27" s="4" t="s">
        <v>123</v>
      </c>
      <c r="F27" s="4" t="s">
        <v>124</v>
      </c>
      <c r="G27" s="2">
        <v>258639413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45962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60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45292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63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45980</v>
      </c>
      <c r="C28" s="4" t="s">
        <v>83</v>
      </c>
      <c r="D28" s="2">
        <v>1509770</v>
      </c>
      <c r="E28" s="4" t="s">
        <v>125</v>
      </c>
      <c r="F28" s="4" t="s">
        <v>126</v>
      </c>
      <c r="G28" s="2">
        <v>858505524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45962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60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45292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63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45980</v>
      </c>
      <c r="C29" s="4" t="s">
        <v>83</v>
      </c>
      <c r="D29" s="2">
        <v>1509770</v>
      </c>
      <c r="E29" s="4" t="s">
        <v>127</v>
      </c>
      <c r="F29" s="4" t="s">
        <v>128</v>
      </c>
      <c r="G29" s="2">
        <v>146982443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45962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60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45292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63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45980</v>
      </c>
      <c r="C30" s="4" t="s">
        <v>83</v>
      </c>
      <c r="D30" s="2">
        <v>1509770</v>
      </c>
      <c r="E30" s="4" t="s">
        <v>129</v>
      </c>
      <c r="F30" s="4" t="s">
        <v>130</v>
      </c>
      <c r="G30" s="2">
        <v>479915034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45962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51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45231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105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45980</v>
      </c>
      <c r="C31" s="4" t="s">
        <v>83</v>
      </c>
      <c r="D31" s="2">
        <v>1509770</v>
      </c>
      <c r="E31" s="4" t="s">
        <v>131</v>
      </c>
      <c r="F31" s="4" t="s">
        <v>132</v>
      </c>
      <c r="G31" s="2">
        <v>857752374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45962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60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45261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63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45980</v>
      </c>
      <c r="C32" s="4" t="s">
        <v>83</v>
      </c>
      <c r="D32" s="2">
        <v>1509770</v>
      </c>
      <c r="E32" s="4" t="s">
        <v>133</v>
      </c>
      <c r="F32" s="4" t="s">
        <v>134</v>
      </c>
      <c r="G32" s="2">
        <v>123130024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45962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60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45292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63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45980</v>
      </c>
      <c r="C33" s="4" t="s">
        <v>83</v>
      </c>
      <c r="D33" s="2">
        <v>1509770</v>
      </c>
      <c r="E33" s="4" t="s">
        <v>135</v>
      </c>
      <c r="F33" s="4" t="s">
        <v>136</v>
      </c>
      <c r="G33" s="2">
        <v>634142241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45962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60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45292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63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45980</v>
      </c>
      <c r="C34" s="4" t="s">
        <v>83</v>
      </c>
      <c r="D34" s="2">
        <v>1509770</v>
      </c>
      <c r="E34" s="4" t="s">
        <v>137</v>
      </c>
      <c r="F34" s="4" t="s">
        <v>138</v>
      </c>
      <c r="G34" s="2">
        <v>579548434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45962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60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63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45980</v>
      </c>
      <c r="C35" s="4" t="s">
        <v>83</v>
      </c>
      <c r="D35" s="2">
        <v>1509770</v>
      </c>
      <c r="E35" s="4" t="s">
        <v>139</v>
      </c>
      <c r="F35" s="4" t="s">
        <v>140</v>
      </c>
      <c r="G35" s="2">
        <v>225067423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45962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60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45323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63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45980</v>
      </c>
      <c r="C36" s="4" t="s">
        <v>83</v>
      </c>
      <c r="D36" s="2">
        <v>1509770</v>
      </c>
      <c r="E36" s="4" t="s">
        <v>141</v>
      </c>
      <c r="F36" s="4" t="s">
        <v>142</v>
      </c>
      <c r="G36" s="2">
        <v>162489380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45962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60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45413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63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45980</v>
      </c>
      <c r="C37" s="4" t="s">
        <v>83</v>
      </c>
      <c r="D37" s="2">
        <v>1509770</v>
      </c>
      <c r="E37" s="4" t="s">
        <v>143</v>
      </c>
      <c r="F37" s="4" t="s">
        <v>144</v>
      </c>
      <c r="G37" s="2">
        <v>130386835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45962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60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45383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63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45980</v>
      </c>
      <c r="C38" s="4" t="s">
        <v>83</v>
      </c>
      <c r="D38" s="2">
        <v>1509770</v>
      </c>
      <c r="E38" s="4" t="s">
        <v>145</v>
      </c>
      <c r="F38" s="4" t="s">
        <v>146</v>
      </c>
      <c r="G38" s="2">
        <v>104532335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45962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60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45352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63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45980</v>
      </c>
      <c r="C39" s="4" t="s">
        <v>83</v>
      </c>
      <c r="D39" s="2">
        <v>1509770</v>
      </c>
      <c r="E39" s="4" t="s">
        <v>147</v>
      </c>
      <c r="F39" s="4" t="s">
        <v>148</v>
      </c>
      <c r="G39" s="2">
        <v>288945103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45962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60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45413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63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45980</v>
      </c>
      <c r="C40" s="4" t="s">
        <v>83</v>
      </c>
      <c r="D40" s="2">
        <v>1509770</v>
      </c>
      <c r="E40" s="4" t="s">
        <v>149</v>
      </c>
      <c r="F40" s="4" t="s">
        <v>150</v>
      </c>
      <c r="G40" s="2">
        <v>501940134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45962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60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45444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63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45980</v>
      </c>
      <c r="C41" s="4" t="s">
        <v>83</v>
      </c>
      <c r="D41" s="2">
        <v>1509770</v>
      </c>
      <c r="E41" s="4" t="s">
        <v>151</v>
      </c>
      <c r="F41" s="4" t="s">
        <v>152</v>
      </c>
      <c r="G41" s="2">
        <v>752163464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45962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60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45444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63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45980</v>
      </c>
      <c r="C42" s="4" t="s">
        <v>83</v>
      </c>
      <c r="D42" s="2">
        <v>1509770</v>
      </c>
      <c r="E42" s="4" t="s">
        <v>153</v>
      </c>
      <c r="F42" s="4" t="s">
        <v>154</v>
      </c>
      <c r="G42" s="2">
        <v>96261115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45962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60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45474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63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45980</v>
      </c>
      <c r="C43" s="4" t="s">
        <v>83</v>
      </c>
      <c r="D43" s="2">
        <v>1509770</v>
      </c>
      <c r="E43" s="4" t="s">
        <v>155</v>
      </c>
      <c r="F43" s="4" t="s">
        <v>156</v>
      </c>
      <c r="G43" s="2">
        <v>65002716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45962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60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45444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63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45980</v>
      </c>
      <c r="C44" s="4" t="s">
        <v>83</v>
      </c>
      <c r="D44" s="2">
        <v>1509770</v>
      </c>
      <c r="E44" s="4" t="s">
        <v>157</v>
      </c>
      <c r="F44" s="4" t="s">
        <v>158</v>
      </c>
      <c r="G44" s="2">
        <v>841443335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45962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60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45505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63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45980</v>
      </c>
      <c r="C45" s="4" t="s">
        <v>83</v>
      </c>
      <c r="D45" s="2">
        <v>1509770</v>
      </c>
      <c r="E45" s="4" t="s">
        <v>159</v>
      </c>
      <c r="F45" s="4" t="s">
        <v>160</v>
      </c>
      <c r="G45" s="2">
        <v>468768234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45962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60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45597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63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45980</v>
      </c>
      <c r="C46" s="4" t="s">
        <v>83</v>
      </c>
      <c r="D46" s="2">
        <v>1509770</v>
      </c>
      <c r="E46" s="4" t="s">
        <v>161</v>
      </c>
      <c r="F46" s="4" t="s">
        <v>162</v>
      </c>
      <c r="G46" s="2">
        <v>431113124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45962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60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45566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63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45980</v>
      </c>
      <c r="C47" s="4" t="s">
        <v>83</v>
      </c>
      <c r="D47" s="2">
        <v>1509770</v>
      </c>
      <c r="E47" s="4" t="s">
        <v>163</v>
      </c>
      <c r="F47" s="4" t="s">
        <v>164</v>
      </c>
      <c r="G47" s="2">
        <v>434909034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45962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51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45597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95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45980</v>
      </c>
      <c r="C48" s="4" t="s">
        <v>83</v>
      </c>
      <c r="D48" s="2">
        <v>1509770</v>
      </c>
      <c r="E48" s="4" t="s">
        <v>165</v>
      </c>
      <c r="F48" s="4" t="s">
        <v>166</v>
      </c>
      <c r="G48" s="2">
        <v>89519214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45962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60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45627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63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45980</v>
      </c>
      <c r="C49" s="4" t="s">
        <v>83</v>
      </c>
      <c r="D49" s="2">
        <v>1509770</v>
      </c>
      <c r="E49" s="4" t="s">
        <v>167</v>
      </c>
      <c r="F49" s="4" t="s">
        <v>168</v>
      </c>
      <c r="G49" s="2">
        <v>81022024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45962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51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45627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95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45980</v>
      </c>
      <c r="C50" s="4" t="s">
        <v>83</v>
      </c>
      <c r="D50" s="2">
        <v>1509770</v>
      </c>
      <c r="E50" s="4" t="s">
        <v>169</v>
      </c>
      <c r="F50" s="4" t="s">
        <v>170</v>
      </c>
      <c r="G50" s="2">
        <v>659822155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45962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60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45597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63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45980</v>
      </c>
      <c r="C51" s="4" t="s">
        <v>83</v>
      </c>
      <c r="D51" s="2">
        <v>1509770</v>
      </c>
      <c r="E51" s="4" t="s">
        <v>171</v>
      </c>
      <c r="F51" s="4" t="s">
        <v>172</v>
      </c>
      <c r="G51" s="2">
        <v>57844271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45962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60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45627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63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45980</v>
      </c>
      <c r="C52" s="4" t="s">
        <v>173</v>
      </c>
      <c r="D52" s="2">
        <v>1510078</v>
      </c>
      <c r="E52" s="4" t="s">
        <v>174</v>
      </c>
      <c r="F52" s="4" t="s">
        <v>175</v>
      </c>
      <c r="G52" s="2">
        <v>664779410</v>
      </c>
      <c r="H52" s="4" t="s">
        <v>176</v>
      </c>
      <c r="I52" s="4" t="s">
        <v>45</v>
      </c>
      <c r="J52" s="4" t="s">
        <v>46</v>
      </c>
      <c r="K52" s="4" t="s">
        <v>47</v>
      </c>
      <c r="L52" s="3">
        <v>45992</v>
      </c>
      <c r="M52" s="4" t="s">
        <v>58</v>
      </c>
      <c r="N52" s="4" t="s">
        <v>45</v>
      </c>
      <c r="O52" s="4" t="s">
        <v>59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51</v>
      </c>
      <c r="U52" s="4" t="s">
        <v>45</v>
      </c>
      <c r="V52" s="5">
        <v>0.08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61</v>
      </c>
      <c r="AC52" s="4" t="s">
        <v>45</v>
      </c>
      <c r="AD52" s="5">
        <v>0</v>
      </c>
      <c r="AE52" s="4" t="s">
        <v>62</v>
      </c>
      <c r="AF52" s="3">
        <v>45992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67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45980</v>
      </c>
      <c r="C53" s="4" t="s">
        <v>177</v>
      </c>
      <c r="D53" s="2">
        <v>1510420</v>
      </c>
      <c r="E53" s="4" t="s">
        <v>178</v>
      </c>
      <c r="F53" s="4" t="s">
        <v>179</v>
      </c>
      <c r="G53" s="2">
        <v>336346032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45962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60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45505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63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45980</v>
      </c>
      <c r="C54" s="4" t="s">
        <v>177</v>
      </c>
      <c r="D54" s="2">
        <v>1510420</v>
      </c>
      <c r="E54" s="4" t="s">
        <v>180</v>
      </c>
      <c r="F54" s="4" t="s">
        <v>181</v>
      </c>
      <c r="G54" s="2">
        <v>115226083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45962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60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45474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63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45980</v>
      </c>
      <c r="C55" s="4" t="s">
        <v>177</v>
      </c>
      <c r="D55" s="2">
        <v>1510420</v>
      </c>
      <c r="E55" s="4" t="s">
        <v>182</v>
      </c>
      <c r="F55" s="4" t="s">
        <v>183</v>
      </c>
      <c r="G55" s="2">
        <v>932143415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45962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51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45505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67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45980</v>
      </c>
      <c r="C56" s="4" t="s">
        <v>177</v>
      </c>
      <c r="D56" s="2">
        <v>1510420</v>
      </c>
      <c r="E56" s="4" t="s">
        <v>184</v>
      </c>
      <c r="F56" s="4" t="s">
        <v>185</v>
      </c>
      <c r="G56" s="2">
        <v>343340553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45962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60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45505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63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45980</v>
      </c>
      <c r="C57" s="4" t="s">
        <v>177</v>
      </c>
      <c r="D57" s="2">
        <v>1510420</v>
      </c>
      <c r="E57" s="4" t="s">
        <v>186</v>
      </c>
      <c r="F57" s="4" t="s">
        <v>187</v>
      </c>
      <c r="G57" s="2">
        <v>464420083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45962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60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45536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63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45980</v>
      </c>
      <c r="C58" s="4" t="s">
        <v>177</v>
      </c>
      <c r="D58" s="2">
        <v>1510420</v>
      </c>
      <c r="E58" s="4" t="s">
        <v>188</v>
      </c>
      <c r="F58" s="4" t="s">
        <v>189</v>
      </c>
      <c r="G58" s="2">
        <v>134268303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45962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60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45566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63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45980</v>
      </c>
      <c r="C59" s="4" t="s">
        <v>177</v>
      </c>
      <c r="D59" s="2">
        <v>1510420</v>
      </c>
      <c r="E59" s="4" t="s">
        <v>190</v>
      </c>
      <c r="F59" s="4" t="s">
        <v>191</v>
      </c>
      <c r="G59" s="2">
        <v>974299156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45962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60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45536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63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45980</v>
      </c>
      <c r="C60" s="4" t="s">
        <v>177</v>
      </c>
      <c r="D60" s="2">
        <v>1510420</v>
      </c>
      <c r="E60" s="4" t="s">
        <v>192</v>
      </c>
      <c r="F60" s="4" t="s">
        <v>193</v>
      </c>
      <c r="G60" s="2">
        <v>392235213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45962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60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45566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63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45980</v>
      </c>
      <c r="C61" s="4" t="s">
        <v>177</v>
      </c>
      <c r="D61" s="2">
        <v>1510420</v>
      </c>
      <c r="E61" s="4" t="s">
        <v>194</v>
      </c>
      <c r="F61" s="4" t="s">
        <v>195</v>
      </c>
      <c r="G61" s="2">
        <v>800983464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45962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51</v>
      </c>
      <c r="U61" s="4" t="s">
        <v>45</v>
      </c>
      <c r="V61" s="5">
        <v>1</v>
      </c>
      <c r="W61" s="5">
        <v>0</v>
      </c>
      <c r="X61" s="5">
        <v>100</v>
      </c>
      <c r="Y61" s="5">
        <v>26.08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45536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67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45980</v>
      </c>
      <c r="C62" s="4" t="s">
        <v>177</v>
      </c>
      <c r="D62" s="2">
        <v>1510420</v>
      </c>
      <c r="E62" s="4" t="s">
        <v>196</v>
      </c>
      <c r="F62" s="4" t="s">
        <v>197</v>
      </c>
      <c r="G62" s="2">
        <v>290893033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45962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60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45566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63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45980</v>
      </c>
      <c r="C63" s="4" t="s">
        <v>177</v>
      </c>
      <c r="D63" s="2">
        <v>1510420</v>
      </c>
      <c r="E63" s="4" t="s">
        <v>198</v>
      </c>
      <c r="F63" s="4" t="s">
        <v>199</v>
      </c>
      <c r="G63" s="2">
        <v>349115403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45962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60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45566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63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45980</v>
      </c>
      <c r="C64" s="4" t="s">
        <v>177</v>
      </c>
      <c r="D64" s="2">
        <v>1510420</v>
      </c>
      <c r="E64" s="4" t="s">
        <v>200</v>
      </c>
      <c r="F64" s="4" t="s">
        <v>201</v>
      </c>
      <c r="G64" s="2">
        <v>836319241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45962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60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45627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63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45980</v>
      </c>
      <c r="C65" s="4" t="s">
        <v>177</v>
      </c>
      <c r="D65" s="2">
        <v>1510420</v>
      </c>
      <c r="E65" s="4" t="s">
        <v>202</v>
      </c>
      <c r="F65" s="4" t="s">
        <v>203</v>
      </c>
      <c r="G65" s="2">
        <v>104932521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45962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60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45627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63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45980</v>
      </c>
      <c r="C66" s="4" t="s">
        <v>177</v>
      </c>
      <c r="D66" s="2">
        <v>1510420</v>
      </c>
      <c r="E66" s="4" t="s">
        <v>204</v>
      </c>
      <c r="F66" s="4" t="s">
        <v>205</v>
      </c>
      <c r="G66" s="2">
        <v>95069564</v>
      </c>
      <c r="H66" s="4" t="s">
        <v>206</v>
      </c>
      <c r="I66" s="4" t="s">
        <v>45</v>
      </c>
      <c r="J66" s="4" t="s">
        <v>46</v>
      </c>
      <c r="K66" s="4" t="s">
        <v>47</v>
      </c>
      <c r="L66" s="3">
        <v>45992</v>
      </c>
      <c r="M66" s="4" t="s">
        <v>58</v>
      </c>
      <c r="N66" s="4" t="s">
        <v>45</v>
      </c>
      <c r="O66" s="4" t="s">
        <v>59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60</v>
      </c>
      <c r="U66" s="4" t="s">
        <v>45</v>
      </c>
      <c r="V66" s="5">
        <v>0.08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61</v>
      </c>
      <c r="AC66" s="4" t="s">
        <v>45</v>
      </c>
      <c r="AD66" s="5">
        <v>0</v>
      </c>
      <c r="AE66" s="4" t="s">
        <v>62</v>
      </c>
      <c r="AF66" s="3">
        <v>45992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63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45980</v>
      </c>
      <c r="C67" s="4" t="s">
        <v>207</v>
      </c>
      <c r="D67" s="2">
        <v>1524629</v>
      </c>
      <c r="E67" s="4" t="s">
        <v>208</v>
      </c>
      <c r="F67" s="4" t="s">
        <v>209</v>
      </c>
      <c r="G67" s="2">
        <v>312662013</v>
      </c>
      <c r="H67" s="4" t="s">
        <v>210</v>
      </c>
      <c r="I67" s="4" t="s">
        <v>45</v>
      </c>
      <c r="J67" s="4" t="s">
        <v>46</v>
      </c>
      <c r="K67" s="4" t="s">
        <v>47</v>
      </c>
      <c r="L67" s="3">
        <v>45962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60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45078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63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45980</v>
      </c>
      <c r="C68" s="4" t="s">
        <v>207</v>
      </c>
      <c r="D68" s="2">
        <v>1524629</v>
      </c>
      <c r="E68" s="4" t="s">
        <v>211</v>
      </c>
      <c r="F68" s="4" t="s">
        <v>212</v>
      </c>
      <c r="G68" s="2">
        <v>4902134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45962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51</v>
      </c>
      <c r="U68" s="4" t="s">
        <v>45</v>
      </c>
      <c r="V68" s="5">
        <v>1</v>
      </c>
      <c r="W68" s="5">
        <v>0</v>
      </c>
      <c r="X68" s="5">
        <v>100</v>
      </c>
      <c r="Y68" s="5">
        <v>29.41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45139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213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45980</v>
      </c>
      <c r="C69" s="4" t="s">
        <v>207</v>
      </c>
      <c r="D69" s="2">
        <v>1524629</v>
      </c>
      <c r="E69" s="4" t="s">
        <v>214</v>
      </c>
      <c r="F69" s="4" t="s">
        <v>215</v>
      </c>
      <c r="G69" s="2">
        <v>416933105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45962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51</v>
      </c>
      <c r="U69" s="4" t="s">
        <v>45</v>
      </c>
      <c r="V69" s="5">
        <v>1</v>
      </c>
      <c r="W69" s="5">
        <v>0</v>
      </c>
      <c r="X69" s="5">
        <v>100</v>
      </c>
      <c r="Y69" s="5">
        <v>29.41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45292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213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45980</v>
      </c>
      <c r="C70" s="4" t="s">
        <v>207</v>
      </c>
      <c r="D70" s="2">
        <v>1524629</v>
      </c>
      <c r="E70" s="4" t="s">
        <v>216</v>
      </c>
      <c r="F70" s="4" t="s">
        <v>217</v>
      </c>
      <c r="G70" s="2">
        <v>893625575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45962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60</v>
      </c>
      <c r="U70" s="4" t="s">
        <v>45</v>
      </c>
      <c r="V70" s="5">
        <v>1</v>
      </c>
      <c r="W70" s="5">
        <v>0</v>
      </c>
      <c r="X70" s="5">
        <v>100</v>
      </c>
      <c r="Y70" s="5">
        <v>29.41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45383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63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45980</v>
      </c>
      <c r="C71" s="4" t="s">
        <v>207</v>
      </c>
      <c r="D71" s="2">
        <v>1524629</v>
      </c>
      <c r="E71" s="4" t="s">
        <v>218</v>
      </c>
      <c r="F71" s="4" t="s">
        <v>219</v>
      </c>
      <c r="G71" s="2">
        <v>467151033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45962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60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45444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63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45980</v>
      </c>
      <c r="C72" s="4" t="s">
        <v>220</v>
      </c>
      <c r="D72" s="2">
        <v>1535078</v>
      </c>
      <c r="E72" s="4" t="s">
        <v>221</v>
      </c>
      <c r="F72" s="4" t="s">
        <v>222</v>
      </c>
      <c r="G72" s="2">
        <v>164107004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45962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51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45566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67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45980</v>
      </c>
      <c r="C73" s="4" t="s">
        <v>220</v>
      </c>
      <c r="D73" s="2">
        <v>1535078</v>
      </c>
      <c r="E73" s="4" t="s">
        <v>223</v>
      </c>
      <c r="F73" s="4" t="s">
        <v>224</v>
      </c>
      <c r="G73" s="2">
        <v>869746172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45962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51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45627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67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45980</v>
      </c>
      <c r="C74" s="4" t="s">
        <v>225</v>
      </c>
      <c r="D74" s="2">
        <v>1545197</v>
      </c>
      <c r="E74" s="4" t="s">
        <v>226</v>
      </c>
      <c r="F74" s="4" t="s">
        <v>227</v>
      </c>
      <c r="G74" s="2">
        <v>863481022</v>
      </c>
      <c r="H74" s="4" t="s">
        <v>228</v>
      </c>
      <c r="I74" s="4" t="s">
        <v>45</v>
      </c>
      <c r="J74" s="4" t="s">
        <v>46</v>
      </c>
      <c r="K74" s="4" t="s">
        <v>47</v>
      </c>
      <c r="L74" s="3">
        <v>45992</v>
      </c>
      <c r="M74" s="4" t="s">
        <v>58</v>
      </c>
      <c r="N74" s="4" t="s">
        <v>45</v>
      </c>
      <c r="O74" s="4" t="s">
        <v>59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60</v>
      </c>
      <c r="U74" s="4" t="s">
        <v>45</v>
      </c>
      <c r="V74" s="5">
        <v>0.08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61</v>
      </c>
      <c r="AC74" s="4" t="s">
        <v>45</v>
      </c>
      <c r="AD74" s="5">
        <v>0</v>
      </c>
      <c r="AE74" s="4" t="s">
        <v>62</v>
      </c>
      <c r="AF74" s="3">
        <v>45992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63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45980</v>
      </c>
      <c r="C75" s="4" t="s">
        <v>229</v>
      </c>
      <c r="D75" s="2">
        <v>1545980</v>
      </c>
      <c r="E75" s="4" t="s">
        <v>230</v>
      </c>
      <c r="F75" s="4" t="s">
        <v>231</v>
      </c>
      <c r="G75" s="2">
        <v>972151541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45962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60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45292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63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45980</v>
      </c>
      <c r="C76" s="4" t="s">
        <v>229</v>
      </c>
      <c r="D76" s="2">
        <v>1545980</v>
      </c>
      <c r="E76" s="4" t="s">
        <v>232</v>
      </c>
      <c r="F76" s="4" t="s">
        <v>233</v>
      </c>
      <c r="G76" s="2">
        <v>97669543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45962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51</v>
      </c>
      <c r="U76" s="4" t="s">
        <v>45</v>
      </c>
      <c r="V76" s="5">
        <v>1</v>
      </c>
      <c r="W76" s="5">
        <v>0</v>
      </c>
      <c r="X76" s="5">
        <v>100</v>
      </c>
      <c r="Y76" s="5">
        <v>26.08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45139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213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45980</v>
      </c>
      <c r="C77" s="4" t="s">
        <v>229</v>
      </c>
      <c r="D77" s="2">
        <v>1545980</v>
      </c>
      <c r="E77" s="4" t="s">
        <v>234</v>
      </c>
      <c r="F77" s="4" t="s">
        <v>235</v>
      </c>
      <c r="G77" s="2">
        <v>347960573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45962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60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45200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63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45980</v>
      </c>
      <c r="C78" s="4" t="s">
        <v>229</v>
      </c>
      <c r="D78" s="2">
        <v>1545980</v>
      </c>
      <c r="E78" s="4" t="s">
        <v>236</v>
      </c>
      <c r="F78" s="4" t="s">
        <v>237</v>
      </c>
      <c r="G78" s="2">
        <v>329150164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45962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60</v>
      </c>
      <c r="U78" s="4" t="s">
        <v>45</v>
      </c>
      <c r="V78" s="5">
        <v>1</v>
      </c>
      <c r="W78" s="5">
        <v>0</v>
      </c>
      <c r="X78" s="5">
        <v>100</v>
      </c>
      <c r="Y78" s="5">
        <v>26.08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45170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63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45980</v>
      </c>
      <c r="C79" s="4" t="s">
        <v>229</v>
      </c>
      <c r="D79" s="2">
        <v>1545980</v>
      </c>
      <c r="E79" s="4" t="s">
        <v>238</v>
      </c>
      <c r="F79" s="4" t="s">
        <v>239</v>
      </c>
      <c r="G79" s="2">
        <v>945416430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45962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51</v>
      </c>
      <c r="U79" s="4" t="s">
        <v>45</v>
      </c>
      <c r="V79" s="5">
        <v>1</v>
      </c>
      <c r="W79" s="5">
        <v>0</v>
      </c>
      <c r="X79" s="5">
        <v>100</v>
      </c>
      <c r="Y79" s="5">
        <v>26.08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45170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213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45980</v>
      </c>
      <c r="C80" s="4" t="s">
        <v>229</v>
      </c>
      <c r="D80" s="2">
        <v>1545980</v>
      </c>
      <c r="E80" s="4" t="s">
        <v>240</v>
      </c>
      <c r="F80" s="4" t="s">
        <v>241</v>
      </c>
      <c r="G80" s="2">
        <v>547990102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45962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60</v>
      </c>
      <c r="U80" s="4" t="s">
        <v>45</v>
      </c>
      <c r="V80" s="5">
        <v>1</v>
      </c>
      <c r="W80" s="5">
        <v>0</v>
      </c>
      <c r="X80" s="5">
        <v>100</v>
      </c>
      <c r="Y80" s="5">
        <v>26.08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45292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63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45980</v>
      </c>
      <c r="C81" s="4" t="s">
        <v>229</v>
      </c>
      <c r="D81" s="2">
        <v>1545980</v>
      </c>
      <c r="E81" s="4" t="s">
        <v>242</v>
      </c>
      <c r="F81" s="4" t="s">
        <v>243</v>
      </c>
      <c r="G81" s="2">
        <v>671009362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45962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60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45261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63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45980</v>
      </c>
      <c r="C82" s="4" t="s">
        <v>229</v>
      </c>
      <c r="D82" s="2">
        <v>1545980</v>
      </c>
      <c r="E82" s="4" t="s">
        <v>244</v>
      </c>
      <c r="F82" s="4" t="s">
        <v>245</v>
      </c>
      <c r="G82" s="2">
        <v>695957193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45962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60</v>
      </c>
      <c r="U82" s="4" t="s">
        <v>45</v>
      </c>
      <c r="V82" s="5">
        <v>1</v>
      </c>
      <c r="W82" s="5">
        <v>0</v>
      </c>
      <c r="X82" s="5">
        <v>100</v>
      </c>
      <c r="Y82" s="5">
        <v>29.41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45292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246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45980</v>
      </c>
      <c r="C83" s="4" t="s">
        <v>247</v>
      </c>
      <c r="D83" s="2">
        <v>1573279</v>
      </c>
      <c r="E83" s="4" t="s">
        <v>248</v>
      </c>
      <c r="F83" s="4" t="s">
        <v>249</v>
      </c>
      <c r="G83" s="2">
        <v>541202038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45962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60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45566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63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45980</v>
      </c>
      <c r="C84" s="4" t="s">
        <v>247</v>
      </c>
      <c r="D84" s="2">
        <v>1573279</v>
      </c>
      <c r="E84" s="4" t="s">
        <v>250</v>
      </c>
      <c r="F84" s="4" t="s">
        <v>251</v>
      </c>
      <c r="G84" s="2">
        <v>457827123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45962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60</v>
      </c>
      <c r="U84" s="4" t="s">
        <v>45</v>
      </c>
      <c r="V84" s="5">
        <v>1</v>
      </c>
      <c r="W84" s="5">
        <v>0</v>
      </c>
      <c r="X84" s="5">
        <v>100</v>
      </c>
      <c r="Y84" s="5">
        <v>26.08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45505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63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45980</v>
      </c>
      <c r="C85" s="4" t="s">
        <v>247</v>
      </c>
      <c r="D85" s="2">
        <v>1573279</v>
      </c>
      <c r="E85" s="4" t="s">
        <v>252</v>
      </c>
      <c r="F85" s="4" t="s">
        <v>253</v>
      </c>
      <c r="G85" s="2">
        <v>745083293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45962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60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45597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63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45980</v>
      </c>
      <c r="C86" s="4" t="s">
        <v>247</v>
      </c>
      <c r="D86" s="2">
        <v>1573279</v>
      </c>
      <c r="E86" s="4" t="s">
        <v>254</v>
      </c>
      <c r="F86" s="4" t="s">
        <v>255</v>
      </c>
      <c r="G86" s="2">
        <v>406170582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45962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60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45597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63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45980</v>
      </c>
      <c r="C87" s="4" t="s">
        <v>247</v>
      </c>
      <c r="D87" s="2">
        <v>1573279</v>
      </c>
      <c r="E87" s="4" t="s">
        <v>256</v>
      </c>
      <c r="F87" s="4" t="s">
        <v>257</v>
      </c>
      <c r="G87" s="2">
        <v>126343453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45962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60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45627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63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45980</v>
      </c>
      <c r="C88" s="4" t="s">
        <v>247</v>
      </c>
      <c r="D88" s="2">
        <v>1573279</v>
      </c>
      <c r="E88" s="4" t="s">
        <v>258</v>
      </c>
      <c r="F88" s="4" t="s">
        <v>259</v>
      </c>
      <c r="G88" s="2">
        <v>588828435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45962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60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45627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63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45980</v>
      </c>
      <c r="C89" s="4" t="s">
        <v>260</v>
      </c>
      <c r="D89" s="2">
        <v>1581320</v>
      </c>
      <c r="E89" s="4" t="s">
        <v>261</v>
      </c>
      <c r="F89" s="4" t="s">
        <v>262</v>
      </c>
      <c r="G89" s="2">
        <v>855447513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45962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51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45139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213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45980</v>
      </c>
      <c r="C90" s="4" t="s">
        <v>263</v>
      </c>
      <c r="D90" s="2">
        <v>1594305</v>
      </c>
      <c r="E90" s="4" t="s">
        <v>264</v>
      </c>
      <c r="F90" s="4" t="s">
        <v>265</v>
      </c>
      <c r="G90" s="2">
        <v>456596185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45962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51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45566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95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45980</v>
      </c>
      <c r="C91" s="4" t="s">
        <v>263</v>
      </c>
      <c r="D91" s="2">
        <v>1594305</v>
      </c>
      <c r="E91" s="4" t="s">
        <v>266</v>
      </c>
      <c r="F91" s="4" t="s">
        <v>267</v>
      </c>
      <c r="G91" s="2">
        <v>730747295</v>
      </c>
      <c r="H91" s="4" t="s">
        <v>268</v>
      </c>
      <c r="I91" s="4" t="s">
        <v>45</v>
      </c>
      <c r="J91" s="4" t="s">
        <v>46</v>
      </c>
      <c r="K91" s="4" t="s">
        <v>47</v>
      </c>
      <c r="L91" s="3">
        <v>45992</v>
      </c>
      <c r="M91" s="4" t="s">
        <v>58</v>
      </c>
      <c r="N91" s="4" t="s">
        <v>45</v>
      </c>
      <c r="O91" s="4" t="s">
        <v>59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269</v>
      </c>
      <c r="U91" s="4" t="s">
        <v>45</v>
      </c>
      <c r="V91" s="5">
        <v>0.08</v>
      </c>
      <c r="W91" s="5">
        <v>0</v>
      </c>
      <c r="X91" s="5">
        <v>100</v>
      </c>
      <c r="Y91" s="5">
        <v>4.58</v>
      </c>
      <c r="Z91" s="4" t="s">
        <v>45</v>
      </c>
      <c r="AA91" s="5" t="s">
        <v>45</v>
      </c>
      <c r="AB91" s="4" t="s">
        <v>61</v>
      </c>
      <c r="AC91" s="4" t="s">
        <v>45</v>
      </c>
      <c r="AD91" s="5">
        <v>0</v>
      </c>
      <c r="AE91" s="4" t="s">
        <v>62</v>
      </c>
      <c r="AF91" s="3">
        <v>45992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270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45980</v>
      </c>
      <c r="C92" s="4" t="s">
        <v>271</v>
      </c>
      <c r="D92" s="2">
        <v>1607200</v>
      </c>
      <c r="E92" s="4" t="s">
        <v>272</v>
      </c>
      <c r="F92" s="4" t="s">
        <v>273</v>
      </c>
      <c r="G92" s="2">
        <v>665186622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45962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60</v>
      </c>
      <c r="U92" s="4" t="s">
        <v>45</v>
      </c>
      <c r="V92" s="5">
        <v>1</v>
      </c>
      <c r="W92" s="5">
        <v>0</v>
      </c>
      <c r="X92" s="5">
        <v>100</v>
      </c>
      <c r="Y92" s="5">
        <v>32.5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45474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63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45980</v>
      </c>
      <c r="C93" s="4" t="s">
        <v>271</v>
      </c>
      <c r="D93" s="2">
        <v>1607200</v>
      </c>
      <c r="E93" s="4" t="s">
        <v>274</v>
      </c>
      <c r="F93" s="4" t="s">
        <v>275</v>
      </c>
      <c r="G93" s="2">
        <v>755186622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45962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60</v>
      </c>
      <c r="U93" s="4" t="s">
        <v>45</v>
      </c>
      <c r="V93" s="5">
        <v>1</v>
      </c>
      <c r="W93" s="5">
        <v>0</v>
      </c>
      <c r="X93" s="5">
        <v>100</v>
      </c>
      <c r="Y93" s="5">
        <v>32.5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45444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63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45980</v>
      </c>
      <c r="C94" s="4" t="s">
        <v>276</v>
      </c>
      <c r="D94" s="2">
        <v>1626475</v>
      </c>
      <c r="E94" s="4" t="s">
        <v>277</v>
      </c>
      <c r="F94" s="4" t="s">
        <v>278</v>
      </c>
      <c r="G94" s="2">
        <v>483982525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45962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60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45536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63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45980</v>
      </c>
      <c r="C95" s="4" t="s">
        <v>276</v>
      </c>
      <c r="D95" s="2">
        <v>1626475</v>
      </c>
      <c r="E95" s="4" t="s">
        <v>279</v>
      </c>
      <c r="F95" s="4" t="s">
        <v>280</v>
      </c>
      <c r="G95" s="2">
        <v>720889533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45962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60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45474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63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45980</v>
      </c>
      <c r="C96" s="4" t="s">
        <v>276</v>
      </c>
      <c r="D96" s="2">
        <v>1626475</v>
      </c>
      <c r="E96" s="4" t="s">
        <v>281</v>
      </c>
      <c r="F96" s="4" t="s">
        <v>282</v>
      </c>
      <c r="G96" s="2">
        <v>374476720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45962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60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45505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63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45980</v>
      </c>
      <c r="C97" s="4" t="s">
        <v>276</v>
      </c>
      <c r="D97" s="2">
        <v>1626475</v>
      </c>
      <c r="E97" s="4" t="s">
        <v>283</v>
      </c>
      <c r="F97" s="4" t="s">
        <v>284</v>
      </c>
      <c r="G97" s="2">
        <v>146484403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45962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60</v>
      </c>
      <c r="U97" s="4" t="s">
        <v>45</v>
      </c>
      <c r="V97" s="5">
        <v>1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45505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63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45980</v>
      </c>
      <c r="C98" s="4" t="s">
        <v>276</v>
      </c>
      <c r="D98" s="2">
        <v>1626475</v>
      </c>
      <c r="E98" s="4" t="s">
        <v>285</v>
      </c>
      <c r="F98" s="4" t="s">
        <v>286</v>
      </c>
      <c r="G98" s="2">
        <v>142126513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45962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60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45566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63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45980</v>
      </c>
      <c r="C99" s="4" t="s">
        <v>276</v>
      </c>
      <c r="D99" s="2">
        <v>1626475</v>
      </c>
      <c r="E99" s="4" t="s">
        <v>287</v>
      </c>
      <c r="F99" s="4" t="s">
        <v>288</v>
      </c>
      <c r="G99" s="2">
        <v>817373263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45962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60</v>
      </c>
      <c r="U99" s="4" t="s">
        <v>45</v>
      </c>
      <c r="V99" s="5">
        <v>1</v>
      </c>
      <c r="W99" s="5">
        <v>0</v>
      </c>
      <c r="X99" s="5">
        <v>100</v>
      </c>
      <c r="Y99" s="5">
        <v>26.08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45566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63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45980</v>
      </c>
      <c r="C100" s="4" t="s">
        <v>276</v>
      </c>
      <c r="D100" s="2">
        <v>1626475</v>
      </c>
      <c r="E100" s="4" t="s">
        <v>289</v>
      </c>
      <c r="F100" s="4" t="s">
        <v>290</v>
      </c>
      <c r="G100" s="2">
        <v>905725053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45962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60</v>
      </c>
      <c r="U100" s="4" t="s">
        <v>45</v>
      </c>
      <c r="V100" s="5">
        <v>1</v>
      </c>
      <c r="W100" s="5">
        <v>0</v>
      </c>
      <c r="X100" s="5">
        <v>100</v>
      </c>
      <c r="Y100" s="5">
        <v>26.08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45627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63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45980</v>
      </c>
      <c r="C101" s="4" t="s">
        <v>276</v>
      </c>
      <c r="D101" s="2">
        <v>1626475</v>
      </c>
      <c r="E101" s="4" t="s">
        <v>291</v>
      </c>
      <c r="F101" s="4" t="s">
        <v>292</v>
      </c>
      <c r="G101" s="2">
        <v>26535054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45962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60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45627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63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45980</v>
      </c>
      <c r="C102" s="4" t="s">
        <v>293</v>
      </c>
      <c r="D102" s="2">
        <v>1646082</v>
      </c>
      <c r="E102" s="4" t="s">
        <v>294</v>
      </c>
      <c r="F102" s="4" t="s">
        <v>295</v>
      </c>
      <c r="G102" s="2">
        <v>685205553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45962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60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45536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63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45980</v>
      </c>
      <c r="C103" s="4" t="s">
        <v>293</v>
      </c>
      <c r="D103" s="2">
        <v>1646082</v>
      </c>
      <c r="E103" s="4" t="s">
        <v>296</v>
      </c>
      <c r="F103" s="4" t="s">
        <v>297</v>
      </c>
      <c r="G103" s="2">
        <v>820670584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45962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51</v>
      </c>
      <c r="U103" s="4" t="s">
        <v>45</v>
      </c>
      <c r="V103" s="5">
        <v>1</v>
      </c>
      <c r="W103" s="5">
        <v>0</v>
      </c>
      <c r="X103" s="5">
        <v>100</v>
      </c>
      <c r="Y103" s="5">
        <v>26.08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45627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67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45980</v>
      </c>
      <c r="C104" s="4" t="s">
        <v>298</v>
      </c>
      <c r="D104" s="2">
        <v>1673202</v>
      </c>
      <c r="E104" s="4" t="s">
        <v>299</v>
      </c>
      <c r="F104" s="4" t="s">
        <v>300</v>
      </c>
      <c r="G104" s="2">
        <v>164084034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45962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60</v>
      </c>
      <c r="U104" s="4" t="s">
        <v>45</v>
      </c>
      <c r="V104" s="5">
        <v>1</v>
      </c>
      <c r="W104" s="5">
        <v>0</v>
      </c>
      <c r="X104" s="5">
        <v>100</v>
      </c>
      <c r="Y104" s="5">
        <v>29.41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45597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246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45980</v>
      </c>
      <c r="C105" s="4" t="s">
        <v>301</v>
      </c>
      <c r="D105" s="2">
        <v>1673763</v>
      </c>
      <c r="E105" s="4" t="s">
        <v>302</v>
      </c>
      <c r="F105" s="4" t="s">
        <v>303</v>
      </c>
      <c r="G105" s="2">
        <v>712615213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45962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60</v>
      </c>
      <c r="U105" s="4" t="s">
        <v>45</v>
      </c>
      <c r="V105" s="5">
        <v>1</v>
      </c>
      <c r="W105" s="5">
        <v>0</v>
      </c>
      <c r="X105" s="5">
        <v>100</v>
      </c>
      <c r="Y105" s="5">
        <v>29.41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45292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246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45980</v>
      </c>
      <c r="C106" s="4" t="s">
        <v>301</v>
      </c>
      <c r="D106" s="2">
        <v>1673763</v>
      </c>
      <c r="E106" s="4" t="s">
        <v>304</v>
      </c>
      <c r="F106" s="4" t="s">
        <v>305</v>
      </c>
      <c r="G106" s="2">
        <v>154076215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45962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60</v>
      </c>
      <c r="U106" s="4" t="s">
        <v>45</v>
      </c>
      <c r="V106" s="5">
        <v>1</v>
      </c>
      <c r="W106" s="5">
        <v>0</v>
      </c>
      <c r="X106" s="5">
        <v>100</v>
      </c>
      <c r="Y106" s="5">
        <v>29.41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45292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246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45980</v>
      </c>
      <c r="C107" s="4" t="s">
        <v>306</v>
      </c>
      <c r="D107" s="2">
        <v>1703723</v>
      </c>
      <c r="E107" s="4" t="s">
        <v>307</v>
      </c>
      <c r="F107" s="4" t="s">
        <v>308</v>
      </c>
      <c r="G107" s="2">
        <v>618018022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45962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60</v>
      </c>
      <c r="U107" s="4" t="s">
        <v>45</v>
      </c>
      <c r="V107" s="5">
        <v>1</v>
      </c>
      <c r="W107" s="5">
        <v>0</v>
      </c>
      <c r="X107" s="5">
        <v>100</v>
      </c>
      <c r="Y107" s="5">
        <v>26.08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45597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63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45980</v>
      </c>
      <c r="C108" s="4" t="s">
        <v>309</v>
      </c>
      <c r="D108" s="2">
        <v>1703942</v>
      </c>
      <c r="E108" s="4" t="s">
        <v>310</v>
      </c>
      <c r="F108" s="4" t="s">
        <v>311</v>
      </c>
      <c r="G108" s="2">
        <v>250217584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45962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60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45505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63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45980</v>
      </c>
      <c r="C109" s="4" t="s">
        <v>309</v>
      </c>
      <c r="D109" s="2">
        <v>1703942</v>
      </c>
      <c r="E109" s="4" t="s">
        <v>312</v>
      </c>
      <c r="F109" s="4" t="s">
        <v>313</v>
      </c>
      <c r="G109" s="2">
        <v>924445034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45962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60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45474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63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45980</v>
      </c>
      <c r="C110" s="4" t="s">
        <v>309</v>
      </c>
      <c r="D110" s="2">
        <v>1703942</v>
      </c>
      <c r="E110" s="4" t="s">
        <v>314</v>
      </c>
      <c r="F110" s="4" t="s">
        <v>315</v>
      </c>
      <c r="G110" s="2">
        <v>362871133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45962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60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45474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63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45980</v>
      </c>
      <c r="C111" s="4" t="s">
        <v>309</v>
      </c>
      <c r="D111" s="2">
        <v>1703942</v>
      </c>
      <c r="E111" s="4" t="s">
        <v>316</v>
      </c>
      <c r="F111" s="4" t="s">
        <v>317</v>
      </c>
      <c r="G111" s="2">
        <v>588939243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45962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60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45536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63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45980</v>
      </c>
      <c r="C112" s="4" t="s">
        <v>309</v>
      </c>
      <c r="D112" s="2">
        <v>1703942</v>
      </c>
      <c r="E112" s="4" t="s">
        <v>318</v>
      </c>
      <c r="F112" s="4" t="s">
        <v>319</v>
      </c>
      <c r="G112" s="2">
        <v>116020444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45962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60</v>
      </c>
      <c r="U112" s="4" t="s">
        <v>45</v>
      </c>
      <c r="V112" s="5">
        <v>1</v>
      </c>
      <c r="W112" s="5">
        <v>0</v>
      </c>
      <c r="X112" s="5">
        <v>100</v>
      </c>
      <c r="Y112" s="5">
        <v>26.08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45505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63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45980</v>
      </c>
      <c r="C113" s="4" t="s">
        <v>309</v>
      </c>
      <c r="D113" s="2">
        <v>1703942</v>
      </c>
      <c r="E113" s="4" t="s">
        <v>320</v>
      </c>
      <c r="F113" s="4" t="s">
        <v>321</v>
      </c>
      <c r="G113" s="2">
        <v>827020444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45962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60</v>
      </c>
      <c r="U113" s="4" t="s">
        <v>45</v>
      </c>
      <c r="V113" s="5">
        <v>1</v>
      </c>
      <c r="W113" s="5">
        <v>0</v>
      </c>
      <c r="X113" s="5">
        <v>100</v>
      </c>
      <c r="Y113" s="5">
        <v>26.08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45505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63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45980</v>
      </c>
      <c r="C114" s="4" t="s">
        <v>309</v>
      </c>
      <c r="D114" s="2">
        <v>1703942</v>
      </c>
      <c r="E114" s="4" t="s">
        <v>322</v>
      </c>
      <c r="F114" s="4" t="s">
        <v>323</v>
      </c>
      <c r="G114" s="2">
        <v>329878423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45962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60</v>
      </c>
      <c r="U114" s="4" t="s">
        <v>45</v>
      </c>
      <c r="V114" s="5">
        <v>1</v>
      </c>
      <c r="W114" s="5">
        <v>0</v>
      </c>
      <c r="X114" s="5">
        <v>100</v>
      </c>
      <c r="Y114" s="5">
        <v>26.08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45536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63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45980</v>
      </c>
      <c r="C115" s="4" t="s">
        <v>309</v>
      </c>
      <c r="D115" s="2">
        <v>1703942</v>
      </c>
      <c r="E115" s="4" t="s">
        <v>324</v>
      </c>
      <c r="F115" s="4" t="s">
        <v>325</v>
      </c>
      <c r="G115" s="2">
        <v>956629485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45962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60</v>
      </c>
      <c r="U115" s="4" t="s">
        <v>45</v>
      </c>
      <c r="V115" s="5">
        <v>1</v>
      </c>
      <c r="W115" s="5">
        <v>0</v>
      </c>
      <c r="X115" s="5">
        <v>100</v>
      </c>
      <c r="Y115" s="5">
        <v>26.08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45536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63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45980</v>
      </c>
      <c r="C116" s="4" t="s">
        <v>309</v>
      </c>
      <c r="D116" s="2">
        <v>1703942</v>
      </c>
      <c r="E116" s="4" t="s">
        <v>326</v>
      </c>
      <c r="F116" s="4" t="s">
        <v>327</v>
      </c>
      <c r="G116" s="2">
        <v>221614009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45962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51</v>
      </c>
      <c r="U116" s="4" t="s">
        <v>45</v>
      </c>
      <c r="V116" s="5">
        <v>1</v>
      </c>
      <c r="W116" s="5">
        <v>0</v>
      </c>
      <c r="X116" s="5">
        <v>100</v>
      </c>
      <c r="Y116" s="5">
        <v>26.08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45627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67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45980</v>
      </c>
      <c r="C117" s="4" t="s">
        <v>328</v>
      </c>
      <c r="D117" s="2">
        <v>1758433</v>
      </c>
      <c r="E117" s="4" t="s">
        <v>329</v>
      </c>
      <c r="F117" s="4" t="s">
        <v>330</v>
      </c>
      <c r="G117" s="2">
        <v>496048952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45962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331</v>
      </c>
      <c r="U117" s="4" t="s">
        <v>45</v>
      </c>
      <c r="V117" s="5">
        <v>1</v>
      </c>
      <c r="W117" s="5">
        <v>0</v>
      </c>
      <c r="X117" s="5">
        <v>100</v>
      </c>
      <c r="Y117" s="5">
        <v>29.41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45292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332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45980</v>
      </c>
      <c r="C118" s="4" t="s">
        <v>328</v>
      </c>
      <c r="D118" s="2">
        <v>1758433</v>
      </c>
      <c r="E118" s="4" t="s">
        <v>333</v>
      </c>
      <c r="F118" s="4" t="s">
        <v>334</v>
      </c>
      <c r="G118" s="2">
        <v>531841334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45962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60</v>
      </c>
      <c r="U118" s="4" t="s">
        <v>45</v>
      </c>
      <c r="V118" s="5">
        <v>1</v>
      </c>
      <c r="W118" s="5">
        <v>0</v>
      </c>
      <c r="X118" s="5">
        <v>100</v>
      </c>
      <c r="Y118" s="5">
        <v>29.41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45536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246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45980</v>
      </c>
      <c r="C119" s="4" t="s">
        <v>335</v>
      </c>
      <c r="D119" s="2">
        <v>1773696</v>
      </c>
      <c r="E119" s="4" t="s">
        <v>336</v>
      </c>
      <c r="F119" s="4" t="s">
        <v>337</v>
      </c>
      <c r="G119" s="2">
        <v>845307263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45962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60</v>
      </c>
      <c r="U119" s="4" t="s">
        <v>45</v>
      </c>
      <c r="V119" s="5">
        <v>1</v>
      </c>
      <c r="W119" s="5">
        <v>0</v>
      </c>
      <c r="X119" s="5">
        <v>100</v>
      </c>
      <c r="Y119" s="5">
        <v>26.08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45505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63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45980</v>
      </c>
      <c r="C120" s="4" t="s">
        <v>335</v>
      </c>
      <c r="D120" s="2">
        <v>1773696</v>
      </c>
      <c r="E120" s="4" t="s">
        <v>338</v>
      </c>
      <c r="F120" s="4" t="s">
        <v>339</v>
      </c>
      <c r="G120" s="2">
        <v>380382221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45962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51</v>
      </c>
      <c r="U120" s="4" t="s">
        <v>45</v>
      </c>
      <c r="V120" s="5">
        <v>1</v>
      </c>
      <c r="W120" s="5">
        <v>0</v>
      </c>
      <c r="X120" s="5">
        <v>100</v>
      </c>
      <c r="Y120" s="5">
        <v>26.08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45505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67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45980</v>
      </c>
      <c r="C121" s="4" t="s">
        <v>335</v>
      </c>
      <c r="D121" s="2">
        <v>1773696</v>
      </c>
      <c r="E121" s="4" t="s">
        <v>340</v>
      </c>
      <c r="F121" s="4" t="s">
        <v>341</v>
      </c>
      <c r="G121" s="2">
        <v>520221114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45962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60</v>
      </c>
      <c r="U121" s="4" t="s">
        <v>45</v>
      </c>
      <c r="V121" s="5">
        <v>1</v>
      </c>
      <c r="W121" s="5">
        <v>0</v>
      </c>
      <c r="X121" s="5">
        <v>100</v>
      </c>
      <c r="Y121" s="5">
        <v>26.08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45566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63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45980</v>
      </c>
      <c r="C122" s="4" t="s">
        <v>335</v>
      </c>
      <c r="D122" s="2">
        <v>1773696</v>
      </c>
      <c r="E122" s="4" t="s">
        <v>342</v>
      </c>
      <c r="F122" s="4" t="s">
        <v>343</v>
      </c>
      <c r="G122" s="2">
        <v>480917370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45962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60</v>
      </c>
      <c r="U122" s="4" t="s">
        <v>45</v>
      </c>
      <c r="V122" s="5">
        <v>1</v>
      </c>
      <c r="W122" s="5">
        <v>0</v>
      </c>
      <c r="X122" s="5">
        <v>100</v>
      </c>
      <c r="Y122" s="5">
        <v>26.08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45597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63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45980</v>
      </c>
      <c r="C123" s="4" t="s">
        <v>344</v>
      </c>
      <c r="D123" s="2">
        <v>1775329</v>
      </c>
      <c r="E123" s="4" t="s">
        <v>345</v>
      </c>
      <c r="F123" s="4" t="s">
        <v>346</v>
      </c>
      <c r="G123" s="2">
        <v>699704004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45962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60</v>
      </c>
      <c r="U123" s="4" t="s">
        <v>45</v>
      </c>
      <c r="V123" s="5">
        <v>1</v>
      </c>
      <c r="W123" s="5">
        <v>0</v>
      </c>
      <c r="X123" s="5">
        <v>100</v>
      </c>
      <c r="Y123" s="5">
        <v>26.08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45536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63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45980</v>
      </c>
      <c r="C124" s="4" t="s">
        <v>347</v>
      </c>
      <c r="D124" s="2">
        <v>1800759</v>
      </c>
      <c r="E124" s="4" t="s">
        <v>348</v>
      </c>
      <c r="F124" s="4" t="s">
        <v>349</v>
      </c>
      <c r="G124" s="2">
        <v>716453952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45962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60</v>
      </c>
      <c r="U124" s="4" t="s">
        <v>45</v>
      </c>
      <c r="V124" s="5">
        <v>1</v>
      </c>
      <c r="W124" s="5">
        <v>0</v>
      </c>
      <c r="X124" s="5">
        <v>100</v>
      </c>
      <c r="Y124" s="5">
        <v>32.5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45597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246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45980</v>
      </c>
      <c r="C125" s="4" t="s">
        <v>347</v>
      </c>
      <c r="D125" s="2">
        <v>1800759</v>
      </c>
      <c r="E125" s="4" t="s">
        <v>350</v>
      </c>
      <c r="F125" s="4" t="s">
        <v>351</v>
      </c>
      <c r="G125" s="2">
        <v>349700374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45962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51</v>
      </c>
      <c r="U125" s="4" t="s">
        <v>45</v>
      </c>
      <c r="V125" s="5">
        <v>1</v>
      </c>
      <c r="W125" s="5">
        <v>0</v>
      </c>
      <c r="X125" s="5">
        <v>100</v>
      </c>
      <c r="Y125" s="5">
        <v>26.08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45566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67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45980</v>
      </c>
      <c r="C126" s="4" t="s">
        <v>347</v>
      </c>
      <c r="D126" s="2">
        <v>1800759</v>
      </c>
      <c r="E126" s="4" t="s">
        <v>352</v>
      </c>
      <c r="F126" s="4" t="s">
        <v>353</v>
      </c>
      <c r="G126" s="2">
        <v>682135344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45962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60</v>
      </c>
      <c r="U126" s="4" t="s">
        <v>45</v>
      </c>
      <c r="V126" s="5">
        <v>1</v>
      </c>
      <c r="W126" s="5">
        <v>0</v>
      </c>
      <c r="X126" s="5">
        <v>100</v>
      </c>
      <c r="Y126" s="5">
        <v>26.08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45597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63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45980</v>
      </c>
      <c r="C127" s="4" t="s">
        <v>347</v>
      </c>
      <c r="D127" s="2">
        <v>1800759</v>
      </c>
      <c r="E127" s="4" t="s">
        <v>354</v>
      </c>
      <c r="F127" s="4" t="s">
        <v>355</v>
      </c>
      <c r="G127" s="2">
        <v>302138034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45962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51</v>
      </c>
      <c r="U127" s="4" t="s">
        <v>45</v>
      </c>
      <c r="V127" s="5">
        <v>1</v>
      </c>
      <c r="W127" s="5">
        <v>0</v>
      </c>
      <c r="X127" s="5">
        <v>100</v>
      </c>
      <c r="Y127" s="5">
        <v>26.08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45627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67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45980</v>
      </c>
      <c r="C128" s="4" t="s">
        <v>356</v>
      </c>
      <c r="D128" s="2">
        <v>1800776</v>
      </c>
      <c r="E128" s="4" t="s">
        <v>357</v>
      </c>
      <c r="F128" s="4" t="s">
        <v>358</v>
      </c>
      <c r="G128" s="2">
        <v>545511463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45962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60</v>
      </c>
      <c r="U128" s="4" t="s">
        <v>45</v>
      </c>
      <c r="V128" s="5">
        <v>1</v>
      </c>
      <c r="W128" s="5">
        <v>0</v>
      </c>
      <c r="X128" s="5">
        <v>100</v>
      </c>
      <c r="Y128" s="5">
        <v>26.08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45474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63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45980</v>
      </c>
      <c r="C129" s="4" t="s">
        <v>356</v>
      </c>
      <c r="D129" s="2">
        <v>1800776</v>
      </c>
      <c r="E129" s="4" t="s">
        <v>359</v>
      </c>
      <c r="F129" s="4" t="s">
        <v>360</v>
      </c>
      <c r="G129" s="2">
        <v>633889061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45962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51</v>
      </c>
      <c r="U129" s="4" t="s">
        <v>45</v>
      </c>
      <c r="V129" s="5">
        <v>1</v>
      </c>
      <c r="W129" s="5">
        <v>0</v>
      </c>
      <c r="X129" s="5">
        <v>100</v>
      </c>
      <c r="Y129" s="5">
        <v>26.08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45566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67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45980</v>
      </c>
      <c r="C130" s="4" t="s">
        <v>356</v>
      </c>
      <c r="D130" s="2">
        <v>1800776</v>
      </c>
      <c r="E130" s="4" t="s">
        <v>361</v>
      </c>
      <c r="F130" s="4" t="s">
        <v>362</v>
      </c>
      <c r="G130" s="2">
        <v>952676074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45962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51</v>
      </c>
      <c r="U130" s="4" t="s">
        <v>45</v>
      </c>
      <c r="V130" s="5">
        <v>1</v>
      </c>
      <c r="W130" s="5">
        <v>0</v>
      </c>
      <c r="X130" s="5">
        <v>100</v>
      </c>
      <c r="Y130" s="5">
        <v>26.08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45566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67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45980</v>
      </c>
      <c r="C131" s="4" t="s">
        <v>356</v>
      </c>
      <c r="D131" s="2">
        <v>1800776</v>
      </c>
      <c r="E131" s="4" t="s">
        <v>363</v>
      </c>
      <c r="F131" s="4" t="s">
        <v>364</v>
      </c>
      <c r="G131" s="2">
        <v>758893014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45962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51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45566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213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45980</v>
      </c>
      <c r="C132" s="4" t="s">
        <v>356</v>
      </c>
      <c r="D132" s="2">
        <v>1800776</v>
      </c>
      <c r="E132" s="4" t="s">
        <v>365</v>
      </c>
      <c r="F132" s="4" t="s">
        <v>366</v>
      </c>
      <c r="G132" s="2">
        <v>700758033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45962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51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45566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67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45980</v>
      </c>
      <c r="C133" s="4" t="s">
        <v>356</v>
      </c>
      <c r="D133" s="2">
        <v>1800776</v>
      </c>
      <c r="E133" s="4" t="s">
        <v>367</v>
      </c>
      <c r="F133" s="4" t="s">
        <v>368</v>
      </c>
      <c r="G133" s="2">
        <v>73976142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45962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51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45597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67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45980</v>
      </c>
      <c r="C134" s="4" t="s">
        <v>356</v>
      </c>
      <c r="D134" s="2">
        <v>1800776</v>
      </c>
      <c r="E134" s="4" t="s">
        <v>369</v>
      </c>
      <c r="F134" s="4" t="s">
        <v>370</v>
      </c>
      <c r="G134" s="2">
        <v>365638520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45962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60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45627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63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45980</v>
      </c>
      <c r="C135" s="4" t="s">
        <v>356</v>
      </c>
      <c r="D135" s="2">
        <v>1800776</v>
      </c>
      <c r="E135" s="4" t="s">
        <v>371</v>
      </c>
      <c r="F135" s="4" t="s">
        <v>372</v>
      </c>
      <c r="G135" s="2">
        <v>862283453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45962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60</v>
      </c>
      <c r="U135" s="4" t="s">
        <v>45</v>
      </c>
      <c r="V135" s="5">
        <v>1</v>
      </c>
      <c r="W135" s="5">
        <v>0</v>
      </c>
      <c r="X135" s="5">
        <v>100</v>
      </c>
      <c r="Y135" s="5">
        <v>26.08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45627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63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45980</v>
      </c>
      <c r="C136" s="4" t="s">
        <v>356</v>
      </c>
      <c r="D136" s="2">
        <v>1800776</v>
      </c>
      <c r="E136" s="4" t="s">
        <v>373</v>
      </c>
      <c r="F136" s="4" t="s">
        <v>374</v>
      </c>
      <c r="G136" s="2">
        <v>989966453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45962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51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45627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67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45980</v>
      </c>
      <c r="C137" s="4" t="s">
        <v>356</v>
      </c>
      <c r="D137" s="2">
        <v>1800776</v>
      </c>
      <c r="E137" s="4" t="s">
        <v>375</v>
      </c>
      <c r="F137" s="4" t="s">
        <v>376</v>
      </c>
      <c r="G137" s="2">
        <v>217173930</v>
      </c>
      <c r="H137" s="4" t="s">
        <v>377</v>
      </c>
      <c r="I137" s="4" t="s">
        <v>45</v>
      </c>
      <c r="J137" s="4" t="s">
        <v>46</v>
      </c>
      <c r="K137" s="4" t="s">
        <v>47</v>
      </c>
      <c r="L137" s="3">
        <v>45992</v>
      </c>
      <c r="M137" s="4" t="s">
        <v>58</v>
      </c>
      <c r="N137" s="4" t="s">
        <v>45</v>
      </c>
      <c r="O137" s="4" t="s">
        <v>59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60</v>
      </c>
      <c r="U137" s="4" t="s">
        <v>45</v>
      </c>
      <c r="V137" s="5">
        <v>0.08</v>
      </c>
      <c r="W137" s="5">
        <v>0</v>
      </c>
      <c r="X137" s="5">
        <v>100</v>
      </c>
      <c r="Y137" s="5">
        <v>26.08</v>
      </c>
      <c r="Z137" s="4" t="s">
        <v>45</v>
      </c>
      <c r="AA137" s="5" t="s">
        <v>45</v>
      </c>
      <c r="AB137" s="4" t="s">
        <v>61</v>
      </c>
      <c r="AC137" s="4" t="s">
        <v>45</v>
      </c>
      <c r="AD137" s="5">
        <v>0</v>
      </c>
      <c r="AE137" s="4" t="s">
        <v>62</v>
      </c>
      <c r="AF137" s="3">
        <v>45992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63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45980</v>
      </c>
      <c r="C138" s="4" t="s">
        <v>378</v>
      </c>
      <c r="D138" s="2">
        <v>1808524</v>
      </c>
      <c r="E138" s="4" t="s">
        <v>379</v>
      </c>
      <c r="F138" s="4" t="s">
        <v>380</v>
      </c>
      <c r="G138" s="2">
        <v>697740421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45962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60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45505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63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45980</v>
      </c>
      <c r="C139" s="4" t="s">
        <v>381</v>
      </c>
      <c r="D139" s="2">
        <v>1815594</v>
      </c>
      <c r="E139" s="4" t="s">
        <v>382</v>
      </c>
      <c r="F139" s="4" t="s">
        <v>383</v>
      </c>
      <c r="G139" s="2">
        <v>833957134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45962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51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45474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54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45980</v>
      </c>
      <c r="C140" s="4" t="s">
        <v>381</v>
      </c>
      <c r="D140" s="2">
        <v>1815594</v>
      </c>
      <c r="E140" s="4" t="s">
        <v>384</v>
      </c>
      <c r="F140" s="4" t="s">
        <v>385</v>
      </c>
      <c r="G140" s="2">
        <v>28197140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45962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51</v>
      </c>
      <c r="U140" s="4" t="s">
        <v>45</v>
      </c>
      <c r="V140" s="5">
        <v>1</v>
      </c>
      <c r="W140" s="5">
        <v>0</v>
      </c>
      <c r="X140" s="5">
        <v>100</v>
      </c>
      <c r="Y140" s="5">
        <v>26.08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45627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67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45980</v>
      </c>
      <c r="C141" s="4" t="s">
        <v>381</v>
      </c>
      <c r="D141" s="2">
        <v>1815594</v>
      </c>
      <c r="E141" s="4" t="s">
        <v>386</v>
      </c>
      <c r="F141" s="4" t="s">
        <v>387</v>
      </c>
      <c r="G141" s="2">
        <v>615154090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45962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51</v>
      </c>
      <c r="U141" s="4" t="s">
        <v>45</v>
      </c>
      <c r="V141" s="5">
        <v>1</v>
      </c>
      <c r="W141" s="5">
        <v>0</v>
      </c>
      <c r="X141" s="5">
        <v>100</v>
      </c>
      <c r="Y141" s="5">
        <v>26.08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45627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67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45980</v>
      </c>
      <c r="C142" s="4" t="s">
        <v>381</v>
      </c>
      <c r="D142" s="2">
        <v>1815594</v>
      </c>
      <c r="E142" s="4" t="s">
        <v>388</v>
      </c>
      <c r="F142" s="4" t="s">
        <v>389</v>
      </c>
      <c r="G142" s="2">
        <v>629140142</v>
      </c>
      <c r="H142" s="4" t="s">
        <v>390</v>
      </c>
      <c r="I142" s="4" t="s">
        <v>45</v>
      </c>
      <c r="J142" s="4" t="s">
        <v>46</v>
      </c>
      <c r="K142" s="4" t="s">
        <v>47</v>
      </c>
      <c r="L142" s="3">
        <v>45992</v>
      </c>
      <c r="M142" s="4" t="s">
        <v>58</v>
      </c>
      <c r="N142" s="4" t="s">
        <v>45</v>
      </c>
      <c r="O142" s="4" t="s">
        <v>59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51</v>
      </c>
      <c r="U142" s="4" t="s">
        <v>45</v>
      </c>
      <c r="V142" s="5">
        <v>0.08</v>
      </c>
      <c r="W142" s="5">
        <v>0</v>
      </c>
      <c r="X142" s="5">
        <v>100</v>
      </c>
      <c r="Y142" s="5">
        <v>26.08</v>
      </c>
      <c r="Z142" s="4" t="s">
        <v>45</v>
      </c>
      <c r="AA142" s="5" t="s">
        <v>45</v>
      </c>
      <c r="AB142" s="4" t="s">
        <v>61</v>
      </c>
      <c r="AC142" s="4" t="s">
        <v>45</v>
      </c>
      <c r="AD142" s="5">
        <v>0</v>
      </c>
      <c r="AE142" s="4" t="s">
        <v>62</v>
      </c>
      <c r="AF142" s="3">
        <v>45992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67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45980</v>
      </c>
      <c r="C143" s="4" t="s">
        <v>391</v>
      </c>
      <c r="D143" s="2">
        <v>1829636</v>
      </c>
      <c r="E143" s="4" t="s">
        <v>392</v>
      </c>
      <c r="F143" s="4" t="s">
        <v>393</v>
      </c>
      <c r="G143" s="2">
        <v>464505374</v>
      </c>
      <c r="H143" s="4" t="s">
        <v>394</v>
      </c>
      <c r="I143" s="4" t="s">
        <v>45</v>
      </c>
      <c r="J143" s="4" t="s">
        <v>46</v>
      </c>
      <c r="K143" s="4" t="s">
        <v>47</v>
      </c>
      <c r="L143" s="3">
        <v>45992</v>
      </c>
      <c r="M143" s="4" t="s">
        <v>58</v>
      </c>
      <c r="N143" s="4" t="s">
        <v>45</v>
      </c>
      <c r="O143" s="4" t="s">
        <v>59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269</v>
      </c>
      <c r="U143" s="4" t="s">
        <v>45</v>
      </c>
      <c r="V143" s="5">
        <v>0.08</v>
      </c>
      <c r="W143" s="5">
        <v>0</v>
      </c>
      <c r="X143" s="5">
        <v>100</v>
      </c>
      <c r="Y143" s="5">
        <v>4.58</v>
      </c>
      <c r="Z143" s="4" t="s">
        <v>45</v>
      </c>
      <c r="AA143" s="5" t="s">
        <v>45</v>
      </c>
      <c r="AB143" s="4" t="s">
        <v>61</v>
      </c>
      <c r="AC143" s="4" t="s">
        <v>45</v>
      </c>
      <c r="AD143" s="5">
        <v>0</v>
      </c>
      <c r="AE143" s="4" t="s">
        <v>62</v>
      </c>
      <c r="AF143" s="3">
        <v>45992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270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45980</v>
      </c>
      <c r="C144" s="4" t="s">
        <v>395</v>
      </c>
      <c r="D144" s="2">
        <v>1831320</v>
      </c>
      <c r="E144" s="4" t="s">
        <v>396</v>
      </c>
      <c r="F144" s="4" t="s">
        <v>397</v>
      </c>
      <c r="G144" s="2">
        <v>561246174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45962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60</v>
      </c>
      <c r="U144" s="4" t="s">
        <v>45</v>
      </c>
      <c r="V144" s="5">
        <v>1</v>
      </c>
      <c r="W144" s="5">
        <v>0</v>
      </c>
      <c r="X144" s="5">
        <v>100</v>
      </c>
      <c r="Y144" s="5">
        <v>26.08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45597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63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45980</v>
      </c>
      <c r="C145" s="4" t="s">
        <v>398</v>
      </c>
      <c r="D145" s="2">
        <v>1831491</v>
      </c>
      <c r="E145" s="4" t="s">
        <v>399</v>
      </c>
      <c r="F145" s="4" t="s">
        <v>400</v>
      </c>
      <c r="G145" s="2">
        <v>703540533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45962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60</v>
      </c>
      <c r="U145" s="4" t="s">
        <v>45</v>
      </c>
      <c r="V145" s="5">
        <v>1</v>
      </c>
      <c r="W145" s="5">
        <v>0</v>
      </c>
      <c r="X145" s="5">
        <v>100</v>
      </c>
      <c r="Y145" s="5">
        <v>26.08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45536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63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45980</v>
      </c>
      <c r="C146" s="4" t="s">
        <v>398</v>
      </c>
      <c r="D146" s="2">
        <v>1831491</v>
      </c>
      <c r="E146" s="4" t="s">
        <v>401</v>
      </c>
      <c r="F146" s="4" t="s">
        <v>402</v>
      </c>
      <c r="G146" s="2">
        <v>11055240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45962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51</v>
      </c>
      <c r="U146" s="4" t="s">
        <v>45</v>
      </c>
      <c r="V146" s="5">
        <v>1</v>
      </c>
      <c r="W146" s="5">
        <v>0</v>
      </c>
      <c r="X146" s="5">
        <v>100</v>
      </c>
      <c r="Y146" s="5">
        <v>26.08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45536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67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45980</v>
      </c>
      <c r="C147" s="4" t="s">
        <v>398</v>
      </c>
      <c r="D147" s="2">
        <v>1831491</v>
      </c>
      <c r="E147" s="4" t="s">
        <v>403</v>
      </c>
      <c r="F147" s="4" t="s">
        <v>404</v>
      </c>
      <c r="G147" s="2">
        <v>62408191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45962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60</v>
      </c>
      <c r="U147" s="4" t="s">
        <v>45</v>
      </c>
      <c r="V147" s="5">
        <v>1</v>
      </c>
      <c r="W147" s="5">
        <v>0</v>
      </c>
      <c r="X147" s="5">
        <v>100</v>
      </c>
      <c r="Y147" s="5">
        <v>26.08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45566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63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45980</v>
      </c>
      <c r="C148" s="4" t="s">
        <v>398</v>
      </c>
      <c r="D148" s="2">
        <v>1831491</v>
      </c>
      <c r="E148" s="4" t="s">
        <v>405</v>
      </c>
      <c r="F148" s="4" t="s">
        <v>406</v>
      </c>
      <c r="G148" s="2">
        <v>429597071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45962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60</v>
      </c>
      <c r="U148" s="4" t="s">
        <v>45</v>
      </c>
      <c r="V148" s="5">
        <v>1</v>
      </c>
      <c r="W148" s="5">
        <v>0</v>
      </c>
      <c r="X148" s="5">
        <v>100</v>
      </c>
      <c r="Y148" s="5">
        <v>26.08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45627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63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45980</v>
      </c>
      <c r="C149" s="4" t="s">
        <v>407</v>
      </c>
      <c r="D149" s="2">
        <v>1855975</v>
      </c>
      <c r="E149" s="4" t="s">
        <v>408</v>
      </c>
      <c r="F149" s="4" t="s">
        <v>409</v>
      </c>
      <c r="G149" s="2">
        <v>720925411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45962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60</v>
      </c>
      <c r="U149" s="4" t="s">
        <v>45</v>
      </c>
      <c r="V149" s="5">
        <v>1</v>
      </c>
      <c r="W149" s="5">
        <v>0</v>
      </c>
      <c r="X149" s="5">
        <v>100</v>
      </c>
      <c r="Y149" s="5">
        <v>26.08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45566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63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45980</v>
      </c>
      <c r="C150" s="4" t="s">
        <v>407</v>
      </c>
      <c r="D150" s="2">
        <v>1855975</v>
      </c>
      <c r="E150" s="4" t="s">
        <v>410</v>
      </c>
      <c r="F150" s="4" t="s">
        <v>411</v>
      </c>
      <c r="G150" s="2">
        <v>790522210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45962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51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45597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54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45980</v>
      </c>
      <c r="C151" s="4" t="s">
        <v>412</v>
      </c>
      <c r="D151" s="2">
        <v>1900606</v>
      </c>
      <c r="E151" s="4" t="s">
        <v>413</v>
      </c>
      <c r="F151" s="4" t="s">
        <v>414</v>
      </c>
      <c r="G151" s="2">
        <v>546568527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45962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60</v>
      </c>
      <c r="U151" s="4" t="s">
        <v>45</v>
      </c>
      <c r="V151" s="5">
        <v>1</v>
      </c>
      <c r="W151" s="5">
        <v>0</v>
      </c>
      <c r="X151" s="5">
        <v>100</v>
      </c>
      <c r="Y151" s="5">
        <v>26.08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45597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63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45980</v>
      </c>
      <c r="C152" s="4" t="s">
        <v>415</v>
      </c>
      <c r="D152" s="2">
        <v>1916484</v>
      </c>
      <c r="E152" s="4" t="s">
        <v>416</v>
      </c>
      <c r="F152" s="4" t="s">
        <v>417</v>
      </c>
      <c r="G152" s="2">
        <v>804518180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45962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51</v>
      </c>
      <c r="U152" s="4" t="s">
        <v>45</v>
      </c>
      <c r="V152" s="5">
        <v>1</v>
      </c>
      <c r="W152" s="5">
        <v>0</v>
      </c>
      <c r="X152" s="5">
        <v>100</v>
      </c>
      <c r="Y152" s="5">
        <v>29.41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45292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213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45980</v>
      </c>
      <c r="C153" s="4" t="s">
        <v>418</v>
      </c>
      <c r="D153" s="2">
        <v>1986712</v>
      </c>
      <c r="E153" s="4" t="s">
        <v>419</v>
      </c>
      <c r="F153" s="4" t="s">
        <v>420</v>
      </c>
      <c r="G153" s="2">
        <v>904070212</v>
      </c>
      <c r="H153" s="4" t="s">
        <v>421</v>
      </c>
      <c r="I153" s="4" t="s">
        <v>45</v>
      </c>
      <c r="J153" s="4" t="s">
        <v>46</v>
      </c>
      <c r="K153" s="4" t="s">
        <v>47</v>
      </c>
      <c r="L153" s="3">
        <v>45992</v>
      </c>
      <c r="M153" s="4" t="s">
        <v>58</v>
      </c>
      <c r="N153" s="4" t="s">
        <v>45</v>
      </c>
      <c r="O153" s="4" t="s">
        <v>59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60</v>
      </c>
      <c r="U153" s="4" t="s">
        <v>45</v>
      </c>
      <c r="V153" s="5">
        <v>0.08</v>
      </c>
      <c r="W153" s="5">
        <v>0</v>
      </c>
      <c r="X153" s="5">
        <v>100</v>
      </c>
      <c r="Y153" s="5">
        <v>26.08</v>
      </c>
      <c r="Z153" s="4" t="s">
        <v>45</v>
      </c>
      <c r="AA153" s="5" t="s">
        <v>45</v>
      </c>
      <c r="AB153" s="4" t="s">
        <v>61</v>
      </c>
      <c r="AC153" s="4" t="s">
        <v>45</v>
      </c>
      <c r="AD153" s="5">
        <v>0</v>
      </c>
      <c r="AE153" s="4" t="s">
        <v>62</v>
      </c>
      <c r="AF153" s="3">
        <v>45992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63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45980</v>
      </c>
      <c r="C154" s="4" t="s">
        <v>422</v>
      </c>
      <c r="D154" s="2">
        <v>1509744</v>
      </c>
      <c r="E154" s="4" t="s">
        <v>423</v>
      </c>
      <c r="F154" s="4" t="s">
        <v>424</v>
      </c>
      <c r="G154" s="4" t="s">
        <v>45</v>
      </c>
      <c r="H154" s="4" t="s">
        <v>45</v>
      </c>
      <c r="I154" s="4" t="s">
        <v>45</v>
      </c>
      <c r="J154" s="4" t="s">
        <v>425</v>
      </c>
      <c r="K154" s="4" t="s">
        <v>426</v>
      </c>
      <c r="L154" s="3">
        <v>45992</v>
      </c>
      <c r="M154" s="4" t="s">
        <v>58</v>
      </c>
      <c r="N154" s="4" t="s">
        <v>45</v>
      </c>
      <c r="O154" s="4" t="s">
        <v>49</v>
      </c>
      <c r="P154" s="4" t="s">
        <v>49</v>
      </c>
      <c r="Q154" s="2">
        <v>1</v>
      </c>
      <c r="R154" s="2">
        <v>60</v>
      </c>
      <c r="S154" s="4" t="s">
        <v>427</v>
      </c>
      <c r="T154" s="4" t="s">
        <v>45</v>
      </c>
      <c r="U154" s="4" t="s">
        <v>45</v>
      </c>
      <c r="V154" s="5">
        <v>10</v>
      </c>
      <c r="W154" s="5">
        <v>178.16</v>
      </c>
      <c r="X154" s="5">
        <v>100</v>
      </c>
      <c r="Y154" s="5">
        <v>17.82</v>
      </c>
      <c r="Z154" s="4" t="s">
        <v>45</v>
      </c>
      <c r="AA154" s="5" t="s">
        <v>45</v>
      </c>
      <c r="AB154" s="4" t="s">
        <v>428</v>
      </c>
      <c r="AC154" s="4" t="s">
        <v>45</v>
      </c>
      <c r="AD154" s="5">
        <v>0</v>
      </c>
      <c r="AE154" s="4" t="s">
        <v>429</v>
      </c>
      <c r="AF154" s="3">
        <v>45272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45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45980</v>
      </c>
      <c r="C155" s="4" t="s">
        <v>422</v>
      </c>
      <c r="D155" s="2">
        <v>1509744</v>
      </c>
      <c r="E155" s="4" t="s">
        <v>430</v>
      </c>
      <c r="F155" s="4" t="s">
        <v>431</v>
      </c>
      <c r="G155" s="4" t="s">
        <v>45</v>
      </c>
      <c r="H155" s="4" t="s">
        <v>45</v>
      </c>
      <c r="I155" s="4" t="s">
        <v>45</v>
      </c>
      <c r="J155" s="4" t="s">
        <v>425</v>
      </c>
      <c r="K155" s="4" t="s">
        <v>426</v>
      </c>
      <c r="L155" s="3">
        <v>45992</v>
      </c>
      <c r="M155" s="4" t="s">
        <v>58</v>
      </c>
      <c r="N155" s="4" t="s">
        <v>45</v>
      </c>
      <c r="O155" s="4" t="s">
        <v>49</v>
      </c>
      <c r="P155" s="4" t="s">
        <v>49</v>
      </c>
      <c r="Q155" s="2">
        <v>2</v>
      </c>
      <c r="R155" s="2">
        <v>60</v>
      </c>
      <c r="S155" s="4" t="s">
        <v>427</v>
      </c>
      <c r="T155" s="4" t="s">
        <v>45</v>
      </c>
      <c r="U155" s="4" t="s">
        <v>45</v>
      </c>
      <c r="V155" s="5">
        <v>10</v>
      </c>
      <c r="W155" s="5">
        <v>26.88</v>
      </c>
      <c r="X155" s="5">
        <v>100</v>
      </c>
      <c r="Y155" s="5">
        <v>2.69</v>
      </c>
      <c r="Z155" s="4" t="s">
        <v>45</v>
      </c>
      <c r="AA155" s="5" t="s">
        <v>45</v>
      </c>
      <c r="AB155" s="4" t="s">
        <v>428</v>
      </c>
      <c r="AC155" s="4" t="s">
        <v>45</v>
      </c>
      <c r="AD155" s="5">
        <v>0</v>
      </c>
      <c r="AE155" s="4" t="s">
        <v>429</v>
      </c>
      <c r="AF155" s="3">
        <v>45276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45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45980</v>
      </c>
      <c r="C156" s="4" t="s">
        <v>422</v>
      </c>
      <c r="D156" s="2">
        <v>1509744</v>
      </c>
      <c r="E156" s="4" t="s">
        <v>432</v>
      </c>
      <c r="F156" s="4" t="s">
        <v>433</v>
      </c>
      <c r="G156" s="4" t="s">
        <v>45</v>
      </c>
      <c r="H156" s="4" t="s">
        <v>45</v>
      </c>
      <c r="I156" s="4" t="s">
        <v>45</v>
      </c>
      <c r="J156" s="4" t="s">
        <v>425</v>
      </c>
      <c r="K156" s="4" t="s">
        <v>426</v>
      </c>
      <c r="L156" s="3">
        <v>45992</v>
      </c>
      <c r="M156" s="4" t="s">
        <v>58</v>
      </c>
      <c r="N156" s="4" t="s">
        <v>45</v>
      </c>
      <c r="O156" s="4" t="s">
        <v>49</v>
      </c>
      <c r="P156" s="4" t="s">
        <v>49</v>
      </c>
      <c r="Q156" s="2">
        <v>2</v>
      </c>
      <c r="R156" s="2">
        <v>60</v>
      </c>
      <c r="S156" s="4" t="s">
        <v>427</v>
      </c>
      <c r="T156" s="4" t="s">
        <v>45</v>
      </c>
      <c r="U156" s="4" t="s">
        <v>45</v>
      </c>
      <c r="V156" s="5">
        <v>10</v>
      </c>
      <c r="W156" s="5">
        <v>26.88</v>
      </c>
      <c r="X156" s="5">
        <v>100</v>
      </c>
      <c r="Y156" s="5">
        <v>2.69</v>
      </c>
      <c r="Z156" s="4" t="s">
        <v>45</v>
      </c>
      <c r="AA156" s="5" t="s">
        <v>45</v>
      </c>
      <c r="AB156" s="4" t="s">
        <v>428</v>
      </c>
      <c r="AC156" s="4" t="s">
        <v>45</v>
      </c>
      <c r="AD156" s="5">
        <v>0</v>
      </c>
      <c r="AE156" s="4" t="s">
        <v>429</v>
      </c>
      <c r="AF156" s="3">
        <v>45307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45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45980</v>
      </c>
      <c r="C157" s="4" t="s">
        <v>177</v>
      </c>
      <c r="D157" s="2">
        <v>1510420</v>
      </c>
      <c r="E157" s="4" t="s">
        <v>434</v>
      </c>
      <c r="F157" s="4" t="s">
        <v>435</v>
      </c>
      <c r="G157" s="4" t="s">
        <v>45</v>
      </c>
      <c r="H157" s="4" t="s">
        <v>45</v>
      </c>
      <c r="I157" s="4" t="s">
        <v>45</v>
      </c>
      <c r="J157" s="4" t="s">
        <v>425</v>
      </c>
      <c r="K157" s="4" t="s">
        <v>426</v>
      </c>
      <c r="L157" s="3">
        <v>45992</v>
      </c>
      <c r="M157" s="4" t="s">
        <v>58</v>
      </c>
      <c r="N157" s="4" t="s">
        <v>45</v>
      </c>
      <c r="O157" s="4" t="s">
        <v>49</v>
      </c>
      <c r="P157" s="4" t="s">
        <v>49</v>
      </c>
      <c r="Q157" s="2">
        <v>1</v>
      </c>
      <c r="R157" s="2">
        <v>3</v>
      </c>
      <c r="S157" s="4" t="s">
        <v>436</v>
      </c>
      <c r="T157" s="4" t="s">
        <v>45</v>
      </c>
      <c r="U157" s="4" t="s">
        <v>45</v>
      </c>
      <c r="V157" s="5">
        <v>10</v>
      </c>
      <c r="W157" s="5">
        <v>21.54</v>
      </c>
      <c r="X157" s="5">
        <v>100</v>
      </c>
      <c r="Y157" s="5">
        <v>2.15</v>
      </c>
      <c r="Z157" s="4" t="s">
        <v>45</v>
      </c>
      <c r="AA157" s="5" t="s">
        <v>45</v>
      </c>
      <c r="AB157" s="4" t="s">
        <v>428</v>
      </c>
      <c r="AC157" s="4" t="s">
        <v>45</v>
      </c>
      <c r="AD157" s="5">
        <v>0</v>
      </c>
      <c r="AE157" s="4" t="s">
        <v>429</v>
      </c>
      <c r="AF157" s="3">
        <v>40969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45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45980</v>
      </c>
      <c r="C158" s="4" t="s">
        <v>177</v>
      </c>
      <c r="D158" s="2">
        <v>1510420</v>
      </c>
      <c r="E158" s="4" t="s">
        <v>437</v>
      </c>
      <c r="F158" s="4" t="s">
        <v>438</v>
      </c>
      <c r="G158" s="4" t="s">
        <v>45</v>
      </c>
      <c r="H158" s="4" t="s">
        <v>45</v>
      </c>
      <c r="I158" s="4" t="s">
        <v>45</v>
      </c>
      <c r="J158" s="4" t="s">
        <v>425</v>
      </c>
      <c r="K158" s="4" t="s">
        <v>426</v>
      </c>
      <c r="L158" s="3">
        <v>45992</v>
      </c>
      <c r="M158" s="4" t="s">
        <v>58</v>
      </c>
      <c r="N158" s="4" t="s">
        <v>45</v>
      </c>
      <c r="O158" s="4" t="s">
        <v>49</v>
      </c>
      <c r="P158" s="4" t="s">
        <v>49</v>
      </c>
      <c r="Q158" s="2">
        <v>2</v>
      </c>
      <c r="R158" s="2">
        <v>3</v>
      </c>
      <c r="S158" s="4" t="s">
        <v>436</v>
      </c>
      <c r="T158" s="4" t="s">
        <v>45</v>
      </c>
      <c r="U158" s="4" t="s">
        <v>45</v>
      </c>
      <c r="V158" s="5">
        <v>10</v>
      </c>
      <c r="W158" s="5">
        <v>43.09</v>
      </c>
      <c r="X158" s="5">
        <v>100</v>
      </c>
      <c r="Y158" s="5">
        <v>4.3099999999999996</v>
      </c>
      <c r="Z158" s="4" t="s">
        <v>45</v>
      </c>
      <c r="AA158" s="5" t="s">
        <v>45</v>
      </c>
      <c r="AB158" s="4" t="s">
        <v>428</v>
      </c>
      <c r="AC158" s="4" t="s">
        <v>45</v>
      </c>
      <c r="AD158" s="5">
        <v>0</v>
      </c>
      <c r="AE158" s="4" t="s">
        <v>429</v>
      </c>
      <c r="AF158" s="3">
        <v>40969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45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45980</v>
      </c>
      <c r="C159" s="4" t="s">
        <v>207</v>
      </c>
      <c r="D159" s="2">
        <v>1524629</v>
      </c>
      <c r="E159" s="4" t="s">
        <v>439</v>
      </c>
      <c r="F159" s="4" t="s">
        <v>440</v>
      </c>
      <c r="G159" s="4" t="s">
        <v>45</v>
      </c>
      <c r="H159" s="4" t="s">
        <v>45</v>
      </c>
      <c r="I159" s="4" t="s">
        <v>45</v>
      </c>
      <c r="J159" s="4" t="s">
        <v>425</v>
      </c>
      <c r="K159" s="4" t="s">
        <v>426</v>
      </c>
      <c r="L159" s="3">
        <v>45992</v>
      </c>
      <c r="M159" s="4" t="s">
        <v>58</v>
      </c>
      <c r="N159" s="4" t="s">
        <v>45</v>
      </c>
      <c r="O159" s="4" t="s">
        <v>49</v>
      </c>
      <c r="P159" s="4" t="s">
        <v>49</v>
      </c>
      <c r="Q159" s="2">
        <v>1</v>
      </c>
      <c r="R159" s="2">
        <v>60</v>
      </c>
      <c r="S159" s="4" t="s">
        <v>427</v>
      </c>
      <c r="T159" s="4" t="s">
        <v>45</v>
      </c>
      <c r="U159" s="4" t="s">
        <v>45</v>
      </c>
      <c r="V159" s="5">
        <v>10</v>
      </c>
      <c r="W159" s="5">
        <v>12.99</v>
      </c>
      <c r="X159" s="5">
        <v>100</v>
      </c>
      <c r="Y159" s="5">
        <v>1.3</v>
      </c>
      <c r="Z159" s="4" t="s">
        <v>45</v>
      </c>
      <c r="AA159" s="5" t="s">
        <v>45</v>
      </c>
      <c r="AB159" s="4" t="s">
        <v>428</v>
      </c>
      <c r="AC159" s="4" t="s">
        <v>45</v>
      </c>
      <c r="AD159" s="5">
        <v>0</v>
      </c>
      <c r="AE159" s="4" t="s">
        <v>429</v>
      </c>
      <c r="AF159" s="3">
        <v>45371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45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45980</v>
      </c>
      <c r="C160" s="4" t="s">
        <v>220</v>
      </c>
      <c r="D160" s="2">
        <v>1535078</v>
      </c>
      <c r="E160" s="4" t="s">
        <v>441</v>
      </c>
      <c r="F160" s="4" t="s">
        <v>442</v>
      </c>
      <c r="G160" s="4" t="s">
        <v>45</v>
      </c>
      <c r="H160" s="4" t="s">
        <v>45</v>
      </c>
      <c r="I160" s="4" t="s">
        <v>45</v>
      </c>
      <c r="J160" s="4" t="s">
        <v>425</v>
      </c>
      <c r="K160" s="4" t="s">
        <v>426</v>
      </c>
      <c r="L160" s="3">
        <v>45992</v>
      </c>
      <c r="M160" s="4" t="s">
        <v>58</v>
      </c>
      <c r="N160" s="4" t="s">
        <v>45</v>
      </c>
      <c r="O160" s="4" t="s">
        <v>59</v>
      </c>
      <c r="P160" s="4" t="s">
        <v>49</v>
      </c>
      <c r="Q160" s="2">
        <v>1</v>
      </c>
      <c r="R160" s="2">
        <v>3</v>
      </c>
      <c r="S160" s="4" t="s">
        <v>436</v>
      </c>
      <c r="T160" s="4" t="s">
        <v>45</v>
      </c>
      <c r="U160" s="4" t="s">
        <v>45</v>
      </c>
      <c r="V160" s="5">
        <v>10</v>
      </c>
      <c r="W160" s="5">
        <v>35.93</v>
      </c>
      <c r="X160" s="5">
        <v>100</v>
      </c>
      <c r="Y160" s="5">
        <v>3.59</v>
      </c>
      <c r="Z160" s="4" t="s">
        <v>45</v>
      </c>
      <c r="AA160" s="5" t="s">
        <v>45</v>
      </c>
      <c r="AB160" s="4" t="s">
        <v>443</v>
      </c>
      <c r="AC160" s="4" t="s">
        <v>45</v>
      </c>
      <c r="AD160" s="5">
        <v>0</v>
      </c>
      <c r="AE160" s="4" t="s">
        <v>444</v>
      </c>
      <c r="AF160" s="3">
        <v>45894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45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45980</v>
      </c>
      <c r="C161" s="4" t="s">
        <v>229</v>
      </c>
      <c r="D161" s="2">
        <v>1545980</v>
      </c>
      <c r="E161" s="4" t="s">
        <v>445</v>
      </c>
      <c r="F161" s="4" t="s">
        <v>446</v>
      </c>
      <c r="G161" s="4" t="s">
        <v>45</v>
      </c>
      <c r="H161" s="4" t="s">
        <v>45</v>
      </c>
      <c r="I161" s="4" t="s">
        <v>45</v>
      </c>
      <c r="J161" s="4" t="s">
        <v>447</v>
      </c>
      <c r="K161" s="4" t="s">
        <v>47</v>
      </c>
      <c r="L161" s="3">
        <v>45962</v>
      </c>
      <c r="M161" s="4" t="s">
        <v>48</v>
      </c>
      <c r="N161" s="4" t="s">
        <v>45</v>
      </c>
      <c r="O161" s="4" t="s">
        <v>59</v>
      </c>
      <c r="P161" s="4" t="s">
        <v>49</v>
      </c>
      <c r="Q161" s="2">
        <v>1</v>
      </c>
      <c r="R161" s="2">
        <v>17</v>
      </c>
      <c r="S161" s="4" t="s">
        <v>50</v>
      </c>
      <c r="T161" s="4" t="s">
        <v>45</v>
      </c>
      <c r="U161" s="4" t="s">
        <v>45</v>
      </c>
      <c r="V161" s="5">
        <v>15</v>
      </c>
      <c r="W161" s="5">
        <v>1908.12</v>
      </c>
      <c r="X161" s="5">
        <v>100</v>
      </c>
      <c r="Y161" s="5">
        <v>286.2</v>
      </c>
      <c r="Z161" s="5">
        <v>0</v>
      </c>
      <c r="AA161" s="5">
        <v>0</v>
      </c>
      <c r="AB161" s="4" t="s">
        <v>448</v>
      </c>
      <c r="AC161" s="4" t="s">
        <v>45</v>
      </c>
      <c r="AD161" s="5">
        <v>0</v>
      </c>
      <c r="AE161" s="4" t="s">
        <v>449</v>
      </c>
      <c r="AF161" s="3">
        <v>45962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45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45980</v>
      </c>
      <c r="C162" s="4" t="s">
        <v>247</v>
      </c>
      <c r="D162" s="2">
        <v>1573279</v>
      </c>
      <c r="E162" s="4" t="s">
        <v>450</v>
      </c>
      <c r="F162" s="4" t="s">
        <v>451</v>
      </c>
      <c r="G162" s="4" t="s">
        <v>45</v>
      </c>
      <c r="H162" s="4" t="s">
        <v>45</v>
      </c>
      <c r="I162" s="4" t="s">
        <v>45</v>
      </c>
      <c r="J162" s="4" t="s">
        <v>452</v>
      </c>
      <c r="K162" s="4" t="s">
        <v>453</v>
      </c>
      <c r="L162" s="3">
        <v>45931</v>
      </c>
      <c r="M162" s="4" t="s">
        <v>454</v>
      </c>
      <c r="N162" s="4" t="s">
        <v>45</v>
      </c>
      <c r="O162" s="4" t="s">
        <v>59</v>
      </c>
      <c r="P162" s="4" t="s">
        <v>49</v>
      </c>
      <c r="Q162" s="2">
        <v>20</v>
      </c>
      <c r="R162" s="2">
        <v>3</v>
      </c>
      <c r="S162" s="4" t="s">
        <v>436</v>
      </c>
      <c r="T162" s="4" t="s">
        <v>45</v>
      </c>
      <c r="U162" s="4" t="s">
        <v>45</v>
      </c>
      <c r="V162" s="5">
        <v>10</v>
      </c>
      <c r="W162" s="5">
        <v>-54.31</v>
      </c>
      <c r="X162" s="5">
        <v>100</v>
      </c>
      <c r="Y162" s="5">
        <v>-5.43</v>
      </c>
      <c r="Z162" s="4" t="s">
        <v>45</v>
      </c>
      <c r="AA162" s="5" t="s">
        <v>45</v>
      </c>
      <c r="AB162" s="4" t="s">
        <v>61</v>
      </c>
      <c r="AC162" s="4" t="s">
        <v>45</v>
      </c>
      <c r="AD162" s="5">
        <v>0</v>
      </c>
      <c r="AE162" s="4" t="s">
        <v>62</v>
      </c>
      <c r="AF162" s="3">
        <v>45839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45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45980</v>
      </c>
      <c r="C163" s="4" t="s">
        <v>247</v>
      </c>
      <c r="D163" s="2">
        <v>1573279</v>
      </c>
      <c r="E163" s="4" t="s">
        <v>450</v>
      </c>
      <c r="F163" s="4" t="s">
        <v>451</v>
      </c>
      <c r="G163" s="4" t="s">
        <v>45</v>
      </c>
      <c r="H163" s="4" t="s">
        <v>45</v>
      </c>
      <c r="I163" s="4" t="s">
        <v>45</v>
      </c>
      <c r="J163" s="4" t="s">
        <v>452</v>
      </c>
      <c r="K163" s="4" t="s">
        <v>453</v>
      </c>
      <c r="L163" s="3">
        <v>45962</v>
      </c>
      <c r="M163" s="4" t="s">
        <v>48</v>
      </c>
      <c r="N163" s="4" t="s">
        <v>45</v>
      </c>
      <c r="O163" s="4" t="s">
        <v>59</v>
      </c>
      <c r="P163" s="4" t="s">
        <v>49</v>
      </c>
      <c r="Q163" s="2">
        <v>20</v>
      </c>
      <c r="R163" s="2">
        <v>3</v>
      </c>
      <c r="S163" s="4" t="s">
        <v>436</v>
      </c>
      <c r="T163" s="4" t="s">
        <v>45</v>
      </c>
      <c r="U163" s="4" t="s">
        <v>45</v>
      </c>
      <c r="V163" s="5">
        <v>10</v>
      </c>
      <c r="W163" s="5">
        <v>-81.48</v>
      </c>
      <c r="X163" s="5">
        <v>100</v>
      </c>
      <c r="Y163" s="5">
        <v>-8.15</v>
      </c>
      <c r="Z163" s="4" t="s">
        <v>45</v>
      </c>
      <c r="AA163" s="5" t="s">
        <v>45</v>
      </c>
      <c r="AB163" s="4" t="s">
        <v>61</v>
      </c>
      <c r="AC163" s="4" t="s">
        <v>45</v>
      </c>
      <c r="AD163" s="5">
        <v>0</v>
      </c>
      <c r="AE163" s="4" t="s">
        <v>62</v>
      </c>
      <c r="AF163" s="3">
        <v>45839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45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45980</v>
      </c>
      <c r="C164" s="4" t="s">
        <v>247</v>
      </c>
      <c r="D164" s="2">
        <v>1573279</v>
      </c>
      <c r="E164" s="4" t="s">
        <v>450</v>
      </c>
      <c r="F164" s="4" t="s">
        <v>451</v>
      </c>
      <c r="G164" s="4" t="s">
        <v>45</v>
      </c>
      <c r="H164" s="4" t="s">
        <v>45</v>
      </c>
      <c r="I164" s="4" t="s">
        <v>45</v>
      </c>
      <c r="J164" s="4" t="s">
        <v>452</v>
      </c>
      <c r="K164" s="4" t="s">
        <v>453</v>
      </c>
      <c r="L164" s="3">
        <v>45931</v>
      </c>
      <c r="M164" s="4" t="s">
        <v>454</v>
      </c>
      <c r="N164" s="4" t="s">
        <v>45</v>
      </c>
      <c r="O164" s="4" t="s">
        <v>59</v>
      </c>
      <c r="P164" s="4" t="s">
        <v>49</v>
      </c>
      <c r="Q164" s="2">
        <v>17</v>
      </c>
      <c r="R164" s="2">
        <v>60</v>
      </c>
      <c r="S164" s="4" t="s">
        <v>427</v>
      </c>
      <c r="T164" s="4" t="s">
        <v>45</v>
      </c>
      <c r="U164" s="4" t="s">
        <v>45</v>
      </c>
      <c r="V164" s="5">
        <v>10</v>
      </c>
      <c r="W164" s="5">
        <v>-16.2</v>
      </c>
      <c r="X164" s="5">
        <v>100</v>
      </c>
      <c r="Y164" s="5">
        <v>-1.62</v>
      </c>
      <c r="Z164" s="4" t="s">
        <v>45</v>
      </c>
      <c r="AA164" s="5" t="s">
        <v>45</v>
      </c>
      <c r="AB164" s="4" t="s">
        <v>61</v>
      </c>
      <c r="AC164" s="4" t="s">
        <v>45</v>
      </c>
      <c r="AD164" s="5">
        <v>0</v>
      </c>
      <c r="AE164" s="4" t="s">
        <v>62</v>
      </c>
      <c r="AF164" s="3">
        <v>45839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45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45980</v>
      </c>
      <c r="C165" s="4" t="s">
        <v>247</v>
      </c>
      <c r="D165" s="2">
        <v>1573279</v>
      </c>
      <c r="E165" s="4" t="s">
        <v>450</v>
      </c>
      <c r="F165" s="4" t="s">
        <v>451</v>
      </c>
      <c r="G165" s="4" t="s">
        <v>45</v>
      </c>
      <c r="H165" s="4" t="s">
        <v>45</v>
      </c>
      <c r="I165" s="4" t="s">
        <v>45</v>
      </c>
      <c r="J165" s="4" t="s">
        <v>452</v>
      </c>
      <c r="K165" s="4" t="s">
        <v>453</v>
      </c>
      <c r="L165" s="3">
        <v>45962</v>
      </c>
      <c r="M165" s="4" t="s">
        <v>48</v>
      </c>
      <c r="N165" s="4" t="s">
        <v>45</v>
      </c>
      <c r="O165" s="4" t="s">
        <v>59</v>
      </c>
      <c r="P165" s="4" t="s">
        <v>49</v>
      </c>
      <c r="Q165" s="2">
        <v>17</v>
      </c>
      <c r="R165" s="2">
        <v>60</v>
      </c>
      <c r="S165" s="4" t="s">
        <v>427</v>
      </c>
      <c r="T165" s="4" t="s">
        <v>45</v>
      </c>
      <c r="U165" s="4" t="s">
        <v>45</v>
      </c>
      <c r="V165" s="5">
        <v>10</v>
      </c>
      <c r="W165" s="5">
        <v>-24.31</v>
      </c>
      <c r="X165" s="5">
        <v>100</v>
      </c>
      <c r="Y165" s="5">
        <v>-2.4300000000000002</v>
      </c>
      <c r="Z165" s="4" t="s">
        <v>45</v>
      </c>
      <c r="AA165" s="5" t="s">
        <v>45</v>
      </c>
      <c r="AB165" s="4" t="s">
        <v>61</v>
      </c>
      <c r="AC165" s="4" t="s">
        <v>45</v>
      </c>
      <c r="AD165" s="5">
        <v>0</v>
      </c>
      <c r="AE165" s="4" t="s">
        <v>62</v>
      </c>
      <c r="AF165" s="3">
        <v>45839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45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45980</v>
      </c>
      <c r="C166" s="4" t="s">
        <v>301</v>
      </c>
      <c r="D166" s="2">
        <v>1673763</v>
      </c>
      <c r="E166" s="4" t="s">
        <v>455</v>
      </c>
      <c r="F166" s="4" t="s">
        <v>456</v>
      </c>
      <c r="G166" s="4" t="s">
        <v>45</v>
      </c>
      <c r="H166" s="4" t="s">
        <v>45</v>
      </c>
      <c r="I166" s="4" t="s">
        <v>45</v>
      </c>
      <c r="J166" s="4" t="s">
        <v>447</v>
      </c>
      <c r="K166" s="4" t="s">
        <v>47</v>
      </c>
      <c r="L166" s="3">
        <v>45992</v>
      </c>
      <c r="M166" s="4" t="s">
        <v>58</v>
      </c>
      <c r="N166" s="4" t="s">
        <v>45</v>
      </c>
      <c r="O166" s="4" t="s">
        <v>49</v>
      </c>
      <c r="P166" s="4" t="s">
        <v>49</v>
      </c>
      <c r="Q166" s="2">
        <v>1</v>
      </c>
      <c r="R166" s="2">
        <v>17</v>
      </c>
      <c r="S166" s="4" t="s">
        <v>50</v>
      </c>
      <c r="T166" s="4" t="s">
        <v>45</v>
      </c>
      <c r="U166" s="4" t="s">
        <v>45</v>
      </c>
      <c r="V166" s="5">
        <v>26</v>
      </c>
      <c r="W166" s="5">
        <v>307</v>
      </c>
      <c r="X166" s="5">
        <v>100</v>
      </c>
      <c r="Y166" s="5">
        <v>79.819999999999993</v>
      </c>
      <c r="Z166" s="5">
        <v>0</v>
      </c>
      <c r="AA166" s="5">
        <v>0</v>
      </c>
      <c r="AB166" s="4" t="s">
        <v>457</v>
      </c>
      <c r="AC166" s="4" t="s">
        <v>45</v>
      </c>
      <c r="AD166" s="5">
        <v>0</v>
      </c>
      <c r="AE166" s="4" t="s">
        <v>458</v>
      </c>
      <c r="AF166" s="3">
        <v>45292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45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45980</v>
      </c>
      <c r="C167" s="4" t="s">
        <v>301</v>
      </c>
      <c r="D167" s="2">
        <v>1673763</v>
      </c>
      <c r="E167" s="4" t="s">
        <v>459</v>
      </c>
      <c r="F167" s="4" t="s">
        <v>460</v>
      </c>
      <c r="G167" s="4" t="s">
        <v>45</v>
      </c>
      <c r="H167" s="4" t="s">
        <v>45</v>
      </c>
      <c r="I167" s="4" t="s">
        <v>45</v>
      </c>
      <c r="J167" s="4" t="s">
        <v>447</v>
      </c>
      <c r="K167" s="4" t="s">
        <v>47</v>
      </c>
      <c r="L167" s="3">
        <v>45992</v>
      </c>
      <c r="M167" s="4" t="s">
        <v>58</v>
      </c>
      <c r="N167" s="4" t="s">
        <v>45</v>
      </c>
      <c r="O167" s="4" t="s">
        <v>49</v>
      </c>
      <c r="P167" s="4" t="s">
        <v>49</v>
      </c>
      <c r="Q167" s="2">
        <v>1</v>
      </c>
      <c r="R167" s="2">
        <v>17</v>
      </c>
      <c r="S167" s="4" t="s">
        <v>50</v>
      </c>
      <c r="T167" s="4" t="s">
        <v>45</v>
      </c>
      <c r="U167" s="4" t="s">
        <v>45</v>
      </c>
      <c r="V167" s="5">
        <v>22</v>
      </c>
      <c r="W167" s="5">
        <v>110.73</v>
      </c>
      <c r="X167" s="5">
        <v>100</v>
      </c>
      <c r="Y167" s="5">
        <v>24.36</v>
      </c>
      <c r="Z167" s="5">
        <v>0</v>
      </c>
      <c r="AA167" s="5">
        <v>0</v>
      </c>
      <c r="AB167" s="4" t="s">
        <v>457</v>
      </c>
      <c r="AC167" s="4" t="s">
        <v>45</v>
      </c>
      <c r="AD167" s="5">
        <v>0</v>
      </c>
      <c r="AE167" s="4" t="s">
        <v>458</v>
      </c>
      <c r="AF167" s="3">
        <v>45444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45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45980</v>
      </c>
      <c r="C168" s="4" t="s">
        <v>301</v>
      </c>
      <c r="D168" s="2">
        <v>1673763</v>
      </c>
      <c r="E168" s="4" t="s">
        <v>461</v>
      </c>
      <c r="F168" s="4" t="s">
        <v>462</v>
      </c>
      <c r="G168" s="4" t="s">
        <v>45</v>
      </c>
      <c r="H168" s="4" t="s">
        <v>45</v>
      </c>
      <c r="I168" s="4" t="s">
        <v>45</v>
      </c>
      <c r="J168" s="4" t="s">
        <v>447</v>
      </c>
      <c r="K168" s="4" t="s">
        <v>47</v>
      </c>
      <c r="L168" s="3">
        <v>45992</v>
      </c>
      <c r="M168" s="4" t="s">
        <v>58</v>
      </c>
      <c r="N168" s="4" t="s">
        <v>45</v>
      </c>
      <c r="O168" s="4" t="s">
        <v>49</v>
      </c>
      <c r="P168" s="4" t="s">
        <v>49</v>
      </c>
      <c r="Q168" s="2">
        <v>1</v>
      </c>
      <c r="R168" s="2">
        <v>17</v>
      </c>
      <c r="S168" s="4" t="s">
        <v>50</v>
      </c>
      <c r="T168" s="4" t="s">
        <v>45</v>
      </c>
      <c r="U168" s="4" t="s">
        <v>45</v>
      </c>
      <c r="V168" s="5">
        <v>22</v>
      </c>
      <c r="W168" s="5">
        <v>138.55000000000001</v>
      </c>
      <c r="X168" s="5">
        <v>100</v>
      </c>
      <c r="Y168" s="5">
        <v>30.48</v>
      </c>
      <c r="Z168" s="5">
        <v>0</v>
      </c>
      <c r="AA168" s="5">
        <v>0</v>
      </c>
      <c r="AB168" s="4" t="s">
        <v>457</v>
      </c>
      <c r="AC168" s="4" t="s">
        <v>45</v>
      </c>
      <c r="AD168" s="5">
        <v>0</v>
      </c>
      <c r="AE168" s="4" t="s">
        <v>458</v>
      </c>
      <c r="AF168" s="3">
        <v>45566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45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45980</v>
      </c>
      <c r="C169" s="4" t="s">
        <v>301</v>
      </c>
      <c r="D169" s="2">
        <v>1673763</v>
      </c>
      <c r="E169" s="4" t="s">
        <v>463</v>
      </c>
      <c r="F169" s="4" t="s">
        <v>464</v>
      </c>
      <c r="G169" s="4" t="s">
        <v>45</v>
      </c>
      <c r="H169" s="4" t="s">
        <v>45</v>
      </c>
      <c r="I169" s="4" t="s">
        <v>45</v>
      </c>
      <c r="J169" s="4" t="s">
        <v>425</v>
      </c>
      <c r="K169" s="4" t="s">
        <v>426</v>
      </c>
      <c r="L169" s="3">
        <v>45992</v>
      </c>
      <c r="M169" s="4" t="s">
        <v>58</v>
      </c>
      <c r="N169" s="4" t="s">
        <v>45</v>
      </c>
      <c r="O169" s="4" t="s">
        <v>59</v>
      </c>
      <c r="P169" s="4" t="s">
        <v>49</v>
      </c>
      <c r="Q169" s="2">
        <v>2</v>
      </c>
      <c r="R169" s="2">
        <v>60</v>
      </c>
      <c r="S169" s="4" t="s">
        <v>427</v>
      </c>
      <c r="T169" s="4" t="s">
        <v>45</v>
      </c>
      <c r="U169" s="4" t="s">
        <v>45</v>
      </c>
      <c r="V169" s="5">
        <v>10</v>
      </c>
      <c r="W169" s="5">
        <v>23.99</v>
      </c>
      <c r="X169" s="5">
        <v>100</v>
      </c>
      <c r="Y169" s="5">
        <v>2.4</v>
      </c>
      <c r="Z169" s="4" t="s">
        <v>45</v>
      </c>
      <c r="AA169" s="5" t="s">
        <v>45</v>
      </c>
      <c r="AB169" s="4" t="s">
        <v>443</v>
      </c>
      <c r="AC169" s="4" t="s">
        <v>45</v>
      </c>
      <c r="AD169" s="5">
        <v>0</v>
      </c>
      <c r="AE169" s="4" t="s">
        <v>444</v>
      </c>
      <c r="AF169" s="3">
        <v>45870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45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45980</v>
      </c>
      <c r="C170" s="4" t="s">
        <v>465</v>
      </c>
      <c r="D170" s="2">
        <v>1755893</v>
      </c>
      <c r="E170" s="4" t="s">
        <v>466</v>
      </c>
      <c r="F170" s="4" t="s">
        <v>467</v>
      </c>
      <c r="G170" s="4" t="s">
        <v>45</v>
      </c>
      <c r="H170" s="4" t="s">
        <v>45</v>
      </c>
      <c r="I170" s="4" t="s">
        <v>45</v>
      </c>
      <c r="J170" s="4" t="s">
        <v>425</v>
      </c>
      <c r="K170" s="4" t="s">
        <v>426</v>
      </c>
      <c r="L170" s="3">
        <v>45992</v>
      </c>
      <c r="M170" s="4" t="s">
        <v>58</v>
      </c>
      <c r="N170" s="4" t="s">
        <v>45</v>
      </c>
      <c r="O170" s="4" t="s">
        <v>59</v>
      </c>
      <c r="P170" s="4" t="s">
        <v>49</v>
      </c>
      <c r="Q170" s="2">
        <v>1</v>
      </c>
      <c r="R170" s="2">
        <v>60</v>
      </c>
      <c r="S170" s="4" t="s">
        <v>427</v>
      </c>
      <c r="T170" s="4" t="s">
        <v>45</v>
      </c>
      <c r="U170" s="4" t="s">
        <v>45</v>
      </c>
      <c r="V170" s="5">
        <v>10</v>
      </c>
      <c r="W170" s="5">
        <v>12.99</v>
      </c>
      <c r="X170" s="5">
        <v>100</v>
      </c>
      <c r="Y170" s="5">
        <v>1.3</v>
      </c>
      <c r="Z170" s="4" t="s">
        <v>45</v>
      </c>
      <c r="AA170" s="5" t="s">
        <v>45</v>
      </c>
      <c r="AB170" s="4" t="s">
        <v>443</v>
      </c>
      <c r="AC170" s="4" t="s">
        <v>45</v>
      </c>
      <c r="AD170" s="5">
        <v>0</v>
      </c>
      <c r="AE170" s="4" t="s">
        <v>444</v>
      </c>
      <c r="AF170" s="3">
        <v>45748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45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45980</v>
      </c>
      <c r="C171" s="4" t="s">
        <v>465</v>
      </c>
      <c r="D171" s="2">
        <v>1755893</v>
      </c>
      <c r="E171" s="4" t="s">
        <v>468</v>
      </c>
      <c r="F171" s="4" t="s">
        <v>469</v>
      </c>
      <c r="G171" s="4" t="s">
        <v>45</v>
      </c>
      <c r="H171" s="4" t="s">
        <v>45</v>
      </c>
      <c r="I171" s="4" t="s">
        <v>45</v>
      </c>
      <c r="J171" s="4" t="s">
        <v>425</v>
      </c>
      <c r="K171" s="4" t="s">
        <v>426</v>
      </c>
      <c r="L171" s="3">
        <v>45992</v>
      </c>
      <c r="M171" s="4" t="s">
        <v>58</v>
      </c>
      <c r="N171" s="4" t="s">
        <v>45</v>
      </c>
      <c r="O171" s="4" t="s">
        <v>59</v>
      </c>
      <c r="P171" s="4" t="s">
        <v>49</v>
      </c>
      <c r="Q171" s="2">
        <v>1</v>
      </c>
      <c r="R171" s="2">
        <v>60</v>
      </c>
      <c r="S171" s="4" t="s">
        <v>427</v>
      </c>
      <c r="T171" s="4" t="s">
        <v>45</v>
      </c>
      <c r="U171" s="4" t="s">
        <v>45</v>
      </c>
      <c r="V171" s="5">
        <v>15</v>
      </c>
      <c r="W171" s="5">
        <v>12.99</v>
      </c>
      <c r="X171" s="5">
        <v>100</v>
      </c>
      <c r="Y171" s="5">
        <v>1.95</v>
      </c>
      <c r="Z171" s="4" t="s">
        <v>45</v>
      </c>
      <c r="AA171" s="5" t="s">
        <v>45</v>
      </c>
      <c r="AB171" s="4" t="s">
        <v>443</v>
      </c>
      <c r="AC171" s="4" t="s">
        <v>45</v>
      </c>
      <c r="AD171" s="5">
        <v>0</v>
      </c>
      <c r="AE171" s="4" t="s">
        <v>444</v>
      </c>
      <c r="AF171" s="3">
        <v>45945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45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45980</v>
      </c>
      <c r="C172" s="4" t="s">
        <v>465</v>
      </c>
      <c r="D172" s="2">
        <v>1755893</v>
      </c>
      <c r="E172" s="4" t="s">
        <v>470</v>
      </c>
      <c r="F172" s="4" t="s">
        <v>471</v>
      </c>
      <c r="G172" s="4" t="s">
        <v>45</v>
      </c>
      <c r="H172" s="4" t="s">
        <v>45</v>
      </c>
      <c r="I172" s="4" t="s">
        <v>45</v>
      </c>
      <c r="J172" s="4" t="s">
        <v>425</v>
      </c>
      <c r="K172" s="4" t="s">
        <v>426</v>
      </c>
      <c r="L172" s="3">
        <v>45992</v>
      </c>
      <c r="M172" s="4" t="s">
        <v>58</v>
      </c>
      <c r="N172" s="4" t="s">
        <v>45</v>
      </c>
      <c r="O172" s="4" t="s">
        <v>59</v>
      </c>
      <c r="P172" s="4" t="s">
        <v>49</v>
      </c>
      <c r="Q172" s="2">
        <v>1</v>
      </c>
      <c r="R172" s="2">
        <v>60</v>
      </c>
      <c r="S172" s="4" t="s">
        <v>427</v>
      </c>
      <c r="T172" s="4" t="s">
        <v>45</v>
      </c>
      <c r="U172" s="4" t="s">
        <v>45</v>
      </c>
      <c r="V172" s="5">
        <v>15</v>
      </c>
      <c r="W172" s="5">
        <v>12.99</v>
      </c>
      <c r="X172" s="5">
        <v>100</v>
      </c>
      <c r="Y172" s="5">
        <v>1.95</v>
      </c>
      <c r="Z172" s="4" t="s">
        <v>45</v>
      </c>
      <c r="AA172" s="5" t="s">
        <v>45</v>
      </c>
      <c r="AB172" s="4" t="s">
        <v>443</v>
      </c>
      <c r="AC172" s="4" t="s">
        <v>45</v>
      </c>
      <c r="AD172" s="5">
        <v>0</v>
      </c>
      <c r="AE172" s="4" t="s">
        <v>444</v>
      </c>
      <c r="AF172" s="3">
        <v>45962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45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45980</v>
      </c>
      <c r="C173" s="4" t="s">
        <v>465</v>
      </c>
      <c r="D173" s="2">
        <v>1755893</v>
      </c>
      <c r="E173" s="4" t="s">
        <v>472</v>
      </c>
      <c r="F173" s="4" t="s">
        <v>473</v>
      </c>
      <c r="G173" s="4" t="s">
        <v>45</v>
      </c>
      <c r="H173" s="4" t="s">
        <v>45</v>
      </c>
      <c r="I173" s="4" t="s">
        <v>45</v>
      </c>
      <c r="J173" s="4" t="s">
        <v>425</v>
      </c>
      <c r="K173" s="4" t="s">
        <v>426</v>
      </c>
      <c r="L173" s="3">
        <v>45992</v>
      </c>
      <c r="M173" s="4" t="s">
        <v>58</v>
      </c>
      <c r="N173" s="4" t="s">
        <v>45</v>
      </c>
      <c r="O173" s="4" t="s">
        <v>59</v>
      </c>
      <c r="P173" s="4" t="s">
        <v>49</v>
      </c>
      <c r="Q173" s="2">
        <v>2</v>
      </c>
      <c r="R173" s="2">
        <v>60</v>
      </c>
      <c r="S173" s="4" t="s">
        <v>427</v>
      </c>
      <c r="T173" s="4" t="s">
        <v>45</v>
      </c>
      <c r="U173" s="4" t="s">
        <v>45</v>
      </c>
      <c r="V173" s="5">
        <v>15</v>
      </c>
      <c r="W173" s="5">
        <v>23.99</v>
      </c>
      <c r="X173" s="5">
        <v>100</v>
      </c>
      <c r="Y173" s="5">
        <v>3.6</v>
      </c>
      <c r="Z173" s="4" t="s">
        <v>45</v>
      </c>
      <c r="AA173" s="5" t="s">
        <v>45</v>
      </c>
      <c r="AB173" s="4" t="s">
        <v>443</v>
      </c>
      <c r="AC173" s="4" t="s">
        <v>45</v>
      </c>
      <c r="AD173" s="5">
        <v>0</v>
      </c>
      <c r="AE173" s="4" t="s">
        <v>444</v>
      </c>
      <c r="AF173" s="3">
        <v>45962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45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45980</v>
      </c>
      <c r="C174" s="4" t="s">
        <v>465</v>
      </c>
      <c r="D174" s="2">
        <v>1755893</v>
      </c>
      <c r="E174" s="4" t="s">
        <v>474</v>
      </c>
      <c r="F174" s="4" t="s">
        <v>475</v>
      </c>
      <c r="G174" s="4" t="s">
        <v>45</v>
      </c>
      <c r="H174" s="4" t="s">
        <v>45</v>
      </c>
      <c r="I174" s="4" t="s">
        <v>45</v>
      </c>
      <c r="J174" s="4" t="s">
        <v>425</v>
      </c>
      <c r="K174" s="4" t="s">
        <v>426</v>
      </c>
      <c r="L174" s="3">
        <v>45992</v>
      </c>
      <c r="M174" s="4" t="s">
        <v>58</v>
      </c>
      <c r="N174" s="4" t="s">
        <v>45</v>
      </c>
      <c r="O174" s="4" t="s">
        <v>59</v>
      </c>
      <c r="P174" s="4" t="s">
        <v>49</v>
      </c>
      <c r="Q174" s="2">
        <v>2</v>
      </c>
      <c r="R174" s="2">
        <v>60</v>
      </c>
      <c r="S174" s="4" t="s">
        <v>427</v>
      </c>
      <c r="T174" s="4" t="s">
        <v>45</v>
      </c>
      <c r="U174" s="4" t="s">
        <v>45</v>
      </c>
      <c r="V174" s="5">
        <v>15</v>
      </c>
      <c r="W174" s="5">
        <v>23.99</v>
      </c>
      <c r="X174" s="5">
        <v>100</v>
      </c>
      <c r="Y174" s="5">
        <v>3.6</v>
      </c>
      <c r="Z174" s="4" t="s">
        <v>45</v>
      </c>
      <c r="AA174" s="5" t="s">
        <v>45</v>
      </c>
      <c r="AB174" s="4" t="s">
        <v>443</v>
      </c>
      <c r="AC174" s="4" t="s">
        <v>45</v>
      </c>
      <c r="AD174" s="5">
        <v>0</v>
      </c>
      <c r="AE174" s="4" t="s">
        <v>444</v>
      </c>
      <c r="AF174" s="3">
        <v>45962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45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45980</v>
      </c>
      <c r="C175" s="4" t="s">
        <v>465</v>
      </c>
      <c r="D175" s="2">
        <v>1755893</v>
      </c>
      <c r="E175" s="4" t="s">
        <v>476</v>
      </c>
      <c r="F175" s="4" t="s">
        <v>477</v>
      </c>
      <c r="G175" s="4" t="s">
        <v>45</v>
      </c>
      <c r="H175" s="4" t="s">
        <v>45</v>
      </c>
      <c r="I175" s="4" t="s">
        <v>45</v>
      </c>
      <c r="J175" s="4" t="s">
        <v>425</v>
      </c>
      <c r="K175" s="4" t="s">
        <v>426</v>
      </c>
      <c r="L175" s="3">
        <v>45992</v>
      </c>
      <c r="M175" s="4" t="s">
        <v>58</v>
      </c>
      <c r="N175" s="4" t="s">
        <v>45</v>
      </c>
      <c r="O175" s="4" t="s">
        <v>59</v>
      </c>
      <c r="P175" s="4" t="s">
        <v>49</v>
      </c>
      <c r="Q175" s="2">
        <v>3</v>
      </c>
      <c r="R175" s="2">
        <v>60</v>
      </c>
      <c r="S175" s="4" t="s">
        <v>427</v>
      </c>
      <c r="T175" s="4" t="s">
        <v>45</v>
      </c>
      <c r="U175" s="4" t="s">
        <v>45</v>
      </c>
      <c r="V175" s="5">
        <v>15</v>
      </c>
      <c r="W175" s="5">
        <v>36.99</v>
      </c>
      <c r="X175" s="5">
        <v>100</v>
      </c>
      <c r="Y175" s="5">
        <v>5.55</v>
      </c>
      <c r="Z175" s="4" t="s">
        <v>45</v>
      </c>
      <c r="AA175" s="5" t="s">
        <v>45</v>
      </c>
      <c r="AB175" s="4" t="s">
        <v>443</v>
      </c>
      <c r="AC175" s="4" t="s">
        <v>45</v>
      </c>
      <c r="AD175" s="5">
        <v>0</v>
      </c>
      <c r="AE175" s="4" t="s">
        <v>444</v>
      </c>
      <c r="AF175" s="3">
        <v>45962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45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45980</v>
      </c>
      <c r="C176" s="4" t="s">
        <v>465</v>
      </c>
      <c r="D176" s="2">
        <v>1755893</v>
      </c>
      <c r="E176" s="4" t="s">
        <v>478</v>
      </c>
      <c r="F176" s="4" t="s">
        <v>479</v>
      </c>
      <c r="G176" s="4" t="s">
        <v>45</v>
      </c>
      <c r="H176" s="4" t="s">
        <v>45</v>
      </c>
      <c r="I176" s="4" t="s">
        <v>45</v>
      </c>
      <c r="J176" s="4" t="s">
        <v>425</v>
      </c>
      <c r="K176" s="4" t="s">
        <v>426</v>
      </c>
      <c r="L176" s="3">
        <v>45992</v>
      </c>
      <c r="M176" s="4" t="s">
        <v>58</v>
      </c>
      <c r="N176" s="4" t="s">
        <v>45</v>
      </c>
      <c r="O176" s="4" t="s">
        <v>59</v>
      </c>
      <c r="P176" s="4" t="s">
        <v>49</v>
      </c>
      <c r="Q176" s="2">
        <v>1</v>
      </c>
      <c r="R176" s="2">
        <v>60</v>
      </c>
      <c r="S176" s="4" t="s">
        <v>427</v>
      </c>
      <c r="T176" s="4" t="s">
        <v>45</v>
      </c>
      <c r="U176" s="4" t="s">
        <v>45</v>
      </c>
      <c r="V176" s="5">
        <v>15</v>
      </c>
      <c r="W176" s="5">
        <v>11.7</v>
      </c>
      <c r="X176" s="5">
        <v>100</v>
      </c>
      <c r="Y176" s="5">
        <v>1.76</v>
      </c>
      <c r="Z176" s="4" t="s">
        <v>45</v>
      </c>
      <c r="AA176" s="5" t="s">
        <v>45</v>
      </c>
      <c r="AB176" s="4" t="s">
        <v>443</v>
      </c>
      <c r="AC176" s="4" t="s">
        <v>45</v>
      </c>
      <c r="AD176" s="5">
        <v>0</v>
      </c>
      <c r="AE176" s="4" t="s">
        <v>444</v>
      </c>
      <c r="AF176" s="3">
        <v>45965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45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45980</v>
      </c>
      <c r="C177" s="4" t="s">
        <v>328</v>
      </c>
      <c r="D177" s="2">
        <v>1758433</v>
      </c>
      <c r="E177" s="4" t="s">
        <v>480</v>
      </c>
      <c r="F177" s="4" t="s">
        <v>481</v>
      </c>
      <c r="G177" s="4" t="s">
        <v>45</v>
      </c>
      <c r="H177" s="4" t="s">
        <v>45</v>
      </c>
      <c r="I177" s="4" t="s">
        <v>45</v>
      </c>
      <c r="J177" s="4" t="s">
        <v>425</v>
      </c>
      <c r="K177" s="4" t="s">
        <v>426</v>
      </c>
      <c r="L177" s="3">
        <v>45992</v>
      </c>
      <c r="M177" s="4" t="s">
        <v>58</v>
      </c>
      <c r="N177" s="4" t="s">
        <v>45</v>
      </c>
      <c r="O177" s="4" t="s">
        <v>59</v>
      </c>
      <c r="P177" s="4" t="s">
        <v>49</v>
      </c>
      <c r="Q177" s="2">
        <v>1</v>
      </c>
      <c r="R177" s="2">
        <v>3</v>
      </c>
      <c r="S177" s="4" t="s">
        <v>436</v>
      </c>
      <c r="T177" s="4" t="s">
        <v>45</v>
      </c>
      <c r="U177" s="4" t="s">
        <v>45</v>
      </c>
      <c r="V177" s="5">
        <v>15</v>
      </c>
      <c r="W177" s="5">
        <v>53.99</v>
      </c>
      <c r="X177" s="5">
        <v>100</v>
      </c>
      <c r="Y177" s="5">
        <v>43.1</v>
      </c>
      <c r="Z177" s="4" t="s">
        <v>45</v>
      </c>
      <c r="AA177" s="5" t="s">
        <v>45</v>
      </c>
      <c r="AB177" s="4" t="s">
        <v>443</v>
      </c>
      <c r="AC177" s="4" t="s">
        <v>45</v>
      </c>
      <c r="AD177" s="5">
        <v>0</v>
      </c>
      <c r="AE177" s="4" t="s">
        <v>444</v>
      </c>
      <c r="AF177" s="3">
        <v>45992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45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45980</v>
      </c>
      <c r="C178" s="4" t="s">
        <v>398</v>
      </c>
      <c r="D178" s="2">
        <v>1831491</v>
      </c>
      <c r="E178" s="4" t="s">
        <v>482</v>
      </c>
      <c r="F178" s="4" t="s">
        <v>483</v>
      </c>
      <c r="G178" s="4" t="s">
        <v>45</v>
      </c>
      <c r="H178" s="4" t="s">
        <v>45</v>
      </c>
      <c r="I178" s="4" t="s">
        <v>45</v>
      </c>
      <c r="J178" s="4" t="s">
        <v>425</v>
      </c>
      <c r="K178" s="4" t="s">
        <v>426</v>
      </c>
      <c r="L178" s="3">
        <v>45992</v>
      </c>
      <c r="M178" s="4" t="s">
        <v>58</v>
      </c>
      <c r="N178" s="4" t="s">
        <v>45</v>
      </c>
      <c r="O178" s="4" t="s">
        <v>59</v>
      </c>
      <c r="P178" s="4" t="s">
        <v>49</v>
      </c>
      <c r="Q178" s="2">
        <v>1</v>
      </c>
      <c r="R178" s="2">
        <v>60</v>
      </c>
      <c r="S178" s="4" t="s">
        <v>427</v>
      </c>
      <c r="T178" s="4" t="s">
        <v>45</v>
      </c>
      <c r="U178" s="4" t="s">
        <v>45</v>
      </c>
      <c r="V178" s="5">
        <v>15</v>
      </c>
      <c r="W178" s="5">
        <v>14.93</v>
      </c>
      <c r="X178" s="5">
        <v>100</v>
      </c>
      <c r="Y178" s="5">
        <v>2.2400000000000002</v>
      </c>
      <c r="Z178" s="4" t="s">
        <v>45</v>
      </c>
      <c r="AA178" s="5" t="s">
        <v>45</v>
      </c>
      <c r="AB178" s="4" t="s">
        <v>443</v>
      </c>
      <c r="AC178" s="4" t="s">
        <v>45</v>
      </c>
      <c r="AD178" s="5">
        <v>0</v>
      </c>
      <c r="AE178" s="4" t="s">
        <v>444</v>
      </c>
      <c r="AF178" s="3">
        <v>45962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45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45980</v>
      </c>
      <c r="C179" s="4" t="s">
        <v>398</v>
      </c>
      <c r="D179" s="2">
        <v>1831491</v>
      </c>
      <c r="E179" s="4" t="s">
        <v>484</v>
      </c>
      <c r="F179" s="4" t="s">
        <v>485</v>
      </c>
      <c r="G179" s="4" t="s">
        <v>45</v>
      </c>
      <c r="H179" s="4" t="s">
        <v>45</v>
      </c>
      <c r="I179" s="4" t="s">
        <v>45</v>
      </c>
      <c r="J179" s="4" t="s">
        <v>425</v>
      </c>
      <c r="K179" s="4" t="s">
        <v>426</v>
      </c>
      <c r="L179" s="3">
        <v>45962</v>
      </c>
      <c r="M179" s="4" t="s">
        <v>48</v>
      </c>
      <c r="N179" s="4" t="s">
        <v>45</v>
      </c>
      <c r="O179" s="4" t="s">
        <v>59</v>
      </c>
      <c r="P179" s="4" t="s">
        <v>49</v>
      </c>
      <c r="Q179" s="2">
        <v>1</v>
      </c>
      <c r="R179" s="2">
        <v>60</v>
      </c>
      <c r="S179" s="4" t="s">
        <v>427</v>
      </c>
      <c r="T179" s="4" t="s">
        <v>45</v>
      </c>
      <c r="U179" s="4" t="s">
        <v>45</v>
      </c>
      <c r="V179" s="5">
        <v>10</v>
      </c>
      <c r="W179" s="5">
        <v>14.93</v>
      </c>
      <c r="X179" s="5">
        <v>100</v>
      </c>
      <c r="Y179" s="5">
        <v>36.49</v>
      </c>
      <c r="Z179" s="4" t="s">
        <v>45</v>
      </c>
      <c r="AA179" s="5" t="s">
        <v>45</v>
      </c>
      <c r="AB179" s="4" t="s">
        <v>443</v>
      </c>
      <c r="AC179" s="4" t="s">
        <v>45</v>
      </c>
      <c r="AD179" s="5">
        <v>0</v>
      </c>
      <c r="AE179" s="4" t="s">
        <v>444</v>
      </c>
      <c r="AF179" s="3">
        <v>45978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45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45980</v>
      </c>
      <c r="C180" s="4" t="s">
        <v>398</v>
      </c>
      <c r="D180" s="2">
        <v>1831491</v>
      </c>
      <c r="E180" s="4" t="s">
        <v>486</v>
      </c>
      <c r="F180" s="4" t="s">
        <v>487</v>
      </c>
      <c r="G180" s="4" t="s">
        <v>45</v>
      </c>
      <c r="H180" s="4" t="s">
        <v>45</v>
      </c>
      <c r="I180" s="4" t="s">
        <v>45</v>
      </c>
      <c r="J180" s="4" t="s">
        <v>425</v>
      </c>
      <c r="K180" s="4" t="s">
        <v>426</v>
      </c>
      <c r="L180" s="3">
        <v>46023</v>
      </c>
      <c r="M180" s="4" t="s">
        <v>488</v>
      </c>
      <c r="N180" s="4" t="s">
        <v>45</v>
      </c>
      <c r="O180" s="4" t="s">
        <v>59</v>
      </c>
      <c r="P180" s="4" t="s">
        <v>49</v>
      </c>
      <c r="Q180" s="2">
        <v>1</v>
      </c>
      <c r="R180" s="2">
        <v>60</v>
      </c>
      <c r="S180" s="4" t="s">
        <v>427</v>
      </c>
      <c r="T180" s="4" t="s">
        <v>45</v>
      </c>
      <c r="U180" s="4" t="s">
        <v>45</v>
      </c>
      <c r="V180" s="5">
        <v>10</v>
      </c>
      <c r="W180" s="5">
        <v>14.93</v>
      </c>
      <c r="X180" s="5">
        <v>100</v>
      </c>
      <c r="Y180" s="5">
        <v>36.49</v>
      </c>
      <c r="Z180" s="4" t="s">
        <v>45</v>
      </c>
      <c r="AA180" s="5" t="s">
        <v>45</v>
      </c>
      <c r="AB180" s="4" t="s">
        <v>443</v>
      </c>
      <c r="AC180" s="4" t="s">
        <v>45</v>
      </c>
      <c r="AD180" s="5">
        <v>0</v>
      </c>
      <c r="AE180" s="4" t="s">
        <v>444</v>
      </c>
      <c r="AF180" s="3">
        <v>46023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45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45980</v>
      </c>
      <c r="C181" s="4" t="s">
        <v>489</v>
      </c>
      <c r="D181" s="2">
        <v>1875462</v>
      </c>
      <c r="E181" s="4" t="s">
        <v>490</v>
      </c>
      <c r="F181" s="4" t="s">
        <v>491</v>
      </c>
      <c r="G181" s="4" t="s">
        <v>45</v>
      </c>
      <c r="H181" s="4" t="s">
        <v>45</v>
      </c>
      <c r="I181" s="4" t="s">
        <v>45</v>
      </c>
      <c r="J181" s="4" t="s">
        <v>425</v>
      </c>
      <c r="K181" s="4" t="s">
        <v>426</v>
      </c>
      <c r="L181" s="3">
        <v>45992</v>
      </c>
      <c r="M181" s="4" t="s">
        <v>58</v>
      </c>
      <c r="N181" s="4" t="s">
        <v>45</v>
      </c>
      <c r="O181" s="4" t="s">
        <v>59</v>
      </c>
      <c r="P181" s="4" t="s">
        <v>49</v>
      </c>
      <c r="Q181" s="2">
        <v>2</v>
      </c>
      <c r="R181" s="2">
        <v>60</v>
      </c>
      <c r="S181" s="4" t="s">
        <v>427</v>
      </c>
      <c r="T181" s="4" t="s">
        <v>45</v>
      </c>
      <c r="U181" s="4" t="s">
        <v>45</v>
      </c>
      <c r="V181" s="5">
        <v>10</v>
      </c>
      <c r="W181" s="5">
        <v>23.99</v>
      </c>
      <c r="X181" s="5">
        <v>100</v>
      </c>
      <c r="Y181" s="5">
        <v>2.4</v>
      </c>
      <c r="Z181" s="4" t="s">
        <v>45</v>
      </c>
      <c r="AA181" s="5" t="s">
        <v>45</v>
      </c>
      <c r="AB181" s="4" t="s">
        <v>443</v>
      </c>
      <c r="AC181" s="4" t="s">
        <v>45</v>
      </c>
      <c r="AD181" s="5">
        <v>0</v>
      </c>
      <c r="AE181" s="4" t="s">
        <v>444</v>
      </c>
      <c r="AF181" s="3">
        <v>45902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45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45980</v>
      </c>
      <c r="C182" s="4" t="s">
        <v>489</v>
      </c>
      <c r="D182" s="2">
        <v>1875462</v>
      </c>
      <c r="E182" s="4" t="s">
        <v>490</v>
      </c>
      <c r="F182" s="4" t="s">
        <v>492</v>
      </c>
      <c r="G182" s="4" t="s">
        <v>45</v>
      </c>
      <c r="H182" s="4" t="s">
        <v>45</v>
      </c>
      <c r="I182" s="4" t="s">
        <v>45</v>
      </c>
      <c r="J182" s="4" t="s">
        <v>425</v>
      </c>
      <c r="K182" s="4" t="s">
        <v>426</v>
      </c>
      <c r="L182" s="3">
        <v>45992</v>
      </c>
      <c r="M182" s="4" t="s">
        <v>58</v>
      </c>
      <c r="N182" s="4" t="s">
        <v>45</v>
      </c>
      <c r="O182" s="4" t="s">
        <v>59</v>
      </c>
      <c r="P182" s="4" t="s">
        <v>49</v>
      </c>
      <c r="Q182" s="2">
        <v>3</v>
      </c>
      <c r="R182" s="2">
        <v>3</v>
      </c>
      <c r="S182" s="4" t="s">
        <v>436</v>
      </c>
      <c r="T182" s="4" t="s">
        <v>45</v>
      </c>
      <c r="U182" s="4" t="s">
        <v>45</v>
      </c>
      <c r="V182" s="5">
        <v>10</v>
      </c>
      <c r="W182" s="5">
        <v>108.97</v>
      </c>
      <c r="X182" s="5">
        <v>100</v>
      </c>
      <c r="Y182" s="5">
        <v>10.9</v>
      </c>
      <c r="Z182" s="4" t="s">
        <v>45</v>
      </c>
      <c r="AA182" s="5" t="s">
        <v>45</v>
      </c>
      <c r="AB182" s="4" t="s">
        <v>443</v>
      </c>
      <c r="AC182" s="4" t="s">
        <v>45</v>
      </c>
      <c r="AD182" s="5">
        <v>0</v>
      </c>
      <c r="AE182" s="4" t="s">
        <v>444</v>
      </c>
      <c r="AF182" s="3">
        <v>45902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45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45980</v>
      </c>
      <c r="C183" s="4" t="s">
        <v>45</v>
      </c>
      <c r="D183" s="2" t="s">
        <v>45</v>
      </c>
      <c r="E183" s="4" t="s">
        <v>45</v>
      </c>
      <c r="F183" s="4" t="s">
        <v>45</v>
      </c>
      <c r="G183" s="4" t="s">
        <v>45</v>
      </c>
      <c r="H183" s="4" t="s">
        <v>45</v>
      </c>
      <c r="I183" s="4" t="s">
        <v>45</v>
      </c>
      <c r="J183" s="4" t="s">
        <v>45</v>
      </c>
      <c r="K183" s="4" t="s">
        <v>45</v>
      </c>
      <c r="L183" s="4" t="s">
        <v>45</v>
      </c>
      <c r="M183" s="4" t="s">
        <v>48</v>
      </c>
      <c r="N183" s="4" t="s">
        <v>45</v>
      </c>
      <c r="O183" s="4" t="s">
        <v>45</v>
      </c>
      <c r="P183" s="4" t="s">
        <v>45</v>
      </c>
      <c r="Q183" s="4" t="s">
        <v>45</v>
      </c>
      <c r="R183" s="4" t="s">
        <v>45</v>
      </c>
      <c r="S183" s="4" t="s">
        <v>45</v>
      </c>
      <c r="T183" s="4" t="s">
        <v>45</v>
      </c>
      <c r="U183" s="4" t="s">
        <v>45</v>
      </c>
      <c r="V183" s="5" t="s">
        <v>45</v>
      </c>
      <c r="W183" s="4" t="s">
        <v>45</v>
      </c>
      <c r="X183" s="5" t="s">
        <v>45</v>
      </c>
      <c r="Y183" s="4" t="s">
        <v>45</v>
      </c>
      <c r="Z183" s="4" t="s">
        <v>45</v>
      </c>
      <c r="AA183" s="5" t="s">
        <v>45</v>
      </c>
      <c r="AB183" s="4" t="s">
        <v>45</v>
      </c>
      <c r="AC183" s="4" t="s">
        <v>493</v>
      </c>
      <c r="AD183" s="5">
        <v>0</v>
      </c>
      <c r="AE183" s="4" t="s">
        <v>494</v>
      </c>
      <c r="AF183" s="4" t="s">
        <v>45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45</v>
      </c>
      <c r="AO183" s="4" t="s">
        <v>45</v>
      </c>
      <c r="AP183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0499-2896-4F0F-970C-C0B0960A2F3F}">
  <dimension ref="A1:AP186"/>
  <sheetViews>
    <sheetView topLeftCell="B184" workbookViewId="0">
      <selection activeCell="O2" sqref="O2:O184"/>
    </sheetView>
  </sheetViews>
  <sheetFormatPr defaultRowHeight="12.75" x14ac:dyDescent="0.2"/>
  <cols>
    <col min="1" max="1" width="28.7109375" bestFit="1" customWidth="1"/>
    <col min="2" max="2" width="16.140625" customWidth="1"/>
    <col min="3" max="3" width="28.5703125" bestFit="1" customWidth="1"/>
    <col min="4" max="4" width="13.28515625" bestFit="1" customWidth="1"/>
    <col min="5" max="6" width="11.42578125" bestFit="1" customWidth="1"/>
    <col min="7" max="8" width="15.28515625" bestFit="1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12.28515625" customWidth="1"/>
    <col min="13" max="13" width="13.7109375" bestFit="1" customWidth="1"/>
    <col min="14" max="14" width="52.42578125" bestFit="1" customWidth="1"/>
    <col min="15" max="15" width="21.5703125" bestFit="1" customWidth="1"/>
    <col min="17" max="17" width="13.42578125" bestFit="1" customWidth="1"/>
    <col min="18" max="18" width="16" customWidth="1"/>
    <col min="19" max="19" width="15.7109375" bestFit="1" customWidth="1"/>
    <col min="20" max="20" width="13.7109375" bestFit="1" customWidth="1"/>
    <col min="21" max="21" width="24.7109375" bestFit="1" customWidth="1"/>
  </cols>
  <sheetData>
    <row r="1" spans="1:42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2" s="10" customFormat="1" x14ac:dyDescent="0.2">
      <c r="A2" s="4" t="s">
        <v>347</v>
      </c>
      <c r="B2" s="2">
        <v>19396223</v>
      </c>
      <c r="C2" s="4" t="s">
        <v>348</v>
      </c>
      <c r="D2" s="4" t="s">
        <v>349</v>
      </c>
      <c r="E2" s="3">
        <v>45962</v>
      </c>
      <c r="F2" s="4" t="s">
        <v>48</v>
      </c>
      <c r="G2" s="4" t="s">
        <v>50</v>
      </c>
      <c r="H2" s="4" t="s">
        <v>60</v>
      </c>
      <c r="I2" s="5">
        <v>1</v>
      </c>
      <c r="J2" s="5">
        <v>1</v>
      </c>
      <c r="K2" s="5">
        <v>32.5</v>
      </c>
      <c r="L2" s="4" t="s">
        <v>52</v>
      </c>
      <c r="M2" s="3">
        <v>45597</v>
      </c>
      <c r="N2" t="s">
        <v>514</v>
      </c>
      <c r="O2" s="11" t="s">
        <v>517</v>
      </c>
      <c r="P2"/>
      <c r="Q2" s="4" t="s">
        <v>349</v>
      </c>
      <c r="R2" t="str">
        <f>CONCATENATE(Q2,6)</f>
        <v>00011519472K6</v>
      </c>
      <c r="S2" s="4" t="s">
        <v>518</v>
      </c>
      <c r="T2" t="s">
        <v>519</v>
      </c>
      <c r="U2" t="str">
        <f>CONCATENATE(T2," ",S2)</f>
        <v>KHAIRUNNISA MOHIUDDIN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42" s="10" customFormat="1" x14ac:dyDescent="0.2">
      <c r="A3" s="4" t="s">
        <v>271</v>
      </c>
      <c r="B3" s="2">
        <v>16212649</v>
      </c>
      <c r="C3" s="4" t="s">
        <v>272</v>
      </c>
      <c r="D3" s="4" t="s">
        <v>273</v>
      </c>
      <c r="E3" s="3">
        <v>45962</v>
      </c>
      <c r="F3" s="4" t="s">
        <v>48</v>
      </c>
      <c r="G3" s="4" t="s">
        <v>50</v>
      </c>
      <c r="H3" s="4" t="s">
        <v>60</v>
      </c>
      <c r="I3" s="5">
        <v>1</v>
      </c>
      <c r="J3" s="5">
        <v>1</v>
      </c>
      <c r="K3" s="5">
        <v>32.5</v>
      </c>
      <c r="L3" s="4" t="s">
        <v>52</v>
      </c>
      <c r="M3" s="3">
        <v>45474</v>
      </c>
      <c r="N3" t="s">
        <v>514</v>
      </c>
      <c r="O3" s="11" t="s">
        <v>517</v>
      </c>
      <c r="P3"/>
      <c r="Q3" s="4" t="s">
        <v>273</v>
      </c>
      <c r="R3" t="str">
        <f t="shared" ref="R3:R14" si="0">CONCATENATE(Q3,6)</f>
        <v>00021783471K6</v>
      </c>
      <c r="S3" s="4" t="s">
        <v>520</v>
      </c>
      <c r="T3" t="s">
        <v>521</v>
      </c>
      <c r="U3" t="str">
        <f t="shared" ref="U3:U66" si="1">CONCATENATE(T3," ",S3)</f>
        <v>MARYCLARE BENTLEY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2" s="10" customFormat="1" x14ac:dyDescent="0.2">
      <c r="A4" s="4" t="s">
        <v>271</v>
      </c>
      <c r="B4" s="2">
        <v>16212649</v>
      </c>
      <c r="C4" s="4" t="s">
        <v>274</v>
      </c>
      <c r="D4" s="4" t="s">
        <v>275</v>
      </c>
      <c r="E4" s="3">
        <v>45962</v>
      </c>
      <c r="F4" s="4" t="s">
        <v>48</v>
      </c>
      <c r="G4" s="4" t="s">
        <v>50</v>
      </c>
      <c r="H4" s="4" t="s">
        <v>60</v>
      </c>
      <c r="I4" s="5">
        <v>1</v>
      </c>
      <c r="J4" s="5">
        <v>1</v>
      </c>
      <c r="K4" s="5">
        <v>32.5</v>
      </c>
      <c r="L4" s="4" t="s">
        <v>52</v>
      </c>
      <c r="M4" s="3">
        <v>45444</v>
      </c>
      <c r="N4" t="s">
        <v>514</v>
      </c>
      <c r="O4" s="11" t="s">
        <v>517</v>
      </c>
      <c r="P4"/>
      <c r="Q4" s="4" t="s">
        <v>275</v>
      </c>
      <c r="R4" t="str">
        <f t="shared" si="0"/>
        <v>00021784141K6</v>
      </c>
      <c r="S4" s="4" t="s">
        <v>520</v>
      </c>
      <c r="T4" t="s">
        <v>522</v>
      </c>
      <c r="U4" t="str">
        <f t="shared" si="1"/>
        <v>ROBERT BENTLEY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42" s="10" customFormat="1" x14ac:dyDescent="0.2">
      <c r="A5" s="4" t="s">
        <v>328</v>
      </c>
      <c r="B5" s="2">
        <v>18794740</v>
      </c>
      <c r="C5" s="4" t="s">
        <v>329</v>
      </c>
      <c r="D5" s="4" t="s">
        <v>330</v>
      </c>
      <c r="E5" s="3">
        <v>45962</v>
      </c>
      <c r="F5" s="4" t="s">
        <v>48</v>
      </c>
      <c r="G5" s="4" t="s">
        <v>50</v>
      </c>
      <c r="H5" s="4" t="s">
        <v>331</v>
      </c>
      <c r="I5" s="5">
        <v>1</v>
      </c>
      <c r="J5" s="5">
        <v>1</v>
      </c>
      <c r="K5" s="5">
        <v>29.41</v>
      </c>
      <c r="L5" s="4" t="s">
        <v>52</v>
      </c>
      <c r="M5" s="3">
        <v>45292</v>
      </c>
      <c r="N5" t="s">
        <v>513</v>
      </c>
      <c r="O5" s="11" t="s">
        <v>516</v>
      </c>
      <c r="P5"/>
      <c r="Q5" s="4" t="s">
        <v>330</v>
      </c>
      <c r="R5" t="str">
        <f t="shared" si="0"/>
        <v>00000854688H6</v>
      </c>
      <c r="S5" s="4" t="s">
        <v>523</v>
      </c>
      <c r="T5" t="s">
        <v>524</v>
      </c>
      <c r="U5" t="str">
        <f t="shared" si="1"/>
        <v>GEORGINE DAVIDHEISER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42" s="10" customFormat="1" x14ac:dyDescent="0.2">
      <c r="A6" s="4" t="s">
        <v>298</v>
      </c>
      <c r="B6" s="2">
        <v>17425766</v>
      </c>
      <c r="C6" s="4" t="s">
        <v>299</v>
      </c>
      <c r="D6" s="4" t="s">
        <v>300</v>
      </c>
      <c r="E6" s="3">
        <v>45962</v>
      </c>
      <c r="F6" s="4" t="s">
        <v>48</v>
      </c>
      <c r="G6" s="4" t="s">
        <v>50</v>
      </c>
      <c r="H6" s="4" t="s">
        <v>60</v>
      </c>
      <c r="I6" s="5">
        <v>1</v>
      </c>
      <c r="J6" s="5">
        <v>1</v>
      </c>
      <c r="K6" s="5">
        <v>29.41</v>
      </c>
      <c r="L6" s="4" t="s">
        <v>52</v>
      </c>
      <c r="M6" s="3">
        <v>45597</v>
      </c>
      <c r="N6" t="s">
        <v>513</v>
      </c>
      <c r="O6" s="11" t="s">
        <v>516</v>
      </c>
      <c r="P6"/>
      <c r="Q6" s="4" t="s">
        <v>300</v>
      </c>
      <c r="R6" t="str">
        <f t="shared" si="0"/>
        <v>00022112017K6</v>
      </c>
      <c r="S6" s="4" t="s">
        <v>525</v>
      </c>
      <c r="T6" t="s">
        <v>526</v>
      </c>
      <c r="U6" t="str">
        <f t="shared" si="1"/>
        <v>RICKY ORLANDO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s="16" customFormat="1" x14ac:dyDescent="0.2">
      <c r="A7" s="4" t="s">
        <v>207</v>
      </c>
      <c r="B7" s="2">
        <v>15278437</v>
      </c>
      <c r="C7" s="4" t="s">
        <v>216</v>
      </c>
      <c r="D7" s="4" t="s">
        <v>217</v>
      </c>
      <c r="E7" s="3">
        <v>45962</v>
      </c>
      <c r="F7" s="4" t="s">
        <v>48</v>
      </c>
      <c r="G7" s="4" t="s">
        <v>50</v>
      </c>
      <c r="H7" s="4" t="s">
        <v>60</v>
      </c>
      <c r="I7" s="5">
        <v>1</v>
      </c>
      <c r="J7" s="5">
        <v>1</v>
      </c>
      <c r="K7" s="5">
        <v>29.41</v>
      </c>
      <c r="L7" s="4" t="s">
        <v>52</v>
      </c>
      <c r="M7" s="3">
        <v>45383</v>
      </c>
      <c r="N7" t="s">
        <v>513</v>
      </c>
      <c r="O7" s="11" t="s">
        <v>516</v>
      </c>
      <c r="P7"/>
      <c r="Q7" s="4" t="s">
        <v>217</v>
      </c>
      <c r="R7" t="str">
        <f t="shared" si="0"/>
        <v>00021622015K6</v>
      </c>
      <c r="S7" s="4" t="s">
        <v>527</v>
      </c>
      <c r="T7" t="s">
        <v>528</v>
      </c>
      <c r="U7" t="str">
        <f t="shared" si="1"/>
        <v>MICHAEL MCKENNA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42" s="16" customFormat="1" x14ac:dyDescent="0.2">
      <c r="A8" s="4" t="s">
        <v>301</v>
      </c>
      <c r="B8" s="2">
        <v>17528908</v>
      </c>
      <c r="C8" s="4" t="s">
        <v>302</v>
      </c>
      <c r="D8" s="4" t="s">
        <v>303</v>
      </c>
      <c r="E8" s="3">
        <v>45962</v>
      </c>
      <c r="F8" s="4" t="s">
        <v>48</v>
      </c>
      <c r="G8" s="4" t="s">
        <v>50</v>
      </c>
      <c r="H8" s="4" t="s">
        <v>60</v>
      </c>
      <c r="I8" s="5">
        <v>1</v>
      </c>
      <c r="J8" s="5">
        <v>1</v>
      </c>
      <c r="K8" s="5">
        <v>29.41</v>
      </c>
      <c r="L8" s="4" t="s">
        <v>52</v>
      </c>
      <c r="M8" s="3">
        <v>45292</v>
      </c>
      <c r="N8" t="s">
        <v>513</v>
      </c>
      <c r="O8" s="11" t="s">
        <v>516</v>
      </c>
      <c r="P8"/>
      <c r="Q8" s="4" t="s">
        <v>303</v>
      </c>
      <c r="R8" t="str">
        <f t="shared" si="0"/>
        <v>00010536959K6</v>
      </c>
      <c r="S8" s="4" t="s">
        <v>529</v>
      </c>
      <c r="T8" t="s">
        <v>530</v>
      </c>
      <c r="U8" t="str">
        <f t="shared" si="1"/>
        <v>JOCELYN MONACELLI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s="27" customFormat="1" x14ac:dyDescent="0.2">
      <c r="A9" s="4" t="s">
        <v>301</v>
      </c>
      <c r="B9" s="2">
        <v>17528908</v>
      </c>
      <c r="C9" s="4" t="s">
        <v>304</v>
      </c>
      <c r="D9" s="4" t="s">
        <v>305</v>
      </c>
      <c r="E9" s="3">
        <v>45962</v>
      </c>
      <c r="F9" s="4" t="s">
        <v>48</v>
      </c>
      <c r="G9" s="4" t="s">
        <v>50</v>
      </c>
      <c r="H9" s="4" t="s">
        <v>60</v>
      </c>
      <c r="I9" s="5">
        <v>1</v>
      </c>
      <c r="J9" s="5">
        <v>1</v>
      </c>
      <c r="K9" s="5">
        <v>29.41</v>
      </c>
      <c r="L9" s="4" t="s">
        <v>52</v>
      </c>
      <c r="M9" s="3">
        <v>45292</v>
      </c>
      <c r="N9" t="s">
        <v>513</v>
      </c>
      <c r="O9" s="11" t="s">
        <v>516</v>
      </c>
      <c r="P9"/>
      <c r="Q9" s="4" t="s">
        <v>305</v>
      </c>
      <c r="R9" t="str">
        <f t="shared" si="0"/>
        <v>00020818326K6</v>
      </c>
      <c r="S9" s="4" t="s">
        <v>531</v>
      </c>
      <c r="T9" t="s">
        <v>522</v>
      </c>
      <c r="U9" t="str">
        <f t="shared" si="1"/>
        <v>ROBERT CLARK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s="27" customFormat="1" x14ac:dyDescent="0.2">
      <c r="A10" s="4" t="s">
        <v>328</v>
      </c>
      <c r="B10" s="2">
        <v>18794740</v>
      </c>
      <c r="C10" s="4" t="s">
        <v>333</v>
      </c>
      <c r="D10" s="4" t="s">
        <v>334</v>
      </c>
      <c r="E10" s="3">
        <v>45962</v>
      </c>
      <c r="F10" s="4" t="s">
        <v>48</v>
      </c>
      <c r="G10" s="4" t="s">
        <v>50</v>
      </c>
      <c r="H10" s="4" t="s">
        <v>60</v>
      </c>
      <c r="I10" s="5">
        <v>1</v>
      </c>
      <c r="J10" s="5">
        <v>1</v>
      </c>
      <c r="K10" s="5">
        <v>29.41</v>
      </c>
      <c r="L10" s="4" t="s">
        <v>52</v>
      </c>
      <c r="M10" s="3">
        <v>45536</v>
      </c>
      <c r="N10" t="s">
        <v>513</v>
      </c>
      <c r="O10" s="11" t="s">
        <v>516</v>
      </c>
      <c r="P10"/>
      <c r="Q10" s="4" t="s">
        <v>334</v>
      </c>
      <c r="R10" t="str">
        <f t="shared" si="0"/>
        <v>00021951591K6</v>
      </c>
      <c r="S10" s="4" t="s">
        <v>532</v>
      </c>
      <c r="T10" t="s">
        <v>533</v>
      </c>
      <c r="U10" t="str">
        <f t="shared" si="1"/>
        <v>RAYMOND HOCK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s="27" customFormat="1" x14ac:dyDescent="0.2">
      <c r="A11" s="4" t="s">
        <v>229</v>
      </c>
      <c r="B11" s="2">
        <v>9079571</v>
      </c>
      <c r="C11" s="4" t="s">
        <v>244</v>
      </c>
      <c r="D11" s="4" t="s">
        <v>245</v>
      </c>
      <c r="E11" s="3">
        <v>45962</v>
      </c>
      <c r="F11" s="4" t="s">
        <v>48</v>
      </c>
      <c r="G11" s="4" t="s">
        <v>50</v>
      </c>
      <c r="H11" s="4" t="s">
        <v>60</v>
      </c>
      <c r="I11" s="5">
        <v>1</v>
      </c>
      <c r="J11" s="5">
        <v>1</v>
      </c>
      <c r="K11" s="5">
        <v>29.41</v>
      </c>
      <c r="L11" s="4" t="s">
        <v>52</v>
      </c>
      <c r="M11" s="3">
        <v>45292</v>
      </c>
      <c r="N11" t="s">
        <v>513</v>
      </c>
      <c r="O11" s="11" t="s">
        <v>516</v>
      </c>
      <c r="P11"/>
      <c r="Q11" s="4" t="s">
        <v>245</v>
      </c>
      <c r="R11" t="str">
        <f t="shared" si="0"/>
        <v>00021044590K6</v>
      </c>
      <c r="S11" s="4" t="s">
        <v>534</v>
      </c>
      <c r="T11" t="s">
        <v>535</v>
      </c>
      <c r="U11" t="str">
        <f t="shared" si="1"/>
        <v>TINA POOLE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s="32" customFormat="1" x14ac:dyDescent="0.2">
      <c r="A12" s="4" t="s">
        <v>415</v>
      </c>
      <c r="B12" s="2">
        <v>8971826</v>
      </c>
      <c r="C12" s="4" t="s">
        <v>416</v>
      </c>
      <c r="D12" s="4" t="s">
        <v>417</v>
      </c>
      <c r="E12" s="3">
        <v>45962</v>
      </c>
      <c r="F12" s="4" t="s">
        <v>48</v>
      </c>
      <c r="G12" s="4" t="s">
        <v>50</v>
      </c>
      <c r="H12" s="4" t="s">
        <v>51</v>
      </c>
      <c r="I12" s="5">
        <v>1</v>
      </c>
      <c r="J12" s="5">
        <v>1</v>
      </c>
      <c r="K12" s="5">
        <v>29.41</v>
      </c>
      <c r="L12" s="4" t="s">
        <v>52</v>
      </c>
      <c r="M12" s="3">
        <v>45292</v>
      </c>
      <c r="N12" t="s">
        <v>513</v>
      </c>
      <c r="O12" s="11" t="s">
        <v>516</v>
      </c>
      <c r="P12"/>
      <c r="Q12" s="4" t="s">
        <v>417</v>
      </c>
      <c r="R12" t="str">
        <f t="shared" si="0"/>
        <v>00021023598K6</v>
      </c>
      <c r="S12" s="4" t="s">
        <v>536</v>
      </c>
      <c r="T12" t="s">
        <v>537</v>
      </c>
      <c r="U12" t="str">
        <f t="shared" si="1"/>
        <v>JAMES MCBRIDE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</row>
    <row r="13" spans="1:42" s="32" customFormat="1" x14ac:dyDescent="0.2">
      <c r="A13" s="4" t="s">
        <v>207</v>
      </c>
      <c r="B13" s="2">
        <v>15278437</v>
      </c>
      <c r="C13" s="4" t="s">
        <v>211</v>
      </c>
      <c r="D13" s="4" t="s">
        <v>212</v>
      </c>
      <c r="E13" s="3">
        <v>45962</v>
      </c>
      <c r="F13" s="4" t="s">
        <v>48</v>
      </c>
      <c r="G13" s="4" t="s">
        <v>50</v>
      </c>
      <c r="H13" s="4" t="s">
        <v>51</v>
      </c>
      <c r="I13" s="5">
        <v>1</v>
      </c>
      <c r="J13" s="5">
        <v>1</v>
      </c>
      <c r="K13" s="5">
        <v>29.41</v>
      </c>
      <c r="L13" s="4" t="s">
        <v>52</v>
      </c>
      <c r="M13" s="3">
        <v>45139</v>
      </c>
      <c r="N13" t="s">
        <v>513</v>
      </c>
      <c r="O13" s="11" t="s">
        <v>516</v>
      </c>
      <c r="P13"/>
      <c r="Q13" s="4" t="s">
        <v>212</v>
      </c>
      <c r="R13" t="str">
        <f t="shared" si="0"/>
        <v>00020570339K6</v>
      </c>
      <c r="S13" s="4" t="s">
        <v>538</v>
      </c>
      <c r="T13" t="s">
        <v>539</v>
      </c>
      <c r="U13" t="str">
        <f t="shared" si="1"/>
        <v>CLAIRE HAUGH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</row>
    <row r="14" spans="1:42" s="32" customFormat="1" x14ac:dyDescent="0.2">
      <c r="A14" s="4" t="s">
        <v>207</v>
      </c>
      <c r="B14" s="2">
        <v>15278437</v>
      </c>
      <c r="C14" s="4" t="s">
        <v>214</v>
      </c>
      <c r="D14" s="4" t="s">
        <v>215</v>
      </c>
      <c r="E14" s="3">
        <v>45962</v>
      </c>
      <c r="F14" s="4" t="s">
        <v>48</v>
      </c>
      <c r="G14" s="4" t="s">
        <v>50</v>
      </c>
      <c r="H14" s="4" t="s">
        <v>51</v>
      </c>
      <c r="I14" s="5">
        <v>1</v>
      </c>
      <c r="J14" s="5">
        <v>1</v>
      </c>
      <c r="K14" s="5">
        <v>29.41</v>
      </c>
      <c r="L14" s="4" t="s">
        <v>52</v>
      </c>
      <c r="M14" s="3">
        <v>45292</v>
      </c>
      <c r="N14" t="s">
        <v>513</v>
      </c>
      <c r="O14" s="11" t="s">
        <v>516</v>
      </c>
      <c r="P14"/>
      <c r="Q14" s="4" t="s">
        <v>215</v>
      </c>
      <c r="R14" t="str">
        <f t="shared" si="0"/>
        <v>00021167294K6</v>
      </c>
      <c r="S14" s="4" t="s">
        <v>540</v>
      </c>
      <c r="T14" t="s">
        <v>541</v>
      </c>
      <c r="U14" t="str">
        <f t="shared" si="1"/>
        <v>THOMAS TAYLOR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</row>
    <row r="15" spans="1:42" s="32" customFormat="1" x14ac:dyDescent="0.2">
      <c r="A15" s="23" t="s">
        <v>301</v>
      </c>
      <c r="B15" s="24">
        <v>17528908</v>
      </c>
      <c r="C15" s="23" t="s">
        <v>459</v>
      </c>
      <c r="D15" s="23" t="s">
        <v>460</v>
      </c>
      <c r="E15" s="25">
        <v>45992</v>
      </c>
      <c r="F15" s="23" t="s">
        <v>58</v>
      </c>
      <c r="G15" s="23" t="s">
        <v>50</v>
      </c>
      <c r="H15" s="23" t="s">
        <v>45</v>
      </c>
      <c r="I15" s="26">
        <v>22</v>
      </c>
      <c r="J15" s="26">
        <v>110.73</v>
      </c>
      <c r="K15" s="26">
        <v>24.36</v>
      </c>
      <c r="L15" s="23" t="s">
        <v>457</v>
      </c>
      <c r="M15" s="25">
        <v>45444</v>
      </c>
      <c r="N15" s="27" t="s">
        <v>509</v>
      </c>
      <c r="O15" s="27"/>
      <c r="P15" s="27"/>
      <c r="Q15" s="23" t="s">
        <v>460</v>
      </c>
      <c r="R15" s="27" t="str">
        <f>CONCATENATE(Q15,8)</f>
        <v>00000828881A8</v>
      </c>
      <c r="S15" s="23" t="s">
        <v>542</v>
      </c>
      <c r="T15" s="27" t="s">
        <v>543</v>
      </c>
      <c r="U15" t="str">
        <f t="shared" si="1"/>
        <v>KAREN CARDOSI</v>
      </c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</row>
    <row r="16" spans="1:42" s="32" customFormat="1" x14ac:dyDescent="0.2">
      <c r="A16" s="23" t="s">
        <v>301</v>
      </c>
      <c r="B16" s="24">
        <v>17528908</v>
      </c>
      <c r="C16" s="23" t="s">
        <v>461</v>
      </c>
      <c r="D16" s="23" t="s">
        <v>462</v>
      </c>
      <c r="E16" s="25">
        <v>45992</v>
      </c>
      <c r="F16" s="23" t="s">
        <v>58</v>
      </c>
      <c r="G16" s="23" t="s">
        <v>50</v>
      </c>
      <c r="H16" s="23" t="s">
        <v>45</v>
      </c>
      <c r="I16" s="26">
        <v>22</v>
      </c>
      <c r="J16" s="26">
        <v>138.55000000000001</v>
      </c>
      <c r="K16" s="26">
        <v>30.48</v>
      </c>
      <c r="L16" s="23" t="s">
        <v>457</v>
      </c>
      <c r="M16" s="25">
        <v>45566</v>
      </c>
      <c r="N16" s="27" t="s">
        <v>509</v>
      </c>
      <c r="O16" s="27"/>
      <c r="P16" s="27"/>
      <c r="Q16" s="23" t="s">
        <v>462</v>
      </c>
      <c r="R16" s="27" t="str">
        <f t="shared" ref="R16:R17" si="2">CONCATENATE(Q16,8)</f>
        <v>00000871454A8</v>
      </c>
      <c r="S16" s="23" t="s">
        <v>544</v>
      </c>
      <c r="T16" s="27" t="s">
        <v>545</v>
      </c>
      <c r="U16" t="str">
        <f t="shared" si="1"/>
        <v>TIMMY BRACE</v>
      </c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</row>
    <row r="17" spans="1:42" x14ac:dyDescent="0.2">
      <c r="A17" s="23" t="s">
        <v>301</v>
      </c>
      <c r="B17" s="24">
        <v>17528908</v>
      </c>
      <c r="C17" s="23" t="s">
        <v>455</v>
      </c>
      <c r="D17" s="23" t="s">
        <v>456</v>
      </c>
      <c r="E17" s="25">
        <v>45992</v>
      </c>
      <c r="F17" s="23" t="s">
        <v>58</v>
      </c>
      <c r="G17" s="23" t="s">
        <v>50</v>
      </c>
      <c r="H17" s="23" t="s">
        <v>45</v>
      </c>
      <c r="I17" s="26">
        <v>26</v>
      </c>
      <c r="J17" s="26">
        <v>307</v>
      </c>
      <c r="K17" s="26">
        <v>79.819999999999993</v>
      </c>
      <c r="L17" s="23" t="s">
        <v>457</v>
      </c>
      <c r="M17" s="25">
        <v>45292</v>
      </c>
      <c r="N17" s="27" t="s">
        <v>508</v>
      </c>
      <c r="O17" s="27"/>
      <c r="P17" s="27"/>
      <c r="Q17" s="23" t="s">
        <v>456</v>
      </c>
      <c r="R17" s="27" t="str">
        <f t="shared" si="2"/>
        <v>00000789641A8</v>
      </c>
      <c r="S17" s="23" t="s">
        <v>546</v>
      </c>
      <c r="T17" s="27" t="s">
        <v>547</v>
      </c>
      <c r="U17" t="str">
        <f t="shared" si="1"/>
        <v>DAVID SCHUBERT</v>
      </c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</row>
    <row r="18" spans="1:42" x14ac:dyDescent="0.2">
      <c r="A18" s="28" t="s">
        <v>344</v>
      </c>
      <c r="B18" s="29">
        <v>5442438</v>
      </c>
      <c r="C18" s="28" t="s">
        <v>501</v>
      </c>
      <c r="D18" s="28" t="s">
        <v>502</v>
      </c>
      <c r="E18" s="30">
        <v>45962</v>
      </c>
      <c r="F18" s="28" t="s">
        <v>48</v>
      </c>
      <c r="G18" s="28" t="s">
        <v>50</v>
      </c>
      <c r="H18" s="28" t="s">
        <v>45</v>
      </c>
      <c r="I18" s="31">
        <v>15</v>
      </c>
      <c r="J18" s="31">
        <v>1571.4</v>
      </c>
      <c r="K18" s="31">
        <v>235.68</v>
      </c>
      <c r="L18" s="28" t="s">
        <v>448</v>
      </c>
      <c r="M18" s="30">
        <v>45962</v>
      </c>
      <c r="N18" s="32" t="s">
        <v>510</v>
      </c>
      <c r="O18" s="32"/>
      <c r="P18" s="32"/>
      <c r="Q18" s="28" t="s">
        <v>502</v>
      </c>
      <c r="R18" s="32" t="str">
        <f>CONCATENATE(Q18,8)</f>
        <v>00001073186A8</v>
      </c>
      <c r="S18" s="28" t="s">
        <v>548</v>
      </c>
      <c r="T18" s="32" t="s">
        <v>549</v>
      </c>
      <c r="U18" t="str">
        <f t="shared" si="1"/>
        <v>DONALD SHAHAN</v>
      </c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</row>
    <row r="19" spans="1:42" x14ac:dyDescent="0.2">
      <c r="A19" s="28" t="s">
        <v>229</v>
      </c>
      <c r="B19" s="29">
        <v>9079571</v>
      </c>
      <c r="C19" s="28" t="s">
        <v>445</v>
      </c>
      <c r="D19" s="28" t="s">
        <v>446</v>
      </c>
      <c r="E19" s="30">
        <v>45962</v>
      </c>
      <c r="F19" s="28" t="s">
        <v>48</v>
      </c>
      <c r="G19" s="28" t="s">
        <v>50</v>
      </c>
      <c r="H19" s="28" t="s">
        <v>45</v>
      </c>
      <c r="I19" s="31">
        <v>15</v>
      </c>
      <c r="J19" s="31">
        <v>1908.12</v>
      </c>
      <c r="K19" s="31">
        <v>286.2</v>
      </c>
      <c r="L19" s="28" t="s">
        <v>448</v>
      </c>
      <c r="M19" s="30">
        <v>45962</v>
      </c>
      <c r="N19" s="32" t="s">
        <v>510</v>
      </c>
      <c r="O19" s="32"/>
      <c r="P19" s="32"/>
      <c r="Q19" s="28" t="s">
        <v>446</v>
      </c>
      <c r="R19" s="32" t="str">
        <f t="shared" ref="R19:R22" si="3">CONCATENATE(Q19,8)</f>
        <v>00001066526A8</v>
      </c>
      <c r="S19" s="28" t="s">
        <v>550</v>
      </c>
      <c r="T19" s="32" t="s">
        <v>551</v>
      </c>
      <c r="U19" t="str">
        <f t="shared" si="1"/>
        <v>TERESA SHIRLEY</v>
      </c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</row>
    <row r="20" spans="1:42" x14ac:dyDescent="0.2">
      <c r="A20" s="28" t="s">
        <v>229</v>
      </c>
      <c r="B20" s="29">
        <v>9079571</v>
      </c>
      <c r="C20" s="28" t="s">
        <v>495</v>
      </c>
      <c r="D20" s="28" t="s">
        <v>496</v>
      </c>
      <c r="E20" s="30">
        <v>45962</v>
      </c>
      <c r="F20" s="28" t="s">
        <v>48</v>
      </c>
      <c r="G20" s="28" t="s">
        <v>50</v>
      </c>
      <c r="H20" s="28" t="s">
        <v>45</v>
      </c>
      <c r="I20" s="31">
        <v>15</v>
      </c>
      <c r="J20" s="31">
        <v>1622.64</v>
      </c>
      <c r="K20" s="31">
        <v>243.36</v>
      </c>
      <c r="L20" s="28" t="s">
        <v>448</v>
      </c>
      <c r="M20" s="30">
        <v>45962</v>
      </c>
      <c r="N20" s="32" t="s">
        <v>510</v>
      </c>
      <c r="O20" s="32"/>
      <c r="P20" s="32"/>
      <c r="Q20" s="28" t="s">
        <v>496</v>
      </c>
      <c r="R20" s="32" t="str">
        <f t="shared" si="3"/>
        <v>00001064452A8</v>
      </c>
      <c r="S20" s="28" t="s">
        <v>552</v>
      </c>
      <c r="T20" s="32" t="s">
        <v>553</v>
      </c>
      <c r="U20" t="str">
        <f t="shared" si="1"/>
        <v>DOROTHY BARNES</v>
      </c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</row>
    <row r="21" spans="1:42" x14ac:dyDescent="0.2">
      <c r="A21" s="28" t="s">
        <v>229</v>
      </c>
      <c r="B21" s="29">
        <v>9079571</v>
      </c>
      <c r="C21" s="28" t="s">
        <v>497</v>
      </c>
      <c r="D21" s="28" t="s">
        <v>498</v>
      </c>
      <c r="E21" s="30">
        <v>45962</v>
      </c>
      <c r="F21" s="28" t="s">
        <v>48</v>
      </c>
      <c r="G21" s="28" t="s">
        <v>50</v>
      </c>
      <c r="H21" s="28" t="s">
        <v>45</v>
      </c>
      <c r="I21" s="31">
        <v>15</v>
      </c>
      <c r="J21" s="31">
        <v>2290.92</v>
      </c>
      <c r="K21" s="31">
        <v>343.68</v>
      </c>
      <c r="L21" s="28" t="s">
        <v>448</v>
      </c>
      <c r="M21" s="30">
        <v>45962</v>
      </c>
      <c r="N21" s="32" t="s">
        <v>510</v>
      </c>
      <c r="O21" s="32"/>
      <c r="P21" s="32"/>
      <c r="Q21" s="28" t="s">
        <v>498</v>
      </c>
      <c r="R21" s="32" t="str">
        <f t="shared" si="3"/>
        <v>00001074875A8</v>
      </c>
      <c r="S21" s="28" t="s">
        <v>554</v>
      </c>
      <c r="T21" s="32" t="s">
        <v>555</v>
      </c>
      <c r="U21" t="str">
        <f t="shared" si="1"/>
        <v>DANIEL STORCH</v>
      </c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</row>
    <row r="22" spans="1:42" x14ac:dyDescent="0.2">
      <c r="A22" s="28" t="s">
        <v>229</v>
      </c>
      <c r="B22" s="29">
        <v>9079571</v>
      </c>
      <c r="C22" s="28" t="s">
        <v>499</v>
      </c>
      <c r="D22" s="28" t="s">
        <v>500</v>
      </c>
      <c r="E22" s="30">
        <v>45962</v>
      </c>
      <c r="F22" s="28" t="s">
        <v>48</v>
      </c>
      <c r="G22" s="28" t="s">
        <v>50</v>
      </c>
      <c r="H22" s="28" t="s">
        <v>45</v>
      </c>
      <c r="I22" s="31">
        <v>15</v>
      </c>
      <c r="J22" s="31">
        <v>2110.08</v>
      </c>
      <c r="K22" s="31">
        <v>316.56</v>
      </c>
      <c r="L22" s="28" t="s">
        <v>448</v>
      </c>
      <c r="M22" s="30">
        <v>45962</v>
      </c>
      <c r="N22" s="32" t="s">
        <v>510</v>
      </c>
      <c r="O22" s="32"/>
      <c r="P22" s="32"/>
      <c r="Q22" s="28" t="s">
        <v>500</v>
      </c>
      <c r="R22" s="32" t="str">
        <f t="shared" si="3"/>
        <v>00001075050A8</v>
      </c>
      <c r="S22" s="28" t="s">
        <v>554</v>
      </c>
      <c r="T22" s="32" t="s">
        <v>556</v>
      </c>
      <c r="U22" t="str">
        <f t="shared" si="1"/>
        <v>NINA STORCH</v>
      </c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</row>
    <row r="23" spans="1:42" x14ac:dyDescent="0.2">
      <c r="A23" s="6" t="s">
        <v>177</v>
      </c>
      <c r="B23" s="7">
        <v>7146581</v>
      </c>
      <c r="C23" s="6" t="s">
        <v>434</v>
      </c>
      <c r="D23" s="6" t="s">
        <v>435</v>
      </c>
      <c r="E23" s="8">
        <v>45992</v>
      </c>
      <c r="F23" s="6" t="s">
        <v>58</v>
      </c>
      <c r="G23" s="6" t="s">
        <v>436</v>
      </c>
      <c r="H23" s="6" t="s">
        <v>45</v>
      </c>
      <c r="I23" s="9">
        <v>10</v>
      </c>
      <c r="J23" s="9">
        <v>21.54</v>
      </c>
      <c r="K23" s="9">
        <v>2.15</v>
      </c>
      <c r="L23" s="6" t="s">
        <v>428</v>
      </c>
      <c r="M23" s="8">
        <v>40969</v>
      </c>
      <c r="N23" s="10" t="s">
        <v>505</v>
      </c>
      <c r="O23" s="10"/>
      <c r="P23" s="10"/>
      <c r="Q23" s="33">
        <v>9007573590</v>
      </c>
      <c r="R23" s="10" t="str">
        <f>CONCATENATE(Q23,4)</f>
        <v>90075735904</v>
      </c>
      <c r="S23" s="6" t="s">
        <v>557</v>
      </c>
      <c r="T23" s="10" t="s">
        <v>558</v>
      </c>
      <c r="U23" t="str">
        <f t="shared" si="1"/>
        <v>Amy Kisner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x14ac:dyDescent="0.2">
      <c r="A24" s="6" t="s">
        <v>177</v>
      </c>
      <c r="B24" s="7">
        <v>7146581</v>
      </c>
      <c r="C24" s="6" t="s">
        <v>437</v>
      </c>
      <c r="D24" s="6" t="s">
        <v>438</v>
      </c>
      <c r="E24" s="8">
        <v>45992</v>
      </c>
      <c r="F24" s="6" t="s">
        <v>58</v>
      </c>
      <c r="G24" s="6" t="s">
        <v>436</v>
      </c>
      <c r="H24" s="6" t="s">
        <v>45</v>
      </c>
      <c r="I24" s="9">
        <v>10</v>
      </c>
      <c r="J24" s="9">
        <v>43.09</v>
      </c>
      <c r="K24" s="9">
        <v>4.3099999999999996</v>
      </c>
      <c r="L24" s="6" t="s">
        <v>428</v>
      </c>
      <c r="M24" s="8">
        <v>40969</v>
      </c>
      <c r="N24" s="10" t="s">
        <v>505</v>
      </c>
      <c r="O24" s="10"/>
      <c r="P24" s="10"/>
      <c r="Q24" s="33">
        <v>9007596540</v>
      </c>
      <c r="R24" s="10" t="str">
        <f t="shared" ref="R24:R35" si="4">CONCATENATE(Q24,4)</f>
        <v>90075965404</v>
      </c>
      <c r="S24" s="6" t="s">
        <v>559</v>
      </c>
      <c r="T24" s="10" t="s">
        <v>560</v>
      </c>
      <c r="U24" t="str">
        <f t="shared" si="1"/>
        <v>Jerry Grychowski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x14ac:dyDescent="0.2">
      <c r="A25" s="6" t="s">
        <v>489</v>
      </c>
      <c r="B25" s="7">
        <v>19278370</v>
      </c>
      <c r="C25" s="6" t="s">
        <v>490</v>
      </c>
      <c r="D25" s="6" t="s">
        <v>492</v>
      </c>
      <c r="E25" s="8">
        <v>45992</v>
      </c>
      <c r="F25" s="6" t="s">
        <v>58</v>
      </c>
      <c r="G25" s="6" t="s">
        <v>436</v>
      </c>
      <c r="H25" s="6" t="s">
        <v>45</v>
      </c>
      <c r="I25" s="9">
        <v>10</v>
      </c>
      <c r="J25" s="9">
        <v>108.97</v>
      </c>
      <c r="K25" s="9">
        <v>10.9</v>
      </c>
      <c r="L25" s="6" t="s">
        <v>443</v>
      </c>
      <c r="M25" s="8">
        <v>45902</v>
      </c>
      <c r="N25" s="10" t="s">
        <v>505</v>
      </c>
      <c r="O25" s="10"/>
      <c r="P25" s="10"/>
      <c r="Q25" s="33">
        <v>9031083620</v>
      </c>
      <c r="R25" s="10" t="str">
        <f t="shared" si="4"/>
        <v>90310836204</v>
      </c>
      <c r="S25" s="6" t="s">
        <v>561</v>
      </c>
      <c r="T25" s="10" t="s">
        <v>562</v>
      </c>
      <c r="U25" t="str">
        <f t="shared" si="1"/>
        <v>Devon Swasey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x14ac:dyDescent="0.2">
      <c r="A26" s="6" t="s">
        <v>220</v>
      </c>
      <c r="B26" s="7">
        <v>8325282</v>
      </c>
      <c r="C26" s="6" t="s">
        <v>441</v>
      </c>
      <c r="D26" s="6" t="s">
        <v>442</v>
      </c>
      <c r="E26" s="8">
        <v>45992</v>
      </c>
      <c r="F26" s="6" t="s">
        <v>58</v>
      </c>
      <c r="G26" s="6" t="s">
        <v>436</v>
      </c>
      <c r="H26" s="6" t="s">
        <v>45</v>
      </c>
      <c r="I26" s="9">
        <v>10</v>
      </c>
      <c r="J26" s="9">
        <v>35.93</v>
      </c>
      <c r="K26" s="9">
        <v>3.59</v>
      </c>
      <c r="L26" s="6" t="s">
        <v>443</v>
      </c>
      <c r="M26" s="8">
        <v>45894</v>
      </c>
      <c r="N26" s="10" t="s">
        <v>505</v>
      </c>
      <c r="O26" s="10"/>
      <c r="P26" s="10"/>
      <c r="Q26" s="33">
        <v>9031030720</v>
      </c>
      <c r="R26" s="10" t="str">
        <f t="shared" si="4"/>
        <v>90310307204</v>
      </c>
      <c r="S26" s="6" t="s">
        <v>563</v>
      </c>
      <c r="T26" s="10" t="s">
        <v>564</v>
      </c>
      <c r="U26" t="str">
        <f t="shared" si="1"/>
        <v>Chole Holmes</v>
      </c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x14ac:dyDescent="0.2">
      <c r="A27" s="6" t="s">
        <v>422</v>
      </c>
      <c r="B27" s="7">
        <v>8244481</v>
      </c>
      <c r="C27" s="6" t="s">
        <v>423</v>
      </c>
      <c r="D27" s="6" t="s">
        <v>424</v>
      </c>
      <c r="E27" s="8">
        <v>45992</v>
      </c>
      <c r="F27" s="6" t="s">
        <v>58</v>
      </c>
      <c r="G27" s="6" t="s">
        <v>427</v>
      </c>
      <c r="H27" s="6" t="s">
        <v>45</v>
      </c>
      <c r="I27" s="9">
        <v>10</v>
      </c>
      <c r="J27" s="9">
        <v>178.16</v>
      </c>
      <c r="K27" s="9">
        <v>17.82</v>
      </c>
      <c r="L27" s="6" t="s">
        <v>428</v>
      </c>
      <c r="M27" s="8">
        <v>45272</v>
      </c>
      <c r="N27" s="10" t="s">
        <v>505</v>
      </c>
      <c r="O27" s="10"/>
      <c r="P27" s="10"/>
      <c r="Q27" s="33">
        <v>9028188240</v>
      </c>
      <c r="R27" s="10" t="str">
        <f t="shared" si="4"/>
        <v>90281882404</v>
      </c>
      <c r="S27" s="6" t="s">
        <v>565</v>
      </c>
      <c r="T27" s="10" t="s">
        <v>566</v>
      </c>
      <c r="U27" t="str">
        <f t="shared" si="1"/>
        <v>Lance Golliday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x14ac:dyDescent="0.2">
      <c r="A28" s="6" t="s">
        <v>422</v>
      </c>
      <c r="B28" s="7">
        <v>8244481</v>
      </c>
      <c r="C28" s="6" t="s">
        <v>430</v>
      </c>
      <c r="D28" s="6" t="s">
        <v>431</v>
      </c>
      <c r="E28" s="8">
        <v>45992</v>
      </c>
      <c r="F28" s="6" t="s">
        <v>58</v>
      </c>
      <c r="G28" s="6" t="s">
        <v>427</v>
      </c>
      <c r="H28" s="6" t="s">
        <v>45</v>
      </c>
      <c r="I28" s="9">
        <v>10</v>
      </c>
      <c r="J28" s="9">
        <v>26.88</v>
      </c>
      <c r="K28" s="9">
        <v>2.69</v>
      </c>
      <c r="L28" s="6" t="s">
        <v>428</v>
      </c>
      <c r="M28" s="8">
        <v>45276</v>
      </c>
      <c r="N28" s="10" t="s">
        <v>505</v>
      </c>
      <c r="O28" s="10"/>
      <c r="P28" s="10"/>
      <c r="Q28" s="33">
        <v>9028205190</v>
      </c>
      <c r="R28" s="10" t="str">
        <f t="shared" si="4"/>
        <v>90282051904</v>
      </c>
      <c r="S28" s="6" t="s">
        <v>567</v>
      </c>
      <c r="T28" s="10" t="s">
        <v>568</v>
      </c>
      <c r="U28" t="str">
        <f t="shared" si="1"/>
        <v>Joseph Elliott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x14ac:dyDescent="0.2">
      <c r="A29" s="6" t="s">
        <v>422</v>
      </c>
      <c r="B29" s="7">
        <v>8244481</v>
      </c>
      <c r="C29" s="6" t="s">
        <v>432</v>
      </c>
      <c r="D29" s="6" t="s">
        <v>433</v>
      </c>
      <c r="E29" s="8">
        <v>45992</v>
      </c>
      <c r="F29" s="6" t="s">
        <v>58</v>
      </c>
      <c r="G29" s="6" t="s">
        <v>427</v>
      </c>
      <c r="H29" s="6" t="s">
        <v>45</v>
      </c>
      <c r="I29" s="9">
        <v>10</v>
      </c>
      <c r="J29" s="9">
        <v>26.88</v>
      </c>
      <c r="K29" s="9">
        <v>2.69</v>
      </c>
      <c r="L29" s="6" t="s">
        <v>428</v>
      </c>
      <c r="M29" s="8">
        <v>45307</v>
      </c>
      <c r="N29" s="10" t="s">
        <v>505</v>
      </c>
      <c r="O29" s="10"/>
      <c r="P29" s="10"/>
      <c r="Q29" s="33">
        <v>9028352660</v>
      </c>
      <c r="R29" s="10" t="str">
        <f t="shared" si="4"/>
        <v>90283526604</v>
      </c>
      <c r="S29" s="6" t="s">
        <v>569</v>
      </c>
      <c r="T29" s="10" t="s">
        <v>570</v>
      </c>
      <c r="U29" t="str">
        <f t="shared" si="1"/>
        <v>Andrew Patton</v>
      </c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x14ac:dyDescent="0.2">
      <c r="A30" s="6" t="s">
        <v>398</v>
      </c>
      <c r="B30" s="7">
        <v>18828278</v>
      </c>
      <c r="C30" s="6" t="s">
        <v>484</v>
      </c>
      <c r="D30" s="6" t="s">
        <v>485</v>
      </c>
      <c r="E30" s="8">
        <v>45962</v>
      </c>
      <c r="F30" s="6" t="s">
        <v>48</v>
      </c>
      <c r="G30" s="6" t="s">
        <v>427</v>
      </c>
      <c r="H30" s="6" t="s">
        <v>45</v>
      </c>
      <c r="I30" s="9">
        <v>10</v>
      </c>
      <c r="J30" s="9">
        <v>364.9</v>
      </c>
      <c r="K30" s="9">
        <v>36.49</v>
      </c>
      <c r="L30" s="6" t="s">
        <v>443</v>
      </c>
      <c r="M30" s="8">
        <v>45978</v>
      </c>
      <c r="N30" s="10" t="s">
        <v>505</v>
      </c>
      <c r="O30" s="10"/>
      <c r="P30" s="10"/>
      <c r="Q30" s="33">
        <v>9031431760</v>
      </c>
      <c r="R30" s="10" t="str">
        <f t="shared" si="4"/>
        <v>90314317604</v>
      </c>
      <c r="S30" s="6" t="s">
        <v>571</v>
      </c>
      <c r="T30" s="10" t="s">
        <v>572</v>
      </c>
      <c r="U30" t="str">
        <f t="shared" si="1"/>
        <v>Cynthia Freed</v>
      </c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x14ac:dyDescent="0.2">
      <c r="A31" s="6" t="s">
        <v>398</v>
      </c>
      <c r="B31" s="7">
        <v>18828278</v>
      </c>
      <c r="C31" s="6" t="s">
        <v>486</v>
      </c>
      <c r="D31" s="6" t="s">
        <v>487</v>
      </c>
      <c r="E31" s="8">
        <v>46023</v>
      </c>
      <c r="F31" s="6" t="s">
        <v>488</v>
      </c>
      <c r="G31" s="6" t="s">
        <v>427</v>
      </c>
      <c r="H31" s="6" t="s">
        <v>45</v>
      </c>
      <c r="I31" s="9">
        <v>10</v>
      </c>
      <c r="J31" s="9">
        <v>364.9</v>
      </c>
      <c r="K31" s="9">
        <v>36.49</v>
      </c>
      <c r="L31" s="6" t="s">
        <v>443</v>
      </c>
      <c r="M31" s="8">
        <v>46023</v>
      </c>
      <c r="N31" s="10" t="s">
        <v>505</v>
      </c>
      <c r="O31" s="10"/>
      <c r="P31" s="10"/>
      <c r="Q31" s="33">
        <v>9031456350</v>
      </c>
      <c r="R31" s="10" t="str">
        <f t="shared" si="4"/>
        <v>90314563504</v>
      </c>
      <c r="S31" s="6" t="s">
        <v>573</v>
      </c>
      <c r="T31" s="10" t="s">
        <v>574</v>
      </c>
      <c r="U31" t="str">
        <f t="shared" si="1"/>
        <v>Paulette Moody</v>
      </c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x14ac:dyDescent="0.2">
      <c r="A32" s="6" t="s">
        <v>207</v>
      </c>
      <c r="B32" s="7">
        <v>15278437</v>
      </c>
      <c r="C32" s="6" t="s">
        <v>439</v>
      </c>
      <c r="D32" s="6" t="s">
        <v>440</v>
      </c>
      <c r="E32" s="8">
        <v>45992</v>
      </c>
      <c r="F32" s="6" t="s">
        <v>58</v>
      </c>
      <c r="G32" s="6" t="s">
        <v>427</v>
      </c>
      <c r="H32" s="6" t="s">
        <v>45</v>
      </c>
      <c r="I32" s="9">
        <v>10</v>
      </c>
      <c r="J32" s="9">
        <v>12.99</v>
      </c>
      <c r="K32" s="9">
        <v>1.3</v>
      </c>
      <c r="L32" s="6" t="s">
        <v>428</v>
      </c>
      <c r="M32" s="8">
        <v>45371</v>
      </c>
      <c r="N32" s="10" t="s">
        <v>505</v>
      </c>
      <c r="O32" s="10"/>
      <c r="P32" s="10"/>
      <c r="Q32" s="33">
        <v>654656220</v>
      </c>
      <c r="R32" s="10" t="str">
        <f t="shared" si="4"/>
        <v>6546562204</v>
      </c>
      <c r="S32" s="6" t="s">
        <v>575</v>
      </c>
      <c r="T32" s="10" t="s">
        <v>576</v>
      </c>
      <c r="U32" t="str">
        <f t="shared" si="1"/>
        <v>Elliot Gerber</v>
      </c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x14ac:dyDescent="0.2">
      <c r="A33" s="6" t="s">
        <v>301</v>
      </c>
      <c r="B33" s="22" t="s">
        <v>503</v>
      </c>
      <c r="C33" s="6" t="s">
        <v>463</v>
      </c>
      <c r="D33" s="6" t="s">
        <v>464</v>
      </c>
      <c r="E33" s="8">
        <v>45992</v>
      </c>
      <c r="F33" s="6" t="s">
        <v>58</v>
      </c>
      <c r="G33" s="6" t="s">
        <v>427</v>
      </c>
      <c r="H33" s="6" t="s">
        <v>45</v>
      </c>
      <c r="I33" s="9">
        <v>10</v>
      </c>
      <c r="J33" s="9">
        <v>23.99</v>
      </c>
      <c r="K33" s="9">
        <v>2.4</v>
      </c>
      <c r="L33" s="6" t="s">
        <v>443</v>
      </c>
      <c r="M33" s="8">
        <v>45870</v>
      </c>
      <c r="N33" s="10" t="s">
        <v>505</v>
      </c>
      <c r="O33" s="10"/>
      <c r="P33" s="10"/>
      <c r="Q33" s="33">
        <v>9030804870</v>
      </c>
      <c r="R33" s="10" t="str">
        <f t="shared" si="4"/>
        <v>90308048704</v>
      </c>
      <c r="S33" s="6" t="s">
        <v>577</v>
      </c>
      <c r="T33" s="10" t="s">
        <v>578</v>
      </c>
      <c r="U33" t="str">
        <f t="shared" si="1"/>
        <v>Penelope Casella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x14ac:dyDescent="0.2">
      <c r="A34" s="6" t="s">
        <v>489</v>
      </c>
      <c r="B34" s="7">
        <v>19278370</v>
      </c>
      <c r="C34" s="6" t="s">
        <v>490</v>
      </c>
      <c r="D34" s="6" t="s">
        <v>491</v>
      </c>
      <c r="E34" s="8">
        <v>45992</v>
      </c>
      <c r="F34" s="6" t="s">
        <v>58</v>
      </c>
      <c r="G34" s="6" t="s">
        <v>427</v>
      </c>
      <c r="H34" s="6" t="s">
        <v>45</v>
      </c>
      <c r="I34" s="9">
        <v>10</v>
      </c>
      <c r="J34" s="9">
        <v>23.99</v>
      </c>
      <c r="K34" s="9">
        <v>2.4</v>
      </c>
      <c r="L34" s="6" t="s">
        <v>443</v>
      </c>
      <c r="M34" s="8">
        <v>45902</v>
      </c>
      <c r="N34" s="10" t="s">
        <v>505</v>
      </c>
      <c r="O34" s="10"/>
      <c r="P34" s="10"/>
      <c r="Q34" s="33">
        <v>9031083070</v>
      </c>
      <c r="R34" s="10" t="str">
        <f t="shared" si="4"/>
        <v>90310830704</v>
      </c>
      <c r="S34" s="6" t="s">
        <v>561</v>
      </c>
      <c r="T34" s="10" t="s">
        <v>562</v>
      </c>
      <c r="U34" t="str">
        <f t="shared" si="1"/>
        <v>Devon Swasey</v>
      </c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x14ac:dyDescent="0.2">
      <c r="A35" s="6" t="s">
        <v>465</v>
      </c>
      <c r="B35" s="22" t="s">
        <v>504</v>
      </c>
      <c r="C35" s="6" t="s">
        <v>466</v>
      </c>
      <c r="D35" s="6" t="s">
        <v>467</v>
      </c>
      <c r="E35" s="8">
        <v>45992</v>
      </c>
      <c r="F35" s="6" t="s">
        <v>58</v>
      </c>
      <c r="G35" s="6" t="s">
        <v>427</v>
      </c>
      <c r="H35" s="6" t="s">
        <v>45</v>
      </c>
      <c r="I35" s="9">
        <v>10</v>
      </c>
      <c r="J35" s="9">
        <v>12.99</v>
      </c>
      <c r="K35" s="9">
        <v>1.3</v>
      </c>
      <c r="L35" s="6" t="s">
        <v>443</v>
      </c>
      <c r="M35" s="8">
        <v>45748</v>
      </c>
      <c r="N35" s="10" t="s">
        <v>505</v>
      </c>
      <c r="O35" s="10"/>
      <c r="P35" s="10"/>
      <c r="Q35" s="33">
        <v>9030250530</v>
      </c>
      <c r="R35" s="10" t="str">
        <f t="shared" si="4"/>
        <v>90302505304</v>
      </c>
      <c r="S35" s="6" t="s">
        <v>579</v>
      </c>
      <c r="T35" s="10" t="s">
        <v>580</v>
      </c>
      <c r="U35" t="str">
        <f t="shared" si="1"/>
        <v>Kayla Miller</v>
      </c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x14ac:dyDescent="0.2">
      <c r="A36" s="6" t="s">
        <v>328</v>
      </c>
      <c r="B36" s="7">
        <v>18794740</v>
      </c>
      <c r="C36" s="6" t="s">
        <v>480</v>
      </c>
      <c r="D36" s="6" t="s">
        <v>481</v>
      </c>
      <c r="E36" s="8">
        <v>45992</v>
      </c>
      <c r="F36" s="6" t="s">
        <v>58</v>
      </c>
      <c r="G36" s="6" t="s">
        <v>436</v>
      </c>
      <c r="H36" s="6" t="s">
        <v>45</v>
      </c>
      <c r="I36" s="9">
        <v>15</v>
      </c>
      <c r="J36" s="9">
        <v>53.99</v>
      </c>
      <c r="K36" s="9">
        <v>43.1</v>
      </c>
      <c r="L36" s="6" t="s">
        <v>443</v>
      </c>
      <c r="M36" s="8">
        <v>45992</v>
      </c>
      <c r="N36" s="10" t="s">
        <v>506</v>
      </c>
      <c r="O36" s="10"/>
      <c r="P36" s="10"/>
      <c r="Q36" s="33">
        <v>9031291620</v>
      </c>
      <c r="R36" s="10" t="str">
        <f>CONCATENATE(Q36,2)</f>
        <v>90312916202</v>
      </c>
      <c r="S36" s="6" t="s">
        <v>581</v>
      </c>
      <c r="T36" s="10" t="s">
        <v>582</v>
      </c>
      <c r="U36" t="str">
        <f t="shared" si="1"/>
        <v>David Kershner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x14ac:dyDescent="0.2">
      <c r="A37" s="6" t="s">
        <v>398</v>
      </c>
      <c r="B37" s="7">
        <v>18828278</v>
      </c>
      <c r="C37" s="6" t="s">
        <v>482</v>
      </c>
      <c r="D37" s="6" t="s">
        <v>483</v>
      </c>
      <c r="E37" s="8">
        <v>45992</v>
      </c>
      <c r="F37" s="6" t="s">
        <v>58</v>
      </c>
      <c r="G37" s="6" t="s">
        <v>427</v>
      </c>
      <c r="H37" s="6" t="s">
        <v>45</v>
      </c>
      <c r="I37" s="9">
        <v>15</v>
      </c>
      <c r="J37" s="9">
        <v>14.93</v>
      </c>
      <c r="K37" s="9">
        <v>2.2400000000000002</v>
      </c>
      <c r="L37" s="6" t="s">
        <v>443</v>
      </c>
      <c r="M37" s="8">
        <v>45962</v>
      </c>
      <c r="N37" s="10" t="s">
        <v>506</v>
      </c>
      <c r="O37" s="10"/>
      <c r="P37" s="10"/>
      <c r="Q37" s="33">
        <v>9031221000</v>
      </c>
      <c r="R37" s="10" t="str">
        <f t="shared" ref="R37:R43" si="5">CONCATENATE(Q37,2)</f>
        <v>90312210002</v>
      </c>
      <c r="S37" s="6" t="s">
        <v>583</v>
      </c>
      <c r="T37" s="10" t="s">
        <v>584</v>
      </c>
      <c r="U37" t="str">
        <f t="shared" si="1"/>
        <v>Sydney Shumaker</v>
      </c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x14ac:dyDescent="0.2">
      <c r="A38" s="6" t="s">
        <v>465</v>
      </c>
      <c r="B38" s="22" t="s">
        <v>504</v>
      </c>
      <c r="C38" s="6" t="s">
        <v>468</v>
      </c>
      <c r="D38" s="6" t="s">
        <v>469</v>
      </c>
      <c r="E38" s="8">
        <v>45992</v>
      </c>
      <c r="F38" s="6" t="s">
        <v>58</v>
      </c>
      <c r="G38" s="6" t="s">
        <v>427</v>
      </c>
      <c r="H38" s="6" t="s">
        <v>45</v>
      </c>
      <c r="I38" s="9">
        <v>15</v>
      </c>
      <c r="J38" s="9">
        <v>12.99</v>
      </c>
      <c r="K38" s="9">
        <v>1.95</v>
      </c>
      <c r="L38" s="6" t="s">
        <v>443</v>
      </c>
      <c r="M38" s="8">
        <v>45945</v>
      </c>
      <c r="N38" s="10" t="s">
        <v>506</v>
      </c>
      <c r="O38" s="10"/>
      <c r="P38" s="10"/>
      <c r="Q38" s="33">
        <v>9031265700</v>
      </c>
      <c r="R38" s="10" t="str">
        <f t="shared" si="5"/>
        <v>90312657002</v>
      </c>
      <c r="S38" s="6" t="s">
        <v>585</v>
      </c>
      <c r="T38" s="10" t="s">
        <v>586</v>
      </c>
      <c r="U38" t="str">
        <f t="shared" si="1"/>
        <v>Edward Sloan</v>
      </c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x14ac:dyDescent="0.2">
      <c r="A39" s="6" t="s">
        <v>465</v>
      </c>
      <c r="B39" s="22" t="s">
        <v>504</v>
      </c>
      <c r="C39" s="6" t="s">
        <v>470</v>
      </c>
      <c r="D39" s="6" t="s">
        <v>471</v>
      </c>
      <c r="E39" s="8">
        <v>45992</v>
      </c>
      <c r="F39" s="6" t="s">
        <v>58</v>
      </c>
      <c r="G39" s="6" t="s">
        <v>427</v>
      </c>
      <c r="H39" s="6" t="s">
        <v>45</v>
      </c>
      <c r="I39" s="9">
        <v>15</v>
      </c>
      <c r="J39" s="9">
        <v>12.99</v>
      </c>
      <c r="K39" s="9">
        <v>1.95</v>
      </c>
      <c r="L39" s="6" t="s">
        <v>443</v>
      </c>
      <c r="M39" s="8">
        <v>45962</v>
      </c>
      <c r="N39" s="10" t="s">
        <v>506</v>
      </c>
      <c r="O39" s="10"/>
      <c r="P39" s="10"/>
      <c r="Q39" s="33">
        <v>9031321440</v>
      </c>
      <c r="R39" s="10" t="str">
        <f t="shared" si="5"/>
        <v>90313214402</v>
      </c>
      <c r="S39" s="6" t="s">
        <v>587</v>
      </c>
      <c r="T39" s="10" t="s">
        <v>588</v>
      </c>
      <c r="U39" t="str">
        <f t="shared" si="1"/>
        <v>Gavin Schreck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x14ac:dyDescent="0.2">
      <c r="A40" s="6" t="s">
        <v>465</v>
      </c>
      <c r="B40" s="22" t="s">
        <v>504</v>
      </c>
      <c r="C40" s="6" t="s">
        <v>472</v>
      </c>
      <c r="D40" s="6" t="s">
        <v>473</v>
      </c>
      <c r="E40" s="8">
        <v>45992</v>
      </c>
      <c r="F40" s="6" t="s">
        <v>58</v>
      </c>
      <c r="G40" s="6" t="s">
        <v>427</v>
      </c>
      <c r="H40" s="6" t="s">
        <v>45</v>
      </c>
      <c r="I40" s="9">
        <v>15</v>
      </c>
      <c r="J40" s="9">
        <v>23.99</v>
      </c>
      <c r="K40" s="9">
        <v>3.6</v>
      </c>
      <c r="L40" s="6" t="s">
        <v>443</v>
      </c>
      <c r="M40" s="8">
        <v>45962</v>
      </c>
      <c r="N40" s="10" t="s">
        <v>506</v>
      </c>
      <c r="O40" s="10"/>
      <c r="P40" s="10"/>
      <c r="Q40" s="33">
        <v>9031321470</v>
      </c>
      <c r="R40" s="10" t="str">
        <f t="shared" si="5"/>
        <v>90313214702</v>
      </c>
      <c r="S40" s="6" t="s">
        <v>589</v>
      </c>
      <c r="T40" s="10" t="s">
        <v>590</v>
      </c>
      <c r="U40" t="str">
        <f t="shared" si="1"/>
        <v>Vinchenzo Volpe</v>
      </c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x14ac:dyDescent="0.2">
      <c r="A41" s="6" t="s">
        <v>465</v>
      </c>
      <c r="B41" s="22" t="s">
        <v>504</v>
      </c>
      <c r="C41" s="6" t="s">
        <v>474</v>
      </c>
      <c r="D41" s="6" t="s">
        <v>475</v>
      </c>
      <c r="E41" s="8">
        <v>45992</v>
      </c>
      <c r="F41" s="6" t="s">
        <v>58</v>
      </c>
      <c r="G41" s="6" t="s">
        <v>427</v>
      </c>
      <c r="H41" s="6" t="s">
        <v>45</v>
      </c>
      <c r="I41" s="9">
        <v>15</v>
      </c>
      <c r="J41" s="9">
        <v>23.99</v>
      </c>
      <c r="K41" s="9">
        <v>3.6</v>
      </c>
      <c r="L41" s="6" t="s">
        <v>443</v>
      </c>
      <c r="M41" s="8">
        <v>45962</v>
      </c>
      <c r="N41" s="10" t="s">
        <v>506</v>
      </c>
      <c r="O41" s="10"/>
      <c r="P41" s="10"/>
      <c r="Q41" s="33">
        <v>9031321500</v>
      </c>
      <c r="R41" s="10" t="str">
        <f t="shared" si="5"/>
        <v>90313215002</v>
      </c>
      <c r="S41" s="6" t="s">
        <v>591</v>
      </c>
      <c r="T41" s="10" t="s">
        <v>592</v>
      </c>
      <c r="U41" t="str">
        <f t="shared" si="1"/>
        <v>Terry Snead</v>
      </c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x14ac:dyDescent="0.2">
      <c r="A42" s="6" t="s">
        <v>465</v>
      </c>
      <c r="B42" s="22" t="s">
        <v>504</v>
      </c>
      <c r="C42" s="6" t="s">
        <v>476</v>
      </c>
      <c r="D42" s="6" t="s">
        <v>477</v>
      </c>
      <c r="E42" s="8">
        <v>45992</v>
      </c>
      <c r="F42" s="6" t="s">
        <v>58</v>
      </c>
      <c r="G42" s="6" t="s">
        <v>427</v>
      </c>
      <c r="H42" s="6" t="s">
        <v>45</v>
      </c>
      <c r="I42" s="9">
        <v>15</v>
      </c>
      <c r="J42" s="9">
        <v>36.99</v>
      </c>
      <c r="K42" s="9">
        <v>5.55</v>
      </c>
      <c r="L42" s="6" t="s">
        <v>443</v>
      </c>
      <c r="M42" s="8">
        <v>45962</v>
      </c>
      <c r="N42" s="10" t="s">
        <v>506</v>
      </c>
      <c r="O42" s="10"/>
      <c r="P42" s="10"/>
      <c r="Q42" s="33">
        <v>9031321550</v>
      </c>
      <c r="R42" s="10" t="str">
        <f t="shared" si="5"/>
        <v>90313215502</v>
      </c>
      <c r="S42" s="6" t="s">
        <v>593</v>
      </c>
      <c r="T42" s="10" t="s">
        <v>594</v>
      </c>
      <c r="U42" t="str">
        <f t="shared" si="1"/>
        <v>Robert Schroeder</v>
      </c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x14ac:dyDescent="0.2">
      <c r="A43" s="6" t="s">
        <v>465</v>
      </c>
      <c r="B43" s="22" t="s">
        <v>504</v>
      </c>
      <c r="C43" s="6" t="s">
        <v>478</v>
      </c>
      <c r="D43" s="6" t="s">
        <v>479</v>
      </c>
      <c r="E43" s="8">
        <v>45992</v>
      </c>
      <c r="F43" s="6" t="s">
        <v>58</v>
      </c>
      <c r="G43" s="6" t="s">
        <v>427</v>
      </c>
      <c r="H43" s="6" t="s">
        <v>45</v>
      </c>
      <c r="I43" s="9">
        <v>15</v>
      </c>
      <c r="J43" s="9">
        <v>11.7</v>
      </c>
      <c r="K43" s="9">
        <v>1.76</v>
      </c>
      <c r="L43" s="6" t="s">
        <v>443</v>
      </c>
      <c r="M43" s="8">
        <v>45965</v>
      </c>
      <c r="N43" s="10" t="s">
        <v>506</v>
      </c>
      <c r="O43" s="10"/>
      <c r="P43" s="10"/>
      <c r="Q43" s="33">
        <v>9031367280</v>
      </c>
      <c r="R43" s="10" t="str">
        <f t="shared" si="5"/>
        <v>90313672802</v>
      </c>
      <c r="S43" s="6" t="s">
        <v>595</v>
      </c>
      <c r="T43" s="10" t="s">
        <v>596</v>
      </c>
      <c r="U43" t="str">
        <f t="shared" si="1"/>
        <v>Brenna Hanley</v>
      </c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x14ac:dyDescent="0.2">
      <c r="A44" s="12" t="s">
        <v>247</v>
      </c>
      <c r="B44" s="13">
        <v>16633294</v>
      </c>
      <c r="C44" s="12" t="s">
        <v>450</v>
      </c>
      <c r="D44" s="12" t="s">
        <v>451</v>
      </c>
      <c r="E44" s="14">
        <v>45931</v>
      </c>
      <c r="F44" s="12" t="s">
        <v>454</v>
      </c>
      <c r="G44" s="12" t="s">
        <v>436</v>
      </c>
      <c r="H44" s="12" t="s">
        <v>45</v>
      </c>
      <c r="I44" s="15">
        <v>10</v>
      </c>
      <c r="J44" s="15">
        <v>-54.31</v>
      </c>
      <c r="K44" s="15">
        <v>-5.43</v>
      </c>
      <c r="L44" s="12" t="s">
        <v>61</v>
      </c>
      <c r="M44" s="14">
        <v>45839</v>
      </c>
      <c r="N44" s="16" t="s">
        <v>507</v>
      </c>
      <c r="O44" s="16"/>
      <c r="P44" s="16"/>
      <c r="Q44" s="34">
        <v>419885</v>
      </c>
      <c r="R44" s="16" t="str">
        <f>CONCATENATE(Q44,7)</f>
        <v>4198857</v>
      </c>
      <c r="S44" s="12" t="s">
        <v>597</v>
      </c>
      <c r="T44" s="16" t="s">
        <v>598</v>
      </c>
      <c r="U44" s="12" t="s">
        <v>450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1:42" x14ac:dyDescent="0.2">
      <c r="A45" s="12" t="s">
        <v>247</v>
      </c>
      <c r="B45" s="13">
        <v>16633294</v>
      </c>
      <c r="C45" s="12" t="s">
        <v>450</v>
      </c>
      <c r="D45" s="12" t="s">
        <v>451</v>
      </c>
      <c r="E45" s="14">
        <v>45962</v>
      </c>
      <c r="F45" s="12" t="s">
        <v>48</v>
      </c>
      <c r="G45" s="12" t="s">
        <v>436</v>
      </c>
      <c r="H45" s="12" t="s">
        <v>45</v>
      </c>
      <c r="I45" s="15">
        <v>10</v>
      </c>
      <c r="J45" s="15">
        <v>-81.48</v>
      </c>
      <c r="K45" s="15">
        <v>-8.15</v>
      </c>
      <c r="L45" s="12" t="s">
        <v>61</v>
      </c>
      <c r="M45" s="14">
        <v>45839</v>
      </c>
      <c r="N45" s="16" t="s">
        <v>507</v>
      </c>
      <c r="O45" s="16"/>
      <c r="P45" s="16"/>
      <c r="Q45" s="34">
        <v>419885</v>
      </c>
      <c r="R45" s="16" t="str">
        <f t="shared" ref="R45:R47" si="6">CONCATENATE(Q45,7)</f>
        <v>4198857</v>
      </c>
      <c r="S45" s="12" t="s">
        <v>597</v>
      </c>
      <c r="T45" s="16" t="s">
        <v>598</v>
      </c>
      <c r="U45" s="12" t="s">
        <v>450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spans="1:42" x14ac:dyDescent="0.2">
      <c r="A46" s="12" t="s">
        <v>247</v>
      </c>
      <c r="B46" s="13">
        <v>16633294</v>
      </c>
      <c r="C46" s="12" t="s">
        <v>450</v>
      </c>
      <c r="D46" s="12" t="s">
        <v>451</v>
      </c>
      <c r="E46" s="14">
        <v>45931</v>
      </c>
      <c r="F46" s="12" t="s">
        <v>454</v>
      </c>
      <c r="G46" s="12" t="s">
        <v>427</v>
      </c>
      <c r="H46" s="12" t="s">
        <v>45</v>
      </c>
      <c r="I46" s="15">
        <v>10</v>
      </c>
      <c r="J46" s="15">
        <v>-16.2</v>
      </c>
      <c r="K46" s="15">
        <v>-1.62</v>
      </c>
      <c r="L46" s="12" t="s">
        <v>61</v>
      </c>
      <c r="M46" s="14">
        <v>45839</v>
      </c>
      <c r="N46" s="16" t="s">
        <v>507</v>
      </c>
      <c r="O46" s="16"/>
      <c r="P46" s="16"/>
      <c r="Q46" s="34">
        <v>419885</v>
      </c>
      <c r="R46" s="16" t="str">
        <f t="shared" si="6"/>
        <v>4198857</v>
      </c>
      <c r="S46" s="12" t="s">
        <v>597</v>
      </c>
      <c r="T46" s="16" t="s">
        <v>598</v>
      </c>
      <c r="U46" s="12" t="s">
        <v>450</v>
      </c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spans="1:42" x14ac:dyDescent="0.2">
      <c r="A47" s="12" t="s">
        <v>247</v>
      </c>
      <c r="B47" s="13">
        <v>16633294</v>
      </c>
      <c r="C47" s="12" t="s">
        <v>450</v>
      </c>
      <c r="D47" s="12" t="s">
        <v>451</v>
      </c>
      <c r="E47" s="14">
        <v>45962</v>
      </c>
      <c r="F47" s="12" t="s">
        <v>48</v>
      </c>
      <c r="G47" s="12" t="s">
        <v>427</v>
      </c>
      <c r="H47" s="12" t="s">
        <v>45</v>
      </c>
      <c r="I47" s="15">
        <v>10</v>
      </c>
      <c r="J47" s="15">
        <v>-24.31</v>
      </c>
      <c r="K47" s="15">
        <v>-2.4300000000000002</v>
      </c>
      <c r="L47" s="12" t="s">
        <v>61</v>
      </c>
      <c r="M47" s="14">
        <v>45839</v>
      </c>
      <c r="N47" s="16" t="s">
        <v>507</v>
      </c>
      <c r="O47" s="16"/>
      <c r="P47" s="16"/>
      <c r="Q47" s="34">
        <v>419885</v>
      </c>
      <c r="R47" s="16" t="str">
        <f t="shared" si="6"/>
        <v>4198857</v>
      </c>
      <c r="S47" s="12" t="s">
        <v>597</v>
      </c>
      <c r="T47" s="16" t="s">
        <v>598</v>
      </c>
      <c r="U47" s="12" t="s">
        <v>450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spans="1:42" x14ac:dyDescent="0.2">
      <c r="A48" s="4" t="s">
        <v>347</v>
      </c>
      <c r="B48" s="2">
        <v>19396223</v>
      </c>
      <c r="C48" s="4" t="s">
        <v>352</v>
      </c>
      <c r="D48" s="4" t="s">
        <v>353</v>
      </c>
      <c r="E48" s="3">
        <v>45962</v>
      </c>
      <c r="F48" s="4" t="s">
        <v>48</v>
      </c>
      <c r="G48" s="4" t="s">
        <v>50</v>
      </c>
      <c r="H48" s="4" t="s">
        <v>60</v>
      </c>
      <c r="I48" s="5">
        <v>1</v>
      </c>
      <c r="J48" s="5">
        <v>1</v>
      </c>
      <c r="K48" s="5">
        <v>26.08</v>
      </c>
      <c r="L48" s="4" t="s">
        <v>52</v>
      </c>
      <c r="M48" s="3">
        <v>45597</v>
      </c>
      <c r="N48" t="s">
        <v>512</v>
      </c>
      <c r="O48" s="11" t="s">
        <v>515</v>
      </c>
      <c r="Q48" s="4" t="s">
        <v>353</v>
      </c>
      <c r="R48" t="str">
        <f t="shared" ref="R48:R111" si="7">CONCATENATE(Q48,6)</f>
        <v>00022386017K6</v>
      </c>
      <c r="S48" s="35" t="s">
        <v>831</v>
      </c>
      <c r="T48" t="s">
        <v>599</v>
      </c>
      <c r="U48" t="str">
        <f t="shared" si="1"/>
        <v>KATHY VAN HORN</v>
      </c>
    </row>
    <row r="49" spans="1:21" x14ac:dyDescent="0.2">
      <c r="A49" s="4" t="s">
        <v>80</v>
      </c>
      <c r="B49" s="2">
        <v>7470776</v>
      </c>
      <c r="C49" s="4" t="s">
        <v>81</v>
      </c>
      <c r="D49" s="4" t="s">
        <v>82</v>
      </c>
      <c r="E49" s="3">
        <v>45962</v>
      </c>
      <c r="F49" s="4" t="s">
        <v>48</v>
      </c>
      <c r="G49" s="4" t="s">
        <v>50</v>
      </c>
      <c r="H49" s="4" t="s">
        <v>60</v>
      </c>
      <c r="I49" s="5">
        <v>1</v>
      </c>
      <c r="J49" s="5">
        <v>1</v>
      </c>
      <c r="K49" s="5">
        <v>26.08</v>
      </c>
      <c r="L49" s="4" t="s">
        <v>52</v>
      </c>
      <c r="M49" s="3">
        <v>45627</v>
      </c>
      <c r="N49" t="s">
        <v>512</v>
      </c>
      <c r="O49" s="11" t="s">
        <v>515</v>
      </c>
      <c r="Q49" s="4" t="s">
        <v>82</v>
      </c>
      <c r="R49" t="str">
        <f t="shared" si="7"/>
        <v>00022193283K6</v>
      </c>
      <c r="S49" s="4" t="s">
        <v>600</v>
      </c>
      <c r="T49" t="s">
        <v>601</v>
      </c>
      <c r="U49" t="str">
        <f t="shared" si="1"/>
        <v>JOHN MCGARY</v>
      </c>
    </row>
    <row r="50" spans="1:21" x14ac:dyDescent="0.2">
      <c r="A50" s="4" t="s">
        <v>276</v>
      </c>
      <c r="B50" s="2">
        <v>17126004</v>
      </c>
      <c r="C50" s="4" t="s">
        <v>277</v>
      </c>
      <c r="D50" s="4" t="s">
        <v>278</v>
      </c>
      <c r="E50" s="3">
        <v>45962</v>
      </c>
      <c r="F50" s="4" t="s">
        <v>48</v>
      </c>
      <c r="G50" s="4" t="s">
        <v>50</v>
      </c>
      <c r="H50" s="4" t="s">
        <v>60</v>
      </c>
      <c r="I50" s="5">
        <v>1</v>
      </c>
      <c r="J50" s="5">
        <v>1</v>
      </c>
      <c r="K50" s="5">
        <v>26.08</v>
      </c>
      <c r="L50" s="4" t="s">
        <v>52</v>
      </c>
      <c r="M50" s="3">
        <v>45536</v>
      </c>
      <c r="N50" t="s">
        <v>512</v>
      </c>
      <c r="O50" s="11" t="s">
        <v>515</v>
      </c>
      <c r="Q50" s="4" t="s">
        <v>278</v>
      </c>
      <c r="R50" t="str">
        <f t="shared" si="7"/>
        <v>00016845150K6</v>
      </c>
      <c r="S50" s="35" t="s">
        <v>832</v>
      </c>
      <c r="T50" t="s">
        <v>602</v>
      </c>
      <c r="U50" t="str">
        <f t="shared" si="1"/>
        <v>MARIANNE O BRIEN</v>
      </c>
    </row>
    <row r="51" spans="1:21" x14ac:dyDescent="0.2">
      <c r="A51" s="4" t="s">
        <v>276</v>
      </c>
      <c r="B51" s="2">
        <v>17126004</v>
      </c>
      <c r="C51" s="4" t="s">
        <v>279</v>
      </c>
      <c r="D51" s="4" t="s">
        <v>280</v>
      </c>
      <c r="E51" s="3">
        <v>45962</v>
      </c>
      <c r="F51" s="4" t="s">
        <v>48</v>
      </c>
      <c r="G51" s="4" t="s">
        <v>50</v>
      </c>
      <c r="H51" s="4" t="s">
        <v>60</v>
      </c>
      <c r="I51" s="5">
        <v>1</v>
      </c>
      <c r="J51" s="5">
        <v>1</v>
      </c>
      <c r="K51" s="5">
        <v>26.08</v>
      </c>
      <c r="L51" s="4" t="s">
        <v>52</v>
      </c>
      <c r="M51" s="3">
        <v>45474</v>
      </c>
      <c r="N51" t="s">
        <v>512</v>
      </c>
      <c r="O51" s="11" t="s">
        <v>515</v>
      </c>
      <c r="Q51" s="4" t="s">
        <v>280</v>
      </c>
      <c r="R51" t="str">
        <f t="shared" si="7"/>
        <v>00021892187K6</v>
      </c>
      <c r="S51" s="4" t="s">
        <v>603</v>
      </c>
      <c r="T51" t="s">
        <v>604</v>
      </c>
      <c r="U51" t="str">
        <f t="shared" si="1"/>
        <v>FRANK SCARDINA</v>
      </c>
    </row>
    <row r="52" spans="1:21" x14ac:dyDescent="0.2">
      <c r="A52" s="4" t="s">
        <v>276</v>
      </c>
      <c r="B52" s="2">
        <v>17126004</v>
      </c>
      <c r="C52" s="4" t="s">
        <v>281</v>
      </c>
      <c r="D52" s="4" t="s">
        <v>282</v>
      </c>
      <c r="E52" s="3">
        <v>45962</v>
      </c>
      <c r="F52" s="4" t="s">
        <v>48</v>
      </c>
      <c r="G52" s="4" t="s">
        <v>50</v>
      </c>
      <c r="H52" s="4" t="s">
        <v>60</v>
      </c>
      <c r="I52" s="5">
        <v>1</v>
      </c>
      <c r="J52" s="5">
        <v>1</v>
      </c>
      <c r="K52" s="5">
        <v>26.08</v>
      </c>
      <c r="L52" s="4" t="s">
        <v>52</v>
      </c>
      <c r="M52" s="3">
        <v>45505</v>
      </c>
      <c r="N52" t="s">
        <v>512</v>
      </c>
      <c r="O52" s="11" t="s">
        <v>515</v>
      </c>
      <c r="Q52" s="4" t="s">
        <v>282</v>
      </c>
      <c r="R52" t="str">
        <f t="shared" si="7"/>
        <v>00021908647K6</v>
      </c>
      <c r="S52" s="4" t="s">
        <v>605</v>
      </c>
      <c r="T52" t="s">
        <v>606</v>
      </c>
      <c r="U52" t="str">
        <f t="shared" si="1"/>
        <v>PATRICIA MCGRAIL</v>
      </c>
    </row>
    <row r="53" spans="1:21" x14ac:dyDescent="0.2">
      <c r="A53" s="4" t="s">
        <v>276</v>
      </c>
      <c r="B53" s="2">
        <v>17126004</v>
      </c>
      <c r="C53" s="4" t="s">
        <v>283</v>
      </c>
      <c r="D53" s="4" t="s">
        <v>284</v>
      </c>
      <c r="E53" s="3">
        <v>45962</v>
      </c>
      <c r="F53" s="4" t="s">
        <v>48</v>
      </c>
      <c r="G53" s="4" t="s">
        <v>50</v>
      </c>
      <c r="H53" s="4" t="s">
        <v>60</v>
      </c>
      <c r="I53" s="5">
        <v>1</v>
      </c>
      <c r="J53" s="5">
        <v>1</v>
      </c>
      <c r="K53" s="5">
        <v>26.08</v>
      </c>
      <c r="L53" s="4" t="s">
        <v>52</v>
      </c>
      <c r="M53" s="3">
        <v>45505</v>
      </c>
      <c r="N53" t="s">
        <v>512</v>
      </c>
      <c r="O53" s="11" t="s">
        <v>515</v>
      </c>
      <c r="Q53" s="4" t="s">
        <v>284</v>
      </c>
      <c r="R53" t="str">
        <f t="shared" si="7"/>
        <v>00021937596K6</v>
      </c>
      <c r="S53" s="4" t="s">
        <v>607</v>
      </c>
      <c r="T53" t="s">
        <v>608</v>
      </c>
      <c r="U53" t="str">
        <f t="shared" si="1"/>
        <v>ALEXANDER RANCE</v>
      </c>
    </row>
    <row r="54" spans="1:21" x14ac:dyDescent="0.2">
      <c r="A54" s="4" t="s">
        <v>276</v>
      </c>
      <c r="B54" s="2">
        <v>17126004</v>
      </c>
      <c r="C54" s="4" t="s">
        <v>285</v>
      </c>
      <c r="D54" s="4" t="s">
        <v>286</v>
      </c>
      <c r="E54" s="3">
        <v>45962</v>
      </c>
      <c r="F54" s="4" t="s">
        <v>48</v>
      </c>
      <c r="G54" s="4" t="s">
        <v>50</v>
      </c>
      <c r="H54" s="4" t="s">
        <v>60</v>
      </c>
      <c r="I54" s="5">
        <v>1</v>
      </c>
      <c r="J54" s="5">
        <v>1</v>
      </c>
      <c r="K54" s="5">
        <v>26.08</v>
      </c>
      <c r="L54" s="4" t="s">
        <v>52</v>
      </c>
      <c r="M54" s="3">
        <v>45566</v>
      </c>
      <c r="N54" t="s">
        <v>512</v>
      </c>
      <c r="O54" s="11" t="s">
        <v>515</v>
      </c>
      <c r="Q54" s="4" t="s">
        <v>286</v>
      </c>
      <c r="R54" t="str">
        <f t="shared" si="7"/>
        <v>00021970944K6</v>
      </c>
      <c r="S54" s="4" t="s">
        <v>609</v>
      </c>
      <c r="T54" t="s">
        <v>610</v>
      </c>
      <c r="U54" t="str">
        <f t="shared" si="1"/>
        <v>BRIAN CHINDERLE</v>
      </c>
    </row>
    <row r="55" spans="1:21" x14ac:dyDescent="0.2">
      <c r="A55" s="4" t="s">
        <v>276</v>
      </c>
      <c r="B55" s="2">
        <v>17126004</v>
      </c>
      <c r="C55" s="4" t="s">
        <v>287</v>
      </c>
      <c r="D55" s="4" t="s">
        <v>288</v>
      </c>
      <c r="E55" s="3">
        <v>45962</v>
      </c>
      <c r="F55" s="4" t="s">
        <v>48</v>
      </c>
      <c r="G55" s="4" t="s">
        <v>50</v>
      </c>
      <c r="H55" s="4" t="s">
        <v>60</v>
      </c>
      <c r="I55" s="5">
        <v>1</v>
      </c>
      <c r="J55" s="5">
        <v>1</v>
      </c>
      <c r="K55" s="5">
        <v>26.08</v>
      </c>
      <c r="L55" s="4" t="s">
        <v>52</v>
      </c>
      <c r="M55" s="3">
        <v>45566</v>
      </c>
      <c r="N55" t="s">
        <v>512</v>
      </c>
      <c r="O55" s="11" t="s">
        <v>515</v>
      </c>
      <c r="Q55" s="4" t="s">
        <v>288</v>
      </c>
      <c r="R55" t="str">
        <f t="shared" si="7"/>
        <v>00022082807K6</v>
      </c>
      <c r="S55" s="4" t="s">
        <v>611</v>
      </c>
      <c r="T55" t="s">
        <v>612</v>
      </c>
      <c r="U55" t="str">
        <f t="shared" si="1"/>
        <v>MARCELINO CENTENO</v>
      </c>
    </row>
    <row r="56" spans="1:21" x14ac:dyDescent="0.2">
      <c r="A56" s="4" t="s">
        <v>276</v>
      </c>
      <c r="B56" s="2">
        <v>17126004</v>
      </c>
      <c r="C56" s="4" t="s">
        <v>289</v>
      </c>
      <c r="D56" s="4" t="s">
        <v>290</v>
      </c>
      <c r="E56" s="3">
        <v>45962</v>
      </c>
      <c r="F56" s="4" t="s">
        <v>48</v>
      </c>
      <c r="G56" s="4" t="s">
        <v>50</v>
      </c>
      <c r="H56" s="4" t="s">
        <v>60</v>
      </c>
      <c r="I56" s="5">
        <v>1</v>
      </c>
      <c r="J56" s="5">
        <v>1</v>
      </c>
      <c r="K56" s="5">
        <v>26.08</v>
      </c>
      <c r="L56" s="4" t="s">
        <v>52</v>
      </c>
      <c r="M56" s="3">
        <v>45627</v>
      </c>
      <c r="N56" t="s">
        <v>512</v>
      </c>
      <c r="O56" s="11" t="s">
        <v>515</v>
      </c>
      <c r="Q56" s="4" t="s">
        <v>290</v>
      </c>
      <c r="R56" t="str">
        <f t="shared" si="7"/>
        <v>00022106958K6</v>
      </c>
      <c r="S56" s="4" t="s">
        <v>613</v>
      </c>
      <c r="T56" t="s">
        <v>614</v>
      </c>
      <c r="U56" t="str">
        <f t="shared" si="1"/>
        <v>DOREEN PUDLOWSKI</v>
      </c>
    </row>
    <row r="57" spans="1:21" x14ac:dyDescent="0.2">
      <c r="A57" s="4" t="s">
        <v>276</v>
      </c>
      <c r="B57" s="2">
        <v>17126004</v>
      </c>
      <c r="C57" s="4" t="s">
        <v>291</v>
      </c>
      <c r="D57" s="4" t="s">
        <v>292</v>
      </c>
      <c r="E57" s="3">
        <v>45962</v>
      </c>
      <c r="F57" s="4" t="s">
        <v>48</v>
      </c>
      <c r="G57" s="4" t="s">
        <v>50</v>
      </c>
      <c r="H57" s="4" t="s">
        <v>60</v>
      </c>
      <c r="I57" s="5">
        <v>1</v>
      </c>
      <c r="J57" s="5">
        <v>1</v>
      </c>
      <c r="K57" s="5">
        <v>26.08</v>
      </c>
      <c r="L57" s="4" t="s">
        <v>52</v>
      </c>
      <c r="M57" s="3">
        <v>45627</v>
      </c>
      <c r="N57" t="s">
        <v>512</v>
      </c>
      <c r="O57" s="11" t="s">
        <v>515</v>
      </c>
      <c r="Q57" s="4" t="s">
        <v>292</v>
      </c>
      <c r="R57" t="str">
        <f t="shared" si="7"/>
        <v>00022643625K6</v>
      </c>
      <c r="S57" s="4" t="s">
        <v>615</v>
      </c>
      <c r="T57" t="s">
        <v>616</v>
      </c>
      <c r="U57" t="str">
        <f t="shared" si="1"/>
        <v>LORRAINE HACKMAN</v>
      </c>
    </row>
    <row r="58" spans="1:21" x14ac:dyDescent="0.2">
      <c r="A58" s="4" t="s">
        <v>398</v>
      </c>
      <c r="B58" s="2">
        <v>18828278</v>
      </c>
      <c r="C58" s="4" t="s">
        <v>399</v>
      </c>
      <c r="D58" s="4" t="s">
        <v>400</v>
      </c>
      <c r="E58" s="3">
        <v>45962</v>
      </c>
      <c r="F58" s="4" t="s">
        <v>48</v>
      </c>
      <c r="G58" s="4" t="s">
        <v>50</v>
      </c>
      <c r="H58" s="4" t="s">
        <v>60</v>
      </c>
      <c r="I58" s="5">
        <v>1</v>
      </c>
      <c r="J58" s="5">
        <v>1</v>
      </c>
      <c r="K58" s="5">
        <v>26.08</v>
      </c>
      <c r="L58" s="4" t="s">
        <v>52</v>
      </c>
      <c r="M58" s="3">
        <v>45536</v>
      </c>
      <c r="N58" t="s">
        <v>512</v>
      </c>
      <c r="O58" s="11" t="s">
        <v>515</v>
      </c>
      <c r="Q58" s="4" t="s">
        <v>400</v>
      </c>
      <c r="R58" t="str">
        <f t="shared" si="7"/>
        <v>00020751148K6</v>
      </c>
      <c r="S58" s="4" t="s">
        <v>617</v>
      </c>
      <c r="T58" t="s">
        <v>618</v>
      </c>
      <c r="U58" t="str">
        <f t="shared" si="1"/>
        <v>STEVEN CONNOR</v>
      </c>
    </row>
    <row r="59" spans="1:21" x14ac:dyDescent="0.2">
      <c r="A59" s="4" t="s">
        <v>398</v>
      </c>
      <c r="B59" s="2">
        <v>18828278</v>
      </c>
      <c r="C59" s="4" t="s">
        <v>403</v>
      </c>
      <c r="D59" s="4" t="s">
        <v>404</v>
      </c>
      <c r="E59" s="3">
        <v>45962</v>
      </c>
      <c r="F59" s="4" t="s">
        <v>48</v>
      </c>
      <c r="G59" s="4" t="s">
        <v>50</v>
      </c>
      <c r="H59" s="4" t="s">
        <v>60</v>
      </c>
      <c r="I59" s="5">
        <v>1</v>
      </c>
      <c r="J59" s="5">
        <v>1</v>
      </c>
      <c r="K59" s="5">
        <v>26.08</v>
      </c>
      <c r="L59" s="4" t="s">
        <v>52</v>
      </c>
      <c r="M59" s="3">
        <v>45566</v>
      </c>
      <c r="N59" t="s">
        <v>512</v>
      </c>
      <c r="O59" s="11" t="s">
        <v>515</v>
      </c>
      <c r="Q59" s="4" t="s">
        <v>404</v>
      </c>
      <c r="R59" t="str">
        <f t="shared" si="7"/>
        <v>00022217599K6</v>
      </c>
      <c r="S59" s="4" t="s">
        <v>619</v>
      </c>
      <c r="T59" t="s">
        <v>620</v>
      </c>
      <c r="U59" t="str">
        <f t="shared" si="1"/>
        <v>CHRISTY CHUBICK</v>
      </c>
    </row>
    <row r="60" spans="1:21" x14ac:dyDescent="0.2">
      <c r="A60" s="4" t="s">
        <v>398</v>
      </c>
      <c r="B60" s="2">
        <v>18828278</v>
      </c>
      <c r="C60" s="4" t="s">
        <v>405</v>
      </c>
      <c r="D60" s="4" t="s">
        <v>406</v>
      </c>
      <c r="E60" s="3">
        <v>45962</v>
      </c>
      <c r="F60" s="4" t="s">
        <v>48</v>
      </c>
      <c r="G60" s="4" t="s">
        <v>50</v>
      </c>
      <c r="H60" s="4" t="s">
        <v>60</v>
      </c>
      <c r="I60" s="5">
        <v>1</v>
      </c>
      <c r="J60" s="5">
        <v>1</v>
      </c>
      <c r="K60" s="5">
        <v>26.08</v>
      </c>
      <c r="L60" s="4" t="s">
        <v>52</v>
      </c>
      <c r="M60" s="3">
        <v>45627</v>
      </c>
      <c r="N60" t="s">
        <v>512</v>
      </c>
      <c r="O60" s="11" t="s">
        <v>515</v>
      </c>
      <c r="Q60" s="4" t="s">
        <v>406</v>
      </c>
      <c r="R60" t="str">
        <f t="shared" si="7"/>
        <v>00022524693K6</v>
      </c>
      <c r="S60" s="4" t="s">
        <v>621</v>
      </c>
      <c r="T60" t="s">
        <v>622</v>
      </c>
      <c r="U60" t="str">
        <f t="shared" si="1"/>
        <v>MARILYN SCHUMM</v>
      </c>
    </row>
    <row r="61" spans="1:21" x14ac:dyDescent="0.2">
      <c r="A61" s="4" t="s">
        <v>306</v>
      </c>
      <c r="B61" s="2">
        <v>17774994</v>
      </c>
      <c r="C61" s="4" t="s">
        <v>307</v>
      </c>
      <c r="D61" s="4" t="s">
        <v>308</v>
      </c>
      <c r="E61" s="3">
        <v>45962</v>
      </c>
      <c r="F61" s="4" t="s">
        <v>48</v>
      </c>
      <c r="G61" s="4" t="s">
        <v>50</v>
      </c>
      <c r="H61" s="4" t="s">
        <v>60</v>
      </c>
      <c r="I61" s="5">
        <v>1</v>
      </c>
      <c r="J61" s="5">
        <v>1</v>
      </c>
      <c r="K61" s="5">
        <v>26.08</v>
      </c>
      <c r="L61" s="4" t="s">
        <v>52</v>
      </c>
      <c r="M61" s="3">
        <v>45597</v>
      </c>
      <c r="N61" t="s">
        <v>512</v>
      </c>
      <c r="O61" s="11" t="s">
        <v>515</v>
      </c>
      <c r="Q61" s="4" t="s">
        <v>308</v>
      </c>
      <c r="R61" t="str">
        <f t="shared" si="7"/>
        <v>00022242482K6</v>
      </c>
      <c r="S61" s="4" t="s">
        <v>623</v>
      </c>
      <c r="T61" t="s">
        <v>624</v>
      </c>
      <c r="U61" t="str">
        <f t="shared" si="1"/>
        <v>MONICA LOREY</v>
      </c>
    </row>
    <row r="62" spans="1:21" x14ac:dyDescent="0.2">
      <c r="A62" s="4" t="s">
        <v>293</v>
      </c>
      <c r="B62" s="2">
        <v>17301495</v>
      </c>
      <c r="C62" s="4" t="s">
        <v>294</v>
      </c>
      <c r="D62" s="4" t="s">
        <v>295</v>
      </c>
      <c r="E62" s="3">
        <v>45962</v>
      </c>
      <c r="F62" s="4" t="s">
        <v>48</v>
      </c>
      <c r="G62" s="4" t="s">
        <v>50</v>
      </c>
      <c r="H62" s="4" t="s">
        <v>60</v>
      </c>
      <c r="I62" s="5">
        <v>1</v>
      </c>
      <c r="J62" s="5">
        <v>1</v>
      </c>
      <c r="K62" s="5">
        <v>26.08</v>
      </c>
      <c r="L62" s="4" t="s">
        <v>52</v>
      </c>
      <c r="M62" s="3">
        <v>45536</v>
      </c>
      <c r="N62" t="s">
        <v>512</v>
      </c>
      <c r="O62" s="11" t="s">
        <v>515</v>
      </c>
      <c r="Q62" s="4" t="s">
        <v>295</v>
      </c>
      <c r="R62" t="str">
        <f t="shared" si="7"/>
        <v>00001672119K6</v>
      </c>
      <c r="S62" s="4" t="s">
        <v>625</v>
      </c>
      <c r="T62" t="s">
        <v>626</v>
      </c>
      <c r="U62" t="str">
        <f t="shared" si="1"/>
        <v>DONNIE HAMILTON</v>
      </c>
    </row>
    <row r="63" spans="1:21" x14ac:dyDescent="0.2">
      <c r="A63" s="4" t="s">
        <v>207</v>
      </c>
      <c r="B63" s="2">
        <v>15278437</v>
      </c>
      <c r="C63" s="4" t="s">
        <v>208</v>
      </c>
      <c r="D63" s="4" t="s">
        <v>209</v>
      </c>
      <c r="E63" s="3">
        <v>45962</v>
      </c>
      <c r="F63" s="4" t="s">
        <v>48</v>
      </c>
      <c r="G63" s="4" t="s">
        <v>50</v>
      </c>
      <c r="H63" s="4" t="s">
        <v>60</v>
      </c>
      <c r="I63" s="5">
        <v>1</v>
      </c>
      <c r="J63" s="5">
        <v>1</v>
      </c>
      <c r="K63" s="5">
        <v>26.08</v>
      </c>
      <c r="L63" s="4" t="s">
        <v>52</v>
      </c>
      <c r="M63" s="3">
        <v>45078</v>
      </c>
      <c r="N63" t="s">
        <v>512</v>
      </c>
      <c r="O63" s="11" t="s">
        <v>515</v>
      </c>
      <c r="Q63" s="4" t="s">
        <v>209</v>
      </c>
      <c r="R63" t="str">
        <f t="shared" si="7"/>
        <v>00020444605K6</v>
      </c>
      <c r="S63" s="4" t="s">
        <v>627</v>
      </c>
      <c r="T63" t="s">
        <v>555</v>
      </c>
      <c r="U63" t="str">
        <f t="shared" si="1"/>
        <v>DANIEL COSTA</v>
      </c>
    </row>
    <row r="64" spans="1:21" x14ac:dyDescent="0.2">
      <c r="A64" s="4" t="s">
        <v>207</v>
      </c>
      <c r="B64" s="2">
        <v>15278437</v>
      </c>
      <c r="C64" s="4" t="s">
        <v>218</v>
      </c>
      <c r="D64" s="4" t="s">
        <v>219</v>
      </c>
      <c r="E64" s="3">
        <v>45962</v>
      </c>
      <c r="F64" s="4" t="s">
        <v>48</v>
      </c>
      <c r="G64" s="4" t="s">
        <v>50</v>
      </c>
      <c r="H64" s="4" t="s">
        <v>60</v>
      </c>
      <c r="I64" s="5">
        <v>1</v>
      </c>
      <c r="J64" s="5">
        <v>1</v>
      </c>
      <c r="K64" s="5">
        <v>26.08</v>
      </c>
      <c r="L64" s="4" t="s">
        <v>52</v>
      </c>
      <c r="M64" s="3">
        <v>45444</v>
      </c>
      <c r="N64" t="s">
        <v>512</v>
      </c>
      <c r="O64" s="11" t="s">
        <v>515</v>
      </c>
      <c r="Q64" s="4" t="s">
        <v>219</v>
      </c>
      <c r="R64" t="str">
        <f t="shared" si="7"/>
        <v>00021801538K6</v>
      </c>
      <c r="S64" s="4" t="s">
        <v>628</v>
      </c>
      <c r="T64" t="s">
        <v>629</v>
      </c>
      <c r="U64" t="str">
        <f t="shared" si="1"/>
        <v>MARY GIOVINCO</v>
      </c>
    </row>
    <row r="65" spans="1:21" x14ac:dyDescent="0.2">
      <c r="A65" s="4" t="s">
        <v>177</v>
      </c>
      <c r="B65" s="2">
        <v>7146581</v>
      </c>
      <c r="C65" s="4" t="s">
        <v>178</v>
      </c>
      <c r="D65" s="4" t="s">
        <v>179</v>
      </c>
      <c r="E65" s="3">
        <v>45962</v>
      </c>
      <c r="F65" s="4" t="s">
        <v>48</v>
      </c>
      <c r="G65" s="4" t="s">
        <v>50</v>
      </c>
      <c r="H65" s="4" t="s">
        <v>60</v>
      </c>
      <c r="I65" s="5">
        <v>1</v>
      </c>
      <c r="J65" s="5">
        <v>1</v>
      </c>
      <c r="K65" s="5">
        <v>26.08</v>
      </c>
      <c r="L65" s="4" t="s">
        <v>52</v>
      </c>
      <c r="M65" s="3">
        <v>45505</v>
      </c>
      <c r="N65" t="s">
        <v>512</v>
      </c>
      <c r="O65" s="11" t="s">
        <v>515</v>
      </c>
      <c r="Q65" s="4" t="s">
        <v>179</v>
      </c>
      <c r="R65" t="str">
        <f t="shared" si="7"/>
        <v>00010066661K6</v>
      </c>
      <c r="S65" s="4" t="s">
        <v>630</v>
      </c>
      <c r="T65" t="s">
        <v>631</v>
      </c>
      <c r="U65" t="str">
        <f t="shared" si="1"/>
        <v>GERRI WALTHERS</v>
      </c>
    </row>
    <row r="66" spans="1:21" x14ac:dyDescent="0.2">
      <c r="A66" s="4" t="s">
        <v>177</v>
      </c>
      <c r="B66" s="2">
        <v>7146581</v>
      </c>
      <c r="C66" s="4" t="s">
        <v>180</v>
      </c>
      <c r="D66" s="4" t="s">
        <v>181</v>
      </c>
      <c r="E66" s="3">
        <v>45962</v>
      </c>
      <c r="F66" s="4" t="s">
        <v>48</v>
      </c>
      <c r="G66" s="4" t="s">
        <v>50</v>
      </c>
      <c r="H66" s="4" t="s">
        <v>60</v>
      </c>
      <c r="I66" s="5">
        <v>1</v>
      </c>
      <c r="J66" s="5">
        <v>1</v>
      </c>
      <c r="K66" s="5">
        <v>26.08</v>
      </c>
      <c r="L66" s="4" t="s">
        <v>52</v>
      </c>
      <c r="M66" s="3">
        <v>45474</v>
      </c>
      <c r="N66" t="s">
        <v>512</v>
      </c>
      <c r="O66" s="11" t="s">
        <v>515</v>
      </c>
      <c r="Q66" s="4" t="s">
        <v>181</v>
      </c>
      <c r="R66" t="str">
        <f t="shared" si="7"/>
        <v>00021876313K6</v>
      </c>
      <c r="S66" s="4" t="s">
        <v>632</v>
      </c>
      <c r="T66" t="s">
        <v>633</v>
      </c>
      <c r="U66" t="str">
        <f t="shared" si="1"/>
        <v>TODD COHEN</v>
      </c>
    </row>
    <row r="67" spans="1:21" x14ac:dyDescent="0.2">
      <c r="A67" s="4" t="s">
        <v>177</v>
      </c>
      <c r="B67" s="2">
        <v>7146581</v>
      </c>
      <c r="C67" s="4" t="s">
        <v>184</v>
      </c>
      <c r="D67" s="4" t="s">
        <v>185</v>
      </c>
      <c r="E67" s="3">
        <v>45962</v>
      </c>
      <c r="F67" s="4" t="s">
        <v>48</v>
      </c>
      <c r="G67" s="4" t="s">
        <v>50</v>
      </c>
      <c r="H67" s="4" t="s">
        <v>60</v>
      </c>
      <c r="I67" s="5">
        <v>1</v>
      </c>
      <c r="J67" s="5">
        <v>1</v>
      </c>
      <c r="K67" s="5">
        <v>26.08</v>
      </c>
      <c r="L67" s="4" t="s">
        <v>52</v>
      </c>
      <c r="M67" s="3">
        <v>45505</v>
      </c>
      <c r="N67" t="s">
        <v>512</v>
      </c>
      <c r="O67" s="11" t="s">
        <v>515</v>
      </c>
      <c r="Q67" s="4" t="s">
        <v>185</v>
      </c>
      <c r="R67" t="str">
        <f t="shared" si="7"/>
        <v>00021926659K6</v>
      </c>
      <c r="S67" s="4" t="s">
        <v>634</v>
      </c>
      <c r="T67" t="s">
        <v>635</v>
      </c>
      <c r="U67" t="str">
        <f t="shared" ref="U67:U130" si="8">CONCATENATE(T67," ",S67)</f>
        <v>PATRICK JOCHUM</v>
      </c>
    </row>
    <row r="68" spans="1:21" x14ac:dyDescent="0.2">
      <c r="A68" s="4" t="s">
        <v>177</v>
      </c>
      <c r="B68" s="2">
        <v>7146581</v>
      </c>
      <c r="C68" s="4" t="s">
        <v>186</v>
      </c>
      <c r="D68" s="4" t="s">
        <v>187</v>
      </c>
      <c r="E68" s="3">
        <v>45962</v>
      </c>
      <c r="F68" s="4" t="s">
        <v>48</v>
      </c>
      <c r="G68" s="4" t="s">
        <v>50</v>
      </c>
      <c r="H68" s="4" t="s">
        <v>60</v>
      </c>
      <c r="I68" s="5">
        <v>1</v>
      </c>
      <c r="J68" s="5">
        <v>1</v>
      </c>
      <c r="K68" s="5">
        <v>26.08</v>
      </c>
      <c r="L68" s="4" t="s">
        <v>52</v>
      </c>
      <c r="M68" s="3">
        <v>45536</v>
      </c>
      <c r="N68" t="s">
        <v>512</v>
      </c>
      <c r="O68" s="11" t="s">
        <v>515</v>
      </c>
      <c r="Q68" s="4" t="s">
        <v>187</v>
      </c>
      <c r="R68" t="str">
        <f t="shared" si="7"/>
        <v>00021938762K6</v>
      </c>
      <c r="S68" s="4" t="s">
        <v>636</v>
      </c>
      <c r="T68" t="s">
        <v>637</v>
      </c>
      <c r="U68" t="str">
        <f t="shared" si="8"/>
        <v>DONNA CHILDS</v>
      </c>
    </row>
    <row r="69" spans="1:21" x14ac:dyDescent="0.2">
      <c r="A69" s="4" t="s">
        <v>177</v>
      </c>
      <c r="B69" s="2">
        <v>7146581</v>
      </c>
      <c r="C69" s="4" t="s">
        <v>188</v>
      </c>
      <c r="D69" s="4" t="s">
        <v>189</v>
      </c>
      <c r="E69" s="3">
        <v>45962</v>
      </c>
      <c r="F69" s="4" t="s">
        <v>48</v>
      </c>
      <c r="G69" s="4" t="s">
        <v>50</v>
      </c>
      <c r="H69" s="4" t="s">
        <v>60</v>
      </c>
      <c r="I69" s="5">
        <v>1</v>
      </c>
      <c r="J69" s="5">
        <v>1</v>
      </c>
      <c r="K69" s="5">
        <v>26.08</v>
      </c>
      <c r="L69" s="4" t="s">
        <v>52</v>
      </c>
      <c r="M69" s="3">
        <v>45566</v>
      </c>
      <c r="N69" t="s">
        <v>512</v>
      </c>
      <c r="O69" s="11" t="s">
        <v>515</v>
      </c>
      <c r="Q69" s="4" t="s">
        <v>189</v>
      </c>
      <c r="R69" t="str">
        <f t="shared" si="7"/>
        <v>00021973818K6</v>
      </c>
      <c r="S69" s="4" t="s">
        <v>638</v>
      </c>
      <c r="T69" t="s">
        <v>639</v>
      </c>
      <c r="U69" t="str">
        <f t="shared" si="8"/>
        <v>BRENDA REIMANN</v>
      </c>
    </row>
    <row r="70" spans="1:21" x14ac:dyDescent="0.2">
      <c r="A70" s="4" t="s">
        <v>177</v>
      </c>
      <c r="B70" s="2">
        <v>7146581</v>
      </c>
      <c r="C70" s="4" t="s">
        <v>190</v>
      </c>
      <c r="D70" s="4" t="s">
        <v>191</v>
      </c>
      <c r="E70" s="3">
        <v>45962</v>
      </c>
      <c r="F70" s="4" t="s">
        <v>48</v>
      </c>
      <c r="G70" s="4" t="s">
        <v>50</v>
      </c>
      <c r="H70" s="4" t="s">
        <v>60</v>
      </c>
      <c r="I70" s="5">
        <v>1</v>
      </c>
      <c r="J70" s="5">
        <v>1</v>
      </c>
      <c r="K70" s="5">
        <v>26.08</v>
      </c>
      <c r="L70" s="4" t="s">
        <v>52</v>
      </c>
      <c r="M70" s="3">
        <v>45536</v>
      </c>
      <c r="N70" t="s">
        <v>512</v>
      </c>
      <c r="O70" s="11" t="s">
        <v>515</v>
      </c>
      <c r="Q70" s="4" t="s">
        <v>191</v>
      </c>
      <c r="R70" t="str">
        <f t="shared" si="7"/>
        <v>00021996169K6</v>
      </c>
      <c r="S70" s="4" t="s">
        <v>640</v>
      </c>
      <c r="T70" t="s">
        <v>641</v>
      </c>
      <c r="U70" t="str">
        <f t="shared" si="8"/>
        <v>KENNETH WONG</v>
      </c>
    </row>
    <row r="71" spans="1:21" x14ac:dyDescent="0.2">
      <c r="A71" s="4" t="s">
        <v>177</v>
      </c>
      <c r="B71" s="2">
        <v>7146581</v>
      </c>
      <c r="C71" s="4" t="s">
        <v>192</v>
      </c>
      <c r="D71" s="4" t="s">
        <v>193</v>
      </c>
      <c r="E71" s="3">
        <v>45962</v>
      </c>
      <c r="F71" s="4" t="s">
        <v>48</v>
      </c>
      <c r="G71" s="4" t="s">
        <v>50</v>
      </c>
      <c r="H71" s="4" t="s">
        <v>60</v>
      </c>
      <c r="I71" s="5">
        <v>1</v>
      </c>
      <c r="J71" s="5">
        <v>1</v>
      </c>
      <c r="K71" s="5">
        <v>26.08</v>
      </c>
      <c r="L71" s="4" t="s">
        <v>52</v>
      </c>
      <c r="M71" s="3">
        <v>45566</v>
      </c>
      <c r="N71" t="s">
        <v>512</v>
      </c>
      <c r="O71" s="11" t="s">
        <v>515</v>
      </c>
      <c r="Q71" s="4" t="s">
        <v>193</v>
      </c>
      <c r="R71" t="str">
        <f t="shared" si="7"/>
        <v>00022021737K6</v>
      </c>
      <c r="S71" s="4" t="s">
        <v>642</v>
      </c>
      <c r="T71" t="s">
        <v>643</v>
      </c>
      <c r="U71" t="str">
        <f t="shared" si="8"/>
        <v>GAITSCH CHADDERDON</v>
      </c>
    </row>
    <row r="72" spans="1:21" x14ac:dyDescent="0.2">
      <c r="A72" s="4" t="s">
        <v>177</v>
      </c>
      <c r="B72" s="2">
        <v>7146581</v>
      </c>
      <c r="C72" s="4" t="s">
        <v>196</v>
      </c>
      <c r="D72" s="4" t="s">
        <v>197</v>
      </c>
      <c r="E72" s="3">
        <v>45962</v>
      </c>
      <c r="F72" s="4" t="s">
        <v>48</v>
      </c>
      <c r="G72" s="4" t="s">
        <v>50</v>
      </c>
      <c r="H72" s="4" t="s">
        <v>60</v>
      </c>
      <c r="I72" s="5">
        <v>1</v>
      </c>
      <c r="J72" s="5">
        <v>1</v>
      </c>
      <c r="K72" s="5">
        <v>26.08</v>
      </c>
      <c r="L72" s="4" t="s">
        <v>52</v>
      </c>
      <c r="M72" s="3">
        <v>45566</v>
      </c>
      <c r="N72" t="s">
        <v>512</v>
      </c>
      <c r="O72" s="11" t="s">
        <v>515</v>
      </c>
      <c r="Q72" s="4" t="s">
        <v>197</v>
      </c>
      <c r="R72" t="str">
        <f t="shared" si="7"/>
        <v>00022087983K6</v>
      </c>
      <c r="S72" s="4" t="s">
        <v>644</v>
      </c>
      <c r="T72" t="s">
        <v>635</v>
      </c>
      <c r="U72" t="str">
        <f t="shared" si="8"/>
        <v>PATRICK OTTO</v>
      </c>
    </row>
    <row r="73" spans="1:21" x14ac:dyDescent="0.2">
      <c r="A73" s="4" t="s">
        <v>177</v>
      </c>
      <c r="B73" s="2">
        <v>7146581</v>
      </c>
      <c r="C73" s="4" t="s">
        <v>198</v>
      </c>
      <c r="D73" s="4" t="s">
        <v>199</v>
      </c>
      <c r="E73" s="3">
        <v>45962</v>
      </c>
      <c r="F73" s="4" t="s">
        <v>48</v>
      </c>
      <c r="G73" s="4" t="s">
        <v>50</v>
      </c>
      <c r="H73" s="4" t="s">
        <v>60</v>
      </c>
      <c r="I73" s="5">
        <v>1</v>
      </c>
      <c r="J73" s="5">
        <v>1</v>
      </c>
      <c r="K73" s="5">
        <v>26.08</v>
      </c>
      <c r="L73" s="4" t="s">
        <v>52</v>
      </c>
      <c r="M73" s="3">
        <v>45566</v>
      </c>
      <c r="N73" t="s">
        <v>512</v>
      </c>
      <c r="O73" s="11" t="s">
        <v>515</v>
      </c>
      <c r="Q73" s="4" t="s">
        <v>199</v>
      </c>
      <c r="R73" t="str">
        <f t="shared" si="7"/>
        <v>00022088151K6</v>
      </c>
      <c r="S73" s="4" t="s">
        <v>645</v>
      </c>
      <c r="T73" t="s">
        <v>646</v>
      </c>
      <c r="U73" t="str">
        <f t="shared" si="8"/>
        <v>LISA CAVITT</v>
      </c>
    </row>
    <row r="74" spans="1:21" x14ac:dyDescent="0.2">
      <c r="A74" s="4" t="s">
        <v>177</v>
      </c>
      <c r="B74" s="2">
        <v>7146581</v>
      </c>
      <c r="C74" s="4" t="s">
        <v>200</v>
      </c>
      <c r="D74" s="4" t="s">
        <v>201</v>
      </c>
      <c r="E74" s="3">
        <v>45962</v>
      </c>
      <c r="F74" s="4" t="s">
        <v>48</v>
      </c>
      <c r="G74" s="4" t="s">
        <v>50</v>
      </c>
      <c r="H74" s="4" t="s">
        <v>60</v>
      </c>
      <c r="I74" s="5">
        <v>1</v>
      </c>
      <c r="J74" s="5">
        <v>1</v>
      </c>
      <c r="K74" s="5">
        <v>26.08</v>
      </c>
      <c r="L74" s="4" t="s">
        <v>52</v>
      </c>
      <c r="M74" s="3">
        <v>45627</v>
      </c>
      <c r="N74" t="s">
        <v>512</v>
      </c>
      <c r="O74" s="11" t="s">
        <v>515</v>
      </c>
      <c r="Q74" s="4" t="s">
        <v>201</v>
      </c>
      <c r="R74" t="str">
        <f t="shared" si="7"/>
        <v>00022498051K6</v>
      </c>
      <c r="S74" s="4" t="s">
        <v>647</v>
      </c>
      <c r="T74" t="s">
        <v>648</v>
      </c>
      <c r="U74" t="str">
        <f t="shared" si="8"/>
        <v>AUDREY RIDLEN</v>
      </c>
    </row>
    <row r="75" spans="1:21" x14ac:dyDescent="0.2">
      <c r="A75" s="4" t="s">
        <v>177</v>
      </c>
      <c r="B75" s="2">
        <v>7146581</v>
      </c>
      <c r="C75" s="4" t="s">
        <v>202</v>
      </c>
      <c r="D75" s="4" t="s">
        <v>203</v>
      </c>
      <c r="E75" s="3">
        <v>45962</v>
      </c>
      <c r="F75" s="4" t="s">
        <v>48</v>
      </c>
      <c r="G75" s="4" t="s">
        <v>50</v>
      </c>
      <c r="H75" s="4" t="s">
        <v>60</v>
      </c>
      <c r="I75" s="5">
        <v>1</v>
      </c>
      <c r="J75" s="5">
        <v>1</v>
      </c>
      <c r="K75" s="5">
        <v>26.08</v>
      </c>
      <c r="L75" s="4" t="s">
        <v>52</v>
      </c>
      <c r="M75" s="3">
        <v>45627</v>
      </c>
      <c r="N75" t="s">
        <v>512</v>
      </c>
      <c r="O75" s="11" t="s">
        <v>515</v>
      </c>
      <c r="Q75" s="4" t="s">
        <v>203</v>
      </c>
      <c r="R75" t="str">
        <f t="shared" si="7"/>
        <v>00022571242K6</v>
      </c>
      <c r="S75" s="4" t="s">
        <v>649</v>
      </c>
      <c r="T75" t="s">
        <v>650</v>
      </c>
      <c r="U75" t="str">
        <f t="shared" si="8"/>
        <v>ANTHONY LEONE</v>
      </c>
    </row>
    <row r="76" spans="1:21" x14ac:dyDescent="0.2">
      <c r="A76" s="4" t="s">
        <v>177</v>
      </c>
      <c r="B76" s="2">
        <v>7146581</v>
      </c>
      <c r="C76" s="4" t="s">
        <v>204</v>
      </c>
      <c r="D76" s="4" t="s">
        <v>205</v>
      </c>
      <c r="E76" s="3">
        <v>45992</v>
      </c>
      <c r="F76" s="4" t="s">
        <v>58</v>
      </c>
      <c r="G76" s="4" t="s">
        <v>50</v>
      </c>
      <c r="H76" s="4" t="s">
        <v>60</v>
      </c>
      <c r="I76" s="5">
        <v>0.08</v>
      </c>
      <c r="J76" s="5">
        <v>1</v>
      </c>
      <c r="K76" s="5">
        <v>26.08</v>
      </c>
      <c r="L76" s="4" t="s">
        <v>61</v>
      </c>
      <c r="M76" s="3">
        <v>45992</v>
      </c>
      <c r="N76" t="s">
        <v>512</v>
      </c>
      <c r="O76" s="11" t="s">
        <v>515</v>
      </c>
      <c r="Q76" s="4" t="s">
        <v>205</v>
      </c>
      <c r="R76" t="str">
        <f t="shared" si="7"/>
        <v>00024803848K6</v>
      </c>
      <c r="S76" s="4" t="s">
        <v>651</v>
      </c>
      <c r="T76" t="s">
        <v>652</v>
      </c>
      <c r="U76" t="str">
        <f t="shared" si="8"/>
        <v>RAND PRIEGEL</v>
      </c>
    </row>
    <row r="77" spans="1:21" x14ac:dyDescent="0.2">
      <c r="A77" s="4" t="s">
        <v>68</v>
      </c>
      <c r="B77" s="2">
        <v>8814784</v>
      </c>
      <c r="C77" s="4" t="s">
        <v>69</v>
      </c>
      <c r="D77" s="4" t="s">
        <v>70</v>
      </c>
      <c r="E77" s="3">
        <v>45962</v>
      </c>
      <c r="F77" s="4" t="s">
        <v>48</v>
      </c>
      <c r="G77" s="4" t="s">
        <v>50</v>
      </c>
      <c r="H77" s="4" t="s">
        <v>60</v>
      </c>
      <c r="I77" s="5">
        <v>1</v>
      </c>
      <c r="J77" s="5">
        <v>1</v>
      </c>
      <c r="K77" s="5">
        <v>26.08</v>
      </c>
      <c r="L77" s="4" t="s">
        <v>52</v>
      </c>
      <c r="M77" s="3">
        <v>45566</v>
      </c>
      <c r="N77" t="s">
        <v>512</v>
      </c>
      <c r="O77" s="11" t="s">
        <v>515</v>
      </c>
      <c r="Q77" s="4" t="s">
        <v>70</v>
      </c>
      <c r="R77" t="str">
        <f t="shared" si="7"/>
        <v>00022077277K6</v>
      </c>
      <c r="S77" s="4" t="s">
        <v>653</v>
      </c>
      <c r="T77" t="s">
        <v>654</v>
      </c>
      <c r="U77" t="str">
        <f t="shared" si="8"/>
        <v>MAURICE ENWIA</v>
      </c>
    </row>
    <row r="78" spans="1:21" x14ac:dyDescent="0.2">
      <c r="A78" s="4" t="s">
        <v>68</v>
      </c>
      <c r="B78" s="2">
        <v>8814784</v>
      </c>
      <c r="C78" s="4" t="s">
        <v>71</v>
      </c>
      <c r="D78" s="4" t="s">
        <v>72</v>
      </c>
      <c r="E78" s="3">
        <v>45992</v>
      </c>
      <c r="F78" s="4" t="s">
        <v>58</v>
      </c>
      <c r="G78" s="4" t="s">
        <v>50</v>
      </c>
      <c r="H78" s="4" t="s">
        <v>60</v>
      </c>
      <c r="I78" s="5">
        <v>0.08</v>
      </c>
      <c r="J78" s="5">
        <v>1</v>
      </c>
      <c r="K78" s="5">
        <v>26.08</v>
      </c>
      <c r="L78" s="4" t="s">
        <v>61</v>
      </c>
      <c r="M78" s="3">
        <v>45992</v>
      </c>
      <c r="N78" t="s">
        <v>512</v>
      </c>
      <c r="O78" s="11" t="s">
        <v>515</v>
      </c>
      <c r="Q78" s="4" t="s">
        <v>72</v>
      </c>
      <c r="R78" t="str">
        <f t="shared" si="7"/>
        <v>00024729595K6</v>
      </c>
      <c r="S78" s="4" t="s">
        <v>655</v>
      </c>
      <c r="T78" t="s">
        <v>618</v>
      </c>
      <c r="U78" t="str">
        <f t="shared" si="8"/>
        <v>STEVEN LEGG</v>
      </c>
    </row>
    <row r="79" spans="1:21" x14ac:dyDescent="0.2">
      <c r="A79" s="4" t="s">
        <v>68</v>
      </c>
      <c r="B79" s="2">
        <v>8814784</v>
      </c>
      <c r="C79" s="4" t="s">
        <v>74</v>
      </c>
      <c r="D79" s="4" t="s">
        <v>75</v>
      </c>
      <c r="E79" s="3">
        <v>45992</v>
      </c>
      <c r="F79" s="4" t="s">
        <v>58</v>
      </c>
      <c r="G79" s="4" t="s">
        <v>50</v>
      </c>
      <c r="H79" s="4" t="s">
        <v>60</v>
      </c>
      <c r="I79" s="5">
        <v>0.08</v>
      </c>
      <c r="J79" s="5">
        <v>1</v>
      </c>
      <c r="K79" s="5">
        <v>26.08</v>
      </c>
      <c r="L79" s="4" t="s">
        <v>61</v>
      </c>
      <c r="M79" s="3">
        <v>45992</v>
      </c>
      <c r="N79" t="s">
        <v>512</v>
      </c>
      <c r="O79" s="11" t="s">
        <v>515</v>
      </c>
      <c r="Q79" s="4" t="s">
        <v>75</v>
      </c>
      <c r="R79" t="str">
        <f t="shared" si="7"/>
        <v>00024787947K6</v>
      </c>
      <c r="S79" s="4" t="s">
        <v>656</v>
      </c>
      <c r="T79" t="s">
        <v>657</v>
      </c>
      <c r="U79" t="str">
        <f t="shared" si="8"/>
        <v>RICHARD LANNERS</v>
      </c>
    </row>
    <row r="80" spans="1:21" x14ac:dyDescent="0.2">
      <c r="A80" s="4" t="s">
        <v>68</v>
      </c>
      <c r="B80" s="2">
        <v>8814784</v>
      </c>
      <c r="C80" s="4" t="s">
        <v>77</v>
      </c>
      <c r="D80" s="4" t="s">
        <v>78</v>
      </c>
      <c r="E80" s="3">
        <v>45992</v>
      </c>
      <c r="F80" s="4" t="s">
        <v>58</v>
      </c>
      <c r="G80" s="4" t="s">
        <v>50</v>
      </c>
      <c r="H80" s="4" t="s">
        <v>60</v>
      </c>
      <c r="I80" s="5">
        <v>0.08</v>
      </c>
      <c r="J80" s="5">
        <v>1</v>
      </c>
      <c r="K80" s="5">
        <v>26.08</v>
      </c>
      <c r="L80" s="4" t="s">
        <v>61</v>
      </c>
      <c r="M80" s="3">
        <v>45992</v>
      </c>
      <c r="N80" t="s">
        <v>512</v>
      </c>
      <c r="O80" s="11" t="s">
        <v>515</v>
      </c>
      <c r="Q80" s="4" t="s">
        <v>78</v>
      </c>
      <c r="R80" t="str">
        <f t="shared" si="7"/>
        <v>00024854538K6</v>
      </c>
      <c r="S80" s="4" t="s">
        <v>625</v>
      </c>
      <c r="T80" t="s">
        <v>658</v>
      </c>
      <c r="U80" t="str">
        <f t="shared" si="8"/>
        <v>GAVIN HAMILTON</v>
      </c>
    </row>
    <row r="81" spans="1:21" x14ac:dyDescent="0.2">
      <c r="A81" s="4" t="s">
        <v>344</v>
      </c>
      <c r="B81" s="2">
        <v>5442438</v>
      </c>
      <c r="C81" s="4" t="s">
        <v>345</v>
      </c>
      <c r="D81" s="4" t="s">
        <v>346</v>
      </c>
      <c r="E81" s="3">
        <v>45962</v>
      </c>
      <c r="F81" s="4" t="s">
        <v>48</v>
      </c>
      <c r="G81" s="4" t="s">
        <v>50</v>
      </c>
      <c r="H81" s="4" t="s">
        <v>60</v>
      </c>
      <c r="I81" s="5">
        <v>1</v>
      </c>
      <c r="J81" s="5">
        <v>1</v>
      </c>
      <c r="K81" s="5">
        <v>26.08</v>
      </c>
      <c r="L81" s="4" t="s">
        <v>52</v>
      </c>
      <c r="M81" s="3">
        <v>45536</v>
      </c>
      <c r="N81" t="s">
        <v>512</v>
      </c>
      <c r="O81" s="11" t="s">
        <v>515</v>
      </c>
      <c r="Q81" s="4" t="s">
        <v>346</v>
      </c>
      <c r="R81" t="str">
        <f t="shared" si="7"/>
        <v>00022011876K6</v>
      </c>
      <c r="S81" s="4" t="s">
        <v>659</v>
      </c>
      <c r="T81" t="s">
        <v>660</v>
      </c>
      <c r="U81" t="str">
        <f t="shared" si="8"/>
        <v>TRACEY BROWN</v>
      </c>
    </row>
    <row r="82" spans="1:21" x14ac:dyDescent="0.2">
      <c r="A82" s="4" t="s">
        <v>418</v>
      </c>
      <c r="B82" s="2">
        <v>21646325</v>
      </c>
      <c r="C82" s="4" t="s">
        <v>419</v>
      </c>
      <c r="D82" s="4" t="s">
        <v>420</v>
      </c>
      <c r="E82" s="3">
        <v>45992</v>
      </c>
      <c r="F82" s="4" t="s">
        <v>58</v>
      </c>
      <c r="G82" s="4" t="s">
        <v>50</v>
      </c>
      <c r="H82" s="4" t="s">
        <v>60</v>
      </c>
      <c r="I82" s="5">
        <v>0.08</v>
      </c>
      <c r="J82" s="5">
        <v>1</v>
      </c>
      <c r="K82" s="5">
        <v>26.08</v>
      </c>
      <c r="L82" s="4" t="s">
        <v>61</v>
      </c>
      <c r="M82" s="3">
        <v>45992</v>
      </c>
      <c r="N82" t="s">
        <v>512</v>
      </c>
      <c r="O82" s="11" t="s">
        <v>515</v>
      </c>
      <c r="Q82" s="4" t="s">
        <v>420</v>
      </c>
      <c r="R82" t="str">
        <f t="shared" si="7"/>
        <v>00024872183K6</v>
      </c>
      <c r="S82" s="4" t="s">
        <v>661</v>
      </c>
      <c r="T82" t="s">
        <v>547</v>
      </c>
      <c r="U82" t="str">
        <f t="shared" si="8"/>
        <v>DAVID NEVAREZ</v>
      </c>
    </row>
    <row r="83" spans="1:21" x14ac:dyDescent="0.2">
      <c r="A83" s="4" t="s">
        <v>42</v>
      </c>
      <c r="B83" s="2">
        <v>371819</v>
      </c>
      <c r="C83" s="4" t="s">
        <v>55</v>
      </c>
      <c r="D83" s="4" t="s">
        <v>56</v>
      </c>
      <c r="E83" s="3">
        <v>45992</v>
      </c>
      <c r="F83" s="4" t="s">
        <v>58</v>
      </c>
      <c r="G83" s="4" t="s">
        <v>50</v>
      </c>
      <c r="H83" s="4" t="s">
        <v>60</v>
      </c>
      <c r="I83" s="5">
        <v>0.08</v>
      </c>
      <c r="J83" s="5">
        <v>1</v>
      </c>
      <c r="K83" s="5">
        <v>26.08</v>
      </c>
      <c r="L83" s="4" t="s">
        <v>61</v>
      </c>
      <c r="M83" s="3">
        <v>45992</v>
      </c>
      <c r="N83" t="s">
        <v>512</v>
      </c>
      <c r="O83" s="11" t="s">
        <v>515</v>
      </c>
      <c r="Q83" s="4" t="s">
        <v>56</v>
      </c>
      <c r="R83" t="str">
        <f t="shared" si="7"/>
        <v>00024798574K6</v>
      </c>
      <c r="S83" s="4" t="s">
        <v>662</v>
      </c>
      <c r="T83" t="s">
        <v>663</v>
      </c>
      <c r="U83" t="str">
        <f t="shared" si="8"/>
        <v>JACKIE TUCKER</v>
      </c>
    </row>
    <row r="84" spans="1:21" x14ac:dyDescent="0.2">
      <c r="A84" s="4" t="s">
        <v>309</v>
      </c>
      <c r="B84" s="2">
        <v>9213293</v>
      </c>
      <c r="C84" s="4" t="s">
        <v>310</v>
      </c>
      <c r="D84" s="4" t="s">
        <v>311</v>
      </c>
      <c r="E84" s="3">
        <v>45962</v>
      </c>
      <c r="F84" s="4" t="s">
        <v>48</v>
      </c>
      <c r="G84" s="4" t="s">
        <v>50</v>
      </c>
      <c r="H84" s="4" t="s">
        <v>60</v>
      </c>
      <c r="I84" s="5">
        <v>1</v>
      </c>
      <c r="J84" s="5">
        <v>1</v>
      </c>
      <c r="K84" s="5">
        <v>26.08</v>
      </c>
      <c r="L84" s="4" t="s">
        <v>52</v>
      </c>
      <c r="M84" s="3">
        <v>45505</v>
      </c>
      <c r="N84" t="s">
        <v>512</v>
      </c>
      <c r="O84" s="11" t="s">
        <v>515</v>
      </c>
      <c r="Q84" s="4" t="s">
        <v>311</v>
      </c>
      <c r="R84" t="str">
        <f t="shared" si="7"/>
        <v>00021876763K6</v>
      </c>
      <c r="S84" s="4" t="s">
        <v>664</v>
      </c>
      <c r="T84" t="s">
        <v>665</v>
      </c>
      <c r="U84" t="str">
        <f t="shared" si="8"/>
        <v>SCOTT WAXMAN</v>
      </c>
    </row>
    <row r="85" spans="1:21" x14ac:dyDescent="0.2">
      <c r="A85" s="4" t="s">
        <v>309</v>
      </c>
      <c r="B85" s="2">
        <v>9213293</v>
      </c>
      <c r="C85" s="4" t="s">
        <v>312</v>
      </c>
      <c r="D85" s="4" t="s">
        <v>313</v>
      </c>
      <c r="E85" s="3">
        <v>45962</v>
      </c>
      <c r="F85" s="4" t="s">
        <v>48</v>
      </c>
      <c r="G85" s="4" t="s">
        <v>50</v>
      </c>
      <c r="H85" s="4" t="s">
        <v>60</v>
      </c>
      <c r="I85" s="5">
        <v>1</v>
      </c>
      <c r="J85" s="5">
        <v>1</v>
      </c>
      <c r="K85" s="5">
        <v>26.08</v>
      </c>
      <c r="L85" s="4" t="s">
        <v>52</v>
      </c>
      <c r="M85" s="3">
        <v>45474</v>
      </c>
      <c r="N85" t="s">
        <v>512</v>
      </c>
      <c r="O85" s="11" t="s">
        <v>515</v>
      </c>
      <c r="Q85" s="4" t="s">
        <v>313</v>
      </c>
      <c r="R85" t="str">
        <f t="shared" si="7"/>
        <v>00021878864K6</v>
      </c>
      <c r="S85" s="4" t="s">
        <v>666</v>
      </c>
      <c r="T85" t="s">
        <v>667</v>
      </c>
      <c r="U85" t="str">
        <f t="shared" si="8"/>
        <v>LAURA MELVIN</v>
      </c>
    </row>
    <row r="86" spans="1:21" x14ac:dyDescent="0.2">
      <c r="A86" s="4" t="s">
        <v>309</v>
      </c>
      <c r="B86" s="2">
        <v>9213293</v>
      </c>
      <c r="C86" s="4" t="s">
        <v>314</v>
      </c>
      <c r="D86" s="4" t="s">
        <v>315</v>
      </c>
      <c r="E86" s="3">
        <v>45962</v>
      </c>
      <c r="F86" s="4" t="s">
        <v>48</v>
      </c>
      <c r="G86" s="4" t="s">
        <v>50</v>
      </c>
      <c r="H86" s="4" t="s">
        <v>60</v>
      </c>
      <c r="I86" s="5">
        <v>1</v>
      </c>
      <c r="J86" s="5">
        <v>1</v>
      </c>
      <c r="K86" s="5">
        <v>26.08</v>
      </c>
      <c r="L86" s="4" t="s">
        <v>52</v>
      </c>
      <c r="M86" s="3">
        <v>45474</v>
      </c>
      <c r="N86" t="s">
        <v>512</v>
      </c>
      <c r="O86" s="11" t="s">
        <v>515</v>
      </c>
      <c r="Q86" s="4" t="s">
        <v>315</v>
      </c>
      <c r="R86" t="str">
        <f t="shared" si="7"/>
        <v>00021895596K6</v>
      </c>
      <c r="S86" s="4" t="s">
        <v>668</v>
      </c>
      <c r="T86" t="s">
        <v>669</v>
      </c>
      <c r="U86" t="str">
        <f t="shared" si="8"/>
        <v>MITCH WISE</v>
      </c>
    </row>
    <row r="87" spans="1:21" x14ac:dyDescent="0.2">
      <c r="A87" s="4" t="s">
        <v>309</v>
      </c>
      <c r="B87" s="2">
        <v>9213293</v>
      </c>
      <c r="C87" s="4" t="s">
        <v>316</v>
      </c>
      <c r="D87" s="4" t="s">
        <v>317</v>
      </c>
      <c r="E87" s="3">
        <v>45962</v>
      </c>
      <c r="F87" s="4" t="s">
        <v>48</v>
      </c>
      <c r="G87" s="4" t="s">
        <v>50</v>
      </c>
      <c r="H87" s="4" t="s">
        <v>60</v>
      </c>
      <c r="I87" s="5">
        <v>1</v>
      </c>
      <c r="J87" s="5">
        <v>1</v>
      </c>
      <c r="K87" s="5">
        <v>26.08</v>
      </c>
      <c r="L87" s="4" t="s">
        <v>52</v>
      </c>
      <c r="M87" s="3">
        <v>45536</v>
      </c>
      <c r="N87" t="s">
        <v>512</v>
      </c>
      <c r="O87" s="11" t="s">
        <v>515</v>
      </c>
      <c r="Q87" s="4" t="s">
        <v>317</v>
      </c>
      <c r="R87" t="str">
        <f t="shared" si="7"/>
        <v>00021906634K6</v>
      </c>
      <c r="S87" s="4" t="s">
        <v>670</v>
      </c>
      <c r="T87" t="s">
        <v>671</v>
      </c>
      <c r="U87" t="str">
        <f t="shared" si="8"/>
        <v>CHRISTINE KALIS</v>
      </c>
    </row>
    <row r="88" spans="1:21" x14ac:dyDescent="0.2">
      <c r="A88" s="4" t="s">
        <v>309</v>
      </c>
      <c r="B88" s="2">
        <v>9213293</v>
      </c>
      <c r="C88" s="4" t="s">
        <v>318</v>
      </c>
      <c r="D88" s="4" t="s">
        <v>319</v>
      </c>
      <c r="E88" s="3">
        <v>45962</v>
      </c>
      <c r="F88" s="4" t="s">
        <v>48</v>
      </c>
      <c r="G88" s="4" t="s">
        <v>50</v>
      </c>
      <c r="H88" s="4" t="s">
        <v>60</v>
      </c>
      <c r="I88" s="5">
        <v>1</v>
      </c>
      <c r="J88" s="5">
        <v>1</v>
      </c>
      <c r="K88" s="5">
        <v>26.08</v>
      </c>
      <c r="L88" s="4" t="s">
        <v>52</v>
      </c>
      <c r="M88" s="3">
        <v>45505</v>
      </c>
      <c r="N88" t="s">
        <v>512</v>
      </c>
      <c r="O88" s="11" t="s">
        <v>515</v>
      </c>
      <c r="Q88" s="4" t="s">
        <v>319</v>
      </c>
      <c r="R88" t="str">
        <f t="shared" si="7"/>
        <v>00021920643K6</v>
      </c>
      <c r="S88" s="4" t="s">
        <v>672</v>
      </c>
      <c r="T88" t="s">
        <v>673</v>
      </c>
      <c r="U88" t="str">
        <f t="shared" si="8"/>
        <v>GIL VALENZUELA</v>
      </c>
    </row>
    <row r="89" spans="1:21" x14ac:dyDescent="0.2">
      <c r="A89" s="4" t="s">
        <v>309</v>
      </c>
      <c r="B89" s="2">
        <v>9213293</v>
      </c>
      <c r="C89" s="4" t="s">
        <v>320</v>
      </c>
      <c r="D89" s="4" t="s">
        <v>321</v>
      </c>
      <c r="E89" s="3">
        <v>45962</v>
      </c>
      <c r="F89" s="4" t="s">
        <v>48</v>
      </c>
      <c r="G89" s="4" t="s">
        <v>50</v>
      </c>
      <c r="H89" s="4" t="s">
        <v>60</v>
      </c>
      <c r="I89" s="5">
        <v>1</v>
      </c>
      <c r="J89" s="5">
        <v>1</v>
      </c>
      <c r="K89" s="5">
        <v>26.08</v>
      </c>
      <c r="L89" s="4" t="s">
        <v>52</v>
      </c>
      <c r="M89" s="3">
        <v>45505</v>
      </c>
      <c r="N89" t="s">
        <v>512</v>
      </c>
      <c r="O89" s="11" t="s">
        <v>515</v>
      </c>
      <c r="Q89" s="4" t="s">
        <v>321</v>
      </c>
      <c r="R89" t="str">
        <f t="shared" si="7"/>
        <v>00021921861K6</v>
      </c>
      <c r="S89" s="4" t="s">
        <v>672</v>
      </c>
      <c r="T89" t="s">
        <v>674</v>
      </c>
      <c r="U89" t="str">
        <f t="shared" si="8"/>
        <v>EDITA VALENZUELA</v>
      </c>
    </row>
    <row r="90" spans="1:21" x14ac:dyDescent="0.2">
      <c r="A90" s="4" t="s">
        <v>309</v>
      </c>
      <c r="B90" s="2">
        <v>9213293</v>
      </c>
      <c r="C90" s="4" t="s">
        <v>322</v>
      </c>
      <c r="D90" s="4" t="s">
        <v>323</v>
      </c>
      <c r="E90" s="3">
        <v>45962</v>
      </c>
      <c r="F90" s="4" t="s">
        <v>48</v>
      </c>
      <c r="G90" s="4" t="s">
        <v>50</v>
      </c>
      <c r="H90" s="4" t="s">
        <v>60</v>
      </c>
      <c r="I90" s="5">
        <v>1</v>
      </c>
      <c r="J90" s="5">
        <v>1</v>
      </c>
      <c r="K90" s="5">
        <v>26.08</v>
      </c>
      <c r="L90" s="4" t="s">
        <v>52</v>
      </c>
      <c r="M90" s="3">
        <v>45536</v>
      </c>
      <c r="N90" t="s">
        <v>512</v>
      </c>
      <c r="O90" s="11" t="s">
        <v>515</v>
      </c>
      <c r="Q90" s="4" t="s">
        <v>323</v>
      </c>
      <c r="R90" t="str">
        <f t="shared" si="7"/>
        <v>00022014220K6</v>
      </c>
      <c r="S90" s="4" t="s">
        <v>675</v>
      </c>
      <c r="T90" t="s">
        <v>676</v>
      </c>
      <c r="U90" t="str">
        <f t="shared" si="8"/>
        <v>STEVE ZAFIRIADIS</v>
      </c>
    </row>
    <row r="91" spans="1:21" x14ac:dyDescent="0.2">
      <c r="A91" s="4" t="s">
        <v>309</v>
      </c>
      <c r="B91" s="2">
        <v>9213293</v>
      </c>
      <c r="C91" s="4" t="s">
        <v>324</v>
      </c>
      <c r="D91" s="4" t="s">
        <v>325</v>
      </c>
      <c r="E91" s="3">
        <v>45962</v>
      </c>
      <c r="F91" s="4" t="s">
        <v>48</v>
      </c>
      <c r="G91" s="4" t="s">
        <v>50</v>
      </c>
      <c r="H91" s="4" t="s">
        <v>60</v>
      </c>
      <c r="I91" s="5">
        <v>1</v>
      </c>
      <c r="J91" s="5">
        <v>1</v>
      </c>
      <c r="K91" s="5">
        <v>26.08</v>
      </c>
      <c r="L91" s="4" t="s">
        <v>52</v>
      </c>
      <c r="M91" s="3">
        <v>45536</v>
      </c>
      <c r="N91" t="s">
        <v>512</v>
      </c>
      <c r="O91" s="11" t="s">
        <v>515</v>
      </c>
      <c r="Q91" s="4" t="s">
        <v>325</v>
      </c>
      <c r="R91" t="str">
        <f t="shared" si="7"/>
        <v>00022026537K6</v>
      </c>
      <c r="S91" s="4" t="s">
        <v>677</v>
      </c>
      <c r="T91" t="s">
        <v>678</v>
      </c>
      <c r="U91" t="str">
        <f t="shared" si="8"/>
        <v>JEANA LASSITER</v>
      </c>
    </row>
    <row r="92" spans="1:21" x14ac:dyDescent="0.2">
      <c r="A92" s="4" t="s">
        <v>407</v>
      </c>
      <c r="B92" s="2">
        <v>19645587</v>
      </c>
      <c r="C92" s="4" t="s">
        <v>408</v>
      </c>
      <c r="D92" s="4" t="s">
        <v>409</v>
      </c>
      <c r="E92" s="3">
        <v>45962</v>
      </c>
      <c r="F92" s="4" t="s">
        <v>48</v>
      </c>
      <c r="G92" s="4" t="s">
        <v>50</v>
      </c>
      <c r="H92" s="4" t="s">
        <v>60</v>
      </c>
      <c r="I92" s="5">
        <v>1</v>
      </c>
      <c r="J92" s="5">
        <v>1</v>
      </c>
      <c r="K92" s="5">
        <v>26.08</v>
      </c>
      <c r="L92" s="4" t="s">
        <v>52</v>
      </c>
      <c r="M92" s="3">
        <v>45566</v>
      </c>
      <c r="N92" t="s">
        <v>512</v>
      </c>
      <c r="O92" s="11" t="s">
        <v>515</v>
      </c>
      <c r="Q92" s="4" t="s">
        <v>409</v>
      </c>
      <c r="R92" t="str">
        <f t="shared" si="7"/>
        <v>00021948322K6</v>
      </c>
      <c r="S92" s="4" t="s">
        <v>679</v>
      </c>
      <c r="T92" t="s">
        <v>551</v>
      </c>
      <c r="U92" t="str">
        <f t="shared" si="8"/>
        <v>TERESA DRAGONETTI</v>
      </c>
    </row>
    <row r="93" spans="1:21" x14ac:dyDescent="0.2">
      <c r="A93" s="4" t="s">
        <v>229</v>
      </c>
      <c r="B93" s="2">
        <v>9079571</v>
      </c>
      <c r="C93" s="4" t="s">
        <v>230</v>
      </c>
      <c r="D93" s="4" t="s">
        <v>231</v>
      </c>
      <c r="E93" s="3">
        <v>45962</v>
      </c>
      <c r="F93" s="4" t="s">
        <v>48</v>
      </c>
      <c r="G93" s="4" t="s">
        <v>50</v>
      </c>
      <c r="H93" s="4" t="s">
        <v>60</v>
      </c>
      <c r="I93" s="5">
        <v>1</v>
      </c>
      <c r="J93" s="5">
        <v>1</v>
      </c>
      <c r="K93" s="5">
        <v>26.08</v>
      </c>
      <c r="L93" s="4" t="s">
        <v>52</v>
      </c>
      <c r="M93" s="3">
        <v>45292</v>
      </c>
      <c r="N93" t="s">
        <v>512</v>
      </c>
      <c r="O93" s="11" t="s">
        <v>515</v>
      </c>
      <c r="Q93" s="4" t="s">
        <v>231</v>
      </c>
      <c r="R93" t="str">
        <f t="shared" si="7"/>
        <v>00018178652K6</v>
      </c>
      <c r="S93" s="4" t="s">
        <v>680</v>
      </c>
      <c r="T93" t="s">
        <v>547</v>
      </c>
      <c r="U93" t="str">
        <f t="shared" si="8"/>
        <v>DAVID ROCCIO</v>
      </c>
    </row>
    <row r="94" spans="1:21" x14ac:dyDescent="0.2">
      <c r="A94" s="4" t="s">
        <v>229</v>
      </c>
      <c r="B94" s="2">
        <v>9079571</v>
      </c>
      <c r="C94" s="4" t="s">
        <v>234</v>
      </c>
      <c r="D94" s="4" t="s">
        <v>235</v>
      </c>
      <c r="E94" s="3">
        <v>45962</v>
      </c>
      <c r="F94" s="4" t="s">
        <v>48</v>
      </c>
      <c r="G94" s="4" t="s">
        <v>50</v>
      </c>
      <c r="H94" s="4" t="s">
        <v>60</v>
      </c>
      <c r="I94" s="5">
        <v>1</v>
      </c>
      <c r="J94" s="5">
        <v>1</v>
      </c>
      <c r="K94" s="5">
        <v>26.08</v>
      </c>
      <c r="L94" s="4" t="s">
        <v>52</v>
      </c>
      <c r="M94" s="3">
        <v>45200</v>
      </c>
      <c r="N94" t="s">
        <v>512</v>
      </c>
      <c r="O94" s="11" t="s">
        <v>515</v>
      </c>
      <c r="Q94" s="4" t="s">
        <v>235</v>
      </c>
      <c r="R94" t="str">
        <f t="shared" si="7"/>
        <v>00020571654K6</v>
      </c>
      <c r="S94" s="4" t="s">
        <v>681</v>
      </c>
      <c r="T94" t="s">
        <v>682</v>
      </c>
      <c r="U94" t="str">
        <f t="shared" si="8"/>
        <v>CHARLOTTE FERRELL</v>
      </c>
    </row>
    <row r="95" spans="1:21" x14ac:dyDescent="0.2">
      <c r="A95" s="4" t="s">
        <v>229</v>
      </c>
      <c r="B95" s="2">
        <v>9079571</v>
      </c>
      <c r="C95" s="4" t="s">
        <v>236</v>
      </c>
      <c r="D95" s="4" t="s">
        <v>237</v>
      </c>
      <c r="E95" s="3">
        <v>45962</v>
      </c>
      <c r="F95" s="4" t="s">
        <v>48</v>
      </c>
      <c r="G95" s="4" t="s">
        <v>50</v>
      </c>
      <c r="H95" s="4" t="s">
        <v>60</v>
      </c>
      <c r="I95" s="5">
        <v>1</v>
      </c>
      <c r="J95" s="5">
        <v>1</v>
      </c>
      <c r="K95" s="5">
        <v>26.08</v>
      </c>
      <c r="L95" s="4" t="s">
        <v>52</v>
      </c>
      <c r="M95" s="3">
        <v>45170</v>
      </c>
      <c r="N95" t="s">
        <v>512</v>
      </c>
      <c r="O95" s="11" t="s">
        <v>515</v>
      </c>
      <c r="Q95" s="4" t="s">
        <v>237</v>
      </c>
      <c r="R95" t="str">
        <f t="shared" si="7"/>
        <v>00020649688K6</v>
      </c>
      <c r="S95" s="4" t="s">
        <v>683</v>
      </c>
      <c r="T95" t="s">
        <v>637</v>
      </c>
      <c r="U95" t="str">
        <f t="shared" si="8"/>
        <v>DONNA CHASE</v>
      </c>
    </row>
    <row r="96" spans="1:21" x14ac:dyDescent="0.2">
      <c r="A96" s="4" t="s">
        <v>229</v>
      </c>
      <c r="B96" s="2">
        <v>9079571</v>
      </c>
      <c r="C96" s="4" t="s">
        <v>240</v>
      </c>
      <c r="D96" s="4" t="s">
        <v>241</v>
      </c>
      <c r="E96" s="3">
        <v>45962</v>
      </c>
      <c r="F96" s="4" t="s">
        <v>48</v>
      </c>
      <c r="G96" s="4" t="s">
        <v>50</v>
      </c>
      <c r="H96" s="4" t="s">
        <v>60</v>
      </c>
      <c r="I96" s="5">
        <v>1</v>
      </c>
      <c r="J96" s="5">
        <v>1</v>
      </c>
      <c r="K96" s="5">
        <v>26.08</v>
      </c>
      <c r="L96" s="4" t="s">
        <v>52</v>
      </c>
      <c r="M96" s="3">
        <v>45292</v>
      </c>
      <c r="N96" t="s">
        <v>512</v>
      </c>
      <c r="O96" s="11" t="s">
        <v>515</v>
      </c>
      <c r="Q96" s="4" t="s">
        <v>241</v>
      </c>
      <c r="R96" t="str">
        <f t="shared" si="7"/>
        <v>00020902900K6</v>
      </c>
      <c r="S96" s="4" t="s">
        <v>684</v>
      </c>
      <c r="T96" t="s">
        <v>657</v>
      </c>
      <c r="U96" t="str">
        <f t="shared" si="8"/>
        <v>RICHARD WINKLER</v>
      </c>
    </row>
    <row r="97" spans="1:21" x14ac:dyDescent="0.2">
      <c r="A97" s="4" t="s">
        <v>229</v>
      </c>
      <c r="B97" s="2">
        <v>9079571</v>
      </c>
      <c r="C97" s="4" t="s">
        <v>242</v>
      </c>
      <c r="D97" s="4" t="s">
        <v>243</v>
      </c>
      <c r="E97" s="3">
        <v>45962</v>
      </c>
      <c r="F97" s="4" t="s">
        <v>48</v>
      </c>
      <c r="G97" s="4" t="s">
        <v>50</v>
      </c>
      <c r="H97" s="4" t="s">
        <v>60</v>
      </c>
      <c r="I97" s="5">
        <v>1</v>
      </c>
      <c r="J97" s="5">
        <v>1</v>
      </c>
      <c r="K97" s="5">
        <v>26.08</v>
      </c>
      <c r="L97" s="4" t="s">
        <v>52</v>
      </c>
      <c r="M97" s="3">
        <v>45261</v>
      </c>
      <c r="N97" t="s">
        <v>512</v>
      </c>
      <c r="O97" s="11" t="s">
        <v>515</v>
      </c>
      <c r="Q97" s="4" t="s">
        <v>243</v>
      </c>
      <c r="R97" t="str">
        <f t="shared" si="7"/>
        <v>00020992055K6</v>
      </c>
      <c r="S97" s="4" t="s">
        <v>685</v>
      </c>
      <c r="T97" t="s">
        <v>686</v>
      </c>
      <c r="U97" t="str">
        <f t="shared" si="8"/>
        <v>JOANNE TERESZCUK</v>
      </c>
    </row>
    <row r="98" spans="1:21" x14ac:dyDescent="0.2">
      <c r="A98" s="4" t="s">
        <v>225</v>
      </c>
      <c r="B98" s="2">
        <v>16228684</v>
      </c>
      <c r="C98" s="4" t="s">
        <v>226</v>
      </c>
      <c r="D98" s="4" t="s">
        <v>227</v>
      </c>
      <c r="E98" s="3">
        <v>45992</v>
      </c>
      <c r="F98" s="4" t="s">
        <v>58</v>
      </c>
      <c r="G98" s="4" t="s">
        <v>50</v>
      </c>
      <c r="H98" s="4" t="s">
        <v>60</v>
      </c>
      <c r="I98" s="5">
        <v>0.08</v>
      </c>
      <c r="J98" s="5">
        <v>1</v>
      </c>
      <c r="K98" s="5">
        <v>26.08</v>
      </c>
      <c r="L98" s="4" t="s">
        <v>61</v>
      </c>
      <c r="M98" s="3">
        <v>45992</v>
      </c>
      <c r="N98" t="s">
        <v>512</v>
      </c>
      <c r="O98" s="11" t="s">
        <v>515</v>
      </c>
      <c r="Q98" s="4" t="s">
        <v>227</v>
      </c>
      <c r="R98" t="str">
        <f t="shared" si="7"/>
        <v>00024895169K6</v>
      </c>
      <c r="S98" s="4" t="s">
        <v>687</v>
      </c>
      <c r="T98" t="s">
        <v>688</v>
      </c>
      <c r="U98" t="str">
        <f t="shared" si="8"/>
        <v>MARYANNE RICCIO</v>
      </c>
    </row>
    <row r="99" spans="1:21" x14ac:dyDescent="0.2">
      <c r="A99" s="4" t="s">
        <v>356</v>
      </c>
      <c r="B99" s="2">
        <v>19200754</v>
      </c>
      <c r="C99" s="4" t="s">
        <v>357</v>
      </c>
      <c r="D99" s="4" t="s">
        <v>358</v>
      </c>
      <c r="E99" s="3">
        <v>45962</v>
      </c>
      <c r="F99" s="4" t="s">
        <v>48</v>
      </c>
      <c r="G99" s="4" t="s">
        <v>50</v>
      </c>
      <c r="H99" s="4" t="s">
        <v>60</v>
      </c>
      <c r="I99" s="5">
        <v>1</v>
      </c>
      <c r="J99" s="5">
        <v>1</v>
      </c>
      <c r="K99" s="5">
        <v>26.08</v>
      </c>
      <c r="L99" s="4" t="s">
        <v>52</v>
      </c>
      <c r="M99" s="3">
        <v>45474</v>
      </c>
      <c r="N99" t="s">
        <v>512</v>
      </c>
      <c r="O99" s="11" t="s">
        <v>515</v>
      </c>
      <c r="Q99" s="4" t="s">
        <v>358</v>
      </c>
      <c r="R99" t="str">
        <f t="shared" si="7"/>
        <v>00021883797K6</v>
      </c>
      <c r="S99" s="4" t="s">
        <v>689</v>
      </c>
      <c r="T99" t="s">
        <v>690</v>
      </c>
      <c r="U99" t="str">
        <f t="shared" si="8"/>
        <v>CHESTER ANTCZAK</v>
      </c>
    </row>
    <row r="100" spans="1:21" x14ac:dyDescent="0.2">
      <c r="A100" s="4" t="s">
        <v>356</v>
      </c>
      <c r="B100" s="2">
        <v>19200754</v>
      </c>
      <c r="C100" s="4" t="s">
        <v>369</v>
      </c>
      <c r="D100" s="4" t="s">
        <v>370</v>
      </c>
      <c r="E100" s="3">
        <v>45962</v>
      </c>
      <c r="F100" s="4" t="s">
        <v>48</v>
      </c>
      <c r="G100" s="4" t="s">
        <v>50</v>
      </c>
      <c r="H100" s="4" t="s">
        <v>60</v>
      </c>
      <c r="I100" s="5">
        <v>1</v>
      </c>
      <c r="J100" s="5">
        <v>1</v>
      </c>
      <c r="K100" s="5">
        <v>26.08</v>
      </c>
      <c r="L100" s="4" t="s">
        <v>52</v>
      </c>
      <c r="M100" s="3">
        <v>45627</v>
      </c>
      <c r="N100" t="s">
        <v>512</v>
      </c>
      <c r="O100" s="11" t="s">
        <v>515</v>
      </c>
      <c r="Q100" s="4" t="s">
        <v>370</v>
      </c>
      <c r="R100" t="str">
        <f t="shared" si="7"/>
        <v>00022406995K6</v>
      </c>
      <c r="S100" s="4" t="s">
        <v>691</v>
      </c>
      <c r="T100" t="s">
        <v>692</v>
      </c>
      <c r="U100" t="str">
        <f t="shared" si="8"/>
        <v>NICOMEDES SILVA</v>
      </c>
    </row>
    <row r="101" spans="1:21" x14ac:dyDescent="0.2">
      <c r="A101" s="4" t="s">
        <v>356</v>
      </c>
      <c r="B101" s="2">
        <v>19200754</v>
      </c>
      <c r="C101" s="4" t="s">
        <v>371</v>
      </c>
      <c r="D101" s="4" t="s">
        <v>372</v>
      </c>
      <c r="E101" s="3">
        <v>45962</v>
      </c>
      <c r="F101" s="4" t="s">
        <v>48</v>
      </c>
      <c r="G101" s="4" t="s">
        <v>50</v>
      </c>
      <c r="H101" s="4" t="s">
        <v>60</v>
      </c>
      <c r="I101" s="5">
        <v>1</v>
      </c>
      <c r="J101" s="5">
        <v>1</v>
      </c>
      <c r="K101" s="5">
        <v>26.08</v>
      </c>
      <c r="L101" s="4" t="s">
        <v>52</v>
      </c>
      <c r="M101" s="3">
        <v>45627</v>
      </c>
      <c r="N101" t="s">
        <v>512</v>
      </c>
      <c r="O101" s="11" t="s">
        <v>515</v>
      </c>
      <c r="Q101" s="4" t="s">
        <v>372</v>
      </c>
      <c r="R101" t="str">
        <f t="shared" si="7"/>
        <v>00022462923K6</v>
      </c>
      <c r="S101" s="4" t="s">
        <v>691</v>
      </c>
      <c r="T101" t="s">
        <v>693</v>
      </c>
      <c r="U101" t="str">
        <f t="shared" si="8"/>
        <v>ADELAIDA SILVA</v>
      </c>
    </row>
    <row r="102" spans="1:21" x14ac:dyDescent="0.2">
      <c r="A102" s="4" t="s">
        <v>356</v>
      </c>
      <c r="B102" s="2">
        <v>19200754</v>
      </c>
      <c r="C102" s="4" t="s">
        <v>375</v>
      </c>
      <c r="D102" s="4" t="s">
        <v>376</v>
      </c>
      <c r="E102" s="3">
        <v>45992</v>
      </c>
      <c r="F102" s="4" t="s">
        <v>58</v>
      </c>
      <c r="G102" s="4" t="s">
        <v>50</v>
      </c>
      <c r="H102" s="4" t="s">
        <v>60</v>
      </c>
      <c r="I102" s="5">
        <v>0.08</v>
      </c>
      <c r="J102" s="5">
        <v>1</v>
      </c>
      <c r="K102" s="5">
        <v>26.08</v>
      </c>
      <c r="L102" s="4" t="s">
        <v>61</v>
      </c>
      <c r="M102" s="3">
        <v>45992</v>
      </c>
      <c r="N102" t="s">
        <v>512</v>
      </c>
      <c r="O102" s="11" t="s">
        <v>515</v>
      </c>
      <c r="Q102" s="4" t="s">
        <v>376</v>
      </c>
      <c r="R102" t="str">
        <f t="shared" si="7"/>
        <v>00024846786K6</v>
      </c>
      <c r="S102" s="35" t="s">
        <v>833</v>
      </c>
      <c r="T102" t="s">
        <v>694</v>
      </c>
      <c r="U102" t="str">
        <f t="shared" si="8"/>
        <v>CONCEPCION DE GUIA</v>
      </c>
    </row>
    <row r="103" spans="1:21" x14ac:dyDescent="0.2">
      <c r="A103" s="4" t="s">
        <v>412</v>
      </c>
      <c r="B103" s="2">
        <v>20490188</v>
      </c>
      <c r="C103" s="4" t="s">
        <v>413</v>
      </c>
      <c r="D103" s="4" t="s">
        <v>414</v>
      </c>
      <c r="E103" s="3">
        <v>45962</v>
      </c>
      <c r="F103" s="4" t="s">
        <v>48</v>
      </c>
      <c r="G103" s="4" t="s">
        <v>50</v>
      </c>
      <c r="H103" s="4" t="s">
        <v>60</v>
      </c>
      <c r="I103" s="5">
        <v>1</v>
      </c>
      <c r="J103" s="5">
        <v>1</v>
      </c>
      <c r="K103" s="5">
        <v>26.08</v>
      </c>
      <c r="L103" s="4" t="s">
        <v>52</v>
      </c>
      <c r="M103" s="3">
        <v>45597</v>
      </c>
      <c r="N103" t="s">
        <v>512</v>
      </c>
      <c r="O103" s="11" t="s">
        <v>515</v>
      </c>
      <c r="Q103" s="4" t="s">
        <v>414</v>
      </c>
      <c r="R103" t="str">
        <f t="shared" si="7"/>
        <v>00000076874F6</v>
      </c>
      <c r="S103" s="4" t="s">
        <v>695</v>
      </c>
      <c r="T103" t="s">
        <v>696</v>
      </c>
      <c r="U103" t="str">
        <f t="shared" si="8"/>
        <v>CAROL SCHABER</v>
      </c>
    </row>
    <row r="104" spans="1:21" x14ac:dyDescent="0.2">
      <c r="A104" s="4" t="s">
        <v>395</v>
      </c>
      <c r="B104" s="2">
        <v>19681796</v>
      </c>
      <c r="C104" s="4" t="s">
        <v>396</v>
      </c>
      <c r="D104" s="4" t="s">
        <v>397</v>
      </c>
      <c r="E104" s="3">
        <v>45962</v>
      </c>
      <c r="F104" s="4" t="s">
        <v>48</v>
      </c>
      <c r="G104" s="4" t="s">
        <v>50</v>
      </c>
      <c r="H104" s="4" t="s">
        <v>60</v>
      </c>
      <c r="I104" s="5">
        <v>1</v>
      </c>
      <c r="J104" s="5">
        <v>1</v>
      </c>
      <c r="K104" s="5">
        <v>26.08</v>
      </c>
      <c r="L104" s="4" t="s">
        <v>52</v>
      </c>
      <c r="M104" s="3">
        <v>45597</v>
      </c>
      <c r="N104" t="s">
        <v>512</v>
      </c>
      <c r="O104" s="11" t="s">
        <v>515</v>
      </c>
      <c r="Q104" s="4" t="s">
        <v>397</v>
      </c>
      <c r="R104" t="str">
        <f t="shared" si="7"/>
        <v>00018671925K6</v>
      </c>
      <c r="S104" s="4" t="s">
        <v>697</v>
      </c>
      <c r="T104" t="s">
        <v>543</v>
      </c>
      <c r="U104" t="str">
        <f t="shared" si="8"/>
        <v>KAREN YOSHIKAWA</v>
      </c>
    </row>
    <row r="105" spans="1:21" x14ac:dyDescent="0.2">
      <c r="A105" s="4" t="s">
        <v>83</v>
      </c>
      <c r="B105" s="2">
        <v>8307933</v>
      </c>
      <c r="C105" s="4" t="s">
        <v>84</v>
      </c>
      <c r="D105" s="4" t="s">
        <v>85</v>
      </c>
      <c r="E105" s="3">
        <v>45962</v>
      </c>
      <c r="F105" s="4" t="s">
        <v>48</v>
      </c>
      <c r="G105" s="4" t="s">
        <v>50</v>
      </c>
      <c r="H105" s="4" t="s">
        <v>60</v>
      </c>
      <c r="I105" s="5">
        <v>1</v>
      </c>
      <c r="J105" s="5">
        <v>1</v>
      </c>
      <c r="K105" s="5">
        <v>26.08</v>
      </c>
      <c r="L105" s="4" t="s">
        <v>52</v>
      </c>
      <c r="M105" s="3">
        <v>45383</v>
      </c>
      <c r="N105" t="s">
        <v>512</v>
      </c>
      <c r="O105" s="11" t="s">
        <v>515</v>
      </c>
      <c r="Q105" s="4" t="s">
        <v>85</v>
      </c>
      <c r="R105" t="str">
        <f t="shared" si="7"/>
        <v>00017785577K6</v>
      </c>
      <c r="S105" s="4" t="s">
        <v>698</v>
      </c>
      <c r="T105" t="s">
        <v>699</v>
      </c>
      <c r="U105" t="str">
        <f t="shared" si="8"/>
        <v>SHARON ALTOM</v>
      </c>
    </row>
    <row r="106" spans="1:21" x14ac:dyDescent="0.2">
      <c r="A106" s="4" t="s">
        <v>83</v>
      </c>
      <c r="B106" s="2">
        <v>8307933</v>
      </c>
      <c r="C106" s="4" t="s">
        <v>86</v>
      </c>
      <c r="D106" s="4" t="s">
        <v>87</v>
      </c>
      <c r="E106" s="3">
        <v>45962</v>
      </c>
      <c r="F106" s="4" t="s">
        <v>48</v>
      </c>
      <c r="G106" s="4" t="s">
        <v>50</v>
      </c>
      <c r="H106" s="4" t="s">
        <v>60</v>
      </c>
      <c r="I106" s="5">
        <v>1</v>
      </c>
      <c r="J106" s="5">
        <v>1</v>
      </c>
      <c r="K106" s="5">
        <v>26.08</v>
      </c>
      <c r="L106" s="4" t="s">
        <v>52</v>
      </c>
      <c r="M106" s="3">
        <v>45047</v>
      </c>
      <c r="N106" t="s">
        <v>512</v>
      </c>
      <c r="O106" s="11" t="s">
        <v>515</v>
      </c>
      <c r="Q106" s="4" t="s">
        <v>87</v>
      </c>
      <c r="R106" t="str">
        <f t="shared" si="7"/>
        <v>00020297143K6</v>
      </c>
      <c r="S106" s="4" t="s">
        <v>700</v>
      </c>
      <c r="T106" t="s">
        <v>701</v>
      </c>
      <c r="U106" t="str">
        <f t="shared" si="8"/>
        <v>RICKEY MCDANIEL</v>
      </c>
    </row>
    <row r="107" spans="1:21" x14ac:dyDescent="0.2">
      <c r="A107" s="4" t="s">
        <v>83</v>
      </c>
      <c r="B107" s="2">
        <v>8307933</v>
      </c>
      <c r="C107" s="4" t="s">
        <v>88</v>
      </c>
      <c r="D107" s="4" t="s">
        <v>89</v>
      </c>
      <c r="E107" s="3">
        <v>45962</v>
      </c>
      <c r="F107" s="4" t="s">
        <v>48</v>
      </c>
      <c r="G107" s="4" t="s">
        <v>50</v>
      </c>
      <c r="H107" s="4" t="s">
        <v>60</v>
      </c>
      <c r="I107" s="5">
        <v>1</v>
      </c>
      <c r="J107" s="5">
        <v>1</v>
      </c>
      <c r="K107" s="5">
        <v>26.08</v>
      </c>
      <c r="L107" s="4" t="s">
        <v>52</v>
      </c>
      <c r="M107" s="3">
        <v>45047</v>
      </c>
      <c r="N107" t="s">
        <v>512</v>
      </c>
      <c r="O107" s="11" t="s">
        <v>515</v>
      </c>
      <c r="Q107" s="4" t="s">
        <v>89</v>
      </c>
      <c r="R107" t="str">
        <f t="shared" si="7"/>
        <v>00020321865K6</v>
      </c>
      <c r="S107" s="4" t="s">
        <v>702</v>
      </c>
      <c r="T107" t="s">
        <v>703</v>
      </c>
      <c r="U107" t="str">
        <f t="shared" si="8"/>
        <v>PEDRO CADENA</v>
      </c>
    </row>
    <row r="108" spans="1:21" x14ac:dyDescent="0.2">
      <c r="A108" s="4" t="s">
        <v>83</v>
      </c>
      <c r="B108" s="2">
        <v>8307933</v>
      </c>
      <c r="C108" s="4" t="s">
        <v>90</v>
      </c>
      <c r="D108" s="4" t="s">
        <v>91</v>
      </c>
      <c r="E108" s="3">
        <v>45962</v>
      </c>
      <c r="F108" s="4" t="s">
        <v>48</v>
      </c>
      <c r="G108" s="4" t="s">
        <v>50</v>
      </c>
      <c r="H108" s="4" t="s">
        <v>60</v>
      </c>
      <c r="I108" s="5">
        <v>1</v>
      </c>
      <c r="J108" s="5">
        <v>1</v>
      </c>
      <c r="K108" s="5">
        <v>26.08</v>
      </c>
      <c r="L108" s="4" t="s">
        <v>52</v>
      </c>
      <c r="M108" s="3">
        <v>45078</v>
      </c>
      <c r="N108" t="s">
        <v>512</v>
      </c>
      <c r="O108" s="11" t="s">
        <v>515</v>
      </c>
      <c r="Q108" s="4" t="s">
        <v>91</v>
      </c>
      <c r="R108" t="str">
        <f t="shared" si="7"/>
        <v>00020347756K6</v>
      </c>
      <c r="S108" s="4" t="s">
        <v>704</v>
      </c>
      <c r="T108" t="s">
        <v>705</v>
      </c>
      <c r="U108" t="str">
        <f t="shared" si="8"/>
        <v>JUANA MCMULLIN</v>
      </c>
    </row>
    <row r="109" spans="1:21" x14ac:dyDescent="0.2">
      <c r="A109" s="4" t="s">
        <v>83</v>
      </c>
      <c r="B109" s="2">
        <v>8307933</v>
      </c>
      <c r="C109" s="4" t="s">
        <v>99</v>
      </c>
      <c r="D109" s="4" t="s">
        <v>100</v>
      </c>
      <c r="E109" s="3">
        <v>45962</v>
      </c>
      <c r="F109" s="4" t="s">
        <v>48</v>
      </c>
      <c r="G109" s="4" t="s">
        <v>50</v>
      </c>
      <c r="H109" s="4" t="s">
        <v>60</v>
      </c>
      <c r="I109" s="5">
        <v>1</v>
      </c>
      <c r="J109" s="5">
        <v>1</v>
      </c>
      <c r="K109" s="5">
        <v>26.08</v>
      </c>
      <c r="L109" s="4" t="s">
        <v>52</v>
      </c>
      <c r="M109" s="3">
        <v>45078</v>
      </c>
      <c r="N109" t="s">
        <v>512</v>
      </c>
      <c r="O109" s="11" t="s">
        <v>515</v>
      </c>
      <c r="Q109" s="4" t="s">
        <v>100</v>
      </c>
      <c r="R109" t="str">
        <f t="shared" si="7"/>
        <v>00020397039K6</v>
      </c>
      <c r="S109" s="4" t="s">
        <v>706</v>
      </c>
      <c r="T109" t="s">
        <v>707</v>
      </c>
      <c r="U109" t="str">
        <f t="shared" si="8"/>
        <v>ROBIN TREW</v>
      </c>
    </row>
    <row r="110" spans="1:21" x14ac:dyDescent="0.2">
      <c r="A110" s="4" t="s">
        <v>83</v>
      </c>
      <c r="B110" s="2">
        <v>8307933</v>
      </c>
      <c r="C110" s="4" t="s">
        <v>101</v>
      </c>
      <c r="D110" s="4" t="s">
        <v>102</v>
      </c>
      <c r="E110" s="3">
        <v>45962</v>
      </c>
      <c r="F110" s="4" t="s">
        <v>48</v>
      </c>
      <c r="G110" s="4" t="s">
        <v>50</v>
      </c>
      <c r="H110" s="4" t="s">
        <v>60</v>
      </c>
      <c r="I110" s="5">
        <v>1</v>
      </c>
      <c r="J110" s="5">
        <v>1</v>
      </c>
      <c r="K110" s="5">
        <v>26.08</v>
      </c>
      <c r="L110" s="4" t="s">
        <v>52</v>
      </c>
      <c r="M110" s="3">
        <v>45078</v>
      </c>
      <c r="N110" t="s">
        <v>512</v>
      </c>
      <c r="O110" s="11" t="s">
        <v>515</v>
      </c>
      <c r="Q110" s="4" t="s">
        <v>102</v>
      </c>
      <c r="R110" t="str">
        <f t="shared" si="7"/>
        <v>00020414954K6</v>
      </c>
      <c r="S110" s="4" t="s">
        <v>708</v>
      </c>
      <c r="T110" t="s">
        <v>709</v>
      </c>
      <c r="U110" t="str">
        <f t="shared" si="8"/>
        <v>CALVIN JOHNSON</v>
      </c>
    </row>
    <row r="111" spans="1:21" x14ac:dyDescent="0.2">
      <c r="A111" s="4" t="s">
        <v>83</v>
      </c>
      <c r="B111" s="2">
        <v>8307933</v>
      </c>
      <c r="C111" s="4" t="s">
        <v>106</v>
      </c>
      <c r="D111" s="4" t="s">
        <v>107</v>
      </c>
      <c r="E111" s="3">
        <v>45962</v>
      </c>
      <c r="F111" s="4" t="s">
        <v>48</v>
      </c>
      <c r="G111" s="4" t="s">
        <v>50</v>
      </c>
      <c r="H111" s="4" t="s">
        <v>60</v>
      </c>
      <c r="I111" s="5">
        <v>1</v>
      </c>
      <c r="J111" s="5">
        <v>1</v>
      </c>
      <c r="K111" s="5">
        <v>26.08</v>
      </c>
      <c r="L111" s="4" t="s">
        <v>52</v>
      </c>
      <c r="M111" s="3">
        <v>45139</v>
      </c>
      <c r="N111" t="s">
        <v>512</v>
      </c>
      <c r="O111" s="11" t="s">
        <v>515</v>
      </c>
      <c r="Q111" s="4" t="s">
        <v>107</v>
      </c>
      <c r="R111" t="str">
        <f t="shared" si="7"/>
        <v>00020478015K6</v>
      </c>
      <c r="S111" s="4" t="s">
        <v>710</v>
      </c>
      <c r="T111" t="s">
        <v>699</v>
      </c>
      <c r="U111" t="str">
        <f t="shared" si="8"/>
        <v>SHARON OLSEN</v>
      </c>
    </row>
    <row r="112" spans="1:21" x14ac:dyDescent="0.2">
      <c r="A112" s="4" t="s">
        <v>83</v>
      </c>
      <c r="B112" s="2">
        <v>8307933</v>
      </c>
      <c r="C112" s="4" t="s">
        <v>108</v>
      </c>
      <c r="D112" s="4" t="s">
        <v>109</v>
      </c>
      <c r="E112" s="3">
        <v>45962</v>
      </c>
      <c r="F112" s="4" t="s">
        <v>48</v>
      </c>
      <c r="G112" s="4" t="s">
        <v>50</v>
      </c>
      <c r="H112" s="4" t="s">
        <v>60</v>
      </c>
      <c r="I112" s="5">
        <v>1</v>
      </c>
      <c r="J112" s="5">
        <v>1</v>
      </c>
      <c r="K112" s="5">
        <v>26.08</v>
      </c>
      <c r="L112" s="4" t="s">
        <v>52</v>
      </c>
      <c r="M112" s="3">
        <v>45139</v>
      </c>
      <c r="N112" t="s">
        <v>512</v>
      </c>
      <c r="O112" s="11" t="s">
        <v>515</v>
      </c>
      <c r="Q112" s="4" t="s">
        <v>109</v>
      </c>
      <c r="R112" t="str">
        <f t="shared" ref="R112:R175" si="9">CONCATENATE(Q112,6)</f>
        <v>00020575930K6</v>
      </c>
      <c r="S112" s="4" t="s">
        <v>711</v>
      </c>
      <c r="T112" t="s">
        <v>712</v>
      </c>
      <c r="U112" t="str">
        <f t="shared" si="8"/>
        <v>ERIC SHULTZ</v>
      </c>
    </row>
    <row r="113" spans="1:21" x14ac:dyDescent="0.2">
      <c r="A113" s="4" t="s">
        <v>83</v>
      </c>
      <c r="B113" s="2">
        <v>8307933</v>
      </c>
      <c r="C113" s="4" t="s">
        <v>110</v>
      </c>
      <c r="D113" s="4" t="s">
        <v>111</v>
      </c>
      <c r="E113" s="3">
        <v>45962</v>
      </c>
      <c r="F113" s="4" t="s">
        <v>48</v>
      </c>
      <c r="G113" s="4" t="s">
        <v>50</v>
      </c>
      <c r="H113" s="4" t="s">
        <v>60</v>
      </c>
      <c r="I113" s="5">
        <v>1</v>
      </c>
      <c r="J113" s="5">
        <v>1</v>
      </c>
      <c r="K113" s="5">
        <v>26.08</v>
      </c>
      <c r="L113" s="4" t="s">
        <v>52</v>
      </c>
      <c r="M113" s="3">
        <v>45292</v>
      </c>
      <c r="N113" t="s">
        <v>512</v>
      </c>
      <c r="O113" s="11" t="s">
        <v>515</v>
      </c>
      <c r="Q113" s="4" t="s">
        <v>111</v>
      </c>
      <c r="R113" t="str">
        <f t="shared" si="9"/>
        <v>00020589807K6</v>
      </c>
      <c r="S113" s="4" t="s">
        <v>713</v>
      </c>
      <c r="T113" t="s">
        <v>714</v>
      </c>
      <c r="U113" t="str">
        <f t="shared" si="8"/>
        <v>JODY BOYD</v>
      </c>
    </row>
    <row r="114" spans="1:21" x14ac:dyDescent="0.2">
      <c r="A114" s="4" t="s">
        <v>83</v>
      </c>
      <c r="B114" s="2">
        <v>8307933</v>
      </c>
      <c r="C114" s="4" t="s">
        <v>112</v>
      </c>
      <c r="D114" s="4" t="s">
        <v>113</v>
      </c>
      <c r="E114" s="3">
        <v>45962</v>
      </c>
      <c r="F114" s="4" t="s">
        <v>48</v>
      </c>
      <c r="G114" s="4" t="s">
        <v>50</v>
      </c>
      <c r="H114" s="4" t="s">
        <v>60</v>
      </c>
      <c r="I114" s="5">
        <v>1</v>
      </c>
      <c r="J114" s="5">
        <v>1</v>
      </c>
      <c r="K114" s="5">
        <v>26.08</v>
      </c>
      <c r="L114" s="4" t="s">
        <v>52</v>
      </c>
      <c r="M114" s="3">
        <v>45170</v>
      </c>
      <c r="N114" t="s">
        <v>512</v>
      </c>
      <c r="O114" s="11" t="s">
        <v>515</v>
      </c>
      <c r="Q114" s="4" t="s">
        <v>113</v>
      </c>
      <c r="R114" t="str">
        <f t="shared" si="9"/>
        <v>00020683226K6</v>
      </c>
      <c r="S114" s="4" t="s">
        <v>715</v>
      </c>
      <c r="T114" t="s">
        <v>716</v>
      </c>
      <c r="U114" t="str">
        <f t="shared" si="8"/>
        <v>KATHERINE HEIL</v>
      </c>
    </row>
    <row r="115" spans="1:21" x14ac:dyDescent="0.2">
      <c r="A115" s="4" t="s">
        <v>83</v>
      </c>
      <c r="B115" s="2">
        <v>8307933</v>
      </c>
      <c r="C115" s="4" t="s">
        <v>114</v>
      </c>
      <c r="D115" s="4" t="s">
        <v>115</v>
      </c>
      <c r="E115" s="3">
        <v>45962</v>
      </c>
      <c r="F115" s="4" t="s">
        <v>48</v>
      </c>
      <c r="G115" s="4" t="s">
        <v>50</v>
      </c>
      <c r="H115" s="4" t="s">
        <v>60</v>
      </c>
      <c r="I115" s="5">
        <v>1</v>
      </c>
      <c r="J115" s="5">
        <v>1</v>
      </c>
      <c r="K115" s="5">
        <v>26.08</v>
      </c>
      <c r="L115" s="4" t="s">
        <v>52</v>
      </c>
      <c r="M115" s="3">
        <v>45170</v>
      </c>
      <c r="N115" t="s">
        <v>512</v>
      </c>
      <c r="O115" s="11" t="s">
        <v>515</v>
      </c>
      <c r="Q115" s="4" t="s">
        <v>115</v>
      </c>
      <c r="R115" t="str">
        <f t="shared" si="9"/>
        <v>00020693708K6</v>
      </c>
      <c r="S115" s="4" t="s">
        <v>717</v>
      </c>
      <c r="T115" t="s">
        <v>606</v>
      </c>
      <c r="U115" t="str">
        <f t="shared" si="8"/>
        <v>PATRICIA HARKER</v>
      </c>
    </row>
    <row r="116" spans="1:21" x14ac:dyDescent="0.2">
      <c r="A116" s="4" t="s">
        <v>83</v>
      </c>
      <c r="B116" s="2">
        <v>8307933</v>
      </c>
      <c r="C116" s="4" t="s">
        <v>117</v>
      </c>
      <c r="D116" s="4" t="s">
        <v>118</v>
      </c>
      <c r="E116" s="3">
        <v>45962</v>
      </c>
      <c r="F116" s="4" t="s">
        <v>48</v>
      </c>
      <c r="G116" s="4" t="s">
        <v>50</v>
      </c>
      <c r="H116" s="4" t="s">
        <v>60</v>
      </c>
      <c r="I116" s="5">
        <v>1</v>
      </c>
      <c r="J116" s="5">
        <v>1</v>
      </c>
      <c r="K116" s="5">
        <v>26.08</v>
      </c>
      <c r="L116" s="4" t="s">
        <v>52</v>
      </c>
      <c r="M116" s="3">
        <v>45200</v>
      </c>
      <c r="N116" t="s">
        <v>512</v>
      </c>
      <c r="O116" s="11" t="s">
        <v>515</v>
      </c>
      <c r="Q116" s="4" t="s">
        <v>118</v>
      </c>
      <c r="R116" t="str">
        <f t="shared" si="9"/>
        <v>00020708049K6</v>
      </c>
      <c r="S116" s="4" t="s">
        <v>718</v>
      </c>
      <c r="T116" t="s">
        <v>719</v>
      </c>
      <c r="U116" t="str">
        <f t="shared" si="8"/>
        <v>JANET KALCSICS</v>
      </c>
    </row>
    <row r="117" spans="1:21" x14ac:dyDescent="0.2">
      <c r="A117" s="4" t="s">
        <v>83</v>
      </c>
      <c r="B117" s="2">
        <v>8307933</v>
      </c>
      <c r="C117" s="4" t="s">
        <v>119</v>
      </c>
      <c r="D117" s="4" t="s">
        <v>120</v>
      </c>
      <c r="E117" s="3">
        <v>45962</v>
      </c>
      <c r="F117" s="4" t="s">
        <v>48</v>
      </c>
      <c r="G117" s="4" t="s">
        <v>50</v>
      </c>
      <c r="H117" s="4" t="s">
        <v>60</v>
      </c>
      <c r="I117" s="5">
        <v>1</v>
      </c>
      <c r="J117" s="5">
        <v>1</v>
      </c>
      <c r="K117" s="5">
        <v>26.08</v>
      </c>
      <c r="L117" s="4" t="s">
        <v>52</v>
      </c>
      <c r="M117" s="3">
        <v>45200</v>
      </c>
      <c r="N117" t="s">
        <v>512</v>
      </c>
      <c r="O117" s="11" t="s">
        <v>515</v>
      </c>
      <c r="Q117" s="4" t="s">
        <v>120</v>
      </c>
      <c r="R117" t="str">
        <f t="shared" si="9"/>
        <v>00020732566K6</v>
      </c>
      <c r="S117" s="4" t="s">
        <v>720</v>
      </c>
      <c r="T117" t="s">
        <v>721</v>
      </c>
      <c r="U117" t="str">
        <f t="shared" si="8"/>
        <v>KEVIN BAILEY</v>
      </c>
    </row>
    <row r="118" spans="1:21" x14ac:dyDescent="0.2">
      <c r="A118" s="4" t="s">
        <v>83</v>
      </c>
      <c r="B118" s="2">
        <v>8307933</v>
      </c>
      <c r="C118" s="4" t="s">
        <v>121</v>
      </c>
      <c r="D118" s="4" t="s">
        <v>122</v>
      </c>
      <c r="E118" s="3">
        <v>45962</v>
      </c>
      <c r="F118" s="4" t="s">
        <v>48</v>
      </c>
      <c r="G118" s="4" t="s">
        <v>50</v>
      </c>
      <c r="H118" s="4" t="s">
        <v>60</v>
      </c>
      <c r="I118" s="5">
        <v>1</v>
      </c>
      <c r="J118" s="5">
        <v>1</v>
      </c>
      <c r="K118" s="5">
        <v>26.08</v>
      </c>
      <c r="L118" s="4" t="s">
        <v>52</v>
      </c>
      <c r="M118" s="3">
        <v>45292</v>
      </c>
      <c r="N118" t="s">
        <v>512</v>
      </c>
      <c r="O118" s="11" t="s">
        <v>515</v>
      </c>
      <c r="Q118" s="4" t="s">
        <v>122</v>
      </c>
      <c r="R118" t="str">
        <f t="shared" si="9"/>
        <v>00020808788K6</v>
      </c>
      <c r="S118" s="4" t="s">
        <v>722</v>
      </c>
      <c r="T118" t="s">
        <v>723</v>
      </c>
      <c r="U118" t="str">
        <f t="shared" si="8"/>
        <v>KIM HATFIELD</v>
      </c>
    </row>
    <row r="119" spans="1:21" x14ac:dyDescent="0.2">
      <c r="A119" s="4" t="s">
        <v>83</v>
      </c>
      <c r="B119" s="2">
        <v>8307933</v>
      </c>
      <c r="C119" s="4" t="s">
        <v>123</v>
      </c>
      <c r="D119" s="4" t="s">
        <v>124</v>
      </c>
      <c r="E119" s="3">
        <v>45962</v>
      </c>
      <c r="F119" s="4" t="s">
        <v>48</v>
      </c>
      <c r="G119" s="4" t="s">
        <v>50</v>
      </c>
      <c r="H119" s="4" t="s">
        <v>60</v>
      </c>
      <c r="I119" s="5">
        <v>1</v>
      </c>
      <c r="J119" s="5">
        <v>1</v>
      </c>
      <c r="K119" s="5">
        <v>26.08</v>
      </c>
      <c r="L119" s="4" t="s">
        <v>52</v>
      </c>
      <c r="M119" s="3">
        <v>45292</v>
      </c>
      <c r="N119" t="s">
        <v>512</v>
      </c>
      <c r="O119" s="11" t="s">
        <v>515</v>
      </c>
      <c r="Q119" s="4" t="s">
        <v>124</v>
      </c>
      <c r="R119" t="str">
        <f t="shared" si="9"/>
        <v>00020842891K6</v>
      </c>
      <c r="S119" s="4" t="s">
        <v>722</v>
      </c>
      <c r="T119" t="s">
        <v>724</v>
      </c>
      <c r="U119" t="str">
        <f t="shared" si="8"/>
        <v>LAWRENCE HATFIELD</v>
      </c>
    </row>
    <row r="120" spans="1:21" x14ac:dyDescent="0.2">
      <c r="A120" s="4" t="s">
        <v>83</v>
      </c>
      <c r="B120" s="2">
        <v>8307933</v>
      </c>
      <c r="C120" s="4" t="s">
        <v>125</v>
      </c>
      <c r="D120" s="4" t="s">
        <v>126</v>
      </c>
      <c r="E120" s="3">
        <v>45962</v>
      </c>
      <c r="F120" s="4" t="s">
        <v>48</v>
      </c>
      <c r="G120" s="4" t="s">
        <v>50</v>
      </c>
      <c r="H120" s="4" t="s">
        <v>60</v>
      </c>
      <c r="I120" s="5">
        <v>1</v>
      </c>
      <c r="J120" s="5">
        <v>1</v>
      </c>
      <c r="K120" s="5">
        <v>26.08</v>
      </c>
      <c r="L120" s="4" t="s">
        <v>52</v>
      </c>
      <c r="M120" s="3">
        <v>45292</v>
      </c>
      <c r="N120" t="s">
        <v>512</v>
      </c>
      <c r="O120" s="11" t="s">
        <v>515</v>
      </c>
      <c r="Q120" s="4" t="s">
        <v>126</v>
      </c>
      <c r="R120" t="str">
        <f t="shared" si="9"/>
        <v>00020895862K6</v>
      </c>
      <c r="S120" s="4" t="s">
        <v>704</v>
      </c>
      <c r="T120" t="s">
        <v>725</v>
      </c>
      <c r="U120" t="str">
        <f t="shared" si="8"/>
        <v>PAUL MCMULLIN</v>
      </c>
    </row>
    <row r="121" spans="1:21" x14ac:dyDescent="0.2">
      <c r="A121" s="4" t="s">
        <v>83</v>
      </c>
      <c r="B121" s="2">
        <v>8307933</v>
      </c>
      <c r="C121" s="4" t="s">
        <v>127</v>
      </c>
      <c r="D121" s="4" t="s">
        <v>128</v>
      </c>
      <c r="E121" s="3">
        <v>45962</v>
      </c>
      <c r="F121" s="4" t="s">
        <v>48</v>
      </c>
      <c r="G121" s="4" t="s">
        <v>50</v>
      </c>
      <c r="H121" s="4" t="s">
        <v>60</v>
      </c>
      <c r="I121" s="5">
        <v>1</v>
      </c>
      <c r="J121" s="5">
        <v>1</v>
      </c>
      <c r="K121" s="5">
        <v>26.08</v>
      </c>
      <c r="L121" s="4" t="s">
        <v>52</v>
      </c>
      <c r="M121" s="3">
        <v>45292</v>
      </c>
      <c r="N121" t="s">
        <v>512</v>
      </c>
      <c r="O121" s="11" t="s">
        <v>515</v>
      </c>
      <c r="Q121" s="4" t="s">
        <v>128</v>
      </c>
      <c r="R121" t="str">
        <f t="shared" si="9"/>
        <v>00020923530K6</v>
      </c>
      <c r="S121" s="4" t="s">
        <v>726</v>
      </c>
      <c r="T121" t="s">
        <v>727</v>
      </c>
      <c r="U121" t="str">
        <f t="shared" si="8"/>
        <v>DEBRA HOWARD</v>
      </c>
    </row>
    <row r="122" spans="1:21" x14ac:dyDescent="0.2">
      <c r="A122" s="4" t="s">
        <v>83</v>
      </c>
      <c r="B122" s="2">
        <v>8307933</v>
      </c>
      <c r="C122" s="4" t="s">
        <v>131</v>
      </c>
      <c r="D122" s="4" t="s">
        <v>132</v>
      </c>
      <c r="E122" s="3">
        <v>45962</v>
      </c>
      <c r="F122" s="4" t="s">
        <v>48</v>
      </c>
      <c r="G122" s="4" t="s">
        <v>50</v>
      </c>
      <c r="H122" s="4" t="s">
        <v>60</v>
      </c>
      <c r="I122" s="5">
        <v>1</v>
      </c>
      <c r="J122" s="5">
        <v>1</v>
      </c>
      <c r="K122" s="5">
        <v>26.08</v>
      </c>
      <c r="L122" s="4" t="s">
        <v>52</v>
      </c>
      <c r="M122" s="3">
        <v>45261</v>
      </c>
      <c r="N122" t="s">
        <v>512</v>
      </c>
      <c r="O122" s="11" t="s">
        <v>515</v>
      </c>
      <c r="Q122" s="4" t="s">
        <v>132</v>
      </c>
      <c r="R122" t="str">
        <f t="shared" si="9"/>
        <v>00021141899K6</v>
      </c>
      <c r="S122" s="4" t="s">
        <v>711</v>
      </c>
      <c r="T122" t="s">
        <v>728</v>
      </c>
      <c r="U122" t="str">
        <f t="shared" si="8"/>
        <v>LINDA SHULTZ</v>
      </c>
    </row>
    <row r="123" spans="1:21" x14ac:dyDescent="0.2">
      <c r="A123" s="4" t="s">
        <v>83</v>
      </c>
      <c r="B123" s="2">
        <v>8307933</v>
      </c>
      <c r="C123" s="4" t="s">
        <v>133</v>
      </c>
      <c r="D123" s="4" t="s">
        <v>134</v>
      </c>
      <c r="E123" s="3">
        <v>45962</v>
      </c>
      <c r="F123" s="4" t="s">
        <v>48</v>
      </c>
      <c r="G123" s="4" t="s">
        <v>50</v>
      </c>
      <c r="H123" s="4" t="s">
        <v>60</v>
      </c>
      <c r="I123" s="5">
        <v>1</v>
      </c>
      <c r="J123" s="5">
        <v>1</v>
      </c>
      <c r="K123" s="5">
        <v>26.08</v>
      </c>
      <c r="L123" s="4" t="s">
        <v>52</v>
      </c>
      <c r="M123" s="3">
        <v>45292</v>
      </c>
      <c r="N123" t="s">
        <v>512</v>
      </c>
      <c r="O123" s="11" t="s">
        <v>515</v>
      </c>
      <c r="Q123" s="4" t="s">
        <v>134</v>
      </c>
      <c r="R123" t="str">
        <f t="shared" si="9"/>
        <v>00021277491K6</v>
      </c>
      <c r="S123" s="4" t="s">
        <v>729</v>
      </c>
      <c r="T123" t="s">
        <v>730</v>
      </c>
      <c r="U123" t="str">
        <f t="shared" si="8"/>
        <v>BARBARA COLSON</v>
      </c>
    </row>
    <row r="124" spans="1:21" x14ac:dyDescent="0.2">
      <c r="A124" s="4" t="s">
        <v>83</v>
      </c>
      <c r="B124" s="2">
        <v>8307933</v>
      </c>
      <c r="C124" s="4" t="s">
        <v>135</v>
      </c>
      <c r="D124" s="4" t="s">
        <v>136</v>
      </c>
      <c r="E124" s="3">
        <v>45962</v>
      </c>
      <c r="F124" s="4" t="s">
        <v>48</v>
      </c>
      <c r="G124" s="4" t="s">
        <v>50</v>
      </c>
      <c r="H124" s="4" t="s">
        <v>60</v>
      </c>
      <c r="I124" s="5">
        <v>1</v>
      </c>
      <c r="J124" s="5">
        <v>1</v>
      </c>
      <c r="K124" s="5">
        <v>26.08</v>
      </c>
      <c r="L124" s="4" t="s">
        <v>52</v>
      </c>
      <c r="M124" s="3">
        <v>45292</v>
      </c>
      <c r="N124" t="s">
        <v>512</v>
      </c>
      <c r="O124" s="11" t="s">
        <v>515</v>
      </c>
      <c r="Q124" s="4" t="s">
        <v>136</v>
      </c>
      <c r="R124" t="str">
        <f t="shared" si="9"/>
        <v>00021357828K6</v>
      </c>
      <c r="S124" s="4" t="s">
        <v>729</v>
      </c>
      <c r="T124" t="s">
        <v>537</v>
      </c>
      <c r="U124" t="str">
        <f t="shared" si="8"/>
        <v>JAMES COLSON</v>
      </c>
    </row>
    <row r="125" spans="1:21" x14ac:dyDescent="0.2">
      <c r="A125" s="4" t="s">
        <v>83</v>
      </c>
      <c r="B125" s="2">
        <v>8307933</v>
      </c>
      <c r="C125" s="4" t="s">
        <v>137</v>
      </c>
      <c r="D125" s="4" t="s">
        <v>138</v>
      </c>
      <c r="E125" s="3">
        <v>45962</v>
      </c>
      <c r="F125" s="4" t="s">
        <v>48</v>
      </c>
      <c r="G125" s="4" t="s">
        <v>50</v>
      </c>
      <c r="H125" s="4" t="s">
        <v>60</v>
      </c>
      <c r="I125" s="5">
        <v>1</v>
      </c>
      <c r="J125" s="5">
        <v>1</v>
      </c>
      <c r="K125" s="5">
        <v>26.08</v>
      </c>
      <c r="L125" s="4" t="s">
        <v>52</v>
      </c>
      <c r="M125" s="3">
        <v>45292</v>
      </c>
      <c r="N125" t="s">
        <v>512</v>
      </c>
      <c r="O125" s="11" t="s">
        <v>515</v>
      </c>
      <c r="Q125" s="4" t="s">
        <v>138</v>
      </c>
      <c r="R125" t="str">
        <f t="shared" si="9"/>
        <v>00021436640K6</v>
      </c>
      <c r="S125" s="4" t="s">
        <v>731</v>
      </c>
      <c r="T125" t="s">
        <v>547</v>
      </c>
      <c r="U125" t="str">
        <f t="shared" si="8"/>
        <v>DAVID TURNER</v>
      </c>
    </row>
    <row r="126" spans="1:21" x14ac:dyDescent="0.2">
      <c r="A126" s="4" t="s">
        <v>83</v>
      </c>
      <c r="B126" s="2">
        <v>8307933</v>
      </c>
      <c r="C126" s="4" t="s">
        <v>139</v>
      </c>
      <c r="D126" s="4" t="s">
        <v>140</v>
      </c>
      <c r="E126" s="3">
        <v>45962</v>
      </c>
      <c r="F126" s="4" t="s">
        <v>48</v>
      </c>
      <c r="G126" s="4" t="s">
        <v>50</v>
      </c>
      <c r="H126" s="4" t="s">
        <v>60</v>
      </c>
      <c r="I126" s="5">
        <v>1</v>
      </c>
      <c r="J126" s="5">
        <v>1</v>
      </c>
      <c r="K126" s="5">
        <v>26.08</v>
      </c>
      <c r="L126" s="4" t="s">
        <v>52</v>
      </c>
      <c r="M126" s="3">
        <v>45323</v>
      </c>
      <c r="N126" t="s">
        <v>512</v>
      </c>
      <c r="O126" s="11" t="s">
        <v>515</v>
      </c>
      <c r="Q126" s="4" t="s">
        <v>140</v>
      </c>
      <c r="R126" t="str">
        <f t="shared" si="9"/>
        <v>00021503102K6</v>
      </c>
      <c r="S126" s="4" t="s">
        <v>732</v>
      </c>
      <c r="T126" t="s">
        <v>528</v>
      </c>
      <c r="U126" t="str">
        <f t="shared" si="8"/>
        <v>MICHAEL HEIN</v>
      </c>
    </row>
    <row r="127" spans="1:21" x14ac:dyDescent="0.2">
      <c r="A127" s="4" t="s">
        <v>83</v>
      </c>
      <c r="B127" s="2">
        <v>8307933</v>
      </c>
      <c r="C127" s="4" t="s">
        <v>141</v>
      </c>
      <c r="D127" s="4" t="s">
        <v>142</v>
      </c>
      <c r="E127" s="3">
        <v>45962</v>
      </c>
      <c r="F127" s="4" t="s">
        <v>48</v>
      </c>
      <c r="G127" s="4" t="s">
        <v>50</v>
      </c>
      <c r="H127" s="4" t="s">
        <v>60</v>
      </c>
      <c r="I127" s="5">
        <v>1</v>
      </c>
      <c r="J127" s="5">
        <v>1</v>
      </c>
      <c r="K127" s="5">
        <v>26.08</v>
      </c>
      <c r="L127" s="4" t="s">
        <v>52</v>
      </c>
      <c r="M127" s="3">
        <v>45413</v>
      </c>
      <c r="N127" t="s">
        <v>512</v>
      </c>
      <c r="O127" s="11" t="s">
        <v>515</v>
      </c>
      <c r="Q127" s="4" t="s">
        <v>142</v>
      </c>
      <c r="R127" t="str">
        <f t="shared" si="9"/>
        <v>00021538841K6</v>
      </c>
      <c r="S127" s="4" t="s">
        <v>733</v>
      </c>
      <c r="T127" t="s">
        <v>734</v>
      </c>
      <c r="U127" t="str">
        <f t="shared" si="8"/>
        <v>CATHY MCVICKER</v>
      </c>
    </row>
    <row r="128" spans="1:21" x14ac:dyDescent="0.2">
      <c r="A128" s="4" t="s">
        <v>83</v>
      </c>
      <c r="B128" s="2">
        <v>8307933</v>
      </c>
      <c r="C128" s="4" t="s">
        <v>143</v>
      </c>
      <c r="D128" s="4" t="s">
        <v>144</v>
      </c>
      <c r="E128" s="3">
        <v>45962</v>
      </c>
      <c r="F128" s="4" t="s">
        <v>48</v>
      </c>
      <c r="G128" s="4" t="s">
        <v>50</v>
      </c>
      <c r="H128" s="4" t="s">
        <v>60</v>
      </c>
      <c r="I128" s="5">
        <v>1</v>
      </c>
      <c r="J128" s="5">
        <v>1</v>
      </c>
      <c r="K128" s="5">
        <v>26.08</v>
      </c>
      <c r="L128" s="4" t="s">
        <v>52</v>
      </c>
      <c r="M128" s="3">
        <v>45383</v>
      </c>
      <c r="N128" t="s">
        <v>512</v>
      </c>
      <c r="O128" s="11" t="s">
        <v>515</v>
      </c>
      <c r="Q128" s="4" t="s">
        <v>144</v>
      </c>
      <c r="R128" t="str">
        <f t="shared" si="9"/>
        <v>00021570979K6</v>
      </c>
      <c r="S128" s="4" t="s">
        <v>735</v>
      </c>
      <c r="T128" t="s">
        <v>736</v>
      </c>
      <c r="U128" t="str">
        <f t="shared" si="8"/>
        <v>TERRI WENINEGAR</v>
      </c>
    </row>
    <row r="129" spans="1:21" x14ac:dyDescent="0.2">
      <c r="A129" s="4" t="s">
        <v>83</v>
      </c>
      <c r="B129" s="2">
        <v>8307933</v>
      </c>
      <c r="C129" s="4" t="s">
        <v>145</v>
      </c>
      <c r="D129" s="4" t="s">
        <v>146</v>
      </c>
      <c r="E129" s="3">
        <v>45962</v>
      </c>
      <c r="F129" s="4" t="s">
        <v>48</v>
      </c>
      <c r="G129" s="4" t="s">
        <v>50</v>
      </c>
      <c r="H129" s="4" t="s">
        <v>60</v>
      </c>
      <c r="I129" s="5">
        <v>1</v>
      </c>
      <c r="J129" s="5">
        <v>1</v>
      </c>
      <c r="K129" s="5">
        <v>26.08</v>
      </c>
      <c r="L129" s="4" t="s">
        <v>52</v>
      </c>
      <c r="M129" s="3">
        <v>45352</v>
      </c>
      <c r="N129" t="s">
        <v>512</v>
      </c>
      <c r="O129" s="11" t="s">
        <v>515</v>
      </c>
      <c r="Q129" s="4" t="s">
        <v>146</v>
      </c>
      <c r="R129" t="str">
        <f t="shared" si="9"/>
        <v>00021584191K6</v>
      </c>
      <c r="S129" s="4" t="s">
        <v>737</v>
      </c>
      <c r="T129" t="s">
        <v>738</v>
      </c>
      <c r="U129" t="str">
        <f t="shared" si="8"/>
        <v>PRISCILLA ORTIZ</v>
      </c>
    </row>
    <row r="130" spans="1:21" x14ac:dyDescent="0.2">
      <c r="A130" s="4" t="s">
        <v>83</v>
      </c>
      <c r="B130" s="2">
        <v>8307933</v>
      </c>
      <c r="C130" s="4" t="s">
        <v>147</v>
      </c>
      <c r="D130" s="4" t="s">
        <v>148</v>
      </c>
      <c r="E130" s="3">
        <v>45962</v>
      </c>
      <c r="F130" s="4" t="s">
        <v>48</v>
      </c>
      <c r="G130" s="4" t="s">
        <v>50</v>
      </c>
      <c r="H130" s="4" t="s">
        <v>60</v>
      </c>
      <c r="I130" s="5">
        <v>1</v>
      </c>
      <c r="J130" s="5">
        <v>1</v>
      </c>
      <c r="K130" s="5">
        <v>26.08</v>
      </c>
      <c r="L130" s="4" t="s">
        <v>52</v>
      </c>
      <c r="M130" s="3">
        <v>45413</v>
      </c>
      <c r="N130" t="s">
        <v>512</v>
      </c>
      <c r="O130" s="11" t="s">
        <v>515</v>
      </c>
      <c r="Q130" s="4" t="s">
        <v>148</v>
      </c>
      <c r="R130" t="str">
        <f t="shared" si="9"/>
        <v>00021594731K6</v>
      </c>
      <c r="S130" s="4" t="s">
        <v>739</v>
      </c>
      <c r="T130" t="s">
        <v>740</v>
      </c>
      <c r="U130" t="str">
        <f t="shared" si="8"/>
        <v>ALICE NASIFE</v>
      </c>
    </row>
    <row r="131" spans="1:21" x14ac:dyDescent="0.2">
      <c r="A131" s="4" t="s">
        <v>83</v>
      </c>
      <c r="B131" s="2">
        <v>8307933</v>
      </c>
      <c r="C131" s="4" t="s">
        <v>149</v>
      </c>
      <c r="D131" s="4" t="s">
        <v>150</v>
      </c>
      <c r="E131" s="3">
        <v>45962</v>
      </c>
      <c r="F131" s="4" t="s">
        <v>48</v>
      </c>
      <c r="G131" s="4" t="s">
        <v>50</v>
      </c>
      <c r="H131" s="4" t="s">
        <v>60</v>
      </c>
      <c r="I131" s="5">
        <v>1</v>
      </c>
      <c r="J131" s="5">
        <v>1</v>
      </c>
      <c r="K131" s="5">
        <v>26.08</v>
      </c>
      <c r="L131" s="4" t="s">
        <v>52</v>
      </c>
      <c r="M131" s="3">
        <v>45444</v>
      </c>
      <c r="N131" t="s">
        <v>512</v>
      </c>
      <c r="O131" s="11" t="s">
        <v>515</v>
      </c>
      <c r="Q131" s="4" t="s">
        <v>150</v>
      </c>
      <c r="R131" t="str">
        <f t="shared" si="9"/>
        <v>00021641743K6</v>
      </c>
      <c r="S131" s="4" t="s">
        <v>741</v>
      </c>
      <c r="T131" t="s">
        <v>533</v>
      </c>
      <c r="U131" t="str">
        <f t="shared" ref="U131:U186" si="10">CONCATENATE(T131," ",S131)</f>
        <v>RAYMOND HUMPHRIES</v>
      </c>
    </row>
    <row r="132" spans="1:21" x14ac:dyDescent="0.2">
      <c r="A132" s="4" t="s">
        <v>83</v>
      </c>
      <c r="B132" s="2">
        <v>8307933</v>
      </c>
      <c r="C132" s="4" t="s">
        <v>151</v>
      </c>
      <c r="D132" s="4" t="s">
        <v>152</v>
      </c>
      <c r="E132" s="3">
        <v>45962</v>
      </c>
      <c r="F132" s="4" t="s">
        <v>48</v>
      </c>
      <c r="G132" s="4" t="s">
        <v>50</v>
      </c>
      <c r="H132" s="4" t="s">
        <v>60</v>
      </c>
      <c r="I132" s="5">
        <v>1</v>
      </c>
      <c r="J132" s="5">
        <v>1</v>
      </c>
      <c r="K132" s="5">
        <v>26.08</v>
      </c>
      <c r="L132" s="4" t="s">
        <v>52</v>
      </c>
      <c r="M132" s="3">
        <v>45444</v>
      </c>
      <c r="N132" t="s">
        <v>512</v>
      </c>
      <c r="O132" s="11" t="s">
        <v>515</v>
      </c>
      <c r="Q132" s="4" t="s">
        <v>152</v>
      </c>
      <c r="R132" t="str">
        <f t="shared" si="9"/>
        <v>00021686716K6</v>
      </c>
      <c r="S132" s="4" t="s">
        <v>698</v>
      </c>
      <c r="T132" t="s">
        <v>742</v>
      </c>
      <c r="U132" t="str">
        <f t="shared" si="10"/>
        <v>LONNIE ALTOM</v>
      </c>
    </row>
    <row r="133" spans="1:21" x14ac:dyDescent="0.2">
      <c r="A133" s="4" t="s">
        <v>83</v>
      </c>
      <c r="B133" s="2">
        <v>8307933</v>
      </c>
      <c r="C133" s="4" t="s">
        <v>153</v>
      </c>
      <c r="D133" s="4" t="s">
        <v>154</v>
      </c>
      <c r="E133" s="3">
        <v>45962</v>
      </c>
      <c r="F133" s="4" t="s">
        <v>48</v>
      </c>
      <c r="G133" s="4" t="s">
        <v>50</v>
      </c>
      <c r="H133" s="4" t="s">
        <v>60</v>
      </c>
      <c r="I133" s="5">
        <v>1</v>
      </c>
      <c r="J133" s="5">
        <v>1</v>
      </c>
      <c r="K133" s="5">
        <v>26.08</v>
      </c>
      <c r="L133" s="4" t="s">
        <v>52</v>
      </c>
      <c r="M133" s="3">
        <v>45474</v>
      </c>
      <c r="N133" t="s">
        <v>512</v>
      </c>
      <c r="O133" s="11" t="s">
        <v>515</v>
      </c>
      <c r="Q133" s="4" t="s">
        <v>154</v>
      </c>
      <c r="R133" t="str">
        <f t="shared" si="9"/>
        <v>00021754102K6</v>
      </c>
      <c r="S133" s="4" t="s">
        <v>743</v>
      </c>
      <c r="T133" t="s">
        <v>744</v>
      </c>
      <c r="U133" t="str">
        <f t="shared" si="10"/>
        <v>CATHERINE LAUDERDALE</v>
      </c>
    </row>
    <row r="134" spans="1:21" x14ac:dyDescent="0.2">
      <c r="A134" s="4" t="s">
        <v>83</v>
      </c>
      <c r="B134" s="2">
        <v>8307933</v>
      </c>
      <c r="C134" s="4" t="s">
        <v>155</v>
      </c>
      <c r="D134" s="4" t="s">
        <v>156</v>
      </c>
      <c r="E134" s="3">
        <v>45962</v>
      </c>
      <c r="F134" s="4" t="s">
        <v>48</v>
      </c>
      <c r="G134" s="4" t="s">
        <v>50</v>
      </c>
      <c r="H134" s="4" t="s">
        <v>60</v>
      </c>
      <c r="I134" s="5">
        <v>1</v>
      </c>
      <c r="J134" s="5">
        <v>1</v>
      </c>
      <c r="K134" s="5">
        <v>26.08</v>
      </c>
      <c r="L134" s="4" t="s">
        <v>52</v>
      </c>
      <c r="M134" s="3">
        <v>45444</v>
      </c>
      <c r="N134" t="s">
        <v>512</v>
      </c>
      <c r="O134" s="11" t="s">
        <v>515</v>
      </c>
      <c r="Q134" s="4" t="s">
        <v>156</v>
      </c>
      <c r="R134" t="str">
        <f t="shared" si="9"/>
        <v>00021778915K6</v>
      </c>
      <c r="S134" s="4" t="s">
        <v>745</v>
      </c>
      <c r="T134" t="s">
        <v>746</v>
      </c>
      <c r="U134" t="str">
        <f t="shared" si="10"/>
        <v>EUGENE PAYNE</v>
      </c>
    </row>
    <row r="135" spans="1:21" x14ac:dyDescent="0.2">
      <c r="A135" s="4" t="s">
        <v>83</v>
      </c>
      <c r="B135" s="2">
        <v>8307933</v>
      </c>
      <c r="C135" s="4" t="s">
        <v>157</v>
      </c>
      <c r="D135" s="4" t="s">
        <v>158</v>
      </c>
      <c r="E135" s="3">
        <v>45962</v>
      </c>
      <c r="F135" s="4" t="s">
        <v>48</v>
      </c>
      <c r="G135" s="4" t="s">
        <v>50</v>
      </c>
      <c r="H135" s="4" t="s">
        <v>60</v>
      </c>
      <c r="I135" s="5">
        <v>1</v>
      </c>
      <c r="J135" s="5">
        <v>1</v>
      </c>
      <c r="K135" s="5">
        <v>26.08</v>
      </c>
      <c r="L135" s="4" t="s">
        <v>52</v>
      </c>
      <c r="M135" s="3">
        <v>45505</v>
      </c>
      <c r="N135" t="s">
        <v>512</v>
      </c>
      <c r="O135" s="11" t="s">
        <v>515</v>
      </c>
      <c r="Q135" s="4" t="s">
        <v>158</v>
      </c>
      <c r="R135" t="str">
        <f t="shared" si="9"/>
        <v>00021792778K6</v>
      </c>
      <c r="S135" s="4" t="s">
        <v>747</v>
      </c>
      <c r="T135" t="s">
        <v>748</v>
      </c>
      <c r="U135" t="str">
        <f t="shared" si="10"/>
        <v>TIMOTHY HATMAKER</v>
      </c>
    </row>
    <row r="136" spans="1:21" x14ac:dyDescent="0.2">
      <c r="A136" s="4" t="s">
        <v>83</v>
      </c>
      <c r="B136" s="2">
        <v>8307933</v>
      </c>
      <c r="C136" s="4" t="s">
        <v>159</v>
      </c>
      <c r="D136" s="4" t="s">
        <v>160</v>
      </c>
      <c r="E136" s="3">
        <v>45962</v>
      </c>
      <c r="F136" s="4" t="s">
        <v>48</v>
      </c>
      <c r="G136" s="4" t="s">
        <v>50</v>
      </c>
      <c r="H136" s="4" t="s">
        <v>60</v>
      </c>
      <c r="I136" s="5">
        <v>1</v>
      </c>
      <c r="J136" s="5">
        <v>1</v>
      </c>
      <c r="K136" s="5">
        <v>26.08</v>
      </c>
      <c r="L136" s="4" t="s">
        <v>52</v>
      </c>
      <c r="M136" s="3">
        <v>45597</v>
      </c>
      <c r="N136" t="s">
        <v>512</v>
      </c>
      <c r="O136" s="11" t="s">
        <v>515</v>
      </c>
      <c r="Q136" s="4" t="s">
        <v>160</v>
      </c>
      <c r="R136" t="str">
        <f t="shared" si="9"/>
        <v>00021999707K6</v>
      </c>
      <c r="S136" s="4" t="s">
        <v>749</v>
      </c>
      <c r="T136" t="s">
        <v>750</v>
      </c>
      <c r="U136" t="str">
        <f t="shared" si="10"/>
        <v>GAY BAKKER</v>
      </c>
    </row>
    <row r="137" spans="1:21" x14ac:dyDescent="0.2">
      <c r="A137" s="4" t="s">
        <v>83</v>
      </c>
      <c r="B137" s="2">
        <v>8307933</v>
      </c>
      <c r="C137" s="4" t="s">
        <v>161</v>
      </c>
      <c r="D137" s="4" t="s">
        <v>162</v>
      </c>
      <c r="E137" s="3">
        <v>45962</v>
      </c>
      <c r="F137" s="4" t="s">
        <v>48</v>
      </c>
      <c r="G137" s="4" t="s">
        <v>50</v>
      </c>
      <c r="H137" s="4" t="s">
        <v>60</v>
      </c>
      <c r="I137" s="5">
        <v>1</v>
      </c>
      <c r="J137" s="5">
        <v>1</v>
      </c>
      <c r="K137" s="5">
        <v>26.08</v>
      </c>
      <c r="L137" s="4" t="s">
        <v>52</v>
      </c>
      <c r="M137" s="3">
        <v>45566</v>
      </c>
      <c r="N137" t="s">
        <v>512</v>
      </c>
      <c r="O137" s="11" t="s">
        <v>515</v>
      </c>
      <c r="Q137" s="4" t="s">
        <v>162</v>
      </c>
      <c r="R137" t="str">
        <f t="shared" si="9"/>
        <v>00022033067K6</v>
      </c>
      <c r="S137" s="4" t="s">
        <v>751</v>
      </c>
      <c r="T137" t="s">
        <v>752</v>
      </c>
      <c r="U137" t="str">
        <f t="shared" si="10"/>
        <v>ALEX YAKULIS</v>
      </c>
    </row>
    <row r="138" spans="1:21" x14ac:dyDescent="0.2">
      <c r="A138" s="4" t="s">
        <v>83</v>
      </c>
      <c r="B138" s="2">
        <v>8307933</v>
      </c>
      <c r="C138" s="4" t="s">
        <v>165</v>
      </c>
      <c r="D138" s="4" t="s">
        <v>166</v>
      </c>
      <c r="E138" s="3">
        <v>45962</v>
      </c>
      <c r="F138" s="4" t="s">
        <v>48</v>
      </c>
      <c r="G138" s="4" t="s">
        <v>50</v>
      </c>
      <c r="H138" s="4" t="s">
        <v>60</v>
      </c>
      <c r="I138" s="5">
        <v>1</v>
      </c>
      <c r="J138" s="5">
        <v>1</v>
      </c>
      <c r="K138" s="5">
        <v>26.08</v>
      </c>
      <c r="L138" s="4" t="s">
        <v>52</v>
      </c>
      <c r="M138" s="3">
        <v>45627</v>
      </c>
      <c r="N138" t="s">
        <v>512</v>
      </c>
      <c r="O138" s="11" t="s">
        <v>515</v>
      </c>
      <c r="Q138" s="4" t="s">
        <v>166</v>
      </c>
      <c r="R138" t="str">
        <f t="shared" si="9"/>
        <v>00022074715K6</v>
      </c>
      <c r="S138" s="4" t="s">
        <v>753</v>
      </c>
      <c r="T138" t="s">
        <v>754</v>
      </c>
      <c r="U138" t="str">
        <f t="shared" si="10"/>
        <v>MIKE FOLLANSBEE</v>
      </c>
    </row>
    <row r="139" spans="1:21" x14ac:dyDescent="0.2">
      <c r="A139" s="4" t="s">
        <v>83</v>
      </c>
      <c r="B139" s="2">
        <v>8307933</v>
      </c>
      <c r="C139" s="4" t="s">
        <v>169</v>
      </c>
      <c r="D139" s="4" t="s">
        <v>170</v>
      </c>
      <c r="E139" s="3">
        <v>45962</v>
      </c>
      <c r="F139" s="4" t="s">
        <v>48</v>
      </c>
      <c r="G139" s="4" t="s">
        <v>50</v>
      </c>
      <c r="H139" s="4" t="s">
        <v>60</v>
      </c>
      <c r="I139" s="5">
        <v>1</v>
      </c>
      <c r="J139" s="5">
        <v>1</v>
      </c>
      <c r="K139" s="5">
        <v>26.08</v>
      </c>
      <c r="L139" s="4" t="s">
        <v>52</v>
      </c>
      <c r="M139" s="3">
        <v>45597</v>
      </c>
      <c r="N139" t="s">
        <v>512</v>
      </c>
      <c r="O139" s="11" t="s">
        <v>515</v>
      </c>
      <c r="Q139" s="4" t="s">
        <v>170</v>
      </c>
      <c r="R139" t="str">
        <f t="shared" si="9"/>
        <v>00022351069K6</v>
      </c>
      <c r="S139" s="4" t="s">
        <v>755</v>
      </c>
      <c r="T139" t="s">
        <v>756</v>
      </c>
      <c r="U139" t="str">
        <f t="shared" si="10"/>
        <v>THEROLD RATHGEB</v>
      </c>
    </row>
    <row r="140" spans="1:21" x14ac:dyDescent="0.2">
      <c r="A140" s="4" t="s">
        <v>83</v>
      </c>
      <c r="B140" s="2">
        <v>8307933</v>
      </c>
      <c r="C140" s="4" t="s">
        <v>171</v>
      </c>
      <c r="D140" s="4" t="s">
        <v>172</v>
      </c>
      <c r="E140" s="3">
        <v>45962</v>
      </c>
      <c r="F140" s="4" t="s">
        <v>48</v>
      </c>
      <c r="G140" s="4" t="s">
        <v>50</v>
      </c>
      <c r="H140" s="4" t="s">
        <v>60</v>
      </c>
      <c r="I140" s="5">
        <v>1</v>
      </c>
      <c r="J140" s="5">
        <v>1</v>
      </c>
      <c r="K140" s="5">
        <v>26.08</v>
      </c>
      <c r="L140" s="4" t="s">
        <v>52</v>
      </c>
      <c r="M140" s="3">
        <v>45627</v>
      </c>
      <c r="N140" t="s">
        <v>512</v>
      </c>
      <c r="O140" s="11" t="s">
        <v>515</v>
      </c>
      <c r="Q140" s="4" t="s">
        <v>172</v>
      </c>
      <c r="R140" t="str">
        <f t="shared" si="9"/>
        <v>00022602838K6</v>
      </c>
      <c r="S140" s="4" t="s">
        <v>757</v>
      </c>
      <c r="T140" t="s">
        <v>728</v>
      </c>
      <c r="U140" t="str">
        <f t="shared" si="10"/>
        <v>LINDA HOEKS</v>
      </c>
    </row>
    <row r="141" spans="1:21" x14ac:dyDescent="0.2">
      <c r="A141" s="4" t="s">
        <v>378</v>
      </c>
      <c r="B141" s="2">
        <v>19481808</v>
      </c>
      <c r="C141" s="4" t="s">
        <v>379</v>
      </c>
      <c r="D141" s="4" t="s">
        <v>380</v>
      </c>
      <c r="E141" s="3">
        <v>45962</v>
      </c>
      <c r="F141" s="4" t="s">
        <v>48</v>
      </c>
      <c r="G141" s="4" t="s">
        <v>50</v>
      </c>
      <c r="H141" s="4" t="s">
        <v>60</v>
      </c>
      <c r="I141" s="5">
        <v>1</v>
      </c>
      <c r="J141" s="5">
        <v>1</v>
      </c>
      <c r="K141" s="5">
        <v>26.08</v>
      </c>
      <c r="L141" s="4" t="s">
        <v>52</v>
      </c>
      <c r="M141" s="3">
        <v>45505</v>
      </c>
      <c r="N141" t="s">
        <v>512</v>
      </c>
      <c r="O141" s="11" t="s">
        <v>515</v>
      </c>
      <c r="Q141" s="4" t="s">
        <v>380</v>
      </c>
      <c r="R141" t="str">
        <f t="shared" si="9"/>
        <v>00021942365K6</v>
      </c>
      <c r="S141" s="4" t="s">
        <v>758</v>
      </c>
      <c r="T141" t="s">
        <v>759</v>
      </c>
      <c r="U141" t="str">
        <f t="shared" si="10"/>
        <v>EDWARD RYAN</v>
      </c>
    </row>
    <row r="142" spans="1:21" x14ac:dyDescent="0.2">
      <c r="A142" s="4" t="s">
        <v>335</v>
      </c>
      <c r="B142" s="2">
        <v>18754354</v>
      </c>
      <c r="C142" s="4" t="s">
        <v>336</v>
      </c>
      <c r="D142" s="4" t="s">
        <v>337</v>
      </c>
      <c r="E142" s="3">
        <v>45962</v>
      </c>
      <c r="F142" s="4" t="s">
        <v>48</v>
      </c>
      <c r="G142" s="4" t="s">
        <v>50</v>
      </c>
      <c r="H142" s="4" t="s">
        <v>60</v>
      </c>
      <c r="I142" s="5">
        <v>1</v>
      </c>
      <c r="J142" s="5">
        <v>1</v>
      </c>
      <c r="K142" s="5">
        <v>26.08</v>
      </c>
      <c r="L142" s="4" t="s">
        <v>52</v>
      </c>
      <c r="M142" s="3">
        <v>45505</v>
      </c>
      <c r="N142" t="s">
        <v>512</v>
      </c>
      <c r="O142" s="11" t="s">
        <v>515</v>
      </c>
      <c r="Q142" s="4" t="s">
        <v>337</v>
      </c>
      <c r="R142" t="str">
        <f t="shared" si="9"/>
        <v>00021881964K6</v>
      </c>
      <c r="S142" s="4" t="s">
        <v>760</v>
      </c>
      <c r="T142" t="s">
        <v>547</v>
      </c>
      <c r="U142" t="str">
        <f t="shared" si="10"/>
        <v>DAVID LEWAKOWSKI</v>
      </c>
    </row>
    <row r="143" spans="1:21" x14ac:dyDescent="0.2">
      <c r="A143" s="4" t="s">
        <v>335</v>
      </c>
      <c r="B143" s="2">
        <v>18754354</v>
      </c>
      <c r="C143" s="4" t="s">
        <v>340</v>
      </c>
      <c r="D143" s="4" t="s">
        <v>341</v>
      </c>
      <c r="E143" s="3">
        <v>45962</v>
      </c>
      <c r="F143" s="4" t="s">
        <v>48</v>
      </c>
      <c r="G143" s="4" t="s">
        <v>50</v>
      </c>
      <c r="H143" s="4" t="s">
        <v>60</v>
      </c>
      <c r="I143" s="5">
        <v>1</v>
      </c>
      <c r="J143" s="5">
        <v>1</v>
      </c>
      <c r="K143" s="5">
        <v>26.08</v>
      </c>
      <c r="L143" s="4" t="s">
        <v>52</v>
      </c>
      <c r="M143" s="3">
        <v>45566</v>
      </c>
      <c r="N143" t="s">
        <v>512</v>
      </c>
      <c r="O143" s="11" t="s">
        <v>515</v>
      </c>
      <c r="Q143" s="4" t="s">
        <v>341</v>
      </c>
      <c r="R143" t="str">
        <f t="shared" si="9"/>
        <v>00022084599K6</v>
      </c>
      <c r="S143" s="4" t="s">
        <v>761</v>
      </c>
      <c r="T143" t="s">
        <v>762</v>
      </c>
      <c r="U143" t="str">
        <f t="shared" si="10"/>
        <v>MARGARET GARRITY</v>
      </c>
    </row>
    <row r="144" spans="1:21" x14ac:dyDescent="0.2">
      <c r="A144" s="4" t="s">
        <v>335</v>
      </c>
      <c r="B144" s="2">
        <v>18754354</v>
      </c>
      <c r="C144" s="4" t="s">
        <v>342</v>
      </c>
      <c r="D144" s="4" t="s">
        <v>343</v>
      </c>
      <c r="E144" s="3">
        <v>45962</v>
      </c>
      <c r="F144" s="4" t="s">
        <v>48</v>
      </c>
      <c r="G144" s="4" t="s">
        <v>50</v>
      </c>
      <c r="H144" s="4" t="s">
        <v>60</v>
      </c>
      <c r="I144" s="5">
        <v>1</v>
      </c>
      <c r="J144" s="5">
        <v>1</v>
      </c>
      <c r="K144" s="5">
        <v>26.08</v>
      </c>
      <c r="L144" s="4" t="s">
        <v>52</v>
      </c>
      <c r="M144" s="3">
        <v>45597</v>
      </c>
      <c r="N144" t="s">
        <v>512</v>
      </c>
      <c r="O144" s="11" t="s">
        <v>515</v>
      </c>
      <c r="Q144" s="4" t="s">
        <v>343</v>
      </c>
      <c r="R144" t="str">
        <f t="shared" si="9"/>
        <v>00022241122K6</v>
      </c>
      <c r="S144" s="4" t="s">
        <v>763</v>
      </c>
      <c r="T144" t="s">
        <v>736</v>
      </c>
      <c r="U144" t="str">
        <f t="shared" si="10"/>
        <v>TERRI EATON</v>
      </c>
    </row>
    <row r="145" spans="1:21" x14ac:dyDescent="0.2">
      <c r="A145" s="4" t="s">
        <v>247</v>
      </c>
      <c r="B145" s="2">
        <v>16633294</v>
      </c>
      <c r="C145" s="4" t="s">
        <v>248</v>
      </c>
      <c r="D145" s="4" t="s">
        <v>249</v>
      </c>
      <c r="E145" s="3">
        <v>45962</v>
      </c>
      <c r="F145" s="4" t="s">
        <v>48</v>
      </c>
      <c r="G145" s="4" t="s">
        <v>50</v>
      </c>
      <c r="H145" s="4" t="s">
        <v>60</v>
      </c>
      <c r="I145" s="5">
        <v>1</v>
      </c>
      <c r="J145" s="5">
        <v>1</v>
      </c>
      <c r="K145" s="5">
        <v>26.08</v>
      </c>
      <c r="L145" s="4" t="s">
        <v>52</v>
      </c>
      <c r="M145" s="3">
        <v>45566</v>
      </c>
      <c r="N145" t="s">
        <v>512</v>
      </c>
      <c r="O145" s="11" t="s">
        <v>515</v>
      </c>
      <c r="Q145" s="4" t="s">
        <v>249</v>
      </c>
      <c r="R145" t="str">
        <f t="shared" si="9"/>
        <v>00020195670K6</v>
      </c>
      <c r="S145" s="4" t="s">
        <v>764</v>
      </c>
      <c r="T145" t="s">
        <v>765</v>
      </c>
      <c r="U145" t="str">
        <f t="shared" si="10"/>
        <v>LARRY BOUBEL</v>
      </c>
    </row>
    <row r="146" spans="1:21" x14ac:dyDescent="0.2">
      <c r="A146" s="4" t="s">
        <v>247</v>
      </c>
      <c r="B146" s="2">
        <v>16633294</v>
      </c>
      <c r="C146" s="4" t="s">
        <v>250</v>
      </c>
      <c r="D146" s="4" t="s">
        <v>251</v>
      </c>
      <c r="E146" s="3">
        <v>45962</v>
      </c>
      <c r="F146" s="4" t="s">
        <v>48</v>
      </c>
      <c r="G146" s="4" t="s">
        <v>50</v>
      </c>
      <c r="H146" s="4" t="s">
        <v>60</v>
      </c>
      <c r="I146" s="5">
        <v>1</v>
      </c>
      <c r="J146" s="5">
        <v>1</v>
      </c>
      <c r="K146" s="5">
        <v>26.08</v>
      </c>
      <c r="L146" s="4" t="s">
        <v>52</v>
      </c>
      <c r="M146" s="3">
        <v>45505</v>
      </c>
      <c r="N146" t="s">
        <v>512</v>
      </c>
      <c r="O146" s="11" t="s">
        <v>515</v>
      </c>
      <c r="Q146" s="4" t="s">
        <v>251</v>
      </c>
      <c r="R146" t="str">
        <f t="shared" si="9"/>
        <v>00021938736K6</v>
      </c>
      <c r="S146" s="4" t="s">
        <v>766</v>
      </c>
      <c r="T146" t="s">
        <v>767</v>
      </c>
      <c r="U146" t="str">
        <f t="shared" si="10"/>
        <v>TERRANCE HALLMAN</v>
      </c>
    </row>
    <row r="147" spans="1:21" x14ac:dyDescent="0.2">
      <c r="A147" s="4" t="s">
        <v>247</v>
      </c>
      <c r="B147" s="2">
        <v>16633294</v>
      </c>
      <c r="C147" s="4" t="s">
        <v>252</v>
      </c>
      <c r="D147" s="4" t="s">
        <v>253</v>
      </c>
      <c r="E147" s="3">
        <v>45962</v>
      </c>
      <c r="F147" s="4" t="s">
        <v>48</v>
      </c>
      <c r="G147" s="4" t="s">
        <v>50</v>
      </c>
      <c r="H147" s="4" t="s">
        <v>60</v>
      </c>
      <c r="I147" s="5">
        <v>1</v>
      </c>
      <c r="J147" s="5">
        <v>1</v>
      </c>
      <c r="K147" s="5">
        <v>26.08</v>
      </c>
      <c r="L147" s="4" t="s">
        <v>52</v>
      </c>
      <c r="M147" s="3">
        <v>45597</v>
      </c>
      <c r="N147" t="s">
        <v>512</v>
      </c>
      <c r="O147" s="11" t="s">
        <v>515</v>
      </c>
      <c r="Q147" s="4" t="s">
        <v>253</v>
      </c>
      <c r="R147" t="str">
        <f t="shared" si="9"/>
        <v>00022085271K6</v>
      </c>
      <c r="S147" s="4" t="s">
        <v>768</v>
      </c>
      <c r="T147" t="s">
        <v>769</v>
      </c>
      <c r="U147" t="str">
        <f t="shared" si="10"/>
        <v>ELLEN SHAKER</v>
      </c>
    </row>
    <row r="148" spans="1:21" x14ac:dyDescent="0.2">
      <c r="A148" s="4" t="s">
        <v>247</v>
      </c>
      <c r="B148" s="2">
        <v>16633294</v>
      </c>
      <c r="C148" s="4" t="s">
        <v>254</v>
      </c>
      <c r="D148" s="4" t="s">
        <v>255</v>
      </c>
      <c r="E148" s="3">
        <v>45962</v>
      </c>
      <c r="F148" s="4" t="s">
        <v>48</v>
      </c>
      <c r="G148" s="4" t="s">
        <v>50</v>
      </c>
      <c r="H148" s="4" t="s">
        <v>60</v>
      </c>
      <c r="I148" s="5">
        <v>1</v>
      </c>
      <c r="J148" s="5">
        <v>1</v>
      </c>
      <c r="K148" s="5">
        <v>26.08</v>
      </c>
      <c r="L148" s="4" t="s">
        <v>52</v>
      </c>
      <c r="M148" s="3">
        <v>45597</v>
      </c>
      <c r="N148" t="s">
        <v>512</v>
      </c>
      <c r="O148" s="11" t="s">
        <v>515</v>
      </c>
      <c r="Q148" s="4" t="s">
        <v>255</v>
      </c>
      <c r="R148" t="str">
        <f t="shared" si="9"/>
        <v>00022137026K6</v>
      </c>
      <c r="S148" s="4" t="s">
        <v>770</v>
      </c>
      <c r="T148" t="s">
        <v>771</v>
      </c>
      <c r="U148" t="str">
        <f t="shared" si="10"/>
        <v>ANNETTE KNOX</v>
      </c>
    </row>
    <row r="149" spans="1:21" x14ac:dyDescent="0.2">
      <c r="A149" s="4" t="s">
        <v>247</v>
      </c>
      <c r="B149" s="2">
        <v>16633294</v>
      </c>
      <c r="C149" s="4" t="s">
        <v>256</v>
      </c>
      <c r="D149" s="4" t="s">
        <v>257</v>
      </c>
      <c r="E149" s="3">
        <v>45962</v>
      </c>
      <c r="F149" s="4" t="s">
        <v>48</v>
      </c>
      <c r="G149" s="4" t="s">
        <v>50</v>
      </c>
      <c r="H149" s="4" t="s">
        <v>60</v>
      </c>
      <c r="I149" s="5">
        <v>1</v>
      </c>
      <c r="J149" s="5">
        <v>1</v>
      </c>
      <c r="K149" s="5">
        <v>26.08</v>
      </c>
      <c r="L149" s="4" t="s">
        <v>52</v>
      </c>
      <c r="M149" s="3">
        <v>45627</v>
      </c>
      <c r="N149" t="s">
        <v>512</v>
      </c>
      <c r="O149" s="11" t="s">
        <v>515</v>
      </c>
      <c r="Q149" s="4" t="s">
        <v>257</v>
      </c>
      <c r="R149" t="str">
        <f t="shared" si="9"/>
        <v>00022466880K6</v>
      </c>
      <c r="S149" s="4" t="s">
        <v>772</v>
      </c>
      <c r="T149" t="s">
        <v>773</v>
      </c>
      <c r="U149" t="str">
        <f t="shared" si="10"/>
        <v>MALGORZATA GONET</v>
      </c>
    </row>
    <row r="150" spans="1:21" x14ac:dyDescent="0.2">
      <c r="A150" s="4" t="s">
        <v>247</v>
      </c>
      <c r="B150" s="2">
        <v>16633294</v>
      </c>
      <c r="C150" s="4" t="s">
        <v>258</v>
      </c>
      <c r="D150" s="4" t="s">
        <v>259</v>
      </c>
      <c r="E150" s="3">
        <v>45962</v>
      </c>
      <c r="F150" s="4" t="s">
        <v>48</v>
      </c>
      <c r="G150" s="4" t="s">
        <v>50</v>
      </c>
      <c r="H150" s="4" t="s">
        <v>60</v>
      </c>
      <c r="I150" s="5">
        <v>1</v>
      </c>
      <c r="J150" s="5">
        <v>1</v>
      </c>
      <c r="K150" s="5">
        <v>26.08</v>
      </c>
      <c r="L150" s="4" t="s">
        <v>52</v>
      </c>
      <c r="M150" s="3">
        <v>45627</v>
      </c>
      <c r="N150" t="s">
        <v>512</v>
      </c>
      <c r="O150" s="11" t="s">
        <v>515</v>
      </c>
      <c r="Q150" s="4" t="s">
        <v>259</v>
      </c>
      <c r="R150" t="str">
        <f t="shared" si="9"/>
        <v>00022688863K6</v>
      </c>
      <c r="S150" s="4" t="s">
        <v>774</v>
      </c>
      <c r="T150" t="s">
        <v>775</v>
      </c>
      <c r="U150" t="str">
        <f t="shared" si="10"/>
        <v>DOLORES DUNCAN</v>
      </c>
    </row>
    <row r="151" spans="1:21" x14ac:dyDescent="0.2">
      <c r="A151" s="4" t="s">
        <v>347</v>
      </c>
      <c r="B151" s="2">
        <v>19396223</v>
      </c>
      <c r="C151" s="4" t="s">
        <v>350</v>
      </c>
      <c r="D151" s="4" t="s">
        <v>351</v>
      </c>
      <c r="E151" s="3">
        <v>45962</v>
      </c>
      <c r="F151" s="4" t="s">
        <v>48</v>
      </c>
      <c r="G151" s="4" t="s">
        <v>50</v>
      </c>
      <c r="H151" s="4" t="s">
        <v>51</v>
      </c>
      <c r="I151" s="5">
        <v>1</v>
      </c>
      <c r="J151" s="5">
        <v>1</v>
      </c>
      <c r="K151" s="5">
        <v>26.08</v>
      </c>
      <c r="L151" s="4" t="s">
        <v>52</v>
      </c>
      <c r="M151" s="3">
        <v>45566</v>
      </c>
      <c r="N151" t="s">
        <v>512</v>
      </c>
      <c r="O151" s="11" t="s">
        <v>515</v>
      </c>
      <c r="Q151" s="4" t="s">
        <v>351</v>
      </c>
      <c r="R151" t="str">
        <f t="shared" si="9"/>
        <v>00022063091K6</v>
      </c>
      <c r="S151" s="4" t="s">
        <v>776</v>
      </c>
      <c r="T151" t="s">
        <v>777</v>
      </c>
      <c r="U151" t="str">
        <f t="shared" si="10"/>
        <v>FARZANA AKRAM</v>
      </c>
    </row>
    <row r="152" spans="1:21" x14ac:dyDescent="0.2">
      <c r="A152" s="4" t="s">
        <v>347</v>
      </c>
      <c r="B152" s="2">
        <v>19396223</v>
      </c>
      <c r="C152" s="4" t="s">
        <v>354</v>
      </c>
      <c r="D152" s="4" t="s">
        <v>355</v>
      </c>
      <c r="E152" s="3">
        <v>45962</v>
      </c>
      <c r="F152" s="4" t="s">
        <v>48</v>
      </c>
      <c r="G152" s="4" t="s">
        <v>50</v>
      </c>
      <c r="H152" s="4" t="s">
        <v>51</v>
      </c>
      <c r="I152" s="5">
        <v>1</v>
      </c>
      <c r="J152" s="5">
        <v>1</v>
      </c>
      <c r="K152" s="5">
        <v>26.08</v>
      </c>
      <c r="L152" s="4" t="s">
        <v>52</v>
      </c>
      <c r="M152" s="3">
        <v>45627</v>
      </c>
      <c r="N152" t="s">
        <v>512</v>
      </c>
      <c r="O152" s="11" t="s">
        <v>515</v>
      </c>
      <c r="Q152" s="4" t="s">
        <v>355</v>
      </c>
      <c r="R152" t="str">
        <f t="shared" si="9"/>
        <v>00022627896K6</v>
      </c>
      <c r="S152" s="4" t="s">
        <v>778</v>
      </c>
      <c r="T152" t="s">
        <v>629</v>
      </c>
      <c r="U152" t="str">
        <f t="shared" si="10"/>
        <v>MARY LUPOU</v>
      </c>
    </row>
    <row r="153" spans="1:21" x14ac:dyDescent="0.2">
      <c r="A153" s="4" t="s">
        <v>398</v>
      </c>
      <c r="B153" s="2">
        <v>18828278</v>
      </c>
      <c r="C153" s="4" t="s">
        <v>401</v>
      </c>
      <c r="D153" s="4" t="s">
        <v>402</v>
      </c>
      <c r="E153" s="3">
        <v>45962</v>
      </c>
      <c r="F153" s="4" t="s">
        <v>48</v>
      </c>
      <c r="G153" s="4" t="s">
        <v>50</v>
      </c>
      <c r="H153" s="4" t="s">
        <v>51</v>
      </c>
      <c r="I153" s="5">
        <v>1</v>
      </c>
      <c r="J153" s="5">
        <v>1</v>
      </c>
      <c r="K153" s="5">
        <v>26.08</v>
      </c>
      <c r="L153" s="4" t="s">
        <v>52</v>
      </c>
      <c r="M153" s="3">
        <v>45536</v>
      </c>
      <c r="N153" t="s">
        <v>512</v>
      </c>
      <c r="O153" s="11" t="s">
        <v>515</v>
      </c>
      <c r="Q153" s="4" t="s">
        <v>402</v>
      </c>
      <c r="R153" t="str">
        <f t="shared" si="9"/>
        <v>00021976197K6</v>
      </c>
      <c r="S153" s="4" t="s">
        <v>779</v>
      </c>
      <c r="T153" t="s">
        <v>780</v>
      </c>
      <c r="U153" t="str">
        <f t="shared" si="10"/>
        <v>SANDRA SCHEIDENHELM</v>
      </c>
    </row>
    <row r="154" spans="1:21" x14ac:dyDescent="0.2">
      <c r="A154" s="4" t="s">
        <v>263</v>
      </c>
      <c r="B154" s="2">
        <v>16865615</v>
      </c>
      <c r="C154" s="4" t="s">
        <v>264</v>
      </c>
      <c r="D154" s="4" t="s">
        <v>265</v>
      </c>
      <c r="E154" s="3">
        <v>45962</v>
      </c>
      <c r="F154" s="4" t="s">
        <v>48</v>
      </c>
      <c r="G154" s="4" t="s">
        <v>50</v>
      </c>
      <c r="H154" s="4" t="s">
        <v>51</v>
      </c>
      <c r="I154" s="5">
        <v>1</v>
      </c>
      <c r="J154" s="5">
        <v>1</v>
      </c>
      <c r="K154" s="5">
        <v>26.08</v>
      </c>
      <c r="L154" s="4" t="s">
        <v>52</v>
      </c>
      <c r="M154" s="3">
        <v>45566</v>
      </c>
      <c r="N154" t="s">
        <v>512</v>
      </c>
      <c r="O154" s="11" t="s">
        <v>515</v>
      </c>
      <c r="Q154" s="4" t="s">
        <v>265</v>
      </c>
      <c r="R154" t="str">
        <f t="shared" si="9"/>
        <v>00022033172K6</v>
      </c>
      <c r="S154" s="4" t="s">
        <v>781</v>
      </c>
      <c r="T154" t="s">
        <v>782</v>
      </c>
      <c r="U154" t="str">
        <f t="shared" si="10"/>
        <v>DEBBY SHEDD</v>
      </c>
    </row>
    <row r="155" spans="1:21" x14ac:dyDescent="0.2">
      <c r="A155" s="4" t="s">
        <v>293</v>
      </c>
      <c r="B155" s="2">
        <v>17301495</v>
      </c>
      <c r="C155" s="4" t="s">
        <v>296</v>
      </c>
      <c r="D155" s="4" t="s">
        <v>297</v>
      </c>
      <c r="E155" s="3">
        <v>45962</v>
      </c>
      <c r="F155" s="4" t="s">
        <v>48</v>
      </c>
      <c r="G155" s="4" t="s">
        <v>50</v>
      </c>
      <c r="H155" s="4" t="s">
        <v>51</v>
      </c>
      <c r="I155" s="5">
        <v>1</v>
      </c>
      <c r="J155" s="5">
        <v>1</v>
      </c>
      <c r="K155" s="5">
        <v>26.08</v>
      </c>
      <c r="L155" s="4" t="s">
        <v>52</v>
      </c>
      <c r="M155" s="3">
        <v>45627</v>
      </c>
      <c r="N155" t="s">
        <v>512</v>
      </c>
      <c r="O155" s="11" t="s">
        <v>515</v>
      </c>
      <c r="Q155" s="4" t="s">
        <v>297</v>
      </c>
      <c r="R155" t="str">
        <f t="shared" si="9"/>
        <v>00022671607K6</v>
      </c>
      <c r="S155" s="4" t="s">
        <v>783</v>
      </c>
      <c r="T155" t="s">
        <v>784</v>
      </c>
      <c r="U155" t="str">
        <f t="shared" si="10"/>
        <v>ANTONIO SANCHEZ</v>
      </c>
    </row>
    <row r="156" spans="1:21" x14ac:dyDescent="0.2">
      <c r="A156" s="4" t="s">
        <v>64</v>
      </c>
      <c r="B156" s="2">
        <v>2158366</v>
      </c>
      <c r="C156" s="4" t="s">
        <v>65</v>
      </c>
      <c r="D156" s="4" t="s">
        <v>66</v>
      </c>
      <c r="E156" s="3">
        <v>45962</v>
      </c>
      <c r="F156" s="4" t="s">
        <v>48</v>
      </c>
      <c r="G156" s="4" t="s">
        <v>50</v>
      </c>
      <c r="H156" s="4" t="s">
        <v>51</v>
      </c>
      <c r="I156" s="5">
        <v>1</v>
      </c>
      <c r="J156" s="5">
        <v>1</v>
      </c>
      <c r="K156" s="5">
        <v>26.08</v>
      </c>
      <c r="L156" s="4" t="s">
        <v>52</v>
      </c>
      <c r="M156" s="3">
        <v>45627</v>
      </c>
      <c r="N156" t="s">
        <v>512</v>
      </c>
      <c r="O156" s="11" t="s">
        <v>515</v>
      </c>
      <c r="Q156" s="4" t="s">
        <v>66</v>
      </c>
      <c r="R156" t="str">
        <f t="shared" si="9"/>
        <v>00022413863K6</v>
      </c>
      <c r="S156" s="4" t="s">
        <v>785</v>
      </c>
      <c r="T156" t="s">
        <v>637</v>
      </c>
      <c r="U156" t="str">
        <f t="shared" si="10"/>
        <v>DONNA DRUCKER</v>
      </c>
    </row>
    <row r="157" spans="1:21" x14ac:dyDescent="0.2">
      <c r="A157" s="4" t="s">
        <v>177</v>
      </c>
      <c r="B157" s="2">
        <v>7146581</v>
      </c>
      <c r="C157" s="4" t="s">
        <v>182</v>
      </c>
      <c r="D157" s="4" t="s">
        <v>183</v>
      </c>
      <c r="E157" s="3">
        <v>45962</v>
      </c>
      <c r="F157" s="4" t="s">
        <v>48</v>
      </c>
      <c r="G157" s="4" t="s">
        <v>50</v>
      </c>
      <c r="H157" s="4" t="s">
        <v>51</v>
      </c>
      <c r="I157" s="5">
        <v>1</v>
      </c>
      <c r="J157" s="5">
        <v>1</v>
      </c>
      <c r="K157" s="5">
        <v>26.08</v>
      </c>
      <c r="L157" s="4" t="s">
        <v>52</v>
      </c>
      <c r="M157" s="3">
        <v>45505</v>
      </c>
      <c r="N157" t="s">
        <v>512</v>
      </c>
      <c r="O157" s="11" t="s">
        <v>515</v>
      </c>
      <c r="Q157" s="4" t="s">
        <v>183</v>
      </c>
      <c r="R157" t="str">
        <f t="shared" si="9"/>
        <v>00021918216K6</v>
      </c>
      <c r="S157" s="4" t="s">
        <v>786</v>
      </c>
      <c r="T157" t="s">
        <v>787</v>
      </c>
      <c r="U157" t="str">
        <f t="shared" si="10"/>
        <v>KRISTY DOLPH</v>
      </c>
    </row>
    <row r="158" spans="1:21" x14ac:dyDescent="0.2">
      <c r="A158" s="4" t="s">
        <v>177</v>
      </c>
      <c r="B158" s="2">
        <v>7146581</v>
      </c>
      <c r="C158" s="4" t="s">
        <v>194</v>
      </c>
      <c r="D158" s="4" t="s">
        <v>195</v>
      </c>
      <c r="E158" s="3">
        <v>45962</v>
      </c>
      <c r="F158" s="4" t="s">
        <v>48</v>
      </c>
      <c r="G158" s="4" t="s">
        <v>50</v>
      </c>
      <c r="H158" s="4" t="s">
        <v>51</v>
      </c>
      <c r="I158" s="5">
        <v>1</v>
      </c>
      <c r="J158" s="5">
        <v>1</v>
      </c>
      <c r="K158" s="5">
        <v>26.08</v>
      </c>
      <c r="L158" s="4" t="s">
        <v>52</v>
      </c>
      <c r="M158" s="3">
        <v>45536</v>
      </c>
      <c r="N158" t="s">
        <v>512</v>
      </c>
      <c r="O158" s="11" t="s">
        <v>515</v>
      </c>
      <c r="Q158" s="4" t="s">
        <v>195</v>
      </c>
      <c r="R158" t="str">
        <f t="shared" si="9"/>
        <v>00022023339K6</v>
      </c>
      <c r="S158" s="4" t="s">
        <v>788</v>
      </c>
      <c r="T158" t="s">
        <v>789</v>
      </c>
      <c r="U158" t="str">
        <f t="shared" si="10"/>
        <v>TERRY ROSS</v>
      </c>
    </row>
    <row r="159" spans="1:21" x14ac:dyDescent="0.2">
      <c r="A159" s="4" t="s">
        <v>42</v>
      </c>
      <c r="B159" s="2">
        <v>371819</v>
      </c>
      <c r="C159" s="4" t="s">
        <v>43</v>
      </c>
      <c r="D159" s="4" t="s">
        <v>44</v>
      </c>
      <c r="E159" s="3">
        <v>45962</v>
      </c>
      <c r="F159" s="4" t="s">
        <v>48</v>
      </c>
      <c r="G159" s="4" t="s">
        <v>50</v>
      </c>
      <c r="H159" s="4" t="s">
        <v>51</v>
      </c>
      <c r="I159" s="5">
        <v>1</v>
      </c>
      <c r="J159" s="5">
        <v>1</v>
      </c>
      <c r="K159" s="5">
        <v>26.08</v>
      </c>
      <c r="L159" s="4" t="s">
        <v>52</v>
      </c>
      <c r="M159" s="3">
        <v>45627</v>
      </c>
      <c r="N159" t="s">
        <v>512</v>
      </c>
      <c r="O159" s="11" t="s">
        <v>515</v>
      </c>
      <c r="Q159" s="4" t="s">
        <v>44</v>
      </c>
      <c r="R159" t="str">
        <f t="shared" si="9"/>
        <v>00022517390K6</v>
      </c>
      <c r="S159" s="4" t="s">
        <v>790</v>
      </c>
      <c r="T159" t="s">
        <v>791</v>
      </c>
      <c r="U159" t="str">
        <f t="shared" si="10"/>
        <v>DONARIA CARVALHO</v>
      </c>
    </row>
    <row r="160" spans="1:21" x14ac:dyDescent="0.2">
      <c r="A160" s="4" t="s">
        <v>309</v>
      </c>
      <c r="B160" s="2">
        <v>9213293</v>
      </c>
      <c r="C160" s="4" t="s">
        <v>326</v>
      </c>
      <c r="D160" s="4" t="s">
        <v>327</v>
      </c>
      <c r="E160" s="3">
        <v>45962</v>
      </c>
      <c r="F160" s="4" t="s">
        <v>48</v>
      </c>
      <c r="G160" s="4" t="s">
        <v>50</v>
      </c>
      <c r="H160" s="4" t="s">
        <v>51</v>
      </c>
      <c r="I160" s="5">
        <v>1</v>
      </c>
      <c r="J160" s="5">
        <v>1</v>
      </c>
      <c r="K160" s="5">
        <v>26.08</v>
      </c>
      <c r="L160" s="4" t="s">
        <v>52</v>
      </c>
      <c r="M160" s="3">
        <v>45627</v>
      </c>
      <c r="N160" t="s">
        <v>512</v>
      </c>
      <c r="O160" s="11" t="s">
        <v>515</v>
      </c>
      <c r="Q160" s="4" t="s">
        <v>327</v>
      </c>
      <c r="R160" t="str">
        <f t="shared" si="9"/>
        <v>00022646876K6</v>
      </c>
      <c r="S160" s="4" t="s">
        <v>792</v>
      </c>
      <c r="T160" t="s">
        <v>793</v>
      </c>
      <c r="U160" t="str">
        <f t="shared" si="10"/>
        <v>JUAN WILSON</v>
      </c>
    </row>
    <row r="161" spans="1:42" x14ac:dyDescent="0.2">
      <c r="A161" s="4" t="s">
        <v>407</v>
      </c>
      <c r="B161" s="2">
        <v>19645587</v>
      </c>
      <c r="C161" s="4" t="s">
        <v>410</v>
      </c>
      <c r="D161" s="4" t="s">
        <v>411</v>
      </c>
      <c r="E161" s="3">
        <v>45962</v>
      </c>
      <c r="F161" s="4" t="s">
        <v>48</v>
      </c>
      <c r="G161" s="4" t="s">
        <v>50</v>
      </c>
      <c r="H161" s="4" t="s">
        <v>51</v>
      </c>
      <c r="I161" s="5">
        <v>1</v>
      </c>
      <c r="J161" s="5">
        <v>1</v>
      </c>
      <c r="K161" s="5">
        <v>26.08</v>
      </c>
      <c r="L161" s="4" t="s">
        <v>52</v>
      </c>
      <c r="M161" s="3">
        <v>45597</v>
      </c>
      <c r="N161" t="s">
        <v>512</v>
      </c>
      <c r="O161" s="11" t="s">
        <v>515</v>
      </c>
      <c r="Q161" s="4" t="s">
        <v>411</v>
      </c>
      <c r="R161" t="str">
        <f t="shared" si="9"/>
        <v>00022256745K6</v>
      </c>
      <c r="S161" s="4" t="s">
        <v>794</v>
      </c>
      <c r="T161" t="s">
        <v>746</v>
      </c>
      <c r="U161" t="str">
        <f t="shared" si="10"/>
        <v>EUGENE JACKSON</v>
      </c>
    </row>
    <row r="162" spans="1:42" x14ac:dyDescent="0.2">
      <c r="A162" s="4" t="s">
        <v>229</v>
      </c>
      <c r="B162" s="2">
        <v>9079571</v>
      </c>
      <c r="C162" s="4" t="s">
        <v>232</v>
      </c>
      <c r="D162" s="4" t="s">
        <v>233</v>
      </c>
      <c r="E162" s="3">
        <v>45962</v>
      </c>
      <c r="F162" s="4" t="s">
        <v>48</v>
      </c>
      <c r="G162" s="4" t="s">
        <v>50</v>
      </c>
      <c r="H162" s="4" t="s">
        <v>51</v>
      </c>
      <c r="I162" s="5">
        <v>1</v>
      </c>
      <c r="J162" s="5">
        <v>1</v>
      </c>
      <c r="K162" s="5">
        <v>26.08</v>
      </c>
      <c r="L162" s="4" t="s">
        <v>52</v>
      </c>
      <c r="M162" s="3">
        <v>45139</v>
      </c>
      <c r="N162" t="s">
        <v>512</v>
      </c>
      <c r="O162" s="11" t="s">
        <v>515</v>
      </c>
      <c r="Q162" s="4" t="s">
        <v>233</v>
      </c>
      <c r="R162" t="str">
        <f t="shared" si="9"/>
        <v>00020568097K6</v>
      </c>
      <c r="S162" s="4" t="s">
        <v>795</v>
      </c>
      <c r="T162" t="s">
        <v>740</v>
      </c>
      <c r="U162" t="str">
        <f t="shared" si="10"/>
        <v>ALICE KLAUZA</v>
      </c>
    </row>
    <row r="163" spans="1:42" x14ac:dyDescent="0.2">
      <c r="A163" s="4" t="s">
        <v>229</v>
      </c>
      <c r="B163" s="2">
        <v>9079571</v>
      </c>
      <c r="C163" s="4" t="s">
        <v>238</v>
      </c>
      <c r="D163" s="4" t="s">
        <v>239</v>
      </c>
      <c r="E163" s="3">
        <v>45962</v>
      </c>
      <c r="F163" s="4" t="s">
        <v>48</v>
      </c>
      <c r="G163" s="4" t="s">
        <v>50</v>
      </c>
      <c r="H163" s="4" t="s">
        <v>51</v>
      </c>
      <c r="I163" s="5">
        <v>1</v>
      </c>
      <c r="J163" s="5">
        <v>1</v>
      </c>
      <c r="K163" s="5">
        <v>26.08</v>
      </c>
      <c r="L163" s="4" t="s">
        <v>52</v>
      </c>
      <c r="M163" s="3">
        <v>45170</v>
      </c>
      <c r="N163" t="s">
        <v>512</v>
      </c>
      <c r="O163" s="11" t="s">
        <v>515</v>
      </c>
      <c r="Q163" s="4" t="s">
        <v>239</v>
      </c>
      <c r="R163" t="str">
        <f t="shared" si="9"/>
        <v>00020695105K6</v>
      </c>
      <c r="S163" s="4" t="s">
        <v>796</v>
      </c>
      <c r="T163" t="s">
        <v>797</v>
      </c>
      <c r="U163" t="str">
        <f t="shared" si="10"/>
        <v>JUDY WILKE</v>
      </c>
    </row>
    <row r="164" spans="1:42" x14ac:dyDescent="0.2">
      <c r="A164" s="4" t="s">
        <v>260</v>
      </c>
      <c r="B164" s="2">
        <v>16509456</v>
      </c>
      <c r="C164" s="4" t="s">
        <v>261</v>
      </c>
      <c r="D164" s="4" t="s">
        <v>262</v>
      </c>
      <c r="E164" s="3">
        <v>45962</v>
      </c>
      <c r="F164" s="4" t="s">
        <v>48</v>
      </c>
      <c r="G164" s="4" t="s">
        <v>50</v>
      </c>
      <c r="H164" s="4" t="s">
        <v>51</v>
      </c>
      <c r="I164" s="5">
        <v>1</v>
      </c>
      <c r="J164" s="5">
        <v>1</v>
      </c>
      <c r="K164" s="5">
        <v>26.08</v>
      </c>
      <c r="L164" s="4" t="s">
        <v>52</v>
      </c>
      <c r="M164" s="3">
        <v>45139</v>
      </c>
      <c r="N164" t="s">
        <v>512</v>
      </c>
      <c r="O164" s="11" t="s">
        <v>515</v>
      </c>
      <c r="Q164" s="4" t="s">
        <v>262</v>
      </c>
      <c r="R164" t="str">
        <f t="shared" si="9"/>
        <v>00020589444K6</v>
      </c>
      <c r="S164" s="4" t="s">
        <v>798</v>
      </c>
      <c r="T164" t="s">
        <v>799</v>
      </c>
      <c r="U164" t="str">
        <f t="shared" si="10"/>
        <v>DIANA PRYCE</v>
      </c>
    </row>
    <row r="165" spans="1:42" x14ac:dyDescent="0.2">
      <c r="A165" s="4" t="s">
        <v>356</v>
      </c>
      <c r="B165" s="2">
        <v>19200754</v>
      </c>
      <c r="C165" s="4" t="s">
        <v>359</v>
      </c>
      <c r="D165" s="4" t="s">
        <v>360</v>
      </c>
      <c r="E165" s="3">
        <v>45962</v>
      </c>
      <c r="F165" s="4" t="s">
        <v>48</v>
      </c>
      <c r="G165" s="4" t="s">
        <v>50</v>
      </c>
      <c r="H165" s="4" t="s">
        <v>51</v>
      </c>
      <c r="I165" s="5">
        <v>1</v>
      </c>
      <c r="J165" s="5">
        <v>1</v>
      </c>
      <c r="K165" s="5">
        <v>26.08</v>
      </c>
      <c r="L165" s="4" t="s">
        <v>52</v>
      </c>
      <c r="M165" s="3">
        <v>45566</v>
      </c>
      <c r="N165" t="s">
        <v>512</v>
      </c>
      <c r="O165" s="11" t="s">
        <v>515</v>
      </c>
      <c r="Q165" s="4" t="s">
        <v>360</v>
      </c>
      <c r="R165" t="str">
        <f t="shared" si="9"/>
        <v>00022077041K6</v>
      </c>
      <c r="S165" s="4" t="s">
        <v>800</v>
      </c>
      <c r="T165" t="s">
        <v>801</v>
      </c>
      <c r="U165" t="str">
        <f t="shared" si="10"/>
        <v>SHAZIA SHAHRUKH</v>
      </c>
    </row>
    <row r="166" spans="1:42" x14ac:dyDescent="0.2">
      <c r="A166" s="4" t="s">
        <v>356</v>
      </c>
      <c r="B166" s="2">
        <v>19200754</v>
      </c>
      <c r="C166" s="4" t="s">
        <v>361</v>
      </c>
      <c r="D166" s="4" t="s">
        <v>362</v>
      </c>
      <c r="E166" s="3">
        <v>45962</v>
      </c>
      <c r="F166" s="4" t="s">
        <v>48</v>
      </c>
      <c r="G166" s="4" t="s">
        <v>50</v>
      </c>
      <c r="H166" s="4" t="s">
        <v>51</v>
      </c>
      <c r="I166" s="5">
        <v>1</v>
      </c>
      <c r="J166" s="5">
        <v>1</v>
      </c>
      <c r="K166" s="5">
        <v>26.08</v>
      </c>
      <c r="L166" s="4" t="s">
        <v>52</v>
      </c>
      <c r="M166" s="3">
        <v>45566</v>
      </c>
      <c r="N166" t="s">
        <v>512</v>
      </c>
      <c r="O166" s="11" t="s">
        <v>515</v>
      </c>
      <c r="Q166" s="4" t="s">
        <v>362</v>
      </c>
      <c r="R166" t="str">
        <f t="shared" si="9"/>
        <v>00022085971K6</v>
      </c>
      <c r="S166" s="4" t="s">
        <v>802</v>
      </c>
      <c r="T166" t="s">
        <v>803</v>
      </c>
      <c r="U166" t="str">
        <f t="shared" si="10"/>
        <v>SUSAN MADETE</v>
      </c>
    </row>
    <row r="167" spans="1:42" s="21" customFormat="1" x14ac:dyDescent="0.2">
      <c r="A167" s="4" t="s">
        <v>356</v>
      </c>
      <c r="B167" s="2">
        <v>19200754</v>
      </c>
      <c r="C167" s="4" t="s">
        <v>363</v>
      </c>
      <c r="D167" s="4" t="s">
        <v>364</v>
      </c>
      <c r="E167" s="3">
        <v>45962</v>
      </c>
      <c r="F167" s="4" t="s">
        <v>48</v>
      </c>
      <c r="G167" s="4" t="s">
        <v>50</v>
      </c>
      <c r="H167" s="4" t="s">
        <v>51</v>
      </c>
      <c r="I167" s="5">
        <v>1</v>
      </c>
      <c r="J167" s="5">
        <v>1</v>
      </c>
      <c r="K167" s="5">
        <v>26.08</v>
      </c>
      <c r="L167" s="4" t="s">
        <v>52</v>
      </c>
      <c r="M167" s="3">
        <v>45566</v>
      </c>
      <c r="N167" t="s">
        <v>512</v>
      </c>
      <c r="O167" s="11" t="s">
        <v>515</v>
      </c>
      <c r="P167"/>
      <c r="Q167" s="4" t="s">
        <v>364</v>
      </c>
      <c r="R167" t="str">
        <f t="shared" si="9"/>
        <v>00022092926K6</v>
      </c>
      <c r="S167" s="4" t="s">
        <v>804</v>
      </c>
      <c r="T167" t="s">
        <v>601</v>
      </c>
      <c r="U167" t="str">
        <f t="shared" si="10"/>
        <v>JOHN SMITH</v>
      </c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1:42" s="21" customFormat="1" x14ac:dyDescent="0.2">
      <c r="A168" s="4" t="s">
        <v>356</v>
      </c>
      <c r="B168" s="2">
        <v>19200754</v>
      </c>
      <c r="C168" s="4" t="s">
        <v>365</v>
      </c>
      <c r="D168" s="4" t="s">
        <v>366</v>
      </c>
      <c r="E168" s="3">
        <v>45962</v>
      </c>
      <c r="F168" s="4" t="s">
        <v>48</v>
      </c>
      <c r="G168" s="4" t="s">
        <v>50</v>
      </c>
      <c r="H168" s="4" t="s">
        <v>51</v>
      </c>
      <c r="I168" s="5">
        <v>1</v>
      </c>
      <c r="J168" s="5">
        <v>1</v>
      </c>
      <c r="K168" s="5">
        <v>26.08</v>
      </c>
      <c r="L168" s="4" t="s">
        <v>52</v>
      </c>
      <c r="M168" s="3">
        <v>45566</v>
      </c>
      <c r="N168" t="s">
        <v>512</v>
      </c>
      <c r="O168" s="11" t="s">
        <v>515</v>
      </c>
      <c r="P168"/>
      <c r="Q168" s="4" t="s">
        <v>366</v>
      </c>
      <c r="R168" t="str">
        <f t="shared" si="9"/>
        <v>00022094990K6</v>
      </c>
      <c r="S168" s="4" t="s">
        <v>805</v>
      </c>
      <c r="T168" t="s">
        <v>806</v>
      </c>
      <c r="U168" t="str">
        <f t="shared" si="10"/>
        <v>HENRY ASEGA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1:42" s="10" customFormat="1" x14ac:dyDescent="0.2">
      <c r="A169" s="4" t="s">
        <v>356</v>
      </c>
      <c r="B169" s="2">
        <v>19200754</v>
      </c>
      <c r="C169" s="4" t="s">
        <v>367</v>
      </c>
      <c r="D169" s="4" t="s">
        <v>368</v>
      </c>
      <c r="E169" s="3">
        <v>45962</v>
      </c>
      <c r="F169" s="4" t="s">
        <v>48</v>
      </c>
      <c r="G169" s="4" t="s">
        <v>50</v>
      </c>
      <c r="H169" s="4" t="s">
        <v>51</v>
      </c>
      <c r="I169" s="5">
        <v>1</v>
      </c>
      <c r="J169" s="5">
        <v>1</v>
      </c>
      <c r="K169" s="5">
        <v>26.08</v>
      </c>
      <c r="L169" s="4" t="s">
        <v>52</v>
      </c>
      <c r="M169" s="3">
        <v>45597</v>
      </c>
      <c r="N169" t="s">
        <v>512</v>
      </c>
      <c r="O169" s="11" t="s">
        <v>515</v>
      </c>
      <c r="P169"/>
      <c r="Q169" s="4" t="s">
        <v>368</v>
      </c>
      <c r="R169" t="str">
        <f t="shared" si="9"/>
        <v>00022148995K6</v>
      </c>
      <c r="S169" s="4" t="s">
        <v>725</v>
      </c>
      <c r="T169" t="s">
        <v>629</v>
      </c>
      <c r="U169" t="str">
        <f t="shared" si="10"/>
        <v>MARY PAUL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1:42" s="10" customFormat="1" x14ac:dyDescent="0.2">
      <c r="A170" s="4" t="s">
        <v>356</v>
      </c>
      <c r="B170" s="2">
        <v>19200754</v>
      </c>
      <c r="C170" s="4" t="s">
        <v>373</v>
      </c>
      <c r="D170" s="4" t="s">
        <v>374</v>
      </c>
      <c r="E170" s="3">
        <v>45962</v>
      </c>
      <c r="F170" s="4" t="s">
        <v>48</v>
      </c>
      <c r="G170" s="4" t="s">
        <v>50</v>
      </c>
      <c r="H170" s="4" t="s">
        <v>51</v>
      </c>
      <c r="I170" s="5">
        <v>1</v>
      </c>
      <c r="J170" s="5">
        <v>1</v>
      </c>
      <c r="K170" s="5">
        <v>26.08</v>
      </c>
      <c r="L170" s="4" t="s">
        <v>52</v>
      </c>
      <c r="M170" s="3">
        <v>45627</v>
      </c>
      <c r="N170" t="s">
        <v>512</v>
      </c>
      <c r="O170" s="11" t="s">
        <v>515</v>
      </c>
      <c r="P170"/>
      <c r="Q170" s="4" t="s">
        <v>374</v>
      </c>
      <c r="R170" t="str">
        <f t="shared" si="9"/>
        <v>00022659909K6</v>
      </c>
      <c r="S170" s="4" t="s">
        <v>807</v>
      </c>
      <c r="T170" t="s">
        <v>725</v>
      </c>
      <c r="U170" t="str">
        <f t="shared" si="10"/>
        <v>PAUL BORASH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1:42" s="10" customFormat="1" x14ac:dyDescent="0.2">
      <c r="A171" s="4" t="s">
        <v>381</v>
      </c>
      <c r="B171" s="2">
        <v>19586992</v>
      </c>
      <c r="C171" s="4" t="s">
        <v>382</v>
      </c>
      <c r="D171" s="4" t="s">
        <v>383</v>
      </c>
      <c r="E171" s="3">
        <v>45962</v>
      </c>
      <c r="F171" s="4" t="s">
        <v>48</v>
      </c>
      <c r="G171" s="4" t="s">
        <v>50</v>
      </c>
      <c r="H171" s="4" t="s">
        <v>51</v>
      </c>
      <c r="I171" s="5">
        <v>1</v>
      </c>
      <c r="J171" s="5">
        <v>1</v>
      </c>
      <c r="K171" s="5">
        <v>26.08</v>
      </c>
      <c r="L171" s="4" t="s">
        <v>52</v>
      </c>
      <c r="M171" s="3">
        <v>45474</v>
      </c>
      <c r="N171" t="s">
        <v>512</v>
      </c>
      <c r="O171" s="11" t="s">
        <v>515</v>
      </c>
      <c r="P171"/>
      <c r="Q171" s="4" t="s">
        <v>383</v>
      </c>
      <c r="R171" t="str">
        <f t="shared" si="9"/>
        <v>00017505325K6</v>
      </c>
      <c r="S171" s="4" t="s">
        <v>808</v>
      </c>
      <c r="T171" t="s">
        <v>727</v>
      </c>
      <c r="U171" t="str">
        <f t="shared" si="10"/>
        <v>DEBRA SIMS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1:42" s="10" customFormat="1" x14ac:dyDescent="0.2">
      <c r="A172" s="4" t="s">
        <v>381</v>
      </c>
      <c r="B172" s="2">
        <v>19586992</v>
      </c>
      <c r="C172" s="4" t="s">
        <v>384</v>
      </c>
      <c r="D172" s="4" t="s">
        <v>385</v>
      </c>
      <c r="E172" s="3">
        <v>45962</v>
      </c>
      <c r="F172" s="4" t="s">
        <v>48</v>
      </c>
      <c r="G172" s="4" t="s">
        <v>50</v>
      </c>
      <c r="H172" s="4" t="s">
        <v>51</v>
      </c>
      <c r="I172" s="5">
        <v>1</v>
      </c>
      <c r="J172" s="5">
        <v>1</v>
      </c>
      <c r="K172" s="5">
        <v>26.08</v>
      </c>
      <c r="L172" s="4" t="s">
        <v>52</v>
      </c>
      <c r="M172" s="3">
        <v>45627</v>
      </c>
      <c r="N172" t="s">
        <v>512</v>
      </c>
      <c r="O172" s="11" t="s">
        <v>515</v>
      </c>
      <c r="P172"/>
      <c r="Q172" s="4" t="s">
        <v>385</v>
      </c>
      <c r="R172" t="str">
        <f t="shared" si="9"/>
        <v>00022674415K6</v>
      </c>
      <c r="S172" s="4" t="s">
        <v>809</v>
      </c>
      <c r="T172" t="s">
        <v>537</v>
      </c>
      <c r="U172" t="str">
        <f t="shared" si="10"/>
        <v>JAMES HARBACEK</v>
      </c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1:42" s="10" customFormat="1" x14ac:dyDescent="0.2">
      <c r="A173" s="4" t="s">
        <v>381</v>
      </c>
      <c r="B173" s="2">
        <v>19586992</v>
      </c>
      <c r="C173" s="4" t="s">
        <v>386</v>
      </c>
      <c r="D173" s="4" t="s">
        <v>387</v>
      </c>
      <c r="E173" s="3">
        <v>45962</v>
      </c>
      <c r="F173" s="4" t="s">
        <v>48</v>
      </c>
      <c r="G173" s="4" t="s">
        <v>50</v>
      </c>
      <c r="H173" s="4" t="s">
        <v>51</v>
      </c>
      <c r="I173" s="5">
        <v>1</v>
      </c>
      <c r="J173" s="5">
        <v>1</v>
      </c>
      <c r="K173" s="5">
        <v>26.08</v>
      </c>
      <c r="L173" s="4" t="s">
        <v>52</v>
      </c>
      <c r="M173" s="3">
        <v>45627</v>
      </c>
      <c r="N173" t="s">
        <v>512</v>
      </c>
      <c r="O173" s="11" t="s">
        <v>515</v>
      </c>
      <c r="P173"/>
      <c r="Q173" s="4" t="s">
        <v>387</v>
      </c>
      <c r="R173" t="str">
        <f t="shared" si="9"/>
        <v>00022698535K6</v>
      </c>
      <c r="S173" s="4" t="s">
        <v>810</v>
      </c>
      <c r="T173" t="s">
        <v>537</v>
      </c>
      <c r="U173" t="str">
        <f t="shared" si="10"/>
        <v>JAMES BECKWITH</v>
      </c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1:42" s="10" customFormat="1" x14ac:dyDescent="0.2">
      <c r="A174" s="4" t="s">
        <v>381</v>
      </c>
      <c r="B174" s="2">
        <v>19586992</v>
      </c>
      <c r="C174" s="4" t="s">
        <v>388</v>
      </c>
      <c r="D174" s="4" t="s">
        <v>389</v>
      </c>
      <c r="E174" s="3">
        <v>45992</v>
      </c>
      <c r="F174" s="4" t="s">
        <v>58</v>
      </c>
      <c r="G174" s="4" t="s">
        <v>50</v>
      </c>
      <c r="H174" s="4" t="s">
        <v>51</v>
      </c>
      <c r="I174" s="5">
        <v>0.08</v>
      </c>
      <c r="J174" s="5">
        <v>1</v>
      </c>
      <c r="K174" s="5">
        <v>26.08</v>
      </c>
      <c r="L174" s="4" t="s">
        <v>61</v>
      </c>
      <c r="M174" s="3">
        <v>45992</v>
      </c>
      <c r="N174" t="s">
        <v>512</v>
      </c>
      <c r="O174" s="11" t="s">
        <v>515</v>
      </c>
      <c r="P174"/>
      <c r="Q174" s="4" t="s">
        <v>389</v>
      </c>
      <c r="R174" t="str">
        <f t="shared" si="9"/>
        <v>00024862089K6</v>
      </c>
      <c r="S174" s="4" t="s">
        <v>811</v>
      </c>
      <c r="T174" t="s">
        <v>812</v>
      </c>
      <c r="U174" t="str">
        <f t="shared" si="10"/>
        <v>MARI MALZAHN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1:42" s="10" customFormat="1" x14ac:dyDescent="0.2">
      <c r="A175" s="4" t="s">
        <v>173</v>
      </c>
      <c r="B175" s="2">
        <v>8812322</v>
      </c>
      <c r="C175" s="4" t="s">
        <v>174</v>
      </c>
      <c r="D175" s="4" t="s">
        <v>175</v>
      </c>
      <c r="E175" s="3">
        <v>45992</v>
      </c>
      <c r="F175" s="4" t="s">
        <v>58</v>
      </c>
      <c r="G175" s="4" t="s">
        <v>50</v>
      </c>
      <c r="H175" s="4" t="s">
        <v>51</v>
      </c>
      <c r="I175" s="5">
        <v>0.08</v>
      </c>
      <c r="J175" s="5">
        <v>1</v>
      </c>
      <c r="K175" s="5">
        <v>26.08</v>
      </c>
      <c r="L175" s="4" t="s">
        <v>61</v>
      </c>
      <c r="M175" s="3">
        <v>45992</v>
      </c>
      <c r="N175" t="s">
        <v>512</v>
      </c>
      <c r="O175" s="11" t="s">
        <v>515</v>
      </c>
      <c r="P175"/>
      <c r="Q175" s="4" t="s">
        <v>175</v>
      </c>
      <c r="R175" t="str">
        <f t="shared" si="9"/>
        <v>00024705354K6</v>
      </c>
      <c r="S175" s="4" t="s">
        <v>813</v>
      </c>
      <c r="T175" t="s">
        <v>528</v>
      </c>
      <c r="U175" t="str">
        <f t="shared" si="10"/>
        <v>MICHAEL KOVACH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1:42" s="10" customFormat="1" x14ac:dyDescent="0.2">
      <c r="A176" s="4" t="s">
        <v>83</v>
      </c>
      <c r="B176" s="2">
        <v>8307933</v>
      </c>
      <c r="C176" s="4" t="s">
        <v>96</v>
      </c>
      <c r="D176" s="4" t="s">
        <v>97</v>
      </c>
      <c r="E176" s="3">
        <v>45962</v>
      </c>
      <c r="F176" s="4" t="s">
        <v>48</v>
      </c>
      <c r="G176" s="4" t="s">
        <v>50</v>
      </c>
      <c r="H176" s="4" t="s">
        <v>51</v>
      </c>
      <c r="I176" s="5">
        <v>1</v>
      </c>
      <c r="J176" s="5">
        <v>1</v>
      </c>
      <c r="K176" s="5">
        <v>26.08</v>
      </c>
      <c r="L176" s="4" t="s">
        <v>52</v>
      </c>
      <c r="M176" s="3">
        <v>45078</v>
      </c>
      <c r="N176" t="s">
        <v>512</v>
      </c>
      <c r="O176" s="11" t="s">
        <v>515</v>
      </c>
      <c r="P176"/>
      <c r="Q176" s="4" t="s">
        <v>97</v>
      </c>
      <c r="R176" t="str">
        <f t="shared" ref="R176:R184" si="11">CONCATENATE(Q176,6)</f>
        <v>00020373510K6</v>
      </c>
      <c r="S176" s="4" t="s">
        <v>814</v>
      </c>
      <c r="T176" t="s">
        <v>727</v>
      </c>
      <c r="U176" t="str">
        <f t="shared" si="10"/>
        <v>DEBRA HAUFF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1:42" s="10" customFormat="1" x14ac:dyDescent="0.2">
      <c r="A177" s="4" t="s">
        <v>83</v>
      </c>
      <c r="B177" s="2">
        <v>8307933</v>
      </c>
      <c r="C177" s="4" t="s">
        <v>103</v>
      </c>
      <c r="D177" s="4" t="s">
        <v>104</v>
      </c>
      <c r="E177" s="3">
        <v>45962</v>
      </c>
      <c r="F177" s="4" t="s">
        <v>48</v>
      </c>
      <c r="G177" s="4" t="s">
        <v>50</v>
      </c>
      <c r="H177" s="4" t="s">
        <v>51</v>
      </c>
      <c r="I177" s="5">
        <v>1</v>
      </c>
      <c r="J177" s="5">
        <v>1</v>
      </c>
      <c r="K177" s="5">
        <v>26.08</v>
      </c>
      <c r="L177" s="4" t="s">
        <v>52</v>
      </c>
      <c r="M177" s="3">
        <v>45108</v>
      </c>
      <c r="N177" t="s">
        <v>512</v>
      </c>
      <c r="O177" s="11" t="s">
        <v>515</v>
      </c>
      <c r="P177"/>
      <c r="Q177" s="4" t="s">
        <v>104</v>
      </c>
      <c r="R177" t="str">
        <f t="shared" si="11"/>
        <v>00020444350K6</v>
      </c>
      <c r="S177" s="4" t="s">
        <v>815</v>
      </c>
      <c r="T177" t="s">
        <v>728</v>
      </c>
      <c r="U177" t="str">
        <f t="shared" si="10"/>
        <v>LINDA MORAN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1:42" s="10" customFormat="1" x14ac:dyDescent="0.2">
      <c r="A178" s="4" t="s">
        <v>83</v>
      </c>
      <c r="B178" s="2">
        <v>8307933</v>
      </c>
      <c r="C178" s="4" t="s">
        <v>129</v>
      </c>
      <c r="D178" s="4" t="s">
        <v>130</v>
      </c>
      <c r="E178" s="3">
        <v>45962</v>
      </c>
      <c r="F178" s="4" t="s">
        <v>48</v>
      </c>
      <c r="G178" s="4" t="s">
        <v>50</v>
      </c>
      <c r="H178" s="4" t="s">
        <v>51</v>
      </c>
      <c r="I178" s="5">
        <v>1</v>
      </c>
      <c r="J178" s="5">
        <v>1</v>
      </c>
      <c r="K178" s="5">
        <v>26.08</v>
      </c>
      <c r="L178" s="4" t="s">
        <v>52</v>
      </c>
      <c r="M178" s="3">
        <v>45231</v>
      </c>
      <c r="N178" t="s">
        <v>512</v>
      </c>
      <c r="O178" s="11" t="s">
        <v>515</v>
      </c>
      <c r="P178"/>
      <c r="Q178" s="4" t="s">
        <v>130</v>
      </c>
      <c r="R178" t="str">
        <f t="shared" si="11"/>
        <v>00020966759K6</v>
      </c>
      <c r="S178" s="4" t="s">
        <v>816</v>
      </c>
      <c r="T178" t="s">
        <v>817</v>
      </c>
      <c r="U178" t="str">
        <f t="shared" si="10"/>
        <v>BONNIE MOONEY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1:42" s="10" customFormat="1" x14ac:dyDescent="0.2">
      <c r="A179" s="4" t="s">
        <v>83</v>
      </c>
      <c r="B179" s="2">
        <v>8307933</v>
      </c>
      <c r="C179" s="4" t="s">
        <v>163</v>
      </c>
      <c r="D179" s="4" t="s">
        <v>164</v>
      </c>
      <c r="E179" s="3">
        <v>45962</v>
      </c>
      <c r="F179" s="4" t="s">
        <v>48</v>
      </c>
      <c r="G179" s="4" t="s">
        <v>50</v>
      </c>
      <c r="H179" s="4" t="s">
        <v>51</v>
      </c>
      <c r="I179" s="5">
        <v>1</v>
      </c>
      <c r="J179" s="5">
        <v>1</v>
      </c>
      <c r="K179" s="5">
        <v>26.08</v>
      </c>
      <c r="L179" s="4" t="s">
        <v>52</v>
      </c>
      <c r="M179" s="3">
        <v>45597</v>
      </c>
      <c r="N179" t="s">
        <v>512</v>
      </c>
      <c r="O179" s="11" t="s">
        <v>515</v>
      </c>
      <c r="P179"/>
      <c r="Q179" s="4" t="s">
        <v>164</v>
      </c>
      <c r="R179" t="str">
        <f t="shared" si="11"/>
        <v>00022070044K6</v>
      </c>
      <c r="S179" s="4" t="s">
        <v>818</v>
      </c>
      <c r="T179" t="s">
        <v>819</v>
      </c>
      <c r="U179" t="str">
        <f t="shared" si="10"/>
        <v>SUZI FRIESE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1:42" s="10" customFormat="1" x14ac:dyDescent="0.2">
      <c r="A180" s="4" t="s">
        <v>83</v>
      </c>
      <c r="B180" s="2">
        <v>8307933</v>
      </c>
      <c r="C180" s="4" t="s">
        <v>167</v>
      </c>
      <c r="D180" s="4" t="s">
        <v>168</v>
      </c>
      <c r="E180" s="3">
        <v>45962</v>
      </c>
      <c r="F180" s="4" t="s">
        <v>48</v>
      </c>
      <c r="G180" s="4" t="s">
        <v>50</v>
      </c>
      <c r="H180" s="4" t="s">
        <v>51</v>
      </c>
      <c r="I180" s="5">
        <v>1</v>
      </c>
      <c r="J180" s="5">
        <v>1</v>
      </c>
      <c r="K180" s="5">
        <v>26.08</v>
      </c>
      <c r="L180" s="4" t="s">
        <v>52</v>
      </c>
      <c r="M180" s="3">
        <v>45627</v>
      </c>
      <c r="N180" t="s">
        <v>512</v>
      </c>
      <c r="O180" s="11" t="s">
        <v>515</v>
      </c>
      <c r="P180"/>
      <c r="Q180" s="4" t="s">
        <v>168</v>
      </c>
      <c r="R180" t="str">
        <f t="shared" si="11"/>
        <v>00022078841K6</v>
      </c>
      <c r="S180" s="4" t="s">
        <v>820</v>
      </c>
      <c r="T180" t="s">
        <v>821</v>
      </c>
      <c r="U180" t="str">
        <f t="shared" si="10"/>
        <v>LORI RODGERS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1:42" s="10" customFormat="1" x14ac:dyDescent="0.2">
      <c r="A181" s="4" t="s">
        <v>220</v>
      </c>
      <c r="B181" s="2">
        <v>8325282</v>
      </c>
      <c r="C181" s="4" t="s">
        <v>221</v>
      </c>
      <c r="D181" s="4" t="s">
        <v>222</v>
      </c>
      <c r="E181" s="3">
        <v>45962</v>
      </c>
      <c r="F181" s="4" t="s">
        <v>48</v>
      </c>
      <c r="G181" s="4" t="s">
        <v>50</v>
      </c>
      <c r="H181" s="4" t="s">
        <v>51</v>
      </c>
      <c r="I181" s="5">
        <v>1</v>
      </c>
      <c r="J181" s="5">
        <v>1</v>
      </c>
      <c r="K181" s="5">
        <v>26.08</v>
      </c>
      <c r="L181" s="4" t="s">
        <v>52</v>
      </c>
      <c r="M181" s="3">
        <v>45566</v>
      </c>
      <c r="N181" t="s">
        <v>512</v>
      </c>
      <c r="O181" s="11" t="s">
        <v>515</v>
      </c>
      <c r="P181"/>
      <c r="Q181" s="4" t="s">
        <v>222</v>
      </c>
      <c r="R181" t="str">
        <f t="shared" si="11"/>
        <v>00022083688K6</v>
      </c>
      <c r="S181" s="4" t="s">
        <v>822</v>
      </c>
      <c r="T181" t="s">
        <v>550</v>
      </c>
      <c r="U181" t="str">
        <f t="shared" si="10"/>
        <v>SHIRLEY SHELTON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1:42" s="10" customFormat="1" x14ac:dyDescent="0.2">
      <c r="A182" s="4" t="s">
        <v>220</v>
      </c>
      <c r="B182" s="2">
        <v>8325282</v>
      </c>
      <c r="C182" s="4" t="s">
        <v>223</v>
      </c>
      <c r="D182" s="4" t="s">
        <v>224</v>
      </c>
      <c r="E182" s="3">
        <v>45962</v>
      </c>
      <c r="F182" s="4" t="s">
        <v>48</v>
      </c>
      <c r="G182" s="4" t="s">
        <v>50</v>
      </c>
      <c r="H182" s="4" t="s">
        <v>51</v>
      </c>
      <c r="I182" s="5">
        <v>1</v>
      </c>
      <c r="J182" s="5">
        <v>1</v>
      </c>
      <c r="K182" s="5">
        <v>26.08</v>
      </c>
      <c r="L182" s="4" t="s">
        <v>52</v>
      </c>
      <c r="M182" s="3">
        <v>45627</v>
      </c>
      <c r="N182" t="s">
        <v>512</v>
      </c>
      <c r="O182" s="11" t="s">
        <v>515</v>
      </c>
      <c r="P182"/>
      <c r="Q182" s="4" t="s">
        <v>224</v>
      </c>
      <c r="R182" t="str">
        <f t="shared" si="11"/>
        <v>00022763707K6</v>
      </c>
      <c r="S182" s="4" t="s">
        <v>823</v>
      </c>
      <c r="T182" t="s">
        <v>824</v>
      </c>
      <c r="U182" t="str">
        <f t="shared" si="10"/>
        <v>RALPH RICHMOND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1:42" s="10" customFormat="1" x14ac:dyDescent="0.2">
      <c r="A183" s="4" t="s">
        <v>335</v>
      </c>
      <c r="B183" s="2">
        <v>18754354</v>
      </c>
      <c r="C183" s="4" t="s">
        <v>338</v>
      </c>
      <c r="D183" s="4" t="s">
        <v>339</v>
      </c>
      <c r="E183" s="3">
        <v>45962</v>
      </c>
      <c r="F183" s="4" t="s">
        <v>48</v>
      </c>
      <c r="G183" s="4" t="s">
        <v>50</v>
      </c>
      <c r="H183" s="4" t="s">
        <v>51</v>
      </c>
      <c r="I183" s="5">
        <v>1</v>
      </c>
      <c r="J183" s="5">
        <v>1</v>
      </c>
      <c r="K183" s="5">
        <v>26.08</v>
      </c>
      <c r="L183" s="4" t="s">
        <v>52</v>
      </c>
      <c r="M183" s="3">
        <v>45505</v>
      </c>
      <c r="N183" t="s">
        <v>512</v>
      </c>
      <c r="O183" s="11" t="s">
        <v>515</v>
      </c>
      <c r="P183"/>
      <c r="Q183" s="4" t="s">
        <v>339</v>
      </c>
      <c r="R183" t="str">
        <f t="shared" si="11"/>
        <v>00021961080K6</v>
      </c>
      <c r="S183" s="4" t="s">
        <v>825</v>
      </c>
      <c r="T183" t="s">
        <v>725</v>
      </c>
      <c r="U183" t="str">
        <f t="shared" si="10"/>
        <v>PAUL ARNOLD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1:42" s="10" customFormat="1" x14ac:dyDescent="0.2">
      <c r="A184" s="4" t="s">
        <v>83</v>
      </c>
      <c r="B184" s="2">
        <v>8307933</v>
      </c>
      <c r="C184" s="4" t="s">
        <v>92</v>
      </c>
      <c r="D184" s="4" t="s">
        <v>93</v>
      </c>
      <c r="E184" s="3">
        <v>45962</v>
      </c>
      <c r="F184" s="4" t="s">
        <v>48</v>
      </c>
      <c r="G184" s="4" t="s">
        <v>50</v>
      </c>
      <c r="H184" s="4" t="s">
        <v>94</v>
      </c>
      <c r="I184" s="5">
        <v>1</v>
      </c>
      <c r="J184" s="5">
        <v>1</v>
      </c>
      <c r="K184" s="5">
        <v>26.08</v>
      </c>
      <c r="L184" s="4" t="s">
        <v>52</v>
      </c>
      <c r="M184" s="3">
        <v>45108</v>
      </c>
      <c r="N184" t="s">
        <v>512</v>
      </c>
      <c r="O184" s="11" t="s">
        <v>515</v>
      </c>
      <c r="P184"/>
      <c r="Q184" s="4" t="s">
        <v>93</v>
      </c>
      <c r="R184" t="str">
        <f t="shared" si="11"/>
        <v>00020366906K6</v>
      </c>
      <c r="S184" s="4" t="s">
        <v>826</v>
      </c>
      <c r="T184" t="s">
        <v>827</v>
      </c>
      <c r="U184" t="str">
        <f t="shared" si="10"/>
        <v>JEFFREY KINKAID</v>
      </c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1:42" s="16" customFormat="1" x14ac:dyDescent="0.2">
      <c r="A185" s="17" t="s">
        <v>263</v>
      </c>
      <c r="B185" s="18">
        <v>16865615</v>
      </c>
      <c r="C185" s="17" t="s">
        <v>266</v>
      </c>
      <c r="D185" s="17" t="s">
        <v>267</v>
      </c>
      <c r="E185" s="19">
        <v>45992</v>
      </c>
      <c r="F185" s="17" t="s">
        <v>58</v>
      </c>
      <c r="G185" s="17" t="s">
        <v>50</v>
      </c>
      <c r="H185" s="17" t="s">
        <v>269</v>
      </c>
      <c r="I185" s="20">
        <v>0.08</v>
      </c>
      <c r="J185" s="20">
        <v>4.58</v>
      </c>
      <c r="K185" s="20">
        <v>4.58</v>
      </c>
      <c r="L185" s="17" t="s">
        <v>61</v>
      </c>
      <c r="M185" s="19">
        <v>45992</v>
      </c>
      <c r="N185" s="21" t="s">
        <v>511</v>
      </c>
      <c r="O185" s="21"/>
      <c r="P185" s="21"/>
      <c r="Q185" s="17" t="s">
        <v>267</v>
      </c>
      <c r="R185" s="21" t="str">
        <f>CONCATENATE(Q185,9)</f>
        <v>00024565859K9</v>
      </c>
      <c r="S185" s="17" t="s">
        <v>828</v>
      </c>
      <c r="T185" s="21" t="s">
        <v>829</v>
      </c>
      <c r="U185" t="str">
        <f t="shared" si="10"/>
        <v>NANCY COMBS</v>
      </c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</row>
    <row r="186" spans="1:42" s="16" customFormat="1" x14ac:dyDescent="0.2">
      <c r="A186" s="17" t="s">
        <v>391</v>
      </c>
      <c r="B186" s="18">
        <v>17859093</v>
      </c>
      <c r="C186" s="17" t="s">
        <v>392</v>
      </c>
      <c r="D186" s="17" t="s">
        <v>393</v>
      </c>
      <c r="E186" s="19">
        <v>45992</v>
      </c>
      <c r="F186" s="17" t="s">
        <v>58</v>
      </c>
      <c r="G186" s="17" t="s">
        <v>50</v>
      </c>
      <c r="H186" s="17" t="s">
        <v>269</v>
      </c>
      <c r="I186" s="20">
        <v>0.08</v>
      </c>
      <c r="J186" s="20">
        <v>4.58</v>
      </c>
      <c r="K186" s="20">
        <v>4.58</v>
      </c>
      <c r="L186" s="17" t="s">
        <v>61</v>
      </c>
      <c r="M186" s="19">
        <v>45992</v>
      </c>
      <c r="N186" s="21" t="s">
        <v>511</v>
      </c>
      <c r="O186" s="21"/>
      <c r="P186" s="21"/>
      <c r="Q186" s="17" t="s">
        <v>393</v>
      </c>
      <c r="R186" s="21" t="str">
        <f>CONCATENATE(Q186,9)</f>
        <v>00024737161K9</v>
      </c>
      <c r="S186" s="17" t="s">
        <v>830</v>
      </c>
      <c r="T186" s="21" t="s">
        <v>549</v>
      </c>
      <c r="U186" t="str">
        <f t="shared" si="10"/>
        <v>DONALD HARRIS</v>
      </c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</row>
  </sheetData>
  <sortState xmlns:xlrd2="http://schemas.microsoft.com/office/spreadsheetml/2017/richdata2" ref="A2:AP186">
    <sortCondition ref="N2:N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2025-11-20T06:54:01Z</dcterms:created>
  <dcterms:modified xsi:type="dcterms:W3CDTF">2025-11-20T20:32:52Z</dcterms:modified>
</cp:coreProperties>
</file>